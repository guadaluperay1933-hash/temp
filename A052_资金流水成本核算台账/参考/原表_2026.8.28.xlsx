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F:\微信\xwechat_files\wxid_zxwmsuqw4qi729_d4c6\msg\file\2026-09\"/>
    </mc:Choice>
  </mc:AlternateContent>
  <bookViews>
    <workbookView windowWidth="27945" windowHeight="12375" tabRatio="665" activeTab="3"/>
  </bookViews>
  <sheets>
    <sheet name="使用说明" sheetId="1" r:id="rId1"/>
    <sheet name="基础资料" sheetId="2" r:id="rId2"/>
    <sheet name="开票登记" sheetId="3" r:id="rId3"/>
    <sheet name="资金流水" sheetId="4" r:id="rId4"/>
    <sheet name="应收应付台账" sheetId="5" r:id="rId5"/>
    <sheet name="项目核算表" sheetId="6" r:id="rId6"/>
    <sheet name="项目明细账" sheetId="7" r:id="rId7"/>
    <sheet name="月度汇报表" sheetId="8" r:id="rId8"/>
    <sheet name="图表看板" sheetId="9" r:id="rId9"/>
    <sheet name="月度趋势数据" sheetId="10" r:id="rId10"/>
    <sheet name="资金日报表" sheetId="11" r:id="rId11"/>
    <sheet name="任意时段查询" sheetId="12" r:id="rId12"/>
  </sheets>
  <definedNames>
    <definedName name="_xlnm._FilterDatabase" localSheetId="2" hidden="1">开票登记!$A$4:$T$504</definedName>
    <definedName name="_xlnm._FilterDatabase" localSheetId="3" hidden="1">资金流水!$A$4:$X$3032</definedName>
    <definedName name="_xlnm._FilterDatabase" localSheetId="4" hidden="1">应收应付台账!$A$4:$P$304</definedName>
    <definedName name="_xlnm._FilterDatabase" localSheetId="1" hidden="1">基础资料!$A$1:$AH$83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C4"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5"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6"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7"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8"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9"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10"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 ref="C11" authorId="0">
      <text>
        <r>
          <rPr>
            <sz val="10"/>
            <rFont val="Noto Sans CJK SC"/>
            <charset val="134"/>
          </rPr>
          <t>假设值：请按营业执照</t>
        </r>
        <r>
          <rPr>
            <sz val="10"/>
            <rFont val="Arial"/>
            <charset val="134"/>
          </rPr>
          <t>/</t>
        </r>
        <r>
          <rPr>
            <sz val="10"/>
            <rFont val="Noto Sans CJK SC"/>
            <charset val="134"/>
          </rPr>
          <t>税务登记的实际纳税人身份核对修改。此列决定“开票汇总”里小规模与一般纳税人的分组。</t>
        </r>
      </text>
    </comment>
  </commentList>
</comments>
</file>

<file path=xl/sharedStrings.xml><?xml version="1.0" encoding="utf-8"?>
<sst xmlns="http://schemas.openxmlformats.org/spreadsheetml/2006/main" count="4138" uniqueCount="1006">
  <si>
    <r>
      <rPr>
        <b/>
        <sz val="16"/>
        <color rgb="FF1F3864"/>
        <rFont val="Noto Sans CJK SC"/>
        <charset val="134"/>
      </rPr>
      <t xml:space="preserve">资金流水 </t>
    </r>
    <r>
      <rPr>
        <b/>
        <sz val="16"/>
        <color rgb="FF1F3864"/>
        <rFont val="微软雅黑"/>
        <charset val="1"/>
      </rPr>
      <t xml:space="preserve">+ </t>
    </r>
    <r>
      <rPr>
        <b/>
        <sz val="16"/>
        <color rgb="FF1F3864"/>
        <rFont val="Noto Sans CJK SC"/>
        <charset val="134"/>
      </rPr>
      <t xml:space="preserve">成本核算 </t>
    </r>
    <r>
      <rPr>
        <b/>
        <sz val="16"/>
        <color rgb="FF1F3864"/>
        <rFont val="微软雅黑"/>
        <charset val="1"/>
      </rPr>
      <t xml:space="preserve">+ </t>
    </r>
    <r>
      <rPr>
        <b/>
        <sz val="16"/>
        <color rgb="FF1F3864"/>
        <rFont val="Noto Sans CJK SC"/>
        <charset val="134"/>
      </rPr>
      <t>发票登记 一体化台账</t>
    </r>
  </si>
  <si>
    <r>
      <rPr>
        <sz val="10"/>
        <color rgb="FF7F7F7F"/>
        <rFont val="Noto Sans CJK SC"/>
        <charset val="134"/>
      </rPr>
      <t>适用：</t>
    </r>
    <r>
      <rPr>
        <sz val="10"/>
        <color rgb="FF7F7F7F"/>
        <rFont val="微软雅黑"/>
        <charset val="1"/>
      </rPr>
      <t>5~6</t>
    </r>
    <r>
      <rPr>
        <sz val="10"/>
        <color rgb="FF7F7F7F"/>
        <rFont val="Noto Sans CJK SC"/>
        <charset val="134"/>
      </rPr>
      <t>家公司、</t>
    </r>
    <r>
      <rPr>
        <sz val="10"/>
        <color rgb="FF7F7F7F"/>
        <rFont val="微软雅黑"/>
        <charset val="1"/>
      </rPr>
      <t>16</t>
    </r>
    <r>
      <rPr>
        <sz val="10"/>
        <color rgb="FF7F7F7F"/>
        <rFont val="Noto Sans CJK SC"/>
        <charset val="134"/>
      </rPr>
      <t>个银行账户、项目制经营；小规模与一般纳税人并存 ｜ 收入以开票金额为准</t>
    </r>
  </si>
  <si>
    <t>一、这套表解决什么问题</t>
  </si>
  <si>
    <t>原来的做法是：每个账户一张表 → 再手工抄一遍收入明细 → 再手工抄一遍支出明细 → 再汇总。一笔流水要抄三遍，月底还要对不平。</t>
  </si>
  <si>
    <t>现在的做法是：所有公司、所有账户的流水，只在「资金流水」一张表里录一遍；收入另外在「开票登记」一张表里录一遍。其余全部报表自动生成。</t>
  </si>
  <si>
    <t>新增的三块联动：① 开票登记（既是收入来源，也按发票号自动核销收款）；② 项目核算（按项目自动归集收入与成本）；③ 应收应付台账（处理月末跨期）。</t>
  </si>
  <si>
    <t>二、收入口径：以开票为准（重点）</t>
  </si>
  <si>
    <r>
      <rPr>
        <sz val="10"/>
        <rFont val="Noto Sans CJK SC"/>
        <charset val="134"/>
      </rPr>
      <t xml:space="preserve">公司确认的收入 </t>
    </r>
    <r>
      <rPr>
        <sz val="10"/>
        <rFont val="宋体"/>
        <charset val="1"/>
      </rPr>
      <t xml:space="preserve">= </t>
    </r>
    <r>
      <rPr>
        <sz val="10"/>
        <rFont val="Noto Sans CJK SC"/>
        <charset val="134"/>
      </rPr>
      <t>「开票登记」里当月开出的发票金额，不是银行到账金额。开了票就算收入，钱什么时候到是回款问题。</t>
    </r>
  </si>
  <si>
    <r>
      <rPr>
        <sz val="10"/>
        <rFont val="Noto Sans CJK SC"/>
        <charset val="134"/>
      </rPr>
      <t>含税还是不含税：由「基础资料」</t>
    </r>
    <r>
      <rPr>
        <sz val="10"/>
        <rFont val="宋体"/>
        <charset val="1"/>
      </rPr>
      <t xml:space="preserve">AH4 </t>
    </r>
    <r>
      <rPr>
        <sz val="10"/>
        <rFont val="Noto Sans CJK SC"/>
        <charset val="134"/>
      </rPr>
      <t>那一格开关控制，默认「价税合计</t>
    </r>
    <r>
      <rPr>
        <sz val="10"/>
        <rFont val="宋体"/>
        <charset val="1"/>
      </rPr>
      <t>(</t>
    </r>
    <r>
      <rPr>
        <sz val="10"/>
        <rFont val="Noto Sans CJK SC"/>
        <charset val="134"/>
      </rPr>
      <t>含税</t>
    </r>
    <r>
      <rPr>
        <sz val="10"/>
        <rFont val="宋体"/>
        <charset val="1"/>
      </rPr>
      <t>)</t>
    </r>
    <r>
      <rPr>
        <sz val="10"/>
        <rFont val="Noto Sans CJK SC"/>
        <charset val="134"/>
      </rPr>
      <t>」。改这一格，月度汇报表、项目核算表、趋势表、图表全部跟着变。</t>
    </r>
  </si>
  <si>
    <t>为什么默认含税：贵司的成本和费用都是按含税实付金额记的，缴的增值税又已经单列在支出的「税费」里。收入也用含税口径，三者才闭合。</t>
  </si>
  <si>
    <t>如果要切到不含税，记得同时把支出端也换成不含税（剥离进项税），否则一般纳税人的毛利会被低估约一个税点。</t>
  </si>
  <si>
    <r>
      <rPr>
        <sz val="10"/>
        <rFont val="Noto Sans CJK SC"/>
        <charset val="134"/>
      </rPr>
      <t>没有发票的收入怎么办：利息、理财收益、政府补助这类永远开不出票，不登「开票登记」，在「资金流水」按实收登记，收入类别选「利息收入</t>
    </r>
    <r>
      <rPr>
        <sz val="10"/>
        <rFont val="宋体"/>
        <charset val="1"/>
      </rPr>
      <t>/</t>
    </r>
    <r>
      <rPr>
        <sz val="10"/>
        <rFont val="Noto Sans CJK SC"/>
        <charset val="134"/>
      </rPr>
      <t>理财收入</t>
    </r>
    <r>
      <rPr>
        <sz val="10"/>
        <rFont val="宋体"/>
        <charset val="1"/>
      </rPr>
      <t>/</t>
    </r>
    <r>
      <rPr>
        <sz val="10"/>
        <rFont val="Noto Sans CJK SC"/>
        <charset val="134"/>
      </rPr>
      <t>政府补助」即可 —— 报表会自动把它们并进「损益口径收入」，并在明细里标出取数来源。</t>
    </r>
  </si>
  <si>
    <t>保证金退回、股东投入、借款收回这类不是收入，收入类别选「往来及保证金」大类下的项目，它们进现金、不进盈亏。</t>
  </si>
  <si>
    <t>三、每张表怎么用</t>
  </si>
  <si>
    <r>
      <rPr>
        <sz val="10"/>
        <rFont val="Noto Sans CJK SC"/>
        <charset val="134"/>
      </rPr>
      <t xml:space="preserve">【基础资料】所有下拉菜单的源头，外加右边 </t>
    </r>
    <r>
      <rPr>
        <sz val="10"/>
        <rFont val="宋体"/>
        <charset val="1"/>
      </rPr>
      <t xml:space="preserve">AG/AH </t>
    </r>
    <r>
      <rPr>
        <sz val="10"/>
        <rFont val="Noto Sans CJK SC"/>
        <charset val="134"/>
      </rPr>
      <t>两列的「收入口径」开关。公司、账户、项目、收入</t>
    </r>
    <r>
      <rPr>
        <sz val="10"/>
        <rFont val="宋体"/>
        <charset val="1"/>
      </rPr>
      <t>/</t>
    </r>
    <r>
      <rPr>
        <sz val="10"/>
        <rFont val="Noto Sans CJK SC"/>
        <charset val="134"/>
      </rPr>
      <t>成本</t>
    </r>
    <r>
      <rPr>
        <sz val="10"/>
        <rFont val="宋体"/>
        <charset val="1"/>
      </rPr>
      <t>/</t>
    </r>
    <r>
      <rPr>
        <sz val="10"/>
        <rFont val="Noto Sans CJK SC"/>
        <charset val="134"/>
      </rPr>
      <t>费用类别、客户、供应商都在这里维护。</t>
    </r>
  </si>
  <si>
    <r>
      <rPr>
        <sz val="10"/>
        <rFont val="Noto Sans CJK SC"/>
        <charset val="134"/>
      </rPr>
      <t xml:space="preserve">　　⚠ 首次使用必做三件事：①补全 </t>
    </r>
    <r>
      <rPr>
        <sz val="10"/>
        <rFont val="宋体"/>
        <charset val="1"/>
      </rPr>
      <t xml:space="preserve">6 </t>
    </r>
    <r>
      <rPr>
        <sz val="10"/>
        <rFont val="Noto Sans CJK SC"/>
        <charset val="134"/>
      </rPr>
      <t>家公司的全称和纳税人类型（决定小规模</t>
    </r>
    <r>
      <rPr>
        <sz val="10"/>
        <rFont val="宋体"/>
        <charset val="1"/>
      </rPr>
      <t>/</t>
    </r>
    <r>
      <rPr>
        <sz val="10"/>
        <rFont val="Noto Sans CJK SC"/>
        <charset val="134"/>
      </rPr>
      <t xml:space="preserve">一般人分组）；②把 </t>
    </r>
    <r>
      <rPr>
        <sz val="10"/>
        <rFont val="宋体"/>
        <charset val="1"/>
      </rPr>
      <t xml:space="preserve">16 </t>
    </r>
    <r>
      <rPr>
        <sz val="10"/>
        <rFont val="Noto Sans CJK SC"/>
        <charset val="134"/>
      </rPr>
      <t>个账户全部填进去；③建立项目档案（含跨年的老项目）。</t>
    </r>
  </si>
  <si>
    <r>
      <rPr>
        <sz val="10"/>
        <rFont val="Noto Sans CJK SC"/>
        <charset val="134"/>
      </rPr>
      <t>【开票登记】收入的唯一来源。每张发票一行。</t>
    </r>
    <r>
      <rPr>
        <sz val="10"/>
        <rFont val="宋体"/>
        <charset val="1"/>
      </rPr>
      <t xml:space="preserve">I </t>
    </r>
    <r>
      <rPr>
        <sz val="10"/>
        <rFont val="Noto Sans CJK SC"/>
        <charset val="134"/>
      </rPr>
      <t>列「发票号码」是核销的钥匙——收到这张票的钱时，在「资金流水」</t>
    </r>
    <r>
      <rPr>
        <sz val="10"/>
        <rFont val="宋体"/>
        <charset val="1"/>
      </rPr>
      <t xml:space="preserve">Q </t>
    </r>
    <r>
      <rPr>
        <sz val="10"/>
        <rFont val="Noto Sans CJK SC"/>
        <charset val="134"/>
      </rPr>
      <t>列填同一个发票号，</t>
    </r>
    <r>
      <rPr>
        <sz val="10"/>
        <rFont val="宋体"/>
        <charset val="1"/>
      </rPr>
      <t xml:space="preserve">N </t>
    </r>
    <r>
      <rPr>
        <sz val="10"/>
        <rFont val="Noto Sans CJK SC"/>
        <charset val="134"/>
      </rPr>
      <t>列自动算出已收款、</t>
    </r>
    <r>
      <rPr>
        <sz val="10"/>
        <rFont val="宋体"/>
        <charset val="1"/>
      </rPr>
      <t xml:space="preserve">P </t>
    </r>
    <r>
      <rPr>
        <sz val="10"/>
        <rFont val="Noto Sans CJK SC"/>
        <charset val="134"/>
      </rPr>
      <t>列自动算未收款、</t>
    </r>
    <r>
      <rPr>
        <sz val="10"/>
        <rFont val="宋体"/>
        <charset val="1"/>
      </rPr>
      <t xml:space="preserve">S </t>
    </r>
    <r>
      <rPr>
        <sz val="10"/>
        <rFont val="Noto Sans CJK SC"/>
        <charset val="134"/>
      </rPr>
      <t xml:space="preserve">列自动算账龄（超 </t>
    </r>
    <r>
      <rPr>
        <sz val="10"/>
        <rFont val="宋体"/>
        <charset val="1"/>
      </rPr>
      <t xml:space="preserve">90 </t>
    </r>
    <r>
      <rPr>
        <sz val="10"/>
        <rFont val="Noto Sans CJK SC"/>
        <charset val="134"/>
      </rPr>
      <t>天标红）。</t>
    </r>
    <r>
      <rPr>
        <sz val="10"/>
        <rFont val="宋体"/>
        <charset val="1"/>
      </rPr>
      <t xml:space="preserve">H </t>
    </r>
    <r>
      <rPr>
        <sz val="10"/>
        <rFont val="Noto Sans CJK SC"/>
        <charset val="134"/>
      </rPr>
      <t>列「收入类别」决定这笔收入进汇报表哪一行，一般选「项目收入」。</t>
    </r>
  </si>
  <si>
    <r>
      <rPr>
        <sz val="10"/>
        <rFont val="Noto Sans CJK SC"/>
        <charset val="134"/>
      </rPr>
      <t xml:space="preserve">【资金流水】所有银行进出的唯一录入口。每笔一行，收入填 </t>
    </r>
    <r>
      <rPr>
        <sz val="10"/>
        <rFont val="宋体"/>
        <charset val="1"/>
      </rPr>
      <t xml:space="preserve">K </t>
    </r>
    <r>
      <rPr>
        <sz val="10"/>
        <rFont val="Noto Sans CJK SC"/>
        <charset val="134"/>
      </rPr>
      <t xml:space="preserve">列、支出填 </t>
    </r>
    <r>
      <rPr>
        <sz val="10"/>
        <rFont val="宋体"/>
        <charset val="1"/>
      </rPr>
      <t xml:space="preserve">L </t>
    </r>
    <r>
      <rPr>
        <sz val="10"/>
        <rFont val="Noto Sans CJK SC"/>
        <charset val="134"/>
      </rPr>
      <t xml:space="preserve">列。灰色 </t>
    </r>
    <r>
      <rPr>
        <sz val="10"/>
        <rFont val="宋体"/>
        <charset val="1"/>
      </rPr>
      <t xml:space="preserve">S~X </t>
    </r>
    <r>
      <rPr>
        <sz val="10"/>
        <rFont val="Noto Sans CJK SC"/>
        <charset val="134"/>
      </rPr>
      <t>列是自动算的，不要手输。注意：项目收款在这里只是“现金到账”，不构成收入 —— 收入看「开票登记」。</t>
    </r>
  </si>
  <si>
    <r>
      <rPr>
        <sz val="10"/>
        <rFont val="Noto Sans CJK SC"/>
        <charset val="134"/>
      </rPr>
      <t>【应收应付台账】只登「月末还没收完</t>
    </r>
    <r>
      <rPr>
        <sz val="10"/>
        <rFont val="宋体"/>
        <charset val="1"/>
      </rPr>
      <t>/</t>
    </r>
    <r>
      <rPr>
        <sz val="10"/>
        <rFont val="Noto Sans CJK SC"/>
        <charset val="134"/>
      </rPr>
      <t>没付完」的那几笔。</t>
    </r>
    <r>
      <rPr>
        <sz val="10"/>
        <rFont val="宋体"/>
        <charset val="1"/>
      </rPr>
      <t xml:space="preserve">I </t>
    </r>
    <r>
      <rPr>
        <sz val="10"/>
        <rFont val="Noto Sans CJK SC"/>
        <charset val="134"/>
      </rPr>
      <t xml:space="preserve">列「关联单号」同理，下月实际收付时在流水 </t>
    </r>
    <r>
      <rPr>
        <sz val="10"/>
        <rFont val="宋体"/>
        <charset val="1"/>
      </rPr>
      <t xml:space="preserve">Q </t>
    </r>
    <r>
      <rPr>
        <sz val="10"/>
        <rFont val="Noto Sans CJK SC"/>
        <charset val="134"/>
      </rPr>
      <t>列填同一个单号，自动冲减。</t>
    </r>
  </si>
  <si>
    <r>
      <rPr>
        <sz val="10"/>
        <rFont val="Noto Sans CJK SC"/>
        <charset val="134"/>
      </rPr>
      <t xml:space="preserve">【项目核算表】全自动。项目毛利 </t>
    </r>
    <r>
      <rPr>
        <sz val="10"/>
        <rFont val="宋体"/>
        <charset val="1"/>
      </rPr>
      <t xml:space="preserve">= </t>
    </r>
    <r>
      <rPr>
        <sz val="10"/>
        <rFont val="Noto Sans CJK SC"/>
        <charset val="134"/>
      </rPr>
      <t>累计开票 − 成本合计（开票口径）；「累计收款」只反映回款进度，不参与毛利。</t>
    </r>
  </si>
  <si>
    <r>
      <rPr>
        <sz val="10"/>
        <rFont val="Noto Sans CJK SC"/>
        <charset val="134"/>
      </rPr>
      <t>【项目明细账】</t>
    </r>
    <r>
      <rPr>
        <sz val="10"/>
        <rFont val="宋体"/>
        <charset val="1"/>
      </rPr>
      <t xml:space="preserve">C2 </t>
    </r>
    <r>
      <rPr>
        <sz val="10"/>
        <rFont val="Noto Sans CJK SC"/>
        <charset val="134"/>
      </rPr>
      <t>选一个项目，下面自动列出这个项目的全部流水，并同时给出开票毛利与净现金流两个数。</t>
    </r>
  </si>
  <si>
    <r>
      <rPr>
        <sz val="10"/>
        <rFont val="Noto Sans CJK SC"/>
        <charset val="134"/>
      </rPr>
      <t xml:space="preserve">【月度汇报表】给老板看的一页纸。改 </t>
    </r>
    <r>
      <rPr>
        <sz val="10"/>
        <rFont val="宋体"/>
        <charset val="1"/>
      </rPr>
      <t xml:space="preserve">B2 </t>
    </r>
    <r>
      <rPr>
        <sz val="10"/>
        <rFont val="Noto Sans CJK SC"/>
        <charset val="134"/>
      </rPr>
      <t>的年月、</t>
    </r>
    <r>
      <rPr>
        <sz val="10"/>
        <rFont val="宋体"/>
        <charset val="1"/>
      </rPr>
      <t xml:space="preserve">E2 </t>
    </r>
    <r>
      <rPr>
        <sz val="10"/>
        <rFont val="Noto Sans CJK SC"/>
        <charset val="134"/>
      </rPr>
      <t>的公司范围即可。</t>
    </r>
    <r>
      <rPr>
        <sz val="10"/>
        <rFont val="宋体"/>
        <charset val="1"/>
      </rPr>
      <t xml:space="preserve">E2 </t>
    </r>
    <r>
      <rPr>
        <sz val="10"/>
        <rFont val="Noto Sans CJK SC"/>
        <charset val="134"/>
      </rPr>
      <t>选某家公司时，八个栏目（含分公司、分账户、开票汇总）会同时只显示这家公司的数；要看全集团，</t>
    </r>
    <r>
      <rPr>
        <sz val="10"/>
        <rFont val="宋体"/>
        <charset val="1"/>
      </rPr>
      <t xml:space="preserve">E2 </t>
    </r>
    <r>
      <rPr>
        <sz val="10"/>
        <rFont val="Noto Sans CJK SC"/>
        <charset val="134"/>
      </rPr>
      <t>手打「全部」两字。</t>
    </r>
  </si>
  <si>
    <r>
      <rPr>
        <sz val="10"/>
        <rFont val="Noto Sans CJK SC"/>
        <charset val="134"/>
      </rPr>
      <t>【图表看板】折线图</t>
    </r>
    <r>
      <rPr>
        <sz val="10"/>
        <rFont val="宋体"/>
        <charset val="1"/>
      </rPr>
      <t>/</t>
    </r>
    <r>
      <rPr>
        <sz val="10"/>
        <rFont val="Noto Sans CJK SC"/>
        <charset val="134"/>
      </rPr>
      <t>柱状图，数据一改自动更新。第一张图把「开票收入」和「现金收款」画在一起，两条线的差就是开了票还没收到的钱。</t>
    </r>
  </si>
  <si>
    <r>
      <rPr>
        <sz val="10"/>
        <rFont val="Noto Sans CJK SC"/>
        <charset val="134"/>
      </rPr>
      <t xml:space="preserve">【资金日报表】改两个黄色日期，看各账户逐日收付与余额，最多 </t>
    </r>
    <r>
      <rPr>
        <sz val="10"/>
        <rFont val="宋体"/>
        <charset val="1"/>
      </rPr>
      <t xml:space="preserve">31 </t>
    </r>
    <r>
      <rPr>
        <sz val="10"/>
        <rFont val="Noto Sans CJK SC"/>
        <charset val="134"/>
      </rPr>
      <t>天。</t>
    </r>
  </si>
  <si>
    <r>
      <rPr>
        <sz val="10"/>
        <rFont val="Noto Sans CJK SC"/>
        <charset val="134"/>
      </rPr>
      <t>【任意时段查询】自选区间，看开票收入开给了哪些客户、属于哪些收入类别，钱花在哪些费用</t>
    </r>
    <r>
      <rPr>
        <sz val="10"/>
        <rFont val="宋体"/>
        <charset val="1"/>
      </rPr>
      <t>/</t>
    </r>
    <r>
      <rPr>
        <sz val="10"/>
        <rFont val="Noto Sans CJK SC"/>
        <charset val="134"/>
      </rPr>
      <t>供应商上。</t>
    </r>
  </si>
  <si>
    <t>四、两套盈亏口径</t>
  </si>
  <si>
    <r>
      <rPr>
        <sz val="10"/>
        <rFont val="Noto Sans CJK SC"/>
        <charset val="134"/>
      </rPr>
      <t>【现金口径】</t>
    </r>
    <r>
      <rPr>
        <sz val="10"/>
        <rFont val="宋体"/>
        <charset val="1"/>
      </rPr>
      <t xml:space="preserve">= </t>
    </r>
    <r>
      <rPr>
        <sz val="10"/>
        <rFont val="Noto Sans CJK SC"/>
        <charset val="134"/>
      </rPr>
      <t>当月银行实际进出。回答老板的「这个月钱是多了还是少了」。</t>
    </r>
  </si>
  <si>
    <r>
      <rPr>
        <sz val="10"/>
        <rFont val="Noto Sans CJK SC"/>
        <charset val="134"/>
      </rPr>
      <t>【损益口径】</t>
    </r>
    <r>
      <rPr>
        <sz val="10"/>
        <rFont val="宋体"/>
        <charset val="1"/>
      </rPr>
      <t xml:space="preserve">= </t>
    </r>
    <r>
      <rPr>
        <sz val="10"/>
        <rFont val="Noto Sans CJK SC"/>
        <charset val="134"/>
      </rPr>
      <t xml:space="preserve">当月开票收入 </t>
    </r>
    <r>
      <rPr>
        <sz val="10"/>
        <rFont val="宋体"/>
        <charset val="1"/>
      </rPr>
      <t xml:space="preserve">+ </t>
    </r>
    <r>
      <rPr>
        <sz val="10"/>
        <rFont val="Noto Sans CJK SC"/>
        <charset val="134"/>
      </rPr>
      <t>没有发票的收入 − 按「业务归属月」匹配的成本费用，并剔除保证金、股东往来、内部调拨等不影响损益的往来项。回答「这个月真的赚了多少」，这就是内帐盈亏。</t>
    </r>
  </si>
  <si>
    <t>为什么要两套：① 开了票钱没到，收入已确认、现金还没进；② 收到去年项目的尾款，钱是这个月进的，但那笔收入去年开票时就已经算过了，不能再算一次。两套数在「月度汇报表」第一栏并排列出，互相不打架。</t>
  </si>
  <si>
    <t>五、跨期怎么登记（月末必看）</t>
  </si>
  <si>
    <r>
      <rPr>
        <sz val="10"/>
        <rFont val="Noto Sans CJK SC"/>
        <charset val="134"/>
      </rPr>
      <t xml:space="preserve">规则很简单：流水按「钱什么时候动」记日期，按「业务属于哪个月」填 </t>
    </r>
    <r>
      <rPr>
        <sz val="10"/>
        <rFont val="宋体"/>
        <charset val="1"/>
      </rPr>
      <t xml:space="preserve">P </t>
    </r>
    <r>
      <rPr>
        <sz val="10"/>
        <rFont val="Noto Sans CJK SC"/>
        <charset val="134"/>
      </rPr>
      <t>列归属月。</t>
    </r>
    <r>
      <rPr>
        <sz val="10"/>
        <rFont val="宋体"/>
        <charset val="1"/>
      </rPr>
      <t xml:space="preserve">P </t>
    </r>
    <r>
      <rPr>
        <sz val="10"/>
        <rFont val="Noto Sans CJK SC"/>
        <charset val="134"/>
      </rPr>
      <t xml:space="preserve">列留空 </t>
    </r>
    <r>
      <rPr>
        <sz val="10"/>
        <rFont val="宋体"/>
        <charset val="1"/>
      </rPr>
      <t xml:space="preserve">= </t>
    </r>
    <r>
      <rPr>
        <sz val="10"/>
        <rFont val="Noto Sans CJK SC"/>
        <charset val="134"/>
      </rPr>
      <t>就是当月，不用管。</t>
    </r>
  </si>
  <si>
    <r>
      <rPr>
        <sz val="10"/>
        <rFont val="Noto Sans CJK SC"/>
        <charset val="134"/>
      </rPr>
      <t>情形</t>
    </r>
    <r>
      <rPr>
        <sz val="10"/>
        <rFont val="宋体"/>
        <charset val="1"/>
      </rPr>
      <t>1</t>
    </r>
    <r>
      <rPr>
        <sz val="10"/>
        <rFont val="Noto Sans CJK SC"/>
        <charset val="134"/>
      </rPr>
      <t>｜收到去年</t>
    </r>
    <r>
      <rPr>
        <sz val="10"/>
        <rFont val="宋体"/>
        <charset val="1"/>
      </rPr>
      <t>/</t>
    </r>
    <r>
      <rPr>
        <sz val="10"/>
        <rFont val="Noto Sans CJK SC"/>
        <charset val="134"/>
      </rPr>
      <t>上月项目的款：正常记流水，</t>
    </r>
    <r>
      <rPr>
        <sz val="10"/>
        <rFont val="宋体"/>
        <charset val="1"/>
      </rPr>
      <t xml:space="preserve">P </t>
    </r>
    <r>
      <rPr>
        <sz val="10"/>
        <rFont val="Noto Sans CJK SC"/>
        <charset val="134"/>
      </rPr>
      <t xml:space="preserve">列填原归属月（如 </t>
    </r>
    <r>
      <rPr>
        <sz val="10"/>
        <rFont val="宋体"/>
        <charset val="1"/>
      </rPr>
      <t>202512</t>
    </r>
    <r>
      <rPr>
        <sz val="10"/>
        <rFont val="Noto Sans CJK SC"/>
        <charset val="134"/>
      </rPr>
      <t>）。收入不会重复计 —— 因为收入是按开票算的，这笔钱只是回款。</t>
    </r>
  </si>
  <si>
    <r>
      <rPr>
        <sz val="10"/>
        <rFont val="Noto Sans CJK SC"/>
        <charset val="134"/>
      </rPr>
      <t>情形</t>
    </r>
    <r>
      <rPr>
        <sz val="10"/>
        <rFont val="宋体"/>
        <charset val="1"/>
      </rPr>
      <t>2</t>
    </r>
    <r>
      <rPr>
        <sz val="10"/>
        <rFont val="Noto Sans CJK SC"/>
        <charset val="134"/>
      </rPr>
      <t xml:space="preserve">｜本月发生、下月才付的费用：月末在「应收应付台账」登一笔应付，填好关联单号；下月实际付款时，流水 </t>
    </r>
    <r>
      <rPr>
        <sz val="10"/>
        <rFont val="宋体"/>
        <charset val="1"/>
      </rPr>
      <t xml:space="preserve">Q </t>
    </r>
    <r>
      <rPr>
        <sz val="10"/>
        <rFont val="Noto Sans CJK SC"/>
        <charset val="134"/>
      </rPr>
      <t>列填同一个单号，台账自动冲平。</t>
    </r>
  </si>
  <si>
    <r>
      <rPr>
        <sz val="10"/>
        <rFont val="Noto Sans CJK SC"/>
        <charset val="134"/>
      </rPr>
      <t>情形</t>
    </r>
    <r>
      <rPr>
        <sz val="10"/>
        <rFont val="宋体"/>
        <charset val="1"/>
      </rPr>
      <t>3</t>
    </r>
    <r>
      <rPr>
        <sz val="10"/>
        <rFont val="Noto Sans CJK SC"/>
        <charset val="134"/>
      </rPr>
      <t>｜已开票、月末还没收到钱：不用登台账，「开票登记」里未收款会自动算出来，账龄自动跑。</t>
    </r>
  </si>
  <si>
    <r>
      <rPr>
        <sz val="10"/>
        <rFont val="Noto Sans CJK SC"/>
        <charset val="134"/>
      </rPr>
      <t>情形</t>
    </r>
    <r>
      <rPr>
        <sz val="10"/>
        <rFont val="宋体"/>
        <charset val="1"/>
      </rPr>
      <t>4</t>
    </r>
    <r>
      <rPr>
        <sz val="10"/>
        <rFont val="Noto Sans CJK SC"/>
        <charset val="134"/>
      </rPr>
      <t>｜投标</t>
    </r>
    <r>
      <rPr>
        <sz val="10"/>
        <rFont val="宋体"/>
        <charset val="1"/>
      </rPr>
      <t>/</t>
    </r>
    <r>
      <rPr>
        <sz val="10"/>
        <rFont val="Noto Sans CJK SC"/>
        <charset val="134"/>
      </rPr>
      <t>履约保证金收付：费用类别选「投标保证金</t>
    </r>
    <r>
      <rPr>
        <sz val="10"/>
        <rFont val="宋体"/>
        <charset val="1"/>
      </rPr>
      <t>/</t>
    </r>
    <r>
      <rPr>
        <sz val="10"/>
        <rFont val="Noto Sans CJK SC"/>
        <charset val="134"/>
      </rPr>
      <t>履约保证金」，大类是「往来及保证金」，会进现金口径但不进内帐盈亏——它不是费用。</t>
    </r>
  </si>
  <si>
    <r>
      <rPr>
        <b/>
        <sz val="12"/>
        <color rgb="FFFFFFFF"/>
        <rFont val="Noto Sans CJK SC"/>
        <charset val="134"/>
      </rPr>
      <t xml:space="preserve">六、每月固定动作（建议 </t>
    </r>
    <r>
      <rPr>
        <b/>
        <sz val="12"/>
        <color rgb="FFFFFFFF"/>
        <rFont val="微软雅黑"/>
        <charset val="1"/>
      </rPr>
      <t xml:space="preserve">6 </t>
    </r>
    <r>
      <rPr>
        <b/>
        <sz val="12"/>
        <color rgb="FFFFFFFF"/>
        <rFont val="Noto Sans CJK SC"/>
        <charset val="134"/>
      </rPr>
      <t>步）</t>
    </r>
  </si>
  <si>
    <t>① 把当月开出的全部发票录进「开票登记」（公司、客户、项目、收入类别、发票号、不含税金额、税率）。这一步决定当月收入。</t>
  </si>
  <si>
    <r>
      <rPr>
        <sz val="10"/>
        <rFont val="Noto Sans CJK SC"/>
        <charset val="134"/>
      </rPr>
      <t xml:space="preserve">② 把 </t>
    </r>
    <r>
      <rPr>
        <sz val="10"/>
        <rFont val="宋体"/>
        <charset val="1"/>
      </rPr>
      <t xml:space="preserve">16 </t>
    </r>
    <r>
      <rPr>
        <sz val="10"/>
        <rFont val="Noto Sans CJK SC"/>
        <charset val="134"/>
      </rPr>
      <t>个账户的当月流水录进「资金流水」（可从网银导出后粘贴，注意对齐列）。</t>
    </r>
  </si>
  <si>
    <r>
      <rPr>
        <sz val="10"/>
        <rFont val="Noto Sans CJK SC"/>
        <charset val="134"/>
      </rPr>
      <t xml:space="preserve">③ 收到发票款的，在流水 </t>
    </r>
    <r>
      <rPr>
        <sz val="10"/>
        <rFont val="宋体"/>
        <charset val="1"/>
      </rPr>
      <t xml:space="preserve">Q </t>
    </r>
    <r>
      <rPr>
        <sz val="10"/>
        <rFont val="Noto Sans CJK SC"/>
        <charset val="134"/>
      </rPr>
      <t>列填上对应发票号 —— 「开票登记」的已收款、未收款、账龄自动跑出来。</t>
    </r>
  </si>
  <si>
    <t>④ 检查「资金日报表」各账户期末余额，与银行对账单核对，不一致先查流水。</t>
  </si>
  <si>
    <r>
      <rPr>
        <sz val="10"/>
        <rFont val="Noto Sans CJK SC"/>
        <charset val="134"/>
      </rPr>
      <t>⑤ 月末把还没收完</t>
    </r>
    <r>
      <rPr>
        <sz val="10"/>
        <rFont val="宋体"/>
        <charset val="1"/>
      </rPr>
      <t>/</t>
    </r>
    <r>
      <rPr>
        <sz val="10"/>
        <rFont val="Noto Sans CJK SC"/>
        <charset val="134"/>
      </rPr>
      <t xml:space="preserve">付完的挂到「应收应付台账」；把跨期的那几笔在流水 </t>
    </r>
    <r>
      <rPr>
        <sz val="10"/>
        <rFont val="宋体"/>
        <charset val="1"/>
      </rPr>
      <t xml:space="preserve">P </t>
    </r>
    <r>
      <rPr>
        <sz val="10"/>
        <rFont val="Noto Sans CJK SC"/>
        <charset val="134"/>
      </rPr>
      <t>列标上归属月。</t>
    </r>
  </si>
  <si>
    <t>⑥ 打开「月度汇报表」改年月 → 打开「图表看板」→ 直接汇报。</t>
  </si>
  <si>
    <t>七、关于示例数据（正式用之前请先处理）</t>
  </si>
  <si>
    <r>
      <rPr>
        <sz val="10"/>
        <rFont val="Noto Sans CJK SC"/>
        <charset val="134"/>
      </rPr>
      <t xml:space="preserve">⚠ 「开票登记」目前只有 </t>
    </r>
    <r>
      <rPr>
        <sz val="10"/>
        <rFont val="宋体"/>
        <charset val="1"/>
      </rPr>
      <t xml:space="preserve">3 </t>
    </r>
    <r>
      <rPr>
        <sz val="10"/>
        <rFont val="Noto Sans CJK SC"/>
        <charset val="134"/>
      </rPr>
      <t xml:space="preserve">张演示发票，而「资金流水」里是贵司 </t>
    </r>
    <r>
      <rPr>
        <sz val="10"/>
        <rFont val="宋体"/>
        <charset val="1"/>
      </rPr>
      <t xml:space="preserve">6 </t>
    </r>
    <r>
      <rPr>
        <sz val="10"/>
        <rFont val="Noto Sans CJK SC"/>
        <charset val="134"/>
      </rPr>
      <t xml:space="preserve">月的 </t>
    </r>
    <r>
      <rPr>
        <sz val="10"/>
        <rFont val="宋体"/>
        <charset val="1"/>
      </rPr>
      <t xml:space="preserve">151 </t>
    </r>
    <r>
      <rPr>
        <sz val="10"/>
        <rFont val="Noto Sans CJK SC"/>
        <charset val="134"/>
      </rPr>
      <t xml:space="preserve">笔真实流水。因为收入按开票算，现在的「内帐盈亏」是大额负数 —— 这不是公式错，是当月真实发票还没录进去。把 </t>
    </r>
    <r>
      <rPr>
        <sz val="10"/>
        <rFont val="宋体"/>
        <charset val="1"/>
      </rPr>
      <t xml:space="preserve">6 </t>
    </r>
    <r>
      <rPr>
        <sz val="10"/>
        <rFont val="Noto Sans CJK SC"/>
        <charset val="134"/>
      </rPr>
      <t>月实际开的票补齐，数就正常了。</t>
    </r>
  </si>
  <si>
    <r>
      <rPr>
        <sz val="10"/>
        <rFont val="Noto Sans CJK SC"/>
        <charset val="134"/>
      </rPr>
      <t xml:space="preserve">「资金流水」里已导入贵司 </t>
    </r>
    <r>
      <rPr>
        <sz val="10"/>
        <rFont val="宋体"/>
        <charset val="1"/>
      </rPr>
      <t xml:space="preserve">2026 </t>
    </r>
    <r>
      <rPr>
        <sz val="10"/>
        <rFont val="Noto Sans CJK SC"/>
        <charset val="134"/>
      </rPr>
      <t xml:space="preserve">年 </t>
    </r>
    <r>
      <rPr>
        <sz val="10"/>
        <rFont val="宋体"/>
        <charset val="1"/>
      </rPr>
      <t xml:space="preserve">6 </t>
    </r>
    <r>
      <rPr>
        <sz val="10"/>
        <rFont val="Noto Sans CJK SC"/>
        <charset val="134"/>
      </rPr>
      <t xml:space="preserve">月原表的 </t>
    </r>
    <r>
      <rPr>
        <sz val="10"/>
        <rFont val="宋体"/>
        <charset val="1"/>
      </rPr>
      <t xml:space="preserve">151 </t>
    </r>
    <r>
      <rPr>
        <sz val="10"/>
        <rFont val="Noto Sans CJK SC"/>
        <charset val="134"/>
      </rPr>
      <t>笔真实流水作为示例，摘要保持原样；原表没有摘要的行标了「★原表无摘要，请补填」，被统一归到「其他管理费用</t>
    </r>
    <r>
      <rPr>
        <sz val="10"/>
        <rFont val="宋体"/>
        <charset val="1"/>
      </rPr>
      <t>/</t>
    </r>
    <r>
      <rPr>
        <sz val="10"/>
        <rFont val="Noto Sans CJK SC"/>
        <charset val="134"/>
      </rPr>
      <t>其他收入」，请按实际业务改成正确类别，否则支出结构图会偏。</t>
    </r>
  </si>
  <si>
    <t>特别提醒：示例里归到「其他收入」的银行收款，如果实际是项目回款，请把收入类别改成「项目收入」。改完之后它们就不再计入损益收入（收入看开票），只作为回款体现在“现金流入”和发票核销里 —— 这正是开票口径应有的结果。</t>
  </si>
  <si>
    <r>
      <rPr>
        <sz val="10"/>
        <rFont val="Noto Sans CJK SC"/>
        <charset val="134"/>
      </rPr>
      <t xml:space="preserve">另有 </t>
    </r>
    <r>
      <rPr>
        <sz val="10"/>
        <rFont val="宋体"/>
        <charset val="1"/>
      </rPr>
      <t xml:space="preserve">3 </t>
    </r>
    <r>
      <rPr>
        <sz val="10"/>
        <rFont val="Noto Sans CJK SC"/>
        <charset val="134"/>
      </rPr>
      <t>行标「★示例行，可整行删除」的演示数据（跨期收款、跨期付款、发票核销），以及「开票登记」</t>
    </r>
    <r>
      <rPr>
        <sz val="10"/>
        <rFont val="宋体"/>
        <charset val="1"/>
      </rPr>
      <t xml:space="preserve">3 </t>
    </r>
    <r>
      <rPr>
        <sz val="10"/>
        <rFont val="Noto Sans CJK SC"/>
        <charset val="134"/>
      </rPr>
      <t>行、「应收应付台账」</t>
    </r>
    <r>
      <rPr>
        <sz val="10"/>
        <rFont val="宋体"/>
        <charset val="1"/>
      </rPr>
      <t xml:space="preserve">2 </t>
    </r>
    <r>
      <rPr>
        <sz val="10"/>
        <rFont val="Noto Sans CJK SC"/>
        <charset val="134"/>
      </rPr>
      <t>行示例。正式使用前整行删掉即可。</t>
    </r>
  </si>
  <si>
    <r>
      <rPr>
        <sz val="10"/>
        <rFont val="Noto Sans CJK SC"/>
        <charset val="134"/>
      </rPr>
      <t xml:space="preserve">各账户「期初余额」目前填的是 </t>
    </r>
    <r>
      <rPr>
        <sz val="10"/>
        <rFont val="宋体"/>
        <charset val="1"/>
      </rPr>
      <t>0</t>
    </r>
    <r>
      <rPr>
        <sz val="10"/>
        <rFont val="Noto Sans CJK SC"/>
        <charset val="134"/>
      </rPr>
      <t xml:space="preserve">（黄色格），请按 </t>
    </r>
    <r>
      <rPr>
        <sz val="10"/>
        <rFont val="宋体"/>
        <charset val="1"/>
      </rPr>
      <t xml:space="preserve">2026 </t>
    </r>
    <r>
      <rPr>
        <sz val="10"/>
        <rFont val="Noto Sans CJK SC"/>
        <charset val="134"/>
      </rPr>
      <t xml:space="preserve">年 </t>
    </r>
    <r>
      <rPr>
        <sz val="10"/>
        <rFont val="宋体"/>
        <charset val="1"/>
      </rPr>
      <t xml:space="preserve">1 </t>
    </r>
    <r>
      <rPr>
        <sz val="10"/>
        <rFont val="Noto Sans CJK SC"/>
        <charset val="134"/>
      </rPr>
      <t xml:space="preserve">月 </t>
    </r>
    <r>
      <rPr>
        <sz val="10"/>
        <rFont val="宋体"/>
        <charset val="1"/>
      </rPr>
      <t xml:space="preserve">1 </t>
    </r>
    <r>
      <rPr>
        <sz val="10"/>
        <rFont val="Noto Sans CJK SC"/>
        <charset val="134"/>
      </rPr>
      <t>日的实际银行余额补上，否则余额类报表不准（现在期末余额是负数就是因为这个）。</t>
    </r>
  </si>
  <si>
    <t>公司的「纳税人类型」是按推测填的，请务必核对——它决定开票汇总里小规模与一般纳税人的分组。</t>
  </si>
  <si>
    <t>八、容量与扩展</t>
  </si>
  <si>
    <r>
      <rPr>
        <sz val="10"/>
        <rFont val="Noto Sans CJK SC"/>
        <charset val="134"/>
      </rPr>
      <t xml:space="preserve">预留容量：资金流水 </t>
    </r>
    <r>
      <rPr>
        <sz val="10"/>
        <rFont val="宋体"/>
        <charset val="1"/>
      </rPr>
      <t xml:space="preserve">3000 </t>
    </r>
    <r>
      <rPr>
        <sz val="10"/>
        <rFont val="Noto Sans CJK SC"/>
        <charset val="134"/>
      </rPr>
      <t xml:space="preserve">行 </t>
    </r>
    <r>
      <rPr>
        <sz val="10"/>
        <rFont val="宋体"/>
        <charset val="1"/>
      </rPr>
      <t xml:space="preserve">/ </t>
    </r>
    <r>
      <rPr>
        <sz val="10"/>
        <rFont val="Noto Sans CJK SC"/>
        <charset val="134"/>
      </rPr>
      <t xml:space="preserve">开票登记 </t>
    </r>
    <r>
      <rPr>
        <sz val="10"/>
        <rFont val="宋体"/>
        <charset val="1"/>
      </rPr>
      <t xml:space="preserve">500 </t>
    </r>
    <r>
      <rPr>
        <sz val="10"/>
        <rFont val="Noto Sans CJK SC"/>
        <charset val="134"/>
      </rPr>
      <t xml:space="preserve">行 </t>
    </r>
    <r>
      <rPr>
        <sz val="10"/>
        <rFont val="宋体"/>
        <charset val="1"/>
      </rPr>
      <t xml:space="preserve">/ </t>
    </r>
    <r>
      <rPr>
        <sz val="10"/>
        <rFont val="Noto Sans CJK SC"/>
        <charset val="134"/>
      </rPr>
      <t xml:space="preserve">应收应付台账 </t>
    </r>
    <r>
      <rPr>
        <sz val="10"/>
        <rFont val="宋体"/>
        <charset val="1"/>
      </rPr>
      <t xml:space="preserve">300 </t>
    </r>
    <r>
      <rPr>
        <sz val="10"/>
        <rFont val="Noto Sans CJK SC"/>
        <charset val="134"/>
      </rPr>
      <t xml:space="preserve">行 </t>
    </r>
    <r>
      <rPr>
        <sz val="10"/>
        <rFont val="宋体"/>
        <charset val="1"/>
      </rPr>
      <t xml:space="preserve">/ </t>
    </r>
    <r>
      <rPr>
        <sz val="10"/>
        <rFont val="Noto Sans CJK SC"/>
        <charset val="134"/>
      </rPr>
      <t xml:space="preserve">项目档案 </t>
    </r>
    <r>
      <rPr>
        <sz val="10"/>
        <rFont val="宋体"/>
        <charset val="1"/>
      </rPr>
      <t xml:space="preserve">60 </t>
    </r>
    <r>
      <rPr>
        <sz val="10"/>
        <rFont val="Noto Sans CJK SC"/>
        <charset val="134"/>
      </rPr>
      <t xml:space="preserve">个 </t>
    </r>
    <r>
      <rPr>
        <sz val="10"/>
        <rFont val="宋体"/>
        <charset val="1"/>
      </rPr>
      <t xml:space="preserve">/ </t>
    </r>
    <r>
      <rPr>
        <sz val="10"/>
        <rFont val="Noto Sans CJK SC"/>
        <charset val="134"/>
      </rPr>
      <t xml:space="preserve">账户 </t>
    </r>
    <r>
      <rPr>
        <sz val="10"/>
        <rFont val="宋体"/>
        <charset val="1"/>
      </rPr>
      <t xml:space="preserve">20 </t>
    </r>
    <r>
      <rPr>
        <sz val="10"/>
        <rFont val="Noto Sans CJK SC"/>
        <charset val="134"/>
      </rPr>
      <t xml:space="preserve">个 </t>
    </r>
    <r>
      <rPr>
        <sz val="10"/>
        <rFont val="宋体"/>
        <charset val="1"/>
      </rPr>
      <t xml:space="preserve">/ </t>
    </r>
    <r>
      <rPr>
        <sz val="10"/>
        <rFont val="Noto Sans CJK SC"/>
        <charset val="134"/>
      </rPr>
      <t xml:space="preserve">公司 </t>
    </r>
    <r>
      <rPr>
        <sz val="10"/>
        <rFont val="宋体"/>
        <charset val="1"/>
      </rPr>
      <t xml:space="preserve">8 </t>
    </r>
    <r>
      <rPr>
        <sz val="10"/>
        <rFont val="Noto Sans CJK SC"/>
        <charset val="134"/>
      </rPr>
      <t xml:space="preserve">家 </t>
    </r>
    <r>
      <rPr>
        <sz val="10"/>
        <rFont val="宋体"/>
        <charset val="1"/>
      </rPr>
      <t xml:space="preserve">/ </t>
    </r>
    <r>
      <rPr>
        <sz val="10"/>
        <rFont val="Noto Sans CJK SC"/>
        <charset val="134"/>
      </rPr>
      <t xml:space="preserve">客户 </t>
    </r>
    <r>
      <rPr>
        <sz val="10"/>
        <rFont val="宋体"/>
        <charset val="1"/>
      </rPr>
      <t xml:space="preserve">60 </t>
    </r>
    <r>
      <rPr>
        <sz val="10"/>
        <rFont val="Noto Sans CJK SC"/>
        <charset val="134"/>
      </rPr>
      <t xml:space="preserve">个 </t>
    </r>
    <r>
      <rPr>
        <sz val="10"/>
        <rFont val="宋体"/>
        <charset val="1"/>
      </rPr>
      <t xml:space="preserve">/ </t>
    </r>
    <r>
      <rPr>
        <sz val="10"/>
        <rFont val="Noto Sans CJK SC"/>
        <charset val="134"/>
      </rPr>
      <t xml:space="preserve">供应商 </t>
    </r>
    <r>
      <rPr>
        <sz val="10"/>
        <rFont val="宋体"/>
        <charset val="1"/>
      </rPr>
      <t xml:space="preserve">60 </t>
    </r>
    <r>
      <rPr>
        <sz val="10"/>
        <rFont val="Noto Sans CJK SC"/>
        <charset val="134"/>
      </rPr>
      <t>个。</t>
    </r>
  </si>
  <si>
    <r>
      <rPr>
        <sz val="10"/>
        <rFont val="Noto Sans CJK SC"/>
        <charset val="134"/>
      </rPr>
      <t xml:space="preserve">类别预留：收入类别 </t>
    </r>
    <r>
      <rPr>
        <sz val="10"/>
        <rFont val="宋体"/>
        <charset val="1"/>
      </rPr>
      <t>14</t>
    </r>
    <r>
      <rPr>
        <sz val="10"/>
        <rFont val="Noto Sans CJK SC"/>
        <charset val="134"/>
      </rPr>
      <t xml:space="preserve">（已用 </t>
    </r>
    <r>
      <rPr>
        <sz val="10"/>
        <rFont val="宋体"/>
        <charset val="1"/>
      </rPr>
      <t>10</t>
    </r>
    <r>
      <rPr>
        <sz val="10"/>
        <rFont val="Noto Sans CJK SC"/>
        <charset val="134"/>
      </rPr>
      <t xml:space="preserve">）、成本类别 </t>
    </r>
    <r>
      <rPr>
        <sz val="10"/>
        <rFont val="宋体"/>
        <charset val="1"/>
      </rPr>
      <t>14</t>
    </r>
    <r>
      <rPr>
        <sz val="10"/>
        <rFont val="Noto Sans CJK SC"/>
        <charset val="134"/>
      </rPr>
      <t xml:space="preserve">（已用 </t>
    </r>
    <r>
      <rPr>
        <sz val="10"/>
        <rFont val="宋体"/>
        <charset val="1"/>
      </rPr>
      <t>9</t>
    </r>
    <r>
      <rPr>
        <sz val="10"/>
        <rFont val="Noto Sans CJK SC"/>
        <charset val="134"/>
      </rPr>
      <t xml:space="preserve">）、费用类别 </t>
    </r>
    <r>
      <rPr>
        <sz val="10"/>
        <rFont val="宋体"/>
        <charset val="1"/>
      </rPr>
      <t>46</t>
    </r>
    <r>
      <rPr>
        <sz val="10"/>
        <rFont val="Noto Sans CJK SC"/>
        <charset val="134"/>
      </rPr>
      <t xml:space="preserve">（已用 </t>
    </r>
    <r>
      <rPr>
        <sz val="10"/>
        <rFont val="宋体"/>
        <charset val="1"/>
      </rPr>
      <t>38</t>
    </r>
    <r>
      <rPr>
        <sz val="10"/>
        <rFont val="Noto Sans CJK SC"/>
        <charset val="134"/>
      </rPr>
      <t xml:space="preserve">）、发票类型 </t>
    </r>
    <r>
      <rPr>
        <sz val="10"/>
        <rFont val="宋体"/>
        <charset val="1"/>
      </rPr>
      <t>8</t>
    </r>
    <r>
      <rPr>
        <sz val="10"/>
        <rFont val="Noto Sans CJK SC"/>
        <charset val="134"/>
      </rPr>
      <t xml:space="preserve">（已用 </t>
    </r>
    <r>
      <rPr>
        <sz val="10"/>
        <rFont val="宋体"/>
        <charset val="1"/>
      </rPr>
      <t>5</t>
    </r>
    <r>
      <rPr>
        <sz val="10"/>
        <rFont val="Noto Sans CJK SC"/>
        <charset val="134"/>
      </rPr>
      <t xml:space="preserve">）、税率 </t>
    </r>
    <r>
      <rPr>
        <sz val="10"/>
        <rFont val="宋体"/>
        <charset val="1"/>
      </rPr>
      <t>10</t>
    </r>
    <r>
      <rPr>
        <sz val="10"/>
        <rFont val="Noto Sans CJK SC"/>
        <charset val="134"/>
      </rPr>
      <t xml:space="preserve">（已用 </t>
    </r>
    <r>
      <rPr>
        <sz val="10"/>
        <rFont val="宋体"/>
        <charset val="1"/>
      </rPr>
      <t>7</t>
    </r>
    <r>
      <rPr>
        <sz val="10"/>
        <rFont val="Noto Sans CJK SC"/>
        <charset val="134"/>
      </rPr>
      <t>）——空格子直接往下填就行。</t>
    </r>
  </si>
  <si>
    <r>
      <rPr>
        <sz val="10"/>
        <rFont val="Noto Sans CJK SC"/>
        <charset val="134"/>
      </rPr>
      <t xml:space="preserve">不够用时，选中最后一行整行下拉复制即可延伸公式；报表里的引用范围如需扩大，用「查找替换」把 </t>
    </r>
    <r>
      <rPr>
        <sz val="10"/>
        <rFont val="宋体"/>
        <charset val="1"/>
      </rPr>
      <t xml:space="preserve">3004 </t>
    </r>
    <r>
      <rPr>
        <sz val="10"/>
        <rFont val="Noto Sans CJK SC"/>
        <charset val="134"/>
      </rPr>
      <t>改成新的行号。</t>
    </r>
  </si>
  <si>
    <t>基础资料 — 所有下拉选项的数据源（改这里，全表下拉自动跟着变）</t>
  </si>
  <si>
    <r>
      <rPr>
        <b/>
        <sz val="10"/>
        <color rgb="FFC00000"/>
        <rFont val="Noto Sans CJK SC"/>
        <charset val="134"/>
      </rPr>
      <t>⚠ 黄色底</t>
    </r>
    <r>
      <rPr>
        <b/>
        <sz val="10"/>
        <color rgb="FFC00000"/>
        <rFont val="宋体"/>
        <charset val="1"/>
      </rPr>
      <t>=</t>
    </r>
    <r>
      <rPr>
        <b/>
        <sz val="10"/>
        <color rgb="FFC00000"/>
        <rFont val="Noto Sans CJK SC"/>
        <charset val="134"/>
      </rPr>
      <t>必须按贵司实际情况核对</t>
    </r>
    <r>
      <rPr>
        <b/>
        <sz val="10"/>
        <color rgb="FFC00000"/>
        <rFont val="宋体"/>
        <charset val="1"/>
      </rPr>
      <t>/</t>
    </r>
    <r>
      <rPr>
        <b/>
        <sz val="10"/>
        <color rgb="FFC00000"/>
        <rFont val="Noto Sans CJK SC"/>
        <charset val="134"/>
      </rPr>
      <t>填写。新增公司、账户、项目、类别，直接往下面空行里加即可，报表会自动识别。</t>
    </r>
  </si>
  <si>
    <t>公司简称</t>
  </si>
  <si>
    <t>公司全称</t>
  </si>
  <si>
    <t>纳税人类型</t>
  </si>
  <si>
    <t>账户名称</t>
  </si>
  <si>
    <t>所属公司</t>
  </si>
  <si>
    <t>账户类型</t>
  </si>
  <si>
    <t>项目编号</t>
  </si>
  <si>
    <t>项目名称</t>
  </si>
  <si>
    <t>客户</t>
  </si>
  <si>
    <t>合同金额</t>
  </si>
  <si>
    <t>签约日期</t>
  </si>
  <si>
    <t>项目状态</t>
  </si>
  <si>
    <t>收入类别</t>
  </si>
  <si>
    <t>收入大类</t>
  </si>
  <si>
    <t>成本类别</t>
  </si>
  <si>
    <t>费用类别</t>
  </si>
  <si>
    <t>费用大类</t>
  </si>
  <si>
    <t>供应商</t>
  </si>
  <si>
    <t>发票类型</t>
  </si>
  <si>
    <t>税率</t>
  </si>
  <si>
    <t>全局参数</t>
  </si>
  <si>
    <t>取值</t>
  </si>
  <si>
    <t>双思威</t>
  </si>
  <si>
    <t>双思威（请补全称）</t>
  </si>
  <si>
    <t>一般纳税人</t>
  </si>
  <si>
    <t>双思威基本户</t>
  </si>
  <si>
    <t>基本户</t>
  </si>
  <si>
    <t>P001</t>
  </si>
  <si>
    <t>昌吉市中小学数字化校园建设工程（昌吉市第十五小学教学仪器设备采购项目）</t>
  </si>
  <si>
    <t>中移系统集成有限公司</t>
  </si>
  <si>
    <t>2021年9月30</t>
  </si>
  <si>
    <t>在建</t>
  </si>
  <si>
    <t>项目收入</t>
  </si>
  <si>
    <t>经营收入</t>
  </si>
  <si>
    <r>
      <rPr>
        <sz val="10"/>
        <color rgb="FF0000FF"/>
        <rFont val="Noto Sans CJK SC"/>
        <charset val="134"/>
      </rPr>
      <t>项目</t>
    </r>
    <r>
      <rPr>
        <sz val="10"/>
        <color rgb="FF0000FF"/>
        <rFont val="宋体"/>
        <charset val="1"/>
      </rPr>
      <t>-</t>
    </r>
    <r>
      <rPr>
        <sz val="10"/>
        <color rgb="FF0000FF"/>
        <rFont val="Noto Sans CJK SC"/>
        <charset val="134"/>
      </rPr>
      <t>材料</t>
    </r>
  </si>
  <si>
    <t>办公费</t>
  </si>
  <si>
    <t>管理费用</t>
  </si>
  <si>
    <r>
      <rPr>
        <sz val="10"/>
        <color rgb="FF0000FF"/>
        <rFont val="Noto Sans CJK SC"/>
        <charset val="134"/>
      </rPr>
      <t>客户</t>
    </r>
    <r>
      <rPr>
        <sz val="10"/>
        <color rgb="FF0000FF"/>
        <rFont val="宋体"/>
        <charset val="1"/>
      </rPr>
      <t>1</t>
    </r>
  </si>
  <si>
    <r>
      <rPr>
        <sz val="10"/>
        <color rgb="FF0000FF"/>
        <rFont val="Noto Sans CJK SC"/>
        <charset val="134"/>
      </rPr>
      <t>供应商</t>
    </r>
    <r>
      <rPr>
        <sz val="10"/>
        <color rgb="FF0000FF"/>
        <rFont val="宋体"/>
        <charset val="1"/>
      </rPr>
      <t>1</t>
    </r>
  </si>
  <si>
    <t>增值税专用发票</t>
  </si>
  <si>
    <t>收入口径</t>
  </si>
  <si>
    <r>
      <rPr>
        <b/>
        <sz val="11"/>
        <color rgb="FFC00000"/>
        <rFont val="Noto Sans CJK SC"/>
        <charset val="134"/>
      </rPr>
      <t>价税合计</t>
    </r>
    <r>
      <rPr>
        <b/>
        <sz val="11"/>
        <color rgb="FFC00000"/>
        <rFont val="微软雅黑"/>
        <charset val="1"/>
      </rPr>
      <t>(</t>
    </r>
    <r>
      <rPr>
        <b/>
        <sz val="11"/>
        <color rgb="FFC00000"/>
        <rFont val="Noto Sans CJK SC"/>
        <charset val="134"/>
      </rPr>
      <t>含税</t>
    </r>
    <r>
      <rPr>
        <b/>
        <sz val="11"/>
        <color rgb="FFC00000"/>
        <rFont val="微软雅黑"/>
        <charset val="1"/>
      </rPr>
      <t>)</t>
    </r>
  </si>
  <si>
    <t>晨拓</t>
  </si>
  <si>
    <t>晨拓（请补全称）</t>
  </si>
  <si>
    <t>双思威农商行一般户</t>
  </si>
  <si>
    <t>一般户</t>
  </si>
  <si>
    <t>P002</t>
  </si>
  <si>
    <t>昌吉市中小学数字化校园建设工程（昌吉市第十八小学教学仪器设备采购项目）</t>
  </si>
  <si>
    <t>昌吉代建局</t>
  </si>
  <si>
    <r>
      <rPr>
        <sz val="10"/>
        <color rgb="FF0000FF"/>
        <rFont val="Noto Sans CJK SC"/>
        <charset val="134"/>
      </rPr>
      <t>劳务</t>
    </r>
    <r>
      <rPr>
        <sz val="10"/>
        <color rgb="FF0000FF"/>
        <rFont val="宋体"/>
        <charset val="1"/>
      </rPr>
      <t>/</t>
    </r>
    <r>
      <rPr>
        <sz val="10"/>
        <color rgb="FF0000FF"/>
        <rFont val="Noto Sans CJK SC"/>
        <charset val="134"/>
      </rPr>
      <t>服务收入</t>
    </r>
  </si>
  <si>
    <r>
      <rPr>
        <sz val="10"/>
        <color rgb="FF0000FF"/>
        <rFont val="Noto Sans CJK SC"/>
        <charset val="134"/>
      </rPr>
      <t>项目</t>
    </r>
    <r>
      <rPr>
        <sz val="10"/>
        <color rgb="FF0000FF"/>
        <rFont val="宋体"/>
        <charset val="1"/>
      </rPr>
      <t>-</t>
    </r>
    <r>
      <rPr>
        <sz val="10"/>
        <color rgb="FF0000FF"/>
        <rFont val="Noto Sans CJK SC"/>
        <charset val="134"/>
      </rPr>
      <t>人工</t>
    </r>
  </si>
  <si>
    <t>水费</t>
  </si>
  <si>
    <r>
      <rPr>
        <sz val="10"/>
        <color rgb="FF0000FF"/>
        <rFont val="Noto Sans CJK SC"/>
        <charset val="134"/>
      </rPr>
      <t>客户</t>
    </r>
    <r>
      <rPr>
        <sz val="10"/>
        <color rgb="FF0000FF"/>
        <rFont val="宋体"/>
        <charset val="1"/>
      </rPr>
      <t>2</t>
    </r>
  </si>
  <si>
    <r>
      <rPr>
        <sz val="10"/>
        <color rgb="FF0000FF"/>
        <rFont val="Noto Sans CJK SC"/>
        <charset val="134"/>
      </rPr>
      <t>供应商</t>
    </r>
    <r>
      <rPr>
        <sz val="10"/>
        <color rgb="FF0000FF"/>
        <rFont val="宋体"/>
        <charset val="1"/>
      </rPr>
      <t>2</t>
    </r>
  </si>
  <si>
    <t>增值税普通发票</t>
  </si>
  <si>
    <t>说明</t>
  </si>
  <si>
    <t>收入按开票金额确认。这个开关决定全表“开票收入”取价税合计还是不含税金额——改这一格，月度汇报表、项目核算表、趋势表、图表全部跟着变。因为成本费用都是含税实付、且增值税已单列在支出里，默认用价税合计才闭合。</t>
  </si>
  <si>
    <t>瑞盛天</t>
  </si>
  <si>
    <t>瑞盛天（请补全称）</t>
  </si>
  <si>
    <t>晨拓农商行基本户</t>
  </si>
  <si>
    <t>P003</t>
  </si>
  <si>
    <t>已完工待收款</t>
  </si>
  <si>
    <t>理财收入</t>
  </si>
  <si>
    <t>非经营收入</t>
  </si>
  <si>
    <r>
      <rPr>
        <sz val="10"/>
        <color rgb="FF0000FF"/>
        <rFont val="Noto Sans CJK SC"/>
        <charset val="134"/>
      </rPr>
      <t>项目</t>
    </r>
    <r>
      <rPr>
        <sz val="10"/>
        <color rgb="FF0000FF"/>
        <rFont val="宋体"/>
        <charset val="1"/>
      </rPr>
      <t>-</t>
    </r>
    <r>
      <rPr>
        <sz val="10"/>
        <color rgb="FF0000FF"/>
        <rFont val="Noto Sans CJK SC"/>
        <charset val="134"/>
      </rPr>
      <t>机械设备</t>
    </r>
  </si>
  <si>
    <t>电费</t>
  </si>
  <si>
    <r>
      <rPr>
        <sz val="10"/>
        <color rgb="FF0000FF"/>
        <rFont val="Noto Sans CJK SC"/>
        <charset val="134"/>
      </rPr>
      <t>客户</t>
    </r>
    <r>
      <rPr>
        <sz val="10"/>
        <color rgb="FF0000FF"/>
        <rFont val="宋体"/>
        <charset val="1"/>
      </rPr>
      <t>3</t>
    </r>
  </si>
  <si>
    <r>
      <rPr>
        <sz val="10"/>
        <color rgb="FF0000FF"/>
        <rFont val="Noto Sans CJK SC"/>
        <charset val="134"/>
      </rPr>
      <t>供应商</t>
    </r>
    <r>
      <rPr>
        <sz val="10"/>
        <color rgb="FF0000FF"/>
        <rFont val="宋体"/>
        <charset val="1"/>
      </rPr>
      <t>3</t>
    </r>
  </si>
  <si>
    <r>
      <rPr>
        <sz val="10"/>
        <color rgb="FF0000FF"/>
        <rFont val="Noto Sans CJK SC"/>
        <charset val="134"/>
      </rPr>
      <t>电子发票</t>
    </r>
    <r>
      <rPr>
        <sz val="10"/>
        <color rgb="FF0000FF"/>
        <rFont val="宋体"/>
        <charset val="1"/>
      </rPr>
      <t>(</t>
    </r>
    <r>
      <rPr>
        <sz val="10"/>
        <color rgb="FF0000FF"/>
        <rFont val="Noto Sans CJK SC"/>
        <charset val="134"/>
      </rPr>
      <t>普通票</t>
    </r>
    <r>
      <rPr>
        <sz val="10"/>
        <color rgb="FF0000FF"/>
        <rFont val="宋体"/>
        <charset val="1"/>
      </rPr>
      <t>)</t>
    </r>
  </si>
  <si>
    <t>鑫海特</t>
  </si>
  <si>
    <t>鑫海特（请补全称）</t>
  </si>
  <si>
    <t>元界极光中行基本户</t>
  </si>
  <si>
    <t>元界极光</t>
  </si>
  <si>
    <t>李广新昌吉市第十六小学教学仪器设备采购</t>
  </si>
  <si>
    <t>新疆新广立科技有限公司</t>
  </si>
  <si>
    <t>2022年3月20</t>
  </si>
  <si>
    <t>利息收入</t>
  </si>
  <si>
    <r>
      <rPr>
        <sz val="10"/>
        <color rgb="FF0000FF"/>
        <rFont val="Noto Sans CJK SC"/>
        <charset val="134"/>
      </rPr>
      <t>项目</t>
    </r>
    <r>
      <rPr>
        <sz val="10"/>
        <color rgb="FF0000FF"/>
        <rFont val="宋体"/>
        <charset val="1"/>
      </rPr>
      <t>-</t>
    </r>
    <r>
      <rPr>
        <sz val="10"/>
        <color rgb="FF0000FF"/>
        <rFont val="Noto Sans CJK SC"/>
        <charset val="134"/>
      </rPr>
      <t>零星开支</t>
    </r>
  </si>
  <si>
    <t>伙食费</t>
  </si>
  <si>
    <r>
      <rPr>
        <sz val="10"/>
        <color rgb="FF0000FF"/>
        <rFont val="Noto Sans CJK SC"/>
        <charset val="134"/>
      </rPr>
      <t>客户</t>
    </r>
    <r>
      <rPr>
        <sz val="10"/>
        <color rgb="FF0000FF"/>
        <rFont val="宋体"/>
        <charset val="1"/>
      </rPr>
      <t>4</t>
    </r>
  </si>
  <si>
    <r>
      <rPr>
        <sz val="10"/>
        <color rgb="FF0000FF"/>
        <rFont val="Noto Sans CJK SC"/>
        <charset val="134"/>
      </rPr>
      <t>供应商</t>
    </r>
    <r>
      <rPr>
        <sz val="10"/>
        <color rgb="FF0000FF"/>
        <rFont val="宋体"/>
        <charset val="1"/>
      </rPr>
      <t>4</t>
    </r>
  </si>
  <si>
    <r>
      <rPr>
        <sz val="10"/>
        <color rgb="FF0000FF"/>
        <rFont val="Noto Sans CJK SC"/>
        <charset val="134"/>
      </rPr>
      <t>电子发票</t>
    </r>
    <r>
      <rPr>
        <sz val="10"/>
        <color rgb="FF0000FF"/>
        <rFont val="宋体"/>
        <charset val="1"/>
      </rPr>
      <t>(</t>
    </r>
    <r>
      <rPr>
        <sz val="10"/>
        <color rgb="FF0000FF"/>
        <rFont val="Noto Sans CJK SC"/>
        <charset val="134"/>
      </rPr>
      <t>专用票</t>
    </r>
    <r>
      <rPr>
        <sz val="10"/>
        <color rgb="FF0000FF"/>
        <rFont val="宋体"/>
        <charset val="1"/>
      </rPr>
      <t>)</t>
    </r>
  </si>
  <si>
    <t>中展</t>
  </si>
  <si>
    <t>中展（请补全称）</t>
  </si>
  <si>
    <t>小规模纳税人</t>
  </si>
  <si>
    <t>元界极光农商行一般户</t>
  </si>
  <si>
    <t>昌吉市第十八小学教学设备采购及安装设备购置项目（二次）</t>
  </si>
  <si>
    <t>昌吉市教育局</t>
  </si>
  <si>
    <t>2022年10月20</t>
  </si>
  <si>
    <t>政府补助</t>
  </si>
  <si>
    <r>
      <rPr>
        <sz val="10"/>
        <color rgb="FF0000FF"/>
        <rFont val="Noto Sans CJK SC"/>
        <charset val="134"/>
      </rPr>
      <t>项目</t>
    </r>
    <r>
      <rPr>
        <sz val="10"/>
        <color rgb="FF0000FF"/>
        <rFont val="宋体"/>
        <charset val="1"/>
      </rPr>
      <t>-</t>
    </r>
    <r>
      <rPr>
        <sz val="10"/>
        <color rgb="FF0000FF"/>
        <rFont val="Noto Sans CJK SC"/>
        <charset val="134"/>
      </rPr>
      <t>运费</t>
    </r>
  </si>
  <si>
    <t>租赁费</t>
  </si>
  <si>
    <r>
      <rPr>
        <sz val="10"/>
        <color rgb="FF0000FF"/>
        <rFont val="Noto Sans CJK SC"/>
        <charset val="134"/>
      </rPr>
      <t>客户</t>
    </r>
    <r>
      <rPr>
        <sz val="10"/>
        <color rgb="FF0000FF"/>
        <rFont val="宋体"/>
        <charset val="1"/>
      </rPr>
      <t>5</t>
    </r>
  </si>
  <si>
    <r>
      <rPr>
        <sz val="10"/>
        <color rgb="FF0000FF"/>
        <rFont val="Noto Sans CJK SC"/>
        <charset val="134"/>
      </rPr>
      <t>供应商</t>
    </r>
    <r>
      <rPr>
        <sz val="10"/>
        <color rgb="FF0000FF"/>
        <rFont val="宋体"/>
        <charset val="1"/>
      </rPr>
      <t>5</t>
    </r>
  </si>
  <si>
    <r>
      <rPr>
        <sz val="10"/>
        <color rgb="FF0000FF"/>
        <rFont val="Noto Sans CJK SC"/>
        <charset val="134"/>
      </rPr>
      <t>收据</t>
    </r>
    <r>
      <rPr>
        <sz val="10"/>
        <color rgb="FF0000FF"/>
        <rFont val="宋体"/>
        <charset val="1"/>
      </rPr>
      <t>/</t>
    </r>
    <r>
      <rPr>
        <sz val="10"/>
        <color rgb="FF0000FF"/>
        <rFont val="Noto Sans CJK SC"/>
        <charset val="134"/>
      </rPr>
      <t>未开票</t>
    </r>
  </si>
  <si>
    <t>瑞盛天中行基本户</t>
  </si>
  <si>
    <t>新疆某单位教育教学设备（二标段）六中项目</t>
  </si>
  <si>
    <t>其他收入</t>
  </si>
  <si>
    <r>
      <rPr>
        <sz val="10"/>
        <color rgb="FF0000FF"/>
        <rFont val="Noto Sans CJK SC"/>
        <charset val="134"/>
      </rPr>
      <t>项目</t>
    </r>
    <r>
      <rPr>
        <sz val="10"/>
        <color rgb="FF0000FF"/>
        <rFont val="宋体"/>
        <charset val="1"/>
      </rPr>
      <t>-</t>
    </r>
    <r>
      <rPr>
        <sz val="10"/>
        <color rgb="FF0000FF"/>
        <rFont val="Noto Sans CJK SC"/>
        <charset val="134"/>
      </rPr>
      <t>分包</t>
    </r>
    <r>
      <rPr>
        <sz val="10"/>
        <color rgb="FF0000FF"/>
        <rFont val="宋体"/>
        <charset val="1"/>
      </rPr>
      <t>/</t>
    </r>
    <r>
      <rPr>
        <sz val="10"/>
        <color rgb="FF0000FF"/>
        <rFont val="Noto Sans CJK SC"/>
        <charset val="134"/>
      </rPr>
      <t>劳务</t>
    </r>
  </si>
  <si>
    <t>差旅费</t>
  </si>
  <si>
    <r>
      <rPr>
        <sz val="10"/>
        <color rgb="FF0000FF"/>
        <rFont val="Noto Sans CJK SC"/>
        <charset val="134"/>
      </rPr>
      <t>客户</t>
    </r>
    <r>
      <rPr>
        <sz val="10"/>
        <color rgb="FF0000FF"/>
        <rFont val="宋体"/>
        <charset val="1"/>
      </rPr>
      <t>6</t>
    </r>
  </si>
  <si>
    <r>
      <rPr>
        <sz val="10"/>
        <color rgb="FF0000FF"/>
        <rFont val="Noto Sans CJK SC"/>
        <charset val="134"/>
      </rPr>
      <t>供应商</t>
    </r>
    <r>
      <rPr>
        <sz val="10"/>
        <color rgb="FF0000FF"/>
        <rFont val="宋体"/>
        <charset val="1"/>
      </rPr>
      <t>6</t>
    </r>
  </si>
  <si>
    <t>元界启辰</t>
  </si>
  <si>
    <t>瑞盛天农商行一般户</t>
  </si>
  <si>
    <t>第二师铁门关市武安街消防站改造项目</t>
  </si>
  <si>
    <t>中国电信股份有限公司巴音郭楞蒙古自治州分公司</t>
  </si>
  <si>
    <t>2025.11.24</t>
  </si>
  <si>
    <t>保证金退回</t>
  </si>
  <si>
    <t>往来及保证金</t>
  </si>
  <si>
    <r>
      <rPr>
        <sz val="10"/>
        <color rgb="FF0000FF"/>
        <rFont val="Noto Sans CJK SC"/>
        <charset val="134"/>
      </rPr>
      <t>项目</t>
    </r>
    <r>
      <rPr>
        <sz val="10"/>
        <color rgb="FF0000FF"/>
        <rFont val="宋体"/>
        <charset val="1"/>
      </rPr>
      <t>-</t>
    </r>
    <r>
      <rPr>
        <sz val="10"/>
        <color rgb="FF0000FF"/>
        <rFont val="Noto Sans CJK SC"/>
        <charset val="134"/>
      </rPr>
      <t>税款</t>
    </r>
  </si>
  <si>
    <t>业务招待费</t>
  </si>
  <si>
    <r>
      <rPr>
        <sz val="10"/>
        <color rgb="FF0000FF"/>
        <rFont val="Noto Sans CJK SC"/>
        <charset val="134"/>
      </rPr>
      <t>客户</t>
    </r>
    <r>
      <rPr>
        <sz val="10"/>
        <color rgb="FF0000FF"/>
        <rFont val="宋体"/>
        <charset val="1"/>
      </rPr>
      <t>7</t>
    </r>
  </si>
  <si>
    <r>
      <rPr>
        <sz val="10"/>
        <color rgb="FF0000FF"/>
        <rFont val="Noto Sans CJK SC"/>
        <charset val="134"/>
      </rPr>
      <t>供应商</t>
    </r>
    <r>
      <rPr>
        <sz val="10"/>
        <color rgb="FF0000FF"/>
        <rFont val="宋体"/>
        <charset val="1"/>
      </rPr>
      <t>7</t>
    </r>
  </si>
  <si>
    <t>锐思维度</t>
  </si>
  <si>
    <t>中展中行基本户</t>
  </si>
  <si>
    <t>昌吉市中等职业学校教学设备采购项目(二标段)</t>
  </si>
  <si>
    <t>中移建设有限公司新疆分公司</t>
  </si>
  <si>
    <t>2025.8.26</t>
  </si>
  <si>
    <t>借款收回</t>
  </si>
  <si>
    <r>
      <rPr>
        <sz val="10"/>
        <color rgb="FF0000FF"/>
        <rFont val="Noto Sans CJK SC"/>
        <charset val="134"/>
      </rPr>
      <t>项目</t>
    </r>
    <r>
      <rPr>
        <sz val="10"/>
        <color rgb="FF0000FF"/>
        <rFont val="宋体"/>
        <charset val="1"/>
      </rPr>
      <t>-</t>
    </r>
    <r>
      <rPr>
        <sz val="10"/>
        <color rgb="FF0000FF"/>
        <rFont val="Noto Sans CJK SC"/>
        <charset val="134"/>
      </rPr>
      <t>其他直接成本</t>
    </r>
  </si>
  <si>
    <t>车辆费用</t>
  </si>
  <si>
    <r>
      <rPr>
        <sz val="10"/>
        <color rgb="FF0000FF"/>
        <rFont val="Noto Sans CJK SC"/>
        <charset val="134"/>
      </rPr>
      <t>客户</t>
    </r>
    <r>
      <rPr>
        <sz val="10"/>
        <color rgb="FF0000FF"/>
        <rFont val="宋体"/>
        <charset val="1"/>
      </rPr>
      <t>8</t>
    </r>
  </si>
  <si>
    <r>
      <rPr>
        <sz val="10"/>
        <color rgb="FF0000FF"/>
        <rFont val="Noto Sans CJK SC"/>
        <charset val="134"/>
      </rPr>
      <t>供应商</t>
    </r>
    <r>
      <rPr>
        <sz val="10"/>
        <color rgb="FF0000FF"/>
        <rFont val="宋体"/>
        <charset val="1"/>
      </rPr>
      <t>8</t>
    </r>
  </si>
  <si>
    <t>鸿禧</t>
  </si>
  <si>
    <t>中展农商行一般户</t>
  </si>
  <si>
    <t>中电信数智科技有限公司昌吉分公司2025年某学校智慧教室建设项目</t>
  </si>
  <si>
    <t>中电信数智科技有限公司昌吉分公司</t>
  </si>
  <si>
    <t>2025.12.25</t>
  </si>
  <si>
    <t>股东投入</t>
  </si>
  <si>
    <t>费用摊销</t>
  </si>
  <si>
    <t>通讯费</t>
  </si>
  <si>
    <r>
      <rPr>
        <sz val="10"/>
        <color rgb="FF0000FF"/>
        <rFont val="Noto Sans CJK SC"/>
        <charset val="134"/>
      </rPr>
      <t>客户</t>
    </r>
    <r>
      <rPr>
        <sz val="10"/>
        <color rgb="FF0000FF"/>
        <rFont val="宋体"/>
        <charset val="1"/>
      </rPr>
      <t>9</t>
    </r>
  </si>
  <si>
    <r>
      <rPr>
        <sz val="10"/>
        <color rgb="FF0000FF"/>
        <rFont val="Noto Sans CJK SC"/>
        <charset val="134"/>
      </rPr>
      <t>供应商</t>
    </r>
    <r>
      <rPr>
        <sz val="10"/>
        <color rgb="FF0000FF"/>
        <rFont val="宋体"/>
        <charset val="1"/>
      </rPr>
      <t>9</t>
    </r>
  </si>
  <si>
    <t>卓卓通</t>
  </si>
  <si>
    <t>中展准东项目</t>
  </si>
  <si>
    <t>中国电信巴州分公司2025年某部幼儿园视频监控系统服务采购</t>
  </si>
  <si>
    <t>2025.4.21</t>
  </si>
  <si>
    <t>内部调拨转入</t>
  </si>
  <si>
    <t>快递费</t>
  </si>
  <si>
    <r>
      <rPr>
        <sz val="10"/>
        <color rgb="FF0000FF"/>
        <rFont val="Noto Sans CJK SC"/>
        <charset val="134"/>
      </rPr>
      <t>客户</t>
    </r>
    <r>
      <rPr>
        <sz val="10"/>
        <color rgb="FF0000FF"/>
        <rFont val="宋体"/>
        <charset val="1"/>
      </rPr>
      <t>10</t>
    </r>
  </si>
  <si>
    <r>
      <rPr>
        <sz val="10"/>
        <color rgb="FF0000FF"/>
        <rFont val="Noto Sans CJK SC"/>
        <charset val="134"/>
      </rPr>
      <t>供应商</t>
    </r>
    <r>
      <rPr>
        <sz val="10"/>
        <color rgb="FF0000FF"/>
        <rFont val="宋体"/>
        <charset val="1"/>
      </rPr>
      <t>10</t>
    </r>
  </si>
  <si>
    <t>财兴通</t>
  </si>
  <si>
    <t>卓卓通农商行基本户</t>
  </si>
  <si>
    <t>昌吉市中等职业学校教学设备采购项目（一标段）</t>
  </si>
  <si>
    <t>北京竞业达数码科技股份有限公司</t>
  </si>
  <si>
    <t>2025.8.15</t>
  </si>
  <si>
    <t>公证费</t>
  </si>
  <si>
    <r>
      <rPr>
        <sz val="10"/>
        <color rgb="FF0000FF"/>
        <rFont val="Noto Sans CJK SC"/>
        <charset val="134"/>
      </rPr>
      <t>客户</t>
    </r>
    <r>
      <rPr>
        <sz val="10"/>
        <color rgb="FF0000FF"/>
        <rFont val="宋体"/>
        <charset val="1"/>
      </rPr>
      <t>11</t>
    </r>
  </si>
  <si>
    <r>
      <rPr>
        <sz val="10"/>
        <color rgb="FF0000FF"/>
        <rFont val="Noto Sans CJK SC"/>
        <charset val="134"/>
      </rPr>
      <t>供应商</t>
    </r>
    <r>
      <rPr>
        <sz val="10"/>
        <color rgb="FF0000FF"/>
        <rFont val="宋体"/>
        <charset val="1"/>
      </rPr>
      <t>11</t>
    </r>
  </si>
  <si>
    <t>财兴通农商行基本户</t>
  </si>
  <si>
    <t>草湖标识标牌项目</t>
  </si>
  <si>
    <t>收新疆博创未来信息工程技术有限公司货款</t>
  </si>
  <si>
    <t>2025.12.20</t>
  </si>
  <si>
    <t>咨询审计费</t>
  </si>
  <si>
    <r>
      <rPr>
        <sz val="10"/>
        <color rgb="FF0000FF"/>
        <rFont val="Noto Sans CJK SC"/>
        <charset val="134"/>
      </rPr>
      <t>客户</t>
    </r>
    <r>
      <rPr>
        <sz val="10"/>
        <color rgb="FF0000FF"/>
        <rFont val="宋体"/>
        <charset val="1"/>
      </rPr>
      <t>12</t>
    </r>
  </si>
  <si>
    <r>
      <rPr>
        <sz val="10"/>
        <color rgb="FF0000FF"/>
        <rFont val="Noto Sans CJK SC"/>
        <charset val="134"/>
      </rPr>
      <t>供应商</t>
    </r>
    <r>
      <rPr>
        <sz val="10"/>
        <color rgb="FF0000FF"/>
        <rFont val="宋体"/>
        <charset val="1"/>
      </rPr>
      <t>12</t>
    </r>
  </si>
  <si>
    <t>鑫海特工行基本户</t>
  </si>
  <si>
    <t>昌吉市第二十一小学教育教学设备采购项目（三标段）</t>
  </si>
  <si>
    <t>2025.8.8</t>
  </si>
  <si>
    <t>软件服务费</t>
  </si>
  <si>
    <r>
      <rPr>
        <sz val="10"/>
        <color rgb="FF0000FF"/>
        <rFont val="Noto Sans CJK SC"/>
        <charset val="134"/>
      </rPr>
      <t>客户</t>
    </r>
    <r>
      <rPr>
        <sz val="10"/>
        <color rgb="FF0000FF"/>
        <rFont val="宋体"/>
        <charset val="1"/>
      </rPr>
      <t>13</t>
    </r>
  </si>
  <si>
    <r>
      <rPr>
        <sz val="10"/>
        <color rgb="FF0000FF"/>
        <rFont val="Noto Sans CJK SC"/>
        <charset val="134"/>
      </rPr>
      <t>供应商</t>
    </r>
    <r>
      <rPr>
        <sz val="10"/>
        <color rgb="FF0000FF"/>
        <rFont val="宋体"/>
        <charset val="1"/>
      </rPr>
      <t>13</t>
    </r>
  </si>
  <si>
    <t>鸿禧农行基本户</t>
  </si>
  <si>
    <t>昌吉市第七小学润苗楼教室文化墙、图书角及会议室项目</t>
  </si>
  <si>
    <t>昌吉市第七小学</t>
  </si>
  <si>
    <t>已完工已收款</t>
  </si>
  <si>
    <t>保险费</t>
  </si>
  <si>
    <t>元界启辰中行基本户</t>
  </si>
  <si>
    <t>昌吉市第十小学售后</t>
  </si>
  <si>
    <t>昌吉市第十小学</t>
  </si>
  <si>
    <t>2026年3月17</t>
  </si>
  <si>
    <t>物业费</t>
  </si>
  <si>
    <t>锐思维度中行基本户</t>
  </si>
  <si>
    <t>昌吉市第三幼儿园（二十幼）厨房设备采购项目</t>
  </si>
  <si>
    <t>昌吉市第三幼儿园</t>
  </si>
  <si>
    <t>职工福利费</t>
  </si>
  <si>
    <t>备用7</t>
  </si>
  <si>
    <t>昌吉市南安幼儿园设备采购项目</t>
  </si>
  <si>
    <t>昌吉市第五幼儿园</t>
  </si>
  <si>
    <t>其他管理费用</t>
  </si>
  <si>
    <t>备用8</t>
  </si>
  <si>
    <t>昌吉市第十小学（昌吉市第十九小学创客项目）</t>
  </si>
  <si>
    <t>工资</t>
  </si>
  <si>
    <t>人工社保</t>
  </si>
  <si>
    <t>备用9</t>
  </si>
  <si>
    <t>昌吉市第二小学智慧安防系统改造</t>
  </si>
  <si>
    <t>昌吉市第二小学</t>
  </si>
  <si>
    <r>
      <rPr>
        <sz val="10"/>
        <color rgb="FF0000FF"/>
        <rFont val="Noto Sans CJK SC"/>
        <charset val="134"/>
      </rPr>
      <t>奖金</t>
    </r>
    <r>
      <rPr>
        <sz val="10"/>
        <color rgb="FF0000FF"/>
        <rFont val="宋体"/>
        <charset val="1"/>
      </rPr>
      <t>/</t>
    </r>
    <r>
      <rPr>
        <sz val="10"/>
        <color rgb="FF0000FF"/>
        <rFont val="Noto Sans CJK SC"/>
        <charset val="134"/>
      </rPr>
      <t>提成</t>
    </r>
  </si>
  <si>
    <t>备用10</t>
  </si>
  <si>
    <t>昌吉市第十六小学校园监控设备采购项目</t>
  </si>
  <si>
    <t>昌吉市十四小学</t>
  </si>
  <si>
    <t>养老保险</t>
  </si>
  <si>
    <t>昌吉市第十六小学校园广播设备采购项目</t>
  </si>
  <si>
    <t>医疗保险</t>
  </si>
  <si>
    <t>昌吉市第一小学学生机房项目</t>
  </si>
  <si>
    <t>昌吉市第一小学</t>
  </si>
  <si>
    <r>
      <rPr>
        <sz val="10"/>
        <color rgb="FF0000FF"/>
        <rFont val="Noto Sans CJK SC"/>
        <charset val="134"/>
      </rPr>
      <t>失业</t>
    </r>
    <r>
      <rPr>
        <sz val="10"/>
        <color rgb="FF0000FF"/>
        <rFont val="宋体"/>
        <charset val="1"/>
      </rPr>
      <t>/</t>
    </r>
    <r>
      <rPr>
        <sz val="10"/>
        <color rgb="FF0000FF"/>
        <rFont val="Noto Sans CJK SC"/>
        <charset val="134"/>
      </rPr>
      <t>工伤保险</t>
    </r>
  </si>
  <si>
    <t>昌吉市第十小学智慧教室项目</t>
  </si>
  <si>
    <t>2026年6月30</t>
  </si>
  <si>
    <t>住房公积金</t>
  </si>
  <si>
    <t>昌吉市第三中学安检门</t>
  </si>
  <si>
    <t>昌吉市第三中学</t>
  </si>
  <si>
    <t>2026年6月15</t>
  </si>
  <si>
    <t>劳务费</t>
  </si>
  <si>
    <t>昌吉市第七小学阶梯教室设备采购项目</t>
  </si>
  <si>
    <t>2026年7月23</t>
  </si>
  <si>
    <t>未完工未收款</t>
  </si>
  <si>
    <t>增值税</t>
  </si>
  <si>
    <t>税费</t>
  </si>
  <si>
    <r>
      <rPr>
        <sz val="10"/>
        <color rgb="FF0000FF"/>
        <rFont val="宋体"/>
        <charset val="134"/>
      </rPr>
      <t>昌吉市第八小学</t>
    </r>
    <r>
      <rPr>
        <sz val="10"/>
        <color rgb="FF0000FF"/>
        <rFont val="Noto Sans CJK SC"/>
        <charset val="134"/>
      </rPr>
      <t>5G+</t>
    </r>
    <r>
      <rPr>
        <sz val="10"/>
        <color rgb="FF0000FF"/>
        <rFont val="宋体"/>
        <charset val="134"/>
      </rPr>
      <t>课堂建设采购项目</t>
    </r>
  </si>
  <si>
    <t>昌吉市第八小学</t>
  </si>
  <si>
    <t>2026年7月17</t>
  </si>
  <si>
    <t>附加税</t>
  </si>
  <si>
    <r>
      <rPr>
        <sz val="10"/>
        <color rgb="FF0000FF"/>
        <rFont val="Noto Sans CJK SC"/>
        <charset val="134"/>
      </rPr>
      <t>2026</t>
    </r>
    <r>
      <rPr>
        <sz val="10"/>
        <color rgb="FF0000FF"/>
        <rFont val="宋体"/>
        <charset val="134"/>
      </rPr>
      <t>年新疆信友能源投资有限公司网格优化服务项目</t>
    </r>
  </si>
  <si>
    <t>新疆信友能源投资有限公司</t>
  </si>
  <si>
    <t>印花税</t>
  </si>
  <si>
    <t>昌吉市第十七小学配套附属设施采购项目（教育教学设备</t>
  </si>
  <si>
    <t xml:space="preserve">2026年8月5 </t>
  </si>
  <si>
    <t>企业所得税</t>
  </si>
  <si>
    <t>昌吉市第十二小学阶梯教室设备采购项目</t>
  </si>
  <si>
    <t>昌吉市第十二小学</t>
  </si>
  <si>
    <t>2026年6月16</t>
  </si>
  <si>
    <t>个人所得税</t>
  </si>
  <si>
    <t>十八小的厨房监控</t>
  </si>
  <si>
    <t>昌吉市第十四小学</t>
  </si>
  <si>
    <t>2026年4月28</t>
  </si>
  <si>
    <t>其他税费</t>
  </si>
  <si>
    <t>银行手续费</t>
  </si>
  <si>
    <t>财务费用</t>
  </si>
  <si>
    <t>关于麦盖提县教育局“阳光食堂”硬件采购项目</t>
  </si>
  <si>
    <t>新疆嘉盛鸿泰商贸有限公司</t>
  </si>
  <si>
    <t>利息支出</t>
  </si>
  <si>
    <t>新疆某单位教育教学设备（二标段）甄选项目-六中</t>
  </si>
  <si>
    <t>中移系统集成有限公司履约保证金</t>
  </si>
  <si>
    <t>2023.3.2</t>
  </si>
  <si>
    <t>汇兑损益</t>
  </si>
  <si>
    <t>代建局昌吉市第十八小学教学仪器设备采购项目</t>
  </si>
  <si>
    <t>昌吉市政府投资建设项目代建管理中心</t>
  </si>
  <si>
    <t>2021.9.30</t>
  </si>
  <si>
    <t>投标保证金</t>
  </si>
  <si>
    <t>昌吉市四所幼儿园设备采购项目（三标段）</t>
  </si>
  <si>
    <t>2024.7.2</t>
  </si>
  <si>
    <t>履约保证金</t>
  </si>
  <si>
    <t>备用金借出</t>
  </si>
  <si>
    <t>铁门关经济技术开发区化工园区周界防护项目</t>
  </si>
  <si>
    <t>中电信数智科技有限公司巴音郭楞蒙古自治州分公司</t>
  </si>
  <si>
    <t>2025.7.20</t>
  </si>
  <si>
    <r>
      <rPr>
        <sz val="10"/>
        <color rgb="FF0000FF"/>
        <rFont val="Noto Sans CJK SC"/>
        <charset val="134"/>
      </rPr>
      <t>股东分红</t>
    </r>
    <r>
      <rPr>
        <sz val="10"/>
        <color rgb="FF0000FF"/>
        <rFont val="宋体"/>
        <charset val="1"/>
      </rPr>
      <t>/</t>
    </r>
    <r>
      <rPr>
        <sz val="10"/>
        <color rgb="FF0000FF"/>
        <rFont val="Noto Sans CJK SC"/>
        <charset val="134"/>
      </rPr>
      <t>抽资</t>
    </r>
  </si>
  <si>
    <t>第四师第一中学高中地理实验室设施设备采购项目</t>
  </si>
  <si>
    <t>新疆生产建设兵团第四师第一中学</t>
  </si>
  <si>
    <t>2025.12.17</t>
  </si>
  <si>
    <t>内部调拨转出</t>
  </si>
  <si>
    <t>二师公安库铁大道监控引电（中国电信巴州分公司2025年第二师GAJ视频监控平台、云集成服务项目）</t>
  </si>
  <si>
    <t>2025.5.10</t>
  </si>
  <si>
    <t>第二师铁门关市师政数据防火墙维保服务采购项目</t>
  </si>
  <si>
    <t>铁门关市民中心视频汇聚项目</t>
  </si>
  <si>
    <t>乌鲁木齐市第115中学食堂自营场地改造项目</t>
  </si>
  <si>
    <t>217线阿勒泰至布尔津公路建设项目</t>
  </si>
  <si>
    <t>新疆明鸿通信技术有限公司</t>
  </si>
  <si>
    <t>昌吉市第十九小学教学仪器设备采购项目</t>
  </si>
  <si>
    <t>库尔勒经济技术开发区第三幼儿园办公家具采购项目</t>
  </si>
  <si>
    <t>玛纳斯县总医院人民医院院区监控设备整合项目（二次）</t>
  </si>
  <si>
    <t>玛纳斯县人民医院</t>
  </si>
  <si>
    <t>2025.11.11</t>
  </si>
  <si>
    <t>昌吉市第二十一小教育教学设备采购项目（一标段）</t>
  </si>
  <si>
    <t>库尔勒市第九中学学生计算机采购项目</t>
  </si>
  <si>
    <t>库尔勒市第九中学</t>
  </si>
  <si>
    <t>2025.6.10</t>
  </si>
  <si>
    <t>第二师民兵训练基地综合指挥系统平台云集成服务项目（陪标中标</t>
  </si>
  <si>
    <t>2026.2.2</t>
  </si>
  <si>
    <t>铁门关职业技术学院监控维修</t>
  </si>
  <si>
    <t>中国电信股份有限公司和静分公司</t>
  </si>
  <si>
    <t>2025.12.3</t>
  </si>
  <si>
    <t>御丰纺织厂无线覆盖项目</t>
  </si>
  <si>
    <t>铁门关市乐美酒店监控项目</t>
  </si>
  <si>
    <t>昌吉健康云120调度指挥中心项目</t>
  </si>
  <si>
    <t>中国移动通信集团新疆有限公司昌吉州分公司</t>
  </si>
  <si>
    <t>2022.3.14</t>
  </si>
  <si>
    <t>库尔勒九中无线网络覆盖项目</t>
  </si>
  <si>
    <t>2025.8.10</t>
  </si>
  <si>
    <t>第二师铁门关市信息技术服务中心机房设备搬迁服务项目</t>
  </si>
  <si>
    <t>新疆生产建设兵团第二师铁门关市信息技术服务中心</t>
  </si>
  <si>
    <t>2025.12.10</t>
  </si>
  <si>
    <t>社管局准东学校学术报告厅、会议室音频系统建设项目设备采购项目</t>
  </si>
  <si>
    <t>新疆八达科技发展有限公司</t>
  </si>
  <si>
    <t>2025.11.20</t>
  </si>
  <si>
    <t>昌吉市第二十一小学建设项目-教育教学设备采购项目</t>
  </si>
  <si>
    <t>2025.10.11</t>
  </si>
  <si>
    <t>昌吉市第八小学黑板维护项目</t>
  </si>
  <si>
    <t>乌鲁木齐市第122小学2025年采购高清扫描仪及软件</t>
  </si>
  <si>
    <t>乌鲁木齐市第122小学</t>
  </si>
  <si>
    <t>2025.4.25</t>
  </si>
  <si>
    <t>乌鲁木齐第八十五小学教研平台采购项目</t>
  </si>
  <si>
    <t>乌鲁木齐市第八十五小学</t>
  </si>
  <si>
    <t>2025.9.3</t>
  </si>
  <si>
    <t>昌吉市第十小学计算机教室设备采购项目</t>
  </si>
  <si>
    <t>2025.6.30</t>
  </si>
  <si>
    <t>昌吉市第十小学计算机教室装修项目</t>
  </si>
  <si>
    <t>中国电信巴州分公司2024年第二师铁门关市29团养殖基地监控部署及视频云存储项目 ]设备及相关服务采购合</t>
  </si>
  <si>
    <t>2025.1.21</t>
  </si>
  <si>
    <t>二师市民中心迎宾机器人（中国电信巴州分公司2025年第二师铁门关市公安局视频监控链路的设备采购项目）</t>
  </si>
  <si>
    <t>关于社管局准东学校图书馆建设项）</t>
  </si>
  <si>
    <t>新疆准东经济技术开发区管理委员会</t>
  </si>
  <si>
    <t>2025.12.12</t>
  </si>
  <si>
    <t>克孜勒苏柯尔克孜自治州教育局项目</t>
  </si>
  <si>
    <t>克孜勒苏柯尔克孜自治州教育局</t>
  </si>
  <si>
    <t>2026.1.3</t>
  </si>
  <si>
    <t>昌吉市第十五小学办公信息化设备项目</t>
  </si>
  <si>
    <t>2021.11.3</t>
  </si>
  <si>
    <t>昌吉市第十小学台式电脑采购项目</t>
  </si>
  <si>
    <t>昌吉市第二小学教学设备采购项目</t>
  </si>
  <si>
    <t>昌吉市五中智慧黑板项目</t>
  </si>
  <si>
    <t>社管局准东学校三期实验楼设施设备配置项目（二次）</t>
  </si>
  <si>
    <t>2025.11.12</t>
  </si>
  <si>
    <t>库尔楚园艺场中学机房采购</t>
  </si>
  <si>
    <t>库尔勒市库尔楚园艺场中学</t>
  </si>
  <si>
    <t>2025.4.12</t>
  </si>
  <si>
    <t>昌吉市第十四小学项目新项目没有项目名称</t>
  </si>
  <si>
    <t>第二师医疗保障事业管理中心视频联网及会议终端采购项目</t>
  </si>
  <si>
    <t>草湖镇海康产品项目</t>
  </si>
  <si>
    <t>吉木萨尔县第七幼儿园网上超市项目</t>
  </si>
  <si>
    <t>库尔楚计算机设备</t>
  </si>
  <si>
    <t>昌吉市第十小学智慧黑板采购项目</t>
  </si>
  <si>
    <t>昌吉第八小学展台电池采购</t>
  </si>
  <si>
    <t>中国人民解放军陆军第九四七医院智慧门诊合作项目</t>
  </si>
  <si>
    <t>中电信数智科技有限公司喀什分公司</t>
  </si>
  <si>
    <t>2024.11.12</t>
  </si>
  <si>
    <t>第二师铁门关信息技术服务中心租赁云服务资源采购项目技术服务</t>
  </si>
  <si>
    <t>2025.8.12</t>
  </si>
  <si>
    <t>巴州农二师29团综治中心监控项目采购</t>
  </si>
  <si>
    <t>要退回叶总申请</t>
  </si>
  <si>
    <t>昌吉市第一中学学校校园无线网络改造项目</t>
  </si>
  <si>
    <t>2026年现代职业教育质量提升项目</t>
  </si>
  <si>
    <t>兵团十一师第一中学危化品实验室装备项目</t>
  </si>
  <si>
    <t>2021.8.10</t>
  </si>
  <si>
    <r>
      <rPr>
        <b/>
        <sz val="14"/>
        <color rgb="FF1F3864"/>
        <rFont val="Noto Sans CJK SC"/>
        <charset val="134"/>
      </rPr>
      <t xml:space="preserve">开票登记表 — 收入以开票为准；逐张登记 </t>
    </r>
    <r>
      <rPr>
        <b/>
        <sz val="14"/>
        <color rgb="FF1F3864"/>
        <rFont val="微软雅黑"/>
        <charset val="1"/>
      </rPr>
      <t xml:space="preserve">+ </t>
    </r>
    <r>
      <rPr>
        <b/>
        <sz val="14"/>
        <color rgb="FF1F3864"/>
        <rFont val="Noto Sans CJK SC"/>
        <charset val="134"/>
      </rPr>
      <t xml:space="preserve">收款自动核销（小规模 </t>
    </r>
    <r>
      <rPr>
        <b/>
        <sz val="14"/>
        <color rgb="FF1F3864"/>
        <rFont val="微软雅黑"/>
        <charset val="1"/>
      </rPr>
      <t xml:space="preserve">/ </t>
    </r>
    <r>
      <rPr>
        <b/>
        <sz val="14"/>
        <color rgb="FF1F3864"/>
        <rFont val="Noto Sans CJK SC"/>
        <charset val="134"/>
      </rPr>
      <t>一般纳税人分开统计）</t>
    </r>
  </si>
  <si>
    <t>合计→</t>
  </si>
  <si>
    <r>
      <rPr>
        <sz val="9"/>
        <color rgb="FF7F7F7F"/>
        <rFont val="Noto Sans CJK SC"/>
        <charset val="134"/>
      </rPr>
      <t>登记规则：①每张发票一行——公司确认的“收入”就是这张表，不是银行到账。②</t>
    </r>
    <r>
      <rPr>
        <sz val="9"/>
        <color rgb="FF7F7F7F"/>
        <rFont val="宋体"/>
        <charset val="1"/>
      </rPr>
      <t>I</t>
    </r>
    <r>
      <rPr>
        <sz val="9"/>
        <color rgb="FF7F7F7F"/>
        <rFont val="Noto Sans CJK SC"/>
        <charset val="134"/>
      </rPr>
      <t>列“发票号码”是核销的钥匙：收到这张票的钱时，在「资金流水」</t>
    </r>
    <r>
      <rPr>
        <sz val="9"/>
        <color rgb="FF7F7F7F"/>
        <rFont val="宋体"/>
        <charset val="1"/>
      </rPr>
      <t>Q</t>
    </r>
    <r>
      <rPr>
        <sz val="9"/>
        <color rgb="FF7F7F7F"/>
        <rFont val="Noto Sans CJK SC"/>
        <charset val="134"/>
      </rPr>
      <t>列填同一个发票号码，</t>
    </r>
    <r>
      <rPr>
        <sz val="9"/>
        <color rgb="FF7F7F7F"/>
        <rFont val="宋体"/>
        <charset val="1"/>
      </rPr>
      <t>N</t>
    </r>
    <r>
      <rPr>
        <sz val="9"/>
        <color rgb="FF7F7F7F"/>
        <rFont val="Noto Sans CJK SC"/>
        <charset val="134"/>
      </rPr>
      <t>列自动算出已收款、</t>
    </r>
    <r>
      <rPr>
        <sz val="9"/>
        <color rgb="FF7F7F7F"/>
        <rFont val="宋体"/>
        <charset val="1"/>
      </rPr>
      <t>P</t>
    </r>
    <r>
      <rPr>
        <sz val="9"/>
        <color rgb="FF7F7F7F"/>
        <rFont val="Noto Sans CJK SC"/>
        <charset val="134"/>
      </rPr>
      <t>列自动算未收款、</t>
    </r>
    <r>
      <rPr>
        <sz val="9"/>
        <color rgb="FF7F7F7F"/>
        <rFont val="宋体"/>
        <charset val="1"/>
      </rPr>
      <t>S</t>
    </r>
    <r>
      <rPr>
        <sz val="9"/>
        <color rgb="FF7F7F7F"/>
        <rFont val="Noto Sans CJK SC"/>
        <charset val="134"/>
      </rPr>
      <t>列自动算账龄（超</t>
    </r>
    <r>
      <rPr>
        <sz val="9"/>
        <color rgb="FF7F7F7F"/>
        <rFont val="宋体"/>
        <charset val="1"/>
      </rPr>
      <t>90</t>
    </r>
    <r>
      <rPr>
        <sz val="9"/>
        <color rgb="FF7F7F7F"/>
        <rFont val="Noto Sans CJK SC"/>
        <charset val="134"/>
      </rPr>
      <t>天标红）。③多票合并收款、对不上票号的，直接在</t>
    </r>
    <r>
      <rPr>
        <sz val="9"/>
        <color rgb="FF7F7F7F"/>
        <rFont val="宋体"/>
        <charset val="1"/>
      </rPr>
      <t>O</t>
    </r>
    <r>
      <rPr>
        <sz val="9"/>
        <color rgb="FF7F7F7F"/>
        <rFont val="Noto Sans CJK SC"/>
        <charset val="134"/>
      </rPr>
      <t>列手工登记已收金额。④</t>
    </r>
    <r>
      <rPr>
        <sz val="9"/>
        <color rgb="FF7F7F7F"/>
        <rFont val="宋体"/>
        <charset val="1"/>
      </rPr>
      <t>H</t>
    </r>
    <r>
      <rPr>
        <sz val="9"/>
        <color rgb="FF7F7F7F"/>
        <rFont val="Noto Sans CJK SC"/>
        <charset val="134"/>
      </rPr>
      <t>列“收入类别”决定这笔收入进汇报表哪一行，一般选“项目收入”。⑤</t>
    </r>
    <r>
      <rPr>
        <sz val="9"/>
        <color rgb="FF7F7F7F"/>
        <rFont val="宋体"/>
        <charset val="1"/>
      </rPr>
      <t>L</t>
    </r>
    <r>
      <rPr>
        <sz val="9"/>
        <color rgb="FF7F7F7F"/>
        <rFont val="Noto Sans CJK SC"/>
        <charset val="134"/>
      </rPr>
      <t>列税额</t>
    </r>
    <r>
      <rPr>
        <sz val="9"/>
        <color rgb="FF7F7F7F"/>
        <rFont val="宋体"/>
        <charset val="1"/>
      </rPr>
      <t>=</t>
    </r>
    <r>
      <rPr>
        <sz val="9"/>
        <color rgb="FF7F7F7F"/>
        <rFont val="Noto Sans CJK SC"/>
        <charset val="134"/>
      </rPr>
      <t>不含税</t>
    </r>
    <r>
      <rPr>
        <sz val="9"/>
        <color rgb="FF7F7F7F"/>
        <rFont val="宋体"/>
        <charset val="1"/>
      </rPr>
      <t>×</t>
    </r>
    <r>
      <rPr>
        <sz val="9"/>
        <color rgb="FF7F7F7F"/>
        <rFont val="Noto Sans CJK SC"/>
        <charset val="134"/>
      </rPr>
      <t>税率自动算，与发票实际税额有出入可直接覆盖。⑥利息、理财、补助这类永远没有发票的收入，不登这张表，在「资金流水」按实收登记即可，报表会自动并进来。</t>
    </r>
  </si>
  <si>
    <t>序号</t>
  </si>
  <si>
    <t>开票日期</t>
  </si>
  <si>
    <t>开票公司</t>
  </si>
  <si>
    <r>
      <rPr>
        <b/>
        <sz val="11"/>
        <color rgb="FFFFFFFF"/>
        <rFont val="Noto Sans CJK SC"/>
        <charset val="134"/>
      </rPr>
      <t xml:space="preserve">纳税人类型
</t>
    </r>
    <r>
      <rPr>
        <b/>
        <sz val="11"/>
        <color rgb="FFFFFFFF"/>
        <rFont val="微软雅黑"/>
        <charset val="1"/>
      </rPr>
      <t>(</t>
    </r>
    <r>
      <rPr>
        <b/>
        <sz val="11"/>
        <color rgb="FFFFFFFF"/>
        <rFont val="Noto Sans CJK SC"/>
        <charset val="134"/>
      </rPr>
      <t>自动</t>
    </r>
    <r>
      <rPr>
        <b/>
        <sz val="11"/>
        <color rgb="FFFFFFFF"/>
        <rFont val="微软雅黑"/>
        <charset val="1"/>
      </rPr>
      <t>)</t>
    </r>
  </si>
  <si>
    <t>购方名称</t>
  </si>
  <si>
    <t>发票号码</t>
  </si>
  <si>
    <t>不含税金额</t>
  </si>
  <si>
    <t>税额</t>
  </si>
  <si>
    <t>价税合计</t>
  </si>
  <si>
    <r>
      <rPr>
        <b/>
        <sz val="11"/>
        <color rgb="FFFFFFFF"/>
        <rFont val="Noto Sans CJK SC"/>
        <charset val="134"/>
      </rPr>
      <t xml:space="preserve">已收款
</t>
    </r>
    <r>
      <rPr>
        <b/>
        <sz val="11"/>
        <color rgb="FFFFFFFF"/>
        <rFont val="微软雅黑"/>
        <charset val="1"/>
      </rPr>
      <t>(</t>
    </r>
    <r>
      <rPr>
        <b/>
        <sz val="11"/>
        <color rgb="FFFFFFFF"/>
        <rFont val="Noto Sans CJK SC"/>
        <charset val="134"/>
      </rPr>
      <t>按票号自动</t>
    </r>
    <r>
      <rPr>
        <b/>
        <sz val="11"/>
        <color rgb="FFFFFFFF"/>
        <rFont val="微软雅黑"/>
        <charset val="1"/>
      </rPr>
      <t>)</t>
    </r>
  </si>
  <si>
    <r>
      <rPr>
        <b/>
        <sz val="11"/>
        <color rgb="FFFFFFFF"/>
        <rFont val="Noto Sans CJK SC"/>
        <charset val="134"/>
      </rPr>
      <t xml:space="preserve">已收款
</t>
    </r>
    <r>
      <rPr>
        <b/>
        <sz val="11"/>
        <color rgb="FFFFFFFF"/>
        <rFont val="微软雅黑"/>
        <charset val="1"/>
      </rPr>
      <t>(</t>
    </r>
    <r>
      <rPr>
        <b/>
        <sz val="11"/>
        <color rgb="FFFFFFFF"/>
        <rFont val="Noto Sans CJK SC"/>
        <charset val="134"/>
      </rPr>
      <t>手工登记</t>
    </r>
    <r>
      <rPr>
        <b/>
        <sz val="11"/>
        <color rgb="FFFFFFFF"/>
        <rFont val="微软雅黑"/>
        <charset val="1"/>
      </rPr>
      <t>)</t>
    </r>
  </si>
  <si>
    <t>未收款</t>
  </si>
  <si>
    <t>收款状态</t>
  </si>
  <si>
    <t>开票归属月</t>
  </si>
  <si>
    <r>
      <rPr>
        <b/>
        <sz val="11"/>
        <color rgb="FFFFFFFF"/>
        <rFont val="Noto Sans CJK SC"/>
        <charset val="134"/>
      </rPr>
      <t>账龄</t>
    </r>
    <r>
      <rPr>
        <b/>
        <sz val="11"/>
        <color rgb="FFFFFFFF"/>
        <rFont val="微软雅黑"/>
        <charset val="1"/>
      </rPr>
      <t>(</t>
    </r>
    <r>
      <rPr>
        <b/>
        <sz val="11"/>
        <color rgb="FFFFFFFF"/>
        <rFont val="Noto Sans CJK SC"/>
        <charset val="134"/>
      </rPr>
      <t>天</t>
    </r>
    <r>
      <rPr>
        <b/>
        <sz val="11"/>
        <color rgb="FFFFFFFF"/>
        <rFont val="微软雅黑"/>
        <charset val="1"/>
      </rPr>
      <t>)</t>
    </r>
  </si>
  <si>
    <t>备注</t>
  </si>
  <si>
    <r>
      <rPr>
        <sz val="10"/>
        <rFont val="Noto Sans CJK SC"/>
        <charset val="134"/>
      </rPr>
      <t>客户</t>
    </r>
    <r>
      <rPr>
        <sz val="10"/>
        <rFont val="宋体"/>
        <charset val="1"/>
      </rPr>
      <t>3</t>
    </r>
  </si>
  <si>
    <r>
      <rPr>
        <sz val="10"/>
        <rFont val="宋体"/>
        <charset val="1"/>
      </rPr>
      <t>2025</t>
    </r>
    <r>
      <rPr>
        <sz val="10"/>
        <rFont val="Noto Sans CJK SC"/>
        <charset val="134"/>
      </rPr>
      <t>年结转项目</t>
    </r>
  </si>
  <si>
    <t>FP2025110001</t>
  </si>
  <si>
    <t>★示例发票，可整行删除</t>
  </si>
  <si>
    <t>FP20260601</t>
  </si>
  <si>
    <t>FP20260602</t>
  </si>
  <si>
    <t>中国电信股份有限公司和硕分公司</t>
  </si>
  <si>
    <t>2026-2-2-</t>
  </si>
  <si>
    <t>第二师民兵训练基地综合指挥系统平台云集成服务项目（陪标中标）</t>
  </si>
  <si>
    <t>中国电信巴州分公司2025年第二师GAJ视频监控平台、云集成服务项目设备及相关服务</t>
  </si>
  <si>
    <t>库尔楚计算机设备采购</t>
  </si>
  <si>
    <t>昌吉市第十小学智慧黑板</t>
  </si>
  <si>
    <t>昌吉市第五中学</t>
  </si>
  <si>
    <t>昌吉市第五中学采购6台黑板</t>
  </si>
  <si>
    <t>26年售后</t>
  </si>
  <si>
    <t>社管局准东学校三期实验楼设施设备配置项目（二次）追加</t>
  </si>
  <si>
    <t>第二师铁门关信息技术服务中心租赁云服务资源采购项目技术服务合同</t>
  </si>
  <si>
    <t>中国电信股份有限公司巴州分公司2026年铁门关市民中心视频汇聚改造提升项目</t>
  </si>
  <si>
    <t>中电信数智科技有限公司巴音郭楞蒙 古自治州分公司</t>
  </si>
  <si>
    <t>中电信数智巴州分公司 2026 年铁门关经济技术开发区化工园区周界防护</t>
  </si>
  <si>
    <t>项目采购项目]设备及相关服务采购合同</t>
  </si>
  <si>
    <t>玛纳斯县第一中学</t>
  </si>
  <si>
    <t>昌吉市第三幼儿园（陈垒）</t>
  </si>
  <si>
    <t>昌吉市十七小学教学设备采购项目</t>
  </si>
  <si>
    <t>:社管局准东学校三期实验楼设施设备配置项目(二次)</t>
  </si>
  <si>
    <t>以前公司的项目季总知道详细情况安排欢婷要的钱</t>
  </si>
  <si>
    <t>昌吉市第二小学学术报告厅灯光及扩声设备采购项目</t>
  </si>
  <si>
    <t>昌吉市第四中学</t>
  </si>
  <si>
    <t>2套黑板</t>
  </si>
  <si>
    <t>巴音郭楞蒙古自治州马兰中学</t>
  </si>
  <si>
    <t>马兰幼儿园增加工作量</t>
  </si>
  <si>
    <t>昌吉市第十小学智慧小学项目</t>
  </si>
  <si>
    <t>昌吉市第一小学机房项目</t>
  </si>
  <si>
    <t>天康生物股份有限公司</t>
  </si>
  <si>
    <t>小学创客教室方案（昌吉市第十九小学）</t>
  </si>
  <si>
    <t>昌吉市第二小学智慧安防系统改造项目</t>
  </si>
  <si>
    <t>新疆永旺信息技术有限公司</t>
  </si>
  <si>
    <t>张立猛30706合同，总合同是52908元</t>
  </si>
  <si>
    <t>新疆博创未来信息工程技术有限公司</t>
  </si>
  <si>
    <t>昌吉市第十二小学综合楼阶梯教室采购项目</t>
  </si>
  <si>
    <t>昌吉市第十二小学设计方案</t>
  </si>
  <si>
    <t>新疆生产建设兵团第二师交通运输局</t>
  </si>
  <si>
    <t>维护费</t>
  </si>
  <si>
    <t>昌吉市锐步电子科技有限公司</t>
  </si>
  <si>
    <t>昌吉州第三中学标准化考场建设采购项目</t>
  </si>
  <si>
    <t>张宝安项目设备维修费</t>
  </si>
  <si>
    <t>2026年新疆信友能源投资有限公司网格优化服务项目</t>
  </si>
  <si>
    <t>库尔勒天盛佳源安全技术防范工程有限公司</t>
  </si>
  <si>
    <t>宇视的摄像机2026年7月21日购买不合格卖出开发票</t>
  </si>
  <si>
    <t>昌吉市第八小学5G+课堂建设采购项目</t>
  </si>
  <si>
    <r>
      <rPr>
        <b/>
        <sz val="14"/>
        <color rgb="FF1F3864"/>
        <rFont val="Noto Sans CJK SC"/>
        <charset val="134"/>
      </rPr>
      <t xml:space="preserve">资金流水台账 — 全部公司 </t>
    </r>
    <r>
      <rPr>
        <b/>
        <sz val="14"/>
        <color rgb="FF1F3864"/>
        <rFont val="微软雅黑"/>
        <charset val="1"/>
      </rPr>
      <t xml:space="preserve">/ </t>
    </r>
    <r>
      <rPr>
        <b/>
        <sz val="14"/>
        <color rgb="FF1F3864"/>
        <rFont val="Noto Sans CJK SC"/>
        <charset val="134"/>
      </rPr>
      <t>全部账户，只在这一张表录一遍</t>
    </r>
  </si>
  <si>
    <r>
      <rPr>
        <b/>
        <sz val="10"/>
        <color rgb="FF1F3864"/>
        <rFont val="Noto Sans CJK SC"/>
        <charset val="134"/>
      </rPr>
      <t>资金总余额</t>
    </r>
    <r>
      <rPr>
        <b/>
        <sz val="10"/>
        <color rgb="FF1F3864"/>
        <rFont val="微软雅黑"/>
        <charset val="1"/>
      </rPr>
      <t>(</t>
    </r>
    <r>
      <rPr>
        <b/>
        <sz val="10"/>
        <color rgb="FF1F3864"/>
        <rFont val="Noto Sans CJK SC"/>
        <charset val="134"/>
      </rPr>
      <t>随筛选</t>
    </r>
    <r>
      <rPr>
        <b/>
        <sz val="10"/>
        <color rgb="FF1F3864"/>
        <rFont val="微软雅黑"/>
        <charset val="1"/>
      </rPr>
      <t>)</t>
    </r>
  </si>
  <si>
    <t>跨期笔数</t>
  </si>
  <si>
    <t>已录笔数</t>
  </si>
  <si>
    <t>筛选后合计→</t>
  </si>
  <si>
    <r>
      <rPr>
        <sz val="9"/>
        <color rgb="FF7F7F7F"/>
        <rFont val="Noto Sans CJK SC"/>
        <charset val="134"/>
      </rPr>
      <t>录入规则：①每笔银行流水一行，收入填</t>
    </r>
    <r>
      <rPr>
        <sz val="9"/>
        <color rgb="FF7F7F7F"/>
        <rFont val="宋体"/>
        <charset val="1"/>
      </rPr>
      <t>K</t>
    </r>
    <r>
      <rPr>
        <sz val="9"/>
        <color rgb="FF7F7F7F"/>
        <rFont val="Noto Sans CJK SC"/>
        <charset val="134"/>
      </rPr>
      <t>列、支出填</t>
    </r>
    <r>
      <rPr>
        <sz val="9"/>
        <color rgb="FF7F7F7F"/>
        <rFont val="宋体"/>
        <charset val="1"/>
      </rPr>
      <t>L</t>
    </r>
    <r>
      <rPr>
        <sz val="9"/>
        <color rgb="FF7F7F7F"/>
        <rFont val="Noto Sans CJK SC"/>
        <charset val="134"/>
      </rPr>
      <t>列（不要同时填）。②每个账户开账时录一行“期初余额”，收支类型选“期初余额”、金额填</t>
    </r>
    <r>
      <rPr>
        <sz val="9"/>
        <color rgb="FF7F7F7F"/>
        <rFont val="宋体"/>
        <charset val="1"/>
      </rPr>
      <t>M</t>
    </r>
    <r>
      <rPr>
        <sz val="9"/>
        <color rgb="FF7F7F7F"/>
        <rFont val="Noto Sans CJK SC"/>
        <charset val="134"/>
      </rPr>
      <t>列。③项目类收支必须选“项目名称”；支出属于项目成本的填</t>
    </r>
    <r>
      <rPr>
        <sz val="9"/>
        <color rgb="FF7F7F7F"/>
        <rFont val="宋体"/>
        <charset val="1"/>
      </rPr>
      <t>H</t>
    </r>
    <r>
      <rPr>
        <sz val="9"/>
        <color rgb="FF7F7F7F"/>
        <rFont val="Noto Sans CJK SC"/>
        <charset val="134"/>
      </rPr>
      <t>列成本类别，属于日常费用</t>
    </r>
    <r>
      <rPr>
        <sz val="9"/>
        <color rgb="FF7F7F7F"/>
        <rFont val="宋体"/>
        <charset val="1"/>
      </rPr>
      <t>/</t>
    </r>
    <r>
      <rPr>
        <sz val="9"/>
        <color rgb="FF7F7F7F"/>
        <rFont val="Noto Sans CJK SC"/>
        <charset val="134"/>
      </rPr>
      <t>税金的填</t>
    </r>
    <r>
      <rPr>
        <sz val="9"/>
        <color rgb="FF7F7F7F"/>
        <rFont val="宋体"/>
        <charset val="1"/>
      </rPr>
      <t>I</t>
    </r>
    <r>
      <rPr>
        <sz val="9"/>
        <color rgb="FF7F7F7F"/>
        <rFont val="Noto Sans CJK SC"/>
        <charset val="134"/>
      </rPr>
      <t>列费用类别。④跨期业务（如收到去年项目的尾款）在</t>
    </r>
    <r>
      <rPr>
        <sz val="9"/>
        <color rgb="FF7F7F7F"/>
        <rFont val="宋体"/>
        <charset val="1"/>
      </rPr>
      <t>P</t>
    </r>
    <r>
      <rPr>
        <sz val="9"/>
        <color rgb="FF7F7F7F"/>
        <rFont val="Noto Sans CJK SC"/>
        <charset val="134"/>
      </rPr>
      <t>列填业务归属月</t>
    </r>
    <r>
      <rPr>
        <sz val="9"/>
        <color rgb="FF7F7F7F"/>
        <rFont val="宋体"/>
        <charset val="1"/>
      </rPr>
      <t>(</t>
    </r>
    <r>
      <rPr>
        <sz val="9"/>
        <color rgb="FF7F7F7F"/>
        <rFont val="Noto Sans CJK SC"/>
        <charset val="134"/>
      </rPr>
      <t>如</t>
    </r>
    <r>
      <rPr>
        <sz val="9"/>
        <color rgb="FF7F7F7F"/>
        <rFont val="宋体"/>
        <charset val="1"/>
      </rPr>
      <t>202512)</t>
    </r>
    <r>
      <rPr>
        <sz val="9"/>
        <color rgb="FF7F7F7F"/>
        <rFont val="Noto Sans CJK SC"/>
        <charset val="134"/>
      </rPr>
      <t>，留空默认按发生月。⑤与发票或应收应付挂钩的，在</t>
    </r>
    <r>
      <rPr>
        <sz val="9"/>
        <color rgb="FF7F7F7F"/>
        <rFont val="宋体"/>
        <charset val="1"/>
      </rPr>
      <t>Q</t>
    </r>
    <r>
      <rPr>
        <sz val="9"/>
        <color rgb="FF7F7F7F"/>
        <rFont val="Noto Sans CJK SC"/>
        <charset val="134"/>
      </rPr>
      <t>列填同一个“关联单号”即可自动核销。灰色</t>
    </r>
    <r>
      <rPr>
        <sz val="9"/>
        <color rgb="FF7F7F7F"/>
        <rFont val="宋体"/>
        <charset val="1"/>
      </rPr>
      <t>S~X</t>
    </r>
    <r>
      <rPr>
        <sz val="9"/>
        <color rgb="FF7F7F7F"/>
        <rFont val="Noto Sans CJK SC"/>
        <charset val="134"/>
      </rPr>
      <t>列是自动计算，请勿手输。</t>
    </r>
  </si>
  <si>
    <t>日期</t>
  </si>
  <si>
    <t>账户</t>
  </si>
  <si>
    <r>
      <rPr>
        <b/>
        <sz val="11"/>
        <color rgb="FFFFFFFF"/>
        <rFont val="Noto Sans CJK SC"/>
        <charset val="134"/>
      </rPr>
      <t>公司</t>
    </r>
    <r>
      <rPr>
        <b/>
        <sz val="11"/>
        <color rgb="FFFFFFFF"/>
        <rFont val="微软雅黑"/>
        <charset val="1"/>
      </rPr>
      <t>(</t>
    </r>
    <r>
      <rPr>
        <b/>
        <sz val="11"/>
        <color rgb="FFFFFFFF"/>
        <rFont val="Noto Sans CJK SC"/>
        <charset val="134"/>
      </rPr>
      <t>自动</t>
    </r>
    <r>
      <rPr>
        <b/>
        <sz val="11"/>
        <color rgb="FFFFFFFF"/>
        <rFont val="微软雅黑"/>
        <charset val="1"/>
      </rPr>
      <t>)</t>
    </r>
  </si>
  <si>
    <t>收支类型</t>
  </si>
  <si>
    <t>摘要内容</t>
  </si>
  <si>
    <t>收入金额</t>
  </si>
  <si>
    <t>支出金额</t>
  </si>
  <si>
    <t>余额</t>
  </si>
  <si>
    <r>
      <rPr>
        <b/>
        <sz val="11"/>
        <color rgb="FFFFFFFF"/>
        <rFont val="Noto Sans CJK SC"/>
        <charset val="134"/>
      </rPr>
      <t xml:space="preserve">业务归属月
</t>
    </r>
    <r>
      <rPr>
        <b/>
        <sz val="11"/>
        <color rgb="FFFFFFFF"/>
        <rFont val="微软雅黑"/>
        <charset val="1"/>
      </rPr>
      <t>(</t>
    </r>
    <r>
      <rPr>
        <b/>
        <sz val="11"/>
        <color rgb="FFFFFFFF"/>
        <rFont val="Noto Sans CJK SC"/>
        <charset val="134"/>
      </rPr>
      <t>跨期时填</t>
    </r>
    <r>
      <rPr>
        <b/>
        <sz val="11"/>
        <color rgb="FFFFFFFF"/>
        <rFont val="微软雅黑"/>
        <charset val="1"/>
      </rPr>
      <t>)</t>
    </r>
  </si>
  <si>
    <r>
      <rPr>
        <b/>
        <sz val="11"/>
        <color rgb="FFFFFFFF"/>
        <rFont val="Noto Sans CJK SC"/>
        <charset val="134"/>
      </rPr>
      <t xml:space="preserve">关联单号
</t>
    </r>
    <r>
      <rPr>
        <b/>
        <sz val="11"/>
        <color rgb="FFFFFFFF"/>
        <rFont val="微软雅黑"/>
        <charset val="1"/>
      </rPr>
      <t>(</t>
    </r>
    <r>
      <rPr>
        <b/>
        <sz val="11"/>
        <color rgb="FFFFFFFF"/>
        <rFont val="Noto Sans CJK SC"/>
        <charset val="134"/>
      </rPr>
      <t>发票号</t>
    </r>
    <r>
      <rPr>
        <b/>
        <sz val="11"/>
        <color rgb="FFFFFFFF"/>
        <rFont val="微软雅黑"/>
        <charset val="1"/>
      </rPr>
      <t>/</t>
    </r>
    <r>
      <rPr>
        <b/>
        <sz val="11"/>
        <color rgb="FFFFFFFF"/>
        <rFont val="Noto Sans CJK SC"/>
        <charset val="134"/>
      </rPr>
      <t>往来号</t>
    </r>
    <r>
      <rPr>
        <b/>
        <sz val="11"/>
        <color rgb="FFFFFFFF"/>
        <rFont val="微软雅黑"/>
        <charset val="1"/>
      </rPr>
      <t>)</t>
    </r>
  </si>
  <si>
    <t>发生月</t>
  </si>
  <si>
    <t>归属月</t>
  </si>
  <si>
    <t>跨期</t>
  </si>
  <si>
    <t>项目行号</t>
  </si>
  <si>
    <t>支出大类</t>
  </si>
  <si>
    <t>期初余额</t>
  </si>
  <si>
    <t>★请填入该账户实际期初余额</t>
  </si>
  <si>
    <t>备用6</t>
  </si>
  <si>
    <t>收入</t>
  </si>
  <si>
    <t>收中国电信股份有限公司新疆分公司货款</t>
  </si>
  <si>
    <r>
      <rPr>
        <sz val="10"/>
        <rFont val="Noto Sans CJK SC"/>
        <charset val="134"/>
      </rPr>
      <t>示例：由</t>
    </r>
    <r>
      <rPr>
        <sz val="10"/>
        <rFont val="宋体"/>
        <charset val="1"/>
      </rPr>
      <t>2026</t>
    </r>
    <r>
      <rPr>
        <sz val="10"/>
        <rFont val="Noto Sans CJK SC"/>
        <charset val="134"/>
      </rPr>
      <t>年</t>
    </r>
    <r>
      <rPr>
        <sz val="10"/>
        <rFont val="宋体"/>
        <charset val="1"/>
      </rPr>
      <t>6</t>
    </r>
    <r>
      <rPr>
        <sz val="10"/>
        <rFont val="Noto Sans CJK SC"/>
        <charset val="134"/>
      </rPr>
      <t>月原表导入</t>
    </r>
  </si>
  <si>
    <t>收中移建设有限公司新疆分公司货款</t>
  </si>
  <si>
    <t>收北京竞业达数码科技股份有限公司</t>
  </si>
  <si>
    <t>支出</t>
  </si>
  <si>
    <t>付款手续费</t>
  </si>
  <si>
    <t>年终奖</t>
  </si>
  <si>
    <t>付季新军工资</t>
  </si>
  <si>
    <t>付席科工资</t>
  </si>
  <si>
    <t>付高愉工资</t>
  </si>
  <si>
    <t>付张宝婷工资</t>
  </si>
  <si>
    <t>付何春华工资</t>
  </si>
  <si>
    <t>付陈垒工资</t>
  </si>
  <si>
    <t>付叶创将工资</t>
  </si>
  <si>
    <t>付侯云霞工资</t>
  </si>
  <si>
    <t>付邱雅静工资</t>
  </si>
  <si>
    <t>付戚盈丽工资</t>
  </si>
  <si>
    <t>付陈冬梅工资</t>
  </si>
  <si>
    <t>付钟苗工资</t>
  </si>
  <si>
    <t>付吴佳慧工资</t>
  </si>
  <si>
    <t>付何春华误餐费</t>
  </si>
  <si>
    <t>付高愉误餐费</t>
  </si>
  <si>
    <t>付何春华差旅费</t>
  </si>
  <si>
    <t>付高愉差旅费</t>
  </si>
  <si>
    <t>付席科业务执行费</t>
  </si>
  <si>
    <t>付高愉业务执行费</t>
  </si>
  <si>
    <t>付何春华业务执行费</t>
  </si>
  <si>
    <t>付陈垒业务执行费</t>
  </si>
  <si>
    <t>付叶创将业务执行费</t>
  </si>
  <si>
    <t>付邱雅静业务执行费</t>
  </si>
  <si>
    <r>
      <rPr>
        <sz val="10"/>
        <rFont val="Noto Sans CJK SC"/>
        <charset val="134"/>
      </rPr>
      <t>供应商</t>
    </r>
    <r>
      <rPr>
        <sz val="10"/>
        <rFont val="宋体"/>
        <charset val="1"/>
      </rPr>
      <t>1</t>
    </r>
  </si>
  <si>
    <t>付戚盈丽业务执行费</t>
  </si>
  <si>
    <t>付陈冬梅业务执行费</t>
  </si>
  <si>
    <t>付钟苗业务执行费</t>
  </si>
  <si>
    <r>
      <rPr>
        <sz val="10"/>
        <rFont val="Noto Sans CJK SC"/>
        <charset val="134"/>
      </rPr>
      <t>供应商</t>
    </r>
    <r>
      <rPr>
        <sz val="10"/>
        <rFont val="宋体"/>
        <charset val="1"/>
      </rPr>
      <t>2</t>
    </r>
  </si>
  <si>
    <t>付吴佳慧业务执行费</t>
  </si>
  <si>
    <t>缴纳所得税</t>
  </si>
  <si>
    <t>缴纳工会经费</t>
  </si>
  <si>
    <t>缴纳增值税</t>
  </si>
  <si>
    <t>缴纳附加税</t>
  </si>
  <si>
    <t>缴纳印花税</t>
  </si>
  <si>
    <r>
      <rPr>
        <sz val="10"/>
        <rFont val="Noto Sans CJK SC"/>
        <charset val="134"/>
      </rPr>
      <t>供应商</t>
    </r>
    <r>
      <rPr>
        <sz val="10"/>
        <rFont val="宋体"/>
        <charset val="1"/>
      </rPr>
      <t>3</t>
    </r>
  </si>
  <si>
    <t>缴纳养老保险</t>
  </si>
  <si>
    <t>缴纳医疗保险</t>
  </si>
  <si>
    <r>
      <rPr>
        <sz val="10"/>
        <rFont val="Noto Sans CJK SC"/>
        <charset val="134"/>
      </rPr>
      <t>供应商</t>
    </r>
    <r>
      <rPr>
        <sz val="10"/>
        <rFont val="宋体"/>
        <charset val="1"/>
      </rPr>
      <t>4</t>
    </r>
  </si>
  <si>
    <t>付中国平安财产保险股份有限公司乌鲁木齐中心支公司车保险</t>
  </si>
  <si>
    <t>项目-材料</t>
  </si>
  <si>
    <t>付伊犁海智泓商贸有限公司空调</t>
  </si>
  <si>
    <t>付邱雅静报销款</t>
  </si>
  <si>
    <t>付乌鲁木齐市盛兴隆商贸有限公司话筒线等</t>
  </si>
  <si>
    <t>付乌鲁木齐市盛兴隆商贸有限公司话筒</t>
  </si>
  <si>
    <t>付新疆佳誉创新电子商务有限公司打印机</t>
  </si>
  <si>
    <t>付季新军报销款</t>
  </si>
  <si>
    <t>付昌吉市美雅装饰店辅材</t>
  </si>
  <si>
    <t>项目-人工</t>
  </si>
  <si>
    <t>付昌吉市聚合铭创广告文化传播中心施工费</t>
  </si>
  <si>
    <t>付昌吉市李小强装饰材料经销部心理咨询室软包装修</t>
  </si>
  <si>
    <t>付昌吉市鑫宏盛广告服务部商务费</t>
  </si>
  <si>
    <t>付昌吉市成达护栏网片铁件销售部施工费</t>
  </si>
  <si>
    <t>付高愉报销款</t>
  </si>
  <si>
    <t>付陈垒报销款</t>
  </si>
  <si>
    <t>收巴州筑磊建材有限公司退回材料款</t>
  </si>
  <si>
    <t>付乌鲁木齐头屯河区芯智联电子设备经销部补光灯</t>
  </si>
  <si>
    <t>付赵刚安装费</t>
  </si>
  <si>
    <r>
      <rPr>
        <sz val="10"/>
        <rFont val="Noto Sans CJK SC"/>
        <charset val="134"/>
      </rPr>
      <t>项目</t>
    </r>
    <r>
      <rPr>
        <sz val="10"/>
        <rFont val="宋体"/>
        <charset val="1"/>
      </rPr>
      <t>-</t>
    </r>
    <r>
      <rPr>
        <sz val="10"/>
        <rFont val="Noto Sans CJK SC"/>
        <charset val="134"/>
      </rPr>
      <t>材料</t>
    </r>
  </si>
  <si>
    <t>付新疆华耀信达信息科技有限公司智慧黑板</t>
  </si>
  <si>
    <t>付上海丝路疆至造科技有限公司数据采集器</t>
  </si>
  <si>
    <t>付昌吉市艺欧窗帘经营中心窗帘</t>
  </si>
  <si>
    <t>付乌鲁木齐图腾讯科电子科技有限公司机柜</t>
  </si>
  <si>
    <t>付库尔勒今日兴盛五金建材店（个体工商户五金</t>
  </si>
  <si>
    <t>付铁门关市昊翼商贸有限公司网线</t>
  </si>
  <si>
    <t>付铁门关市昊翼商贸有限公司施工费</t>
  </si>
  <si>
    <t>付新疆鲲鹏特变线缆有限公司紫外线消毒灯</t>
  </si>
  <si>
    <t>付新疆众利创兴电子科技有限公司电视</t>
  </si>
  <si>
    <t>项目-零星开支</t>
  </si>
  <si>
    <t>付北京竞业达数码科技股份有限公司保函费</t>
  </si>
  <si>
    <r>
      <rPr>
        <sz val="10.5"/>
        <color rgb="FF606266"/>
        <rFont val="宋体"/>
        <charset val="134"/>
      </rPr>
      <t>付新疆博远恒业电子科技有限公司</t>
    </r>
    <r>
      <rPr>
        <sz val="10.5"/>
        <color rgb="FF606266"/>
        <rFont val="PingFang SC"/>
        <charset val="134"/>
      </rPr>
      <t>LED</t>
    </r>
  </si>
  <si>
    <t>付新疆世纪昶泰家具有限公司主席台等</t>
  </si>
  <si>
    <t>付新疆亿安达科技发展有限公司防火墙技术服务费</t>
  </si>
  <si>
    <t>付巴州恒业视讯网络科技有限公司熔纤费</t>
  </si>
  <si>
    <t>付新疆隆昌天弘金属制品制造有限公司操作台</t>
  </si>
  <si>
    <t>付新疆福睿鑫办公家具有限公司椅子等</t>
  </si>
  <si>
    <t>付昌吉市振安电子经销部施工费</t>
  </si>
  <si>
    <t>付乌鲁木齐头屯河区芯智联电子设备经销部施工费</t>
  </si>
  <si>
    <t>付新华互联电子商务有限责任公司图书</t>
  </si>
  <si>
    <t>付晋鲁科技（北京）有限责任公司技术服务费</t>
  </si>
  <si>
    <t>付乌鲁木齐市米东区锦恒冠皮革布艺经营部软包</t>
  </si>
  <si>
    <t>中石油新疆销售有限公司昌吉分公司</t>
  </si>
  <si>
    <t>项目-运费</t>
  </si>
  <si>
    <t>付北京知鸟供应链管理有限公司图书运费</t>
  </si>
  <si>
    <r>
      <rPr>
        <sz val="10.5"/>
        <color rgb="FF606266"/>
        <rFont val="宋体"/>
        <charset val="134"/>
      </rPr>
      <t>付昌吉市艺雅装饰设计工作室</t>
    </r>
    <r>
      <rPr>
        <sz val="10.5"/>
        <color rgb="FF606266"/>
        <rFont val="PingFang SC"/>
        <charset val="134"/>
      </rPr>
      <t>(</t>
    </r>
    <r>
      <rPr>
        <sz val="10.5"/>
        <color rgb="FF606266"/>
        <rFont val="宋体"/>
        <charset val="134"/>
      </rPr>
      <t>个体工商户</t>
    </r>
    <r>
      <rPr>
        <sz val="10.5"/>
        <color rgb="FF606266"/>
        <rFont val="PingFang SC"/>
        <charset val="134"/>
      </rPr>
      <t>)</t>
    </r>
    <r>
      <rPr>
        <sz val="10.5"/>
        <color rgb="FF606266"/>
        <rFont val="宋体"/>
        <charset val="134"/>
      </rPr>
      <t>辅材</t>
    </r>
  </si>
  <si>
    <t>付上海美冠办公家具有限公司演播台</t>
  </si>
  <si>
    <t>付新疆翼企飞航空科技有限公司大疆无人机，口袋摄像机</t>
  </si>
  <si>
    <t>付铁门关市小耿汽车修理店维修费</t>
  </si>
  <si>
    <t>付库尔勒经济技术开发区建宏汽车养护服务中心维修费</t>
  </si>
  <si>
    <t>付齐鲁宏博教育装备集团有限公司教学仪器设备</t>
  </si>
  <si>
    <t>付新疆博远恒业电子科技有限公司LED</t>
  </si>
  <si>
    <t>付上海赛途物流有限公司运费</t>
  </si>
  <si>
    <t>付西安华讯得贸易有限公司耳机</t>
  </si>
  <si>
    <r>
      <rPr>
        <sz val="10.5"/>
        <color rgb="FF606266"/>
        <rFont val="宋体"/>
        <charset val="134"/>
      </rPr>
      <t>付昌吉市智博安防设备经营店</t>
    </r>
    <r>
      <rPr>
        <sz val="10.5"/>
        <color rgb="FF606266"/>
        <rFont val="PingFang SC"/>
        <charset val="134"/>
      </rPr>
      <t>(</t>
    </r>
    <r>
      <rPr>
        <sz val="10.5"/>
        <color rgb="FF606266"/>
        <rFont val="宋体"/>
        <charset val="134"/>
      </rPr>
      <t>个体工商户</t>
    </r>
    <r>
      <rPr>
        <sz val="10.5"/>
        <color rgb="FF606266"/>
        <rFont val="PingFang SC"/>
        <charset val="134"/>
      </rPr>
      <t>)</t>
    </r>
    <r>
      <rPr>
        <sz val="10.5"/>
        <color rgb="FF606266"/>
        <rFont val="宋体"/>
        <charset val="134"/>
      </rPr>
      <t>施工费</t>
    </r>
  </si>
  <si>
    <t>付新疆隆昌天弘金属制品制造有限公司机柜</t>
  </si>
  <si>
    <t>付昌吉市久加玖烟酒商行酒款</t>
  </si>
  <si>
    <t>付席科报销款</t>
  </si>
  <si>
    <t>付钟苗报销款</t>
  </si>
  <si>
    <t>付吴佳慧报销款</t>
  </si>
  <si>
    <t>付新疆嘉瑞天创网络科技有限公司摄像机等</t>
  </si>
  <si>
    <t>乌鲁木齐迅安特电子有限公司</t>
  </si>
  <si>
    <t>付昌吉市智创商贸有限公司墨粉等</t>
  </si>
  <si>
    <t>付五家渠松佳金属制品有限公司</t>
  </si>
  <si>
    <t>昌吉市第一小学新项目就一个展台</t>
  </si>
  <si>
    <t>付杭州海康威视科技有限公司视频展台</t>
  </si>
  <si>
    <t>付王玮朝奖金</t>
  </si>
  <si>
    <t>付王玮朝借款</t>
  </si>
  <si>
    <t>缴纳企业所得税</t>
  </si>
  <si>
    <t>缴纳养老</t>
  </si>
  <si>
    <r>
      <rPr>
        <sz val="10"/>
        <rFont val="Noto Sans CJK SC"/>
        <charset val="134"/>
      </rPr>
      <t>客户</t>
    </r>
    <r>
      <rPr>
        <sz val="10"/>
        <rFont val="宋体"/>
        <charset val="1"/>
      </rPr>
      <t>1</t>
    </r>
  </si>
  <si>
    <t>缴纳医疗</t>
  </si>
  <si>
    <t>付王玮朝工资</t>
  </si>
  <si>
    <t>付沈晓霞工资</t>
  </si>
  <si>
    <t>付沈晓霞年终奖</t>
  </si>
  <si>
    <t>缴纳增值税及附加税</t>
  </si>
  <si>
    <t>缴纳实收资本印花税</t>
  </si>
  <si>
    <t>付上海展天科教仪器装备工程有限公司地理教室设备</t>
  </si>
  <si>
    <t>上海展天科教仪器装备工程有限公司</t>
  </si>
  <si>
    <t>付北京知鸟供应链管理有限公司运费</t>
  </si>
  <si>
    <t>昌吉市小龙人机械租赁部（个体工商户）</t>
  </si>
  <si>
    <t>付新疆准东经济技术开发区长弓数智科技有限公司安装费</t>
  </si>
  <si>
    <t>★跨期示例行，可整行删除</t>
  </si>
  <si>
    <t>收新疆八达科技发展有限公司材料款</t>
  </si>
  <si>
    <t>YF202512001</t>
  </si>
  <si>
    <t>昌吉市小龙人机械租赁部（个体工商户</t>
  </si>
  <si>
    <t>★发票核销示例行，可整行删除</t>
  </si>
  <si>
    <t>昌吉市坤捷机械租赁部（个体工商户）</t>
  </si>
  <si>
    <t>新疆盛世强隆金属制品有限公司</t>
  </si>
  <si>
    <t>新疆华顺高科信息技术有限公司</t>
  </si>
  <si>
    <t>付张欢婷报销款</t>
  </si>
  <si>
    <t>付应昊东工资</t>
  </si>
  <si>
    <t>付张欢婷工资</t>
  </si>
  <si>
    <t>付张欢婷奖金</t>
  </si>
  <si>
    <t>昌吉市成达护栏网片铁件销售部</t>
  </si>
  <si>
    <t>昌吉市智博安防设备经营店(个体工商户)</t>
  </si>
  <si>
    <t>付席晨报销款（席科报销款）</t>
  </si>
  <si>
    <t>付席晨差旅费</t>
  </si>
  <si>
    <t>付席晨工资</t>
  </si>
  <si>
    <t>付席晨年终奖</t>
  </si>
  <si>
    <t>乌鲁木齐市米东区苏杰全钢防静电地板经销部</t>
  </si>
  <si>
    <t>付张欢婷话费</t>
  </si>
  <si>
    <t>付叶创将交换机款</t>
  </si>
  <si>
    <t>付何春华垫付个人生产经营所得税</t>
  </si>
  <si>
    <t>付席科</t>
  </si>
  <si>
    <t>付何春华</t>
  </si>
  <si>
    <t>付马娟娟标书费</t>
  </si>
  <si>
    <t>付邱雅静</t>
  </si>
  <si>
    <t>付张选巴加工资</t>
  </si>
  <si>
    <t>付夏千喜工资</t>
  </si>
  <si>
    <r>
      <rPr>
        <sz val="10.5"/>
        <color rgb="FF606266"/>
        <rFont val="宋体"/>
        <charset val="134"/>
      </rPr>
      <t>付阿不都热合曼</t>
    </r>
    <r>
      <rPr>
        <sz val="10.5"/>
        <color rgb="FF606266"/>
        <rFont val="PingFang SC"/>
        <charset val="134"/>
      </rPr>
      <t>·</t>
    </r>
    <r>
      <rPr>
        <sz val="10.5"/>
        <color rgb="FF606266"/>
        <rFont val="宋体"/>
        <charset val="134"/>
      </rPr>
      <t>托呼提工资</t>
    </r>
  </si>
  <si>
    <t>付叶创将（叶一丞工资）</t>
  </si>
  <si>
    <t>付于妙启</t>
  </si>
  <si>
    <t>付李泽金工资</t>
  </si>
  <si>
    <t>付赵佳佳</t>
  </si>
  <si>
    <t>付王金工资</t>
  </si>
  <si>
    <t>付种洋工资</t>
  </si>
  <si>
    <t>付夏千喜（季总报销款）</t>
  </si>
  <si>
    <t>付钟苗报销款（沈晓霞报销款）</t>
  </si>
  <si>
    <t>付网银账户服务费</t>
  </si>
  <si>
    <t>付回单手续费</t>
  </si>
  <si>
    <t>付待报解预算收入 印花税</t>
  </si>
  <si>
    <t>付何春华垫付税款</t>
  </si>
  <si>
    <t>付付款手续费</t>
  </si>
  <si>
    <t>付网银服务费</t>
  </si>
  <si>
    <t>收赎回理财利息</t>
  </si>
  <si>
    <t>付张宝安工资</t>
  </si>
  <si>
    <t>付张宝安业务执行费</t>
  </si>
  <si>
    <t>收中国电信股份有限公司新疆分公司服务费</t>
  </si>
  <si>
    <t>中国电信股份有限公司新疆分公司</t>
  </si>
  <si>
    <t>付吴佳慧2月工资</t>
  </si>
  <si>
    <t>付乾程理想（新疆）信息技术有限公司打印机</t>
  </si>
  <si>
    <t>付王红施工费</t>
  </si>
  <si>
    <t>付昌吉市李子铁皮加工店施工费（厨房油烟管道）</t>
  </si>
  <si>
    <t>付新疆麦盟商贸有限公司化妆品</t>
  </si>
  <si>
    <t>付新疆浩博闻达通信设备有限公司手机</t>
  </si>
  <si>
    <t>付李卓牛羊肉</t>
  </si>
  <si>
    <t>昌吉市乡思食品店</t>
  </si>
  <si>
    <t>新华互联电子商务有限责任公司</t>
  </si>
  <si>
    <t>付乌鲁木齐市米东区猛火厨具商行衣柜等</t>
  </si>
  <si>
    <t>付叶创将报销款</t>
  </si>
  <si>
    <t>付西安华讯得贸易有限公司固态硬盘</t>
  </si>
  <si>
    <t>付新疆翼企飞航空科技有限公司收纳包，飞行电池</t>
  </si>
  <si>
    <t>付张宝安办油卡</t>
  </si>
  <si>
    <t>付昌吉市金域牛羊肉零售店牛肉</t>
  </si>
  <si>
    <t>付康仁杰修理费</t>
  </si>
  <si>
    <t>付张选巴加卸货费</t>
  </si>
  <si>
    <r>
      <rPr>
        <sz val="10.5"/>
        <color rgb="FF606266"/>
        <rFont val="宋体"/>
        <charset val="134"/>
      </rPr>
      <t>付昌吉市智博安防设备经营店</t>
    </r>
    <r>
      <rPr>
        <sz val="10.5"/>
        <color rgb="FF606266"/>
        <rFont val="PingFang SC"/>
        <charset val="134"/>
      </rPr>
      <t>(</t>
    </r>
    <r>
      <rPr>
        <sz val="10.5"/>
        <color rgb="FF606266"/>
        <rFont val="宋体"/>
        <charset val="134"/>
      </rPr>
      <t>个体工商户</t>
    </r>
    <r>
      <rPr>
        <sz val="10.5"/>
        <color rgb="FF606266"/>
        <rFont val="PingFang SC"/>
        <charset val="134"/>
      </rPr>
      <t>)</t>
    </r>
    <r>
      <rPr>
        <sz val="10.5"/>
        <color rgb="FF606266"/>
        <rFont val="宋体"/>
        <charset val="134"/>
      </rPr>
      <t>施工费尾款</t>
    </r>
  </si>
  <si>
    <t>付昌吉市建兴建材经营部辅材</t>
  </si>
  <si>
    <t>付深圳市惠尔讯科技有限公司服务费</t>
  </si>
  <si>
    <t>付张宝安报销款</t>
  </si>
  <si>
    <t>付汪俊磊服务费</t>
  </si>
  <si>
    <t>付铁门关市清海商贸中心服务费</t>
  </si>
  <si>
    <t>付焉耆晓伟技术服务部服务费</t>
  </si>
  <si>
    <t>付刘涛施工费</t>
  </si>
  <si>
    <t>付新疆正祥有限责任会计师事务所审计费</t>
  </si>
  <si>
    <t>付昌吉市李子铁皮加工店施工费厨房水路改造</t>
  </si>
  <si>
    <t>付库尔勒雷电雨电子产品经营部录像机</t>
  </si>
  <si>
    <t>付铁门关市昊翼商贸有限公司维护费</t>
  </si>
  <si>
    <t>付库尔勒翼浩晨电信营业厅制作费</t>
  </si>
  <si>
    <t>付晋鲁科技（北京）有限责任公司服务费</t>
  </si>
  <si>
    <t>付新疆盛世华艺文化传媒有限公司维护费</t>
  </si>
  <si>
    <t>咸阳知乐宝汽车销售服务有限公司</t>
  </si>
  <si>
    <t>付昌吉市合创物业服务有限公司办公室电费</t>
  </si>
  <si>
    <t>付昌吉市优选图文设计工作室设计费</t>
  </si>
  <si>
    <t>昌吉市第七小学书写屏维修项目采购融控一体机</t>
  </si>
  <si>
    <r>
      <rPr>
        <sz val="10.5"/>
        <color rgb="FF606266"/>
        <rFont val="宋体"/>
        <charset val="134"/>
      </rPr>
      <t>付高新区（新市区）北京中路中鑫财院通讯店</t>
    </r>
    <r>
      <rPr>
        <sz val="10.5"/>
        <color rgb="FF606266"/>
        <rFont val="PingFang SC"/>
        <charset val="134"/>
      </rPr>
      <t>88</t>
    </r>
    <r>
      <rPr>
        <sz val="10.5"/>
        <color rgb="FF606266"/>
        <rFont val="宋体"/>
        <charset val="134"/>
      </rPr>
      <t>寸触控一体机</t>
    </r>
  </si>
  <si>
    <t>付新疆鼎盛千驹食品有限公司马肉马肠</t>
  </si>
  <si>
    <t>付叶创将借款</t>
  </si>
  <si>
    <t>收基本户转账</t>
  </si>
  <si>
    <t>付可克达拉市楼邦建材店腻子粉</t>
  </si>
  <si>
    <t>昌吉市鑫博雅广告工作室</t>
  </si>
  <si>
    <r>
      <rPr>
        <sz val="10.5"/>
        <color rgb="FF606266"/>
        <rFont val="宋体"/>
        <charset val="134"/>
      </rPr>
      <t>付昌吉市海涛装饰设计工作室</t>
    </r>
    <r>
      <rPr>
        <sz val="10.5"/>
        <color rgb="FF606266"/>
        <rFont val="PingFang SC"/>
        <charset val="134"/>
      </rPr>
      <t>(</t>
    </r>
    <r>
      <rPr>
        <sz val="10.5"/>
        <color rgb="FF606266"/>
        <rFont val="宋体"/>
        <charset val="134"/>
      </rPr>
      <t>个体工商户）安装费</t>
    </r>
  </si>
  <si>
    <t>付昌吉市鑫博雅广告工作室服务费</t>
  </si>
  <si>
    <t>付新疆恒睿建设工程有限公司借款</t>
  </si>
  <si>
    <t>付网银管理费</t>
  </si>
  <si>
    <t>付结构性存款</t>
  </si>
  <si>
    <t>新疆准东经济技术开发区管理委员会财政局</t>
  </si>
  <si>
    <t>付应昊东工资（</t>
  </si>
  <si>
    <t>付曲金龙施工费</t>
  </si>
  <si>
    <t>付昌吉市腾乐办公设备经销中心凭证机</t>
  </si>
  <si>
    <t>收克孜勒苏柯尔克孜自治州教育局货款</t>
  </si>
  <si>
    <t>付席晨奖金</t>
  </si>
  <si>
    <t>付席晨报销款</t>
  </si>
  <si>
    <t>赎回理财</t>
  </si>
  <si>
    <t>付乌鲁木齐市沙依巴克区河滩北路沐柏信息技术部（个体工商户）施工费</t>
  </si>
  <si>
    <t>付五家渠芳草湖农场爱佳优鲜超市水果</t>
  </si>
  <si>
    <t>付新疆友好（集团）股份有限公司天山百货大楼化妆品</t>
  </si>
  <si>
    <t>付昌吉市天翔智博电子科技商行辅材</t>
  </si>
  <si>
    <r>
      <rPr>
        <sz val="10.5"/>
        <color rgb="FF606266"/>
        <rFont val="宋体"/>
        <charset val="134"/>
      </rPr>
      <t>付昌吉市海涛装饰设计工作室</t>
    </r>
    <r>
      <rPr>
        <sz val="10.5"/>
        <color rgb="FF606266"/>
        <rFont val="PingFang SC"/>
        <charset val="134"/>
      </rPr>
      <t>(</t>
    </r>
    <r>
      <rPr>
        <sz val="10.5"/>
        <color rgb="FF606266"/>
        <rFont val="宋体"/>
        <charset val="134"/>
      </rPr>
      <t>个体工商户）</t>
    </r>
  </si>
  <si>
    <t>昌吉市建兴建材经营部</t>
  </si>
  <si>
    <t>付叶创将华三交换机</t>
  </si>
  <si>
    <t>付张奇超临时工工资</t>
  </si>
  <si>
    <r>
      <rPr>
        <sz val="10.5"/>
        <color rgb="FF606266"/>
        <rFont val="宋体"/>
        <charset val="134"/>
      </rPr>
      <t>付图尔荪江</t>
    </r>
    <r>
      <rPr>
        <sz val="10.5"/>
        <color rgb="FF606266"/>
        <rFont val="PingFang SC"/>
        <charset val="134"/>
      </rPr>
      <t>·</t>
    </r>
    <r>
      <rPr>
        <sz val="10.5"/>
        <color rgb="FF606266"/>
        <rFont val="宋体"/>
        <charset val="134"/>
      </rPr>
      <t>麦麦提工资</t>
    </r>
  </si>
  <si>
    <t>付叶创将（叶一丞）工资</t>
  </si>
  <si>
    <t>付马晓伟货款</t>
  </si>
  <si>
    <t>收利息</t>
  </si>
  <si>
    <t>收昌吉市财政局</t>
  </si>
  <si>
    <t>收结构性存款利息</t>
  </si>
  <si>
    <t>付增值税</t>
  </si>
  <si>
    <t>付养老保险</t>
  </si>
  <si>
    <t>付医疗保险</t>
  </si>
  <si>
    <t>付附加税</t>
  </si>
  <si>
    <t>收中电信数智科技有限公司昌吉分公司服务费</t>
  </si>
  <si>
    <t>付康任杰修车费</t>
  </si>
  <si>
    <t>付昌吉市海创装饰店施工费</t>
  </si>
  <si>
    <t>付新疆准东经济技术开发区新源恒邦物业管理有限公司房租</t>
  </si>
  <si>
    <t>付新疆云视智能科技有限公司麦克风、音响</t>
  </si>
  <si>
    <t>付广东奥滤环保科技有限公司直饮机</t>
  </si>
  <si>
    <t>付席科报销款（张欢婷报销款）</t>
  </si>
  <si>
    <t>付张宝安报销款（王金）</t>
  </si>
  <si>
    <t>付王永虎货款</t>
  </si>
  <si>
    <t>付新疆玉龙腾飞科技有限公司LED显示屏控制器</t>
  </si>
  <si>
    <t>付李小兰房租</t>
  </si>
  <si>
    <t>付李小兰房租押金</t>
  </si>
  <si>
    <t>付新疆众利创兴电子科技有限公司空调</t>
  </si>
  <si>
    <t>付礼泉县绿意盈商贸有限公司酒款</t>
  </si>
  <si>
    <t>付新疆恒瑞盛达科技发展有限公司显示器，鼠标</t>
  </si>
  <si>
    <t>付季新军报销款过路费，加油费</t>
  </si>
  <si>
    <t>付昌吉市陈风霞建材经销部空调</t>
  </si>
  <si>
    <t>付巴州聚福聚省鑫房屋租赁有限公司中介费</t>
  </si>
  <si>
    <t>付新疆润天国龙电子科技有限公司安检设备</t>
  </si>
  <si>
    <t>付新疆恒瑞盛达科技发展有限公司电脑</t>
  </si>
  <si>
    <t>付何春华报销款（小夏报销款）</t>
  </si>
  <si>
    <t>付中石油新疆销售有限公司昌吉分公司油卡充值</t>
  </si>
  <si>
    <t>付新疆星科共为电子科技有限公司黑板</t>
  </si>
  <si>
    <t>昌吉市艺雅装饰设计工作室(个体工商户)</t>
  </si>
  <si>
    <t>昌吉市海创装饰店</t>
  </si>
  <si>
    <r>
      <rPr>
        <sz val="10.5"/>
        <color rgb="FF606266"/>
        <rFont val="宋体"/>
        <charset val="134"/>
      </rPr>
      <t>付京东平台交易资金专户</t>
    </r>
    <r>
      <rPr>
        <sz val="10.5"/>
        <color rgb="FF606266"/>
        <rFont val="PingFang SC"/>
        <charset val="134"/>
      </rPr>
      <t>vr</t>
    </r>
    <r>
      <rPr>
        <sz val="10.5"/>
        <color rgb="FF606266"/>
        <rFont val="宋体"/>
        <charset val="134"/>
      </rPr>
      <t>眼镜</t>
    </r>
  </si>
  <si>
    <t>付浙江良牧教学设备有限公司实验考试智能管理平台等</t>
  </si>
  <si>
    <t>付西安华讯得贸易有限公司音响</t>
  </si>
  <si>
    <t>付钟苗报销款地垫</t>
  </si>
  <si>
    <t>付叶创将报销款（晨拓付款12000元退回，有双思威报销）</t>
  </si>
  <si>
    <t>付京东平台交易资金专户音响</t>
  </si>
  <si>
    <t>付钟苗报销款特大号桌垫</t>
  </si>
  <si>
    <t>付深圳市同时代安防工程有限公司服务费</t>
  </si>
  <si>
    <t>付库尔勒卓驰电子产品销售部蓄电池等</t>
  </si>
  <si>
    <t>付新疆视安大唐信息科技有限公司施工费</t>
  </si>
  <si>
    <t>付巴州格健商贸有限公司床桌椅等</t>
  </si>
  <si>
    <t>付新疆译语声谷信息科技有限公司16个平板</t>
  </si>
  <si>
    <t>付乌鲁木齐市米东区猛火厨具商行和面机</t>
  </si>
  <si>
    <t>付叶创将报销款（过路费）</t>
  </si>
  <si>
    <t>付杭州海康威视科技有限公司网络摄像机</t>
  </si>
  <si>
    <t>付杭州海康威视科技有限公司货款</t>
  </si>
  <si>
    <t>付巴州格健商贸有限公司新办公室家具</t>
  </si>
  <si>
    <t>付新疆嘉瑞天创网络科技有限公司摄像机机柜等</t>
  </si>
  <si>
    <t>付乌鲁木齐市米东区锦亿泓家具经销部会议桌定金</t>
  </si>
  <si>
    <t>付无锡羿飞教育科技有限公司检测仪</t>
  </si>
  <si>
    <t>付乌鲁木齐市米东区鼎奥办公家具经营部办公椅</t>
  </si>
  <si>
    <t>付乌鲁木齐市米东区鑫宇达办公用品商行凳子</t>
  </si>
  <si>
    <t>付昌吉市鑫博雅广告工作室会议室柜子</t>
  </si>
  <si>
    <t>收新疆八达科技发展有限公司货款</t>
  </si>
  <si>
    <t>付新疆众利创兴电子科技有限公司ops</t>
  </si>
  <si>
    <t>收库尔勒市财政局国库支付中心货款</t>
  </si>
  <si>
    <t>收昌吉市财政局货款</t>
  </si>
  <si>
    <t>昌吉市智博安防设备经营店(个体工商户</t>
  </si>
  <si>
    <t>付昌吉市全程无忧电器服务中心空调安装费</t>
  </si>
  <si>
    <t>付高新区（新市区）北京中路中鑫财院通讯店展台电池</t>
  </si>
  <si>
    <t>邱雅静</t>
  </si>
  <si>
    <t>付阿不都热合曼·托呼提工资</t>
  </si>
  <si>
    <t>付叶一丞工资</t>
  </si>
  <si>
    <t>京东平台交易资金专户</t>
  </si>
  <si>
    <t>浙江良牧教学设备有限公司</t>
  </si>
  <si>
    <t>付浙江大华科技有限公司网络摄像机</t>
  </si>
  <si>
    <t>付王顺运费</t>
  </si>
  <si>
    <t>付沈玉叶房租</t>
  </si>
  <si>
    <t>付沈玉叶房租押金</t>
  </si>
  <si>
    <t>付乌鲁木齐市高新区（新市区）民安巷志远消防器材经营部（个体工商户）灭火器装置</t>
  </si>
  <si>
    <t>付山东蓝贝思特教装集团股份有限公司讲桌等</t>
  </si>
  <si>
    <t>付昌吉市智博安防设备经营店(个体工商户)施工费</t>
  </si>
  <si>
    <t>付西安华讯得贸易有限公司空调</t>
  </si>
  <si>
    <t>付西安华讯得贸易有限公司墨盒</t>
  </si>
  <si>
    <t>付钟苗垃圾清运费</t>
  </si>
  <si>
    <t>付杨黎黎桌椅押金</t>
  </si>
  <si>
    <t>付新疆金软信息技术有限公司货款</t>
  </si>
  <si>
    <t>付瀚华融资担保股份有限公司保函陪标</t>
  </si>
  <si>
    <t>付高愉报销款（过路费）</t>
  </si>
  <si>
    <t>付江苏中博通信有限公司招标代理费</t>
  </si>
  <si>
    <t>付巴州宏信通电子科技有限公司货款</t>
  </si>
  <si>
    <t>付上海丝路疆至造科技有限公司危化品柜子</t>
  </si>
  <si>
    <t>付乌鲁木齐市盛兴隆商贸有限公司线材</t>
  </si>
  <si>
    <t>付成都盛卓泰商务服务有限公司租车费用</t>
  </si>
  <si>
    <t>付张宝婷报销款</t>
  </si>
  <si>
    <t>付钟苗报销款（空调外机保护罩</t>
  </si>
  <si>
    <t>付钟苗报销款（测距仪</t>
  </si>
  <si>
    <t>付钟苗报销款（校时器</t>
  </si>
  <si>
    <t>付高愉报销款垫付厨房材料款</t>
  </si>
  <si>
    <t>付高愉报销款过路费</t>
  </si>
  <si>
    <t>付昌吉市瀚川广告设计工作室施工费</t>
  </si>
  <si>
    <t>付成都盛卓泰商务服务有限公司车辆租赁费</t>
  </si>
  <si>
    <t>付瀚华融资担保股份有限公司保函费陪标</t>
  </si>
  <si>
    <t>付沈晓霞报销款（钟苗报销款证书支架20个）</t>
  </si>
  <si>
    <t>乌鲁木齐市沙依巴克区西环中路久盛康酒水批发商行(个体工商户)</t>
  </si>
  <si>
    <t>付乌鲁木齐市米东区鼎奥办公家具经营部脚钉</t>
  </si>
  <si>
    <t>收共管账户转款</t>
  </si>
  <si>
    <t>付新疆达济信息科技有限公司路由器</t>
  </si>
  <si>
    <t>付刘跟未安装费</t>
  </si>
  <si>
    <t>付卢东群借款</t>
  </si>
  <si>
    <t>付张欢婷报销款（席科报销款）</t>
  </si>
  <si>
    <r>
      <rPr>
        <b/>
        <sz val="14"/>
        <color rgb="FF1F3864"/>
        <rFont val="Noto Sans CJK SC"/>
        <charset val="134"/>
      </rPr>
      <t xml:space="preserve">应收 </t>
    </r>
    <r>
      <rPr>
        <b/>
        <sz val="14"/>
        <color rgb="FF1F3864"/>
        <rFont val="微软雅黑"/>
        <charset val="1"/>
      </rPr>
      <t xml:space="preserve">/ </t>
    </r>
    <r>
      <rPr>
        <b/>
        <sz val="14"/>
        <color rgb="FF1F3864"/>
        <rFont val="Noto Sans CJK SC"/>
        <charset val="134"/>
      </rPr>
      <t>应付台账 — 只登记月末尚未结算的跨期款项</t>
    </r>
  </si>
  <si>
    <t>应收余额合计</t>
  </si>
  <si>
    <t>应付余额合计</t>
  </si>
  <si>
    <r>
      <rPr>
        <b/>
        <sz val="10"/>
        <color rgb="FF1F3864"/>
        <rFont val="Noto Sans CJK SC"/>
        <charset val="134"/>
      </rPr>
      <t>净往来（应收</t>
    </r>
    <r>
      <rPr>
        <b/>
        <sz val="10"/>
        <color rgb="FF1F3864"/>
        <rFont val="微软雅黑"/>
        <charset val="1"/>
      </rPr>
      <t>-</t>
    </r>
    <r>
      <rPr>
        <b/>
        <sz val="10"/>
        <color rgb="FF1F3864"/>
        <rFont val="Noto Sans CJK SC"/>
        <charset val="134"/>
      </rPr>
      <t>应付）</t>
    </r>
  </si>
  <si>
    <r>
      <rPr>
        <sz val="9"/>
        <color rgb="FF7F7F7F"/>
        <rFont val="Noto Sans CJK SC"/>
        <charset val="134"/>
      </rPr>
      <t>登记规则：①贵司应收应付很少、基本当月收付，所以这张表只登“月末没收</t>
    </r>
    <r>
      <rPr>
        <sz val="9"/>
        <color rgb="FF7F7F7F"/>
        <rFont val="宋体"/>
        <charset val="1"/>
      </rPr>
      <t>/</t>
    </r>
    <r>
      <rPr>
        <sz val="9"/>
        <color rgb="FF7F7F7F"/>
        <rFont val="Noto Sans CJK SC"/>
        <charset val="134"/>
      </rPr>
      <t>没付完”的那几笔。②</t>
    </r>
    <r>
      <rPr>
        <sz val="9"/>
        <color rgb="FF7F7F7F"/>
        <rFont val="宋体"/>
        <charset val="1"/>
      </rPr>
      <t>I</t>
    </r>
    <r>
      <rPr>
        <sz val="9"/>
        <color rgb="FF7F7F7F"/>
        <rFont val="Noto Sans CJK SC"/>
        <charset val="134"/>
      </rPr>
      <t>列“关联单号”是核销的钥匙：下月实际收付时，在“资金流水”</t>
    </r>
    <r>
      <rPr>
        <sz val="9"/>
        <color rgb="FF7F7F7F"/>
        <rFont val="宋体"/>
        <charset val="1"/>
      </rPr>
      <t>Q</t>
    </r>
    <r>
      <rPr>
        <sz val="9"/>
        <color rgb="FF7F7F7F"/>
        <rFont val="Noto Sans CJK SC"/>
        <charset val="134"/>
      </rPr>
      <t>列填同一个单号，</t>
    </r>
    <r>
      <rPr>
        <sz val="9"/>
        <color rgb="FF7F7F7F"/>
        <rFont val="宋体"/>
        <charset val="1"/>
      </rPr>
      <t>J</t>
    </r>
    <r>
      <rPr>
        <sz val="9"/>
        <color rgb="FF7F7F7F"/>
        <rFont val="Noto Sans CJK SC"/>
        <charset val="134"/>
      </rPr>
      <t>列自动冲减。③零星、没法用单号对上的，直接在</t>
    </r>
    <r>
      <rPr>
        <sz val="9"/>
        <color rgb="FF7F7F7F"/>
        <rFont val="宋体"/>
        <charset val="1"/>
      </rPr>
      <t>K</t>
    </r>
    <r>
      <rPr>
        <sz val="9"/>
        <color rgb="FF7F7F7F"/>
        <rFont val="Noto Sans CJK SC"/>
        <charset val="134"/>
      </rPr>
      <t>列手工冲销。④</t>
    </r>
    <r>
      <rPr>
        <sz val="9"/>
        <color rgb="FF7F7F7F"/>
        <rFont val="宋体"/>
        <charset val="1"/>
      </rPr>
      <t>F</t>
    </r>
    <r>
      <rPr>
        <sz val="9"/>
        <color rgb="FF7F7F7F"/>
        <rFont val="Noto Sans CJK SC"/>
        <charset val="134"/>
      </rPr>
      <t>列“业务归属月”决定这笔算哪个月的损益。</t>
    </r>
  </si>
  <si>
    <t>类型</t>
  </si>
  <si>
    <t>公司</t>
  </si>
  <si>
    <t>往来单位</t>
  </si>
  <si>
    <t>业务归属月</t>
  </si>
  <si>
    <t>确认日期</t>
  </si>
  <si>
    <t>金额</t>
  </si>
  <si>
    <t>关联单号</t>
  </si>
  <si>
    <r>
      <rPr>
        <b/>
        <sz val="11"/>
        <color rgb="FFFFFFFF"/>
        <rFont val="Noto Sans CJK SC"/>
        <charset val="134"/>
      </rPr>
      <t xml:space="preserve">已结算
</t>
    </r>
    <r>
      <rPr>
        <b/>
        <sz val="11"/>
        <color rgb="FFFFFFFF"/>
        <rFont val="微软雅黑"/>
        <charset val="1"/>
      </rPr>
      <t>(</t>
    </r>
    <r>
      <rPr>
        <b/>
        <sz val="11"/>
        <color rgb="FFFFFFFF"/>
        <rFont val="Noto Sans CJK SC"/>
        <charset val="134"/>
      </rPr>
      <t>按单号自动</t>
    </r>
    <r>
      <rPr>
        <b/>
        <sz val="11"/>
        <color rgb="FFFFFFFF"/>
        <rFont val="微软雅黑"/>
        <charset val="1"/>
      </rPr>
      <t>)</t>
    </r>
  </si>
  <si>
    <t>手工冲销</t>
  </si>
  <si>
    <t>未结算余额</t>
  </si>
  <si>
    <t>状态</t>
  </si>
  <si>
    <t>预计结算日</t>
  </si>
  <si>
    <t>应收</t>
  </si>
  <si>
    <t>★示例：去年开票、今年才收回的尾款</t>
  </si>
  <si>
    <t>应付</t>
  </si>
  <si>
    <t>中</t>
  </si>
  <si>
    <t>★示例：去年发生、今年才付的材料款</t>
  </si>
  <si>
    <t>项目核算表 — 每个项目的收入、成本、毛利、收款进度（全自动，无需录入）</t>
  </si>
  <si>
    <r>
      <rPr>
        <sz val="9"/>
        <color rgb="FF7F7F7F"/>
        <rFont val="Noto Sans CJK SC"/>
        <charset val="134"/>
      </rPr>
      <t>本表全部自动生成：项目档案来自“基础资料”；收入取自「开票登记」（口径由 基础资料</t>
    </r>
    <r>
      <rPr>
        <sz val="9"/>
        <color rgb="FF7F7F7F"/>
        <rFont val="宋体"/>
        <charset val="1"/>
      </rPr>
      <t xml:space="preserve">!AH4 </t>
    </r>
    <r>
      <rPr>
        <sz val="9"/>
        <color rgb="FF7F7F7F"/>
        <rFont val="Noto Sans CJK SC"/>
        <charset val="134"/>
      </rPr>
      <t xml:space="preserve">控制），成本取自「资金流水」按项目名称汇总；成本列头随“基础资料→成本类别”自动变化。项目毛利 </t>
    </r>
    <r>
      <rPr>
        <sz val="9"/>
        <color rgb="FF7F7F7F"/>
        <rFont val="宋体"/>
        <charset val="1"/>
      </rPr>
      <t xml:space="preserve">= </t>
    </r>
    <r>
      <rPr>
        <sz val="9"/>
        <color rgb="FF7F7F7F"/>
        <rFont val="Noto Sans CJK SC"/>
        <charset val="134"/>
      </rPr>
      <t xml:space="preserve">累计开票 − 成本合计（开票口径）；预计毛利 </t>
    </r>
    <r>
      <rPr>
        <sz val="9"/>
        <color rgb="FF7F7F7F"/>
        <rFont val="宋体"/>
        <charset val="1"/>
      </rPr>
      <t xml:space="preserve">= </t>
    </r>
    <r>
      <rPr>
        <sz val="9"/>
        <color rgb="FF7F7F7F"/>
        <rFont val="Noto Sans CJK SC"/>
        <charset val="134"/>
      </rPr>
      <t>合同金额 − 已发生成本；“累计收款”只反映回款进度，不参与毛利。注意：只有填了“成本类别”的支出才计入项目成本；挂在项目名下但填“费用类别”的支出（如工资、招待费）不进成本，要看该项目的全部现金进出请到「项目明细账」看“项目净现金流”。</t>
    </r>
  </si>
  <si>
    <r>
      <rPr>
        <b/>
        <sz val="11"/>
        <color rgb="FFFFFFFF"/>
        <rFont val="Noto Sans CJK SC"/>
        <charset val="134"/>
      </rPr>
      <t xml:space="preserve">累计开票
</t>
    </r>
    <r>
      <rPr>
        <b/>
        <sz val="11"/>
        <color rgb="FFFFFFFF"/>
        <rFont val="微软雅黑"/>
        <charset val="1"/>
      </rPr>
      <t>(</t>
    </r>
    <r>
      <rPr>
        <b/>
        <sz val="11"/>
        <color rgb="FFFFFFFF"/>
        <rFont val="Noto Sans CJK SC"/>
        <charset val="134"/>
      </rPr>
      <t>收入口径</t>
    </r>
    <r>
      <rPr>
        <b/>
        <sz val="11"/>
        <color rgb="FFFFFFFF"/>
        <rFont val="微软雅黑"/>
        <charset val="1"/>
      </rPr>
      <t>)</t>
    </r>
  </si>
  <si>
    <t>累计收款</t>
  </si>
  <si>
    <t>合同未收款</t>
  </si>
  <si>
    <r>
      <rPr>
        <b/>
        <sz val="11"/>
        <color rgb="FFFFFFFF"/>
        <rFont val="Noto Sans CJK SC"/>
        <charset val="134"/>
      </rPr>
      <t xml:space="preserve">已开票未收款
</t>
    </r>
    <r>
      <rPr>
        <b/>
        <sz val="11"/>
        <color rgb="FFFFFFFF"/>
        <rFont val="微软雅黑"/>
        <charset val="1"/>
      </rPr>
      <t>(</t>
    </r>
    <r>
      <rPr>
        <b/>
        <sz val="11"/>
        <color rgb="FFFFFFFF"/>
        <rFont val="Noto Sans CJK SC"/>
        <charset val="134"/>
      </rPr>
      <t>含税</t>
    </r>
    <r>
      <rPr>
        <b/>
        <sz val="11"/>
        <color rgb="FFFFFFFF"/>
        <rFont val="微软雅黑"/>
        <charset val="1"/>
      </rPr>
      <t>)</t>
    </r>
  </si>
  <si>
    <t>成本合计</t>
  </si>
  <si>
    <r>
      <rPr>
        <b/>
        <sz val="11"/>
        <color rgb="FFFFFFFF"/>
        <rFont val="Noto Sans CJK SC"/>
        <charset val="134"/>
      </rPr>
      <t xml:space="preserve">项目毛利
</t>
    </r>
    <r>
      <rPr>
        <b/>
        <sz val="11"/>
        <color rgb="FFFFFFFF"/>
        <rFont val="微软雅黑"/>
        <charset val="1"/>
      </rPr>
      <t>(</t>
    </r>
    <r>
      <rPr>
        <b/>
        <sz val="11"/>
        <color rgb="FFFFFFFF"/>
        <rFont val="Noto Sans CJK SC"/>
        <charset val="134"/>
      </rPr>
      <t>开票</t>
    </r>
    <r>
      <rPr>
        <b/>
        <sz val="11"/>
        <color rgb="FFFFFFFF"/>
        <rFont val="微软雅黑"/>
        <charset val="1"/>
      </rPr>
      <t>-</t>
    </r>
    <r>
      <rPr>
        <b/>
        <sz val="11"/>
        <color rgb="FFFFFFFF"/>
        <rFont val="Noto Sans CJK SC"/>
        <charset val="134"/>
      </rPr>
      <t>成本</t>
    </r>
    <r>
      <rPr>
        <b/>
        <sz val="11"/>
        <color rgb="FFFFFFFF"/>
        <rFont val="微软雅黑"/>
        <charset val="1"/>
      </rPr>
      <t>)</t>
    </r>
  </si>
  <si>
    <t>毛利率</t>
  </si>
  <si>
    <r>
      <rPr>
        <b/>
        <sz val="11"/>
        <color rgb="FFFFFFFF"/>
        <rFont val="Noto Sans CJK SC"/>
        <charset val="134"/>
      </rPr>
      <t xml:space="preserve">预计毛利
</t>
    </r>
    <r>
      <rPr>
        <b/>
        <sz val="11"/>
        <color rgb="FFFFFFFF"/>
        <rFont val="微软雅黑"/>
        <charset val="1"/>
      </rPr>
      <t>(</t>
    </r>
    <r>
      <rPr>
        <b/>
        <sz val="11"/>
        <color rgb="FFFFFFFF"/>
        <rFont val="Noto Sans CJK SC"/>
        <charset val="134"/>
      </rPr>
      <t>合同</t>
    </r>
    <r>
      <rPr>
        <b/>
        <sz val="11"/>
        <color rgb="FFFFFFFF"/>
        <rFont val="微软雅黑"/>
        <charset val="1"/>
      </rPr>
      <t>-</t>
    </r>
    <r>
      <rPr>
        <b/>
        <sz val="11"/>
        <color rgb="FFFFFFFF"/>
        <rFont val="Noto Sans CJK SC"/>
        <charset val="134"/>
      </rPr>
      <t>已发生成本</t>
    </r>
    <r>
      <rPr>
        <b/>
        <sz val="11"/>
        <color rgb="FFFFFFFF"/>
        <rFont val="微软雅黑"/>
        <charset val="1"/>
      </rPr>
      <t>)</t>
    </r>
  </si>
  <si>
    <t>收款进度</t>
  </si>
  <si>
    <t>合计</t>
  </si>
  <si>
    <t>项目明细账 — 选一个项目，看它全部的收支流水</t>
  </si>
  <si>
    <t>选择项目 →</t>
  </si>
  <si>
    <r>
      <rPr>
        <b/>
        <sz val="12"/>
        <color rgb="FFC00000"/>
        <rFont val="微软雅黑"/>
        <charset val="1"/>
      </rPr>
      <t>xxx</t>
    </r>
    <r>
      <rPr>
        <b/>
        <sz val="12"/>
        <color rgb="FFC00000"/>
        <rFont val="Noto Sans CJK SC"/>
        <charset val="134"/>
      </rPr>
      <t>采购项目</t>
    </r>
    <r>
      <rPr>
        <b/>
        <sz val="12"/>
        <color rgb="FFC00000"/>
        <rFont val="微软雅黑"/>
        <charset val="1"/>
      </rPr>
      <t>A</t>
    </r>
  </si>
  <si>
    <t>（黄色格是下拉框，换项目后下面全部自动刷新）</t>
  </si>
  <si>
    <t>累计项目成本</t>
  </si>
  <si>
    <t>项目毛利</t>
  </si>
  <si>
    <r>
      <rPr>
        <b/>
        <sz val="10"/>
        <color rgb="FF1F3864"/>
        <rFont val="Noto Sans CJK SC"/>
        <charset val="134"/>
      </rPr>
      <t>累计开票</t>
    </r>
    <r>
      <rPr>
        <b/>
        <sz val="10"/>
        <color rgb="FF1F3864"/>
        <rFont val="微软雅黑"/>
        <charset val="1"/>
      </rPr>
      <t>(</t>
    </r>
    <r>
      <rPr>
        <b/>
        <sz val="10"/>
        <color rgb="FF1F3864"/>
        <rFont val="Noto Sans CJK SC"/>
        <charset val="134"/>
      </rPr>
      <t>收入口径</t>
    </r>
    <r>
      <rPr>
        <b/>
        <sz val="10"/>
        <color rgb="FF1F3864"/>
        <rFont val="微软雅黑"/>
        <charset val="1"/>
      </rPr>
      <t>)</t>
    </r>
  </si>
  <si>
    <t>已开票未收款</t>
  </si>
  <si>
    <t>项目其他费用</t>
  </si>
  <si>
    <t>项目净现金流</t>
  </si>
  <si>
    <t>本项目笔数</t>
  </si>
  <si>
    <r>
      <rPr>
        <sz val="9"/>
        <color rgb="FF7F7F7F"/>
        <rFont val="Noto Sans CJK SC"/>
        <charset val="134"/>
      </rPr>
      <t>口径提醒：收入以开票为准 ——「项目毛利」</t>
    </r>
    <r>
      <rPr>
        <sz val="9"/>
        <color rgb="FF7F7F7F"/>
        <rFont val="宋体"/>
        <charset val="1"/>
      </rPr>
      <t xml:space="preserve">= </t>
    </r>
    <r>
      <rPr>
        <sz val="9"/>
        <color rgb="FF7F7F7F"/>
        <rFont val="Noto Sans CJK SC"/>
        <charset val="134"/>
      </rPr>
      <t>累计开票 − 累计项目成本（与项目核算表一致）；「累计收款」只看回款进度，不参与毛利；「项目净现金流」</t>
    </r>
    <r>
      <rPr>
        <sz val="9"/>
        <color rgb="FF7F7F7F"/>
        <rFont val="宋体"/>
        <charset val="1"/>
      </rPr>
      <t xml:space="preserve">= </t>
    </r>
    <r>
      <rPr>
        <sz val="9"/>
        <color rgb="FF7F7F7F"/>
        <rFont val="Noto Sans CJK SC"/>
        <charset val="134"/>
      </rPr>
      <t>累计收款 − 该项目全部支出，是纯现金视角。「累计项目成本」只统计填了成本类别的支出，「项目其他费用」是挂在本项目名下但归到日常费用</t>
    </r>
    <r>
      <rPr>
        <sz val="9"/>
        <color rgb="FF7F7F7F"/>
        <rFont val="宋体"/>
        <charset val="1"/>
      </rPr>
      <t>/</t>
    </r>
    <r>
      <rPr>
        <sz val="9"/>
        <color rgb="FF7F7F7F"/>
        <rFont val="Noto Sans CJK SC"/>
        <charset val="134"/>
      </rPr>
      <t>工资</t>
    </r>
    <r>
      <rPr>
        <sz val="9"/>
        <color rgb="FF7F7F7F"/>
        <rFont val="宋体"/>
        <charset val="1"/>
      </rPr>
      <t>/</t>
    </r>
    <r>
      <rPr>
        <sz val="9"/>
        <color rgb="FF7F7F7F"/>
        <rFont val="Noto Sans CJK SC"/>
        <charset val="134"/>
      </rPr>
      <t>税金的支出。三个数不同不是错。</t>
    </r>
  </si>
  <si>
    <t>行定位</t>
  </si>
  <si>
    <t>本项目合计</t>
  </si>
  <si>
    <t>月度经营汇报表 — 给老板看的一页纸</t>
  </si>
  <si>
    <t>汇报年月</t>
  </si>
  <si>
    <r>
      <rPr>
        <sz val="9"/>
        <color rgb="FF7F7F7F"/>
        <rFont val="Noto Sans CJK SC"/>
        <charset val="134"/>
      </rPr>
      <t xml:space="preserve">格式如 </t>
    </r>
    <r>
      <rPr>
        <sz val="9"/>
        <color rgb="FF7F7F7F"/>
        <rFont val="宋体"/>
        <charset val="1"/>
      </rPr>
      <t>202606</t>
    </r>
  </si>
  <si>
    <t>公司范围</t>
  </si>
  <si>
    <t>全部</t>
  </si>
  <si>
    <t>下拉可选某家公司；要看全集团请手打“全部”两字。本页所有栏目都跟着它走。</t>
  </si>
  <si>
    <r>
      <rPr>
        <sz val="9"/>
        <color rgb="FF7F7F7F"/>
        <rFont val="Noto Sans CJK SC"/>
        <charset val="134"/>
      </rPr>
      <t>口径说明：【收入以开票为准】经营收入取自「开票登记」（含税或不含税由 基础资料</t>
    </r>
    <r>
      <rPr>
        <sz val="9"/>
        <color rgb="FF7F7F7F"/>
        <rFont val="宋体"/>
        <charset val="1"/>
      </rPr>
      <t xml:space="preserve">!AH4 </t>
    </r>
    <r>
      <rPr>
        <sz val="9"/>
        <color rgb="FF7F7F7F"/>
        <rFont val="Noto Sans CJK SC"/>
        <charset val="134"/>
      </rPr>
      <t>开关控制），利息</t>
    </r>
    <r>
      <rPr>
        <sz val="9"/>
        <color rgb="FF7F7F7F"/>
        <rFont val="宋体"/>
        <charset val="1"/>
      </rPr>
      <t>/</t>
    </r>
    <r>
      <rPr>
        <sz val="9"/>
        <color rgb="FF7F7F7F"/>
        <rFont val="Noto Sans CJK SC"/>
        <charset val="134"/>
      </rPr>
      <t>理财</t>
    </r>
    <r>
      <rPr>
        <sz val="9"/>
        <color rgb="FF7F7F7F"/>
        <rFont val="宋体"/>
        <charset val="1"/>
      </rPr>
      <t>/</t>
    </r>
    <r>
      <rPr>
        <sz val="9"/>
        <color rgb="FF7F7F7F"/>
        <rFont val="Noto Sans CJK SC"/>
        <charset val="134"/>
      </rPr>
      <t>补助这类永远没有发票的收入仍按「资金流水」实收计入。【现金口径】</t>
    </r>
    <r>
      <rPr>
        <sz val="9"/>
        <color rgb="FF7F7F7F"/>
        <rFont val="宋体"/>
        <charset val="1"/>
      </rPr>
      <t xml:space="preserve">= </t>
    </r>
    <r>
      <rPr>
        <sz val="9"/>
        <color rgb="FF7F7F7F"/>
        <rFont val="Noto Sans CJK SC"/>
        <charset val="134"/>
      </rPr>
      <t>当月银行实际进出，回答“钱是多是少”；【损益口径】</t>
    </r>
    <r>
      <rPr>
        <sz val="9"/>
        <color rgb="FF7F7F7F"/>
        <rFont val="宋体"/>
        <charset val="1"/>
      </rPr>
      <t xml:space="preserve">= </t>
    </r>
    <r>
      <rPr>
        <sz val="9"/>
        <color rgb="FF7F7F7F"/>
        <rFont val="Noto Sans CJK SC"/>
        <charset val="134"/>
      </rPr>
      <t xml:space="preserve">开票收入 </t>
    </r>
    <r>
      <rPr>
        <sz val="9"/>
        <color rgb="FF7F7F7F"/>
        <rFont val="宋体"/>
        <charset val="1"/>
      </rPr>
      <t xml:space="preserve">+ </t>
    </r>
    <r>
      <rPr>
        <sz val="9"/>
        <color rgb="FF7F7F7F"/>
        <rFont val="Noto Sans CJK SC"/>
        <charset val="134"/>
      </rPr>
      <t>非开票收入 − 按业务归属月匹配的成本费用，并剔除保证金、股东往来等非损益项，回答“这个月真赚了多少”。开票了没收到钱、或收到去年项目的尾款，都不会让本月内帐盈亏失真。</t>
    </r>
  </si>
  <si>
    <t>一、本月核心指标</t>
  </si>
  <si>
    <t>本月开票收入</t>
  </si>
  <si>
    <r>
      <rPr>
        <b/>
        <sz val="10"/>
        <color rgb="FF1F3864"/>
        <rFont val="Noto Sans CJK SC"/>
        <charset val="134"/>
      </rPr>
      <t>现金流入</t>
    </r>
    <r>
      <rPr>
        <b/>
        <sz val="10"/>
        <color rgb="FF1F3864"/>
        <rFont val="微软雅黑"/>
        <charset val="1"/>
      </rPr>
      <t>(</t>
    </r>
    <r>
      <rPr>
        <b/>
        <sz val="10"/>
        <color rgb="FF1F3864"/>
        <rFont val="Noto Sans CJK SC"/>
        <charset val="134"/>
      </rPr>
      <t>实收</t>
    </r>
    <r>
      <rPr>
        <b/>
        <sz val="10"/>
        <color rgb="FF1F3864"/>
        <rFont val="微软雅黑"/>
        <charset val="1"/>
      </rPr>
      <t>)</t>
    </r>
  </si>
  <si>
    <t>现金流出</t>
  </si>
  <si>
    <t>现金净流量</t>
  </si>
  <si>
    <t>损益口径收入</t>
  </si>
  <si>
    <t>损益口径成本费用</t>
  </si>
  <si>
    <t>内帐盈亏</t>
  </si>
  <si>
    <t>内帐利润率</t>
  </si>
  <si>
    <t>本月开票税额</t>
  </si>
  <si>
    <r>
      <rPr>
        <b/>
        <sz val="10"/>
        <color rgb="FF1F3864"/>
        <rFont val="Noto Sans CJK SC"/>
        <charset val="134"/>
      </rPr>
      <t>已开票未收款</t>
    </r>
    <r>
      <rPr>
        <b/>
        <sz val="10"/>
        <color rgb="FF1F3864"/>
        <rFont val="微软雅黑"/>
        <charset val="1"/>
      </rPr>
      <t>(</t>
    </r>
    <r>
      <rPr>
        <b/>
        <sz val="10"/>
        <color rgb="FF1F3864"/>
        <rFont val="Noto Sans CJK SC"/>
        <charset val="134"/>
      </rPr>
      <t>累计</t>
    </r>
    <r>
      <rPr>
        <b/>
        <sz val="10"/>
        <color rgb="FF1F3864"/>
        <rFont val="微软雅黑"/>
        <charset val="1"/>
      </rPr>
      <t>)</t>
    </r>
  </si>
  <si>
    <t>台账应收余额</t>
  </si>
  <si>
    <t>期末资金总额</t>
  </si>
  <si>
    <t>台账应付余额</t>
  </si>
  <si>
    <t>本月收到往期款</t>
  </si>
  <si>
    <t>本月支付往期成本</t>
  </si>
  <si>
    <t>本月跨期笔数</t>
  </si>
  <si>
    <t>二、收入明细（按收入类别）</t>
  </si>
  <si>
    <r>
      <rPr>
        <b/>
        <sz val="10"/>
        <color rgb="FF1F3864"/>
        <rFont val="Noto Sans CJK SC"/>
        <charset val="134"/>
      </rPr>
      <t xml:space="preserve">本月收入
</t>
    </r>
    <r>
      <rPr>
        <b/>
        <sz val="10"/>
        <color rgb="FF1F3864"/>
        <rFont val="微软雅黑"/>
        <charset val="1"/>
      </rPr>
      <t>(</t>
    </r>
    <r>
      <rPr>
        <b/>
        <sz val="10"/>
        <color rgb="FF1F3864"/>
        <rFont val="Noto Sans CJK SC"/>
        <charset val="134"/>
      </rPr>
      <t>损益口径</t>
    </r>
    <r>
      <rPr>
        <b/>
        <sz val="10"/>
        <color rgb="FF1F3864"/>
        <rFont val="微软雅黑"/>
        <charset val="1"/>
      </rPr>
      <t>)</t>
    </r>
  </si>
  <si>
    <t>占比</t>
  </si>
  <si>
    <r>
      <rPr>
        <b/>
        <sz val="10"/>
        <color rgb="FF1F3864"/>
        <rFont val="Noto Sans CJK SC"/>
        <charset val="134"/>
      </rPr>
      <t xml:space="preserve">本月实收现金
</t>
    </r>
    <r>
      <rPr>
        <b/>
        <sz val="10"/>
        <color rgb="FF1F3864"/>
        <rFont val="微软雅黑"/>
        <charset val="1"/>
      </rPr>
      <t>(</t>
    </r>
    <r>
      <rPr>
        <b/>
        <sz val="10"/>
        <color rgb="FF1F3864"/>
        <rFont val="Noto Sans CJK SC"/>
        <charset val="134"/>
      </rPr>
      <t>按发生月</t>
    </r>
    <r>
      <rPr>
        <b/>
        <sz val="10"/>
        <color rgb="FF1F3864"/>
        <rFont val="微软雅黑"/>
        <charset val="1"/>
      </rPr>
      <t>)</t>
    </r>
  </si>
  <si>
    <t>取数来源</t>
  </si>
  <si>
    <t>合计（不含往来及保证金）</t>
  </si>
  <si>
    <t>三、支出结构（按大类）</t>
  </si>
  <si>
    <t>损益口径金额</t>
  </si>
  <si>
    <t>现金口径金额</t>
  </si>
  <si>
    <t>项目成本</t>
  </si>
  <si>
    <t>直接可归属到项目的材料、人工、运费等</t>
  </si>
  <si>
    <t>办公费、水电、差旅、招待、车辆、租赁等日常开支</t>
  </si>
  <si>
    <t>工资、奖金、五险一金</t>
  </si>
  <si>
    <t>增值税、附加税、印花税、所得税等</t>
  </si>
  <si>
    <t>银行手续费、利息</t>
  </si>
  <si>
    <r>
      <rPr>
        <sz val="9"/>
        <color rgb="FF7F7F7F"/>
        <rFont val="Noto Sans CJK SC"/>
        <charset val="134"/>
      </rPr>
      <t>投标</t>
    </r>
    <r>
      <rPr>
        <sz val="9"/>
        <color rgb="FF7F7F7F"/>
        <rFont val="宋体"/>
        <charset val="1"/>
      </rPr>
      <t>/</t>
    </r>
    <r>
      <rPr>
        <sz val="9"/>
        <color rgb="FF7F7F7F"/>
        <rFont val="Noto Sans CJK SC"/>
        <charset val="134"/>
      </rPr>
      <t>履约保证金、股东往来、内部调拨 —— 不计入内帐盈亏，故不算占比</t>
    </r>
  </si>
  <si>
    <r>
      <rPr>
        <b/>
        <sz val="11"/>
        <color rgb="FFFFFFFF"/>
        <rFont val="Noto Sans CJK SC"/>
        <charset val="134"/>
      </rPr>
      <t xml:space="preserve">四、支出明细（左：日常费用按类别 </t>
    </r>
    <r>
      <rPr>
        <b/>
        <sz val="11"/>
        <color rgb="FFFFFFFF"/>
        <rFont val="微软雅黑"/>
        <charset val="1"/>
      </rPr>
      <t xml:space="preserve">/ </t>
    </r>
    <r>
      <rPr>
        <b/>
        <sz val="11"/>
        <color rgb="FFFFFFFF"/>
        <rFont val="Noto Sans CJK SC"/>
        <charset val="134"/>
      </rPr>
      <t>右：项目成本按类别）</t>
    </r>
  </si>
  <si>
    <t>本月金额</t>
  </si>
  <si>
    <t>项目成本合计</t>
  </si>
  <si>
    <t>日常费用合计（不含往来及保证金）</t>
  </si>
  <si>
    <t>五、分公司汇总（选定单家公司时，只显示该公司一行）</t>
  </si>
  <si>
    <t>现金流入</t>
  </si>
  <si>
    <t>现金净额</t>
  </si>
  <si>
    <r>
      <rPr>
        <b/>
        <sz val="10"/>
        <color rgb="FF1F3864"/>
        <rFont val="Noto Sans CJK SC"/>
        <charset val="134"/>
      </rPr>
      <t xml:space="preserve">损益口径收入
</t>
    </r>
    <r>
      <rPr>
        <b/>
        <sz val="10"/>
        <color rgb="FF1F3864"/>
        <rFont val="微软雅黑"/>
        <charset val="1"/>
      </rPr>
      <t>(</t>
    </r>
    <r>
      <rPr>
        <b/>
        <sz val="10"/>
        <color rgb="FF1F3864"/>
        <rFont val="Noto Sans CJK SC"/>
        <charset val="134"/>
      </rPr>
      <t>开票</t>
    </r>
    <r>
      <rPr>
        <b/>
        <sz val="10"/>
        <color rgb="FF1F3864"/>
        <rFont val="微软雅黑"/>
        <charset val="1"/>
      </rPr>
      <t>+</t>
    </r>
    <r>
      <rPr>
        <b/>
        <sz val="10"/>
        <color rgb="FF1F3864"/>
        <rFont val="Noto Sans CJK SC"/>
        <charset val="134"/>
      </rPr>
      <t>非开票</t>
    </r>
    <r>
      <rPr>
        <b/>
        <sz val="10"/>
        <color rgb="FF1F3864"/>
        <rFont val="微软雅黑"/>
        <charset val="1"/>
      </rPr>
      <t>)</t>
    </r>
  </si>
  <si>
    <t>六、分账户资金余额</t>
  </si>
  <si>
    <r>
      <rPr>
        <b/>
        <sz val="10"/>
        <color rgb="FF1F3864"/>
        <rFont val="Noto Sans CJK SC"/>
        <charset val="134"/>
      </rPr>
      <t xml:space="preserve">期初余额
</t>
    </r>
    <r>
      <rPr>
        <b/>
        <sz val="10"/>
        <color rgb="FF1F3864"/>
        <rFont val="微软雅黑"/>
        <charset val="1"/>
      </rPr>
      <t>(</t>
    </r>
    <r>
      <rPr>
        <b/>
        <sz val="10"/>
        <color rgb="FF1F3864"/>
        <rFont val="Noto Sans CJK SC"/>
        <charset val="134"/>
      </rPr>
      <t>上月末</t>
    </r>
    <r>
      <rPr>
        <b/>
        <sz val="10"/>
        <color rgb="FF1F3864"/>
        <rFont val="微软雅黑"/>
        <charset val="1"/>
      </rPr>
      <t>)</t>
    </r>
  </si>
  <si>
    <t>本月收入</t>
  </si>
  <si>
    <t>本月支出</t>
  </si>
  <si>
    <t>期末余额</t>
  </si>
  <si>
    <r>
      <rPr>
        <b/>
        <sz val="11"/>
        <color rgb="FFFFFFFF"/>
        <rFont val="Noto Sans CJK SC"/>
        <charset val="134"/>
      </rPr>
      <t xml:space="preserve">七、本月开票汇总（小规模 </t>
    </r>
    <r>
      <rPr>
        <b/>
        <sz val="11"/>
        <color rgb="FFFFFFFF"/>
        <rFont val="微软雅黑"/>
        <charset val="1"/>
      </rPr>
      <t xml:space="preserve">/ </t>
    </r>
    <r>
      <rPr>
        <b/>
        <sz val="11"/>
        <color rgb="FFFFFFFF"/>
        <rFont val="Noto Sans CJK SC"/>
        <charset val="134"/>
      </rPr>
      <t>一般纳税人分开）</t>
    </r>
  </si>
  <si>
    <t>开票张数</t>
  </si>
  <si>
    <t>已收款</t>
  </si>
  <si>
    <t>小规模纳税人合计</t>
  </si>
  <si>
    <t>一般纳税人合计</t>
  </si>
  <si>
    <t>本月开票合计</t>
  </si>
  <si>
    <t>八、跨期与往来提示（月末必看）</t>
  </si>
  <si>
    <t>提示项</t>
  </si>
  <si>
    <t>笔数</t>
  </si>
  <si>
    <t>本月收到、归属以前期间的款项</t>
  </si>
  <si>
    <t>典型就是收到去年项目的尾款：现金进本月，损益回到原归属月，本月内帐盈亏不会被它抬高。</t>
  </si>
  <si>
    <t>本月支付、归属以前期间的成本费用</t>
  </si>
  <si>
    <t>上月已发生、本月才付款的费用，在“应收应付台账”里应有对应挂账。</t>
  </si>
  <si>
    <t>本月发生、归属以后期间的收支</t>
  </si>
  <si>
    <t>预收款、预付款、年度一次性支出分摊到以后月份的情况。</t>
  </si>
  <si>
    <t>尚未结清的应收（台账）</t>
  </si>
  <si>
    <t>月末未收回的款项，明细见“应收应付台账”。</t>
  </si>
  <si>
    <t>尚未结清的应付（台账）</t>
  </si>
  <si>
    <t>月末未支付的款项，明细见“应收应付台账”。</t>
  </si>
  <si>
    <t>已开票但未收款（累计）</t>
  </si>
  <si>
    <r>
      <rPr>
        <sz val="9"/>
        <color rgb="FF7F7F7F"/>
        <rFont val="Noto Sans CJK SC"/>
        <charset val="134"/>
      </rPr>
      <t>明细见“开票登记”，账龄超过</t>
    </r>
    <r>
      <rPr>
        <sz val="9"/>
        <color rgb="FF7F7F7F"/>
        <rFont val="宋体"/>
        <charset val="1"/>
      </rPr>
      <t>90</t>
    </r>
    <r>
      <rPr>
        <sz val="9"/>
        <color rgb="FF7F7F7F"/>
        <rFont val="Noto Sans CJK SC"/>
        <charset val="134"/>
      </rPr>
      <t>天会自动标红。⚠ 同一笔如果既登了发票又登了应收台账，本行与“尚未结清的应收”会重复，不要相加。</t>
    </r>
  </si>
  <si>
    <r>
      <rPr>
        <b/>
        <sz val="14"/>
        <color rgb="FF1F3864"/>
        <rFont val="Noto Sans CJK SC"/>
        <charset val="134"/>
      </rPr>
      <t xml:space="preserve">图表看板 — 数据一改，图自动更新（数据源：月度趋势数据 </t>
    </r>
    <r>
      <rPr>
        <b/>
        <sz val="14"/>
        <color rgb="FF1F3864"/>
        <rFont val="微软雅黑"/>
        <charset val="1"/>
      </rPr>
      <t xml:space="preserve">/ </t>
    </r>
    <r>
      <rPr>
        <b/>
        <sz val="14"/>
        <color rgb="FF1F3864"/>
        <rFont val="Noto Sans CJK SC"/>
        <charset val="134"/>
      </rPr>
      <t>月度汇报表）</t>
    </r>
  </si>
  <si>
    <t>注：收入以开票为准。本页图表按“月度趋势数据”表里的年份统计；“本月支出结构”按“月度汇报表”里选定的年月和公司范围。第一张图把“开票收入”和“现金收款”画在一起，两条线的差就是当月开了票还没收到的钱。</t>
  </si>
  <si>
    <t>月度趋势数据 — 图表看板的数据源（改上面的年份即可切换年度）</t>
  </si>
  <si>
    <t>统计年份</t>
  </si>
  <si>
    <r>
      <rPr>
        <sz val="9"/>
        <color rgb="FF7F7F7F"/>
        <rFont val="Noto Sans CJK SC"/>
        <charset val="134"/>
      </rPr>
      <t>本表为集团全口径（不分公司）。收入按开票（口径由 基础资料</t>
    </r>
    <r>
      <rPr>
        <sz val="9"/>
        <color rgb="FF7F7F7F"/>
        <rFont val="宋体"/>
        <charset val="1"/>
      </rPr>
      <t xml:space="preserve">!AH4 </t>
    </r>
    <r>
      <rPr>
        <sz val="9"/>
        <color rgb="FF7F7F7F"/>
        <rFont val="Noto Sans CJK SC"/>
        <charset val="134"/>
      </rPr>
      <t>控制，按开票归属月）；成本费用按业务归属月；现金收付按发生月。</t>
    </r>
  </si>
  <si>
    <t>月份</t>
  </si>
  <si>
    <t>月份值</t>
  </si>
  <si>
    <t>开票收入</t>
  </si>
  <si>
    <t>现金收款</t>
  </si>
  <si>
    <t>现金支出</t>
  </si>
  <si>
    <r>
      <rPr>
        <b/>
        <sz val="11"/>
        <color rgb="FFFFFFFF"/>
        <rFont val="Noto Sans CJK SC"/>
        <charset val="134"/>
      </rPr>
      <t>其中</t>
    </r>
    <r>
      <rPr>
        <b/>
        <sz val="11"/>
        <color rgb="FFFFFFFF"/>
        <rFont val="微软雅黑"/>
        <charset val="1"/>
      </rPr>
      <t>:</t>
    </r>
    <r>
      <rPr>
        <b/>
        <sz val="11"/>
        <color rgb="FFFFFFFF"/>
        <rFont val="Noto Sans CJK SC"/>
        <charset val="134"/>
      </rPr>
      <t>办公费</t>
    </r>
  </si>
  <si>
    <r>
      <rPr>
        <b/>
        <sz val="11"/>
        <color rgb="FFFFFFFF"/>
        <rFont val="Noto Sans CJK SC"/>
        <charset val="134"/>
      </rPr>
      <t>小规模开票</t>
    </r>
    <r>
      <rPr>
        <b/>
        <sz val="11"/>
        <color rgb="FFFFFFFF"/>
        <rFont val="微软雅黑"/>
        <charset val="1"/>
      </rPr>
      <t>(</t>
    </r>
    <r>
      <rPr>
        <b/>
        <sz val="11"/>
        <color rgb="FFFFFFFF"/>
        <rFont val="Noto Sans CJK SC"/>
        <charset val="134"/>
      </rPr>
      <t>含税</t>
    </r>
    <r>
      <rPr>
        <b/>
        <sz val="11"/>
        <color rgb="FFFFFFFF"/>
        <rFont val="微软雅黑"/>
        <charset val="1"/>
      </rPr>
      <t>)</t>
    </r>
  </si>
  <si>
    <r>
      <rPr>
        <b/>
        <sz val="11"/>
        <color rgb="FFFFFFFF"/>
        <rFont val="Noto Sans CJK SC"/>
        <charset val="134"/>
      </rPr>
      <t>一般纳税人开票</t>
    </r>
    <r>
      <rPr>
        <b/>
        <sz val="11"/>
        <color rgb="FFFFFFFF"/>
        <rFont val="微软雅黑"/>
        <charset val="1"/>
      </rPr>
      <t>(</t>
    </r>
    <r>
      <rPr>
        <b/>
        <sz val="11"/>
        <color rgb="FFFFFFFF"/>
        <rFont val="Noto Sans CJK SC"/>
        <charset val="134"/>
      </rPr>
      <t>含税</t>
    </r>
    <r>
      <rPr>
        <b/>
        <sz val="11"/>
        <color rgb="FFFFFFFF"/>
        <rFont val="微软雅黑"/>
        <charset val="1"/>
      </rPr>
      <t>)</t>
    </r>
  </si>
  <si>
    <r>
      <rPr>
        <sz val="10"/>
        <rFont val="宋体"/>
        <charset val="1"/>
      </rPr>
      <t>1</t>
    </r>
    <r>
      <rPr>
        <sz val="10"/>
        <rFont val="Noto Sans CJK SC"/>
        <charset val="134"/>
      </rPr>
      <t>月</t>
    </r>
  </si>
  <si>
    <r>
      <rPr>
        <sz val="10"/>
        <rFont val="宋体"/>
        <charset val="1"/>
      </rPr>
      <t>2</t>
    </r>
    <r>
      <rPr>
        <sz val="10"/>
        <rFont val="Noto Sans CJK SC"/>
        <charset val="134"/>
      </rPr>
      <t>月</t>
    </r>
  </si>
  <si>
    <r>
      <rPr>
        <sz val="10"/>
        <rFont val="宋体"/>
        <charset val="1"/>
      </rPr>
      <t>3</t>
    </r>
    <r>
      <rPr>
        <sz val="10"/>
        <rFont val="Noto Sans CJK SC"/>
        <charset val="134"/>
      </rPr>
      <t>月</t>
    </r>
  </si>
  <si>
    <r>
      <rPr>
        <sz val="10"/>
        <rFont val="宋体"/>
        <charset val="1"/>
      </rPr>
      <t>4</t>
    </r>
    <r>
      <rPr>
        <sz val="10"/>
        <rFont val="Noto Sans CJK SC"/>
        <charset val="134"/>
      </rPr>
      <t>月</t>
    </r>
  </si>
  <si>
    <r>
      <rPr>
        <sz val="10"/>
        <rFont val="宋体"/>
        <charset val="1"/>
      </rPr>
      <t>5</t>
    </r>
    <r>
      <rPr>
        <sz val="10"/>
        <rFont val="Noto Sans CJK SC"/>
        <charset val="134"/>
      </rPr>
      <t>月</t>
    </r>
  </si>
  <si>
    <r>
      <rPr>
        <sz val="10"/>
        <rFont val="宋体"/>
        <charset val="1"/>
      </rPr>
      <t>6</t>
    </r>
    <r>
      <rPr>
        <sz val="10"/>
        <rFont val="Noto Sans CJK SC"/>
        <charset val="134"/>
      </rPr>
      <t>月</t>
    </r>
  </si>
  <si>
    <r>
      <rPr>
        <sz val="10"/>
        <rFont val="宋体"/>
        <charset val="1"/>
      </rPr>
      <t>7</t>
    </r>
    <r>
      <rPr>
        <sz val="10"/>
        <rFont val="Noto Sans CJK SC"/>
        <charset val="134"/>
      </rPr>
      <t>月</t>
    </r>
  </si>
  <si>
    <r>
      <rPr>
        <sz val="10"/>
        <rFont val="宋体"/>
        <charset val="1"/>
      </rPr>
      <t>8</t>
    </r>
    <r>
      <rPr>
        <sz val="10"/>
        <rFont val="Noto Sans CJK SC"/>
        <charset val="134"/>
      </rPr>
      <t>月</t>
    </r>
  </si>
  <si>
    <r>
      <rPr>
        <sz val="10"/>
        <rFont val="宋体"/>
        <charset val="1"/>
      </rPr>
      <t>9</t>
    </r>
    <r>
      <rPr>
        <sz val="10"/>
        <rFont val="Noto Sans CJK SC"/>
        <charset val="134"/>
      </rPr>
      <t>月</t>
    </r>
  </si>
  <si>
    <r>
      <rPr>
        <sz val="10"/>
        <rFont val="宋体"/>
        <charset val="1"/>
      </rPr>
      <t>10</t>
    </r>
    <r>
      <rPr>
        <sz val="10"/>
        <rFont val="Noto Sans CJK SC"/>
        <charset val="134"/>
      </rPr>
      <t>月</t>
    </r>
  </si>
  <si>
    <r>
      <rPr>
        <sz val="10"/>
        <rFont val="宋体"/>
        <charset val="1"/>
      </rPr>
      <t>11</t>
    </r>
    <r>
      <rPr>
        <sz val="10"/>
        <rFont val="Noto Sans CJK SC"/>
        <charset val="134"/>
      </rPr>
      <t>月</t>
    </r>
  </si>
  <si>
    <r>
      <rPr>
        <sz val="10"/>
        <rFont val="宋体"/>
        <charset val="1"/>
      </rPr>
      <t>12</t>
    </r>
    <r>
      <rPr>
        <sz val="10"/>
        <rFont val="Noto Sans CJK SC"/>
        <charset val="134"/>
      </rPr>
      <t>月</t>
    </r>
  </si>
  <si>
    <t>全年合计</t>
  </si>
  <si>
    <r>
      <rPr>
        <b/>
        <sz val="14"/>
        <color rgb="FF1F3864"/>
        <rFont val="Noto Sans CJK SC"/>
        <charset val="134"/>
      </rPr>
      <t xml:space="preserve">资金日报表 — 任意连续日期 </t>
    </r>
    <r>
      <rPr>
        <b/>
        <sz val="14"/>
        <color rgb="FF1F3864"/>
        <rFont val="微软雅黑"/>
        <charset val="1"/>
      </rPr>
      <t xml:space="preserve">/ </t>
    </r>
    <r>
      <rPr>
        <b/>
        <sz val="14"/>
        <color rgb="FF1F3864"/>
        <rFont val="Noto Sans CJK SC"/>
        <charset val="134"/>
      </rPr>
      <t>单独一天，各账户逐日收付与余额</t>
    </r>
  </si>
  <si>
    <t>起始日期</t>
  </si>
  <si>
    <t>截止日期</t>
  </si>
  <si>
    <t>查询天数</t>
  </si>
  <si>
    <r>
      <rPr>
        <sz val="9"/>
        <color rgb="FF7F7F7F"/>
        <rFont val="Noto Sans CJK SC"/>
        <charset val="134"/>
      </rPr>
      <t>提示：只改黄色的两个日期即可。查单独一天时，起始日期</t>
    </r>
    <r>
      <rPr>
        <sz val="9"/>
        <color rgb="FF7F7F7F"/>
        <rFont val="宋体"/>
        <charset val="1"/>
      </rPr>
      <t>=</t>
    </r>
    <r>
      <rPr>
        <sz val="9"/>
        <color rgb="FF7F7F7F"/>
        <rFont val="Noto Sans CJK SC"/>
        <charset val="134"/>
      </rPr>
      <t>截止日期。最多展开</t>
    </r>
    <r>
      <rPr>
        <sz val="9"/>
        <color rgb="FF7F7F7F"/>
        <rFont val="宋体"/>
        <charset val="1"/>
      </rPr>
      <t>31</t>
    </r>
    <r>
      <rPr>
        <sz val="9"/>
        <color rgb="FF7F7F7F"/>
        <rFont val="Noto Sans CJK SC"/>
        <charset val="134"/>
      </rPr>
      <t>天，跨月请分段查询。</t>
    </r>
  </si>
  <si>
    <t>公司期初余额</t>
  </si>
  <si>
    <t>期间收款合计</t>
  </si>
  <si>
    <t>期间付款合计</t>
  </si>
  <si>
    <t>期末结余金额</t>
  </si>
  <si>
    <t>收款</t>
  </si>
  <si>
    <t>付款</t>
  </si>
  <si>
    <t>收款合计</t>
  </si>
  <si>
    <t>付款合计</t>
  </si>
  <si>
    <t>任意时段收支查询 — 自选日期区间，看收入开给了谁、钱花在哪</t>
  </si>
  <si>
    <t>开始日期</t>
  </si>
  <si>
    <t>区间开票收入</t>
  </si>
  <si>
    <t>区间现金支出</t>
  </si>
  <si>
    <t>结束日期</t>
  </si>
  <si>
    <t>区间损益收入</t>
  </si>
  <si>
    <r>
      <rPr>
        <b/>
        <sz val="10"/>
        <color rgb="FF1F3864"/>
        <rFont val="Noto Sans CJK SC"/>
        <charset val="134"/>
      </rPr>
      <t>成本费用</t>
    </r>
    <r>
      <rPr>
        <b/>
        <sz val="10"/>
        <color rgb="FF1F3864"/>
        <rFont val="微软雅黑"/>
        <charset val="1"/>
      </rPr>
      <t>(</t>
    </r>
    <r>
      <rPr>
        <b/>
        <sz val="10"/>
        <color rgb="FF1F3864"/>
        <rFont val="Noto Sans CJK SC"/>
        <charset val="134"/>
      </rPr>
      <t>不含往来</t>
    </r>
    <r>
      <rPr>
        <b/>
        <sz val="10"/>
        <color rgb="FF1F3864"/>
        <rFont val="微软雅黑"/>
        <charset val="1"/>
      </rPr>
      <t>/</t>
    </r>
    <r>
      <rPr>
        <b/>
        <sz val="10"/>
        <color rgb="FF1F3864"/>
        <rFont val="Noto Sans CJK SC"/>
        <charset val="134"/>
      </rPr>
      <t>保证金</t>
    </r>
    <r>
      <rPr>
        <b/>
        <sz val="10"/>
        <color rgb="FF1F3864"/>
        <rFont val="微软雅黑"/>
        <charset val="1"/>
      </rPr>
      <t>)</t>
    </r>
  </si>
  <si>
    <t>区间实收现金</t>
  </si>
  <si>
    <r>
      <rPr>
        <b/>
        <sz val="10"/>
        <color rgb="FF1F3864"/>
        <rFont val="Noto Sans CJK SC"/>
        <charset val="134"/>
      </rPr>
      <t>区间毛盈亏</t>
    </r>
    <r>
      <rPr>
        <b/>
        <sz val="10"/>
        <color rgb="FF1F3864"/>
        <rFont val="微软雅黑"/>
        <charset val="1"/>
      </rPr>
      <t>(</t>
    </r>
    <r>
      <rPr>
        <b/>
        <sz val="10"/>
        <color rgb="FF1F3864"/>
        <rFont val="Noto Sans CJK SC"/>
        <charset val="134"/>
      </rPr>
      <t>按发生日期</t>
    </r>
    <r>
      <rPr>
        <b/>
        <sz val="10"/>
        <color rgb="FF1F3864"/>
        <rFont val="微软雅黑"/>
        <charset val="1"/>
      </rPr>
      <t>)</t>
    </r>
  </si>
  <si>
    <r>
      <rPr>
        <sz val="9"/>
        <color rgb="FF7F7F7F"/>
        <rFont val="Noto Sans CJK SC"/>
        <charset val="134"/>
      </rPr>
      <t>收入以开票为准：开票类按「开票登记」的开票日期落在区间内统计；利息、理财、补助这类没有发票的，按「资金流水」实收统计。“区间实收现金”是银行实际到账，跟开票收入不一定相等，差额就是账期。“区间毛盈亏”</t>
    </r>
    <r>
      <rPr>
        <sz val="9"/>
        <color rgb="FF7F7F7F"/>
        <rFont val="宋体"/>
        <charset val="1"/>
      </rPr>
      <t xml:space="preserve">= </t>
    </r>
    <r>
      <rPr>
        <sz val="9"/>
        <color rgb="FF7F7F7F"/>
        <rFont val="Noto Sans CJK SC"/>
        <charset val="134"/>
      </rPr>
      <t>损益收入 − 成本费用（已剔除保证金、股东往来等不影响损益的支出）。⚠ 本表一律按“发生日期”落在区间内统计，不看业务归属月；所以有跨期业务的月份，本表毛盈亏会与「月度汇报表」的内帐盈亏有差，差额就是那几笔跨期的钱。要看归属月口径的月度盈亏，请用「月度汇报表」。</t>
    </r>
  </si>
  <si>
    <t>收入 — 按收入类别（开票口径）</t>
  </si>
  <si>
    <t>开票收入 — 按客户</t>
  </si>
  <si>
    <t>项目</t>
  </si>
  <si>
    <t>小计</t>
  </si>
  <si>
    <t>支出 — 按项目成本类别</t>
  </si>
  <si>
    <t>支出 — 按日常费用类别</t>
  </si>
  <si>
    <t>支出 — 按供应商</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</si>
</sst>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Red]\-#,##0.00;;"/>
    <numFmt numFmtId="178" formatCode="0.0%;;;"/>
    <numFmt numFmtId="179" formatCode="0.0%"/>
    <numFmt numFmtId="180" formatCode="0;;;"/>
    <numFmt numFmtId="181" formatCode="[$-409]yyyy/mm/dd;@"/>
    <numFmt numFmtId="182" formatCode="yyyy/m/d;@"/>
  </numFmts>
  <fonts count="67">
    <font>
      <sz val="11"/>
      <color theme="1"/>
      <name val="Calibri"/>
      <charset val="1"/>
    </font>
    <font>
      <b/>
      <sz val="14"/>
      <color rgb="FF1F3864"/>
      <name val="Noto Sans CJK SC"/>
      <charset val="134"/>
    </font>
    <font>
      <b/>
      <sz val="10"/>
      <color rgb="FF1F3864"/>
      <name val="Noto Sans CJK SC"/>
      <charset val="134"/>
    </font>
    <font>
      <b/>
      <sz val="11"/>
      <color rgb="FFC00000"/>
      <name val="宋体"/>
      <charset val="1"/>
    </font>
    <font>
      <b/>
      <sz val="11"/>
      <color rgb="FFC00000"/>
      <name val="Noto Sans CJK SC"/>
      <charset val="134"/>
    </font>
    <font>
      <sz val="9"/>
      <color rgb="FF7F7F7F"/>
      <name val="Noto Sans CJK SC"/>
      <charset val="134"/>
    </font>
    <font>
      <b/>
      <sz val="11"/>
      <color rgb="FFFFFFFF"/>
      <name val="Noto Sans CJK SC"/>
      <charset val="134"/>
    </font>
    <font>
      <sz val="10"/>
      <name val="宋体"/>
      <charset val="1"/>
    </font>
    <font>
      <b/>
      <sz val="10"/>
      <name val="Noto Sans CJK SC"/>
      <charset val="134"/>
    </font>
    <font>
      <b/>
      <sz val="10"/>
      <name val="宋体"/>
      <charset val="1"/>
    </font>
    <font>
      <b/>
      <sz val="10"/>
      <color rgb="FF1F3864"/>
      <name val="微软雅黑"/>
      <charset val="1"/>
    </font>
    <font>
      <sz val="10"/>
      <name val="Noto Sans CJK SC"/>
      <charset val="134"/>
    </font>
    <font>
      <b/>
      <sz val="12"/>
      <color rgb="FFC00000"/>
      <name val="微软雅黑"/>
      <charset val="1"/>
    </font>
    <font>
      <b/>
      <sz val="12"/>
      <color rgb="FFC00000"/>
      <name val="Noto Sans CJK SC"/>
      <charset val="134"/>
    </font>
    <font>
      <b/>
      <sz val="10"/>
      <color rgb="FFC00000"/>
      <name val="宋体"/>
      <charset val="1"/>
    </font>
    <font>
      <b/>
      <sz val="10"/>
      <color rgb="FFC00000"/>
      <name val="Noto Sans CJK SC"/>
      <charset val="134"/>
    </font>
    <font>
      <sz val="10"/>
      <color rgb="FF808080"/>
      <name val="宋体"/>
      <charset val="1"/>
    </font>
    <font>
      <sz val="10"/>
      <color rgb="FF808080"/>
      <name val="Noto Sans CJK SC"/>
      <charset val="134"/>
    </font>
    <font>
      <b/>
      <sz val="11"/>
      <color rgb="FFFFFFFF"/>
      <name val="宋体"/>
      <charset val="134"/>
    </font>
    <font>
      <sz val="10"/>
      <name val="宋体"/>
      <charset val="134"/>
    </font>
    <font>
      <sz val="11"/>
      <color theme="1"/>
      <name val="Calibri"/>
      <charset val="134"/>
      <scheme val="minor"/>
    </font>
    <font>
      <sz val="10.5"/>
      <color rgb="FF424242"/>
      <name val="宋体"/>
      <charset val="134"/>
    </font>
    <font>
      <sz val="10.5"/>
      <color rgb="FF606266"/>
      <name val="宋体"/>
      <charset val="134"/>
    </font>
    <font>
      <sz val="10.5"/>
      <color rgb="FF606266"/>
      <name val="PingFang SC"/>
      <charset val="134"/>
    </font>
    <font>
      <sz val="10.5"/>
      <color rgb="FF424242"/>
      <name val="Helvetica"/>
      <charset val="134"/>
    </font>
    <font>
      <sz val="10.5"/>
      <color rgb="FF424242"/>
      <name val="STSongti-SC"/>
      <charset val="134"/>
    </font>
    <font>
      <sz val="10"/>
      <color theme="1"/>
      <name val="宋体"/>
      <charset val="134"/>
    </font>
    <font>
      <sz val="12"/>
      <name val="宋体"/>
      <charset val="134"/>
    </font>
    <font>
      <sz val="11"/>
      <name val="宋体"/>
      <charset val="134"/>
    </font>
    <font>
      <sz val="9"/>
      <color rgb="FF000000"/>
      <name val="宋体"/>
      <charset val="134"/>
    </font>
    <font>
      <sz val="10"/>
      <color rgb="FF000000"/>
      <name val="宋体"/>
      <charset val="134"/>
    </font>
    <font>
      <sz val="11"/>
      <color rgb="FF000000"/>
      <name val="浠垮畫"/>
      <charset val="134"/>
    </font>
    <font>
      <sz val="10.5"/>
      <color rgb="FF333333"/>
      <name val="SimSun"/>
      <charset val="134"/>
    </font>
    <font>
      <b/>
      <sz val="11"/>
      <color theme="1"/>
      <name val="Calibri"/>
      <charset val="134"/>
      <scheme val="minor"/>
    </font>
    <font>
      <sz val="10"/>
      <color rgb="FF0000FF"/>
      <name val="宋体"/>
      <charset val="134"/>
    </font>
    <font>
      <sz val="10"/>
      <color rgb="FF0000FF"/>
      <name val="Noto Sans CJK SC"/>
      <charset val="134"/>
    </font>
    <font>
      <sz val="10"/>
      <color rgb="FF0000FF"/>
      <name val="宋体"/>
      <charset val="1"/>
    </font>
    <font>
      <b/>
      <sz val="16"/>
      <color rgb="FF1F3864"/>
      <name val="Noto Sans CJK SC"/>
      <charset val="134"/>
    </font>
    <font>
      <sz val="10"/>
      <color rgb="FF7F7F7F"/>
      <name val="Noto Sans CJK SC"/>
      <charset val="134"/>
    </font>
    <font>
      <b/>
      <sz val="12"/>
      <color rgb="FFFFFFFF"/>
      <name val="Noto Sans CJK SC"/>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FFFF"/>
      <name val="微软雅黑"/>
      <charset val="1"/>
    </font>
    <font>
      <sz val="9"/>
      <color rgb="FF7F7F7F"/>
      <name val="宋体"/>
      <charset val="1"/>
    </font>
    <font>
      <b/>
      <sz val="16"/>
      <color rgb="FF1F3864"/>
      <name val="微软雅黑"/>
      <charset val="1"/>
    </font>
    <font>
      <b/>
      <sz val="12"/>
      <color rgb="FFFFFFFF"/>
      <name val="微软雅黑"/>
      <charset val="1"/>
    </font>
    <font>
      <b/>
      <sz val="14"/>
      <color rgb="FF1F3864"/>
      <name val="微软雅黑"/>
      <charset val="1"/>
    </font>
    <font>
      <b/>
      <sz val="11"/>
      <color rgb="FFC00000"/>
      <name val="微软雅黑"/>
      <charset val="1"/>
    </font>
    <font>
      <sz val="10"/>
      <color rgb="FF7F7F7F"/>
      <name val="微软雅黑"/>
      <charset val="1"/>
    </font>
  </fonts>
  <fills count="45">
    <fill>
      <patternFill patternType="none"/>
    </fill>
    <fill>
      <patternFill patternType="gray125"/>
    </fill>
    <fill>
      <patternFill patternType="solid">
        <fgColor rgb="FFFFFF00"/>
        <bgColor rgb="FFFFFF00"/>
      </patternFill>
    </fill>
    <fill>
      <patternFill patternType="solid">
        <fgColor rgb="FFD9E1F2"/>
        <bgColor rgb="FFD9D9D9"/>
      </patternFill>
    </fill>
    <fill>
      <patternFill patternType="solid">
        <fgColor rgb="FFFCE4D6"/>
        <bgColor rgb="FFFFF2CC"/>
      </patternFill>
    </fill>
    <fill>
      <patternFill patternType="solid">
        <fgColor rgb="FF2F5597"/>
        <bgColor rgb="FF1F3864"/>
      </patternFill>
    </fill>
    <fill>
      <patternFill patternType="solid">
        <fgColor rgb="FF8EA9DB"/>
        <bgColor rgb="FFA6A6A6"/>
      </patternFill>
    </fill>
    <fill>
      <patternFill patternType="solid">
        <fgColor rgb="FFC00000"/>
        <bgColor rgb="FF9C0006"/>
      </patternFill>
    </fill>
    <fill>
      <patternFill patternType="solid">
        <fgColor rgb="FFF2F2F2"/>
        <bgColor rgb="FFFFFFFF"/>
      </patternFill>
    </fill>
    <fill>
      <patternFill patternType="solid">
        <fgColor rgb="FFA6A6A6"/>
        <bgColor rgb="FF8EA9DB"/>
      </patternFill>
    </fill>
    <fill>
      <patternFill patternType="solid">
        <fgColor rgb="FFF5F7FA"/>
        <bgColor indexed="64"/>
      </patternFill>
    </fill>
    <fill>
      <patternFill patternType="solid">
        <fgColor rgb="FFFF0000"/>
        <bgColor indexed="64"/>
      </patternFill>
    </fill>
    <fill>
      <patternFill patternType="solid">
        <fgColor rgb="FFFFFF00"/>
        <bgColor indexed="64"/>
      </patternFill>
    </fill>
    <fill>
      <patternFill patternType="solid">
        <fgColor rgb="FFFFF2CC"/>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style="medium">
        <color rgb="FFEBEEF5"/>
      </right>
      <top/>
      <bottom style="medium">
        <color rgb="FFEBEEF5"/>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0" fillId="0" borderId="0" applyBorder="0" applyAlignment="0" applyProtection="0"/>
    <xf numFmtId="44" fontId="40" fillId="0" borderId="0" applyBorder="0" applyAlignment="0" applyProtection="0"/>
    <xf numFmtId="9" fontId="40" fillId="0" borderId="0" applyBorder="0" applyAlignment="0" applyProtection="0"/>
    <xf numFmtId="41" fontId="40" fillId="0" borderId="0" applyBorder="0" applyAlignment="0" applyProtection="0"/>
    <xf numFmtId="42" fontId="40" fillId="0" borderId="0" applyBorder="0" applyAlignment="0" applyProtection="0"/>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0" fillId="14" borderId="4"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5" applyNumberFormat="0" applyFill="0" applyAlignment="0" applyProtection="0">
      <alignment vertical="center"/>
    </xf>
    <xf numFmtId="0" fontId="47" fillId="0" borderId="5" applyNumberFormat="0" applyFill="0" applyAlignment="0" applyProtection="0">
      <alignment vertical="center"/>
    </xf>
    <xf numFmtId="0" fontId="48" fillId="0" borderId="6" applyNumberFormat="0" applyFill="0" applyAlignment="0" applyProtection="0">
      <alignment vertical="center"/>
    </xf>
    <xf numFmtId="0" fontId="48" fillId="0" borderId="0" applyNumberFormat="0" applyFill="0" applyBorder="0" applyAlignment="0" applyProtection="0">
      <alignment vertical="center"/>
    </xf>
    <xf numFmtId="0" fontId="49" fillId="15" borderId="7" applyNumberFormat="0" applyAlignment="0" applyProtection="0">
      <alignment vertical="center"/>
    </xf>
    <xf numFmtId="0" fontId="50" fillId="16" borderId="8" applyNumberFormat="0" applyAlignment="0" applyProtection="0">
      <alignment vertical="center"/>
    </xf>
    <xf numFmtId="0" fontId="51" fillId="16" borderId="7" applyNumberFormat="0" applyAlignment="0" applyProtection="0">
      <alignment vertical="center"/>
    </xf>
    <xf numFmtId="0" fontId="52" fillId="17" borderId="9" applyNumberFormat="0" applyAlignment="0" applyProtection="0">
      <alignment vertical="center"/>
    </xf>
    <xf numFmtId="0" fontId="53" fillId="0" borderId="10" applyNumberFormat="0" applyFill="0" applyAlignment="0" applyProtection="0">
      <alignment vertical="center"/>
    </xf>
    <xf numFmtId="0" fontId="54" fillId="0" borderId="11" applyNumberFormat="0" applyFill="0" applyAlignment="0" applyProtection="0">
      <alignment vertical="center"/>
    </xf>
    <xf numFmtId="0" fontId="55" fillId="18" borderId="0" applyNumberFormat="0" applyBorder="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59"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59"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9" fillId="38" borderId="0" applyNumberFormat="0" applyBorder="0" applyAlignment="0" applyProtection="0">
      <alignment vertical="center"/>
    </xf>
    <xf numFmtId="0" fontId="59"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9" fillId="42" borderId="0" applyNumberFormat="0" applyBorder="0" applyAlignment="0" applyProtection="0">
      <alignment vertical="center"/>
    </xf>
    <xf numFmtId="0" fontId="59" fillId="43" borderId="0" applyNumberFormat="0" applyBorder="0" applyAlignment="0" applyProtection="0">
      <alignment vertical="center"/>
    </xf>
    <xf numFmtId="0" fontId="58" fillId="44" borderId="0" applyNumberFormat="0" applyBorder="0" applyAlignment="0" applyProtection="0">
      <alignment vertical="center"/>
    </xf>
  </cellStyleXfs>
  <cellXfs count="113">
    <xf numFmtId="0" fontId="0" fillId="0" borderId="0" xfId="0"/>
    <xf numFmtId="0" fontId="1" fillId="0" borderId="0" xfId="0" applyFont="1" applyBorder="1" applyAlignment="1">
      <alignment horizontal="left" vertical="center"/>
    </xf>
    <xf numFmtId="0" fontId="2" fillId="0" borderId="0" xfId="0" applyFont="1"/>
    <xf numFmtId="176" fontId="3"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40" fontId="3" fillId="4" borderId="1" xfId="0" applyNumberFormat="1" applyFont="1" applyFill="1" applyBorder="1"/>
    <xf numFmtId="0" fontId="4" fillId="2" borderId="1" xfId="0" applyFont="1" applyFill="1" applyBorder="1" applyAlignment="1">
      <alignment horizontal="center" vertical="center" wrapText="1"/>
    </xf>
    <xf numFmtId="0" fontId="5" fillId="0" borderId="0" xfId="0" applyFont="1" applyBorder="1"/>
    <xf numFmtId="0" fontId="6" fillId="5" borderId="1" xfId="0" applyFont="1" applyFill="1" applyBorder="1"/>
    <xf numFmtId="0" fontId="2" fillId="6" borderId="1" xfId="0" applyFont="1" applyFill="1" applyBorder="1" applyAlignment="1">
      <alignment horizontal="center" vertical="center" wrapText="1"/>
    </xf>
    <xf numFmtId="0" fontId="7" fillId="0" borderId="1" xfId="0" applyFont="1" applyBorder="1"/>
    <xf numFmtId="177" fontId="7" fillId="0" borderId="1" xfId="0" applyNumberFormat="1" applyFont="1" applyBorder="1"/>
    <xf numFmtId="178" fontId="7" fillId="0" borderId="1" xfId="0" applyNumberFormat="1" applyFont="1" applyBorder="1" applyAlignment="1">
      <alignment horizontal="center" vertical="center" wrapText="1"/>
    </xf>
    <xf numFmtId="0" fontId="8" fillId="4" borderId="1" xfId="0" applyFont="1" applyFill="1" applyBorder="1"/>
    <xf numFmtId="40" fontId="9" fillId="4" borderId="1" xfId="0" applyNumberFormat="1" applyFont="1" applyFill="1" applyBorder="1"/>
    <xf numFmtId="0" fontId="9" fillId="4" borderId="1" xfId="0" applyFont="1" applyFill="1" applyBorder="1"/>
    <xf numFmtId="0" fontId="2" fillId="0" borderId="0" xfId="0" applyFont="1" applyAlignment="1">
      <alignment horizontal="right" vertical="center"/>
    </xf>
    <xf numFmtId="0" fontId="2" fillId="0" borderId="0" xfId="0" applyFont="1" applyBorder="1" applyAlignment="1">
      <alignment horizontal="center" vertical="center" wrapText="1"/>
    </xf>
    <xf numFmtId="0" fontId="9" fillId="4" borderId="1" xfId="0" applyFont="1" applyFill="1" applyBorder="1" applyAlignment="1">
      <alignment horizontal="center" vertical="center" wrapText="1"/>
    </xf>
    <xf numFmtId="0" fontId="5" fillId="0" borderId="0" xfId="0" applyFont="1"/>
    <xf numFmtId="40" fontId="3" fillId="0" borderId="1" xfId="0" applyNumberFormat="1" applyFont="1" applyBorder="1" applyAlignment="1">
      <alignment horizontal="center" vertical="center" wrapText="1"/>
    </xf>
    <xf numFmtId="58" fontId="10" fillId="6"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1" fillId="0" borderId="1" xfId="0" applyFont="1" applyBorder="1" applyAlignment="1">
      <alignment horizontal="left" vertical="center"/>
    </xf>
    <xf numFmtId="40" fontId="7" fillId="0" borderId="1" xfId="0" applyNumberFormat="1" applyFont="1" applyBorder="1"/>
    <xf numFmtId="40" fontId="9" fillId="0" borderId="1" xfId="0" applyNumberFormat="1" applyFont="1" applyBorder="1"/>
    <xf numFmtId="1" fontId="12" fillId="2"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1" fontId="7" fillId="0" borderId="1" xfId="0" applyNumberFormat="1" applyFont="1" applyBorder="1" applyAlignment="1">
      <alignment horizontal="center" vertical="center" wrapText="1"/>
    </xf>
    <xf numFmtId="38" fontId="7" fillId="0" borderId="1" xfId="0" applyNumberFormat="1" applyFont="1" applyBorder="1"/>
    <xf numFmtId="38" fontId="9" fillId="4" borderId="1" xfId="0" applyNumberFormat="1" applyFont="1" applyFill="1" applyBorder="1"/>
    <xf numFmtId="0" fontId="13" fillId="2" borderId="1" xfId="0" applyFont="1" applyFill="1" applyBorder="1" applyAlignment="1">
      <alignment horizontal="center" vertical="center" wrapText="1"/>
    </xf>
    <xf numFmtId="0" fontId="5" fillId="0" borderId="0" xfId="0" applyFont="1" applyBorder="1" applyAlignment="1">
      <alignment vertical="top" wrapText="1"/>
    </xf>
    <xf numFmtId="40" fontId="3" fillId="0" borderId="1" xfId="0" applyNumberFormat="1" applyFont="1" applyBorder="1" applyAlignment="1">
      <alignment horizontal="right" vertical="center"/>
    </xf>
    <xf numFmtId="179" fontId="3" fillId="0" borderId="1" xfId="0" applyNumberFormat="1" applyFont="1" applyBorder="1" applyAlignment="1">
      <alignment horizontal="right" vertical="center"/>
    </xf>
    <xf numFmtId="1" fontId="3" fillId="0" borderId="1" xfId="0" applyNumberFormat="1" applyFont="1" applyBorder="1" applyAlignment="1">
      <alignment horizontal="right" vertical="center"/>
    </xf>
    <xf numFmtId="0" fontId="5" fillId="0" borderId="1" xfId="0" applyFont="1" applyBorder="1" applyAlignment="1">
      <alignment horizontal="center" vertical="center" wrapText="1"/>
    </xf>
    <xf numFmtId="179" fontId="9" fillId="4" borderId="1" xfId="0" applyNumberFormat="1" applyFont="1" applyFill="1" applyBorder="1"/>
    <xf numFmtId="0" fontId="11" fillId="0" borderId="1" xfId="0" applyFont="1" applyBorder="1" applyAlignment="1">
      <alignment horizontal="center" vertical="center" wrapText="1"/>
    </xf>
    <xf numFmtId="0" fontId="5" fillId="0" borderId="1" xfId="0" applyFont="1" applyBorder="1"/>
    <xf numFmtId="180" fontId="7" fillId="0" borderId="1" xfId="0" applyNumberFormat="1" applyFont="1" applyBorder="1" applyAlignment="1">
      <alignment horizontal="center" vertical="center" wrapText="1"/>
    </xf>
    <xf numFmtId="0" fontId="8" fillId="3" borderId="1" xfId="0" applyFont="1" applyFill="1" applyBorder="1"/>
    <xf numFmtId="1" fontId="9" fillId="3" borderId="1" xfId="0" applyNumberFormat="1" applyFont="1" applyFill="1" applyBorder="1" applyAlignment="1">
      <alignment horizontal="center" vertical="center" wrapText="1"/>
    </xf>
    <xf numFmtId="40" fontId="9" fillId="3" borderId="1" xfId="0" applyNumberFormat="1" applyFont="1" applyFill="1" applyBorder="1"/>
    <xf numFmtId="1" fontId="9" fillId="4" borderId="1" xfId="0" applyNumberFormat="1" applyFont="1" applyFill="1" applyBorder="1" applyAlignment="1">
      <alignment horizontal="center" vertical="center" wrapText="1"/>
    </xf>
    <xf numFmtId="0" fontId="11" fillId="0" borderId="1" xfId="0" applyFont="1" applyBorder="1"/>
    <xf numFmtId="0" fontId="5" fillId="0" borderId="1" xfId="0" applyFont="1" applyBorder="1" applyAlignment="1">
      <alignment vertical="center" wrapText="1"/>
    </xf>
    <xf numFmtId="0" fontId="12" fillId="2" borderId="1" xfId="0" applyFont="1" applyFill="1" applyBorder="1" applyAlignment="1">
      <alignment horizontal="center" vertical="center" wrapText="1"/>
    </xf>
    <xf numFmtId="40" fontId="14" fillId="0" borderId="1" xfId="0" applyNumberFormat="1" applyFont="1" applyBorder="1" applyAlignment="1">
      <alignment horizontal="right" vertical="center"/>
    </xf>
    <xf numFmtId="179" fontId="14" fillId="0" borderId="1" xfId="0" applyNumberFormat="1" applyFont="1" applyBorder="1" applyAlignment="1">
      <alignment horizontal="right" vertical="center"/>
    </xf>
    <xf numFmtId="1" fontId="14" fillId="0" borderId="1" xfId="0" applyNumberFormat="1" applyFont="1" applyBorder="1" applyAlignment="1">
      <alignment horizontal="right" vertical="center"/>
    </xf>
    <xf numFmtId="0" fontId="15" fillId="0" borderId="1" xfId="0" applyFont="1" applyBorder="1" applyAlignment="1">
      <alignment horizontal="center" vertical="center" wrapText="1"/>
    </xf>
    <xf numFmtId="176" fontId="7" fillId="0" borderId="1" xfId="0" applyNumberFormat="1" applyFont="1" applyBorder="1"/>
    <xf numFmtId="1" fontId="16" fillId="8" borderId="1" xfId="0" applyNumberFormat="1" applyFont="1" applyFill="1" applyBorder="1" applyAlignment="1">
      <alignment horizontal="center" vertical="center" wrapText="1"/>
    </xf>
    <xf numFmtId="0" fontId="8" fillId="4" borderId="1" xfId="0" applyFont="1" applyFill="1" applyBorder="1" applyAlignment="1">
      <alignment horizontal="right" vertical="center"/>
    </xf>
    <xf numFmtId="0" fontId="16" fillId="8" borderId="1" xfId="0" applyFont="1" applyFill="1" applyBorder="1" applyAlignment="1">
      <alignment horizontal="center" vertical="center" wrapText="1"/>
    </xf>
    <xf numFmtId="40" fontId="16" fillId="8" borderId="1" xfId="0" applyNumberFormat="1" applyFont="1" applyFill="1" applyBorder="1"/>
    <xf numFmtId="0" fontId="17" fillId="8" borderId="1" xfId="0" applyFont="1" applyFill="1" applyBorder="1" applyAlignment="1">
      <alignment horizontal="center" vertical="center" wrapText="1"/>
    </xf>
    <xf numFmtId="40" fontId="14" fillId="4" borderId="1" xfId="0" applyNumberFormat="1" applyFont="1" applyFill="1" applyBorder="1"/>
    <xf numFmtId="0" fontId="18" fillId="5"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9" fillId="0" borderId="1" xfId="0" applyFont="1" applyBorder="1"/>
    <xf numFmtId="0" fontId="17" fillId="8" borderId="1" xfId="0" applyFont="1" applyFill="1" applyBorder="1"/>
    <xf numFmtId="40" fontId="7" fillId="2" borderId="1" xfId="0" applyNumberFormat="1" applyFont="1" applyFill="1" applyBorder="1"/>
    <xf numFmtId="1" fontId="7" fillId="0" borderId="1" xfId="0" applyNumberFormat="1" applyFont="1" applyBorder="1"/>
    <xf numFmtId="14" fontId="20" fillId="0" borderId="0" xfId="0" applyNumberFormat="1" applyFont="1" applyFill="1" applyAlignment="1">
      <alignment vertical="center"/>
    </xf>
    <xf numFmtId="0" fontId="21" fillId="0" borderId="0" xfId="0" applyFont="1" applyFill="1" applyAlignment="1">
      <alignment vertical="center"/>
    </xf>
    <xf numFmtId="0" fontId="20" fillId="0" borderId="0" xfId="0" applyNumberFormat="1" applyFont="1" applyFill="1" applyAlignment="1">
      <alignment vertical="center"/>
    </xf>
    <xf numFmtId="0" fontId="20" fillId="0" borderId="0" xfId="0" applyFont="1" applyFill="1" applyAlignment="1">
      <alignment vertical="center"/>
    </xf>
    <xf numFmtId="0" fontId="22" fillId="0" borderId="0" xfId="0" applyFont="1" applyFill="1" applyAlignment="1">
      <alignment vertical="center"/>
    </xf>
    <xf numFmtId="0" fontId="23" fillId="0" borderId="0" xfId="0" applyFont="1" applyFill="1" applyAlignment="1">
      <alignment vertical="center"/>
    </xf>
    <xf numFmtId="0" fontId="23" fillId="10" borderId="2" xfId="0" applyFont="1" applyFill="1" applyBorder="1" applyAlignment="1">
      <alignment horizontal="center" vertical="center" wrapText="1"/>
    </xf>
    <xf numFmtId="181" fontId="20" fillId="0" borderId="0" xfId="0" applyNumberFormat="1" applyFont="1" applyFill="1" applyAlignment="1">
      <alignment horizontal="left" vertical="center"/>
    </xf>
    <xf numFmtId="0" fontId="24" fillId="0" borderId="0" xfId="0" applyFont="1" applyFill="1" applyAlignment="1">
      <alignment vertical="center"/>
    </xf>
    <xf numFmtId="0" fontId="25" fillId="0" borderId="0" xfId="0" applyFont="1" applyFill="1" applyAlignment="1">
      <alignment vertical="center"/>
    </xf>
    <xf numFmtId="181" fontId="7" fillId="0" borderId="1" xfId="0" applyNumberFormat="1" applyFont="1" applyBorder="1"/>
    <xf numFmtId="181" fontId="26" fillId="0" borderId="0" xfId="0" applyNumberFormat="1" applyFont="1" applyFill="1" applyAlignment="1">
      <alignment horizontal="left" vertical="center"/>
    </xf>
    <xf numFmtId="181" fontId="26" fillId="11" borderId="0" xfId="0" applyNumberFormat="1" applyFont="1" applyFill="1" applyAlignment="1">
      <alignment horizontal="left" vertical="center"/>
    </xf>
    <xf numFmtId="181" fontId="19" fillId="0" borderId="0" xfId="0" applyNumberFormat="1" applyFont="1" applyFill="1" applyBorder="1" applyAlignment="1" applyProtection="1">
      <alignment horizontal="left" vertical="center"/>
      <protection locked="0"/>
    </xf>
    <xf numFmtId="0" fontId="27" fillId="0" borderId="0" xfId="0" applyFont="1" applyFill="1" applyBorder="1" applyAlignment="1" applyProtection="1">
      <alignment vertical="center"/>
      <protection locked="0"/>
    </xf>
    <xf numFmtId="181" fontId="28" fillId="0" borderId="0" xfId="0" applyNumberFormat="1" applyFont="1" applyFill="1" applyBorder="1" applyAlignment="1" applyProtection="1">
      <alignment horizontal="left" vertical="center"/>
      <protection locked="0"/>
    </xf>
    <xf numFmtId="0" fontId="28" fillId="0" borderId="0" xfId="0" applyFont="1" applyFill="1" applyBorder="1" applyAlignment="1" applyProtection="1">
      <alignment vertical="center"/>
      <protection locked="0"/>
    </xf>
    <xf numFmtId="0" fontId="20" fillId="11" borderId="0" xfId="0" applyFont="1" applyFill="1" applyAlignment="1">
      <alignment vertical="center"/>
    </xf>
    <xf numFmtId="40" fontId="7" fillId="11" borderId="1" xfId="0" applyNumberFormat="1" applyFont="1" applyFill="1" applyBorder="1"/>
    <xf numFmtId="0" fontId="20" fillId="12" borderId="0" xfId="0" applyFont="1" applyFill="1" applyAlignment="1">
      <alignment vertical="center"/>
    </xf>
    <xf numFmtId="0" fontId="2" fillId="3" borderId="3" xfId="0" applyFont="1" applyFill="1" applyBorder="1" applyAlignment="1">
      <alignment horizontal="center" vertical="center" wrapText="1"/>
    </xf>
    <xf numFmtId="40" fontId="3" fillId="2" borderId="1" xfId="0" applyNumberFormat="1" applyFont="1" applyFill="1" applyBorder="1"/>
    <xf numFmtId="10" fontId="7" fillId="0" borderId="1" xfId="0" applyNumberFormat="1" applyFont="1" applyBorder="1" applyAlignment="1">
      <alignment horizontal="center" vertical="center" wrapText="1"/>
    </xf>
    <xf numFmtId="182" fontId="20" fillId="0" borderId="0" xfId="0" applyNumberFormat="1" applyFont="1" applyFill="1" applyAlignment="1">
      <alignment horizontal="left" vertical="center"/>
    </xf>
    <xf numFmtId="0" fontId="29" fillId="0" borderId="0" xfId="0" applyFont="1" applyFill="1" applyAlignment="1">
      <alignment vertical="center"/>
    </xf>
    <xf numFmtId="0" fontId="30" fillId="0" borderId="0" xfId="0" applyFont="1" applyFill="1" applyAlignment="1">
      <alignment vertical="center"/>
    </xf>
    <xf numFmtId="182" fontId="29" fillId="0" borderId="0" xfId="0" applyNumberFormat="1" applyFont="1" applyFill="1" applyAlignment="1">
      <alignment horizontal="left" vertical="center"/>
    </xf>
    <xf numFmtId="0" fontId="31" fillId="0" borderId="0" xfId="0" applyFont="1" applyFill="1" applyAlignment="1">
      <alignment vertical="center"/>
    </xf>
    <xf numFmtId="0" fontId="29" fillId="0" borderId="0" xfId="0" applyFont="1" applyFill="1" applyAlignment="1">
      <alignment horizontal="left" vertical="center"/>
    </xf>
    <xf numFmtId="0" fontId="32" fillId="0" borderId="0" xfId="0" applyFont="1" applyFill="1" applyAlignment="1">
      <alignment vertical="center"/>
    </xf>
    <xf numFmtId="182" fontId="33" fillId="0" borderId="0" xfId="0" applyNumberFormat="1" applyFont="1" applyFill="1" applyAlignment="1">
      <alignment horizontal="left" vertical="center"/>
    </xf>
    <xf numFmtId="0" fontId="15" fillId="0" borderId="0" xfId="0" applyFont="1" applyBorder="1"/>
    <xf numFmtId="0" fontId="34" fillId="13" borderId="1" xfId="0" applyFont="1" applyFill="1" applyBorder="1" applyAlignment="1">
      <alignment horizontal="left" vertical="center"/>
    </xf>
    <xf numFmtId="0" fontId="34" fillId="13" borderId="1" xfId="0" applyFont="1" applyFill="1" applyBorder="1" applyAlignment="1">
      <alignment horizontal="center" vertical="center" wrapText="1"/>
    </xf>
    <xf numFmtId="0" fontId="35" fillId="13" borderId="1" xfId="0" applyFont="1" applyFill="1" applyBorder="1" applyAlignment="1">
      <alignment horizontal="center" vertical="center" wrapText="1"/>
    </xf>
    <xf numFmtId="0" fontId="36" fillId="13" borderId="1" xfId="0" applyFont="1" applyFill="1" applyBorder="1" applyAlignment="1">
      <alignment horizontal="left" vertical="center"/>
    </xf>
    <xf numFmtId="0" fontId="36" fillId="13" borderId="1" xfId="0" applyFont="1" applyFill="1" applyBorder="1" applyAlignment="1">
      <alignment horizontal="center" vertical="center" wrapText="1"/>
    </xf>
    <xf numFmtId="40" fontId="36" fillId="13" borderId="1" xfId="0" applyNumberFormat="1" applyFont="1" applyFill="1" applyBorder="1" applyAlignment="1">
      <alignment horizontal="center" vertical="center" wrapText="1"/>
    </xf>
    <xf numFmtId="176" fontId="36" fillId="13" borderId="1" xfId="0" applyNumberFormat="1" applyFont="1" applyFill="1" applyBorder="1" applyAlignment="1">
      <alignment horizontal="center" vertical="center" wrapText="1"/>
    </xf>
    <xf numFmtId="0" fontId="35" fillId="13" borderId="1" xfId="0" applyFont="1" applyFill="1" applyBorder="1" applyAlignment="1">
      <alignment horizontal="left" vertical="center"/>
    </xf>
    <xf numFmtId="10" fontId="36" fillId="13" borderId="1" xfId="0" applyNumberFormat="1" applyFont="1" applyFill="1" applyBorder="1" applyAlignment="1">
      <alignment horizontal="left" vertical="center"/>
    </xf>
    <xf numFmtId="0" fontId="5" fillId="0" borderId="1" xfId="0" applyFont="1" applyBorder="1" applyAlignment="1">
      <alignment vertical="top" wrapText="1"/>
    </xf>
    <xf numFmtId="0" fontId="37" fillId="0" borderId="0" xfId="0" applyFont="1"/>
    <xf numFmtId="0" fontId="38" fillId="0" borderId="0" xfId="0" applyFont="1"/>
    <xf numFmtId="0" fontId="7" fillId="0" borderId="0" xfId="0" applyFont="1" applyAlignment="1">
      <alignment vertical="top" wrapText="1"/>
    </xf>
    <xf numFmtId="0" fontId="39" fillId="5" borderId="0" xfId="0" applyFont="1" applyFill="1" applyAlignment="1">
      <alignment vertical="center"/>
    </xf>
    <xf numFmtId="0" fontId="11"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ont>
        <color rgb="FF9C0006"/>
      </font>
      <fill>
        <patternFill patternType="solid">
          <bgColor rgb="FFFFC7CE"/>
        </patternFill>
      </fill>
    </dxf>
    <dxf>
      <font>
        <b val="1"/>
        <color rgb="FF9C0006"/>
      </font>
      <fill>
        <patternFill patternType="solid">
          <bgColor rgb="FFFFC7CE"/>
        </patternFill>
      </fill>
    </dxf>
    <dxf>
      <fill>
        <patternFill patternType="solid">
          <bgColor rgb="FFFFF2CC"/>
        </patternFill>
      </fill>
    </dxf>
    <dxf>
      <font>
        <color rgb="FFC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7F7F7F"/>
      <rgbColor rgb="00800080"/>
      <rgbColor rgb="004F81BD"/>
      <rgbColor rgb="00BFBFBF"/>
      <rgbColor rgb="00808080"/>
      <rgbColor rgb="008EA9DB"/>
      <rgbColor rgb="00BE4B48"/>
      <rgbColor rgb="00FFF2CC"/>
      <rgbColor rgb="00F2F2F2"/>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D9E1F2"/>
      <rgbColor rgb="00CCFFCC"/>
      <rgbColor rgb="00FCE4D6"/>
      <rgbColor rgb="009BBB59"/>
      <rgbColor rgb="00FF99CC"/>
      <rgbColor rgb="00A6A6A6"/>
      <rgbColor rgb="00FFC7CE"/>
      <rgbColor rgb="004A7EBB"/>
      <rgbColor rgb="0033CCCC"/>
      <rgbColor rgb="0098B855"/>
      <rgbColor rgb="00FFC000"/>
      <rgbColor rgb="00FF9900"/>
      <rgbColor rgb="00FF6600"/>
      <rgbColor rgb="007D5FA0"/>
      <rgbColor rgb="00878787"/>
      <rgbColor rgb="001F3864"/>
      <rgbColor rgb="0000B050"/>
      <rgbColor rgb="00003300"/>
      <rgbColor rgb="00333300"/>
      <rgbColor rgb="008064A2"/>
      <rgbColor rgb="00C0504D"/>
      <rgbColor rgb="002F5597"/>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开票收入 / 现金收付 / 内帐盈亏 月度趋势</a:t>
            </a:r>
            <a:endParaRPr sz="1800" b="1" strike="noStrike" spc="-1">
              <a:solidFill>
                <a:srgbClr val="000000"/>
              </a:solidFill>
              <a:latin typeface="Calibri" panose="020F0502020204030204"/>
            </a:endParaRPr>
          </a:p>
        </c:rich>
      </c:tx>
      <c:layout/>
      <c:overlay val="0"/>
      <c:spPr>
        <a:noFill/>
        <a:ln w="0">
          <a:noFill/>
        </a:ln>
      </c:spPr>
    </c:title>
    <c:autoTitleDeleted val="0"/>
    <c:plotArea>
      <c:layout/>
      <c:lineChart>
        <c:grouping val="standard"/>
        <c:varyColors val="0"/>
        <c:ser>
          <c:idx val="0"/>
          <c:order val="0"/>
          <c:tx>
            <c:strRef>
              <c:f>月度趋势数据!$C$3</c:f>
              <c:strCache>
                <c:ptCount val="1"/>
                <c:pt idx="0">
                  <c:v>开票收入</c:v>
                </c:pt>
              </c:strCache>
            </c:strRef>
          </c:tx>
          <c:spPr>
            <a:ln w="28440" cap="rnd" cmpd="sng" algn="ctr">
              <a:solidFill>
                <a:srgbClr val="4A7EBB"/>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月度趋势数据!$C$4:$C$15</c:f>
              <c:numCache>
                <c:formatCode>#,##0;[Red]\-#,##0</c:formatCode>
                <c:ptCount val="12"/>
                <c:pt idx="0">
                  <c:v>3854399.92</c:v>
                </c:pt>
                <c:pt idx="1">
                  <c:v>285568.1</c:v>
                </c:pt>
                <c:pt idx="2">
                  <c:v>1317348.78</c:v>
                </c:pt>
                <c:pt idx="3">
                  <c:v>2161717.99</c:v>
                </c:pt>
                <c:pt idx="4">
                  <c:v>6876935.28</c:v>
                </c:pt>
                <c:pt idx="5">
                  <c:v>2928814</c:v>
                </c:pt>
                <c:pt idx="6">
                  <c:v>2022873</c:v>
                </c:pt>
                <c:pt idx="7">
                  <c:v>4320197.4</c:v>
                </c:pt>
                <c:pt idx="8">
                  <c:v>0</c:v>
                </c:pt>
                <c:pt idx="9">
                  <c:v>0</c:v>
                </c:pt>
                <c:pt idx="10">
                  <c:v>0</c:v>
                </c:pt>
                <c:pt idx="11">
                  <c:v>0</c:v>
                </c:pt>
              </c:numCache>
            </c:numRef>
          </c:val>
          <c:smooth val="0"/>
        </c:ser>
        <c:ser>
          <c:idx val="1"/>
          <c:order val="1"/>
          <c:tx>
            <c:strRef>
              <c:f>月度趋势数据!$D$3</c:f>
              <c:strCache>
                <c:ptCount val="1"/>
                <c:pt idx="0">
                  <c:v>现金收款</c:v>
                </c:pt>
              </c:strCache>
            </c:strRef>
          </c:tx>
          <c:spPr>
            <a:ln w="28440" cap="rnd" cmpd="sng" algn="ctr">
              <a:solidFill>
                <a:srgbClr val="BE4B48"/>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月度趋势数据!$D$4:$D$15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2"/>
          <c:tx>
            <c:strRef>
              <c:f>月度趋势数据!$E$3</c:f>
              <c:strCache>
                <c:ptCount val="1"/>
                <c:pt idx="0">
                  <c:v>现金支出</c:v>
                </c:pt>
              </c:strCache>
            </c:strRef>
          </c:tx>
          <c:spPr>
            <a:ln w="28440" cap="rnd" cmpd="sng" algn="ctr">
              <a:solidFill>
                <a:srgbClr val="98B855"/>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月度趋势数据!$E$4:$E$15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月度趋势数据!$M$3</c:f>
              <c:strCache>
                <c:ptCount val="1"/>
                <c:pt idx="0">
                  <c:v>内帐盈亏</c:v>
                </c:pt>
              </c:strCache>
            </c:strRef>
          </c:tx>
          <c:spPr>
            <a:ln w="28440" cap="rnd" cmpd="sng" algn="ctr">
              <a:solidFill>
                <a:srgbClr val="7D5FA0"/>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月度趋势数据!$M$4:$M$15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1"/>
        </c:dLbls>
        <c:hiLowLines>
          <c:spPr>
            <a:ln w="0" cap="flat" cmpd="sng" algn="ctr">
              <a:noFill/>
              <a:prstDash val="solid"/>
              <a:round/>
            </a:ln>
          </c:spPr>
        </c:hiLowLines>
        <c:marker val="0"/>
        <c:smooth val="0"/>
        <c:axId val="94715759"/>
        <c:axId val="75131743"/>
      </c:lineChart>
      <c:catAx>
        <c:axId val="94715759"/>
        <c:scaling>
          <c:orientation val="minMax"/>
        </c:scaling>
        <c:delete val="0"/>
        <c:axPos val="b"/>
        <c:title>
          <c:tx>
            <c:rich>
              <a:bodyPr rot="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c:rich>
          </c:tx>
          <c:layout/>
          <c:overlay val="0"/>
          <c:spPr>
            <a:noFill/>
            <a:ln w="0">
              <a:noFill/>
            </a:ln>
          </c:spPr>
        </c:title>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75131743"/>
        <c:crosses val="autoZero"/>
        <c:auto val="1"/>
        <c:lblAlgn val="ctr"/>
        <c:lblOffset val="100"/>
        <c:noMultiLvlLbl val="0"/>
      </c:catAx>
      <c:valAx>
        <c:axId val="75131743"/>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c:rich>
          </c:tx>
          <c:layout/>
          <c:overlay val="0"/>
          <c:spPr>
            <a:noFill/>
            <a:ln w="0">
              <a:noFill/>
            </a:ln>
          </c:spPr>
        </c:title>
        <c:numFmt formatCode="#,##0;[Red]\-#,##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94715759"/>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690e5a02-9f3b-457d-ac1f-28d792888ebd}"/>
      </c:ext>
    </c:extLst>
  </c:chart>
  <c:spPr>
    <a:solidFill>
      <a:srgbClr val="FFFFFF"/>
    </a:solidFill>
    <a:ln w="9360"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月度费用结构（管理费用/人工社保/税费/财务费用）</a:t>
            </a:r>
            <a:endParaRPr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stacked"/>
        <c:varyColors val="0"/>
        <c:ser>
          <c:idx val="0"/>
          <c:order val="0"/>
          <c:tx>
            <c:strRef>
              <c:f>月度趋势数据!$I$3</c:f>
              <c:strCache>
                <c:ptCount val="1"/>
                <c:pt idx="0">
                  <c:v>管理费用</c:v>
                </c:pt>
              </c:strCache>
            </c:strRef>
          </c:tx>
          <c:spPr>
            <a:solidFill>
              <a:srgbClr val="4F81B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月度趋势数据!$I$4:$I$15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月度趋势数据!$J$3</c:f>
              <c:strCache>
                <c:ptCount val="1"/>
                <c:pt idx="0">
                  <c:v>人工社保</c:v>
                </c:pt>
              </c:strCache>
            </c:strRef>
          </c:tx>
          <c:spPr>
            <a:solidFill>
              <a:srgbClr val="C0504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月度趋势数据!$J$4:$J$15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月度趋势数据!$K$3</c:f>
              <c:strCache>
                <c:ptCount val="1"/>
                <c:pt idx="0">
                  <c:v>税费</c:v>
                </c:pt>
              </c:strCache>
            </c:strRef>
          </c:tx>
          <c:spPr>
            <a:solidFill>
              <a:srgbClr val="9BBB59"/>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月度趋势数据!$K$4:$K$15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月度趋势数据!$L$3</c:f>
              <c:strCache>
                <c:ptCount val="1"/>
                <c:pt idx="0">
                  <c:v>财务费用</c:v>
                </c:pt>
              </c:strCache>
            </c:strRef>
          </c:tx>
          <c:spPr>
            <a:solidFill>
              <a:srgbClr val="8064A2"/>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月度趋势数据!$L$4:$L$15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1"/>
        </c:dLbls>
        <c:gapWidth val="150"/>
        <c:overlap val="100"/>
        <c:axId val="59235673"/>
        <c:axId val="41922616"/>
      </c:barChart>
      <c:catAx>
        <c:axId val="59235673"/>
        <c:scaling>
          <c:orientation val="minMax"/>
        </c:scaling>
        <c:delete val="0"/>
        <c:axPos val="b"/>
        <c:title>
          <c:tx>
            <c:rich>
              <a:bodyPr rot="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c:rich>
          </c:tx>
          <c:layout/>
          <c:overlay val="0"/>
          <c:spPr>
            <a:noFill/>
            <a:ln w="0">
              <a:noFill/>
            </a:ln>
          </c:spPr>
        </c:title>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41922616"/>
        <c:crosses val="autoZero"/>
        <c:auto val="1"/>
        <c:lblAlgn val="ctr"/>
        <c:lblOffset val="100"/>
        <c:noMultiLvlLbl val="0"/>
      </c:catAx>
      <c:valAx>
        <c:axId val="41922616"/>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c:rich>
          </c:tx>
          <c:layout/>
          <c:overlay val="0"/>
          <c:spPr>
            <a:noFill/>
            <a:ln w="0">
              <a:noFill/>
            </a:ln>
          </c:spPr>
        </c:title>
        <c:numFmt formatCode="#,##0;[Red]\-#,##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59235673"/>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533eebbf-e297-4e21-bbc7-c981886fabc7}"/>
      </c:ext>
    </c:extLst>
  </c:chart>
  <c:spPr>
    <a:solidFill>
      <a:srgbClr val="FFFFFF"/>
    </a:solidFill>
    <a:ln w="9360"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月度开票额：小规模 vs 一般纳税人</a:t>
            </a:r>
            <a:endParaRPr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stacked"/>
        <c:varyColors val="0"/>
        <c:ser>
          <c:idx val="0"/>
          <c:order val="0"/>
          <c:tx>
            <c:strRef>
              <c:f>月度趋势数据!$O$3</c:f>
              <c:strCache>
                <c:ptCount val="1"/>
                <c:pt idx="0">
                  <c:v>小规模开票(含税)</c:v>
                </c:pt>
              </c:strCache>
            </c:strRef>
          </c:tx>
          <c:spPr>
            <a:solidFill>
              <a:srgbClr val="4F81B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月度趋势数据!$O$4:$O$15</c:f>
              <c:numCache>
                <c:formatCode>#,##0;[Red]\-#,##0</c:formatCode>
                <c:ptCount val="12"/>
                <c:pt idx="0">
                  <c:v>0</c:v>
                </c:pt>
                <c:pt idx="1">
                  <c:v>0</c:v>
                </c:pt>
                <c:pt idx="2">
                  <c:v>182715.98</c:v>
                </c:pt>
                <c:pt idx="3">
                  <c:v>78400</c:v>
                </c:pt>
                <c:pt idx="4">
                  <c:v>913667.49</c:v>
                </c:pt>
                <c:pt idx="5">
                  <c:v>241980</c:v>
                </c:pt>
                <c:pt idx="6">
                  <c:v>336955</c:v>
                </c:pt>
                <c:pt idx="7">
                  <c:v>2759658.4</c:v>
                </c:pt>
                <c:pt idx="8">
                  <c:v>0</c:v>
                </c:pt>
                <c:pt idx="9">
                  <c:v>0</c:v>
                </c:pt>
                <c:pt idx="10">
                  <c:v>0</c:v>
                </c:pt>
                <c:pt idx="11">
                  <c:v>0</c:v>
                </c:pt>
              </c:numCache>
            </c:numRef>
          </c:val>
        </c:ser>
        <c:ser>
          <c:idx val="1"/>
          <c:order val="1"/>
          <c:tx>
            <c:strRef>
              <c:f>月度趋势数据!$P$3</c:f>
              <c:strCache>
                <c:ptCount val="1"/>
                <c:pt idx="0">
                  <c:v>一般纳税人开票(含税)</c:v>
                </c:pt>
              </c:strCache>
            </c:strRef>
          </c:tx>
          <c:spPr>
            <a:solidFill>
              <a:srgbClr val="C0504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月度趋势数据!$P$4:$P$15</c:f>
              <c:numCache>
                <c:formatCode>#,##0;[Red]\-#,##0</c:formatCode>
                <c:ptCount val="12"/>
                <c:pt idx="0">
                  <c:v>3854399.92</c:v>
                </c:pt>
                <c:pt idx="1">
                  <c:v>285568.1</c:v>
                </c:pt>
                <c:pt idx="2">
                  <c:v>1134632.8</c:v>
                </c:pt>
                <c:pt idx="3">
                  <c:v>2083317.99</c:v>
                </c:pt>
                <c:pt idx="4">
                  <c:v>5963267.79</c:v>
                </c:pt>
                <c:pt idx="5">
                  <c:v>2686834</c:v>
                </c:pt>
                <c:pt idx="6">
                  <c:v>1685918</c:v>
                </c:pt>
                <c:pt idx="7">
                  <c:v>1560539</c:v>
                </c:pt>
                <c:pt idx="8">
                  <c:v>0</c:v>
                </c:pt>
                <c:pt idx="9">
                  <c:v>0</c:v>
                </c:pt>
                <c:pt idx="10">
                  <c:v>0</c:v>
                </c:pt>
                <c:pt idx="11">
                  <c:v>0</c:v>
                </c:pt>
              </c:numCache>
            </c:numRef>
          </c:val>
        </c:ser>
        <c:dLbls>
          <c:showLegendKey val="0"/>
          <c:showVal val="0"/>
          <c:showCatName val="0"/>
          <c:showSerName val="0"/>
          <c:showPercent val="0"/>
          <c:showBubbleSize val="1"/>
        </c:dLbls>
        <c:gapWidth val="150"/>
        <c:overlap val="100"/>
        <c:axId val="19688332"/>
        <c:axId val="85831749"/>
      </c:barChart>
      <c:catAx>
        <c:axId val="19688332"/>
        <c:scaling>
          <c:orientation val="minMax"/>
        </c:scaling>
        <c:delete val="0"/>
        <c:axPos val="b"/>
        <c:title>
          <c:tx>
            <c:rich>
              <a:bodyPr rot="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c:rich>
          </c:tx>
          <c:layout/>
          <c:overlay val="0"/>
          <c:spPr>
            <a:noFill/>
            <a:ln w="0">
              <a:noFill/>
            </a:ln>
          </c:spPr>
        </c:title>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85831749"/>
        <c:crosses val="autoZero"/>
        <c:auto val="1"/>
        <c:lblAlgn val="ctr"/>
        <c:lblOffset val="100"/>
        <c:noMultiLvlLbl val="0"/>
      </c:catAx>
      <c:valAx>
        <c:axId val="85831749"/>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含税金额(元)</a:t>
                </a:r>
                <a:endParaRPr sz="1000" b="1" strike="noStrike" spc="-1">
                  <a:solidFill>
                    <a:srgbClr val="000000"/>
                  </a:solidFill>
                  <a:latin typeface="Calibri" panose="020F0502020204030204"/>
                </a:endParaRPr>
              </a:p>
            </c:rich>
          </c:tx>
          <c:layout/>
          <c:overlay val="0"/>
          <c:spPr>
            <a:noFill/>
            <a:ln w="0">
              <a:noFill/>
            </a:ln>
          </c:spPr>
        </c:title>
        <c:numFmt formatCode="#,##0;[Red]\-#,##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19688332"/>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1efee33a-99a3-48bb-beb6-969f3ce4535e}"/>
      </c:ext>
    </c:extLst>
  </c:chart>
  <c:spPr>
    <a:solidFill>
      <a:srgbClr val="FFFFFF"/>
    </a:solidFill>
    <a:ln w="9360"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管理费用 / 办公费 / 税费 月度走势</a:t>
            </a:r>
            <a:endParaRPr sz="1800" b="1" strike="noStrike" spc="-1">
              <a:solidFill>
                <a:srgbClr val="000000"/>
              </a:solidFill>
              <a:latin typeface="Calibri" panose="020F0502020204030204"/>
            </a:endParaRPr>
          </a:p>
        </c:rich>
      </c:tx>
      <c:layout/>
      <c:overlay val="0"/>
      <c:spPr>
        <a:noFill/>
        <a:ln w="0">
          <a:noFill/>
        </a:ln>
      </c:spPr>
    </c:title>
    <c:autoTitleDeleted val="0"/>
    <c:plotArea>
      <c:layout/>
      <c:lineChart>
        <c:grouping val="standard"/>
        <c:varyColors val="0"/>
        <c:ser>
          <c:idx val="0"/>
          <c:order val="0"/>
          <c:tx>
            <c:strRef>
              <c:f>月度趋势数据!$I$3</c:f>
              <c:strCache>
                <c:ptCount val="1"/>
                <c:pt idx="0">
                  <c:v>管理费用</c:v>
                </c:pt>
              </c:strCache>
            </c:strRef>
          </c:tx>
          <c:spPr>
            <a:ln w="28440" cap="rnd" cmpd="sng" algn="ctr">
              <a:solidFill>
                <a:srgbClr val="4A7EBB"/>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月度趋势数据!$I$4:$I$15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
          <c:order val="1"/>
          <c:tx>
            <c:strRef>
              <c:f>月度趋势数据!$N$3</c:f>
              <c:strCache>
                <c:ptCount val="1"/>
                <c:pt idx="0">
                  <c:v>其中:办公费</c:v>
                </c:pt>
              </c:strCache>
            </c:strRef>
          </c:tx>
          <c:spPr>
            <a:ln w="28440" cap="rnd" cmpd="sng" algn="ctr">
              <a:solidFill>
                <a:srgbClr val="BE4B48"/>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月度趋势数据!$N$4:$N$15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2"/>
          <c:tx>
            <c:strRef>
              <c:f>月度趋势数据!$K$3</c:f>
              <c:strCache>
                <c:ptCount val="1"/>
                <c:pt idx="0">
                  <c:v>税费</c:v>
                </c:pt>
              </c:strCache>
            </c:strRef>
          </c:tx>
          <c:spPr>
            <a:ln w="28440" cap="rnd" cmpd="sng" algn="ctr">
              <a:solidFill>
                <a:srgbClr val="98B855"/>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月度趋势数据!$K$4:$K$15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1"/>
        </c:dLbls>
        <c:hiLowLines>
          <c:spPr>
            <a:ln w="0" cap="flat" cmpd="sng" algn="ctr">
              <a:noFill/>
              <a:prstDash val="solid"/>
              <a:round/>
            </a:ln>
          </c:spPr>
        </c:hiLowLines>
        <c:marker val="0"/>
        <c:smooth val="0"/>
        <c:axId val="76981386"/>
        <c:axId val="95691142"/>
      </c:lineChart>
      <c:catAx>
        <c:axId val="76981386"/>
        <c:scaling>
          <c:orientation val="minMax"/>
        </c:scaling>
        <c:delete val="0"/>
        <c:axPos val="b"/>
        <c:title>
          <c:tx>
            <c:rich>
              <a:bodyPr rot="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c:rich>
          </c:tx>
          <c:layout/>
          <c:overlay val="0"/>
          <c:spPr>
            <a:noFill/>
            <a:ln w="0">
              <a:noFill/>
            </a:ln>
          </c:spPr>
        </c:title>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95691142"/>
        <c:crosses val="autoZero"/>
        <c:auto val="1"/>
        <c:lblAlgn val="ctr"/>
        <c:lblOffset val="100"/>
        <c:noMultiLvlLbl val="0"/>
      </c:catAx>
      <c:valAx>
        <c:axId val="95691142"/>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c:rich>
          </c:tx>
          <c:layout/>
          <c:overlay val="0"/>
          <c:spPr>
            <a:noFill/>
            <a:ln w="0">
              <a:noFill/>
            </a:ln>
          </c:spPr>
        </c:title>
        <c:numFmt formatCode="#,##0;[Red]\-#,##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76981386"/>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8197b8e6-d850-46e1-8f86-a306e7628a42}"/>
      </c:ext>
    </c:extLst>
  </c:chart>
  <c:spPr>
    <a:solidFill>
      <a:srgbClr val="FFFFFF"/>
    </a:solidFill>
    <a:ln w="9360"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本月支出结构（按大类）</a:t>
            </a:r>
            <a:endParaRPr sz="1800" b="1" strike="noStrike" spc="-1">
              <a:solidFill>
                <a:srgbClr val="000000"/>
              </a:solidFill>
              <a:latin typeface="Calibri" panose="020F0502020204030204"/>
            </a:endParaRPr>
          </a:p>
        </c:rich>
      </c:tx>
      <c:layout/>
      <c:overlay val="0"/>
      <c:spPr>
        <a:noFill/>
        <a:ln w="0">
          <a:noFill/>
        </a:ln>
      </c:spPr>
    </c:title>
    <c:autoTitleDeleted val="0"/>
    <c:plotArea>
      <c:layout/>
      <c:barChart>
        <c:barDir val="bar"/>
        <c:grouping val="clustered"/>
        <c:varyColors val="0"/>
        <c:ser>
          <c:idx val="0"/>
          <c:order val="0"/>
          <c:tx>
            <c:strRef>
              <c:f>月度汇报表!$B$30</c:f>
              <c:strCache>
                <c:ptCount val="1"/>
                <c:pt idx="0">
                  <c:v>损益口径金额</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spc="-1" baseline="0">
                    <a:solidFill>
                      <a:srgbClr val="000000"/>
                    </a:solidFill>
                    <a:latin typeface="Calibri" panose="020F0502020204030204"/>
                    <a:ea typeface="+mn-ea"/>
                    <a:cs typeface="+mn-cs"/>
                  </a:defRPr>
                </a:pPr>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layout/>
                <c15:showLeaderLines val="1"/>
                <c15:leaderLines/>
              </c:ext>
            </c:extLst>
          </c:dLbls>
          <c:cat>
            <c:strRef>
              <c:f>月度汇报表!$A$31:$A$36</c:f>
              <c:strCache>
                <c:ptCount val="6"/>
                <c:pt idx="0">
                  <c:v>项目成本</c:v>
                </c:pt>
                <c:pt idx="1">
                  <c:v>管理费用</c:v>
                </c:pt>
                <c:pt idx="2">
                  <c:v>人工社保</c:v>
                </c:pt>
                <c:pt idx="3">
                  <c:v>税费</c:v>
                </c:pt>
                <c:pt idx="4">
                  <c:v>财务费用</c:v>
                </c:pt>
                <c:pt idx="5">
                  <c:v>往来及保证金</c:v>
                </c:pt>
              </c:strCache>
            </c:strRef>
          </c:cat>
          <c:val>
            <c:numRef>
              <c:f>月度汇报表!$B$31:$B$36</c:f>
              <c:numCache>
                <c:formatCode>#,##0.00;[Red]\-#,##0.00;;</c:formatCode>
                <c:ptCount val="6"/>
                <c:pt idx="0">
                  <c:v>0</c:v>
                </c:pt>
                <c:pt idx="1">
                  <c:v>0</c:v>
                </c:pt>
                <c:pt idx="2">
                  <c:v>0</c:v>
                </c:pt>
                <c:pt idx="3">
                  <c:v>0</c:v>
                </c:pt>
                <c:pt idx="4">
                  <c:v>0</c:v>
                </c:pt>
                <c:pt idx="5">
                  <c:v>0</c:v>
                </c:pt>
              </c:numCache>
            </c:numRef>
          </c:val>
        </c:ser>
        <c:dLbls>
          <c:showLegendKey val="1"/>
          <c:showVal val="1"/>
          <c:showCatName val="1"/>
          <c:showSerName val="1"/>
          <c:showPercent val="0"/>
          <c:showBubbleSize val="1"/>
        </c:dLbls>
        <c:gapWidth val="150"/>
        <c:overlap val="0"/>
        <c:axId val="39974973"/>
        <c:axId val="30645232"/>
      </c:barChart>
      <c:catAx>
        <c:axId val="39974973"/>
        <c:scaling>
          <c:orientation val="minMax"/>
        </c:scaling>
        <c:delete val="0"/>
        <c:axPos val="l"/>
        <c:title>
          <c:tx>
            <c:rich>
              <a:bodyPr rot="-540000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支出大类</a:t>
                </a:r>
                <a:endParaRPr sz="1000" b="1" strike="noStrike" spc="-1">
                  <a:solidFill>
                    <a:srgbClr val="000000"/>
                  </a:solidFill>
                  <a:latin typeface="Calibri" panose="020F0502020204030204"/>
                </a:endParaRPr>
              </a:p>
            </c:rich>
          </c:tx>
          <c:layout/>
          <c:overlay val="0"/>
          <c:spPr>
            <a:noFill/>
            <a:ln w="0">
              <a:noFill/>
            </a:ln>
          </c:spPr>
        </c:title>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30645232"/>
        <c:crosses val="autoZero"/>
        <c:auto val="1"/>
        <c:lblAlgn val="ctr"/>
        <c:lblOffset val="100"/>
        <c:noMultiLvlLbl val="0"/>
      </c:catAx>
      <c:valAx>
        <c:axId val="30645232"/>
        <c:scaling>
          <c:orientation val="minMax"/>
        </c:scaling>
        <c:delete val="0"/>
        <c:axPos val="b"/>
        <c:majorGridlines>
          <c:spPr>
            <a:ln w="9360" cap="flat" cmpd="sng" algn="ctr">
              <a:solidFill>
                <a:srgbClr val="878787"/>
              </a:solidFill>
              <a:prstDash val="solid"/>
              <a:round/>
            </a:ln>
          </c:spPr>
        </c:majorGridlines>
        <c:title>
          <c:tx>
            <c:rich>
              <a:bodyPr rot="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c:rich>
          </c:tx>
          <c:layout/>
          <c:overlay val="0"/>
          <c:spPr>
            <a:noFill/>
            <a:ln w="0">
              <a:noFill/>
            </a:ln>
          </c:spPr>
        </c:title>
        <c:numFmt formatCode="#,##0.00;[Red]\-#,##0.0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39974973"/>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d2d987b8-47a4-4401-9b19-23c13c0d6fd9}"/>
      </c:ext>
    </c:extLst>
  </c:chart>
  <c:spPr>
    <a:solidFill>
      <a:srgbClr val="FFFFFF"/>
    </a:solidFill>
    <a:ln w="9360"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损益口径收入 vs 项目成本</a:t>
            </a:r>
            <a:endParaRPr sz="1800" b="1" strike="noStrike" spc="-1">
              <a:solidFill>
                <a:srgbClr val="000000"/>
              </a:solidFill>
              <a:latin typeface="Calibri" panose="020F0502020204030204"/>
            </a:endParaRPr>
          </a:p>
        </c:rich>
      </c:tx>
      <c:layout/>
      <c:overlay val="0"/>
      <c:spPr>
        <a:noFill/>
        <a:ln w="0">
          <a:noFill/>
        </a:ln>
      </c:spPr>
    </c:title>
    <c:autoTitleDeleted val="0"/>
    <c:plotArea>
      <c:layout/>
      <c:lineChart>
        <c:grouping val="standard"/>
        <c:varyColors val="0"/>
        <c:ser>
          <c:idx val="0"/>
          <c:order val="0"/>
          <c:tx>
            <c:strRef>
              <c:f>月度趋势数据!$G$3</c:f>
              <c:strCache>
                <c:ptCount val="1"/>
                <c:pt idx="0">
                  <c:v>损益口径收入</c:v>
                </c:pt>
              </c:strCache>
            </c:strRef>
          </c:tx>
          <c:spPr>
            <a:ln w="28440" cap="rnd" cmpd="sng" algn="ctr">
              <a:solidFill>
                <a:srgbClr val="4A7EBB"/>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月度趋势数据!$G$4:$G$15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
          <c:order val="1"/>
          <c:tx>
            <c:strRef>
              <c:f>月度趋势数据!$H$3</c:f>
              <c:strCache>
                <c:ptCount val="1"/>
                <c:pt idx="0">
                  <c:v>项目成本</c:v>
                </c:pt>
              </c:strCache>
            </c:strRef>
          </c:tx>
          <c:spPr>
            <a:ln w="28440" cap="rnd" cmpd="sng" algn="ctr">
              <a:solidFill>
                <a:srgbClr val="BE4B48"/>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月度趋势数据!$A$4:$A$15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月度趋势数据!$H$4:$H$15</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1"/>
        </c:dLbls>
        <c:hiLowLines>
          <c:spPr>
            <a:ln w="0" cap="flat" cmpd="sng" algn="ctr">
              <a:noFill/>
              <a:prstDash val="solid"/>
              <a:round/>
            </a:ln>
          </c:spPr>
        </c:hiLowLines>
        <c:marker val="0"/>
        <c:smooth val="0"/>
        <c:axId val="43967541"/>
        <c:axId val="66859491"/>
      </c:lineChart>
      <c:catAx>
        <c:axId val="43967541"/>
        <c:scaling>
          <c:orientation val="minMax"/>
        </c:scaling>
        <c:delete val="0"/>
        <c:axPos val="b"/>
        <c:title>
          <c:tx>
            <c:rich>
              <a:bodyPr rot="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月份</a:t>
                </a:r>
                <a:endParaRPr sz="1000" b="1" strike="noStrike" spc="-1">
                  <a:solidFill>
                    <a:srgbClr val="000000"/>
                  </a:solidFill>
                  <a:latin typeface="Calibri" panose="020F0502020204030204"/>
                </a:endParaRPr>
              </a:p>
            </c:rich>
          </c:tx>
          <c:layout/>
          <c:overlay val="0"/>
          <c:spPr>
            <a:noFill/>
            <a:ln w="0">
              <a:noFill/>
            </a:ln>
          </c:spPr>
        </c:title>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66859491"/>
        <c:crosses val="autoZero"/>
        <c:auto val="1"/>
        <c:lblAlgn val="ctr"/>
        <c:lblOffset val="100"/>
        <c:noMultiLvlLbl val="0"/>
      </c:catAx>
      <c:valAx>
        <c:axId val="66859491"/>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zh-CN"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金额(元)</a:t>
                </a:r>
                <a:endParaRPr sz="1000" b="1" strike="noStrike" spc="-1">
                  <a:solidFill>
                    <a:srgbClr val="000000"/>
                  </a:solidFill>
                  <a:latin typeface="Calibri" panose="020F0502020204030204"/>
                </a:endParaRPr>
              </a:p>
            </c:rich>
          </c:tx>
          <c:layout/>
          <c:overlay val="0"/>
          <c:spPr>
            <a:noFill/>
            <a:ln w="0">
              <a:noFill/>
            </a:ln>
          </c:spPr>
        </c:title>
        <c:numFmt formatCode="#,##0;[Red]\-#,##0"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crossAx val="43967541"/>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zh-CN"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f94ee006-c98a-4788-b9c8-bdba75c66c6c}"/>
      </c:ext>
    </c:extLst>
  </c:chart>
  <c:spPr>
    <a:solidFill>
      <a:srgbClr val="FFFFFF"/>
    </a:solidFill>
    <a:ln w="9360"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xdr:row>
      <xdr:rowOff>0</xdr:rowOff>
    </xdr:from>
    <xdr:to>
      <xdr:col>12</xdr:col>
      <xdr:colOff>113040</xdr:colOff>
      <xdr:row>19</xdr:row>
      <xdr:rowOff>181080</xdr:rowOff>
    </xdr:to>
    <xdr:graphicFrame>
      <xdr:nvGraphicFramePr>
        <xdr:cNvPr id="2" name="Chart 1"/>
        <xdr:cNvGraphicFramePr/>
      </xdr:nvGraphicFramePr>
      <xdr:xfrm>
        <a:off x="200025" y="514350"/>
        <a:ext cx="6476365" cy="34194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0</xdr:rowOff>
    </xdr:from>
    <xdr:to>
      <xdr:col>24</xdr:col>
      <xdr:colOff>113040</xdr:colOff>
      <xdr:row>19</xdr:row>
      <xdr:rowOff>181080</xdr:rowOff>
    </xdr:to>
    <xdr:graphicFrame>
      <xdr:nvGraphicFramePr>
        <xdr:cNvPr id="3" name="Chart 2"/>
        <xdr:cNvGraphicFramePr/>
      </xdr:nvGraphicFramePr>
      <xdr:xfrm>
        <a:off x="7141845" y="514350"/>
        <a:ext cx="6476365" cy="34194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22</xdr:row>
      <xdr:rowOff>0</xdr:rowOff>
    </xdr:from>
    <xdr:to>
      <xdr:col>12</xdr:col>
      <xdr:colOff>113040</xdr:colOff>
      <xdr:row>39</xdr:row>
      <xdr:rowOff>181080</xdr:rowOff>
    </xdr:to>
    <xdr:graphicFrame>
      <xdr:nvGraphicFramePr>
        <xdr:cNvPr id="4" name="Chart 3"/>
        <xdr:cNvGraphicFramePr/>
      </xdr:nvGraphicFramePr>
      <xdr:xfrm>
        <a:off x="200025" y="4324350"/>
        <a:ext cx="6476365" cy="34194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22</xdr:row>
      <xdr:rowOff>0</xdr:rowOff>
    </xdr:from>
    <xdr:to>
      <xdr:col>24</xdr:col>
      <xdr:colOff>113040</xdr:colOff>
      <xdr:row>39</xdr:row>
      <xdr:rowOff>181080</xdr:rowOff>
    </xdr:to>
    <xdr:graphicFrame>
      <xdr:nvGraphicFramePr>
        <xdr:cNvPr id="5" name="Chart 4"/>
        <xdr:cNvGraphicFramePr/>
      </xdr:nvGraphicFramePr>
      <xdr:xfrm>
        <a:off x="7141845" y="4324350"/>
        <a:ext cx="6476365" cy="34194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42</xdr:row>
      <xdr:rowOff>0</xdr:rowOff>
    </xdr:from>
    <xdr:to>
      <xdr:col>12</xdr:col>
      <xdr:colOff>113040</xdr:colOff>
      <xdr:row>59</xdr:row>
      <xdr:rowOff>181080</xdr:rowOff>
    </xdr:to>
    <xdr:graphicFrame>
      <xdr:nvGraphicFramePr>
        <xdr:cNvPr id="6" name="Chart 5"/>
        <xdr:cNvGraphicFramePr/>
      </xdr:nvGraphicFramePr>
      <xdr:xfrm>
        <a:off x="200025" y="8134350"/>
        <a:ext cx="6476365" cy="34194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42</xdr:row>
      <xdr:rowOff>0</xdr:rowOff>
    </xdr:from>
    <xdr:to>
      <xdr:col>24</xdr:col>
      <xdr:colOff>113040</xdr:colOff>
      <xdr:row>59</xdr:row>
      <xdr:rowOff>181080</xdr:rowOff>
    </xdr:to>
    <xdr:graphicFrame>
      <xdr:nvGraphicFramePr>
        <xdr:cNvPr id="7" name="Chart 6"/>
        <xdr:cNvGraphicFramePr/>
      </xdr:nvGraphicFramePr>
      <xdr:xfrm>
        <a:off x="7141845" y="8134350"/>
        <a:ext cx="6476365" cy="34194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808080"/>
  </sheetPr>
  <dimension ref="A1:A61"/>
  <sheetViews>
    <sheetView showGridLines="0" topLeftCell="A19" workbookViewId="0">
      <selection activeCell="C17" sqref="C17"/>
    </sheetView>
  </sheetViews>
  <sheetFormatPr defaultColWidth="8.67619047619048" defaultRowHeight="15"/>
  <cols>
    <col min="1" max="1" width="118" customWidth="1"/>
  </cols>
  <sheetData>
    <row r="1" ht="30" customHeight="1" spans="1:1">
      <c r="A1" s="108" t="s">
        <v>0</v>
      </c>
    </row>
    <row r="2" ht="16.5" spans="1:1">
      <c r="A2" s="109" t="s">
        <v>1</v>
      </c>
    </row>
    <row r="3" ht="16.5" customHeight="1" spans="1:1">
      <c r="A3" s="110"/>
    </row>
    <row r="4" ht="24" customHeight="1" spans="1:1">
      <c r="A4" s="111" t="s">
        <v>2</v>
      </c>
    </row>
    <row r="5" ht="31.5" customHeight="1" spans="1:1">
      <c r="A5" s="112" t="s">
        <v>3</v>
      </c>
    </row>
    <row r="6" ht="31.5" customHeight="1" spans="1:1">
      <c r="A6" s="112" t="s">
        <v>4</v>
      </c>
    </row>
    <row r="7" ht="31.5" customHeight="1" spans="1:1">
      <c r="A7" s="112" t="s">
        <v>5</v>
      </c>
    </row>
    <row r="8" ht="16.5" customHeight="1" spans="1:1">
      <c r="A8" s="110"/>
    </row>
    <row r="9" ht="24" customHeight="1" spans="1:1">
      <c r="A9" s="111" t="s">
        <v>6</v>
      </c>
    </row>
    <row r="10" ht="31.5" customHeight="1" spans="1:1">
      <c r="A10" s="112" t="s">
        <v>7</v>
      </c>
    </row>
    <row r="11" ht="31.5" customHeight="1" spans="1:1">
      <c r="A11" s="112" t="s">
        <v>8</v>
      </c>
    </row>
    <row r="12" ht="31.5" customHeight="1" spans="1:1">
      <c r="A12" s="112" t="s">
        <v>9</v>
      </c>
    </row>
    <row r="13" ht="16.5" customHeight="1" spans="1:1">
      <c r="A13" s="112" t="s">
        <v>10</v>
      </c>
    </row>
    <row r="14" ht="31.5" customHeight="1" spans="1:1">
      <c r="A14" s="112" t="s">
        <v>11</v>
      </c>
    </row>
    <row r="15" ht="16.5" customHeight="1" spans="1:1">
      <c r="A15" s="112" t="s">
        <v>12</v>
      </c>
    </row>
    <row r="16" ht="16.5" customHeight="1" spans="1:1">
      <c r="A16" s="110"/>
    </row>
    <row r="17" ht="24" customHeight="1" spans="1:1">
      <c r="A17" s="111" t="s">
        <v>13</v>
      </c>
    </row>
    <row r="18" ht="31.5" customHeight="1" spans="1:1">
      <c r="A18" s="112" t="s">
        <v>14</v>
      </c>
    </row>
    <row r="19" ht="31.5" customHeight="1" spans="1:1">
      <c r="A19" s="112" t="s">
        <v>15</v>
      </c>
    </row>
    <row r="20" ht="45.75" customHeight="1" spans="1:1">
      <c r="A20" s="112" t="s">
        <v>16</v>
      </c>
    </row>
    <row r="21" ht="31.5" customHeight="1" spans="1:1">
      <c r="A21" s="112" t="s">
        <v>17</v>
      </c>
    </row>
    <row r="22" ht="31.5" customHeight="1" spans="1:1">
      <c r="A22" s="112" t="s">
        <v>18</v>
      </c>
    </row>
    <row r="23" ht="31.5" customHeight="1" spans="1:1">
      <c r="A23" s="112" t="s">
        <v>19</v>
      </c>
    </row>
    <row r="24" ht="16.5" customHeight="1" spans="1:1">
      <c r="A24" s="112" t="s">
        <v>20</v>
      </c>
    </row>
    <row r="25" ht="31.5" customHeight="1" spans="1:1">
      <c r="A25" s="112" t="s">
        <v>21</v>
      </c>
    </row>
    <row r="26" ht="31.5" customHeight="1" spans="1:1">
      <c r="A26" s="112" t="s">
        <v>22</v>
      </c>
    </row>
    <row r="27" ht="16.5" customHeight="1" spans="1:1">
      <c r="A27" s="112" t="s">
        <v>23</v>
      </c>
    </row>
    <row r="28" ht="16.5" customHeight="1" spans="1:1">
      <c r="A28" s="112" t="s">
        <v>24</v>
      </c>
    </row>
    <row r="29" ht="16.5" customHeight="1" spans="1:1">
      <c r="A29" s="110"/>
    </row>
    <row r="30" ht="24" customHeight="1" spans="1:1">
      <c r="A30" s="111" t="s">
        <v>25</v>
      </c>
    </row>
    <row r="31" ht="16.5" customHeight="1" spans="1:1">
      <c r="A31" s="112" t="s">
        <v>26</v>
      </c>
    </row>
    <row r="32" ht="31.5" customHeight="1" spans="1:1">
      <c r="A32" s="112" t="s">
        <v>27</v>
      </c>
    </row>
    <row r="33" ht="31.5" customHeight="1" spans="1:1">
      <c r="A33" s="112" t="s">
        <v>28</v>
      </c>
    </row>
    <row r="34" ht="16.5" customHeight="1" spans="1:1">
      <c r="A34" s="110"/>
    </row>
    <row r="35" ht="24" customHeight="1" spans="1:1">
      <c r="A35" s="111" t="s">
        <v>29</v>
      </c>
    </row>
    <row r="36" ht="31.5" customHeight="1" spans="1:1">
      <c r="A36" s="112" t="s">
        <v>30</v>
      </c>
    </row>
    <row r="37" ht="31.5" customHeight="1" spans="1:1">
      <c r="A37" s="112" t="s">
        <v>31</v>
      </c>
    </row>
    <row r="38" ht="31.5" customHeight="1" spans="1:1">
      <c r="A38" s="112" t="s">
        <v>32</v>
      </c>
    </row>
    <row r="39" ht="16.5" customHeight="1" spans="1:1">
      <c r="A39" s="112" t="s">
        <v>33</v>
      </c>
    </row>
    <row r="40" ht="31.5" customHeight="1" spans="1:1">
      <c r="A40" s="112" t="s">
        <v>34</v>
      </c>
    </row>
    <row r="41" ht="16.5" customHeight="1" spans="1:1">
      <c r="A41" s="110"/>
    </row>
    <row r="42" ht="24" customHeight="1" spans="1:1">
      <c r="A42" s="111" t="s">
        <v>35</v>
      </c>
    </row>
    <row r="43" ht="31.5" customHeight="1" spans="1:1">
      <c r="A43" s="112" t="s">
        <v>36</v>
      </c>
    </row>
    <row r="44" ht="16.5" customHeight="1" spans="1:1">
      <c r="A44" s="112" t="s">
        <v>37</v>
      </c>
    </row>
    <row r="45" ht="16.5" customHeight="1" spans="1:1">
      <c r="A45" s="112" t="s">
        <v>38</v>
      </c>
    </row>
    <row r="46" ht="16.5" customHeight="1" spans="1:1">
      <c r="A46" s="112" t="s">
        <v>39</v>
      </c>
    </row>
    <row r="47" ht="16.5" customHeight="1" spans="1:1">
      <c r="A47" s="112" t="s">
        <v>40</v>
      </c>
    </row>
    <row r="48" ht="16.5" customHeight="1" spans="1:1">
      <c r="A48" s="112" t="s">
        <v>41</v>
      </c>
    </row>
    <row r="49" ht="16.5" customHeight="1" spans="1:1">
      <c r="A49" s="110"/>
    </row>
    <row r="50" ht="24" customHeight="1" spans="1:1">
      <c r="A50" s="111" t="s">
        <v>42</v>
      </c>
    </row>
    <row r="51" ht="31.5" customHeight="1" spans="1:1">
      <c r="A51" s="112" t="s">
        <v>43</v>
      </c>
    </row>
    <row r="52" ht="31.5" customHeight="1" spans="1:1">
      <c r="A52" s="112" t="s">
        <v>44</v>
      </c>
    </row>
    <row r="53" ht="31.5" customHeight="1" spans="1:1">
      <c r="A53" s="112" t="s">
        <v>45</v>
      </c>
    </row>
    <row r="54" ht="31.5" customHeight="1" spans="1:1">
      <c r="A54" s="112" t="s">
        <v>46</v>
      </c>
    </row>
    <row r="55" ht="31.5" customHeight="1" spans="1:1">
      <c r="A55" s="112" t="s">
        <v>47</v>
      </c>
    </row>
    <row r="56" ht="16.5" customHeight="1" spans="1:1">
      <c r="A56" s="112" t="s">
        <v>48</v>
      </c>
    </row>
    <row r="57" ht="16.5" customHeight="1" spans="1:1">
      <c r="A57" s="110"/>
    </row>
    <row r="58" ht="24" customHeight="1" spans="1:1">
      <c r="A58" s="111" t="s">
        <v>49</v>
      </c>
    </row>
    <row r="59" ht="31.5" customHeight="1" spans="1:1">
      <c r="A59" s="112" t="s">
        <v>50</v>
      </c>
    </row>
    <row r="60" ht="31.5" customHeight="1" spans="1:1">
      <c r="A60" s="112" t="s">
        <v>51</v>
      </c>
    </row>
    <row r="61" ht="31.5" customHeight="1" spans="1:1">
      <c r="A61" s="112" t="s">
        <v>52</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C000"/>
  </sheetPr>
  <dimension ref="A1:AH177"/>
  <sheetViews>
    <sheetView showGridLines="0" workbookViewId="0">
      <pane ySplit="3" topLeftCell="A91" activePane="bottomLeft" state="frozen"/>
      <selection/>
      <selection pane="bottomLeft" activeCell="A1" sqref="$A1:$XFD1048576"/>
    </sheetView>
  </sheetViews>
  <sheetFormatPr defaultColWidth="8.67619047619048" defaultRowHeight="27" customHeight="1"/>
  <cols>
    <col min="1" max="1" width="9.11428571428571" customWidth="1"/>
    <col min="2" max="2" width="7.78095238095238" customWidth="1"/>
    <col min="3" max="3" width="11" customWidth="1"/>
    <col min="4" max="4" width="2" customWidth="1"/>
    <col min="5" max="5" width="11.8857142857143" customWidth="1"/>
    <col min="6" max="6" width="8.44761904761905" customWidth="1"/>
    <col min="7" max="7" width="8.33333333333333" customWidth="1"/>
    <col min="8" max="8" width="2" customWidth="1"/>
    <col min="9" max="9" width="5.11428571428571" customWidth="1"/>
    <col min="10" max="10" width="44.7809523809524" customWidth="1"/>
    <col min="11" max="11" width="12" customWidth="1"/>
    <col min="12" max="12" width="34.447619047619" customWidth="1"/>
    <col min="13" max="13" width="14.6666666666667" customWidth="1"/>
    <col min="14" max="14" width="12" customWidth="1"/>
    <col min="15" max="15" width="14" customWidth="1"/>
    <col min="16" max="16" width="2" customWidth="1"/>
    <col min="17" max="17" width="16" customWidth="1"/>
    <col min="18" max="18" width="14" customWidth="1"/>
    <col min="19" max="19" width="2" customWidth="1"/>
    <col min="20" max="20" width="17" customWidth="1"/>
    <col min="21" max="21" width="2" customWidth="1"/>
    <col min="22" max="22" width="16" customWidth="1"/>
    <col min="23" max="23" width="13" customWidth="1"/>
    <col min="24" max="24" width="2" customWidth="1"/>
    <col min="25" max="25" width="14" customWidth="1"/>
    <col min="26" max="26" width="2" customWidth="1"/>
    <col min="27" max="27" width="14" customWidth="1"/>
    <col min="28" max="28" width="2" customWidth="1"/>
    <col min="29" max="29" width="19" customWidth="1"/>
    <col min="30" max="30" width="2" customWidth="1"/>
    <col min="31" max="31" width="9" customWidth="1"/>
    <col min="33" max="33" width="14" customWidth="1"/>
    <col min="34" max="34" width="46" customWidth="1"/>
  </cols>
  <sheetData>
    <row r="1" customHeight="1" spans="1:34">
      <c r="A1" s="1" t="s">
        <v>53</v>
      </c>
      <c r="B1" s="1"/>
      <c r="C1" s="1"/>
      <c r="D1" s="1"/>
      <c r="E1" s="1"/>
      <c r="F1" s="1"/>
      <c r="G1" s="1"/>
      <c r="H1" s="1"/>
      <c r="I1" s="1"/>
      <c r="J1" s="1"/>
      <c r="K1" s="1"/>
      <c r="L1" s="1"/>
      <c r="M1" s="1"/>
      <c r="N1" s="1"/>
      <c r="O1" s="1"/>
    </row>
    <row r="2" customHeight="1" spans="1:34">
      <c r="A2" s="97" t="s">
        <v>54</v>
      </c>
      <c r="B2" s="97"/>
      <c r="C2" s="97"/>
      <c r="D2" s="97"/>
      <c r="E2" s="97"/>
      <c r="F2" s="97"/>
      <c r="G2" s="97"/>
      <c r="H2" s="97"/>
      <c r="I2" s="97"/>
      <c r="J2" s="97"/>
      <c r="K2" s="97"/>
      <c r="L2" s="97"/>
      <c r="M2" s="97"/>
      <c r="N2" s="97"/>
      <c r="O2" s="97"/>
    </row>
    <row r="3" customHeight="1" spans="1:34">
      <c r="A3" s="9" t="s">
        <v>55</v>
      </c>
      <c r="B3" s="9" t="s">
        <v>56</v>
      </c>
      <c r="C3" s="9" t="s">
        <v>57</v>
      </c>
      <c r="E3" s="9" t="s">
        <v>58</v>
      </c>
      <c r="F3" s="9" t="s">
        <v>59</v>
      </c>
      <c r="G3" s="9" t="s">
        <v>60</v>
      </c>
      <c r="I3" s="9" t="s">
        <v>61</v>
      </c>
      <c r="J3" s="9" t="s">
        <v>62</v>
      </c>
      <c r="K3" s="9" t="s">
        <v>59</v>
      </c>
      <c r="L3" s="9" t="s">
        <v>63</v>
      </c>
      <c r="M3" s="9" t="s">
        <v>64</v>
      </c>
      <c r="N3" s="9" t="s">
        <v>65</v>
      </c>
      <c r="O3" s="9" t="s">
        <v>66</v>
      </c>
      <c r="Q3" s="9" t="s">
        <v>67</v>
      </c>
      <c r="R3" s="9" t="s">
        <v>68</v>
      </c>
      <c r="T3" s="9" t="s">
        <v>69</v>
      </c>
      <c r="V3" s="9" t="s">
        <v>70</v>
      </c>
      <c r="W3" s="9" t="s">
        <v>71</v>
      </c>
      <c r="Y3" s="9" t="s">
        <v>63</v>
      </c>
      <c r="AA3" s="9" t="s">
        <v>72</v>
      </c>
      <c r="AC3" s="9" t="s">
        <v>73</v>
      </c>
      <c r="AE3" s="9" t="s">
        <v>74</v>
      </c>
      <c r="AG3" s="22" t="s">
        <v>75</v>
      </c>
      <c r="AH3" s="22" t="s">
        <v>76</v>
      </c>
    </row>
    <row r="4" customHeight="1" spans="1:34">
      <c r="A4" s="98" t="s">
        <v>77</v>
      </c>
      <c r="B4" s="99" t="s">
        <v>78</v>
      </c>
      <c r="C4" s="100" t="s">
        <v>79</v>
      </c>
      <c r="E4" s="98" t="s">
        <v>80</v>
      </c>
      <c r="F4" s="100" t="s">
        <v>77</v>
      </c>
      <c r="G4" s="100" t="s">
        <v>81</v>
      </c>
      <c r="I4" s="101" t="s">
        <v>82</v>
      </c>
      <c r="J4" s="102" t="s">
        <v>83</v>
      </c>
      <c r="K4" s="100" t="s">
        <v>77</v>
      </c>
      <c r="L4" s="100" t="s">
        <v>84</v>
      </c>
      <c r="M4" s="103">
        <v>7443095.17</v>
      </c>
      <c r="N4" s="104" t="s">
        <v>85</v>
      </c>
      <c r="O4" s="100" t="s">
        <v>86</v>
      </c>
      <c r="Q4" s="105" t="s">
        <v>87</v>
      </c>
      <c r="R4" s="100" t="s">
        <v>88</v>
      </c>
      <c r="T4" s="105" t="s">
        <v>89</v>
      </c>
      <c r="V4" s="105" t="s">
        <v>90</v>
      </c>
      <c r="W4" s="100" t="s">
        <v>91</v>
      </c>
      <c r="Y4" s="105" t="s">
        <v>92</v>
      </c>
      <c r="AA4" s="105" t="s">
        <v>93</v>
      </c>
      <c r="AC4" s="105" t="s">
        <v>94</v>
      </c>
      <c r="AE4" s="106">
        <v>0.13</v>
      </c>
      <c r="AG4" s="4" t="s">
        <v>95</v>
      </c>
      <c r="AH4" s="6" t="s">
        <v>96</v>
      </c>
    </row>
    <row r="5" customHeight="1" spans="1:34">
      <c r="A5" s="98" t="s">
        <v>97</v>
      </c>
      <c r="B5" s="99" t="s">
        <v>98</v>
      </c>
      <c r="C5" s="99" t="s">
        <v>79</v>
      </c>
      <c r="E5" s="98" t="s">
        <v>99</v>
      </c>
      <c r="F5" s="100" t="s">
        <v>77</v>
      </c>
      <c r="G5" s="100" t="s">
        <v>100</v>
      </c>
      <c r="I5" s="101" t="s">
        <v>101</v>
      </c>
      <c r="J5" s="102" t="s">
        <v>102</v>
      </c>
      <c r="K5" s="99" t="s">
        <v>77</v>
      </c>
      <c r="L5" s="99" t="s">
        <v>103</v>
      </c>
      <c r="M5" s="103">
        <v>7790000</v>
      </c>
      <c r="N5" s="104" t="s">
        <v>85</v>
      </c>
      <c r="O5" s="100" t="s">
        <v>86</v>
      </c>
      <c r="Q5" s="105" t="s">
        <v>104</v>
      </c>
      <c r="R5" s="100" t="s">
        <v>88</v>
      </c>
      <c r="T5" s="105" t="s">
        <v>105</v>
      </c>
      <c r="V5" s="105" t="s">
        <v>106</v>
      </c>
      <c r="W5" s="100" t="s">
        <v>91</v>
      </c>
      <c r="Y5" s="105" t="s">
        <v>107</v>
      </c>
      <c r="AA5" s="105" t="s">
        <v>108</v>
      </c>
      <c r="AC5" s="105" t="s">
        <v>109</v>
      </c>
      <c r="AE5" s="106">
        <v>0.09</v>
      </c>
      <c r="AG5" s="4" t="s">
        <v>110</v>
      </c>
      <c r="AH5" s="107" t="s">
        <v>111</v>
      </c>
    </row>
    <row r="6" customHeight="1" spans="1:34">
      <c r="A6" s="98" t="s">
        <v>112</v>
      </c>
      <c r="B6" s="99" t="s">
        <v>113</v>
      </c>
      <c r="C6" s="100" t="s">
        <v>79</v>
      </c>
      <c r="E6" s="98" t="s">
        <v>114</v>
      </c>
      <c r="F6" s="99" t="s">
        <v>97</v>
      </c>
      <c r="G6" s="100" t="s">
        <v>81</v>
      </c>
      <c r="I6" s="101" t="s">
        <v>115</v>
      </c>
      <c r="J6" s="102"/>
      <c r="K6" s="100" t="s">
        <v>77</v>
      </c>
      <c r="L6" s="100"/>
      <c r="M6" s="103"/>
      <c r="N6" s="104">
        <v>44995</v>
      </c>
      <c r="O6" s="100" t="s">
        <v>116</v>
      </c>
      <c r="Q6" s="105" t="s">
        <v>117</v>
      </c>
      <c r="R6" s="100" t="s">
        <v>118</v>
      </c>
      <c r="T6" s="105" t="s">
        <v>119</v>
      </c>
      <c r="V6" s="105" t="s">
        <v>120</v>
      </c>
      <c r="W6" s="100" t="s">
        <v>91</v>
      </c>
      <c r="Y6" s="105" t="s">
        <v>121</v>
      </c>
      <c r="AA6" s="105" t="s">
        <v>122</v>
      </c>
      <c r="AC6" s="105" t="s">
        <v>123</v>
      </c>
      <c r="AE6" s="106">
        <v>0.06</v>
      </c>
    </row>
    <row r="7" customHeight="1" spans="1:34">
      <c r="A7" s="98" t="s">
        <v>124</v>
      </c>
      <c r="B7" s="99" t="s">
        <v>125</v>
      </c>
      <c r="C7" s="99" t="s">
        <v>79</v>
      </c>
      <c r="E7" s="98" t="s">
        <v>126</v>
      </c>
      <c r="F7" s="99" t="s">
        <v>127</v>
      </c>
      <c r="G7" s="100" t="s">
        <v>81</v>
      </c>
      <c r="I7" s="105"/>
      <c r="J7" s="102" t="s">
        <v>128</v>
      </c>
      <c r="K7" s="100" t="s">
        <v>77</v>
      </c>
      <c r="L7" s="100" t="s">
        <v>129</v>
      </c>
      <c r="M7" s="103">
        <v>6210476.08</v>
      </c>
      <c r="N7" s="104" t="s">
        <v>130</v>
      </c>
      <c r="O7" s="100" t="s">
        <v>116</v>
      </c>
      <c r="Q7" s="105" t="s">
        <v>131</v>
      </c>
      <c r="R7" s="100" t="s">
        <v>118</v>
      </c>
      <c r="T7" s="105" t="s">
        <v>132</v>
      </c>
      <c r="V7" s="105" t="s">
        <v>133</v>
      </c>
      <c r="W7" s="100" t="s">
        <v>91</v>
      </c>
      <c r="Y7" s="105" t="s">
        <v>134</v>
      </c>
      <c r="AA7" s="105" t="s">
        <v>135</v>
      </c>
      <c r="AC7" s="105" t="s">
        <v>136</v>
      </c>
      <c r="AE7" s="106">
        <v>0.05</v>
      </c>
    </row>
    <row r="8" customHeight="1" spans="1:34">
      <c r="A8" s="98" t="s">
        <v>137</v>
      </c>
      <c r="B8" s="99" t="s">
        <v>138</v>
      </c>
      <c r="C8" s="99" t="s">
        <v>139</v>
      </c>
      <c r="E8" s="98" t="s">
        <v>140</v>
      </c>
      <c r="F8" s="99" t="s">
        <v>127</v>
      </c>
      <c r="G8" s="100" t="s">
        <v>100</v>
      </c>
      <c r="I8" s="105"/>
      <c r="J8" s="102" t="s">
        <v>141</v>
      </c>
      <c r="K8" s="99" t="s">
        <v>77</v>
      </c>
      <c r="L8" s="99" t="s">
        <v>142</v>
      </c>
      <c r="M8" s="103">
        <v>3733820</v>
      </c>
      <c r="N8" s="104" t="s">
        <v>143</v>
      </c>
      <c r="O8" s="100" t="s">
        <v>116</v>
      </c>
      <c r="Q8" s="105" t="s">
        <v>144</v>
      </c>
      <c r="R8" s="100" t="s">
        <v>118</v>
      </c>
      <c r="T8" s="105" t="s">
        <v>145</v>
      </c>
      <c r="V8" s="105" t="s">
        <v>146</v>
      </c>
      <c r="W8" s="100" t="s">
        <v>91</v>
      </c>
      <c r="Y8" s="105" t="s">
        <v>147</v>
      </c>
      <c r="AA8" s="105" t="s">
        <v>148</v>
      </c>
      <c r="AC8" s="105" t="s">
        <v>149</v>
      </c>
      <c r="AE8" s="106">
        <v>0.03</v>
      </c>
    </row>
    <row r="9" customHeight="1" spans="1:34">
      <c r="A9" s="98" t="s">
        <v>127</v>
      </c>
      <c r="B9" s="99" t="s">
        <v>127</v>
      </c>
      <c r="C9" s="99" t="s">
        <v>139</v>
      </c>
      <c r="E9" s="98" t="s">
        <v>150</v>
      </c>
      <c r="F9" s="99" t="s">
        <v>112</v>
      </c>
      <c r="G9" s="100" t="s">
        <v>81</v>
      </c>
      <c r="I9" s="105"/>
      <c r="J9" s="102" t="s">
        <v>151</v>
      </c>
      <c r="K9" s="100" t="s">
        <v>77</v>
      </c>
      <c r="L9" s="100" t="s">
        <v>84</v>
      </c>
      <c r="M9" s="103">
        <v>6515900.87</v>
      </c>
      <c r="N9" s="104">
        <v>44995</v>
      </c>
      <c r="O9" s="100" t="s">
        <v>116</v>
      </c>
      <c r="Q9" s="105" t="s">
        <v>152</v>
      </c>
      <c r="R9" s="100" t="s">
        <v>118</v>
      </c>
      <c r="T9" s="105" t="s">
        <v>153</v>
      </c>
      <c r="V9" s="105" t="s">
        <v>154</v>
      </c>
      <c r="W9" s="100" t="s">
        <v>91</v>
      </c>
      <c r="Y9" s="105" t="s">
        <v>155</v>
      </c>
      <c r="AA9" s="105" t="s">
        <v>156</v>
      </c>
      <c r="AC9" s="105"/>
      <c r="AE9" s="106">
        <v>0.01</v>
      </c>
    </row>
    <row r="10" customHeight="1" spans="1:34">
      <c r="A10" s="98" t="s">
        <v>157</v>
      </c>
      <c r="B10" s="99" t="s">
        <v>157</v>
      </c>
      <c r="C10" s="100" t="s">
        <v>139</v>
      </c>
      <c r="E10" s="98" t="s">
        <v>158</v>
      </c>
      <c r="F10" s="99" t="s">
        <v>112</v>
      </c>
      <c r="G10" s="100" t="s">
        <v>100</v>
      </c>
      <c r="I10" s="105"/>
      <c r="J10" s="100" t="s">
        <v>159</v>
      </c>
      <c r="K10" s="99" t="s">
        <v>77</v>
      </c>
      <c r="L10" s="100" t="s">
        <v>160</v>
      </c>
      <c r="M10" s="103">
        <v>737890</v>
      </c>
      <c r="N10" s="104" t="s">
        <v>161</v>
      </c>
      <c r="O10" s="100" t="s">
        <v>116</v>
      </c>
      <c r="Q10" s="105" t="s">
        <v>162</v>
      </c>
      <c r="R10" s="100" t="s">
        <v>163</v>
      </c>
      <c r="T10" s="105" t="s">
        <v>164</v>
      </c>
      <c r="V10" s="105" t="s">
        <v>165</v>
      </c>
      <c r="W10" s="100" t="s">
        <v>91</v>
      </c>
      <c r="Y10" s="105" t="s">
        <v>166</v>
      </c>
      <c r="AA10" s="105" t="s">
        <v>167</v>
      </c>
      <c r="AC10" s="105"/>
      <c r="AE10" s="106">
        <v>0</v>
      </c>
    </row>
    <row r="11" customHeight="1" spans="1:34">
      <c r="A11" s="98" t="s">
        <v>168</v>
      </c>
      <c r="B11" s="99" t="s">
        <v>168</v>
      </c>
      <c r="C11" s="100" t="s">
        <v>139</v>
      </c>
      <c r="E11" s="98" t="s">
        <v>169</v>
      </c>
      <c r="F11" s="99" t="s">
        <v>137</v>
      </c>
      <c r="G11" s="100" t="s">
        <v>81</v>
      </c>
      <c r="I11" s="105"/>
      <c r="J11" s="100" t="s">
        <v>170</v>
      </c>
      <c r="K11" s="99" t="s">
        <v>77</v>
      </c>
      <c r="L11" s="100" t="s">
        <v>171</v>
      </c>
      <c r="M11" s="103">
        <v>2913561.43</v>
      </c>
      <c r="N11" s="104" t="s">
        <v>172</v>
      </c>
      <c r="O11" s="100"/>
      <c r="Q11" s="105" t="s">
        <v>173</v>
      </c>
      <c r="R11" s="100" t="s">
        <v>163</v>
      </c>
      <c r="T11" s="105" t="s">
        <v>174</v>
      </c>
      <c r="V11" s="105" t="s">
        <v>175</v>
      </c>
      <c r="W11" s="100" t="s">
        <v>91</v>
      </c>
      <c r="Y11" s="105" t="s">
        <v>176</v>
      </c>
      <c r="AA11" s="105" t="s">
        <v>177</v>
      </c>
      <c r="AC11" s="105"/>
      <c r="AE11" s="105"/>
    </row>
    <row r="12" customHeight="1" spans="1:34">
      <c r="A12" s="98" t="s">
        <v>178</v>
      </c>
      <c r="B12" s="99" t="s">
        <v>178</v>
      </c>
      <c r="C12" s="100" t="s">
        <v>139</v>
      </c>
      <c r="E12" s="98" t="s">
        <v>179</v>
      </c>
      <c r="F12" s="99" t="s">
        <v>137</v>
      </c>
      <c r="G12" s="100" t="s">
        <v>100</v>
      </c>
      <c r="I12" s="105"/>
      <c r="J12" s="100" t="s">
        <v>180</v>
      </c>
      <c r="K12" s="99" t="s">
        <v>77</v>
      </c>
      <c r="L12" s="100" t="s">
        <v>181</v>
      </c>
      <c r="M12" s="103">
        <v>295570</v>
      </c>
      <c r="N12" s="104" t="s">
        <v>182</v>
      </c>
      <c r="O12" s="100"/>
      <c r="Q12" s="105" t="s">
        <v>183</v>
      </c>
      <c r="R12" s="100" t="s">
        <v>163</v>
      </c>
      <c r="T12" s="105" t="s">
        <v>184</v>
      </c>
      <c r="V12" s="105" t="s">
        <v>185</v>
      </c>
      <c r="W12" s="100" t="s">
        <v>91</v>
      </c>
      <c r="Y12" s="105" t="s">
        <v>186</v>
      </c>
      <c r="AA12" s="105" t="s">
        <v>187</v>
      </c>
      <c r="AE12" s="105"/>
    </row>
    <row r="13" customHeight="1" spans="1:34">
      <c r="A13" s="98" t="s">
        <v>188</v>
      </c>
      <c r="B13" s="99" t="s">
        <v>188</v>
      </c>
      <c r="C13" s="100" t="s">
        <v>139</v>
      </c>
      <c r="E13" s="98" t="s">
        <v>189</v>
      </c>
      <c r="F13" s="99" t="s">
        <v>137</v>
      </c>
      <c r="G13" s="100" t="s">
        <v>100</v>
      </c>
      <c r="I13" s="105"/>
      <c r="J13" s="100" t="s">
        <v>190</v>
      </c>
      <c r="K13" s="99" t="s">
        <v>77</v>
      </c>
      <c r="L13" s="100" t="s">
        <v>160</v>
      </c>
      <c r="M13" s="103">
        <v>126140</v>
      </c>
      <c r="N13" s="104" t="s">
        <v>191</v>
      </c>
      <c r="O13" s="100"/>
      <c r="Q13" s="105" t="s">
        <v>192</v>
      </c>
      <c r="R13" s="100" t="s">
        <v>163</v>
      </c>
      <c r="T13" s="105"/>
      <c r="V13" s="105" t="s">
        <v>193</v>
      </c>
      <c r="W13" s="100" t="s">
        <v>91</v>
      </c>
      <c r="Y13" s="105" t="s">
        <v>194</v>
      </c>
      <c r="AA13" s="105" t="s">
        <v>195</v>
      </c>
      <c r="AE13" s="105"/>
    </row>
    <row r="14" customHeight="1" spans="1:34">
      <c r="A14" s="98" t="s">
        <v>196</v>
      </c>
      <c r="B14" s="99" t="s">
        <v>196</v>
      </c>
      <c r="C14" s="100" t="s">
        <v>139</v>
      </c>
      <c r="E14" s="98" t="s">
        <v>197</v>
      </c>
      <c r="F14" s="99" t="s">
        <v>188</v>
      </c>
      <c r="G14" s="99" t="s">
        <v>81</v>
      </c>
      <c r="I14" s="105"/>
      <c r="J14" s="100" t="s">
        <v>198</v>
      </c>
      <c r="K14" s="99" t="s">
        <v>77</v>
      </c>
      <c r="L14" s="100" t="s">
        <v>199</v>
      </c>
      <c r="M14" s="103">
        <v>3903000</v>
      </c>
      <c r="N14" s="104" t="s">
        <v>200</v>
      </c>
      <c r="O14" s="100"/>
      <c r="Q14" s="105"/>
      <c r="R14" s="100"/>
      <c r="T14" s="105"/>
      <c r="V14" s="105" t="s">
        <v>201</v>
      </c>
      <c r="W14" s="100" t="s">
        <v>91</v>
      </c>
      <c r="Y14" s="105" t="s">
        <v>202</v>
      </c>
      <c r="AA14" s="105" t="s">
        <v>203</v>
      </c>
    </row>
    <row r="15" customHeight="1" spans="1:34">
      <c r="E15" s="98" t="s">
        <v>204</v>
      </c>
      <c r="F15" s="99" t="s">
        <v>196</v>
      </c>
      <c r="G15" s="99" t="s">
        <v>81</v>
      </c>
      <c r="I15" s="105"/>
      <c r="J15" s="100" t="s">
        <v>205</v>
      </c>
      <c r="K15" s="99" t="s">
        <v>77</v>
      </c>
      <c r="L15" s="100" t="s">
        <v>206</v>
      </c>
      <c r="M15" s="103">
        <v>1240000</v>
      </c>
      <c r="N15" s="104" t="s">
        <v>207</v>
      </c>
      <c r="O15" s="100"/>
      <c r="Q15" s="105"/>
      <c r="R15" s="100"/>
      <c r="T15" s="105"/>
      <c r="V15" s="105" t="s">
        <v>208</v>
      </c>
      <c r="W15" s="100" t="s">
        <v>91</v>
      </c>
      <c r="Y15" s="105" t="s">
        <v>209</v>
      </c>
      <c r="AA15" s="105" t="s">
        <v>210</v>
      </c>
    </row>
    <row r="16" customHeight="1" spans="1:34">
      <c r="E16" s="98" t="s">
        <v>211</v>
      </c>
      <c r="F16" s="99" t="s">
        <v>124</v>
      </c>
      <c r="G16" s="99" t="s">
        <v>81</v>
      </c>
      <c r="I16" s="105"/>
      <c r="J16" s="100" t="s">
        <v>212</v>
      </c>
      <c r="K16" s="99" t="s">
        <v>77</v>
      </c>
      <c r="L16" s="100" t="s">
        <v>142</v>
      </c>
      <c r="M16" s="103">
        <v>1302839.15</v>
      </c>
      <c r="N16" s="104" t="s">
        <v>213</v>
      </c>
      <c r="O16" s="100"/>
      <c r="Q16" s="105"/>
      <c r="R16" s="100"/>
      <c r="T16" s="105"/>
      <c r="V16" s="105" t="s">
        <v>214</v>
      </c>
      <c r="W16" s="100" t="s">
        <v>91</v>
      </c>
      <c r="Y16" s="105" t="s">
        <v>215</v>
      </c>
      <c r="AA16" s="105" t="s">
        <v>216</v>
      </c>
    </row>
    <row r="17" customHeight="1" spans="5:27">
      <c r="E17" s="98" t="s">
        <v>217</v>
      </c>
      <c r="F17" s="99" t="s">
        <v>178</v>
      </c>
      <c r="G17" s="99" t="s">
        <v>81</v>
      </c>
      <c r="I17" s="105"/>
      <c r="J17" s="99" t="s">
        <v>218</v>
      </c>
      <c r="K17" s="99" t="s">
        <v>127</v>
      </c>
      <c r="L17" s="99" t="s">
        <v>219</v>
      </c>
      <c r="M17" s="103">
        <v>162144.8</v>
      </c>
      <c r="N17" s="104">
        <v>46051</v>
      </c>
      <c r="O17" s="99" t="s">
        <v>220</v>
      </c>
      <c r="Q17" s="105"/>
      <c r="R17" s="100"/>
      <c r="T17" s="105"/>
      <c r="V17" s="105" t="s">
        <v>221</v>
      </c>
      <c r="W17" s="100" t="s">
        <v>91</v>
      </c>
      <c r="Y17" s="105"/>
      <c r="AA17" s="105"/>
    </row>
    <row r="18" customHeight="1" spans="5:27">
      <c r="E18" s="98" t="s">
        <v>222</v>
      </c>
      <c r="F18" s="99" t="s">
        <v>157</v>
      </c>
      <c r="G18" s="99" t="s">
        <v>81</v>
      </c>
      <c r="I18" s="105"/>
      <c r="J18" s="99" t="s">
        <v>223</v>
      </c>
      <c r="K18" s="99" t="s">
        <v>137</v>
      </c>
      <c r="L18" s="99" t="s">
        <v>224</v>
      </c>
      <c r="M18" s="103">
        <v>2760</v>
      </c>
      <c r="N18" s="104" t="s">
        <v>225</v>
      </c>
      <c r="O18" s="99" t="s">
        <v>220</v>
      </c>
      <c r="V18" s="105" t="s">
        <v>226</v>
      </c>
      <c r="W18" s="100" t="s">
        <v>91</v>
      </c>
      <c r="Y18" s="105"/>
      <c r="AA18" s="105"/>
    </row>
    <row r="19" customHeight="1" spans="5:27">
      <c r="E19" s="98" t="s">
        <v>227</v>
      </c>
      <c r="F19" s="99" t="s">
        <v>168</v>
      </c>
      <c r="G19" s="99" t="s">
        <v>81</v>
      </c>
      <c r="I19" s="105"/>
      <c r="J19" s="99" t="s">
        <v>228</v>
      </c>
      <c r="K19" s="99" t="s">
        <v>137</v>
      </c>
      <c r="L19" s="99" t="s">
        <v>229</v>
      </c>
      <c r="M19" s="103">
        <v>25000</v>
      </c>
      <c r="N19" s="104">
        <v>46135</v>
      </c>
      <c r="O19" s="99" t="s">
        <v>220</v>
      </c>
      <c r="V19" s="105" t="s">
        <v>230</v>
      </c>
      <c r="W19" s="100" t="s">
        <v>91</v>
      </c>
      <c r="Y19" s="105"/>
      <c r="AA19" s="105"/>
    </row>
    <row r="20" customHeight="1" spans="5:27">
      <c r="E20" s="105" t="s">
        <v>231</v>
      </c>
      <c r="F20" s="100"/>
      <c r="G20" s="100"/>
      <c r="I20" s="105"/>
      <c r="J20" s="99" t="s">
        <v>232</v>
      </c>
      <c r="K20" s="99" t="s">
        <v>137</v>
      </c>
      <c r="L20" s="99" t="s">
        <v>233</v>
      </c>
      <c r="M20" s="103">
        <v>100000</v>
      </c>
      <c r="N20" s="104">
        <v>46141</v>
      </c>
      <c r="O20" s="99" t="s">
        <v>220</v>
      </c>
      <c r="V20" s="105" t="s">
        <v>234</v>
      </c>
      <c r="W20" s="100" t="s">
        <v>91</v>
      </c>
      <c r="Y20" s="105"/>
      <c r="AA20" s="105"/>
    </row>
    <row r="21" customHeight="1" spans="5:27">
      <c r="E21" s="105" t="s">
        <v>235</v>
      </c>
      <c r="F21" s="100"/>
      <c r="G21" s="100"/>
      <c r="I21" s="105"/>
      <c r="J21" s="100" t="s">
        <v>236</v>
      </c>
      <c r="K21" s="99" t="s">
        <v>168</v>
      </c>
      <c r="L21" s="99" t="s">
        <v>224</v>
      </c>
      <c r="M21" s="103">
        <v>201460</v>
      </c>
      <c r="N21" s="104">
        <v>46157</v>
      </c>
      <c r="O21" s="99" t="s">
        <v>220</v>
      </c>
      <c r="V21" s="105" t="s">
        <v>237</v>
      </c>
      <c r="W21" s="100" t="s">
        <v>238</v>
      </c>
      <c r="Y21" s="105"/>
      <c r="AA21" s="105"/>
    </row>
    <row r="22" customHeight="1" spans="5:27">
      <c r="E22" s="105" t="s">
        <v>239</v>
      </c>
      <c r="F22" s="100"/>
      <c r="G22" s="100"/>
      <c r="I22" s="105"/>
      <c r="J22" s="100" t="s">
        <v>240</v>
      </c>
      <c r="K22" s="99" t="s">
        <v>168</v>
      </c>
      <c r="L22" s="99" t="s">
        <v>241</v>
      </c>
      <c r="M22" s="103">
        <v>233000</v>
      </c>
      <c r="N22" s="104">
        <v>46164</v>
      </c>
      <c r="O22" s="99" t="s">
        <v>116</v>
      </c>
      <c r="V22" s="105" t="s">
        <v>242</v>
      </c>
      <c r="W22" s="100" t="s">
        <v>238</v>
      </c>
      <c r="Y22" s="105"/>
      <c r="AA22" s="105"/>
    </row>
    <row r="23" customHeight="1" spans="5:27">
      <c r="E23" s="105" t="s">
        <v>243</v>
      </c>
      <c r="F23" s="100"/>
      <c r="G23" s="100"/>
      <c r="I23" s="105"/>
      <c r="J23" s="100" t="s">
        <v>244</v>
      </c>
      <c r="K23" s="100" t="s">
        <v>168</v>
      </c>
      <c r="L23" s="99" t="s">
        <v>245</v>
      </c>
      <c r="M23" s="103">
        <v>115130</v>
      </c>
      <c r="N23" s="104">
        <v>46164</v>
      </c>
      <c r="O23" s="99" t="s">
        <v>116</v>
      </c>
      <c r="V23" s="105" t="s">
        <v>246</v>
      </c>
      <c r="W23" s="100" t="s">
        <v>238</v>
      </c>
      <c r="Y23" s="105"/>
      <c r="AA23" s="105"/>
    </row>
    <row r="24" customHeight="1" spans="5:27">
      <c r="I24" s="105"/>
      <c r="J24" s="100" t="s">
        <v>247</v>
      </c>
      <c r="K24" s="100" t="s">
        <v>137</v>
      </c>
      <c r="L24" s="100" t="s">
        <v>245</v>
      </c>
      <c r="M24" s="103">
        <v>108510</v>
      </c>
      <c r="N24" s="104">
        <v>46164</v>
      </c>
      <c r="O24" s="100" t="s">
        <v>116</v>
      </c>
      <c r="V24" s="105" t="s">
        <v>248</v>
      </c>
      <c r="W24" s="100" t="s">
        <v>238</v>
      </c>
      <c r="Y24" s="105"/>
      <c r="AA24" s="105"/>
    </row>
    <row r="25" customHeight="1" spans="5:27">
      <c r="I25" s="105"/>
      <c r="J25" s="100" t="s">
        <v>249</v>
      </c>
      <c r="K25" s="99" t="s">
        <v>157</v>
      </c>
      <c r="L25" s="99" t="s">
        <v>250</v>
      </c>
      <c r="M25" s="103">
        <v>332654</v>
      </c>
      <c r="N25" s="104">
        <v>46164</v>
      </c>
      <c r="O25" s="100" t="s">
        <v>116</v>
      </c>
      <c r="V25" s="105" t="s">
        <v>251</v>
      </c>
      <c r="W25" s="100" t="s">
        <v>238</v>
      </c>
      <c r="Y25" s="105"/>
      <c r="AA25" s="105"/>
    </row>
    <row r="26" customHeight="1" spans="5:27">
      <c r="I26" s="105"/>
      <c r="J26" s="100" t="s">
        <v>252</v>
      </c>
      <c r="K26" s="100" t="s">
        <v>157</v>
      </c>
      <c r="L26" s="100" t="s">
        <v>224</v>
      </c>
      <c r="M26" s="103">
        <v>301080</v>
      </c>
      <c r="N26" s="104" t="s">
        <v>253</v>
      </c>
      <c r="O26" s="99" t="s">
        <v>220</v>
      </c>
      <c r="V26" s="105" t="s">
        <v>254</v>
      </c>
      <c r="W26" s="100" t="s">
        <v>238</v>
      </c>
      <c r="Y26" s="105"/>
      <c r="AA26" s="105"/>
    </row>
    <row r="27" customHeight="1" spans="5:27">
      <c r="I27" s="105"/>
      <c r="J27" s="99" t="s">
        <v>255</v>
      </c>
      <c r="K27" s="99" t="s">
        <v>137</v>
      </c>
      <c r="L27" s="99" t="s">
        <v>256</v>
      </c>
      <c r="M27" s="103">
        <v>72000</v>
      </c>
      <c r="N27" s="104" t="s">
        <v>257</v>
      </c>
      <c r="O27" s="99" t="s">
        <v>220</v>
      </c>
      <c r="V27" s="105" t="s">
        <v>258</v>
      </c>
      <c r="W27" s="100" t="s">
        <v>238</v>
      </c>
      <c r="Y27" s="105"/>
      <c r="AA27" s="105"/>
    </row>
    <row r="28" customHeight="1" spans="5:27">
      <c r="I28" s="105"/>
      <c r="J28" s="99" t="s">
        <v>259</v>
      </c>
      <c r="K28" s="99" t="s">
        <v>112</v>
      </c>
      <c r="L28" s="99" t="s">
        <v>142</v>
      </c>
      <c r="M28" s="103">
        <v>1159595</v>
      </c>
      <c r="N28" s="104" t="s">
        <v>260</v>
      </c>
      <c r="O28" s="99" t="s">
        <v>261</v>
      </c>
      <c r="V28" s="105" t="s">
        <v>262</v>
      </c>
      <c r="W28" s="100" t="s">
        <v>263</v>
      </c>
      <c r="Y28" s="105"/>
      <c r="AA28" s="105"/>
    </row>
    <row r="29" customHeight="1" spans="5:27">
      <c r="I29" s="105"/>
      <c r="J29" s="99" t="s">
        <v>264</v>
      </c>
      <c r="K29" s="99" t="s">
        <v>137</v>
      </c>
      <c r="L29" s="99" t="s">
        <v>265</v>
      </c>
      <c r="M29" s="103">
        <v>508600</v>
      </c>
      <c r="N29" s="104" t="s">
        <v>266</v>
      </c>
      <c r="O29" s="99" t="s">
        <v>261</v>
      </c>
      <c r="V29" s="105" t="s">
        <v>267</v>
      </c>
      <c r="W29" s="100" t="s">
        <v>263</v>
      </c>
      <c r="Y29" s="105"/>
      <c r="AA29" s="105"/>
    </row>
    <row r="30" customHeight="1" spans="5:27">
      <c r="I30" s="105"/>
      <c r="J30" s="100" t="s">
        <v>268</v>
      </c>
      <c r="K30" s="99" t="s">
        <v>77</v>
      </c>
      <c r="L30" s="99" t="s">
        <v>269</v>
      </c>
      <c r="M30" s="103">
        <v>332000</v>
      </c>
      <c r="N30" s="104">
        <v>46223</v>
      </c>
      <c r="O30" s="100"/>
      <c r="V30" s="105" t="s">
        <v>270</v>
      </c>
      <c r="W30" s="100" t="s">
        <v>263</v>
      </c>
      <c r="Y30" s="105"/>
      <c r="AA30" s="105"/>
    </row>
    <row r="31" customHeight="1" spans="5:27">
      <c r="I31" s="105"/>
      <c r="J31" s="99" t="s">
        <v>271</v>
      </c>
      <c r="K31" s="99" t="s">
        <v>157</v>
      </c>
      <c r="L31" s="99" t="s">
        <v>142</v>
      </c>
      <c r="M31" s="103">
        <v>2937098</v>
      </c>
      <c r="N31" s="104" t="s">
        <v>272</v>
      </c>
      <c r="O31" s="100" t="s">
        <v>261</v>
      </c>
      <c r="V31" s="105" t="s">
        <v>273</v>
      </c>
      <c r="W31" s="100" t="s">
        <v>263</v>
      </c>
      <c r="Y31" s="105"/>
      <c r="AA31" s="105"/>
    </row>
    <row r="32" customHeight="1" spans="5:27">
      <c r="I32" s="105"/>
      <c r="J32" s="99" t="s">
        <v>274</v>
      </c>
      <c r="K32" s="100" t="s">
        <v>77</v>
      </c>
      <c r="L32" s="99" t="s">
        <v>275</v>
      </c>
      <c r="M32" s="103">
        <v>953360</v>
      </c>
      <c r="N32" s="104" t="s">
        <v>276</v>
      </c>
      <c r="O32" s="100" t="s">
        <v>261</v>
      </c>
      <c r="V32" s="105" t="s">
        <v>277</v>
      </c>
      <c r="W32" s="100" t="s">
        <v>263</v>
      </c>
      <c r="Y32" s="105"/>
      <c r="AA32" s="105"/>
    </row>
    <row r="33" customHeight="1" spans="9:27">
      <c r="I33" s="105"/>
      <c r="J33" s="100" t="s">
        <v>278</v>
      </c>
      <c r="K33" s="99" t="s">
        <v>137</v>
      </c>
      <c r="L33" s="99" t="s">
        <v>279</v>
      </c>
      <c r="M33" s="103">
        <v>45000</v>
      </c>
      <c r="N33" s="104" t="s">
        <v>280</v>
      </c>
      <c r="O33" s="99" t="s">
        <v>220</v>
      </c>
      <c r="V33" s="105" t="s">
        <v>281</v>
      </c>
      <c r="W33" s="100" t="s">
        <v>263</v>
      </c>
      <c r="Y33" s="105"/>
      <c r="AA33" s="105"/>
    </row>
    <row r="34" customHeight="1" spans="9:27">
      <c r="I34" s="105"/>
      <c r="J34" s="99" t="s">
        <v>232</v>
      </c>
      <c r="K34" s="99" t="s">
        <v>137</v>
      </c>
      <c r="L34" s="99" t="s">
        <v>233</v>
      </c>
      <c r="M34" s="103">
        <v>27155</v>
      </c>
      <c r="N34" s="104">
        <v>46163</v>
      </c>
      <c r="O34" s="99" t="s">
        <v>220</v>
      </c>
      <c r="V34" s="105" t="s">
        <v>282</v>
      </c>
      <c r="W34" s="100" t="s">
        <v>283</v>
      </c>
      <c r="Y34" s="105"/>
      <c r="AA34" s="105"/>
    </row>
    <row r="35" customHeight="1" spans="9:27">
      <c r="I35" s="105"/>
      <c r="J35" s="99" t="s">
        <v>284</v>
      </c>
      <c r="K35" s="99" t="s">
        <v>157</v>
      </c>
      <c r="L35" s="99" t="s">
        <v>285</v>
      </c>
      <c r="M35" s="103">
        <v>202000</v>
      </c>
      <c r="N35" s="104"/>
      <c r="O35" s="100"/>
      <c r="V35" s="105" t="s">
        <v>286</v>
      </c>
      <c r="W35" s="100" t="s">
        <v>283</v>
      </c>
      <c r="Y35" s="105"/>
      <c r="AA35" s="105"/>
    </row>
    <row r="36" customHeight="1" spans="9:27">
      <c r="I36" s="105"/>
      <c r="J36" s="100" t="s">
        <v>287</v>
      </c>
      <c r="K36" s="100" t="s">
        <v>77</v>
      </c>
      <c r="L36" s="100" t="s">
        <v>288</v>
      </c>
      <c r="M36" s="103">
        <v>6515900.87</v>
      </c>
      <c r="N36" s="104" t="s">
        <v>289</v>
      </c>
      <c r="O36" s="100"/>
      <c r="V36" s="105" t="s">
        <v>290</v>
      </c>
      <c r="W36" s="100" t="s">
        <v>283</v>
      </c>
      <c r="Y36" s="105"/>
      <c r="AA36" s="105"/>
    </row>
    <row r="37" customHeight="1" spans="9:27">
      <c r="I37" s="105"/>
      <c r="J37" s="100" t="s">
        <v>291</v>
      </c>
      <c r="K37" s="100" t="s">
        <v>77</v>
      </c>
      <c r="L37" s="100" t="s">
        <v>292</v>
      </c>
      <c r="M37" s="103">
        <v>7790000</v>
      </c>
      <c r="N37" s="104" t="s">
        <v>293</v>
      </c>
      <c r="O37" s="100"/>
      <c r="V37" s="105" t="s">
        <v>294</v>
      </c>
      <c r="W37" s="100" t="s">
        <v>163</v>
      </c>
      <c r="Y37" s="105"/>
      <c r="AA37" s="105"/>
    </row>
    <row r="38" customHeight="1" spans="9:27">
      <c r="I38" s="105"/>
      <c r="J38" s="100" t="s">
        <v>295</v>
      </c>
      <c r="K38" s="100" t="s">
        <v>77</v>
      </c>
      <c r="L38" s="99" t="s">
        <v>142</v>
      </c>
      <c r="M38" s="103">
        <v>2343634</v>
      </c>
      <c r="N38" s="104" t="s">
        <v>296</v>
      </c>
      <c r="O38" s="100"/>
      <c r="V38" s="105" t="s">
        <v>297</v>
      </c>
      <c r="W38" s="100" t="s">
        <v>163</v>
      </c>
      <c r="Y38" s="105"/>
      <c r="AA38" s="105"/>
    </row>
    <row r="39" customHeight="1" spans="9:27">
      <c r="I39" s="105"/>
      <c r="J39" s="100" t="s">
        <v>83</v>
      </c>
      <c r="K39" s="100" t="s">
        <v>77</v>
      </c>
      <c r="L39" s="100" t="s">
        <v>84</v>
      </c>
      <c r="M39" s="103">
        <v>7443095.17</v>
      </c>
      <c r="N39" s="104" t="s">
        <v>293</v>
      </c>
      <c r="O39" s="100"/>
      <c r="V39" s="105" t="s">
        <v>298</v>
      </c>
      <c r="W39" s="100" t="s">
        <v>163</v>
      </c>
      <c r="Y39" s="105"/>
      <c r="AA39" s="105"/>
    </row>
    <row r="40" customHeight="1" spans="9:27">
      <c r="I40" s="105"/>
      <c r="J40" s="100" t="s">
        <v>299</v>
      </c>
      <c r="K40" s="100" t="s">
        <v>77</v>
      </c>
      <c r="L40" s="100" t="s">
        <v>300</v>
      </c>
      <c r="M40" s="103">
        <v>3230000</v>
      </c>
      <c r="N40" s="104" t="s">
        <v>301</v>
      </c>
      <c r="O40" s="100"/>
      <c r="V40" s="105" t="s">
        <v>302</v>
      </c>
      <c r="W40" s="100" t="s">
        <v>163</v>
      </c>
      <c r="Y40" s="105"/>
      <c r="AA40" s="105"/>
    </row>
    <row r="41" customHeight="1" spans="9:27">
      <c r="I41" s="105"/>
      <c r="J41" s="100" t="s">
        <v>303</v>
      </c>
      <c r="K41" s="99" t="s">
        <v>127</v>
      </c>
      <c r="L41" s="100" t="s">
        <v>304</v>
      </c>
      <c r="M41" s="103">
        <v>396980</v>
      </c>
      <c r="N41" s="104" t="s">
        <v>305</v>
      </c>
      <c r="O41" s="100"/>
      <c r="V41" s="105" t="s">
        <v>306</v>
      </c>
      <c r="W41" s="100" t="s">
        <v>163</v>
      </c>
      <c r="Y41" s="105"/>
      <c r="AA41" s="105"/>
    </row>
    <row r="42" customHeight="1" spans="9:27">
      <c r="I42" s="105"/>
      <c r="J42" s="100" t="s">
        <v>307</v>
      </c>
      <c r="K42" s="100" t="s">
        <v>77</v>
      </c>
      <c r="L42" s="100" t="s">
        <v>160</v>
      </c>
      <c r="M42" s="103">
        <v>70000</v>
      </c>
      <c r="N42" s="104" t="s">
        <v>308</v>
      </c>
      <c r="O42" s="100"/>
      <c r="V42" s="105"/>
      <c r="W42" s="100"/>
      <c r="Y42" s="105"/>
      <c r="AA42" s="105"/>
    </row>
    <row r="43" customHeight="1" spans="9:27">
      <c r="I43" s="105"/>
      <c r="J43" s="100" t="s">
        <v>309</v>
      </c>
      <c r="K43" s="100" t="s">
        <v>77</v>
      </c>
      <c r="L43" s="100"/>
      <c r="M43" s="103"/>
      <c r="N43" s="104"/>
      <c r="O43" s="100"/>
      <c r="V43" s="105"/>
      <c r="W43" s="100"/>
      <c r="Y43" s="105"/>
      <c r="AA43" s="105"/>
    </row>
    <row r="44" customHeight="1" spans="9:27">
      <c r="I44" s="105"/>
      <c r="J44" s="100" t="s">
        <v>310</v>
      </c>
      <c r="K44" s="100" t="s">
        <v>77</v>
      </c>
      <c r="L44" s="100"/>
      <c r="M44" s="103"/>
      <c r="N44" s="104"/>
      <c r="O44" s="100"/>
      <c r="V44" s="105"/>
      <c r="W44" s="100"/>
      <c r="Y44" s="105"/>
      <c r="AA44" s="105"/>
    </row>
    <row r="45" customHeight="1" spans="9:27">
      <c r="I45" s="105"/>
      <c r="J45" s="100" t="s">
        <v>295</v>
      </c>
      <c r="K45" s="100" t="s">
        <v>77</v>
      </c>
      <c r="L45" s="99" t="s">
        <v>142</v>
      </c>
      <c r="M45" s="103">
        <v>2343634</v>
      </c>
      <c r="N45" s="104"/>
      <c r="O45" s="100"/>
      <c r="V45" s="105"/>
      <c r="W45" s="100"/>
      <c r="Y45" s="105"/>
      <c r="AA45" s="105"/>
    </row>
    <row r="46" customHeight="1" spans="9:27">
      <c r="I46" s="105"/>
      <c r="J46" s="100" t="s">
        <v>311</v>
      </c>
      <c r="K46" s="100" t="s">
        <v>77</v>
      </c>
      <c r="L46" s="100"/>
      <c r="M46" s="103">
        <v>596172.56</v>
      </c>
      <c r="N46" s="104"/>
      <c r="O46" s="100"/>
      <c r="V46" s="105"/>
      <c r="W46" s="100"/>
      <c r="Y46" s="105"/>
      <c r="AA46" s="105"/>
    </row>
    <row r="47" customHeight="1" spans="9:27">
      <c r="I47" s="105"/>
      <c r="J47" s="100" t="s">
        <v>312</v>
      </c>
      <c r="K47" s="100" t="s">
        <v>77</v>
      </c>
      <c r="L47" s="100" t="s">
        <v>313</v>
      </c>
      <c r="M47" s="103">
        <v>3361997.4</v>
      </c>
      <c r="N47" s="104"/>
      <c r="O47" s="100"/>
      <c r="V47" s="105"/>
      <c r="W47" s="100"/>
      <c r="Y47" s="105"/>
      <c r="AA47" s="105"/>
    </row>
    <row r="48" customHeight="1" spans="9:27">
      <c r="I48" s="105"/>
      <c r="J48" s="100" t="s">
        <v>314</v>
      </c>
      <c r="K48" s="100" t="s">
        <v>77</v>
      </c>
      <c r="L48" s="99" t="s">
        <v>142</v>
      </c>
      <c r="M48" s="103">
        <v>12700000</v>
      </c>
      <c r="N48" s="104"/>
      <c r="O48" s="100"/>
      <c r="V48" s="105"/>
      <c r="W48" s="100"/>
      <c r="Y48" s="105"/>
      <c r="AA48" s="105"/>
    </row>
    <row r="49" customHeight="1" spans="9:27">
      <c r="I49" s="105"/>
      <c r="J49" s="100" t="s">
        <v>315</v>
      </c>
      <c r="K49" s="100" t="s">
        <v>77</v>
      </c>
      <c r="L49" s="100" t="s">
        <v>129</v>
      </c>
      <c r="M49" s="103">
        <v>179350</v>
      </c>
      <c r="N49" s="104"/>
      <c r="O49" s="100"/>
      <c r="V49" s="105"/>
      <c r="W49" s="100"/>
      <c r="Y49" s="105"/>
      <c r="AA49" s="105"/>
    </row>
    <row r="50" customHeight="1" spans="9:27">
      <c r="I50" s="105"/>
      <c r="J50" s="100" t="s">
        <v>316</v>
      </c>
      <c r="K50" s="99" t="s">
        <v>137</v>
      </c>
      <c r="L50" s="100" t="s">
        <v>317</v>
      </c>
      <c r="M50" s="103">
        <v>66800</v>
      </c>
      <c r="N50" s="104" t="s">
        <v>318</v>
      </c>
      <c r="O50" s="100"/>
      <c r="Y50" s="105"/>
      <c r="AA50" s="105"/>
    </row>
    <row r="51" customHeight="1" spans="9:27">
      <c r="I51" s="105"/>
      <c r="J51" s="100" t="s">
        <v>319</v>
      </c>
      <c r="K51" s="100" t="s">
        <v>77</v>
      </c>
      <c r="L51" s="100" t="s">
        <v>171</v>
      </c>
      <c r="M51" s="103">
        <v>1302839.15</v>
      </c>
      <c r="N51" s="104" t="s">
        <v>213</v>
      </c>
      <c r="O51" s="100"/>
      <c r="Y51" s="105"/>
      <c r="AA51" s="105"/>
    </row>
    <row r="52" customHeight="1" spans="9:27">
      <c r="I52" s="105"/>
      <c r="J52" s="100" t="s">
        <v>320</v>
      </c>
      <c r="K52" s="100" t="s">
        <v>77</v>
      </c>
      <c r="L52" s="100" t="s">
        <v>321</v>
      </c>
      <c r="M52" s="103">
        <v>560000</v>
      </c>
      <c r="N52" s="104" t="s">
        <v>322</v>
      </c>
      <c r="O52" s="100"/>
      <c r="Y52" s="105"/>
      <c r="AA52" s="105"/>
    </row>
    <row r="53" customHeight="1" spans="9:27">
      <c r="I53" s="105"/>
      <c r="J53" s="100" t="s">
        <v>323</v>
      </c>
      <c r="K53" s="100" t="s">
        <v>77</v>
      </c>
      <c r="L53" s="100" t="s">
        <v>160</v>
      </c>
      <c r="M53" s="103">
        <v>240000</v>
      </c>
      <c r="N53" s="104" t="s">
        <v>324</v>
      </c>
      <c r="O53" s="100"/>
      <c r="Y53" s="105"/>
      <c r="AA53" s="105"/>
    </row>
    <row r="54" customHeight="1" spans="9:27">
      <c r="I54" s="105"/>
      <c r="J54" s="100" t="s">
        <v>325</v>
      </c>
      <c r="K54" s="100" t="s">
        <v>77</v>
      </c>
      <c r="L54" s="100" t="s">
        <v>326</v>
      </c>
      <c r="M54" s="103">
        <v>32900</v>
      </c>
      <c r="N54" s="104" t="s">
        <v>327</v>
      </c>
      <c r="O54" s="100"/>
      <c r="Y54" s="105"/>
      <c r="AA54" s="105"/>
    </row>
    <row r="55" customHeight="1" spans="9:27">
      <c r="I55" s="105"/>
      <c r="J55" s="100" t="s">
        <v>328</v>
      </c>
      <c r="K55" s="100" t="s">
        <v>77</v>
      </c>
      <c r="L55" s="100" t="s">
        <v>326</v>
      </c>
      <c r="M55" s="103">
        <v>16000</v>
      </c>
      <c r="N55" s="104" t="s">
        <v>327</v>
      </c>
      <c r="O55" s="100"/>
      <c r="Y55" s="105"/>
      <c r="AA55" s="105"/>
    </row>
    <row r="56" customHeight="1" spans="9:27">
      <c r="I56" s="105"/>
      <c r="J56" s="100" t="s">
        <v>329</v>
      </c>
      <c r="K56" s="100" t="s">
        <v>77</v>
      </c>
      <c r="L56" s="100" t="s">
        <v>326</v>
      </c>
      <c r="M56" s="103">
        <v>18800</v>
      </c>
      <c r="N56" s="104" t="s">
        <v>327</v>
      </c>
      <c r="O56" s="100"/>
      <c r="Y56" s="105"/>
      <c r="AA56" s="105"/>
    </row>
    <row r="57" customHeight="1" spans="9:27">
      <c r="I57" s="105"/>
      <c r="J57" s="100" t="s">
        <v>330</v>
      </c>
      <c r="K57" s="100" t="s">
        <v>77</v>
      </c>
      <c r="L57" s="100" t="s">
        <v>331</v>
      </c>
      <c r="M57" s="103">
        <v>1616642</v>
      </c>
      <c r="N57" s="104" t="s">
        <v>332</v>
      </c>
      <c r="O57" s="100"/>
      <c r="Y57" s="105"/>
      <c r="AA57" s="105"/>
    </row>
    <row r="58" customHeight="1" spans="9:27">
      <c r="I58" s="105"/>
      <c r="J58" s="100" t="s">
        <v>333</v>
      </c>
      <c r="K58" s="100" t="s">
        <v>77</v>
      </c>
      <c r="L58" s="100" t="s">
        <v>326</v>
      </c>
      <c r="M58" s="103">
        <v>18000</v>
      </c>
      <c r="N58" s="104" t="s">
        <v>334</v>
      </c>
      <c r="O58" s="100"/>
      <c r="Y58" s="105"/>
      <c r="AA58" s="105"/>
    </row>
    <row r="59" customHeight="1" spans="9:27">
      <c r="I59" s="105"/>
      <c r="J59" s="100" t="s">
        <v>335</v>
      </c>
      <c r="K59" s="100" t="s">
        <v>77</v>
      </c>
      <c r="L59" s="100" t="s">
        <v>336</v>
      </c>
      <c r="M59" s="103">
        <v>98000</v>
      </c>
      <c r="N59" s="104" t="s">
        <v>337</v>
      </c>
      <c r="O59" s="100"/>
      <c r="Y59" s="105"/>
      <c r="AA59" s="105"/>
    </row>
    <row r="60" customHeight="1" spans="9:27">
      <c r="I60" s="105"/>
      <c r="J60" s="100" t="s">
        <v>338</v>
      </c>
      <c r="K60" s="99" t="s">
        <v>112</v>
      </c>
      <c r="L60" s="100" t="s">
        <v>339</v>
      </c>
      <c r="M60" s="103">
        <v>345396</v>
      </c>
      <c r="N60" s="104" t="s">
        <v>340</v>
      </c>
      <c r="O60" s="100"/>
      <c r="Y60" s="105"/>
      <c r="AA60" s="105"/>
    </row>
    <row r="61" customHeight="1" spans="9:27">
      <c r="I61" s="105"/>
      <c r="J61" s="100" t="s">
        <v>341</v>
      </c>
      <c r="K61" s="99" t="s">
        <v>112</v>
      </c>
      <c r="L61" s="99" t="s">
        <v>142</v>
      </c>
      <c r="M61" s="103">
        <v>1185150</v>
      </c>
      <c r="N61" s="104" t="s">
        <v>342</v>
      </c>
      <c r="O61" s="100"/>
      <c r="Y61" s="105"/>
      <c r="AA61" s="105"/>
    </row>
    <row r="62" customHeight="1" spans="9:27">
      <c r="I62" s="105"/>
      <c r="J62" s="100" t="s">
        <v>343</v>
      </c>
      <c r="K62" s="100"/>
      <c r="L62" s="100"/>
      <c r="M62" s="103"/>
      <c r="N62" s="104"/>
      <c r="O62" s="100"/>
      <c r="Y62" s="105"/>
      <c r="AA62" s="105"/>
    </row>
    <row r="63" customHeight="1" spans="9:27">
      <c r="I63" s="105"/>
      <c r="J63" s="100" t="s">
        <v>344</v>
      </c>
      <c r="K63" s="99" t="s">
        <v>137</v>
      </c>
      <c r="L63" s="100" t="s">
        <v>345</v>
      </c>
      <c r="M63" s="103">
        <v>67800</v>
      </c>
      <c r="N63" s="104" t="s">
        <v>346</v>
      </c>
      <c r="O63" s="100"/>
      <c r="Y63" s="105"/>
      <c r="AA63" s="105"/>
    </row>
    <row r="64" customHeight="1" spans="9:27">
      <c r="I64" s="105"/>
      <c r="J64" s="100" t="s">
        <v>347</v>
      </c>
      <c r="K64" s="99" t="s">
        <v>137</v>
      </c>
      <c r="L64" s="100" t="s">
        <v>348</v>
      </c>
      <c r="M64" s="103">
        <v>30000</v>
      </c>
      <c r="N64" s="104" t="s">
        <v>349</v>
      </c>
    </row>
    <row r="65" customHeight="1" spans="9:14">
      <c r="I65" s="105"/>
      <c r="J65" s="100" t="s">
        <v>350</v>
      </c>
      <c r="K65" s="99" t="s">
        <v>178</v>
      </c>
      <c r="L65" s="99" t="s">
        <v>224</v>
      </c>
      <c r="M65" s="103">
        <v>79545</v>
      </c>
      <c r="N65" s="104" t="s">
        <v>351</v>
      </c>
    </row>
    <row r="66" customHeight="1" spans="9:14">
      <c r="I66" s="105"/>
      <c r="J66" s="100" t="s">
        <v>352</v>
      </c>
      <c r="K66" s="99" t="s">
        <v>178</v>
      </c>
      <c r="L66" s="99" t="s">
        <v>224</v>
      </c>
      <c r="M66" s="103">
        <v>61675</v>
      </c>
      <c r="N66" s="104" t="s">
        <v>351</v>
      </c>
    </row>
    <row r="67" customHeight="1" spans="9:14">
      <c r="I67" s="105"/>
      <c r="J67" s="100" t="s">
        <v>180</v>
      </c>
      <c r="K67" s="99" t="s">
        <v>77</v>
      </c>
      <c r="L67" s="100" t="s">
        <v>181</v>
      </c>
      <c r="M67" s="103">
        <v>1245580</v>
      </c>
      <c r="N67" s="104" t="s">
        <v>334</v>
      </c>
    </row>
    <row r="68" customHeight="1" spans="9:14">
      <c r="I68" s="105"/>
      <c r="J68" s="100" t="s">
        <v>353</v>
      </c>
      <c r="K68" s="99" t="s">
        <v>77</v>
      </c>
      <c r="L68" s="100" t="s">
        <v>160</v>
      </c>
      <c r="M68" s="103">
        <v>940710</v>
      </c>
      <c r="N68" s="104" t="s">
        <v>354</v>
      </c>
    </row>
    <row r="69" customHeight="1" spans="9:14">
      <c r="I69" s="105"/>
      <c r="J69" s="100" t="s">
        <v>355</v>
      </c>
      <c r="K69" s="99" t="s">
        <v>77</v>
      </c>
      <c r="L69" s="100" t="s">
        <v>160</v>
      </c>
      <c r="M69" s="103">
        <v>273460</v>
      </c>
      <c r="N69" s="104" t="s">
        <v>322</v>
      </c>
    </row>
    <row r="70" customHeight="1" spans="9:14">
      <c r="I70" s="105"/>
      <c r="J70" s="99" t="s">
        <v>356</v>
      </c>
      <c r="K70" s="99" t="s">
        <v>77</v>
      </c>
      <c r="L70" s="99" t="s">
        <v>357</v>
      </c>
      <c r="M70" s="103">
        <v>5139158</v>
      </c>
      <c r="N70" s="104" t="s">
        <v>358</v>
      </c>
    </row>
    <row r="71" customHeight="1" spans="9:14">
      <c r="I71" s="105"/>
      <c r="J71" s="99" t="s">
        <v>359</v>
      </c>
      <c r="K71" s="99" t="s">
        <v>137</v>
      </c>
      <c r="L71" s="100" t="s">
        <v>360</v>
      </c>
      <c r="M71" s="103">
        <v>1225</v>
      </c>
      <c r="N71" s="104" t="s">
        <v>361</v>
      </c>
    </row>
    <row r="72" customHeight="1" spans="9:14">
      <c r="I72" s="105"/>
      <c r="J72" s="100" t="s">
        <v>362</v>
      </c>
      <c r="K72" s="99" t="s">
        <v>77</v>
      </c>
      <c r="L72" s="99" t="s">
        <v>142</v>
      </c>
      <c r="M72" s="103">
        <v>1865627</v>
      </c>
      <c r="N72" s="104" t="s">
        <v>363</v>
      </c>
    </row>
    <row r="73" customHeight="1" spans="9:14">
      <c r="I73" s="105"/>
      <c r="J73" s="100" t="s">
        <v>364</v>
      </c>
      <c r="K73" s="99"/>
      <c r="L73" s="99"/>
      <c r="M73" s="103"/>
      <c r="N73" s="104"/>
    </row>
    <row r="74" customHeight="1" spans="9:14">
      <c r="I74" s="105"/>
      <c r="J74" s="100" t="s">
        <v>365</v>
      </c>
      <c r="K74" s="99"/>
      <c r="L74" s="99"/>
      <c r="M74" s="103"/>
      <c r="N74" s="104"/>
    </row>
    <row r="75" customHeight="1" spans="9:14">
      <c r="I75" s="105"/>
      <c r="J75" s="100" t="s">
        <v>366</v>
      </c>
      <c r="K75" s="99"/>
      <c r="L75" s="99"/>
      <c r="M75" s="103"/>
      <c r="N75" s="104"/>
    </row>
    <row r="76" customHeight="1" spans="9:14">
      <c r="I76" s="105"/>
      <c r="J76" s="100" t="s">
        <v>367</v>
      </c>
      <c r="K76" s="99" t="s">
        <v>77</v>
      </c>
      <c r="L76" s="99"/>
      <c r="M76" s="103">
        <v>5139158</v>
      </c>
      <c r="N76" s="104" t="s">
        <v>368</v>
      </c>
    </row>
    <row r="77" customHeight="1" spans="9:14">
      <c r="I77" s="105"/>
      <c r="J77" s="100" t="s">
        <v>369</v>
      </c>
      <c r="K77" s="99" t="s">
        <v>137</v>
      </c>
      <c r="L77" s="99" t="s">
        <v>370</v>
      </c>
      <c r="M77" s="103">
        <v>272044.02</v>
      </c>
      <c r="N77" s="104" t="s">
        <v>371</v>
      </c>
    </row>
    <row r="78" customHeight="1" spans="9:14">
      <c r="I78" s="105"/>
      <c r="J78" s="100" t="s">
        <v>372</v>
      </c>
      <c r="K78" s="99"/>
      <c r="L78" s="99"/>
      <c r="M78" s="103"/>
      <c r="N78" s="104"/>
    </row>
    <row r="79" customHeight="1" spans="9:14">
      <c r="I79" s="105"/>
      <c r="J79" s="100" t="s">
        <v>373</v>
      </c>
      <c r="K79" s="99"/>
      <c r="L79" s="99"/>
      <c r="M79" s="103"/>
      <c r="N79" s="104"/>
    </row>
    <row r="80" customHeight="1" spans="9:14">
      <c r="I80" s="105"/>
      <c r="J80" s="100" t="s">
        <v>374</v>
      </c>
      <c r="K80" s="99"/>
      <c r="L80" s="99"/>
      <c r="M80" s="103"/>
      <c r="N80" s="104"/>
    </row>
    <row r="81" customHeight="1" spans="9:14">
      <c r="I81" s="105"/>
      <c r="J81" s="100" t="s">
        <v>373</v>
      </c>
      <c r="K81" s="99"/>
      <c r="L81" s="99"/>
      <c r="M81" s="103"/>
      <c r="N81" s="104"/>
    </row>
    <row r="82" customHeight="1" spans="9:14">
      <c r="I82" s="105"/>
      <c r="J82" s="100" t="s">
        <v>375</v>
      </c>
      <c r="K82" s="99"/>
      <c r="L82" s="99"/>
      <c r="M82" s="103"/>
      <c r="N82" s="104"/>
    </row>
    <row r="83" customHeight="1" spans="9:14">
      <c r="I83" s="105"/>
      <c r="J83" s="69" t="s">
        <v>376</v>
      </c>
      <c r="K83" s="99"/>
      <c r="L83" s="99"/>
      <c r="M83" s="103"/>
      <c r="N83" s="104"/>
    </row>
    <row r="84" customHeight="1" spans="9:14">
      <c r="I84" s="105"/>
      <c r="J84" s="100" t="s">
        <v>377</v>
      </c>
      <c r="K84" s="99"/>
      <c r="L84" s="99"/>
      <c r="M84" s="103"/>
      <c r="N84" s="104"/>
    </row>
    <row r="85" customHeight="1" spans="9:14">
      <c r="I85" s="105"/>
      <c r="J85" s="100" t="s">
        <v>378</v>
      </c>
      <c r="K85" s="99"/>
      <c r="L85" s="99"/>
      <c r="M85" s="103"/>
      <c r="N85" s="104"/>
    </row>
    <row r="86" customHeight="1" spans="9:14">
      <c r="I86" s="105"/>
      <c r="J86" s="100" t="s">
        <v>379</v>
      </c>
      <c r="K86" s="99" t="s">
        <v>77</v>
      </c>
      <c r="L86" s="99" t="s">
        <v>380</v>
      </c>
      <c r="M86" s="103">
        <v>313020</v>
      </c>
      <c r="N86" s="104" t="s">
        <v>381</v>
      </c>
    </row>
    <row r="87" customHeight="1" spans="9:14">
      <c r="I87" s="105"/>
      <c r="J87" s="100" t="s">
        <v>382</v>
      </c>
      <c r="K87" s="99" t="s">
        <v>77</v>
      </c>
      <c r="L87" s="99" t="s">
        <v>160</v>
      </c>
      <c r="M87" s="103">
        <v>349800</v>
      </c>
      <c r="N87" s="104" t="s">
        <v>383</v>
      </c>
    </row>
    <row r="88" customHeight="1" spans="9:14">
      <c r="I88" s="105"/>
      <c r="J88" s="100" t="s">
        <v>384</v>
      </c>
      <c r="K88" s="99"/>
      <c r="L88" s="99"/>
      <c r="M88" s="103"/>
      <c r="N88" s="104"/>
    </row>
    <row r="89" customHeight="1" spans="9:14">
      <c r="I89" s="105"/>
      <c r="J89" s="100" t="s">
        <v>385</v>
      </c>
      <c r="K89" s="99"/>
      <c r="L89" s="99"/>
      <c r="M89" s="103"/>
      <c r="N89" s="104"/>
    </row>
    <row r="90" customHeight="1" spans="9:14">
      <c r="I90" s="105"/>
      <c r="J90" s="100" t="s">
        <v>386</v>
      </c>
      <c r="K90" s="99"/>
      <c r="L90" s="99"/>
      <c r="M90" s="103">
        <v>833000</v>
      </c>
      <c r="N90" s="104" t="s">
        <v>337</v>
      </c>
    </row>
    <row r="91" customHeight="1" spans="9:14">
      <c r="I91" s="105"/>
      <c r="J91" s="100" t="s">
        <v>387</v>
      </c>
      <c r="K91" s="99"/>
      <c r="L91" s="99"/>
      <c r="M91" s="103"/>
      <c r="N91" s="104"/>
    </row>
    <row r="92" customHeight="1" spans="9:14">
      <c r="I92" s="105"/>
      <c r="J92" s="100" t="s">
        <v>388</v>
      </c>
      <c r="K92" s="99"/>
      <c r="L92" s="99"/>
      <c r="M92" s="103"/>
      <c r="N92" s="104"/>
    </row>
    <row r="93" customHeight="1" spans="9:14">
      <c r="I93" s="105"/>
      <c r="J93" s="100" t="s">
        <v>314</v>
      </c>
      <c r="K93" s="99" t="s">
        <v>77</v>
      </c>
      <c r="L93" s="99" t="s">
        <v>142</v>
      </c>
      <c r="M93" s="103">
        <v>12706500</v>
      </c>
      <c r="N93" s="104" t="s">
        <v>389</v>
      </c>
    </row>
    <row r="94" customHeight="1" spans="9:14">
      <c r="I94" s="105"/>
      <c r="J94" s="100"/>
      <c r="K94" s="99"/>
      <c r="L94" s="99"/>
      <c r="M94" s="103"/>
      <c r="N94" s="104"/>
    </row>
    <row r="95" customHeight="1" spans="9:14">
      <c r="I95" s="105"/>
      <c r="J95" s="100"/>
      <c r="K95" s="99"/>
      <c r="L95" s="99"/>
      <c r="M95" s="103"/>
      <c r="N95" s="104"/>
    </row>
    <row r="96" customHeight="1" spans="9:14">
      <c r="I96" s="105"/>
      <c r="J96" s="100"/>
      <c r="K96" s="99"/>
      <c r="L96" s="99"/>
      <c r="M96" s="103"/>
      <c r="N96" s="104"/>
    </row>
    <row r="97" customHeight="1" spans="9:14">
      <c r="I97" s="105"/>
      <c r="J97" s="100"/>
      <c r="K97" s="99"/>
      <c r="L97" s="99"/>
      <c r="M97" s="103"/>
      <c r="N97" s="104"/>
    </row>
    <row r="98" customHeight="1" spans="9:14">
      <c r="I98" s="105"/>
      <c r="J98" s="100"/>
      <c r="K98" s="99"/>
      <c r="L98" s="99"/>
      <c r="M98" s="103"/>
      <c r="N98" s="104"/>
    </row>
    <row r="99" customHeight="1" spans="9:14">
      <c r="I99" s="105"/>
      <c r="J99" s="100"/>
      <c r="K99" s="99"/>
      <c r="L99" s="99"/>
      <c r="M99" s="103"/>
      <c r="N99" s="104"/>
    </row>
    <row r="100" customHeight="1" spans="9:14">
      <c r="I100" s="105"/>
      <c r="J100" s="100"/>
      <c r="K100" s="99"/>
      <c r="L100" s="99"/>
      <c r="M100" s="103"/>
      <c r="N100" s="104"/>
    </row>
    <row r="101" customHeight="1" spans="9:14">
      <c r="I101" s="105"/>
      <c r="J101" s="100"/>
      <c r="K101" s="99"/>
      <c r="L101" s="99"/>
      <c r="M101" s="103"/>
      <c r="N101" s="104"/>
    </row>
    <row r="102" customHeight="1" spans="9:14">
      <c r="I102" s="105"/>
      <c r="J102" s="100"/>
      <c r="K102" s="99"/>
      <c r="L102" s="99"/>
      <c r="M102" s="103"/>
      <c r="N102" s="104"/>
    </row>
    <row r="103" customHeight="1" spans="9:14">
      <c r="I103" s="105"/>
      <c r="J103" s="100"/>
      <c r="K103" s="99"/>
      <c r="L103" s="99"/>
      <c r="M103" s="103"/>
      <c r="N103" s="104"/>
    </row>
    <row r="104" customHeight="1" spans="9:14">
      <c r="I104" s="105"/>
      <c r="J104" s="100"/>
      <c r="K104" s="99"/>
      <c r="L104" s="99"/>
      <c r="M104" s="103"/>
      <c r="N104" s="104"/>
    </row>
    <row r="105" customHeight="1" spans="9:14">
      <c r="I105" s="105"/>
      <c r="J105" s="100"/>
      <c r="K105" s="99"/>
      <c r="L105" s="99"/>
      <c r="M105" s="103"/>
      <c r="N105" s="104"/>
    </row>
    <row r="106" customHeight="1" spans="9:14">
      <c r="I106" s="105"/>
      <c r="J106" s="100"/>
      <c r="K106" s="99"/>
      <c r="L106" s="99"/>
      <c r="M106" s="103"/>
      <c r="N106" s="104"/>
    </row>
    <row r="107" customHeight="1" spans="9:14">
      <c r="I107" s="105"/>
      <c r="J107" s="100"/>
      <c r="K107" s="99"/>
      <c r="L107" s="99"/>
      <c r="M107" s="103"/>
      <c r="N107" s="104"/>
    </row>
    <row r="108" customHeight="1" spans="9:14">
      <c r="I108" s="105"/>
      <c r="J108" s="100"/>
      <c r="K108" s="99"/>
      <c r="L108" s="99"/>
      <c r="M108" s="103"/>
      <c r="N108" s="104"/>
    </row>
    <row r="109" customHeight="1" spans="9:14">
      <c r="I109" s="105"/>
      <c r="J109" s="100"/>
      <c r="K109" s="99"/>
      <c r="L109" s="99"/>
      <c r="M109" s="103"/>
      <c r="N109" s="104"/>
    </row>
    <row r="110" customHeight="1" spans="9:14">
      <c r="I110" s="105"/>
      <c r="J110" s="100"/>
      <c r="K110" s="99"/>
      <c r="L110" s="99"/>
      <c r="M110" s="103"/>
      <c r="N110" s="104"/>
    </row>
    <row r="111" customHeight="1" spans="9:14">
      <c r="I111" s="105"/>
      <c r="J111" s="100"/>
      <c r="K111" s="99"/>
      <c r="L111" s="99"/>
      <c r="M111" s="103"/>
      <c r="N111" s="104"/>
    </row>
    <row r="112" customHeight="1" spans="9:14">
      <c r="I112" s="105"/>
      <c r="J112" s="100"/>
      <c r="K112" s="99"/>
      <c r="L112" s="99"/>
      <c r="M112" s="103"/>
      <c r="N112" s="104"/>
    </row>
    <row r="113" customHeight="1" spans="9:14">
      <c r="I113" s="105"/>
      <c r="J113" s="100"/>
      <c r="K113" s="99"/>
      <c r="L113" s="99"/>
      <c r="M113" s="103"/>
      <c r="N113" s="104"/>
    </row>
    <row r="114" customHeight="1" spans="9:14">
      <c r="I114" s="105"/>
      <c r="J114" s="100"/>
      <c r="K114" s="99"/>
      <c r="L114" s="99"/>
      <c r="M114" s="103"/>
      <c r="N114" s="104"/>
    </row>
    <row r="115" customHeight="1" spans="9:14">
      <c r="I115" s="105"/>
      <c r="J115" s="100"/>
      <c r="K115" s="99"/>
      <c r="L115" s="99"/>
      <c r="M115" s="103"/>
      <c r="N115" s="104"/>
    </row>
    <row r="116" customHeight="1" spans="9:14">
      <c r="I116" s="105"/>
      <c r="J116" s="100"/>
      <c r="K116" s="99"/>
      <c r="L116" s="99"/>
      <c r="M116" s="103"/>
      <c r="N116" s="104"/>
    </row>
    <row r="117" customHeight="1" spans="9:14">
      <c r="I117" s="105"/>
      <c r="J117" s="100"/>
      <c r="K117" s="99"/>
      <c r="L117" s="99"/>
      <c r="M117" s="103"/>
      <c r="N117" s="104"/>
    </row>
    <row r="118" customHeight="1" spans="9:14">
      <c r="I118" s="105"/>
      <c r="J118" s="100"/>
      <c r="K118" s="99"/>
      <c r="L118" s="99"/>
      <c r="M118" s="103"/>
      <c r="N118" s="104"/>
    </row>
    <row r="119" customHeight="1" spans="9:14">
      <c r="I119" s="105"/>
      <c r="J119" s="100"/>
      <c r="K119" s="99"/>
      <c r="L119" s="99"/>
      <c r="M119" s="103"/>
      <c r="N119" s="104"/>
    </row>
    <row r="120" customHeight="1" spans="9:14">
      <c r="I120" s="105"/>
      <c r="J120" s="100"/>
      <c r="K120" s="99"/>
      <c r="L120" s="99"/>
      <c r="M120" s="103"/>
      <c r="N120" s="104"/>
    </row>
    <row r="121" customHeight="1" spans="9:14">
      <c r="I121" s="105"/>
      <c r="J121" s="100"/>
      <c r="K121" s="99"/>
      <c r="L121" s="99"/>
      <c r="M121" s="103"/>
      <c r="N121" s="104"/>
    </row>
    <row r="122" customHeight="1" spans="9:14">
      <c r="I122" s="105"/>
      <c r="J122" s="100"/>
      <c r="K122" s="99"/>
      <c r="L122" s="99"/>
      <c r="M122" s="103"/>
      <c r="N122" s="104"/>
    </row>
    <row r="123" customHeight="1" spans="9:14">
      <c r="I123" s="105"/>
      <c r="J123" s="100"/>
      <c r="K123" s="99"/>
      <c r="L123" s="99"/>
      <c r="M123" s="103"/>
      <c r="N123" s="104"/>
    </row>
    <row r="124" customHeight="1" spans="9:14">
      <c r="I124" s="105"/>
      <c r="J124" s="100"/>
      <c r="K124" s="99"/>
      <c r="L124" s="99"/>
      <c r="M124" s="103"/>
      <c r="N124" s="104"/>
    </row>
    <row r="125" customHeight="1" spans="9:14">
      <c r="I125" s="105"/>
      <c r="J125" s="100"/>
      <c r="K125" s="99"/>
      <c r="L125" s="99"/>
      <c r="M125" s="103"/>
      <c r="N125" s="104"/>
    </row>
    <row r="126" customHeight="1" spans="9:14">
      <c r="I126" s="105"/>
      <c r="J126" s="100"/>
      <c r="K126" s="99"/>
      <c r="L126" s="99"/>
      <c r="M126" s="103"/>
      <c r="N126" s="104"/>
    </row>
    <row r="127" customHeight="1" spans="9:14">
      <c r="I127" s="105"/>
      <c r="J127" s="100"/>
      <c r="K127" s="99"/>
      <c r="L127" s="99"/>
      <c r="M127" s="103"/>
      <c r="N127" s="104"/>
    </row>
    <row r="128" customHeight="1" spans="9:14">
      <c r="I128" s="105"/>
      <c r="J128" s="100"/>
      <c r="K128" s="99"/>
      <c r="L128" s="99"/>
      <c r="M128" s="103"/>
      <c r="N128" s="104"/>
    </row>
    <row r="129" customHeight="1" spans="9:14">
      <c r="I129" s="105"/>
      <c r="J129" s="100"/>
      <c r="K129" s="99"/>
      <c r="L129" s="99"/>
      <c r="M129" s="103"/>
      <c r="N129" s="104"/>
    </row>
    <row r="130" customHeight="1" spans="9:14">
      <c r="I130" s="105"/>
      <c r="J130" s="100"/>
      <c r="K130" s="99"/>
      <c r="L130" s="99"/>
      <c r="M130" s="103"/>
      <c r="N130" s="104"/>
    </row>
    <row r="131" customHeight="1" spans="9:14">
      <c r="I131" s="105"/>
      <c r="J131" s="100"/>
      <c r="K131" s="99"/>
      <c r="L131" s="99"/>
      <c r="M131" s="103"/>
      <c r="N131" s="104"/>
    </row>
    <row r="132" customHeight="1" spans="9:14">
      <c r="I132" s="105"/>
      <c r="J132" s="100"/>
      <c r="K132" s="99"/>
      <c r="L132" s="99"/>
      <c r="M132" s="103"/>
      <c r="N132" s="104"/>
    </row>
    <row r="133" customHeight="1" spans="9:14">
      <c r="I133" s="105"/>
      <c r="J133" s="100"/>
      <c r="K133" s="99"/>
      <c r="L133" s="99"/>
      <c r="M133" s="103"/>
      <c r="N133" s="104"/>
    </row>
    <row r="134" customHeight="1" spans="9:14">
      <c r="I134" s="105"/>
      <c r="J134" s="100"/>
      <c r="K134" s="99"/>
      <c r="L134" s="99"/>
      <c r="M134" s="103"/>
      <c r="N134" s="104"/>
    </row>
    <row r="135" customHeight="1" spans="9:14">
      <c r="I135" s="105"/>
      <c r="J135" s="100"/>
      <c r="K135" s="99"/>
      <c r="L135" s="99"/>
      <c r="M135" s="103"/>
      <c r="N135" s="104"/>
    </row>
    <row r="136" customHeight="1" spans="9:14">
      <c r="I136" s="105"/>
      <c r="J136" s="100"/>
      <c r="K136" s="99"/>
      <c r="L136" s="99"/>
      <c r="M136" s="103"/>
      <c r="N136" s="104"/>
    </row>
    <row r="137" customHeight="1" spans="9:14">
      <c r="I137" s="105"/>
      <c r="J137" s="100"/>
      <c r="K137" s="99"/>
      <c r="L137" s="99"/>
      <c r="M137" s="103"/>
      <c r="N137" s="104"/>
    </row>
    <row r="138" customHeight="1" spans="9:14">
      <c r="I138" s="105"/>
      <c r="J138" s="100"/>
      <c r="K138" s="99"/>
      <c r="L138" s="99"/>
      <c r="M138" s="103"/>
      <c r="N138" s="104"/>
    </row>
    <row r="139" customHeight="1" spans="9:14">
      <c r="I139" s="105"/>
      <c r="J139" s="100"/>
      <c r="K139" s="99"/>
      <c r="L139" s="99"/>
      <c r="M139" s="103"/>
      <c r="N139" s="104"/>
    </row>
    <row r="140" customHeight="1" spans="9:14">
      <c r="I140" s="105"/>
      <c r="J140" s="100"/>
      <c r="K140" s="99"/>
      <c r="L140" s="99"/>
      <c r="M140" s="103"/>
      <c r="N140" s="104"/>
    </row>
    <row r="141" customHeight="1" spans="9:14">
      <c r="I141" s="105"/>
      <c r="J141" s="100"/>
      <c r="K141" s="99"/>
      <c r="L141" s="99"/>
      <c r="M141" s="103"/>
      <c r="N141" s="104"/>
    </row>
    <row r="142" customHeight="1" spans="9:14">
      <c r="I142" s="105"/>
      <c r="J142" s="100"/>
      <c r="K142" s="99"/>
      <c r="L142" s="99"/>
      <c r="M142" s="103"/>
      <c r="N142" s="104"/>
    </row>
    <row r="143" customHeight="1" spans="9:14">
      <c r="I143" s="105"/>
      <c r="J143" s="100"/>
      <c r="K143" s="99"/>
      <c r="L143" s="99"/>
      <c r="M143" s="103"/>
      <c r="N143" s="104"/>
    </row>
    <row r="144" customHeight="1" spans="9:14">
      <c r="I144" s="105"/>
      <c r="J144" s="100"/>
      <c r="K144" s="99"/>
      <c r="L144" s="99"/>
      <c r="M144" s="103"/>
      <c r="N144" s="104"/>
    </row>
    <row r="145" customHeight="1" spans="9:14">
      <c r="I145" s="105"/>
      <c r="J145" s="100"/>
      <c r="K145" s="99"/>
      <c r="L145" s="99"/>
      <c r="M145" s="103"/>
      <c r="N145" s="104"/>
    </row>
    <row r="146" customHeight="1" spans="9:14">
      <c r="I146" s="105"/>
      <c r="J146" s="100"/>
      <c r="K146" s="99"/>
      <c r="L146" s="99"/>
      <c r="M146" s="103"/>
      <c r="N146" s="104"/>
    </row>
    <row r="147" customHeight="1" spans="9:14">
      <c r="I147" s="105"/>
      <c r="J147" s="100"/>
      <c r="K147" s="99"/>
      <c r="L147" s="99"/>
      <c r="M147" s="103"/>
      <c r="N147" s="104"/>
    </row>
    <row r="148" customHeight="1" spans="9:14">
      <c r="I148" s="105"/>
      <c r="J148" s="100"/>
      <c r="K148" s="99"/>
      <c r="L148" s="99"/>
      <c r="M148" s="103"/>
      <c r="N148" s="104"/>
    </row>
    <row r="149" customHeight="1" spans="9:14">
      <c r="I149" s="105"/>
      <c r="J149" s="100"/>
      <c r="K149" s="99"/>
      <c r="L149" s="99"/>
      <c r="M149" s="103"/>
      <c r="N149" s="104"/>
    </row>
    <row r="150" customHeight="1" spans="9:14">
      <c r="I150" s="105"/>
      <c r="J150" s="100"/>
      <c r="K150" s="99"/>
      <c r="L150" s="99"/>
      <c r="M150" s="103"/>
      <c r="N150" s="104"/>
    </row>
    <row r="151" customHeight="1" spans="9:14">
      <c r="I151" s="105"/>
      <c r="J151" s="100"/>
      <c r="K151" s="99"/>
      <c r="L151" s="99"/>
      <c r="M151" s="103"/>
      <c r="N151" s="104"/>
    </row>
    <row r="152" customHeight="1" spans="9:14">
      <c r="I152" s="105"/>
      <c r="J152" s="100"/>
      <c r="K152" s="99"/>
      <c r="L152" s="99"/>
      <c r="M152" s="103"/>
      <c r="N152" s="104"/>
    </row>
    <row r="153" customHeight="1" spans="9:14">
      <c r="I153" s="105"/>
      <c r="J153" s="100"/>
      <c r="K153" s="99"/>
      <c r="L153" s="99"/>
      <c r="M153" s="103"/>
      <c r="N153" s="104"/>
    </row>
    <row r="154" customHeight="1" spans="9:14">
      <c r="I154" s="105"/>
      <c r="J154" s="100"/>
      <c r="K154" s="99"/>
      <c r="L154" s="99"/>
      <c r="M154" s="103"/>
      <c r="N154" s="104"/>
    </row>
    <row r="155" customHeight="1" spans="9:14">
      <c r="I155" s="105"/>
      <c r="J155" s="100"/>
      <c r="K155" s="99"/>
      <c r="L155" s="99"/>
      <c r="M155" s="103"/>
      <c r="N155" s="104"/>
    </row>
    <row r="156" customHeight="1" spans="9:14">
      <c r="I156" s="105"/>
      <c r="J156" s="100"/>
      <c r="K156" s="99"/>
      <c r="L156" s="99"/>
      <c r="M156" s="103"/>
      <c r="N156" s="104"/>
    </row>
    <row r="157" customHeight="1" spans="9:14">
      <c r="I157" s="105"/>
      <c r="J157" s="100"/>
      <c r="K157" s="99"/>
      <c r="L157" s="99"/>
      <c r="M157" s="103"/>
      <c r="N157" s="104"/>
    </row>
    <row r="158" customHeight="1" spans="9:14">
      <c r="I158" s="105"/>
      <c r="J158" s="100"/>
      <c r="K158" s="99"/>
      <c r="L158" s="99"/>
      <c r="M158" s="103"/>
      <c r="N158" s="104"/>
    </row>
    <row r="159" customHeight="1" spans="9:14">
      <c r="I159" s="105"/>
      <c r="J159" s="100"/>
      <c r="K159" s="99"/>
      <c r="L159" s="99"/>
      <c r="M159" s="103"/>
      <c r="N159" s="104"/>
    </row>
    <row r="160" customHeight="1" spans="9:14">
      <c r="I160" s="105"/>
      <c r="J160" s="100"/>
      <c r="K160" s="99"/>
      <c r="L160" s="99"/>
      <c r="M160" s="103"/>
      <c r="N160" s="104"/>
    </row>
    <row r="161" customHeight="1" spans="9:14">
      <c r="I161" s="105"/>
      <c r="J161" s="100"/>
      <c r="K161" s="99"/>
      <c r="L161" s="99"/>
      <c r="M161" s="103"/>
      <c r="N161" s="104"/>
    </row>
    <row r="162" customHeight="1" spans="9:14">
      <c r="I162" s="105"/>
      <c r="J162" s="100"/>
      <c r="K162" s="99"/>
      <c r="L162" s="99"/>
      <c r="M162" s="103"/>
      <c r="N162" s="104"/>
    </row>
    <row r="163" customHeight="1" spans="9:14">
      <c r="I163" s="105"/>
      <c r="J163" s="100"/>
      <c r="K163" s="99"/>
      <c r="L163" s="99"/>
      <c r="M163" s="103"/>
      <c r="N163" s="104"/>
    </row>
    <row r="164" customHeight="1" spans="9:14">
      <c r="I164" s="105"/>
      <c r="J164" s="100"/>
      <c r="K164" s="99"/>
      <c r="L164" s="99"/>
      <c r="M164" s="103"/>
      <c r="N164" s="104"/>
    </row>
    <row r="165" customHeight="1" spans="9:14">
      <c r="I165" s="105"/>
      <c r="J165" s="100"/>
      <c r="K165" s="99"/>
      <c r="L165" s="99"/>
      <c r="M165" s="103"/>
      <c r="N165" s="104"/>
    </row>
    <row r="166" customHeight="1" spans="9:14">
      <c r="I166" s="105"/>
      <c r="J166" s="100"/>
      <c r="K166" s="99"/>
      <c r="L166" s="99"/>
      <c r="M166" s="103"/>
      <c r="N166" s="104"/>
    </row>
    <row r="167" customHeight="1" spans="9:14">
      <c r="I167" s="105"/>
      <c r="J167" s="100"/>
      <c r="K167" s="99"/>
      <c r="L167" s="99"/>
      <c r="M167" s="103"/>
      <c r="N167" s="104"/>
    </row>
    <row r="168" customHeight="1" spans="9:14">
      <c r="I168" s="105"/>
      <c r="J168" s="100"/>
      <c r="K168" s="99"/>
      <c r="L168" s="99"/>
      <c r="M168" s="103"/>
      <c r="N168" s="104"/>
    </row>
    <row r="169" customHeight="1" spans="9:14">
      <c r="I169" s="105"/>
      <c r="J169" s="100"/>
      <c r="K169" s="99"/>
      <c r="L169" s="99"/>
      <c r="M169" s="103"/>
      <c r="N169" s="104"/>
    </row>
    <row r="170" customHeight="1" spans="9:14">
      <c r="I170" s="105"/>
      <c r="J170" s="100"/>
      <c r="K170" s="99"/>
      <c r="L170" s="99"/>
      <c r="M170" s="103"/>
      <c r="N170" s="104"/>
    </row>
    <row r="171" customHeight="1" spans="9:14">
      <c r="I171" s="105"/>
      <c r="J171" s="100"/>
      <c r="K171" s="99"/>
      <c r="L171" s="99"/>
      <c r="M171" s="103"/>
      <c r="N171" s="104"/>
    </row>
    <row r="172" customHeight="1" spans="9:14">
      <c r="I172" s="105"/>
      <c r="J172" s="100"/>
      <c r="K172" s="99"/>
      <c r="L172" s="99"/>
      <c r="M172" s="103"/>
      <c r="N172" s="104"/>
    </row>
    <row r="173" customHeight="1" spans="9:14">
      <c r="I173" s="105"/>
      <c r="J173" s="100"/>
      <c r="K173" s="99"/>
      <c r="L173" s="99"/>
      <c r="M173" s="103"/>
      <c r="N173" s="104"/>
    </row>
    <row r="174" customHeight="1" spans="9:14">
      <c r="I174" s="105"/>
      <c r="J174" s="100"/>
      <c r="K174" s="99"/>
      <c r="L174" s="99"/>
      <c r="M174" s="103"/>
      <c r="N174" s="104"/>
    </row>
    <row r="175" customHeight="1" spans="9:14">
      <c r="I175" s="105"/>
      <c r="J175" s="100"/>
      <c r="K175" s="99"/>
      <c r="L175" s="99"/>
      <c r="M175" s="103"/>
      <c r="N175" s="104"/>
    </row>
    <row r="176" customHeight="1" spans="9:14">
      <c r="I176" s="105"/>
      <c r="J176" s="100"/>
      <c r="K176" s="99"/>
      <c r="L176" s="99"/>
      <c r="M176" s="103"/>
      <c r="N176" s="104"/>
    </row>
    <row r="177" customHeight="1" spans="9:14">
      <c r="I177" s="105"/>
      <c r="J177" s="100"/>
      <c r="K177" s="99"/>
      <c r="L177" s="99"/>
      <c r="M177" s="103"/>
      <c r="N177" s="104"/>
    </row>
  </sheetData>
  <mergeCells count="2">
    <mergeCell ref="A1:O1"/>
    <mergeCell ref="A2:O2"/>
  </mergeCells>
  <dataValidations count="1">
    <dataValidation type="list" sqref="AH4">
      <formula1>"价税合计(含税),不含税金额"</formula1>
    </dataValidation>
  </dataValidations>
  <pageMargins left="0.75" right="0.75" top="1" bottom="1" header="0.511811023622047" footer="0.511811023622047"/>
  <pageSetup paperSize="9" orientation="portrait"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tabColor rgb="FF00B050"/>
  </sheetPr>
  <dimension ref="A1:T504"/>
  <sheetViews>
    <sheetView showGridLines="0" workbookViewId="0">
      <pane xSplit="2" ySplit="4" topLeftCell="C5" activePane="bottomRight" state="frozen"/>
      <selection/>
      <selection pane="topRight"/>
      <selection pane="bottomLeft"/>
      <selection pane="bottomRight" activeCell="G14" sqref="G14"/>
    </sheetView>
  </sheetViews>
  <sheetFormatPr defaultColWidth="8.67619047619048" defaultRowHeight="15"/>
  <cols>
    <col min="1" max="1" width="6" customWidth="1"/>
    <col min="2" max="2" width="12" customWidth="1"/>
    <col min="3" max="3" width="13" customWidth="1"/>
    <col min="4" max="4" width="12" customWidth="1"/>
    <col min="5" max="5" width="17" customWidth="1"/>
    <col min="6" max="6" width="15" customWidth="1"/>
    <col min="7" max="7" width="18" customWidth="1"/>
    <col min="8" max="8" width="13" customWidth="1"/>
    <col min="9" max="9" width="16" customWidth="1"/>
    <col min="10" max="10" width="19" customWidth="1"/>
    <col min="11" max="11" width="8" customWidth="1"/>
    <col min="12" max="12" width="16.8857142857143" customWidth="1"/>
    <col min="13" max="13" width="18.7809523809524" customWidth="1"/>
    <col min="14" max="16" width="13" customWidth="1"/>
    <col min="17" max="18" width="11" customWidth="1"/>
    <col min="19" max="19" width="9" customWidth="1"/>
    <col min="20" max="20" width="16" customWidth="1"/>
  </cols>
  <sheetData>
    <row r="1" ht="25.5" customHeight="1" spans="1:20">
      <c r="A1" s="1" t="s">
        <v>390</v>
      </c>
      <c r="B1" s="1"/>
      <c r="C1" s="1"/>
      <c r="D1" s="1"/>
      <c r="E1" s="1"/>
      <c r="F1" s="1"/>
      <c r="G1" s="1"/>
      <c r="H1" s="1"/>
      <c r="I1" s="1"/>
      <c r="J1" s="1"/>
      <c r="K1" s="1"/>
      <c r="L1" s="1"/>
      <c r="M1" s="1"/>
      <c r="N1" s="1"/>
      <c r="O1" s="1"/>
      <c r="P1" s="1"/>
      <c r="Q1" s="1"/>
      <c r="R1" s="1"/>
      <c r="S1" s="1"/>
      <c r="T1" s="1"/>
    </row>
    <row r="2" spans="1:20">
      <c r="A2" s="16" t="s">
        <v>391</v>
      </c>
      <c r="C2" s="86" t="str">
        <f>IF(基础资料!$AH$4="不含税金额","本表口径收入(不含税)","本表口径收入(含税)")</f>
        <v>本表口径收入(含税)</v>
      </c>
      <c r="D2" s="86"/>
      <c r="E2" s="86"/>
      <c r="F2" s="87">
        <f>IF(基础资料!$AH$4="不含税金额",$J$2,$M$2)</f>
        <v>24007854.47</v>
      </c>
      <c r="J2" s="59">
        <f>SUBTOTAL(109,$J$5:$J$504)</f>
        <v>21870816.81</v>
      </c>
      <c r="L2" s="59">
        <f>SUBTOTAL(109,$L$5:$L$504)</f>
        <v>2137037.66</v>
      </c>
      <c r="M2" s="59">
        <f>SUBTOTAL(109,$M$5:$M$504)</f>
        <v>24007854.47</v>
      </c>
      <c r="N2" s="59" t="e">
        <f>SUBTOTAL(109,$N$5:$N$504)</f>
        <v>#VALUE!</v>
      </c>
      <c r="O2" s="59">
        <f>SUBTOTAL(109,$O$5:$O$504)</f>
        <v>19010885.97</v>
      </c>
      <c r="P2" s="59" t="e">
        <f>SUBTOTAL(109,$P$5:$P$504)</f>
        <v>#VALUE!</v>
      </c>
    </row>
    <row r="3" ht="57.75" customHeight="1" spans="1:20">
      <c r="A3" s="33" t="s">
        <v>392</v>
      </c>
      <c r="B3" s="33"/>
      <c r="C3" s="33"/>
      <c r="D3" s="33"/>
      <c r="E3" s="33"/>
      <c r="F3" s="33"/>
      <c r="G3" s="33"/>
      <c r="H3" s="33"/>
      <c r="I3" s="33"/>
      <c r="J3" s="33"/>
      <c r="K3" s="33"/>
      <c r="L3" s="33"/>
      <c r="M3" s="33"/>
      <c r="N3" s="33"/>
      <c r="O3" s="33"/>
      <c r="P3" s="33"/>
      <c r="Q3" s="33"/>
      <c r="R3" s="33"/>
      <c r="S3" s="33"/>
      <c r="T3" s="33"/>
    </row>
    <row r="4" ht="42" customHeight="1" spans="1:20">
      <c r="A4" s="22" t="s">
        <v>393</v>
      </c>
      <c r="B4" s="22" t="s">
        <v>394</v>
      </c>
      <c r="C4" s="22" t="s">
        <v>395</v>
      </c>
      <c r="D4" s="22" t="s">
        <v>396</v>
      </c>
      <c r="E4" s="22" t="s">
        <v>73</v>
      </c>
      <c r="F4" s="22" t="s">
        <v>397</v>
      </c>
      <c r="G4" s="22" t="s">
        <v>62</v>
      </c>
      <c r="H4" s="22" t="s">
        <v>67</v>
      </c>
      <c r="I4" s="22" t="s">
        <v>398</v>
      </c>
      <c r="J4" s="22" t="s">
        <v>399</v>
      </c>
      <c r="K4" s="22" t="s">
        <v>74</v>
      </c>
      <c r="L4" s="22" t="s">
        <v>400</v>
      </c>
      <c r="M4" s="22" t="s">
        <v>401</v>
      </c>
      <c r="N4" s="22" t="s">
        <v>402</v>
      </c>
      <c r="O4" s="22" t="s">
        <v>403</v>
      </c>
      <c r="P4" s="22" t="s">
        <v>404</v>
      </c>
      <c r="Q4" s="22" t="s">
        <v>405</v>
      </c>
      <c r="R4" s="22" t="s">
        <v>406</v>
      </c>
      <c r="S4" s="22" t="s">
        <v>407</v>
      </c>
      <c r="T4" s="22" t="s">
        <v>408</v>
      </c>
    </row>
    <row r="5" hidden="1" spans="1:20">
      <c r="A5" s="56">
        <f>IF($B5="","",COUNTA($B$5:$B5))</f>
        <v>1</v>
      </c>
      <c r="B5" s="53">
        <v>45981</v>
      </c>
      <c r="C5" s="46" t="s">
        <v>77</v>
      </c>
      <c r="D5" s="56" t="str">
        <f>IFERROR(INDEX(基础资料!$C$4:$C$11,MATCH($C5,基础资料!$A$4:$A$11,0)),"")</f>
        <v>一般纳税人</v>
      </c>
      <c r="E5" s="39" t="s">
        <v>94</v>
      </c>
      <c r="F5" s="46" t="s">
        <v>409</v>
      </c>
      <c r="G5" s="10" t="s">
        <v>410</v>
      </c>
      <c r="H5" s="39" t="s">
        <v>87</v>
      </c>
      <c r="I5" s="10" t="s">
        <v>411</v>
      </c>
      <c r="J5" s="25">
        <v>265486.73</v>
      </c>
      <c r="K5" s="88">
        <v>0.13</v>
      </c>
      <c r="L5" s="57">
        <f t="shared" ref="L5:L68" si="0">IF($J5="","",ROUND($J5*$K5,2))</f>
        <v>34513.27</v>
      </c>
      <c r="M5" s="57">
        <f t="shared" ref="M5:M68" si="1">IF($J5="","",ROUND($J5+$L5,2))</f>
        <v>300000</v>
      </c>
      <c r="N5" s="57" t="e">
        <f>IF($I5="","",SUMIFS(资金流水!$K$5:$K$3032,资金流水!$Q$5:$Q$3015,$I5))</f>
        <v>#VALUE!</v>
      </c>
      <c r="O5" s="25"/>
      <c r="P5" s="57" t="e">
        <f t="shared" ref="P5:P68" si="2">IF($J5="","",ROUND($M5-IF($N5="",0,$N5)-IF($O5="",0,$O5),2))</f>
        <v>#VALUE!</v>
      </c>
      <c r="Q5" s="58" t="e">
        <f t="shared" ref="Q5:Q68" si="3">IF($J5="","",IF($P5&lt;=0.005,"已收齐",IF(IF($N5="",0,$N5)+IF($O5="",0,$O5)&lt;=0,"未收款","部分收款")))</f>
        <v>#VALUE!</v>
      </c>
      <c r="R5" s="54">
        <f t="shared" ref="R5:R68" si="4">IF($B5="","",--TEXT($B5,"yyyymm"))</f>
        <v>202511</v>
      </c>
      <c r="S5" s="56" t="e">
        <f ca="1" t="shared" ref="S5:S68" si="5">IF(OR($B5="",$P5="",$P5&lt;=0.005),"",TODAY()-$B5)</f>
        <v>#VALUE!</v>
      </c>
      <c r="T5" s="46" t="s">
        <v>412</v>
      </c>
    </row>
    <row r="6" spans="1:20">
      <c r="A6" s="56">
        <f>IF($B6="","",COUNTA($B$5:$B6))</f>
        <v>2</v>
      </c>
      <c r="B6" s="89">
        <v>46026</v>
      </c>
      <c r="C6" s="46" t="s">
        <v>77</v>
      </c>
      <c r="D6" s="56" t="str">
        <f>IFERROR(INDEX(基础资料!$C$4:$C$11,MATCH($C6,基础资料!$A$4:$A$11,0)),"")</f>
        <v>一般纳税人</v>
      </c>
      <c r="E6" s="39" t="s">
        <v>94</v>
      </c>
      <c r="F6" s="46" t="s">
        <v>199</v>
      </c>
      <c r="G6" s="10" t="s">
        <v>198</v>
      </c>
      <c r="H6" s="39" t="s">
        <v>87</v>
      </c>
      <c r="I6" s="10" t="s">
        <v>413</v>
      </c>
      <c r="J6" s="90">
        <v>2409203.54</v>
      </c>
      <c r="K6" s="88">
        <v>0.13</v>
      </c>
      <c r="L6" s="57">
        <f t="shared" si="0"/>
        <v>313196.46</v>
      </c>
      <c r="M6" s="57">
        <f t="shared" si="1"/>
        <v>2722400</v>
      </c>
      <c r="N6" s="57"/>
      <c r="O6" s="25">
        <v>2722400</v>
      </c>
      <c r="P6" s="57">
        <f t="shared" si="2"/>
        <v>0</v>
      </c>
      <c r="Q6" s="58" t="str">
        <f t="shared" si="3"/>
        <v>已收齐</v>
      </c>
      <c r="R6" s="54">
        <f t="shared" si="4"/>
        <v>202601</v>
      </c>
      <c r="S6" s="56" t="str">
        <f ca="1" t="shared" si="5"/>
        <v/>
      </c>
      <c r="T6" s="46" t="s">
        <v>412</v>
      </c>
    </row>
    <row r="7" spans="1:20">
      <c r="A7" s="56">
        <f>IF($B7="","",COUNTA($B$5:$B7))</f>
        <v>3</v>
      </c>
      <c r="B7" s="89">
        <v>46026</v>
      </c>
      <c r="C7" s="46" t="s">
        <v>77</v>
      </c>
      <c r="D7" s="56" t="str">
        <f>IFERROR(INDEX(基础资料!$C$4:$C$11,MATCH($C7,基础资料!$A$4:$A$11,0)),"")</f>
        <v>一般纳税人</v>
      </c>
      <c r="E7" s="39" t="s">
        <v>94</v>
      </c>
      <c r="F7" s="46" t="s">
        <v>199</v>
      </c>
      <c r="G7" s="10" t="s">
        <v>198</v>
      </c>
      <c r="H7" s="39" t="s">
        <v>87</v>
      </c>
      <c r="I7" s="10" t="s">
        <v>414</v>
      </c>
      <c r="J7" s="90">
        <v>377358.49</v>
      </c>
      <c r="K7" s="88">
        <v>0.06</v>
      </c>
      <c r="L7" s="57">
        <f t="shared" si="0"/>
        <v>22641.51</v>
      </c>
      <c r="M7" s="57">
        <f t="shared" si="1"/>
        <v>400000</v>
      </c>
      <c r="N7" s="57" t="e">
        <f>IF($I7="","",SUMIFS(资金流水!$K$5:$K$3032,资金流水!$Q$5:$Q$3015,$I7))</f>
        <v>#VALUE!</v>
      </c>
      <c r="O7" s="25">
        <v>400000</v>
      </c>
      <c r="P7" s="57" t="e">
        <f t="shared" si="2"/>
        <v>#VALUE!</v>
      </c>
      <c r="Q7" s="58" t="e">
        <f t="shared" si="3"/>
        <v>#VALUE!</v>
      </c>
      <c r="R7" s="54">
        <f t="shared" si="4"/>
        <v>202601</v>
      </c>
      <c r="S7" s="56" t="e">
        <f ca="1" t="shared" si="5"/>
        <v>#VALUE!</v>
      </c>
      <c r="T7" s="46" t="s">
        <v>412</v>
      </c>
    </row>
    <row r="8" spans="1:20">
      <c r="A8" s="56">
        <f>IF($B8="","",COUNTA($B$5:$B8))</f>
        <v>4</v>
      </c>
      <c r="B8" s="89">
        <v>46031</v>
      </c>
      <c r="C8" s="46" t="s">
        <v>77</v>
      </c>
      <c r="D8" s="56" t="str">
        <f>IFERROR(INDEX(基础资料!$C$4:$C$11,MATCH($C8,基础资料!$A$4:$A$11,0)),"")</f>
        <v>一般纳税人</v>
      </c>
      <c r="E8" s="39" t="s">
        <v>94</v>
      </c>
      <c r="F8" s="46" t="s">
        <v>181</v>
      </c>
      <c r="G8" s="10" t="s">
        <v>159</v>
      </c>
      <c r="H8" s="39" t="s">
        <v>87</v>
      </c>
      <c r="I8" s="10" t="s">
        <v>414</v>
      </c>
      <c r="J8" s="90">
        <v>253743.29</v>
      </c>
      <c r="K8" s="88">
        <v>0.13</v>
      </c>
      <c r="L8" s="57">
        <f t="shared" si="0"/>
        <v>32986.63</v>
      </c>
      <c r="M8" s="57">
        <f t="shared" si="1"/>
        <v>286729.92</v>
      </c>
      <c r="N8" s="57" t="e">
        <f>IF($I8="","",SUMIFS(资金流水!$K$5:$K$3032,资金流水!$Q$5:$Q$3015,$I8))</f>
        <v>#VALUE!</v>
      </c>
      <c r="O8" s="25">
        <v>286729.92</v>
      </c>
      <c r="P8" s="57" t="e">
        <f t="shared" si="2"/>
        <v>#VALUE!</v>
      </c>
      <c r="Q8" s="58" t="e">
        <f t="shared" si="3"/>
        <v>#VALUE!</v>
      </c>
      <c r="R8" s="54">
        <f t="shared" si="4"/>
        <v>202601</v>
      </c>
      <c r="S8" s="56" t="e">
        <f ca="1" t="shared" si="5"/>
        <v>#VALUE!</v>
      </c>
      <c r="T8" s="10"/>
    </row>
    <row r="9" spans="1:20">
      <c r="A9" s="56">
        <f>IF($B9="","",COUNTA($B$5:$B9))</f>
        <v>5</v>
      </c>
      <c r="B9" s="89">
        <v>46036</v>
      </c>
      <c r="C9" s="46" t="s">
        <v>77</v>
      </c>
      <c r="D9" s="56" t="str">
        <f>IFERROR(INDEX(基础资料!$C$4:$C$11,MATCH($C9,基础资料!$A$4:$A$11,0)),"")</f>
        <v>一般纳税人</v>
      </c>
      <c r="E9" s="39" t="s">
        <v>94</v>
      </c>
      <c r="F9" s="46" t="s">
        <v>415</v>
      </c>
      <c r="G9" s="10" t="s">
        <v>180</v>
      </c>
      <c r="H9" s="39"/>
      <c r="I9" s="10"/>
      <c r="J9" s="69">
        <v>223071.7</v>
      </c>
      <c r="K9" s="88">
        <v>0.06</v>
      </c>
      <c r="L9" s="57">
        <f t="shared" si="0"/>
        <v>13384.3</v>
      </c>
      <c r="M9" s="57">
        <f t="shared" si="1"/>
        <v>236456</v>
      </c>
      <c r="N9" s="57" t="str">
        <f>IF($I9="","",SUMIFS(资金流水!$K$5:$K$3032,资金流水!$Q$5:$Q$3015,$I9))</f>
        <v/>
      </c>
      <c r="O9" s="25">
        <v>236456</v>
      </c>
      <c r="P9" s="57">
        <f t="shared" si="2"/>
        <v>0</v>
      </c>
      <c r="Q9" s="58" t="str">
        <f t="shared" si="3"/>
        <v>已收齐</v>
      </c>
      <c r="R9" s="54">
        <f t="shared" si="4"/>
        <v>202601</v>
      </c>
      <c r="S9" s="56" t="str">
        <f ca="1" t="shared" si="5"/>
        <v/>
      </c>
      <c r="T9" s="10"/>
    </row>
    <row r="10" spans="1:20">
      <c r="A10" s="56">
        <f>IF($B10="","",COUNTA($B$5:$B10))</f>
        <v>6</v>
      </c>
      <c r="B10" s="89">
        <v>46036</v>
      </c>
      <c r="C10" s="46" t="s">
        <v>77</v>
      </c>
      <c r="D10" s="56" t="str">
        <f>IFERROR(INDEX(基础资料!$C$4:$C$11,MATCH($C10,基础资料!$A$4:$A$11,0)),"")</f>
        <v>一般纳税人</v>
      </c>
      <c r="E10" s="39" t="s">
        <v>94</v>
      </c>
      <c r="F10" s="46" t="s">
        <v>415</v>
      </c>
      <c r="G10" s="10" t="s">
        <v>329</v>
      </c>
      <c r="H10" s="39"/>
      <c r="I10" s="10"/>
      <c r="J10" s="69">
        <v>17735.85</v>
      </c>
      <c r="K10" s="88">
        <v>0.06</v>
      </c>
      <c r="L10" s="57">
        <f t="shared" si="0"/>
        <v>1064.15</v>
      </c>
      <c r="M10" s="57">
        <f t="shared" si="1"/>
        <v>18800</v>
      </c>
      <c r="N10" s="57" t="str">
        <f>IF($I10="","",SUMIFS(资金流水!$K$5:$K$3032,资金流水!$Q$5:$Q$3015,$I10))</f>
        <v/>
      </c>
      <c r="O10" s="25">
        <v>18800</v>
      </c>
      <c r="P10" s="57">
        <f t="shared" si="2"/>
        <v>0</v>
      </c>
      <c r="Q10" s="58" t="str">
        <f t="shared" si="3"/>
        <v>已收齐</v>
      </c>
      <c r="R10" s="54">
        <f t="shared" si="4"/>
        <v>202601</v>
      </c>
      <c r="S10" s="56" t="str">
        <f ca="1" t="shared" si="5"/>
        <v/>
      </c>
      <c r="T10" s="10"/>
    </row>
    <row r="11" spans="1:20">
      <c r="A11" s="56">
        <f>IF($B11="","",COUNTA($B$5:$B11))</f>
        <v>7</v>
      </c>
      <c r="B11" s="89">
        <v>46036</v>
      </c>
      <c r="C11" s="46" t="s">
        <v>77</v>
      </c>
      <c r="D11" s="56" t="str">
        <f>IFERROR(INDEX(基础资料!$C$4:$C$11,MATCH($C11,基础资料!$A$4:$A$11,0)),"")</f>
        <v>一般纳税人</v>
      </c>
      <c r="E11" s="39" t="s">
        <v>94</v>
      </c>
      <c r="F11" s="46" t="s">
        <v>415</v>
      </c>
      <c r="G11" s="10"/>
      <c r="H11" s="39"/>
      <c r="I11" s="10"/>
      <c r="J11" s="69">
        <v>15094.34</v>
      </c>
      <c r="K11" s="88">
        <v>0.06</v>
      </c>
      <c r="L11" s="57">
        <f t="shared" si="0"/>
        <v>905.66</v>
      </c>
      <c r="M11" s="57">
        <f t="shared" si="1"/>
        <v>16000</v>
      </c>
      <c r="N11" s="57" t="str">
        <f>IF($I11="","",SUMIFS(资金流水!$K$5:$K$3032,资金流水!$Q$5:$Q$3015,$I11))</f>
        <v/>
      </c>
      <c r="O11" s="25">
        <v>16000</v>
      </c>
      <c r="P11" s="57">
        <f t="shared" si="2"/>
        <v>0</v>
      </c>
      <c r="Q11" s="58" t="str">
        <f t="shared" si="3"/>
        <v>已收齐</v>
      </c>
      <c r="R11" s="54">
        <f t="shared" si="4"/>
        <v>202601</v>
      </c>
      <c r="S11" s="56" t="str">
        <f ca="1" t="shared" si="5"/>
        <v/>
      </c>
      <c r="T11" s="10"/>
    </row>
    <row r="12" spans="1:20">
      <c r="A12" s="56">
        <f>IF($B12="","",COUNTA($B$5:$B12))</f>
        <v>8</v>
      </c>
      <c r="B12" s="89">
        <v>46036</v>
      </c>
      <c r="C12" s="46" t="s">
        <v>77</v>
      </c>
      <c r="D12" s="56" t="str">
        <f>IFERROR(INDEX(基础资料!$C$4:$C$11,MATCH($C12,基础资料!$A$4:$A$11,0)),"")</f>
        <v>一般纳税人</v>
      </c>
      <c r="E12" s="39" t="s">
        <v>94</v>
      </c>
      <c r="F12" s="46" t="s">
        <v>181</v>
      </c>
      <c r="G12" s="10" t="s">
        <v>325</v>
      </c>
      <c r="H12" s="39"/>
      <c r="I12" s="10"/>
      <c r="J12" s="69">
        <v>31037.74</v>
      </c>
      <c r="K12" s="88">
        <v>0.06</v>
      </c>
      <c r="L12" s="57">
        <f t="shared" si="0"/>
        <v>1862.26</v>
      </c>
      <c r="M12" s="57">
        <f t="shared" si="1"/>
        <v>32900</v>
      </c>
      <c r="N12" s="57" t="str">
        <f>IF($I12="","",SUMIFS(资金流水!$K$5:$K$3032,资金流水!$Q$5:$Q$3015,$I12))</f>
        <v/>
      </c>
      <c r="O12" s="25">
        <v>32900</v>
      </c>
      <c r="P12" s="57">
        <f t="shared" si="2"/>
        <v>0</v>
      </c>
      <c r="Q12" s="58" t="str">
        <f t="shared" si="3"/>
        <v>已收齐</v>
      </c>
      <c r="R12" s="54">
        <f t="shared" si="4"/>
        <v>202601</v>
      </c>
      <c r="S12" s="56" t="str">
        <f ca="1" t="shared" si="5"/>
        <v/>
      </c>
      <c r="T12" s="10"/>
    </row>
    <row r="13" spans="1:20">
      <c r="A13" s="56">
        <f>IF($B13="","",COUNTA($B$5:$B13))</f>
        <v>9</v>
      </c>
      <c r="B13" s="89">
        <v>46037</v>
      </c>
      <c r="C13" s="46" t="s">
        <v>77</v>
      </c>
      <c r="D13" s="56" t="str">
        <f>IFERROR(INDEX(基础资料!$C$4:$C$11,MATCH($C13,基础资料!$A$4:$A$11,0)),"")</f>
        <v>一般纳税人</v>
      </c>
      <c r="E13" s="39" t="s">
        <v>94</v>
      </c>
      <c r="F13" s="46" t="s">
        <v>160</v>
      </c>
      <c r="G13" s="10" t="s">
        <v>180</v>
      </c>
      <c r="H13" s="39"/>
      <c r="I13" s="10"/>
      <c r="J13" s="69">
        <v>55767.92</v>
      </c>
      <c r="K13" s="88">
        <v>0.06</v>
      </c>
      <c r="L13" s="57">
        <f t="shared" si="0"/>
        <v>3346.08</v>
      </c>
      <c r="M13" s="57">
        <f t="shared" si="1"/>
        <v>59114</v>
      </c>
      <c r="N13" s="57" t="str">
        <f>IF($I13="","",SUMIFS(资金流水!$K$5:$K$3032,资金流水!$Q$5:$Q$3015,$I13))</f>
        <v/>
      </c>
      <c r="O13" s="25">
        <v>59114</v>
      </c>
      <c r="P13" s="57">
        <f t="shared" si="2"/>
        <v>0</v>
      </c>
      <c r="Q13" s="58" t="str">
        <f t="shared" si="3"/>
        <v>已收齐</v>
      </c>
      <c r="R13" s="54">
        <f t="shared" si="4"/>
        <v>202601</v>
      </c>
      <c r="S13" s="56" t="str">
        <f ca="1" t="shared" si="5"/>
        <v/>
      </c>
      <c r="T13" s="10"/>
    </row>
    <row r="14" spans="1:20">
      <c r="A14" s="56">
        <f>IF($B14="","",COUNTA($B$5:$B14))</f>
        <v>10</v>
      </c>
      <c r="B14" s="89">
        <v>46038</v>
      </c>
      <c r="C14" s="46" t="s">
        <v>77</v>
      </c>
      <c r="D14" s="56" t="str">
        <f>IFERROR(INDEX(基础资料!$C$4:$C$11,MATCH($C14,基础资料!$A$4:$A$11,0)),"")</f>
        <v>一般纳税人</v>
      </c>
      <c r="E14" s="39" t="s">
        <v>94</v>
      </c>
      <c r="F14" s="46" t="s">
        <v>160</v>
      </c>
      <c r="G14" s="10" t="s">
        <v>190</v>
      </c>
      <c r="H14" s="39"/>
      <c r="I14" s="10"/>
      <c r="J14" s="90">
        <v>72566.37</v>
      </c>
      <c r="K14" s="88">
        <v>0.13</v>
      </c>
      <c r="L14" s="57">
        <f t="shared" si="0"/>
        <v>9433.63</v>
      </c>
      <c r="M14" s="57">
        <f t="shared" si="1"/>
        <v>82000</v>
      </c>
      <c r="N14" s="57" t="str">
        <f>IF($I14="","",SUMIFS(资金流水!$K$5:$K$3032,资金流水!$Q$5:$Q$3015,$I14))</f>
        <v/>
      </c>
      <c r="O14" s="25">
        <v>82000</v>
      </c>
      <c r="P14" s="57">
        <f t="shared" si="2"/>
        <v>0</v>
      </c>
      <c r="Q14" s="58" t="str">
        <f t="shared" si="3"/>
        <v>已收齐</v>
      </c>
      <c r="R14" s="54">
        <f t="shared" si="4"/>
        <v>202601</v>
      </c>
      <c r="S14" s="56" t="str">
        <f ca="1" t="shared" si="5"/>
        <v/>
      </c>
      <c r="T14" s="10"/>
    </row>
    <row r="15" spans="1:20">
      <c r="A15" s="56">
        <f>IF($B15="","",COUNTA($B$5:$B15))</f>
        <v>11</v>
      </c>
      <c r="B15" s="89" t="s">
        <v>416</v>
      </c>
      <c r="C15" s="46" t="s">
        <v>77</v>
      </c>
      <c r="D15" s="56" t="str">
        <f>IFERROR(INDEX(基础资料!$C$4:$C$11,MATCH($C15,基础资料!$A$4:$A$11,0)),"")</f>
        <v>一般纳税人</v>
      </c>
      <c r="E15" s="39" t="s">
        <v>94</v>
      </c>
      <c r="F15" s="90" t="s">
        <v>160</v>
      </c>
      <c r="G15" s="69" t="s">
        <v>417</v>
      </c>
      <c r="H15" s="39"/>
      <c r="I15" s="10"/>
      <c r="J15" s="90">
        <v>226415.09</v>
      </c>
      <c r="K15" s="88">
        <v>0.06</v>
      </c>
      <c r="L15" s="57">
        <f t="shared" si="0"/>
        <v>13584.91</v>
      </c>
      <c r="M15" s="57">
        <f t="shared" si="1"/>
        <v>240000</v>
      </c>
      <c r="N15" s="57" t="str">
        <f>IF($I15="","",SUMIFS(资金流水!$K$5:$K$3032,资金流水!$Q$5:$Q$3015,$I15))</f>
        <v/>
      </c>
      <c r="O15" s="25">
        <v>240000</v>
      </c>
      <c r="P15" s="57">
        <f t="shared" si="2"/>
        <v>0</v>
      </c>
      <c r="Q15" s="58" t="str">
        <f t="shared" si="3"/>
        <v>已收齐</v>
      </c>
      <c r="R15" s="54" t="e">
        <f t="shared" si="4"/>
        <v>#VALUE!</v>
      </c>
      <c r="S15" s="56" t="str">
        <f ca="1" t="shared" si="5"/>
        <v/>
      </c>
      <c r="T15" s="10"/>
    </row>
    <row r="16" spans="1:20">
      <c r="A16" s="56">
        <f>IF($B16="","",COUNTA($B$5:$B16))</f>
        <v>12</v>
      </c>
      <c r="B16" s="89">
        <v>46062</v>
      </c>
      <c r="C16" s="46" t="s">
        <v>77</v>
      </c>
      <c r="D16" s="56" t="str">
        <f>IFERROR(INDEX(基础资料!$C$4:$C$11,MATCH($C16,基础资料!$A$4:$A$11,0)),"")</f>
        <v>一般纳税人</v>
      </c>
      <c r="E16" s="39" t="s">
        <v>94</v>
      </c>
      <c r="F16" s="90" t="s">
        <v>331</v>
      </c>
      <c r="G16" s="90" t="s">
        <v>330</v>
      </c>
      <c r="H16" s="39"/>
      <c r="I16" s="10"/>
      <c r="J16" s="90">
        <v>96117.43</v>
      </c>
      <c r="K16" s="88">
        <v>0.09</v>
      </c>
      <c r="L16" s="57">
        <f t="shared" si="0"/>
        <v>8650.57</v>
      </c>
      <c r="M16" s="57">
        <f t="shared" si="1"/>
        <v>104768</v>
      </c>
      <c r="N16" s="57" t="str">
        <f>IF($I16="","",SUMIFS(资金流水!$K$5:$K$3032,资金流水!$Q$5:$Q$3015,$I16))</f>
        <v/>
      </c>
      <c r="O16" s="25">
        <v>104768</v>
      </c>
      <c r="P16" s="57">
        <f t="shared" si="2"/>
        <v>0</v>
      </c>
      <c r="Q16" s="58" t="str">
        <f t="shared" si="3"/>
        <v>已收齐</v>
      </c>
      <c r="R16" s="54">
        <f t="shared" si="4"/>
        <v>202602</v>
      </c>
      <c r="S16" s="56" t="str">
        <f ca="1" t="shared" si="5"/>
        <v/>
      </c>
      <c r="T16" s="10"/>
    </row>
    <row r="17" spans="1:20">
      <c r="A17" s="56">
        <f>IF($B17="","",COUNTA($B$5:$B17))</f>
        <v>13</v>
      </c>
      <c r="B17" s="89">
        <v>46060</v>
      </c>
      <c r="C17" s="46" t="s">
        <v>77</v>
      </c>
      <c r="D17" s="56" t="str">
        <f>IFERROR(INDEX(基础资料!$C$4:$C$11,MATCH($C17,基础资料!$A$4:$A$11,0)),"")</f>
        <v>一般纳税人</v>
      </c>
      <c r="E17" s="39" t="s">
        <v>94</v>
      </c>
      <c r="F17" s="90" t="s">
        <v>160</v>
      </c>
      <c r="G17" s="69" t="s">
        <v>418</v>
      </c>
      <c r="H17" s="39"/>
      <c r="I17" s="10"/>
      <c r="J17" s="90">
        <v>160000.09</v>
      </c>
      <c r="K17" s="88">
        <v>0.13</v>
      </c>
      <c r="L17" s="57">
        <f t="shared" si="0"/>
        <v>20800.01</v>
      </c>
      <c r="M17" s="57">
        <f t="shared" si="1"/>
        <v>180800.1</v>
      </c>
      <c r="N17" s="57" t="str">
        <f>IF($I17="","",SUMIFS(资金流水!$K$5:$K$3032,资金流水!$Q$5:$Q$3015,$I17))</f>
        <v/>
      </c>
      <c r="O17" s="25">
        <v>180800</v>
      </c>
      <c r="P17" s="57">
        <f t="shared" si="2"/>
        <v>0.1</v>
      </c>
      <c r="Q17" s="58" t="str">
        <f t="shared" si="3"/>
        <v>部分收款</v>
      </c>
      <c r="R17" s="54">
        <f t="shared" si="4"/>
        <v>202602</v>
      </c>
      <c r="S17" s="56">
        <f ca="1" t="shared" si="5"/>
        <v>217</v>
      </c>
      <c r="T17" s="10"/>
    </row>
    <row r="18" spans="1:20">
      <c r="A18" s="56">
        <f>IF($B18="","",COUNTA($B$5:$B18))</f>
        <v>14</v>
      </c>
      <c r="B18" s="89">
        <v>46093</v>
      </c>
      <c r="C18" s="46" t="s">
        <v>77</v>
      </c>
      <c r="D18" s="56" t="str">
        <f>IFERROR(INDEX(基础资料!$C$4:$C$11,MATCH($C18,基础资料!$A$4:$A$11,0)),"")</f>
        <v>一般纳税人</v>
      </c>
      <c r="E18" s="39" t="s">
        <v>94</v>
      </c>
      <c r="F18" s="90" t="s">
        <v>160</v>
      </c>
      <c r="G18" s="91" t="s">
        <v>353</v>
      </c>
      <c r="H18" s="39"/>
      <c r="I18" s="10"/>
      <c r="J18" s="90">
        <v>257180</v>
      </c>
      <c r="K18" s="88">
        <v>0.06</v>
      </c>
      <c r="L18" s="57">
        <f t="shared" si="0"/>
        <v>15430.8</v>
      </c>
      <c r="M18" s="57">
        <f t="shared" si="1"/>
        <v>272610.8</v>
      </c>
      <c r="N18" s="57" t="str">
        <f>IF($I18="","",SUMIFS(资金流水!$K$5:$K$3032,资金流水!$Q$5:$Q$3015,$I18))</f>
        <v/>
      </c>
      <c r="O18" s="25">
        <v>272610</v>
      </c>
      <c r="P18" s="57">
        <f t="shared" si="2"/>
        <v>0.8</v>
      </c>
      <c r="Q18" s="58" t="str">
        <f t="shared" si="3"/>
        <v>部分收款</v>
      </c>
      <c r="R18" s="54">
        <f t="shared" si="4"/>
        <v>202603</v>
      </c>
      <c r="S18" s="56">
        <f ca="1" t="shared" si="5"/>
        <v>184</v>
      </c>
      <c r="T18" s="10"/>
    </row>
    <row r="19" spans="1:20">
      <c r="A19" s="56">
        <f>IF($B19="","",COUNTA($B$5:$B19))</f>
        <v>15</v>
      </c>
      <c r="B19" s="89">
        <v>46094</v>
      </c>
      <c r="C19" s="46" t="s">
        <v>77</v>
      </c>
      <c r="D19" s="56" t="str">
        <f>IFERROR(INDEX(基础资料!$C$4:$C$11,MATCH($C19,基础资料!$A$4:$A$11,0)),"")</f>
        <v>一般纳税人</v>
      </c>
      <c r="E19" s="39" t="s">
        <v>94</v>
      </c>
      <c r="F19" s="69" t="s">
        <v>160</v>
      </c>
      <c r="G19" s="69" t="s">
        <v>418</v>
      </c>
      <c r="H19" s="39"/>
      <c r="I19" s="10"/>
      <c r="J19" s="69">
        <v>376000</v>
      </c>
      <c r="K19" s="88">
        <v>0.06</v>
      </c>
      <c r="L19" s="57">
        <f t="shared" si="0"/>
        <v>22560</v>
      </c>
      <c r="M19" s="57">
        <f t="shared" si="1"/>
        <v>398560</v>
      </c>
      <c r="N19" s="57" t="str">
        <f>IF($I19="","",SUMIFS(资金流水!$K$5:$K$3032,资金流水!$Q$5:$Q$3015,$I19))</f>
        <v/>
      </c>
      <c r="O19" s="25">
        <v>398560</v>
      </c>
      <c r="P19" s="57">
        <f t="shared" si="2"/>
        <v>0</v>
      </c>
      <c r="Q19" s="58" t="str">
        <f t="shared" si="3"/>
        <v>已收齐</v>
      </c>
      <c r="R19" s="54">
        <f t="shared" si="4"/>
        <v>202603</v>
      </c>
      <c r="S19" s="56" t="str">
        <f ca="1" t="shared" si="5"/>
        <v/>
      </c>
      <c r="T19" s="10"/>
    </row>
    <row r="20" spans="1:20">
      <c r="A20" s="56">
        <f>IF($B20="","",COUNTA($B$5:$B20))</f>
        <v>16</v>
      </c>
      <c r="B20" s="89">
        <v>46095</v>
      </c>
      <c r="C20" s="46" t="s">
        <v>77</v>
      </c>
      <c r="D20" s="56" t="str">
        <f>IFERROR(INDEX(基础资料!$C$4:$C$11,MATCH($C20,基础资料!$A$4:$A$11,0)),"")</f>
        <v>一般纳税人</v>
      </c>
      <c r="E20" s="39" t="s">
        <v>94</v>
      </c>
      <c r="F20" s="90" t="s">
        <v>181</v>
      </c>
      <c r="G20" s="69" t="s">
        <v>180</v>
      </c>
      <c r="H20" s="39"/>
      <c r="I20" s="10"/>
      <c r="J20" s="90">
        <v>168143.36</v>
      </c>
      <c r="K20" s="88">
        <v>0.13</v>
      </c>
      <c r="L20" s="57">
        <f t="shared" si="0"/>
        <v>21858.64</v>
      </c>
      <c r="M20" s="57">
        <f t="shared" si="1"/>
        <v>190002</v>
      </c>
      <c r="N20" s="57" t="str">
        <f>IF($I20="","",SUMIFS(资金流水!$K$5:$K$3032,资金流水!$Q$5:$Q$3015,$I20))</f>
        <v/>
      </c>
      <c r="O20" s="25">
        <v>190002</v>
      </c>
      <c r="P20" s="57">
        <f t="shared" si="2"/>
        <v>0</v>
      </c>
      <c r="Q20" s="58" t="str">
        <f t="shared" si="3"/>
        <v>已收齐</v>
      </c>
      <c r="R20" s="54">
        <f t="shared" si="4"/>
        <v>202603</v>
      </c>
      <c r="S20" s="56" t="str">
        <f ca="1" t="shared" si="5"/>
        <v/>
      </c>
      <c r="T20" s="10"/>
    </row>
    <row r="21" spans="1:20">
      <c r="A21" s="56">
        <f>IF($B21="","",COUNTA($B$5:$B21))</f>
        <v>17</v>
      </c>
      <c r="B21" s="89">
        <v>46098</v>
      </c>
      <c r="C21" s="46" t="s">
        <v>77</v>
      </c>
      <c r="D21" s="56" t="str">
        <f>IFERROR(INDEX(基础资料!$C$4:$C$11,MATCH($C21,基础资料!$A$4:$A$11,0)),"")</f>
        <v>一般纳税人</v>
      </c>
      <c r="E21" s="39" t="s">
        <v>94</v>
      </c>
      <c r="F21" s="90" t="s">
        <v>160</v>
      </c>
      <c r="G21" s="69" t="s">
        <v>355</v>
      </c>
      <c r="H21" s="39"/>
      <c r="I21" s="10"/>
      <c r="J21" s="90">
        <v>242000</v>
      </c>
      <c r="K21" s="88">
        <v>0.13</v>
      </c>
      <c r="L21" s="57">
        <f t="shared" si="0"/>
        <v>31460</v>
      </c>
      <c r="M21" s="57">
        <f t="shared" si="1"/>
        <v>273460</v>
      </c>
      <c r="N21" s="57" t="str">
        <f>IF($I21="","",SUMIFS(资金流水!$K$5:$K$3032,资金流水!$Q$5:$Q$3015,$I21))</f>
        <v/>
      </c>
      <c r="O21" s="25">
        <v>273460</v>
      </c>
      <c r="P21" s="57">
        <f t="shared" si="2"/>
        <v>0</v>
      </c>
      <c r="Q21" s="58" t="str">
        <f t="shared" si="3"/>
        <v>已收齐</v>
      </c>
      <c r="R21" s="54">
        <f t="shared" si="4"/>
        <v>202603</v>
      </c>
      <c r="S21" s="56" t="str">
        <f ca="1" t="shared" si="5"/>
        <v/>
      </c>
      <c r="T21" s="10"/>
    </row>
    <row r="22" spans="1:20">
      <c r="A22" s="56">
        <f>IF($B22="","",COUNTA($B$5:$B22))</f>
        <v>18</v>
      </c>
      <c r="B22" s="89">
        <v>46092</v>
      </c>
      <c r="C22" s="62" t="s">
        <v>137</v>
      </c>
      <c r="D22" s="56" t="str">
        <f>IFERROR(INDEX(基础资料!$C$4:$C$11,MATCH($C22,基础资料!$A$4:$A$11,0)),"")</f>
        <v>小规模纳税人</v>
      </c>
      <c r="E22" s="39" t="s">
        <v>109</v>
      </c>
      <c r="F22" s="69" t="s">
        <v>370</v>
      </c>
      <c r="G22" s="69" t="s">
        <v>419</v>
      </c>
      <c r="H22" s="39"/>
      <c r="I22" s="10"/>
      <c r="J22" s="69">
        <v>2913.84</v>
      </c>
      <c r="K22" s="88">
        <v>0.01</v>
      </c>
      <c r="L22" s="57">
        <f t="shared" si="0"/>
        <v>29.14</v>
      </c>
      <c r="M22" s="57">
        <f t="shared" si="1"/>
        <v>2942.98</v>
      </c>
      <c r="N22" s="57" t="str">
        <f>IF($I22="","",SUMIFS(资金流水!$K$5:$K$3032,资金流水!$Q$5:$Q$3015,$I22))</f>
        <v/>
      </c>
      <c r="O22" s="25">
        <v>2942.98</v>
      </c>
      <c r="P22" s="57">
        <f t="shared" si="2"/>
        <v>0</v>
      </c>
      <c r="Q22" s="58" t="str">
        <f t="shared" si="3"/>
        <v>已收齐</v>
      </c>
      <c r="R22" s="54">
        <f t="shared" si="4"/>
        <v>202603</v>
      </c>
      <c r="S22" s="56" t="str">
        <f ca="1" t="shared" si="5"/>
        <v/>
      </c>
      <c r="T22" s="10"/>
    </row>
    <row r="23" spans="1:20">
      <c r="A23" s="56">
        <f>IF($B23="","",COUNTA($B$5:$B23))</f>
        <v>19</v>
      </c>
      <c r="B23" s="89">
        <v>46092</v>
      </c>
      <c r="C23" s="62" t="s">
        <v>137</v>
      </c>
      <c r="D23" s="56" t="str">
        <f>IFERROR(INDEX(基础资料!$C$4:$C$11,MATCH($C23,基础资料!$A$4:$A$11,0)),"")</f>
        <v>小规模纳税人</v>
      </c>
      <c r="E23" s="39" t="s">
        <v>109</v>
      </c>
      <c r="F23" s="69" t="s">
        <v>370</v>
      </c>
      <c r="G23" s="69" t="s">
        <v>419</v>
      </c>
      <c r="H23" s="39"/>
      <c r="I23" s="10"/>
      <c r="J23" s="90">
        <v>4963.37</v>
      </c>
      <c r="K23" s="88">
        <v>0.01</v>
      </c>
      <c r="L23" s="57">
        <f t="shared" si="0"/>
        <v>49.63</v>
      </c>
      <c r="M23" s="57">
        <f t="shared" si="1"/>
        <v>5013</v>
      </c>
      <c r="N23" s="57" t="str">
        <f>IF($I23="","",SUMIFS(资金流水!$K$5:$K$3032,资金流水!$Q$5:$Q$3015,$I23))</f>
        <v/>
      </c>
      <c r="O23" s="25">
        <v>5013</v>
      </c>
      <c r="P23" s="57">
        <f t="shared" si="2"/>
        <v>0</v>
      </c>
      <c r="Q23" s="58" t="str">
        <f t="shared" si="3"/>
        <v>已收齐</v>
      </c>
      <c r="R23" s="54">
        <f t="shared" si="4"/>
        <v>202603</v>
      </c>
      <c r="S23" s="56" t="str">
        <f ca="1" t="shared" si="5"/>
        <v/>
      </c>
      <c r="T23" s="10"/>
    </row>
    <row r="24" spans="1:20">
      <c r="A24" s="56">
        <f>IF($B24="","",COUNTA($B$5:$B24))</f>
        <v>20</v>
      </c>
      <c r="B24" s="92">
        <v>46098</v>
      </c>
      <c r="C24" s="62" t="s">
        <v>137</v>
      </c>
      <c r="D24" s="56" t="str">
        <f>IFERROR(INDEX(基础资料!$C$4:$C$11,MATCH($C24,基础资料!$A$4:$A$11,0)),"")</f>
        <v>小规模纳税人</v>
      </c>
      <c r="E24" s="39" t="s">
        <v>109</v>
      </c>
      <c r="F24" s="90" t="s">
        <v>224</v>
      </c>
      <c r="G24" s="69" t="s">
        <v>420</v>
      </c>
      <c r="H24" s="39"/>
      <c r="I24" s="10"/>
      <c r="J24" s="90">
        <v>42574.26</v>
      </c>
      <c r="K24" s="88">
        <v>0.01</v>
      </c>
      <c r="L24" s="57">
        <f t="shared" si="0"/>
        <v>425.74</v>
      </c>
      <c r="M24" s="57">
        <f t="shared" si="1"/>
        <v>43000</v>
      </c>
      <c r="N24" s="57" t="str">
        <f>IF($I24="","",SUMIFS(资金流水!$K$5:$K$3032,资金流水!$Q$5:$Q$3015,$I24))</f>
        <v/>
      </c>
      <c r="O24" s="25">
        <v>43000</v>
      </c>
      <c r="P24" s="57">
        <f t="shared" si="2"/>
        <v>0</v>
      </c>
      <c r="Q24" s="58" t="str">
        <f t="shared" si="3"/>
        <v>已收齐</v>
      </c>
      <c r="R24" s="54">
        <f t="shared" si="4"/>
        <v>202603</v>
      </c>
      <c r="S24" s="56" t="str">
        <f ca="1" t="shared" si="5"/>
        <v/>
      </c>
      <c r="T24" s="10"/>
    </row>
    <row r="25" spans="1:20">
      <c r="A25" s="56">
        <f>IF($B25="","",COUNTA($B$5:$B25))</f>
        <v>21</v>
      </c>
      <c r="B25" s="92">
        <v>46104</v>
      </c>
      <c r="C25" s="62" t="s">
        <v>137</v>
      </c>
      <c r="D25" s="56" t="str">
        <f>IFERROR(INDEX(基础资料!$C$4:$C$11,MATCH($C25,基础资料!$A$4:$A$11,0)),"")</f>
        <v>小规模纳税人</v>
      </c>
      <c r="E25" s="39" t="s">
        <v>109</v>
      </c>
      <c r="F25" s="90" t="s">
        <v>421</v>
      </c>
      <c r="G25" s="69" t="s">
        <v>422</v>
      </c>
      <c r="H25" s="39"/>
      <c r="I25" s="10"/>
      <c r="J25" s="90">
        <v>127722.77</v>
      </c>
      <c r="K25" s="88">
        <v>0.01</v>
      </c>
      <c r="L25" s="57">
        <f t="shared" si="0"/>
        <v>1277.23</v>
      </c>
      <c r="M25" s="57">
        <f t="shared" si="1"/>
        <v>129000</v>
      </c>
      <c r="N25" s="57" t="str">
        <f>IF($I25="","",SUMIFS(资金流水!$K$5:$K$3032,资金流水!$Q$5:$Q$3015,$I25))</f>
        <v/>
      </c>
      <c r="O25" s="25">
        <v>129000</v>
      </c>
      <c r="P25" s="57">
        <f t="shared" si="2"/>
        <v>0</v>
      </c>
      <c r="Q25" s="58" t="str">
        <f t="shared" si="3"/>
        <v>已收齐</v>
      </c>
      <c r="R25" s="54">
        <f t="shared" si="4"/>
        <v>202603</v>
      </c>
      <c r="S25" s="56" t="str">
        <f ca="1" t="shared" si="5"/>
        <v/>
      </c>
      <c r="T25" s="10"/>
    </row>
    <row r="26" spans="1:20">
      <c r="A26" s="56">
        <f>IF($B26="","",COUNTA($B$5:$B26))</f>
        <v>22</v>
      </c>
      <c r="B26" s="89">
        <v>46108</v>
      </c>
      <c r="C26" s="62" t="s">
        <v>137</v>
      </c>
      <c r="D26" s="56" t="str">
        <f>IFERROR(INDEX(基础资料!$C$4:$C$11,MATCH($C26,基础资料!$A$4:$A$11,0)),"")</f>
        <v>小规模纳税人</v>
      </c>
      <c r="E26" s="39" t="s">
        <v>109</v>
      </c>
      <c r="F26" s="90" t="s">
        <v>224</v>
      </c>
      <c r="G26" s="69" t="s">
        <v>423</v>
      </c>
      <c r="H26" s="39"/>
      <c r="I26" s="10"/>
      <c r="J26" s="90">
        <v>2732.67</v>
      </c>
      <c r="K26" s="88">
        <v>0.01</v>
      </c>
      <c r="L26" s="57">
        <f t="shared" si="0"/>
        <v>27.33</v>
      </c>
      <c r="M26" s="57">
        <f t="shared" si="1"/>
        <v>2760</v>
      </c>
      <c r="N26" s="57" t="str">
        <f>IF($I26="","",SUMIFS(资金流水!$K$5:$K$3032,资金流水!$Q$5:$Q$3015,$I26))</f>
        <v/>
      </c>
      <c r="O26" s="25">
        <v>2760</v>
      </c>
      <c r="P26" s="57">
        <f t="shared" si="2"/>
        <v>0</v>
      </c>
      <c r="Q26" s="58" t="str">
        <f t="shared" si="3"/>
        <v>已收齐</v>
      </c>
      <c r="R26" s="54">
        <f t="shared" si="4"/>
        <v>202603</v>
      </c>
      <c r="S26" s="56" t="str">
        <f ca="1" t="shared" si="5"/>
        <v/>
      </c>
      <c r="T26" s="10"/>
    </row>
    <row r="27" spans="1:20">
      <c r="A27" s="56">
        <f>IF($B27="","",COUNTA($B$5:$B27))</f>
        <v>23</v>
      </c>
      <c r="B27" s="89">
        <v>46121</v>
      </c>
      <c r="C27" s="62" t="s">
        <v>77</v>
      </c>
      <c r="D27" s="56" t="str">
        <f>IFERROR(INDEX(基础资料!$C$4:$C$11,MATCH($C27,基础资料!$A$4:$A$11,0)),"")</f>
        <v>一般纳税人</v>
      </c>
      <c r="E27" s="39" t="s">
        <v>94</v>
      </c>
      <c r="F27" s="90" t="s">
        <v>357</v>
      </c>
      <c r="G27" s="69" t="s">
        <v>424</v>
      </c>
      <c r="H27" s="39"/>
      <c r="I27" s="10"/>
      <c r="J27" s="90">
        <v>406097.34</v>
      </c>
      <c r="K27" s="88">
        <v>0.13</v>
      </c>
      <c r="L27" s="57">
        <f t="shared" si="0"/>
        <v>52792.65</v>
      </c>
      <c r="M27" s="57">
        <f t="shared" si="1"/>
        <v>458889.99</v>
      </c>
      <c r="N27" s="57" t="str">
        <f>IF($I27="","",SUMIFS(资金流水!$K$5:$K$3032,资金流水!$Q$5:$Q$3015,$I27))</f>
        <v/>
      </c>
      <c r="O27" s="25">
        <v>458889.99</v>
      </c>
      <c r="P27" s="57">
        <f t="shared" si="2"/>
        <v>0</v>
      </c>
      <c r="Q27" s="58" t="str">
        <f t="shared" si="3"/>
        <v>已收齐</v>
      </c>
      <c r="R27" s="54">
        <f t="shared" si="4"/>
        <v>202604</v>
      </c>
      <c r="S27" s="56" t="str">
        <f ca="1" t="shared" si="5"/>
        <v/>
      </c>
      <c r="T27" s="10"/>
    </row>
    <row r="28" spans="1:20">
      <c r="A28" s="56">
        <f>IF($B28="","",COUNTA($B$5:$B28))</f>
        <v>24</v>
      </c>
      <c r="B28" s="89">
        <v>46125</v>
      </c>
      <c r="C28" s="62" t="s">
        <v>77</v>
      </c>
      <c r="D28" s="56" t="str">
        <f>IFERROR(INDEX(基础资料!$C$4:$C$11,MATCH($C28,基础资料!$A$4:$A$11,0)),"")</f>
        <v>一般纳税人</v>
      </c>
      <c r="E28" s="39" t="s">
        <v>94</v>
      </c>
      <c r="F28" s="90" t="s">
        <v>160</v>
      </c>
      <c r="G28" s="69" t="s">
        <v>190</v>
      </c>
      <c r="H28" s="39"/>
      <c r="I28" s="10"/>
      <c r="J28" s="90">
        <v>23776.11</v>
      </c>
      <c r="K28" s="88">
        <v>0.13</v>
      </c>
      <c r="L28" s="57">
        <f t="shared" si="0"/>
        <v>3090.89</v>
      </c>
      <c r="M28" s="57">
        <f t="shared" si="1"/>
        <v>26867</v>
      </c>
      <c r="N28" s="57" t="str">
        <f>IF($I28="","",SUMIFS(资金流水!$K$5:$K$3032,资金流水!$Q$5:$Q$3015,$I28))</f>
        <v/>
      </c>
      <c r="O28" s="25">
        <v>26867</v>
      </c>
      <c r="P28" s="57">
        <f t="shared" si="2"/>
        <v>0</v>
      </c>
      <c r="Q28" s="58" t="str">
        <f t="shared" si="3"/>
        <v>已收齐</v>
      </c>
      <c r="R28" s="54">
        <f t="shared" si="4"/>
        <v>202604</v>
      </c>
      <c r="S28" s="56" t="str">
        <f ca="1" t="shared" si="5"/>
        <v/>
      </c>
      <c r="T28" s="10"/>
    </row>
    <row r="29" spans="1:20">
      <c r="A29" s="56">
        <f>IF($B29="","",COUNTA($B$5:$B29))</f>
        <v>25</v>
      </c>
      <c r="B29" s="89">
        <v>46126</v>
      </c>
      <c r="C29" s="62" t="s">
        <v>77</v>
      </c>
      <c r="D29" s="56" t="str">
        <f>IFERROR(INDEX(基础资料!$C$4:$C$11,MATCH($C29,基础资料!$A$4:$A$11,0)),"")</f>
        <v>一般纳税人</v>
      </c>
      <c r="E29" s="39" t="s">
        <v>94</v>
      </c>
      <c r="F29" s="90" t="s">
        <v>160</v>
      </c>
      <c r="G29" s="69" t="s">
        <v>425</v>
      </c>
      <c r="H29" s="39"/>
      <c r="I29" s="10"/>
      <c r="J29" s="69">
        <v>330000</v>
      </c>
      <c r="K29" s="88">
        <v>0.06</v>
      </c>
      <c r="L29" s="57">
        <f t="shared" si="0"/>
        <v>19800</v>
      </c>
      <c r="M29" s="57">
        <f t="shared" si="1"/>
        <v>349800</v>
      </c>
      <c r="N29" s="57" t="str">
        <f>IF($I29="","",SUMIFS(资金流水!$K$5:$K$3032,资金流水!$Q$5:$Q$3015,$I29))</f>
        <v/>
      </c>
      <c r="O29" s="25">
        <v>349800</v>
      </c>
      <c r="P29" s="57">
        <f t="shared" si="2"/>
        <v>0</v>
      </c>
      <c r="Q29" s="58" t="str">
        <f t="shared" si="3"/>
        <v>已收齐</v>
      </c>
      <c r="R29" s="54">
        <f t="shared" si="4"/>
        <v>202604</v>
      </c>
      <c r="S29" s="56" t="str">
        <f ca="1" t="shared" si="5"/>
        <v/>
      </c>
      <c r="T29" s="10"/>
    </row>
    <row r="30" spans="1:20">
      <c r="A30" s="56">
        <f>IF($B30="","",COUNTA($B$5:$B30))</f>
        <v>26</v>
      </c>
      <c r="B30" s="89">
        <v>46126</v>
      </c>
      <c r="C30" s="62" t="s">
        <v>77</v>
      </c>
      <c r="D30" s="56" t="str">
        <f>IFERROR(INDEX(基础资料!$C$4:$C$11,MATCH($C30,基础资料!$A$4:$A$11,0)),"")</f>
        <v>一般纳税人</v>
      </c>
      <c r="E30" s="39" t="s">
        <v>94</v>
      </c>
      <c r="F30" s="90" t="s">
        <v>160</v>
      </c>
      <c r="G30" s="69" t="s">
        <v>426</v>
      </c>
      <c r="H30" s="39"/>
      <c r="I30" s="10"/>
      <c r="J30" s="69">
        <v>142000</v>
      </c>
      <c r="K30" s="88">
        <v>0.13</v>
      </c>
      <c r="L30" s="57">
        <f t="shared" si="0"/>
        <v>18460</v>
      </c>
      <c r="M30" s="57">
        <f t="shared" si="1"/>
        <v>160460</v>
      </c>
      <c r="N30" s="57" t="str">
        <f>IF($I30="","",SUMIFS(资金流水!$K$5:$K$3032,资金流水!$Q$5:$Q$3015,$I30))</f>
        <v/>
      </c>
      <c r="O30" s="25"/>
      <c r="P30" s="57">
        <f t="shared" si="2"/>
        <v>160460</v>
      </c>
      <c r="Q30" s="58" t="str">
        <f t="shared" si="3"/>
        <v>未收款</v>
      </c>
      <c r="R30" s="54">
        <f t="shared" si="4"/>
        <v>202604</v>
      </c>
      <c r="S30" s="56">
        <f ca="1" t="shared" si="5"/>
        <v>151</v>
      </c>
      <c r="T30" s="10"/>
    </row>
    <row r="31" spans="1:20">
      <c r="A31" s="56">
        <f>IF($B31="","",COUNTA($B$5:$B31))</f>
        <v>27</v>
      </c>
      <c r="B31" s="89">
        <v>46126</v>
      </c>
      <c r="C31" s="62" t="s">
        <v>77</v>
      </c>
      <c r="D31" s="56" t="str">
        <f>IFERROR(INDEX(基础资料!$C$4:$C$11,MATCH($C31,基础资料!$A$4:$A$11,0)),"")</f>
        <v>一般纳税人</v>
      </c>
      <c r="E31" s="39" t="s">
        <v>94</v>
      </c>
      <c r="F31" s="90" t="s">
        <v>160</v>
      </c>
      <c r="G31" s="69" t="s">
        <v>426</v>
      </c>
      <c r="H31" s="39"/>
      <c r="I31" s="10"/>
      <c r="J31" s="90">
        <v>117831.13</v>
      </c>
      <c r="K31" s="88">
        <v>0.06</v>
      </c>
      <c r="L31" s="57">
        <f t="shared" si="0"/>
        <v>7069.87</v>
      </c>
      <c r="M31" s="57">
        <f t="shared" si="1"/>
        <v>124901</v>
      </c>
      <c r="N31" s="57" t="str">
        <f>IF($I31="","",SUMIFS(资金流水!$K$5:$K$3032,资金流水!$Q$5:$Q$3015,$I31))</f>
        <v/>
      </c>
      <c r="O31" s="25">
        <v>124901</v>
      </c>
      <c r="P31" s="57">
        <f t="shared" si="2"/>
        <v>0</v>
      </c>
      <c r="Q31" s="58" t="str">
        <f t="shared" si="3"/>
        <v>已收齐</v>
      </c>
      <c r="R31" s="54">
        <f t="shared" si="4"/>
        <v>202604</v>
      </c>
      <c r="S31" s="56" t="str">
        <f ca="1" t="shared" si="5"/>
        <v/>
      </c>
      <c r="T31" s="10"/>
    </row>
    <row r="32" spans="1:20">
      <c r="A32" s="56">
        <f>IF($B32="","",COUNTA($B$5:$B32))</f>
        <v>28</v>
      </c>
      <c r="B32" s="89">
        <v>46132</v>
      </c>
      <c r="C32" s="62" t="s">
        <v>77</v>
      </c>
      <c r="D32" s="56" t="str">
        <f>IFERROR(INDEX(基础资料!$C$4:$C$11,MATCH($C32,基础资料!$A$4:$A$11,0)),"")</f>
        <v>一般纳税人</v>
      </c>
      <c r="E32" s="39" t="s">
        <v>94</v>
      </c>
      <c r="F32" s="90" t="s">
        <v>427</v>
      </c>
      <c r="G32" s="93" t="s">
        <v>428</v>
      </c>
      <c r="H32" s="39"/>
      <c r="I32" s="10"/>
      <c r="J32" s="90">
        <v>621592.92</v>
      </c>
      <c r="K32" s="88">
        <v>0.13</v>
      </c>
      <c r="L32" s="57">
        <f t="shared" si="0"/>
        <v>80807.08</v>
      </c>
      <c r="M32" s="57">
        <f t="shared" si="1"/>
        <v>702400</v>
      </c>
      <c r="N32" s="57" t="str">
        <f>IF($I32="","",SUMIFS(资金流水!$K$5:$K$3032,资金流水!$Q$5:$Q$3015,$I32))</f>
        <v/>
      </c>
      <c r="O32" s="25">
        <v>702400</v>
      </c>
      <c r="P32" s="57">
        <f t="shared" si="2"/>
        <v>0</v>
      </c>
      <c r="Q32" s="58" t="str">
        <f t="shared" si="3"/>
        <v>已收齐</v>
      </c>
      <c r="R32" s="54">
        <f t="shared" si="4"/>
        <v>202604</v>
      </c>
      <c r="S32" s="56" t="str">
        <f ca="1" t="shared" si="5"/>
        <v/>
      </c>
      <c r="T32" s="10"/>
    </row>
    <row r="33" spans="1:20">
      <c r="A33" s="56">
        <f>IF($B33="","",COUNTA($B$5:$B33))</f>
        <v>29</v>
      </c>
      <c r="B33" s="89">
        <v>46132</v>
      </c>
      <c r="C33" s="62" t="s">
        <v>77</v>
      </c>
      <c r="D33" s="56" t="str">
        <f>IFERROR(INDEX(基础资料!$C$4:$C$11,MATCH($C33,基础资料!$A$4:$A$11,0)),"")</f>
        <v>一般纳税人</v>
      </c>
      <c r="E33" s="39" t="s">
        <v>94</v>
      </c>
      <c r="F33" s="90" t="s">
        <v>427</v>
      </c>
      <c r="G33" s="93" t="s">
        <v>429</v>
      </c>
      <c r="H33" s="39"/>
      <c r="I33" s="10"/>
      <c r="J33" s="90">
        <v>245283.02</v>
      </c>
      <c r="K33" s="88">
        <v>0.06</v>
      </c>
      <c r="L33" s="57">
        <f t="shared" si="0"/>
        <v>14716.98</v>
      </c>
      <c r="M33" s="57">
        <f t="shared" si="1"/>
        <v>260000</v>
      </c>
      <c r="N33" s="57" t="str">
        <f>IF($I33="","",SUMIFS(资金流水!$K$5:$K$3032,资金流水!$Q$5:$Q$3015,$I33))</f>
        <v/>
      </c>
      <c r="O33" s="25">
        <v>260000</v>
      </c>
      <c r="P33" s="57">
        <f t="shared" si="2"/>
        <v>0</v>
      </c>
      <c r="Q33" s="58" t="str">
        <f t="shared" si="3"/>
        <v>已收齐</v>
      </c>
      <c r="R33" s="54">
        <f t="shared" si="4"/>
        <v>202604</v>
      </c>
      <c r="S33" s="56" t="str">
        <f ca="1" t="shared" si="5"/>
        <v/>
      </c>
      <c r="T33" s="10"/>
    </row>
    <row r="34" spans="1:20">
      <c r="A34" s="56">
        <f>IF($B34="","",COUNTA($B$5:$B34))</f>
        <v>30</v>
      </c>
      <c r="B34" s="89">
        <v>46134</v>
      </c>
      <c r="C34" s="46" t="s">
        <v>137</v>
      </c>
      <c r="D34" s="56" t="str">
        <f>IFERROR(INDEX(基础资料!$C$4:$C$11,MATCH($C34,基础资料!$A$4:$A$11,0)),"")</f>
        <v>小规模纳税人</v>
      </c>
      <c r="E34" s="39" t="s">
        <v>109</v>
      </c>
      <c r="F34" s="94" t="s">
        <v>430</v>
      </c>
      <c r="G34" s="69"/>
      <c r="H34" s="39"/>
      <c r="I34" s="10"/>
      <c r="J34" s="94">
        <v>5445.54</v>
      </c>
      <c r="K34" s="88">
        <v>0.01</v>
      </c>
      <c r="L34" s="57">
        <f t="shared" si="0"/>
        <v>54.46</v>
      </c>
      <c r="M34" s="57">
        <f t="shared" si="1"/>
        <v>5500</v>
      </c>
      <c r="N34" s="57" t="str">
        <f>IF($I34="","",SUMIFS(资金流水!$K$5:$K$3032,资金流水!$Q$5:$Q$3015,$I34))</f>
        <v/>
      </c>
      <c r="O34" s="25">
        <v>5500</v>
      </c>
      <c r="P34" s="57">
        <f t="shared" si="2"/>
        <v>0</v>
      </c>
      <c r="Q34" s="58" t="str">
        <f t="shared" si="3"/>
        <v>已收齐</v>
      </c>
      <c r="R34" s="54">
        <f t="shared" si="4"/>
        <v>202604</v>
      </c>
      <c r="S34" s="56" t="str">
        <f ca="1" t="shared" si="5"/>
        <v/>
      </c>
      <c r="T34" s="10"/>
    </row>
    <row r="35" spans="1:20">
      <c r="A35" s="56">
        <f>IF($B35="","",COUNTA($B$5:$B35))</f>
        <v>31</v>
      </c>
      <c r="B35" s="89">
        <v>46134</v>
      </c>
      <c r="C35" s="46" t="s">
        <v>137</v>
      </c>
      <c r="D35" s="56" t="str">
        <f>IFERROR(INDEX(基础资料!$C$4:$C$11,MATCH($C35,基础资料!$A$4:$A$11,0)),"")</f>
        <v>小规模纳税人</v>
      </c>
      <c r="E35" s="39" t="s">
        <v>109</v>
      </c>
      <c r="F35" s="94" t="s">
        <v>430</v>
      </c>
      <c r="G35" s="69"/>
      <c r="H35" s="39"/>
      <c r="I35" s="10"/>
      <c r="J35" s="90">
        <v>2277.23</v>
      </c>
      <c r="K35" s="88">
        <v>0.01</v>
      </c>
      <c r="L35" s="57">
        <f t="shared" si="0"/>
        <v>22.77</v>
      </c>
      <c r="M35" s="57">
        <f t="shared" si="1"/>
        <v>2300</v>
      </c>
      <c r="N35" s="57" t="str">
        <f>IF($I35="","",SUMIFS(资金流水!$K$5:$K$3032,资金流水!$Q$5:$Q$3015,$I35))</f>
        <v/>
      </c>
      <c r="O35" s="25">
        <v>2300</v>
      </c>
      <c r="P35" s="57">
        <f t="shared" si="2"/>
        <v>0</v>
      </c>
      <c r="Q35" s="58" t="str">
        <f t="shared" si="3"/>
        <v>已收齐</v>
      </c>
      <c r="R35" s="54">
        <f t="shared" si="4"/>
        <v>202604</v>
      </c>
      <c r="S35" s="56" t="str">
        <f ca="1" t="shared" si="5"/>
        <v/>
      </c>
      <c r="T35" s="10"/>
    </row>
    <row r="36" spans="1:20">
      <c r="A36" s="56">
        <f>IF($B36="","",COUNTA($B$5:$B36))</f>
        <v>32</v>
      </c>
      <c r="B36" s="89">
        <v>46134</v>
      </c>
      <c r="C36" s="46" t="s">
        <v>137</v>
      </c>
      <c r="D36" s="56" t="str">
        <f>IFERROR(INDEX(基础资料!$C$4:$C$11,MATCH($C36,基础资料!$A$4:$A$11,0)),"")</f>
        <v>小规模纳税人</v>
      </c>
      <c r="E36" s="39" t="s">
        <v>109</v>
      </c>
      <c r="F36" s="94" t="s">
        <v>279</v>
      </c>
      <c r="G36" s="69" t="s">
        <v>372</v>
      </c>
      <c r="H36" s="39"/>
      <c r="I36" s="10"/>
      <c r="J36" s="90">
        <v>25346.53</v>
      </c>
      <c r="K36" s="88">
        <v>0.01</v>
      </c>
      <c r="L36" s="57">
        <f t="shared" si="0"/>
        <v>253.47</v>
      </c>
      <c r="M36" s="57">
        <f t="shared" si="1"/>
        <v>25600</v>
      </c>
      <c r="N36" s="57" t="str">
        <f>IF($I36="","",SUMIFS(资金流水!$K$5:$K$3032,资金流水!$Q$5:$Q$3015,$I36))</f>
        <v/>
      </c>
      <c r="O36" s="25">
        <v>25600</v>
      </c>
      <c r="P36" s="57">
        <f t="shared" si="2"/>
        <v>0</v>
      </c>
      <c r="Q36" s="58" t="str">
        <f t="shared" si="3"/>
        <v>已收齐</v>
      </c>
      <c r="R36" s="54">
        <f t="shared" si="4"/>
        <v>202604</v>
      </c>
      <c r="S36" s="56" t="str">
        <f ca="1" t="shared" si="5"/>
        <v/>
      </c>
      <c r="T36" s="10"/>
    </row>
    <row r="37" spans="1:20">
      <c r="A37" s="56">
        <f>IF($B37="","",COUNTA($B$5:$B37))</f>
        <v>33</v>
      </c>
      <c r="B37" s="89">
        <v>46140</v>
      </c>
      <c r="C37" s="46" t="s">
        <v>137</v>
      </c>
      <c r="D37" s="56" t="str">
        <f>IFERROR(INDEX(基础资料!$C$4:$C$11,MATCH($C37,基础资料!$A$4:$A$11,0)),"")</f>
        <v>小规模纳税人</v>
      </c>
      <c r="E37" s="39" t="s">
        <v>109</v>
      </c>
      <c r="F37" s="69" t="s">
        <v>431</v>
      </c>
      <c r="G37" s="69" t="s">
        <v>228</v>
      </c>
      <c r="H37" s="39"/>
      <c r="I37" s="10"/>
      <c r="J37" s="95">
        <v>24752.48</v>
      </c>
      <c r="K37" s="88">
        <v>0.01</v>
      </c>
      <c r="L37" s="57">
        <f t="shared" si="0"/>
        <v>247.52</v>
      </c>
      <c r="M37" s="57">
        <f t="shared" si="1"/>
        <v>25000</v>
      </c>
      <c r="N37" s="57" t="str">
        <f>IF($I37="","",SUMIFS(资金流水!$K$5:$K$3032,资金流水!$Q$5:$Q$3015,$I37))</f>
        <v/>
      </c>
      <c r="O37" s="25">
        <v>25000</v>
      </c>
      <c r="P37" s="57">
        <f t="shared" si="2"/>
        <v>0</v>
      </c>
      <c r="Q37" s="58" t="str">
        <f t="shared" si="3"/>
        <v>已收齐</v>
      </c>
      <c r="R37" s="54">
        <f t="shared" si="4"/>
        <v>202604</v>
      </c>
      <c r="S37" s="56" t="str">
        <f ca="1" t="shared" si="5"/>
        <v/>
      </c>
      <c r="T37" s="10"/>
    </row>
    <row r="38" spans="1:20">
      <c r="A38" s="56">
        <f>IF($B38="","",COUNTA($B$5:$B38))</f>
        <v>34</v>
      </c>
      <c r="B38" s="89">
        <v>46141</v>
      </c>
      <c r="C38" s="46" t="s">
        <v>137</v>
      </c>
      <c r="D38" s="56" t="str">
        <f>IFERROR(INDEX(基础资料!$C$4:$C$11,MATCH($C38,基础资料!$A$4:$A$11,0)),"")</f>
        <v>小规模纳税人</v>
      </c>
      <c r="E38" s="39" t="s">
        <v>109</v>
      </c>
      <c r="F38" s="94" t="s">
        <v>233</v>
      </c>
      <c r="G38" s="69" t="s">
        <v>232</v>
      </c>
      <c r="H38" s="39"/>
      <c r="I38" s="10"/>
      <c r="J38" s="90">
        <v>19801.98</v>
      </c>
      <c r="K38" s="88">
        <v>0.01</v>
      </c>
      <c r="L38" s="57">
        <f t="shared" si="0"/>
        <v>198.02</v>
      </c>
      <c r="M38" s="57">
        <f t="shared" si="1"/>
        <v>20000</v>
      </c>
      <c r="N38" s="57" t="str">
        <f>IF($I38="","",SUMIFS(资金流水!$K$5:$K$3032,资金流水!$Q$5:$Q$3015,$I38))</f>
        <v/>
      </c>
      <c r="O38" s="25">
        <v>20000</v>
      </c>
      <c r="P38" s="57">
        <f t="shared" si="2"/>
        <v>0</v>
      </c>
      <c r="Q38" s="58" t="str">
        <f t="shared" si="3"/>
        <v>已收齐</v>
      </c>
      <c r="R38" s="54">
        <f t="shared" si="4"/>
        <v>202604</v>
      </c>
      <c r="S38" s="56" t="str">
        <f ca="1" t="shared" si="5"/>
        <v/>
      </c>
      <c r="T38" s="10"/>
    </row>
    <row r="39" spans="1:20">
      <c r="A39" s="56">
        <f>IF($B39="","",COUNTA($B$5:$B39))</f>
        <v>35</v>
      </c>
      <c r="B39" s="89">
        <v>46150</v>
      </c>
      <c r="C39" s="46" t="s">
        <v>77</v>
      </c>
      <c r="D39" s="56" t="str">
        <f>IFERROR(INDEX(基础资料!$C$4:$C$11,MATCH($C39,基础资料!$A$4:$A$11,0)),"")</f>
        <v>一般纳税人</v>
      </c>
      <c r="E39" s="39" t="s">
        <v>94</v>
      </c>
      <c r="F39" s="69" t="s">
        <v>142</v>
      </c>
      <c r="G39" s="94" t="s">
        <v>432</v>
      </c>
      <c r="H39" s="39"/>
      <c r="I39" s="10"/>
      <c r="J39" s="90">
        <v>1135398.23</v>
      </c>
      <c r="K39" s="88">
        <v>0.13</v>
      </c>
      <c r="L39" s="57">
        <f t="shared" si="0"/>
        <v>147601.77</v>
      </c>
      <c r="M39" s="57">
        <f t="shared" si="1"/>
        <v>1283000</v>
      </c>
      <c r="N39" s="57" t="str">
        <f>IF($I39="","",SUMIFS(资金流水!$K$5:$K$3032,资金流水!$Q$5:$Q$3015,$I39))</f>
        <v/>
      </c>
      <c r="O39" s="25">
        <v>1283000</v>
      </c>
      <c r="P39" s="57">
        <f t="shared" si="2"/>
        <v>0</v>
      </c>
      <c r="Q39" s="58" t="str">
        <f t="shared" si="3"/>
        <v>已收齐</v>
      </c>
      <c r="R39" s="54">
        <f t="shared" si="4"/>
        <v>202605</v>
      </c>
      <c r="S39" s="56" t="str">
        <f ca="1" t="shared" si="5"/>
        <v/>
      </c>
      <c r="T39" s="10"/>
    </row>
    <row r="40" spans="1:20">
      <c r="A40" s="56">
        <f>IF($B40="","",COUNTA($B$5:$B40))</f>
        <v>36</v>
      </c>
      <c r="B40" s="89">
        <v>46162</v>
      </c>
      <c r="C40" s="46" t="s">
        <v>77</v>
      </c>
      <c r="D40" s="56" t="str">
        <f>IFERROR(INDEX(基础资料!$C$4:$C$11,MATCH($C40,基础资料!$A$4:$A$11,0)),"")</f>
        <v>一般纳税人</v>
      </c>
      <c r="E40" s="39" t="s">
        <v>94</v>
      </c>
      <c r="F40" s="94" t="s">
        <v>357</v>
      </c>
      <c r="G40" s="94" t="s">
        <v>433</v>
      </c>
      <c r="H40" s="39"/>
      <c r="I40" s="10"/>
      <c r="J40" s="94">
        <v>4141829.9</v>
      </c>
      <c r="K40" s="88">
        <v>0.13</v>
      </c>
      <c r="L40" s="57">
        <f t="shared" si="0"/>
        <v>538437.89</v>
      </c>
      <c r="M40" s="57">
        <f t="shared" si="1"/>
        <v>4680267.79</v>
      </c>
      <c r="N40" s="57" t="str">
        <f>IF($I40="","",SUMIFS(资金流水!$K$5:$K$3032,资金流水!$Q$5:$Q$3015,$I40))</f>
        <v/>
      </c>
      <c r="O40" s="25">
        <v>4680267.79</v>
      </c>
      <c r="P40" s="57">
        <f t="shared" si="2"/>
        <v>0</v>
      </c>
      <c r="Q40" s="58" t="str">
        <f t="shared" si="3"/>
        <v>已收齐</v>
      </c>
      <c r="R40" s="54">
        <f t="shared" si="4"/>
        <v>202605</v>
      </c>
      <c r="S40" s="56" t="str">
        <f ca="1" t="shared" si="5"/>
        <v/>
      </c>
      <c r="T40" s="10"/>
    </row>
    <row r="41" spans="1:20">
      <c r="A41" s="56">
        <f>IF($B41="","",COUNTA($B$5:$B41))</f>
        <v>37</v>
      </c>
      <c r="B41" s="89">
        <v>46148</v>
      </c>
      <c r="C41" s="46" t="s">
        <v>127</v>
      </c>
      <c r="D41" s="56" t="str">
        <f>IFERROR(INDEX(基础资料!$C$4:$C$11,MATCH($C41,基础资料!$A$4:$A$11,0)),"")</f>
        <v>小规模纳税人</v>
      </c>
      <c r="E41" s="39" t="s">
        <v>109</v>
      </c>
      <c r="F41" s="94" t="s">
        <v>219</v>
      </c>
      <c r="G41" s="69" t="s">
        <v>218</v>
      </c>
      <c r="H41" s="39"/>
      <c r="I41" s="10"/>
      <c r="J41" s="94">
        <v>160539.42</v>
      </c>
      <c r="K41" s="88">
        <v>0.01</v>
      </c>
      <c r="L41" s="57">
        <f t="shared" si="0"/>
        <v>1605.39</v>
      </c>
      <c r="M41" s="57">
        <f t="shared" si="1"/>
        <v>162144.81</v>
      </c>
      <c r="N41" s="57" t="str">
        <f>IF($I41="","",SUMIFS(资金流水!$K$5:$K$3032,资金流水!$Q$5:$Q$3015,$I41))</f>
        <v/>
      </c>
      <c r="O41" s="25">
        <v>162144.81</v>
      </c>
      <c r="P41" s="57">
        <f t="shared" si="2"/>
        <v>0</v>
      </c>
      <c r="Q41" s="58" t="str">
        <f t="shared" si="3"/>
        <v>已收齐</v>
      </c>
      <c r="R41" s="54">
        <f t="shared" si="4"/>
        <v>202605</v>
      </c>
      <c r="S41" s="56" t="str">
        <f ca="1" t="shared" si="5"/>
        <v/>
      </c>
      <c r="T41" s="10"/>
    </row>
    <row r="42" spans="1:20">
      <c r="A42" s="56">
        <f>IF($B42="","",COUNTA($B$5:$B42))</f>
        <v>38</v>
      </c>
      <c r="B42" s="89">
        <v>46148</v>
      </c>
      <c r="C42" s="46" t="s">
        <v>137</v>
      </c>
      <c r="D42" s="56" t="str">
        <f>IFERROR(INDEX(基础资料!$C$4:$C$11,MATCH($C42,基础资料!$A$4:$A$11,0)),"")</f>
        <v>小规模纳税人</v>
      </c>
      <c r="E42" s="39" t="s">
        <v>109</v>
      </c>
      <c r="F42" s="94" t="s">
        <v>279</v>
      </c>
      <c r="G42" s="94" t="s">
        <v>278</v>
      </c>
      <c r="H42" s="39"/>
      <c r="I42" s="10"/>
      <c r="J42" s="94">
        <v>44554.47</v>
      </c>
      <c r="K42" s="88">
        <v>0.01</v>
      </c>
      <c r="L42" s="57">
        <f t="shared" si="0"/>
        <v>445.54</v>
      </c>
      <c r="M42" s="57">
        <f t="shared" si="1"/>
        <v>45000.01</v>
      </c>
      <c r="N42" s="57" t="str">
        <f>IF($I42="","",SUMIFS(资金流水!$K$5:$K$3032,资金流水!$Q$5:$Q$3015,$I42))</f>
        <v/>
      </c>
      <c r="O42" s="25">
        <v>162144.81</v>
      </c>
      <c r="P42" s="57">
        <f t="shared" si="2"/>
        <v>-117144.8</v>
      </c>
      <c r="Q42" s="58" t="str">
        <f t="shared" si="3"/>
        <v>已收齐</v>
      </c>
      <c r="R42" s="54">
        <f t="shared" si="4"/>
        <v>202605</v>
      </c>
      <c r="S42" s="56" t="str">
        <f ca="1" t="shared" si="5"/>
        <v/>
      </c>
      <c r="T42" s="10"/>
    </row>
    <row r="43" spans="1:20">
      <c r="A43" s="56">
        <f>IF($B43="","",COUNTA($B$5:$B43))</f>
        <v>39</v>
      </c>
      <c r="B43" s="89">
        <v>46148</v>
      </c>
      <c r="C43" s="46" t="s">
        <v>137</v>
      </c>
      <c r="D43" s="56" t="str">
        <f>IFERROR(INDEX(基础资料!$C$4:$C$11,MATCH($C43,基础资料!$A$4:$A$11,0)),"")</f>
        <v>小规模纳税人</v>
      </c>
      <c r="E43" s="39" t="s">
        <v>109</v>
      </c>
      <c r="F43" s="94" t="s">
        <v>279</v>
      </c>
      <c r="G43" s="69" t="s">
        <v>434</v>
      </c>
      <c r="H43" s="39"/>
      <c r="I43" s="10"/>
      <c r="J43" s="94">
        <v>9702.97</v>
      </c>
      <c r="K43" s="88">
        <v>0.01</v>
      </c>
      <c r="L43" s="57">
        <f t="shared" si="0"/>
        <v>97.03</v>
      </c>
      <c r="M43" s="57">
        <f t="shared" si="1"/>
        <v>9800</v>
      </c>
      <c r="N43" s="57" t="str">
        <f>IF($I43="","",SUMIFS(资金流水!$K$5:$K$3032,资金流水!$Q$5:$Q$3015,$I43))</f>
        <v/>
      </c>
      <c r="O43" s="25">
        <v>9800</v>
      </c>
      <c r="P43" s="57">
        <f t="shared" si="2"/>
        <v>0</v>
      </c>
      <c r="Q43" s="58" t="str">
        <f t="shared" si="3"/>
        <v>已收齐</v>
      </c>
      <c r="R43" s="54">
        <f t="shared" si="4"/>
        <v>202605</v>
      </c>
      <c r="S43" s="56" t="str">
        <f ca="1" t="shared" si="5"/>
        <v/>
      </c>
      <c r="T43" s="10"/>
    </row>
    <row r="44" spans="1:20">
      <c r="A44" s="56">
        <f>IF($B44="","",COUNTA($B$5:$B44))</f>
        <v>40</v>
      </c>
      <c r="B44" s="89">
        <v>46150</v>
      </c>
      <c r="C44" s="46" t="s">
        <v>137</v>
      </c>
      <c r="D44" s="56" t="str">
        <f>IFERROR(INDEX(基础资料!$C$4:$C$11,MATCH($C44,基础资料!$A$4:$A$11,0)),"")</f>
        <v>小规模纳税人</v>
      </c>
      <c r="E44" s="39" t="s">
        <v>109</v>
      </c>
      <c r="F44" s="94" t="s">
        <v>241</v>
      </c>
      <c r="G44" s="69" t="s">
        <v>435</v>
      </c>
      <c r="H44" s="39"/>
      <c r="I44" s="10"/>
      <c r="J44" s="94">
        <v>86571.95</v>
      </c>
      <c r="K44" s="88">
        <v>0.01</v>
      </c>
      <c r="L44" s="57">
        <f t="shared" si="0"/>
        <v>865.72</v>
      </c>
      <c r="M44" s="57">
        <f t="shared" si="1"/>
        <v>87437.67</v>
      </c>
      <c r="N44" s="57" t="str">
        <f>IF($I44="","",SUMIFS(资金流水!$K$5:$K$3032,资金流水!$Q$5:$Q$3015,$I44))</f>
        <v/>
      </c>
      <c r="O44" s="25">
        <v>87437.67</v>
      </c>
      <c r="P44" s="57">
        <f t="shared" si="2"/>
        <v>0</v>
      </c>
      <c r="Q44" s="58" t="str">
        <f t="shared" si="3"/>
        <v>已收齐</v>
      </c>
      <c r="R44" s="54">
        <f t="shared" si="4"/>
        <v>202605</v>
      </c>
      <c r="S44" s="56" t="str">
        <f ca="1" t="shared" si="5"/>
        <v/>
      </c>
      <c r="T44" s="10"/>
    </row>
    <row r="45" spans="1:20">
      <c r="A45" s="56">
        <f>IF($B45="","",COUNTA($B$5:$B45))</f>
        <v>41</v>
      </c>
      <c r="B45" s="89">
        <v>46153</v>
      </c>
      <c r="C45" s="46" t="s">
        <v>137</v>
      </c>
      <c r="D45" s="56" t="str">
        <f>IFERROR(INDEX(基础资料!$C$4:$C$11,MATCH($C45,基础资料!$A$4:$A$11,0)),"")</f>
        <v>小规模纳税人</v>
      </c>
      <c r="E45" s="39" t="s">
        <v>109</v>
      </c>
      <c r="F45" s="94" t="s">
        <v>233</v>
      </c>
      <c r="G45" s="69" t="s">
        <v>232</v>
      </c>
      <c r="H45" s="39"/>
      <c r="I45" s="10"/>
      <c r="J45" s="94">
        <v>79207.91</v>
      </c>
      <c r="K45" s="88">
        <v>0.01</v>
      </c>
      <c r="L45" s="57">
        <f t="shared" si="0"/>
        <v>792.08</v>
      </c>
      <c r="M45" s="57">
        <f t="shared" si="1"/>
        <v>79999.99</v>
      </c>
      <c r="N45" s="57" t="str">
        <f>IF($I45="","",SUMIFS(资金流水!$K$5:$K$3032,资金流水!$Q$5:$Q$3015,$I45))</f>
        <v/>
      </c>
      <c r="O45" s="25">
        <v>79999.99</v>
      </c>
      <c r="P45" s="57">
        <f t="shared" si="2"/>
        <v>0</v>
      </c>
      <c r="Q45" s="58" t="str">
        <f t="shared" si="3"/>
        <v>已收齐</v>
      </c>
      <c r="R45" s="54">
        <f t="shared" si="4"/>
        <v>202605</v>
      </c>
      <c r="S45" s="56" t="str">
        <f ca="1" t="shared" si="5"/>
        <v/>
      </c>
      <c r="T45" s="10"/>
    </row>
    <row r="46" spans="1:20">
      <c r="A46" s="56">
        <f>IF($B46="","",COUNTA($B$5:$B46))</f>
        <v>42</v>
      </c>
      <c r="B46" s="89">
        <v>46164</v>
      </c>
      <c r="C46" s="46" t="s">
        <v>137</v>
      </c>
      <c r="D46" s="56" t="str">
        <f>IFERROR(INDEX(基础资料!$C$4:$C$11,MATCH($C46,基础资料!$A$4:$A$11,0)),"")</f>
        <v>小规模纳税人</v>
      </c>
      <c r="E46" s="39" t="s">
        <v>109</v>
      </c>
      <c r="F46" s="94" t="s">
        <v>233</v>
      </c>
      <c r="G46" s="69" t="s">
        <v>232</v>
      </c>
      <c r="H46" s="39"/>
      <c r="I46" s="10"/>
      <c r="J46" s="90">
        <v>26886.15</v>
      </c>
      <c r="K46" s="88">
        <v>0.01</v>
      </c>
      <c r="L46" s="57">
        <f t="shared" si="0"/>
        <v>268.86</v>
      </c>
      <c r="M46" s="57">
        <f t="shared" si="1"/>
        <v>27155.01</v>
      </c>
      <c r="N46" s="57" t="str">
        <f>IF($I46="","",SUMIFS(资金流水!$K$5:$K$3032,资金流水!$Q$5:$Q$3015,$I46))</f>
        <v/>
      </c>
      <c r="O46" s="25">
        <v>27155.01</v>
      </c>
      <c r="P46" s="57">
        <f t="shared" si="2"/>
        <v>0</v>
      </c>
      <c r="Q46" s="58" t="str">
        <f t="shared" si="3"/>
        <v>已收齐</v>
      </c>
      <c r="R46" s="54">
        <f t="shared" si="4"/>
        <v>202605</v>
      </c>
      <c r="S46" s="56" t="str">
        <f ca="1" t="shared" si="5"/>
        <v/>
      </c>
      <c r="T46" s="10"/>
    </row>
    <row r="47" spans="1:20">
      <c r="A47" s="56">
        <f>IF($B47="","",COUNTA($B$5:$B47))</f>
        <v>43</v>
      </c>
      <c r="B47" s="89">
        <v>46164</v>
      </c>
      <c r="C47" s="46" t="s">
        <v>137</v>
      </c>
      <c r="D47" s="56" t="str">
        <f>IFERROR(INDEX(基础资料!$C$4:$C$11,MATCH($C47,基础资料!$A$4:$A$11,0)),"")</f>
        <v>小规模纳税人</v>
      </c>
      <c r="E47" s="39" t="s">
        <v>109</v>
      </c>
      <c r="F47" s="90" t="s">
        <v>436</v>
      </c>
      <c r="G47" s="69" t="s">
        <v>437</v>
      </c>
      <c r="H47" s="39"/>
      <c r="I47" s="10"/>
      <c r="J47" s="90">
        <v>41188.12</v>
      </c>
      <c r="K47" s="88">
        <v>0.01</v>
      </c>
      <c r="L47" s="57">
        <f t="shared" si="0"/>
        <v>411.88</v>
      </c>
      <c r="M47" s="57">
        <f t="shared" si="1"/>
        <v>41600</v>
      </c>
      <c r="N47" s="57" t="str">
        <f>IF($I47="","",SUMIFS(资金流水!$K$5:$K$3032,资金流水!$Q$5:$Q$3015,$I47))</f>
        <v/>
      </c>
      <c r="O47" s="25">
        <v>41300</v>
      </c>
      <c r="P47" s="57">
        <f t="shared" si="2"/>
        <v>300</v>
      </c>
      <c r="Q47" s="58" t="str">
        <f t="shared" si="3"/>
        <v>部分收款</v>
      </c>
      <c r="R47" s="54">
        <f t="shared" si="4"/>
        <v>202605</v>
      </c>
      <c r="S47" s="56">
        <f ca="1" t="shared" si="5"/>
        <v>113</v>
      </c>
      <c r="T47" s="10"/>
    </row>
    <row r="48" spans="1:20">
      <c r="A48" s="56">
        <f>IF($B48="","",COUNTA($B$5:$B48))</f>
        <v>44</v>
      </c>
      <c r="B48" s="89">
        <v>46161</v>
      </c>
      <c r="C48" s="46" t="s">
        <v>157</v>
      </c>
      <c r="D48" s="56" t="str">
        <f>IFERROR(INDEX(基础资料!$C$4:$C$11,MATCH($C48,基础资料!$A$4:$A$11,0)),"")</f>
        <v>小规模纳税人</v>
      </c>
      <c r="E48" s="39" t="s">
        <v>109</v>
      </c>
      <c r="F48" s="94" t="s">
        <v>438</v>
      </c>
      <c r="G48" s="69" t="s">
        <v>439</v>
      </c>
      <c r="H48" s="39"/>
      <c r="I48" s="10"/>
      <c r="J48" s="94">
        <v>1980.2</v>
      </c>
      <c r="K48" s="88">
        <v>0.01</v>
      </c>
      <c r="L48" s="57">
        <f t="shared" si="0"/>
        <v>19.8</v>
      </c>
      <c r="M48" s="57">
        <f t="shared" si="1"/>
        <v>2000</v>
      </c>
      <c r="N48" s="57" t="str">
        <f>IF($I48="","",SUMIFS(资金流水!$K$5:$K$3032,资金流水!$Q$5:$Q$3015,$I48))</f>
        <v/>
      </c>
      <c r="O48" s="25">
        <v>2000</v>
      </c>
      <c r="P48" s="57">
        <f t="shared" si="2"/>
        <v>0</v>
      </c>
      <c r="Q48" s="58" t="str">
        <f t="shared" si="3"/>
        <v>已收齐</v>
      </c>
      <c r="R48" s="54">
        <f t="shared" si="4"/>
        <v>202605</v>
      </c>
      <c r="S48" s="56" t="str">
        <f ca="1" t="shared" si="5"/>
        <v/>
      </c>
      <c r="T48" s="10"/>
    </row>
    <row r="49" spans="1:20">
      <c r="A49" s="56">
        <f>IF($B49="","",COUNTA($B$5:$B49))</f>
        <v>45</v>
      </c>
      <c r="B49" s="89">
        <v>46162</v>
      </c>
      <c r="C49" s="46" t="s">
        <v>157</v>
      </c>
      <c r="D49" s="56" t="str">
        <f>IFERROR(INDEX(基础资料!$C$4:$C$11,MATCH($C49,基础资料!$A$4:$A$11,0)),"")</f>
        <v>小规模纳税人</v>
      </c>
      <c r="E49" s="39" t="s">
        <v>109</v>
      </c>
      <c r="F49" s="69" t="s">
        <v>224</v>
      </c>
      <c r="G49" s="69" t="s">
        <v>440</v>
      </c>
      <c r="H49" s="39"/>
      <c r="I49" s="10"/>
      <c r="J49" s="95">
        <v>149920.8</v>
      </c>
      <c r="K49" s="88">
        <v>0.01</v>
      </c>
      <c r="L49" s="57">
        <f t="shared" si="0"/>
        <v>1499.21</v>
      </c>
      <c r="M49" s="57">
        <f t="shared" si="1"/>
        <v>151420.01</v>
      </c>
      <c r="N49" s="57" t="str">
        <f>IF($I49="","",SUMIFS(资金流水!$K$5:$K$3032,资金流水!$Q$5:$Q$3015,$I49))</f>
        <v/>
      </c>
      <c r="O49" s="25">
        <v>181420.01</v>
      </c>
      <c r="P49" s="57">
        <f t="shared" si="2"/>
        <v>-30000</v>
      </c>
      <c r="Q49" s="58" t="str">
        <f t="shared" si="3"/>
        <v>已收齐</v>
      </c>
      <c r="R49" s="54">
        <f t="shared" si="4"/>
        <v>202605</v>
      </c>
      <c r="S49" s="56" t="str">
        <f ca="1" t="shared" si="5"/>
        <v/>
      </c>
      <c r="T49" s="10"/>
    </row>
    <row r="50" spans="1:20">
      <c r="A50" s="56">
        <f>IF($B50="","",COUNTA($B$5:$B50))</f>
        <v>46</v>
      </c>
      <c r="B50" s="89">
        <v>46167</v>
      </c>
      <c r="C50" s="46" t="s">
        <v>157</v>
      </c>
      <c r="D50" s="56" t="str">
        <f>IFERROR(INDEX(基础资料!$C$4:$C$11,MATCH($C50,基础资料!$A$4:$A$11,0)),"")</f>
        <v>小规模纳税人</v>
      </c>
      <c r="E50" s="39" t="s">
        <v>109</v>
      </c>
      <c r="F50" s="95" t="s">
        <v>250</v>
      </c>
      <c r="G50" s="69" t="s">
        <v>441</v>
      </c>
      <c r="H50" s="39"/>
      <c r="I50" s="10"/>
      <c r="J50" s="95">
        <v>100277.22</v>
      </c>
      <c r="K50" s="88">
        <v>0.01</v>
      </c>
      <c r="L50" s="57">
        <f t="shared" si="0"/>
        <v>1002.77</v>
      </c>
      <c r="M50" s="57">
        <f t="shared" si="1"/>
        <v>101279.99</v>
      </c>
      <c r="N50" s="57" t="str">
        <f>IF($I50="","",SUMIFS(资金流水!$K$5:$K$3032,资金流水!$Q$5:$Q$3015,$I50))</f>
        <v/>
      </c>
      <c r="O50" s="25">
        <v>101279.99</v>
      </c>
      <c r="P50" s="57">
        <f t="shared" si="2"/>
        <v>0</v>
      </c>
      <c r="Q50" s="58" t="str">
        <f t="shared" si="3"/>
        <v>已收齐</v>
      </c>
      <c r="R50" s="54">
        <f t="shared" si="4"/>
        <v>202605</v>
      </c>
      <c r="S50" s="56" t="str">
        <f ca="1" t="shared" si="5"/>
        <v/>
      </c>
      <c r="T50" s="10"/>
    </row>
    <row r="51" spans="1:20">
      <c r="A51" s="56">
        <f>IF($B51="","",COUNTA($B$5:$B51))</f>
        <v>47</v>
      </c>
      <c r="B51" s="89">
        <v>46157</v>
      </c>
      <c r="C51" s="46" t="s">
        <v>168</v>
      </c>
      <c r="D51" s="56" t="str">
        <f>IFERROR(INDEX(基础资料!$C$4:$C$11,MATCH($C51,基础资料!$A$4:$A$11,0)),"")</f>
        <v>小规模纳税人</v>
      </c>
      <c r="E51" s="39" t="s">
        <v>109</v>
      </c>
      <c r="F51" s="94" t="s">
        <v>442</v>
      </c>
      <c r="G51" s="69"/>
      <c r="H51" s="39"/>
      <c r="I51" s="10"/>
      <c r="J51" s="90">
        <v>5445.55</v>
      </c>
      <c r="K51" s="88">
        <v>0.01</v>
      </c>
      <c r="L51" s="57">
        <v>54.45</v>
      </c>
      <c r="M51" s="57">
        <f t="shared" si="1"/>
        <v>5500</v>
      </c>
      <c r="N51" s="57" t="str">
        <f>IF($I51="","",SUMIFS(资金流水!$K$5:$K$3032,资金流水!$Q$5:$Q$3015,$I51))</f>
        <v/>
      </c>
      <c r="O51" s="25">
        <v>5500</v>
      </c>
      <c r="P51" s="57">
        <f t="shared" si="2"/>
        <v>0</v>
      </c>
      <c r="Q51" s="58" t="str">
        <f t="shared" si="3"/>
        <v>已收齐</v>
      </c>
      <c r="R51" s="54">
        <f t="shared" si="4"/>
        <v>202605</v>
      </c>
      <c r="S51" s="56" t="str">
        <f ca="1" t="shared" si="5"/>
        <v/>
      </c>
      <c r="T51" s="10"/>
    </row>
    <row r="52" spans="1:20">
      <c r="A52" s="56">
        <f>IF($B52="","",COUNTA($B$5:$B52))</f>
        <v>48</v>
      </c>
      <c r="B52" s="89">
        <v>46161</v>
      </c>
      <c r="C52" s="46" t="s">
        <v>168</v>
      </c>
      <c r="D52" s="56" t="str">
        <f>IFERROR(INDEX(基础资料!$C$4:$C$11,MATCH($C52,基础资料!$A$4:$A$11,0)),"")</f>
        <v>小规模纳税人</v>
      </c>
      <c r="E52" s="39" t="s">
        <v>109</v>
      </c>
      <c r="F52" s="94" t="s">
        <v>224</v>
      </c>
      <c r="G52" s="69" t="s">
        <v>443</v>
      </c>
      <c r="H52" s="39"/>
      <c r="I52" s="10"/>
      <c r="J52" s="95">
        <v>129123.76</v>
      </c>
      <c r="K52" s="88">
        <v>0.01</v>
      </c>
      <c r="L52" s="57">
        <f t="shared" si="0"/>
        <v>1291.24</v>
      </c>
      <c r="M52" s="57">
        <f t="shared" si="1"/>
        <v>130415</v>
      </c>
      <c r="N52" s="57" t="str">
        <f>IF($I52="","",SUMIFS(资金流水!$K$5:$K$3032,资金流水!$Q$5:$Q$3015,$I52))</f>
        <v/>
      </c>
      <c r="O52" s="25">
        <v>130415</v>
      </c>
      <c r="P52" s="57">
        <f t="shared" si="2"/>
        <v>0</v>
      </c>
      <c r="Q52" s="58" t="str">
        <f t="shared" si="3"/>
        <v>已收齐</v>
      </c>
      <c r="R52" s="54">
        <f t="shared" si="4"/>
        <v>202605</v>
      </c>
      <c r="S52" s="56" t="str">
        <f ca="1" t="shared" si="5"/>
        <v/>
      </c>
      <c r="T52" s="10"/>
    </row>
    <row r="53" spans="1:20">
      <c r="A53" s="56">
        <f>IF($B53="","",COUNTA($B$5:$B53))</f>
        <v>49</v>
      </c>
      <c r="B53" s="89">
        <v>46168</v>
      </c>
      <c r="C53" s="46" t="s">
        <v>168</v>
      </c>
      <c r="D53" s="56" t="str">
        <f>IFERROR(INDEX(基础资料!$C$4:$C$11,MATCH($C53,基础资料!$A$4:$A$11,0)),"")</f>
        <v>小规模纳税人</v>
      </c>
      <c r="E53" s="39" t="s">
        <v>109</v>
      </c>
      <c r="F53" s="90" t="s">
        <v>241</v>
      </c>
      <c r="G53" s="69" t="s">
        <v>444</v>
      </c>
      <c r="H53" s="39"/>
      <c r="I53" s="10"/>
      <c r="J53" s="90">
        <v>69222.79</v>
      </c>
      <c r="K53" s="88">
        <v>0.01</v>
      </c>
      <c r="L53" s="57">
        <v>692.21</v>
      </c>
      <c r="M53" s="57">
        <f t="shared" si="1"/>
        <v>69915</v>
      </c>
      <c r="N53" s="57" t="str">
        <f>IF($I53="","",SUMIFS(资金流水!$K$5:$K$3032,资金流水!$Q$5:$Q$3015,$I53))</f>
        <v/>
      </c>
      <c r="O53" s="25">
        <v>69915</v>
      </c>
      <c r="P53" s="57">
        <f t="shared" si="2"/>
        <v>0</v>
      </c>
      <c r="Q53" s="58" t="str">
        <f t="shared" si="3"/>
        <v>已收齐</v>
      </c>
      <c r="R53" s="54">
        <f t="shared" si="4"/>
        <v>202605</v>
      </c>
      <c r="S53" s="56" t="str">
        <f ca="1" t="shared" si="5"/>
        <v/>
      </c>
      <c r="T53" s="10"/>
    </row>
    <row r="54" spans="1:20">
      <c r="A54" s="56">
        <f>IF($B54="","",COUNTA($B$5:$B54))</f>
        <v>50</v>
      </c>
      <c r="B54" s="89">
        <v>46181</v>
      </c>
      <c r="C54" s="46" t="s">
        <v>77</v>
      </c>
      <c r="D54" s="56" t="str">
        <f>IFERROR(INDEX(基础资料!$C$4:$C$11,MATCH($C54,基础资料!$A$4:$A$11,0)),"")</f>
        <v>一般纳税人</v>
      </c>
      <c r="E54" s="39" t="s">
        <v>94</v>
      </c>
      <c r="F54" s="90" t="s">
        <v>300</v>
      </c>
      <c r="G54" s="69" t="s">
        <v>428</v>
      </c>
      <c r="H54" s="39"/>
      <c r="I54" s="10"/>
      <c r="J54" s="90">
        <v>1654867.26</v>
      </c>
      <c r="K54" s="88">
        <v>0.13</v>
      </c>
      <c r="L54" s="57">
        <f>IF($J54="","",ROUND($J54*$K54,2))</f>
        <v>215132.74</v>
      </c>
      <c r="M54" s="57">
        <f t="shared" si="1"/>
        <v>1870000</v>
      </c>
      <c r="N54" s="57" t="str">
        <f>IF($I54="","",SUMIFS(资金流水!$K$5:$K$3032,资金流水!$Q$5:$Q$3015,$I54))</f>
        <v/>
      </c>
      <c r="O54" s="25"/>
      <c r="P54" s="57">
        <f t="shared" si="2"/>
        <v>1870000</v>
      </c>
      <c r="Q54" s="58" t="str">
        <f t="shared" si="3"/>
        <v>未收款</v>
      </c>
      <c r="R54" s="54">
        <f t="shared" si="4"/>
        <v>202606</v>
      </c>
      <c r="S54" s="56">
        <f ca="1" t="shared" si="5"/>
        <v>96</v>
      </c>
      <c r="T54" s="10"/>
    </row>
    <row r="55" spans="1:20">
      <c r="A55" s="56">
        <f>IF($B55="","",COUNTA($B$5:$B55))</f>
        <v>51</v>
      </c>
      <c r="B55" s="89">
        <v>46181</v>
      </c>
      <c r="C55" s="46" t="s">
        <v>77</v>
      </c>
      <c r="D55" s="56" t="str">
        <f>IFERROR(INDEX(基础资料!$C$4:$C$11,MATCH($C55,基础资料!$A$4:$A$11,0)),"")</f>
        <v>一般纳税人</v>
      </c>
      <c r="E55" s="39" t="s">
        <v>94</v>
      </c>
      <c r="F55" s="90" t="s">
        <v>445</v>
      </c>
      <c r="G55" s="69" t="s">
        <v>446</v>
      </c>
      <c r="H55" s="39"/>
      <c r="I55" s="10"/>
      <c r="J55" s="90">
        <v>27173.45</v>
      </c>
      <c r="K55" s="88">
        <v>0.13</v>
      </c>
      <c r="L55" s="57">
        <f t="shared" si="0"/>
        <v>3532.55</v>
      </c>
      <c r="M55" s="57">
        <f t="shared" si="1"/>
        <v>30706</v>
      </c>
      <c r="N55" s="57" t="str">
        <f>IF($I55="","",SUMIFS(资金流水!$K$5:$K$3032,资金流水!$Q$5:$Q$3015,$I55))</f>
        <v/>
      </c>
      <c r="O55" s="25">
        <v>30706</v>
      </c>
      <c r="P55" s="57">
        <f t="shared" si="2"/>
        <v>0</v>
      </c>
      <c r="Q55" s="58" t="str">
        <f t="shared" si="3"/>
        <v>已收齐</v>
      </c>
      <c r="R55" s="54">
        <f t="shared" si="4"/>
        <v>202606</v>
      </c>
      <c r="S55" s="56" t="str">
        <f ca="1" t="shared" si="5"/>
        <v/>
      </c>
      <c r="T55" s="10"/>
    </row>
    <row r="56" spans="1:20">
      <c r="A56" s="56">
        <f>IF($B56="","",COUNTA($B$5:$B56))</f>
        <v>52</v>
      </c>
      <c r="B56" s="89">
        <v>46190</v>
      </c>
      <c r="C56" s="46" t="s">
        <v>77</v>
      </c>
      <c r="D56" s="56" t="str">
        <f>IFERROR(INDEX(基础资料!$C$4:$C$11,MATCH($C56,基础资料!$A$4:$A$11,0)),"")</f>
        <v>一般纳税人</v>
      </c>
      <c r="E56" s="39" t="s">
        <v>94</v>
      </c>
      <c r="F56" s="90" t="s">
        <v>447</v>
      </c>
      <c r="G56" s="69" t="s">
        <v>205</v>
      </c>
      <c r="H56" s="39"/>
      <c r="I56" s="10"/>
      <c r="J56" s="90">
        <v>442584.07</v>
      </c>
      <c r="K56" s="88">
        <v>0.13</v>
      </c>
      <c r="L56" s="57">
        <f t="shared" si="0"/>
        <v>57535.93</v>
      </c>
      <c r="M56" s="57">
        <f t="shared" si="1"/>
        <v>500120</v>
      </c>
      <c r="N56" s="57" t="str">
        <f>IF($I56="","",SUMIFS(资金流水!$K$5:$K$3032,资金流水!$Q$5:$Q$3015,$I56))</f>
        <v/>
      </c>
      <c r="O56" s="25">
        <v>500120</v>
      </c>
      <c r="P56" s="57">
        <f t="shared" si="2"/>
        <v>0</v>
      </c>
      <c r="Q56" s="58" t="str">
        <f t="shared" si="3"/>
        <v>已收齐</v>
      </c>
      <c r="R56" s="54">
        <f t="shared" si="4"/>
        <v>202606</v>
      </c>
      <c r="S56" s="56" t="str">
        <f ca="1" t="shared" si="5"/>
        <v/>
      </c>
      <c r="T56" s="10"/>
    </row>
    <row r="57" spans="1:20">
      <c r="A57" s="56">
        <f>IF($B57="","",COUNTA($B$5:$B57))</f>
        <v>53</v>
      </c>
      <c r="B57" s="89">
        <v>46190</v>
      </c>
      <c r="C57" s="46" t="s">
        <v>77</v>
      </c>
      <c r="D57" s="56" t="str">
        <f>IFERROR(INDEX(基础资料!$C$4:$C$11,MATCH($C57,基础资料!$A$4:$A$11,0)),"")</f>
        <v>一般纳税人</v>
      </c>
      <c r="E57" s="39" t="s">
        <v>94</v>
      </c>
      <c r="F57" s="90" t="s">
        <v>275</v>
      </c>
      <c r="G57" s="69" t="s">
        <v>448</v>
      </c>
      <c r="H57" s="39"/>
      <c r="I57" s="10"/>
      <c r="J57" s="90">
        <v>253104.4</v>
      </c>
      <c r="K57" s="88">
        <v>0.13</v>
      </c>
      <c r="L57" s="57">
        <v>32903.6</v>
      </c>
      <c r="M57" s="57">
        <f t="shared" si="1"/>
        <v>286008</v>
      </c>
      <c r="N57" s="57" t="str">
        <f>IF($I57="","",SUMIFS(资金流水!$K$5:$K$3032,资金流水!$Q$5:$Q$3015,$I57))</f>
        <v/>
      </c>
      <c r="O57" s="25">
        <v>286008</v>
      </c>
      <c r="P57" s="57">
        <f t="shared" si="2"/>
        <v>0</v>
      </c>
      <c r="Q57" s="58" t="str">
        <f t="shared" si="3"/>
        <v>已收齐</v>
      </c>
      <c r="R57" s="54">
        <f t="shared" si="4"/>
        <v>202606</v>
      </c>
      <c r="S57" s="56" t="str">
        <f ca="1" t="shared" si="5"/>
        <v/>
      </c>
      <c r="T57" s="10"/>
    </row>
    <row r="58" spans="1:20">
      <c r="A58" s="56">
        <f>IF($B58="","",COUNTA($B$5:$B58))</f>
        <v>54</v>
      </c>
      <c r="B58" s="89">
        <v>46191</v>
      </c>
      <c r="C58" s="46" t="s">
        <v>127</v>
      </c>
      <c r="D58" s="56" t="s">
        <v>139</v>
      </c>
      <c r="E58" s="39" t="s">
        <v>109</v>
      </c>
      <c r="F58" s="69" t="s">
        <v>275</v>
      </c>
      <c r="G58" s="69" t="s">
        <v>449</v>
      </c>
      <c r="H58" s="39"/>
      <c r="I58" s="10"/>
      <c r="J58" s="90">
        <v>990.1</v>
      </c>
      <c r="K58" s="88">
        <v>0.01</v>
      </c>
      <c r="L58" s="57">
        <f t="shared" si="0"/>
        <v>9.9</v>
      </c>
      <c r="M58" s="57">
        <f t="shared" si="1"/>
        <v>1000</v>
      </c>
      <c r="N58" s="57" t="str">
        <f>IF($I58="","",SUMIFS(资金流水!$K$5:$K$3032,资金流水!$Q$5:$Q$3015,$I58))</f>
        <v/>
      </c>
      <c r="O58" s="25">
        <v>1000</v>
      </c>
      <c r="P58" s="57">
        <f t="shared" si="2"/>
        <v>0</v>
      </c>
      <c r="Q58" s="58" t="str">
        <f t="shared" si="3"/>
        <v>已收齐</v>
      </c>
      <c r="R58" s="54">
        <f t="shared" si="4"/>
        <v>202606</v>
      </c>
      <c r="S58" s="56" t="str">
        <f ca="1" t="shared" si="5"/>
        <v/>
      </c>
      <c r="T58" s="10"/>
    </row>
    <row r="59" spans="1:20">
      <c r="A59" s="56">
        <f>IF($B59="","",COUNTA($B$5:$B59))</f>
        <v>55</v>
      </c>
      <c r="B59" s="89">
        <v>46197</v>
      </c>
      <c r="C59" s="46" t="s">
        <v>137</v>
      </c>
      <c r="D59" s="56" t="str">
        <f>IFERROR(INDEX(基础资料!$C$4:$C$11,MATCH($C59,基础资料!$A$4:$A$11,0)),"")</f>
        <v>小规模纳税人</v>
      </c>
      <c r="E59" s="39" t="s">
        <v>109</v>
      </c>
      <c r="F59" s="62" t="s">
        <v>256</v>
      </c>
      <c r="G59" s="10" t="s">
        <v>255</v>
      </c>
      <c r="H59" s="39"/>
      <c r="I59" s="10"/>
      <c r="J59" s="90">
        <v>71287.13</v>
      </c>
      <c r="K59" s="88">
        <v>0.01</v>
      </c>
      <c r="L59" s="57">
        <f t="shared" si="0"/>
        <v>712.87</v>
      </c>
      <c r="M59" s="57">
        <f t="shared" si="1"/>
        <v>72000</v>
      </c>
      <c r="N59" s="57" t="str">
        <f>IF($I59="","",SUMIFS(资金流水!$K$5:$K$3032,资金流水!$Q$5:$Q$3015,$I59))</f>
        <v/>
      </c>
      <c r="O59" s="25">
        <v>72000</v>
      </c>
      <c r="P59" s="57">
        <f t="shared" si="2"/>
        <v>0</v>
      </c>
      <c r="Q59" s="58" t="str">
        <f t="shared" si="3"/>
        <v>已收齐</v>
      </c>
      <c r="R59" s="54">
        <f t="shared" si="4"/>
        <v>202606</v>
      </c>
      <c r="S59" s="56" t="str">
        <f ca="1" t="shared" si="5"/>
        <v/>
      </c>
      <c r="T59" s="10"/>
    </row>
    <row r="60" spans="1:20">
      <c r="A60" s="56">
        <f>IF($B60="","",COUNTA($B$5:$B60))</f>
        <v>56</v>
      </c>
      <c r="B60" s="89">
        <v>46181</v>
      </c>
      <c r="C60" s="46" t="s">
        <v>157</v>
      </c>
      <c r="D60" s="56" t="str">
        <f>IFERROR(INDEX(基础资料!$C$4:$C$11,MATCH($C60,基础资料!$A$4:$A$11,0)),"")</f>
        <v>小规模纳税人</v>
      </c>
      <c r="E60" s="39" t="s">
        <v>109</v>
      </c>
      <c r="F60" s="95" t="s">
        <v>250</v>
      </c>
      <c r="G60" s="69" t="s">
        <v>441</v>
      </c>
      <c r="H60" s="39"/>
      <c r="I60" s="10"/>
      <c r="J60" s="90">
        <v>165326.73</v>
      </c>
      <c r="K60" s="88">
        <v>0.01</v>
      </c>
      <c r="L60" s="57">
        <f t="shared" si="0"/>
        <v>1653.27</v>
      </c>
      <c r="M60" s="57">
        <f t="shared" si="1"/>
        <v>166980</v>
      </c>
      <c r="N60" s="57" t="str">
        <f>IF($I60="","",SUMIFS(资金流水!$K$5:$K$3032,资金流水!$Q$5:$Q$3015,$I60))</f>
        <v/>
      </c>
      <c r="O60" s="25">
        <v>166980</v>
      </c>
      <c r="P60" s="57">
        <f t="shared" si="2"/>
        <v>0</v>
      </c>
      <c r="Q60" s="58" t="str">
        <f t="shared" si="3"/>
        <v>已收齐</v>
      </c>
      <c r="R60" s="54">
        <f t="shared" si="4"/>
        <v>202606</v>
      </c>
      <c r="S60" s="56" t="str">
        <f ca="1" t="shared" si="5"/>
        <v/>
      </c>
      <c r="T60" s="10"/>
    </row>
    <row r="61" spans="1:20">
      <c r="A61" s="56">
        <f>IF($B61="","",COUNTA($B$5:$B61))</f>
        <v>57</v>
      </c>
      <c r="B61" s="89">
        <v>46195</v>
      </c>
      <c r="C61" s="46" t="s">
        <v>157</v>
      </c>
      <c r="D61" s="56" t="str">
        <f>IFERROR(INDEX(基础资料!$C$4:$C$11,MATCH($C61,基础资料!$A$4:$A$11,0)),"")</f>
        <v>小规模纳税人</v>
      </c>
      <c r="E61" s="39" t="s">
        <v>109</v>
      </c>
      <c r="F61" s="95" t="s">
        <v>450</v>
      </c>
      <c r="G61" s="69" t="s">
        <v>451</v>
      </c>
      <c r="H61" s="39"/>
      <c r="I61" s="10"/>
      <c r="J61" s="95">
        <v>1980.2</v>
      </c>
      <c r="K61" s="88">
        <v>0.01</v>
      </c>
      <c r="L61" s="57">
        <f t="shared" si="0"/>
        <v>19.8</v>
      </c>
      <c r="M61" s="57">
        <f t="shared" si="1"/>
        <v>2000</v>
      </c>
      <c r="N61" s="57" t="str">
        <f>IF($I61="","",SUMIFS(资金流水!$K$5:$K$3032,资金流水!$Q$5:$Q$3015,$I61))</f>
        <v/>
      </c>
      <c r="O61" s="25">
        <v>2000</v>
      </c>
      <c r="P61" s="57">
        <f t="shared" si="2"/>
        <v>0</v>
      </c>
      <c r="Q61" s="58" t="str">
        <f t="shared" si="3"/>
        <v>已收齐</v>
      </c>
      <c r="R61" s="54">
        <f t="shared" si="4"/>
        <v>202606</v>
      </c>
      <c r="S61" s="56" t="str">
        <f ca="1" t="shared" si="5"/>
        <v/>
      </c>
      <c r="T61" s="10"/>
    </row>
    <row r="62" spans="1:20">
      <c r="A62" s="56">
        <f>IF($B62="","",COUNTA($B$5:$B62))</f>
        <v>58</v>
      </c>
      <c r="B62" s="89">
        <v>46209</v>
      </c>
      <c r="C62" s="46" t="s">
        <v>77</v>
      </c>
      <c r="D62" s="56" t="str">
        <f>IFERROR(INDEX(基础资料!$C$4:$C$11,MATCH($C62,基础资料!$A$4:$A$11,0)),"")</f>
        <v>一般纳税人</v>
      </c>
      <c r="E62" s="39" t="s">
        <v>94</v>
      </c>
      <c r="F62" s="90" t="s">
        <v>275</v>
      </c>
      <c r="G62" s="69" t="s">
        <v>448</v>
      </c>
      <c r="H62" s="39"/>
      <c r="I62" s="10"/>
      <c r="J62" s="90">
        <v>407858.41</v>
      </c>
      <c r="K62" s="88">
        <v>0.13</v>
      </c>
      <c r="L62" s="57">
        <f t="shared" si="0"/>
        <v>53021.59</v>
      </c>
      <c r="M62" s="57">
        <f t="shared" si="1"/>
        <v>460880</v>
      </c>
      <c r="N62" s="57" t="str">
        <f>IF($I62="","",SUMIFS(资金流水!$K$5:$K$3032,资金流水!$Q$5:$Q$3015,$I62))</f>
        <v/>
      </c>
      <c r="O62" s="25">
        <v>460880</v>
      </c>
      <c r="P62" s="57">
        <f t="shared" si="2"/>
        <v>0</v>
      </c>
      <c r="Q62" s="58" t="str">
        <f t="shared" si="3"/>
        <v>已收齐</v>
      </c>
      <c r="R62" s="54">
        <f t="shared" si="4"/>
        <v>202607</v>
      </c>
      <c r="S62" s="56" t="str">
        <f ca="1" t="shared" si="5"/>
        <v/>
      </c>
      <c r="T62" s="10"/>
    </row>
    <row r="63" spans="1:20">
      <c r="A63" s="56">
        <f>IF($B63="","",COUNTA($B$5:$B63))</f>
        <v>59</v>
      </c>
      <c r="B63" s="89">
        <v>46209</v>
      </c>
      <c r="C63" s="46" t="s">
        <v>77</v>
      </c>
      <c r="D63" s="56" t="str">
        <f>IFERROR(INDEX(基础资料!$C$4:$C$11,MATCH($C63,基础资料!$A$4:$A$11,0)),"")</f>
        <v>一般纳税人</v>
      </c>
      <c r="E63" s="39" t="s">
        <v>94</v>
      </c>
      <c r="F63" s="90" t="s">
        <v>275</v>
      </c>
      <c r="G63" s="69" t="s">
        <v>448</v>
      </c>
      <c r="H63" s="39"/>
      <c r="I63" s="10"/>
      <c r="J63" s="90">
        <v>14905.66</v>
      </c>
      <c r="K63" s="88">
        <v>0.06</v>
      </c>
      <c r="L63" s="57">
        <f t="shared" si="0"/>
        <v>894.34</v>
      </c>
      <c r="M63" s="57">
        <f t="shared" si="1"/>
        <v>15800</v>
      </c>
      <c r="N63" s="57" t="str">
        <f>IF($I63="","",SUMIFS(资金流水!$K$5:$K$3032,资金流水!$Q$5:$Q$3015,$I63))</f>
        <v/>
      </c>
      <c r="O63" s="25">
        <v>15800</v>
      </c>
      <c r="P63" s="57">
        <f t="shared" si="2"/>
        <v>0</v>
      </c>
      <c r="Q63" s="58" t="str">
        <f t="shared" si="3"/>
        <v>已收齐</v>
      </c>
      <c r="R63" s="54">
        <f t="shared" si="4"/>
        <v>202607</v>
      </c>
      <c r="S63" s="56" t="str">
        <f ca="1" t="shared" si="5"/>
        <v/>
      </c>
      <c r="T63" s="10"/>
    </row>
    <row r="64" spans="1:20">
      <c r="A64" s="56">
        <f>IF($B64="","",COUNTA($B$5:$B64))</f>
        <v>60</v>
      </c>
      <c r="B64" s="89">
        <v>46211</v>
      </c>
      <c r="C64" s="46" t="s">
        <v>77</v>
      </c>
      <c r="D64" s="56" t="str">
        <f>IFERROR(INDEX(基础资料!$C$4:$C$11,MATCH($C64,基础资料!$A$4:$A$11,0)),"")</f>
        <v>一般纳税人</v>
      </c>
      <c r="E64" s="39" t="s">
        <v>94</v>
      </c>
      <c r="F64" s="90" t="s">
        <v>452</v>
      </c>
      <c r="G64" s="69" t="s">
        <v>453</v>
      </c>
      <c r="H64" s="39"/>
      <c r="I64" s="10"/>
      <c r="J64" s="90">
        <v>761543.35</v>
      </c>
      <c r="K64" s="88">
        <v>0.13</v>
      </c>
      <c r="L64" s="57">
        <v>99000.65</v>
      </c>
      <c r="M64" s="57">
        <f t="shared" si="1"/>
        <v>860544</v>
      </c>
      <c r="N64" s="57" t="str">
        <f>IF($I64="","",SUMIFS(资金流水!$K$5:$K$3032,资金流水!$Q$5:$Q$3015,$I64))</f>
        <v/>
      </c>
      <c r="O64" s="25">
        <v>836750</v>
      </c>
      <c r="P64" s="57">
        <f t="shared" si="2"/>
        <v>23794</v>
      </c>
      <c r="Q64" s="58" t="str">
        <f t="shared" si="3"/>
        <v>部分收款</v>
      </c>
      <c r="R64" s="54">
        <f t="shared" si="4"/>
        <v>202607</v>
      </c>
      <c r="S64" s="56">
        <f ca="1" t="shared" si="5"/>
        <v>66</v>
      </c>
      <c r="T64" s="10"/>
    </row>
    <row r="65" spans="1:20">
      <c r="A65" s="56">
        <f>IF($B65="","",COUNTA($B$5:$B65))</f>
        <v>61</v>
      </c>
      <c r="B65" s="96">
        <v>46219</v>
      </c>
      <c r="C65" s="46" t="s">
        <v>77</v>
      </c>
      <c r="D65" s="56" t="str">
        <f>IFERROR(INDEX(基础资料!$C$4:$C$11,MATCH($C65,基础资料!$A$4:$A$11,0)),"")</f>
        <v>一般纳税人</v>
      </c>
      <c r="E65" s="39" t="s">
        <v>94</v>
      </c>
      <c r="F65" s="90" t="s">
        <v>160</v>
      </c>
      <c r="G65" s="69" t="s">
        <v>454</v>
      </c>
      <c r="H65" s="39"/>
      <c r="I65" s="10"/>
      <c r="J65" s="90">
        <v>781.42</v>
      </c>
      <c r="K65" s="88">
        <v>0.13</v>
      </c>
      <c r="L65" s="57">
        <f t="shared" si="0"/>
        <v>101.58</v>
      </c>
      <c r="M65" s="57">
        <f t="shared" si="1"/>
        <v>883</v>
      </c>
      <c r="N65" s="57" t="str">
        <f>IF($I65="","",SUMIFS(资金流水!$K$5:$K$3032,资金流水!$Q$5:$Q$3015,$I65))</f>
        <v/>
      </c>
      <c r="O65" s="25">
        <v>883</v>
      </c>
      <c r="P65" s="57">
        <f t="shared" si="2"/>
        <v>0</v>
      </c>
      <c r="Q65" s="58" t="str">
        <f t="shared" si="3"/>
        <v>已收齐</v>
      </c>
      <c r="R65" s="54">
        <f t="shared" si="4"/>
        <v>202607</v>
      </c>
      <c r="S65" s="56" t="str">
        <f ca="1" t="shared" si="5"/>
        <v/>
      </c>
      <c r="T65" s="10"/>
    </row>
    <row r="66" spans="1:20">
      <c r="A66" s="56">
        <f>IF($B66="","",COUNTA($B$5:$B66))</f>
        <v>62</v>
      </c>
      <c r="B66" s="89">
        <v>46233</v>
      </c>
      <c r="C66" s="46" t="s">
        <v>112</v>
      </c>
      <c r="D66" s="56" t="str">
        <f>IFERROR(INDEX(基础资料!$C$4:$C$11,MATCH($C66,基础资料!$A$4:$A$11,0)),"")</f>
        <v>一般纳税人</v>
      </c>
      <c r="E66" s="39" t="s">
        <v>109</v>
      </c>
      <c r="F66" s="90" t="s">
        <v>219</v>
      </c>
      <c r="G66" s="10" t="s">
        <v>259</v>
      </c>
      <c r="H66" s="39"/>
      <c r="I66" s="10"/>
      <c r="J66" s="90">
        <v>307797.34</v>
      </c>
      <c r="K66" s="88">
        <v>0.13</v>
      </c>
      <c r="L66" s="57">
        <v>40013.66</v>
      </c>
      <c r="M66" s="57">
        <f t="shared" si="1"/>
        <v>347811</v>
      </c>
      <c r="N66" s="57" t="str">
        <f>IF($I66="","",SUMIFS(资金流水!$K$5:$K$3032,资金流水!$Q$5:$Q$3015,$I66))</f>
        <v/>
      </c>
      <c r="O66" s="25">
        <v>347811</v>
      </c>
      <c r="P66" s="57">
        <f t="shared" si="2"/>
        <v>0</v>
      </c>
      <c r="Q66" s="58" t="str">
        <f t="shared" si="3"/>
        <v>已收齐</v>
      </c>
      <c r="R66" s="54">
        <f t="shared" si="4"/>
        <v>202607</v>
      </c>
      <c r="S66" s="56" t="str">
        <f ca="1" t="shared" si="5"/>
        <v/>
      </c>
      <c r="T66" s="10"/>
    </row>
    <row r="67" spans="1:20">
      <c r="A67" s="56">
        <f>IF($B67="","",COUNTA($B$5:$B67))</f>
        <v>63</v>
      </c>
      <c r="B67" s="89">
        <v>46217</v>
      </c>
      <c r="C67" s="46" t="s">
        <v>157</v>
      </c>
      <c r="D67" s="56" t="str">
        <f>IFERROR(INDEX(基础资料!$C$4:$C$11,MATCH($C67,基础资料!$A$4:$A$11,0)),"")</f>
        <v>小规模纳税人</v>
      </c>
      <c r="E67" s="39" t="s">
        <v>109</v>
      </c>
      <c r="F67" s="62" t="s">
        <v>224</v>
      </c>
      <c r="G67" s="10" t="s">
        <v>252</v>
      </c>
      <c r="H67" s="39"/>
      <c r="I67" s="10"/>
      <c r="J67" s="90">
        <v>148178.23</v>
      </c>
      <c r="K67" s="88">
        <v>0.01</v>
      </c>
      <c r="L67" s="57">
        <v>1481.77</v>
      </c>
      <c r="M67" s="57">
        <f t="shared" si="1"/>
        <v>149660</v>
      </c>
      <c r="N67" s="57" t="str">
        <f>IF($I67="","",SUMIFS(资金流水!$K$5:$K$3032,资金流水!$Q$5:$Q$3015,$I67))</f>
        <v/>
      </c>
      <c r="O67" s="25">
        <v>149660</v>
      </c>
      <c r="P67" s="57">
        <f t="shared" si="2"/>
        <v>0</v>
      </c>
      <c r="Q67" s="58" t="str">
        <f t="shared" si="3"/>
        <v>已收齐</v>
      </c>
      <c r="R67" s="54">
        <f t="shared" si="4"/>
        <v>202607</v>
      </c>
      <c r="S67" s="56" t="str">
        <f ca="1" t="shared" si="5"/>
        <v/>
      </c>
      <c r="T67" s="10"/>
    </row>
    <row r="68" spans="1:20">
      <c r="A68" s="56">
        <f>IF($B68="","",COUNTA($B$5:$B68))</f>
        <v>64</v>
      </c>
      <c r="B68" s="89">
        <v>46217</v>
      </c>
      <c r="C68" s="46" t="s">
        <v>168</v>
      </c>
      <c r="D68" s="56" t="str">
        <f>IFERROR(INDEX(基础资料!$C$4:$C$11,MATCH($C68,基础资料!$A$4:$A$11,0)),"")</f>
        <v>小规模纳税人</v>
      </c>
      <c r="E68" s="39" t="s">
        <v>109</v>
      </c>
      <c r="F68" s="90" t="s">
        <v>241</v>
      </c>
      <c r="G68" s="10" t="s">
        <v>240</v>
      </c>
      <c r="H68" s="39"/>
      <c r="I68" s="10"/>
      <c r="J68" s="90">
        <v>115099.01</v>
      </c>
      <c r="K68" s="88">
        <v>0.01</v>
      </c>
      <c r="L68" s="57">
        <f t="shared" si="0"/>
        <v>1150.99</v>
      </c>
      <c r="M68" s="57">
        <f t="shared" si="1"/>
        <v>116250</v>
      </c>
      <c r="N68" s="57" t="str">
        <f>IF($I68="","",SUMIFS(资金流水!$K$5:$K$3032,资金流水!$Q$5:$Q$3015,$I68))</f>
        <v/>
      </c>
      <c r="O68" s="25">
        <v>116250</v>
      </c>
      <c r="P68" s="57">
        <f t="shared" si="2"/>
        <v>0</v>
      </c>
      <c r="Q68" s="58" t="str">
        <f t="shared" si="3"/>
        <v>已收齐</v>
      </c>
      <c r="R68" s="54">
        <f t="shared" si="4"/>
        <v>202607</v>
      </c>
      <c r="S68" s="56" t="str">
        <f ca="1" t="shared" si="5"/>
        <v/>
      </c>
      <c r="T68" s="10"/>
    </row>
    <row r="69" spans="1:20">
      <c r="A69" s="56">
        <f>IF($B69="","",COUNTA($B$5:$B69))</f>
        <v>65</v>
      </c>
      <c r="B69" s="89">
        <v>46217</v>
      </c>
      <c r="C69" s="46" t="s">
        <v>168</v>
      </c>
      <c r="D69" s="56" t="str">
        <f>IFERROR(INDEX(基础资料!$C$4:$C$11,MATCH($C69,基础资料!$A$4:$A$11,0)),"")</f>
        <v>小规模纳税人</v>
      </c>
      <c r="E69" s="39" t="s">
        <v>109</v>
      </c>
      <c r="F69" s="90" t="s">
        <v>224</v>
      </c>
      <c r="G69" s="10" t="s">
        <v>236</v>
      </c>
      <c r="H69" s="39"/>
      <c r="I69" s="10"/>
      <c r="J69" s="90">
        <v>70341.57</v>
      </c>
      <c r="K69" s="88">
        <v>0.01</v>
      </c>
      <c r="L69" s="57">
        <v>703.43</v>
      </c>
      <c r="M69" s="57">
        <f t="shared" ref="M69:M132" si="6">IF($J69="","",ROUND($J69+$L69,2))</f>
        <v>71045</v>
      </c>
      <c r="N69" s="57" t="str">
        <f>IF($I69="","",SUMIFS(资金流水!$K$5:$K$3032,资金流水!$Q$5:$Q$3015,$I69))</f>
        <v/>
      </c>
      <c r="O69" s="25">
        <v>71045</v>
      </c>
      <c r="P69" s="57">
        <f t="shared" ref="P69:P132" si="7">IF($J69="","",ROUND($M69-IF($N69="",0,$N69)-IF($O69="",0,$O69),2))</f>
        <v>0</v>
      </c>
      <c r="Q69" s="58" t="str">
        <f t="shared" ref="Q69:Q132" si="8">IF($J69="","",IF($P69&lt;=0.005,"已收齐",IF(IF($N69="",0,$N69)+IF($O69="",0,$O69)&lt;=0,"未收款","部分收款")))</f>
        <v>已收齐</v>
      </c>
      <c r="R69" s="54">
        <f t="shared" ref="R69:R132" si="9">IF($B69="","",--TEXT($B69,"yyyymm"))</f>
        <v>202607</v>
      </c>
      <c r="S69" s="56" t="str">
        <f ca="1" t="shared" ref="S69:S132" si="10">IF(OR($B69="",$P69="",$P69&lt;=0.005),"",TODAY()-$B69)</f>
        <v/>
      </c>
      <c r="T69" s="10"/>
    </row>
    <row r="70" spans="1:20">
      <c r="A70" s="56">
        <f>IF($B70="","",COUNTA($B$5:$B70))</f>
        <v>66</v>
      </c>
      <c r="B70" s="89">
        <v>46244</v>
      </c>
      <c r="C70" s="46" t="s">
        <v>77</v>
      </c>
      <c r="D70" s="56" t="str">
        <f>IFERROR(INDEX(基础资料!$C$4:$C$11,MATCH($C70,基础资料!$A$4:$A$11,0)),"")</f>
        <v>一般纳税人</v>
      </c>
      <c r="E70" s="39" t="s">
        <v>94</v>
      </c>
      <c r="F70" s="69" t="s">
        <v>269</v>
      </c>
      <c r="G70" s="10" t="s">
        <v>455</v>
      </c>
      <c r="H70" s="39"/>
      <c r="I70" s="10"/>
      <c r="J70" s="69">
        <v>84905.66</v>
      </c>
      <c r="K70" s="88">
        <v>0.06</v>
      </c>
      <c r="L70" s="57">
        <f t="shared" ref="L69:L132" si="11">IF($J70="","",ROUND($J70*$K70,2))</f>
        <v>5094.34</v>
      </c>
      <c r="M70" s="57">
        <f t="shared" si="6"/>
        <v>90000</v>
      </c>
      <c r="N70" s="57" t="str">
        <f>IF($I70="","",SUMIFS(资金流水!$K$5:$K$3032,资金流水!$Q$5:$Q$3015,$I70))</f>
        <v/>
      </c>
      <c r="O70" s="25">
        <v>90000</v>
      </c>
      <c r="P70" s="57">
        <f t="shared" si="7"/>
        <v>0</v>
      </c>
      <c r="Q70" s="58" t="str">
        <f t="shared" si="8"/>
        <v>已收齐</v>
      </c>
      <c r="R70" s="54">
        <f t="shared" si="9"/>
        <v>202608</v>
      </c>
      <c r="S70" s="56" t="str">
        <f ca="1" t="shared" si="10"/>
        <v/>
      </c>
      <c r="T70" s="10"/>
    </row>
    <row r="71" spans="1:20">
      <c r="A71" s="56">
        <f>IF($B71="","",COUNTA($B$5:$B71))</f>
        <v>67</v>
      </c>
      <c r="B71" s="89">
        <v>46251</v>
      </c>
      <c r="C71" s="46" t="s">
        <v>77</v>
      </c>
      <c r="D71" s="56" t="str">
        <f>IFERROR(INDEX(基础资料!$C$4:$C$11,MATCH($C71,基础资料!$A$4:$A$11,0)),"")</f>
        <v>一般纳税人</v>
      </c>
      <c r="E71" s="39" t="s">
        <v>94</v>
      </c>
      <c r="F71" s="90" t="s">
        <v>456</v>
      </c>
      <c r="G71" s="69" t="s">
        <v>457</v>
      </c>
      <c r="H71" s="39"/>
      <c r="I71" s="10"/>
      <c r="J71" s="90">
        <v>69026.55</v>
      </c>
      <c r="K71" s="88">
        <v>0.13</v>
      </c>
      <c r="L71" s="57">
        <f t="shared" si="11"/>
        <v>8973.45</v>
      </c>
      <c r="M71" s="57">
        <f t="shared" si="6"/>
        <v>78000</v>
      </c>
      <c r="N71" s="57" t="str">
        <f>IF($I71="","",SUMIFS(资金流水!$K$5:$K$3032,资金流水!$Q$5:$Q$3015,$I71))</f>
        <v/>
      </c>
      <c r="O71" s="25">
        <v>78000</v>
      </c>
      <c r="P71" s="57">
        <f t="shared" si="7"/>
        <v>0</v>
      </c>
      <c r="Q71" s="58" t="str">
        <f t="shared" si="8"/>
        <v>已收齐</v>
      </c>
      <c r="R71" s="54">
        <f t="shared" si="9"/>
        <v>202608</v>
      </c>
      <c r="S71" s="56" t="str">
        <f ca="1" t="shared" si="10"/>
        <v/>
      </c>
      <c r="T71" s="10"/>
    </row>
    <row r="72" spans="1:20">
      <c r="A72" s="56">
        <f>IF($B72="","",COUNTA($B$5:$B72))</f>
        <v>68</v>
      </c>
      <c r="B72" s="89">
        <v>46260</v>
      </c>
      <c r="C72" s="46" t="s">
        <v>77</v>
      </c>
      <c r="D72" s="56" t="str">
        <f>IFERROR(INDEX(基础资料!$C$4:$C$11,MATCH($C72,基础资料!$A$4:$A$11,0)),"")</f>
        <v>一般纳税人</v>
      </c>
      <c r="E72" s="39" t="s">
        <v>94</v>
      </c>
      <c r="F72" s="90" t="s">
        <v>447</v>
      </c>
      <c r="G72" s="10" t="s">
        <v>205</v>
      </c>
      <c r="H72" s="39"/>
      <c r="I72" s="10"/>
      <c r="J72" s="90">
        <v>654761.02</v>
      </c>
      <c r="K72" s="88">
        <v>0.13</v>
      </c>
      <c r="L72" s="57">
        <v>85118.98</v>
      </c>
      <c r="M72" s="57">
        <f t="shared" si="6"/>
        <v>739880</v>
      </c>
      <c r="N72" s="57" t="str">
        <f>IF($I72="","",SUMIFS(资金流水!$K$5:$K$3032,资金流水!$Q$5:$Q$3015,$I72))</f>
        <v/>
      </c>
      <c r="O72" s="25"/>
      <c r="P72" s="57">
        <f t="shared" si="7"/>
        <v>739880</v>
      </c>
      <c r="Q72" s="58" t="str">
        <f t="shared" si="8"/>
        <v>未收款</v>
      </c>
      <c r="R72" s="54">
        <f t="shared" si="9"/>
        <v>202608</v>
      </c>
      <c r="S72" s="56">
        <f ca="1" t="shared" si="10"/>
        <v>17</v>
      </c>
      <c r="T72" s="10"/>
    </row>
    <row r="73" spans="1:20">
      <c r="A73" s="56">
        <f>IF($B73="","",COUNTA($B$5:$B73))</f>
        <v>69</v>
      </c>
      <c r="B73" s="89">
        <v>46240</v>
      </c>
      <c r="C73" s="46" t="s">
        <v>112</v>
      </c>
      <c r="D73" s="56" t="str">
        <f>IFERROR(INDEX(基础资料!$C$4:$C$11,MATCH($C73,基础资料!$A$4:$A$11,0)),"")</f>
        <v>一般纳税人</v>
      </c>
      <c r="E73" s="39" t="s">
        <v>109</v>
      </c>
      <c r="F73" s="62" t="s">
        <v>219</v>
      </c>
      <c r="G73" s="10" t="s">
        <v>259</v>
      </c>
      <c r="H73" s="39"/>
      <c r="I73" s="10"/>
      <c r="J73" s="90">
        <v>577574.35</v>
      </c>
      <c r="K73" s="88">
        <v>0.13</v>
      </c>
      <c r="L73" s="57">
        <v>75084.65</v>
      </c>
      <c r="M73" s="57">
        <f t="shared" si="6"/>
        <v>652659</v>
      </c>
      <c r="N73" s="57" t="str">
        <f>IF($I73="","",SUMIFS(资金流水!$K$5:$K$3032,资金流水!$Q$5:$Q$3015,$I73))</f>
        <v/>
      </c>
      <c r="O73" s="25">
        <v>652659</v>
      </c>
      <c r="P73" s="57">
        <f t="shared" si="7"/>
        <v>0</v>
      </c>
      <c r="Q73" s="58" t="str">
        <f t="shared" si="8"/>
        <v>已收齐</v>
      </c>
      <c r="R73" s="54">
        <f t="shared" si="9"/>
        <v>202608</v>
      </c>
      <c r="S73" s="56" t="str">
        <f ca="1" t="shared" si="10"/>
        <v/>
      </c>
      <c r="T73" s="10"/>
    </row>
    <row r="74" spans="1:20">
      <c r="A74" s="56">
        <f>IF($B74="","",COUNTA($B$5:$B74))</f>
        <v>70</v>
      </c>
      <c r="B74" s="89">
        <v>46237</v>
      </c>
      <c r="C74" s="46" t="s">
        <v>137</v>
      </c>
      <c r="D74" s="56" t="str">
        <f>IFERROR(INDEX(基础资料!$C$4:$C$11,MATCH($C74,基础资料!$A$4:$A$11,0)),"")</f>
        <v>小规模纳税人</v>
      </c>
      <c r="E74" s="39" t="s">
        <v>109</v>
      </c>
      <c r="F74" s="62" t="s">
        <v>265</v>
      </c>
      <c r="G74" s="10" t="s">
        <v>458</v>
      </c>
      <c r="H74" s="39"/>
      <c r="I74" s="10"/>
      <c r="J74" s="90">
        <v>154386.16</v>
      </c>
      <c r="K74" s="88">
        <v>0.01</v>
      </c>
      <c r="L74" s="57">
        <v>1543.84</v>
      </c>
      <c r="M74" s="57">
        <f t="shared" si="6"/>
        <v>155930</v>
      </c>
      <c r="N74" s="57" t="str">
        <f>IF($I74="","",SUMIFS(资金流水!$K$5:$K$3032,资金流水!$Q$5:$Q$3015,$I74))</f>
        <v/>
      </c>
      <c r="O74" s="25">
        <v>155930</v>
      </c>
      <c r="P74" s="57">
        <f t="shared" si="7"/>
        <v>0</v>
      </c>
      <c r="Q74" s="58" t="str">
        <f t="shared" si="8"/>
        <v>已收齐</v>
      </c>
      <c r="R74" s="54">
        <f t="shared" si="9"/>
        <v>202608</v>
      </c>
      <c r="S74" s="56" t="str">
        <f ca="1" t="shared" si="10"/>
        <v/>
      </c>
      <c r="T74" s="10"/>
    </row>
    <row r="75" spans="1:20">
      <c r="A75" s="56">
        <f>IF($B75="","",COUNTA($B$5:$B75))</f>
        <v>71</v>
      </c>
      <c r="B75" s="89">
        <v>46247</v>
      </c>
      <c r="C75" s="46" t="s">
        <v>137</v>
      </c>
      <c r="D75" s="56" t="str">
        <f>IFERROR(INDEX(基础资料!$C$4:$C$11,MATCH($C75,基础资料!$A$4:$A$11,0)),"")</f>
        <v>小规模纳税人</v>
      </c>
      <c r="E75" s="39" t="s">
        <v>109</v>
      </c>
      <c r="F75" s="62" t="s">
        <v>265</v>
      </c>
      <c r="G75" s="10" t="s">
        <v>458</v>
      </c>
      <c r="H75" s="39"/>
      <c r="I75" s="10"/>
      <c r="J75" s="90">
        <v>251534.66</v>
      </c>
      <c r="K75" s="88">
        <v>0.01</v>
      </c>
      <c r="L75" s="57">
        <v>2515.34</v>
      </c>
      <c r="M75" s="57">
        <f t="shared" si="6"/>
        <v>254050</v>
      </c>
      <c r="N75" s="57" t="str">
        <f>IF($I75="","",SUMIFS(资金流水!$K$5:$K$3032,资金流水!$Q$5:$Q$3015,$I75))</f>
        <v/>
      </c>
      <c r="O75" s="25">
        <v>254050</v>
      </c>
      <c r="P75" s="57">
        <f t="shared" si="7"/>
        <v>0</v>
      </c>
      <c r="Q75" s="58" t="str">
        <f t="shared" si="8"/>
        <v>已收齐</v>
      </c>
      <c r="R75" s="54">
        <f t="shared" si="9"/>
        <v>202608</v>
      </c>
      <c r="S75" s="56" t="str">
        <f ca="1" t="shared" si="10"/>
        <v/>
      </c>
      <c r="T75" s="10"/>
    </row>
    <row r="76" spans="1:20">
      <c r="A76" s="56">
        <f>IF($B76="","",COUNTA($B$5:$B76))</f>
        <v>72</v>
      </c>
      <c r="B76" s="89">
        <v>46254</v>
      </c>
      <c r="C76" s="46" t="s">
        <v>157</v>
      </c>
      <c r="D76" s="56" t="str">
        <f>IFERROR(INDEX(基础资料!$C$4:$C$11,MATCH($C76,基础资料!$A$4:$A$11,0)),"")</f>
        <v>小规模纳税人</v>
      </c>
      <c r="E76" s="39" t="s">
        <v>109</v>
      </c>
      <c r="F76" s="62" t="s">
        <v>142</v>
      </c>
      <c r="G76" s="10" t="s">
        <v>271</v>
      </c>
      <c r="H76" s="39"/>
      <c r="I76" s="10"/>
      <c r="J76" s="90">
        <v>872405.35</v>
      </c>
      <c r="K76" s="88">
        <v>0.01</v>
      </c>
      <c r="L76" s="57">
        <f t="shared" si="11"/>
        <v>8724.05</v>
      </c>
      <c r="M76" s="57">
        <f t="shared" si="6"/>
        <v>881129.4</v>
      </c>
      <c r="N76" s="57" t="str">
        <f>IF($I76="","",SUMIFS(资金流水!$K$5:$K$3032,资金流水!$Q$5:$Q$3015,$I76))</f>
        <v/>
      </c>
      <c r="O76" s="25"/>
      <c r="P76" s="57">
        <f t="shared" si="7"/>
        <v>881129.4</v>
      </c>
      <c r="Q76" s="58" t="str">
        <f t="shared" si="8"/>
        <v>未收款</v>
      </c>
      <c r="R76" s="54">
        <f t="shared" si="9"/>
        <v>202608</v>
      </c>
      <c r="S76" s="56">
        <f ca="1" t="shared" si="10"/>
        <v>23</v>
      </c>
      <c r="T76" s="10"/>
    </row>
    <row r="77" spans="1:20">
      <c r="A77" s="56">
        <f>IF($B77="","",COUNTA($B$5:$B77))</f>
        <v>73</v>
      </c>
      <c r="B77" s="89">
        <v>46260</v>
      </c>
      <c r="C77" s="46" t="s">
        <v>157</v>
      </c>
      <c r="D77" s="56" t="str">
        <f>IFERROR(INDEX(基础资料!$C$4:$C$11,MATCH($C77,基础资料!$A$4:$A$11,0)),"")</f>
        <v>小规模纳税人</v>
      </c>
      <c r="E77" s="39" t="s">
        <v>109</v>
      </c>
      <c r="F77" s="62" t="s">
        <v>142</v>
      </c>
      <c r="G77" s="10" t="s">
        <v>271</v>
      </c>
      <c r="H77" s="39"/>
      <c r="I77" s="10"/>
      <c r="J77" s="90">
        <v>1454008.89</v>
      </c>
      <c r="K77" s="88">
        <v>0.01</v>
      </c>
      <c r="L77" s="57">
        <v>14540.11</v>
      </c>
      <c r="M77" s="57">
        <f t="shared" si="6"/>
        <v>1468549</v>
      </c>
      <c r="N77" s="57" t="str">
        <f>IF($I77="","",SUMIFS(资金流水!$K$5:$K$3032,资金流水!$Q$5:$Q$3015,$I77))</f>
        <v/>
      </c>
      <c r="O77" s="25"/>
      <c r="P77" s="57">
        <f t="shared" si="7"/>
        <v>1468549</v>
      </c>
      <c r="Q77" s="58" t="str">
        <f t="shared" si="8"/>
        <v>未收款</v>
      </c>
      <c r="R77" s="54">
        <f t="shared" si="9"/>
        <v>202608</v>
      </c>
      <c r="S77" s="56">
        <f ca="1" t="shared" si="10"/>
        <v>17</v>
      </c>
      <c r="T77" s="10"/>
    </row>
    <row r="78" spans="1:20">
      <c r="A78" s="56" t="str">
        <f>IF($B78="","",COUNTA($B$5:$B78))</f>
        <v/>
      </c>
      <c r="B78" s="53"/>
      <c r="C78" s="46"/>
      <c r="D78" s="56" t="str">
        <f>IFERROR(INDEX(基础资料!$C$4:$C$11,MATCH($C78,基础资料!$A$4:$A$11,0)),"")</f>
        <v/>
      </c>
      <c r="E78" s="39"/>
      <c r="F78" s="46"/>
      <c r="G78" s="10"/>
      <c r="H78" s="39"/>
      <c r="I78" s="10"/>
      <c r="J78" s="25"/>
      <c r="K78" s="88"/>
      <c r="L78" s="57" t="str">
        <f t="shared" si="11"/>
        <v/>
      </c>
      <c r="M78" s="57" t="str">
        <f t="shared" si="6"/>
        <v/>
      </c>
      <c r="N78" s="57" t="str">
        <f>IF($I78="","",SUMIFS(资金流水!$K$5:$K$3032,资金流水!$Q$5:$Q$3015,$I78))</f>
        <v/>
      </c>
      <c r="O78" s="25"/>
      <c r="P78" s="57" t="str">
        <f t="shared" si="7"/>
        <v/>
      </c>
      <c r="Q78" s="58" t="str">
        <f t="shared" si="8"/>
        <v/>
      </c>
      <c r="R78" s="54" t="str">
        <f t="shared" si="9"/>
        <v/>
      </c>
      <c r="S78" s="56" t="str">
        <f ca="1" t="shared" si="10"/>
        <v/>
      </c>
      <c r="T78" s="10"/>
    </row>
    <row r="79" spans="1:20">
      <c r="A79" s="56" t="str">
        <f>IF($B79="","",COUNTA($B$5:$B79))</f>
        <v/>
      </c>
      <c r="B79" s="53"/>
      <c r="C79" s="46"/>
      <c r="D79" s="56" t="str">
        <f>IFERROR(INDEX(基础资料!$C$4:$C$11,MATCH($C79,基础资料!$A$4:$A$11,0)),"")</f>
        <v/>
      </c>
      <c r="E79" s="39"/>
      <c r="F79" s="46"/>
      <c r="G79" s="10"/>
      <c r="H79" s="39"/>
      <c r="I79" s="10"/>
      <c r="J79" s="25"/>
      <c r="K79" s="88"/>
      <c r="L79" s="57" t="str">
        <f t="shared" si="11"/>
        <v/>
      </c>
      <c r="M79" s="57" t="str">
        <f t="shared" si="6"/>
        <v/>
      </c>
      <c r="N79" s="57" t="str">
        <f>IF($I79="","",SUMIFS(资金流水!$K$5:$K$3032,资金流水!$Q$5:$Q$3015,$I79))</f>
        <v/>
      </c>
      <c r="O79" s="25"/>
      <c r="P79" s="57" t="str">
        <f t="shared" si="7"/>
        <v/>
      </c>
      <c r="Q79" s="58" t="str">
        <f t="shared" si="8"/>
        <v/>
      </c>
      <c r="R79" s="54" t="str">
        <f t="shared" si="9"/>
        <v/>
      </c>
      <c r="S79" s="56" t="str">
        <f ca="1" t="shared" si="10"/>
        <v/>
      </c>
      <c r="T79" s="10"/>
    </row>
    <row r="80" spans="1:20">
      <c r="A80" s="56" t="str">
        <f>IF($B80="","",COUNTA($B$5:$B80))</f>
        <v/>
      </c>
      <c r="B80" s="53"/>
      <c r="C80" s="46"/>
      <c r="D80" s="56" t="str">
        <f>IFERROR(INDEX(基础资料!$C$4:$C$11,MATCH($C80,基础资料!$A$4:$A$11,0)),"")</f>
        <v/>
      </c>
      <c r="E80" s="39"/>
      <c r="F80" s="46"/>
      <c r="G80" s="10"/>
      <c r="H80" s="39"/>
      <c r="I80" s="10"/>
      <c r="J80" s="25"/>
      <c r="K80" s="88"/>
      <c r="L80" s="57" t="str">
        <f t="shared" si="11"/>
        <v/>
      </c>
      <c r="M80" s="57" t="str">
        <f t="shared" si="6"/>
        <v/>
      </c>
      <c r="N80" s="57" t="str">
        <f>IF($I80="","",SUMIFS(资金流水!$K$5:$K$3032,资金流水!$Q$5:$Q$3015,$I80))</f>
        <v/>
      </c>
      <c r="O80" s="25"/>
      <c r="P80" s="57" t="str">
        <f t="shared" si="7"/>
        <v/>
      </c>
      <c r="Q80" s="58" t="str">
        <f t="shared" si="8"/>
        <v/>
      </c>
      <c r="R80" s="54" t="str">
        <f t="shared" si="9"/>
        <v/>
      </c>
      <c r="S80" s="56" t="str">
        <f ca="1" t="shared" si="10"/>
        <v/>
      </c>
      <c r="T80" s="10"/>
    </row>
    <row r="81" spans="1:20">
      <c r="A81" s="56" t="str">
        <f>IF($B81="","",COUNTA($B$5:$B81))</f>
        <v/>
      </c>
      <c r="B81" s="53"/>
      <c r="C81" s="46"/>
      <c r="D81" s="56" t="str">
        <f>IFERROR(INDEX(基础资料!$C$4:$C$11,MATCH($C81,基础资料!$A$4:$A$11,0)),"")</f>
        <v/>
      </c>
      <c r="E81" s="39"/>
      <c r="F81" s="46"/>
      <c r="G81" s="10"/>
      <c r="H81" s="39"/>
      <c r="I81" s="10"/>
      <c r="J81" s="25"/>
      <c r="K81" s="88"/>
      <c r="L81" s="57" t="str">
        <f t="shared" si="11"/>
        <v/>
      </c>
      <c r="M81" s="57" t="str">
        <f t="shared" si="6"/>
        <v/>
      </c>
      <c r="N81" s="57" t="str">
        <f>IF($I81="","",SUMIFS(资金流水!$K$5:$K$3032,资金流水!$Q$5:$Q$3015,$I81))</f>
        <v/>
      </c>
      <c r="O81" s="25"/>
      <c r="P81" s="57" t="str">
        <f t="shared" si="7"/>
        <v/>
      </c>
      <c r="Q81" s="58" t="str">
        <f t="shared" si="8"/>
        <v/>
      </c>
      <c r="R81" s="54" t="str">
        <f t="shared" si="9"/>
        <v/>
      </c>
      <c r="S81" s="56" t="str">
        <f ca="1" t="shared" si="10"/>
        <v/>
      </c>
      <c r="T81" s="10"/>
    </row>
    <row r="82" spans="1:20">
      <c r="A82" s="56" t="str">
        <f>IF($B82="","",COUNTA($B$5:$B82))</f>
        <v/>
      </c>
      <c r="B82" s="53"/>
      <c r="C82" s="46"/>
      <c r="D82" s="56" t="str">
        <f>IFERROR(INDEX(基础资料!$C$4:$C$11,MATCH($C82,基础资料!$A$4:$A$11,0)),"")</f>
        <v/>
      </c>
      <c r="E82" s="39"/>
      <c r="F82" s="46"/>
      <c r="G82" s="10"/>
      <c r="H82" s="39"/>
      <c r="I82" s="10"/>
      <c r="J82" s="25"/>
      <c r="K82" s="88"/>
      <c r="L82" s="57" t="str">
        <f t="shared" si="11"/>
        <v/>
      </c>
      <c r="M82" s="57" t="str">
        <f t="shared" si="6"/>
        <v/>
      </c>
      <c r="N82" s="57" t="str">
        <f>IF($I82="","",SUMIFS(资金流水!$K$5:$K$3032,资金流水!$Q$5:$Q$3015,$I82))</f>
        <v/>
      </c>
      <c r="O82" s="25"/>
      <c r="P82" s="57" t="str">
        <f t="shared" si="7"/>
        <v/>
      </c>
      <c r="Q82" s="58" t="str">
        <f t="shared" si="8"/>
        <v/>
      </c>
      <c r="R82" s="54" t="str">
        <f t="shared" si="9"/>
        <v/>
      </c>
      <c r="S82" s="56" t="str">
        <f ca="1" t="shared" si="10"/>
        <v/>
      </c>
      <c r="T82" s="10"/>
    </row>
    <row r="83" spans="1:20">
      <c r="A83" s="56" t="str">
        <f>IF($B83="","",COUNTA($B$5:$B83))</f>
        <v/>
      </c>
      <c r="B83" s="53"/>
      <c r="C83" s="46"/>
      <c r="D83" s="56" t="str">
        <f>IFERROR(INDEX(基础资料!$C$4:$C$11,MATCH($C83,基础资料!$A$4:$A$11,0)),"")</f>
        <v/>
      </c>
      <c r="E83" s="39"/>
      <c r="F83" s="46"/>
      <c r="G83" s="10"/>
      <c r="H83" s="39"/>
      <c r="I83" s="10"/>
      <c r="J83" s="25"/>
      <c r="K83" s="88"/>
      <c r="L83" s="57" t="str">
        <f t="shared" si="11"/>
        <v/>
      </c>
      <c r="M83" s="57" t="str">
        <f t="shared" si="6"/>
        <v/>
      </c>
      <c r="N83" s="57" t="str">
        <f>IF($I83="","",SUMIFS(资金流水!$K$5:$K$3032,资金流水!$Q$5:$Q$3015,$I83))</f>
        <v/>
      </c>
      <c r="O83" s="25"/>
      <c r="P83" s="57" t="str">
        <f t="shared" si="7"/>
        <v/>
      </c>
      <c r="Q83" s="58" t="str">
        <f t="shared" si="8"/>
        <v/>
      </c>
      <c r="R83" s="54" t="str">
        <f t="shared" si="9"/>
        <v/>
      </c>
      <c r="S83" s="56" t="str">
        <f ca="1" t="shared" si="10"/>
        <v/>
      </c>
      <c r="T83" s="10"/>
    </row>
    <row r="84" spans="1:20">
      <c r="A84" s="56" t="str">
        <f>IF($B84="","",COUNTA($B$5:$B84))</f>
        <v/>
      </c>
      <c r="B84" s="53"/>
      <c r="C84" s="46"/>
      <c r="D84" s="56" t="str">
        <f>IFERROR(INDEX(基础资料!$C$4:$C$11,MATCH($C84,基础资料!$A$4:$A$11,0)),"")</f>
        <v/>
      </c>
      <c r="E84" s="39"/>
      <c r="F84" s="46"/>
      <c r="G84" s="10"/>
      <c r="H84" s="39"/>
      <c r="I84" s="10"/>
      <c r="J84" s="25"/>
      <c r="K84" s="88"/>
      <c r="L84" s="57" t="str">
        <f t="shared" si="11"/>
        <v/>
      </c>
      <c r="M84" s="57" t="str">
        <f t="shared" si="6"/>
        <v/>
      </c>
      <c r="N84" s="57" t="str">
        <f>IF($I84="","",SUMIFS(资金流水!$K$5:$K$3032,资金流水!$Q$5:$Q$3015,$I84))</f>
        <v/>
      </c>
      <c r="O84" s="25"/>
      <c r="P84" s="57" t="str">
        <f t="shared" si="7"/>
        <v/>
      </c>
      <c r="Q84" s="58" t="str">
        <f t="shared" si="8"/>
        <v/>
      </c>
      <c r="R84" s="54" t="str">
        <f t="shared" si="9"/>
        <v/>
      </c>
      <c r="S84" s="56" t="str">
        <f ca="1" t="shared" si="10"/>
        <v/>
      </c>
      <c r="T84" s="10"/>
    </row>
    <row r="85" spans="1:20">
      <c r="A85" s="56" t="str">
        <f>IF($B85="","",COUNTA($B$5:$B85))</f>
        <v/>
      </c>
      <c r="B85" s="53"/>
      <c r="C85" s="46"/>
      <c r="D85" s="56" t="str">
        <f>IFERROR(INDEX(基础资料!$C$4:$C$11,MATCH($C85,基础资料!$A$4:$A$11,0)),"")</f>
        <v/>
      </c>
      <c r="E85" s="39"/>
      <c r="F85" s="46"/>
      <c r="G85" s="10"/>
      <c r="H85" s="39"/>
      <c r="I85" s="10"/>
      <c r="J85" s="25"/>
      <c r="K85" s="88"/>
      <c r="L85" s="57" t="str">
        <f t="shared" si="11"/>
        <v/>
      </c>
      <c r="M85" s="57" t="str">
        <f t="shared" si="6"/>
        <v/>
      </c>
      <c r="N85" s="57" t="str">
        <f>IF($I85="","",SUMIFS(资金流水!$K$5:$K$3032,资金流水!$Q$5:$Q$3015,$I85))</f>
        <v/>
      </c>
      <c r="O85" s="25"/>
      <c r="P85" s="57" t="str">
        <f t="shared" si="7"/>
        <v/>
      </c>
      <c r="Q85" s="58" t="str">
        <f t="shared" si="8"/>
        <v/>
      </c>
      <c r="R85" s="54" t="str">
        <f t="shared" si="9"/>
        <v/>
      </c>
      <c r="S85" s="56" t="str">
        <f ca="1" t="shared" si="10"/>
        <v/>
      </c>
      <c r="T85" s="10"/>
    </row>
    <row r="86" spans="1:20">
      <c r="A86" s="56" t="str">
        <f>IF($B86="","",COUNTA($B$5:$B86))</f>
        <v/>
      </c>
      <c r="B86" s="53"/>
      <c r="C86" s="46"/>
      <c r="D86" s="56" t="str">
        <f>IFERROR(INDEX(基础资料!$C$4:$C$11,MATCH($C86,基础资料!$A$4:$A$11,0)),"")</f>
        <v/>
      </c>
      <c r="E86" s="39"/>
      <c r="F86" s="46"/>
      <c r="G86" s="10"/>
      <c r="H86" s="39"/>
      <c r="I86" s="10"/>
      <c r="J86" s="25"/>
      <c r="K86" s="88"/>
      <c r="L86" s="57" t="str">
        <f t="shared" si="11"/>
        <v/>
      </c>
      <c r="M86" s="57" t="str">
        <f t="shared" si="6"/>
        <v/>
      </c>
      <c r="N86" s="57" t="str">
        <f>IF($I86="","",SUMIFS(资金流水!$K$5:$K$3032,资金流水!$Q$5:$Q$3015,$I86))</f>
        <v/>
      </c>
      <c r="O86" s="25"/>
      <c r="P86" s="57" t="str">
        <f t="shared" si="7"/>
        <v/>
      </c>
      <c r="Q86" s="58" t="str">
        <f t="shared" si="8"/>
        <v/>
      </c>
      <c r="R86" s="54" t="str">
        <f t="shared" si="9"/>
        <v/>
      </c>
      <c r="S86" s="56" t="str">
        <f ca="1" t="shared" si="10"/>
        <v/>
      </c>
      <c r="T86" s="10"/>
    </row>
    <row r="87" spans="1:20">
      <c r="A87" s="56" t="str">
        <f>IF($B87="","",COUNTA($B$5:$B87))</f>
        <v/>
      </c>
      <c r="B87" s="53"/>
      <c r="C87" s="46"/>
      <c r="D87" s="56" t="str">
        <f>IFERROR(INDEX(基础资料!$C$4:$C$11,MATCH($C87,基础资料!$A$4:$A$11,0)),"")</f>
        <v/>
      </c>
      <c r="E87" s="39"/>
      <c r="F87" s="46"/>
      <c r="G87" s="10"/>
      <c r="H87" s="39"/>
      <c r="I87" s="10"/>
      <c r="J87" s="25"/>
      <c r="K87" s="88"/>
      <c r="L87" s="57" t="str">
        <f t="shared" si="11"/>
        <v/>
      </c>
      <c r="M87" s="57" t="str">
        <f t="shared" si="6"/>
        <v/>
      </c>
      <c r="N87" s="57" t="str">
        <f>IF($I87="","",SUMIFS(资金流水!$K$5:$K$3032,资金流水!$Q$5:$Q$3015,$I87))</f>
        <v/>
      </c>
      <c r="O87" s="25"/>
      <c r="P87" s="57" t="str">
        <f t="shared" si="7"/>
        <v/>
      </c>
      <c r="Q87" s="58" t="str">
        <f t="shared" si="8"/>
        <v/>
      </c>
      <c r="R87" s="54" t="str">
        <f t="shared" si="9"/>
        <v/>
      </c>
      <c r="S87" s="56" t="str">
        <f ca="1" t="shared" si="10"/>
        <v/>
      </c>
      <c r="T87" s="10"/>
    </row>
    <row r="88" spans="1:20">
      <c r="A88" s="56" t="str">
        <f>IF($B88="","",COUNTA($B$5:$B88))</f>
        <v/>
      </c>
      <c r="B88" s="53"/>
      <c r="C88" s="46"/>
      <c r="D88" s="56" t="str">
        <f>IFERROR(INDEX(基础资料!$C$4:$C$11,MATCH($C88,基础资料!$A$4:$A$11,0)),"")</f>
        <v/>
      </c>
      <c r="E88" s="39"/>
      <c r="F88" s="46"/>
      <c r="G88" s="10"/>
      <c r="H88" s="39"/>
      <c r="I88" s="10"/>
      <c r="J88" s="25"/>
      <c r="K88" s="88"/>
      <c r="L88" s="57" t="str">
        <f t="shared" si="11"/>
        <v/>
      </c>
      <c r="M88" s="57" t="str">
        <f t="shared" si="6"/>
        <v/>
      </c>
      <c r="N88" s="57" t="str">
        <f>IF($I88="","",SUMIFS(资金流水!$K$5:$K$3032,资金流水!$Q$5:$Q$3015,$I88))</f>
        <v/>
      </c>
      <c r="O88" s="25"/>
      <c r="P88" s="57" t="str">
        <f t="shared" si="7"/>
        <v/>
      </c>
      <c r="Q88" s="58" t="str">
        <f t="shared" si="8"/>
        <v/>
      </c>
      <c r="R88" s="54" t="str">
        <f t="shared" si="9"/>
        <v/>
      </c>
      <c r="S88" s="56" t="str">
        <f ca="1" t="shared" si="10"/>
        <v/>
      </c>
      <c r="T88" s="10"/>
    </row>
    <row r="89" spans="1:20">
      <c r="A89" s="56" t="str">
        <f>IF($B89="","",COUNTA($B$5:$B89))</f>
        <v/>
      </c>
      <c r="B89" s="53"/>
      <c r="C89" s="46"/>
      <c r="D89" s="56" t="str">
        <f>IFERROR(INDEX(基础资料!$C$4:$C$11,MATCH($C89,基础资料!$A$4:$A$11,0)),"")</f>
        <v/>
      </c>
      <c r="E89" s="39"/>
      <c r="F89" s="46"/>
      <c r="G89" s="10"/>
      <c r="H89" s="39"/>
      <c r="I89" s="10"/>
      <c r="J89" s="25"/>
      <c r="K89" s="88"/>
      <c r="L89" s="57" t="str">
        <f t="shared" si="11"/>
        <v/>
      </c>
      <c r="M89" s="57" t="str">
        <f t="shared" si="6"/>
        <v/>
      </c>
      <c r="N89" s="57" t="str">
        <f>IF($I89="","",SUMIFS(资金流水!$K$5:$K$3032,资金流水!$Q$5:$Q$3015,$I89))</f>
        <v/>
      </c>
      <c r="O89" s="25"/>
      <c r="P89" s="57" t="str">
        <f t="shared" si="7"/>
        <v/>
      </c>
      <c r="Q89" s="58" t="str">
        <f t="shared" si="8"/>
        <v/>
      </c>
      <c r="R89" s="54" t="str">
        <f t="shared" si="9"/>
        <v/>
      </c>
      <c r="S89" s="56" t="str">
        <f ca="1" t="shared" si="10"/>
        <v/>
      </c>
      <c r="T89" s="10"/>
    </row>
    <row r="90" spans="1:20">
      <c r="A90" s="56" t="str">
        <f>IF($B90="","",COUNTA($B$5:$B90))</f>
        <v/>
      </c>
      <c r="B90" s="53"/>
      <c r="C90" s="46"/>
      <c r="D90" s="56" t="str">
        <f>IFERROR(INDEX(基础资料!$C$4:$C$11,MATCH($C90,基础资料!$A$4:$A$11,0)),"")</f>
        <v/>
      </c>
      <c r="E90" s="39"/>
      <c r="F90" s="46"/>
      <c r="G90" s="10"/>
      <c r="H90" s="39"/>
      <c r="I90" s="10"/>
      <c r="J90" s="25"/>
      <c r="K90" s="88"/>
      <c r="L90" s="57" t="str">
        <f t="shared" si="11"/>
        <v/>
      </c>
      <c r="M90" s="57" t="str">
        <f t="shared" si="6"/>
        <v/>
      </c>
      <c r="N90" s="57" t="str">
        <f>IF($I90="","",SUMIFS(资金流水!$K$5:$K$3032,资金流水!$Q$5:$Q$3015,$I90))</f>
        <v/>
      </c>
      <c r="O90" s="25"/>
      <c r="P90" s="57" t="str">
        <f t="shared" si="7"/>
        <v/>
      </c>
      <c r="Q90" s="58" t="str">
        <f t="shared" si="8"/>
        <v/>
      </c>
      <c r="R90" s="54" t="str">
        <f t="shared" si="9"/>
        <v/>
      </c>
      <c r="S90" s="56" t="str">
        <f ca="1" t="shared" si="10"/>
        <v/>
      </c>
      <c r="T90" s="10"/>
    </row>
    <row r="91" spans="1:20">
      <c r="A91" s="56" t="str">
        <f>IF($B91="","",COUNTA($B$5:$B91))</f>
        <v/>
      </c>
      <c r="B91" s="53"/>
      <c r="C91" s="46"/>
      <c r="D91" s="56" t="str">
        <f>IFERROR(INDEX(基础资料!$C$4:$C$11,MATCH($C91,基础资料!$A$4:$A$11,0)),"")</f>
        <v/>
      </c>
      <c r="E91" s="39"/>
      <c r="F91" s="46"/>
      <c r="G91" s="10"/>
      <c r="H91" s="39"/>
      <c r="I91" s="10"/>
      <c r="J91" s="25"/>
      <c r="K91" s="88"/>
      <c r="L91" s="57" t="str">
        <f t="shared" si="11"/>
        <v/>
      </c>
      <c r="M91" s="57" t="str">
        <f t="shared" si="6"/>
        <v/>
      </c>
      <c r="N91" s="57" t="str">
        <f>IF($I91="","",SUMIFS(资金流水!$K$5:$K$3032,资金流水!$Q$5:$Q$3015,$I91))</f>
        <v/>
      </c>
      <c r="O91" s="25"/>
      <c r="P91" s="57" t="str">
        <f t="shared" si="7"/>
        <v/>
      </c>
      <c r="Q91" s="58" t="str">
        <f t="shared" si="8"/>
        <v/>
      </c>
      <c r="R91" s="54" t="str">
        <f t="shared" si="9"/>
        <v/>
      </c>
      <c r="S91" s="56" t="str">
        <f ca="1" t="shared" si="10"/>
        <v/>
      </c>
      <c r="T91" s="10"/>
    </row>
    <row r="92" spans="1:20">
      <c r="A92" s="56" t="str">
        <f>IF($B92="","",COUNTA($B$5:$B92))</f>
        <v/>
      </c>
      <c r="B92" s="53"/>
      <c r="C92" s="46"/>
      <c r="D92" s="56" t="str">
        <f>IFERROR(INDEX(基础资料!$C$4:$C$11,MATCH($C92,基础资料!$A$4:$A$11,0)),"")</f>
        <v/>
      </c>
      <c r="E92" s="39"/>
      <c r="F92" s="46"/>
      <c r="G92" s="10"/>
      <c r="H92" s="39"/>
      <c r="I92" s="10"/>
      <c r="J92" s="25"/>
      <c r="K92" s="88"/>
      <c r="L92" s="57" t="str">
        <f t="shared" si="11"/>
        <v/>
      </c>
      <c r="M92" s="57" t="str">
        <f t="shared" si="6"/>
        <v/>
      </c>
      <c r="N92" s="57" t="str">
        <f>IF($I92="","",SUMIFS(资金流水!$K$5:$K$3032,资金流水!$Q$5:$Q$3015,$I92))</f>
        <v/>
      </c>
      <c r="O92" s="25"/>
      <c r="P92" s="57" t="str">
        <f t="shared" si="7"/>
        <v/>
      </c>
      <c r="Q92" s="58" t="str">
        <f t="shared" si="8"/>
        <v/>
      </c>
      <c r="R92" s="54" t="str">
        <f t="shared" si="9"/>
        <v/>
      </c>
      <c r="S92" s="56" t="str">
        <f ca="1" t="shared" si="10"/>
        <v/>
      </c>
      <c r="T92" s="10"/>
    </row>
    <row r="93" spans="1:20">
      <c r="A93" s="56" t="str">
        <f>IF($B93="","",COUNTA($B$5:$B93))</f>
        <v/>
      </c>
      <c r="B93" s="53"/>
      <c r="C93" s="46"/>
      <c r="D93" s="56" t="str">
        <f>IFERROR(INDEX(基础资料!$C$4:$C$11,MATCH($C93,基础资料!$A$4:$A$11,0)),"")</f>
        <v/>
      </c>
      <c r="E93" s="39"/>
      <c r="F93" s="46"/>
      <c r="G93" s="10"/>
      <c r="H93" s="39"/>
      <c r="I93" s="10"/>
      <c r="J93" s="25"/>
      <c r="K93" s="88"/>
      <c r="L93" s="57" t="str">
        <f t="shared" si="11"/>
        <v/>
      </c>
      <c r="M93" s="57" t="str">
        <f t="shared" si="6"/>
        <v/>
      </c>
      <c r="N93" s="57" t="str">
        <f>IF($I93="","",SUMIFS(资金流水!$K$5:$K$3032,资金流水!$Q$5:$Q$3015,$I93))</f>
        <v/>
      </c>
      <c r="O93" s="25"/>
      <c r="P93" s="57" t="str">
        <f t="shared" si="7"/>
        <v/>
      </c>
      <c r="Q93" s="58" t="str">
        <f t="shared" si="8"/>
        <v/>
      </c>
      <c r="R93" s="54" t="str">
        <f t="shared" si="9"/>
        <v/>
      </c>
      <c r="S93" s="56" t="str">
        <f ca="1" t="shared" si="10"/>
        <v/>
      </c>
      <c r="T93" s="10"/>
    </row>
    <row r="94" spans="1:20">
      <c r="A94" s="56" t="str">
        <f>IF($B94="","",COUNTA($B$5:$B94))</f>
        <v/>
      </c>
      <c r="B94" s="53"/>
      <c r="C94" s="46"/>
      <c r="D94" s="56" t="str">
        <f>IFERROR(INDEX(基础资料!$C$4:$C$11,MATCH($C94,基础资料!$A$4:$A$11,0)),"")</f>
        <v/>
      </c>
      <c r="E94" s="39"/>
      <c r="F94" s="46"/>
      <c r="G94" s="10"/>
      <c r="H94" s="39"/>
      <c r="I94" s="10"/>
      <c r="J94" s="25"/>
      <c r="K94" s="88"/>
      <c r="L94" s="57" t="str">
        <f t="shared" si="11"/>
        <v/>
      </c>
      <c r="M94" s="57" t="str">
        <f t="shared" si="6"/>
        <v/>
      </c>
      <c r="N94" s="57" t="str">
        <f>IF($I94="","",SUMIFS(资金流水!$K$5:$K$3032,资金流水!$Q$5:$Q$3015,$I94))</f>
        <v/>
      </c>
      <c r="O94" s="25"/>
      <c r="P94" s="57" t="str">
        <f t="shared" si="7"/>
        <v/>
      </c>
      <c r="Q94" s="58" t="str">
        <f t="shared" si="8"/>
        <v/>
      </c>
      <c r="R94" s="54" t="str">
        <f t="shared" si="9"/>
        <v/>
      </c>
      <c r="S94" s="56" t="str">
        <f ca="1" t="shared" si="10"/>
        <v/>
      </c>
      <c r="T94" s="10"/>
    </row>
    <row r="95" spans="1:20">
      <c r="A95" s="56" t="str">
        <f>IF($B95="","",COUNTA($B$5:$B95))</f>
        <v/>
      </c>
      <c r="B95" s="53"/>
      <c r="C95" s="46"/>
      <c r="D95" s="56" t="str">
        <f>IFERROR(INDEX(基础资料!$C$4:$C$11,MATCH($C95,基础资料!$A$4:$A$11,0)),"")</f>
        <v/>
      </c>
      <c r="E95" s="39"/>
      <c r="F95" s="46"/>
      <c r="G95" s="10"/>
      <c r="H95" s="39"/>
      <c r="I95" s="10"/>
      <c r="J95" s="25"/>
      <c r="K95" s="88"/>
      <c r="L95" s="57" t="str">
        <f t="shared" si="11"/>
        <v/>
      </c>
      <c r="M95" s="57" t="str">
        <f t="shared" si="6"/>
        <v/>
      </c>
      <c r="N95" s="57" t="str">
        <f>IF($I95="","",SUMIFS(资金流水!$K$5:$K$3032,资金流水!$Q$5:$Q$3015,$I95))</f>
        <v/>
      </c>
      <c r="O95" s="25"/>
      <c r="P95" s="57" t="str">
        <f t="shared" si="7"/>
        <v/>
      </c>
      <c r="Q95" s="58" t="str">
        <f t="shared" si="8"/>
        <v/>
      </c>
      <c r="R95" s="54" t="str">
        <f t="shared" si="9"/>
        <v/>
      </c>
      <c r="S95" s="56" t="str">
        <f ca="1" t="shared" si="10"/>
        <v/>
      </c>
      <c r="T95" s="10"/>
    </row>
    <row r="96" spans="1:20">
      <c r="A96" s="56" t="str">
        <f>IF($B96="","",COUNTA($B$5:$B96))</f>
        <v/>
      </c>
      <c r="B96" s="53"/>
      <c r="C96" s="46"/>
      <c r="D96" s="56" t="str">
        <f>IFERROR(INDEX(基础资料!$C$4:$C$11,MATCH($C96,基础资料!$A$4:$A$11,0)),"")</f>
        <v/>
      </c>
      <c r="E96" s="39"/>
      <c r="F96" s="46"/>
      <c r="G96" s="10"/>
      <c r="H96" s="39"/>
      <c r="I96" s="10"/>
      <c r="J96" s="25"/>
      <c r="K96" s="88"/>
      <c r="L96" s="57" t="str">
        <f t="shared" si="11"/>
        <v/>
      </c>
      <c r="M96" s="57" t="str">
        <f t="shared" si="6"/>
        <v/>
      </c>
      <c r="N96" s="57" t="str">
        <f>IF($I96="","",SUMIFS(资金流水!$K$5:$K$3032,资金流水!$Q$5:$Q$3015,$I96))</f>
        <v/>
      </c>
      <c r="O96" s="25"/>
      <c r="P96" s="57" t="str">
        <f t="shared" si="7"/>
        <v/>
      </c>
      <c r="Q96" s="58" t="str">
        <f t="shared" si="8"/>
        <v/>
      </c>
      <c r="R96" s="54" t="str">
        <f t="shared" si="9"/>
        <v/>
      </c>
      <c r="S96" s="56" t="str">
        <f ca="1" t="shared" si="10"/>
        <v/>
      </c>
      <c r="T96" s="10"/>
    </row>
    <row r="97" spans="1:20">
      <c r="A97" s="56" t="str">
        <f>IF($B97="","",COUNTA($B$5:$B97))</f>
        <v/>
      </c>
      <c r="B97" s="53"/>
      <c r="C97" s="46"/>
      <c r="D97" s="56" t="str">
        <f>IFERROR(INDEX(基础资料!$C$4:$C$11,MATCH($C97,基础资料!$A$4:$A$11,0)),"")</f>
        <v/>
      </c>
      <c r="E97" s="39"/>
      <c r="F97" s="46"/>
      <c r="G97" s="10"/>
      <c r="H97" s="39"/>
      <c r="I97" s="10"/>
      <c r="J97" s="25"/>
      <c r="K97" s="88"/>
      <c r="L97" s="57" t="str">
        <f t="shared" si="11"/>
        <v/>
      </c>
      <c r="M97" s="57" t="str">
        <f t="shared" si="6"/>
        <v/>
      </c>
      <c r="N97" s="57" t="str">
        <f>IF($I97="","",SUMIFS(资金流水!$K$5:$K$3032,资金流水!$Q$5:$Q$3015,$I97))</f>
        <v/>
      </c>
      <c r="O97" s="25"/>
      <c r="P97" s="57" t="str">
        <f t="shared" si="7"/>
        <v/>
      </c>
      <c r="Q97" s="58" t="str">
        <f t="shared" si="8"/>
        <v/>
      </c>
      <c r="R97" s="54" t="str">
        <f t="shared" si="9"/>
        <v/>
      </c>
      <c r="S97" s="56" t="str">
        <f ca="1" t="shared" si="10"/>
        <v/>
      </c>
      <c r="T97" s="10"/>
    </row>
    <row r="98" spans="1:20">
      <c r="A98" s="56" t="str">
        <f>IF($B98="","",COUNTA($B$5:$B98))</f>
        <v/>
      </c>
      <c r="B98" s="53"/>
      <c r="C98" s="46"/>
      <c r="D98" s="56" t="str">
        <f>IFERROR(INDEX(基础资料!$C$4:$C$11,MATCH($C98,基础资料!$A$4:$A$11,0)),"")</f>
        <v/>
      </c>
      <c r="E98" s="39"/>
      <c r="F98" s="46"/>
      <c r="G98" s="10"/>
      <c r="H98" s="39"/>
      <c r="I98" s="10"/>
      <c r="J98" s="25"/>
      <c r="K98" s="88"/>
      <c r="L98" s="57" t="str">
        <f t="shared" si="11"/>
        <v/>
      </c>
      <c r="M98" s="57" t="str">
        <f t="shared" si="6"/>
        <v/>
      </c>
      <c r="N98" s="57" t="str">
        <f>IF($I98="","",SUMIFS(资金流水!$K$5:$K$3032,资金流水!$Q$5:$Q$3015,$I98))</f>
        <v/>
      </c>
      <c r="O98" s="25"/>
      <c r="P98" s="57" t="str">
        <f t="shared" si="7"/>
        <v/>
      </c>
      <c r="Q98" s="58" t="str">
        <f t="shared" si="8"/>
        <v/>
      </c>
      <c r="R98" s="54" t="str">
        <f t="shared" si="9"/>
        <v/>
      </c>
      <c r="S98" s="56" t="str">
        <f ca="1" t="shared" si="10"/>
        <v/>
      </c>
      <c r="T98" s="10"/>
    </row>
    <row r="99" spans="1:20">
      <c r="A99" s="56" t="str">
        <f>IF($B99="","",COUNTA($B$5:$B99))</f>
        <v/>
      </c>
      <c r="B99" s="53"/>
      <c r="C99" s="46"/>
      <c r="D99" s="56" t="str">
        <f>IFERROR(INDEX(基础资料!$C$4:$C$11,MATCH($C99,基础资料!$A$4:$A$11,0)),"")</f>
        <v/>
      </c>
      <c r="E99" s="39"/>
      <c r="F99" s="46"/>
      <c r="G99" s="10"/>
      <c r="H99" s="39"/>
      <c r="I99" s="10"/>
      <c r="J99" s="25"/>
      <c r="K99" s="88"/>
      <c r="L99" s="57" t="str">
        <f t="shared" si="11"/>
        <v/>
      </c>
      <c r="M99" s="57" t="str">
        <f t="shared" si="6"/>
        <v/>
      </c>
      <c r="N99" s="57" t="str">
        <f>IF($I99="","",SUMIFS(资金流水!$K$5:$K$3032,资金流水!$Q$5:$Q$3015,$I99))</f>
        <v/>
      </c>
      <c r="O99" s="25"/>
      <c r="P99" s="57" t="str">
        <f t="shared" si="7"/>
        <v/>
      </c>
      <c r="Q99" s="58" t="str">
        <f t="shared" si="8"/>
        <v/>
      </c>
      <c r="R99" s="54" t="str">
        <f t="shared" si="9"/>
        <v/>
      </c>
      <c r="S99" s="56" t="str">
        <f ca="1" t="shared" si="10"/>
        <v/>
      </c>
      <c r="T99" s="10"/>
    </row>
    <row r="100" spans="1:20">
      <c r="A100" s="56" t="str">
        <f>IF($B100="","",COUNTA($B$5:$B100))</f>
        <v/>
      </c>
      <c r="B100" s="53"/>
      <c r="C100" s="46"/>
      <c r="D100" s="56" t="str">
        <f>IFERROR(INDEX(基础资料!$C$4:$C$11,MATCH($C100,基础资料!$A$4:$A$11,0)),"")</f>
        <v/>
      </c>
      <c r="E100" s="39"/>
      <c r="F100" s="46"/>
      <c r="G100" s="10"/>
      <c r="H100" s="39"/>
      <c r="I100" s="10"/>
      <c r="J100" s="25"/>
      <c r="K100" s="88"/>
      <c r="L100" s="57" t="str">
        <f t="shared" si="11"/>
        <v/>
      </c>
      <c r="M100" s="57" t="str">
        <f t="shared" si="6"/>
        <v/>
      </c>
      <c r="N100" s="57" t="str">
        <f>IF($I100="","",SUMIFS(资金流水!$K$5:$K$3032,资金流水!$Q$5:$Q$3015,$I100))</f>
        <v/>
      </c>
      <c r="O100" s="25"/>
      <c r="P100" s="57" t="str">
        <f t="shared" si="7"/>
        <v/>
      </c>
      <c r="Q100" s="58" t="str">
        <f t="shared" si="8"/>
        <v/>
      </c>
      <c r="R100" s="54" t="str">
        <f t="shared" si="9"/>
        <v/>
      </c>
      <c r="S100" s="56" t="str">
        <f ca="1" t="shared" si="10"/>
        <v/>
      </c>
      <c r="T100" s="10"/>
    </row>
    <row r="101" spans="1:20">
      <c r="A101" s="56" t="str">
        <f>IF($B101="","",COUNTA($B$5:$B101))</f>
        <v/>
      </c>
      <c r="B101" s="53"/>
      <c r="C101" s="46"/>
      <c r="D101" s="56" t="str">
        <f>IFERROR(INDEX(基础资料!$C$4:$C$11,MATCH($C101,基础资料!$A$4:$A$11,0)),"")</f>
        <v/>
      </c>
      <c r="E101" s="39"/>
      <c r="F101" s="46"/>
      <c r="G101" s="10"/>
      <c r="H101" s="39"/>
      <c r="I101" s="10"/>
      <c r="J101" s="25"/>
      <c r="K101" s="88"/>
      <c r="L101" s="57" t="str">
        <f t="shared" si="11"/>
        <v/>
      </c>
      <c r="M101" s="57" t="str">
        <f t="shared" si="6"/>
        <v/>
      </c>
      <c r="N101" s="57" t="str">
        <f>IF($I101="","",SUMIFS(资金流水!$K$5:$K$3032,资金流水!$Q$5:$Q$3015,$I101))</f>
        <v/>
      </c>
      <c r="O101" s="25"/>
      <c r="P101" s="57" t="str">
        <f t="shared" si="7"/>
        <v/>
      </c>
      <c r="Q101" s="58" t="str">
        <f t="shared" si="8"/>
        <v/>
      </c>
      <c r="R101" s="54" t="str">
        <f t="shared" si="9"/>
        <v/>
      </c>
      <c r="S101" s="56" t="str">
        <f ca="1" t="shared" si="10"/>
        <v/>
      </c>
      <c r="T101" s="10"/>
    </row>
    <row r="102" spans="1:20">
      <c r="A102" s="56" t="str">
        <f>IF($B102="","",COUNTA($B$5:$B102))</f>
        <v/>
      </c>
      <c r="B102" s="53"/>
      <c r="C102" s="46"/>
      <c r="D102" s="56" t="str">
        <f>IFERROR(INDEX(基础资料!$C$4:$C$11,MATCH($C102,基础资料!$A$4:$A$11,0)),"")</f>
        <v/>
      </c>
      <c r="E102" s="39"/>
      <c r="F102" s="46"/>
      <c r="G102" s="10"/>
      <c r="H102" s="39"/>
      <c r="I102" s="10"/>
      <c r="J102" s="25"/>
      <c r="K102" s="88"/>
      <c r="L102" s="57" t="str">
        <f t="shared" si="11"/>
        <v/>
      </c>
      <c r="M102" s="57" t="str">
        <f t="shared" si="6"/>
        <v/>
      </c>
      <c r="N102" s="57" t="str">
        <f>IF($I102="","",SUMIFS(资金流水!$K$5:$K$3032,资金流水!$Q$5:$Q$3015,$I102))</f>
        <v/>
      </c>
      <c r="O102" s="25"/>
      <c r="P102" s="57" t="str">
        <f t="shared" si="7"/>
        <v/>
      </c>
      <c r="Q102" s="58" t="str">
        <f t="shared" si="8"/>
        <v/>
      </c>
      <c r="R102" s="54" t="str">
        <f t="shared" si="9"/>
        <v/>
      </c>
      <c r="S102" s="56" t="str">
        <f ca="1" t="shared" si="10"/>
        <v/>
      </c>
      <c r="T102" s="10"/>
    </row>
    <row r="103" spans="1:20">
      <c r="A103" s="56" t="str">
        <f>IF($B103="","",COUNTA($B$5:$B103))</f>
        <v/>
      </c>
      <c r="B103" s="53"/>
      <c r="C103" s="46"/>
      <c r="D103" s="56" t="str">
        <f>IFERROR(INDEX(基础资料!$C$4:$C$11,MATCH($C103,基础资料!$A$4:$A$11,0)),"")</f>
        <v/>
      </c>
      <c r="E103" s="39"/>
      <c r="F103" s="46"/>
      <c r="G103" s="10"/>
      <c r="H103" s="39"/>
      <c r="I103" s="10"/>
      <c r="J103" s="25"/>
      <c r="K103" s="88"/>
      <c r="L103" s="57" t="str">
        <f t="shared" si="11"/>
        <v/>
      </c>
      <c r="M103" s="57" t="str">
        <f t="shared" si="6"/>
        <v/>
      </c>
      <c r="N103" s="57" t="str">
        <f>IF($I103="","",SUMIFS(资金流水!$K$5:$K$3032,资金流水!$Q$5:$Q$3015,$I103))</f>
        <v/>
      </c>
      <c r="O103" s="25"/>
      <c r="P103" s="57" t="str">
        <f t="shared" si="7"/>
        <v/>
      </c>
      <c r="Q103" s="58" t="str">
        <f t="shared" si="8"/>
        <v/>
      </c>
      <c r="R103" s="54" t="str">
        <f t="shared" si="9"/>
        <v/>
      </c>
      <c r="S103" s="56" t="str">
        <f ca="1" t="shared" si="10"/>
        <v/>
      </c>
      <c r="T103" s="10"/>
    </row>
    <row r="104" spans="1:20">
      <c r="A104" s="56" t="str">
        <f>IF($B104="","",COUNTA($B$5:$B104))</f>
        <v/>
      </c>
      <c r="B104" s="53"/>
      <c r="C104" s="46"/>
      <c r="D104" s="56" t="str">
        <f>IFERROR(INDEX(基础资料!$C$4:$C$11,MATCH($C104,基础资料!$A$4:$A$11,0)),"")</f>
        <v/>
      </c>
      <c r="E104" s="39"/>
      <c r="F104" s="46"/>
      <c r="G104" s="10"/>
      <c r="H104" s="39"/>
      <c r="I104" s="10"/>
      <c r="J104" s="25"/>
      <c r="K104" s="88"/>
      <c r="L104" s="57" t="str">
        <f t="shared" si="11"/>
        <v/>
      </c>
      <c r="M104" s="57" t="str">
        <f t="shared" si="6"/>
        <v/>
      </c>
      <c r="N104" s="57" t="str">
        <f>IF($I104="","",SUMIFS(资金流水!$K$5:$K$3032,资金流水!$Q$5:$Q$3015,$I104))</f>
        <v/>
      </c>
      <c r="O104" s="25"/>
      <c r="P104" s="57" t="str">
        <f t="shared" si="7"/>
        <v/>
      </c>
      <c r="Q104" s="58" t="str">
        <f t="shared" si="8"/>
        <v/>
      </c>
      <c r="R104" s="54" t="str">
        <f t="shared" si="9"/>
        <v/>
      </c>
      <c r="S104" s="56" t="str">
        <f ca="1" t="shared" si="10"/>
        <v/>
      </c>
      <c r="T104" s="10"/>
    </row>
    <row r="105" spans="1:20">
      <c r="A105" s="56" t="str">
        <f>IF($B105="","",COUNTA($B$5:$B105))</f>
        <v/>
      </c>
      <c r="B105" s="53"/>
      <c r="C105" s="46"/>
      <c r="D105" s="56" t="str">
        <f>IFERROR(INDEX(基础资料!$C$4:$C$11,MATCH($C105,基础资料!$A$4:$A$11,0)),"")</f>
        <v/>
      </c>
      <c r="E105" s="39"/>
      <c r="F105" s="46"/>
      <c r="G105" s="10"/>
      <c r="H105" s="39"/>
      <c r="I105" s="10"/>
      <c r="J105" s="25"/>
      <c r="K105" s="88"/>
      <c r="L105" s="57" t="str">
        <f t="shared" si="11"/>
        <v/>
      </c>
      <c r="M105" s="57" t="str">
        <f t="shared" si="6"/>
        <v/>
      </c>
      <c r="N105" s="57" t="str">
        <f>IF($I105="","",SUMIFS(资金流水!$K$5:$K$3032,资金流水!$Q$5:$Q$3015,$I105))</f>
        <v/>
      </c>
      <c r="O105" s="25"/>
      <c r="P105" s="57" t="str">
        <f t="shared" si="7"/>
        <v/>
      </c>
      <c r="Q105" s="58" t="str">
        <f t="shared" si="8"/>
        <v/>
      </c>
      <c r="R105" s="54" t="str">
        <f t="shared" si="9"/>
        <v/>
      </c>
      <c r="S105" s="56" t="str">
        <f ca="1" t="shared" si="10"/>
        <v/>
      </c>
      <c r="T105" s="10"/>
    </row>
    <row r="106" spans="1:20">
      <c r="A106" s="56" t="str">
        <f>IF($B106="","",COUNTA($B$5:$B106))</f>
        <v/>
      </c>
      <c r="B106" s="53"/>
      <c r="C106" s="46"/>
      <c r="D106" s="56" t="str">
        <f>IFERROR(INDEX(基础资料!$C$4:$C$11,MATCH($C106,基础资料!$A$4:$A$11,0)),"")</f>
        <v/>
      </c>
      <c r="E106" s="39"/>
      <c r="F106" s="46"/>
      <c r="G106" s="10"/>
      <c r="H106" s="39"/>
      <c r="I106" s="10"/>
      <c r="J106" s="25"/>
      <c r="K106" s="88"/>
      <c r="L106" s="57" t="str">
        <f t="shared" si="11"/>
        <v/>
      </c>
      <c r="M106" s="57" t="str">
        <f t="shared" si="6"/>
        <v/>
      </c>
      <c r="N106" s="57" t="str">
        <f>IF($I106="","",SUMIFS(资金流水!$K$5:$K$3032,资金流水!$Q$5:$Q$3015,$I106))</f>
        <v/>
      </c>
      <c r="O106" s="25"/>
      <c r="P106" s="57" t="str">
        <f t="shared" si="7"/>
        <v/>
      </c>
      <c r="Q106" s="58" t="str">
        <f t="shared" si="8"/>
        <v/>
      </c>
      <c r="R106" s="54" t="str">
        <f t="shared" si="9"/>
        <v/>
      </c>
      <c r="S106" s="56" t="str">
        <f ca="1" t="shared" si="10"/>
        <v/>
      </c>
      <c r="T106" s="10"/>
    </row>
    <row r="107" spans="1:20">
      <c r="A107" s="56" t="str">
        <f>IF($B107="","",COUNTA($B$5:$B107))</f>
        <v/>
      </c>
      <c r="B107" s="53"/>
      <c r="C107" s="46"/>
      <c r="D107" s="56" t="str">
        <f>IFERROR(INDEX(基础资料!$C$4:$C$11,MATCH($C107,基础资料!$A$4:$A$11,0)),"")</f>
        <v/>
      </c>
      <c r="E107" s="39"/>
      <c r="F107" s="46"/>
      <c r="G107" s="10"/>
      <c r="H107" s="39"/>
      <c r="I107" s="10"/>
      <c r="J107" s="25"/>
      <c r="K107" s="88"/>
      <c r="L107" s="57" t="str">
        <f t="shared" si="11"/>
        <v/>
      </c>
      <c r="M107" s="57" t="str">
        <f t="shared" si="6"/>
        <v/>
      </c>
      <c r="N107" s="57" t="str">
        <f>IF($I107="","",SUMIFS(资金流水!$K$5:$K$3032,资金流水!$Q$5:$Q$3015,$I107))</f>
        <v/>
      </c>
      <c r="O107" s="25"/>
      <c r="P107" s="57" t="str">
        <f t="shared" si="7"/>
        <v/>
      </c>
      <c r="Q107" s="58" t="str">
        <f t="shared" si="8"/>
        <v/>
      </c>
      <c r="R107" s="54" t="str">
        <f t="shared" si="9"/>
        <v/>
      </c>
      <c r="S107" s="56" t="str">
        <f ca="1" t="shared" si="10"/>
        <v/>
      </c>
      <c r="T107" s="10"/>
    </row>
    <row r="108" spans="1:20">
      <c r="A108" s="56" t="str">
        <f>IF($B108="","",COUNTA($B$5:$B108))</f>
        <v/>
      </c>
      <c r="B108" s="53"/>
      <c r="C108" s="46"/>
      <c r="D108" s="56" t="str">
        <f>IFERROR(INDEX(基础资料!$C$4:$C$11,MATCH($C108,基础资料!$A$4:$A$11,0)),"")</f>
        <v/>
      </c>
      <c r="E108" s="39"/>
      <c r="F108" s="46"/>
      <c r="G108" s="10"/>
      <c r="H108" s="39"/>
      <c r="I108" s="10"/>
      <c r="J108" s="25"/>
      <c r="K108" s="88"/>
      <c r="L108" s="57" t="str">
        <f t="shared" si="11"/>
        <v/>
      </c>
      <c r="M108" s="57" t="str">
        <f t="shared" si="6"/>
        <v/>
      </c>
      <c r="N108" s="57" t="str">
        <f>IF($I108="","",SUMIFS(资金流水!$K$5:$K$3032,资金流水!$Q$5:$Q$3015,$I108))</f>
        <v/>
      </c>
      <c r="O108" s="25"/>
      <c r="P108" s="57" t="str">
        <f t="shared" si="7"/>
        <v/>
      </c>
      <c r="Q108" s="58" t="str">
        <f t="shared" si="8"/>
        <v/>
      </c>
      <c r="R108" s="54" t="str">
        <f t="shared" si="9"/>
        <v/>
      </c>
      <c r="S108" s="56" t="str">
        <f ca="1" t="shared" si="10"/>
        <v/>
      </c>
      <c r="T108" s="10"/>
    </row>
    <row r="109" spans="1:20">
      <c r="A109" s="56" t="str">
        <f>IF($B109="","",COUNTA($B$5:$B109))</f>
        <v/>
      </c>
      <c r="B109" s="53"/>
      <c r="C109" s="46"/>
      <c r="D109" s="56" t="str">
        <f>IFERROR(INDEX(基础资料!$C$4:$C$11,MATCH($C109,基础资料!$A$4:$A$11,0)),"")</f>
        <v/>
      </c>
      <c r="E109" s="39"/>
      <c r="F109" s="46"/>
      <c r="G109" s="10"/>
      <c r="H109" s="39"/>
      <c r="I109" s="10"/>
      <c r="J109" s="25"/>
      <c r="K109" s="88"/>
      <c r="L109" s="57" t="str">
        <f t="shared" si="11"/>
        <v/>
      </c>
      <c r="M109" s="57" t="str">
        <f t="shared" si="6"/>
        <v/>
      </c>
      <c r="N109" s="57" t="str">
        <f>IF($I109="","",SUMIFS(资金流水!$K$5:$K$3032,资金流水!$Q$5:$Q$3015,$I109))</f>
        <v/>
      </c>
      <c r="O109" s="25"/>
      <c r="P109" s="57" t="str">
        <f t="shared" si="7"/>
        <v/>
      </c>
      <c r="Q109" s="58" t="str">
        <f t="shared" si="8"/>
        <v/>
      </c>
      <c r="R109" s="54" t="str">
        <f t="shared" si="9"/>
        <v/>
      </c>
      <c r="S109" s="56" t="str">
        <f ca="1" t="shared" si="10"/>
        <v/>
      </c>
      <c r="T109" s="10"/>
    </row>
    <row r="110" spans="1:20">
      <c r="A110" s="56" t="str">
        <f>IF($B110="","",COUNTA($B$5:$B110))</f>
        <v/>
      </c>
      <c r="B110" s="53"/>
      <c r="C110" s="46"/>
      <c r="D110" s="56" t="str">
        <f>IFERROR(INDEX(基础资料!$C$4:$C$11,MATCH($C110,基础资料!$A$4:$A$11,0)),"")</f>
        <v/>
      </c>
      <c r="E110" s="39"/>
      <c r="F110" s="46"/>
      <c r="G110" s="10"/>
      <c r="H110" s="39"/>
      <c r="I110" s="10"/>
      <c r="J110" s="25"/>
      <c r="K110" s="88"/>
      <c r="L110" s="57" t="str">
        <f t="shared" si="11"/>
        <v/>
      </c>
      <c r="M110" s="57" t="str">
        <f t="shared" si="6"/>
        <v/>
      </c>
      <c r="N110" s="57" t="str">
        <f>IF($I110="","",SUMIFS(资金流水!$K$5:$K$3032,资金流水!$Q$5:$Q$3015,$I110))</f>
        <v/>
      </c>
      <c r="O110" s="25"/>
      <c r="P110" s="57" t="str">
        <f t="shared" si="7"/>
        <v/>
      </c>
      <c r="Q110" s="58" t="str">
        <f t="shared" si="8"/>
        <v/>
      </c>
      <c r="R110" s="54" t="str">
        <f t="shared" si="9"/>
        <v/>
      </c>
      <c r="S110" s="56" t="str">
        <f ca="1" t="shared" si="10"/>
        <v/>
      </c>
      <c r="T110" s="10"/>
    </row>
    <row r="111" spans="1:20">
      <c r="A111" s="56" t="str">
        <f>IF($B111="","",COUNTA($B$5:$B111))</f>
        <v/>
      </c>
      <c r="B111" s="53"/>
      <c r="C111" s="46"/>
      <c r="D111" s="56" t="str">
        <f>IFERROR(INDEX(基础资料!$C$4:$C$11,MATCH($C111,基础资料!$A$4:$A$11,0)),"")</f>
        <v/>
      </c>
      <c r="E111" s="39"/>
      <c r="F111" s="46"/>
      <c r="G111" s="10"/>
      <c r="H111" s="39"/>
      <c r="I111" s="10"/>
      <c r="J111" s="25"/>
      <c r="K111" s="88"/>
      <c r="L111" s="57" t="str">
        <f t="shared" si="11"/>
        <v/>
      </c>
      <c r="M111" s="57" t="str">
        <f t="shared" si="6"/>
        <v/>
      </c>
      <c r="N111" s="57" t="str">
        <f>IF($I111="","",SUMIFS(资金流水!$K$5:$K$3032,资金流水!$Q$5:$Q$3015,$I111))</f>
        <v/>
      </c>
      <c r="O111" s="25"/>
      <c r="P111" s="57" t="str">
        <f t="shared" si="7"/>
        <v/>
      </c>
      <c r="Q111" s="58" t="str">
        <f t="shared" si="8"/>
        <v/>
      </c>
      <c r="R111" s="54" t="str">
        <f t="shared" si="9"/>
        <v/>
      </c>
      <c r="S111" s="56" t="str">
        <f ca="1" t="shared" si="10"/>
        <v/>
      </c>
      <c r="T111" s="10"/>
    </row>
    <row r="112" spans="1:20">
      <c r="A112" s="56" t="str">
        <f>IF($B112="","",COUNTA($B$5:$B112))</f>
        <v/>
      </c>
      <c r="B112" s="53"/>
      <c r="C112" s="46"/>
      <c r="D112" s="56" t="str">
        <f>IFERROR(INDEX(基础资料!$C$4:$C$11,MATCH($C112,基础资料!$A$4:$A$11,0)),"")</f>
        <v/>
      </c>
      <c r="E112" s="39"/>
      <c r="F112" s="46"/>
      <c r="G112" s="10"/>
      <c r="H112" s="39"/>
      <c r="I112" s="10"/>
      <c r="J112" s="25"/>
      <c r="K112" s="88"/>
      <c r="L112" s="57" t="str">
        <f t="shared" si="11"/>
        <v/>
      </c>
      <c r="M112" s="57" t="str">
        <f t="shared" si="6"/>
        <v/>
      </c>
      <c r="N112" s="57" t="str">
        <f>IF($I112="","",SUMIFS(资金流水!$K$5:$K$3032,资金流水!$Q$5:$Q$3015,$I112))</f>
        <v/>
      </c>
      <c r="O112" s="25"/>
      <c r="P112" s="57" t="str">
        <f t="shared" si="7"/>
        <v/>
      </c>
      <c r="Q112" s="58" t="str">
        <f t="shared" si="8"/>
        <v/>
      </c>
      <c r="R112" s="54" t="str">
        <f t="shared" si="9"/>
        <v/>
      </c>
      <c r="S112" s="56" t="str">
        <f ca="1" t="shared" si="10"/>
        <v/>
      </c>
      <c r="T112" s="10"/>
    </row>
    <row r="113" spans="1:20">
      <c r="A113" s="56" t="str">
        <f>IF($B113="","",COUNTA($B$5:$B113))</f>
        <v/>
      </c>
      <c r="B113" s="53"/>
      <c r="C113" s="46"/>
      <c r="D113" s="56" t="str">
        <f>IFERROR(INDEX(基础资料!$C$4:$C$11,MATCH($C113,基础资料!$A$4:$A$11,0)),"")</f>
        <v/>
      </c>
      <c r="E113" s="39"/>
      <c r="F113" s="46"/>
      <c r="G113" s="10"/>
      <c r="H113" s="39"/>
      <c r="I113" s="10"/>
      <c r="J113" s="25"/>
      <c r="K113" s="88"/>
      <c r="L113" s="57" t="str">
        <f t="shared" si="11"/>
        <v/>
      </c>
      <c r="M113" s="57" t="str">
        <f t="shared" si="6"/>
        <v/>
      </c>
      <c r="N113" s="57" t="str">
        <f>IF($I113="","",SUMIFS(资金流水!$K$5:$K$3032,资金流水!$Q$5:$Q$3015,$I113))</f>
        <v/>
      </c>
      <c r="O113" s="25"/>
      <c r="P113" s="57" t="str">
        <f t="shared" si="7"/>
        <v/>
      </c>
      <c r="Q113" s="58" t="str">
        <f t="shared" si="8"/>
        <v/>
      </c>
      <c r="R113" s="54" t="str">
        <f t="shared" si="9"/>
        <v/>
      </c>
      <c r="S113" s="56" t="str">
        <f ca="1" t="shared" si="10"/>
        <v/>
      </c>
      <c r="T113" s="10"/>
    </row>
    <row r="114" spans="1:20">
      <c r="A114" s="56" t="str">
        <f>IF($B114="","",COUNTA($B$5:$B114))</f>
        <v/>
      </c>
      <c r="B114" s="53"/>
      <c r="C114" s="46"/>
      <c r="D114" s="56" t="str">
        <f>IFERROR(INDEX(基础资料!$C$4:$C$11,MATCH($C114,基础资料!$A$4:$A$11,0)),"")</f>
        <v/>
      </c>
      <c r="E114" s="39"/>
      <c r="F114" s="46"/>
      <c r="G114" s="10"/>
      <c r="H114" s="39"/>
      <c r="I114" s="10"/>
      <c r="J114" s="25"/>
      <c r="K114" s="88"/>
      <c r="L114" s="57" t="str">
        <f t="shared" si="11"/>
        <v/>
      </c>
      <c r="M114" s="57" t="str">
        <f t="shared" si="6"/>
        <v/>
      </c>
      <c r="N114" s="57" t="str">
        <f>IF($I114="","",SUMIFS(资金流水!$K$5:$K$3032,资金流水!$Q$5:$Q$3015,$I114))</f>
        <v/>
      </c>
      <c r="O114" s="25"/>
      <c r="P114" s="57" t="str">
        <f t="shared" si="7"/>
        <v/>
      </c>
      <c r="Q114" s="58" t="str">
        <f t="shared" si="8"/>
        <v/>
      </c>
      <c r="R114" s="54" t="str">
        <f t="shared" si="9"/>
        <v/>
      </c>
      <c r="S114" s="56" t="str">
        <f ca="1" t="shared" si="10"/>
        <v/>
      </c>
      <c r="T114" s="10"/>
    </row>
    <row r="115" spans="1:20">
      <c r="A115" s="56" t="str">
        <f>IF($B115="","",COUNTA($B$5:$B115))</f>
        <v/>
      </c>
      <c r="B115" s="53"/>
      <c r="C115" s="46"/>
      <c r="D115" s="56" t="str">
        <f>IFERROR(INDEX(基础资料!$C$4:$C$11,MATCH($C115,基础资料!$A$4:$A$11,0)),"")</f>
        <v/>
      </c>
      <c r="E115" s="39"/>
      <c r="F115" s="46"/>
      <c r="G115" s="10"/>
      <c r="H115" s="39"/>
      <c r="I115" s="10"/>
      <c r="J115" s="25"/>
      <c r="K115" s="88"/>
      <c r="L115" s="57" t="str">
        <f t="shared" si="11"/>
        <v/>
      </c>
      <c r="M115" s="57" t="str">
        <f t="shared" si="6"/>
        <v/>
      </c>
      <c r="N115" s="57" t="str">
        <f>IF($I115="","",SUMIFS(资金流水!$K$5:$K$3032,资金流水!$Q$5:$Q$3015,$I115))</f>
        <v/>
      </c>
      <c r="O115" s="25"/>
      <c r="P115" s="57" t="str">
        <f t="shared" si="7"/>
        <v/>
      </c>
      <c r="Q115" s="58" t="str">
        <f t="shared" si="8"/>
        <v/>
      </c>
      <c r="R115" s="54" t="str">
        <f t="shared" si="9"/>
        <v/>
      </c>
      <c r="S115" s="56" t="str">
        <f ca="1" t="shared" si="10"/>
        <v/>
      </c>
      <c r="T115" s="10"/>
    </row>
    <row r="116" spans="1:20">
      <c r="A116" s="56" t="str">
        <f>IF($B116="","",COUNTA($B$5:$B116))</f>
        <v/>
      </c>
      <c r="B116" s="53"/>
      <c r="C116" s="46"/>
      <c r="D116" s="56" t="str">
        <f>IFERROR(INDEX(基础资料!$C$4:$C$11,MATCH($C116,基础资料!$A$4:$A$11,0)),"")</f>
        <v/>
      </c>
      <c r="E116" s="39"/>
      <c r="F116" s="46"/>
      <c r="G116" s="10"/>
      <c r="H116" s="39"/>
      <c r="I116" s="10"/>
      <c r="J116" s="25"/>
      <c r="K116" s="88"/>
      <c r="L116" s="57" t="str">
        <f t="shared" si="11"/>
        <v/>
      </c>
      <c r="M116" s="57" t="str">
        <f t="shared" si="6"/>
        <v/>
      </c>
      <c r="N116" s="57" t="str">
        <f>IF($I116="","",SUMIFS(资金流水!$K$5:$K$3032,资金流水!$Q$5:$Q$3015,$I116))</f>
        <v/>
      </c>
      <c r="O116" s="25"/>
      <c r="P116" s="57" t="str">
        <f t="shared" si="7"/>
        <v/>
      </c>
      <c r="Q116" s="58" t="str">
        <f t="shared" si="8"/>
        <v/>
      </c>
      <c r="R116" s="54" t="str">
        <f t="shared" si="9"/>
        <v/>
      </c>
      <c r="S116" s="56" t="str">
        <f ca="1" t="shared" si="10"/>
        <v/>
      </c>
      <c r="T116" s="10"/>
    </row>
    <row r="117" spans="1:20">
      <c r="A117" s="56" t="str">
        <f>IF($B117="","",COUNTA($B$5:$B117))</f>
        <v/>
      </c>
      <c r="B117" s="53"/>
      <c r="C117" s="46"/>
      <c r="D117" s="56" t="str">
        <f>IFERROR(INDEX(基础资料!$C$4:$C$11,MATCH($C117,基础资料!$A$4:$A$11,0)),"")</f>
        <v/>
      </c>
      <c r="E117" s="39"/>
      <c r="F117" s="46"/>
      <c r="G117" s="10"/>
      <c r="H117" s="39"/>
      <c r="I117" s="10"/>
      <c r="J117" s="25"/>
      <c r="K117" s="88"/>
      <c r="L117" s="57" t="str">
        <f t="shared" si="11"/>
        <v/>
      </c>
      <c r="M117" s="57" t="str">
        <f t="shared" si="6"/>
        <v/>
      </c>
      <c r="N117" s="57" t="str">
        <f>IF($I117="","",SUMIFS(资金流水!$K$5:$K$3032,资金流水!$Q$5:$Q$3015,$I117))</f>
        <v/>
      </c>
      <c r="O117" s="25"/>
      <c r="P117" s="57" t="str">
        <f t="shared" si="7"/>
        <v/>
      </c>
      <c r="Q117" s="58" t="str">
        <f t="shared" si="8"/>
        <v/>
      </c>
      <c r="R117" s="54" t="str">
        <f t="shared" si="9"/>
        <v/>
      </c>
      <c r="S117" s="56" t="str">
        <f ca="1" t="shared" si="10"/>
        <v/>
      </c>
      <c r="T117" s="10"/>
    </row>
    <row r="118" spans="1:20">
      <c r="A118" s="56" t="str">
        <f>IF($B118="","",COUNTA($B$5:$B118))</f>
        <v/>
      </c>
      <c r="B118" s="53"/>
      <c r="C118" s="46"/>
      <c r="D118" s="56" t="str">
        <f>IFERROR(INDEX(基础资料!$C$4:$C$11,MATCH($C118,基础资料!$A$4:$A$11,0)),"")</f>
        <v/>
      </c>
      <c r="E118" s="39"/>
      <c r="F118" s="46"/>
      <c r="G118" s="10"/>
      <c r="H118" s="39"/>
      <c r="I118" s="10"/>
      <c r="J118" s="25"/>
      <c r="K118" s="88"/>
      <c r="L118" s="57" t="str">
        <f t="shared" si="11"/>
        <v/>
      </c>
      <c r="M118" s="57" t="str">
        <f t="shared" si="6"/>
        <v/>
      </c>
      <c r="N118" s="57" t="str">
        <f>IF($I118="","",SUMIFS(资金流水!$K$5:$K$3032,资金流水!$Q$5:$Q$3015,$I118))</f>
        <v/>
      </c>
      <c r="O118" s="25"/>
      <c r="P118" s="57" t="str">
        <f t="shared" si="7"/>
        <v/>
      </c>
      <c r="Q118" s="58" t="str">
        <f t="shared" si="8"/>
        <v/>
      </c>
      <c r="R118" s="54" t="str">
        <f t="shared" si="9"/>
        <v/>
      </c>
      <c r="S118" s="56" t="str">
        <f ca="1" t="shared" si="10"/>
        <v/>
      </c>
      <c r="T118" s="10"/>
    </row>
    <row r="119" spans="1:20">
      <c r="A119" s="56" t="str">
        <f>IF($B119="","",COUNTA($B$5:$B119))</f>
        <v/>
      </c>
      <c r="B119" s="53"/>
      <c r="C119" s="46"/>
      <c r="D119" s="56" t="str">
        <f>IFERROR(INDEX(基础资料!$C$4:$C$11,MATCH($C119,基础资料!$A$4:$A$11,0)),"")</f>
        <v/>
      </c>
      <c r="E119" s="39"/>
      <c r="F119" s="46"/>
      <c r="G119" s="10"/>
      <c r="H119" s="39"/>
      <c r="I119" s="10"/>
      <c r="J119" s="25"/>
      <c r="K119" s="88"/>
      <c r="L119" s="57" t="str">
        <f t="shared" si="11"/>
        <v/>
      </c>
      <c r="M119" s="57" t="str">
        <f t="shared" si="6"/>
        <v/>
      </c>
      <c r="N119" s="57" t="str">
        <f>IF($I119="","",SUMIFS(资金流水!$K$5:$K$3032,资金流水!$Q$5:$Q$3015,$I119))</f>
        <v/>
      </c>
      <c r="O119" s="25"/>
      <c r="P119" s="57" t="str">
        <f t="shared" si="7"/>
        <v/>
      </c>
      <c r="Q119" s="58" t="str">
        <f t="shared" si="8"/>
        <v/>
      </c>
      <c r="R119" s="54" t="str">
        <f t="shared" si="9"/>
        <v/>
      </c>
      <c r="S119" s="56" t="str">
        <f ca="1" t="shared" si="10"/>
        <v/>
      </c>
      <c r="T119" s="10"/>
    </row>
    <row r="120" spans="1:20">
      <c r="A120" s="56" t="str">
        <f>IF($B120="","",COUNTA($B$5:$B120))</f>
        <v/>
      </c>
      <c r="B120" s="53"/>
      <c r="C120" s="46"/>
      <c r="D120" s="56" t="str">
        <f>IFERROR(INDEX(基础资料!$C$4:$C$11,MATCH($C120,基础资料!$A$4:$A$11,0)),"")</f>
        <v/>
      </c>
      <c r="E120" s="39"/>
      <c r="F120" s="46"/>
      <c r="G120" s="10"/>
      <c r="H120" s="39"/>
      <c r="I120" s="10"/>
      <c r="J120" s="25"/>
      <c r="K120" s="88"/>
      <c r="L120" s="57" t="str">
        <f t="shared" si="11"/>
        <v/>
      </c>
      <c r="M120" s="57" t="str">
        <f t="shared" si="6"/>
        <v/>
      </c>
      <c r="N120" s="57" t="str">
        <f>IF($I120="","",SUMIFS(资金流水!$K$5:$K$3032,资金流水!$Q$5:$Q$3015,$I120))</f>
        <v/>
      </c>
      <c r="O120" s="25"/>
      <c r="P120" s="57" t="str">
        <f t="shared" si="7"/>
        <v/>
      </c>
      <c r="Q120" s="58" t="str">
        <f t="shared" si="8"/>
        <v/>
      </c>
      <c r="R120" s="54" t="str">
        <f t="shared" si="9"/>
        <v/>
      </c>
      <c r="S120" s="56" t="str">
        <f ca="1" t="shared" si="10"/>
        <v/>
      </c>
      <c r="T120" s="10"/>
    </row>
    <row r="121" spans="1:20">
      <c r="A121" s="56" t="str">
        <f>IF($B121="","",COUNTA($B$5:$B121))</f>
        <v/>
      </c>
      <c r="B121" s="53"/>
      <c r="C121" s="46"/>
      <c r="D121" s="56" t="str">
        <f>IFERROR(INDEX(基础资料!$C$4:$C$11,MATCH($C121,基础资料!$A$4:$A$11,0)),"")</f>
        <v/>
      </c>
      <c r="E121" s="39"/>
      <c r="F121" s="46"/>
      <c r="G121" s="10"/>
      <c r="H121" s="39"/>
      <c r="I121" s="10"/>
      <c r="J121" s="25"/>
      <c r="K121" s="88"/>
      <c r="L121" s="57" t="str">
        <f t="shared" si="11"/>
        <v/>
      </c>
      <c r="M121" s="57" t="str">
        <f t="shared" si="6"/>
        <v/>
      </c>
      <c r="N121" s="57" t="str">
        <f>IF($I121="","",SUMIFS(资金流水!$K$5:$K$3032,资金流水!$Q$5:$Q$3015,$I121))</f>
        <v/>
      </c>
      <c r="O121" s="25"/>
      <c r="P121" s="57" t="str">
        <f t="shared" si="7"/>
        <v/>
      </c>
      <c r="Q121" s="58" t="str">
        <f t="shared" si="8"/>
        <v/>
      </c>
      <c r="R121" s="54" t="str">
        <f t="shared" si="9"/>
        <v/>
      </c>
      <c r="S121" s="56" t="str">
        <f ca="1" t="shared" si="10"/>
        <v/>
      </c>
      <c r="T121" s="10"/>
    </row>
    <row r="122" spans="1:20">
      <c r="A122" s="56" t="str">
        <f>IF($B122="","",COUNTA($B$5:$B122))</f>
        <v/>
      </c>
      <c r="B122" s="53"/>
      <c r="C122" s="46"/>
      <c r="D122" s="56" t="str">
        <f>IFERROR(INDEX(基础资料!$C$4:$C$11,MATCH($C122,基础资料!$A$4:$A$11,0)),"")</f>
        <v/>
      </c>
      <c r="E122" s="39"/>
      <c r="F122" s="46"/>
      <c r="G122" s="10"/>
      <c r="H122" s="39"/>
      <c r="I122" s="10"/>
      <c r="J122" s="25"/>
      <c r="K122" s="88"/>
      <c r="L122" s="57" t="str">
        <f t="shared" si="11"/>
        <v/>
      </c>
      <c r="M122" s="57" t="str">
        <f t="shared" si="6"/>
        <v/>
      </c>
      <c r="N122" s="57" t="str">
        <f>IF($I122="","",SUMIFS(资金流水!$K$5:$K$3032,资金流水!$Q$5:$Q$3015,$I122))</f>
        <v/>
      </c>
      <c r="O122" s="25"/>
      <c r="P122" s="57" t="str">
        <f t="shared" si="7"/>
        <v/>
      </c>
      <c r="Q122" s="58" t="str">
        <f t="shared" si="8"/>
        <v/>
      </c>
      <c r="R122" s="54" t="str">
        <f t="shared" si="9"/>
        <v/>
      </c>
      <c r="S122" s="56" t="str">
        <f ca="1" t="shared" si="10"/>
        <v/>
      </c>
      <c r="T122" s="10"/>
    </row>
    <row r="123" spans="1:20">
      <c r="A123" s="56" t="str">
        <f>IF($B123="","",COUNTA($B$5:$B123))</f>
        <v/>
      </c>
      <c r="B123" s="53"/>
      <c r="C123" s="46"/>
      <c r="D123" s="56" t="str">
        <f>IFERROR(INDEX(基础资料!$C$4:$C$11,MATCH($C123,基础资料!$A$4:$A$11,0)),"")</f>
        <v/>
      </c>
      <c r="E123" s="39"/>
      <c r="F123" s="46"/>
      <c r="G123" s="10"/>
      <c r="H123" s="39"/>
      <c r="I123" s="10"/>
      <c r="J123" s="25"/>
      <c r="K123" s="88"/>
      <c r="L123" s="57" t="str">
        <f t="shared" si="11"/>
        <v/>
      </c>
      <c r="M123" s="57" t="str">
        <f t="shared" si="6"/>
        <v/>
      </c>
      <c r="N123" s="57" t="str">
        <f>IF($I123="","",SUMIFS(资金流水!$K$5:$K$3032,资金流水!$Q$5:$Q$3015,$I123))</f>
        <v/>
      </c>
      <c r="O123" s="25"/>
      <c r="P123" s="57" t="str">
        <f t="shared" si="7"/>
        <v/>
      </c>
      <c r="Q123" s="58" t="str">
        <f t="shared" si="8"/>
        <v/>
      </c>
      <c r="R123" s="54" t="str">
        <f t="shared" si="9"/>
        <v/>
      </c>
      <c r="S123" s="56" t="str">
        <f ca="1" t="shared" si="10"/>
        <v/>
      </c>
      <c r="T123" s="10"/>
    </row>
    <row r="124" spans="1:20">
      <c r="A124" s="56" t="str">
        <f>IF($B124="","",COUNTA($B$5:$B124))</f>
        <v/>
      </c>
      <c r="B124" s="53"/>
      <c r="C124" s="46"/>
      <c r="D124" s="56" t="str">
        <f>IFERROR(INDEX(基础资料!$C$4:$C$11,MATCH($C124,基础资料!$A$4:$A$11,0)),"")</f>
        <v/>
      </c>
      <c r="E124" s="39"/>
      <c r="F124" s="46"/>
      <c r="G124" s="10"/>
      <c r="H124" s="39"/>
      <c r="I124" s="10"/>
      <c r="J124" s="25"/>
      <c r="K124" s="88"/>
      <c r="L124" s="57" t="str">
        <f t="shared" si="11"/>
        <v/>
      </c>
      <c r="M124" s="57" t="str">
        <f t="shared" si="6"/>
        <v/>
      </c>
      <c r="N124" s="57" t="str">
        <f>IF($I124="","",SUMIFS(资金流水!$K$5:$K$3032,资金流水!$Q$5:$Q$3015,$I124))</f>
        <v/>
      </c>
      <c r="O124" s="25"/>
      <c r="P124" s="57" t="str">
        <f t="shared" si="7"/>
        <v/>
      </c>
      <c r="Q124" s="58" t="str">
        <f t="shared" si="8"/>
        <v/>
      </c>
      <c r="R124" s="54" t="str">
        <f t="shared" si="9"/>
        <v/>
      </c>
      <c r="S124" s="56" t="str">
        <f ca="1" t="shared" si="10"/>
        <v/>
      </c>
      <c r="T124" s="10"/>
    </row>
    <row r="125" spans="1:20">
      <c r="A125" s="56" t="str">
        <f>IF($B125="","",COUNTA($B$5:$B125))</f>
        <v/>
      </c>
      <c r="B125" s="53"/>
      <c r="C125" s="46"/>
      <c r="D125" s="56" t="str">
        <f>IFERROR(INDEX(基础资料!$C$4:$C$11,MATCH($C125,基础资料!$A$4:$A$11,0)),"")</f>
        <v/>
      </c>
      <c r="E125" s="39"/>
      <c r="F125" s="46"/>
      <c r="G125" s="10"/>
      <c r="H125" s="39"/>
      <c r="I125" s="10"/>
      <c r="J125" s="25"/>
      <c r="K125" s="88"/>
      <c r="L125" s="57" t="str">
        <f t="shared" si="11"/>
        <v/>
      </c>
      <c r="M125" s="57" t="str">
        <f t="shared" si="6"/>
        <v/>
      </c>
      <c r="N125" s="57" t="str">
        <f>IF($I125="","",SUMIFS(资金流水!$K$5:$K$3032,资金流水!$Q$5:$Q$3015,$I125))</f>
        <v/>
      </c>
      <c r="O125" s="25"/>
      <c r="P125" s="57" t="str">
        <f t="shared" si="7"/>
        <v/>
      </c>
      <c r="Q125" s="58" t="str">
        <f t="shared" si="8"/>
        <v/>
      </c>
      <c r="R125" s="54" t="str">
        <f t="shared" si="9"/>
        <v/>
      </c>
      <c r="S125" s="56" t="str">
        <f ca="1" t="shared" si="10"/>
        <v/>
      </c>
      <c r="T125" s="10"/>
    </row>
    <row r="126" spans="1:20">
      <c r="A126" s="56" t="str">
        <f>IF($B126="","",COUNTA($B$5:$B126))</f>
        <v/>
      </c>
      <c r="B126" s="53"/>
      <c r="C126" s="46"/>
      <c r="D126" s="56" t="str">
        <f>IFERROR(INDEX(基础资料!$C$4:$C$11,MATCH($C126,基础资料!$A$4:$A$11,0)),"")</f>
        <v/>
      </c>
      <c r="E126" s="39"/>
      <c r="F126" s="46"/>
      <c r="G126" s="10"/>
      <c r="H126" s="39"/>
      <c r="I126" s="10"/>
      <c r="J126" s="25"/>
      <c r="K126" s="88"/>
      <c r="L126" s="57" t="str">
        <f t="shared" si="11"/>
        <v/>
      </c>
      <c r="M126" s="57" t="str">
        <f t="shared" si="6"/>
        <v/>
      </c>
      <c r="N126" s="57" t="str">
        <f>IF($I126="","",SUMIFS(资金流水!$K$5:$K$3032,资金流水!$Q$5:$Q$3015,$I126))</f>
        <v/>
      </c>
      <c r="O126" s="25"/>
      <c r="P126" s="57" t="str">
        <f t="shared" si="7"/>
        <v/>
      </c>
      <c r="Q126" s="58" t="str">
        <f t="shared" si="8"/>
        <v/>
      </c>
      <c r="R126" s="54" t="str">
        <f t="shared" si="9"/>
        <v/>
      </c>
      <c r="S126" s="56" t="str">
        <f ca="1" t="shared" si="10"/>
        <v/>
      </c>
      <c r="T126" s="10"/>
    </row>
    <row r="127" spans="1:20">
      <c r="A127" s="56" t="str">
        <f>IF($B127="","",COUNTA($B$5:$B127))</f>
        <v/>
      </c>
      <c r="B127" s="53"/>
      <c r="C127" s="46"/>
      <c r="D127" s="56" t="str">
        <f>IFERROR(INDEX(基础资料!$C$4:$C$11,MATCH($C127,基础资料!$A$4:$A$11,0)),"")</f>
        <v/>
      </c>
      <c r="E127" s="39"/>
      <c r="F127" s="46"/>
      <c r="G127" s="10"/>
      <c r="H127" s="39"/>
      <c r="I127" s="10"/>
      <c r="J127" s="25"/>
      <c r="K127" s="88"/>
      <c r="L127" s="57" t="str">
        <f t="shared" si="11"/>
        <v/>
      </c>
      <c r="M127" s="57" t="str">
        <f t="shared" si="6"/>
        <v/>
      </c>
      <c r="N127" s="57" t="str">
        <f>IF($I127="","",SUMIFS(资金流水!$K$5:$K$3032,资金流水!$Q$5:$Q$3015,$I127))</f>
        <v/>
      </c>
      <c r="O127" s="25"/>
      <c r="P127" s="57" t="str">
        <f t="shared" si="7"/>
        <v/>
      </c>
      <c r="Q127" s="58" t="str">
        <f t="shared" si="8"/>
        <v/>
      </c>
      <c r="R127" s="54" t="str">
        <f t="shared" si="9"/>
        <v/>
      </c>
      <c r="S127" s="56" t="str">
        <f ca="1" t="shared" si="10"/>
        <v/>
      </c>
      <c r="T127" s="10"/>
    </row>
    <row r="128" spans="1:20">
      <c r="A128" s="56" t="str">
        <f>IF($B128="","",COUNTA($B$5:$B128))</f>
        <v/>
      </c>
      <c r="B128" s="53"/>
      <c r="C128" s="46"/>
      <c r="D128" s="56" t="str">
        <f>IFERROR(INDEX(基础资料!$C$4:$C$11,MATCH($C128,基础资料!$A$4:$A$11,0)),"")</f>
        <v/>
      </c>
      <c r="E128" s="39"/>
      <c r="F128" s="46"/>
      <c r="G128" s="10"/>
      <c r="H128" s="39"/>
      <c r="I128" s="10"/>
      <c r="J128" s="25"/>
      <c r="K128" s="88"/>
      <c r="L128" s="57" t="str">
        <f t="shared" si="11"/>
        <v/>
      </c>
      <c r="M128" s="57" t="str">
        <f t="shared" si="6"/>
        <v/>
      </c>
      <c r="N128" s="57" t="str">
        <f>IF($I128="","",SUMIFS(资金流水!$K$5:$K$3032,资金流水!$Q$5:$Q$3015,$I128))</f>
        <v/>
      </c>
      <c r="O128" s="25"/>
      <c r="P128" s="57" t="str">
        <f t="shared" si="7"/>
        <v/>
      </c>
      <c r="Q128" s="58" t="str">
        <f t="shared" si="8"/>
        <v/>
      </c>
      <c r="R128" s="54" t="str">
        <f t="shared" si="9"/>
        <v/>
      </c>
      <c r="S128" s="56" t="str">
        <f ca="1" t="shared" si="10"/>
        <v/>
      </c>
      <c r="T128" s="10"/>
    </row>
    <row r="129" spans="1:20">
      <c r="A129" s="56" t="str">
        <f>IF($B129="","",COUNTA($B$5:$B129))</f>
        <v/>
      </c>
      <c r="B129" s="53"/>
      <c r="C129" s="46"/>
      <c r="D129" s="56" t="str">
        <f>IFERROR(INDEX(基础资料!$C$4:$C$11,MATCH($C129,基础资料!$A$4:$A$11,0)),"")</f>
        <v/>
      </c>
      <c r="E129" s="39"/>
      <c r="F129" s="46"/>
      <c r="G129" s="10"/>
      <c r="H129" s="39"/>
      <c r="I129" s="10"/>
      <c r="J129" s="25"/>
      <c r="K129" s="88"/>
      <c r="L129" s="57" t="str">
        <f t="shared" si="11"/>
        <v/>
      </c>
      <c r="M129" s="57" t="str">
        <f t="shared" si="6"/>
        <v/>
      </c>
      <c r="N129" s="57" t="str">
        <f>IF($I129="","",SUMIFS(资金流水!$K$5:$K$3032,资金流水!$Q$5:$Q$3015,$I129))</f>
        <v/>
      </c>
      <c r="O129" s="25"/>
      <c r="P129" s="57" t="str">
        <f t="shared" si="7"/>
        <v/>
      </c>
      <c r="Q129" s="58" t="str">
        <f t="shared" si="8"/>
        <v/>
      </c>
      <c r="R129" s="54" t="str">
        <f t="shared" si="9"/>
        <v/>
      </c>
      <c r="S129" s="56" t="str">
        <f ca="1" t="shared" si="10"/>
        <v/>
      </c>
      <c r="T129" s="10"/>
    </row>
    <row r="130" spans="1:20">
      <c r="A130" s="56" t="str">
        <f>IF($B130="","",COUNTA($B$5:$B130))</f>
        <v/>
      </c>
      <c r="B130" s="53"/>
      <c r="C130" s="46"/>
      <c r="D130" s="56" t="str">
        <f>IFERROR(INDEX(基础资料!$C$4:$C$11,MATCH($C130,基础资料!$A$4:$A$11,0)),"")</f>
        <v/>
      </c>
      <c r="E130" s="39"/>
      <c r="F130" s="46"/>
      <c r="G130" s="10"/>
      <c r="H130" s="39"/>
      <c r="I130" s="10"/>
      <c r="J130" s="25"/>
      <c r="K130" s="88"/>
      <c r="L130" s="57" t="str">
        <f t="shared" si="11"/>
        <v/>
      </c>
      <c r="M130" s="57" t="str">
        <f t="shared" si="6"/>
        <v/>
      </c>
      <c r="N130" s="57" t="str">
        <f>IF($I130="","",SUMIFS(资金流水!$K$5:$K$3032,资金流水!$Q$5:$Q$3015,$I130))</f>
        <v/>
      </c>
      <c r="O130" s="25"/>
      <c r="P130" s="57" t="str">
        <f t="shared" si="7"/>
        <v/>
      </c>
      <c r="Q130" s="58" t="str">
        <f t="shared" si="8"/>
        <v/>
      </c>
      <c r="R130" s="54" t="str">
        <f t="shared" si="9"/>
        <v/>
      </c>
      <c r="S130" s="56" t="str">
        <f ca="1" t="shared" si="10"/>
        <v/>
      </c>
      <c r="T130" s="10"/>
    </row>
    <row r="131" spans="1:20">
      <c r="A131" s="56" t="str">
        <f>IF($B131="","",COUNTA($B$5:$B131))</f>
        <v/>
      </c>
      <c r="B131" s="53"/>
      <c r="C131" s="46"/>
      <c r="D131" s="56" t="str">
        <f>IFERROR(INDEX(基础资料!$C$4:$C$11,MATCH($C131,基础资料!$A$4:$A$11,0)),"")</f>
        <v/>
      </c>
      <c r="E131" s="39"/>
      <c r="F131" s="46"/>
      <c r="G131" s="10"/>
      <c r="H131" s="39"/>
      <c r="I131" s="10"/>
      <c r="J131" s="25"/>
      <c r="K131" s="88"/>
      <c r="L131" s="57" t="str">
        <f t="shared" si="11"/>
        <v/>
      </c>
      <c r="M131" s="57" t="str">
        <f t="shared" si="6"/>
        <v/>
      </c>
      <c r="N131" s="57" t="str">
        <f>IF($I131="","",SUMIFS(资金流水!$K$5:$K$3032,资金流水!$Q$5:$Q$3015,$I131))</f>
        <v/>
      </c>
      <c r="O131" s="25"/>
      <c r="P131" s="57" t="str">
        <f t="shared" si="7"/>
        <v/>
      </c>
      <c r="Q131" s="58" t="str">
        <f t="shared" si="8"/>
        <v/>
      </c>
      <c r="R131" s="54" t="str">
        <f t="shared" si="9"/>
        <v/>
      </c>
      <c r="S131" s="56" t="str">
        <f ca="1" t="shared" si="10"/>
        <v/>
      </c>
      <c r="T131" s="10"/>
    </row>
    <row r="132" spans="1:20">
      <c r="A132" s="56" t="str">
        <f>IF($B132="","",COUNTA($B$5:$B132))</f>
        <v/>
      </c>
      <c r="B132" s="53"/>
      <c r="C132" s="46"/>
      <c r="D132" s="56" t="str">
        <f>IFERROR(INDEX(基础资料!$C$4:$C$11,MATCH($C132,基础资料!$A$4:$A$11,0)),"")</f>
        <v/>
      </c>
      <c r="E132" s="39"/>
      <c r="F132" s="46"/>
      <c r="G132" s="10"/>
      <c r="H132" s="39"/>
      <c r="I132" s="10"/>
      <c r="J132" s="25"/>
      <c r="K132" s="88"/>
      <c r="L132" s="57" t="str">
        <f t="shared" si="11"/>
        <v/>
      </c>
      <c r="M132" s="57" t="str">
        <f t="shared" si="6"/>
        <v/>
      </c>
      <c r="N132" s="57" t="str">
        <f>IF($I132="","",SUMIFS(资金流水!$K$5:$K$3032,资金流水!$Q$5:$Q$3015,$I132))</f>
        <v/>
      </c>
      <c r="O132" s="25"/>
      <c r="P132" s="57" t="str">
        <f t="shared" si="7"/>
        <v/>
      </c>
      <c r="Q132" s="58" t="str">
        <f t="shared" si="8"/>
        <v/>
      </c>
      <c r="R132" s="54" t="str">
        <f t="shared" si="9"/>
        <v/>
      </c>
      <c r="S132" s="56" t="str">
        <f ca="1" t="shared" si="10"/>
        <v/>
      </c>
      <c r="T132" s="10"/>
    </row>
    <row r="133" spans="1:20">
      <c r="A133" s="56" t="str">
        <f>IF($B133="","",COUNTA($B$5:$B133))</f>
        <v/>
      </c>
      <c r="B133" s="53"/>
      <c r="C133" s="46"/>
      <c r="D133" s="56" t="str">
        <f>IFERROR(INDEX(基础资料!$C$4:$C$11,MATCH($C133,基础资料!$A$4:$A$11,0)),"")</f>
        <v/>
      </c>
      <c r="E133" s="39"/>
      <c r="F133" s="46"/>
      <c r="G133" s="10"/>
      <c r="H133" s="39"/>
      <c r="I133" s="10"/>
      <c r="J133" s="25"/>
      <c r="K133" s="88"/>
      <c r="L133" s="57" t="str">
        <f t="shared" ref="L133:L196" si="12">IF($J133="","",ROUND($J133*$K133,2))</f>
        <v/>
      </c>
      <c r="M133" s="57" t="str">
        <f t="shared" ref="M133:M196" si="13">IF($J133="","",ROUND($J133+$L133,2))</f>
        <v/>
      </c>
      <c r="N133" s="57" t="str">
        <f>IF($I133="","",SUMIFS(资金流水!$K$5:$K$3032,资金流水!$Q$5:$Q$3015,$I133))</f>
        <v/>
      </c>
      <c r="O133" s="25"/>
      <c r="P133" s="57" t="str">
        <f t="shared" ref="P133:P196" si="14">IF($J133="","",ROUND($M133-IF($N133="",0,$N133)-IF($O133="",0,$O133),2))</f>
        <v/>
      </c>
      <c r="Q133" s="58" t="str">
        <f t="shared" ref="Q133:Q196" si="15">IF($J133="","",IF($P133&lt;=0.005,"已收齐",IF(IF($N133="",0,$N133)+IF($O133="",0,$O133)&lt;=0,"未收款","部分收款")))</f>
        <v/>
      </c>
      <c r="R133" s="54" t="str">
        <f t="shared" ref="R133:R196" si="16">IF($B133="","",--TEXT($B133,"yyyymm"))</f>
        <v/>
      </c>
      <c r="S133" s="56" t="str">
        <f ca="1" t="shared" ref="S133:S196" si="17">IF(OR($B133="",$P133="",$P133&lt;=0.005),"",TODAY()-$B133)</f>
        <v/>
      </c>
      <c r="T133" s="10"/>
    </row>
    <row r="134" spans="1:20">
      <c r="A134" s="56" t="str">
        <f>IF($B134="","",COUNTA($B$5:$B134))</f>
        <v/>
      </c>
      <c r="B134" s="53"/>
      <c r="C134" s="46"/>
      <c r="D134" s="56" t="str">
        <f>IFERROR(INDEX(基础资料!$C$4:$C$11,MATCH($C134,基础资料!$A$4:$A$11,0)),"")</f>
        <v/>
      </c>
      <c r="E134" s="39"/>
      <c r="F134" s="46"/>
      <c r="G134" s="10"/>
      <c r="H134" s="39"/>
      <c r="I134" s="10"/>
      <c r="J134" s="25"/>
      <c r="K134" s="88"/>
      <c r="L134" s="57" t="str">
        <f t="shared" si="12"/>
        <v/>
      </c>
      <c r="M134" s="57" t="str">
        <f t="shared" si="13"/>
        <v/>
      </c>
      <c r="N134" s="57" t="str">
        <f>IF($I134="","",SUMIFS(资金流水!$K$5:$K$3032,资金流水!$Q$5:$Q$3015,$I134))</f>
        <v/>
      </c>
      <c r="O134" s="25"/>
      <c r="P134" s="57" t="str">
        <f t="shared" si="14"/>
        <v/>
      </c>
      <c r="Q134" s="58" t="str">
        <f t="shared" si="15"/>
        <v/>
      </c>
      <c r="R134" s="54" t="str">
        <f t="shared" si="16"/>
        <v/>
      </c>
      <c r="S134" s="56" t="str">
        <f ca="1" t="shared" si="17"/>
        <v/>
      </c>
      <c r="T134" s="10"/>
    </row>
    <row r="135" spans="1:20">
      <c r="A135" s="56" t="str">
        <f>IF($B135="","",COUNTA($B$5:$B135))</f>
        <v/>
      </c>
      <c r="B135" s="53"/>
      <c r="C135" s="46"/>
      <c r="D135" s="56" t="str">
        <f>IFERROR(INDEX(基础资料!$C$4:$C$11,MATCH($C135,基础资料!$A$4:$A$11,0)),"")</f>
        <v/>
      </c>
      <c r="E135" s="39"/>
      <c r="F135" s="46"/>
      <c r="G135" s="10"/>
      <c r="H135" s="39"/>
      <c r="I135" s="10"/>
      <c r="J135" s="25"/>
      <c r="K135" s="88"/>
      <c r="L135" s="57" t="str">
        <f t="shared" si="12"/>
        <v/>
      </c>
      <c r="M135" s="57" t="str">
        <f t="shared" si="13"/>
        <v/>
      </c>
      <c r="N135" s="57" t="str">
        <f>IF($I135="","",SUMIFS(资金流水!$K$5:$K$3032,资金流水!$Q$5:$Q$3015,$I135))</f>
        <v/>
      </c>
      <c r="O135" s="25"/>
      <c r="P135" s="57" t="str">
        <f t="shared" si="14"/>
        <v/>
      </c>
      <c r="Q135" s="58" t="str">
        <f t="shared" si="15"/>
        <v/>
      </c>
      <c r="R135" s="54" t="str">
        <f t="shared" si="16"/>
        <v/>
      </c>
      <c r="S135" s="56" t="str">
        <f ca="1" t="shared" si="17"/>
        <v/>
      </c>
      <c r="T135" s="10"/>
    </row>
    <row r="136" spans="1:20">
      <c r="A136" s="56" t="str">
        <f>IF($B136="","",COUNTA($B$5:$B136))</f>
        <v/>
      </c>
      <c r="B136" s="53"/>
      <c r="C136" s="46"/>
      <c r="D136" s="56" t="str">
        <f>IFERROR(INDEX(基础资料!$C$4:$C$11,MATCH($C136,基础资料!$A$4:$A$11,0)),"")</f>
        <v/>
      </c>
      <c r="E136" s="39"/>
      <c r="F136" s="46"/>
      <c r="G136" s="10"/>
      <c r="H136" s="39"/>
      <c r="I136" s="10"/>
      <c r="J136" s="25"/>
      <c r="K136" s="88"/>
      <c r="L136" s="57" t="str">
        <f t="shared" si="12"/>
        <v/>
      </c>
      <c r="M136" s="57" t="str">
        <f t="shared" si="13"/>
        <v/>
      </c>
      <c r="N136" s="57" t="str">
        <f>IF($I136="","",SUMIFS(资金流水!$K$5:$K$3032,资金流水!$Q$5:$Q$3015,$I136))</f>
        <v/>
      </c>
      <c r="O136" s="25"/>
      <c r="P136" s="57" t="str">
        <f t="shared" si="14"/>
        <v/>
      </c>
      <c r="Q136" s="58" t="str">
        <f t="shared" si="15"/>
        <v/>
      </c>
      <c r="R136" s="54" t="str">
        <f t="shared" si="16"/>
        <v/>
      </c>
      <c r="S136" s="56" t="str">
        <f ca="1" t="shared" si="17"/>
        <v/>
      </c>
      <c r="T136" s="10"/>
    </row>
    <row r="137" spans="1:20">
      <c r="A137" s="56" t="str">
        <f>IF($B137="","",COUNTA($B$5:$B137))</f>
        <v/>
      </c>
      <c r="B137" s="53"/>
      <c r="C137" s="46"/>
      <c r="D137" s="56" t="str">
        <f>IFERROR(INDEX(基础资料!$C$4:$C$11,MATCH($C137,基础资料!$A$4:$A$11,0)),"")</f>
        <v/>
      </c>
      <c r="E137" s="39"/>
      <c r="F137" s="46"/>
      <c r="G137" s="10"/>
      <c r="H137" s="39"/>
      <c r="I137" s="10"/>
      <c r="J137" s="25"/>
      <c r="K137" s="88"/>
      <c r="L137" s="57" t="str">
        <f t="shared" si="12"/>
        <v/>
      </c>
      <c r="M137" s="57" t="str">
        <f t="shared" si="13"/>
        <v/>
      </c>
      <c r="N137" s="57" t="str">
        <f>IF($I137="","",SUMIFS(资金流水!$K$5:$K$3032,资金流水!$Q$5:$Q$3015,$I137))</f>
        <v/>
      </c>
      <c r="O137" s="25"/>
      <c r="P137" s="57" t="str">
        <f t="shared" si="14"/>
        <v/>
      </c>
      <c r="Q137" s="58" t="str">
        <f t="shared" si="15"/>
        <v/>
      </c>
      <c r="R137" s="54" t="str">
        <f t="shared" si="16"/>
        <v/>
      </c>
      <c r="S137" s="56" t="str">
        <f ca="1" t="shared" si="17"/>
        <v/>
      </c>
      <c r="T137" s="10"/>
    </row>
    <row r="138" spans="1:20">
      <c r="A138" s="56" t="str">
        <f>IF($B138="","",COUNTA($B$5:$B138))</f>
        <v/>
      </c>
      <c r="B138" s="53"/>
      <c r="C138" s="46"/>
      <c r="D138" s="56" t="str">
        <f>IFERROR(INDEX(基础资料!$C$4:$C$11,MATCH($C138,基础资料!$A$4:$A$11,0)),"")</f>
        <v/>
      </c>
      <c r="E138" s="39"/>
      <c r="F138" s="46"/>
      <c r="G138" s="10"/>
      <c r="H138" s="39"/>
      <c r="I138" s="10"/>
      <c r="J138" s="25"/>
      <c r="K138" s="88"/>
      <c r="L138" s="57" t="str">
        <f t="shared" si="12"/>
        <v/>
      </c>
      <c r="M138" s="57" t="str">
        <f t="shared" si="13"/>
        <v/>
      </c>
      <c r="N138" s="57" t="str">
        <f>IF($I138="","",SUMIFS(资金流水!$K$5:$K$3032,资金流水!$Q$5:$Q$3015,$I138))</f>
        <v/>
      </c>
      <c r="O138" s="25"/>
      <c r="P138" s="57" t="str">
        <f t="shared" si="14"/>
        <v/>
      </c>
      <c r="Q138" s="58" t="str">
        <f t="shared" si="15"/>
        <v/>
      </c>
      <c r="R138" s="54" t="str">
        <f t="shared" si="16"/>
        <v/>
      </c>
      <c r="S138" s="56" t="str">
        <f ca="1" t="shared" si="17"/>
        <v/>
      </c>
      <c r="T138" s="10"/>
    </row>
    <row r="139" spans="1:20">
      <c r="A139" s="56" t="str">
        <f>IF($B139="","",COUNTA($B$5:$B139))</f>
        <v/>
      </c>
      <c r="B139" s="53"/>
      <c r="C139" s="46"/>
      <c r="D139" s="56" t="str">
        <f>IFERROR(INDEX(基础资料!$C$4:$C$11,MATCH($C139,基础资料!$A$4:$A$11,0)),"")</f>
        <v/>
      </c>
      <c r="E139" s="39"/>
      <c r="F139" s="46"/>
      <c r="G139" s="10"/>
      <c r="H139" s="39"/>
      <c r="I139" s="10"/>
      <c r="J139" s="25"/>
      <c r="K139" s="88"/>
      <c r="L139" s="57" t="str">
        <f t="shared" si="12"/>
        <v/>
      </c>
      <c r="M139" s="57" t="str">
        <f t="shared" si="13"/>
        <v/>
      </c>
      <c r="N139" s="57" t="str">
        <f>IF($I139="","",SUMIFS(资金流水!$K$5:$K$3032,资金流水!$Q$5:$Q$3015,$I139))</f>
        <v/>
      </c>
      <c r="O139" s="25"/>
      <c r="P139" s="57" t="str">
        <f t="shared" si="14"/>
        <v/>
      </c>
      <c r="Q139" s="58" t="str">
        <f t="shared" si="15"/>
        <v/>
      </c>
      <c r="R139" s="54" t="str">
        <f t="shared" si="16"/>
        <v/>
      </c>
      <c r="S139" s="56" t="str">
        <f ca="1" t="shared" si="17"/>
        <v/>
      </c>
      <c r="T139" s="10"/>
    </row>
    <row r="140" spans="1:20">
      <c r="A140" s="56" t="str">
        <f>IF($B140="","",COUNTA($B$5:$B140))</f>
        <v/>
      </c>
      <c r="B140" s="53"/>
      <c r="C140" s="46"/>
      <c r="D140" s="56" t="str">
        <f>IFERROR(INDEX(基础资料!$C$4:$C$11,MATCH($C140,基础资料!$A$4:$A$11,0)),"")</f>
        <v/>
      </c>
      <c r="E140" s="39"/>
      <c r="F140" s="46"/>
      <c r="G140" s="10"/>
      <c r="H140" s="39"/>
      <c r="I140" s="10"/>
      <c r="J140" s="25"/>
      <c r="K140" s="88"/>
      <c r="L140" s="57" t="str">
        <f t="shared" si="12"/>
        <v/>
      </c>
      <c r="M140" s="57" t="str">
        <f t="shared" si="13"/>
        <v/>
      </c>
      <c r="N140" s="57" t="str">
        <f>IF($I140="","",SUMIFS(资金流水!$K$5:$K$3032,资金流水!$Q$5:$Q$3015,$I140))</f>
        <v/>
      </c>
      <c r="O140" s="25"/>
      <c r="P140" s="57" t="str">
        <f t="shared" si="14"/>
        <v/>
      </c>
      <c r="Q140" s="58" t="str">
        <f t="shared" si="15"/>
        <v/>
      </c>
      <c r="R140" s="54" t="str">
        <f t="shared" si="16"/>
        <v/>
      </c>
      <c r="S140" s="56" t="str">
        <f ca="1" t="shared" si="17"/>
        <v/>
      </c>
      <c r="T140" s="10"/>
    </row>
    <row r="141" spans="1:20">
      <c r="A141" s="56" t="str">
        <f>IF($B141="","",COUNTA($B$5:$B141))</f>
        <v/>
      </c>
      <c r="B141" s="53"/>
      <c r="C141" s="46"/>
      <c r="D141" s="56" t="str">
        <f>IFERROR(INDEX(基础资料!$C$4:$C$11,MATCH($C141,基础资料!$A$4:$A$11,0)),"")</f>
        <v/>
      </c>
      <c r="E141" s="39"/>
      <c r="F141" s="46"/>
      <c r="G141" s="10"/>
      <c r="H141" s="39"/>
      <c r="I141" s="10"/>
      <c r="J141" s="25"/>
      <c r="K141" s="88"/>
      <c r="L141" s="57" t="str">
        <f t="shared" si="12"/>
        <v/>
      </c>
      <c r="M141" s="57" t="str">
        <f t="shared" si="13"/>
        <v/>
      </c>
      <c r="N141" s="57" t="str">
        <f>IF($I141="","",SUMIFS(资金流水!$K$5:$K$3032,资金流水!$Q$5:$Q$3015,$I141))</f>
        <v/>
      </c>
      <c r="O141" s="25"/>
      <c r="P141" s="57" t="str">
        <f t="shared" si="14"/>
        <v/>
      </c>
      <c r="Q141" s="58" t="str">
        <f t="shared" si="15"/>
        <v/>
      </c>
      <c r="R141" s="54" t="str">
        <f t="shared" si="16"/>
        <v/>
      </c>
      <c r="S141" s="56" t="str">
        <f ca="1" t="shared" si="17"/>
        <v/>
      </c>
      <c r="T141" s="10"/>
    </row>
    <row r="142" spans="1:20">
      <c r="A142" s="56" t="str">
        <f>IF($B142="","",COUNTA($B$5:$B142))</f>
        <v/>
      </c>
      <c r="B142" s="53"/>
      <c r="C142" s="46"/>
      <c r="D142" s="56" t="str">
        <f>IFERROR(INDEX(基础资料!$C$4:$C$11,MATCH($C142,基础资料!$A$4:$A$11,0)),"")</f>
        <v/>
      </c>
      <c r="E142" s="39"/>
      <c r="F142" s="46"/>
      <c r="G142" s="10"/>
      <c r="H142" s="39"/>
      <c r="I142" s="10"/>
      <c r="J142" s="25"/>
      <c r="K142" s="88"/>
      <c r="L142" s="57" t="str">
        <f t="shared" si="12"/>
        <v/>
      </c>
      <c r="M142" s="57" t="str">
        <f t="shared" si="13"/>
        <v/>
      </c>
      <c r="N142" s="57" t="str">
        <f>IF($I142="","",SUMIFS(资金流水!$K$5:$K$3032,资金流水!$Q$5:$Q$3015,$I142))</f>
        <v/>
      </c>
      <c r="O142" s="25"/>
      <c r="P142" s="57" t="str">
        <f t="shared" si="14"/>
        <v/>
      </c>
      <c r="Q142" s="58" t="str">
        <f t="shared" si="15"/>
        <v/>
      </c>
      <c r="R142" s="54" t="str">
        <f t="shared" si="16"/>
        <v/>
      </c>
      <c r="S142" s="56" t="str">
        <f ca="1" t="shared" si="17"/>
        <v/>
      </c>
      <c r="T142" s="10"/>
    </row>
    <row r="143" spans="1:20">
      <c r="A143" s="56" t="str">
        <f>IF($B143="","",COUNTA($B$5:$B143))</f>
        <v/>
      </c>
      <c r="B143" s="53"/>
      <c r="C143" s="46"/>
      <c r="D143" s="56" t="str">
        <f>IFERROR(INDEX(基础资料!$C$4:$C$11,MATCH($C143,基础资料!$A$4:$A$11,0)),"")</f>
        <v/>
      </c>
      <c r="E143" s="39"/>
      <c r="F143" s="46"/>
      <c r="G143" s="10"/>
      <c r="H143" s="39"/>
      <c r="I143" s="10"/>
      <c r="J143" s="25"/>
      <c r="K143" s="88"/>
      <c r="L143" s="57" t="str">
        <f t="shared" si="12"/>
        <v/>
      </c>
      <c r="M143" s="57" t="str">
        <f t="shared" si="13"/>
        <v/>
      </c>
      <c r="N143" s="57" t="str">
        <f>IF($I143="","",SUMIFS(资金流水!$K$5:$K$3032,资金流水!$Q$5:$Q$3015,$I143))</f>
        <v/>
      </c>
      <c r="O143" s="25"/>
      <c r="P143" s="57" t="str">
        <f t="shared" si="14"/>
        <v/>
      </c>
      <c r="Q143" s="58" t="str">
        <f t="shared" si="15"/>
        <v/>
      </c>
      <c r="R143" s="54" t="str">
        <f t="shared" si="16"/>
        <v/>
      </c>
      <c r="S143" s="56" t="str">
        <f ca="1" t="shared" si="17"/>
        <v/>
      </c>
      <c r="T143" s="10"/>
    </row>
    <row r="144" spans="1:20">
      <c r="A144" s="56" t="str">
        <f>IF($B144="","",COUNTA($B$5:$B144))</f>
        <v/>
      </c>
      <c r="B144" s="53"/>
      <c r="C144" s="46"/>
      <c r="D144" s="56" t="str">
        <f>IFERROR(INDEX(基础资料!$C$4:$C$11,MATCH($C144,基础资料!$A$4:$A$11,0)),"")</f>
        <v/>
      </c>
      <c r="E144" s="39"/>
      <c r="F144" s="46"/>
      <c r="G144" s="10"/>
      <c r="H144" s="39"/>
      <c r="I144" s="10"/>
      <c r="J144" s="25"/>
      <c r="K144" s="88"/>
      <c r="L144" s="57" t="str">
        <f t="shared" si="12"/>
        <v/>
      </c>
      <c r="M144" s="57" t="str">
        <f t="shared" si="13"/>
        <v/>
      </c>
      <c r="N144" s="57" t="str">
        <f>IF($I144="","",SUMIFS(资金流水!$K$5:$K$3032,资金流水!$Q$5:$Q$3015,$I144))</f>
        <v/>
      </c>
      <c r="O144" s="25"/>
      <c r="P144" s="57" t="str">
        <f t="shared" si="14"/>
        <v/>
      </c>
      <c r="Q144" s="58" t="str">
        <f t="shared" si="15"/>
        <v/>
      </c>
      <c r="R144" s="54" t="str">
        <f t="shared" si="16"/>
        <v/>
      </c>
      <c r="S144" s="56" t="str">
        <f ca="1" t="shared" si="17"/>
        <v/>
      </c>
      <c r="T144" s="10"/>
    </row>
    <row r="145" spans="1:20">
      <c r="A145" s="56" t="str">
        <f>IF($B145="","",COUNTA($B$5:$B145))</f>
        <v/>
      </c>
      <c r="B145" s="53"/>
      <c r="C145" s="46"/>
      <c r="D145" s="56" t="str">
        <f>IFERROR(INDEX(基础资料!$C$4:$C$11,MATCH($C145,基础资料!$A$4:$A$11,0)),"")</f>
        <v/>
      </c>
      <c r="E145" s="39"/>
      <c r="F145" s="46"/>
      <c r="G145" s="10"/>
      <c r="H145" s="39"/>
      <c r="I145" s="10"/>
      <c r="J145" s="25"/>
      <c r="K145" s="88"/>
      <c r="L145" s="57" t="str">
        <f t="shared" si="12"/>
        <v/>
      </c>
      <c r="M145" s="57" t="str">
        <f t="shared" si="13"/>
        <v/>
      </c>
      <c r="N145" s="57" t="str">
        <f>IF($I145="","",SUMIFS(资金流水!$K$5:$K$3032,资金流水!$Q$5:$Q$3015,$I145))</f>
        <v/>
      </c>
      <c r="O145" s="25"/>
      <c r="P145" s="57" t="str">
        <f t="shared" si="14"/>
        <v/>
      </c>
      <c r="Q145" s="58" t="str">
        <f t="shared" si="15"/>
        <v/>
      </c>
      <c r="R145" s="54" t="str">
        <f t="shared" si="16"/>
        <v/>
      </c>
      <c r="S145" s="56" t="str">
        <f ca="1" t="shared" si="17"/>
        <v/>
      </c>
      <c r="T145" s="10"/>
    </row>
    <row r="146" spans="1:20">
      <c r="A146" s="56" t="str">
        <f>IF($B146="","",COUNTA($B$5:$B146))</f>
        <v/>
      </c>
      <c r="B146" s="53"/>
      <c r="C146" s="46"/>
      <c r="D146" s="56" t="str">
        <f>IFERROR(INDEX(基础资料!$C$4:$C$11,MATCH($C146,基础资料!$A$4:$A$11,0)),"")</f>
        <v/>
      </c>
      <c r="E146" s="39"/>
      <c r="F146" s="46"/>
      <c r="G146" s="10"/>
      <c r="H146" s="39"/>
      <c r="I146" s="10"/>
      <c r="J146" s="25"/>
      <c r="K146" s="88"/>
      <c r="L146" s="57" t="str">
        <f t="shared" si="12"/>
        <v/>
      </c>
      <c r="M146" s="57" t="str">
        <f t="shared" si="13"/>
        <v/>
      </c>
      <c r="N146" s="57" t="str">
        <f>IF($I146="","",SUMIFS(资金流水!$K$5:$K$3032,资金流水!$Q$5:$Q$3015,$I146))</f>
        <v/>
      </c>
      <c r="O146" s="25"/>
      <c r="P146" s="57" t="str">
        <f t="shared" si="14"/>
        <v/>
      </c>
      <c r="Q146" s="58" t="str">
        <f t="shared" si="15"/>
        <v/>
      </c>
      <c r="R146" s="54" t="str">
        <f t="shared" si="16"/>
        <v/>
      </c>
      <c r="S146" s="56" t="str">
        <f ca="1" t="shared" si="17"/>
        <v/>
      </c>
      <c r="T146" s="10"/>
    </row>
    <row r="147" spans="1:20">
      <c r="A147" s="56" t="str">
        <f>IF($B147="","",COUNTA($B$5:$B147))</f>
        <v/>
      </c>
      <c r="B147" s="53"/>
      <c r="C147" s="46"/>
      <c r="D147" s="56" t="str">
        <f>IFERROR(INDEX(基础资料!$C$4:$C$11,MATCH($C147,基础资料!$A$4:$A$11,0)),"")</f>
        <v/>
      </c>
      <c r="E147" s="39"/>
      <c r="F147" s="46"/>
      <c r="G147" s="10"/>
      <c r="H147" s="39"/>
      <c r="I147" s="10"/>
      <c r="J147" s="25"/>
      <c r="K147" s="88"/>
      <c r="L147" s="57" t="str">
        <f t="shared" si="12"/>
        <v/>
      </c>
      <c r="M147" s="57" t="str">
        <f t="shared" si="13"/>
        <v/>
      </c>
      <c r="N147" s="57" t="str">
        <f>IF($I147="","",SUMIFS(资金流水!$K$5:$K$3032,资金流水!$Q$5:$Q$3015,$I147))</f>
        <v/>
      </c>
      <c r="O147" s="25"/>
      <c r="P147" s="57" t="str">
        <f t="shared" si="14"/>
        <v/>
      </c>
      <c r="Q147" s="58" t="str">
        <f t="shared" si="15"/>
        <v/>
      </c>
      <c r="R147" s="54" t="str">
        <f t="shared" si="16"/>
        <v/>
      </c>
      <c r="S147" s="56" t="str">
        <f ca="1" t="shared" si="17"/>
        <v/>
      </c>
      <c r="T147" s="10"/>
    </row>
    <row r="148" spans="1:20">
      <c r="A148" s="56" t="str">
        <f>IF($B148="","",COUNTA($B$5:$B148))</f>
        <v/>
      </c>
      <c r="B148" s="53"/>
      <c r="C148" s="46"/>
      <c r="D148" s="56" t="str">
        <f>IFERROR(INDEX(基础资料!$C$4:$C$11,MATCH($C148,基础资料!$A$4:$A$11,0)),"")</f>
        <v/>
      </c>
      <c r="E148" s="39"/>
      <c r="F148" s="46"/>
      <c r="G148" s="10"/>
      <c r="H148" s="39"/>
      <c r="I148" s="10"/>
      <c r="J148" s="25"/>
      <c r="K148" s="88"/>
      <c r="L148" s="57" t="str">
        <f t="shared" si="12"/>
        <v/>
      </c>
      <c r="M148" s="57" t="str">
        <f t="shared" si="13"/>
        <v/>
      </c>
      <c r="N148" s="57" t="str">
        <f>IF($I148="","",SUMIFS(资金流水!$K$5:$K$3032,资金流水!$Q$5:$Q$3015,$I148))</f>
        <v/>
      </c>
      <c r="O148" s="25"/>
      <c r="P148" s="57" t="str">
        <f t="shared" si="14"/>
        <v/>
      </c>
      <c r="Q148" s="58" t="str">
        <f t="shared" si="15"/>
        <v/>
      </c>
      <c r="R148" s="54" t="str">
        <f t="shared" si="16"/>
        <v/>
      </c>
      <c r="S148" s="56" t="str">
        <f ca="1" t="shared" si="17"/>
        <v/>
      </c>
      <c r="T148" s="10"/>
    </row>
    <row r="149" spans="1:20">
      <c r="A149" s="56" t="str">
        <f>IF($B149="","",COUNTA($B$5:$B149))</f>
        <v/>
      </c>
      <c r="B149" s="53"/>
      <c r="C149" s="46"/>
      <c r="D149" s="56" t="str">
        <f>IFERROR(INDEX(基础资料!$C$4:$C$11,MATCH($C149,基础资料!$A$4:$A$11,0)),"")</f>
        <v/>
      </c>
      <c r="E149" s="39"/>
      <c r="F149" s="46"/>
      <c r="G149" s="10"/>
      <c r="H149" s="39"/>
      <c r="I149" s="10"/>
      <c r="J149" s="25"/>
      <c r="K149" s="88"/>
      <c r="L149" s="57" t="str">
        <f t="shared" si="12"/>
        <v/>
      </c>
      <c r="M149" s="57" t="str">
        <f t="shared" si="13"/>
        <v/>
      </c>
      <c r="N149" s="57" t="str">
        <f>IF($I149="","",SUMIFS(资金流水!$K$5:$K$3032,资金流水!$Q$5:$Q$3015,$I149))</f>
        <v/>
      </c>
      <c r="O149" s="25"/>
      <c r="P149" s="57" t="str">
        <f t="shared" si="14"/>
        <v/>
      </c>
      <c r="Q149" s="58" t="str">
        <f t="shared" si="15"/>
        <v/>
      </c>
      <c r="R149" s="54" t="str">
        <f t="shared" si="16"/>
        <v/>
      </c>
      <c r="S149" s="56" t="str">
        <f ca="1" t="shared" si="17"/>
        <v/>
      </c>
      <c r="T149" s="10"/>
    </row>
    <row r="150" spans="1:20">
      <c r="A150" s="56" t="str">
        <f>IF($B150="","",COUNTA($B$5:$B150))</f>
        <v/>
      </c>
      <c r="B150" s="53"/>
      <c r="C150" s="46"/>
      <c r="D150" s="56" t="str">
        <f>IFERROR(INDEX(基础资料!$C$4:$C$11,MATCH($C150,基础资料!$A$4:$A$11,0)),"")</f>
        <v/>
      </c>
      <c r="E150" s="39"/>
      <c r="F150" s="46"/>
      <c r="G150" s="10"/>
      <c r="H150" s="39"/>
      <c r="I150" s="10"/>
      <c r="J150" s="25"/>
      <c r="K150" s="88"/>
      <c r="L150" s="57" t="str">
        <f t="shared" si="12"/>
        <v/>
      </c>
      <c r="M150" s="57" t="str">
        <f t="shared" si="13"/>
        <v/>
      </c>
      <c r="N150" s="57" t="str">
        <f>IF($I150="","",SUMIFS(资金流水!$K$5:$K$3032,资金流水!$Q$5:$Q$3015,$I150))</f>
        <v/>
      </c>
      <c r="O150" s="25"/>
      <c r="P150" s="57" t="str">
        <f t="shared" si="14"/>
        <v/>
      </c>
      <c r="Q150" s="58" t="str">
        <f t="shared" si="15"/>
        <v/>
      </c>
      <c r="R150" s="54" t="str">
        <f t="shared" si="16"/>
        <v/>
      </c>
      <c r="S150" s="56" t="str">
        <f ca="1" t="shared" si="17"/>
        <v/>
      </c>
      <c r="T150" s="10"/>
    </row>
    <row r="151" spans="1:20">
      <c r="A151" s="56" t="str">
        <f>IF($B151="","",COUNTA($B$5:$B151))</f>
        <v/>
      </c>
      <c r="B151" s="53"/>
      <c r="C151" s="46"/>
      <c r="D151" s="56" t="str">
        <f>IFERROR(INDEX(基础资料!$C$4:$C$11,MATCH($C151,基础资料!$A$4:$A$11,0)),"")</f>
        <v/>
      </c>
      <c r="E151" s="39"/>
      <c r="F151" s="46"/>
      <c r="G151" s="10"/>
      <c r="H151" s="39"/>
      <c r="I151" s="10"/>
      <c r="J151" s="25"/>
      <c r="K151" s="88"/>
      <c r="L151" s="57" t="str">
        <f t="shared" si="12"/>
        <v/>
      </c>
      <c r="M151" s="57" t="str">
        <f t="shared" si="13"/>
        <v/>
      </c>
      <c r="N151" s="57" t="str">
        <f>IF($I151="","",SUMIFS(资金流水!$K$5:$K$3032,资金流水!$Q$5:$Q$3015,$I151))</f>
        <v/>
      </c>
      <c r="O151" s="25"/>
      <c r="P151" s="57" t="str">
        <f t="shared" si="14"/>
        <v/>
      </c>
      <c r="Q151" s="58" t="str">
        <f t="shared" si="15"/>
        <v/>
      </c>
      <c r="R151" s="54" t="str">
        <f t="shared" si="16"/>
        <v/>
      </c>
      <c r="S151" s="56" t="str">
        <f ca="1" t="shared" si="17"/>
        <v/>
      </c>
      <c r="T151" s="10"/>
    </row>
    <row r="152" spans="1:20">
      <c r="A152" s="56" t="str">
        <f>IF($B152="","",COUNTA($B$5:$B152))</f>
        <v/>
      </c>
      <c r="B152" s="53"/>
      <c r="C152" s="46"/>
      <c r="D152" s="56" t="str">
        <f>IFERROR(INDEX(基础资料!$C$4:$C$11,MATCH($C152,基础资料!$A$4:$A$11,0)),"")</f>
        <v/>
      </c>
      <c r="E152" s="39"/>
      <c r="F152" s="46"/>
      <c r="G152" s="10"/>
      <c r="H152" s="39"/>
      <c r="I152" s="10"/>
      <c r="J152" s="25"/>
      <c r="K152" s="88"/>
      <c r="L152" s="57" t="str">
        <f t="shared" si="12"/>
        <v/>
      </c>
      <c r="M152" s="57" t="str">
        <f t="shared" si="13"/>
        <v/>
      </c>
      <c r="N152" s="57" t="str">
        <f>IF($I152="","",SUMIFS(资金流水!$K$5:$K$3032,资金流水!$Q$5:$Q$3015,$I152))</f>
        <v/>
      </c>
      <c r="O152" s="25"/>
      <c r="P152" s="57" t="str">
        <f t="shared" si="14"/>
        <v/>
      </c>
      <c r="Q152" s="58" t="str">
        <f t="shared" si="15"/>
        <v/>
      </c>
      <c r="R152" s="54" t="str">
        <f t="shared" si="16"/>
        <v/>
      </c>
      <c r="S152" s="56" t="str">
        <f ca="1" t="shared" si="17"/>
        <v/>
      </c>
      <c r="T152" s="10"/>
    </row>
    <row r="153" spans="1:20">
      <c r="A153" s="56" t="str">
        <f>IF($B153="","",COUNTA($B$5:$B153))</f>
        <v/>
      </c>
      <c r="B153" s="53"/>
      <c r="C153" s="46"/>
      <c r="D153" s="56" t="str">
        <f>IFERROR(INDEX(基础资料!$C$4:$C$11,MATCH($C153,基础资料!$A$4:$A$11,0)),"")</f>
        <v/>
      </c>
      <c r="E153" s="39"/>
      <c r="F153" s="46"/>
      <c r="G153" s="10"/>
      <c r="H153" s="39"/>
      <c r="I153" s="10"/>
      <c r="J153" s="25"/>
      <c r="K153" s="88"/>
      <c r="L153" s="57" t="str">
        <f t="shared" si="12"/>
        <v/>
      </c>
      <c r="M153" s="57" t="str">
        <f t="shared" si="13"/>
        <v/>
      </c>
      <c r="N153" s="57" t="str">
        <f>IF($I153="","",SUMIFS(资金流水!$K$5:$K$3032,资金流水!$Q$5:$Q$3015,$I153))</f>
        <v/>
      </c>
      <c r="O153" s="25"/>
      <c r="P153" s="57" t="str">
        <f t="shared" si="14"/>
        <v/>
      </c>
      <c r="Q153" s="58" t="str">
        <f t="shared" si="15"/>
        <v/>
      </c>
      <c r="R153" s="54" t="str">
        <f t="shared" si="16"/>
        <v/>
      </c>
      <c r="S153" s="56" t="str">
        <f ca="1" t="shared" si="17"/>
        <v/>
      </c>
      <c r="T153" s="10"/>
    </row>
    <row r="154" spans="1:20">
      <c r="A154" s="56" t="str">
        <f>IF($B154="","",COUNTA($B$5:$B154))</f>
        <v/>
      </c>
      <c r="B154" s="53"/>
      <c r="C154" s="46"/>
      <c r="D154" s="56" t="str">
        <f>IFERROR(INDEX(基础资料!$C$4:$C$11,MATCH($C154,基础资料!$A$4:$A$11,0)),"")</f>
        <v/>
      </c>
      <c r="E154" s="39"/>
      <c r="F154" s="46"/>
      <c r="G154" s="10"/>
      <c r="H154" s="39"/>
      <c r="I154" s="10"/>
      <c r="J154" s="25"/>
      <c r="K154" s="88"/>
      <c r="L154" s="57" t="str">
        <f t="shared" si="12"/>
        <v/>
      </c>
      <c r="M154" s="57" t="str">
        <f t="shared" si="13"/>
        <v/>
      </c>
      <c r="N154" s="57" t="str">
        <f>IF($I154="","",SUMIFS(资金流水!$K$5:$K$3032,资金流水!$Q$5:$Q$3015,$I154))</f>
        <v/>
      </c>
      <c r="O154" s="25"/>
      <c r="P154" s="57" t="str">
        <f t="shared" si="14"/>
        <v/>
      </c>
      <c r="Q154" s="58" t="str">
        <f t="shared" si="15"/>
        <v/>
      </c>
      <c r="R154" s="54" t="str">
        <f t="shared" si="16"/>
        <v/>
      </c>
      <c r="S154" s="56" t="str">
        <f ca="1" t="shared" si="17"/>
        <v/>
      </c>
      <c r="T154" s="10"/>
    </row>
    <row r="155" spans="1:20">
      <c r="A155" s="56" t="str">
        <f>IF($B155="","",COUNTA($B$5:$B155))</f>
        <v/>
      </c>
      <c r="B155" s="53"/>
      <c r="C155" s="46"/>
      <c r="D155" s="56" t="str">
        <f>IFERROR(INDEX(基础资料!$C$4:$C$11,MATCH($C155,基础资料!$A$4:$A$11,0)),"")</f>
        <v/>
      </c>
      <c r="E155" s="39"/>
      <c r="F155" s="46"/>
      <c r="G155" s="10"/>
      <c r="H155" s="39"/>
      <c r="I155" s="10"/>
      <c r="J155" s="25"/>
      <c r="K155" s="88"/>
      <c r="L155" s="57" t="str">
        <f t="shared" si="12"/>
        <v/>
      </c>
      <c r="M155" s="57" t="str">
        <f t="shared" si="13"/>
        <v/>
      </c>
      <c r="N155" s="57" t="str">
        <f>IF($I155="","",SUMIFS(资金流水!$K$5:$K$3032,资金流水!$Q$5:$Q$3015,$I155))</f>
        <v/>
      </c>
      <c r="O155" s="25"/>
      <c r="P155" s="57" t="str">
        <f t="shared" si="14"/>
        <v/>
      </c>
      <c r="Q155" s="58" t="str">
        <f t="shared" si="15"/>
        <v/>
      </c>
      <c r="R155" s="54" t="str">
        <f t="shared" si="16"/>
        <v/>
      </c>
      <c r="S155" s="56" t="str">
        <f ca="1" t="shared" si="17"/>
        <v/>
      </c>
      <c r="T155" s="10"/>
    </row>
    <row r="156" spans="1:20">
      <c r="A156" s="56" t="str">
        <f>IF($B156="","",COUNTA($B$5:$B156))</f>
        <v/>
      </c>
      <c r="B156" s="53"/>
      <c r="C156" s="46"/>
      <c r="D156" s="56" t="str">
        <f>IFERROR(INDEX(基础资料!$C$4:$C$11,MATCH($C156,基础资料!$A$4:$A$11,0)),"")</f>
        <v/>
      </c>
      <c r="E156" s="39"/>
      <c r="F156" s="46"/>
      <c r="G156" s="10"/>
      <c r="H156" s="39"/>
      <c r="I156" s="10"/>
      <c r="J156" s="25"/>
      <c r="K156" s="88"/>
      <c r="L156" s="57" t="str">
        <f t="shared" si="12"/>
        <v/>
      </c>
      <c r="M156" s="57" t="str">
        <f t="shared" si="13"/>
        <v/>
      </c>
      <c r="N156" s="57" t="str">
        <f>IF($I156="","",SUMIFS(资金流水!$K$5:$K$3032,资金流水!$Q$5:$Q$3015,$I156))</f>
        <v/>
      </c>
      <c r="O156" s="25"/>
      <c r="P156" s="57" t="str">
        <f t="shared" si="14"/>
        <v/>
      </c>
      <c r="Q156" s="58" t="str">
        <f t="shared" si="15"/>
        <v/>
      </c>
      <c r="R156" s="54" t="str">
        <f t="shared" si="16"/>
        <v/>
      </c>
      <c r="S156" s="56" t="str">
        <f ca="1" t="shared" si="17"/>
        <v/>
      </c>
      <c r="T156" s="10"/>
    </row>
    <row r="157" spans="1:20">
      <c r="A157" s="56" t="str">
        <f>IF($B157="","",COUNTA($B$5:$B157))</f>
        <v/>
      </c>
      <c r="B157" s="53"/>
      <c r="C157" s="46"/>
      <c r="D157" s="56" t="str">
        <f>IFERROR(INDEX(基础资料!$C$4:$C$11,MATCH($C157,基础资料!$A$4:$A$11,0)),"")</f>
        <v/>
      </c>
      <c r="E157" s="39"/>
      <c r="F157" s="46"/>
      <c r="G157" s="10"/>
      <c r="H157" s="39"/>
      <c r="I157" s="10"/>
      <c r="J157" s="25"/>
      <c r="K157" s="88"/>
      <c r="L157" s="57" t="str">
        <f t="shared" si="12"/>
        <v/>
      </c>
      <c r="M157" s="57" t="str">
        <f t="shared" si="13"/>
        <v/>
      </c>
      <c r="N157" s="57" t="str">
        <f>IF($I157="","",SUMIFS(资金流水!$K$5:$K$3032,资金流水!$Q$5:$Q$3015,$I157))</f>
        <v/>
      </c>
      <c r="O157" s="25"/>
      <c r="P157" s="57" t="str">
        <f t="shared" si="14"/>
        <v/>
      </c>
      <c r="Q157" s="58" t="str">
        <f t="shared" si="15"/>
        <v/>
      </c>
      <c r="R157" s="54" t="str">
        <f t="shared" si="16"/>
        <v/>
      </c>
      <c r="S157" s="56" t="str">
        <f ca="1" t="shared" si="17"/>
        <v/>
      </c>
      <c r="T157" s="10"/>
    </row>
    <row r="158" spans="1:20">
      <c r="A158" s="56" t="str">
        <f>IF($B158="","",COUNTA($B$5:$B158))</f>
        <v/>
      </c>
      <c r="B158" s="53"/>
      <c r="C158" s="46"/>
      <c r="D158" s="56" t="str">
        <f>IFERROR(INDEX(基础资料!$C$4:$C$11,MATCH($C158,基础资料!$A$4:$A$11,0)),"")</f>
        <v/>
      </c>
      <c r="E158" s="39"/>
      <c r="F158" s="46"/>
      <c r="G158" s="10"/>
      <c r="H158" s="39"/>
      <c r="I158" s="10"/>
      <c r="J158" s="25"/>
      <c r="K158" s="88"/>
      <c r="L158" s="57" t="str">
        <f t="shared" si="12"/>
        <v/>
      </c>
      <c r="M158" s="57" t="str">
        <f t="shared" si="13"/>
        <v/>
      </c>
      <c r="N158" s="57" t="str">
        <f>IF($I158="","",SUMIFS(资金流水!$K$5:$K$3032,资金流水!$Q$5:$Q$3015,$I158))</f>
        <v/>
      </c>
      <c r="O158" s="25"/>
      <c r="P158" s="57" t="str">
        <f t="shared" si="14"/>
        <v/>
      </c>
      <c r="Q158" s="58" t="str">
        <f t="shared" si="15"/>
        <v/>
      </c>
      <c r="R158" s="54" t="str">
        <f t="shared" si="16"/>
        <v/>
      </c>
      <c r="S158" s="56" t="str">
        <f ca="1" t="shared" si="17"/>
        <v/>
      </c>
      <c r="T158" s="10"/>
    </row>
    <row r="159" spans="1:20">
      <c r="A159" s="56" t="str">
        <f>IF($B159="","",COUNTA($B$5:$B159))</f>
        <v/>
      </c>
      <c r="B159" s="53"/>
      <c r="C159" s="46"/>
      <c r="D159" s="56" t="str">
        <f>IFERROR(INDEX(基础资料!$C$4:$C$11,MATCH($C159,基础资料!$A$4:$A$11,0)),"")</f>
        <v/>
      </c>
      <c r="E159" s="39"/>
      <c r="F159" s="46"/>
      <c r="G159" s="10"/>
      <c r="H159" s="39"/>
      <c r="I159" s="10"/>
      <c r="J159" s="25"/>
      <c r="K159" s="88"/>
      <c r="L159" s="57" t="str">
        <f t="shared" si="12"/>
        <v/>
      </c>
      <c r="M159" s="57" t="str">
        <f t="shared" si="13"/>
        <v/>
      </c>
      <c r="N159" s="57" t="str">
        <f>IF($I159="","",SUMIFS(资金流水!$K$5:$K$3032,资金流水!$Q$5:$Q$3015,$I159))</f>
        <v/>
      </c>
      <c r="O159" s="25"/>
      <c r="P159" s="57" t="str">
        <f t="shared" si="14"/>
        <v/>
      </c>
      <c r="Q159" s="58" t="str">
        <f t="shared" si="15"/>
        <v/>
      </c>
      <c r="R159" s="54" t="str">
        <f t="shared" si="16"/>
        <v/>
      </c>
      <c r="S159" s="56" t="str">
        <f ca="1" t="shared" si="17"/>
        <v/>
      </c>
      <c r="T159" s="10"/>
    </row>
    <row r="160" spans="1:20">
      <c r="A160" s="56" t="str">
        <f>IF($B160="","",COUNTA($B$5:$B160))</f>
        <v/>
      </c>
      <c r="B160" s="53"/>
      <c r="C160" s="46"/>
      <c r="D160" s="56" t="str">
        <f>IFERROR(INDEX(基础资料!$C$4:$C$11,MATCH($C160,基础资料!$A$4:$A$11,0)),"")</f>
        <v/>
      </c>
      <c r="E160" s="39"/>
      <c r="F160" s="46"/>
      <c r="G160" s="10"/>
      <c r="H160" s="39"/>
      <c r="I160" s="10"/>
      <c r="J160" s="25"/>
      <c r="K160" s="88"/>
      <c r="L160" s="57" t="str">
        <f t="shared" si="12"/>
        <v/>
      </c>
      <c r="M160" s="57" t="str">
        <f t="shared" si="13"/>
        <v/>
      </c>
      <c r="N160" s="57" t="str">
        <f>IF($I160="","",SUMIFS(资金流水!$K$5:$K$3032,资金流水!$Q$5:$Q$3015,$I160))</f>
        <v/>
      </c>
      <c r="O160" s="25"/>
      <c r="P160" s="57" t="str">
        <f t="shared" si="14"/>
        <v/>
      </c>
      <c r="Q160" s="58" t="str">
        <f t="shared" si="15"/>
        <v/>
      </c>
      <c r="R160" s="54" t="str">
        <f t="shared" si="16"/>
        <v/>
      </c>
      <c r="S160" s="56" t="str">
        <f ca="1" t="shared" si="17"/>
        <v/>
      </c>
      <c r="T160" s="10"/>
    </row>
    <row r="161" spans="1:20">
      <c r="A161" s="56" t="str">
        <f>IF($B161="","",COUNTA($B$5:$B161))</f>
        <v/>
      </c>
      <c r="B161" s="53"/>
      <c r="C161" s="46"/>
      <c r="D161" s="56" t="str">
        <f>IFERROR(INDEX(基础资料!$C$4:$C$11,MATCH($C161,基础资料!$A$4:$A$11,0)),"")</f>
        <v/>
      </c>
      <c r="E161" s="39"/>
      <c r="F161" s="46"/>
      <c r="G161" s="10"/>
      <c r="H161" s="39"/>
      <c r="I161" s="10"/>
      <c r="J161" s="25"/>
      <c r="K161" s="88"/>
      <c r="L161" s="57" t="str">
        <f t="shared" si="12"/>
        <v/>
      </c>
      <c r="M161" s="57" t="str">
        <f t="shared" si="13"/>
        <v/>
      </c>
      <c r="N161" s="57" t="str">
        <f>IF($I161="","",SUMIFS(资金流水!$K$5:$K$3032,资金流水!$Q$5:$Q$3015,$I161))</f>
        <v/>
      </c>
      <c r="O161" s="25"/>
      <c r="P161" s="57" t="str">
        <f t="shared" si="14"/>
        <v/>
      </c>
      <c r="Q161" s="58" t="str">
        <f t="shared" si="15"/>
        <v/>
      </c>
      <c r="R161" s="54" t="str">
        <f t="shared" si="16"/>
        <v/>
      </c>
      <c r="S161" s="56" t="str">
        <f ca="1" t="shared" si="17"/>
        <v/>
      </c>
      <c r="T161" s="10"/>
    </row>
    <row r="162" spans="1:20">
      <c r="A162" s="56" t="str">
        <f>IF($B162="","",COUNTA($B$5:$B162))</f>
        <v/>
      </c>
      <c r="B162" s="53"/>
      <c r="C162" s="46"/>
      <c r="D162" s="56" t="str">
        <f>IFERROR(INDEX(基础资料!$C$4:$C$11,MATCH($C162,基础资料!$A$4:$A$11,0)),"")</f>
        <v/>
      </c>
      <c r="E162" s="39"/>
      <c r="F162" s="46"/>
      <c r="G162" s="10"/>
      <c r="H162" s="39"/>
      <c r="I162" s="10"/>
      <c r="J162" s="25"/>
      <c r="K162" s="88"/>
      <c r="L162" s="57" t="str">
        <f t="shared" si="12"/>
        <v/>
      </c>
      <c r="M162" s="57" t="str">
        <f t="shared" si="13"/>
        <v/>
      </c>
      <c r="N162" s="57" t="str">
        <f>IF($I162="","",SUMIFS(资金流水!$K$5:$K$3032,资金流水!$Q$5:$Q$3015,$I162))</f>
        <v/>
      </c>
      <c r="O162" s="25"/>
      <c r="P162" s="57" t="str">
        <f t="shared" si="14"/>
        <v/>
      </c>
      <c r="Q162" s="58" t="str">
        <f t="shared" si="15"/>
        <v/>
      </c>
      <c r="R162" s="54" t="str">
        <f t="shared" si="16"/>
        <v/>
      </c>
      <c r="S162" s="56" t="str">
        <f ca="1" t="shared" si="17"/>
        <v/>
      </c>
      <c r="T162" s="10"/>
    </row>
    <row r="163" spans="1:20">
      <c r="A163" s="56" t="str">
        <f>IF($B163="","",COUNTA($B$5:$B163))</f>
        <v/>
      </c>
      <c r="B163" s="53"/>
      <c r="C163" s="46"/>
      <c r="D163" s="56" t="str">
        <f>IFERROR(INDEX(基础资料!$C$4:$C$11,MATCH($C163,基础资料!$A$4:$A$11,0)),"")</f>
        <v/>
      </c>
      <c r="E163" s="39"/>
      <c r="F163" s="46"/>
      <c r="G163" s="10"/>
      <c r="H163" s="39"/>
      <c r="I163" s="10"/>
      <c r="J163" s="25"/>
      <c r="K163" s="88"/>
      <c r="L163" s="57" t="str">
        <f t="shared" si="12"/>
        <v/>
      </c>
      <c r="M163" s="57" t="str">
        <f t="shared" si="13"/>
        <v/>
      </c>
      <c r="N163" s="57" t="str">
        <f>IF($I163="","",SUMIFS(资金流水!$K$5:$K$3032,资金流水!$Q$5:$Q$3015,$I163))</f>
        <v/>
      </c>
      <c r="O163" s="25"/>
      <c r="P163" s="57" t="str">
        <f t="shared" si="14"/>
        <v/>
      </c>
      <c r="Q163" s="58" t="str">
        <f t="shared" si="15"/>
        <v/>
      </c>
      <c r="R163" s="54" t="str">
        <f t="shared" si="16"/>
        <v/>
      </c>
      <c r="S163" s="56" t="str">
        <f ca="1" t="shared" si="17"/>
        <v/>
      </c>
      <c r="T163" s="10"/>
    </row>
    <row r="164" spans="1:20">
      <c r="A164" s="56" t="str">
        <f>IF($B164="","",COUNTA($B$5:$B164))</f>
        <v/>
      </c>
      <c r="B164" s="53"/>
      <c r="C164" s="46"/>
      <c r="D164" s="56" t="str">
        <f>IFERROR(INDEX(基础资料!$C$4:$C$11,MATCH($C164,基础资料!$A$4:$A$11,0)),"")</f>
        <v/>
      </c>
      <c r="E164" s="39"/>
      <c r="F164" s="46"/>
      <c r="G164" s="10"/>
      <c r="H164" s="39"/>
      <c r="I164" s="10"/>
      <c r="J164" s="25"/>
      <c r="K164" s="88"/>
      <c r="L164" s="57" t="str">
        <f t="shared" si="12"/>
        <v/>
      </c>
      <c r="M164" s="57" t="str">
        <f t="shared" si="13"/>
        <v/>
      </c>
      <c r="N164" s="57" t="str">
        <f>IF($I164="","",SUMIFS(资金流水!$K$5:$K$3032,资金流水!$Q$5:$Q$3015,$I164))</f>
        <v/>
      </c>
      <c r="O164" s="25"/>
      <c r="P164" s="57" t="str">
        <f t="shared" si="14"/>
        <v/>
      </c>
      <c r="Q164" s="58" t="str">
        <f t="shared" si="15"/>
        <v/>
      </c>
      <c r="R164" s="54" t="str">
        <f t="shared" si="16"/>
        <v/>
      </c>
      <c r="S164" s="56" t="str">
        <f ca="1" t="shared" si="17"/>
        <v/>
      </c>
      <c r="T164" s="10"/>
    </row>
    <row r="165" spans="1:20">
      <c r="A165" s="56" t="str">
        <f>IF($B165="","",COUNTA($B$5:$B165))</f>
        <v/>
      </c>
      <c r="B165" s="53"/>
      <c r="C165" s="46"/>
      <c r="D165" s="56" t="str">
        <f>IFERROR(INDEX(基础资料!$C$4:$C$11,MATCH($C165,基础资料!$A$4:$A$11,0)),"")</f>
        <v/>
      </c>
      <c r="E165" s="39"/>
      <c r="F165" s="46"/>
      <c r="G165" s="10"/>
      <c r="H165" s="39"/>
      <c r="I165" s="10"/>
      <c r="J165" s="25"/>
      <c r="K165" s="88"/>
      <c r="L165" s="57" t="str">
        <f t="shared" si="12"/>
        <v/>
      </c>
      <c r="M165" s="57" t="str">
        <f t="shared" si="13"/>
        <v/>
      </c>
      <c r="N165" s="57" t="str">
        <f>IF($I165="","",SUMIFS(资金流水!$K$5:$K$3032,资金流水!$Q$5:$Q$3015,$I165))</f>
        <v/>
      </c>
      <c r="O165" s="25"/>
      <c r="P165" s="57" t="str">
        <f t="shared" si="14"/>
        <v/>
      </c>
      <c r="Q165" s="58" t="str">
        <f t="shared" si="15"/>
        <v/>
      </c>
      <c r="R165" s="54" t="str">
        <f t="shared" si="16"/>
        <v/>
      </c>
      <c r="S165" s="56" t="str">
        <f ca="1" t="shared" si="17"/>
        <v/>
      </c>
      <c r="T165" s="10"/>
    </row>
    <row r="166" spans="1:20">
      <c r="A166" s="56" t="str">
        <f>IF($B166="","",COUNTA($B$5:$B166))</f>
        <v/>
      </c>
      <c r="B166" s="53"/>
      <c r="C166" s="46"/>
      <c r="D166" s="56" t="str">
        <f>IFERROR(INDEX(基础资料!$C$4:$C$11,MATCH($C166,基础资料!$A$4:$A$11,0)),"")</f>
        <v/>
      </c>
      <c r="E166" s="39"/>
      <c r="F166" s="46"/>
      <c r="G166" s="10"/>
      <c r="H166" s="39"/>
      <c r="I166" s="10"/>
      <c r="J166" s="25"/>
      <c r="K166" s="88"/>
      <c r="L166" s="57" t="str">
        <f t="shared" si="12"/>
        <v/>
      </c>
      <c r="M166" s="57" t="str">
        <f t="shared" si="13"/>
        <v/>
      </c>
      <c r="N166" s="57" t="str">
        <f>IF($I166="","",SUMIFS(资金流水!$K$5:$K$3032,资金流水!$Q$5:$Q$3015,$I166))</f>
        <v/>
      </c>
      <c r="O166" s="25"/>
      <c r="P166" s="57" t="str">
        <f t="shared" si="14"/>
        <v/>
      </c>
      <c r="Q166" s="58" t="str">
        <f t="shared" si="15"/>
        <v/>
      </c>
      <c r="R166" s="54" t="str">
        <f t="shared" si="16"/>
        <v/>
      </c>
      <c r="S166" s="56" t="str">
        <f ca="1" t="shared" si="17"/>
        <v/>
      </c>
      <c r="T166" s="10"/>
    </row>
    <row r="167" spans="1:20">
      <c r="A167" s="56" t="str">
        <f>IF($B167="","",COUNTA($B$5:$B167))</f>
        <v/>
      </c>
      <c r="B167" s="53"/>
      <c r="C167" s="46"/>
      <c r="D167" s="56" t="str">
        <f>IFERROR(INDEX(基础资料!$C$4:$C$11,MATCH($C167,基础资料!$A$4:$A$11,0)),"")</f>
        <v/>
      </c>
      <c r="E167" s="39"/>
      <c r="F167" s="46"/>
      <c r="G167" s="10"/>
      <c r="H167" s="39"/>
      <c r="I167" s="10"/>
      <c r="J167" s="25"/>
      <c r="K167" s="88"/>
      <c r="L167" s="57" t="str">
        <f t="shared" si="12"/>
        <v/>
      </c>
      <c r="M167" s="57" t="str">
        <f t="shared" si="13"/>
        <v/>
      </c>
      <c r="N167" s="57" t="str">
        <f>IF($I167="","",SUMIFS(资金流水!$K$5:$K$3032,资金流水!$Q$5:$Q$3015,$I167))</f>
        <v/>
      </c>
      <c r="O167" s="25"/>
      <c r="P167" s="57" t="str">
        <f t="shared" si="14"/>
        <v/>
      </c>
      <c r="Q167" s="58" t="str">
        <f t="shared" si="15"/>
        <v/>
      </c>
      <c r="R167" s="54" t="str">
        <f t="shared" si="16"/>
        <v/>
      </c>
      <c r="S167" s="56" t="str">
        <f ca="1" t="shared" si="17"/>
        <v/>
      </c>
      <c r="T167" s="10"/>
    </row>
    <row r="168" spans="1:20">
      <c r="A168" s="56" t="str">
        <f>IF($B168="","",COUNTA($B$5:$B168))</f>
        <v/>
      </c>
      <c r="B168" s="53"/>
      <c r="C168" s="46"/>
      <c r="D168" s="56" t="str">
        <f>IFERROR(INDEX(基础资料!$C$4:$C$11,MATCH($C168,基础资料!$A$4:$A$11,0)),"")</f>
        <v/>
      </c>
      <c r="E168" s="39"/>
      <c r="F168" s="46"/>
      <c r="G168" s="10"/>
      <c r="H168" s="39"/>
      <c r="I168" s="10"/>
      <c r="J168" s="25"/>
      <c r="K168" s="88"/>
      <c r="L168" s="57" t="str">
        <f t="shared" si="12"/>
        <v/>
      </c>
      <c r="M168" s="57" t="str">
        <f t="shared" si="13"/>
        <v/>
      </c>
      <c r="N168" s="57" t="str">
        <f>IF($I168="","",SUMIFS(资金流水!$K$5:$K$3032,资金流水!$Q$5:$Q$3015,$I168))</f>
        <v/>
      </c>
      <c r="O168" s="25"/>
      <c r="P168" s="57" t="str">
        <f t="shared" si="14"/>
        <v/>
      </c>
      <c r="Q168" s="58" t="str">
        <f t="shared" si="15"/>
        <v/>
      </c>
      <c r="R168" s="54" t="str">
        <f t="shared" si="16"/>
        <v/>
      </c>
      <c r="S168" s="56" t="str">
        <f ca="1" t="shared" si="17"/>
        <v/>
      </c>
      <c r="T168" s="10"/>
    </row>
    <row r="169" spans="1:20">
      <c r="A169" s="56" t="str">
        <f>IF($B169="","",COUNTA($B$5:$B169))</f>
        <v/>
      </c>
      <c r="B169" s="53"/>
      <c r="C169" s="46"/>
      <c r="D169" s="56" t="str">
        <f>IFERROR(INDEX(基础资料!$C$4:$C$11,MATCH($C169,基础资料!$A$4:$A$11,0)),"")</f>
        <v/>
      </c>
      <c r="E169" s="39"/>
      <c r="F169" s="46"/>
      <c r="G169" s="10"/>
      <c r="H169" s="39"/>
      <c r="I169" s="10"/>
      <c r="J169" s="25"/>
      <c r="K169" s="88"/>
      <c r="L169" s="57" t="str">
        <f t="shared" si="12"/>
        <v/>
      </c>
      <c r="M169" s="57" t="str">
        <f t="shared" si="13"/>
        <v/>
      </c>
      <c r="N169" s="57" t="str">
        <f>IF($I169="","",SUMIFS(资金流水!$K$5:$K$3032,资金流水!$Q$5:$Q$3015,$I169))</f>
        <v/>
      </c>
      <c r="O169" s="25"/>
      <c r="P169" s="57" t="str">
        <f t="shared" si="14"/>
        <v/>
      </c>
      <c r="Q169" s="58" t="str">
        <f t="shared" si="15"/>
        <v/>
      </c>
      <c r="R169" s="54" t="str">
        <f t="shared" si="16"/>
        <v/>
      </c>
      <c r="S169" s="56" t="str">
        <f ca="1" t="shared" si="17"/>
        <v/>
      </c>
      <c r="T169" s="10"/>
    </row>
    <row r="170" spans="1:20">
      <c r="A170" s="56" t="str">
        <f>IF($B170="","",COUNTA($B$5:$B170))</f>
        <v/>
      </c>
      <c r="B170" s="53"/>
      <c r="C170" s="46"/>
      <c r="D170" s="56" t="str">
        <f>IFERROR(INDEX(基础资料!$C$4:$C$11,MATCH($C170,基础资料!$A$4:$A$11,0)),"")</f>
        <v/>
      </c>
      <c r="E170" s="39"/>
      <c r="F170" s="46"/>
      <c r="G170" s="10"/>
      <c r="H170" s="39"/>
      <c r="I170" s="10"/>
      <c r="J170" s="25"/>
      <c r="K170" s="88"/>
      <c r="L170" s="57" t="str">
        <f t="shared" si="12"/>
        <v/>
      </c>
      <c r="M170" s="57" t="str">
        <f t="shared" si="13"/>
        <v/>
      </c>
      <c r="N170" s="57" t="str">
        <f>IF($I170="","",SUMIFS(资金流水!$K$5:$K$3032,资金流水!$Q$5:$Q$3015,$I170))</f>
        <v/>
      </c>
      <c r="O170" s="25"/>
      <c r="P170" s="57" t="str">
        <f t="shared" si="14"/>
        <v/>
      </c>
      <c r="Q170" s="58" t="str">
        <f t="shared" si="15"/>
        <v/>
      </c>
      <c r="R170" s="54" t="str">
        <f t="shared" si="16"/>
        <v/>
      </c>
      <c r="S170" s="56" t="str">
        <f ca="1" t="shared" si="17"/>
        <v/>
      </c>
      <c r="T170" s="10"/>
    </row>
    <row r="171" spans="1:20">
      <c r="A171" s="56" t="str">
        <f>IF($B171="","",COUNTA($B$5:$B171))</f>
        <v/>
      </c>
      <c r="B171" s="53"/>
      <c r="C171" s="46"/>
      <c r="D171" s="56" t="str">
        <f>IFERROR(INDEX(基础资料!$C$4:$C$11,MATCH($C171,基础资料!$A$4:$A$11,0)),"")</f>
        <v/>
      </c>
      <c r="E171" s="39"/>
      <c r="F171" s="46"/>
      <c r="G171" s="10"/>
      <c r="H171" s="39"/>
      <c r="I171" s="10"/>
      <c r="J171" s="25"/>
      <c r="K171" s="88"/>
      <c r="L171" s="57" t="str">
        <f t="shared" si="12"/>
        <v/>
      </c>
      <c r="M171" s="57" t="str">
        <f t="shared" si="13"/>
        <v/>
      </c>
      <c r="N171" s="57" t="str">
        <f>IF($I171="","",SUMIFS(资金流水!$K$5:$K$3032,资金流水!$Q$5:$Q$3015,$I171))</f>
        <v/>
      </c>
      <c r="O171" s="25"/>
      <c r="P171" s="57" t="str">
        <f t="shared" si="14"/>
        <v/>
      </c>
      <c r="Q171" s="58" t="str">
        <f t="shared" si="15"/>
        <v/>
      </c>
      <c r="R171" s="54" t="str">
        <f t="shared" si="16"/>
        <v/>
      </c>
      <c r="S171" s="56" t="str">
        <f ca="1" t="shared" si="17"/>
        <v/>
      </c>
      <c r="T171" s="10"/>
    </row>
    <row r="172" spans="1:20">
      <c r="A172" s="56" t="str">
        <f>IF($B172="","",COUNTA($B$5:$B172))</f>
        <v/>
      </c>
      <c r="B172" s="53"/>
      <c r="C172" s="46"/>
      <c r="D172" s="56" t="str">
        <f>IFERROR(INDEX(基础资料!$C$4:$C$11,MATCH($C172,基础资料!$A$4:$A$11,0)),"")</f>
        <v/>
      </c>
      <c r="E172" s="39"/>
      <c r="F172" s="46"/>
      <c r="G172" s="10"/>
      <c r="H172" s="39"/>
      <c r="I172" s="10"/>
      <c r="J172" s="25"/>
      <c r="K172" s="88"/>
      <c r="L172" s="57" t="str">
        <f t="shared" si="12"/>
        <v/>
      </c>
      <c r="M172" s="57" t="str">
        <f t="shared" si="13"/>
        <v/>
      </c>
      <c r="N172" s="57" t="str">
        <f>IF($I172="","",SUMIFS(资金流水!$K$5:$K$3032,资金流水!$Q$5:$Q$3015,$I172))</f>
        <v/>
      </c>
      <c r="O172" s="25"/>
      <c r="P172" s="57" t="str">
        <f t="shared" si="14"/>
        <v/>
      </c>
      <c r="Q172" s="58" t="str">
        <f t="shared" si="15"/>
        <v/>
      </c>
      <c r="R172" s="54" t="str">
        <f t="shared" si="16"/>
        <v/>
      </c>
      <c r="S172" s="56" t="str">
        <f ca="1" t="shared" si="17"/>
        <v/>
      </c>
      <c r="T172" s="10"/>
    </row>
    <row r="173" spans="1:20">
      <c r="A173" s="56" t="str">
        <f>IF($B173="","",COUNTA($B$5:$B173))</f>
        <v/>
      </c>
      <c r="B173" s="53"/>
      <c r="C173" s="46"/>
      <c r="D173" s="56" t="str">
        <f>IFERROR(INDEX(基础资料!$C$4:$C$11,MATCH($C173,基础资料!$A$4:$A$11,0)),"")</f>
        <v/>
      </c>
      <c r="E173" s="39"/>
      <c r="F173" s="46"/>
      <c r="G173" s="10"/>
      <c r="H173" s="39"/>
      <c r="I173" s="10"/>
      <c r="J173" s="25"/>
      <c r="K173" s="88"/>
      <c r="L173" s="57" t="str">
        <f t="shared" si="12"/>
        <v/>
      </c>
      <c r="M173" s="57" t="str">
        <f t="shared" si="13"/>
        <v/>
      </c>
      <c r="N173" s="57" t="str">
        <f>IF($I173="","",SUMIFS(资金流水!$K$5:$K$3032,资金流水!$Q$5:$Q$3015,$I173))</f>
        <v/>
      </c>
      <c r="O173" s="25"/>
      <c r="P173" s="57" t="str">
        <f t="shared" si="14"/>
        <v/>
      </c>
      <c r="Q173" s="58" t="str">
        <f t="shared" si="15"/>
        <v/>
      </c>
      <c r="R173" s="54" t="str">
        <f t="shared" si="16"/>
        <v/>
      </c>
      <c r="S173" s="56" t="str">
        <f ca="1" t="shared" si="17"/>
        <v/>
      </c>
      <c r="T173" s="10"/>
    </row>
    <row r="174" spans="1:20">
      <c r="A174" s="56" t="str">
        <f>IF($B174="","",COUNTA($B$5:$B174))</f>
        <v/>
      </c>
      <c r="B174" s="53"/>
      <c r="C174" s="46"/>
      <c r="D174" s="56" t="str">
        <f>IFERROR(INDEX(基础资料!$C$4:$C$11,MATCH($C174,基础资料!$A$4:$A$11,0)),"")</f>
        <v/>
      </c>
      <c r="E174" s="39"/>
      <c r="F174" s="46"/>
      <c r="G174" s="10"/>
      <c r="H174" s="39"/>
      <c r="I174" s="10"/>
      <c r="J174" s="25"/>
      <c r="K174" s="88"/>
      <c r="L174" s="57" t="str">
        <f t="shared" si="12"/>
        <v/>
      </c>
      <c r="M174" s="57" t="str">
        <f t="shared" si="13"/>
        <v/>
      </c>
      <c r="N174" s="57" t="str">
        <f>IF($I174="","",SUMIFS(资金流水!$K$5:$K$3032,资金流水!$Q$5:$Q$3015,$I174))</f>
        <v/>
      </c>
      <c r="O174" s="25"/>
      <c r="P174" s="57" t="str">
        <f t="shared" si="14"/>
        <v/>
      </c>
      <c r="Q174" s="58" t="str">
        <f t="shared" si="15"/>
        <v/>
      </c>
      <c r="R174" s="54" t="str">
        <f t="shared" si="16"/>
        <v/>
      </c>
      <c r="S174" s="56" t="str">
        <f ca="1" t="shared" si="17"/>
        <v/>
      </c>
      <c r="T174" s="10"/>
    </row>
    <row r="175" spans="1:20">
      <c r="A175" s="56" t="str">
        <f>IF($B175="","",COUNTA($B$5:$B175))</f>
        <v/>
      </c>
      <c r="B175" s="53"/>
      <c r="C175" s="46"/>
      <c r="D175" s="56" t="str">
        <f>IFERROR(INDEX(基础资料!$C$4:$C$11,MATCH($C175,基础资料!$A$4:$A$11,0)),"")</f>
        <v/>
      </c>
      <c r="E175" s="39"/>
      <c r="F175" s="46"/>
      <c r="G175" s="10"/>
      <c r="H175" s="39"/>
      <c r="I175" s="10"/>
      <c r="J175" s="25"/>
      <c r="K175" s="88"/>
      <c r="L175" s="57" t="str">
        <f t="shared" si="12"/>
        <v/>
      </c>
      <c r="M175" s="57" t="str">
        <f t="shared" si="13"/>
        <v/>
      </c>
      <c r="N175" s="57" t="str">
        <f>IF($I175="","",SUMIFS(资金流水!$K$5:$K$3032,资金流水!$Q$5:$Q$3015,$I175))</f>
        <v/>
      </c>
      <c r="O175" s="25"/>
      <c r="P175" s="57" t="str">
        <f t="shared" si="14"/>
        <v/>
      </c>
      <c r="Q175" s="58" t="str">
        <f t="shared" si="15"/>
        <v/>
      </c>
      <c r="R175" s="54" t="str">
        <f t="shared" si="16"/>
        <v/>
      </c>
      <c r="S175" s="56" t="str">
        <f ca="1" t="shared" si="17"/>
        <v/>
      </c>
      <c r="T175" s="10"/>
    </row>
    <row r="176" spans="1:20">
      <c r="A176" s="56" t="str">
        <f>IF($B176="","",COUNTA($B$5:$B176))</f>
        <v/>
      </c>
      <c r="B176" s="53"/>
      <c r="C176" s="46"/>
      <c r="D176" s="56" t="str">
        <f>IFERROR(INDEX(基础资料!$C$4:$C$11,MATCH($C176,基础资料!$A$4:$A$11,0)),"")</f>
        <v/>
      </c>
      <c r="E176" s="39"/>
      <c r="F176" s="46"/>
      <c r="G176" s="10"/>
      <c r="H176" s="39"/>
      <c r="I176" s="10"/>
      <c r="J176" s="25"/>
      <c r="K176" s="88"/>
      <c r="L176" s="57" t="str">
        <f t="shared" si="12"/>
        <v/>
      </c>
      <c r="M176" s="57" t="str">
        <f t="shared" si="13"/>
        <v/>
      </c>
      <c r="N176" s="57" t="str">
        <f>IF($I176="","",SUMIFS(资金流水!$K$5:$K$3032,资金流水!$Q$5:$Q$3015,$I176))</f>
        <v/>
      </c>
      <c r="O176" s="25"/>
      <c r="P176" s="57" t="str">
        <f t="shared" si="14"/>
        <v/>
      </c>
      <c r="Q176" s="58" t="str">
        <f t="shared" si="15"/>
        <v/>
      </c>
      <c r="R176" s="54" t="str">
        <f t="shared" si="16"/>
        <v/>
      </c>
      <c r="S176" s="56" t="str">
        <f ca="1" t="shared" si="17"/>
        <v/>
      </c>
      <c r="T176" s="10"/>
    </row>
    <row r="177" spans="1:20">
      <c r="A177" s="56" t="str">
        <f>IF($B177="","",COUNTA($B$5:$B177))</f>
        <v/>
      </c>
      <c r="B177" s="53"/>
      <c r="C177" s="46"/>
      <c r="D177" s="56" t="str">
        <f>IFERROR(INDEX(基础资料!$C$4:$C$11,MATCH($C177,基础资料!$A$4:$A$11,0)),"")</f>
        <v/>
      </c>
      <c r="E177" s="39"/>
      <c r="F177" s="46"/>
      <c r="G177" s="10"/>
      <c r="H177" s="39"/>
      <c r="I177" s="10"/>
      <c r="J177" s="25"/>
      <c r="K177" s="88"/>
      <c r="L177" s="57" t="str">
        <f t="shared" si="12"/>
        <v/>
      </c>
      <c r="M177" s="57" t="str">
        <f t="shared" si="13"/>
        <v/>
      </c>
      <c r="N177" s="57" t="str">
        <f>IF($I177="","",SUMIFS(资金流水!$K$5:$K$3032,资金流水!$Q$5:$Q$3015,$I177))</f>
        <v/>
      </c>
      <c r="O177" s="25"/>
      <c r="P177" s="57" t="str">
        <f t="shared" si="14"/>
        <v/>
      </c>
      <c r="Q177" s="58" t="str">
        <f t="shared" si="15"/>
        <v/>
      </c>
      <c r="R177" s="54" t="str">
        <f t="shared" si="16"/>
        <v/>
      </c>
      <c r="S177" s="56" t="str">
        <f ca="1" t="shared" si="17"/>
        <v/>
      </c>
      <c r="T177" s="10"/>
    </row>
    <row r="178" spans="1:20">
      <c r="A178" s="56" t="str">
        <f>IF($B178="","",COUNTA($B$5:$B178))</f>
        <v/>
      </c>
      <c r="B178" s="53"/>
      <c r="C178" s="46"/>
      <c r="D178" s="56" t="str">
        <f>IFERROR(INDEX(基础资料!$C$4:$C$11,MATCH($C178,基础资料!$A$4:$A$11,0)),"")</f>
        <v/>
      </c>
      <c r="E178" s="39"/>
      <c r="F178" s="46"/>
      <c r="G178" s="10"/>
      <c r="H178" s="39"/>
      <c r="I178" s="10"/>
      <c r="J178" s="25"/>
      <c r="K178" s="88"/>
      <c r="L178" s="57" t="str">
        <f t="shared" si="12"/>
        <v/>
      </c>
      <c r="M178" s="57" t="str">
        <f t="shared" si="13"/>
        <v/>
      </c>
      <c r="N178" s="57" t="str">
        <f>IF($I178="","",SUMIFS(资金流水!$K$5:$K$3032,资金流水!$Q$5:$Q$3015,$I178))</f>
        <v/>
      </c>
      <c r="O178" s="25"/>
      <c r="P178" s="57" t="str">
        <f t="shared" si="14"/>
        <v/>
      </c>
      <c r="Q178" s="58" t="str">
        <f t="shared" si="15"/>
        <v/>
      </c>
      <c r="R178" s="54" t="str">
        <f t="shared" si="16"/>
        <v/>
      </c>
      <c r="S178" s="56" t="str">
        <f ca="1" t="shared" si="17"/>
        <v/>
      </c>
      <c r="T178" s="10"/>
    </row>
    <row r="179" spans="1:20">
      <c r="A179" s="56" t="str">
        <f>IF($B179="","",COUNTA($B$5:$B179))</f>
        <v/>
      </c>
      <c r="B179" s="53"/>
      <c r="C179" s="46"/>
      <c r="D179" s="56" t="str">
        <f>IFERROR(INDEX(基础资料!$C$4:$C$11,MATCH($C179,基础资料!$A$4:$A$11,0)),"")</f>
        <v/>
      </c>
      <c r="E179" s="39"/>
      <c r="F179" s="46"/>
      <c r="G179" s="10"/>
      <c r="H179" s="39"/>
      <c r="I179" s="10"/>
      <c r="J179" s="25"/>
      <c r="K179" s="88"/>
      <c r="L179" s="57" t="str">
        <f t="shared" si="12"/>
        <v/>
      </c>
      <c r="M179" s="57" t="str">
        <f t="shared" si="13"/>
        <v/>
      </c>
      <c r="N179" s="57" t="str">
        <f>IF($I179="","",SUMIFS(资金流水!$K$5:$K$3032,资金流水!$Q$5:$Q$3015,$I179))</f>
        <v/>
      </c>
      <c r="O179" s="25"/>
      <c r="P179" s="57" t="str">
        <f t="shared" si="14"/>
        <v/>
      </c>
      <c r="Q179" s="58" t="str">
        <f t="shared" si="15"/>
        <v/>
      </c>
      <c r="R179" s="54" t="str">
        <f t="shared" si="16"/>
        <v/>
      </c>
      <c r="S179" s="56" t="str">
        <f ca="1" t="shared" si="17"/>
        <v/>
      </c>
      <c r="T179" s="10"/>
    </row>
    <row r="180" spans="1:20">
      <c r="A180" s="56" t="str">
        <f>IF($B180="","",COUNTA($B$5:$B180))</f>
        <v/>
      </c>
      <c r="B180" s="53"/>
      <c r="C180" s="46"/>
      <c r="D180" s="56" t="str">
        <f>IFERROR(INDEX(基础资料!$C$4:$C$11,MATCH($C180,基础资料!$A$4:$A$11,0)),"")</f>
        <v/>
      </c>
      <c r="E180" s="39"/>
      <c r="F180" s="46"/>
      <c r="G180" s="10"/>
      <c r="H180" s="39"/>
      <c r="I180" s="10"/>
      <c r="J180" s="25"/>
      <c r="K180" s="88"/>
      <c r="L180" s="57" t="str">
        <f t="shared" si="12"/>
        <v/>
      </c>
      <c r="M180" s="57" t="str">
        <f t="shared" si="13"/>
        <v/>
      </c>
      <c r="N180" s="57" t="str">
        <f>IF($I180="","",SUMIFS(资金流水!$K$5:$K$3032,资金流水!$Q$5:$Q$3015,$I180))</f>
        <v/>
      </c>
      <c r="O180" s="25"/>
      <c r="P180" s="57" t="str">
        <f t="shared" si="14"/>
        <v/>
      </c>
      <c r="Q180" s="58" t="str">
        <f t="shared" si="15"/>
        <v/>
      </c>
      <c r="R180" s="54" t="str">
        <f t="shared" si="16"/>
        <v/>
      </c>
      <c r="S180" s="56" t="str">
        <f ca="1" t="shared" si="17"/>
        <v/>
      </c>
      <c r="T180" s="10"/>
    </row>
    <row r="181" spans="1:20">
      <c r="A181" s="56" t="str">
        <f>IF($B181="","",COUNTA($B$5:$B181))</f>
        <v/>
      </c>
      <c r="B181" s="53"/>
      <c r="C181" s="46"/>
      <c r="D181" s="56" t="str">
        <f>IFERROR(INDEX(基础资料!$C$4:$C$11,MATCH($C181,基础资料!$A$4:$A$11,0)),"")</f>
        <v/>
      </c>
      <c r="E181" s="39"/>
      <c r="F181" s="46"/>
      <c r="G181" s="10"/>
      <c r="H181" s="39"/>
      <c r="I181" s="10"/>
      <c r="J181" s="25"/>
      <c r="K181" s="88"/>
      <c r="L181" s="57" t="str">
        <f t="shared" si="12"/>
        <v/>
      </c>
      <c r="M181" s="57" t="str">
        <f t="shared" si="13"/>
        <v/>
      </c>
      <c r="N181" s="57" t="str">
        <f>IF($I181="","",SUMIFS(资金流水!$K$5:$K$3032,资金流水!$Q$5:$Q$3015,$I181))</f>
        <v/>
      </c>
      <c r="O181" s="25"/>
      <c r="P181" s="57" t="str">
        <f t="shared" si="14"/>
        <v/>
      </c>
      <c r="Q181" s="58" t="str">
        <f t="shared" si="15"/>
        <v/>
      </c>
      <c r="R181" s="54" t="str">
        <f t="shared" si="16"/>
        <v/>
      </c>
      <c r="S181" s="56" t="str">
        <f ca="1" t="shared" si="17"/>
        <v/>
      </c>
      <c r="T181" s="10"/>
    </row>
    <row r="182" spans="1:20">
      <c r="A182" s="56" t="str">
        <f>IF($B182="","",COUNTA($B$5:$B182))</f>
        <v/>
      </c>
      <c r="B182" s="53"/>
      <c r="C182" s="46"/>
      <c r="D182" s="56" t="str">
        <f>IFERROR(INDEX(基础资料!$C$4:$C$11,MATCH($C182,基础资料!$A$4:$A$11,0)),"")</f>
        <v/>
      </c>
      <c r="E182" s="39"/>
      <c r="F182" s="46"/>
      <c r="G182" s="10"/>
      <c r="H182" s="39"/>
      <c r="I182" s="10"/>
      <c r="J182" s="25"/>
      <c r="K182" s="88"/>
      <c r="L182" s="57" t="str">
        <f t="shared" si="12"/>
        <v/>
      </c>
      <c r="M182" s="57" t="str">
        <f t="shared" si="13"/>
        <v/>
      </c>
      <c r="N182" s="57" t="str">
        <f>IF($I182="","",SUMIFS(资金流水!$K$5:$K$3032,资金流水!$Q$5:$Q$3015,$I182))</f>
        <v/>
      </c>
      <c r="O182" s="25"/>
      <c r="P182" s="57" t="str">
        <f t="shared" si="14"/>
        <v/>
      </c>
      <c r="Q182" s="58" t="str">
        <f t="shared" si="15"/>
        <v/>
      </c>
      <c r="R182" s="54" t="str">
        <f t="shared" si="16"/>
        <v/>
      </c>
      <c r="S182" s="56" t="str">
        <f ca="1" t="shared" si="17"/>
        <v/>
      </c>
      <c r="T182" s="10"/>
    </row>
    <row r="183" spans="1:20">
      <c r="A183" s="56" t="str">
        <f>IF($B183="","",COUNTA($B$5:$B183))</f>
        <v/>
      </c>
      <c r="B183" s="53"/>
      <c r="C183" s="46"/>
      <c r="D183" s="56" t="str">
        <f>IFERROR(INDEX(基础资料!$C$4:$C$11,MATCH($C183,基础资料!$A$4:$A$11,0)),"")</f>
        <v/>
      </c>
      <c r="E183" s="39"/>
      <c r="F183" s="46"/>
      <c r="G183" s="10"/>
      <c r="H183" s="39"/>
      <c r="I183" s="10"/>
      <c r="J183" s="25"/>
      <c r="K183" s="88"/>
      <c r="L183" s="57" t="str">
        <f t="shared" si="12"/>
        <v/>
      </c>
      <c r="M183" s="57" t="str">
        <f t="shared" si="13"/>
        <v/>
      </c>
      <c r="N183" s="57" t="str">
        <f>IF($I183="","",SUMIFS(资金流水!$K$5:$K$3032,资金流水!$Q$5:$Q$3015,$I183))</f>
        <v/>
      </c>
      <c r="O183" s="25"/>
      <c r="P183" s="57" t="str">
        <f t="shared" si="14"/>
        <v/>
      </c>
      <c r="Q183" s="58" t="str">
        <f t="shared" si="15"/>
        <v/>
      </c>
      <c r="R183" s="54" t="str">
        <f t="shared" si="16"/>
        <v/>
      </c>
      <c r="S183" s="56" t="str">
        <f ca="1" t="shared" si="17"/>
        <v/>
      </c>
      <c r="T183" s="10"/>
    </row>
    <row r="184" spans="1:20">
      <c r="A184" s="56" t="str">
        <f>IF($B184="","",COUNTA($B$5:$B184))</f>
        <v/>
      </c>
      <c r="B184" s="53"/>
      <c r="C184" s="46"/>
      <c r="D184" s="56" t="str">
        <f>IFERROR(INDEX(基础资料!$C$4:$C$11,MATCH($C184,基础资料!$A$4:$A$11,0)),"")</f>
        <v/>
      </c>
      <c r="E184" s="39"/>
      <c r="F184" s="46"/>
      <c r="G184" s="10"/>
      <c r="H184" s="39"/>
      <c r="I184" s="10"/>
      <c r="J184" s="25"/>
      <c r="K184" s="88"/>
      <c r="L184" s="57" t="str">
        <f t="shared" si="12"/>
        <v/>
      </c>
      <c r="M184" s="57" t="str">
        <f t="shared" si="13"/>
        <v/>
      </c>
      <c r="N184" s="57" t="str">
        <f>IF($I184="","",SUMIFS(资金流水!$K$5:$K$3032,资金流水!$Q$5:$Q$3015,$I184))</f>
        <v/>
      </c>
      <c r="O184" s="25"/>
      <c r="P184" s="57" t="str">
        <f t="shared" si="14"/>
        <v/>
      </c>
      <c r="Q184" s="58" t="str">
        <f t="shared" si="15"/>
        <v/>
      </c>
      <c r="R184" s="54" t="str">
        <f t="shared" si="16"/>
        <v/>
      </c>
      <c r="S184" s="56" t="str">
        <f ca="1" t="shared" si="17"/>
        <v/>
      </c>
      <c r="T184" s="10"/>
    </row>
    <row r="185" spans="1:20">
      <c r="A185" s="56" t="str">
        <f>IF($B185="","",COUNTA($B$5:$B185))</f>
        <v/>
      </c>
      <c r="B185" s="53"/>
      <c r="C185" s="46"/>
      <c r="D185" s="56" t="str">
        <f>IFERROR(INDEX(基础资料!$C$4:$C$11,MATCH($C185,基础资料!$A$4:$A$11,0)),"")</f>
        <v/>
      </c>
      <c r="E185" s="39"/>
      <c r="F185" s="46"/>
      <c r="G185" s="10"/>
      <c r="H185" s="39"/>
      <c r="I185" s="10"/>
      <c r="J185" s="25"/>
      <c r="K185" s="88"/>
      <c r="L185" s="57" t="str">
        <f t="shared" si="12"/>
        <v/>
      </c>
      <c r="M185" s="57" t="str">
        <f t="shared" si="13"/>
        <v/>
      </c>
      <c r="N185" s="57" t="str">
        <f>IF($I185="","",SUMIFS(资金流水!$K$5:$K$3032,资金流水!$Q$5:$Q$3015,$I185))</f>
        <v/>
      </c>
      <c r="O185" s="25"/>
      <c r="P185" s="57" t="str">
        <f t="shared" si="14"/>
        <v/>
      </c>
      <c r="Q185" s="58" t="str">
        <f t="shared" si="15"/>
        <v/>
      </c>
      <c r="R185" s="54" t="str">
        <f t="shared" si="16"/>
        <v/>
      </c>
      <c r="S185" s="56" t="str">
        <f ca="1" t="shared" si="17"/>
        <v/>
      </c>
      <c r="T185" s="10"/>
    </row>
    <row r="186" spans="1:20">
      <c r="A186" s="56" t="str">
        <f>IF($B186="","",COUNTA($B$5:$B186))</f>
        <v/>
      </c>
      <c r="B186" s="53"/>
      <c r="C186" s="46"/>
      <c r="D186" s="56" t="str">
        <f>IFERROR(INDEX(基础资料!$C$4:$C$11,MATCH($C186,基础资料!$A$4:$A$11,0)),"")</f>
        <v/>
      </c>
      <c r="E186" s="39"/>
      <c r="F186" s="46"/>
      <c r="G186" s="10"/>
      <c r="H186" s="39"/>
      <c r="I186" s="10"/>
      <c r="J186" s="25"/>
      <c r="K186" s="88"/>
      <c r="L186" s="57" t="str">
        <f t="shared" si="12"/>
        <v/>
      </c>
      <c r="M186" s="57" t="str">
        <f t="shared" si="13"/>
        <v/>
      </c>
      <c r="N186" s="57" t="str">
        <f>IF($I186="","",SUMIFS(资金流水!$K$5:$K$3032,资金流水!$Q$5:$Q$3015,$I186))</f>
        <v/>
      </c>
      <c r="O186" s="25"/>
      <c r="P186" s="57" t="str">
        <f t="shared" si="14"/>
        <v/>
      </c>
      <c r="Q186" s="58" t="str">
        <f t="shared" si="15"/>
        <v/>
      </c>
      <c r="R186" s="54" t="str">
        <f t="shared" si="16"/>
        <v/>
      </c>
      <c r="S186" s="56" t="str">
        <f ca="1" t="shared" si="17"/>
        <v/>
      </c>
      <c r="T186" s="10"/>
    </row>
    <row r="187" spans="1:20">
      <c r="A187" s="56" t="str">
        <f>IF($B187="","",COUNTA($B$5:$B187))</f>
        <v/>
      </c>
      <c r="B187" s="53"/>
      <c r="C187" s="46"/>
      <c r="D187" s="56" t="str">
        <f>IFERROR(INDEX(基础资料!$C$4:$C$11,MATCH($C187,基础资料!$A$4:$A$11,0)),"")</f>
        <v/>
      </c>
      <c r="E187" s="39"/>
      <c r="F187" s="46"/>
      <c r="G187" s="10"/>
      <c r="H187" s="39"/>
      <c r="I187" s="10"/>
      <c r="J187" s="25"/>
      <c r="K187" s="88"/>
      <c r="L187" s="57" t="str">
        <f t="shared" si="12"/>
        <v/>
      </c>
      <c r="M187" s="57" t="str">
        <f t="shared" si="13"/>
        <v/>
      </c>
      <c r="N187" s="57" t="str">
        <f>IF($I187="","",SUMIFS(资金流水!$K$5:$K$3032,资金流水!$Q$5:$Q$3015,$I187))</f>
        <v/>
      </c>
      <c r="O187" s="25"/>
      <c r="P187" s="57" t="str">
        <f t="shared" si="14"/>
        <v/>
      </c>
      <c r="Q187" s="58" t="str">
        <f t="shared" si="15"/>
        <v/>
      </c>
      <c r="R187" s="54" t="str">
        <f t="shared" si="16"/>
        <v/>
      </c>
      <c r="S187" s="56" t="str">
        <f ca="1" t="shared" si="17"/>
        <v/>
      </c>
      <c r="T187" s="10"/>
    </row>
    <row r="188" spans="1:20">
      <c r="A188" s="56" t="str">
        <f>IF($B188="","",COUNTA($B$5:$B188))</f>
        <v/>
      </c>
      <c r="B188" s="53"/>
      <c r="C188" s="46"/>
      <c r="D188" s="56" t="str">
        <f>IFERROR(INDEX(基础资料!$C$4:$C$11,MATCH($C188,基础资料!$A$4:$A$11,0)),"")</f>
        <v/>
      </c>
      <c r="E188" s="39"/>
      <c r="F188" s="46"/>
      <c r="G188" s="10"/>
      <c r="H188" s="39"/>
      <c r="I188" s="10"/>
      <c r="J188" s="25"/>
      <c r="K188" s="88"/>
      <c r="L188" s="57" t="str">
        <f t="shared" si="12"/>
        <v/>
      </c>
      <c r="M188" s="57" t="str">
        <f t="shared" si="13"/>
        <v/>
      </c>
      <c r="N188" s="57" t="str">
        <f>IF($I188="","",SUMIFS(资金流水!$K$5:$K$3032,资金流水!$Q$5:$Q$3015,$I188))</f>
        <v/>
      </c>
      <c r="O188" s="25"/>
      <c r="P188" s="57" t="str">
        <f t="shared" si="14"/>
        <v/>
      </c>
      <c r="Q188" s="58" t="str">
        <f t="shared" si="15"/>
        <v/>
      </c>
      <c r="R188" s="54" t="str">
        <f t="shared" si="16"/>
        <v/>
      </c>
      <c r="S188" s="56" t="str">
        <f ca="1" t="shared" si="17"/>
        <v/>
      </c>
      <c r="T188" s="10"/>
    </row>
    <row r="189" spans="1:20">
      <c r="A189" s="56" t="str">
        <f>IF($B189="","",COUNTA($B$5:$B189))</f>
        <v/>
      </c>
      <c r="B189" s="53"/>
      <c r="C189" s="46"/>
      <c r="D189" s="56" t="str">
        <f>IFERROR(INDEX(基础资料!$C$4:$C$11,MATCH($C189,基础资料!$A$4:$A$11,0)),"")</f>
        <v/>
      </c>
      <c r="E189" s="39"/>
      <c r="F189" s="46"/>
      <c r="G189" s="10"/>
      <c r="H189" s="39"/>
      <c r="I189" s="10"/>
      <c r="J189" s="25"/>
      <c r="K189" s="88"/>
      <c r="L189" s="57" t="str">
        <f t="shared" si="12"/>
        <v/>
      </c>
      <c r="M189" s="57" t="str">
        <f t="shared" si="13"/>
        <v/>
      </c>
      <c r="N189" s="57" t="str">
        <f>IF($I189="","",SUMIFS(资金流水!$K$5:$K$3032,资金流水!$Q$5:$Q$3015,$I189))</f>
        <v/>
      </c>
      <c r="O189" s="25"/>
      <c r="P189" s="57" t="str">
        <f t="shared" si="14"/>
        <v/>
      </c>
      <c r="Q189" s="58" t="str">
        <f t="shared" si="15"/>
        <v/>
      </c>
      <c r="R189" s="54" t="str">
        <f t="shared" si="16"/>
        <v/>
      </c>
      <c r="S189" s="56" t="str">
        <f ca="1" t="shared" si="17"/>
        <v/>
      </c>
      <c r="T189" s="10"/>
    </row>
    <row r="190" spans="1:20">
      <c r="A190" s="56" t="str">
        <f>IF($B190="","",COUNTA($B$5:$B190))</f>
        <v/>
      </c>
      <c r="B190" s="53"/>
      <c r="C190" s="46"/>
      <c r="D190" s="56" t="str">
        <f>IFERROR(INDEX(基础资料!$C$4:$C$11,MATCH($C190,基础资料!$A$4:$A$11,0)),"")</f>
        <v/>
      </c>
      <c r="E190" s="39"/>
      <c r="F190" s="46"/>
      <c r="G190" s="10"/>
      <c r="H190" s="39"/>
      <c r="I190" s="10"/>
      <c r="J190" s="25"/>
      <c r="K190" s="88"/>
      <c r="L190" s="57" t="str">
        <f t="shared" si="12"/>
        <v/>
      </c>
      <c r="M190" s="57" t="str">
        <f t="shared" si="13"/>
        <v/>
      </c>
      <c r="N190" s="57" t="str">
        <f>IF($I190="","",SUMIFS(资金流水!$K$5:$K$3032,资金流水!$Q$5:$Q$3015,$I190))</f>
        <v/>
      </c>
      <c r="O190" s="25"/>
      <c r="P190" s="57" t="str">
        <f t="shared" si="14"/>
        <v/>
      </c>
      <c r="Q190" s="58" t="str">
        <f t="shared" si="15"/>
        <v/>
      </c>
      <c r="R190" s="54" t="str">
        <f t="shared" si="16"/>
        <v/>
      </c>
      <c r="S190" s="56" t="str">
        <f ca="1" t="shared" si="17"/>
        <v/>
      </c>
      <c r="T190" s="10"/>
    </row>
    <row r="191" spans="1:20">
      <c r="A191" s="56" t="str">
        <f>IF($B191="","",COUNTA($B$5:$B191))</f>
        <v/>
      </c>
      <c r="B191" s="53"/>
      <c r="C191" s="46"/>
      <c r="D191" s="56" t="str">
        <f>IFERROR(INDEX(基础资料!$C$4:$C$11,MATCH($C191,基础资料!$A$4:$A$11,0)),"")</f>
        <v/>
      </c>
      <c r="E191" s="39"/>
      <c r="F191" s="46"/>
      <c r="G191" s="10"/>
      <c r="H191" s="39"/>
      <c r="I191" s="10"/>
      <c r="J191" s="25"/>
      <c r="K191" s="88"/>
      <c r="L191" s="57" t="str">
        <f t="shared" si="12"/>
        <v/>
      </c>
      <c r="M191" s="57" t="str">
        <f t="shared" si="13"/>
        <v/>
      </c>
      <c r="N191" s="57" t="str">
        <f>IF($I191="","",SUMIFS(资金流水!$K$5:$K$3032,资金流水!$Q$5:$Q$3015,$I191))</f>
        <v/>
      </c>
      <c r="O191" s="25"/>
      <c r="P191" s="57" t="str">
        <f t="shared" si="14"/>
        <v/>
      </c>
      <c r="Q191" s="58" t="str">
        <f t="shared" si="15"/>
        <v/>
      </c>
      <c r="R191" s="54" t="str">
        <f t="shared" si="16"/>
        <v/>
      </c>
      <c r="S191" s="56" t="str">
        <f ca="1" t="shared" si="17"/>
        <v/>
      </c>
      <c r="T191" s="10"/>
    </row>
    <row r="192" spans="1:20">
      <c r="A192" s="56" t="str">
        <f>IF($B192="","",COUNTA($B$5:$B192))</f>
        <v/>
      </c>
      <c r="B192" s="53"/>
      <c r="C192" s="46"/>
      <c r="D192" s="56" t="str">
        <f>IFERROR(INDEX(基础资料!$C$4:$C$11,MATCH($C192,基础资料!$A$4:$A$11,0)),"")</f>
        <v/>
      </c>
      <c r="E192" s="39"/>
      <c r="F192" s="46"/>
      <c r="G192" s="10"/>
      <c r="H192" s="39"/>
      <c r="I192" s="10"/>
      <c r="J192" s="25"/>
      <c r="K192" s="88"/>
      <c r="L192" s="57" t="str">
        <f t="shared" si="12"/>
        <v/>
      </c>
      <c r="M192" s="57" t="str">
        <f t="shared" si="13"/>
        <v/>
      </c>
      <c r="N192" s="57" t="str">
        <f>IF($I192="","",SUMIFS(资金流水!$K$5:$K$3032,资金流水!$Q$5:$Q$3015,$I192))</f>
        <v/>
      </c>
      <c r="O192" s="25"/>
      <c r="P192" s="57" t="str">
        <f t="shared" si="14"/>
        <v/>
      </c>
      <c r="Q192" s="58" t="str">
        <f t="shared" si="15"/>
        <v/>
      </c>
      <c r="R192" s="54" t="str">
        <f t="shared" si="16"/>
        <v/>
      </c>
      <c r="S192" s="56" t="str">
        <f ca="1" t="shared" si="17"/>
        <v/>
      </c>
      <c r="T192" s="10"/>
    </row>
    <row r="193" spans="1:20">
      <c r="A193" s="56" t="str">
        <f>IF($B193="","",COUNTA($B$5:$B193))</f>
        <v/>
      </c>
      <c r="B193" s="53"/>
      <c r="C193" s="46"/>
      <c r="D193" s="56" t="str">
        <f>IFERROR(INDEX(基础资料!$C$4:$C$11,MATCH($C193,基础资料!$A$4:$A$11,0)),"")</f>
        <v/>
      </c>
      <c r="E193" s="39"/>
      <c r="F193" s="46"/>
      <c r="G193" s="10"/>
      <c r="H193" s="39"/>
      <c r="I193" s="10"/>
      <c r="J193" s="25"/>
      <c r="K193" s="88"/>
      <c r="L193" s="57" t="str">
        <f t="shared" si="12"/>
        <v/>
      </c>
      <c r="M193" s="57" t="str">
        <f t="shared" si="13"/>
        <v/>
      </c>
      <c r="N193" s="57" t="str">
        <f>IF($I193="","",SUMIFS(资金流水!$K$5:$K$3032,资金流水!$Q$5:$Q$3015,$I193))</f>
        <v/>
      </c>
      <c r="O193" s="25"/>
      <c r="P193" s="57" t="str">
        <f t="shared" si="14"/>
        <v/>
      </c>
      <c r="Q193" s="58" t="str">
        <f t="shared" si="15"/>
        <v/>
      </c>
      <c r="R193" s="54" t="str">
        <f t="shared" si="16"/>
        <v/>
      </c>
      <c r="S193" s="56" t="str">
        <f ca="1" t="shared" si="17"/>
        <v/>
      </c>
      <c r="T193" s="10"/>
    </row>
    <row r="194" spans="1:20">
      <c r="A194" s="56" t="str">
        <f>IF($B194="","",COUNTA($B$5:$B194))</f>
        <v/>
      </c>
      <c r="B194" s="53"/>
      <c r="C194" s="46"/>
      <c r="D194" s="56" t="str">
        <f>IFERROR(INDEX(基础资料!$C$4:$C$11,MATCH($C194,基础资料!$A$4:$A$11,0)),"")</f>
        <v/>
      </c>
      <c r="E194" s="39"/>
      <c r="F194" s="46"/>
      <c r="G194" s="10"/>
      <c r="H194" s="39"/>
      <c r="I194" s="10"/>
      <c r="J194" s="25"/>
      <c r="K194" s="88"/>
      <c r="L194" s="57" t="str">
        <f t="shared" si="12"/>
        <v/>
      </c>
      <c r="M194" s="57" t="str">
        <f t="shared" si="13"/>
        <v/>
      </c>
      <c r="N194" s="57" t="str">
        <f>IF($I194="","",SUMIFS(资金流水!$K$5:$K$3032,资金流水!$Q$5:$Q$3015,$I194))</f>
        <v/>
      </c>
      <c r="O194" s="25"/>
      <c r="P194" s="57" t="str">
        <f t="shared" si="14"/>
        <v/>
      </c>
      <c r="Q194" s="58" t="str">
        <f t="shared" si="15"/>
        <v/>
      </c>
      <c r="R194" s="54" t="str">
        <f t="shared" si="16"/>
        <v/>
      </c>
      <c r="S194" s="56" t="str">
        <f ca="1" t="shared" si="17"/>
        <v/>
      </c>
      <c r="T194" s="10"/>
    </row>
    <row r="195" spans="1:20">
      <c r="A195" s="56" t="str">
        <f>IF($B195="","",COUNTA($B$5:$B195))</f>
        <v/>
      </c>
      <c r="B195" s="53"/>
      <c r="C195" s="46"/>
      <c r="D195" s="56" t="str">
        <f>IFERROR(INDEX(基础资料!$C$4:$C$11,MATCH($C195,基础资料!$A$4:$A$11,0)),"")</f>
        <v/>
      </c>
      <c r="E195" s="39"/>
      <c r="F195" s="46"/>
      <c r="G195" s="10"/>
      <c r="H195" s="39"/>
      <c r="I195" s="10"/>
      <c r="J195" s="25"/>
      <c r="K195" s="88"/>
      <c r="L195" s="57" t="str">
        <f t="shared" si="12"/>
        <v/>
      </c>
      <c r="M195" s="57" t="str">
        <f t="shared" si="13"/>
        <v/>
      </c>
      <c r="N195" s="57" t="str">
        <f>IF($I195="","",SUMIFS(资金流水!$K$5:$K$3032,资金流水!$Q$5:$Q$3015,$I195))</f>
        <v/>
      </c>
      <c r="O195" s="25"/>
      <c r="P195" s="57" t="str">
        <f t="shared" si="14"/>
        <v/>
      </c>
      <c r="Q195" s="58" t="str">
        <f t="shared" si="15"/>
        <v/>
      </c>
      <c r="R195" s="54" t="str">
        <f t="shared" si="16"/>
        <v/>
      </c>
      <c r="S195" s="56" t="str">
        <f ca="1" t="shared" si="17"/>
        <v/>
      </c>
      <c r="T195" s="10"/>
    </row>
    <row r="196" spans="1:20">
      <c r="A196" s="56" t="str">
        <f>IF($B196="","",COUNTA($B$5:$B196))</f>
        <v/>
      </c>
      <c r="B196" s="53"/>
      <c r="C196" s="46"/>
      <c r="D196" s="56" t="str">
        <f>IFERROR(INDEX(基础资料!$C$4:$C$11,MATCH($C196,基础资料!$A$4:$A$11,0)),"")</f>
        <v/>
      </c>
      <c r="E196" s="39"/>
      <c r="F196" s="46"/>
      <c r="G196" s="10"/>
      <c r="H196" s="39"/>
      <c r="I196" s="10"/>
      <c r="J196" s="25"/>
      <c r="K196" s="88"/>
      <c r="L196" s="57" t="str">
        <f t="shared" si="12"/>
        <v/>
      </c>
      <c r="M196" s="57" t="str">
        <f t="shared" si="13"/>
        <v/>
      </c>
      <c r="N196" s="57" t="str">
        <f>IF($I196="","",SUMIFS(资金流水!$K$5:$K$3032,资金流水!$Q$5:$Q$3015,$I196))</f>
        <v/>
      </c>
      <c r="O196" s="25"/>
      <c r="P196" s="57" t="str">
        <f t="shared" si="14"/>
        <v/>
      </c>
      <c r="Q196" s="58" t="str">
        <f t="shared" si="15"/>
        <v/>
      </c>
      <c r="R196" s="54" t="str">
        <f t="shared" si="16"/>
        <v/>
      </c>
      <c r="S196" s="56" t="str">
        <f ca="1" t="shared" si="17"/>
        <v/>
      </c>
      <c r="T196" s="10"/>
    </row>
    <row r="197" spans="1:20">
      <c r="A197" s="56" t="str">
        <f>IF($B197="","",COUNTA($B$5:$B197))</f>
        <v/>
      </c>
      <c r="B197" s="53"/>
      <c r="C197" s="46"/>
      <c r="D197" s="56" t="str">
        <f>IFERROR(INDEX(基础资料!$C$4:$C$11,MATCH($C197,基础资料!$A$4:$A$11,0)),"")</f>
        <v/>
      </c>
      <c r="E197" s="39"/>
      <c r="F197" s="46"/>
      <c r="G197" s="10"/>
      <c r="H197" s="39"/>
      <c r="I197" s="10"/>
      <c r="J197" s="25"/>
      <c r="K197" s="88"/>
      <c r="L197" s="57" t="str">
        <f t="shared" ref="L197:L260" si="18">IF($J197="","",ROUND($J197*$K197,2))</f>
        <v/>
      </c>
      <c r="M197" s="57" t="str">
        <f t="shared" ref="M197:M260" si="19">IF($J197="","",ROUND($J197+$L197,2))</f>
        <v/>
      </c>
      <c r="N197" s="57" t="str">
        <f>IF($I197="","",SUMIFS(资金流水!$K$5:$K$3032,资金流水!$Q$5:$Q$3015,$I197))</f>
        <v/>
      </c>
      <c r="O197" s="25"/>
      <c r="P197" s="57" t="str">
        <f t="shared" ref="P197:P260" si="20">IF($J197="","",ROUND($M197-IF($N197="",0,$N197)-IF($O197="",0,$O197),2))</f>
        <v/>
      </c>
      <c r="Q197" s="58" t="str">
        <f t="shared" ref="Q197:Q260" si="21">IF($J197="","",IF($P197&lt;=0.005,"已收齐",IF(IF($N197="",0,$N197)+IF($O197="",0,$O197)&lt;=0,"未收款","部分收款")))</f>
        <v/>
      </c>
      <c r="R197" s="54" t="str">
        <f t="shared" ref="R197:R260" si="22">IF($B197="","",--TEXT($B197,"yyyymm"))</f>
        <v/>
      </c>
      <c r="S197" s="56" t="str">
        <f ca="1" t="shared" ref="S197:S260" si="23">IF(OR($B197="",$P197="",$P197&lt;=0.005),"",TODAY()-$B197)</f>
        <v/>
      </c>
      <c r="T197" s="10"/>
    </row>
    <row r="198" spans="1:20">
      <c r="A198" s="56" t="str">
        <f>IF($B198="","",COUNTA($B$5:$B198))</f>
        <v/>
      </c>
      <c r="B198" s="53"/>
      <c r="C198" s="46"/>
      <c r="D198" s="56" t="str">
        <f>IFERROR(INDEX(基础资料!$C$4:$C$11,MATCH($C198,基础资料!$A$4:$A$11,0)),"")</f>
        <v/>
      </c>
      <c r="E198" s="39"/>
      <c r="F198" s="46"/>
      <c r="G198" s="10"/>
      <c r="H198" s="39"/>
      <c r="I198" s="10"/>
      <c r="J198" s="25"/>
      <c r="K198" s="88"/>
      <c r="L198" s="57" t="str">
        <f t="shared" si="18"/>
        <v/>
      </c>
      <c r="M198" s="57" t="str">
        <f t="shared" si="19"/>
        <v/>
      </c>
      <c r="N198" s="57" t="str">
        <f>IF($I198="","",SUMIFS(资金流水!$K$5:$K$3032,资金流水!$Q$5:$Q$3015,$I198))</f>
        <v/>
      </c>
      <c r="O198" s="25"/>
      <c r="P198" s="57" t="str">
        <f t="shared" si="20"/>
        <v/>
      </c>
      <c r="Q198" s="58" t="str">
        <f t="shared" si="21"/>
        <v/>
      </c>
      <c r="R198" s="54" t="str">
        <f t="shared" si="22"/>
        <v/>
      </c>
      <c r="S198" s="56" t="str">
        <f ca="1" t="shared" si="23"/>
        <v/>
      </c>
      <c r="T198" s="10"/>
    </row>
    <row r="199" spans="1:20">
      <c r="A199" s="56" t="str">
        <f>IF($B199="","",COUNTA($B$5:$B199))</f>
        <v/>
      </c>
      <c r="B199" s="53"/>
      <c r="C199" s="46"/>
      <c r="D199" s="56" t="str">
        <f>IFERROR(INDEX(基础资料!$C$4:$C$11,MATCH($C199,基础资料!$A$4:$A$11,0)),"")</f>
        <v/>
      </c>
      <c r="E199" s="39"/>
      <c r="F199" s="46"/>
      <c r="G199" s="10"/>
      <c r="H199" s="39"/>
      <c r="I199" s="10"/>
      <c r="J199" s="25"/>
      <c r="K199" s="88"/>
      <c r="L199" s="57" t="str">
        <f t="shared" si="18"/>
        <v/>
      </c>
      <c r="M199" s="57" t="str">
        <f t="shared" si="19"/>
        <v/>
      </c>
      <c r="N199" s="57" t="str">
        <f>IF($I199="","",SUMIFS(资金流水!$K$5:$K$3032,资金流水!$Q$5:$Q$3015,$I199))</f>
        <v/>
      </c>
      <c r="O199" s="25"/>
      <c r="P199" s="57" t="str">
        <f t="shared" si="20"/>
        <v/>
      </c>
      <c r="Q199" s="58" t="str">
        <f t="shared" si="21"/>
        <v/>
      </c>
      <c r="R199" s="54" t="str">
        <f t="shared" si="22"/>
        <v/>
      </c>
      <c r="S199" s="56" t="str">
        <f ca="1" t="shared" si="23"/>
        <v/>
      </c>
      <c r="T199" s="10"/>
    </row>
    <row r="200" spans="1:20">
      <c r="A200" s="56" t="str">
        <f>IF($B200="","",COUNTA($B$5:$B200))</f>
        <v/>
      </c>
      <c r="B200" s="53"/>
      <c r="C200" s="46"/>
      <c r="D200" s="56" t="str">
        <f>IFERROR(INDEX(基础资料!$C$4:$C$11,MATCH($C200,基础资料!$A$4:$A$11,0)),"")</f>
        <v/>
      </c>
      <c r="E200" s="39"/>
      <c r="F200" s="46"/>
      <c r="G200" s="10"/>
      <c r="H200" s="39"/>
      <c r="I200" s="10"/>
      <c r="J200" s="25"/>
      <c r="K200" s="88"/>
      <c r="L200" s="57" t="str">
        <f t="shared" si="18"/>
        <v/>
      </c>
      <c r="M200" s="57" t="str">
        <f t="shared" si="19"/>
        <v/>
      </c>
      <c r="N200" s="57" t="str">
        <f>IF($I200="","",SUMIFS(资金流水!$K$5:$K$3032,资金流水!$Q$5:$Q$3015,$I200))</f>
        <v/>
      </c>
      <c r="O200" s="25"/>
      <c r="P200" s="57" t="str">
        <f t="shared" si="20"/>
        <v/>
      </c>
      <c r="Q200" s="58" t="str">
        <f t="shared" si="21"/>
        <v/>
      </c>
      <c r="R200" s="54" t="str">
        <f t="shared" si="22"/>
        <v/>
      </c>
      <c r="S200" s="56" t="str">
        <f ca="1" t="shared" si="23"/>
        <v/>
      </c>
      <c r="T200" s="10"/>
    </row>
    <row r="201" spans="1:20">
      <c r="A201" s="56" t="str">
        <f>IF($B201="","",COUNTA($B$5:$B201))</f>
        <v/>
      </c>
      <c r="B201" s="53"/>
      <c r="C201" s="46"/>
      <c r="D201" s="56" t="str">
        <f>IFERROR(INDEX(基础资料!$C$4:$C$11,MATCH($C201,基础资料!$A$4:$A$11,0)),"")</f>
        <v/>
      </c>
      <c r="E201" s="39"/>
      <c r="F201" s="46"/>
      <c r="G201" s="10"/>
      <c r="H201" s="39"/>
      <c r="I201" s="10"/>
      <c r="J201" s="25"/>
      <c r="K201" s="88"/>
      <c r="L201" s="57" t="str">
        <f t="shared" si="18"/>
        <v/>
      </c>
      <c r="M201" s="57" t="str">
        <f t="shared" si="19"/>
        <v/>
      </c>
      <c r="N201" s="57" t="str">
        <f>IF($I201="","",SUMIFS(资金流水!$K$5:$K$3032,资金流水!$Q$5:$Q$3015,$I201))</f>
        <v/>
      </c>
      <c r="O201" s="25"/>
      <c r="P201" s="57" t="str">
        <f t="shared" si="20"/>
        <v/>
      </c>
      <c r="Q201" s="58" t="str">
        <f t="shared" si="21"/>
        <v/>
      </c>
      <c r="R201" s="54" t="str">
        <f t="shared" si="22"/>
        <v/>
      </c>
      <c r="S201" s="56" t="str">
        <f ca="1" t="shared" si="23"/>
        <v/>
      </c>
      <c r="T201" s="10"/>
    </row>
    <row r="202" spans="1:20">
      <c r="A202" s="56" t="str">
        <f>IF($B202="","",COUNTA($B$5:$B202))</f>
        <v/>
      </c>
      <c r="B202" s="53"/>
      <c r="C202" s="46"/>
      <c r="D202" s="56" t="str">
        <f>IFERROR(INDEX(基础资料!$C$4:$C$11,MATCH($C202,基础资料!$A$4:$A$11,0)),"")</f>
        <v/>
      </c>
      <c r="E202" s="39"/>
      <c r="F202" s="46"/>
      <c r="G202" s="10"/>
      <c r="H202" s="39"/>
      <c r="I202" s="10"/>
      <c r="J202" s="25"/>
      <c r="K202" s="88"/>
      <c r="L202" s="57" t="str">
        <f t="shared" si="18"/>
        <v/>
      </c>
      <c r="M202" s="57" t="str">
        <f t="shared" si="19"/>
        <v/>
      </c>
      <c r="N202" s="57" t="str">
        <f>IF($I202="","",SUMIFS(资金流水!$K$5:$K$3032,资金流水!$Q$5:$Q$3015,$I202))</f>
        <v/>
      </c>
      <c r="O202" s="25"/>
      <c r="P202" s="57" t="str">
        <f t="shared" si="20"/>
        <v/>
      </c>
      <c r="Q202" s="58" t="str">
        <f t="shared" si="21"/>
        <v/>
      </c>
      <c r="R202" s="54" t="str">
        <f t="shared" si="22"/>
        <v/>
      </c>
      <c r="S202" s="56" t="str">
        <f ca="1" t="shared" si="23"/>
        <v/>
      </c>
      <c r="T202" s="10"/>
    </row>
    <row r="203" spans="1:20">
      <c r="A203" s="56" t="str">
        <f>IF($B203="","",COUNTA($B$5:$B203))</f>
        <v/>
      </c>
      <c r="B203" s="53"/>
      <c r="C203" s="46"/>
      <c r="D203" s="56" t="str">
        <f>IFERROR(INDEX(基础资料!$C$4:$C$11,MATCH($C203,基础资料!$A$4:$A$11,0)),"")</f>
        <v/>
      </c>
      <c r="E203" s="39"/>
      <c r="F203" s="46"/>
      <c r="G203" s="10"/>
      <c r="H203" s="39"/>
      <c r="I203" s="10"/>
      <c r="J203" s="25"/>
      <c r="K203" s="88"/>
      <c r="L203" s="57" t="str">
        <f t="shared" si="18"/>
        <v/>
      </c>
      <c r="M203" s="57" t="str">
        <f t="shared" si="19"/>
        <v/>
      </c>
      <c r="N203" s="57" t="str">
        <f>IF($I203="","",SUMIFS(资金流水!$K$5:$K$3032,资金流水!$Q$5:$Q$3015,$I203))</f>
        <v/>
      </c>
      <c r="O203" s="25"/>
      <c r="P203" s="57" t="str">
        <f t="shared" si="20"/>
        <v/>
      </c>
      <c r="Q203" s="58" t="str">
        <f t="shared" si="21"/>
        <v/>
      </c>
      <c r="R203" s="54" t="str">
        <f t="shared" si="22"/>
        <v/>
      </c>
      <c r="S203" s="56" t="str">
        <f ca="1" t="shared" si="23"/>
        <v/>
      </c>
      <c r="T203" s="10"/>
    </row>
    <row r="204" spans="1:20">
      <c r="A204" s="56" t="str">
        <f>IF($B204="","",COUNTA($B$5:$B204))</f>
        <v/>
      </c>
      <c r="B204" s="53"/>
      <c r="C204" s="46"/>
      <c r="D204" s="56" t="str">
        <f>IFERROR(INDEX(基础资料!$C$4:$C$11,MATCH($C204,基础资料!$A$4:$A$11,0)),"")</f>
        <v/>
      </c>
      <c r="E204" s="39"/>
      <c r="F204" s="46"/>
      <c r="G204" s="10"/>
      <c r="H204" s="39"/>
      <c r="I204" s="10"/>
      <c r="J204" s="25"/>
      <c r="K204" s="88"/>
      <c r="L204" s="57" t="str">
        <f t="shared" si="18"/>
        <v/>
      </c>
      <c r="M204" s="57" t="str">
        <f t="shared" si="19"/>
        <v/>
      </c>
      <c r="N204" s="57" t="str">
        <f>IF($I204="","",SUMIFS(资金流水!$K$5:$K$3032,资金流水!$Q$5:$Q$3015,$I204))</f>
        <v/>
      </c>
      <c r="O204" s="25"/>
      <c r="P204" s="57" t="str">
        <f t="shared" si="20"/>
        <v/>
      </c>
      <c r="Q204" s="58" t="str">
        <f t="shared" si="21"/>
        <v/>
      </c>
      <c r="R204" s="54" t="str">
        <f t="shared" si="22"/>
        <v/>
      </c>
      <c r="S204" s="56" t="str">
        <f ca="1" t="shared" si="23"/>
        <v/>
      </c>
      <c r="T204" s="10"/>
    </row>
    <row r="205" spans="1:20">
      <c r="A205" s="56" t="str">
        <f>IF($B205="","",COUNTA($B$5:$B205))</f>
        <v/>
      </c>
      <c r="B205" s="53"/>
      <c r="C205" s="46"/>
      <c r="D205" s="56" t="str">
        <f>IFERROR(INDEX(基础资料!$C$4:$C$11,MATCH($C205,基础资料!$A$4:$A$11,0)),"")</f>
        <v/>
      </c>
      <c r="E205" s="39"/>
      <c r="F205" s="46"/>
      <c r="G205" s="10"/>
      <c r="H205" s="39"/>
      <c r="I205" s="10"/>
      <c r="J205" s="25"/>
      <c r="K205" s="88"/>
      <c r="L205" s="57" t="str">
        <f t="shared" si="18"/>
        <v/>
      </c>
      <c r="M205" s="57" t="str">
        <f t="shared" si="19"/>
        <v/>
      </c>
      <c r="N205" s="57" t="str">
        <f>IF($I205="","",SUMIFS(资金流水!$K$5:$K$3032,资金流水!$Q$5:$Q$3015,$I205))</f>
        <v/>
      </c>
      <c r="O205" s="25"/>
      <c r="P205" s="57" t="str">
        <f t="shared" si="20"/>
        <v/>
      </c>
      <c r="Q205" s="58" t="str">
        <f t="shared" si="21"/>
        <v/>
      </c>
      <c r="R205" s="54" t="str">
        <f t="shared" si="22"/>
        <v/>
      </c>
      <c r="S205" s="56" t="str">
        <f ca="1" t="shared" si="23"/>
        <v/>
      </c>
      <c r="T205" s="10"/>
    </row>
    <row r="206" spans="1:20">
      <c r="A206" s="56" t="str">
        <f>IF($B206="","",COUNTA($B$5:$B206))</f>
        <v/>
      </c>
      <c r="B206" s="53"/>
      <c r="C206" s="46"/>
      <c r="D206" s="56" t="str">
        <f>IFERROR(INDEX(基础资料!$C$4:$C$11,MATCH($C206,基础资料!$A$4:$A$11,0)),"")</f>
        <v/>
      </c>
      <c r="E206" s="39"/>
      <c r="F206" s="46"/>
      <c r="G206" s="10"/>
      <c r="H206" s="39"/>
      <c r="I206" s="10"/>
      <c r="J206" s="25"/>
      <c r="K206" s="88"/>
      <c r="L206" s="57" t="str">
        <f t="shared" si="18"/>
        <v/>
      </c>
      <c r="M206" s="57" t="str">
        <f t="shared" si="19"/>
        <v/>
      </c>
      <c r="N206" s="57" t="str">
        <f>IF($I206="","",SUMIFS(资金流水!$K$5:$K$3032,资金流水!$Q$5:$Q$3015,$I206))</f>
        <v/>
      </c>
      <c r="O206" s="25"/>
      <c r="P206" s="57" t="str">
        <f t="shared" si="20"/>
        <v/>
      </c>
      <c r="Q206" s="58" t="str">
        <f t="shared" si="21"/>
        <v/>
      </c>
      <c r="R206" s="54" t="str">
        <f t="shared" si="22"/>
        <v/>
      </c>
      <c r="S206" s="56" t="str">
        <f ca="1" t="shared" si="23"/>
        <v/>
      </c>
      <c r="T206" s="10"/>
    </row>
    <row r="207" spans="1:20">
      <c r="A207" s="56" t="str">
        <f>IF($B207="","",COUNTA($B$5:$B207))</f>
        <v/>
      </c>
      <c r="B207" s="53"/>
      <c r="C207" s="46"/>
      <c r="D207" s="56" t="str">
        <f>IFERROR(INDEX(基础资料!$C$4:$C$11,MATCH($C207,基础资料!$A$4:$A$11,0)),"")</f>
        <v/>
      </c>
      <c r="E207" s="39"/>
      <c r="F207" s="46"/>
      <c r="G207" s="10"/>
      <c r="H207" s="39"/>
      <c r="I207" s="10"/>
      <c r="J207" s="25"/>
      <c r="K207" s="88"/>
      <c r="L207" s="57" t="str">
        <f t="shared" si="18"/>
        <v/>
      </c>
      <c r="M207" s="57" t="str">
        <f t="shared" si="19"/>
        <v/>
      </c>
      <c r="N207" s="57" t="str">
        <f>IF($I207="","",SUMIFS(资金流水!$K$5:$K$3032,资金流水!$Q$5:$Q$3015,$I207))</f>
        <v/>
      </c>
      <c r="O207" s="25"/>
      <c r="P207" s="57" t="str">
        <f t="shared" si="20"/>
        <v/>
      </c>
      <c r="Q207" s="58" t="str">
        <f t="shared" si="21"/>
        <v/>
      </c>
      <c r="R207" s="54" t="str">
        <f t="shared" si="22"/>
        <v/>
      </c>
      <c r="S207" s="56" t="str">
        <f ca="1" t="shared" si="23"/>
        <v/>
      </c>
      <c r="T207" s="10"/>
    </row>
    <row r="208" spans="1:20">
      <c r="A208" s="56" t="str">
        <f>IF($B208="","",COUNTA($B$5:$B208))</f>
        <v/>
      </c>
      <c r="B208" s="53"/>
      <c r="C208" s="46"/>
      <c r="D208" s="56" t="str">
        <f>IFERROR(INDEX(基础资料!$C$4:$C$11,MATCH($C208,基础资料!$A$4:$A$11,0)),"")</f>
        <v/>
      </c>
      <c r="E208" s="39"/>
      <c r="F208" s="46"/>
      <c r="G208" s="10"/>
      <c r="H208" s="39"/>
      <c r="I208" s="10"/>
      <c r="J208" s="25"/>
      <c r="K208" s="88"/>
      <c r="L208" s="57" t="str">
        <f t="shared" si="18"/>
        <v/>
      </c>
      <c r="M208" s="57" t="str">
        <f t="shared" si="19"/>
        <v/>
      </c>
      <c r="N208" s="57" t="str">
        <f>IF($I208="","",SUMIFS(资金流水!$K$5:$K$3032,资金流水!$Q$5:$Q$3015,$I208))</f>
        <v/>
      </c>
      <c r="O208" s="25"/>
      <c r="P208" s="57" t="str">
        <f t="shared" si="20"/>
        <v/>
      </c>
      <c r="Q208" s="58" t="str">
        <f t="shared" si="21"/>
        <v/>
      </c>
      <c r="R208" s="54" t="str">
        <f t="shared" si="22"/>
        <v/>
      </c>
      <c r="S208" s="56" t="str">
        <f ca="1" t="shared" si="23"/>
        <v/>
      </c>
      <c r="T208" s="10"/>
    </row>
    <row r="209" spans="1:20">
      <c r="A209" s="56" t="str">
        <f>IF($B209="","",COUNTA($B$5:$B209))</f>
        <v/>
      </c>
      <c r="B209" s="53"/>
      <c r="C209" s="46"/>
      <c r="D209" s="56" t="str">
        <f>IFERROR(INDEX(基础资料!$C$4:$C$11,MATCH($C209,基础资料!$A$4:$A$11,0)),"")</f>
        <v/>
      </c>
      <c r="E209" s="39"/>
      <c r="F209" s="46"/>
      <c r="G209" s="10"/>
      <c r="H209" s="39"/>
      <c r="I209" s="10"/>
      <c r="J209" s="25"/>
      <c r="K209" s="88"/>
      <c r="L209" s="57" t="str">
        <f t="shared" si="18"/>
        <v/>
      </c>
      <c r="M209" s="57" t="str">
        <f t="shared" si="19"/>
        <v/>
      </c>
      <c r="N209" s="57" t="str">
        <f>IF($I209="","",SUMIFS(资金流水!$K$5:$K$3032,资金流水!$Q$5:$Q$3015,$I209))</f>
        <v/>
      </c>
      <c r="O209" s="25"/>
      <c r="P209" s="57" t="str">
        <f t="shared" si="20"/>
        <v/>
      </c>
      <c r="Q209" s="58" t="str">
        <f t="shared" si="21"/>
        <v/>
      </c>
      <c r="R209" s="54" t="str">
        <f t="shared" si="22"/>
        <v/>
      </c>
      <c r="S209" s="56" t="str">
        <f ca="1" t="shared" si="23"/>
        <v/>
      </c>
      <c r="T209" s="10"/>
    </row>
    <row r="210" spans="1:20">
      <c r="A210" s="56" t="str">
        <f>IF($B210="","",COUNTA($B$5:$B210))</f>
        <v/>
      </c>
      <c r="B210" s="53"/>
      <c r="C210" s="46"/>
      <c r="D210" s="56" t="str">
        <f>IFERROR(INDEX(基础资料!$C$4:$C$11,MATCH($C210,基础资料!$A$4:$A$11,0)),"")</f>
        <v/>
      </c>
      <c r="E210" s="39"/>
      <c r="F210" s="46"/>
      <c r="G210" s="10"/>
      <c r="H210" s="39"/>
      <c r="I210" s="10"/>
      <c r="J210" s="25"/>
      <c r="K210" s="88"/>
      <c r="L210" s="57" t="str">
        <f t="shared" si="18"/>
        <v/>
      </c>
      <c r="M210" s="57" t="str">
        <f t="shared" si="19"/>
        <v/>
      </c>
      <c r="N210" s="57" t="str">
        <f>IF($I210="","",SUMIFS(资金流水!$K$5:$K$3032,资金流水!$Q$5:$Q$3015,$I210))</f>
        <v/>
      </c>
      <c r="O210" s="25"/>
      <c r="P210" s="57" t="str">
        <f t="shared" si="20"/>
        <v/>
      </c>
      <c r="Q210" s="58" t="str">
        <f t="shared" si="21"/>
        <v/>
      </c>
      <c r="R210" s="54" t="str">
        <f t="shared" si="22"/>
        <v/>
      </c>
      <c r="S210" s="56" t="str">
        <f ca="1" t="shared" si="23"/>
        <v/>
      </c>
      <c r="T210" s="10"/>
    </row>
    <row r="211" spans="1:20">
      <c r="A211" s="56" t="str">
        <f>IF($B211="","",COUNTA($B$5:$B211))</f>
        <v/>
      </c>
      <c r="B211" s="53"/>
      <c r="C211" s="46"/>
      <c r="D211" s="56" t="str">
        <f>IFERROR(INDEX(基础资料!$C$4:$C$11,MATCH($C211,基础资料!$A$4:$A$11,0)),"")</f>
        <v/>
      </c>
      <c r="E211" s="39"/>
      <c r="F211" s="46"/>
      <c r="G211" s="10"/>
      <c r="H211" s="39"/>
      <c r="I211" s="10"/>
      <c r="J211" s="25"/>
      <c r="K211" s="88"/>
      <c r="L211" s="57" t="str">
        <f t="shared" si="18"/>
        <v/>
      </c>
      <c r="M211" s="57" t="str">
        <f t="shared" si="19"/>
        <v/>
      </c>
      <c r="N211" s="57" t="str">
        <f>IF($I211="","",SUMIFS(资金流水!$K$5:$K$3032,资金流水!$Q$5:$Q$3015,$I211))</f>
        <v/>
      </c>
      <c r="O211" s="25"/>
      <c r="P211" s="57" t="str">
        <f t="shared" si="20"/>
        <v/>
      </c>
      <c r="Q211" s="58" t="str">
        <f t="shared" si="21"/>
        <v/>
      </c>
      <c r="R211" s="54" t="str">
        <f t="shared" si="22"/>
        <v/>
      </c>
      <c r="S211" s="56" t="str">
        <f ca="1" t="shared" si="23"/>
        <v/>
      </c>
      <c r="T211" s="10"/>
    </row>
    <row r="212" spans="1:20">
      <c r="A212" s="56" t="str">
        <f>IF($B212="","",COUNTA($B$5:$B212))</f>
        <v/>
      </c>
      <c r="B212" s="53"/>
      <c r="C212" s="46"/>
      <c r="D212" s="56" t="str">
        <f>IFERROR(INDEX(基础资料!$C$4:$C$11,MATCH($C212,基础资料!$A$4:$A$11,0)),"")</f>
        <v/>
      </c>
      <c r="E212" s="39"/>
      <c r="F212" s="46"/>
      <c r="G212" s="10"/>
      <c r="H212" s="39"/>
      <c r="I212" s="10"/>
      <c r="J212" s="25"/>
      <c r="K212" s="88"/>
      <c r="L212" s="57" t="str">
        <f t="shared" si="18"/>
        <v/>
      </c>
      <c r="M212" s="57" t="str">
        <f t="shared" si="19"/>
        <v/>
      </c>
      <c r="N212" s="57" t="str">
        <f>IF($I212="","",SUMIFS(资金流水!$K$5:$K$3032,资金流水!$Q$5:$Q$3015,$I212))</f>
        <v/>
      </c>
      <c r="O212" s="25"/>
      <c r="P212" s="57" t="str">
        <f t="shared" si="20"/>
        <v/>
      </c>
      <c r="Q212" s="58" t="str">
        <f t="shared" si="21"/>
        <v/>
      </c>
      <c r="R212" s="54" t="str">
        <f t="shared" si="22"/>
        <v/>
      </c>
      <c r="S212" s="56" t="str">
        <f ca="1" t="shared" si="23"/>
        <v/>
      </c>
      <c r="T212" s="10"/>
    </row>
    <row r="213" spans="1:20">
      <c r="A213" s="56" t="str">
        <f>IF($B213="","",COUNTA($B$5:$B213))</f>
        <v/>
      </c>
      <c r="B213" s="53"/>
      <c r="C213" s="46"/>
      <c r="D213" s="56" t="str">
        <f>IFERROR(INDEX(基础资料!$C$4:$C$11,MATCH($C213,基础资料!$A$4:$A$11,0)),"")</f>
        <v/>
      </c>
      <c r="E213" s="39"/>
      <c r="F213" s="46"/>
      <c r="G213" s="10"/>
      <c r="H213" s="39"/>
      <c r="I213" s="10"/>
      <c r="J213" s="25"/>
      <c r="K213" s="88"/>
      <c r="L213" s="57" t="str">
        <f t="shared" si="18"/>
        <v/>
      </c>
      <c r="M213" s="57" t="str">
        <f t="shared" si="19"/>
        <v/>
      </c>
      <c r="N213" s="57" t="str">
        <f>IF($I213="","",SUMIFS(资金流水!$K$5:$K$3032,资金流水!$Q$5:$Q$3015,$I213))</f>
        <v/>
      </c>
      <c r="O213" s="25"/>
      <c r="P213" s="57" t="str">
        <f t="shared" si="20"/>
        <v/>
      </c>
      <c r="Q213" s="58" t="str">
        <f t="shared" si="21"/>
        <v/>
      </c>
      <c r="R213" s="54" t="str">
        <f t="shared" si="22"/>
        <v/>
      </c>
      <c r="S213" s="56" t="str">
        <f ca="1" t="shared" si="23"/>
        <v/>
      </c>
      <c r="T213" s="10"/>
    </row>
    <row r="214" spans="1:20">
      <c r="A214" s="56" t="str">
        <f>IF($B214="","",COUNTA($B$5:$B214))</f>
        <v/>
      </c>
      <c r="B214" s="53"/>
      <c r="C214" s="46"/>
      <c r="D214" s="56" t="str">
        <f>IFERROR(INDEX(基础资料!$C$4:$C$11,MATCH($C214,基础资料!$A$4:$A$11,0)),"")</f>
        <v/>
      </c>
      <c r="E214" s="39"/>
      <c r="F214" s="46"/>
      <c r="G214" s="10"/>
      <c r="H214" s="39"/>
      <c r="I214" s="10"/>
      <c r="J214" s="25"/>
      <c r="K214" s="88"/>
      <c r="L214" s="57" t="str">
        <f t="shared" si="18"/>
        <v/>
      </c>
      <c r="M214" s="57" t="str">
        <f t="shared" si="19"/>
        <v/>
      </c>
      <c r="N214" s="57" t="str">
        <f>IF($I214="","",SUMIFS(资金流水!$K$5:$K$3032,资金流水!$Q$5:$Q$3015,$I214))</f>
        <v/>
      </c>
      <c r="O214" s="25"/>
      <c r="P214" s="57" t="str">
        <f t="shared" si="20"/>
        <v/>
      </c>
      <c r="Q214" s="58" t="str">
        <f t="shared" si="21"/>
        <v/>
      </c>
      <c r="R214" s="54" t="str">
        <f t="shared" si="22"/>
        <v/>
      </c>
      <c r="S214" s="56" t="str">
        <f ca="1" t="shared" si="23"/>
        <v/>
      </c>
      <c r="T214" s="10"/>
    </row>
    <row r="215" spans="1:20">
      <c r="A215" s="56" t="str">
        <f>IF($B215="","",COUNTA($B$5:$B215))</f>
        <v/>
      </c>
      <c r="B215" s="53"/>
      <c r="C215" s="46"/>
      <c r="D215" s="56" t="str">
        <f>IFERROR(INDEX(基础资料!$C$4:$C$11,MATCH($C215,基础资料!$A$4:$A$11,0)),"")</f>
        <v/>
      </c>
      <c r="E215" s="39"/>
      <c r="F215" s="46"/>
      <c r="G215" s="10"/>
      <c r="H215" s="39"/>
      <c r="I215" s="10"/>
      <c r="J215" s="25"/>
      <c r="K215" s="88"/>
      <c r="L215" s="57" t="str">
        <f t="shared" si="18"/>
        <v/>
      </c>
      <c r="M215" s="57" t="str">
        <f t="shared" si="19"/>
        <v/>
      </c>
      <c r="N215" s="57" t="str">
        <f>IF($I215="","",SUMIFS(资金流水!$K$5:$K$3032,资金流水!$Q$5:$Q$3015,$I215))</f>
        <v/>
      </c>
      <c r="O215" s="25"/>
      <c r="P215" s="57" t="str">
        <f t="shared" si="20"/>
        <v/>
      </c>
      <c r="Q215" s="58" t="str">
        <f t="shared" si="21"/>
        <v/>
      </c>
      <c r="R215" s="54" t="str">
        <f t="shared" si="22"/>
        <v/>
      </c>
      <c r="S215" s="56" t="str">
        <f ca="1" t="shared" si="23"/>
        <v/>
      </c>
      <c r="T215" s="10"/>
    </row>
    <row r="216" spans="1:20">
      <c r="A216" s="56" t="str">
        <f>IF($B216="","",COUNTA($B$5:$B216))</f>
        <v/>
      </c>
      <c r="B216" s="53"/>
      <c r="C216" s="46"/>
      <c r="D216" s="56" t="str">
        <f>IFERROR(INDEX(基础资料!$C$4:$C$11,MATCH($C216,基础资料!$A$4:$A$11,0)),"")</f>
        <v/>
      </c>
      <c r="E216" s="39"/>
      <c r="F216" s="46"/>
      <c r="G216" s="10"/>
      <c r="H216" s="39"/>
      <c r="I216" s="10"/>
      <c r="J216" s="25"/>
      <c r="K216" s="88"/>
      <c r="L216" s="57" t="str">
        <f t="shared" si="18"/>
        <v/>
      </c>
      <c r="M216" s="57" t="str">
        <f t="shared" si="19"/>
        <v/>
      </c>
      <c r="N216" s="57" t="str">
        <f>IF($I216="","",SUMIFS(资金流水!$K$5:$K$3032,资金流水!$Q$5:$Q$3015,$I216))</f>
        <v/>
      </c>
      <c r="O216" s="25"/>
      <c r="P216" s="57" t="str">
        <f t="shared" si="20"/>
        <v/>
      </c>
      <c r="Q216" s="58" t="str">
        <f t="shared" si="21"/>
        <v/>
      </c>
      <c r="R216" s="54" t="str">
        <f t="shared" si="22"/>
        <v/>
      </c>
      <c r="S216" s="56" t="str">
        <f ca="1" t="shared" si="23"/>
        <v/>
      </c>
      <c r="T216" s="10"/>
    </row>
    <row r="217" spans="1:20">
      <c r="A217" s="56" t="str">
        <f>IF($B217="","",COUNTA($B$5:$B217))</f>
        <v/>
      </c>
      <c r="B217" s="53"/>
      <c r="C217" s="46"/>
      <c r="D217" s="56" t="str">
        <f>IFERROR(INDEX(基础资料!$C$4:$C$11,MATCH($C217,基础资料!$A$4:$A$11,0)),"")</f>
        <v/>
      </c>
      <c r="E217" s="39"/>
      <c r="F217" s="46"/>
      <c r="G217" s="10"/>
      <c r="H217" s="39"/>
      <c r="I217" s="10"/>
      <c r="J217" s="25"/>
      <c r="K217" s="88"/>
      <c r="L217" s="57" t="str">
        <f t="shared" si="18"/>
        <v/>
      </c>
      <c r="M217" s="57" t="str">
        <f t="shared" si="19"/>
        <v/>
      </c>
      <c r="N217" s="57" t="str">
        <f>IF($I217="","",SUMIFS(资金流水!$K$5:$K$3032,资金流水!$Q$5:$Q$3015,$I217))</f>
        <v/>
      </c>
      <c r="O217" s="25"/>
      <c r="P217" s="57" t="str">
        <f t="shared" si="20"/>
        <v/>
      </c>
      <c r="Q217" s="58" t="str">
        <f t="shared" si="21"/>
        <v/>
      </c>
      <c r="R217" s="54" t="str">
        <f t="shared" si="22"/>
        <v/>
      </c>
      <c r="S217" s="56" t="str">
        <f ca="1" t="shared" si="23"/>
        <v/>
      </c>
      <c r="T217" s="10"/>
    </row>
    <row r="218" spans="1:20">
      <c r="A218" s="56" t="str">
        <f>IF($B218="","",COUNTA($B$5:$B218))</f>
        <v/>
      </c>
      <c r="B218" s="53"/>
      <c r="C218" s="46"/>
      <c r="D218" s="56" t="str">
        <f>IFERROR(INDEX(基础资料!$C$4:$C$11,MATCH($C218,基础资料!$A$4:$A$11,0)),"")</f>
        <v/>
      </c>
      <c r="E218" s="39"/>
      <c r="F218" s="46"/>
      <c r="G218" s="10"/>
      <c r="H218" s="39"/>
      <c r="I218" s="10"/>
      <c r="J218" s="25"/>
      <c r="K218" s="88"/>
      <c r="L218" s="57" t="str">
        <f t="shared" si="18"/>
        <v/>
      </c>
      <c r="M218" s="57" t="str">
        <f t="shared" si="19"/>
        <v/>
      </c>
      <c r="N218" s="57" t="str">
        <f>IF($I218="","",SUMIFS(资金流水!$K$5:$K$3032,资金流水!$Q$5:$Q$3015,$I218))</f>
        <v/>
      </c>
      <c r="O218" s="25"/>
      <c r="P218" s="57" t="str">
        <f t="shared" si="20"/>
        <v/>
      </c>
      <c r="Q218" s="58" t="str">
        <f t="shared" si="21"/>
        <v/>
      </c>
      <c r="R218" s="54" t="str">
        <f t="shared" si="22"/>
        <v/>
      </c>
      <c r="S218" s="56" t="str">
        <f ca="1" t="shared" si="23"/>
        <v/>
      </c>
      <c r="T218" s="10"/>
    </row>
    <row r="219" spans="1:20">
      <c r="A219" s="56" t="str">
        <f>IF($B219="","",COUNTA($B$5:$B219))</f>
        <v/>
      </c>
      <c r="B219" s="53"/>
      <c r="C219" s="46"/>
      <c r="D219" s="56" t="str">
        <f>IFERROR(INDEX(基础资料!$C$4:$C$11,MATCH($C219,基础资料!$A$4:$A$11,0)),"")</f>
        <v/>
      </c>
      <c r="E219" s="39"/>
      <c r="F219" s="46"/>
      <c r="G219" s="10"/>
      <c r="H219" s="39"/>
      <c r="I219" s="10"/>
      <c r="J219" s="25"/>
      <c r="K219" s="88"/>
      <c r="L219" s="57" t="str">
        <f t="shared" si="18"/>
        <v/>
      </c>
      <c r="M219" s="57" t="str">
        <f t="shared" si="19"/>
        <v/>
      </c>
      <c r="N219" s="57" t="str">
        <f>IF($I219="","",SUMIFS(资金流水!$K$5:$K$3032,资金流水!$Q$5:$Q$3015,$I219))</f>
        <v/>
      </c>
      <c r="O219" s="25"/>
      <c r="P219" s="57" t="str">
        <f t="shared" si="20"/>
        <v/>
      </c>
      <c r="Q219" s="58" t="str">
        <f t="shared" si="21"/>
        <v/>
      </c>
      <c r="R219" s="54" t="str">
        <f t="shared" si="22"/>
        <v/>
      </c>
      <c r="S219" s="56" t="str">
        <f ca="1" t="shared" si="23"/>
        <v/>
      </c>
      <c r="T219" s="10"/>
    </row>
    <row r="220" spans="1:20">
      <c r="A220" s="56" t="str">
        <f>IF($B220="","",COUNTA($B$5:$B220))</f>
        <v/>
      </c>
      <c r="B220" s="53"/>
      <c r="C220" s="46"/>
      <c r="D220" s="56" t="str">
        <f>IFERROR(INDEX(基础资料!$C$4:$C$11,MATCH($C220,基础资料!$A$4:$A$11,0)),"")</f>
        <v/>
      </c>
      <c r="E220" s="39"/>
      <c r="F220" s="46"/>
      <c r="G220" s="10"/>
      <c r="H220" s="39"/>
      <c r="I220" s="10"/>
      <c r="J220" s="25"/>
      <c r="K220" s="88"/>
      <c r="L220" s="57" t="str">
        <f t="shared" si="18"/>
        <v/>
      </c>
      <c r="M220" s="57" t="str">
        <f t="shared" si="19"/>
        <v/>
      </c>
      <c r="N220" s="57" t="str">
        <f>IF($I220="","",SUMIFS(资金流水!$K$5:$K$3032,资金流水!$Q$5:$Q$3015,$I220))</f>
        <v/>
      </c>
      <c r="O220" s="25"/>
      <c r="P220" s="57" t="str">
        <f t="shared" si="20"/>
        <v/>
      </c>
      <c r="Q220" s="58" t="str">
        <f t="shared" si="21"/>
        <v/>
      </c>
      <c r="R220" s="54" t="str">
        <f t="shared" si="22"/>
        <v/>
      </c>
      <c r="S220" s="56" t="str">
        <f ca="1" t="shared" si="23"/>
        <v/>
      </c>
      <c r="T220" s="10"/>
    </row>
    <row r="221" spans="1:20">
      <c r="A221" s="56" t="str">
        <f>IF($B221="","",COUNTA($B$5:$B221))</f>
        <v/>
      </c>
      <c r="B221" s="53"/>
      <c r="C221" s="46"/>
      <c r="D221" s="56" t="str">
        <f>IFERROR(INDEX(基础资料!$C$4:$C$11,MATCH($C221,基础资料!$A$4:$A$11,0)),"")</f>
        <v/>
      </c>
      <c r="E221" s="39"/>
      <c r="F221" s="46"/>
      <c r="G221" s="10"/>
      <c r="H221" s="39"/>
      <c r="I221" s="10"/>
      <c r="J221" s="25"/>
      <c r="K221" s="88"/>
      <c r="L221" s="57" t="str">
        <f t="shared" si="18"/>
        <v/>
      </c>
      <c r="M221" s="57" t="str">
        <f t="shared" si="19"/>
        <v/>
      </c>
      <c r="N221" s="57" t="str">
        <f>IF($I221="","",SUMIFS(资金流水!$K$5:$K$3032,资金流水!$Q$5:$Q$3015,$I221))</f>
        <v/>
      </c>
      <c r="O221" s="25"/>
      <c r="P221" s="57" t="str">
        <f t="shared" si="20"/>
        <v/>
      </c>
      <c r="Q221" s="58" t="str">
        <f t="shared" si="21"/>
        <v/>
      </c>
      <c r="R221" s="54" t="str">
        <f t="shared" si="22"/>
        <v/>
      </c>
      <c r="S221" s="56" t="str">
        <f ca="1" t="shared" si="23"/>
        <v/>
      </c>
      <c r="T221" s="10"/>
    </row>
    <row r="222" spans="1:20">
      <c r="A222" s="56" t="str">
        <f>IF($B222="","",COUNTA($B$5:$B222))</f>
        <v/>
      </c>
      <c r="B222" s="53"/>
      <c r="C222" s="46"/>
      <c r="D222" s="56" t="str">
        <f>IFERROR(INDEX(基础资料!$C$4:$C$11,MATCH($C222,基础资料!$A$4:$A$11,0)),"")</f>
        <v/>
      </c>
      <c r="E222" s="39"/>
      <c r="F222" s="46"/>
      <c r="G222" s="10"/>
      <c r="H222" s="39"/>
      <c r="I222" s="10"/>
      <c r="J222" s="25"/>
      <c r="K222" s="88"/>
      <c r="L222" s="57" t="str">
        <f t="shared" si="18"/>
        <v/>
      </c>
      <c r="M222" s="57" t="str">
        <f t="shared" si="19"/>
        <v/>
      </c>
      <c r="N222" s="57" t="str">
        <f>IF($I222="","",SUMIFS(资金流水!$K$5:$K$3032,资金流水!$Q$5:$Q$3015,$I222))</f>
        <v/>
      </c>
      <c r="O222" s="25"/>
      <c r="P222" s="57" t="str">
        <f t="shared" si="20"/>
        <v/>
      </c>
      <c r="Q222" s="58" t="str">
        <f t="shared" si="21"/>
        <v/>
      </c>
      <c r="R222" s="54" t="str">
        <f t="shared" si="22"/>
        <v/>
      </c>
      <c r="S222" s="56" t="str">
        <f ca="1" t="shared" si="23"/>
        <v/>
      </c>
      <c r="T222" s="10"/>
    </row>
    <row r="223" spans="1:20">
      <c r="A223" s="56" t="str">
        <f>IF($B223="","",COUNTA($B$5:$B223))</f>
        <v/>
      </c>
      <c r="B223" s="53"/>
      <c r="C223" s="46"/>
      <c r="D223" s="56" t="str">
        <f>IFERROR(INDEX(基础资料!$C$4:$C$11,MATCH($C223,基础资料!$A$4:$A$11,0)),"")</f>
        <v/>
      </c>
      <c r="E223" s="39"/>
      <c r="F223" s="46"/>
      <c r="G223" s="10"/>
      <c r="H223" s="39"/>
      <c r="I223" s="10"/>
      <c r="J223" s="25"/>
      <c r="K223" s="88"/>
      <c r="L223" s="57" t="str">
        <f t="shared" si="18"/>
        <v/>
      </c>
      <c r="M223" s="57" t="str">
        <f t="shared" si="19"/>
        <v/>
      </c>
      <c r="N223" s="57" t="str">
        <f>IF($I223="","",SUMIFS(资金流水!$K$5:$K$3032,资金流水!$Q$5:$Q$3015,$I223))</f>
        <v/>
      </c>
      <c r="O223" s="25"/>
      <c r="P223" s="57" t="str">
        <f t="shared" si="20"/>
        <v/>
      </c>
      <c r="Q223" s="58" t="str">
        <f t="shared" si="21"/>
        <v/>
      </c>
      <c r="R223" s="54" t="str">
        <f t="shared" si="22"/>
        <v/>
      </c>
      <c r="S223" s="56" t="str">
        <f ca="1" t="shared" si="23"/>
        <v/>
      </c>
      <c r="T223" s="10"/>
    </row>
    <row r="224" spans="1:20">
      <c r="A224" s="56" t="str">
        <f>IF($B224="","",COUNTA($B$5:$B224))</f>
        <v/>
      </c>
      <c r="B224" s="53"/>
      <c r="C224" s="46"/>
      <c r="D224" s="56" t="str">
        <f>IFERROR(INDEX(基础资料!$C$4:$C$11,MATCH($C224,基础资料!$A$4:$A$11,0)),"")</f>
        <v/>
      </c>
      <c r="E224" s="39"/>
      <c r="F224" s="46"/>
      <c r="G224" s="10"/>
      <c r="H224" s="39"/>
      <c r="I224" s="10"/>
      <c r="J224" s="25"/>
      <c r="K224" s="88"/>
      <c r="L224" s="57" t="str">
        <f t="shared" si="18"/>
        <v/>
      </c>
      <c r="M224" s="57" t="str">
        <f t="shared" si="19"/>
        <v/>
      </c>
      <c r="N224" s="57" t="str">
        <f>IF($I224="","",SUMIFS(资金流水!$K$5:$K$3032,资金流水!$Q$5:$Q$3015,$I224))</f>
        <v/>
      </c>
      <c r="O224" s="25"/>
      <c r="P224" s="57" t="str">
        <f t="shared" si="20"/>
        <v/>
      </c>
      <c r="Q224" s="58" t="str">
        <f t="shared" si="21"/>
        <v/>
      </c>
      <c r="R224" s="54" t="str">
        <f t="shared" si="22"/>
        <v/>
      </c>
      <c r="S224" s="56" t="str">
        <f ca="1" t="shared" si="23"/>
        <v/>
      </c>
      <c r="T224" s="10"/>
    </row>
    <row r="225" spans="1:20">
      <c r="A225" s="56" t="str">
        <f>IF($B225="","",COUNTA($B$5:$B225))</f>
        <v/>
      </c>
      <c r="B225" s="53"/>
      <c r="C225" s="46"/>
      <c r="D225" s="56" t="str">
        <f>IFERROR(INDEX(基础资料!$C$4:$C$11,MATCH($C225,基础资料!$A$4:$A$11,0)),"")</f>
        <v/>
      </c>
      <c r="E225" s="39"/>
      <c r="F225" s="46"/>
      <c r="G225" s="10"/>
      <c r="H225" s="39"/>
      <c r="I225" s="10"/>
      <c r="J225" s="25"/>
      <c r="K225" s="88"/>
      <c r="L225" s="57" t="str">
        <f t="shared" si="18"/>
        <v/>
      </c>
      <c r="M225" s="57" t="str">
        <f t="shared" si="19"/>
        <v/>
      </c>
      <c r="N225" s="57" t="str">
        <f>IF($I225="","",SUMIFS(资金流水!$K$5:$K$3032,资金流水!$Q$5:$Q$3015,$I225))</f>
        <v/>
      </c>
      <c r="O225" s="25"/>
      <c r="P225" s="57" t="str">
        <f t="shared" si="20"/>
        <v/>
      </c>
      <c r="Q225" s="58" t="str">
        <f t="shared" si="21"/>
        <v/>
      </c>
      <c r="R225" s="54" t="str">
        <f t="shared" si="22"/>
        <v/>
      </c>
      <c r="S225" s="56" t="str">
        <f ca="1" t="shared" si="23"/>
        <v/>
      </c>
      <c r="T225" s="10"/>
    </row>
    <row r="226" spans="1:20">
      <c r="A226" s="56" t="str">
        <f>IF($B226="","",COUNTA($B$5:$B226))</f>
        <v/>
      </c>
      <c r="B226" s="53"/>
      <c r="C226" s="46"/>
      <c r="D226" s="56" t="str">
        <f>IFERROR(INDEX(基础资料!$C$4:$C$11,MATCH($C226,基础资料!$A$4:$A$11,0)),"")</f>
        <v/>
      </c>
      <c r="E226" s="39"/>
      <c r="F226" s="46"/>
      <c r="G226" s="10"/>
      <c r="H226" s="39"/>
      <c r="I226" s="10"/>
      <c r="J226" s="25"/>
      <c r="K226" s="88"/>
      <c r="L226" s="57" t="str">
        <f t="shared" si="18"/>
        <v/>
      </c>
      <c r="M226" s="57" t="str">
        <f t="shared" si="19"/>
        <v/>
      </c>
      <c r="N226" s="57" t="str">
        <f>IF($I226="","",SUMIFS(资金流水!$K$5:$K$3032,资金流水!$Q$5:$Q$3015,$I226))</f>
        <v/>
      </c>
      <c r="O226" s="25"/>
      <c r="P226" s="57" t="str">
        <f t="shared" si="20"/>
        <v/>
      </c>
      <c r="Q226" s="58" t="str">
        <f t="shared" si="21"/>
        <v/>
      </c>
      <c r="R226" s="54" t="str">
        <f t="shared" si="22"/>
        <v/>
      </c>
      <c r="S226" s="56" t="str">
        <f ca="1" t="shared" si="23"/>
        <v/>
      </c>
      <c r="T226" s="10"/>
    </row>
    <row r="227" spans="1:20">
      <c r="A227" s="56" t="str">
        <f>IF($B227="","",COUNTA($B$5:$B227))</f>
        <v/>
      </c>
      <c r="B227" s="53"/>
      <c r="C227" s="46"/>
      <c r="D227" s="56" t="str">
        <f>IFERROR(INDEX(基础资料!$C$4:$C$11,MATCH($C227,基础资料!$A$4:$A$11,0)),"")</f>
        <v/>
      </c>
      <c r="E227" s="39"/>
      <c r="F227" s="46"/>
      <c r="G227" s="10"/>
      <c r="H227" s="39"/>
      <c r="I227" s="10"/>
      <c r="J227" s="25"/>
      <c r="K227" s="88"/>
      <c r="L227" s="57" t="str">
        <f t="shared" si="18"/>
        <v/>
      </c>
      <c r="M227" s="57" t="str">
        <f t="shared" si="19"/>
        <v/>
      </c>
      <c r="N227" s="57" t="str">
        <f>IF($I227="","",SUMIFS(资金流水!$K$5:$K$3032,资金流水!$Q$5:$Q$3015,$I227))</f>
        <v/>
      </c>
      <c r="O227" s="25"/>
      <c r="P227" s="57" t="str">
        <f t="shared" si="20"/>
        <v/>
      </c>
      <c r="Q227" s="58" t="str">
        <f t="shared" si="21"/>
        <v/>
      </c>
      <c r="R227" s="54" t="str">
        <f t="shared" si="22"/>
        <v/>
      </c>
      <c r="S227" s="56" t="str">
        <f ca="1" t="shared" si="23"/>
        <v/>
      </c>
      <c r="T227" s="10"/>
    </row>
    <row r="228" spans="1:20">
      <c r="A228" s="56" t="str">
        <f>IF($B228="","",COUNTA($B$5:$B228))</f>
        <v/>
      </c>
      <c r="B228" s="53"/>
      <c r="C228" s="46"/>
      <c r="D228" s="56" t="str">
        <f>IFERROR(INDEX(基础资料!$C$4:$C$11,MATCH($C228,基础资料!$A$4:$A$11,0)),"")</f>
        <v/>
      </c>
      <c r="E228" s="39"/>
      <c r="F228" s="46"/>
      <c r="G228" s="10"/>
      <c r="H228" s="39"/>
      <c r="I228" s="10"/>
      <c r="J228" s="25"/>
      <c r="K228" s="88"/>
      <c r="L228" s="57" t="str">
        <f t="shared" si="18"/>
        <v/>
      </c>
      <c r="M228" s="57" t="str">
        <f t="shared" si="19"/>
        <v/>
      </c>
      <c r="N228" s="57" t="str">
        <f>IF($I228="","",SUMIFS(资金流水!$K$5:$K$3032,资金流水!$Q$5:$Q$3015,$I228))</f>
        <v/>
      </c>
      <c r="O228" s="25"/>
      <c r="P228" s="57" t="str">
        <f t="shared" si="20"/>
        <v/>
      </c>
      <c r="Q228" s="58" t="str">
        <f t="shared" si="21"/>
        <v/>
      </c>
      <c r="R228" s="54" t="str">
        <f t="shared" si="22"/>
        <v/>
      </c>
      <c r="S228" s="56" t="str">
        <f ca="1" t="shared" si="23"/>
        <v/>
      </c>
      <c r="T228" s="10"/>
    </row>
    <row r="229" spans="1:20">
      <c r="A229" s="56" t="str">
        <f>IF($B229="","",COUNTA($B$5:$B229))</f>
        <v/>
      </c>
      <c r="B229" s="53"/>
      <c r="C229" s="46"/>
      <c r="D229" s="56" t="str">
        <f>IFERROR(INDEX(基础资料!$C$4:$C$11,MATCH($C229,基础资料!$A$4:$A$11,0)),"")</f>
        <v/>
      </c>
      <c r="E229" s="39"/>
      <c r="F229" s="46"/>
      <c r="G229" s="10"/>
      <c r="H229" s="39"/>
      <c r="I229" s="10"/>
      <c r="J229" s="25"/>
      <c r="K229" s="88"/>
      <c r="L229" s="57" t="str">
        <f t="shared" si="18"/>
        <v/>
      </c>
      <c r="M229" s="57" t="str">
        <f t="shared" si="19"/>
        <v/>
      </c>
      <c r="N229" s="57" t="str">
        <f>IF($I229="","",SUMIFS(资金流水!$K$5:$K$3032,资金流水!$Q$5:$Q$3015,$I229))</f>
        <v/>
      </c>
      <c r="O229" s="25"/>
      <c r="P229" s="57" t="str">
        <f t="shared" si="20"/>
        <v/>
      </c>
      <c r="Q229" s="58" t="str">
        <f t="shared" si="21"/>
        <v/>
      </c>
      <c r="R229" s="54" t="str">
        <f t="shared" si="22"/>
        <v/>
      </c>
      <c r="S229" s="56" t="str">
        <f ca="1" t="shared" si="23"/>
        <v/>
      </c>
      <c r="T229" s="10"/>
    </row>
    <row r="230" spans="1:20">
      <c r="A230" s="56" t="str">
        <f>IF($B230="","",COUNTA($B$5:$B230))</f>
        <v/>
      </c>
      <c r="B230" s="53"/>
      <c r="C230" s="46"/>
      <c r="D230" s="56" t="str">
        <f>IFERROR(INDEX(基础资料!$C$4:$C$11,MATCH($C230,基础资料!$A$4:$A$11,0)),"")</f>
        <v/>
      </c>
      <c r="E230" s="39"/>
      <c r="F230" s="46"/>
      <c r="G230" s="10"/>
      <c r="H230" s="39"/>
      <c r="I230" s="10"/>
      <c r="J230" s="25"/>
      <c r="K230" s="88"/>
      <c r="L230" s="57" t="str">
        <f t="shared" si="18"/>
        <v/>
      </c>
      <c r="M230" s="57" t="str">
        <f t="shared" si="19"/>
        <v/>
      </c>
      <c r="N230" s="57" t="str">
        <f>IF($I230="","",SUMIFS(资金流水!$K$5:$K$3032,资金流水!$Q$5:$Q$3015,$I230))</f>
        <v/>
      </c>
      <c r="O230" s="25"/>
      <c r="P230" s="57" t="str">
        <f t="shared" si="20"/>
        <v/>
      </c>
      <c r="Q230" s="58" t="str">
        <f t="shared" si="21"/>
        <v/>
      </c>
      <c r="R230" s="54" t="str">
        <f t="shared" si="22"/>
        <v/>
      </c>
      <c r="S230" s="56" t="str">
        <f ca="1" t="shared" si="23"/>
        <v/>
      </c>
      <c r="T230" s="10"/>
    </row>
    <row r="231" spans="1:20">
      <c r="A231" s="56" t="str">
        <f>IF($B231="","",COUNTA($B$5:$B231))</f>
        <v/>
      </c>
      <c r="B231" s="53"/>
      <c r="C231" s="46"/>
      <c r="D231" s="56" t="str">
        <f>IFERROR(INDEX(基础资料!$C$4:$C$11,MATCH($C231,基础资料!$A$4:$A$11,0)),"")</f>
        <v/>
      </c>
      <c r="E231" s="39"/>
      <c r="F231" s="46"/>
      <c r="G231" s="10"/>
      <c r="H231" s="39"/>
      <c r="I231" s="10"/>
      <c r="J231" s="25"/>
      <c r="K231" s="88"/>
      <c r="L231" s="57" t="str">
        <f t="shared" si="18"/>
        <v/>
      </c>
      <c r="M231" s="57" t="str">
        <f t="shared" si="19"/>
        <v/>
      </c>
      <c r="N231" s="57" t="str">
        <f>IF($I231="","",SUMIFS(资金流水!$K$5:$K$3032,资金流水!$Q$5:$Q$3015,$I231))</f>
        <v/>
      </c>
      <c r="O231" s="25"/>
      <c r="P231" s="57" t="str">
        <f t="shared" si="20"/>
        <v/>
      </c>
      <c r="Q231" s="58" t="str">
        <f t="shared" si="21"/>
        <v/>
      </c>
      <c r="R231" s="54" t="str">
        <f t="shared" si="22"/>
        <v/>
      </c>
      <c r="S231" s="56" t="str">
        <f ca="1" t="shared" si="23"/>
        <v/>
      </c>
      <c r="T231" s="10"/>
    </row>
    <row r="232" spans="1:20">
      <c r="A232" s="56" t="str">
        <f>IF($B232="","",COUNTA($B$5:$B232))</f>
        <v/>
      </c>
      <c r="B232" s="53"/>
      <c r="C232" s="46"/>
      <c r="D232" s="56" t="str">
        <f>IFERROR(INDEX(基础资料!$C$4:$C$11,MATCH($C232,基础资料!$A$4:$A$11,0)),"")</f>
        <v/>
      </c>
      <c r="E232" s="39"/>
      <c r="F232" s="46"/>
      <c r="G232" s="10"/>
      <c r="H232" s="39"/>
      <c r="I232" s="10"/>
      <c r="J232" s="25"/>
      <c r="K232" s="88"/>
      <c r="L232" s="57" t="str">
        <f t="shared" si="18"/>
        <v/>
      </c>
      <c r="M232" s="57" t="str">
        <f t="shared" si="19"/>
        <v/>
      </c>
      <c r="N232" s="57" t="str">
        <f>IF($I232="","",SUMIFS(资金流水!$K$5:$K$3032,资金流水!$Q$5:$Q$3015,$I232))</f>
        <v/>
      </c>
      <c r="O232" s="25"/>
      <c r="P232" s="57" t="str">
        <f t="shared" si="20"/>
        <v/>
      </c>
      <c r="Q232" s="58" t="str">
        <f t="shared" si="21"/>
        <v/>
      </c>
      <c r="R232" s="54" t="str">
        <f t="shared" si="22"/>
        <v/>
      </c>
      <c r="S232" s="56" t="str">
        <f ca="1" t="shared" si="23"/>
        <v/>
      </c>
      <c r="T232" s="10"/>
    </row>
    <row r="233" spans="1:20">
      <c r="A233" s="56" t="str">
        <f>IF($B233="","",COUNTA($B$5:$B233))</f>
        <v/>
      </c>
      <c r="B233" s="53"/>
      <c r="C233" s="46"/>
      <c r="D233" s="56" t="str">
        <f>IFERROR(INDEX(基础资料!$C$4:$C$11,MATCH($C233,基础资料!$A$4:$A$11,0)),"")</f>
        <v/>
      </c>
      <c r="E233" s="39"/>
      <c r="F233" s="46"/>
      <c r="G233" s="10"/>
      <c r="H233" s="39"/>
      <c r="I233" s="10"/>
      <c r="J233" s="25"/>
      <c r="K233" s="88"/>
      <c r="L233" s="57" t="str">
        <f t="shared" si="18"/>
        <v/>
      </c>
      <c r="M233" s="57" t="str">
        <f t="shared" si="19"/>
        <v/>
      </c>
      <c r="N233" s="57" t="str">
        <f>IF($I233="","",SUMIFS(资金流水!$K$5:$K$3032,资金流水!$Q$5:$Q$3015,$I233))</f>
        <v/>
      </c>
      <c r="O233" s="25"/>
      <c r="P233" s="57" t="str">
        <f t="shared" si="20"/>
        <v/>
      </c>
      <c r="Q233" s="58" t="str">
        <f t="shared" si="21"/>
        <v/>
      </c>
      <c r="R233" s="54" t="str">
        <f t="shared" si="22"/>
        <v/>
      </c>
      <c r="S233" s="56" t="str">
        <f ca="1" t="shared" si="23"/>
        <v/>
      </c>
      <c r="T233" s="10"/>
    </row>
    <row r="234" spans="1:20">
      <c r="A234" s="56" t="str">
        <f>IF($B234="","",COUNTA($B$5:$B234))</f>
        <v/>
      </c>
      <c r="B234" s="53"/>
      <c r="C234" s="46"/>
      <c r="D234" s="56" t="str">
        <f>IFERROR(INDEX(基础资料!$C$4:$C$11,MATCH($C234,基础资料!$A$4:$A$11,0)),"")</f>
        <v/>
      </c>
      <c r="E234" s="39"/>
      <c r="F234" s="46"/>
      <c r="G234" s="10"/>
      <c r="H234" s="39"/>
      <c r="I234" s="10"/>
      <c r="J234" s="25"/>
      <c r="K234" s="88"/>
      <c r="L234" s="57" t="str">
        <f t="shared" si="18"/>
        <v/>
      </c>
      <c r="M234" s="57" t="str">
        <f t="shared" si="19"/>
        <v/>
      </c>
      <c r="N234" s="57" t="str">
        <f>IF($I234="","",SUMIFS(资金流水!$K$5:$K$3032,资金流水!$Q$5:$Q$3015,$I234))</f>
        <v/>
      </c>
      <c r="O234" s="25"/>
      <c r="P234" s="57" t="str">
        <f t="shared" si="20"/>
        <v/>
      </c>
      <c r="Q234" s="58" t="str">
        <f t="shared" si="21"/>
        <v/>
      </c>
      <c r="R234" s="54" t="str">
        <f t="shared" si="22"/>
        <v/>
      </c>
      <c r="S234" s="56" t="str">
        <f ca="1" t="shared" si="23"/>
        <v/>
      </c>
      <c r="T234" s="10"/>
    </row>
    <row r="235" spans="1:20">
      <c r="A235" s="56" t="str">
        <f>IF($B235="","",COUNTA($B$5:$B235))</f>
        <v/>
      </c>
      <c r="B235" s="53"/>
      <c r="C235" s="46"/>
      <c r="D235" s="56" t="str">
        <f>IFERROR(INDEX(基础资料!$C$4:$C$11,MATCH($C235,基础资料!$A$4:$A$11,0)),"")</f>
        <v/>
      </c>
      <c r="E235" s="39"/>
      <c r="F235" s="46"/>
      <c r="G235" s="10"/>
      <c r="H235" s="39"/>
      <c r="I235" s="10"/>
      <c r="J235" s="25"/>
      <c r="K235" s="88"/>
      <c r="L235" s="57" t="str">
        <f t="shared" si="18"/>
        <v/>
      </c>
      <c r="M235" s="57" t="str">
        <f t="shared" si="19"/>
        <v/>
      </c>
      <c r="N235" s="57" t="str">
        <f>IF($I235="","",SUMIFS(资金流水!$K$5:$K$3032,资金流水!$Q$5:$Q$3015,$I235))</f>
        <v/>
      </c>
      <c r="O235" s="25"/>
      <c r="P235" s="57" t="str">
        <f t="shared" si="20"/>
        <v/>
      </c>
      <c r="Q235" s="58" t="str">
        <f t="shared" si="21"/>
        <v/>
      </c>
      <c r="R235" s="54" t="str">
        <f t="shared" si="22"/>
        <v/>
      </c>
      <c r="S235" s="56" t="str">
        <f ca="1" t="shared" si="23"/>
        <v/>
      </c>
      <c r="T235" s="10"/>
    </row>
    <row r="236" spans="1:20">
      <c r="A236" s="56" t="str">
        <f>IF($B236="","",COUNTA($B$5:$B236))</f>
        <v/>
      </c>
      <c r="B236" s="53"/>
      <c r="C236" s="46"/>
      <c r="D236" s="56" t="str">
        <f>IFERROR(INDEX(基础资料!$C$4:$C$11,MATCH($C236,基础资料!$A$4:$A$11,0)),"")</f>
        <v/>
      </c>
      <c r="E236" s="39"/>
      <c r="F236" s="46"/>
      <c r="G236" s="10"/>
      <c r="H236" s="39"/>
      <c r="I236" s="10"/>
      <c r="J236" s="25"/>
      <c r="K236" s="88"/>
      <c r="L236" s="57" t="str">
        <f t="shared" si="18"/>
        <v/>
      </c>
      <c r="M236" s="57" t="str">
        <f t="shared" si="19"/>
        <v/>
      </c>
      <c r="N236" s="57" t="str">
        <f>IF($I236="","",SUMIFS(资金流水!$K$5:$K$3032,资金流水!$Q$5:$Q$3015,$I236))</f>
        <v/>
      </c>
      <c r="O236" s="25"/>
      <c r="P236" s="57" t="str">
        <f t="shared" si="20"/>
        <v/>
      </c>
      <c r="Q236" s="58" t="str">
        <f t="shared" si="21"/>
        <v/>
      </c>
      <c r="R236" s="54" t="str">
        <f t="shared" si="22"/>
        <v/>
      </c>
      <c r="S236" s="56" t="str">
        <f ca="1" t="shared" si="23"/>
        <v/>
      </c>
      <c r="T236" s="10"/>
    </row>
    <row r="237" spans="1:20">
      <c r="A237" s="56" t="str">
        <f>IF($B237="","",COUNTA($B$5:$B237))</f>
        <v/>
      </c>
      <c r="B237" s="53"/>
      <c r="C237" s="46"/>
      <c r="D237" s="56" t="str">
        <f>IFERROR(INDEX(基础资料!$C$4:$C$11,MATCH($C237,基础资料!$A$4:$A$11,0)),"")</f>
        <v/>
      </c>
      <c r="E237" s="39"/>
      <c r="F237" s="46"/>
      <c r="G237" s="10"/>
      <c r="H237" s="39"/>
      <c r="I237" s="10"/>
      <c r="J237" s="25"/>
      <c r="K237" s="88"/>
      <c r="L237" s="57" t="str">
        <f t="shared" si="18"/>
        <v/>
      </c>
      <c r="M237" s="57" t="str">
        <f t="shared" si="19"/>
        <v/>
      </c>
      <c r="N237" s="57" t="str">
        <f>IF($I237="","",SUMIFS(资金流水!$K$5:$K$3032,资金流水!$Q$5:$Q$3015,$I237))</f>
        <v/>
      </c>
      <c r="O237" s="25"/>
      <c r="P237" s="57" t="str">
        <f t="shared" si="20"/>
        <v/>
      </c>
      <c r="Q237" s="58" t="str">
        <f t="shared" si="21"/>
        <v/>
      </c>
      <c r="R237" s="54" t="str">
        <f t="shared" si="22"/>
        <v/>
      </c>
      <c r="S237" s="56" t="str">
        <f ca="1" t="shared" si="23"/>
        <v/>
      </c>
      <c r="T237" s="10"/>
    </row>
    <row r="238" spans="1:20">
      <c r="A238" s="56" t="str">
        <f>IF($B238="","",COUNTA($B$5:$B238))</f>
        <v/>
      </c>
      <c r="B238" s="53"/>
      <c r="C238" s="46"/>
      <c r="D238" s="56" t="str">
        <f>IFERROR(INDEX(基础资料!$C$4:$C$11,MATCH($C238,基础资料!$A$4:$A$11,0)),"")</f>
        <v/>
      </c>
      <c r="E238" s="39"/>
      <c r="F238" s="46"/>
      <c r="G238" s="10"/>
      <c r="H238" s="39"/>
      <c r="I238" s="10"/>
      <c r="J238" s="25"/>
      <c r="K238" s="88"/>
      <c r="L238" s="57" t="str">
        <f t="shared" si="18"/>
        <v/>
      </c>
      <c r="M238" s="57" t="str">
        <f t="shared" si="19"/>
        <v/>
      </c>
      <c r="N238" s="57" t="str">
        <f>IF($I238="","",SUMIFS(资金流水!$K$5:$K$3032,资金流水!$Q$5:$Q$3015,$I238))</f>
        <v/>
      </c>
      <c r="O238" s="25"/>
      <c r="P238" s="57" t="str">
        <f t="shared" si="20"/>
        <v/>
      </c>
      <c r="Q238" s="58" t="str">
        <f t="shared" si="21"/>
        <v/>
      </c>
      <c r="R238" s="54" t="str">
        <f t="shared" si="22"/>
        <v/>
      </c>
      <c r="S238" s="56" t="str">
        <f ca="1" t="shared" si="23"/>
        <v/>
      </c>
      <c r="T238" s="10"/>
    </row>
    <row r="239" spans="1:20">
      <c r="A239" s="56" t="str">
        <f>IF($B239="","",COUNTA($B$5:$B239))</f>
        <v/>
      </c>
      <c r="B239" s="53"/>
      <c r="C239" s="46"/>
      <c r="D239" s="56" t="str">
        <f>IFERROR(INDEX(基础资料!$C$4:$C$11,MATCH($C239,基础资料!$A$4:$A$11,0)),"")</f>
        <v/>
      </c>
      <c r="E239" s="39"/>
      <c r="F239" s="46"/>
      <c r="G239" s="10"/>
      <c r="H239" s="39"/>
      <c r="I239" s="10"/>
      <c r="J239" s="25"/>
      <c r="K239" s="88"/>
      <c r="L239" s="57" t="str">
        <f t="shared" si="18"/>
        <v/>
      </c>
      <c r="M239" s="57" t="str">
        <f t="shared" si="19"/>
        <v/>
      </c>
      <c r="N239" s="57" t="str">
        <f>IF($I239="","",SUMIFS(资金流水!$K$5:$K$3032,资金流水!$Q$5:$Q$3015,$I239))</f>
        <v/>
      </c>
      <c r="O239" s="25"/>
      <c r="P239" s="57" t="str">
        <f t="shared" si="20"/>
        <v/>
      </c>
      <c r="Q239" s="58" t="str">
        <f t="shared" si="21"/>
        <v/>
      </c>
      <c r="R239" s="54" t="str">
        <f t="shared" si="22"/>
        <v/>
      </c>
      <c r="S239" s="56" t="str">
        <f ca="1" t="shared" si="23"/>
        <v/>
      </c>
      <c r="T239" s="10"/>
    </row>
    <row r="240" spans="1:20">
      <c r="A240" s="56" t="str">
        <f>IF($B240="","",COUNTA($B$5:$B240))</f>
        <v/>
      </c>
      <c r="B240" s="53"/>
      <c r="C240" s="46"/>
      <c r="D240" s="56" t="str">
        <f>IFERROR(INDEX(基础资料!$C$4:$C$11,MATCH($C240,基础资料!$A$4:$A$11,0)),"")</f>
        <v/>
      </c>
      <c r="E240" s="39"/>
      <c r="F240" s="46"/>
      <c r="G240" s="10"/>
      <c r="H240" s="39"/>
      <c r="I240" s="10"/>
      <c r="J240" s="25"/>
      <c r="K240" s="88"/>
      <c r="L240" s="57" t="str">
        <f t="shared" si="18"/>
        <v/>
      </c>
      <c r="M240" s="57" t="str">
        <f t="shared" si="19"/>
        <v/>
      </c>
      <c r="N240" s="57" t="str">
        <f>IF($I240="","",SUMIFS(资金流水!$K$5:$K$3032,资金流水!$Q$5:$Q$3015,$I240))</f>
        <v/>
      </c>
      <c r="O240" s="25"/>
      <c r="P240" s="57" t="str">
        <f t="shared" si="20"/>
        <v/>
      </c>
      <c r="Q240" s="58" t="str">
        <f t="shared" si="21"/>
        <v/>
      </c>
      <c r="R240" s="54" t="str">
        <f t="shared" si="22"/>
        <v/>
      </c>
      <c r="S240" s="56" t="str">
        <f ca="1" t="shared" si="23"/>
        <v/>
      </c>
      <c r="T240" s="10"/>
    </row>
    <row r="241" spans="1:20">
      <c r="A241" s="56" t="str">
        <f>IF($B241="","",COUNTA($B$5:$B241))</f>
        <v/>
      </c>
      <c r="B241" s="53"/>
      <c r="C241" s="46"/>
      <c r="D241" s="56" t="str">
        <f>IFERROR(INDEX(基础资料!$C$4:$C$11,MATCH($C241,基础资料!$A$4:$A$11,0)),"")</f>
        <v/>
      </c>
      <c r="E241" s="39"/>
      <c r="F241" s="46"/>
      <c r="G241" s="10"/>
      <c r="H241" s="39"/>
      <c r="I241" s="10"/>
      <c r="J241" s="25"/>
      <c r="K241" s="88"/>
      <c r="L241" s="57" t="str">
        <f t="shared" si="18"/>
        <v/>
      </c>
      <c r="M241" s="57" t="str">
        <f t="shared" si="19"/>
        <v/>
      </c>
      <c r="N241" s="57" t="str">
        <f>IF($I241="","",SUMIFS(资金流水!$K$5:$K$3032,资金流水!$Q$5:$Q$3015,$I241))</f>
        <v/>
      </c>
      <c r="O241" s="25"/>
      <c r="P241" s="57" t="str">
        <f t="shared" si="20"/>
        <v/>
      </c>
      <c r="Q241" s="58" t="str">
        <f t="shared" si="21"/>
        <v/>
      </c>
      <c r="R241" s="54" t="str">
        <f t="shared" si="22"/>
        <v/>
      </c>
      <c r="S241" s="56" t="str">
        <f ca="1" t="shared" si="23"/>
        <v/>
      </c>
      <c r="T241" s="10"/>
    </row>
    <row r="242" spans="1:20">
      <c r="A242" s="56" t="str">
        <f>IF($B242="","",COUNTA($B$5:$B242))</f>
        <v/>
      </c>
      <c r="B242" s="53"/>
      <c r="C242" s="46"/>
      <c r="D242" s="56" t="str">
        <f>IFERROR(INDEX(基础资料!$C$4:$C$11,MATCH($C242,基础资料!$A$4:$A$11,0)),"")</f>
        <v/>
      </c>
      <c r="E242" s="39"/>
      <c r="F242" s="46"/>
      <c r="G242" s="10"/>
      <c r="H242" s="39"/>
      <c r="I242" s="10"/>
      <c r="J242" s="25"/>
      <c r="K242" s="88"/>
      <c r="L242" s="57" t="str">
        <f t="shared" si="18"/>
        <v/>
      </c>
      <c r="M242" s="57" t="str">
        <f t="shared" si="19"/>
        <v/>
      </c>
      <c r="N242" s="57" t="str">
        <f>IF($I242="","",SUMIFS(资金流水!$K$5:$K$3032,资金流水!$Q$5:$Q$3015,$I242))</f>
        <v/>
      </c>
      <c r="O242" s="25"/>
      <c r="P242" s="57" t="str">
        <f t="shared" si="20"/>
        <v/>
      </c>
      <c r="Q242" s="58" t="str">
        <f t="shared" si="21"/>
        <v/>
      </c>
      <c r="R242" s="54" t="str">
        <f t="shared" si="22"/>
        <v/>
      </c>
      <c r="S242" s="56" t="str">
        <f ca="1" t="shared" si="23"/>
        <v/>
      </c>
      <c r="T242" s="10"/>
    </row>
    <row r="243" spans="1:20">
      <c r="A243" s="56" t="str">
        <f>IF($B243="","",COUNTA($B$5:$B243))</f>
        <v/>
      </c>
      <c r="B243" s="53"/>
      <c r="C243" s="46"/>
      <c r="D243" s="56" t="str">
        <f>IFERROR(INDEX(基础资料!$C$4:$C$11,MATCH($C243,基础资料!$A$4:$A$11,0)),"")</f>
        <v/>
      </c>
      <c r="E243" s="39"/>
      <c r="F243" s="46"/>
      <c r="G243" s="10"/>
      <c r="H243" s="39"/>
      <c r="I243" s="10"/>
      <c r="J243" s="25"/>
      <c r="K243" s="88"/>
      <c r="L243" s="57" t="str">
        <f t="shared" si="18"/>
        <v/>
      </c>
      <c r="M243" s="57" t="str">
        <f t="shared" si="19"/>
        <v/>
      </c>
      <c r="N243" s="57" t="str">
        <f>IF($I243="","",SUMIFS(资金流水!$K$5:$K$3032,资金流水!$Q$5:$Q$3015,$I243))</f>
        <v/>
      </c>
      <c r="O243" s="25"/>
      <c r="P243" s="57" t="str">
        <f t="shared" si="20"/>
        <v/>
      </c>
      <c r="Q243" s="58" t="str">
        <f t="shared" si="21"/>
        <v/>
      </c>
      <c r="R243" s="54" t="str">
        <f t="shared" si="22"/>
        <v/>
      </c>
      <c r="S243" s="56" t="str">
        <f ca="1" t="shared" si="23"/>
        <v/>
      </c>
      <c r="T243" s="10"/>
    </row>
    <row r="244" spans="1:20">
      <c r="A244" s="56" t="str">
        <f>IF($B244="","",COUNTA($B$5:$B244))</f>
        <v/>
      </c>
      <c r="B244" s="53"/>
      <c r="C244" s="46"/>
      <c r="D244" s="56" t="str">
        <f>IFERROR(INDEX(基础资料!$C$4:$C$11,MATCH($C244,基础资料!$A$4:$A$11,0)),"")</f>
        <v/>
      </c>
      <c r="E244" s="39"/>
      <c r="F244" s="46"/>
      <c r="G244" s="10"/>
      <c r="H244" s="39"/>
      <c r="I244" s="10"/>
      <c r="J244" s="25"/>
      <c r="K244" s="88"/>
      <c r="L244" s="57" t="str">
        <f t="shared" si="18"/>
        <v/>
      </c>
      <c r="M244" s="57" t="str">
        <f t="shared" si="19"/>
        <v/>
      </c>
      <c r="N244" s="57" t="str">
        <f>IF($I244="","",SUMIFS(资金流水!$K$5:$K$3032,资金流水!$Q$5:$Q$3015,$I244))</f>
        <v/>
      </c>
      <c r="O244" s="25"/>
      <c r="P244" s="57" t="str">
        <f t="shared" si="20"/>
        <v/>
      </c>
      <c r="Q244" s="58" t="str">
        <f t="shared" si="21"/>
        <v/>
      </c>
      <c r="R244" s="54" t="str">
        <f t="shared" si="22"/>
        <v/>
      </c>
      <c r="S244" s="56" t="str">
        <f ca="1" t="shared" si="23"/>
        <v/>
      </c>
      <c r="T244" s="10"/>
    </row>
    <row r="245" spans="1:20">
      <c r="A245" s="56" t="str">
        <f>IF($B245="","",COUNTA($B$5:$B245))</f>
        <v/>
      </c>
      <c r="B245" s="53"/>
      <c r="C245" s="46"/>
      <c r="D245" s="56" t="str">
        <f>IFERROR(INDEX(基础资料!$C$4:$C$11,MATCH($C245,基础资料!$A$4:$A$11,0)),"")</f>
        <v/>
      </c>
      <c r="E245" s="39"/>
      <c r="F245" s="46"/>
      <c r="G245" s="10"/>
      <c r="H245" s="39"/>
      <c r="I245" s="10"/>
      <c r="J245" s="25"/>
      <c r="K245" s="88"/>
      <c r="L245" s="57" t="str">
        <f t="shared" si="18"/>
        <v/>
      </c>
      <c r="M245" s="57" t="str">
        <f t="shared" si="19"/>
        <v/>
      </c>
      <c r="N245" s="57" t="str">
        <f>IF($I245="","",SUMIFS(资金流水!$K$5:$K$3032,资金流水!$Q$5:$Q$3015,$I245))</f>
        <v/>
      </c>
      <c r="O245" s="25"/>
      <c r="P245" s="57" t="str">
        <f t="shared" si="20"/>
        <v/>
      </c>
      <c r="Q245" s="58" t="str">
        <f t="shared" si="21"/>
        <v/>
      </c>
      <c r="R245" s="54" t="str">
        <f t="shared" si="22"/>
        <v/>
      </c>
      <c r="S245" s="56" t="str">
        <f ca="1" t="shared" si="23"/>
        <v/>
      </c>
      <c r="T245" s="10"/>
    </row>
    <row r="246" spans="1:20">
      <c r="A246" s="56" t="str">
        <f>IF($B246="","",COUNTA($B$5:$B246))</f>
        <v/>
      </c>
      <c r="B246" s="53"/>
      <c r="C246" s="46"/>
      <c r="D246" s="56" t="str">
        <f>IFERROR(INDEX(基础资料!$C$4:$C$11,MATCH($C246,基础资料!$A$4:$A$11,0)),"")</f>
        <v/>
      </c>
      <c r="E246" s="39"/>
      <c r="F246" s="46"/>
      <c r="G246" s="10"/>
      <c r="H246" s="39"/>
      <c r="I246" s="10"/>
      <c r="J246" s="25"/>
      <c r="K246" s="88"/>
      <c r="L246" s="57" t="str">
        <f t="shared" si="18"/>
        <v/>
      </c>
      <c r="M246" s="57" t="str">
        <f t="shared" si="19"/>
        <v/>
      </c>
      <c r="N246" s="57" t="str">
        <f>IF($I246="","",SUMIFS(资金流水!$K$5:$K$3032,资金流水!$Q$5:$Q$3015,$I246))</f>
        <v/>
      </c>
      <c r="O246" s="25"/>
      <c r="P246" s="57" t="str">
        <f t="shared" si="20"/>
        <v/>
      </c>
      <c r="Q246" s="58" t="str">
        <f t="shared" si="21"/>
        <v/>
      </c>
      <c r="R246" s="54" t="str">
        <f t="shared" si="22"/>
        <v/>
      </c>
      <c r="S246" s="56" t="str">
        <f ca="1" t="shared" si="23"/>
        <v/>
      </c>
      <c r="T246" s="10"/>
    </row>
    <row r="247" spans="1:20">
      <c r="A247" s="56" t="str">
        <f>IF($B247="","",COUNTA($B$5:$B247))</f>
        <v/>
      </c>
      <c r="B247" s="53"/>
      <c r="C247" s="46"/>
      <c r="D247" s="56" t="str">
        <f>IFERROR(INDEX(基础资料!$C$4:$C$11,MATCH($C247,基础资料!$A$4:$A$11,0)),"")</f>
        <v/>
      </c>
      <c r="E247" s="39"/>
      <c r="F247" s="46"/>
      <c r="G247" s="10"/>
      <c r="H247" s="39"/>
      <c r="I247" s="10"/>
      <c r="J247" s="25"/>
      <c r="K247" s="88"/>
      <c r="L247" s="57" t="str">
        <f t="shared" si="18"/>
        <v/>
      </c>
      <c r="M247" s="57" t="str">
        <f t="shared" si="19"/>
        <v/>
      </c>
      <c r="N247" s="57" t="str">
        <f>IF($I247="","",SUMIFS(资金流水!$K$5:$K$3032,资金流水!$Q$5:$Q$3015,$I247))</f>
        <v/>
      </c>
      <c r="O247" s="25"/>
      <c r="P247" s="57" t="str">
        <f t="shared" si="20"/>
        <v/>
      </c>
      <c r="Q247" s="58" t="str">
        <f t="shared" si="21"/>
        <v/>
      </c>
      <c r="R247" s="54" t="str">
        <f t="shared" si="22"/>
        <v/>
      </c>
      <c r="S247" s="56" t="str">
        <f ca="1" t="shared" si="23"/>
        <v/>
      </c>
      <c r="T247" s="10"/>
    </row>
    <row r="248" spans="1:20">
      <c r="A248" s="56" t="str">
        <f>IF($B248="","",COUNTA($B$5:$B248))</f>
        <v/>
      </c>
      <c r="B248" s="53"/>
      <c r="C248" s="46"/>
      <c r="D248" s="56" t="str">
        <f>IFERROR(INDEX(基础资料!$C$4:$C$11,MATCH($C248,基础资料!$A$4:$A$11,0)),"")</f>
        <v/>
      </c>
      <c r="E248" s="39"/>
      <c r="F248" s="46"/>
      <c r="G248" s="10"/>
      <c r="H248" s="39"/>
      <c r="I248" s="10"/>
      <c r="J248" s="25"/>
      <c r="K248" s="88"/>
      <c r="L248" s="57" t="str">
        <f t="shared" si="18"/>
        <v/>
      </c>
      <c r="M248" s="57" t="str">
        <f t="shared" si="19"/>
        <v/>
      </c>
      <c r="N248" s="57" t="str">
        <f>IF($I248="","",SUMIFS(资金流水!$K$5:$K$3032,资金流水!$Q$5:$Q$3015,$I248))</f>
        <v/>
      </c>
      <c r="O248" s="25"/>
      <c r="P248" s="57" t="str">
        <f t="shared" si="20"/>
        <v/>
      </c>
      <c r="Q248" s="58" t="str">
        <f t="shared" si="21"/>
        <v/>
      </c>
      <c r="R248" s="54" t="str">
        <f t="shared" si="22"/>
        <v/>
      </c>
      <c r="S248" s="56" t="str">
        <f ca="1" t="shared" si="23"/>
        <v/>
      </c>
      <c r="T248" s="10"/>
    </row>
    <row r="249" spans="1:20">
      <c r="A249" s="56" t="str">
        <f>IF($B249="","",COUNTA($B$5:$B249))</f>
        <v/>
      </c>
      <c r="B249" s="53"/>
      <c r="C249" s="46"/>
      <c r="D249" s="56" t="str">
        <f>IFERROR(INDEX(基础资料!$C$4:$C$11,MATCH($C249,基础资料!$A$4:$A$11,0)),"")</f>
        <v/>
      </c>
      <c r="E249" s="39"/>
      <c r="F249" s="46"/>
      <c r="G249" s="10"/>
      <c r="H249" s="39"/>
      <c r="I249" s="10"/>
      <c r="J249" s="25"/>
      <c r="K249" s="88"/>
      <c r="L249" s="57" t="str">
        <f t="shared" si="18"/>
        <v/>
      </c>
      <c r="M249" s="57" t="str">
        <f t="shared" si="19"/>
        <v/>
      </c>
      <c r="N249" s="57" t="str">
        <f>IF($I249="","",SUMIFS(资金流水!$K$5:$K$3032,资金流水!$Q$5:$Q$3015,$I249))</f>
        <v/>
      </c>
      <c r="O249" s="25"/>
      <c r="P249" s="57" t="str">
        <f t="shared" si="20"/>
        <v/>
      </c>
      <c r="Q249" s="58" t="str">
        <f t="shared" si="21"/>
        <v/>
      </c>
      <c r="R249" s="54" t="str">
        <f t="shared" si="22"/>
        <v/>
      </c>
      <c r="S249" s="56" t="str">
        <f ca="1" t="shared" si="23"/>
        <v/>
      </c>
      <c r="T249" s="10"/>
    </row>
    <row r="250" spans="1:20">
      <c r="A250" s="56" t="str">
        <f>IF($B250="","",COUNTA($B$5:$B250))</f>
        <v/>
      </c>
      <c r="B250" s="53"/>
      <c r="C250" s="46"/>
      <c r="D250" s="56" t="str">
        <f>IFERROR(INDEX(基础资料!$C$4:$C$11,MATCH($C250,基础资料!$A$4:$A$11,0)),"")</f>
        <v/>
      </c>
      <c r="E250" s="39"/>
      <c r="F250" s="46"/>
      <c r="G250" s="10"/>
      <c r="H250" s="39"/>
      <c r="I250" s="10"/>
      <c r="J250" s="25"/>
      <c r="K250" s="88"/>
      <c r="L250" s="57" t="str">
        <f t="shared" si="18"/>
        <v/>
      </c>
      <c r="M250" s="57" t="str">
        <f t="shared" si="19"/>
        <v/>
      </c>
      <c r="N250" s="57" t="str">
        <f>IF($I250="","",SUMIFS(资金流水!$K$5:$K$3032,资金流水!$Q$5:$Q$3015,$I250))</f>
        <v/>
      </c>
      <c r="O250" s="25"/>
      <c r="P250" s="57" t="str">
        <f t="shared" si="20"/>
        <v/>
      </c>
      <c r="Q250" s="58" t="str">
        <f t="shared" si="21"/>
        <v/>
      </c>
      <c r="R250" s="54" t="str">
        <f t="shared" si="22"/>
        <v/>
      </c>
      <c r="S250" s="56" t="str">
        <f ca="1" t="shared" si="23"/>
        <v/>
      </c>
      <c r="T250" s="10"/>
    </row>
    <row r="251" spans="1:20">
      <c r="A251" s="56" t="str">
        <f>IF($B251="","",COUNTA($B$5:$B251))</f>
        <v/>
      </c>
      <c r="B251" s="53"/>
      <c r="C251" s="46"/>
      <c r="D251" s="56" t="str">
        <f>IFERROR(INDEX(基础资料!$C$4:$C$11,MATCH($C251,基础资料!$A$4:$A$11,0)),"")</f>
        <v/>
      </c>
      <c r="E251" s="39"/>
      <c r="F251" s="46"/>
      <c r="G251" s="10"/>
      <c r="H251" s="39"/>
      <c r="I251" s="10"/>
      <c r="J251" s="25"/>
      <c r="K251" s="88"/>
      <c r="L251" s="57" t="str">
        <f t="shared" si="18"/>
        <v/>
      </c>
      <c r="M251" s="57" t="str">
        <f t="shared" si="19"/>
        <v/>
      </c>
      <c r="N251" s="57" t="str">
        <f>IF($I251="","",SUMIFS(资金流水!$K$5:$K$3032,资金流水!$Q$5:$Q$3015,$I251))</f>
        <v/>
      </c>
      <c r="O251" s="25"/>
      <c r="P251" s="57" t="str">
        <f t="shared" si="20"/>
        <v/>
      </c>
      <c r="Q251" s="58" t="str">
        <f t="shared" si="21"/>
        <v/>
      </c>
      <c r="R251" s="54" t="str">
        <f t="shared" si="22"/>
        <v/>
      </c>
      <c r="S251" s="56" t="str">
        <f ca="1" t="shared" si="23"/>
        <v/>
      </c>
      <c r="T251" s="10"/>
    </row>
    <row r="252" spans="1:20">
      <c r="A252" s="56" t="str">
        <f>IF($B252="","",COUNTA($B$5:$B252))</f>
        <v/>
      </c>
      <c r="B252" s="53"/>
      <c r="C252" s="46"/>
      <c r="D252" s="56" t="str">
        <f>IFERROR(INDEX(基础资料!$C$4:$C$11,MATCH($C252,基础资料!$A$4:$A$11,0)),"")</f>
        <v/>
      </c>
      <c r="E252" s="39"/>
      <c r="F252" s="46"/>
      <c r="G252" s="10"/>
      <c r="H252" s="39"/>
      <c r="I252" s="10"/>
      <c r="J252" s="25"/>
      <c r="K252" s="88"/>
      <c r="L252" s="57" t="str">
        <f t="shared" si="18"/>
        <v/>
      </c>
      <c r="M252" s="57" t="str">
        <f t="shared" si="19"/>
        <v/>
      </c>
      <c r="N252" s="57" t="str">
        <f>IF($I252="","",SUMIFS(资金流水!$K$5:$K$3032,资金流水!$Q$5:$Q$3015,$I252))</f>
        <v/>
      </c>
      <c r="O252" s="25"/>
      <c r="P252" s="57" t="str">
        <f t="shared" si="20"/>
        <v/>
      </c>
      <c r="Q252" s="58" t="str">
        <f t="shared" si="21"/>
        <v/>
      </c>
      <c r="R252" s="54" t="str">
        <f t="shared" si="22"/>
        <v/>
      </c>
      <c r="S252" s="56" t="str">
        <f ca="1" t="shared" si="23"/>
        <v/>
      </c>
      <c r="T252" s="10"/>
    </row>
    <row r="253" spans="1:20">
      <c r="A253" s="56" t="str">
        <f>IF($B253="","",COUNTA($B$5:$B253))</f>
        <v/>
      </c>
      <c r="B253" s="53"/>
      <c r="C253" s="46"/>
      <c r="D253" s="56" t="str">
        <f>IFERROR(INDEX(基础资料!$C$4:$C$11,MATCH($C253,基础资料!$A$4:$A$11,0)),"")</f>
        <v/>
      </c>
      <c r="E253" s="39"/>
      <c r="F253" s="46"/>
      <c r="G253" s="10"/>
      <c r="H253" s="39"/>
      <c r="I253" s="10"/>
      <c r="J253" s="25"/>
      <c r="K253" s="88"/>
      <c r="L253" s="57" t="str">
        <f t="shared" si="18"/>
        <v/>
      </c>
      <c r="M253" s="57" t="str">
        <f t="shared" si="19"/>
        <v/>
      </c>
      <c r="N253" s="57" t="str">
        <f>IF($I253="","",SUMIFS(资金流水!$K$5:$K$3032,资金流水!$Q$5:$Q$3015,$I253))</f>
        <v/>
      </c>
      <c r="O253" s="25"/>
      <c r="P253" s="57" t="str">
        <f t="shared" si="20"/>
        <v/>
      </c>
      <c r="Q253" s="58" t="str">
        <f t="shared" si="21"/>
        <v/>
      </c>
      <c r="R253" s="54" t="str">
        <f t="shared" si="22"/>
        <v/>
      </c>
      <c r="S253" s="56" t="str">
        <f ca="1" t="shared" si="23"/>
        <v/>
      </c>
      <c r="T253" s="10"/>
    </row>
    <row r="254" spans="1:20">
      <c r="A254" s="56" t="str">
        <f>IF($B254="","",COUNTA($B$5:$B254))</f>
        <v/>
      </c>
      <c r="B254" s="53"/>
      <c r="C254" s="46"/>
      <c r="D254" s="56" t="str">
        <f>IFERROR(INDEX(基础资料!$C$4:$C$11,MATCH($C254,基础资料!$A$4:$A$11,0)),"")</f>
        <v/>
      </c>
      <c r="E254" s="39"/>
      <c r="F254" s="46"/>
      <c r="G254" s="10"/>
      <c r="H254" s="39"/>
      <c r="I254" s="10"/>
      <c r="J254" s="25"/>
      <c r="K254" s="88"/>
      <c r="L254" s="57" t="str">
        <f t="shared" si="18"/>
        <v/>
      </c>
      <c r="M254" s="57" t="str">
        <f t="shared" si="19"/>
        <v/>
      </c>
      <c r="N254" s="57" t="str">
        <f>IF($I254="","",SUMIFS(资金流水!$K$5:$K$3032,资金流水!$Q$5:$Q$3015,$I254))</f>
        <v/>
      </c>
      <c r="O254" s="25"/>
      <c r="P254" s="57" t="str">
        <f t="shared" si="20"/>
        <v/>
      </c>
      <c r="Q254" s="58" t="str">
        <f t="shared" si="21"/>
        <v/>
      </c>
      <c r="R254" s="54" t="str">
        <f t="shared" si="22"/>
        <v/>
      </c>
      <c r="S254" s="56" t="str">
        <f ca="1" t="shared" si="23"/>
        <v/>
      </c>
      <c r="T254" s="10"/>
    </row>
    <row r="255" spans="1:20">
      <c r="A255" s="56" t="str">
        <f>IF($B255="","",COUNTA($B$5:$B255))</f>
        <v/>
      </c>
      <c r="B255" s="53"/>
      <c r="C255" s="46"/>
      <c r="D255" s="56" t="str">
        <f>IFERROR(INDEX(基础资料!$C$4:$C$11,MATCH($C255,基础资料!$A$4:$A$11,0)),"")</f>
        <v/>
      </c>
      <c r="E255" s="39"/>
      <c r="F255" s="46"/>
      <c r="G255" s="10"/>
      <c r="H255" s="39"/>
      <c r="I255" s="10"/>
      <c r="J255" s="25"/>
      <c r="K255" s="88"/>
      <c r="L255" s="57" t="str">
        <f t="shared" si="18"/>
        <v/>
      </c>
      <c r="M255" s="57" t="str">
        <f t="shared" si="19"/>
        <v/>
      </c>
      <c r="N255" s="57" t="str">
        <f>IF($I255="","",SUMIFS(资金流水!$K$5:$K$3032,资金流水!$Q$5:$Q$3015,$I255))</f>
        <v/>
      </c>
      <c r="O255" s="25"/>
      <c r="P255" s="57" t="str">
        <f t="shared" si="20"/>
        <v/>
      </c>
      <c r="Q255" s="58" t="str">
        <f t="shared" si="21"/>
        <v/>
      </c>
      <c r="R255" s="54" t="str">
        <f t="shared" si="22"/>
        <v/>
      </c>
      <c r="S255" s="56" t="str">
        <f ca="1" t="shared" si="23"/>
        <v/>
      </c>
      <c r="T255" s="10"/>
    </row>
    <row r="256" spans="1:20">
      <c r="A256" s="56" t="str">
        <f>IF($B256="","",COUNTA($B$5:$B256))</f>
        <v/>
      </c>
      <c r="B256" s="53"/>
      <c r="C256" s="46"/>
      <c r="D256" s="56" t="str">
        <f>IFERROR(INDEX(基础资料!$C$4:$C$11,MATCH($C256,基础资料!$A$4:$A$11,0)),"")</f>
        <v/>
      </c>
      <c r="E256" s="39"/>
      <c r="F256" s="46"/>
      <c r="G256" s="10"/>
      <c r="H256" s="39"/>
      <c r="I256" s="10"/>
      <c r="J256" s="25"/>
      <c r="K256" s="88"/>
      <c r="L256" s="57" t="str">
        <f t="shared" si="18"/>
        <v/>
      </c>
      <c r="M256" s="57" t="str">
        <f t="shared" si="19"/>
        <v/>
      </c>
      <c r="N256" s="57" t="str">
        <f>IF($I256="","",SUMIFS(资金流水!$K$5:$K$3032,资金流水!$Q$5:$Q$3015,$I256))</f>
        <v/>
      </c>
      <c r="O256" s="25"/>
      <c r="P256" s="57" t="str">
        <f t="shared" si="20"/>
        <v/>
      </c>
      <c r="Q256" s="58" t="str">
        <f t="shared" si="21"/>
        <v/>
      </c>
      <c r="R256" s="54" t="str">
        <f t="shared" si="22"/>
        <v/>
      </c>
      <c r="S256" s="56" t="str">
        <f ca="1" t="shared" si="23"/>
        <v/>
      </c>
      <c r="T256" s="10"/>
    </row>
    <row r="257" spans="1:20">
      <c r="A257" s="56" t="str">
        <f>IF($B257="","",COUNTA($B$5:$B257))</f>
        <v/>
      </c>
      <c r="B257" s="53"/>
      <c r="C257" s="46"/>
      <c r="D257" s="56" t="str">
        <f>IFERROR(INDEX(基础资料!$C$4:$C$11,MATCH($C257,基础资料!$A$4:$A$11,0)),"")</f>
        <v/>
      </c>
      <c r="E257" s="39"/>
      <c r="F257" s="46"/>
      <c r="G257" s="10"/>
      <c r="H257" s="39"/>
      <c r="I257" s="10"/>
      <c r="J257" s="25"/>
      <c r="K257" s="88"/>
      <c r="L257" s="57" t="str">
        <f t="shared" si="18"/>
        <v/>
      </c>
      <c r="M257" s="57" t="str">
        <f t="shared" si="19"/>
        <v/>
      </c>
      <c r="N257" s="57" t="str">
        <f>IF($I257="","",SUMIFS(资金流水!$K$5:$K$3032,资金流水!$Q$5:$Q$3015,$I257))</f>
        <v/>
      </c>
      <c r="O257" s="25"/>
      <c r="P257" s="57" t="str">
        <f t="shared" si="20"/>
        <v/>
      </c>
      <c r="Q257" s="58" t="str">
        <f t="shared" si="21"/>
        <v/>
      </c>
      <c r="R257" s="54" t="str">
        <f t="shared" si="22"/>
        <v/>
      </c>
      <c r="S257" s="56" t="str">
        <f ca="1" t="shared" si="23"/>
        <v/>
      </c>
      <c r="T257" s="10"/>
    </row>
    <row r="258" spans="1:20">
      <c r="A258" s="56" t="str">
        <f>IF($B258="","",COUNTA($B$5:$B258))</f>
        <v/>
      </c>
      <c r="B258" s="53"/>
      <c r="C258" s="46"/>
      <c r="D258" s="56" t="str">
        <f>IFERROR(INDEX(基础资料!$C$4:$C$11,MATCH($C258,基础资料!$A$4:$A$11,0)),"")</f>
        <v/>
      </c>
      <c r="E258" s="39"/>
      <c r="F258" s="46"/>
      <c r="G258" s="10"/>
      <c r="H258" s="39"/>
      <c r="I258" s="10"/>
      <c r="J258" s="25"/>
      <c r="K258" s="88"/>
      <c r="L258" s="57" t="str">
        <f t="shared" si="18"/>
        <v/>
      </c>
      <c r="M258" s="57" t="str">
        <f t="shared" si="19"/>
        <v/>
      </c>
      <c r="N258" s="57" t="str">
        <f>IF($I258="","",SUMIFS(资金流水!$K$5:$K$3032,资金流水!$Q$5:$Q$3015,$I258))</f>
        <v/>
      </c>
      <c r="O258" s="25"/>
      <c r="P258" s="57" t="str">
        <f t="shared" si="20"/>
        <v/>
      </c>
      <c r="Q258" s="58" t="str">
        <f t="shared" si="21"/>
        <v/>
      </c>
      <c r="R258" s="54" t="str">
        <f t="shared" si="22"/>
        <v/>
      </c>
      <c r="S258" s="56" t="str">
        <f ca="1" t="shared" si="23"/>
        <v/>
      </c>
      <c r="T258" s="10"/>
    </row>
    <row r="259" spans="1:20">
      <c r="A259" s="56" t="str">
        <f>IF($B259="","",COUNTA($B$5:$B259))</f>
        <v/>
      </c>
      <c r="B259" s="53"/>
      <c r="C259" s="46"/>
      <c r="D259" s="56" t="str">
        <f>IFERROR(INDEX(基础资料!$C$4:$C$11,MATCH($C259,基础资料!$A$4:$A$11,0)),"")</f>
        <v/>
      </c>
      <c r="E259" s="39"/>
      <c r="F259" s="46"/>
      <c r="G259" s="10"/>
      <c r="H259" s="39"/>
      <c r="I259" s="10"/>
      <c r="J259" s="25"/>
      <c r="K259" s="88"/>
      <c r="L259" s="57" t="str">
        <f t="shared" si="18"/>
        <v/>
      </c>
      <c r="M259" s="57" t="str">
        <f t="shared" si="19"/>
        <v/>
      </c>
      <c r="N259" s="57" t="str">
        <f>IF($I259="","",SUMIFS(资金流水!$K$5:$K$3032,资金流水!$Q$5:$Q$3015,$I259))</f>
        <v/>
      </c>
      <c r="O259" s="25"/>
      <c r="P259" s="57" t="str">
        <f t="shared" si="20"/>
        <v/>
      </c>
      <c r="Q259" s="58" t="str">
        <f t="shared" si="21"/>
        <v/>
      </c>
      <c r="R259" s="54" t="str">
        <f t="shared" si="22"/>
        <v/>
      </c>
      <c r="S259" s="56" t="str">
        <f ca="1" t="shared" si="23"/>
        <v/>
      </c>
      <c r="T259" s="10"/>
    </row>
    <row r="260" spans="1:20">
      <c r="A260" s="56" t="str">
        <f>IF($B260="","",COUNTA($B$5:$B260))</f>
        <v/>
      </c>
      <c r="B260" s="53"/>
      <c r="C260" s="46"/>
      <c r="D260" s="56" t="str">
        <f>IFERROR(INDEX(基础资料!$C$4:$C$11,MATCH($C260,基础资料!$A$4:$A$11,0)),"")</f>
        <v/>
      </c>
      <c r="E260" s="39"/>
      <c r="F260" s="46"/>
      <c r="G260" s="10"/>
      <c r="H260" s="39"/>
      <c r="I260" s="10"/>
      <c r="J260" s="25"/>
      <c r="K260" s="88"/>
      <c r="L260" s="57" t="str">
        <f t="shared" si="18"/>
        <v/>
      </c>
      <c r="M260" s="57" t="str">
        <f t="shared" si="19"/>
        <v/>
      </c>
      <c r="N260" s="57" t="str">
        <f>IF($I260="","",SUMIFS(资金流水!$K$5:$K$3032,资金流水!$Q$5:$Q$3015,$I260))</f>
        <v/>
      </c>
      <c r="O260" s="25"/>
      <c r="P260" s="57" t="str">
        <f t="shared" si="20"/>
        <v/>
      </c>
      <c r="Q260" s="58" t="str">
        <f t="shared" si="21"/>
        <v/>
      </c>
      <c r="R260" s="54" t="str">
        <f t="shared" si="22"/>
        <v/>
      </c>
      <c r="S260" s="56" t="str">
        <f ca="1" t="shared" si="23"/>
        <v/>
      </c>
      <c r="T260" s="10"/>
    </row>
    <row r="261" spans="1:20">
      <c r="A261" s="56" t="str">
        <f>IF($B261="","",COUNTA($B$5:$B261))</f>
        <v/>
      </c>
      <c r="B261" s="53"/>
      <c r="C261" s="46"/>
      <c r="D261" s="56" t="str">
        <f>IFERROR(INDEX(基础资料!$C$4:$C$11,MATCH($C261,基础资料!$A$4:$A$11,0)),"")</f>
        <v/>
      </c>
      <c r="E261" s="39"/>
      <c r="F261" s="46"/>
      <c r="G261" s="10"/>
      <c r="H261" s="39"/>
      <c r="I261" s="10"/>
      <c r="J261" s="25"/>
      <c r="K261" s="88"/>
      <c r="L261" s="57" t="str">
        <f t="shared" ref="L261:L324" si="24">IF($J261="","",ROUND($J261*$K261,2))</f>
        <v/>
      </c>
      <c r="M261" s="57" t="str">
        <f t="shared" ref="M261:M324" si="25">IF($J261="","",ROUND($J261+$L261,2))</f>
        <v/>
      </c>
      <c r="N261" s="57" t="str">
        <f>IF($I261="","",SUMIFS(资金流水!$K$5:$K$3032,资金流水!$Q$5:$Q$3015,$I261))</f>
        <v/>
      </c>
      <c r="O261" s="25"/>
      <c r="P261" s="57" t="str">
        <f t="shared" ref="P261:P324" si="26">IF($J261="","",ROUND($M261-IF($N261="",0,$N261)-IF($O261="",0,$O261),2))</f>
        <v/>
      </c>
      <c r="Q261" s="58" t="str">
        <f t="shared" ref="Q261:Q324" si="27">IF($J261="","",IF($P261&lt;=0.005,"已收齐",IF(IF($N261="",0,$N261)+IF($O261="",0,$O261)&lt;=0,"未收款","部分收款")))</f>
        <v/>
      </c>
      <c r="R261" s="54" t="str">
        <f t="shared" ref="R261:R324" si="28">IF($B261="","",--TEXT($B261,"yyyymm"))</f>
        <v/>
      </c>
      <c r="S261" s="56" t="str">
        <f ca="1" t="shared" ref="S261:S324" si="29">IF(OR($B261="",$P261="",$P261&lt;=0.005),"",TODAY()-$B261)</f>
        <v/>
      </c>
      <c r="T261" s="10"/>
    </row>
    <row r="262" spans="1:20">
      <c r="A262" s="56" t="str">
        <f>IF($B262="","",COUNTA($B$5:$B262))</f>
        <v/>
      </c>
      <c r="B262" s="53"/>
      <c r="C262" s="46"/>
      <c r="D262" s="56" t="str">
        <f>IFERROR(INDEX(基础资料!$C$4:$C$11,MATCH($C262,基础资料!$A$4:$A$11,0)),"")</f>
        <v/>
      </c>
      <c r="E262" s="39"/>
      <c r="F262" s="46"/>
      <c r="G262" s="10"/>
      <c r="H262" s="39"/>
      <c r="I262" s="10"/>
      <c r="J262" s="25"/>
      <c r="K262" s="88"/>
      <c r="L262" s="57" t="str">
        <f t="shared" si="24"/>
        <v/>
      </c>
      <c r="M262" s="57" t="str">
        <f t="shared" si="25"/>
        <v/>
      </c>
      <c r="N262" s="57" t="str">
        <f>IF($I262="","",SUMIFS(资金流水!$K$5:$K$3032,资金流水!$Q$5:$Q$3015,$I262))</f>
        <v/>
      </c>
      <c r="O262" s="25"/>
      <c r="P262" s="57" t="str">
        <f t="shared" si="26"/>
        <v/>
      </c>
      <c r="Q262" s="58" t="str">
        <f t="shared" si="27"/>
        <v/>
      </c>
      <c r="R262" s="54" t="str">
        <f t="shared" si="28"/>
        <v/>
      </c>
      <c r="S262" s="56" t="str">
        <f ca="1" t="shared" si="29"/>
        <v/>
      </c>
      <c r="T262" s="10"/>
    </row>
    <row r="263" spans="1:20">
      <c r="A263" s="56" t="str">
        <f>IF($B263="","",COUNTA($B$5:$B263))</f>
        <v/>
      </c>
      <c r="B263" s="53"/>
      <c r="C263" s="46"/>
      <c r="D263" s="56" t="str">
        <f>IFERROR(INDEX(基础资料!$C$4:$C$11,MATCH($C263,基础资料!$A$4:$A$11,0)),"")</f>
        <v/>
      </c>
      <c r="E263" s="39"/>
      <c r="F263" s="46"/>
      <c r="G263" s="10"/>
      <c r="H263" s="39"/>
      <c r="I263" s="10"/>
      <c r="J263" s="25"/>
      <c r="K263" s="88"/>
      <c r="L263" s="57" t="str">
        <f t="shared" si="24"/>
        <v/>
      </c>
      <c r="M263" s="57" t="str">
        <f t="shared" si="25"/>
        <v/>
      </c>
      <c r="N263" s="57" t="str">
        <f>IF($I263="","",SUMIFS(资金流水!$K$5:$K$3032,资金流水!$Q$5:$Q$3015,$I263))</f>
        <v/>
      </c>
      <c r="O263" s="25"/>
      <c r="P263" s="57" t="str">
        <f t="shared" si="26"/>
        <v/>
      </c>
      <c r="Q263" s="58" t="str">
        <f t="shared" si="27"/>
        <v/>
      </c>
      <c r="R263" s="54" t="str">
        <f t="shared" si="28"/>
        <v/>
      </c>
      <c r="S263" s="56" t="str">
        <f ca="1" t="shared" si="29"/>
        <v/>
      </c>
      <c r="T263" s="10"/>
    </row>
    <row r="264" spans="1:20">
      <c r="A264" s="56" t="str">
        <f>IF($B264="","",COUNTA($B$5:$B264))</f>
        <v/>
      </c>
      <c r="B264" s="53"/>
      <c r="C264" s="46"/>
      <c r="D264" s="56" t="str">
        <f>IFERROR(INDEX(基础资料!$C$4:$C$11,MATCH($C264,基础资料!$A$4:$A$11,0)),"")</f>
        <v/>
      </c>
      <c r="E264" s="39"/>
      <c r="F264" s="46"/>
      <c r="G264" s="10"/>
      <c r="H264" s="39"/>
      <c r="I264" s="10"/>
      <c r="J264" s="25"/>
      <c r="K264" s="88"/>
      <c r="L264" s="57" t="str">
        <f t="shared" si="24"/>
        <v/>
      </c>
      <c r="M264" s="57" t="str">
        <f t="shared" si="25"/>
        <v/>
      </c>
      <c r="N264" s="57" t="str">
        <f>IF($I264="","",SUMIFS(资金流水!$K$5:$K$3032,资金流水!$Q$5:$Q$3015,$I264))</f>
        <v/>
      </c>
      <c r="O264" s="25"/>
      <c r="P264" s="57" t="str">
        <f t="shared" si="26"/>
        <v/>
      </c>
      <c r="Q264" s="58" t="str">
        <f t="shared" si="27"/>
        <v/>
      </c>
      <c r="R264" s="54" t="str">
        <f t="shared" si="28"/>
        <v/>
      </c>
      <c r="S264" s="56" t="str">
        <f ca="1" t="shared" si="29"/>
        <v/>
      </c>
      <c r="T264" s="10"/>
    </row>
    <row r="265" spans="1:20">
      <c r="A265" s="56" t="str">
        <f>IF($B265="","",COUNTA($B$5:$B265))</f>
        <v/>
      </c>
      <c r="B265" s="53"/>
      <c r="C265" s="46"/>
      <c r="D265" s="56" t="str">
        <f>IFERROR(INDEX(基础资料!$C$4:$C$11,MATCH($C265,基础资料!$A$4:$A$11,0)),"")</f>
        <v/>
      </c>
      <c r="E265" s="39"/>
      <c r="F265" s="46"/>
      <c r="G265" s="10"/>
      <c r="H265" s="39"/>
      <c r="I265" s="10"/>
      <c r="J265" s="25"/>
      <c r="K265" s="88"/>
      <c r="L265" s="57" t="str">
        <f t="shared" si="24"/>
        <v/>
      </c>
      <c r="M265" s="57" t="str">
        <f t="shared" si="25"/>
        <v/>
      </c>
      <c r="N265" s="57" t="str">
        <f>IF($I265="","",SUMIFS(资金流水!$K$5:$K$3032,资金流水!$Q$5:$Q$3015,$I265))</f>
        <v/>
      </c>
      <c r="O265" s="25"/>
      <c r="P265" s="57" t="str">
        <f t="shared" si="26"/>
        <v/>
      </c>
      <c r="Q265" s="58" t="str">
        <f t="shared" si="27"/>
        <v/>
      </c>
      <c r="R265" s="54" t="str">
        <f t="shared" si="28"/>
        <v/>
      </c>
      <c r="S265" s="56" t="str">
        <f ca="1" t="shared" si="29"/>
        <v/>
      </c>
      <c r="T265" s="10"/>
    </row>
    <row r="266" spans="1:20">
      <c r="A266" s="56" t="str">
        <f>IF($B266="","",COUNTA($B$5:$B266))</f>
        <v/>
      </c>
      <c r="B266" s="53"/>
      <c r="C266" s="46"/>
      <c r="D266" s="56" t="str">
        <f>IFERROR(INDEX(基础资料!$C$4:$C$11,MATCH($C266,基础资料!$A$4:$A$11,0)),"")</f>
        <v/>
      </c>
      <c r="E266" s="39"/>
      <c r="F266" s="46"/>
      <c r="G266" s="10"/>
      <c r="H266" s="39"/>
      <c r="I266" s="10"/>
      <c r="J266" s="25"/>
      <c r="K266" s="88"/>
      <c r="L266" s="57" t="str">
        <f t="shared" si="24"/>
        <v/>
      </c>
      <c r="M266" s="57" t="str">
        <f t="shared" si="25"/>
        <v/>
      </c>
      <c r="N266" s="57" t="str">
        <f>IF($I266="","",SUMIFS(资金流水!$K$5:$K$3032,资金流水!$Q$5:$Q$3015,$I266))</f>
        <v/>
      </c>
      <c r="O266" s="25"/>
      <c r="P266" s="57" t="str">
        <f t="shared" si="26"/>
        <v/>
      </c>
      <c r="Q266" s="58" t="str">
        <f t="shared" si="27"/>
        <v/>
      </c>
      <c r="R266" s="54" t="str">
        <f t="shared" si="28"/>
        <v/>
      </c>
      <c r="S266" s="56" t="str">
        <f ca="1" t="shared" si="29"/>
        <v/>
      </c>
      <c r="T266" s="10"/>
    </row>
    <row r="267" spans="1:20">
      <c r="A267" s="56" t="str">
        <f>IF($B267="","",COUNTA($B$5:$B267))</f>
        <v/>
      </c>
      <c r="B267" s="53"/>
      <c r="C267" s="46"/>
      <c r="D267" s="56" t="str">
        <f>IFERROR(INDEX(基础资料!$C$4:$C$11,MATCH($C267,基础资料!$A$4:$A$11,0)),"")</f>
        <v/>
      </c>
      <c r="E267" s="39"/>
      <c r="F267" s="46"/>
      <c r="G267" s="10"/>
      <c r="H267" s="39"/>
      <c r="I267" s="10"/>
      <c r="J267" s="25"/>
      <c r="K267" s="88"/>
      <c r="L267" s="57" t="str">
        <f t="shared" si="24"/>
        <v/>
      </c>
      <c r="M267" s="57" t="str">
        <f t="shared" si="25"/>
        <v/>
      </c>
      <c r="N267" s="57" t="str">
        <f>IF($I267="","",SUMIFS(资金流水!$K$5:$K$3032,资金流水!$Q$5:$Q$3015,$I267))</f>
        <v/>
      </c>
      <c r="O267" s="25"/>
      <c r="P267" s="57" t="str">
        <f t="shared" si="26"/>
        <v/>
      </c>
      <c r="Q267" s="58" t="str">
        <f t="shared" si="27"/>
        <v/>
      </c>
      <c r="R267" s="54" t="str">
        <f t="shared" si="28"/>
        <v/>
      </c>
      <c r="S267" s="56" t="str">
        <f ca="1" t="shared" si="29"/>
        <v/>
      </c>
      <c r="T267" s="10"/>
    </row>
    <row r="268" spans="1:20">
      <c r="A268" s="56" t="str">
        <f>IF($B268="","",COUNTA($B$5:$B268))</f>
        <v/>
      </c>
      <c r="B268" s="53"/>
      <c r="C268" s="46"/>
      <c r="D268" s="56" t="str">
        <f>IFERROR(INDEX(基础资料!$C$4:$C$11,MATCH($C268,基础资料!$A$4:$A$11,0)),"")</f>
        <v/>
      </c>
      <c r="E268" s="39"/>
      <c r="F268" s="46"/>
      <c r="G268" s="10"/>
      <c r="H268" s="39"/>
      <c r="I268" s="10"/>
      <c r="J268" s="25"/>
      <c r="K268" s="88"/>
      <c r="L268" s="57" t="str">
        <f t="shared" si="24"/>
        <v/>
      </c>
      <c r="M268" s="57" t="str">
        <f t="shared" si="25"/>
        <v/>
      </c>
      <c r="N268" s="57" t="str">
        <f>IF($I268="","",SUMIFS(资金流水!$K$5:$K$3032,资金流水!$Q$5:$Q$3015,$I268))</f>
        <v/>
      </c>
      <c r="O268" s="25"/>
      <c r="P268" s="57" t="str">
        <f t="shared" si="26"/>
        <v/>
      </c>
      <c r="Q268" s="58" t="str">
        <f t="shared" si="27"/>
        <v/>
      </c>
      <c r="R268" s="54" t="str">
        <f t="shared" si="28"/>
        <v/>
      </c>
      <c r="S268" s="56" t="str">
        <f ca="1" t="shared" si="29"/>
        <v/>
      </c>
      <c r="T268" s="10"/>
    </row>
    <row r="269" spans="1:20">
      <c r="A269" s="56" t="str">
        <f>IF($B269="","",COUNTA($B$5:$B269))</f>
        <v/>
      </c>
      <c r="B269" s="53"/>
      <c r="C269" s="46"/>
      <c r="D269" s="56" t="str">
        <f>IFERROR(INDEX(基础资料!$C$4:$C$11,MATCH($C269,基础资料!$A$4:$A$11,0)),"")</f>
        <v/>
      </c>
      <c r="E269" s="39"/>
      <c r="F269" s="46"/>
      <c r="G269" s="10"/>
      <c r="H269" s="39"/>
      <c r="I269" s="10"/>
      <c r="J269" s="25"/>
      <c r="K269" s="88"/>
      <c r="L269" s="57" t="str">
        <f t="shared" si="24"/>
        <v/>
      </c>
      <c r="M269" s="57" t="str">
        <f t="shared" si="25"/>
        <v/>
      </c>
      <c r="N269" s="57" t="str">
        <f>IF($I269="","",SUMIFS(资金流水!$K$5:$K$3032,资金流水!$Q$5:$Q$3015,$I269))</f>
        <v/>
      </c>
      <c r="O269" s="25"/>
      <c r="P269" s="57" t="str">
        <f t="shared" si="26"/>
        <v/>
      </c>
      <c r="Q269" s="58" t="str">
        <f t="shared" si="27"/>
        <v/>
      </c>
      <c r="R269" s="54" t="str">
        <f t="shared" si="28"/>
        <v/>
      </c>
      <c r="S269" s="56" t="str">
        <f ca="1" t="shared" si="29"/>
        <v/>
      </c>
      <c r="T269" s="10"/>
    </row>
    <row r="270" spans="1:20">
      <c r="A270" s="56" t="str">
        <f>IF($B270="","",COUNTA($B$5:$B270))</f>
        <v/>
      </c>
      <c r="B270" s="53"/>
      <c r="C270" s="46"/>
      <c r="D270" s="56" t="str">
        <f>IFERROR(INDEX(基础资料!$C$4:$C$11,MATCH($C270,基础资料!$A$4:$A$11,0)),"")</f>
        <v/>
      </c>
      <c r="E270" s="39"/>
      <c r="F270" s="46"/>
      <c r="G270" s="10"/>
      <c r="H270" s="39"/>
      <c r="I270" s="10"/>
      <c r="J270" s="25"/>
      <c r="K270" s="88"/>
      <c r="L270" s="57" t="str">
        <f t="shared" si="24"/>
        <v/>
      </c>
      <c r="M270" s="57" t="str">
        <f t="shared" si="25"/>
        <v/>
      </c>
      <c r="N270" s="57" t="str">
        <f>IF($I270="","",SUMIFS(资金流水!$K$5:$K$3032,资金流水!$Q$5:$Q$3015,$I270))</f>
        <v/>
      </c>
      <c r="O270" s="25"/>
      <c r="P270" s="57" t="str">
        <f t="shared" si="26"/>
        <v/>
      </c>
      <c r="Q270" s="58" t="str">
        <f t="shared" si="27"/>
        <v/>
      </c>
      <c r="R270" s="54" t="str">
        <f t="shared" si="28"/>
        <v/>
      </c>
      <c r="S270" s="56" t="str">
        <f ca="1" t="shared" si="29"/>
        <v/>
      </c>
      <c r="T270" s="10"/>
    </row>
    <row r="271" spans="1:20">
      <c r="A271" s="56" t="str">
        <f>IF($B271="","",COUNTA($B$5:$B271))</f>
        <v/>
      </c>
      <c r="B271" s="53"/>
      <c r="C271" s="46"/>
      <c r="D271" s="56" t="str">
        <f>IFERROR(INDEX(基础资料!$C$4:$C$11,MATCH($C271,基础资料!$A$4:$A$11,0)),"")</f>
        <v/>
      </c>
      <c r="E271" s="39"/>
      <c r="F271" s="46"/>
      <c r="G271" s="10"/>
      <c r="H271" s="39"/>
      <c r="I271" s="10"/>
      <c r="J271" s="25"/>
      <c r="K271" s="88"/>
      <c r="L271" s="57" t="str">
        <f t="shared" si="24"/>
        <v/>
      </c>
      <c r="M271" s="57" t="str">
        <f t="shared" si="25"/>
        <v/>
      </c>
      <c r="N271" s="57" t="str">
        <f>IF($I271="","",SUMIFS(资金流水!$K$5:$K$3032,资金流水!$Q$5:$Q$3015,$I271))</f>
        <v/>
      </c>
      <c r="O271" s="25"/>
      <c r="P271" s="57" t="str">
        <f t="shared" si="26"/>
        <v/>
      </c>
      <c r="Q271" s="58" t="str">
        <f t="shared" si="27"/>
        <v/>
      </c>
      <c r="R271" s="54" t="str">
        <f t="shared" si="28"/>
        <v/>
      </c>
      <c r="S271" s="56" t="str">
        <f ca="1" t="shared" si="29"/>
        <v/>
      </c>
      <c r="T271" s="10"/>
    </row>
    <row r="272" spans="1:20">
      <c r="A272" s="56" t="str">
        <f>IF($B272="","",COUNTA($B$5:$B272))</f>
        <v/>
      </c>
      <c r="B272" s="53"/>
      <c r="C272" s="46"/>
      <c r="D272" s="56" t="str">
        <f>IFERROR(INDEX(基础资料!$C$4:$C$11,MATCH($C272,基础资料!$A$4:$A$11,0)),"")</f>
        <v/>
      </c>
      <c r="E272" s="39"/>
      <c r="F272" s="46"/>
      <c r="G272" s="10"/>
      <c r="H272" s="39"/>
      <c r="I272" s="10"/>
      <c r="J272" s="25"/>
      <c r="K272" s="88"/>
      <c r="L272" s="57" t="str">
        <f t="shared" si="24"/>
        <v/>
      </c>
      <c r="M272" s="57" t="str">
        <f t="shared" si="25"/>
        <v/>
      </c>
      <c r="N272" s="57" t="str">
        <f>IF($I272="","",SUMIFS(资金流水!$K$5:$K$3032,资金流水!$Q$5:$Q$3015,$I272))</f>
        <v/>
      </c>
      <c r="O272" s="25"/>
      <c r="P272" s="57" t="str">
        <f t="shared" si="26"/>
        <v/>
      </c>
      <c r="Q272" s="58" t="str">
        <f t="shared" si="27"/>
        <v/>
      </c>
      <c r="R272" s="54" t="str">
        <f t="shared" si="28"/>
        <v/>
      </c>
      <c r="S272" s="56" t="str">
        <f ca="1" t="shared" si="29"/>
        <v/>
      </c>
      <c r="T272" s="10"/>
    </row>
    <row r="273" spans="1:20">
      <c r="A273" s="56" t="str">
        <f>IF($B273="","",COUNTA($B$5:$B273))</f>
        <v/>
      </c>
      <c r="B273" s="53"/>
      <c r="C273" s="46"/>
      <c r="D273" s="56" t="str">
        <f>IFERROR(INDEX(基础资料!$C$4:$C$11,MATCH($C273,基础资料!$A$4:$A$11,0)),"")</f>
        <v/>
      </c>
      <c r="E273" s="39"/>
      <c r="F273" s="46"/>
      <c r="G273" s="10"/>
      <c r="H273" s="39"/>
      <c r="I273" s="10"/>
      <c r="J273" s="25"/>
      <c r="K273" s="88"/>
      <c r="L273" s="57" t="str">
        <f t="shared" si="24"/>
        <v/>
      </c>
      <c r="M273" s="57" t="str">
        <f t="shared" si="25"/>
        <v/>
      </c>
      <c r="N273" s="57" t="str">
        <f>IF($I273="","",SUMIFS(资金流水!$K$5:$K$3032,资金流水!$Q$5:$Q$3015,$I273))</f>
        <v/>
      </c>
      <c r="O273" s="25"/>
      <c r="P273" s="57" t="str">
        <f t="shared" si="26"/>
        <v/>
      </c>
      <c r="Q273" s="58" t="str">
        <f t="shared" si="27"/>
        <v/>
      </c>
      <c r="R273" s="54" t="str">
        <f t="shared" si="28"/>
        <v/>
      </c>
      <c r="S273" s="56" t="str">
        <f ca="1" t="shared" si="29"/>
        <v/>
      </c>
      <c r="T273" s="10"/>
    </row>
    <row r="274" spans="1:20">
      <c r="A274" s="56" t="str">
        <f>IF($B274="","",COUNTA($B$5:$B274))</f>
        <v/>
      </c>
      <c r="B274" s="53"/>
      <c r="C274" s="46"/>
      <c r="D274" s="56" t="str">
        <f>IFERROR(INDEX(基础资料!$C$4:$C$11,MATCH($C274,基础资料!$A$4:$A$11,0)),"")</f>
        <v/>
      </c>
      <c r="E274" s="39"/>
      <c r="F274" s="46"/>
      <c r="G274" s="10"/>
      <c r="H274" s="39"/>
      <c r="I274" s="10"/>
      <c r="J274" s="25"/>
      <c r="K274" s="88"/>
      <c r="L274" s="57" t="str">
        <f t="shared" si="24"/>
        <v/>
      </c>
      <c r="M274" s="57" t="str">
        <f t="shared" si="25"/>
        <v/>
      </c>
      <c r="N274" s="57" t="str">
        <f>IF($I274="","",SUMIFS(资金流水!$K$5:$K$3032,资金流水!$Q$5:$Q$3015,$I274))</f>
        <v/>
      </c>
      <c r="O274" s="25"/>
      <c r="P274" s="57" t="str">
        <f t="shared" si="26"/>
        <v/>
      </c>
      <c r="Q274" s="58" t="str">
        <f t="shared" si="27"/>
        <v/>
      </c>
      <c r="R274" s="54" t="str">
        <f t="shared" si="28"/>
        <v/>
      </c>
      <c r="S274" s="56" t="str">
        <f ca="1" t="shared" si="29"/>
        <v/>
      </c>
      <c r="T274" s="10"/>
    </row>
    <row r="275" spans="1:20">
      <c r="A275" s="56" t="str">
        <f>IF($B275="","",COUNTA($B$5:$B275))</f>
        <v/>
      </c>
      <c r="B275" s="53"/>
      <c r="C275" s="46"/>
      <c r="D275" s="56" t="str">
        <f>IFERROR(INDEX(基础资料!$C$4:$C$11,MATCH($C275,基础资料!$A$4:$A$11,0)),"")</f>
        <v/>
      </c>
      <c r="E275" s="39"/>
      <c r="F275" s="46"/>
      <c r="G275" s="10"/>
      <c r="H275" s="39"/>
      <c r="I275" s="10"/>
      <c r="J275" s="25"/>
      <c r="K275" s="88"/>
      <c r="L275" s="57" t="str">
        <f t="shared" si="24"/>
        <v/>
      </c>
      <c r="M275" s="57" t="str">
        <f t="shared" si="25"/>
        <v/>
      </c>
      <c r="N275" s="57" t="str">
        <f>IF($I275="","",SUMIFS(资金流水!$K$5:$K$3032,资金流水!$Q$5:$Q$3015,$I275))</f>
        <v/>
      </c>
      <c r="O275" s="25"/>
      <c r="P275" s="57" t="str">
        <f t="shared" si="26"/>
        <v/>
      </c>
      <c r="Q275" s="58" t="str">
        <f t="shared" si="27"/>
        <v/>
      </c>
      <c r="R275" s="54" t="str">
        <f t="shared" si="28"/>
        <v/>
      </c>
      <c r="S275" s="56" t="str">
        <f ca="1" t="shared" si="29"/>
        <v/>
      </c>
      <c r="T275" s="10"/>
    </row>
    <row r="276" spans="1:20">
      <c r="A276" s="56" t="str">
        <f>IF($B276="","",COUNTA($B$5:$B276))</f>
        <v/>
      </c>
      <c r="B276" s="53"/>
      <c r="C276" s="46"/>
      <c r="D276" s="56" t="str">
        <f>IFERROR(INDEX(基础资料!$C$4:$C$11,MATCH($C276,基础资料!$A$4:$A$11,0)),"")</f>
        <v/>
      </c>
      <c r="E276" s="39"/>
      <c r="F276" s="46"/>
      <c r="G276" s="10"/>
      <c r="H276" s="39"/>
      <c r="I276" s="10"/>
      <c r="J276" s="25"/>
      <c r="K276" s="88"/>
      <c r="L276" s="57" t="str">
        <f t="shared" si="24"/>
        <v/>
      </c>
      <c r="M276" s="57" t="str">
        <f t="shared" si="25"/>
        <v/>
      </c>
      <c r="N276" s="57" t="str">
        <f>IF($I276="","",SUMIFS(资金流水!$K$5:$K$3032,资金流水!$Q$5:$Q$3015,$I276))</f>
        <v/>
      </c>
      <c r="O276" s="25"/>
      <c r="P276" s="57" t="str">
        <f t="shared" si="26"/>
        <v/>
      </c>
      <c r="Q276" s="58" t="str">
        <f t="shared" si="27"/>
        <v/>
      </c>
      <c r="R276" s="54" t="str">
        <f t="shared" si="28"/>
        <v/>
      </c>
      <c r="S276" s="56" t="str">
        <f ca="1" t="shared" si="29"/>
        <v/>
      </c>
      <c r="T276" s="10"/>
    </row>
    <row r="277" spans="1:20">
      <c r="A277" s="56" t="str">
        <f>IF($B277="","",COUNTA($B$5:$B277))</f>
        <v/>
      </c>
      <c r="B277" s="53"/>
      <c r="C277" s="46"/>
      <c r="D277" s="56" t="str">
        <f>IFERROR(INDEX(基础资料!$C$4:$C$11,MATCH($C277,基础资料!$A$4:$A$11,0)),"")</f>
        <v/>
      </c>
      <c r="E277" s="39"/>
      <c r="F277" s="46"/>
      <c r="G277" s="10"/>
      <c r="H277" s="39"/>
      <c r="I277" s="10"/>
      <c r="J277" s="25"/>
      <c r="K277" s="88"/>
      <c r="L277" s="57" t="str">
        <f t="shared" si="24"/>
        <v/>
      </c>
      <c r="M277" s="57" t="str">
        <f t="shared" si="25"/>
        <v/>
      </c>
      <c r="N277" s="57" t="str">
        <f>IF($I277="","",SUMIFS(资金流水!$K$5:$K$3032,资金流水!$Q$5:$Q$3015,$I277))</f>
        <v/>
      </c>
      <c r="O277" s="25"/>
      <c r="P277" s="57" t="str">
        <f t="shared" si="26"/>
        <v/>
      </c>
      <c r="Q277" s="58" t="str">
        <f t="shared" si="27"/>
        <v/>
      </c>
      <c r="R277" s="54" t="str">
        <f t="shared" si="28"/>
        <v/>
      </c>
      <c r="S277" s="56" t="str">
        <f ca="1" t="shared" si="29"/>
        <v/>
      </c>
      <c r="T277" s="10"/>
    </row>
    <row r="278" spans="1:20">
      <c r="A278" s="56" t="str">
        <f>IF($B278="","",COUNTA($B$5:$B278))</f>
        <v/>
      </c>
      <c r="B278" s="53"/>
      <c r="C278" s="46"/>
      <c r="D278" s="56" t="str">
        <f>IFERROR(INDEX(基础资料!$C$4:$C$11,MATCH($C278,基础资料!$A$4:$A$11,0)),"")</f>
        <v/>
      </c>
      <c r="E278" s="39"/>
      <c r="F278" s="46"/>
      <c r="G278" s="10"/>
      <c r="H278" s="39"/>
      <c r="I278" s="10"/>
      <c r="J278" s="25"/>
      <c r="K278" s="88"/>
      <c r="L278" s="57" t="str">
        <f t="shared" si="24"/>
        <v/>
      </c>
      <c r="M278" s="57" t="str">
        <f t="shared" si="25"/>
        <v/>
      </c>
      <c r="N278" s="57" t="str">
        <f>IF($I278="","",SUMIFS(资金流水!$K$5:$K$3032,资金流水!$Q$5:$Q$3015,$I278))</f>
        <v/>
      </c>
      <c r="O278" s="25"/>
      <c r="P278" s="57" t="str">
        <f t="shared" si="26"/>
        <v/>
      </c>
      <c r="Q278" s="58" t="str">
        <f t="shared" si="27"/>
        <v/>
      </c>
      <c r="R278" s="54" t="str">
        <f t="shared" si="28"/>
        <v/>
      </c>
      <c r="S278" s="56" t="str">
        <f ca="1" t="shared" si="29"/>
        <v/>
      </c>
      <c r="T278" s="10"/>
    </row>
    <row r="279" spans="1:20">
      <c r="A279" s="56" t="str">
        <f>IF($B279="","",COUNTA($B$5:$B279))</f>
        <v/>
      </c>
      <c r="B279" s="53"/>
      <c r="C279" s="46"/>
      <c r="D279" s="56" t="str">
        <f>IFERROR(INDEX(基础资料!$C$4:$C$11,MATCH($C279,基础资料!$A$4:$A$11,0)),"")</f>
        <v/>
      </c>
      <c r="E279" s="39"/>
      <c r="F279" s="46"/>
      <c r="G279" s="10"/>
      <c r="H279" s="39"/>
      <c r="I279" s="10"/>
      <c r="J279" s="25"/>
      <c r="K279" s="88"/>
      <c r="L279" s="57" t="str">
        <f t="shared" si="24"/>
        <v/>
      </c>
      <c r="M279" s="57" t="str">
        <f t="shared" si="25"/>
        <v/>
      </c>
      <c r="N279" s="57" t="str">
        <f>IF($I279="","",SUMIFS(资金流水!$K$5:$K$3032,资金流水!$Q$5:$Q$3015,$I279))</f>
        <v/>
      </c>
      <c r="O279" s="25"/>
      <c r="P279" s="57" t="str">
        <f t="shared" si="26"/>
        <v/>
      </c>
      <c r="Q279" s="58" t="str">
        <f t="shared" si="27"/>
        <v/>
      </c>
      <c r="R279" s="54" t="str">
        <f t="shared" si="28"/>
        <v/>
      </c>
      <c r="S279" s="56" t="str">
        <f ca="1" t="shared" si="29"/>
        <v/>
      </c>
      <c r="T279" s="10"/>
    </row>
    <row r="280" spans="1:20">
      <c r="A280" s="56" t="str">
        <f>IF($B280="","",COUNTA($B$5:$B280))</f>
        <v/>
      </c>
      <c r="B280" s="53"/>
      <c r="C280" s="46"/>
      <c r="D280" s="56" t="str">
        <f>IFERROR(INDEX(基础资料!$C$4:$C$11,MATCH($C280,基础资料!$A$4:$A$11,0)),"")</f>
        <v/>
      </c>
      <c r="E280" s="39"/>
      <c r="F280" s="46"/>
      <c r="G280" s="10"/>
      <c r="H280" s="39"/>
      <c r="I280" s="10"/>
      <c r="J280" s="25"/>
      <c r="K280" s="88"/>
      <c r="L280" s="57" t="str">
        <f t="shared" si="24"/>
        <v/>
      </c>
      <c r="M280" s="57" t="str">
        <f t="shared" si="25"/>
        <v/>
      </c>
      <c r="N280" s="57" t="str">
        <f>IF($I280="","",SUMIFS(资金流水!$K$5:$K$3032,资金流水!$Q$5:$Q$3015,$I280))</f>
        <v/>
      </c>
      <c r="O280" s="25"/>
      <c r="P280" s="57" t="str">
        <f t="shared" si="26"/>
        <v/>
      </c>
      <c r="Q280" s="58" t="str">
        <f t="shared" si="27"/>
        <v/>
      </c>
      <c r="R280" s="54" t="str">
        <f t="shared" si="28"/>
        <v/>
      </c>
      <c r="S280" s="56" t="str">
        <f ca="1" t="shared" si="29"/>
        <v/>
      </c>
      <c r="T280" s="10"/>
    </row>
    <row r="281" spans="1:20">
      <c r="A281" s="56" t="str">
        <f>IF($B281="","",COUNTA($B$5:$B281))</f>
        <v/>
      </c>
      <c r="B281" s="53"/>
      <c r="C281" s="46"/>
      <c r="D281" s="56" t="str">
        <f>IFERROR(INDEX(基础资料!$C$4:$C$11,MATCH($C281,基础资料!$A$4:$A$11,0)),"")</f>
        <v/>
      </c>
      <c r="E281" s="39"/>
      <c r="F281" s="46"/>
      <c r="G281" s="10"/>
      <c r="H281" s="39"/>
      <c r="I281" s="10"/>
      <c r="J281" s="25"/>
      <c r="K281" s="88"/>
      <c r="L281" s="57" t="str">
        <f t="shared" si="24"/>
        <v/>
      </c>
      <c r="M281" s="57" t="str">
        <f t="shared" si="25"/>
        <v/>
      </c>
      <c r="N281" s="57" t="str">
        <f>IF($I281="","",SUMIFS(资金流水!$K$5:$K$3032,资金流水!$Q$5:$Q$3015,$I281))</f>
        <v/>
      </c>
      <c r="O281" s="25"/>
      <c r="P281" s="57" t="str">
        <f t="shared" si="26"/>
        <v/>
      </c>
      <c r="Q281" s="58" t="str">
        <f t="shared" si="27"/>
        <v/>
      </c>
      <c r="R281" s="54" t="str">
        <f t="shared" si="28"/>
        <v/>
      </c>
      <c r="S281" s="56" t="str">
        <f ca="1" t="shared" si="29"/>
        <v/>
      </c>
      <c r="T281" s="10"/>
    </row>
    <row r="282" spans="1:20">
      <c r="A282" s="56" t="str">
        <f>IF($B282="","",COUNTA($B$5:$B282))</f>
        <v/>
      </c>
      <c r="B282" s="53"/>
      <c r="C282" s="46"/>
      <c r="D282" s="56" t="str">
        <f>IFERROR(INDEX(基础资料!$C$4:$C$11,MATCH($C282,基础资料!$A$4:$A$11,0)),"")</f>
        <v/>
      </c>
      <c r="E282" s="39"/>
      <c r="F282" s="46"/>
      <c r="G282" s="10"/>
      <c r="H282" s="39"/>
      <c r="I282" s="10"/>
      <c r="J282" s="25"/>
      <c r="K282" s="88"/>
      <c r="L282" s="57" t="str">
        <f t="shared" si="24"/>
        <v/>
      </c>
      <c r="M282" s="57" t="str">
        <f t="shared" si="25"/>
        <v/>
      </c>
      <c r="N282" s="57" t="str">
        <f>IF($I282="","",SUMIFS(资金流水!$K$5:$K$3032,资金流水!$Q$5:$Q$3015,$I282))</f>
        <v/>
      </c>
      <c r="O282" s="25"/>
      <c r="P282" s="57" t="str">
        <f t="shared" si="26"/>
        <v/>
      </c>
      <c r="Q282" s="58" t="str">
        <f t="shared" si="27"/>
        <v/>
      </c>
      <c r="R282" s="54" t="str">
        <f t="shared" si="28"/>
        <v/>
      </c>
      <c r="S282" s="56" t="str">
        <f ca="1" t="shared" si="29"/>
        <v/>
      </c>
      <c r="T282" s="10"/>
    </row>
    <row r="283" spans="1:20">
      <c r="A283" s="56" t="str">
        <f>IF($B283="","",COUNTA($B$5:$B283))</f>
        <v/>
      </c>
      <c r="B283" s="53"/>
      <c r="C283" s="46"/>
      <c r="D283" s="56" t="str">
        <f>IFERROR(INDEX(基础资料!$C$4:$C$11,MATCH($C283,基础资料!$A$4:$A$11,0)),"")</f>
        <v/>
      </c>
      <c r="E283" s="39"/>
      <c r="F283" s="46"/>
      <c r="G283" s="10"/>
      <c r="H283" s="39"/>
      <c r="I283" s="10"/>
      <c r="J283" s="25"/>
      <c r="K283" s="88"/>
      <c r="L283" s="57" t="str">
        <f t="shared" si="24"/>
        <v/>
      </c>
      <c r="M283" s="57" t="str">
        <f t="shared" si="25"/>
        <v/>
      </c>
      <c r="N283" s="57" t="str">
        <f>IF($I283="","",SUMIFS(资金流水!$K$5:$K$3032,资金流水!$Q$5:$Q$3015,$I283))</f>
        <v/>
      </c>
      <c r="O283" s="25"/>
      <c r="P283" s="57" t="str">
        <f t="shared" si="26"/>
        <v/>
      </c>
      <c r="Q283" s="58" t="str">
        <f t="shared" si="27"/>
        <v/>
      </c>
      <c r="R283" s="54" t="str">
        <f t="shared" si="28"/>
        <v/>
      </c>
      <c r="S283" s="56" t="str">
        <f ca="1" t="shared" si="29"/>
        <v/>
      </c>
      <c r="T283" s="10"/>
    </row>
    <row r="284" spans="1:20">
      <c r="A284" s="56" t="str">
        <f>IF($B284="","",COUNTA($B$5:$B284))</f>
        <v/>
      </c>
      <c r="B284" s="53"/>
      <c r="C284" s="46"/>
      <c r="D284" s="56" t="str">
        <f>IFERROR(INDEX(基础资料!$C$4:$C$11,MATCH($C284,基础资料!$A$4:$A$11,0)),"")</f>
        <v/>
      </c>
      <c r="E284" s="39"/>
      <c r="F284" s="46"/>
      <c r="G284" s="10"/>
      <c r="H284" s="39"/>
      <c r="I284" s="10"/>
      <c r="J284" s="25"/>
      <c r="K284" s="88"/>
      <c r="L284" s="57" t="str">
        <f t="shared" si="24"/>
        <v/>
      </c>
      <c r="M284" s="57" t="str">
        <f t="shared" si="25"/>
        <v/>
      </c>
      <c r="N284" s="57" t="str">
        <f>IF($I284="","",SUMIFS(资金流水!$K$5:$K$3032,资金流水!$Q$5:$Q$3015,$I284))</f>
        <v/>
      </c>
      <c r="O284" s="25"/>
      <c r="P284" s="57" t="str">
        <f t="shared" si="26"/>
        <v/>
      </c>
      <c r="Q284" s="58" t="str">
        <f t="shared" si="27"/>
        <v/>
      </c>
      <c r="R284" s="54" t="str">
        <f t="shared" si="28"/>
        <v/>
      </c>
      <c r="S284" s="56" t="str">
        <f ca="1" t="shared" si="29"/>
        <v/>
      </c>
      <c r="T284" s="10"/>
    </row>
    <row r="285" spans="1:20">
      <c r="A285" s="56" t="str">
        <f>IF($B285="","",COUNTA($B$5:$B285))</f>
        <v/>
      </c>
      <c r="B285" s="53"/>
      <c r="C285" s="46"/>
      <c r="D285" s="56" t="str">
        <f>IFERROR(INDEX(基础资料!$C$4:$C$11,MATCH($C285,基础资料!$A$4:$A$11,0)),"")</f>
        <v/>
      </c>
      <c r="E285" s="39"/>
      <c r="F285" s="46"/>
      <c r="G285" s="10"/>
      <c r="H285" s="39"/>
      <c r="I285" s="10"/>
      <c r="J285" s="25"/>
      <c r="K285" s="88"/>
      <c r="L285" s="57" t="str">
        <f t="shared" si="24"/>
        <v/>
      </c>
      <c r="M285" s="57" t="str">
        <f t="shared" si="25"/>
        <v/>
      </c>
      <c r="N285" s="57" t="str">
        <f>IF($I285="","",SUMIFS(资金流水!$K$5:$K$3032,资金流水!$Q$5:$Q$3015,$I285))</f>
        <v/>
      </c>
      <c r="O285" s="25"/>
      <c r="P285" s="57" t="str">
        <f t="shared" si="26"/>
        <v/>
      </c>
      <c r="Q285" s="58" t="str">
        <f t="shared" si="27"/>
        <v/>
      </c>
      <c r="R285" s="54" t="str">
        <f t="shared" si="28"/>
        <v/>
      </c>
      <c r="S285" s="56" t="str">
        <f ca="1" t="shared" si="29"/>
        <v/>
      </c>
      <c r="T285" s="10"/>
    </row>
    <row r="286" spans="1:20">
      <c r="A286" s="56" t="str">
        <f>IF($B286="","",COUNTA($B$5:$B286))</f>
        <v/>
      </c>
      <c r="B286" s="53"/>
      <c r="C286" s="46"/>
      <c r="D286" s="56" t="str">
        <f>IFERROR(INDEX(基础资料!$C$4:$C$11,MATCH($C286,基础资料!$A$4:$A$11,0)),"")</f>
        <v/>
      </c>
      <c r="E286" s="39"/>
      <c r="F286" s="46"/>
      <c r="G286" s="10"/>
      <c r="H286" s="39"/>
      <c r="I286" s="10"/>
      <c r="J286" s="25"/>
      <c r="K286" s="88"/>
      <c r="L286" s="57" t="str">
        <f t="shared" si="24"/>
        <v/>
      </c>
      <c r="M286" s="57" t="str">
        <f t="shared" si="25"/>
        <v/>
      </c>
      <c r="N286" s="57" t="str">
        <f>IF($I286="","",SUMIFS(资金流水!$K$5:$K$3032,资金流水!$Q$5:$Q$3015,$I286))</f>
        <v/>
      </c>
      <c r="O286" s="25"/>
      <c r="P286" s="57" t="str">
        <f t="shared" si="26"/>
        <v/>
      </c>
      <c r="Q286" s="58" t="str">
        <f t="shared" si="27"/>
        <v/>
      </c>
      <c r="R286" s="54" t="str">
        <f t="shared" si="28"/>
        <v/>
      </c>
      <c r="S286" s="56" t="str">
        <f ca="1" t="shared" si="29"/>
        <v/>
      </c>
      <c r="T286" s="10"/>
    </row>
    <row r="287" spans="1:20">
      <c r="A287" s="56" t="str">
        <f>IF($B287="","",COUNTA($B$5:$B287))</f>
        <v/>
      </c>
      <c r="B287" s="53"/>
      <c r="C287" s="46"/>
      <c r="D287" s="56" t="str">
        <f>IFERROR(INDEX(基础资料!$C$4:$C$11,MATCH($C287,基础资料!$A$4:$A$11,0)),"")</f>
        <v/>
      </c>
      <c r="E287" s="39"/>
      <c r="F287" s="46"/>
      <c r="G287" s="10"/>
      <c r="H287" s="39"/>
      <c r="I287" s="10"/>
      <c r="J287" s="25"/>
      <c r="K287" s="88"/>
      <c r="L287" s="57" t="str">
        <f t="shared" si="24"/>
        <v/>
      </c>
      <c r="M287" s="57" t="str">
        <f t="shared" si="25"/>
        <v/>
      </c>
      <c r="N287" s="57" t="str">
        <f>IF($I287="","",SUMIFS(资金流水!$K$5:$K$3032,资金流水!$Q$5:$Q$3015,$I287))</f>
        <v/>
      </c>
      <c r="O287" s="25"/>
      <c r="P287" s="57" t="str">
        <f t="shared" si="26"/>
        <v/>
      </c>
      <c r="Q287" s="58" t="str">
        <f t="shared" si="27"/>
        <v/>
      </c>
      <c r="R287" s="54" t="str">
        <f t="shared" si="28"/>
        <v/>
      </c>
      <c r="S287" s="56" t="str">
        <f ca="1" t="shared" si="29"/>
        <v/>
      </c>
      <c r="T287" s="10"/>
    </row>
    <row r="288" spans="1:20">
      <c r="A288" s="56" t="str">
        <f>IF($B288="","",COUNTA($B$5:$B288))</f>
        <v/>
      </c>
      <c r="B288" s="53"/>
      <c r="C288" s="46"/>
      <c r="D288" s="56" t="str">
        <f>IFERROR(INDEX(基础资料!$C$4:$C$11,MATCH($C288,基础资料!$A$4:$A$11,0)),"")</f>
        <v/>
      </c>
      <c r="E288" s="39"/>
      <c r="F288" s="46"/>
      <c r="G288" s="10"/>
      <c r="H288" s="39"/>
      <c r="I288" s="10"/>
      <c r="J288" s="25"/>
      <c r="K288" s="88"/>
      <c r="L288" s="57" t="str">
        <f t="shared" si="24"/>
        <v/>
      </c>
      <c r="M288" s="57" t="str">
        <f t="shared" si="25"/>
        <v/>
      </c>
      <c r="N288" s="57" t="str">
        <f>IF($I288="","",SUMIFS(资金流水!$K$5:$K$3032,资金流水!$Q$5:$Q$3015,$I288))</f>
        <v/>
      </c>
      <c r="O288" s="25"/>
      <c r="P288" s="57" t="str">
        <f t="shared" si="26"/>
        <v/>
      </c>
      <c r="Q288" s="58" t="str">
        <f t="shared" si="27"/>
        <v/>
      </c>
      <c r="R288" s="54" t="str">
        <f t="shared" si="28"/>
        <v/>
      </c>
      <c r="S288" s="56" t="str">
        <f ca="1" t="shared" si="29"/>
        <v/>
      </c>
      <c r="T288" s="10"/>
    </row>
    <row r="289" spans="1:20">
      <c r="A289" s="56" t="str">
        <f>IF($B289="","",COUNTA($B$5:$B289))</f>
        <v/>
      </c>
      <c r="B289" s="53"/>
      <c r="C289" s="46"/>
      <c r="D289" s="56" t="str">
        <f>IFERROR(INDEX(基础资料!$C$4:$C$11,MATCH($C289,基础资料!$A$4:$A$11,0)),"")</f>
        <v/>
      </c>
      <c r="E289" s="39"/>
      <c r="F289" s="46"/>
      <c r="G289" s="10"/>
      <c r="H289" s="39"/>
      <c r="I289" s="10"/>
      <c r="J289" s="25"/>
      <c r="K289" s="88"/>
      <c r="L289" s="57" t="str">
        <f t="shared" si="24"/>
        <v/>
      </c>
      <c r="M289" s="57" t="str">
        <f t="shared" si="25"/>
        <v/>
      </c>
      <c r="N289" s="57" t="str">
        <f>IF($I289="","",SUMIFS(资金流水!$K$5:$K$3032,资金流水!$Q$5:$Q$3015,$I289))</f>
        <v/>
      </c>
      <c r="O289" s="25"/>
      <c r="P289" s="57" t="str">
        <f t="shared" si="26"/>
        <v/>
      </c>
      <c r="Q289" s="58" t="str">
        <f t="shared" si="27"/>
        <v/>
      </c>
      <c r="R289" s="54" t="str">
        <f t="shared" si="28"/>
        <v/>
      </c>
      <c r="S289" s="56" t="str">
        <f ca="1" t="shared" si="29"/>
        <v/>
      </c>
      <c r="T289" s="10"/>
    </row>
    <row r="290" spans="1:20">
      <c r="A290" s="56" t="str">
        <f>IF($B290="","",COUNTA($B$5:$B290))</f>
        <v/>
      </c>
      <c r="B290" s="53"/>
      <c r="C290" s="46"/>
      <c r="D290" s="56" t="str">
        <f>IFERROR(INDEX(基础资料!$C$4:$C$11,MATCH($C290,基础资料!$A$4:$A$11,0)),"")</f>
        <v/>
      </c>
      <c r="E290" s="39"/>
      <c r="F290" s="46"/>
      <c r="G290" s="10"/>
      <c r="H290" s="39"/>
      <c r="I290" s="10"/>
      <c r="J290" s="25"/>
      <c r="K290" s="88"/>
      <c r="L290" s="57" t="str">
        <f t="shared" si="24"/>
        <v/>
      </c>
      <c r="M290" s="57" t="str">
        <f t="shared" si="25"/>
        <v/>
      </c>
      <c r="N290" s="57" t="str">
        <f>IF($I290="","",SUMIFS(资金流水!$K$5:$K$3032,资金流水!$Q$5:$Q$3015,$I290))</f>
        <v/>
      </c>
      <c r="O290" s="25"/>
      <c r="P290" s="57" t="str">
        <f t="shared" si="26"/>
        <v/>
      </c>
      <c r="Q290" s="58" t="str">
        <f t="shared" si="27"/>
        <v/>
      </c>
      <c r="R290" s="54" t="str">
        <f t="shared" si="28"/>
        <v/>
      </c>
      <c r="S290" s="56" t="str">
        <f ca="1" t="shared" si="29"/>
        <v/>
      </c>
      <c r="T290" s="10"/>
    </row>
    <row r="291" spans="1:20">
      <c r="A291" s="56" t="str">
        <f>IF($B291="","",COUNTA($B$5:$B291))</f>
        <v/>
      </c>
      <c r="B291" s="53"/>
      <c r="C291" s="46"/>
      <c r="D291" s="56" t="str">
        <f>IFERROR(INDEX(基础资料!$C$4:$C$11,MATCH($C291,基础资料!$A$4:$A$11,0)),"")</f>
        <v/>
      </c>
      <c r="E291" s="39"/>
      <c r="F291" s="46"/>
      <c r="G291" s="10"/>
      <c r="H291" s="39"/>
      <c r="I291" s="10"/>
      <c r="J291" s="25"/>
      <c r="K291" s="88"/>
      <c r="L291" s="57" t="str">
        <f t="shared" si="24"/>
        <v/>
      </c>
      <c r="M291" s="57" t="str">
        <f t="shared" si="25"/>
        <v/>
      </c>
      <c r="N291" s="57" t="str">
        <f>IF($I291="","",SUMIFS(资金流水!$K$5:$K$3032,资金流水!$Q$5:$Q$3015,$I291))</f>
        <v/>
      </c>
      <c r="O291" s="25"/>
      <c r="P291" s="57" t="str">
        <f t="shared" si="26"/>
        <v/>
      </c>
      <c r="Q291" s="58" t="str">
        <f t="shared" si="27"/>
        <v/>
      </c>
      <c r="R291" s="54" t="str">
        <f t="shared" si="28"/>
        <v/>
      </c>
      <c r="S291" s="56" t="str">
        <f ca="1" t="shared" si="29"/>
        <v/>
      </c>
      <c r="T291" s="10"/>
    </row>
    <row r="292" spans="1:20">
      <c r="A292" s="56" t="str">
        <f>IF($B292="","",COUNTA($B$5:$B292))</f>
        <v/>
      </c>
      <c r="B292" s="53"/>
      <c r="C292" s="46"/>
      <c r="D292" s="56" t="str">
        <f>IFERROR(INDEX(基础资料!$C$4:$C$11,MATCH($C292,基础资料!$A$4:$A$11,0)),"")</f>
        <v/>
      </c>
      <c r="E292" s="39"/>
      <c r="F292" s="46"/>
      <c r="G292" s="10"/>
      <c r="H292" s="39"/>
      <c r="I292" s="10"/>
      <c r="J292" s="25"/>
      <c r="K292" s="88"/>
      <c r="L292" s="57" t="str">
        <f t="shared" si="24"/>
        <v/>
      </c>
      <c r="M292" s="57" t="str">
        <f t="shared" si="25"/>
        <v/>
      </c>
      <c r="N292" s="57" t="str">
        <f>IF($I292="","",SUMIFS(资金流水!$K$5:$K$3032,资金流水!$Q$5:$Q$3015,$I292))</f>
        <v/>
      </c>
      <c r="O292" s="25"/>
      <c r="P292" s="57" t="str">
        <f t="shared" si="26"/>
        <v/>
      </c>
      <c r="Q292" s="58" t="str">
        <f t="shared" si="27"/>
        <v/>
      </c>
      <c r="R292" s="54" t="str">
        <f t="shared" si="28"/>
        <v/>
      </c>
      <c r="S292" s="56" t="str">
        <f ca="1" t="shared" si="29"/>
        <v/>
      </c>
      <c r="T292" s="10"/>
    </row>
    <row r="293" spans="1:20">
      <c r="A293" s="56" t="str">
        <f>IF($B293="","",COUNTA($B$5:$B293))</f>
        <v/>
      </c>
      <c r="B293" s="53"/>
      <c r="C293" s="46"/>
      <c r="D293" s="56" t="str">
        <f>IFERROR(INDEX(基础资料!$C$4:$C$11,MATCH($C293,基础资料!$A$4:$A$11,0)),"")</f>
        <v/>
      </c>
      <c r="E293" s="39"/>
      <c r="F293" s="46"/>
      <c r="G293" s="10"/>
      <c r="H293" s="39"/>
      <c r="I293" s="10"/>
      <c r="J293" s="25"/>
      <c r="K293" s="88"/>
      <c r="L293" s="57" t="str">
        <f t="shared" si="24"/>
        <v/>
      </c>
      <c r="M293" s="57" t="str">
        <f t="shared" si="25"/>
        <v/>
      </c>
      <c r="N293" s="57" t="str">
        <f>IF($I293="","",SUMIFS(资金流水!$K$5:$K$3032,资金流水!$Q$5:$Q$3015,$I293))</f>
        <v/>
      </c>
      <c r="O293" s="25"/>
      <c r="P293" s="57" t="str">
        <f t="shared" si="26"/>
        <v/>
      </c>
      <c r="Q293" s="58" t="str">
        <f t="shared" si="27"/>
        <v/>
      </c>
      <c r="R293" s="54" t="str">
        <f t="shared" si="28"/>
        <v/>
      </c>
      <c r="S293" s="56" t="str">
        <f ca="1" t="shared" si="29"/>
        <v/>
      </c>
      <c r="T293" s="10"/>
    </row>
    <row r="294" spans="1:20">
      <c r="A294" s="56" t="str">
        <f>IF($B294="","",COUNTA($B$5:$B294))</f>
        <v/>
      </c>
      <c r="B294" s="53"/>
      <c r="C294" s="46"/>
      <c r="D294" s="56" t="str">
        <f>IFERROR(INDEX(基础资料!$C$4:$C$11,MATCH($C294,基础资料!$A$4:$A$11,0)),"")</f>
        <v/>
      </c>
      <c r="E294" s="39"/>
      <c r="F294" s="46"/>
      <c r="G294" s="10"/>
      <c r="H294" s="39"/>
      <c r="I294" s="10"/>
      <c r="J294" s="25"/>
      <c r="K294" s="88"/>
      <c r="L294" s="57" t="str">
        <f t="shared" si="24"/>
        <v/>
      </c>
      <c r="M294" s="57" t="str">
        <f t="shared" si="25"/>
        <v/>
      </c>
      <c r="N294" s="57" t="str">
        <f>IF($I294="","",SUMIFS(资金流水!$K$5:$K$3032,资金流水!$Q$5:$Q$3015,$I294))</f>
        <v/>
      </c>
      <c r="O294" s="25"/>
      <c r="P294" s="57" t="str">
        <f t="shared" si="26"/>
        <v/>
      </c>
      <c r="Q294" s="58" t="str">
        <f t="shared" si="27"/>
        <v/>
      </c>
      <c r="R294" s="54" t="str">
        <f t="shared" si="28"/>
        <v/>
      </c>
      <c r="S294" s="56" t="str">
        <f ca="1" t="shared" si="29"/>
        <v/>
      </c>
      <c r="T294" s="10"/>
    </row>
    <row r="295" spans="1:20">
      <c r="A295" s="56" t="str">
        <f>IF($B295="","",COUNTA($B$5:$B295))</f>
        <v/>
      </c>
      <c r="B295" s="53"/>
      <c r="C295" s="46"/>
      <c r="D295" s="56" t="str">
        <f>IFERROR(INDEX(基础资料!$C$4:$C$11,MATCH($C295,基础资料!$A$4:$A$11,0)),"")</f>
        <v/>
      </c>
      <c r="E295" s="39"/>
      <c r="F295" s="46"/>
      <c r="G295" s="10"/>
      <c r="H295" s="39"/>
      <c r="I295" s="10"/>
      <c r="J295" s="25"/>
      <c r="K295" s="88"/>
      <c r="L295" s="57" t="str">
        <f t="shared" si="24"/>
        <v/>
      </c>
      <c r="M295" s="57" t="str">
        <f t="shared" si="25"/>
        <v/>
      </c>
      <c r="N295" s="57" t="str">
        <f>IF($I295="","",SUMIFS(资金流水!$K$5:$K$3032,资金流水!$Q$5:$Q$3015,$I295))</f>
        <v/>
      </c>
      <c r="O295" s="25"/>
      <c r="P295" s="57" t="str">
        <f t="shared" si="26"/>
        <v/>
      </c>
      <c r="Q295" s="58" t="str">
        <f t="shared" si="27"/>
        <v/>
      </c>
      <c r="R295" s="54" t="str">
        <f t="shared" si="28"/>
        <v/>
      </c>
      <c r="S295" s="56" t="str">
        <f ca="1" t="shared" si="29"/>
        <v/>
      </c>
      <c r="T295" s="10"/>
    </row>
    <row r="296" spans="1:20">
      <c r="A296" s="56" t="str">
        <f>IF($B296="","",COUNTA($B$5:$B296))</f>
        <v/>
      </c>
      <c r="B296" s="53"/>
      <c r="C296" s="46"/>
      <c r="D296" s="56" t="str">
        <f>IFERROR(INDEX(基础资料!$C$4:$C$11,MATCH($C296,基础资料!$A$4:$A$11,0)),"")</f>
        <v/>
      </c>
      <c r="E296" s="39"/>
      <c r="F296" s="46"/>
      <c r="G296" s="10"/>
      <c r="H296" s="39"/>
      <c r="I296" s="10"/>
      <c r="J296" s="25"/>
      <c r="K296" s="88"/>
      <c r="L296" s="57" t="str">
        <f t="shared" si="24"/>
        <v/>
      </c>
      <c r="M296" s="57" t="str">
        <f t="shared" si="25"/>
        <v/>
      </c>
      <c r="N296" s="57" t="str">
        <f>IF($I296="","",SUMIFS(资金流水!$K$5:$K$3032,资金流水!$Q$5:$Q$3015,$I296))</f>
        <v/>
      </c>
      <c r="O296" s="25"/>
      <c r="P296" s="57" t="str">
        <f t="shared" si="26"/>
        <v/>
      </c>
      <c r="Q296" s="58" t="str">
        <f t="shared" si="27"/>
        <v/>
      </c>
      <c r="R296" s="54" t="str">
        <f t="shared" si="28"/>
        <v/>
      </c>
      <c r="S296" s="56" t="str">
        <f ca="1" t="shared" si="29"/>
        <v/>
      </c>
      <c r="T296" s="10"/>
    </row>
    <row r="297" spans="1:20">
      <c r="A297" s="56" t="str">
        <f>IF($B297="","",COUNTA($B$5:$B297))</f>
        <v/>
      </c>
      <c r="B297" s="53"/>
      <c r="C297" s="46"/>
      <c r="D297" s="56" t="str">
        <f>IFERROR(INDEX(基础资料!$C$4:$C$11,MATCH($C297,基础资料!$A$4:$A$11,0)),"")</f>
        <v/>
      </c>
      <c r="E297" s="39"/>
      <c r="F297" s="46"/>
      <c r="G297" s="10"/>
      <c r="H297" s="39"/>
      <c r="I297" s="10"/>
      <c r="J297" s="25"/>
      <c r="K297" s="88"/>
      <c r="L297" s="57" t="str">
        <f t="shared" si="24"/>
        <v/>
      </c>
      <c r="M297" s="57" t="str">
        <f t="shared" si="25"/>
        <v/>
      </c>
      <c r="N297" s="57" t="str">
        <f>IF($I297="","",SUMIFS(资金流水!$K$5:$K$3032,资金流水!$Q$5:$Q$3015,$I297))</f>
        <v/>
      </c>
      <c r="O297" s="25"/>
      <c r="P297" s="57" t="str">
        <f t="shared" si="26"/>
        <v/>
      </c>
      <c r="Q297" s="58" t="str">
        <f t="shared" si="27"/>
        <v/>
      </c>
      <c r="R297" s="54" t="str">
        <f t="shared" si="28"/>
        <v/>
      </c>
      <c r="S297" s="56" t="str">
        <f ca="1" t="shared" si="29"/>
        <v/>
      </c>
      <c r="T297" s="10"/>
    </row>
    <row r="298" spans="1:20">
      <c r="A298" s="56" t="str">
        <f>IF($B298="","",COUNTA($B$5:$B298))</f>
        <v/>
      </c>
      <c r="B298" s="53"/>
      <c r="C298" s="46"/>
      <c r="D298" s="56" t="str">
        <f>IFERROR(INDEX(基础资料!$C$4:$C$11,MATCH($C298,基础资料!$A$4:$A$11,0)),"")</f>
        <v/>
      </c>
      <c r="E298" s="39"/>
      <c r="F298" s="46"/>
      <c r="G298" s="10"/>
      <c r="H298" s="39"/>
      <c r="I298" s="10"/>
      <c r="J298" s="25"/>
      <c r="K298" s="88"/>
      <c r="L298" s="57" t="str">
        <f t="shared" si="24"/>
        <v/>
      </c>
      <c r="M298" s="57" t="str">
        <f t="shared" si="25"/>
        <v/>
      </c>
      <c r="N298" s="57" t="str">
        <f>IF($I298="","",SUMIFS(资金流水!$K$5:$K$3032,资金流水!$Q$5:$Q$3015,$I298))</f>
        <v/>
      </c>
      <c r="O298" s="25"/>
      <c r="P298" s="57" t="str">
        <f t="shared" si="26"/>
        <v/>
      </c>
      <c r="Q298" s="58" t="str">
        <f t="shared" si="27"/>
        <v/>
      </c>
      <c r="R298" s="54" t="str">
        <f t="shared" si="28"/>
        <v/>
      </c>
      <c r="S298" s="56" t="str">
        <f ca="1" t="shared" si="29"/>
        <v/>
      </c>
      <c r="T298" s="10"/>
    </row>
    <row r="299" spans="1:20">
      <c r="A299" s="56" t="str">
        <f>IF($B299="","",COUNTA($B$5:$B299))</f>
        <v/>
      </c>
      <c r="B299" s="53"/>
      <c r="C299" s="46"/>
      <c r="D299" s="56" t="str">
        <f>IFERROR(INDEX(基础资料!$C$4:$C$11,MATCH($C299,基础资料!$A$4:$A$11,0)),"")</f>
        <v/>
      </c>
      <c r="E299" s="39"/>
      <c r="F299" s="46"/>
      <c r="G299" s="10"/>
      <c r="H299" s="39"/>
      <c r="I299" s="10"/>
      <c r="J299" s="25"/>
      <c r="K299" s="88"/>
      <c r="L299" s="57" t="str">
        <f t="shared" si="24"/>
        <v/>
      </c>
      <c r="M299" s="57" t="str">
        <f t="shared" si="25"/>
        <v/>
      </c>
      <c r="N299" s="57" t="str">
        <f>IF($I299="","",SUMIFS(资金流水!$K$5:$K$3032,资金流水!$Q$5:$Q$3015,$I299))</f>
        <v/>
      </c>
      <c r="O299" s="25"/>
      <c r="P299" s="57" t="str">
        <f t="shared" si="26"/>
        <v/>
      </c>
      <c r="Q299" s="58" t="str">
        <f t="shared" si="27"/>
        <v/>
      </c>
      <c r="R299" s="54" t="str">
        <f t="shared" si="28"/>
        <v/>
      </c>
      <c r="S299" s="56" t="str">
        <f ca="1" t="shared" si="29"/>
        <v/>
      </c>
      <c r="T299" s="10"/>
    </row>
    <row r="300" spans="1:20">
      <c r="A300" s="56" t="str">
        <f>IF($B300="","",COUNTA($B$5:$B300))</f>
        <v/>
      </c>
      <c r="B300" s="53"/>
      <c r="C300" s="46"/>
      <c r="D300" s="56" t="str">
        <f>IFERROR(INDEX(基础资料!$C$4:$C$11,MATCH($C300,基础资料!$A$4:$A$11,0)),"")</f>
        <v/>
      </c>
      <c r="E300" s="39"/>
      <c r="F300" s="46"/>
      <c r="G300" s="10"/>
      <c r="H300" s="39"/>
      <c r="I300" s="10"/>
      <c r="J300" s="25"/>
      <c r="K300" s="88"/>
      <c r="L300" s="57" t="str">
        <f t="shared" si="24"/>
        <v/>
      </c>
      <c r="M300" s="57" t="str">
        <f t="shared" si="25"/>
        <v/>
      </c>
      <c r="N300" s="57" t="str">
        <f>IF($I300="","",SUMIFS(资金流水!$K$5:$K$3032,资金流水!$Q$5:$Q$3015,$I300))</f>
        <v/>
      </c>
      <c r="O300" s="25"/>
      <c r="P300" s="57" t="str">
        <f t="shared" si="26"/>
        <v/>
      </c>
      <c r="Q300" s="58" t="str">
        <f t="shared" si="27"/>
        <v/>
      </c>
      <c r="R300" s="54" t="str">
        <f t="shared" si="28"/>
        <v/>
      </c>
      <c r="S300" s="56" t="str">
        <f ca="1" t="shared" si="29"/>
        <v/>
      </c>
      <c r="T300" s="10"/>
    </row>
    <row r="301" spans="1:20">
      <c r="A301" s="56" t="str">
        <f>IF($B301="","",COUNTA($B$5:$B301))</f>
        <v/>
      </c>
      <c r="B301" s="53"/>
      <c r="C301" s="46"/>
      <c r="D301" s="56" t="str">
        <f>IFERROR(INDEX(基础资料!$C$4:$C$11,MATCH($C301,基础资料!$A$4:$A$11,0)),"")</f>
        <v/>
      </c>
      <c r="E301" s="39"/>
      <c r="F301" s="46"/>
      <c r="G301" s="10"/>
      <c r="H301" s="39"/>
      <c r="I301" s="10"/>
      <c r="J301" s="25"/>
      <c r="K301" s="88"/>
      <c r="L301" s="57" t="str">
        <f t="shared" si="24"/>
        <v/>
      </c>
      <c r="M301" s="57" t="str">
        <f t="shared" si="25"/>
        <v/>
      </c>
      <c r="N301" s="57" t="str">
        <f>IF($I301="","",SUMIFS(资金流水!$K$5:$K$3032,资金流水!$Q$5:$Q$3015,$I301))</f>
        <v/>
      </c>
      <c r="O301" s="25"/>
      <c r="P301" s="57" t="str">
        <f t="shared" si="26"/>
        <v/>
      </c>
      <c r="Q301" s="58" t="str">
        <f t="shared" si="27"/>
        <v/>
      </c>
      <c r="R301" s="54" t="str">
        <f t="shared" si="28"/>
        <v/>
      </c>
      <c r="S301" s="56" t="str">
        <f ca="1" t="shared" si="29"/>
        <v/>
      </c>
      <c r="T301" s="10"/>
    </row>
    <row r="302" spans="1:20">
      <c r="A302" s="56" t="str">
        <f>IF($B302="","",COUNTA($B$5:$B302))</f>
        <v/>
      </c>
      <c r="B302" s="53"/>
      <c r="C302" s="46"/>
      <c r="D302" s="56" t="str">
        <f>IFERROR(INDEX(基础资料!$C$4:$C$11,MATCH($C302,基础资料!$A$4:$A$11,0)),"")</f>
        <v/>
      </c>
      <c r="E302" s="39"/>
      <c r="F302" s="46"/>
      <c r="G302" s="10"/>
      <c r="H302" s="39"/>
      <c r="I302" s="10"/>
      <c r="J302" s="25"/>
      <c r="K302" s="88"/>
      <c r="L302" s="57" t="str">
        <f t="shared" si="24"/>
        <v/>
      </c>
      <c r="M302" s="57" t="str">
        <f t="shared" si="25"/>
        <v/>
      </c>
      <c r="N302" s="57" t="str">
        <f>IF($I302="","",SUMIFS(资金流水!$K$5:$K$3032,资金流水!$Q$5:$Q$3015,$I302))</f>
        <v/>
      </c>
      <c r="O302" s="25"/>
      <c r="P302" s="57" t="str">
        <f t="shared" si="26"/>
        <v/>
      </c>
      <c r="Q302" s="58" t="str">
        <f t="shared" si="27"/>
        <v/>
      </c>
      <c r="R302" s="54" t="str">
        <f t="shared" si="28"/>
        <v/>
      </c>
      <c r="S302" s="56" t="str">
        <f ca="1" t="shared" si="29"/>
        <v/>
      </c>
      <c r="T302" s="10"/>
    </row>
    <row r="303" spans="1:20">
      <c r="A303" s="56" t="str">
        <f>IF($B303="","",COUNTA($B$5:$B303))</f>
        <v/>
      </c>
      <c r="B303" s="53"/>
      <c r="C303" s="46"/>
      <c r="D303" s="56" t="str">
        <f>IFERROR(INDEX(基础资料!$C$4:$C$11,MATCH($C303,基础资料!$A$4:$A$11,0)),"")</f>
        <v/>
      </c>
      <c r="E303" s="39"/>
      <c r="F303" s="46"/>
      <c r="G303" s="10"/>
      <c r="H303" s="39"/>
      <c r="I303" s="10"/>
      <c r="J303" s="25"/>
      <c r="K303" s="88"/>
      <c r="L303" s="57" t="str">
        <f t="shared" si="24"/>
        <v/>
      </c>
      <c r="M303" s="57" t="str">
        <f t="shared" si="25"/>
        <v/>
      </c>
      <c r="N303" s="57" t="str">
        <f>IF($I303="","",SUMIFS(资金流水!$K$5:$K$3032,资金流水!$Q$5:$Q$3015,$I303))</f>
        <v/>
      </c>
      <c r="O303" s="25"/>
      <c r="P303" s="57" t="str">
        <f t="shared" si="26"/>
        <v/>
      </c>
      <c r="Q303" s="58" t="str">
        <f t="shared" si="27"/>
        <v/>
      </c>
      <c r="R303" s="54" t="str">
        <f t="shared" si="28"/>
        <v/>
      </c>
      <c r="S303" s="56" t="str">
        <f ca="1" t="shared" si="29"/>
        <v/>
      </c>
      <c r="T303" s="10"/>
    </row>
    <row r="304" spans="1:20">
      <c r="A304" s="56" t="str">
        <f>IF($B304="","",COUNTA($B$5:$B304))</f>
        <v/>
      </c>
      <c r="B304" s="53"/>
      <c r="C304" s="46"/>
      <c r="D304" s="56" t="str">
        <f>IFERROR(INDEX(基础资料!$C$4:$C$11,MATCH($C304,基础资料!$A$4:$A$11,0)),"")</f>
        <v/>
      </c>
      <c r="E304" s="39"/>
      <c r="F304" s="46"/>
      <c r="G304" s="10"/>
      <c r="H304" s="39"/>
      <c r="I304" s="10"/>
      <c r="J304" s="25"/>
      <c r="K304" s="88"/>
      <c r="L304" s="57" t="str">
        <f t="shared" si="24"/>
        <v/>
      </c>
      <c r="M304" s="57" t="str">
        <f t="shared" si="25"/>
        <v/>
      </c>
      <c r="N304" s="57" t="str">
        <f>IF($I304="","",SUMIFS(资金流水!$K$5:$K$3032,资金流水!$Q$5:$Q$3015,$I304))</f>
        <v/>
      </c>
      <c r="O304" s="25"/>
      <c r="P304" s="57" t="str">
        <f t="shared" si="26"/>
        <v/>
      </c>
      <c r="Q304" s="58" t="str">
        <f t="shared" si="27"/>
        <v/>
      </c>
      <c r="R304" s="54" t="str">
        <f t="shared" si="28"/>
        <v/>
      </c>
      <c r="S304" s="56" t="str">
        <f ca="1" t="shared" si="29"/>
        <v/>
      </c>
      <c r="T304" s="10"/>
    </row>
    <row r="305" spans="1:20">
      <c r="A305" s="56" t="str">
        <f>IF($B305="","",COUNTA($B$5:$B305))</f>
        <v/>
      </c>
      <c r="B305" s="53"/>
      <c r="C305" s="46"/>
      <c r="D305" s="56" t="str">
        <f>IFERROR(INDEX(基础资料!$C$4:$C$11,MATCH($C305,基础资料!$A$4:$A$11,0)),"")</f>
        <v/>
      </c>
      <c r="E305" s="39"/>
      <c r="F305" s="46"/>
      <c r="G305" s="10"/>
      <c r="H305" s="39"/>
      <c r="I305" s="10"/>
      <c r="J305" s="25"/>
      <c r="K305" s="88"/>
      <c r="L305" s="57" t="str">
        <f t="shared" si="24"/>
        <v/>
      </c>
      <c r="M305" s="57" t="str">
        <f t="shared" si="25"/>
        <v/>
      </c>
      <c r="N305" s="57" t="str">
        <f>IF($I305="","",SUMIFS(资金流水!$K$5:$K$3032,资金流水!$Q$5:$Q$3015,$I305))</f>
        <v/>
      </c>
      <c r="O305" s="25"/>
      <c r="P305" s="57" t="str">
        <f t="shared" si="26"/>
        <v/>
      </c>
      <c r="Q305" s="58" t="str">
        <f t="shared" si="27"/>
        <v/>
      </c>
      <c r="R305" s="54" t="str">
        <f t="shared" si="28"/>
        <v/>
      </c>
      <c r="S305" s="56" t="str">
        <f ca="1" t="shared" si="29"/>
        <v/>
      </c>
      <c r="T305" s="10"/>
    </row>
    <row r="306" spans="1:20">
      <c r="A306" s="56" t="str">
        <f>IF($B306="","",COUNTA($B$5:$B306))</f>
        <v/>
      </c>
      <c r="B306" s="53"/>
      <c r="C306" s="46"/>
      <c r="D306" s="56" t="str">
        <f>IFERROR(INDEX(基础资料!$C$4:$C$11,MATCH($C306,基础资料!$A$4:$A$11,0)),"")</f>
        <v/>
      </c>
      <c r="E306" s="39"/>
      <c r="F306" s="46"/>
      <c r="G306" s="10"/>
      <c r="H306" s="39"/>
      <c r="I306" s="10"/>
      <c r="J306" s="25"/>
      <c r="K306" s="88"/>
      <c r="L306" s="57" t="str">
        <f t="shared" si="24"/>
        <v/>
      </c>
      <c r="M306" s="57" t="str">
        <f t="shared" si="25"/>
        <v/>
      </c>
      <c r="N306" s="57" t="str">
        <f>IF($I306="","",SUMIFS(资金流水!$K$5:$K$3032,资金流水!$Q$5:$Q$3015,$I306))</f>
        <v/>
      </c>
      <c r="O306" s="25"/>
      <c r="P306" s="57" t="str">
        <f t="shared" si="26"/>
        <v/>
      </c>
      <c r="Q306" s="58" t="str">
        <f t="shared" si="27"/>
        <v/>
      </c>
      <c r="R306" s="54" t="str">
        <f t="shared" si="28"/>
        <v/>
      </c>
      <c r="S306" s="56" t="str">
        <f ca="1" t="shared" si="29"/>
        <v/>
      </c>
      <c r="T306" s="10"/>
    </row>
    <row r="307" spans="1:20">
      <c r="A307" s="56" t="str">
        <f>IF($B307="","",COUNTA($B$5:$B307))</f>
        <v/>
      </c>
      <c r="B307" s="53"/>
      <c r="C307" s="46"/>
      <c r="D307" s="56" t="str">
        <f>IFERROR(INDEX(基础资料!$C$4:$C$11,MATCH($C307,基础资料!$A$4:$A$11,0)),"")</f>
        <v/>
      </c>
      <c r="E307" s="39"/>
      <c r="F307" s="46"/>
      <c r="G307" s="10"/>
      <c r="H307" s="39"/>
      <c r="I307" s="10"/>
      <c r="J307" s="25"/>
      <c r="K307" s="88"/>
      <c r="L307" s="57" t="str">
        <f t="shared" si="24"/>
        <v/>
      </c>
      <c r="M307" s="57" t="str">
        <f t="shared" si="25"/>
        <v/>
      </c>
      <c r="N307" s="57" t="str">
        <f>IF($I307="","",SUMIFS(资金流水!$K$5:$K$3032,资金流水!$Q$5:$Q$3015,$I307))</f>
        <v/>
      </c>
      <c r="O307" s="25"/>
      <c r="P307" s="57" t="str">
        <f t="shared" si="26"/>
        <v/>
      </c>
      <c r="Q307" s="58" t="str">
        <f t="shared" si="27"/>
        <v/>
      </c>
      <c r="R307" s="54" t="str">
        <f t="shared" si="28"/>
        <v/>
      </c>
      <c r="S307" s="56" t="str">
        <f ca="1" t="shared" si="29"/>
        <v/>
      </c>
      <c r="T307" s="10"/>
    </row>
    <row r="308" spans="1:20">
      <c r="A308" s="56" t="str">
        <f>IF($B308="","",COUNTA($B$5:$B308))</f>
        <v/>
      </c>
      <c r="B308" s="53"/>
      <c r="C308" s="46"/>
      <c r="D308" s="56" t="str">
        <f>IFERROR(INDEX(基础资料!$C$4:$C$11,MATCH($C308,基础资料!$A$4:$A$11,0)),"")</f>
        <v/>
      </c>
      <c r="E308" s="39"/>
      <c r="F308" s="46"/>
      <c r="G308" s="10"/>
      <c r="H308" s="39"/>
      <c r="I308" s="10"/>
      <c r="J308" s="25"/>
      <c r="K308" s="88"/>
      <c r="L308" s="57" t="str">
        <f t="shared" si="24"/>
        <v/>
      </c>
      <c r="M308" s="57" t="str">
        <f t="shared" si="25"/>
        <v/>
      </c>
      <c r="N308" s="57" t="str">
        <f>IF($I308="","",SUMIFS(资金流水!$K$5:$K$3032,资金流水!$Q$5:$Q$3015,$I308))</f>
        <v/>
      </c>
      <c r="O308" s="25"/>
      <c r="P308" s="57" t="str">
        <f t="shared" si="26"/>
        <v/>
      </c>
      <c r="Q308" s="58" t="str">
        <f t="shared" si="27"/>
        <v/>
      </c>
      <c r="R308" s="54" t="str">
        <f t="shared" si="28"/>
        <v/>
      </c>
      <c r="S308" s="56" t="str">
        <f ca="1" t="shared" si="29"/>
        <v/>
      </c>
      <c r="T308" s="10"/>
    </row>
    <row r="309" spans="1:20">
      <c r="A309" s="56" t="str">
        <f>IF($B309="","",COUNTA($B$5:$B309))</f>
        <v/>
      </c>
      <c r="B309" s="53"/>
      <c r="C309" s="46"/>
      <c r="D309" s="56" t="str">
        <f>IFERROR(INDEX(基础资料!$C$4:$C$11,MATCH($C309,基础资料!$A$4:$A$11,0)),"")</f>
        <v/>
      </c>
      <c r="E309" s="39"/>
      <c r="F309" s="46"/>
      <c r="G309" s="10"/>
      <c r="H309" s="39"/>
      <c r="I309" s="10"/>
      <c r="J309" s="25"/>
      <c r="K309" s="88"/>
      <c r="L309" s="57" t="str">
        <f t="shared" si="24"/>
        <v/>
      </c>
      <c r="M309" s="57" t="str">
        <f t="shared" si="25"/>
        <v/>
      </c>
      <c r="N309" s="57" t="str">
        <f>IF($I309="","",SUMIFS(资金流水!$K$5:$K$3032,资金流水!$Q$5:$Q$3015,$I309))</f>
        <v/>
      </c>
      <c r="O309" s="25"/>
      <c r="P309" s="57" t="str">
        <f t="shared" si="26"/>
        <v/>
      </c>
      <c r="Q309" s="58" t="str">
        <f t="shared" si="27"/>
        <v/>
      </c>
      <c r="R309" s="54" t="str">
        <f t="shared" si="28"/>
        <v/>
      </c>
      <c r="S309" s="56" t="str">
        <f ca="1" t="shared" si="29"/>
        <v/>
      </c>
      <c r="T309" s="10"/>
    </row>
    <row r="310" spans="1:20">
      <c r="A310" s="56" t="str">
        <f>IF($B310="","",COUNTA($B$5:$B310))</f>
        <v/>
      </c>
      <c r="B310" s="53"/>
      <c r="C310" s="46"/>
      <c r="D310" s="56" t="str">
        <f>IFERROR(INDEX(基础资料!$C$4:$C$11,MATCH($C310,基础资料!$A$4:$A$11,0)),"")</f>
        <v/>
      </c>
      <c r="E310" s="39"/>
      <c r="F310" s="46"/>
      <c r="G310" s="10"/>
      <c r="H310" s="39"/>
      <c r="I310" s="10"/>
      <c r="J310" s="25"/>
      <c r="K310" s="88"/>
      <c r="L310" s="57" t="str">
        <f t="shared" si="24"/>
        <v/>
      </c>
      <c r="M310" s="57" t="str">
        <f t="shared" si="25"/>
        <v/>
      </c>
      <c r="N310" s="57" t="str">
        <f>IF($I310="","",SUMIFS(资金流水!$K$5:$K$3032,资金流水!$Q$5:$Q$3015,$I310))</f>
        <v/>
      </c>
      <c r="O310" s="25"/>
      <c r="P310" s="57" t="str">
        <f t="shared" si="26"/>
        <v/>
      </c>
      <c r="Q310" s="58" t="str">
        <f t="shared" si="27"/>
        <v/>
      </c>
      <c r="R310" s="54" t="str">
        <f t="shared" si="28"/>
        <v/>
      </c>
      <c r="S310" s="56" t="str">
        <f ca="1" t="shared" si="29"/>
        <v/>
      </c>
      <c r="T310" s="10"/>
    </row>
    <row r="311" spans="1:20">
      <c r="A311" s="56" t="str">
        <f>IF($B311="","",COUNTA($B$5:$B311))</f>
        <v/>
      </c>
      <c r="B311" s="53"/>
      <c r="C311" s="46"/>
      <c r="D311" s="56" t="str">
        <f>IFERROR(INDEX(基础资料!$C$4:$C$11,MATCH($C311,基础资料!$A$4:$A$11,0)),"")</f>
        <v/>
      </c>
      <c r="E311" s="39"/>
      <c r="F311" s="46"/>
      <c r="G311" s="10"/>
      <c r="H311" s="39"/>
      <c r="I311" s="10"/>
      <c r="J311" s="25"/>
      <c r="K311" s="88"/>
      <c r="L311" s="57" t="str">
        <f t="shared" si="24"/>
        <v/>
      </c>
      <c r="M311" s="57" t="str">
        <f t="shared" si="25"/>
        <v/>
      </c>
      <c r="N311" s="57" t="str">
        <f>IF($I311="","",SUMIFS(资金流水!$K$5:$K$3032,资金流水!$Q$5:$Q$3015,$I311))</f>
        <v/>
      </c>
      <c r="O311" s="25"/>
      <c r="P311" s="57" t="str">
        <f t="shared" si="26"/>
        <v/>
      </c>
      <c r="Q311" s="58" t="str">
        <f t="shared" si="27"/>
        <v/>
      </c>
      <c r="R311" s="54" t="str">
        <f t="shared" si="28"/>
        <v/>
      </c>
      <c r="S311" s="56" t="str">
        <f ca="1" t="shared" si="29"/>
        <v/>
      </c>
      <c r="T311" s="10"/>
    </row>
    <row r="312" spans="1:20">
      <c r="A312" s="56" t="str">
        <f>IF($B312="","",COUNTA($B$5:$B312))</f>
        <v/>
      </c>
      <c r="B312" s="53"/>
      <c r="C312" s="46"/>
      <c r="D312" s="56" t="str">
        <f>IFERROR(INDEX(基础资料!$C$4:$C$11,MATCH($C312,基础资料!$A$4:$A$11,0)),"")</f>
        <v/>
      </c>
      <c r="E312" s="39"/>
      <c r="F312" s="46"/>
      <c r="G312" s="10"/>
      <c r="H312" s="39"/>
      <c r="I312" s="10"/>
      <c r="J312" s="25"/>
      <c r="K312" s="88"/>
      <c r="L312" s="57" t="str">
        <f t="shared" si="24"/>
        <v/>
      </c>
      <c r="M312" s="57" t="str">
        <f t="shared" si="25"/>
        <v/>
      </c>
      <c r="N312" s="57" t="str">
        <f>IF($I312="","",SUMIFS(资金流水!$K$5:$K$3032,资金流水!$Q$5:$Q$3015,$I312))</f>
        <v/>
      </c>
      <c r="O312" s="25"/>
      <c r="P312" s="57" t="str">
        <f t="shared" si="26"/>
        <v/>
      </c>
      <c r="Q312" s="58" t="str">
        <f t="shared" si="27"/>
        <v/>
      </c>
      <c r="R312" s="54" t="str">
        <f t="shared" si="28"/>
        <v/>
      </c>
      <c r="S312" s="56" t="str">
        <f ca="1" t="shared" si="29"/>
        <v/>
      </c>
      <c r="T312" s="10"/>
    </row>
    <row r="313" spans="1:20">
      <c r="A313" s="56" t="str">
        <f>IF($B313="","",COUNTA($B$5:$B313))</f>
        <v/>
      </c>
      <c r="B313" s="53"/>
      <c r="C313" s="46"/>
      <c r="D313" s="56" t="str">
        <f>IFERROR(INDEX(基础资料!$C$4:$C$11,MATCH($C313,基础资料!$A$4:$A$11,0)),"")</f>
        <v/>
      </c>
      <c r="E313" s="39"/>
      <c r="F313" s="46"/>
      <c r="G313" s="10"/>
      <c r="H313" s="39"/>
      <c r="I313" s="10"/>
      <c r="J313" s="25"/>
      <c r="K313" s="88"/>
      <c r="L313" s="57" t="str">
        <f t="shared" si="24"/>
        <v/>
      </c>
      <c r="M313" s="57" t="str">
        <f t="shared" si="25"/>
        <v/>
      </c>
      <c r="N313" s="57" t="str">
        <f>IF($I313="","",SUMIFS(资金流水!$K$5:$K$3032,资金流水!$Q$5:$Q$3015,$I313))</f>
        <v/>
      </c>
      <c r="O313" s="25"/>
      <c r="P313" s="57" t="str">
        <f t="shared" si="26"/>
        <v/>
      </c>
      <c r="Q313" s="58" t="str">
        <f t="shared" si="27"/>
        <v/>
      </c>
      <c r="R313" s="54" t="str">
        <f t="shared" si="28"/>
        <v/>
      </c>
      <c r="S313" s="56" t="str">
        <f ca="1" t="shared" si="29"/>
        <v/>
      </c>
      <c r="T313" s="10"/>
    </row>
    <row r="314" spans="1:20">
      <c r="A314" s="56" t="str">
        <f>IF($B314="","",COUNTA($B$5:$B314))</f>
        <v/>
      </c>
      <c r="B314" s="53"/>
      <c r="C314" s="46"/>
      <c r="D314" s="56" t="str">
        <f>IFERROR(INDEX(基础资料!$C$4:$C$11,MATCH($C314,基础资料!$A$4:$A$11,0)),"")</f>
        <v/>
      </c>
      <c r="E314" s="39"/>
      <c r="F314" s="46"/>
      <c r="G314" s="10"/>
      <c r="H314" s="39"/>
      <c r="I314" s="10"/>
      <c r="J314" s="25"/>
      <c r="K314" s="88"/>
      <c r="L314" s="57" t="str">
        <f t="shared" si="24"/>
        <v/>
      </c>
      <c r="M314" s="57" t="str">
        <f t="shared" si="25"/>
        <v/>
      </c>
      <c r="N314" s="57" t="str">
        <f>IF($I314="","",SUMIFS(资金流水!$K$5:$K$3032,资金流水!$Q$5:$Q$3015,$I314))</f>
        <v/>
      </c>
      <c r="O314" s="25"/>
      <c r="P314" s="57" t="str">
        <f t="shared" si="26"/>
        <v/>
      </c>
      <c r="Q314" s="58" t="str">
        <f t="shared" si="27"/>
        <v/>
      </c>
      <c r="R314" s="54" t="str">
        <f t="shared" si="28"/>
        <v/>
      </c>
      <c r="S314" s="56" t="str">
        <f ca="1" t="shared" si="29"/>
        <v/>
      </c>
      <c r="T314" s="10"/>
    </row>
    <row r="315" spans="1:20">
      <c r="A315" s="56" t="str">
        <f>IF($B315="","",COUNTA($B$5:$B315))</f>
        <v/>
      </c>
      <c r="B315" s="53"/>
      <c r="C315" s="46"/>
      <c r="D315" s="56" t="str">
        <f>IFERROR(INDEX(基础资料!$C$4:$C$11,MATCH($C315,基础资料!$A$4:$A$11,0)),"")</f>
        <v/>
      </c>
      <c r="E315" s="39"/>
      <c r="F315" s="46"/>
      <c r="G315" s="10"/>
      <c r="H315" s="39"/>
      <c r="I315" s="10"/>
      <c r="J315" s="25"/>
      <c r="K315" s="88"/>
      <c r="L315" s="57" t="str">
        <f t="shared" si="24"/>
        <v/>
      </c>
      <c r="M315" s="57" t="str">
        <f t="shared" si="25"/>
        <v/>
      </c>
      <c r="N315" s="57" t="str">
        <f>IF($I315="","",SUMIFS(资金流水!$K$5:$K$3032,资金流水!$Q$5:$Q$3015,$I315))</f>
        <v/>
      </c>
      <c r="O315" s="25"/>
      <c r="P315" s="57" t="str">
        <f t="shared" si="26"/>
        <v/>
      </c>
      <c r="Q315" s="58" t="str">
        <f t="shared" si="27"/>
        <v/>
      </c>
      <c r="R315" s="54" t="str">
        <f t="shared" si="28"/>
        <v/>
      </c>
      <c r="S315" s="56" t="str">
        <f ca="1" t="shared" si="29"/>
        <v/>
      </c>
      <c r="T315" s="10"/>
    </row>
    <row r="316" spans="1:20">
      <c r="A316" s="56" t="str">
        <f>IF($B316="","",COUNTA($B$5:$B316))</f>
        <v/>
      </c>
      <c r="B316" s="53"/>
      <c r="C316" s="46"/>
      <c r="D316" s="56" t="str">
        <f>IFERROR(INDEX(基础资料!$C$4:$C$11,MATCH($C316,基础资料!$A$4:$A$11,0)),"")</f>
        <v/>
      </c>
      <c r="E316" s="39"/>
      <c r="F316" s="46"/>
      <c r="G316" s="10"/>
      <c r="H316" s="39"/>
      <c r="I316" s="10"/>
      <c r="J316" s="25"/>
      <c r="K316" s="88"/>
      <c r="L316" s="57" t="str">
        <f t="shared" si="24"/>
        <v/>
      </c>
      <c r="M316" s="57" t="str">
        <f t="shared" si="25"/>
        <v/>
      </c>
      <c r="N316" s="57" t="str">
        <f>IF($I316="","",SUMIFS(资金流水!$K$5:$K$3032,资金流水!$Q$5:$Q$3015,$I316))</f>
        <v/>
      </c>
      <c r="O316" s="25"/>
      <c r="P316" s="57" t="str">
        <f t="shared" si="26"/>
        <v/>
      </c>
      <c r="Q316" s="58" t="str">
        <f t="shared" si="27"/>
        <v/>
      </c>
      <c r="R316" s="54" t="str">
        <f t="shared" si="28"/>
        <v/>
      </c>
      <c r="S316" s="56" t="str">
        <f ca="1" t="shared" si="29"/>
        <v/>
      </c>
      <c r="T316" s="10"/>
    </row>
    <row r="317" spans="1:20">
      <c r="A317" s="56" t="str">
        <f>IF($B317="","",COUNTA($B$5:$B317))</f>
        <v/>
      </c>
      <c r="B317" s="53"/>
      <c r="C317" s="46"/>
      <c r="D317" s="56" t="str">
        <f>IFERROR(INDEX(基础资料!$C$4:$C$11,MATCH($C317,基础资料!$A$4:$A$11,0)),"")</f>
        <v/>
      </c>
      <c r="E317" s="39"/>
      <c r="F317" s="46"/>
      <c r="G317" s="10"/>
      <c r="H317" s="39"/>
      <c r="I317" s="10"/>
      <c r="J317" s="25"/>
      <c r="K317" s="88"/>
      <c r="L317" s="57" t="str">
        <f t="shared" si="24"/>
        <v/>
      </c>
      <c r="M317" s="57" t="str">
        <f t="shared" si="25"/>
        <v/>
      </c>
      <c r="N317" s="57" t="str">
        <f>IF($I317="","",SUMIFS(资金流水!$K$5:$K$3032,资金流水!$Q$5:$Q$3015,$I317))</f>
        <v/>
      </c>
      <c r="O317" s="25"/>
      <c r="P317" s="57" t="str">
        <f t="shared" si="26"/>
        <v/>
      </c>
      <c r="Q317" s="58" t="str">
        <f t="shared" si="27"/>
        <v/>
      </c>
      <c r="R317" s="54" t="str">
        <f t="shared" si="28"/>
        <v/>
      </c>
      <c r="S317" s="56" t="str">
        <f ca="1" t="shared" si="29"/>
        <v/>
      </c>
      <c r="T317" s="10"/>
    </row>
    <row r="318" spans="1:20">
      <c r="A318" s="56" t="str">
        <f>IF($B318="","",COUNTA($B$5:$B318))</f>
        <v/>
      </c>
      <c r="B318" s="53"/>
      <c r="C318" s="46"/>
      <c r="D318" s="56" t="str">
        <f>IFERROR(INDEX(基础资料!$C$4:$C$11,MATCH($C318,基础资料!$A$4:$A$11,0)),"")</f>
        <v/>
      </c>
      <c r="E318" s="39"/>
      <c r="F318" s="46"/>
      <c r="G318" s="10"/>
      <c r="H318" s="39"/>
      <c r="I318" s="10"/>
      <c r="J318" s="25"/>
      <c r="K318" s="88"/>
      <c r="L318" s="57" t="str">
        <f t="shared" si="24"/>
        <v/>
      </c>
      <c r="M318" s="57" t="str">
        <f t="shared" si="25"/>
        <v/>
      </c>
      <c r="N318" s="57" t="str">
        <f>IF($I318="","",SUMIFS(资金流水!$K$5:$K$3032,资金流水!$Q$5:$Q$3015,$I318))</f>
        <v/>
      </c>
      <c r="O318" s="25"/>
      <c r="P318" s="57" t="str">
        <f t="shared" si="26"/>
        <v/>
      </c>
      <c r="Q318" s="58" t="str">
        <f t="shared" si="27"/>
        <v/>
      </c>
      <c r="R318" s="54" t="str">
        <f t="shared" si="28"/>
        <v/>
      </c>
      <c r="S318" s="56" t="str">
        <f ca="1" t="shared" si="29"/>
        <v/>
      </c>
      <c r="T318" s="10"/>
    </row>
    <row r="319" spans="1:20">
      <c r="A319" s="56" t="str">
        <f>IF($B319="","",COUNTA($B$5:$B319))</f>
        <v/>
      </c>
      <c r="B319" s="53"/>
      <c r="C319" s="46"/>
      <c r="D319" s="56" t="str">
        <f>IFERROR(INDEX(基础资料!$C$4:$C$11,MATCH($C319,基础资料!$A$4:$A$11,0)),"")</f>
        <v/>
      </c>
      <c r="E319" s="39"/>
      <c r="F319" s="46"/>
      <c r="G319" s="10"/>
      <c r="H319" s="39"/>
      <c r="I319" s="10"/>
      <c r="J319" s="25"/>
      <c r="K319" s="88"/>
      <c r="L319" s="57" t="str">
        <f t="shared" si="24"/>
        <v/>
      </c>
      <c r="M319" s="57" t="str">
        <f t="shared" si="25"/>
        <v/>
      </c>
      <c r="N319" s="57" t="str">
        <f>IF($I319="","",SUMIFS(资金流水!$K$5:$K$3032,资金流水!$Q$5:$Q$3015,$I319))</f>
        <v/>
      </c>
      <c r="O319" s="25"/>
      <c r="P319" s="57" t="str">
        <f t="shared" si="26"/>
        <v/>
      </c>
      <c r="Q319" s="58" t="str">
        <f t="shared" si="27"/>
        <v/>
      </c>
      <c r="R319" s="54" t="str">
        <f t="shared" si="28"/>
        <v/>
      </c>
      <c r="S319" s="56" t="str">
        <f ca="1" t="shared" si="29"/>
        <v/>
      </c>
      <c r="T319" s="10"/>
    </row>
    <row r="320" spans="1:20">
      <c r="A320" s="56" t="str">
        <f>IF($B320="","",COUNTA($B$5:$B320))</f>
        <v/>
      </c>
      <c r="B320" s="53"/>
      <c r="C320" s="46"/>
      <c r="D320" s="56" t="str">
        <f>IFERROR(INDEX(基础资料!$C$4:$C$11,MATCH($C320,基础资料!$A$4:$A$11,0)),"")</f>
        <v/>
      </c>
      <c r="E320" s="39"/>
      <c r="F320" s="46"/>
      <c r="G320" s="10"/>
      <c r="H320" s="39"/>
      <c r="I320" s="10"/>
      <c r="J320" s="25"/>
      <c r="K320" s="88"/>
      <c r="L320" s="57" t="str">
        <f t="shared" si="24"/>
        <v/>
      </c>
      <c r="M320" s="57" t="str">
        <f t="shared" si="25"/>
        <v/>
      </c>
      <c r="N320" s="57" t="str">
        <f>IF($I320="","",SUMIFS(资金流水!$K$5:$K$3032,资金流水!$Q$5:$Q$3015,$I320))</f>
        <v/>
      </c>
      <c r="O320" s="25"/>
      <c r="P320" s="57" t="str">
        <f t="shared" si="26"/>
        <v/>
      </c>
      <c r="Q320" s="58" t="str">
        <f t="shared" si="27"/>
        <v/>
      </c>
      <c r="R320" s="54" t="str">
        <f t="shared" si="28"/>
        <v/>
      </c>
      <c r="S320" s="56" t="str">
        <f ca="1" t="shared" si="29"/>
        <v/>
      </c>
      <c r="T320" s="10"/>
    </row>
    <row r="321" spans="1:20">
      <c r="A321" s="56" t="str">
        <f>IF($B321="","",COUNTA($B$5:$B321))</f>
        <v/>
      </c>
      <c r="B321" s="53"/>
      <c r="C321" s="46"/>
      <c r="D321" s="56" t="str">
        <f>IFERROR(INDEX(基础资料!$C$4:$C$11,MATCH($C321,基础资料!$A$4:$A$11,0)),"")</f>
        <v/>
      </c>
      <c r="E321" s="39"/>
      <c r="F321" s="46"/>
      <c r="G321" s="10"/>
      <c r="H321" s="39"/>
      <c r="I321" s="10"/>
      <c r="J321" s="25"/>
      <c r="K321" s="88"/>
      <c r="L321" s="57" t="str">
        <f t="shared" si="24"/>
        <v/>
      </c>
      <c r="M321" s="57" t="str">
        <f t="shared" si="25"/>
        <v/>
      </c>
      <c r="N321" s="57" t="str">
        <f>IF($I321="","",SUMIFS(资金流水!$K$5:$K$3032,资金流水!$Q$5:$Q$3015,$I321))</f>
        <v/>
      </c>
      <c r="O321" s="25"/>
      <c r="P321" s="57" t="str">
        <f t="shared" si="26"/>
        <v/>
      </c>
      <c r="Q321" s="58" t="str">
        <f t="shared" si="27"/>
        <v/>
      </c>
      <c r="R321" s="54" t="str">
        <f t="shared" si="28"/>
        <v/>
      </c>
      <c r="S321" s="56" t="str">
        <f ca="1" t="shared" si="29"/>
        <v/>
      </c>
      <c r="T321" s="10"/>
    </row>
    <row r="322" spans="1:20">
      <c r="A322" s="56" t="str">
        <f>IF($B322="","",COUNTA($B$5:$B322))</f>
        <v/>
      </c>
      <c r="B322" s="53"/>
      <c r="C322" s="46"/>
      <c r="D322" s="56" t="str">
        <f>IFERROR(INDEX(基础资料!$C$4:$C$11,MATCH($C322,基础资料!$A$4:$A$11,0)),"")</f>
        <v/>
      </c>
      <c r="E322" s="39"/>
      <c r="F322" s="46"/>
      <c r="G322" s="10"/>
      <c r="H322" s="39"/>
      <c r="I322" s="10"/>
      <c r="J322" s="25"/>
      <c r="K322" s="88"/>
      <c r="L322" s="57" t="str">
        <f t="shared" si="24"/>
        <v/>
      </c>
      <c r="M322" s="57" t="str">
        <f t="shared" si="25"/>
        <v/>
      </c>
      <c r="N322" s="57" t="str">
        <f>IF($I322="","",SUMIFS(资金流水!$K$5:$K$3032,资金流水!$Q$5:$Q$3015,$I322))</f>
        <v/>
      </c>
      <c r="O322" s="25"/>
      <c r="P322" s="57" t="str">
        <f t="shared" si="26"/>
        <v/>
      </c>
      <c r="Q322" s="58" t="str">
        <f t="shared" si="27"/>
        <v/>
      </c>
      <c r="R322" s="54" t="str">
        <f t="shared" si="28"/>
        <v/>
      </c>
      <c r="S322" s="56" t="str">
        <f ca="1" t="shared" si="29"/>
        <v/>
      </c>
      <c r="T322" s="10"/>
    </row>
    <row r="323" spans="1:20">
      <c r="A323" s="56" t="str">
        <f>IF($B323="","",COUNTA($B$5:$B323))</f>
        <v/>
      </c>
      <c r="B323" s="53"/>
      <c r="C323" s="46"/>
      <c r="D323" s="56" t="str">
        <f>IFERROR(INDEX(基础资料!$C$4:$C$11,MATCH($C323,基础资料!$A$4:$A$11,0)),"")</f>
        <v/>
      </c>
      <c r="E323" s="39"/>
      <c r="F323" s="46"/>
      <c r="G323" s="10"/>
      <c r="H323" s="39"/>
      <c r="I323" s="10"/>
      <c r="J323" s="25"/>
      <c r="K323" s="88"/>
      <c r="L323" s="57" t="str">
        <f t="shared" si="24"/>
        <v/>
      </c>
      <c r="M323" s="57" t="str">
        <f t="shared" si="25"/>
        <v/>
      </c>
      <c r="N323" s="57" t="str">
        <f>IF($I323="","",SUMIFS(资金流水!$K$5:$K$3032,资金流水!$Q$5:$Q$3015,$I323))</f>
        <v/>
      </c>
      <c r="O323" s="25"/>
      <c r="P323" s="57" t="str">
        <f t="shared" si="26"/>
        <v/>
      </c>
      <c r="Q323" s="58" t="str">
        <f t="shared" si="27"/>
        <v/>
      </c>
      <c r="R323" s="54" t="str">
        <f t="shared" si="28"/>
        <v/>
      </c>
      <c r="S323" s="56" t="str">
        <f ca="1" t="shared" si="29"/>
        <v/>
      </c>
      <c r="T323" s="10"/>
    </row>
    <row r="324" spans="1:20">
      <c r="A324" s="56" t="str">
        <f>IF($B324="","",COUNTA($B$5:$B324))</f>
        <v/>
      </c>
      <c r="B324" s="53"/>
      <c r="C324" s="46"/>
      <c r="D324" s="56" t="str">
        <f>IFERROR(INDEX(基础资料!$C$4:$C$11,MATCH($C324,基础资料!$A$4:$A$11,0)),"")</f>
        <v/>
      </c>
      <c r="E324" s="39"/>
      <c r="F324" s="46"/>
      <c r="G324" s="10"/>
      <c r="H324" s="39"/>
      <c r="I324" s="10"/>
      <c r="J324" s="25"/>
      <c r="K324" s="88"/>
      <c r="L324" s="57" t="str">
        <f t="shared" si="24"/>
        <v/>
      </c>
      <c r="M324" s="57" t="str">
        <f t="shared" si="25"/>
        <v/>
      </c>
      <c r="N324" s="57" t="str">
        <f>IF($I324="","",SUMIFS(资金流水!$K$5:$K$3032,资金流水!$Q$5:$Q$3015,$I324))</f>
        <v/>
      </c>
      <c r="O324" s="25"/>
      <c r="P324" s="57" t="str">
        <f t="shared" si="26"/>
        <v/>
      </c>
      <c r="Q324" s="58" t="str">
        <f t="shared" si="27"/>
        <v/>
      </c>
      <c r="R324" s="54" t="str">
        <f t="shared" si="28"/>
        <v/>
      </c>
      <c r="S324" s="56" t="str">
        <f ca="1" t="shared" si="29"/>
        <v/>
      </c>
      <c r="T324" s="10"/>
    </row>
    <row r="325" spans="1:20">
      <c r="A325" s="56" t="str">
        <f>IF($B325="","",COUNTA($B$5:$B325))</f>
        <v/>
      </c>
      <c r="B325" s="53"/>
      <c r="C325" s="46"/>
      <c r="D325" s="56" t="str">
        <f>IFERROR(INDEX(基础资料!$C$4:$C$11,MATCH($C325,基础资料!$A$4:$A$11,0)),"")</f>
        <v/>
      </c>
      <c r="E325" s="39"/>
      <c r="F325" s="46"/>
      <c r="G325" s="10"/>
      <c r="H325" s="39"/>
      <c r="I325" s="10"/>
      <c r="J325" s="25"/>
      <c r="K325" s="88"/>
      <c r="L325" s="57" t="str">
        <f t="shared" ref="L325:L388" si="30">IF($J325="","",ROUND($J325*$K325,2))</f>
        <v/>
      </c>
      <c r="M325" s="57" t="str">
        <f t="shared" ref="M325:M388" si="31">IF($J325="","",ROUND($J325+$L325,2))</f>
        <v/>
      </c>
      <c r="N325" s="57" t="str">
        <f>IF($I325="","",SUMIFS(资金流水!$K$5:$K$3032,资金流水!$Q$5:$Q$3015,$I325))</f>
        <v/>
      </c>
      <c r="O325" s="25"/>
      <c r="P325" s="57" t="str">
        <f t="shared" ref="P325:P388" si="32">IF($J325="","",ROUND($M325-IF($N325="",0,$N325)-IF($O325="",0,$O325),2))</f>
        <v/>
      </c>
      <c r="Q325" s="58" t="str">
        <f t="shared" ref="Q325:Q388" si="33">IF($J325="","",IF($P325&lt;=0.005,"已收齐",IF(IF($N325="",0,$N325)+IF($O325="",0,$O325)&lt;=0,"未收款","部分收款")))</f>
        <v/>
      </c>
      <c r="R325" s="54" t="str">
        <f t="shared" ref="R325:R388" si="34">IF($B325="","",--TEXT($B325,"yyyymm"))</f>
        <v/>
      </c>
      <c r="S325" s="56" t="str">
        <f ca="1" t="shared" ref="S325:S388" si="35">IF(OR($B325="",$P325="",$P325&lt;=0.005),"",TODAY()-$B325)</f>
        <v/>
      </c>
      <c r="T325" s="10"/>
    </row>
    <row r="326" spans="1:20">
      <c r="A326" s="56" t="str">
        <f>IF($B326="","",COUNTA($B$5:$B326))</f>
        <v/>
      </c>
      <c r="B326" s="53"/>
      <c r="C326" s="46"/>
      <c r="D326" s="56" t="str">
        <f>IFERROR(INDEX(基础资料!$C$4:$C$11,MATCH($C326,基础资料!$A$4:$A$11,0)),"")</f>
        <v/>
      </c>
      <c r="E326" s="39"/>
      <c r="F326" s="46"/>
      <c r="G326" s="10"/>
      <c r="H326" s="39"/>
      <c r="I326" s="10"/>
      <c r="J326" s="25"/>
      <c r="K326" s="88"/>
      <c r="L326" s="57" t="str">
        <f t="shared" si="30"/>
        <v/>
      </c>
      <c r="M326" s="57" t="str">
        <f t="shared" si="31"/>
        <v/>
      </c>
      <c r="N326" s="57" t="str">
        <f>IF($I326="","",SUMIFS(资金流水!$K$5:$K$3032,资金流水!$Q$5:$Q$3015,$I326))</f>
        <v/>
      </c>
      <c r="O326" s="25"/>
      <c r="P326" s="57" t="str">
        <f t="shared" si="32"/>
        <v/>
      </c>
      <c r="Q326" s="58" t="str">
        <f t="shared" si="33"/>
        <v/>
      </c>
      <c r="R326" s="54" t="str">
        <f t="shared" si="34"/>
        <v/>
      </c>
      <c r="S326" s="56" t="str">
        <f ca="1" t="shared" si="35"/>
        <v/>
      </c>
      <c r="T326" s="10"/>
    </row>
    <row r="327" spans="1:20">
      <c r="A327" s="56" t="str">
        <f>IF($B327="","",COUNTA($B$5:$B327))</f>
        <v/>
      </c>
      <c r="B327" s="53"/>
      <c r="C327" s="46"/>
      <c r="D327" s="56" t="str">
        <f>IFERROR(INDEX(基础资料!$C$4:$C$11,MATCH($C327,基础资料!$A$4:$A$11,0)),"")</f>
        <v/>
      </c>
      <c r="E327" s="39"/>
      <c r="F327" s="46"/>
      <c r="G327" s="10"/>
      <c r="H327" s="39"/>
      <c r="I327" s="10"/>
      <c r="J327" s="25"/>
      <c r="K327" s="88"/>
      <c r="L327" s="57" t="str">
        <f t="shared" si="30"/>
        <v/>
      </c>
      <c r="M327" s="57" t="str">
        <f t="shared" si="31"/>
        <v/>
      </c>
      <c r="N327" s="57" t="str">
        <f>IF($I327="","",SUMIFS(资金流水!$K$5:$K$3032,资金流水!$Q$5:$Q$3015,$I327))</f>
        <v/>
      </c>
      <c r="O327" s="25"/>
      <c r="P327" s="57" t="str">
        <f t="shared" si="32"/>
        <v/>
      </c>
      <c r="Q327" s="58" t="str">
        <f t="shared" si="33"/>
        <v/>
      </c>
      <c r="R327" s="54" t="str">
        <f t="shared" si="34"/>
        <v/>
      </c>
      <c r="S327" s="56" t="str">
        <f ca="1" t="shared" si="35"/>
        <v/>
      </c>
      <c r="T327" s="10"/>
    </row>
    <row r="328" spans="1:20">
      <c r="A328" s="56" t="str">
        <f>IF($B328="","",COUNTA($B$5:$B328))</f>
        <v/>
      </c>
      <c r="B328" s="53"/>
      <c r="C328" s="46"/>
      <c r="D328" s="56" t="str">
        <f>IFERROR(INDEX(基础资料!$C$4:$C$11,MATCH($C328,基础资料!$A$4:$A$11,0)),"")</f>
        <v/>
      </c>
      <c r="E328" s="39"/>
      <c r="F328" s="46"/>
      <c r="G328" s="10"/>
      <c r="H328" s="39"/>
      <c r="I328" s="10"/>
      <c r="J328" s="25"/>
      <c r="K328" s="88"/>
      <c r="L328" s="57" t="str">
        <f t="shared" si="30"/>
        <v/>
      </c>
      <c r="M328" s="57" t="str">
        <f t="shared" si="31"/>
        <v/>
      </c>
      <c r="N328" s="57" t="str">
        <f>IF($I328="","",SUMIFS(资金流水!$K$5:$K$3032,资金流水!$Q$5:$Q$3015,$I328))</f>
        <v/>
      </c>
      <c r="O328" s="25"/>
      <c r="P328" s="57" t="str">
        <f t="shared" si="32"/>
        <v/>
      </c>
      <c r="Q328" s="58" t="str">
        <f t="shared" si="33"/>
        <v/>
      </c>
      <c r="R328" s="54" t="str">
        <f t="shared" si="34"/>
        <v/>
      </c>
      <c r="S328" s="56" t="str">
        <f ca="1" t="shared" si="35"/>
        <v/>
      </c>
      <c r="T328" s="10"/>
    </row>
    <row r="329" spans="1:20">
      <c r="A329" s="56" t="str">
        <f>IF($B329="","",COUNTA($B$5:$B329))</f>
        <v/>
      </c>
      <c r="B329" s="53"/>
      <c r="C329" s="46"/>
      <c r="D329" s="56" t="str">
        <f>IFERROR(INDEX(基础资料!$C$4:$C$11,MATCH($C329,基础资料!$A$4:$A$11,0)),"")</f>
        <v/>
      </c>
      <c r="E329" s="39"/>
      <c r="F329" s="46"/>
      <c r="G329" s="10"/>
      <c r="H329" s="39"/>
      <c r="I329" s="10"/>
      <c r="J329" s="25"/>
      <c r="K329" s="88"/>
      <c r="L329" s="57" t="str">
        <f t="shared" si="30"/>
        <v/>
      </c>
      <c r="M329" s="57" t="str">
        <f t="shared" si="31"/>
        <v/>
      </c>
      <c r="N329" s="57" t="str">
        <f>IF($I329="","",SUMIFS(资金流水!$K$5:$K$3032,资金流水!$Q$5:$Q$3015,$I329))</f>
        <v/>
      </c>
      <c r="O329" s="25"/>
      <c r="P329" s="57" t="str">
        <f t="shared" si="32"/>
        <v/>
      </c>
      <c r="Q329" s="58" t="str">
        <f t="shared" si="33"/>
        <v/>
      </c>
      <c r="R329" s="54" t="str">
        <f t="shared" si="34"/>
        <v/>
      </c>
      <c r="S329" s="56" t="str">
        <f ca="1" t="shared" si="35"/>
        <v/>
      </c>
      <c r="T329" s="10"/>
    </row>
    <row r="330" spans="1:20">
      <c r="A330" s="56" t="str">
        <f>IF($B330="","",COUNTA($B$5:$B330))</f>
        <v/>
      </c>
      <c r="B330" s="53"/>
      <c r="C330" s="46"/>
      <c r="D330" s="56" t="str">
        <f>IFERROR(INDEX(基础资料!$C$4:$C$11,MATCH($C330,基础资料!$A$4:$A$11,0)),"")</f>
        <v/>
      </c>
      <c r="E330" s="39"/>
      <c r="F330" s="46"/>
      <c r="G330" s="10"/>
      <c r="H330" s="39"/>
      <c r="I330" s="10"/>
      <c r="J330" s="25"/>
      <c r="K330" s="88"/>
      <c r="L330" s="57" t="str">
        <f t="shared" si="30"/>
        <v/>
      </c>
      <c r="M330" s="57" t="str">
        <f t="shared" si="31"/>
        <v/>
      </c>
      <c r="N330" s="57" t="str">
        <f>IF($I330="","",SUMIFS(资金流水!$K$5:$K$3032,资金流水!$Q$5:$Q$3015,$I330))</f>
        <v/>
      </c>
      <c r="O330" s="25"/>
      <c r="P330" s="57" t="str">
        <f t="shared" si="32"/>
        <v/>
      </c>
      <c r="Q330" s="58" t="str">
        <f t="shared" si="33"/>
        <v/>
      </c>
      <c r="R330" s="54" t="str">
        <f t="shared" si="34"/>
        <v/>
      </c>
      <c r="S330" s="56" t="str">
        <f ca="1" t="shared" si="35"/>
        <v/>
      </c>
      <c r="T330" s="10"/>
    </row>
    <row r="331" spans="1:20">
      <c r="A331" s="56" t="str">
        <f>IF($B331="","",COUNTA($B$5:$B331))</f>
        <v/>
      </c>
      <c r="B331" s="53"/>
      <c r="C331" s="46"/>
      <c r="D331" s="56" t="str">
        <f>IFERROR(INDEX(基础资料!$C$4:$C$11,MATCH($C331,基础资料!$A$4:$A$11,0)),"")</f>
        <v/>
      </c>
      <c r="E331" s="39"/>
      <c r="F331" s="46"/>
      <c r="G331" s="10"/>
      <c r="H331" s="39"/>
      <c r="I331" s="10"/>
      <c r="J331" s="25"/>
      <c r="K331" s="88"/>
      <c r="L331" s="57" t="str">
        <f t="shared" si="30"/>
        <v/>
      </c>
      <c r="M331" s="57" t="str">
        <f t="shared" si="31"/>
        <v/>
      </c>
      <c r="N331" s="57" t="str">
        <f>IF($I331="","",SUMIFS(资金流水!$K$5:$K$3032,资金流水!$Q$5:$Q$3015,$I331))</f>
        <v/>
      </c>
      <c r="O331" s="25"/>
      <c r="P331" s="57" t="str">
        <f t="shared" si="32"/>
        <v/>
      </c>
      <c r="Q331" s="58" t="str">
        <f t="shared" si="33"/>
        <v/>
      </c>
      <c r="R331" s="54" t="str">
        <f t="shared" si="34"/>
        <v/>
      </c>
      <c r="S331" s="56" t="str">
        <f ca="1" t="shared" si="35"/>
        <v/>
      </c>
      <c r="T331" s="10"/>
    </row>
    <row r="332" spans="1:20">
      <c r="A332" s="56" t="str">
        <f>IF($B332="","",COUNTA($B$5:$B332))</f>
        <v/>
      </c>
      <c r="B332" s="53"/>
      <c r="C332" s="46"/>
      <c r="D332" s="56" t="str">
        <f>IFERROR(INDEX(基础资料!$C$4:$C$11,MATCH($C332,基础资料!$A$4:$A$11,0)),"")</f>
        <v/>
      </c>
      <c r="E332" s="39"/>
      <c r="F332" s="46"/>
      <c r="G332" s="10"/>
      <c r="H332" s="39"/>
      <c r="I332" s="10"/>
      <c r="J332" s="25"/>
      <c r="K332" s="88"/>
      <c r="L332" s="57" t="str">
        <f t="shared" si="30"/>
        <v/>
      </c>
      <c r="M332" s="57" t="str">
        <f t="shared" si="31"/>
        <v/>
      </c>
      <c r="N332" s="57" t="str">
        <f>IF($I332="","",SUMIFS(资金流水!$K$5:$K$3032,资金流水!$Q$5:$Q$3015,$I332))</f>
        <v/>
      </c>
      <c r="O332" s="25"/>
      <c r="P332" s="57" t="str">
        <f t="shared" si="32"/>
        <v/>
      </c>
      <c r="Q332" s="58" t="str">
        <f t="shared" si="33"/>
        <v/>
      </c>
      <c r="R332" s="54" t="str">
        <f t="shared" si="34"/>
        <v/>
      </c>
      <c r="S332" s="56" t="str">
        <f ca="1" t="shared" si="35"/>
        <v/>
      </c>
      <c r="T332" s="10"/>
    </row>
    <row r="333" spans="1:20">
      <c r="A333" s="56" t="str">
        <f>IF($B333="","",COUNTA($B$5:$B333))</f>
        <v/>
      </c>
      <c r="B333" s="53"/>
      <c r="C333" s="46"/>
      <c r="D333" s="56" t="str">
        <f>IFERROR(INDEX(基础资料!$C$4:$C$11,MATCH($C333,基础资料!$A$4:$A$11,0)),"")</f>
        <v/>
      </c>
      <c r="E333" s="39"/>
      <c r="F333" s="46"/>
      <c r="G333" s="10"/>
      <c r="H333" s="39"/>
      <c r="I333" s="10"/>
      <c r="J333" s="25"/>
      <c r="K333" s="88"/>
      <c r="L333" s="57" t="str">
        <f t="shared" si="30"/>
        <v/>
      </c>
      <c r="M333" s="57" t="str">
        <f t="shared" si="31"/>
        <v/>
      </c>
      <c r="N333" s="57" t="str">
        <f>IF($I333="","",SUMIFS(资金流水!$K$5:$K$3032,资金流水!$Q$5:$Q$3015,$I333))</f>
        <v/>
      </c>
      <c r="O333" s="25"/>
      <c r="P333" s="57" t="str">
        <f t="shared" si="32"/>
        <v/>
      </c>
      <c r="Q333" s="58" t="str">
        <f t="shared" si="33"/>
        <v/>
      </c>
      <c r="R333" s="54" t="str">
        <f t="shared" si="34"/>
        <v/>
      </c>
      <c r="S333" s="56" t="str">
        <f ca="1" t="shared" si="35"/>
        <v/>
      </c>
      <c r="T333" s="10"/>
    </row>
    <row r="334" spans="1:20">
      <c r="A334" s="56" t="str">
        <f>IF($B334="","",COUNTA($B$5:$B334))</f>
        <v/>
      </c>
      <c r="B334" s="53"/>
      <c r="C334" s="46"/>
      <c r="D334" s="56" t="str">
        <f>IFERROR(INDEX(基础资料!$C$4:$C$11,MATCH($C334,基础资料!$A$4:$A$11,0)),"")</f>
        <v/>
      </c>
      <c r="E334" s="39"/>
      <c r="F334" s="46"/>
      <c r="G334" s="10"/>
      <c r="H334" s="39"/>
      <c r="I334" s="10"/>
      <c r="J334" s="25"/>
      <c r="K334" s="88"/>
      <c r="L334" s="57" t="str">
        <f t="shared" si="30"/>
        <v/>
      </c>
      <c r="M334" s="57" t="str">
        <f t="shared" si="31"/>
        <v/>
      </c>
      <c r="N334" s="57" t="str">
        <f>IF($I334="","",SUMIFS(资金流水!$K$5:$K$3032,资金流水!$Q$5:$Q$3015,$I334))</f>
        <v/>
      </c>
      <c r="O334" s="25"/>
      <c r="P334" s="57" t="str">
        <f t="shared" si="32"/>
        <v/>
      </c>
      <c r="Q334" s="58" t="str">
        <f t="shared" si="33"/>
        <v/>
      </c>
      <c r="R334" s="54" t="str">
        <f t="shared" si="34"/>
        <v/>
      </c>
      <c r="S334" s="56" t="str">
        <f ca="1" t="shared" si="35"/>
        <v/>
      </c>
      <c r="T334" s="10"/>
    </row>
    <row r="335" spans="1:20">
      <c r="A335" s="56" t="str">
        <f>IF($B335="","",COUNTA($B$5:$B335))</f>
        <v/>
      </c>
      <c r="B335" s="53"/>
      <c r="C335" s="46"/>
      <c r="D335" s="56" t="str">
        <f>IFERROR(INDEX(基础资料!$C$4:$C$11,MATCH($C335,基础资料!$A$4:$A$11,0)),"")</f>
        <v/>
      </c>
      <c r="E335" s="39"/>
      <c r="F335" s="46"/>
      <c r="G335" s="10"/>
      <c r="H335" s="39"/>
      <c r="I335" s="10"/>
      <c r="J335" s="25"/>
      <c r="K335" s="88"/>
      <c r="L335" s="57" t="str">
        <f t="shared" si="30"/>
        <v/>
      </c>
      <c r="M335" s="57" t="str">
        <f t="shared" si="31"/>
        <v/>
      </c>
      <c r="N335" s="57" t="str">
        <f>IF($I335="","",SUMIFS(资金流水!$K$5:$K$3032,资金流水!$Q$5:$Q$3015,$I335))</f>
        <v/>
      </c>
      <c r="O335" s="25"/>
      <c r="P335" s="57" t="str">
        <f t="shared" si="32"/>
        <v/>
      </c>
      <c r="Q335" s="58" t="str">
        <f t="shared" si="33"/>
        <v/>
      </c>
      <c r="R335" s="54" t="str">
        <f t="shared" si="34"/>
        <v/>
      </c>
      <c r="S335" s="56" t="str">
        <f ca="1" t="shared" si="35"/>
        <v/>
      </c>
      <c r="T335" s="10"/>
    </row>
    <row r="336" spans="1:20">
      <c r="A336" s="56" t="str">
        <f>IF($B336="","",COUNTA($B$5:$B336))</f>
        <v/>
      </c>
      <c r="B336" s="53"/>
      <c r="C336" s="46"/>
      <c r="D336" s="56" t="str">
        <f>IFERROR(INDEX(基础资料!$C$4:$C$11,MATCH($C336,基础资料!$A$4:$A$11,0)),"")</f>
        <v/>
      </c>
      <c r="E336" s="39"/>
      <c r="F336" s="46"/>
      <c r="G336" s="10"/>
      <c r="H336" s="39"/>
      <c r="I336" s="10"/>
      <c r="J336" s="25"/>
      <c r="K336" s="88"/>
      <c r="L336" s="57" t="str">
        <f t="shared" si="30"/>
        <v/>
      </c>
      <c r="M336" s="57" t="str">
        <f t="shared" si="31"/>
        <v/>
      </c>
      <c r="N336" s="57" t="str">
        <f>IF($I336="","",SUMIFS(资金流水!$K$5:$K$3032,资金流水!$Q$5:$Q$3015,$I336))</f>
        <v/>
      </c>
      <c r="O336" s="25"/>
      <c r="P336" s="57" t="str">
        <f t="shared" si="32"/>
        <v/>
      </c>
      <c r="Q336" s="58" t="str">
        <f t="shared" si="33"/>
        <v/>
      </c>
      <c r="R336" s="54" t="str">
        <f t="shared" si="34"/>
        <v/>
      </c>
      <c r="S336" s="56" t="str">
        <f ca="1" t="shared" si="35"/>
        <v/>
      </c>
      <c r="T336" s="10"/>
    </row>
    <row r="337" spans="1:20">
      <c r="A337" s="56" t="str">
        <f>IF($B337="","",COUNTA($B$5:$B337))</f>
        <v/>
      </c>
      <c r="B337" s="53"/>
      <c r="C337" s="46"/>
      <c r="D337" s="56" t="str">
        <f>IFERROR(INDEX(基础资料!$C$4:$C$11,MATCH($C337,基础资料!$A$4:$A$11,0)),"")</f>
        <v/>
      </c>
      <c r="E337" s="39"/>
      <c r="F337" s="46"/>
      <c r="G337" s="10"/>
      <c r="H337" s="39"/>
      <c r="I337" s="10"/>
      <c r="J337" s="25"/>
      <c r="K337" s="88"/>
      <c r="L337" s="57" t="str">
        <f t="shared" si="30"/>
        <v/>
      </c>
      <c r="M337" s="57" t="str">
        <f t="shared" si="31"/>
        <v/>
      </c>
      <c r="N337" s="57" t="str">
        <f>IF($I337="","",SUMIFS(资金流水!$K$5:$K$3032,资金流水!$Q$5:$Q$3015,$I337))</f>
        <v/>
      </c>
      <c r="O337" s="25"/>
      <c r="P337" s="57" t="str">
        <f t="shared" si="32"/>
        <v/>
      </c>
      <c r="Q337" s="58" t="str">
        <f t="shared" si="33"/>
        <v/>
      </c>
      <c r="R337" s="54" t="str">
        <f t="shared" si="34"/>
        <v/>
      </c>
      <c r="S337" s="56" t="str">
        <f ca="1" t="shared" si="35"/>
        <v/>
      </c>
      <c r="T337" s="10"/>
    </row>
    <row r="338" spans="1:20">
      <c r="A338" s="56" t="str">
        <f>IF($B338="","",COUNTA($B$5:$B338))</f>
        <v/>
      </c>
      <c r="B338" s="53"/>
      <c r="C338" s="46"/>
      <c r="D338" s="56" t="str">
        <f>IFERROR(INDEX(基础资料!$C$4:$C$11,MATCH($C338,基础资料!$A$4:$A$11,0)),"")</f>
        <v/>
      </c>
      <c r="E338" s="39"/>
      <c r="F338" s="46"/>
      <c r="G338" s="10"/>
      <c r="H338" s="39"/>
      <c r="I338" s="10"/>
      <c r="J338" s="25"/>
      <c r="K338" s="88"/>
      <c r="L338" s="57" t="str">
        <f t="shared" si="30"/>
        <v/>
      </c>
      <c r="M338" s="57" t="str">
        <f t="shared" si="31"/>
        <v/>
      </c>
      <c r="N338" s="57" t="str">
        <f>IF($I338="","",SUMIFS(资金流水!$K$5:$K$3032,资金流水!$Q$5:$Q$3015,$I338))</f>
        <v/>
      </c>
      <c r="O338" s="25"/>
      <c r="P338" s="57" t="str">
        <f t="shared" si="32"/>
        <v/>
      </c>
      <c r="Q338" s="58" t="str">
        <f t="shared" si="33"/>
        <v/>
      </c>
      <c r="R338" s="54" t="str">
        <f t="shared" si="34"/>
        <v/>
      </c>
      <c r="S338" s="56" t="str">
        <f ca="1" t="shared" si="35"/>
        <v/>
      </c>
      <c r="T338" s="10"/>
    </row>
    <row r="339" spans="1:20">
      <c r="A339" s="56" t="str">
        <f>IF($B339="","",COUNTA($B$5:$B339))</f>
        <v/>
      </c>
      <c r="B339" s="53"/>
      <c r="C339" s="46"/>
      <c r="D339" s="56" t="str">
        <f>IFERROR(INDEX(基础资料!$C$4:$C$11,MATCH($C339,基础资料!$A$4:$A$11,0)),"")</f>
        <v/>
      </c>
      <c r="E339" s="39"/>
      <c r="F339" s="46"/>
      <c r="G339" s="10"/>
      <c r="H339" s="39"/>
      <c r="I339" s="10"/>
      <c r="J339" s="25"/>
      <c r="K339" s="88"/>
      <c r="L339" s="57" t="str">
        <f t="shared" si="30"/>
        <v/>
      </c>
      <c r="M339" s="57" t="str">
        <f t="shared" si="31"/>
        <v/>
      </c>
      <c r="N339" s="57" t="str">
        <f>IF($I339="","",SUMIFS(资金流水!$K$5:$K$3032,资金流水!$Q$5:$Q$3015,$I339))</f>
        <v/>
      </c>
      <c r="O339" s="25"/>
      <c r="P339" s="57" t="str">
        <f t="shared" si="32"/>
        <v/>
      </c>
      <c r="Q339" s="58" t="str">
        <f t="shared" si="33"/>
        <v/>
      </c>
      <c r="R339" s="54" t="str">
        <f t="shared" si="34"/>
        <v/>
      </c>
      <c r="S339" s="56" t="str">
        <f ca="1" t="shared" si="35"/>
        <v/>
      </c>
      <c r="T339" s="10"/>
    </row>
    <row r="340" spans="1:20">
      <c r="A340" s="56" t="str">
        <f>IF($B340="","",COUNTA($B$5:$B340))</f>
        <v/>
      </c>
      <c r="B340" s="53"/>
      <c r="C340" s="46"/>
      <c r="D340" s="56" t="str">
        <f>IFERROR(INDEX(基础资料!$C$4:$C$11,MATCH($C340,基础资料!$A$4:$A$11,0)),"")</f>
        <v/>
      </c>
      <c r="E340" s="39"/>
      <c r="F340" s="46"/>
      <c r="G340" s="10"/>
      <c r="H340" s="39"/>
      <c r="I340" s="10"/>
      <c r="J340" s="25"/>
      <c r="K340" s="88"/>
      <c r="L340" s="57" t="str">
        <f t="shared" si="30"/>
        <v/>
      </c>
      <c r="M340" s="57" t="str">
        <f t="shared" si="31"/>
        <v/>
      </c>
      <c r="N340" s="57" t="str">
        <f>IF($I340="","",SUMIFS(资金流水!$K$5:$K$3032,资金流水!$Q$5:$Q$3015,$I340))</f>
        <v/>
      </c>
      <c r="O340" s="25"/>
      <c r="P340" s="57" t="str">
        <f t="shared" si="32"/>
        <v/>
      </c>
      <c r="Q340" s="58" t="str">
        <f t="shared" si="33"/>
        <v/>
      </c>
      <c r="R340" s="54" t="str">
        <f t="shared" si="34"/>
        <v/>
      </c>
      <c r="S340" s="56" t="str">
        <f ca="1" t="shared" si="35"/>
        <v/>
      </c>
      <c r="T340" s="10"/>
    </row>
    <row r="341" spans="1:20">
      <c r="A341" s="56" t="str">
        <f>IF($B341="","",COUNTA($B$5:$B341))</f>
        <v/>
      </c>
      <c r="B341" s="53"/>
      <c r="C341" s="46"/>
      <c r="D341" s="56" t="str">
        <f>IFERROR(INDEX(基础资料!$C$4:$C$11,MATCH($C341,基础资料!$A$4:$A$11,0)),"")</f>
        <v/>
      </c>
      <c r="E341" s="39"/>
      <c r="F341" s="46"/>
      <c r="G341" s="10"/>
      <c r="H341" s="39"/>
      <c r="I341" s="10"/>
      <c r="J341" s="25"/>
      <c r="K341" s="88"/>
      <c r="L341" s="57" t="str">
        <f t="shared" si="30"/>
        <v/>
      </c>
      <c r="M341" s="57" t="str">
        <f t="shared" si="31"/>
        <v/>
      </c>
      <c r="N341" s="57" t="str">
        <f>IF($I341="","",SUMIFS(资金流水!$K$5:$K$3032,资金流水!$Q$5:$Q$3015,$I341))</f>
        <v/>
      </c>
      <c r="O341" s="25"/>
      <c r="P341" s="57" t="str">
        <f t="shared" si="32"/>
        <v/>
      </c>
      <c r="Q341" s="58" t="str">
        <f t="shared" si="33"/>
        <v/>
      </c>
      <c r="R341" s="54" t="str">
        <f t="shared" si="34"/>
        <v/>
      </c>
      <c r="S341" s="56" t="str">
        <f ca="1" t="shared" si="35"/>
        <v/>
      </c>
      <c r="T341" s="10"/>
    </row>
    <row r="342" spans="1:20">
      <c r="A342" s="56" t="str">
        <f>IF($B342="","",COUNTA($B$5:$B342))</f>
        <v/>
      </c>
      <c r="B342" s="53"/>
      <c r="C342" s="46"/>
      <c r="D342" s="56" t="str">
        <f>IFERROR(INDEX(基础资料!$C$4:$C$11,MATCH($C342,基础资料!$A$4:$A$11,0)),"")</f>
        <v/>
      </c>
      <c r="E342" s="39"/>
      <c r="F342" s="46"/>
      <c r="G342" s="10"/>
      <c r="H342" s="39"/>
      <c r="I342" s="10"/>
      <c r="J342" s="25"/>
      <c r="K342" s="88"/>
      <c r="L342" s="57" t="str">
        <f t="shared" si="30"/>
        <v/>
      </c>
      <c r="M342" s="57" t="str">
        <f t="shared" si="31"/>
        <v/>
      </c>
      <c r="N342" s="57" t="str">
        <f>IF($I342="","",SUMIFS(资金流水!$K$5:$K$3032,资金流水!$Q$5:$Q$3015,$I342))</f>
        <v/>
      </c>
      <c r="O342" s="25"/>
      <c r="P342" s="57" t="str">
        <f t="shared" si="32"/>
        <v/>
      </c>
      <c r="Q342" s="58" t="str">
        <f t="shared" si="33"/>
        <v/>
      </c>
      <c r="R342" s="54" t="str">
        <f t="shared" si="34"/>
        <v/>
      </c>
      <c r="S342" s="56" t="str">
        <f ca="1" t="shared" si="35"/>
        <v/>
      </c>
      <c r="T342" s="10"/>
    </row>
    <row r="343" spans="1:20">
      <c r="A343" s="56" t="str">
        <f>IF($B343="","",COUNTA($B$5:$B343))</f>
        <v/>
      </c>
      <c r="B343" s="53"/>
      <c r="C343" s="46"/>
      <c r="D343" s="56" t="str">
        <f>IFERROR(INDEX(基础资料!$C$4:$C$11,MATCH($C343,基础资料!$A$4:$A$11,0)),"")</f>
        <v/>
      </c>
      <c r="E343" s="39"/>
      <c r="F343" s="46"/>
      <c r="G343" s="10"/>
      <c r="H343" s="39"/>
      <c r="I343" s="10"/>
      <c r="J343" s="25"/>
      <c r="K343" s="88"/>
      <c r="L343" s="57" t="str">
        <f t="shared" si="30"/>
        <v/>
      </c>
      <c r="M343" s="57" t="str">
        <f t="shared" si="31"/>
        <v/>
      </c>
      <c r="N343" s="57" t="str">
        <f>IF($I343="","",SUMIFS(资金流水!$K$5:$K$3032,资金流水!$Q$5:$Q$3015,$I343))</f>
        <v/>
      </c>
      <c r="O343" s="25"/>
      <c r="P343" s="57" t="str">
        <f t="shared" si="32"/>
        <v/>
      </c>
      <c r="Q343" s="58" t="str">
        <f t="shared" si="33"/>
        <v/>
      </c>
      <c r="R343" s="54" t="str">
        <f t="shared" si="34"/>
        <v/>
      </c>
      <c r="S343" s="56" t="str">
        <f ca="1" t="shared" si="35"/>
        <v/>
      </c>
      <c r="T343" s="10"/>
    </row>
    <row r="344" spans="1:20">
      <c r="A344" s="56" t="str">
        <f>IF($B344="","",COUNTA($B$5:$B344))</f>
        <v/>
      </c>
      <c r="B344" s="53"/>
      <c r="C344" s="46"/>
      <c r="D344" s="56" t="str">
        <f>IFERROR(INDEX(基础资料!$C$4:$C$11,MATCH($C344,基础资料!$A$4:$A$11,0)),"")</f>
        <v/>
      </c>
      <c r="E344" s="39"/>
      <c r="F344" s="46"/>
      <c r="G344" s="10"/>
      <c r="H344" s="39"/>
      <c r="I344" s="10"/>
      <c r="J344" s="25"/>
      <c r="K344" s="88"/>
      <c r="L344" s="57" t="str">
        <f t="shared" si="30"/>
        <v/>
      </c>
      <c r="M344" s="57" t="str">
        <f t="shared" si="31"/>
        <v/>
      </c>
      <c r="N344" s="57" t="str">
        <f>IF($I344="","",SUMIFS(资金流水!$K$5:$K$3032,资金流水!$Q$5:$Q$3015,$I344))</f>
        <v/>
      </c>
      <c r="O344" s="25"/>
      <c r="P344" s="57" t="str">
        <f t="shared" si="32"/>
        <v/>
      </c>
      <c r="Q344" s="58" t="str">
        <f t="shared" si="33"/>
        <v/>
      </c>
      <c r="R344" s="54" t="str">
        <f t="shared" si="34"/>
        <v/>
      </c>
      <c r="S344" s="56" t="str">
        <f ca="1" t="shared" si="35"/>
        <v/>
      </c>
      <c r="T344" s="10"/>
    </row>
    <row r="345" spans="1:20">
      <c r="A345" s="56" t="str">
        <f>IF($B345="","",COUNTA($B$5:$B345))</f>
        <v/>
      </c>
      <c r="B345" s="53"/>
      <c r="C345" s="46"/>
      <c r="D345" s="56" t="str">
        <f>IFERROR(INDEX(基础资料!$C$4:$C$11,MATCH($C345,基础资料!$A$4:$A$11,0)),"")</f>
        <v/>
      </c>
      <c r="E345" s="39"/>
      <c r="F345" s="46"/>
      <c r="G345" s="10"/>
      <c r="H345" s="39"/>
      <c r="I345" s="10"/>
      <c r="J345" s="25"/>
      <c r="K345" s="88"/>
      <c r="L345" s="57" t="str">
        <f t="shared" si="30"/>
        <v/>
      </c>
      <c r="M345" s="57" t="str">
        <f t="shared" si="31"/>
        <v/>
      </c>
      <c r="N345" s="57" t="str">
        <f>IF($I345="","",SUMIFS(资金流水!$K$5:$K$3032,资金流水!$Q$5:$Q$3015,$I345))</f>
        <v/>
      </c>
      <c r="O345" s="25"/>
      <c r="P345" s="57" t="str">
        <f t="shared" si="32"/>
        <v/>
      </c>
      <c r="Q345" s="58" t="str">
        <f t="shared" si="33"/>
        <v/>
      </c>
      <c r="R345" s="54" t="str">
        <f t="shared" si="34"/>
        <v/>
      </c>
      <c r="S345" s="56" t="str">
        <f ca="1" t="shared" si="35"/>
        <v/>
      </c>
      <c r="T345" s="10"/>
    </row>
    <row r="346" spans="1:20">
      <c r="A346" s="56" t="str">
        <f>IF($B346="","",COUNTA($B$5:$B346))</f>
        <v/>
      </c>
      <c r="B346" s="53"/>
      <c r="C346" s="46"/>
      <c r="D346" s="56" t="str">
        <f>IFERROR(INDEX(基础资料!$C$4:$C$11,MATCH($C346,基础资料!$A$4:$A$11,0)),"")</f>
        <v/>
      </c>
      <c r="E346" s="39"/>
      <c r="F346" s="46"/>
      <c r="G346" s="10"/>
      <c r="H346" s="39"/>
      <c r="I346" s="10"/>
      <c r="J346" s="25"/>
      <c r="K346" s="88"/>
      <c r="L346" s="57" t="str">
        <f t="shared" si="30"/>
        <v/>
      </c>
      <c r="M346" s="57" t="str">
        <f t="shared" si="31"/>
        <v/>
      </c>
      <c r="N346" s="57" t="str">
        <f>IF($I346="","",SUMIFS(资金流水!$K$5:$K$3032,资金流水!$Q$5:$Q$3015,$I346))</f>
        <v/>
      </c>
      <c r="O346" s="25"/>
      <c r="P346" s="57" t="str">
        <f t="shared" si="32"/>
        <v/>
      </c>
      <c r="Q346" s="58" t="str">
        <f t="shared" si="33"/>
        <v/>
      </c>
      <c r="R346" s="54" t="str">
        <f t="shared" si="34"/>
        <v/>
      </c>
      <c r="S346" s="56" t="str">
        <f ca="1" t="shared" si="35"/>
        <v/>
      </c>
      <c r="T346" s="10"/>
    </row>
    <row r="347" spans="1:20">
      <c r="A347" s="56" t="str">
        <f>IF($B347="","",COUNTA($B$5:$B347))</f>
        <v/>
      </c>
      <c r="B347" s="53"/>
      <c r="C347" s="46"/>
      <c r="D347" s="56" t="str">
        <f>IFERROR(INDEX(基础资料!$C$4:$C$11,MATCH($C347,基础资料!$A$4:$A$11,0)),"")</f>
        <v/>
      </c>
      <c r="E347" s="39"/>
      <c r="F347" s="46"/>
      <c r="G347" s="10"/>
      <c r="H347" s="39"/>
      <c r="I347" s="10"/>
      <c r="J347" s="25"/>
      <c r="K347" s="88"/>
      <c r="L347" s="57" t="str">
        <f t="shared" si="30"/>
        <v/>
      </c>
      <c r="M347" s="57" t="str">
        <f t="shared" si="31"/>
        <v/>
      </c>
      <c r="N347" s="57" t="str">
        <f>IF($I347="","",SUMIFS(资金流水!$K$5:$K$3032,资金流水!$Q$5:$Q$3015,$I347))</f>
        <v/>
      </c>
      <c r="O347" s="25"/>
      <c r="P347" s="57" t="str">
        <f t="shared" si="32"/>
        <v/>
      </c>
      <c r="Q347" s="58" t="str">
        <f t="shared" si="33"/>
        <v/>
      </c>
      <c r="R347" s="54" t="str">
        <f t="shared" si="34"/>
        <v/>
      </c>
      <c r="S347" s="56" t="str">
        <f ca="1" t="shared" si="35"/>
        <v/>
      </c>
      <c r="T347" s="10"/>
    </row>
    <row r="348" spans="1:20">
      <c r="A348" s="56" t="str">
        <f>IF($B348="","",COUNTA($B$5:$B348))</f>
        <v/>
      </c>
      <c r="B348" s="53"/>
      <c r="C348" s="46"/>
      <c r="D348" s="56" t="str">
        <f>IFERROR(INDEX(基础资料!$C$4:$C$11,MATCH($C348,基础资料!$A$4:$A$11,0)),"")</f>
        <v/>
      </c>
      <c r="E348" s="39"/>
      <c r="F348" s="46"/>
      <c r="G348" s="10"/>
      <c r="H348" s="39"/>
      <c r="I348" s="10"/>
      <c r="J348" s="25"/>
      <c r="K348" s="88"/>
      <c r="L348" s="57" t="str">
        <f t="shared" si="30"/>
        <v/>
      </c>
      <c r="M348" s="57" t="str">
        <f t="shared" si="31"/>
        <v/>
      </c>
      <c r="N348" s="57" t="str">
        <f>IF($I348="","",SUMIFS(资金流水!$K$5:$K$3032,资金流水!$Q$5:$Q$3015,$I348))</f>
        <v/>
      </c>
      <c r="O348" s="25"/>
      <c r="P348" s="57" t="str">
        <f t="shared" si="32"/>
        <v/>
      </c>
      <c r="Q348" s="58" t="str">
        <f t="shared" si="33"/>
        <v/>
      </c>
      <c r="R348" s="54" t="str">
        <f t="shared" si="34"/>
        <v/>
      </c>
      <c r="S348" s="56" t="str">
        <f ca="1" t="shared" si="35"/>
        <v/>
      </c>
      <c r="T348" s="10"/>
    </row>
    <row r="349" spans="1:20">
      <c r="A349" s="56" t="str">
        <f>IF($B349="","",COUNTA($B$5:$B349))</f>
        <v/>
      </c>
      <c r="B349" s="53"/>
      <c r="C349" s="46"/>
      <c r="D349" s="56" t="str">
        <f>IFERROR(INDEX(基础资料!$C$4:$C$11,MATCH($C349,基础资料!$A$4:$A$11,0)),"")</f>
        <v/>
      </c>
      <c r="E349" s="39"/>
      <c r="F349" s="46"/>
      <c r="G349" s="10"/>
      <c r="H349" s="39"/>
      <c r="I349" s="10"/>
      <c r="J349" s="25"/>
      <c r="K349" s="88"/>
      <c r="L349" s="57" t="str">
        <f t="shared" si="30"/>
        <v/>
      </c>
      <c r="M349" s="57" t="str">
        <f t="shared" si="31"/>
        <v/>
      </c>
      <c r="N349" s="57" t="str">
        <f>IF($I349="","",SUMIFS(资金流水!$K$5:$K$3032,资金流水!$Q$5:$Q$3015,$I349))</f>
        <v/>
      </c>
      <c r="O349" s="25"/>
      <c r="P349" s="57" t="str">
        <f t="shared" si="32"/>
        <v/>
      </c>
      <c r="Q349" s="58" t="str">
        <f t="shared" si="33"/>
        <v/>
      </c>
      <c r="R349" s="54" t="str">
        <f t="shared" si="34"/>
        <v/>
      </c>
      <c r="S349" s="56" t="str">
        <f ca="1" t="shared" si="35"/>
        <v/>
      </c>
      <c r="T349" s="10"/>
    </row>
    <row r="350" spans="1:20">
      <c r="A350" s="56" t="str">
        <f>IF($B350="","",COUNTA($B$5:$B350))</f>
        <v/>
      </c>
      <c r="B350" s="53"/>
      <c r="C350" s="46"/>
      <c r="D350" s="56" t="str">
        <f>IFERROR(INDEX(基础资料!$C$4:$C$11,MATCH($C350,基础资料!$A$4:$A$11,0)),"")</f>
        <v/>
      </c>
      <c r="E350" s="39"/>
      <c r="F350" s="46"/>
      <c r="G350" s="10"/>
      <c r="H350" s="39"/>
      <c r="I350" s="10"/>
      <c r="J350" s="25"/>
      <c r="K350" s="88"/>
      <c r="L350" s="57" t="str">
        <f t="shared" si="30"/>
        <v/>
      </c>
      <c r="M350" s="57" t="str">
        <f t="shared" si="31"/>
        <v/>
      </c>
      <c r="N350" s="57" t="str">
        <f>IF($I350="","",SUMIFS(资金流水!$K$5:$K$3032,资金流水!$Q$5:$Q$3015,$I350))</f>
        <v/>
      </c>
      <c r="O350" s="25"/>
      <c r="P350" s="57" t="str">
        <f t="shared" si="32"/>
        <v/>
      </c>
      <c r="Q350" s="58" t="str">
        <f t="shared" si="33"/>
        <v/>
      </c>
      <c r="R350" s="54" t="str">
        <f t="shared" si="34"/>
        <v/>
      </c>
      <c r="S350" s="56" t="str">
        <f ca="1" t="shared" si="35"/>
        <v/>
      </c>
      <c r="T350" s="10"/>
    </row>
    <row r="351" spans="1:20">
      <c r="A351" s="56" t="str">
        <f>IF($B351="","",COUNTA($B$5:$B351))</f>
        <v/>
      </c>
      <c r="B351" s="53"/>
      <c r="C351" s="46"/>
      <c r="D351" s="56" t="str">
        <f>IFERROR(INDEX(基础资料!$C$4:$C$11,MATCH($C351,基础资料!$A$4:$A$11,0)),"")</f>
        <v/>
      </c>
      <c r="E351" s="39"/>
      <c r="F351" s="46"/>
      <c r="G351" s="10"/>
      <c r="H351" s="39"/>
      <c r="I351" s="10"/>
      <c r="J351" s="25"/>
      <c r="K351" s="88"/>
      <c r="L351" s="57" t="str">
        <f t="shared" si="30"/>
        <v/>
      </c>
      <c r="M351" s="57" t="str">
        <f t="shared" si="31"/>
        <v/>
      </c>
      <c r="N351" s="57" t="str">
        <f>IF($I351="","",SUMIFS(资金流水!$K$5:$K$3032,资金流水!$Q$5:$Q$3015,$I351))</f>
        <v/>
      </c>
      <c r="O351" s="25"/>
      <c r="P351" s="57" t="str">
        <f t="shared" si="32"/>
        <v/>
      </c>
      <c r="Q351" s="58" t="str">
        <f t="shared" si="33"/>
        <v/>
      </c>
      <c r="R351" s="54" t="str">
        <f t="shared" si="34"/>
        <v/>
      </c>
      <c r="S351" s="56" t="str">
        <f ca="1" t="shared" si="35"/>
        <v/>
      </c>
      <c r="T351" s="10"/>
    </row>
    <row r="352" spans="1:20">
      <c r="A352" s="56" t="str">
        <f>IF($B352="","",COUNTA($B$5:$B352))</f>
        <v/>
      </c>
      <c r="B352" s="53"/>
      <c r="C352" s="46"/>
      <c r="D352" s="56" t="str">
        <f>IFERROR(INDEX(基础资料!$C$4:$C$11,MATCH($C352,基础资料!$A$4:$A$11,0)),"")</f>
        <v/>
      </c>
      <c r="E352" s="39"/>
      <c r="F352" s="46"/>
      <c r="G352" s="10"/>
      <c r="H352" s="39"/>
      <c r="I352" s="10"/>
      <c r="J352" s="25"/>
      <c r="K352" s="88"/>
      <c r="L352" s="57" t="str">
        <f t="shared" si="30"/>
        <v/>
      </c>
      <c r="M352" s="57" t="str">
        <f t="shared" si="31"/>
        <v/>
      </c>
      <c r="N352" s="57" t="str">
        <f>IF($I352="","",SUMIFS(资金流水!$K$5:$K$3032,资金流水!$Q$5:$Q$3015,$I352))</f>
        <v/>
      </c>
      <c r="O352" s="25"/>
      <c r="P352" s="57" t="str">
        <f t="shared" si="32"/>
        <v/>
      </c>
      <c r="Q352" s="58" t="str">
        <f t="shared" si="33"/>
        <v/>
      </c>
      <c r="R352" s="54" t="str">
        <f t="shared" si="34"/>
        <v/>
      </c>
      <c r="S352" s="56" t="str">
        <f ca="1" t="shared" si="35"/>
        <v/>
      </c>
      <c r="T352" s="10"/>
    </row>
    <row r="353" spans="1:20">
      <c r="A353" s="56" t="str">
        <f>IF($B353="","",COUNTA($B$5:$B353))</f>
        <v/>
      </c>
      <c r="B353" s="53"/>
      <c r="C353" s="46"/>
      <c r="D353" s="56" t="str">
        <f>IFERROR(INDEX(基础资料!$C$4:$C$11,MATCH($C353,基础资料!$A$4:$A$11,0)),"")</f>
        <v/>
      </c>
      <c r="E353" s="39"/>
      <c r="F353" s="46"/>
      <c r="G353" s="10"/>
      <c r="H353" s="39"/>
      <c r="I353" s="10"/>
      <c r="J353" s="25"/>
      <c r="K353" s="88"/>
      <c r="L353" s="57" t="str">
        <f t="shared" si="30"/>
        <v/>
      </c>
      <c r="M353" s="57" t="str">
        <f t="shared" si="31"/>
        <v/>
      </c>
      <c r="N353" s="57" t="str">
        <f>IF($I353="","",SUMIFS(资金流水!$K$5:$K$3032,资金流水!$Q$5:$Q$3015,$I353))</f>
        <v/>
      </c>
      <c r="O353" s="25"/>
      <c r="P353" s="57" t="str">
        <f t="shared" si="32"/>
        <v/>
      </c>
      <c r="Q353" s="58" t="str">
        <f t="shared" si="33"/>
        <v/>
      </c>
      <c r="R353" s="54" t="str">
        <f t="shared" si="34"/>
        <v/>
      </c>
      <c r="S353" s="56" t="str">
        <f ca="1" t="shared" si="35"/>
        <v/>
      </c>
      <c r="T353" s="10"/>
    </row>
    <row r="354" spans="1:20">
      <c r="A354" s="56" t="str">
        <f>IF($B354="","",COUNTA($B$5:$B354))</f>
        <v/>
      </c>
      <c r="B354" s="53"/>
      <c r="C354" s="46"/>
      <c r="D354" s="56" t="str">
        <f>IFERROR(INDEX(基础资料!$C$4:$C$11,MATCH($C354,基础资料!$A$4:$A$11,0)),"")</f>
        <v/>
      </c>
      <c r="E354" s="39"/>
      <c r="F354" s="46"/>
      <c r="G354" s="10"/>
      <c r="H354" s="39"/>
      <c r="I354" s="10"/>
      <c r="J354" s="25"/>
      <c r="K354" s="88"/>
      <c r="L354" s="57" t="str">
        <f t="shared" si="30"/>
        <v/>
      </c>
      <c r="M354" s="57" t="str">
        <f t="shared" si="31"/>
        <v/>
      </c>
      <c r="N354" s="57" t="str">
        <f>IF($I354="","",SUMIFS(资金流水!$K$5:$K$3032,资金流水!$Q$5:$Q$3015,$I354))</f>
        <v/>
      </c>
      <c r="O354" s="25"/>
      <c r="P354" s="57" t="str">
        <f t="shared" si="32"/>
        <v/>
      </c>
      <c r="Q354" s="58" t="str">
        <f t="shared" si="33"/>
        <v/>
      </c>
      <c r="R354" s="54" t="str">
        <f t="shared" si="34"/>
        <v/>
      </c>
      <c r="S354" s="56" t="str">
        <f ca="1" t="shared" si="35"/>
        <v/>
      </c>
      <c r="T354" s="10"/>
    </row>
    <row r="355" spans="1:20">
      <c r="A355" s="56" t="str">
        <f>IF($B355="","",COUNTA($B$5:$B355))</f>
        <v/>
      </c>
      <c r="B355" s="53"/>
      <c r="C355" s="46"/>
      <c r="D355" s="56" t="str">
        <f>IFERROR(INDEX(基础资料!$C$4:$C$11,MATCH($C355,基础资料!$A$4:$A$11,0)),"")</f>
        <v/>
      </c>
      <c r="E355" s="39"/>
      <c r="F355" s="46"/>
      <c r="G355" s="10"/>
      <c r="H355" s="39"/>
      <c r="I355" s="10"/>
      <c r="J355" s="25"/>
      <c r="K355" s="88"/>
      <c r="L355" s="57" t="str">
        <f t="shared" si="30"/>
        <v/>
      </c>
      <c r="M355" s="57" t="str">
        <f t="shared" si="31"/>
        <v/>
      </c>
      <c r="N355" s="57" t="str">
        <f>IF($I355="","",SUMIFS(资金流水!$K$5:$K$3032,资金流水!$Q$5:$Q$3015,$I355))</f>
        <v/>
      </c>
      <c r="O355" s="25"/>
      <c r="P355" s="57" t="str">
        <f t="shared" si="32"/>
        <v/>
      </c>
      <c r="Q355" s="58" t="str">
        <f t="shared" si="33"/>
        <v/>
      </c>
      <c r="R355" s="54" t="str">
        <f t="shared" si="34"/>
        <v/>
      </c>
      <c r="S355" s="56" t="str">
        <f ca="1" t="shared" si="35"/>
        <v/>
      </c>
      <c r="T355" s="10"/>
    </row>
    <row r="356" spans="1:20">
      <c r="A356" s="56" t="str">
        <f>IF($B356="","",COUNTA($B$5:$B356))</f>
        <v/>
      </c>
      <c r="B356" s="53"/>
      <c r="C356" s="46"/>
      <c r="D356" s="56" t="str">
        <f>IFERROR(INDEX(基础资料!$C$4:$C$11,MATCH($C356,基础资料!$A$4:$A$11,0)),"")</f>
        <v/>
      </c>
      <c r="E356" s="39"/>
      <c r="F356" s="46"/>
      <c r="G356" s="10"/>
      <c r="H356" s="39"/>
      <c r="I356" s="10"/>
      <c r="J356" s="25"/>
      <c r="K356" s="88"/>
      <c r="L356" s="57" t="str">
        <f t="shared" si="30"/>
        <v/>
      </c>
      <c r="M356" s="57" t="str">
        <f t="shared" si="31"/>
        <v/>
      </c>
      <c r="N356" s="57" t="str">
        <f>IF($I356="","",SUMIFS(资金流水!$K$5:$K$3032,资金流水!$Q$5:$Q$3015,$I356))</f>
        <v/>
      </c>
      <c r="O356" s="25"/>
      <c r="P356" s="57" t="str">
        <f t="shared" si="32"/>
        <v/>
      </c>
      <c r="Q356" s="58" t="str">
        <f t="shared" si="33"/>
        <v/>
      </c>
      <c r="R356" s="54" t="str">
        <f t="shared" si="34"/>
        <v/>
      </c>
      <c r="S356" s="56" t="str">
        <f ca="1" t="shared" si="35"/>
        <v/>
      </c>
      <c r="T356" s="10"/>
    </row>
    <row r="357" spans="1:20">
      <c r="A357" s="56" t="str">
        <f>IF($B357="","",COUNTA($B$5:$B357))</f>
        <v/>
      </c>
      <c r="B357" s="53"/>
      <c r="C357" s="46"/>
      <c r="D357" s="56" t="str">
        <f>IFERROR(INDEX(基础资料!$C$4:$C$11,MATCH($C357,基础资料!$A$4:$A$11,0)),"")</f>
        <v/>
      </c>
      <c r="E357" s="39"/>
      <c r="F357" s="46"/>
      <c r="G357" s="10"/>
      <c r="H357" s="39"/>
      <c r="I357" s="10"/>
      <c r="J357" s="25"/>
      <c r="K357" s="88"/>
      <c r="L357" s="57" t="str">
        <f t="shared" si="30"/>
        <v/>
      </c>
      <c r="M357" s="57" t="str">
        <f t="shared" si="31"/>
        <v/>
      </c>
      <c r="N357" s="57" t="str">
        <f>IF($I357="","",SUMIFS(资金流水!$K$5:$K$3032,资金流水!$Q$5:$Q$3015,$I357))</f>
        <v/>
      </c>
      <c r="O357" s="25"/>
      <c r="P357" s="57" t="str">
        <f t="shared" si="32"/>
        <v/>
      </c>
      <c r="Q357" s="58" t="str">
        <f t="shared" si="33"/>
        <v/>
      </c>
      <c r="R357" s="54" t="str">
        <f t="shared" si="34"/>
        <v/>
      </c>
      <c r="S357" s="56" t="str">
        <f ca="1" t="shared" si="35"/>
        <v/>
      </c>
      <c r="T357" s="10"/>
    </row>
    <row r="358" spans="1:20">
      <c r="A358" s="56" t="str">
        <f>IF($B358="","",COUNTA($B$5:$B358))</f>
        <v/>
      </c>
      <c r="B358" s="53"/>
      <c r="C358" s="46"/>
      <c r="D358" s="56" t="str">
        <f>IFERROR(INDEX(基础资料!$C$4:$C$11,MATCH($C358,基础资料!$A$4:$A$11,0)),"")</f>
        <v/>
      </c>
      <c r="E358" s="39"/>
      <c r="F358" s="46"/>
      <c r="G358" s="10"/>
      <c r="H358" s="39"/>
      <c r="I358" s="10"/>
      <c r="J358" s="25"/>
      <c r="K358" s="88"/>
      <c r="L358" s="57" t="str">
        <f t="shared" si="30"/>
        <v/>
      </c>
      <c r="M358" s="57" t="str">
        <f t="shared" si="31"/>
        <v/>
      </c>
      <c r="N358" s="57" t="str">
        <f>IF($I358="","",SUMIFS(资金流水!$K$5:$K$3032,资金流水!$Q$5:$Q$3015,$I358))</f>
        <v/>
      </c>
      <c r="O358" s="25"/>
      <c r="P358" s="57" t="str">
        <f t="shared" si="32"/>
        <v/>
      </c>
      <c r="Q358" s="58" t="str">
        <f t="shared" si="33"/>
        <v/>
      </c>
      <c r="R358" s="54" t="str">
        <f t="shared" si="34"/>
        <v/>
      </c>
      <c r="S358" s="56" t="str">
        <f ca="1" t="shared" si="35"/>
        <v/>
      </c>
      <c r="T358" s="10"/>
    </row>
    <row r="359" spans="1:20">
      <c r="A359" s="56" t="str">
        <f>IF($B359="","",COUNTA($B$5:$B359))</f>
        <v/>
      </c>
      <c r="B359" s="53"/>
      <c r="C359" s="46"/>
      <c r="D359" s="56" t="str">
        <f>IFERROR(INDEX(基础资料!$C$4:$C$11,MATCH($C359,基础资料!$A$4:$A$11,0)),"")</f>
        <v/>
      </c>
      <c r="E359" s="39"/>
      <c r="F359" s="46"/>
      <c r="G359" s="10"/>
      <c r="H359" s="39"/>
      <c r="I359" s="10"/>
      <c r="J359" s="25"/>
      <c r="K359" s="88"/>
      <c r="L359" s="57" t="str">
        <f t="shared" si="30"/>
        <v/>
      </c>
      <c r="M359" s="57" t="str">
        <f t="shared" si="31"/>
        <v/>
      </c>
      <c r="N359" s="57" t="str">
        <f>IF($I359="","",SUMIFS(资金流水!$K$5:$K$3032,资金流水!$Q$5:$Q$3015,$I359))</f>
        <v/>
      </c>
      <c r="O359" s="25"/>
      <c r="P359" s="57" t="str">
        <f t="shared" si="32"/>
        <v/>
      </c>
      <c r="Q359" s="58" t="str">
        <f t="shared" si="33"/>
        <v/>
      </c>
      <c r="R359" s="54" t="str">
        <f t="shared" si="34"/>
        <v/>
      </c>
      <c r="S359" s="56" t="str">
        <f ca="1" t="shared" si="35"/>
        <v/>
      </c>
      <c r="T359" s="10"/>
    </row>
    <row r="360" spans="1:20">
      <c r="A360" s="56" t="str">
        <f>IF($B360="","",COUNTA($B$5:$B360))</f>
        <v/>
      </c>
      <c r="B360" s="53"/>
      <c r="C360" s="46"/>
      <c r="D360" s="56" t="str">
        <f>IFERROR(INDEX(基础资料!$C$4:$C$11,MATCH($C360,基础资料!$A$4:$A$11,0)),"")</f>
        <v/>
      </c>
      <c r="E360" s="39"/>
      <c r="F360" s="46"/>
      <c r="G360" s="10"/>
      <c r="H360" s="39"/>
      <c r="I360" s="10"/>
      <c r="J360" s="25"/>
      <c r="K360" s="88"/>
      <c r="L360" s="57" t="str">
        <f t="shared" si="30"/>
        <v/>
      </c>
      <c r="M360" s="57" t="str">
        <f t="shared" si="31"/>
        <v/>
      </c>
      <c r="N360" s="57" t="str">
        <f>IF($I360="","",SUMIFS(资金流水!$K$5:$K$3032,资金流水!$Q$5:$Q$3015,$I360))</f>
        <v/>
      </c>
      <c r="O360" s="25"/>
      <c r="P360" s="57" t="str">
        <f t="shared" si="32"/>
        <v/>
      </c>
      <c r="Q360" s="58" t="str">
        <f t="shared" si="33"/>
        <v/>
      </c>
      <c r="R360" s="54" t="str">
        <f t="shared" si="34"/>
        <v/>
      </c>
      <c r="S360" s="56" t="str">
        <f ca="1" t="shared" si="35"/>
        <v/>
      </c>
      <c r="T360" s="10"/>
    </row>
    <row r="361" spans="1:20">
      <c r="A361" s="56" t="str">
        <f>IF($B361="","",COUNTA($B$5:$B361))</f>
        <v/>
      </c>
      <c r="B361" s="53"/>
      <c r="C361" s="46"/>
      <c r="D361" s="56" t="str">
        <f>IFERROR(INDEX(基础资料!$C$4:$C$11,MATCH($C361,基础资料!$A$4:$A$11,0)),"")</f>
        <v/>
      </c>
      <c r="E361" s="39"/>
      <c r="F361" s="46"/>
      <c r="G361" s="10"/>
      <c r="H361" s="39"/>
      <c r="I361" s="10"/>
      <c r="J361" s="25"/>
      <c r="K361" s="88"/>
      <c r="L361" s="57" t="str">
        <f t="shared" si="30"/>
        <v/>
      </c>
      <c r="M361" s="57" t="str">
        <f t="shared" si="31"/>
        <v/>
      </c>
      <c r="N361" s="57" t="str">
        <f>IF($I361="","",SUMIFS(资金流水!$K$5:$K$3032,资金流水!$Q$5:$Q$3015,$I361))</f>
        <v/>
      </c>
      <c r="O361" s="25"/>
      <c r="P361" s="57" t="str">
        <f t="shared" si="32"/>
        <v/>
      </c>
      <c r="Q361" s="58" t="str">
        <f t="shared" si="33"/>
        <v/>
      </c>
      <c r="R361" s="54" t="str">
        <f t="shared" si="34"/>
        <v/>
      </c>
      <c r="S361" s="56" t="str">
        <f ca="1" t="shared" si="35"/>
        <v/>
      </c>
      <c r="T361" s="10"/>
    </row>
    <row r="362" spans="1:20">
      <c r="A362" s="56" t="str">
        <f>IF($B362="","",COUNTA($B$5:$B362))</f>
        <v/>
      </c>
      <c r="B362" s="53"/>
      <c r="C362" s="46"/>
      <c r="D362" s="56" t="str">
        <f>IFERROR(INDEX(基础资料!$C$4:$C$11,MATCH($C362,基础资料!$A$4:$A$11,0)),"")</f>
        <v/>
      </c>
      <c r="E362" s="39"/>
      <c r="F362" s="46"/>
      <c r="G362" s="10"/>
      <c r="H362" s="39"/>
      <c r="I362" s="10"/>
      <c r="J362" s="25"/>
      <c r="K362" s="88"/>
      <c r="L362" s="57" t="str">
        <f t="shared" si="30"/>
        <v/>
      </c>
      <c r="M362" s="57" t="str">
        <f t="shared" si="31"/>
        <v/>
      </c>
      <c r="N362" s="57" t="str">
        <f>IF($I362="","",SUMIFS(资金流水!$K$5:$K$3032,资金流水!$Q$5:$Q$3015,$I362))</f>
        <v/>
      </c>
      <c r="O362" s="25"/>
      <c r="P362" s="57" t="str">
        <f t="shared" si="32"/>
        <v/>
      </c>
      <c r="Q362" s="58" t="str">
        <f t="shared" si="33"/>
        <v/>
      </c>
      <c r="R362" s="54" t="str">
        <f t="shared" si="34"/>
        <v/>
      </c>
      <c r="S362" s="56" t="str">
        <f ca="1" t="shared" si="35"/>
        <v/>
      </c>
      <c r="T362" s="10"/>
    </row>
    <row r="363" spans="1:20">
      <c r="A363" s="56" t="str">
        <f>IF($B363="","",COUNTA($B$5:$B363))</f>
        <v/>
      </c>
      <c r="B363" s="53"/>
      <c r="C363" s="46"/>
      <c r="D363" s="56" t="str">
        <f>IFERROR(INDEX(基础资料!$C$4:$C$11,MATCH($C363,基础资料!$A$4:$A$11,0)),"")</f>
        <v/>
      </c>
      <c r="E363" s="39"/>
      <c r="F363" s="46"/>
      <c r="G363" s="10"/>
      <c r="H363" s="39"/>
      <c r="I363" s="10"/>
      <c r="J363" s="25"/>
      <c r="K363" s="88"/>
      <c r="L363" s="57" t="str">
        <f t="shared" si="30"/>
        <v/>
      </c>
      <c r="M363" s="57" t="str">
        <f t="shared" si="31"/>
        <v/>
      </c>
      <c r="N363" s="57" t="str">
        <f>IF($I363="","",SUMIFS(资金流水!$K$5:$K$3032,资金流水!$Q$5:$Q$3015,$I363))</f>
        <v/>
      </c>
      <c r="O363" s="25"/>
      <c r="P363" s="57" t="str">
        <f t="shared" si="32"/>
        <v/>
      </c>
      <c r="Q363" s="58" t="str">
        <f t="shared" si="33"/>
        <v/>
      </c>
      <c r="R363" s="54" t="str">
        <f t="shared" si="34"/>
        <v/>
      </c>
      <c r="S363" s="56" t="str">
        <f ca="1" t="shared" si="35"/>
        <v/>
      </c>
      <c r="T363" s="10"/>
    </row>
    <row r="364" spans="1:20">
      <c r="A364" s="56" t="str">
        <f>IF($B364="","",COUNTA($B$5:$B364))</f>
        <v/>
      </c>
      <c r="B364" s="53"/>
      <c r="C364" s="46"/>
      <c r="D364" s="56" t="str">
        <f>IFERROR(INDEX(基础资料!$C$4:$C$11,MATCH($C364,基础资料!$A$4:$A$11,0)),"")</f>
        <v/>
      </c>
      <c r="E364" s="39"/>
      <c r="F364" s="46"/>
      <c r="G364" s="10"/>
      <c r="H364" s="39"/>
      <c r="I364" s="10"/>
      <c r="J364" s="25"/>
      <c r="K364" s="88"/>
      <c r="L364" s="57" t="str">
        <f t="shared" si="30"/>
        <v/>
      </c>
      <c r="M364" s="57" t="str">
        <f t="shared" si="31"/>
        <v/>
      </c>
      <c r="N364" s="57" t="str">
        <f>IF($I364="","",SUMIFS(资金流水!$K$5:$K$3032,资金流水!$Q$5:$Q$3015,$I364))</f>
        <v/>
      </c>
      <c r="O364" s="25"/>
      <c r="P364" s="57" t="str">
        <f t="shared" si="32"/>
        <v/>
      </c>
      <c r="Q364" s="58" t="str">
        <f t="shared" si="33"/>
        <v/>
      </c>
      <c r="R364" s="54" t="str">
        <f t="shared" si="34"/>
        <v/>
      </c>
      <c r="S364" s="56" t="str">
        <f ca="1" t="shared" si="35"/>
        <v/>
      </c>
      <c r="T364" s="10"/>
    </row>
    <row r="365" spans="1:20">
      <c r="A365" s="56" t="str">
        <f>IF($B365="","",COUNTA($B$5:$B365))</f>
        <v/>
      </c>
      <c r="B365" s="53"/>
      <c r="C365" s="46"/>
      <c r="D365" s="56" t="str">
        <f>IFERROR(INDEX(基础资料!$C$4:$C$11,MATCH($C365,基础资料!$A$4:$A$11,0)),"")</f>
        <v/>
      </c>
      <c r="E365" s="39"/>
      <c r="F365" s="46"/>
      <c r="G365" s="10"/>
      <c r="H365" s="39"/>
      <c r="I365" s="10"/>
      <c r="J365" s="25"/>
      <c r="K365" s="88"/>
      <c r="L365" s="57" t="str">
        <f t="shared" si="30"/>
        <v/>
      </c>
      <c r="M365" s="57" t="str">
        <f t="shared" si="31"/>
        <v/>
      </c>
      <c r="N365" s="57" t="str">
        <f>IF($I365="","",SUMIFS(资金流水!$K$5:$K$3032,资金流水!$Q$5:$Q$3015,$I365))</f>
        <v/>
      </c>
      <c r="O365" s="25"/>
      <c r="P365" s="57" t="str">
        <f t="shared" si="32"/>
        <v/>
      </c>
      <c r="Q365" s="58" t="str">
        <f t="shared" si="33"/>
        <v/>
      </c>
      <c r="R365" s="54" t="str">
        <f t="shared" si="34"/>
        <v/>
      </c>
      <c r="S365" s="56" t="str">
        <f ca="1" t="shared" si="35"/>
        <v/>
      </c>
      <c r="T365" s="10"/>
    </row>
    <row r="366" spans="1:20">
      <c r="A366" s="56" t="str">
        <f>IF($B366="","",COUNTA($B$5:$B366))</f>
        <v/>
      </c>
      <c r="B366" s="53"/>
      <c r="C366" s="46"/>
      <c r="D366" s="56" t="str">
        <f>IFERROR(INDEX(基础资料!$C$4:$C$11,MATCH($C366,基础资料!$A$4:$A$11,0)),"")</f>
        <v/>
      </c>
      <c r="E366" s="39"/>
      <c r="F366" s="46"/>
      <c r="G366" s="10"/>
      <c r="H366" s="39"/>
      <c r="I366" s="10"/>
      <c r="J366" s="25"/>
      <c r="K366" s="88"/>
      <c r="L366" s="57" t="str">
        <f t="shared" si="30"/>
        <v/>
      </c>
      <c r="M366" s="57" t="str">
        <f t="shared" si="31"/>
        <v/>
      </c>
      <c r="N366" s="57" t="str">
        <f>IF($I366="","",SUMIFS(资金流水!$K$5:$K$3032,资金流水!$Q$5:$Q$3015,$I366))</f>
        <v/>
      </c>
      <c r="O366" s="25"/>
      <c r="P366" s="57" t="str">
        <f t="shared" si="32"/>
        <v/>
      </c>
      <c r="Q366" s="58" t="str">
        <f t="shared" si="33"/>
        <v/>
      </c>
      <c r="R366" s="54" t="str">
        <f t="shared" si="34"/>
        <v/>
      </c>
      <c r="S366" s="56" t="str">
        <f ca="1" t="shared" si="35"/>
        <v/>
      </c>
      <c r="T366" s="10"/>
    </row>
    <row r="367" spans="1:20">
      <c r="A367" s="56" t="str">
        <f>IF($B367="","",COUNTA($B$5:$B367))</f>
        <v/>
      </c>
      <c r="B367" s="53"/>
      <c r="C367" s="46"/>
      <c r="D367" s="56" t="str">
        <f>IFERROR(INDEX(基础资料!$C$4:$C$11,MATCH($C367,基础资料!$A$4:$A$11,0)),"")</f>
        <v/>
      </c>
      <c r="E367" s="39"/>
      <c r="F367" s="46"/>
      <c r="G367" s="10"/>
      <c r="H367" s="39"/>
      <c r="I367" s="10"/>
      <c r="J367" s="25"/>
      <c r="K367" s="88"/>
      <c r="L367" s="57" t="str">
        <f t="shared" si="30"/>
        <v/>
      </c>
      <c r="M367" s="57" t="str">
        <f t="shared" si="31"/>
        <v/>
      </c>
      <c r="N367" s="57" t="str">
        <f>IF($I367="","",SUMIFS(资金流水!$K$5:$K$3032,资金流水!$Q$5:$Q$3015,$I367))</f>
        <v/>
      </c>
      <c r="O367" s="25"/>
      <c r="P367" s="57" t="str">
        <f t="shared" si="32"/>
        <v/>
      </c>
      <c r="Q367" s="58" t="str">
        <f t="shared" si="33"/>
        <v/>
      </c>
      <c r="R367" s="54" t="str">
        <f t="shared" si="34"/>
        <v/>
      </c>
      <c r="S367" s="56" t="str">
        <f ca="1" t="shared" si="35"/>
        <v/>
      </c>
      <c r="T367" s="10"/>
    </row>
    <row r="368" spans="1:20">
      <c r="A368" s="56" t="str">
        <f>IF($B368="","",COUNTA($B$5:$B368))</f>
        <v/>
      </c>
      <c r="B368" s="53"/>
      <c r="C368" s="46"/>
      <c r="D368" s="56" t="str">
        <f>IFERROR(INDEX(基础资料!$C$4:$C$11,MATCH($C368,基础资料!$A$4:$A$11,0)),"")</f>
        <v/>
      </c>
      <c r="E368" s="39"/>
      <c r="F368" s="46"/>
      <c r="G368" s="10"/>
      <c r="H368" s="39"/>
      <c r="I368" s="10"/>
      <c r="J368" s="25"/>
      <c r="K368" s="88"/>
      <c r="L368" s="57" t="str">
        <f t="shared" si="30"/>
        <v/>
      </c>
      <c r="M368" s="57" t="str">
        <f t="shared" si="31"/>
        <v/>
      </c>
      <c r="N368" s="57" t="str">
        <f>IF($I368="","",SUMIFS(资金流水!$K$5:$K$3032,资金流水!$Q$5:$Q$3015,$I368))</f>
        <v/>
      </c>
      <c r="O368" s="25"/>
      <c r="P368" s="57" t="str">
        <f t="shared" si="32"/>
        <v/>
      </c>
      <c r="Q368" s="58" t="str">
        <f t="shared" si="33"/>
        <v/>
      </c>
      <c r="R368" s="54" t="str">
        <f t="shared" si="34"/>
        <v/>
      </c>
      <c r="S368" s="56" t="str">
        <f ca="1" t="shared" si="35"/>
        <v/>
      </c>
      <c r="T368" s="10"/>
    </row>
    <row r="369" spans="1:20">
      <c r="A369" s="56" t="str">
        <f>IF($B369="","",COUNTA($B$5:$B369))</f>
        <v/>
      </c>
      <c r="B369" s="53"/>
      <c r="C369" s="46"/>
      <c r="D369" s="56" t="str">
        <f>IFERROR(INDEX(基础资料!$C$4:$C$11,MATCH($C369,基础资料!$A$4:$A$11,0)),"")</f>
        <v/>
      </c>
      <c r="E369" s="39"/>
      <c r="F369" s="46"/>
      <c r="G369" s="10"/>
      <c r="H369" s="39"/>
      <c r="I369" s="10"/>
      <c r="J369" s="25"/>
      <c r="K369" s="88"/>
      <c r="L369" s="57" t="str">
        <f t="shared" si="30"/>
        <v/>
      </c>
      <c r="M369" s="57" t="str">
        <f t="shared" si="31"/>
        <v/>
      </c>
      <c r="N369" s="57" t="str">
        <f>IF($I369="","",SUMIFS(资金流水!$K$5:$K$3032,资金流水!$Q$5:$Q$3015,$I369))</f>
        <v/>
      </c>
      <c r="O369" s="25"/>
      <c r="P369" s="57" t="str">
        <f t="shared" si="32"/>
        <v/>
      </c>
      <c r="Q369" s="58" t="str">
        <f t="shared" si="33"/>
        <v/>
      </c>
      <c r="R369" s="54" t="str">
        <f t="shared" si="34"/>
        <v/>
      </c>
      <c r="S369" s="56" t="str">
        <f ca="1" t="shared" si="35"/>
        <v/>
      </c>
      <c r="T369" s="10"/>
    </row>
    <row r="370" spans="1:20">
      <c r="A370" s="56" t="str">
        <f>IF($B370="","",COUNTA($B$5:$B370))</f>
        <v/>
      </c>
      <c r="B370" s="53"/>
      <c r="C370" s="46"/>
      <c r="D370" s="56" t="str">
        <f>IFERROR(INDEX(基础资料!$C$4:$C$11,MATCH($C370,基础资料!$A$4:$A$11,0)),"")</f>
        <v/>
      </c>
      <c r="E370" s="39"/>
      <c r="F370" s="46"/>
      <c r="G370" s="10"/>
      <c r="H370" s="39"/>
      <c r="I370" s="10"/>
      <c r="J370" s="25"/>
      <c r="K370" s="88"/>
      <c r="L370" s="57" t="str">
        <f t="shared" si="30"/>
        <v/>
      </c>
      <c r="M370" s="57" t="str">
        <f t="shared" si="31"/>
        <v/>
      </c>
      <c r="N370" s="57" t="str">
        <f>IF($I370="","",SUMIFS(资金流水!$K$5:$K$3032,资金流水!$Q$5:$Q$3015,$I370))</f>
        <v/>
      </c>
      <c r="O370" s="25"/>
      <c r="P370" s="57" t="str">
        <f t="shared" si="32"/>
        <v/>
      </c>
      <c r="Q370" s="58" t="str">
        <f t="shared" si="33"/>
        <v/>
      </c>
      <c r="R370" s="54" t="str">
        <f t="shared" si="34"/>
        <v/>
      </c>
      <c r="S370" s="56" t="str">
        <f ca="1" t="shared" si="35"/>
        <v/>
      </c>
      <c r="T370" s="10"/>
    </row>
    <row r="371" spans="1:20">
      <c r="A371" s="56" t="str">
        <f>IF($B371="","",COUNTA($B$5:$B371))</f>
        <v/>
      </c>
      <c r="B371" s="53"/>
      <c r="C371" s="46"/>
      <c r="D371" s="56" t="str">
        <f>IFERROR(INDEX(基础资料!$C$4:$C$11,MATCH($C371,基础资料!$A$4:$A$11,0)),"")</f>
        <v/>
      </c>
      <c r="E371" s="39"/>
      <c r="F371" s="46"/>
      <c r="G371" s="10"/>
      <c r="H371" s="39"/>
      <c r="I371" s="10"/>
      <c r="J371" s="25"/>
      <c r="K371" s="88"/>
      <c r="L371" s="57" t="str">
        <f t="shared" si="30"/>
        <v/>
      </c>
      <c r="M371" s="57" t="str">
        <f t="shared" si="31"/>
        <v/>
      </c>
      <c r="N371" s="57" t="str">
        <f>IF($I371="","",SUMIFS(资金流水!$K$5:$K$3032,资金流水!$Q$5:$Q$3015,$I371))</f>
        <v/>
      </c>
      <c r="O371" s="25"/>
      <c r="P371" s="57" t="str">
        <f t="shared" si="32"/>
        <v/>
      </c>
      <c r="Q371" s="58" t="str">
        <f t="shared" si="33"/>
        <v/>
      </c>
      <c r="R371" s="54" t="str">
        <f t="shared" si="34"/>
        <v/>
      </c>
      <c r="S371" s="56" t="str">
        <f ca="1" t="shared" si="35"/>
        <v/>
      </c>
      <c r="T371" s="10"/>
    </row>
    <row r="372" spans="1:20">
      <c r="A372" s="56" t="str">
        <f>IF($B372="","",COUNTA($B$5:$B372))</f>
        <v/>
      </c>
      <c r="B372" s="53"/>
      <c r="C372" s="46"/>
      <c r="D372" s="56" t="str">
        <f>IFERROR(INDEX(基础资料!$C$4:$C$11,MATCH($C372,基础资料!$A$4:$A$11,0)),"")</f>
        <v/>
      </c>
      <c r="E372" s="39"/>
      <c r="F372" s="46"/>
      <c r="G372" s="10"/>
      <c r="H372" s="39"/>
      <c r="I372" s="10"/>
      <c r="J372" s="25"/>
      <c r="K372" s="88"/>
      <c r="L372" s="57" t="str">
        <f t="shared" si="30"/>
        <v/>
      </c>
      <c r="M372" s="57" t="str">
        <f t="shared" si="31"/>
        <v/>
      </c>
      <c r="N372" s="57" t="str">
        <f>IF($I372="","",SUMIFS(资金流水!$K$5:$K$3032,资金流水!$Q$5:$Q$3015,$I372))</f>
        <v/>
      </c>
      <c r="O372" s="25"/>
      <c r="P372" s="57" t="str">
        <f t="shared" si="32"/>
        <v/>
      </c>
      <c r="Q372" s="58" t="str">
        <f t="shared" si="33"/>
        <v/>
      </c>
      <c r="R372" s="54" t="str">
        <f t="shared" si="34"/>
        <v/>
      </c>
      <c r="S372" s="56" t="str">
        <f ca="1" t="shared" si="35"/>
        <v/>
      </c>
      <c r="T372" s="10"/>
    </row>
    <row r="373" spans="1:20">
      <c r="A373" s="56" t="str">
        <f>IF($B373="","",COUNTA($B$5:$B373))</f>
        <v/>
      </c>
      <c r="B373" s="53"/>
      <c r="C373" s="46"/>
      <c r="D373" s="56" t="str">
        <f>IFERROR(INDEX(基础资料!$C$4:$C$11,MATCH($C373,基础资料!$A$4:$A$11,0)),"")</f>
        <v/>
      </c>
      <c r="E373" s="39"/>
      <c r="F373" s="46"/>
      <c r="G373" s="10"/>
      <c r="H373" s="39"/>
      <c r="I373" s="10"/>
      <c r="J373" s="25"/>
      <c r="K373" s="88"/>
      <c r="L373" s="57" t="str">
        <f t="shared" si="30"/>
        <v/>
      </c>
      <c r="M373" s="57" t="str">
        <f t="shared" si="31"/>
        <v/>
      </c>
      <c r="N373" s="57" t="str">
        <f>IF($I373="","",SUMIFS(资金流水!$K$5:$K$3032,资金流水!$Q$5:$Q$3015,$I373))</f>
        <v/>
      </c>
      <c r="O373" s="25"/>
      <c r="P373" s="57" t="str">
        <f t="shared" si="32"/>
        <v/>
      </c>
      <c r="Q373" s="58" t="str">
        <f t="shared" si="33"/>
        <v/>
      </c>
      <c r="R373" s="54" t="str">
        <f t="shared" si="34"/>
        <v/>
      </c>
      <c r="S373" s="56" t="str">
        <f ca="1" t="shared" si="35"/>
        <v/>
      </c>
      <c r="T373" s="10"/>
    </row>
    <row r="374" spans="1:20">
      <c r="A374" s="56" t="str">
        <f>IF($B374="","",COUNTA($B$5:$B374))</f>
        <v/>
      </c>
      <c r="B374" s="53"/>
      <c r="C374" s="46"/>
      <c r="D374" s="56" t="str">
        <f>IFERROR(INDEX(基础资料!$C$4:$C$11,MATCH($C374,基础资料!$A$4:$A$11,0)),"")</f>
        <v/>
      </c>
      <c r="E374" s="39"/>
      <c r="F374" s="46"/>
      <c r="G374" s="10"/>
      <c r="H374" s="39"/>
      <c r="I374" s="10"/>
      <c r="J374" s="25"/>
      <c r="K374" s="88"/>
      <c r="L374" s="57" t="str">
        <f t="shared" si="30"/>
        <v/>
      </c>
      <c r="M374" s="57" t="str">
        <f t="shared" si="31"/>
        <v/>
      </c>
      <c r="N374" s="57" t="str">
        <f>IF($I374="","",SUMIFS(资金流水!$K$5:$K$3032,资金流水!$Q$5:$Q$3015,$I374))</f>
        <v/>
      </c>
      <c r="O374" s="25"/>
      <c r="P374" s="57" t="str">
        <f t="shared" si="32"/>
        <v/>
      </c>
      <c r="Q374" s="58" t="str">
        <f t="shared" si="33"/>
        <v/>
      </c>
      <c r="R374" s="54" t="str">
        <f t="shared" si="34"/>
        <v/>
      </c>
      <c r="S374" s="56" t="str">
        <f ca="1" t="shared" si="35"/>
        <v/>
      </c>
      <c r="T374" s="10"/>
    </row>
    <row r="375" spans="1:20">
      <c r="A375" s="56" t="str">
        <f>IF($B375="","",COUNTA($B$5:$B375))</f>
        <v/>
      </c>
      <c r="B375" s="53"/>
      <c r="C375" s="46"/>
      <c r="D375" s="56" t="str">
        <f>IFERROR(INDEX(基础资料!$C$4:$C$11,MATCH($C375,基础资料!$A$4:$A$11,0)),"")</f>
        <v/>
      </c>
      <c r="E375" s="39"/>
      <c r="F375" s="46"/>
      <c r="G375" s="10"/>
      <c r="H375" s="39"/>
      <c r="I375" s="10"/>
      <c r="J375" s="25"/>
      <c r="K375" s="88"/>
      <c r="L375" s="57" t="str">
        <f t="shared" si="30"/>
        <v/>
      </c>
      <c r="M375" s="57" t="str">
        <f t="shared" si="31"/>
        <v/>
      </c>
      <c r="N375" s="57" t="str">
        <f>IF($I375="","",SUMIFS(资金流水!$K$5:$K$3032,资金流水!$Q$5:$Q$3015,$I375))</f>
        <v/>
      </c>
      <c r="O375" s="25"/>
      <c r="P375" s="57" t="str">
        <f t="shared" si="32"/>
        <v/>
      </c>
      <c r="Q375" s="58" t="str">
        <f t="shared" si="33"/>
        <v/>
      </c>
      <c r="R375" s="54" t="str">
        <f t="shared" si="34"/>
        <v/>
      </c>
      <c r="S375" s="56" t="str">
        <f ca="1" t="shared" si="35"/>
        <v/>
      </c>
      <c r="T375" s="10"/>
    </row>
    <row r="376" spans="1:20">
      <c r="A376" s="56" t="str">
        <f>IF($B376="","",COUNTA($B$5:$B376))</f>
        <v/>
      </c>
      <c r="B376" s="53"/>
      <c r="C376" s="46"/>
      <c r="D376" s="56" t="str">
        <f>IFERROR(INDEX(基础资料!$C$4:$C$11,MATCH($C376,基础资料!$A$4:$A$11,0)),"")</f>
        <v/>
      </c>
      <c r="E376" s="39"/>
      <c r="F376" s="46"/>
      <c r="G376" s="10"/>
      <c r="H376" s="39"/>
      <c r="I376" s="10"/>
      <c r="J376" s="25"/>
      <c r="K376" s="88"/>
      <c r="L376" s="57" t="str">
        <f t="shared" si="30"/>
        <v/>
      </c>
      <c r="M376" s="57" t="str">
        <f t="shared" si="31"/>
        <v/>
      </c>
      <c r="N376" s="57" t="str">
        <f>IF($I376="","",SUMIFS(资金流水!$K$5:$K$3032,资金流水!$Q$5:$Q$3015,$I376))</f>
        <v/>
      </c>
      <c r="O376" s="25"/>
      <c r="P376" s="57" t="str">
        <f t="shared" si="32"/>
        <v/>
      </c>
      <c r="Q376" s="58" t="str">
        <f t="shared" si="33"/>
        <v/>
      </c>
      <c r="R376" s="54" t="str">
        <f t="shared" si="34"/>
        <v/>
      </c>
      <c r="S376" s="56" t="str">
        <f ca="1" t="shared" si="35"/>
        <v/>
      </c>
      <c r="T376" s="10"/>
    </row>
    <row r="377" spans="1:20">
      <c r="A377" s="56" t="str">
        <f>IF($B377="","",COUNTA($B$5:$B377))</f>
        <v/>
      </c>
      <c r="B377" s="53"/>
      <c r="C377" s="46"/>
      <c r="D377" s="56" t="str">
        <f>IFERROR(INDEX(基础资料!$C$4:$C$11,MATCH($C377,基础资料!$A$4:$A$11,0)),"")</f>
        <v/>
      </c>
      <c r="E377" s="39"/>
      <c r="F377" s="46"/>
      <c r="G377" s="10"/>
      <c r="H377" s="39"/>
      <c r="I377" s="10"/>
      <c r="J377" s="25"/>
      <c r="K377" s="88"/>
      <c r="L377" s="57" t="str">
        <f t="shared" si="30"/>
        <v/>
      </c>
      <c r="M377" s="57" t="str">
        <f t="shared" si="31"/>
        <v/>
      </c>
      <c r="N377" s="57" t="str">
        <f>IF($I377="","",SUMIFS(资金流水!$K$5:$K$3032,资金流水!$Q$5:$Q$3015,$I377))</f>
        <v/>
      </c>
      <c r="O377" s="25"/>
      <c r="P377" s="57" t="str">
        <f t="shared" si="32"/>
        <v/>
      </c>
      <c r="Q377" s="58" t="str">
        <f t="shared" si="33"/>
        <v/>
      </c>
      <c r="R377" s="54" t="str">
        <f t="shared" si="34"/>
        <v/>
      </c>
      <c r="S377" s="56" t="str">
        <f ca="1" t="shared" si="35"/>
        <v/>
      </c>
      <c r="T377" s="10"/>
    </row>
    <row r="378" spans="1:20">
      <c r="A378" s="56" t="str">
        <f>IF($B378="","",COUNTA($B$5:$B378))</f>
        <v/>
      </c>
      <c r="B378" s="53"/>
      <c r="C378" s="46"/>
      <c r="D378" s="56" t="str">
        <f>IFERROR(INDEX(基础资料!$C$4:$C$11,MATCH($C378,基础资料!$A$4:$A$11,0)),"")</f>
        <v/>
      </c>
      <c r="E378" s="39"/>
      <c r="F378" s="46"/>
      <c r="G378" s="10"/>
      <c r="H378" s="39"/>
      <c r="I378" s="10"/>
      <c r="J378" s="25"/>
      <c r="K378" s="88"/>
      <c r="L378" s="57" t="str">
        <f t="shared" si="30"/>
        <v/>
      </c>
      <c r="M378" s="57" t="str">
        <f t="shared" si="31"/>
        <v/>
      </c>
      <c r="N378" s="57" t="str">
        <f>IF($I378="","",SUMIFS(资金流水!$K$5:$K$3032,资金流水!$Q$5:$Q$3015,$I378))</f>
        <v/>
      </c>
      <c r="O378" s="25"/>
      <c r="P378" s="57" t="str">
        <f t="shared" si="32"/>
        <v/>
      </c>
      <c r="Q378" s="58" t="str">
        <f t="shared" si="33"/>
        <v/>
      </c>
      <c r="R378" s="54" t="str">
        <f t="shared" si="34"/>
        <v/>
      </c>
      <c r="S378" s="56" t="str">
        <f ca="1" t="shared" si="35"/>
        <v/>
      </c>
      <c r="T378" s="10"/>
    </row>
    <row r="379" spans="1:20">
      <c r="A379" s="56" t="str">
        <f>IF($B379="","",COUNTA($B$5:$B379))</f>
        <v/>
      </c>
      <c r="B379" s="53"/>
      <c r="C379" s="46"/>
      <c r="D379" s="56" t="str">
        <f>IFERROR(INDEX(基础资料!$C$4:$C$11,MATCH($C379,基础资料!$A$4:$A$11,0)),"")</f>
        <v/>
      </c>
      <c r="E379" s="39"/>
      <c r="F379" s="46"/>
      <c r="G379" s="10"/>
      <c r="H379" s="39"/>
      <c r="I379" s="10"/>
      <c r="J379" s="25"/>
      <c r="K379" s="88"/>
      <c r="L379" s="57" t="str">
        <f t="shared" si="30"/>
        <v/>
      </c>
      <c r="M379" s="57" t="str">
        <f t="shared" si="31"/>
        <v/>
      </c>
      <c r="N379" s="57" t="str">
        <f>IF($I379="","",SUMIFS(资金流水!$K$5:$K$3032,资金流水!$Q$5:$Q$3015,$I379))</f>
        <v/>
      </c>
      <c r="O379" s="25"/>
      <c r="P379" s="57" t="str">
        <f t="shared" si="32"/>
        <v/>
      </c>
      <c r="Q379" s="58" t="str">
        <f t="shared" si="33"/>
        <v/>
      </c>
      <c r="R379" s="54" t="str">
        <f t="shared" si="34"/>
        <v/>
      </c>
      <c r="S379" s="56" t="str">
        <f ca="1" t="shared" si="35"/>
        <v/>
      </c>
      <c r="T379" s="10"/>
    </row>
    <row r="380" spans="1:20">
      <c r="A380" s="56" t="str">
        <f>IF($B380="","",COUNTA($B$5:$B380))</f>
        <v/>
      </c>
      <c r="B380" s="53"/>
      <c r="C380" s="46"/>
      <c r="D380" s="56" t="str">
        <f>IFERROR(INDEX(基础资料!$C$4:$C$11,MATCH($C380,基础资料!$A$4:$A$11,0)),"")</f>
        <v/>
      </c>
      <c r="E380" s="39"/>
      <c r="F380" s="46"/>
      <c r="G380" s="10"/>
      <c r="H380" s="39"/>
      <c r="I380" s="10"/>
      <c r="J380" s="25"/>
      <c r="K380" s="88"/>
      <c r="L380" s="57" t="str">
        <f t="shared" si="30"/>
        <v/>
      </c>
      <c r="M380" s="57" t="str">
        <f t="shared" si="31"/>
        <v/>
      </c>
      <c r="N380" s="57" t="str">
        <f>IF($I380="","",SUMIFS(资金流水!$K$5:$K$3032,资金流水!$Q$5:$Q$3015,$I380))</f>
        <v/>
      </c>
      <c r="O380" s="25"/>
      <c r="P380" s="57" t="str">
        <f t="shared" si="32"/>
        <v/>
      </c>
      <c r="Q380" s="58" t="str">
        <f t="shared" si="33"/>
        <v/>
      </c>
      <c r="R380" s="54" t="str">
        <f t="shared" si="34"/>
        <v/>
      </c>
      <c r="S380" s="56" t="str">
        <f ca="1" t="shared" si="35"/>
        <v/>
      </c>
      <c r="T380" s="10"/>
    </row>
    <row r="381" spans="1:20">
      <c r="A381" s="56" t="str">
        <f>IF($B381="","",COUNTA($B$5:$B381))</f>
        <v/>
      </c>
      <c r="B381" s="53"/>
      <c r="C381" s="46"/>
      <c r="D381" s="56" t="str">
        <f>IFERROR(INDEX(基础资料!$C$4:$C$11,MATCH($C381,基础资料!$A$4:$A$11,0)),"")</f>
        <v/>
      </c>
      <c r="E381" s="39"/>
      <c r="F381" s="46"/>
      <c r="G381" s="10"/>
      <c r="H381" s="39"/>
      <c r="I381" s="10"/>
      <c r="J381" s="25"/>
      <c r="K381" s="88"/>
      <c r="L381" s="57" t="str">
        <f t="shared" si="30"/>
        <v/>
      </c>
      <c r="M381" s="57" t="str">
        <f t="shared" si="31"/>
        <v/>
      </c>
      <c r="N381" s="57" t="str">
        <f>IF($I381="","",SUMIFS(资金流水!$K$5:$K$3032,资金流水!$Q$5:$Q$3015,$I381))</f>
        <v/>
      </c>
      <c r="O381" s="25"/>
      <c r="P381" s="57" t="str">
        <f t="shared" si="32"/>
        <v/>
      </c>
      <c r="Q381" s="58" t="str">
        <f t="shared" si="33"/>
        <v/>
      </c>
      <c r="R381" s="54" t="str">
        <f t="shared" si="34"/>
        <v/>
      </c>
      <c r="S381" s="56" t="str">
        <f ca="1" t="shared" si="35"/>
        <v/>
      </c>
      <c r="T381" s="10"/>
    </row>
    <row r="382" spans="1:20">
      <c r="A382" s="56" t="str">
        <f>IF($B382="","",COUNTA($B$5:$B382))</f>
        <v/>
      </c>
      <c r="B382" s="53"/>
      <c r="C382" s="46"/>
      <c r="D382" s="56" t="str">
        <f>IFERROR(INDEX(基础资料!$C$4:$C$11,MATCH($C382,基础资料!$A$4:$A$11,0)),"")</f>
        <v/>
      </c>
      <c r="E382" s="39"/>
      <c r="F382" s="46"/>
      <c r="G382" s="10"/>
      <c r="H382" s="39"/>
      <c r="I382" s="10"/>
      <c r="J382" s="25"/>
      <c r="K382" s="88"/>
      <c r="L382" s="57" t="str">
        <f t="shared" si="30"/>
        <v/>
      </c>
      <c r="M382" s="57" t="str">
        <f t="shared" si="31"/>
        <v/>
      </c>
      <c r="N382" s="57" t="str">
        <f>IF($I382="","",SUMIFS(资金流水!$K$5:$K$3032,资金流水!$Q$5:$Q$3015,$I382))</f>
        <v/>
      </c>
      <c r="O382" s="25"/>
      <c r="P382" s="57" t="str">
        <f t="shared" si="32"/>
        <v/>
      </c>
      <c r="Q382" s="58" t="str">
        <f t="shared" si="33"/>
        <v/>
      </c>
      <c r="R382" s="54" t="str">
        <f t="shared" si="34"/>
        <v/>
      </c>
      <c r="S382" s="56" t="str">
        <f ca="1" t="shared" si="35"/>
        <v/>
      </c>
      <c r="T382" s="10"/>
    </row>
    <row r="383" spans="1:20">
      <c r="A383" s="56" t="str">
        <f>IF($B383="","",COUNTA($B$5:$B383))</f>
        <v/>
      </c>
      <c r="B383" s="53"/>
      <c r="C383" s="46"/>
      <c r="D383" s="56" t="str">
        <f>IFERROR(INDEX(基础资料!$C$4:$C$11,MATCH($C383,基础资料!$A$4:$A$11,0)),"")</f>
        <v/>
      </c>
      <c r="E383" s="39"/>
      <c r="F383" s="46"/>
      <c r="G383" s="10"/>
      <c r="H383" s="39"/>
      <c r="I383" s="10"/>
      <c r="J383" s="25"/>
      <c r="K383" s="88"/>
      <c r="L383" s="57" t="str">
        <f t="shared" si="30"/>
        <v/>
      </c>
      <c r="M383" s="57" t="str">
        <f t="shared" si="31"/>
        <v/>
      </c>
      <c r="N383" s="57" t="str">
        <f>IF($I383="","",SUMIFS(资金流水!$K$5:$K$3032,资金流水!$Q$5:$Q$3015,$I383))</f>
        <v/>
      </c>
      <c r="O383" s="25"/>
      <c r="P383" s="57" t="str">
        <f t="shared" si="32"/>
        <v/>
      </c>
      <c r="Q383" s="58" t="str">
        <f t="shared" si="33"/>
        <v/>
      </c>
      <c r="R383" s="54" t="str">
        <f t="shared" si="34"/>
        <v/>
      </c>
      <c r="S383" s="56" t="str">
        <f ca="1" t="shared" si="35"/>
        <v/>
      </c>
      <c r="T383" s="10"/>
    </row>
    <row r="384" spans="1:20">
      <c r="A384" s="56" t="str">
        <f>IF($B384="","",COUNTA($B$5:$B384))</f>
        <v/>
      </c>
      <c r="B384" s="53"/>
      <c r="C384" s="46"/>
      <c r="D384" s="56" t="str">
        <f>IFERROR(INDEX(基础资料!$C$4:$C$11,MATCH($C384,基础资料!$A$4:$A$11,0)),"")</f>
        <v/>
      </c>
      <c r="E384" s="39"/>
      <c r="F384" s="46"/>
      <c r="G384" s="10"/>
      <c r="H384" s="39"/>
      <c r="I384" s="10"/>
      <c r="J384" s="25"/>
      <c r="K384" s="88"/>
      <c r="L384" s="57" t="str">
        <f t="shared" si="30"/>
        <v/>
      </c>
      <c r="M384" s="57" t="str">
        <f t="shared" si="31"/>
        <v/>
      </c>
      <c r="N384" s="57" t="str">
        <f>IF($I384="","",SUMIFS(资金流水!$K$5:$K$3032,资金流水!$Q$5:$Q$3015,$I384))</f>
        <v/>
      </c>
      <c r="O384" s="25"/>
      <c r="P384" s="57" t="str">
        <f t="shared" si="32"/>
        <v/>
      </c>
      <c r="Q384" s="58" t="str">
        <f t="shared" si="33"/>
        <v/>
      </c>
      <c r="R384" s="54" t="str">
        <f t="shared" si="34"/>
        <v/>
      </c>
      <c r="S384" s="56" t="str">
        <f ca="1" t="shared" si="35"/>
        <v/>
      </c>
      <c r="T384" s="10"/>
    </row>
    <row r="385" spans="1:20">
      <c r="A385" s="56" t="str">
        <f>IF($B385="","",COUNTA($B$5:$B385))</f>
        <v/>
      </c>
      <c r="B385" s="53"/>
      <c r="C385" s="46"/>
      <c r="D385" s="56" t="str">
        <f>IFERROR(INDEX(基础资料!$C$4:$C$11,MATCH($C385,基础资料!$A$4:$A$11,0)),"")</f>
        <v/>
      </c>
      <c r="E385" s="39"/>
      <c r="F385" s="46"/>
      <c r="G385" s="10"/>
      <c r="H385" s="39"/>
      <c r="I385" s="10"/>
      <c r="J385" s="25"/>
      <c r="K385" s="88"/>
      <c r="L385" s="57" t="str">
        <f t="shared" si="30"/>
        <v/>
      </c>
      <c r="M385" s="57" t="str">
        <f t="shared" si="31"/>
        <v/>
      </c>
      <c r="N385" s="57" t="str">
        <f>IF($I385="","",SUMIFS(资金流水!$K$5:$K$3032,资金流水!$Q$5:$Q$3015,$I385))</f>
        <v/>
      </c>
      <c r="O385" s="25"/>
      <c r="P385" s="57" t="str">
        <f t="shared" si="32"/>
        <v/>
      </c>
      <c r="Q385" s="58" t="str">
        <f t="shared" si="33"/>
        <v/>
      </c>
      <c r="R385" s="54" t="str">
        <f t="shared" si="34"/>
        <v/>
      </c>
      <c r="S385" s="56" t="str">
        <f ca="1" t="shared" si="35"/>
        <v/>
      </c>
      <c r="T385" s="10"/>
    </row>
    <row r="386" spans="1:20">
      <c r="A386" s="56" t="str">
        <f>IF($B386="","",COUNTA($B$5:$B386))</f>
        <v/>
      </c>
      <c r="B386" s="53"/>
      <c r="C386" s="46"/>
      <c r="D386" s="56" t="str">
        <f>IFERROR(INDEX(基础资料!$C$4:$C$11,MATCH($C386,基础资料!$A$4:$A$11,0)),"")</f>
        <v/>
      </c>
      <c r="E386" s="39"/>
      <c r="F386" s="46"/>
      <c r="G386" s="10"/>
      <c r="H386" s="39"/>
      <c r="I386" s="10"/>
      <c r="J386" s="25"/>
      <c r="K386" s="88"/>
      <c r="L386" s="57" t="str">
        <f t="shared" si="30"/>
        <v/>
      </c>
      <c r="M386" s="57" t="str">
        <f t="shared" si="31"/>
        <v/>
      </c>
      <c r="N386" s="57" t="str">
        <f>IF($I386="","",SUMIFS(资金流水!$K$5:$K$3032,资金流水!$Q$5:$Q$3015,$I386))</f>
        <v/>
      </c>
      <c r="O386" s="25"/>
      <c r="P386" s="57" t="str">
        <f t="shared" si="32"/>
        <v/>
      </c>
      <c r="Q386" s="58" t="str">
        <f t="shared" si="33"/>
        <v/>
      </c>
      <c r="R386" s="54" t="str">
        <f t="shared" si="34"/>
        <v/>
      </c>
      <c r="S386" s="56" t="str">
        <f ca="1" t="shared" si="35"/>
        <v/>
      </c>
      <c r="T386" s="10"/>
    </row>
    <row r="387" spans="1:20">
      <c r="A387" s="56" t="str">
        <f>IF($B387="","",COUNTA($B$5:$B387))</f>
        <v/>
      </c>
      <c r="B387" s="53"/>
      <c r="C387" s="46"/>
      <c r="D387" s="56" t="str">
        <f>IFERROR(INDEX(基础资料!$C$4:$C$11,MATCH($C387,基础资料!$A$4:$A$11,0)),"")</f>
        <v/>
      </c>
      <c r="E387" s="39"/>
      <c r="F387" s="46"/>
      <c r="G387" s="10"/>
      <c r="H387" s="39"/>
      <c r="I387" s="10"/>
      <c r="J387" s="25"/>
      <c r="K387" s="88"/>
      <c r="L387" s="57" t="str">
        <f t="shared" si="30"/>
        <v/>
      </c>
      <c r="M387" s="57" t="str">
        <f t="shared" si="31"/>
        <v/>
      </c>
      <c r="N387" s="57" t="str">
        <f>IF($I387="","",SUMIFS(资金流水!$K$5:$K$3032,资金流水!$Q$5:$Q$3015,$I387))</f>
        <v/>
      </c>
      <c r="O387" s="25"/>
      <c r="P387" s="57" t="str">
        <f t="shared" si="32"/>
        <v/>
      </c>
      <c r="Q387" s="58" t="str">
        <f t="shared" si="33"/>
        <v/>
      </c>
      <c r="R387" s="54" t="str">
        <f t="shared" si="34"/>
        <v/>
      </c>
      <c r="S387" s="56" t="str">
        <f ca="1" t="shared" si="35"/>
        <v/>
      </c>
      <c r="T387" s="10"/>
    </row>
    <row r="388" spans="1:20">
      <c r="A388" s="56" t="str">
        <f>IF($B388="","",COUNTA($B$5:$B388))</f>
        <v/>
      </c>
      <c r="B388" s="53"/>
      <c r="C388" s="46"/>
      <c r="D388" s="56" t="str">
        <f>IFERROR(INDEX(基础资料!$C$4:$C$11,MATCH($C388,基础资料!$A$4:$A$11,0)),"")</f>
        <v/>
      </c>
      <c r="E388" s="39"/>
      <c r="F388" s="46"/>
      <c r="G388" s="10"/>
      <c r="H388" s="39"/>
      <c r="I388" s="10"/>
      <c r="J388" s="25"/>
      <c r="K388" s="88"/>
      <c r="L388" s="57" t="str">
        <f t="shared" si="30"/>
        <v/>
      </c>
      <c r="M388" s="57" t="str">
        <f t="shared" si="31"/>
        <v/>
      </c>
      <c r="N388" s="57" t="str">
        <f>IF($I388="","",SUMIFS(资金流水!$K$5:$K$3032,资金流水!$Q$5:$Q$3015,$I388))</f>
        <v/>
      </c>
      <c r="O388" s="25"/>
      <c r="P388" s="57" t="str">
        <f t="shared" si="32"/>
        <v/>
      </c>
      <c r="Q388" s="58" t="str">
        <f t="shared" si="33"/>
        <v/>
      </c>
      <c r="R388" s="54" t="str">
        <f t="shared" si="34"/>
        <v/>
      </c>
      <c r="S388" s="56" t="str">
        <f ca="1" t="shared" si="35"/>
        <v/>
      </c>
      <c r="T388" s="10"/>
    </row>
    <row r="389" spans="1:20">
      <c r="A389" s="56" t="str">
        <f>IF($B389="","",COUNTA($B$5:$B389))</f>
        <v/>
      </c>
      <c r="B389" s="53"/>
      <c r="C389" s="46"/>
      <c r="D389" s="56" t="str">
        <f>IFERROR(INDEX(基础资料!$C$4:$C$11,MATCH($C389,基础资料!$A$4:$A$11,0)),"")</f>
        <v/>
      </c>
      <c r="E389" s="39"/>
      <c r="F389" s="46"/>
      <c r="G389" s="10"/>
      <c r="H389" s="39"/>
      <c r="I389" s="10"/>
      <c r="J389" s="25"/>
      <c r="K389" s="88"/>
      <c r="L389" s="57" t="str">
        <f t="shared" ref="L389:L452" si="36">IF($J389="","",ROUND($J389*$K389,2))</f>
        <v/>
      </c>
      <c r="M389" s="57" t="str">
        <f t="shared" ref="M389:M452" si="37">IF($J389="","",ROUND($J389+$L389,2))</f>
        <v/>
      </c>
      <c r="N389" s="57" t="str">
        <f>IF($I389="","",SUMIFS(资金流水!$K$5:$K$3032,资金流水!$Q$5:$Q$3015,$I389))</f>
        <v/>
      </c>
      <c r="O389" s="25"/>
      <c r="P389" s="57" t="str">
        <f t="shared" ref="P389:P452" si="38">IF($J389="","",ROUND($M389-IF($N389="",0,$N389)-IF($O389="",0,$O389),2))</f>
        <v/>
      </c>
      <c r="Q389" s="58" t="str">
        <f t="shared" ref="Q389:Q452" si="39">IF($J389="","",IF($P389&lt;=0.005,"已收齐",IF(IF($N389="",0,$N389)+IF($O389="",0,$O389)&lt;=0,"未收款","部分收款")))</f>
        <v/>
      </c>
      <c r="R389" s="54" t="str">
        <f t="shared" ref="R389:R452" si="40">IF($B389="","",--TEXT($B389,"yyyymm"))</f>
        <v/>
      </c>
      <c r="S389" s="56" t="str">
        <f ca="1" t="shared" ref="S389:S452" si="41">IF(OR($B389="",$P389="",$P389&lt;=0.005),"",TODAY()-$B389)</f>
        <v/>
      </c>
      <c r="T389" s="10"/>
    </row>
    <row r="390" spans="1:20">
      <c r="A390" s="56" t="str">
        <f>IF($B390="","",COUNTA($B$5:$B390))</f>
        <v/>
      </c>
      <c r="B390" s="53"/>
      <c r="C390" s="46"/>
      <c r="D390" s="56" t="str">
        <f>IFERROR(INDEX(基础资料!$C$4:$C$11,MATCH($C390,基础资料!$A$4:$A$11,0)),"")</f>
        <v/>
      </c>
      <c r="E390" s="39"/>
      <c r="F390" s="46"/>
      <c r="G390" s="10"/>
      <c r="H390" s="39"/>
      <c r="I390" s="10"/>
      <c r="J390" s="25"/>
      <c r="K390" s="88"/>
      <c r="L390" s="57" t="str">
        <f t="shared" si="36"/>
        <v/>
      </c>
      <c r="M390" s="57" t="str">
        <f t="shared" si="37"/>
        <v/>
      </c>
      <c r="N390" s="57" t="str">
        <f>IF($I390="","",SUMIFS(资金流水!$K$5:$K$3032,资金流水!$Q$5:$Q$3015,$I390))</f>
        <v/>
      </c>
      <c r="O390" s="25"/>
      <c r="P390" s="57" t="str">
        <f t="shared" si="38"/>
        <v/>
      </c>
      <c r="Q390" s="58" t="str">
        <f t="shared" si="39"/>
        <v/>
      </c>
      <c r="R390" s="54" t="str">
        <f t="shared" si="40"/>
        <v/>
      </c>
      <c r="S390" s="56" t="str">
        <f ca="1" t="shared" si="41"/>
        <v/>
      </c>
      <c r="T390" s="10"/>
    </row>
    <row r="391" spans="1:20">
      <c r="A391" s="56" t="str">
        <f>IF($B391="","",COUNTA($B$5:$B391))</f>
        <v/>
      </c>
      <c r="B391" s="53"/>
      <c r="C391" s="46"/>
      <c r="D391" s="56" t="str">
        <f>IFERROR(INDEX(基础资料!$C$4:$C$11,MATCH($C391,基础资料!$A$4:$A$11,0)),"")</f>
        <v/>
      </c>
      <c r="E391" s="39"/>
      <c r="F391" s="46"/>
      <c r="G391" s="10"/>
      <c r="H391" s="39"/>
      <c r="I391" s="10"/>
      <c r="J391" s="25"/>
      <c r="K391" s="88"/>
      <c r="L391" s="57" t="str">
        <f t="shared" si="36"/>
        <v/>
      </c>
      <c r="M391" s="57" t="str">
        <f t="shared" si="37"/>
        <v/>
      </c>
      <c r="N391" s="57" t="str">
        <f>IF($I391="","",SUMIFS(资金流水!$K$5:$K$3032,资金流水!$Q$5:$Q$3015,$I391))</f>
        <v/>
      </c>
      <c r="O391" s="25"/>
      <c r="P391" s="57" t="str">
        <f t="shared" si="38"/>
        <v/>
      </c>
      <c r="Q391" s="58" t="str">
        <f t="shared" si="39"/>
        <v/>
      </c>
      <c r="R391" s="54" t="str">
        <f t="shared" si="40"/>
        <v/>
      </c>
      <c r="S391" s="56" t="str">
        <f ca="1" t="shared" si="41"/>
        <v/>
      </c>
      <c r="T391" s="10"/>
    </row>
    <row r="392" spans="1:20">
      <c r="A392" s="56" t="str">
        <f>IF($B392="","",COUNTA($B$5:$B392))</f>
        <v/>
      </c>
      <c r="B392" s="53"/>
      <c r="C392" s="46"/>
      <c r="D392" s="56" t="str">
        <f>IFERROR(INDEX(基础资料!$C$4:$C$11,MATCH($C392,基础资料!$A$4:$A$11,0)),"")</f>
        <v/>
      </c>
      <c r="E392" s="39"/>
      <c r="F392" s="46"/>
      <c r="G392" s="10"/>
      <c r="H392" s="39"/>
      <c r="I392" s="10"/>
      <c r="J392" s="25"/>
      <c r="K392" s="88"/>
      <c r="L392" s="57" t="str">
        <f t="shared" si="36"/>
        <v/>
      </c>
      <c r="M392" s="57" t="str">
        <f t="shared" si="37"/>
        <v/>
      </c>
      <c r="N392" s="57" t="str">
        <f>IF($I392="","",SUMIFS(资金流水!$K$5:$K$3032,资金流水!$Q$5:$Q$3015,$I392))</f>
        <v/>
      </c>
      <c r="O392" s="25"/>
      <c r="P392" s="57" t="str">
        <f t="shared" si="38"/>
        <v/>
      </c>
      <c r="Q392" s="58" t="str">
        <f t="shared" si="39"/>
        <v/>
      </c>
      <c r="R392" s="54" t="str">
        <f t="shared" si="40"/>
        <v/>
      </c>
      <c r="S392" s="56" t="str">
        <f ca="1" t="shared" si="41"/>
        <v/>
      </c>
      <c r="T392" s="10"/>
    </row>
    <row r="393" spans="1:20">
      <c r="A393" s="56" t="str">
        <f>IF($B393="","",COUNTA($B$5:$B393))</f>
        <v/>
      </c>
      <c r="B393" s="53"/>
      <c r="C393" s="46"/>
      <c r="D393" s="56" t="str">
        <f>IFERROR(INDEX(基础资料!$C$4:$C$11,MATCH($C393,基础资料!$A$4:$A$11,0)),"")</f>
        <v/>
      </c>
      <c r="E393" s="39"/>
      <c r="F393" s="46"/>
      <c r="G393" s="10"/>
      <c r="H393" s="39"/>
      <c r="I393" s="10"/>
      <c r="J393" s="25"/>
      <c r="K393" s="88"/>
      <c r="L393" s="57" t="str">
        <f t="shared" si="36"/>
        <v/>
      </c>
      <c r="M393" s="57" t="str">
        <f t="shared" si="37"/>
        <v/>
      </c>
      <c r="N393" s="57" t="str">
        <f>IF($I393="","",SUMIFS(资金流水!$K$5:$K$3032,资金流水!$Q$5:$Q$3015,$I393))</f>
        <v/>
      </c>
      <c r="O393" s="25"/>
      <c r="P393" s="57" t="str">
        <f t="shared" si="38"/>
        <v/>
      </c>
      <c r="Q393" s="58" t="str">
        <f t="shared" si="39"/>
        <v/>
      </c>
      <c r="R393" s="54" t="str">
        <f t="shared" si="40"/>
        <v/>
      </c>
      <c r="S393" s="56" t="str">
        <f ca="1" t="shared" si="41"/>
        <v/>
      </c>
      <c r="T393" s="10"/>
    </row>
    <row r="394" spans="1:20">
      <c r="A394" s="56" t="str">
        <f>IF($B394="","",COUNTA($B$5:$B394))</f>
        <v/>
      </c>
      <c r="B394" s="53"/>
      <c r="C394" s="46"/>
      <c r="D394" s="56" t="str">
        <f>IFERROR(INDEX(基础资料!$C$4:$C$11,MATCH($C394,基础资料!$A$4:$A$11,0)),"")</f>
        <v/>
      </c>
      <c r="E394" s="39"/>
      <c r="F394" s="46"/>
      <c r="G394" s="10"/>
      <c r="H394" s="39"/>
      <c r="I394" s="10"/>
      <c r="J394" s="25"/>
      <c r="K394" s="88"/>
      <c r="L394" s="57" t="str">
        <f t="shared" si="36"/>
        <v/>
      </c>
      <c r="M394" s="57" t="str">
        <f t="shared" si="37"/>
        <v/>
      </c>
      <c r="N394" s="57" t="str">
        <f>IF($I394="","",SUMIFS(资金流水!$K$5:$K$3032,资金流水!$Q$5:$Q$3015,$I394))</f>
        <v/>
      </c>
      <c r="O394" s="25"/>
      <c r="P394" s="57" t="str">
        <f t="shared" si="38"/>
        <v/>
      </c>
      <c r="Q394" s="58" t="str">
        <f t="shared" si="39"/>
        <v/>
      </c>
      <c r="R394" s="54" t="str">
        <f t="shared" si="40"/>
        <v/>
      </c>
      <c r="S394" s="56" t="str">
        <f ca="1" t="shared" si="41"/>
        <v/>
      </c>
      <c r="T394" s="10"/>
    </row>
    <row r="395" spans="1:20">
      <c r="A395" s="56" t="str">
        <f>IF($B395="","",COUNTA($B$5:$B395))</f>
        <v/>
      </c>
      <c r="B395" s="53"/>
      <c r="C395" s="46"/>
      <c r="D395" s="56" t="str">
        <f>IFERROR(INDEX(基础资料!$C$4:$C$11,MATCH($C395,基础资料!$A$4:$A$11,0)),"")</f>
        <v/>
      </c>
      <c r="E395" s="39"/>
      <c r="F395" s="46"/>
      <c r="G395" s="10"/>
      <c r="H395" s="39"/>
      <c r="I395" s="10"/>
      <c r="J395" s="25"/>
      <c r="K395" s="88"/>
      <c r="L395" s="57" t="str">
        <f t="shared" si="36"/>
        <v/>
      </c>
      <c r="M395" s="57" t="str">
        <f t="shared" si="37"/>
        <v/>
      </c>
      <c r="N395" s="57" t="str">
        <f>IF($I395="","",SUMIFS(资金流水!$K$5:$K$3032,资金流水!$Q$5:$Q$3015,$I395))</f>
        <v/>
      </c>
      <c r="O395" s="25"/>
      <c r="P395" s="57" t="str">
        <f t="shared" si="38"/>
        <v/>
      </c>
      <c r="Q395" s="58" t="str">
        <f t="shared" si="39"/>
        <v/>
      </c>
      <c r="R395" s="54" t="str">
        <f t="shared" si="40"/>
        <v/>
      </c>
      <c r="S395" s="56" t="str">
        <f ca="1" t="shared" si="41"/>
        <v/>
      </c>
      <c r="T395" s="10"/>
    </row>
    <row r="396" spans="1:20">
      <c r="A396" s="56" t="str">
        <f>IF($B396="","",COUNTA($B$5:$B396))</f>
        <v/>
      </c>
      <c r="B396" s="53"/>
      <c r="C396" s="46"/>
      <c r="D396" s="56" t="str">
        <f>IFERROR(INDEX(基础资料!$C$4:$C$11,MATCH($C396,基础资料!$A$4:$A$11,0)),"")</f>
        <v/>
      </c>
      <c r="E396" s="39"/>
      <c r="F396" s="46"/>
      <c r="G396" s="10"/>
      <c r="H396" s="39"/>
      <c r="I396" s="10"/>
      <c r="J396" s="25"/>
      <c r="K396" s="88"/>
      <c r="L396" s="57" t="str">
        <f t="shared" si="36"/>
        <v/>
      </c>
      <c r="M396" s="57" t="str">
        <f t="shared" si="37"/>
        <v/>
      </c>
      <c r="N396" s="57" t="str">
        <f>IF($I396="","",SUMIFS(资金流水!$K$5:$K$3032,资金流水!$Q$5:$Q$3015,$I396))</f>
        <v/>
      </c>
      <c r="O396" s="25"/>
      <c r="P396" s="57" t="str">
        <f t="shared" si="38"/>
        <v/>
      </c>
      <c r="Q396" s="58" t="str">
        <f t="shared" si="39"/>
        <v/>
      </c>
      <c r="R396" s="54" t="str">
        <f t="shared" si="40"/>
        <v/>
      </c>
      <c r="S396" s="56" t="str">
        <f ca="1" t="shared" si="41"/>
        <v/>
      </c>
      <c r="T396" s="10"/>
    </row>
    <row r="397" spans="1:20">
      <c r="A397" s="56" t="str">
        <f>IF($B397="","",COUNTA($B$5:$B397))</f>
        <v/>
      </c>
      <c r="B397" s="53"/>
      <c r="C397" s="46"/>
      <c r="D397" s="56" t="str">
        <f>IFERROR(INDEX(基础资料!$C$4:$C$11,MATCH($C397,基础资料!$A$4:$A$11,0)),"")</f>
        <v/>
      </c>
      <c r="E397" s="39"/>
      <c r="F397" s="46"/>
      <c r="G397" s="10"/>
      <c r="H397" s="39"/>
      <c r="I397" s="10"/>
      <c r="J397" s="25"/>
      <c r="K397" s="88"/>
      <c r="L397" s="57" t="str">
        <f t="shared" si="36"/>
        <v/>
      </c>
      <c r="M397" s="57" t="str">
        <f t="shared" si="37"/>
        <v/>
      </c>
      <c r="N397" s="57" t="str">
        <f>IF($I397="","",SUMIFS(资金流水!$K$5:$K$3032,资金流水!$Q$5:$Q$3015,$I397))</f>
        <v/>
      </c>
      <c r="O397" s="25"/>
      <c r="P397" s="57" t="str">
        <f t="shared" si="38"/>
        <v/>
      </c>
      <c r="Q397" s="58" t="str">
        <f t="shared" si="39"/>
        <v/>
      </c>
      <c r="R397" s="54" t="str">
        <f t="shared" si="40"/>
        <v/>
      </c>
      <c r="S397" s="56" t="str">
        <f ca="1" t="shared" si="41"/>
        <v/>
      </c>
      <c r="T397" s="10"/>
    </row>
    <row r="398" spans="1:20">
      <c r="A398" s="56" t="str">
        <f>IF($B398="","",COUNTA($B$5:$B398))</f>
        <v/>
      </c>
      <c r="B398" s="53"/>
      <c r="C398" s="46"/>
      <c r="D398" s="56" t="str">
        <f>IFERROR(INDEX(基础资料!$C$4:$C$11,MATCH($C398,基础资料!$A$4:$A$11,0)),"")</f>
        <v/>
      </c>
      <c r="E398" s="39"/>
      <c r="F398" s="46"/>
      <c r="G398" s="10"/>
      <c r="H398" s="39"/>
      <c r="I398" s="10"/>
      <c r="J398" s="25"/>
      <c r="K398" s="88"/>
      <c r="L398" s="57" t="str">
        <f t="shared" si="36"/>
        <v/>
      </c>
      <c r="M398" s="57" t="str">
        <f t="shared" si="37"/>
        <v/>
      </c>
      <c r="N398" s="57" t="str">
        <f>IF($I398="","",SUMIFS(资金流水!$K$5:$K$3032,资金流水!$Q$5:$Q$3015,$I398))</f>
        <v/>
      </c>
      <c r="O398" s="25"/>
      <c r="P398" s="57" t="str">
        <f t="shared" si="38"/>
        <v/>
      </c>
      <c r="Q398" s="58" t="str">
        <f t="shared" si="39"/>
        <v/>
      </c>
      <c r="R398" s="54" t="str">
        <f t="shared" si="40"/>
        <v/>
      </c>
      <c r="S398" s="56" t="str">
        <f ca="1" t="shared" si="41"/>
        <v/>
      </c>
      <c r="T398" s="10"/>
    </row>
    <row r="399" spans="1:20">
      <c r="A399" s="56" t="str">
        <f>IF($B399="","",COUNTA($B$5:$B399))</f>
        <v/>
      </c>
      <c r="B399" s="53"/>
      <c r="C399" s="46"/>
      <c r="D399" s="56" t="str">
        <f>IFERROR(INDEX(基础资料!$C$4:$C$11,MATCH($C399,基础资料!$A$4:$A$11,0)),"")</f>
        <v/>
      </c>
      <c r="E399" s="39"/>
      <c r="F399" s="46"/>
      <c r="G399" s="10"/>
      <c r="H399" s="39"/>
      <c r="I399" s="10"/>
      <c r="J399" s="25"/>
      <c r="K399" s="88"/>
      <c r="L399" s="57" t="str">
        <f t="shared" si="36"/>
        <v/>
      </c>
      <c r="M399" s="57" t="str">
        <f t="shared" si="37"/>
        <v/>
      </c>
      <c r="N399" s="57" t="str">
        <f>IF($I399="","",SUMIFS(资金流水!$K$5:$K$3032,资金流水!$Q$5:$Q$3015,$I399))</f>
        <v/>
      </c>
      <c r="O399" s="25"/>
      <c r="P399" s="57" t="str">
        <f t="shared" si="38"/>
        <v/>
      </c>
      <c r="Q399" s="58" t="str">
        <f t="shared" si="39"/>
        <v/>
      </c>
      <c r="R399" s="54" t="str">
        <f t="shared" si="40"/>
        <v/>
      </c>
      <c r="S399" s="56" t="str">
        <f ca="1" t="shared" si="41"/>
        <v/>
      </c>
      <c r="T399" s="10"/>
    </row>
    <row r="400" spans="1:20">
      <c r="A400" s="56" t="str">
        <f>IF($B400="","",COUNTA($B$5:$B400))</f>
        <v/>
      </c>
      <c r="B400" s="53"/>
      <c r="C400" s="46"/>
      <c r="D400" s="56" t="str">
        <f>IFERROR(INDEX(基础资料!$C$4:$C$11,MATCH($C400,基础资料!$A$4:$A$11,0)),"")</f>
        <v/>
      </c>
      <c r="E400" s="39"/>
      <c r="F400" s="46"/>
      <c r="G400" s="10"/>
      <c r="H400" s="39"/>
      <c r="I400" s="10"/>
      <c r="J400" s="25"/>
      <c r="K400" s="88"/>
      <c r="L400" s="57" t="str">
        <f t="shared" si="36"/>
        <v/>
      </c>
      <c r="M400" s="57" t="str">
        <f t="shared" si="37"/>
        <v/>
      </c>
      <c r="N400" s="57" t="str">
        <f>IF($I400="","",SUMIFS(资金流水!$K$5:$K$3032,资金流水!$Q$5:$Q$3015,$I400))</f>
        <v/>
      </c>
      <c r="O400" s="25"/>
      <c r="P400" s="57" t="str">
        <f t="shared" si="38"/>
        <v/>
      </c>
      <c r="Q400" s="58" t="str">
        <f t="shared" si="39"/>
        <v/>
      </c>
      <c r="R400" s="54" t="str">
        <f t="shared" si="40"/>
        <v/>
      </c>
      <c r="S400" s="56" t="str">
        <f ca="1" t="shared" si="41"/>
        <v/>
      </c>
      <c r="T400" s="10"/>
    </row>
    <row r="401" spans="1:20">
      <c r="A401" s="56" t="str">
        <f>IF($B401="","",COUNTA($B$5:$B401))</f>
        <v/>
      </c>
      <c r="B401" s="53"/>
      <c r="C401" s="46"/>
      <c r="D401" s="56" t="str">
        <f>IFERROR(INDEX(基础资料!$C$4:$C$11,MATCH($C401,基础资料!$A$4:$A$11,0)),"")</f>
        <v/>
      </c>
      <c r="E401" s="39"/>
      <c r="F401" s="46"/>
      <c r="G401" s="10"/>
      <c r="H401" s="39"/>
      <c r="I401" s="10"/>
      <c r="J401" s="25"/>
      <c r="K401" s="88"/>
      <c r="L401" s="57" t="str">
        <f t="shared" si="36"/>
        <v/>
      </c>
      <c r="M401" s="57" t="str">
        <f t="shared" si="37"/>
        <v/>
      </c>
      <c r="N401" s="57" t="str">
        <f>IF($I401="","",SUMIFS(资金流水!$K$5:$K$3032,资金流水!$Q$5:$Q$3015,$I401))</f>
        <v/>
      </c>
      <c r="O401" s="25"/>
      <c r="P401" s="57" t="str">
        <f t="shared" si="38"/>
        <v/>
      </c>
      <c r="Q401" s="58" t="str">
        <f t="shared" si="39"/>
        <v/>
      </c>
      <c r="R401" s="54" t="str">
        <f t="shared" si="40"/>
        <v/>
      </c>
      <c r="S401" s="56" t="str">
        <f ca="1" t="shared" si="41"/>
        <v/>
      </c>
      <c r="T401" s="10"/>
    </row>
    <row r="402" spans="1:20">
      <c r="A402" s="56" t="str">
        <f>IF($B402="","",COUNTA($B$5:$B402))</f>
        <v/>
      </c>
      <c r="B402" s="53"/>
      <c r="C402" s="46"/>
      <c r="D402" s="56" t="str">
        <f>IFERROR(INDEX(基础资料!$C$4:$C$11,MATCH($C402,基础资料!$A$4:$A$11,0)),"")</f>
        <v/>
      </c>
      <c r="E402" s="39"/>
      <c r="F402" s="46"/>
      <c r="G402" s="10"/>
      <c r="H402" s="39"/>
      <c r="I402" s="10"/>
      <c r="J402" s="25"/>
      <c r="K402" s="88"/>
      <c r="L402" s="57" t="str">
        <f t="shared" si="36"/>
        <v/>
      </c>
      <c r="M402" s="57" t="str">
        <f t="shared" si="37"/>
        <v/>
      </c>
      <c r="N402" s="57" t="str">
        <f>IF($I402="","",SUMIFS(资金流水!$K$5:$K$3032,资金流水!$Q$5:$Q$3015,$I402))</f>
        <v/>
      </c>
      <c r="O402" s="25"/>
      <c r="P402" s="57" t="str">
        <f t="shared" si="38"/>
        <v/>
      </c>
      <c r="Q402" s="58" t="str">
        <f t="shared" si="39"/>
        <v/>
      </c>
      <c r="R402" s="54" t="str">
        <f t="shared" si="40"/>
        <v/>
      </c>
      <c r="S402" s="56" t="str">
        <f ca="1" t="shared" si="41"/>
        <v/>
      </c>
      <c r="T402" s="10"/>
    </row>
    <row r="403" spans="1:20">
      <c r="A403" s="56" t="str">
        <f>IF($B403="","",COUNTA($B$5:$B403))</f>
        <v/>
      </c>
      <c r="B403" s="53"/>
      <c r="C403" s="46"/>
      <c r="D403" s="56" t="str">
        <f>IFERROR(INDEX(基础资料!$C$4:$C$11,MATCH($C403,基础资料!$A$4:$A$11,0)),"")</f>
        <v/>
      </c>
      <c r="E403" s="39"/>
      <c r="F403" s="46"/>
      <c r="G403" s="10"/>
      <c r="H403" s="39"/>
      <c r="I403" s="10"/>
      <c r="J403" s="25"/>
      <c r="K403" s="88"/>
      <c r="L403" s="57" t="str">
        <f t="shared" si="36"/>
        <v/>
      </c>
      <c r="M403" s="57" t="str">
        <f t="shared" si="37"/>
        <v/>
      </c>
      <c r="N403" s="57" t="str">
        <f>IF($I403="","",SUMIFS(资金流水!$K$5:$K$3032,资金流水!$Q$5:$Q$3015,$I403))</f>
        <v/>
      </c>
      <c r="O403" s="25"/>
      <c r="P403" s="57" t="str">
        <f t="shared" si="38"/>
        <v/>
      </c>
      <c r="Q403" s="58" t="str">
        <f t="shared" si="39"/>
        <v/>
      </c>
      <c r="R403" s="54" t="str">
        <f t="shared" si="40"/>
        <v/>
      </c>
      <c r="S403" s="56" t="str">
        <f ca="1" t="shared" si="41"/>
        <v/>
      </c>
      <c r="T403" s="10"/>
    </row>
    <row r="404" spans="1:20">
      <c r="A404" s="56" t="str">
        <f>IF($B404="","",COUNTA($B$5:$B404))</f>
        <v/>
      </c>
      <c r="B404" s="53"/>
      <c r="C404" s="46"/>
      <c r="D404" s="56" t="str">
        <f>IFERROR(INDEX(基础资料!$C$4:$C$11,MATCH($C404,基础资料!$A$4:$A$11,0)),"")</f>
        <v/>
      </c>
      <c r="E404" s="39"/>
      <c r="F404" s="46"/>
      <c r="G404" s="10"/>
      <c r="H404" s="39"/>
      <c r="I404" s="10"/>
      <c r="J404" s="25"/>
      <c r="K404" s="88"/>
      <c r="L404" s="57" t="str">
        <f t="shared" si="36"/>
        <v/>
      </c>
      <c r="M404" s="57" t="str">
        <f t="shared" si="37"/>
        <v/>
      </c>
      <c r="N404" s="57" t="str">
        <f>IF($I404="","",SUMIFS(资金流水!$K$5:$K$3032,资金流水!$Q$5:$Q$3015,$I404))</f>
        <v/>
      </c>
      <c r="O404" s="25"/>
      <c r="P404" s="57" t="str">
        <f t="shared" si="38"/>
        <v/>
      </c>
      <c r="Q404" s="58" t="str">
        <f t="shared" si="39"/>
        <v/>
      </c>
      <c r="R404" s="54" t="str">
        <f t="shared" si="40"/>
        <v/>
      </c>
      <c r="S404" s="56" t="str">
        <f ca="1" t="shared" si="41"/>
        <v/>
      </c>
      <c r="T404" s="10"/>
    </row>
    <row r="405" spans="1:20">
      <c r="A405" s="56" t="str">
        <f>IF($B405="","",COUNTA($B$5:$B405))</f>
        <v/>
      </c>
      <c r="B405" s="53"/>
      <c r="C405" s="46"/>
      <c r="D405" s="56" t="str">
        <f>IFERROR(INDEX(基础资料!$C$4:$C$11,MATCH($C405,基础资料!$A$4:$A$11,0)),"")</f>
        <v/>
      </c>
      <c r="E405" s="39"/>
      <c r="F405" s="46"/>
      <c r="G405" s="10"/>
      <c r="H405" s="39"/>
      <c r="I405" s="10"/>
      <c r="J405" s="25"/>
      <c r="K405" s="88"/>
      <c r="L405" s="57" t="str">
        <f t="shared" si="36"/>
        <v/>
      </c>
      <c r="M405" s="57" t="str">
        <f t="shared" si="37"/>
        <v/>
      </c>
      <c r="N405" s="57" t="str">
        <f>IF($I405="","",SUMIFS(资金流水!$K$5:$K$3032,资金流水!$Q$5:$Q$3015,$I405))</f>
        <v/>
      </c>
      <c r="O405" s="25"/>
      <c r="P405" s="57" t="str">
        <f t="shared" si="38"/>
        <v/>
      </c>
      <c r="Q405" s="58" t="str">
        <f t="shared" si="39"/>
        <v/>
      </c>
      <c r="R405" s="54" t="str">
        <f t="shared" si="40"/>
        <v/>
      </c>
      <c r="S405" s="56" t="str">
        <f ca="1" t="shared" si="41"/>
        <v/>
      </c>
      <c r="T405" s="10"/>
    </row>
    <row r="406" spans="1:20">
      <c r="A406" s="56" t="str">
        <f>IF($B406="","",COUNTA($B$5:$B406))</f>
        <v/>
      </c>
      <c r="B406" s="53"/>
      <c r="C406" s="46"/>
      <c r="D406" s="56" t="str">
        <f>IFERROR(INDEX(基础资料!$C$4:$C$11,MATCH($C406,基础资料!$A$4:$A$11,0)),"")</f>
        <v/>
      </c>
      <c r="E406" s="39"/>
      <c r="F406" s="46"/>
      <c r="G406" s="10"/>
      <c r="H406" s="39"/>
      <c r="I406" s="10"/>
      <c r="J406" s="25"/>
      <c r="K406" s="88"/>
      <c r="L406" s="57" t="str">
        <f t="shared" si="36"/>
        <v/>
      </c>
      <c r="M406" s="57" t="str">
        <f t="shared" si="37"/>
        <v/>
      </c>
      <c r="N406" s="57" t="str">
        <f>IF($I406="","",SUMIFS(资金流水!$K$5:$K$3032,资金流水!$Q$5:$Q$3015,$I406))</f>
        <v/>
      </c>
      <c r="O406" s="25"/>
      <c r="P406" s="57" t="str">
        <f t="shared" si="38"/>
        <v/>
      </c>
      <c r="Q406" s="58" t="str">
        <f t="shared" si="39"/>
        <v/>
      </c>
      <c r="R406" s="54" t="str">
        <f t="shared" si="40"/>
        <v/>
      </c>
      <c r="S406" s="56" t="str">
        <f ca="1" t="shared" si="41"/>
        <v/>
      </c>
      <c r="T406" s="10"/>
    </row>
    <row r="407" spans="1:20">
      <c r="A407" s="56" t="str">
        <f>IF($B407="","",COUNTA($B$5:$B407))</f>
        <v/>
      </c>
      <c r="B407" s="53"/>
      <c r="C407" s="46"/>
      <c r="D407" s="56" t="str">
        <f>IFERROR(INDEX(基础资料!$C$4:$C$11,MATCH($C407,基础资料!$A$4:$A$11,0)),"")</f>
        <v/>
      </c>
      <c r="E407" s="39"/>
      <c r="F407" s="46"/>
      <c r="G407" s="10"/>
      <c r="H407" s="39"/>
      <c r="I407" s="10"/>
      <c r="J407" s="25"/>
      <c r="K407" s="88"/>
      <c r="L407" s="57" t="str">
        <f t="shared" si="36"/>
        <v/>
      </c>
      <c r="M407" s="57" t="str">
        <f t="shared" si="37"/>
        <v/>
      </c>
      <c r="N407" s="57" t="str">
        <f>IF($I407="","",SUMIFS(资金流水!$K$5:$K$3032,资金流水!$Q$5:$Q$3015,$I407))</f>
        <v/>
      </c>
      <c r="O407" s="25"/>
      <c r="P407" s="57" t="str">
        <f t="shared" si="38"/>
        <v/>
      </c>
      <c r="Q407" s="58" t="str">
        <f t="shared" si="39"/>
        <v/>
      </c>
      <c r="R407" s="54" t="str">
        <f t="shared" si="40"/>
        <v/>
      </c>
      <c r="S407" s="56" t="str">
        <f ca="1" t="shared" si="41"/>
        <v/>
      </c>
      <c r="T407" s="10"/>
    </row>
    <row r="408" spans="1:20">
      <c r="A408" s="56" t="str">
        <f>IF($B408="","",COUNTA($B$5:$B408))</f>
        <v/>
      </c>
      <c r="B408" s="53"/>
      <c r="C408" s="46"/>
      <c r="D408" s="56" t="str">
        <f>IFERROR(INDEX(基础资料!$C$4:$C$11,MATCH($C408,基础资料!$A$4:$A$11,0)),"")</f>
        <v/>
      </c>
      <c r="E408" s="39"/>
      <c r="F408" s="46"/>
      <c r="G408" s="10"/>
      <c r="H408" s="39"/>
      <c r="I408" s="10"/>
      <c r="J408" s="25"/>
      <c r="K408" s="88"/>
      <c r="L408" s="57" t="str">
        <f t="shared" si="36"/>
        <v/>
      </c>
      <c r="M408" s="57" t="str">
        <f t="shared" si="37"/>
        <v/>
      </c>
      <c r="N408" s="57" t="str">
        <f>IF($I408="","",SUMIFS(资金流水!$K$5:$K$3032,资金流水!$Q$5:$Q$3015,$I408))</f>
        <v/>
      </c>
      <c r="O408" s="25"/>
      <c r="P408" s="57" t="str">
        <f t="shared" si="38"/>
        <v/>
      </c>
      <c r="Q408" s="58" t="str">
        <f t="shared" si="39"/>
        <v/>
      </c>
      <c r="R408" s="54" t="str">
        <f t="shared" si="40"/>
        <v/>
      </c>
      <c r="S408" s="56" t="str">
        <f ca="1" t="shared" si="41"/>
        <v/>
      </c>
      <c r="T408" s="10"/>
    </row>
    <row r="409" spans="1:20">
      <c r="A409" s="56" t="str">
        <f>IF($B409="","",COUNTA($B$5:$B409))</f>
        <v/>
      </c>
      <c r="B409" s="53"/>
      <c r="C409" s="46"/>
      <c r="D409" s="56" t="str">
        <f>IFERROR(INDEX(基础资料!$C$4:$C$11,MATCH($C409,基础资料!$A$4:$A$11,0)),"")</f>
        <v/>
      </c>
      <c r="E409" s="39"/>
      <c r="F409" s="46"/>
      <c r="G409" s="10"/>
      <c r="H409" s="39"/>
      <c r="I409" s="10"/>
      <c r="J409" s="25"/>
      <c r="K409" s="88"/>
      <c r="L409" s="57" t="str">
        <f t="shared" si="36"/>
        <v/>
      </c>
      <c r="M409" s="57" t="str">
        <f t="shared" si="37"/>
        <v/>
      </c>
      <c r="N409" s="57" t="str">
        <f>IF($I409="","",SUMIFS(资金流水!$K$5:$K$3032,资金流水!$Q$5:$Q$3015,$I409))</f>
        <v/>
      </c>
      <c r="O409" s="25"/>
      <c r="P409" s="57" t="str">
        <f t="shared" si="38"/>
        <v/>
      </c>
      <c r="Q409" s="58" t="str">
        <f t="shared" si="39"/>
        <v/>
      </c>
      <c r="R409" s="54" t="str">
        <f t="shared" si="40"/>
        <v/>
      </c>
      <c r="S409" s="56" t="str">
        <f ca="1" t="shared" si="41"/>
        <v/>
      </c>
      <c r="T409" s="10"/>
    </row>
    <row r="410" spans="1:20">
      <c r="A410" s="56" t="str">
        <f>IF($B410="","",COUNTA($B$5:$B410))</f>
        <v/>
      </c>
      <c r="B410" s="53"/>
      <c r="C410" s="46"/>
      <c r="D410" s="56" t="str">
        <f>IFERROR(INDEX(基础资料!$C$4:$C$11,MATCH($C410,基础资料!$A$4:$A$11,0)),"")</f>
        <v/>
      </c>
      <c r="E410" s="39"/>
      <c r="F410" s="46"/>
      <c r="G410" s="10"/>
      <c r="H410" s="39"/>
      <c r="I410" s="10"/>
      <c r="J410" s="25"/>
      <c r="K410" s="88"/>
      <c r="L410" s="57" t="str">
        <f t="shared" si="36"/>
        <v/>
      </c>
      <c r="M410" s="57" t="str">
        <f t="shared" si="37"/>
        <v/>
      </c>
      <c r="N410" s="57" t="str">
        <f>IF($I410="","",SUMIFS(资金流水!$K$5:$K$3032,资金流水!$Q$5:$Q$3015,$I410))</f>
        <v/>
      </c>
      <c r="O410" s="25"/>
      <c r="P410" s="57" t="str">
        <f t="shared" si="38"/>
        <v/>
      </c>
      <c r="Q410" s="58" t="str">
        <f t="shared" si="39"/>
        <v/>
      </c>
      <c r="R410" s="54" t="str">
        <f t="shared" si="40"/>
        <v/>
      </c>
      <c r="S410" s="56" t="str">
        <f ca="1" t="shared" si="41"/>
        <v/>
      </c>
      <c r="T410" s="10"/>
    </row>
    <row r="411" spans="1:20">
      <c r="A411" s="56" t="str">
        <f>IF($B411="","",COUNTA($B$5:$B411))</f>
        <v/>
      </c>
      <c r="B411" s="53"/>
      <c r="C411" s="46"/>
      <c r="D411" s="56" t="str">
        <f>IFERROR(INDEX(基础资料!$C$4:$C$11,MATCH($C411,基础资料!$A$4:$A$11,0)),"")</f>
        <v/>
      </c>
      <c r="E411" s="39"/>
      <c r="F411" s="46"/>
      <c r="G411" s="10"/>
      <c r="H411" s="39"/>
      <c r="I411" s="10"/>
      <c r="J411" s="25"/>
      <c r="K411" s="88"/>
      <c r="L411" s="57" t="str">
        <f t="shared" si="36"/>
        <v/>
      </c>
      <c r="M411" s="57" t="str">
        <f t="shared" si="37"/>
        <v/>
      </c>
      <c r="N411" s="57" t="str">
        <f>IF($I411="","",SUMIFS(资金流水!$K$5:$K$3032,资金流水!$Q$5:$Q$3015,$I411))</f>
        <v/>
      </c>
      <c r="O411" s="25"/>
      <c r="P411" s="57" t="str">
        <f t="shared" si="38"/>
        <v/>
      </c>
      <c r="Q411" s="58" t="str">
        <f t="shared" si="39"/>
        <v/>
      </c>
      <c r="R411" s="54" t="str">
        <f t="shared" si="40"/>
        <v/>
      </c>
      <c r="S411" s="56" t="str">
        <f ca="1" t="shared" si="41"/>
        <v/>
      </c>
      <c r="T411" s="10"/>
    </row>
    <row r="412" spans="1:20">
      <c r="A412" s="56" t="str">
        <f>IF($B412="","",COUNTA($B$5:$B412))</f>
        <v/>
      </c>
      <c r="B412" s="53"/>
      <c r="C412" s="46"/>
      <c r="D412" s="56" t="str">
        <f>IFERROR(INDEX(基础资料!$C$4:$C$11,MATCH($C412,基础资料!$A$4:$A$11,0)),"")</f>
        <v/>
      </c>
      <c r="E412" s="39"/>
      <c r="F412" s="46"/>
      <c r="G412" s="10"/>
      <c r="H412" s="39"/>
      <c r="I412" s="10"/>
      <c r="J412" s="25"/>
      <c r="K412" s="88"/>
      <c r="L412" s="57" t="str">
        <f t="shared" si="36"/>
        <v/>
      </c>
      <c r="M412" s="57" t="str">
        <f t="shared" si="37"/>
        <v/>
      </c>
      <c r="N412" s="57" t="str">
        <f>IF($I412="","",SUMIFS(资金流水!$K$5:$K$3032,资金流水!$Q$5:$Q$3015,$I412))</f>
        <v/>
      </c>
      <c r="O412" s="25"/>
      <c r="P412" s="57" t="str">
        <f t="shared" si="38"/>
        <v/>
      </c>
      <c r="Q412" s="58" t="str">
        <f t="shared" si="39"/>
        <v/>
      </c>
      <c r="R412" s="54" t="str">
        <f t="shared" si="40"/>
        <v/>
      </c>
      <c r="S412" s="56" t="str">
        <f ca="1" t="shared" si="41"/>
        <v/>
      </c>
      <c r="T412" s="10"/>
    </row>
    <row r="413" spans="1:20">
      <c r="A413" s="56" t="str">
        <f>IF($B413="","",COUNTA($B$5:$B413))</f>
        <v/>
      </c>
      <c r="B413" s="53"/>
      <c r="C413" s="46"/>
      <c r="D413" s="56" t="str">
        <f>IFERROR(INDEX(基础资料!$C$4:$C$11,MATCH($C413,基础资料!$A$4:$A$11,0)),"")</f>
        <v/>
      </c>
      <c r="E413" s="39"/>
      <c r="F413" s="46"/>
      <c r="G413" s="10"/>
      <c r="H413" s="39"/>
      <c r="I413" s="10"/>
      <c r="J413" s="25"/>
      <c r="K413" s="88"/>
      <c r="L413" s="57" t="str">
        <f t="shared" si="36"/>
        <v/>
      </c>
      <c r="M413" s="57" t="str">
        <f t="shared" si="37"/>
        <v/>
      </c>
      <c r="N413" s="57" t="str">
        <f>IF($I413="","",SUMIFS(资金流水!$K$5:$K$3032,资金流水!$Q$5:$Q$3015,$I413))</f>
        <v/>
      </c>
      <c r="O413" s="25"/>
      <c r="P413" s="57" t="str">
        <f t="shared" si="38"/>
        <v/>
      </c>
      <c r="Q413" s="58" t="str">
        <f t="shared" si="39"/>
        <v/>
      </c>
      <c r="R413" s="54" t="str">
        <f t="shared" si="40"/>
        <v/>
      </c>
      <c r="S413" s="56" t="str">
        <f ca="1" t="shared" si="41"/>
        <v/>
      </c>
      <c r="T413" s="10"/>
    </row>
    <row r="414" spans="1:20">
      <c r="A414" s="56" t="str">
        <f>IF($B414="","",COUNTA($B$5:$B414))</f>
        <v/>
      </c>
      <c r="B414" s="53"/>
      <c r="C414" s="46"/>
      <c r="D414" s="56" t="str">
        <f>IFERROR(INDEX(基础资料!$C$4:$C$11,MATCH($C414,基础资料!$A$4:$A$11,0)),"")</f>
        <v/>
      </c>
      <c r="E414" s="39"/>
      <c r="F414" s="46"/>
      <c r="G414" s="10"/>
      <c r="H414" s="39"/>
      <c r="I414" s="10"/>
      <c r="J414" s="25"/>
      <c r="K414" s="88"/>
      <c r="L414" s="57" t="str">
        <f t="shared" si="36"/>
        <v/>
      </c>
      <c r="M414" s="57" t="str">
        <f t="shared" si="37"/>
        <v/>
      </c>
      <c r="N414" s="57" t="str">
        <f>IF($I414="","",SUMIFS(资金流水!$K$5:$K$3032,资金流水!$Q$5:$Q$3015,$I414))</f>
        <v/>
      </c>
      <c r="O414" s="25"/>
      <c r="P414" s="57" t="str">
        <f t="shared" si="38"/>
        <v/>
      </c>
      <c r="Q414" s="58" t="str">
        <f t="shared" si="39"/>
        <v/>
      </c>
      <c r="R414" s="54" t="str">
        <f t="shared" si="40"/>
        <v/>
      </c>
      <c r="S414" s="56" t="str">
        <f ca="1" t="shared" si="41"/>
        <v/>
      </c>
      <c r="T414" s="10"/>
    </row>
    <row r="415" spans="1:20">
      <c r="A415" s="56" t="str">
        <f>IF($B415="","",COUNTA($B$5:$B415))</f>
        <v/>
      </c>
      <c r="B415" s="53"/>
      <c r="C415" s="46"/>
      <c r="D415" s="56" t="str">
        <f>IFERROR(INDEX(基础资料!$C$4:$C$11,MATCH($C415,基础资料!$A$4:$A$11,0)),"")</f>
        <v/>
      </c>
      <c r="E415" s="39"/>
      <c r="F415" s="46"/>
      <c r="G415" s="10"/>
      <c r="H415" s="39"/>
      <c r="I415" s="10"/>
      <c r="J415" s="25"/>
      <c r="K415" s="88"/>
      <c r="L415" s="57" t="str">
        <f t="shared" si="36"/>
        <v/>
      </c>
      <c r="M415" s="57" t="str">
        <f t="shared" si="37"/>
        <v/>
      </c>
      <c r="N415" s="57" t="str">
        <f>IF($I415="","",SUMIFS(资金流水!$K$5:$K$3032,资金流水!$Q$5:$Q$3015,$I415))</f>
        <v/>
      </c>
      <c r="O415" s="25"/>
      <c r="P415" s="57" t="str">
        <f t="shared" si="38"/>
        <v/>
      </c>
      <c r="Q415" s="58" t="str">
        <f t="shared" si="39"/>
        <v/>
      </c>
      <c r="R415" s="54" t="str">
        <f t="shared" si="40"/>
        <v/>
      </c>
      <c r="S415" s="56" t="str">
        <f ca="1" t="shared" si="41"/>
        <v/>
      </c>
      <c r="T415" s="10"/>
    </row>
    <row r="416" spans="1:20">
      <c r="A416" s="56" t="str">
        <f>IF($B416="","",COUNTA($B$5:$B416))</f>
        <v/>
      </c>
      <c r="B416" s="53"/>
      <c r="C416" s="46"/>
      <c r="D416" s="56" t="str">
        <f>IFERROR(INDEX(基础资料!$C$4:$C$11,MATCH($C416,基础资料!$A$4:$A$11,0)),"")</f>
        <v/>
      </c>
      <c r="E416" s="39"/>
      <c r="F416" s="46"/>
      <c r="G416" s="10"/>
      <c r="H416" s="39"/>
      <c r="I416" s="10"/>
      <c r="J416" s="25"/>
      <c r="K416" s="88"/>
      <c r="L416" s="57" t="str">
        <f t="shared" si="36"/>
        <v/>
      </c>
      <c r="M416" s="57" t="str">
        <f t="shared" si="37"/>
        <v/>
      </c>
      <c r="N416" s="57" t="str">
        <f>IF($I416="","",SUMIFS(资金流水!$K$5:$K$3032,资金流水!$Q$5:$Q$3015,$I416))</f>
        <v/>
      </c>
      <c r="O416" s="25"/>
      <c r="P416" s="57" t="str">
        <f t="shared" si="38"/>
        <v/>
      </c>
      <c r="Q416" s="58" t="str">
        <f t="shared" si="39"/>
        <v/>
      </c>
      <c r="R416" s="54" t="str">
        <f t="shared" si="40"/>
        <v/>
      </c>
      <c r="S416" s="56" t="str">
        <f ca="1" t="shared" si="41"/>
        <v/>
      </c>
      <c r="T416" s="10"/>
    </row>
    <row r="417" spans="1:20">
      <c r="A417" s="56" t="str">
        <f>IF($B417="","",COUNTA($B$5:$B417))</f>
        <v/>
      </c>
      <c r="B417" s="53"/>
      <c r="C417" s="46"/>
      <c r="D417" s="56" t="str">
        <f>IFERROR(INDEX(基础资料!$C$4:$C$11,MATCH($C417,基础资料!$A$4:$A$11,0)),"")</f>
        <v/>
      </c>
      <c r="E417" s="39"/>
      <c r="F417" s="46"/>
      <c r="G417" s="10"/>
      <c r="H417" s="39"/>
      <c r="I417" s="10"/>
      <c r="J417" s="25"/>
      <c r="K417" s="88"/>
      <c r="L417" s="57" t="str">
        <f t="shared" si="36"/>
        <v/>
      </c>
      <c r="M417" s="57" t="str">
        <f t="shared" si="37"/>
        <v/>
      </c>
      <c r="N417" s="57" t="str">
        <f>IF($I417="","",SUMIFS(资金流水!$K$5:$K$3032,资金流水!$Q$5:$Q$3015,$I417))</f>
        <v/>
      </c>
      <c r="O417" s="25"/>
      <c r="P417" s="57" t="str">
        <f t="shared" si="38"/>
        <v/>
      </c>
      <c r="Q417" s="58" t="str">
        <f t="shared" si="39"/>
        <v/>
      </c>
      <c r="R417" s="54" t="str">
        <f t="shared" si="40"/>
        <v/>
      </c>
      <c r="S417" s="56" t="str">
        <f ca="1" t="shared" si="41"/>
        <v/>
      </c>
      <c r="T417" s="10"/>
    </row>
    <row r="418" spans="1:20">
      <c r="A418" s="56" t="str">
        <f>IF($B418="","",COUNTA($B$5:$B418))</f>
        <v/>
      </c>
      <c r="B418" s="53"/>
      <c r="C418" s="46"/>
      <c r="D418" s="56" t="str">
        <f>IFERROR(INDEX(基础资料!$C$4:$C$11,MATCH($C418,基础资料!$A$4:$A$11,0)),"")</f>
        <v/>
      </c>
      <c r="E418" s="39"/>
      <c r="F418" s="46"/>
      <c r="G418" s="10"/>
      <c r="H418" s="39"/>
      <c r="I418" s="10"/>
      <c r="J418" s="25"/>
      <c r="K418" s="88"/>
      <c r="L418" s="57" t="str">
        <f t="shared" si="36"/>
        <v/>
      </c>
      <c r="M418" s="57" t="str">
        <f t="shared" si="37"/>
        <v/>
      </c>
      <c r="N418" s="57" t="str">
        <f>IF($I418="","",SUMIFS(资金流水!$K$5:$K$3032,资金流水!$Q$5:$Q$3015,$I418))</f>
        <v/>
      </c>
      <c r="O418" s="25"/>
      <c r="P418" s="57" t="str">
        <f t="shared" si="38"/>
        <v/>
      </c>
      <c r="Q418" s="58" t="str">
        <f t="shared" si="39"/>
        <v/>
      </c>
      <c r="R418" s="54" t="str">
        <f t="shared" si="40"/>
        <v/>
      </c>
      <c r="S418" s="56" t="str">
        <f ca="1" t="shared" si="41"/>
        <v/>
      </c>
      <c r="T418" s="10"/>
    </row>
    <row r="419" spans="1:20">
      <c r="A419" s="56" t="str">
        <f>IF($B419="","",COUNTA($B$5:$B419))</f>
        <v/>
      </c>
      <c r="B419" s="53"/>
      <c r="C419" s="46"/>
      <c r="D419" s="56" t="str">
        <f>IFERROR(INDEX(基础资料!$C$4:$C$11,MATCH($C419,基础资料!$A$4:$A$11,0)),"")</f>
        <v/>
      </c>
      <c r="E419" s="39"/>
      <c r="F419" s="46"/>
      <c r="G419" s="10"/>
      <c r="H419" s="39"/>
      <c r="I419" s="10"/>
      <c r="J419" s="25"/>
      <c r="K419" s="88"/>
      <c r="L419" s="57" t="str">
        <f t="shared" si="36"/>
        <v/>
      </c>
      <c r="M419" s="57" t="str">
        <f t="shared" si="37"/>
        <v/>
      </c>
      <c r="N419" s="57" t="str">
        <f>IF($I419="","",SUMIFS(资金流水!$K$5:$K$3032,资金流水!$Q$5:$Q$3015,$I419))</f>
        <v/>
      </c>
      <c r="O419" s="25"/>
      <c r="P419" s="57" t="str">
        <f t="shared" si="38"/>
        <v/>
      </c>
      <c r="Q419" s="58" t="str">
        <f t="shared" si="39"/>
        <v/>
      </c>
      <c r="R419" s="54" t="str">
        <f t="shared" si="40"/>
        <v/>
      </c>
      <c r="S419" s="56" t="str">
        <f ca="1" t="shared" si="41"/>
        <v/>
      </c>
      <c r="T419" s="10"/>
    </row>
    <row r="420" spans="1:20">
      <c r="A420" s="56" t="str">
        <f>IF($B420="","",COUNTA($B$5:$B420))</f>
        <v/>
      </c>
      <c r="B420" s="53"/>
      <c r="C420" s="46"/>
      <c r="D420" s="56" t="str">
        <f>IFERROR(INDEX(基础资料!$C$4:$C$11,MATCH($C420,基础资料!$A$4:$A$11,0)),"")</f>
        <v/>
      </c>
      <c r="E420" s="39"/>
      <c r="F420" s="46"/>
      <c r="G420" s="10"/>
      <c r="H420" s="39"/>
      <c r="I420" s="10"/>
      <c r="J420" s="25"/>
      <c r="K420" s="88"/>
      <c r="L420" s="57" t="str">
        <f t="shared" si="36"/>
        <v/>
      </c>
      <c r="M420" s="57" t="str">
        <f t="shared" si="37"/>
        <v/>
      </c>
      <c r="N420" s="57" t="str">
        <f>IF($I420="","",SUMIFS(资金流水!$K$5:$K$3032,资金流水!$Q$5:$Q$3015,$I420))</f>
        <v/>
      </c>
      <c r="O420" s="25"/>
      <c r="P420" s="57" t="str">
        <f t="shared" si="38"/>
        <v/>
      </c>
      <c r="Q420" s="58" t="str">
        <f t="shared" si="39"/>
        <v/>
      </c>
      <c r="R420" s="54" t="str">
        <f t="shared" si="40"/>
        <v/>
      </c>
      <c r="S420" s="56" t="str">
        <f ca="1" t="shared" si="41"/>
        <v/>
      </c>
      <c r="T420" s="10"/>
    </row>
    <row r="421" spans="1:20">
      <c r="A421" s="56" t="str">
        <f>IF($B421="","",COUNTA($B$5:$B421))</f>
        <v/>
      </c>
      <c r="B421" s="53"/>
      <c r="C421" s="46"/>
      <c r="D421" s="56" t="str">
        <f>IFERROR(INDEX(基础资料!$C$4:$C$11,MATCH($C421,基础资料!$A$4:$A$11,0)),"")</f>
        <v/>
      </c>
      <c r="E421" s="39"/>
      <c r="F421" s="46"/>
      <c r="G421" s="10"/>
      <c r="H421" s="39"/>
      <c r="I421" s="10"/>
      <c r="J421" s="25"/>
      <c r="K421" s="88"/>
      <c r="L421" s="57" t="str">
        <f t="shared" si="36"/>
        <v/>
      </c>
      <c r="M421" s="57" t="str">
        <f t="shared" si="37"/>
        <v/>
      </c>
      <c r="N421" s="57" t="str">
        <f>IF($I421="","",SUMIFS(资金流水!$K$5:$K$3032,资金流水!$Q$5:$Q$3015,$I421))</f>
        <v/>
      </c>
      <c r="O421" s="25"/>
      <c r="P421" s="57" t="str">
        <f t="shared" si="38"/>
        <v/>
      </c>
      <c r="Q421" s="58" t="str">
        <f t="shared" si="39"/>
        <v/>
      </c>
      <c r="R421" s="54" t="str">
        <f t="shared" si="40"/>
        <v/>
      </c>
      <c r="S421" s="56" t="str">
        <f ca="1" t="shared" si="41"/>
        <v/>
      </c>
      <c r="T421" s="10"/>
    </row>
    <row r="422" spans="1:20">
      <c r="A422" s="56" t="str">
        <f>IF($B422="","",COUNTA($B$5:$B422))</f>
        <v/>
      </c>
      <c r="B422" s="53"/>
      <c r="C422" s="46"/>
      <c r="D422" s="56" t="str">
        <f>IFERROR(INDEX(基础资料!$C$4:$C$11,MATCH($C422,基础资料!$A$4:$A$11,0)),"")</f>
        <v/>
      </c>
      <c r="E422" s="39"/>
      <c r="F422" s="46"/>
      <c r="G422" s="10"/>
      <c r="H422" s="39"/>
      <c r="I422" s="10"/>
      <c r="J422" s="25"/>
      <c r="K422" s="88"/>
      <c r="L422" s="57" t="str">
        <f t="shared" si="36"/>
        <v/>
      </c>
      <c r="M422" s="57" t="str">
        <f t="shared" si="37"/>
        <v/>
      </c>
      <c r="N422" s="57" t="str">
        <f>IF($I422="","",SUMIFS(资金流水!$K$5:$K$3032,资金流水!$Q$5:$Q$3015,$I422))</f>
        <v/>
      </c>
      <c r="O422" s="25"/>
      <c r="P422" s="57" t="str">
        <f t="shared" si="38"/>
        <v/>
      </c>
      <c r="Q422" s="58" t="str">
        <f t="shared" si="39"/>
        <v/>
      </c>
      <c r="R422" s="54" t="str">
        <f t="shared" si="40"/>
        <v/>
      </c>
      <c r="S422" s="56" t="str">
        <f ca="1" t="shared" si="41"/>
        <v/>
      </c>
      <c r="T422" s="10"/>
    </row>
    <row r="423" spans="1:20">
      <c r="A423" s="56" t="str">
        <f>IF($B423="","",COUNTA($B$5:$B423))</f>
        <v/>
      </c>
      <c r="B423" s="53"/>
      <c r="C423" s="46"/>
      <c r="D423" s="56" t="str">
        <f>IFERROR(INDEX(基础资料!$C$4:$C$11,MATCH($C423,基础资料!$A$4:$A$11,0)),"")</f>
        <v/>
      </c>
      <c r="E423" s="39"/>
      <c r="F423" s="46"/>
      <c r="G423" s="10"/>
      <c r="H423" s="39"/>
      <c r="I423" s="10"/>
      <c r="J423" s="25"/>
      <c r="K423" s="88"/>
      <c r="L423" s="57" t="str">
        <f t="shared" si="36"/>
        <v/>
      </c>
      <c r="M423" s="57" t="str">
        <f t="shared" si="37"/>
        <v/>
      </c>
      <c r="N423" s="57" t="str">
        <f>IF($I423="","",SUMIFS(资金流水!$K$5:$K$3032,资金流水!$Q$5:$Q$3015,$I423))</f>
        <v/>
      </c>
      <c r="O423" s="25"/>
      <c r="P423" s="57" t="str">
        <f t="shared" si="38"/>
        <v/>
      </c>
      <c r="Q423" s="58" t="str">
        <f t="shared" si="39"/>
        <v/>
      </c>
      <c r="R423" s="54" t="str">
        <f t="shared" si="40"/>
        <v/>
      </c>
      <c r="S423" s="56" t="str">
        <f ca="1" t="shared" si="41"/>
        <v/>
      </c>
      <c r="T423" s="10"/>
    </row>
    <row r="424" spans="1:20">
      <c r="A424" s="56" t="str">
        <f>IF($B424="","",COUNTA($B$5:$B424))</f>
        <v/>
      </c>
      <c r="B424" s="53"/>
      <c r="C424" s="46"/>
      <c r="D424" s="56" t="str">
        <f>IFERROR(INDEX(基础资料!$C$4:$C$11,MATCH($C424,基础资料!$A$4:$A$11,0)),"")</f>
        <v/>
      </c>
      <c r="E424" s="39"/>
      <c r="F424" s="46"/>
      <c r="G424" s="10"/>
      <c r="H424" s="39"/>
      <c r="I424" s="10"/>
      <c r="J424" s="25"/>
      <c r="K424" s="88"/>
      <c r="L424" s="57" t="str">
        <f t="shared" si="36"/>
        <v/>
      </c>
      <c r="M424" s="57" t="str">
        <f t="shared" si="37"/>
        <v/>
      </c>
      <c r="N424" s="57" t="str">
        <f>IF($I424="","",SUMIFS(资金流水!$K$5:$K$3032,资金流水!$Q$5:$Q$3015,$I424))</f>
        <v/>
      </c>
      <c r="O424" s="25"/>
      <c r="P424" s="57" t="str">
        <f t="shared" si="38"/>
        <v/>
      </c>
      <c r="Q424" s="58" t="str">
        <f t="shared" si="39"/>
        <v/>
      </c>
      <c r="R424" s="54" t="str">
        <f t="shared" si="40"/>
        <v/>
      </c>
      <c r="S424" s="56" t="str">
        <f ca="1" t="shared" si="41"/>
        <v/>
      </c>
      <c r="T424" s="10"/>
    </row>
    <row r="425" spans="1:20">
      <c r="A425" s="56" t="str">
        <f>IF($B425="","",COUNTA($B$5:$B425))</f>
        <v/>
      </c>
      <c r="B425" s="53"/>
      <c r="C425" s="46"/>
      <c r="D425" s="56" t="str">
        <f>IFERROR(INDEX(基础资料!$C$4:$C$11,MATCH($C425,基础资料!$A$4:$A$11,0)),"")</f>
        <v/>
      </c>
      <c r="E425" s="39"/>
      <c r="F425" s="46"/>
      <c r="G425" s="10"/>
      <c r="H425" s="39"/>
      <c r="I425" s="10"/>
      <c r="J425" s="25"/>
      <c r="K425" s="88"/>
      <c r="L425" s="57" t="str">
        <f t="shared" si="36"/>
        <v/>
      </c>
      <c r="M425" s="57" t="str">
        <f t="shared" si="37"/>
        <v/>
      </c>
      <c r="N425" s="57" t="str">
        <f>IF($I425="","",SUMIFS(资金流水!$K$5:$K$3032,资金流水!$Q$5:$Q$3015,$I425))</f>
        <v/>
      </c>
      <c r="O425" s="25"/>
      <c r="P425" s="57" t="str">
        <f t="shared" si="38"/>
        <v/>
      </c>
      <c r="Q425" s="58" t="str">
        <f t="shared" si="39"/>
        <v/>
      </c>
      <c r="R425" s="54" t="str">
        <f t="shared" si="40"/>
        <v/>
      </c>
      <c r="S425" s="56" t="str">
        <f ca="1" t="shared" si="41"/>
        <v/>
      </c>
      <c r="T425" s="10"/>
    </row>
    <row r="426" spans="1:20">
      <c r="A426" s="56" t="str">
        <f>IF($B426="","",COUNTA($B$5:$B426))</f>
        <v/>
      </c>
      <c r="B426" s="53"/>
      <c r="C426" s="46"/>
      <c r="D426" s="56" t="str">
        <f>IFERROR(INDEX(基础资料!$C$4:$C$11,MATCH($C426,基础资料!$A$4:$A$11,0)),"")</f>
        <v/>
      </c>
      <c r="E426" s="39"/>
      <c r="F426" s="46"/>
      <c r="G426" s="10"/>
      <c r="H426" s="39"/>
      <c r="I426" s="10"/>
      <c r="J426" s="25"/>
      <c r="K426" s="88"/>
      <c r="L426" s="57" t="str">
        <f t="shared" si="36"/>
        <v/>
      </c>
      <c r="M426" s="57" t="str">
        <f t="shared" si="37"/>
        <v/>
      </c>
      <c r="N426" s="57" t="str">
        <f>IF($I426="","",SUMIFS(资金流水!$K$5:$K$3032,资金流水!$Q$5:$Q$3015,$I426))</f>
        <v/>
      </c>
      <c r="O426" s="25"/>
      <c r="P426" s="57" t="str">
        <f t="shared" si="38"/>
        <v/>
      </c>
      <c r="Q426" s="58" t="str">
        <f t="shared" si="39"/>
        <v/>
      </c>
      <c r="R426" s="54" t="str">
        <f t="shared" si="40"/>
        <v/>
      </c>
      <c r="S426" s="56" t="str">
        <f ca="1" t="shared" si="41"/>
        <v/>
      </c>
      <c r="T426" s="10"/>
    </row>
    <row r="427" spans="1:20">
      <c r="A427" s="56" t="str">
        <f>IF($B427="","",COUNTA($B$5:$B427))</f>
        <v/>
      </c>
      <c r="B427" s="53"/>
      <c r="C427" s="46"/>
      <c r="D427" s="56" t="str">
        <f>IFERROR(INDEX(基础资料!$C$4:$C$11,MATCH($C427,基础资料!$A$4:$A$11,0)),"")</f>
        <v/>
      </c>
      <c r="E427" s="39"/>
      <c r="F427" s="46"/>
      <c r="G427" s="10"/>
      <c r="H427" s="39"/>
      <c r="I427" s="10"/>
      <c r="J427" s="25"/>
      <c r="K427" s="88"/>
      <c r="L427" s="57" t="str">
        <f t="shared" si="36"/>
        <v/>
      </c>
      <c r="M427" s="57" t="str">
        <f t="shared" si="37"/>
        <v/>
      </c>
      <c r="N427" s="57" t="str">
        <f>IF($I427="","",SUMIFS(资金流水!$K$5:$K$3032,资金流水!$Q$5:$Q$3015,$I427))</f>
        <v/>
      </c>
      <c r="O427" s="25"/>
      <c r="P427" s="57" t="str">
        <f t="shared" si="38"/>
        <v/>
      </c>
      <c r="Q427" s="58" t="str">
        <f t="shared" si="39"/>
        <v/>
      </c>
      <c r="R427" s="54" t="str">
        <f t="shared" si="40"/>
        <v/>
      </c>
      <c r="S427" s="56" t="str">
        <f ca="1" t="shared" si="41"/>
        <v/>
      </c>
      <c r="T427" s="10"/>
    </row>
    <row r="428" spans="1:20">
      <c r="A428" s="56" t="str">
        <f>IF($B428="","",COUNTA($B$5:$B428))</f>
        <v/>
      </c>
      <c r="B428" s="53"/>
      <c r="C428" s="46"/>
      <c r="D428" s="56" t="str">
        <f>IFERROR(INDEX(基础资料!$C$4:$C$11,MATCH($C428,基础资料!$A$4:$A$11,0)),"")</f>
        <v/>
      </c>
      <c r="E428" s="39"/>
      <c r="F428" s="46"/>
      <c r="G428" s="10"/>
      <c r="H428" s="39"/>
      <c r="I428" s="10"/>
      <c r="J428" s="25"/>
      <c r="K428" s="88"/>
      <c r="L428" s="57" t="str">
        <f t="shared" si="36"/>
        <v/>
      </c>
      <c r="M428" s="57" t="str">
        <f t="shared" si="37"/>
        <v/>
      </c>
      <c r="N428" s="57" t="str">
        <f>IF($I428="","",SUMIFS(资金流水!$K$5:$K$3032,资金流水!$Q$5:$Q$3015,$I428))</f>
        <v/>
      </c>
      <c r="O428" s="25"/>
      <c r="P428" s="57" t="str">
        <f t="shared" si="38"/>
        <v/>
      </c>
      <c r="Q428" s="58" t="str">
        <f t="shared" si="39"/>
        <v/>
      </c>
      <c r="R428" s="54" t="str">
        <f t="shared" si="40"/>
        <v/>
      </c>
      <c r="S428" s="56" t="str">
        <f ca="1" t="shared" si="41"/>
        <v/>
      </c>
      <c r="T428" s="10"/>
    </row>
    <row r="429" spans="1:20">
      <c r="A429" s="56" t="str">
        <f>IF($B429="","",COUNTA($B$5:$B429))</f>
        <v/>
      </c>
      <c r="B429" s="53"/>
      <c r="C429" s="46"/>
      <c r="D429" s="56" t="str">
        <f>IFERROR(INDEX(基础资料!$C$4:$C$11,MATCH($C429,基础资料!$A$4:$A$11,0)),"")</f>
        <v/>
      </c>
      <c r="E429" s="39"/>
      <c r="F429" s="46"/>
      <c r="G429" s="10"/>
      <c r="H429" s="39"/>
      <c r="I429" s="10"/>
      <c r="J429" s="25"/>
      <c r="K429" s="88"/>
      <c r="L429" s="57" t="str">
        <f t="shared" si="36"/>
        <v/>
      </c>
      <c r="M429" s="57" t="str">
        <f t="shared" si="37"/>
        <v/>
      </c>
      <c r="N429" s="57" t="str">
        <f>IF($I429="","",SUMIFS(资金流水!$K$5:$K$3032,资金流水!$Q$5:$Q$3015,$I429))</f>
        <v/>
      </c>
      <c r="O429" s="25"/>
      <c r="P429" s="57" t="str">
        <f t="shared" si="38"/>
        <v/>
      </c>
      <c r="Q429" s="58" t="str">
        <f t="shared" si="39"/>
        <v/>
      </c>
      <c r="R429" s="54" t="str">
        <f t="shared" si="40"/>
        <v/>
      </c>
      <c r="S429" s="56" t="str">
        <f ca="1" t="shared" si="41"/>
        <v/>
      </c>
      <c r="T429" s="10"/>
    </row>
    <row r="430" spans="1:20">
      <c r="A430" s="56" t="str">
        <f>IF($B430="","",COUNTA($B$5:$B430))</f>
        <v/>
      </c>
      <c r="B430" s="53"/>
      <c r="C430" s="46"/>
      <c r="D430" s="56" t="str">
        <f>IFERROR(INDEX(基础资料!$C$4:$C$11,MATCH($C430,基础资料!$A$4:$A$11,0)),"")</f>
        <v/>
      </c>
      <c r="E430" s="39"/>
      <c r="F430" s="46"/>
      <c r="G430" s="10"/>
      <c r="H430" s="39"/>
      <c r="I430" s="10"/>
      <c r="J430" s="25"/>
      <c r="K430" s="88"/>
      <c r="L430" s="57" t="str">
        <f t="shared" si="36"/>
        <v/>
      </c>
      <c r="M430" s="57" t="str">
        <f t="shared" si="37"/>
        <v/>
      </c>
      <c r="N430" s="57" t="str">
        <f>IF($I430="","",SUMIFS(资金流水!$K$5:$K$3032,资金流水!$Q$5:$Q$3015,$I430))</f>
        <v/>
      </c>
      <c r="O430" s="25"/>
      <c r="P430" s="57" t="str">
        <f t="shared" si="38"/>
        <v/>
      </c>
      <c r="Q430" s="58" t="str">
        <f t="shared" si="39"/>
        <v/>
      </c>
      <c r="R430" s="54" t="str">
        <f t="shared" si="40"/>
        <v/>
      </c>
      <c r="S430" s="56" t="str">
        <f ca="1" t="shared" si="41"/>
        <v/>
      </c>
      <c r="T430" s="10"/>
    </row>
    <row r="431" spans="1:20">
      <c r="A431" s="56" t="str">
        <f>IF($B431="","",COUNTA($B$5:$B431))</f>
        <v/>
      </c>
      <c r="B431" s="53"/>
      <c r="C431" s="46"/>
      <c r="D431" s="56" t="str">
        <f>IFERROR(INDEX(基础资料!$C$4:$C$11,MATCH($C431,基础资料!$A$4:$A$11,0)),"")</f>
        <v/>
      </c>
      <c r="E431" s="39"/>
      <c r="F431" s="46"/>
      <c r="G431" s="10"/>
      <c r="H431" s="39"/>
      <c r="I431" s="10"/>
      <c r="J431" s="25"/>
      <c r="K431" s="88"/>
      <c r="L431" s="57" t="str">
        <f t="shared" si="36"/>
        <v/>
      </c>
      <c r="M431" s="57" t="str">
        <f t="shared" si="37"/>
        <v/>
      </c>
      <c r="N431" s="57" t="str">
        <f>IF($I431="","",SUMIFS(资金流水!$K$5:$K$3032,资金流水!$Q$5:$Q$3015,$I431))</f>
        <v/>
      </c>
      <c r="O431" s="25"/>
      <c r="P431" s="57" t="str">
        <f t="shared" si="38"/>
        <v/>
      </c>
      <c r="Q431" s="58" t="str">
        <f t="shared" si="39"/>
        <v/>
      </c>
      <c r="R431" s="54" t="str">
        <f t="shared" si="40"/>
        <v/>
      </c>
      <c r="S431" s="56" t="str">
        <f ca="1" t="shared" si="41"/>
        <v/>
      </c>
      <c r="T431" s="10"/>
    </row>
    <row r="432" spans="1:20">
      <c r="A432" s="56" t="str">
        <f>IF($B432="","",COUNTA($B$5:$B432))</f>
        <v/>
      </c>
      <c r="B432" s="53"/>
      <c r="C432" s="46"/>
      <c r="D432" s="56" t="str">
        <f>IFERROR(INDEX(基础资料!$C$4:$C$11,MATCH($C432,基础资料!$A$4:$A$11,0)),"")</f>
        <v/>
      </c>
      <c r="E432" s="39"/>
      <c r="F432" s="46"/>
      <c r="G432" s="10"/>
      <c r="H432" s="39"/>
      <c r="I432" s="10"/>
      <c r="J432" s="25"/>
      <c r="K432" s="88"/>
      <c r="L432" s="57" t="str">
        <f t="shared" si="36"/>
        <v/>
      </c>
      <c r="M432" s="57" t="str">
        <f t="shared" si="37"/>
        <v/>
      </c>
      <c r="N432" s="57" t="str">
        <f>IF($I432="","",SUMIFS(资金流水!$K$5:$K$3032,资金流水!$Q$5:$Q$3015,$I432))</f>
        <v/>
      </c>
      <c r="O432" s="25"/>
      <c r="P432" s="57" t="str">
        <f t="shared" si="38"/>
        <v/>
      </c>
      <c r="Q432" s="58" t="str">
        <f t="shared" si="39"/>
        <v/>
      </c>
      <c r="R432" s="54" t="str">
        <f t="shared" si="40"/>
        <v/>
      </c>
      <c r="S432" s="56" t="str">
        <f ca="1" t="shared" si="41"/>
        <v/>
      </c>
      <c r="T432" s="10"/>
    </row>
    <row r="433" spans="1:20">
      <c r="A433" s="56" t="str">
        <f>IF($B433="","",COUNTA($B$5:$B433))</f>
        <v/>
      </c>
      <c r="B433" s="53"/>
      <c r="C433" s="46"/>
      <c r="D433" s="56" t="str">
        <f>IFERROR(INDEX(基础资料!$C$4:$C$11,MATCH($C433,基础资料!$A$4:$A$11,0)),"")</f>
        <v/>
      </c>
      <c r="E433" s="39"/>
      <c r="F433" s="46"/>
      <c r="G433" s="10"/>
      <c r="H433" s="39"/>
      <c r="I433" s="10"/>
      <c r="J433" s="25"/>
      <c r="K433" s="88"/>
      <c r="L433" s="57" t="str">
        <f t="shared" si="36"/>
        <v/>
      </c>
      <c r="M433" s="57" t="str">
        <f t="shared" si="37"/>
        <v/>
      </c>
      <c r="N433" s="57" t="str">
        <f>IF($I433="","",SUMIFS(资金流水!$K$5:$K$3032,资金流水!$Q$5:$Q$3015,$I433))</f>
        <v/>
      </c>
      <c r="O433" s="25"/>
      <c r="P433" s="57" t="str">
        <f t="shared" si="38"/>
        <v/>
      </c>
      <c r="Q433" s="58" t="str">
        <f t="shared" si="39"/>
        <v/>
      </c>
      <c r="R433" s="54" t="str">
        <f t="shared" si="40"/>
        <v/>
      </c>
      <c r="S433" s="56" t="str">
        <f ca="1" t="shared" si="41"/>
        <v/>
      </c>
      <c r="T433" s="10"/>
    </row>
    <row r="434" spans="1:20">
      <c r="A434" s="56" t="str">
        <f>IF($B434="","",COUNTA($B$5:$B434))</f>
        <v/>
      </c>
      <c r="B434" s="53"/>
      <c r="C434" s="46"/>
      <c r="D434" s="56" t="str">
        <f>IFERROR(INDEX(基础资料!$C$4:$C$11,MATCH($C434,基础资料!$A$4:$A$11,0)),"")</f>
        <v/>
      </c>
      <c r="E434" s="39"/>
      <c r="F434" s="46"/>
      <c r="G434" s="10"/>
      <c r="H434" s="39"/>
      <c r="I434" s="10"/>
      <c r="J434" s="25"/>
      <c r="K434" s="88"/>
      <c r="L434" s="57" t="str">
        <f t="shared" si="36"/>
        <v/>
      </c>
      <c r="M434" s="57" t="str">
        <f t="shared" si="37"/>
        <v/>
      </c>
      <c r="N434" s="57" t="str">
        <f>IF($I434="","",SUMIFS(资金流水!$K$5:$K$3032,资金流水!$Q$5:$Q$3015,$I434))</f>
        <v/>
      </c>
      <c r="O434" s="25"/>
      <c r="P434" s="57" t="str">
        <f t="shared" si="38"/>
        <v/>
      </c>
      <c r="Q434" s="58" t="str">
        <f t="shared" si="39"/>
        <v/>
      </c>
      <c r="R434" s="54" t="str">
        <f t="shared" si="40"/>
        <v/>
      </c>
      <c r="S434" s="56" t="str">
        <f ca="1" t="shared" si="41"/>
        <v/>
      </c>
      <c r="T434" s="10"/>
    </row>
    <row r="435" spans="1:20">
      <c r="A435" s="56" t="str">
        <f>IF($B435="","",COUNTA($B$5:$B435))</f>
        <v/>
      </c>
      <c r="B435" s="53"/>
      <c r="C435" s="46"/>
      <c r="D435" s="56" t="str">
        <f>IFERROR(INDEX(基础资料!$C$4:$C$11,MATCH($C435,基础资料!$A$4:$A$11,0)),"")</f>
        <v/>
      </c>
      <c r="E435" s="39"/>
      <c r="F435" s="46"/>
      <c r="G435" s="10"/>
      <c r="H435" s="39"/>
      <c r="I435" s="10"/>
      <c r="J435" s="25"/>
      <c r="K435" s="88"/>
      <c r="L435" s="57" t="str">
        <f t="shared" si="36"/>
        <v/>
      </c>
      <c r="M435" s="57" t="str">
        <f t="shared" si="37"/>
        <v/>
      </c>
      <c r="N435" s="57" t="str">
        <f>IF($I435="","",SUMIFS(资金流水!$K$5:$K$3032,资金流水!$Q$5:$Q$3015,$I435))</f>
        <v/>
      </c>
      <c r="O435" s="25"/>
      <c r="P435" s="57" t="str">
        <f t="shared" si="38"/>
        <v/>
      </c>
      <c r="Q435" s="58" t="str">
        <f t="shared" si="39"/>
        <v/>
      </c>
      <c r="R435" s="54" t="str">
        <f t="shared" si="40"/>
        <v/>
      </c>
      <c r="S435" s="56" t="str">
        <f ca="1" t="shared" si="41"/>
        <v/>
      </c>
      <c r="T435" s="10"/>
    </row>
    <row r="436" spans="1:20">
      <c r="A436" s="56" t="str">
        <f>IF($B436="","",COUNTA($B$5:$B436))</f>
        <v/>
      </c>
      <c r="B436" s="53"/>
      <c r="C436" s="46"/>
      <c r="D436" s="56" t="str">
        <f>IFERROR(INDEX(基础资料!$C$4:$C$11,MATCH($C436,基础资料!$A$4:$A$11,0)),"")</f>
        <v/>
      </c>
      <c r="E436" s="39"/>
      <c r="F436" s="46"/>
      <c r="G436" s="10"/>
      <c r="H436" s="39"/>
      <c r="I436" s="10"/>
      <c r="J436" s="25"/>
      <c r="K436" s="88"/>
      <c r="L436" s="57" t="str">
        <f t="shared" si="36"/>
        <v/>
      </c>
      <c r="M436" s="57" t="str">
        <f t="shared" si="37"/>
        <v/>
      </c>
      <c r="N436" s="57" t="str">
        <f>IF($I436="","",SUMIFS(资金流水!$K$5:$K$3032,资金流水!$Q$5:$Q$3015,$I436))</f>
        <v/>
      </c>
      <c r="O436" s="25"/>
      <c r="P436" s="57" t="str">
        <f t="shared" si="38"/>
        <v/>
      </c>
      <c r="Q436" s="58" t="str">
        <f t="shared" si="39"/>
        <v/>
      </c>
      <c r="R436" s="54" t="str">
        <f t="shared" si="40"/>
        <v/>
      </c>
      <c r="S436" s="56" t="str">
        <f ca="1" t="shared" si="41"/>
        <v/>
      </c>
      <c r="T436" s="10"/>
    </row>
    <row r="437" spans="1:20">
      <c r="A437" s="56" t="str">
        <f>IF($B437="","",COUNTA($B$5:$B437))</f>
        <v/>
      </c>
      <c r="B437" s="53"/>
      <c r="C437" s="46"/>
      <c r="D437" s="56" t="str">
        <f>IFERROR(INDEX(基础资料!$C$4:$C$11,MATCH($C437,基础资料!$A$4:$A$11,0)),"")</f>
        <v/>
      </c>
      <c r="E437" s="39"/>
      <c r="F437" s="46"/>
      <c r="G437" s="10"/>
      <c r="H437" s="39"/>
      <c r="I437" s="10"/>
      <c r="J437" s="25"/>
      <c r="K437" s="88"/>
      <c r="L437" s="57" t="str">
        <f t="shared" si="36"/>
        <v/>
      </c>
      <c r="M437" s="57" t="str">
        <f t="shared" si="37"/>
        <v/>
      </c>
      <c r="N437" s="57" t="str">
        <f>IF($I437="","",SUMIFS(资金流水!$K$5:$K$3032,资金流水!$Q$5:$Q$3015,$I437))</f>
        <v/>
      </c>
      <c r="O437" s="25"/>
      <c r="P437" s="57" t="str">
        <f t="shared" si="38"/>
        <v/>
      </c>
      <c r="Q437" s="58" t="str">
        <f t="shared" si="39"/>
        <v/>
      </c>
      <c r="R437" s="54" t="str">
        <f t="shared" si="40"/>
        <v/>
      </c>
      <c r="S437" s="56" t="str">
        <f ca="1" t="shared" si="41"/>
        <v/>
      </c>
      <c r="T437" s="10"/>
    </row>
    <row r="438" spans="1:20">
      <c r="A438" s="56" t="str">
        <f>IF($B438="","",COUNTA($B$5:$B438))</f>
        <v/>
      </c>
      <c r="B438" s="53"/>
      <c r="C438" s="46"/>
      <c r="D438" s="56" t="str">
        <f>IFERROR(INDEX(基础资料!$C$4:$C$11,MATCH($C438,基础资料!$A$4:$A$11,0)),"")</f>
        <v/>
      </c>
      <c r="E438" s="39"/>
      <c r="F438" s="46"/>
      <c r="G438" s="10"/>
      <c r="H438" s="39"/>
      <c r="I438" s="10"/>
      <c r="J438" s="25"/>
      <c r="K438" s="88"/>
      <c r="L438" s="57" t="str">
        <f t="shared" si="36"/>
        <v/>
      </c>
      <c r="M438" s="57" t="str">
        <f t="shared" si="37"/>
        <v/>
      </c>
      <c r="N438" s="57" t="str">
        <f>IF($I438="","",SUMIFS(资金流水!$K$5:$K$3032,资金流水!$Q$5:$Q$3015,$I438))</f>
        <v/>
      </c>
      <c r="O438" s="25"/>
      <c r="P438" s="57" t="str">
        <f t="shared" si="38"/>
        <v/>
      </c>
      <c r="Q438" s="58" t="str">
        <f t="shared" si="39"/>
        <v/>
      </c>
      <c r="R438" s="54" t="str">
        <f t="shared" si="40"/>
        <v/>
      </c>
      <c r="S438" s="56" t="str">
        <f ca="1" t="shared" si="41"/>
        <v/>
      </c>
      <c r="T438" s="10"/>
    </row>
    <row r="439" spans="1:20">
      <c r="A439" s="56" t="str">
        <f>IF($B439="","",COUNTA($B$5:$B439))</f>
        <v/>
      </c>
      <c r="B439" s="53"/>
      <c r="C439" s="46"/>
      <c r="D439" s="56" t="str">
        <f>IFERROR(INDEX(基础资料!$C$4:$C$11,MATCH($C439,基础资料!$A$4:$A$11,0)),"")</f>
        <v/>
      </c>
      <c r="E439" s="39"/>
      <c r="F439" s="46"/>
      <c r="G439" s="10"/>
      <c r="H439" s="39"/>
      <c r="I439" s="10"/>
      <c r="J439" s="25"/>
      <c r="K439" s="88"/>
      <c r="L439" s="57" t="str">
        <f t="shared" si="36"/>
        <v/>
      </c>
      <c r="M439" s="57" t="str">
        <f t="shared" si="37"/>
        <v/>
      </c>
      <c r="N439" s="57" t="str">
        <f>IF($I439="","",SUMIFS(资金流水!$K$5:$K$3032,资金流水!$Q$5:$Q$3015,$I439))</f>
        <v/>
      </c>
      <c r="O439" s="25"/>
      <c r="P439" s="57" t="str">
        <f t="shared" si="38"/>
        <v/>
      </c>
      <c r="Q439" s="58" t="str">
        <f t="shared" si="39"/>
        <v/>
      </c>
      <c r="R439" s="54" t="str">
        <f t="shared" si="40"/>
        <v/>
      </c>
      <c r="S439" s="56" t="str">
        <f ca="1" t="shared" si="41"/>
        <v/>
      </c>
      <c r="T439" s="10"/>
    </row>
    <row r="440" spans="1:20">
      <c r="A440" s="56" t="str">
        <f>IF($B440="","",COUNTA($B$5:$B440))</f>
        <v/>
      </c>
      <c r="B440" s="53"/>
      <c r="C440" s="46"/>
      <c r="D440" s="56" t="str">
        <f>IFERROR(INDEX(基础资料!$C$4:$C$11,MATCH($C440,基础资料!$A$4:$A$11,0)),"")</f>
        <v/>
      </c>
      <c r="E440" s="39"/>
      <c r="F440" s="46"/>
      <c r="G440" s="10"/>
      <c r="H440" s="39"/>
      <c r="I440" s="10"/>
      <c r="J440" s="25"/>
      <c r="K440" s="88"/>
      <c r="L440" s="57" t="str">
        <f t="shared" si="36"/>
        <v/>
      </c>
      <c r="M440" s="57" t="str">
        <f t="shared" si="37"/>
        <v/>
      </c>
      <c r="N440" s="57" t="str">
        <f>IF($I440="","",SUMIFS(资金流水!$K$5:$K$3032,资金流水!$Q$5:$Q$3015,$I440))</f>
        <v/>
      </c>
      <c r="O440" s="25"/>
      <c r="P440" s="57" t="str">
        <f t="shared" si="38"/>
        <v/>
      </c>
      <c r="Q440" s="58" t="str">
        <f t="shared" si="39"/>
        <v/>
      </c>
      <c r="R440" s="54" t="str">
        <f t="shared" si="40"/>
        <v/>
      </c>
      <c r="S440" s="56" t="str">
        <f ca="1" t="shared" si="41"/>
        <v/>
      </c>
      <c r="T440" s="10"/>
    </row>
    <row r="441" spans="1:20">
      <c r="A441" s="56" t="str">
        <f>IF($B441="","",COUNTA($B$5:$B441))</f>
        <v/>
      </c>
      <c r="B441" s="53"/>
      <c r="C441" s="46"/>
      <c r="D441" s="56" t="str">
        <f>IFERROR(INDEX(基础资料!$C$4:$C$11,MATCH($C441,基础资料!$A$4:$A$11,0)),"")</f>
        <v/>
      </c>
      <c r="E441" s="39"/>
      <c r="F441" s="46"/>
      <c r="G441" s="10"/>
      <c r="H441" s="39"/>
      <c r="I441" s="10"/>
      <c r="J441" s="25"/>
      <c r="K441" s="88"/>
      <c r="L441" s="57" t="str">
        <f t="shared" si="36"/>
        <v/>
      </c>
      <c r="M441" s="57" t="str">
        <f t="shared" si="37"/>
        <v/>
      </c>
      <c r="N441" s="57" t="str">
        <f>IF($I441="","",SUMIFS(资金流水!$K$5:$K$3032,资金流水!$Q$5:$Q$3015,$I441))</f>
        <v/>
      </c>
      <c r="O441" s="25"/>
      <c r="P441" s="57" t="str">
        <f t="shared" si="38"/>
        <v/>
      </c>
      <c r="Q441" s="58" t="str">
        <f t="shared" si="39"/>
        <v/>
      </c>
      <c r="R441" s="54" t="str">
        <f t="shared" si="40"/>
        <v/>
      </c>
      <c r="S441" s="56" t="str">
        <f ca="1" t="shared" si="41"/>
        <v/>
      </c>
      <c r="T441" s="10"/>
    </row>
    <row r="442" spans="1:20">
      <c r="A442" s="56" t="str">
        <f>IF($B442="","",COUNTA($B$5:$B442))</f>
        <v/>
      </c>
      <c r="B442" s="53"/>
      <c r="C442" s="46"/>
      <c r="D442" s="56" t="str">
        <f>IFERROR(INDEX(基础资料!$C$4:$C$11,MATCH($C442,基础资料!$A$4:$A$11,0)),"")</f>
        <v/>
      </c>
      <c r="E442" s="39"/>
      <c r="F442" s="46"/>
      <c r="G442" s="10"/>
      <c r="H442" s="39"/>
      <c r="I442" s="10"/>
      <c r="J442" s="25"/>
      <c r="K442" s="88"/>
      <c r="L442" s="57" t="str">
        <f t="shared" si="36"/>
        <v/>
      </c>
      <c r="M442" s="57" t="str">
        <f t="shared" si="37"/>
        <v/>
      </c>
      <c r="N442" s="57" t="str">
        <f>IF($I442="","",SUMIFS(资金流水!$K$5:$K$3032,资金流水!$Q$5:$Q$3015,$I442))</f>
        <v/>
      </c>
      <c r="O442" s="25"/>
      <c r="P442" s="57" t="str">
        <f t="shared" si="38"/>
        <v/>
      </c>
      <c r="Q442" s="58" t="str">
        <f t="shared" si="39"/>
        <v/>
      </c>
      <c r="R442" s="54" t="str">
        <f t="shared" si="40"/>
        <v/>
      </c>
      <c r="S442" s="56" t="str">
        <f ca="1" t="shared" si="41"/>
        <v/>
      </c>
      <c r="T442" s="10"/>
    </row>
    <row r="443" spans="1:20">
      <c r="A443" s="56" t="str">
        <f>IF($B443="","",COUNTA($B$5:$B443))</f>
        <v/>
      </c>
      <c r="B443" s="53"/>
      <c r="C443" s="46"/>
      <c r="D443" s="56" t="str">
        <f>IFERROR(INDEX(基础资料!$C$4:$C$11,MATCH($C443,基础资料!$A$4:$A$11,0)),"")</f>
        <v/>
      </c>
      <c r="E443" s="39"/>
      <c r="F443" s="46"/>
      <c r="G443" s="10"/>
      <c r="H443" s="39"/>
      <c r="I443" s="10"/>
      <c r="J443" s="25"/>
      <c r="K443" s="88"/>
      <c r="L443" s="57" t="str">
        <f t="shared" si="36"/>
        <v/>
      </c>
      <c r="M443" s="57" t="str">
        <f t="shared" si="37"/>
        <v/>
      </c>
      <c r="N443" s="57" t="str">
        <f>IF($I443="","",SUMIFS(资金流水!$K$5:$K$3032,资金流水!$Q$5:$Q$3015,$I443))</f>
        <v/>
      </c>
      <c r="O443" s="25"/>
      <c r="P443" s="57" t="str">
        <f t="shared" si="38"/>
        <v/>
      </c>
      <c r="Q443" s="58" t="str">
        <f t="shared" si="39"/>
        <v/>
      </c>
      <c r="R443" s="54" t="str">
        <f t="shared" si="40"/>
        <v/>
      </c>
      <c r="S443" s="56" t="str">
        <f ca="1" t="shared" si="41"/>
        <v/>
      </c>
      <c r="T443" s="10"/>
    </row>
    <row r="444" spans="1:20">
      <c r="A444" s="56" t="str">
        <f>IF($B444="","",COUNTA($B$5:$B444))</f>
        <v/>
      </c>
      <c r="B444" s="53"/>
      <c r="C444" s="46"/>
      <c r="D444" s="56" t="str">
        <f>IFERROR(INDEX(基础资料!$C$4:$C$11,MATCH($C444,基础资料!$A$4:$A$11,0)),"")</f>
        <v/>
      </c>
      <c r="E444" s="39"/>
      <c r="F444" s="46"/>
      <c r="G444" s="10"/>
      <c r="H444" s="39"/>
      <c r="I444" s="10"/>
      <c r="J444" s="25"/>
      <c r="K444" s="88"/>
      <c r="L444" s="57" t="str">
        <f t="shared" si="36"/>
        <v/>
      </c>
      <c r="M444" s="57" t="str">
        <f t="shared" si="37"/>
        <v/>
      </c>
      <c r="N444" s="57" t="str">
        <f>IF($I444="","",SUMIFS(资金流水!$K$5:$K$3032,资金流水!$Q$5:$Q$3015,$I444))</f>
        <v/>
      </c>
      <c r="O444" s="25"/>
      <c r="P444" s="57" t="str">
        <f t="shared" si="38"/>
        <v/>
      </c>
      <c r="Q444" s="58" t="str">
        <f t="shared" si="39"/>
        <v/>
      </c>
      <c r="R444" s="54" t="str">
        <f t="shared" si="40"/>
        <v/>
      </c>
      <c r="S444" s="56" t="str">
        <f ca="1" t="shared" si="41"/>
        <v/>
      </c>
      <c r="T444" s="10"/>
    </row>
    <row r="445" spans="1:20">
      <c r="A445" s="56" t="str">
        <f>IF($B445="","",COUNTA($B$5:$B445))</f>
        <v/>
      </c>
      <c r="B445" s="53"/>
      <c r="C445" s="46"/>
      <c r="D445" s="56" t="str">
        <f>IFERROR(INDEX(基础资料!$C$4:$C$11,MATCH($C445,基础资料!$A$4:$A$11,0)),"")</f>
        <v/>
      </c>
      <c r="E445" s="39"/>
      <c r="F445" s="46"/>
      <c r="G445" s="10"/>
      <c r="H445" s="39"/>
      <c r="I445" s="10"/>
      <c r="J445" s="25"/>
      <c r="K445" s="88"/>
      <c r="L445" s="57" t="str">
        <f t="shared" si="36"/>
        <v/>
      </c>
      <c r="M445" s="57" t="str">
        <f t="shared" si="37"/>
        <v/>
      </c>
      <c r="N445" s="57" t="str">
        <f>IF($I445="","",SUMIFS(资金流水!$K$5:$K$3032,资金流水!$Q$5:$Q$3015,$I445))</f>
        <v/>
      </c>
      <c r="O445" s="25"/>
      <c r="P445" s="57" t="str">
        <f t="shared" si="38"/>
        <v/>
      </c>
      <c r="Q445" s="58" t="str">
        <f t="shared" si="39"/>
        <v/>
      </c>
      <c r="R445" s="54" t="str">
        <f t="shared" si="40"/>
        <v/>
      </c>
      <c r="S445" s="56" t="str">
        <f ca="1" t="shared" si="41"/>
        <v/>
      </c>
      <c r="T445" s="10"/>
    </row>
    <row r="446" spans="1:20">
      <c r="A446" s="56" t="str">
        <f>IF($B446="","",COUNTA($B$5:$B446))</f>
        <v/>
      </c>
      <c r="B446" s="53"/>
      <c r="C446" s="46"/>
      <c r="D446" s="56" t="str">
        <f>IFERROR(INDEX(基础资料!$C$4:$C$11,MATCH($C446,基础资料!$A$4:$A$11,0)),"")</f>
        <v/>
      </c>
      <c r="E446" s="39"/>
      <c r="F446" s="46"/>
      <c r="G446" s="10"/>
      <c r="H446" s="39"/>
      <c r="I446" s="10"/>
      <c r="J446" s="25"/>
      <c r="K446" s="88"/>
      <c r="L446" s="57" t="str">
        <f t="shared" si="36"/>
        <v/>
      </c>
      <c r="M446" s="57" t="str">
        <f t="shared" si="37"/>
        <v/>
      </c>
      <c r="N446" s="57" t="str">
        <f>IF($I446="","",SUMIFS(资金流水!$K$5:$K$3032,资金流水!$Q$5:$Q$3015,$I446))</f>
        <v/>
      </c>
      <c r="O446" s="25"/>
      <c r="P446" s="57" t="str">
        <f t="shared" si="38"/>
        <v/>
      </c>
      <c r="Q446" s="58" t="str">
        <f t="shared" si="39"/>
        <v/>
      </c>
      <c r="R446" s="54" t="str">
        <f t="shared" si="40"/>
        <v/>
      </c>
      <c r="S446" s="56" t="str">
        <f ca="1" t="shared" si="41"/>
        <v/>
      </c>
      <c r="T446" s="10"/>
    </row>
    <row r="447" spans="1:20">
      <c r="A447" s="56" t="str">
        <f>IF($B447="","",COUNTA($B$5:$B447))</f>
        <v/>
      </c>
      <c r="B447" s="53"/>
      <c r="C447" s="46"/>
      <c r="D447" s="56" t="str">
        <f>IFERROR(INDEX(基础资料!$C$4:$C$11,MATCH($C447,基础资料!$A$4:$A$11,0)),"")</f>
        <v/>
      </c>
      <c r="E447" s="39"/>
      <c r="F447" s="46"/>
      <c r="G447" s="10"/>
      <c r="H447" s="39"/>
      <c r="I447" s="10"/>
      <c r="J447" s="25"/>
      <c r="K447" s="88"/>
      <c r="L447" s="57" t="str">
        <f t="shared" si="36"/>
        <v/>
      </c>
      <c r="M447" s="57" t="str">
        <f t="shared" si="37"/>
        <v/>
      </c>
      <c r="N447" s="57" t="str">
        <f>IF($I447="","",SUMIFS(资金流水!$K$5:$K$3032,资金流水!$Q$5:$Q$3015,$I447))</f>
        <v/>
      </c>
      <c r="O447" s="25"/>
      <c r="P447" s="57" t="str">
        <f t="shared" si="38"/>
        <v/>
      </c>
      <c r="Q447" s="58" t="str">
        <f t="shared" si="39"/>
        <v/>
      </c>
      <c r="R447" s="54" t="str">
        <f t="shared" si="40"/>
        <v/>
      </c>
      <c r="S447" s="56" t="str">
        <f ca="1" t="shared" si="41"/>
        <v/>
      </c>
      <c r="T447" s="10"/>
    </row>
    <row r="448" spans="1:20">
      <c r="A448" s="56" t="str">
        <f>IF($B448="","",COUNTA($B$5:$B448))</f>
        <v/>
      </c>
      <c r="B448" s="53"/>
      <c r="C448" s="46"/>
      <c r="D448" s="56" t="str">
        <f>IFERROR(INDEX(基础资料!$C$4:$C$11,MATCH($C448,基础资料!$A$4:$A$11,0)),"")</f>
        <v/>
      </c>
      <c r="E448" s="39"/>
      <c r="F448" s="46"/>
      <c r="G448" s="10"/>
      <c r="H448" s="39"/>
      <c r="I448" s="10"/>
      <c r="J448" s="25"/>
      <c r="K448" s="88"/>
      <c r="L448" s="57" t="str">
        <f t="shared" si="36"/>
        <v/>
      </c>
      <c r="M448" s="57" t="str">
        <f t="shared" si="37"/>
        <v/>
      </c>
      <c r="N448" s="57" t="str">
        <f>IF($I448="","",SUMIFS(资金流水!$K$5:$K$3032,资金流水!$Q$5:$Q$3015,$I448))</f>
        <v/>
      </c>
      <c r="O448" s="25"/>
      <c r="P448" s="57" t="str">
        <f t="shared" si="38"/>
        <v/>
      </c>
      <c r="Q448" s="58" t="str">
        <f t="shared" si="39"/>
        <v/>
      </c>
      <c r="R448" s="54" t="str">
        <f t="shared" si="40"/>
        <v/>
      </c>
      <c r="S448" s="56" t="str">
        <f ca="1" t="shared" si="41"/>
        <v/>
      </c>
      <c r="T448" s="10"/>
    </row>
    <row r="449" spans="1:20">
      <c r="A449" s="56" t="str">
        <f>IF($B449="","",COUNTA($B$5:$B449))</f>
        <v/>
      </c>
      <c r="B449" s="53"/>
      <c r="C449" s="46"/>
      <c r="D449" s="56" t="str">
        <f>IFERROR(INDEX(基础资料!$C$4:$C$11,MATCH($C449,基础资料!$A$4:$A$11,0)),"")</f>
        <v/>
      </c>
      <c r="E449" s="39"/>
      <c r="F449" s="46"/>
      <c r="G449" s="10"/>
      <c r="H449" s="39"/>
      <c r="I449" s="10"/>
      <c r="J449" s="25"/>
      <c r="K449" s="88"/>
      <c r="L449" s="57" t="str">
        <f t="shared" si="36"/>
        <v/>
      </c>
      <c r="M449" s="57" t="str">
        <f t="shared" si="37"/>
        <v/>
      </c>
      <c r="N449" s="57" t="str">
        <f>IF($I449="","",SUMIFS(资金流水!$K$5:$K$3032,资金流水!$Q$5:$Q$3015,$I449))</f>
        <v/>
      </c>
      <c r="O449" s="25"/>
      <c r="P449" s="57" t="str">
        <f t="shared" si="38"/>
        <v/>
      </c>
      <c r="Q449" s="58" t="str">
        <f t="shared" si="39"/>
        <v/>
      </c>
      <c r="R449" s="54" t="str">
        <f t="shared" si="40"/>
        <v/>
      </c>
      <c r="S449" s="56" t="str">
        <f ca="1" t="shared" si="41"/>
        <v/>
      </c>
      <c r="T449" s="10"/>
    </row>
    <row r="450" spans="1:20">
      <c r="A450" s="56" t="str">
        <f>IF($B450="","",COUNTA($B$5:$B450))</f>
        <v/>
      </c>
      <c r="B450" s="53"/>
      <c r="C450" s="46"/>
      <c r="D450" s="56" t="str">
        <f>IFERROR(INDEX(基础资料!$C$4:$C$11,MATCH($C450,基础资料!$A$4:$A$11,0)),"")</f>
        <v/>
      </c>
      <c r="E450" s="39"/>
      <c r="F450" s="46"/>
      <c r="G450" s="10"/>
      <c r="H450" s="39"/>
      <c r="I450" s="10"/>
      <c r="J450" s="25"/>
      <c r="K450" s="88"/>
      <c r="L450" s="57" t="str">
        <f t="shared" si="36"/>
        <v/>
      </c>
      <c r="M450" s="57" t="str">
        <f t="shared" si="37"/>
        <v/>
      </c>
      <c r="N450" s="57" t="str">
        <f>IF($I450="","",SUMIFS(资金流水!$K$5:$K$3032,资金流水!$Q$5:$Q$3015,$I450))</f>
        <v/>
      </c>
      <c r="O450" s="25"/>
      <c r="P450" s="57" t="str">
        <f t="shared" si="38"/>
        <v/>
      </c>
      <c r="Q450" s="58" t="str">
        <f t="shared" si="39"/>
        <v/>
      </c>
      <c r="R450" s="54" t="str">
        <f t="shared" si="40"/>
        <v/>
      </c>
      <c r="S450" s="56" t="str">
        <f ca="1" t="shared" si="41"/>
        <v/>
      </c>
      <c r="T450" s="10"/>
    </row>
    <row r="451" spans="1:20">
      <c r="A451" s="56" t="str">
        <f>IF($B451="","",COUNTA($B$5:$B451))</f>
        <v/>
      </c>
      <c r="B451" s="53"/>
      <c r="C451" s="46"/>
      <c r="D451" s="56" t="str">
        <f>IFERROR(INDEX(基础资料!$C$4:$C$11,MATCH($C451,基础资料!$A$4:$A$11,0)),"")</f>
        <v/>
      </c>
      <c r="E451" s="39"/>
      <c r="F451" s="46"/>
      <c r="G451" s="10"/>
      <c r="H451" s="39"/>
      <c r="I451" s="10"/>
      <c r="J451" s="25"/>
      <c r="K451" s="88"/>
      <c r="L451" s="57" t="str">
        <f t="shared" si="36"/>
        <v/>
      </c>
      <c r="M451" s="57" t="str">
        <f t="shared" si="37"/>
        <v/>
      </c>
      <c r="N451" s="57" t="str">
        <f>IF($I451="","",SUMIFS(资金流水!$K$5:$K$3032,资金流水!$Q$5:$Q$3015,$I451))</f>
        <v/>
      </c>
      <c r="O451" s="25"/>
      <c r="P451" s="57" t="str">
        <f t="shared" si="38"/>
        <v/>
      </c>
      <c r="Q451" s="58" t="str">
        <f t="shared" si="39"/>
        <v/>
      </c>
      <c r="R451" s="54" t="str">
        <f t="shared" si="40"/>
        <v/>
      </c>
      <c r="S451" s="56" t="str">
        <f ca="1" t="shared" si="41"/>
        <v/>
      </c>
      <c r="T451" s="10"/>
    </row>
    <row r="452" spans="1:20">
      <c r="A452" s="56" t="str">
        <f>IF($B452="","",COUNTA($B$5:$B452))</f>
        <v/>
      </c>
      <c r="B452" s="53"/>
      <c r="C452" s="46"/>
      <c r="D452" s="56" t="str">
        <f>IFERROR(INDEX(基础资料!$C$4:$C$11,MATCH($C452,基础资料!$A$4:$A$11,0)),"")</f>
        <v/>
      </c>
      <c r="E452" s="39"/>
      <c r="F452" s="46"/>
      <c r="G452" s="10"/>
      <c r="H452" s="39"/>
      <c r="I452" s="10"/>
      <c r="J452" s="25"/>
      <c r="K452" s="88"/>
      <c r="L452" s="57" t="str">
        <f t="shared" si="36"/>
        <v/>
      </c>
      <c r="M452" s="57" t="str">
        <f t="shared" si="37"/>
        <v/>
      </c>
      <c r="N452" s="57" t="str">
        <f>IF($I452="","",SUMIFS(资金流水!$K$5:$K$3032,资金流水!$Q$5:$Q$3015,$I452))</f>
        <v/>
      </c>
      <c r="O452" s="25"/>
      <c r="P452" s="57" t="str">
        <f t="shared" si="38"/>
        <v/>
      </c>
      <c r="Q452" s="58" t="str">
        <f t="shared" si="39"/>
        <v/>
      </c>
      <c r="R452" s="54" t="str">
        <f t="shared" si="40"/>
        <v/>
      </c>
      <c r="S452" s="56" t="str">
        <f ca="1" t="shared" si="41"/>
        <v/>
      </c>
      <c r="T452" s="10"/>
    </row>
    <row r="453" spans="1:20">
      <c r="A453" s="56" t="str">
        <f>IF($B453="","",COUNTA($B$5:$B453))</f>
        <v/>
      </c>
      <c r="B453" s="53"/>
      <c r="C453" s="46"/>
      <c r="D453" s="56" t="str">
        <f>IFERROR(INDEX(基础资料!$C$4:$C$11,MATCH($C453,基础资料!$A$4:$A$11,0)),"")</f>
        <v/>
      </c>
      <c r="E453" s="39"/>
      <c r="F453" s="46"/>
      <c r="G453" s="10"/>
      <c r="H453" s="39"/>
      <c r="I453" s="10"/>
      <c r="J453" s="25"/>
      <c r="K453" s="88"/>
      <c r="L453" s="57" t="str">
        <f t="shared" ref="L453:L504" si="42">IF($J453="","",ROUND($J453*$K453,2))</f>
        <v/>
      </c>
      <c r="M453" s="57" t="str">
        <f t="shared" ref="M453:M504" si="43">IF($J453="","",ROUND($J453+$L453,2))</f>
        <v/>
      </c>
      <c r="N453" s="57" t="str">
        <f>IF($I453="","",SUMIFS(资金流水!$K$5:$K$3032,资金流水!$Q$5:$Q$3015,$I453))</f>
        <v/>
      </c>
      <c r="O453" s="25"/>
      <c r="P453" s="57" t="str">
        <f t="shared" ref="P453:P504" si="44">IF($J453="","",ROUND($M453-IF($N453="",0,$N453)-IF($O453="",0,$O453),2))</f>
        <v/>
      </c>
      <c r="Q453" s="58" t="str">
        <f t="shared" ref="Q453:Q504" si="45">IF($J453="","",IF($P453&lt;=0.005,"已收齐",IF(IF($N453="",0,$N453)+IF($O453="",0,$O453)&lt;=0,"未收款","部分收款")))</f>
        <v/>
      </c>
      <c r="R453" s="54" t="str">
        <f t="shared" ref="R453:R504" si="46">IF($B453="","",--TEXT($B453,"yyyymm"))</f>
        <v/>
      </c>
      <c r="S453" s="56" t="str">
        <f ca="1" t="shared" ref="S453:S504" si="47">IF(OR($B453="",$P453="",$P453&lt;=0.005),"",TODAY()-$B453)</f>
        <v/>
      </c>
      <c r="T453" s="10"/>
    </row>
    <row r="454" spans="1:20">
      <c r="A454" s="56" t="str">
        <f>IF($B454="","",COUNTA($B$5:$B454))</f>
        <v/>
      </c>
      <c r="B454" s="53"/>
      <c r="C454" s="46"/>
      <c r="D454" s="56" t="str">
        <f>IFERROR(INDEX(基础资料!$C$4:$C$11,MATCH($C454,基础资料!$A$4:$A$11,0)),"")</f>
        <v/>
      </c>
      <c r="E454" s="39"/>
      <c r="F454" s="46"/>
      <c r="G454" s="10"/>
      <c r="H454" s="39"/>
      <c r="I454" s="10"/>
      <c r="J454" s="25"/>
      <c r="K454" s="88"/>
      <c r="L454" s="57" t="str">
        <f t="shared" si="42"/>
        <v/>
      </c>
      <c r="M454" s="57" t="str">
        <f t="shared" si="43"/>
        <v/>
      </c>
      <c r="N454" s="57" t="str">
        <f>IF($I454="","",SUMIFS(资金流水!$K$5:$K$3032,资金流水!$Q$5:$Q$3015,$I454))</f>
        <v/>
      </c>
      <c r="O454" s="25"/>
      <c r="P454" s="57" t="str">
        <f t="shared" si="44"/>
        <v/>
      </c>
      <c r="Q454" s="58" t="str">
        <f t="shared" si="45"/>
        <v/>
      </c>
      <c r="R454" s="54" t="str">
        <f t="shared" si="46"/>
        <v/>
      </c>
      <c r="S454" s="56" t="str">
        <f ca="1" t="shared" si="47"/>
        <v/>
      </c>
      <c r="T454" s="10"/>
    </row>
    <row r="455" spans="1:20">
      <c r="A455" s="56" t="str">
        <f>IF($B455="","",COUNTA($B$5:$B455))</f>
        <v/>
      </c>
      <c r="B455" s="53"/>
      <c r="C455" s="46"/>
      <c r="D455" s="56" t="str">
        <f>IFERROR(INDEX(基础资料!$C$4:$C$11,MATCH($C455,基础资料!$A$4:$A$11,0)),"")</f>
        <v/>
      </c>
      <c r="E455" s="39"/>
      <c r="F455" s="46"/>
      <c r="G455" s="10"/>
      <c r="H455" s="39"/>
      <c r="I455" s="10"/>
      <c r="J455" s="25"/>
      <c r="K455" s="88"/>
      <c r="L455" s="57" t="str">
        <f t="shared" si="42"/>
        <v/>
      </c>
      <c r="M455" s="57" t="str">
        <f t="shared" si="43"/>
        <v/>
      </c>
      <c r="N455" s="57" t="str">
        <f>IF($I455="","",SUMIFS(资金流水!$K$5:$K$3032,资金流水!$Q$5:$Q$3015,$I455))</f>
        <v/>
      </c>
      <c r="O455" s="25"/>
      <c r="P455" s="57" t="str">
        <f t="shared" si="44"/>
        <v/>
      </c>
      <c r="Q455" s="58" t="str">
        <f t="shared" si="45"/>
        <v/>
      </c>
      <c r="R455" s="54" t="str">
        <f t="shared" si="46"/>
        <v/>
      </c>
      <c r="S455" s="56" t="str">
        <f ca="1" t="shared" si="47"/>
        <v/>
      </c>
      <c r="T455" s="10"/>
    </row>
    <row r="456" spans="1:20">
      <c r="A456" s="56" t="str">
        <f>IF($B456="","",COUNTA($B$5:$B456))</f>
        <v/>
      </c>
      <c r="B456" s="53"/>
      <c r="C456" s="46"/>
      <c r="D456" s="56" t="str">
        <f>IFERROR(INDEX(基础资料!$C$4:$C$11,MATCH($C456,基础资料!$A$4:$A$11,0)),"")</f>
        <v/>
      </c>
      <c r="E456" s="39"/>
      <c r="F456" s="46"/>
      <c r="G456" s="10"/>
      <c r="H456" s="39"/>
      <c r="I456" s="10"/>
      <c r="J456" s="25"/>
      <c r="K456" s="88"/>
      <c r="L456" s="57" t="str">
        <f t="shared" si="42"/>
        <v/>
      </c>
      <c r="M456" s="57" t="str">
        <f t="shared" si="43"/>
        <v/>
      </c>
      <c r="N456" s="57" t="str">
        <f>IF($I456="","",SUMIFS(资金流水!$K$5:$K$3032,资金流水!$Q$5:$Q$3015,$I456))</f>
        <v/>
      </c>
      <c r="O456" s="25"/>
      <c r="P456" s="57" t="str">
        <f t="shared" si="44"/>
        <v/>
      </c>
      <c r="Q456" s="58" t="str">
        <f t="shared" si="45"/>
        <v/>
      </c>
      <c r="R456" s="54" t="str">
        <f t="shared" si="46"/>
        <v/>
      </c>
      <c r="S456" s="56" t="str">
        <f ca="1" t="shared" si="47"/>
        <v/>
      </c>
      <c r="T456" s="10"/>
    </row>
    <row r="457" spans="1:20">
      <c r="A457" s="56" t="str">
        <f>IF($B457="","",COUNTA($B$5:$B457))</f>
        <v/>
      </c>
      <c r="B457" s="53"/>
      <c r="C457" s="46"/>
      <c r="D457" s="56" t="str">
        <f>IFERROR(INDEX(基础资料!$C$4:$C$11,MATCH($C457,基础资料!$A$4:$A$11,0)),"")</f>
        <v/>
      </c>
      <c r="E457" s="39"/>
      <c r="F457" s="46"/>
      <c r="G457" s="10"/>
      <c r="H457" s="39"/>
      <c r="I457" s="10"/>
      <c r="J457" s="25"/>
      <c r="K457" s="88"/>
      <c r="L457" s="57" t="str">
        <f t="shared" si="42"/>
        <v/>
      </c>
      <c r="M457" s="57" t="str">
        <f t="shared" si="43"/>
        <v/>
      </c>
      <c r="N457" s="57" t="str">
        <f>IF($I457="","",SUMIFS(资金流水!$K$5:$K$3032,资金流水!$Q$5:$Q$3015,$I457))</f>
        <v/>
      </c>
      <c r="O457" s="25"/>
      <c r="P457" s="57" t="str">
        <f t="shared" si="44"/>
        <v/>
      </c>
      <c r="Q457" s="58" t="str">
        <f t="shared" si="45"/>
        <v/>
      </c>
      <c r="R457" s="54" t="str">
        <f t="shared" si="46"/>
        <v/>
      </c>
      <c r="S457" s="56" t="str">
        <f ca="1" t="shared" si="47"/>
        <v/>
      </c>
      <c r="T457" s="10"/>
    </row>
    <row r="458" spans="1:20">
      <c r="A458" s="56" t="str">
        <f>IF($B458="","",COUNTA($B$5:$B458))</f>
        <v/>
      </c>
      <c r="B458" s="53"/>
      <c r="C458" s="46"/>
      <c r="D458" s="56" t="str">
        <f>IFERROR(INDEX(基础资料!$C$4:$C$11,MATCH($C458,基础资料!$A$4:$A$11,0)),"")</f>
        <v/>
      </c>
      <c r="E458" s="39"/>
      <c r="F458" s="46"/>
      <c r="G458" s="10"/>
      <c r="H458" s="39"/>
      <c r="I458" s="10"/>
      <c r="J458" s="25"/>
      <c r="K458" s="88"/>
      <c r="L458" s="57" t="str">
        <f t="shared" si="42"/>
        <v/>
      </c>
      <c r="M458" s="57" t="str">
        <f t="shared" si="43"/>
        <v/>
      </c>
      <c r="N458" s="57" t="str">
        <f>IF($I458="","",SUMIFS(资金流水!$K$5:$K$3032,资金流水!$Q$5:$Q$3015,$I458))</f>
        <v/>
      </c>
      <c r="O458" s="25"/>
      <c r="P458" s="57" t="str">
        <f t="shared" si="44"/>
        <v/>
      </c>
      <c r="Q458" s="58" t="str">
        <f t="shared" si="45"/>
        <v/>
      </c>
      <c r="R458" s="54" t="str">
        <f t="shared" si="46"/>
        <v/>
      </c>
      <c r="S458" s="56" t="str">
        <f ca="1" t="shared" si="47"/>
        <v/>
      </c>
      <c r="T458" s="10"/>
    </row>
    <row r="459" spans="1:20">
      <c r="A459" s="56" t="str">
        <f>IF($B459="","",COUNTA($B$5:$B459))</f>
        <v/>
      </c>
      <c r="B459" s="53"/>
      <c r="C459" s="46"/>
      <c r="D459" s="56" t="str">
        <f>IFERROR(INDEX(基础资料!$C$4:$C$11,MATCH($C459,基础资料!$A$4:$A$11,0)),"")</f>
        <v/>
      </c>
      <c r="E459" s="39"/>
      <c r="F459" s="46"/>
      <c r="G459" s="10"/>
      <c r="H459" s="39"/>
      <c r="I459" s="10"/>
      <c r="J459" s="25"/>
      <c r="K459" s="88"/>
      <c r="L459" s="57" t="str">
        <f t="shared" si="42"/>
        <v/>
      </c>
      <c r="M459" s="57" t="str">
        <f t="shared" si="43"/>
        <v/>
      </c>
      <c r="N459" s="57" t="str">
        <f>IF($I459="","",SUMIFS(资金流水!$K$5:$K$3032,资金流水!$Q$5:$Q$3015,$I459))</f>
        <v/>
      </c>
      <c r="O459" s="25"/>
      <c r="P459" s="57" t="str">
        <f t="shared" si="44"/>
        <v/>
      </c>
      <c r="Q459" s="58" t="str">
        <f t="shared" si="45"/>
        <v/>
      </c>
      <c r="R459" s="54" t="str">
        <f t="shared" si="46"/>
        <v/>
      </c>
      <c r="S459" s="56" t="str">
        <f ca="1" t="shared" si="47"/>
        <v/>
      </c>
      <c r="T459" s="10"/>
    </row>
    <row r="460" spans="1:20">
      <c r="A460" s="56" t="str">
        <f>IF($B460="","",COUNTA($B$5:$B460))</f>
        <v/>
      </c>
      <c r="B460" s="53"/>
      <c r="C460" s="46"/>
      <c r="D460" s="56" t="str">
        <f>IFERROR(INDEX(基础资料!$C$4:$C$11,MATCH($C460,基础资料!$A$4:$A$11,0)),"")</f>
        <v/>
      </c>
      <c r="E460" s="39"/>
      <c r="F460" s="46"/>
      <c r="G460" s="10"/>
      <c r="H460" s="39"/>
      <c r="I460" s="10"/>
      <c r="J460" s="25"/>
      <c r="K460" s="88"/>
      <c r="L460" s="57" t="str">
        <f t="shared" si="42"/>
        <v/>
      </c>
      <c r="M460" s="57" t="str">
        <f t="shared" si="43"/>
        <v/>
      </c>
      <c r="N460" s="57" t="str">
        <f>IF($I460="","",SUMIFS(资金流水!$K$5:$K$3032,资金流水!$Q$5:$Q$3015,$I460))</f>
        <v/>
      </c>
      <c r="O460" s="25"/>
      <c r="P460" s="57" t="str">
        <f t="shared" si="44"/>
        <v/>
      </c>
      <c r="Q460" s="58" t="str">
        <f t="shared" si="45"/>
        <v/>
      </c>
      <c r="R460" s="54" t="str">
        <f t="shared" si="46"/>
        <v/>
      </c>
      <c r="S460" s="56" t="str">
        <f ca="1" t="shared" si="47"/>
        <v/>
      </c>
      <c r="T460" s="10"/>
    </row>
    <row r="461" spans="1:20">
      <c r="A461" s="56" t="str">
        <f>IF($B461="","",COUNTA($B$5:$B461))</f>
        <v/>
      </c>
      <c r="B461" s="53"/>
      <c r="C461" s="46"/>
      <c r="D461" s="56" t="str">
        <f>IFERROR(INDEX(基础资料!$C$4:$C$11,MATCH($C461,基础资料!$A$4:$A$11,0)),"")</f>
        <v/>
      </c>
      <c r="E461" s="39"/>
      <c r="F461" s="46"/>
      <c r="G461" s="10"/>
      <c r="H461" s="39"/>
      <c r="I461" s="10"/>
      <c r="J461" s="25"/>
      <c r="K461" s="88"/>
      <c r="L461" s="57" t="str">
        <f t="shared" si="42"/>
        <v/>
      </c>
      <c r="M461" s="57" t="str">
        <f t="shared" si="43"/>
        <v/>
      </c>
      <c r="N461" s="57" t="str">
        <f>IF($I461="","",SUMIFS(资金流水!$K$5:$K$3032,资金流水!$Q$5:$Q$3015,$I461))</f>
        <v/>
      </c>
      <c r="O461" s="25"/>
      <c r="P461" s="57" t="str">
        <f t="shared" si="44"/>
        <v/>
      </c>
      <c r="Q461" s="58" t="str">
        <f t="shared" si="45"/>
        <v/>
      </c>
      <c r="R461" s="54" t="str">
        <f t="shared" si="46"/>
        <v/>
      </c>
      <c r="S461" s="56" t="str">
        <f ca="1" t="shared" si="47"/>
        <v/>
      </c>
      <c r="T461" s="10"/>
    </row>
    <row r="462" spans="1:20">
      <c r="A462" s="56" t="str">
        <f>IF($B462="","",COUNTA($B$5:$B462))</f>
        <v/>
      </c>
      <c r="B462" s="53"/>
      <c r="C462" s="46"/>
      <c r="D462" s="56" t="str">
        <f>IFERROR(INDEX(基础资料!$C$4:$C$11,MATCH($C462,基础资料!$A$4:$A$11,0)),"")</f>
        <v/>
      </c>
      <c r="E462" s="39"/>
      <c r="F462" s="46"/>
      <c r="G462" s="10"/>
      <c r="H462" s="39"/>
      <c r="I462" s="10"/>
      <c r="J462" s="25"/>
      <c r="K462" s="88"/>
      <c r="L462" s="57" t="str">
        <f t="shared" si="42"/>
        <v/>
      </c>
      <c r="M462" s="57" t="str">
        <f t="shared" si="43"/>
        <v/>
      </c>
      <c r="N462" s="57" t="str">
        <f>IF($I462="","",SUMIFS(资金流水!$K$5:$K$3032,资金流水!$Q$5:$Q$3015,$I462))</f>
        <v/>
      </c>
      <c r="O462" s="25"/>
      <c r="P462" s="57" t="str">
        <f t="shared" si="44"/>
        <v/>
      </c>
      <c r="Q462" s="58" t="str">
        <f t="shared" si="45"/>
        <v/>
      </c>
      <c r="R462" s="54" t="str">
        <f t="shared" si="46"/>
        <v/>
      </c>
      <c r="S462" s="56" t="str">
        <f ca="1" t="shared" si="47"/>
        <v/>
      </c>
      <c r="T462" s="10"/>
    </row>
    <row r="463" spans="1:20">
      <c r="A463" s="56" t="str">
        <f>IF($B463="","",COUNTA($B$5:$B463))</f>
        <v/>
      </c>
      <c r="B463" s="53"/>
      <c r="C463" s="46"/>
      <c r="D463" s="56" t="str">
        <f>IFERROR(INDEX(基础资料!$C$4:$C$11,MATCH($C463,基础资料!$A$4:$A$11,0)),"")</f>
        <v/>
      </c>
      <c r="E463" s="39"/>
      <c r="F463" s="46"/>
      <c r="G463" s="10"/>
      <c r="H463" s="39"/>
      <c r="I463" s="10"/>
      <c r="J463" s="25"/>
      <c r="K463" s="88"/>
      <c r="L463" s="57" t="str">
        <f t="shared" si="42"/>
        <v/>
      </c>
      <c r="M463" s="57" t="str">
        <f t="shared" si="43"/>
        <v/>
      </c>
      <c r="N463" s="57" t="str">
        <f>IF($I463="","",SUMIFS(资金流水!$K$5:$K$3032,资金流水!$Q$5:$Q$3015,$I463))</f>
        <v/>
      </c>
      <c r="O463" s="25"/>
      <c r="P463" s="57" t="str">
        <f t="shared" si="44"/>
        <v/>
      </c>
      <c r="Q463" s="58" t="str">
        <f t="shared" si="45"/>
        <v/>
      </c>
      <c r="R463" s="54" t="str">
        <f t="shared" si="46"/>
        <v/>
      </c>
      <c r="S463" s="56" t="str">
        <f ca="1" t="shared" si="47"/>
        <v/>
      </c>
      <c r="T463" s="10"/>
    </row>
    <row r="464" spans="1:20">
      <c r="A464" s="56" t="str">
        <f>IF($B464="","",COUNTA($B$5:$B464))</f>
        <v/>
      </c>
      <c r="B464" s="53"/>
      <c r="C464" s="46"/>
      <c r="D464" s="56" t="str">
        <f>IFERROR(INDEX(基础资料!$C$4:$C$11,MATCH($C464,基础资料!$A$4:$A$11,0)),"")</f>
        <v/>
      </c>
      <c r="E464" s="39"/>
      <c r="F464" s="46"/>
      <c r="G464" s="10"/>
      <c r="H464" s="39"/>
      <c r="I464" s="10"/>
      <c r="J464" s="25"/>
      <c r="K464" s="88"/>
      <c r="L464" s="57" t="str">
        <f t="shared" si="42"/>
        <v/>
      </c>
      <c r="M464" s="57" t="str">
        <f t="shared" si="43"/>
        <v/>
      </c>
      <c r="N464" s="57" t="str">
        <f>IF($I464="","",SUMIFS(资金流水!$K$5:$K$3032,资金流水!$Q$5:$Q$3015,$I464))</f>
        <v/>
      </c>
      <c r="O464" s="25"/>
      <c r="P464" s="57" t="str">
        <f t="shared" si="44"/>
        <v/>
      </c>
      <c r="Q464" s="58" t="str">
        <f t="shared" si="45"/>
        <v/>
      </c>
      <c r="R464" s="54" t="str">
        <f t="shared" si="46"/>
        <v/>
      </c>
      <c r="S464" s="56" t="str">
        <f ca="1" t="shared" si="47"/>
        <v/>
      </c>
      <c r="T464" s="10"/>
    </row>
    <row r="465" spans="1:20">
      <c r="A465" s="56" t="str">
        <f>IF($B465="","",COUNTA($B$5:$B465))</f>
        <v/>
      </c>
      <c r="B465" s="53"/>
      <c r="C465" s="46"/>
      <c r="D465" s="56" t="str">
        <f>IFERROR(INDEX(基础资料!$C$4:$C$11,MATCH($C465,基础资料!$A$4:$A$11,0)),"")</f>
        <v/>
      </c>
      <c r="E465" s="39"/>
      <c r="F465" s="46"/>
      <c r="G465" s="10"/>
      <c r="H465" s="39"/>
      <c r="I465" s="10"/>
      <c r="J465" s="25"/>
      <c r="K465" s="88"/>
      <c r="L465" s="57" t="str">
        <f t="shared" si="42"/>
        <v/>
      </c>
      <c r="M465" s="57" t="str">
        <f t="shared" si="43"/>
        <v/>
      </c>
      <c r="N465" s="57" t="str">
        <f>IF($I465="","",SUMIFS(资金流水!$K$5:$K$3032,资金流水!$Q$5:$Q$3015,$I465))</f>
        <v/>
      </c>
      <c r="O465" s="25"/>
      <c r="P465" s="57" t="str">
        <f t="shared" si="44"/>
        <v/>
      </c>
      <c r="Q465" s="58" t="str">
        <f t="shared" si="45"/>
        <v/>
      </c>
      <c r="R465" s="54" t="str">
        <f t="shared" si="46"/>
        <v/>
      </c>
      <c r="S465" s="56" t="str">
        <f ca="1" t="shared" si="47"/>
        <v/>
      </c>
      <c r="T465" s="10"/>
    </row>
    <row r="466" spans="1:20">
      <c r="A466" s="56" t="str">
        <f>IF($B466="","",COUNTA($B$5:$B466))</f>
        <v/>
      </c>
      <c r="B466" s="53"/>
      <c r="C466" s="46"/>
      <c r="D466" s="56" t="str">
        <f>IFERROR(INDEX(基础资料!$C$4:$C$11,MATCH($C466,基础资料!$A$4:$A$11,0)),"")</f>
        <v/>
      </c>
      <c r="E466" s="39"/>
      <c r="F466" s="46"/>
      <c r="G466" s="10"/>
      <c r="H466" s="39"/>
      <c r="I466" s="10"/>
      <c r="J466" s="25"/>
      <c r="K466" s="88"/>
      <c r="L466" s="57" t="str">
        <f t="shared" si="42"/>
        <v/>
      </c>
      <c r="M466" s="57" t="str">
        <f t="shared" si="43"/>
        <v/>
      </c>
      <c r="N466" s="57" t="str">
        <f>IF($I466="","",SUMIFS(资金流水!$K$5:$K$3032,资金流水!$Q$5:$Q$3015,$I466))</f>
        <v/>
      </c>
      <c r="O466" s="25"/>
      <c r="P466" s="57" t="str">
        <f t="shared" si="44"/>
        <v/>
      </c>
      <c r="Q466" s="58" t="str">
        <f t="shared" si="45"/>
        <v/>
      </c>
      <c r="R466" s="54" t="str">
        <f t="shared" si="46"/>
        <v/>
      </c>
      <c r="S466" s="56" t="str">
        <f ca="1" t="shared" si="47"/>
        <v/>
      </c>
      <c r="T466" s="10"/>
    </row>
    <row r="467" spans="1:20">
      <c r="A467" s="56" t="str">
        <f>IF($B467="","",COUNTA($B$5:$B467))</f>
        <v/>
      </c>
      <c r="B467" s="53"/>
      <c r="C467" s="46"/>
      <c r="D467" s="56" t="str">
        <f>IFERROR(INDEX(基础资料!$C$4:$C$11,MATCH($C467,基础资料!$A$4:$A$11,0)),"")</f>
        <v/>
      </c>
      <c r="E467" s="39"/>
      <c r="F467" s="46"/>
      <c r="G467" s="10"/>
      <c r="H467" s="39"/>
      <c r="I467" s="10"/>
      <c r="J467" s="25"/>
      <c r="K467" s="88"/>
      <c r="L467" s="57" t="str">
        <f t="shared" si="42"/>
        <v/>
      </c>
      <c r="M467" s="57" t="str">
        <f t="shared" si="43"/>
        <v/>
      </c>
      <c r="N467" s="57" t="str">
        <f>IF($I467="","",SUMIFS(资金流水!$K$5:$K$3032,资金流水!$Q$5:$Q$3015,$I467))</f>
        <v/>
      </c>
      <c r="O467" s="25"/>
      <c r="P467" s="57" t="str">
        <f t="shared" si="44"/>
        <v/>
      </c>
      <c r="Q467" s="58" t="str">
        <f t="shared" si="45"/>
        <v/>
      </c>
      <c r="R467" s="54" t="str">
        <f t="shared" si="46"/>
        <v/>
      </c>
      <c r="S467" s="56" t="str">
        <f ca="1" t="shared" si="47"/>
        <v/>
      </c>
      <c r="T467" s="10"/>
    </row>
    <row r="468" spans="1:20">
      <c r="A468" s="56" t="str">
        <f>IF($B468="","",COUNTA($B$5:$B468))</f>
        <v/>
      </c>
      <c r="B468" s="53"/>
      <c r="C468" s="46"/>
      <c r="D468" s="56" t="str">
        <f>IFERROR(INDEX(基础资料!$C$4:$C$11,MATCH($C468,基础资料!$A$4:$A$11,0)),"")</f>
        <v/>
      </c>
      <c r="E468" s="39"/>
      <c r="F468" s="46"/>
      <c r="G468" s="10"/>
      <c r="H468" s="39"/>
      <c r="I468" s="10"/>
      <c r="J468" s="25"/>
      <c r="K468" s="88"/>
      <c r="L468" s="57" t="str">
        <f t="shared" si="42"/>
        <v/>
      </c>
      <c r="M468" s="57" t="str">
        <f t="shared" si="43"/>
        <v/>
      </c>
      <c r="N468" s="57" t="str">
        <f>IF($I468="","",SUMIFS(资金流水!$K$5:$K$3032,资金流水!$Q$5:$Q$3015,$I468))</f>
        <v/>
      </c>
      <c r="O468" s="25"/>
      <c r="P468" s="57" t="str">
        <f t="shared" si="44"/>
        <v/>
      </c>
      <c r="Q468" s="58" t="str">
        <f t="shared" si="45"/>
        <v/>
      </c>
      <c r="R468" s="54" t="str">
        <f t="shared" si="46"/>
        <v/>
      </c>
      <c r="S468" s="56" t="str">
        <f ca="1" t="shared" si="47"/>
        <v/>
      </c>
      <c r="T468" s="10"/>
    </row>
    <row r="469" spans="1:20">
      <c r="A469" s="56" t="str">
        <f>IF($B469="","",COUNTA($B$5:$B469))</f>
        <v/>
      </c>
      <c r="B469" s="53"/>
      <c r="C469" s="46"/>
      <c r="D469" s="56" t="str">
        <f>IFERROR(INDEX(基础资料!$C$4:$C$11,MATCH($C469,基础资料!$A$4:$A$11,0)),"")</f>
        <v/>
      </c>
      <c r="E469" s="39"/>
      <c r="F469" s="46"/>
      <c r="G469" s="10"/>
      <c r="H469" s="39"/>
      <c r="I469" s="10"/>
      <c r="J469" s="25"/>
      <c r="K469" s="88"/>
      <c r="L469" s="57" t="str">
        <f t="shared" si="42"/>
        <v/>
      </c>
      <c r="M469" s="57" t="str">
        <f t="shared" si="43"/>
        <v/>
      </c>
      <c r="N469" s="57" t="str">
        <f>IF($I469="","",SUMIFS(资金流水!$K$5:$K$3032,资金流水!$Q$5:$Q$3015,$I469))</f>
        <v/>
      </c>
      <c r="O469" s="25"/>
      <c r="P469" s="57" t="str">
        <f t="shared" si="44"/>
        <v/>
      </c>
      <c r="Q469" s="58" t="str">
        <f t="shared" si="45"/>
        <v/>
      </c>
      <c r="R469" s="54" t="str">
        <f t="shared" si="46"/>
        <v/>
      </c>
      <c r="S469" s="56" t="str">
        <f ca="1" t="shared" si="47"/>
        <v/>
      </c>
      <c r="T469" s="10"/>
    </row>
    <row r="470" spans="1:20">
      <c r="A470" s="56" t="str">
        <f>IF($B470="","",COUNTA($B$5:$B470))</f>
        <v/>
      </c>
      <c r="B470" s="53"/>
      <c r="C470" s="46"/>
      <c r="D470" s="56" t="str">
        <f>IFERROR(INDEX(基础资料!$C$4:$C$11,MATCH($C470,基础资料!$A$4:$A$11,0)),"")</f>
        <v/>
      </c>
      <c r="E470" s="39"/>
      <c r="F470" s="46"/>
      <c r="G470" s="10"/>
      <c r="H470" s="39"/>
      <c r="I470" s="10"/>
      <c r="J470" s="25"/>
      <c r="K470" s="88"/>
      <c r="L470" s="57" t="str">
        <f t="shared" si="42"/>
        <v/>
      </c>
      <c r="M470" s="57" t="str">
        <f t="shared" si="43"/>
        <v/>
      </c>
      <c r="N470" s="57" t="str">
        <f>IF($I470="","",SUMIFS(资金流水!$K$5:$K$3032,资金流水!$Q$5:$Q$3015,$I470))</f>
        <v/>
      </c>
      <c r="O470" s="25"/>
      <c r="P470" s="57" t="str">
        <f t="shared" si="44"/>
        <v/>
      </c>
      <c r="Q470" s="58" t="str">
        <f t="shared" si="45"/>
        <v/>
      </c>
      <c r="R470" s="54" t="str">
        <f t="shared" si="46"/>
        <v/>
      </c>
      <c r="S470" s="56" t="str">
        <f ca="1" t="shared" si="47"/>
        <v/>
      </c>
      <c r="T470" s="10"/>
    </row>
    <row r="471" spans="1:20">
      <c r="A471" s="56" t="str">
        <f>IF($B471="","",COUNTA($B$5:$B471))</f>
        <v/>
      </c>
      <c r="B471" s="53"/>
      <c r="C471" s="46"/>
      <c r="D471" s="56" t="str">
        <f>IFERROR(INDEX(基础资料!$C$4:$C$11,MATCH($C471,基础资料!$A$4:$A$11,0)),"")</f>
        <v/>
      </c>
      <c r="E471" s="39"/>
      <c r="F471" s="46"/>
      <c r="G471" s="10"/>
      <c r="H471" s="39"/>
      <c r="I471" s="10"/>
      <c r="J471" s="25"/>
      <c r="K471" s="88"/>
      <c r="L471" s="57" t="str">
        <f t="shared" si="42"/>
        <v/>
      </c>
      <c r="M471" s="57" t="str">
        <f t="shared" si="43"/>
        <v/>
      </c>
      <c r="N471" s="57" t="str">
        <f>IF($I471="","",SUMIFS(资金流水!$K$5:$K$3032,资金流水!$Q$5:$Q$3015,$I471))</f>
        <v/>
      </c>
      <c r="O471" s="25"/>
      <c r="P471" s="57" t="str">
        <f t="shared" si="44"/>
        <v/>
      </c>
      <c r="Q471" s="58" t="str">
        <f t="shared" si="45"/>
        <v/>
      </c>
      <c r="R471" s="54" t="str">
        <f t="shared" si="46"/>
        <v/>
      </c>
      <c r="S471" s="56" t="str">
        <f ca="1" t="shared" si="47"/>
        <v/>
      </c>
      <c r="T471" s="10"/>
    </row>
    <row r="472" spans="1:20">
      <c r="A472" s="56" t="str">
        <f>IF($B472="","",COUNTA($B$5:$B472))</f>
        <v/>
      </c>
      <c r="B472" s="53"/>
      <c r="C472" s="46"/>
      <c r="D472" s="56" t="str">
        <f>IFERROR(INDEX(基础资料!$C$4:$C$11,MATCH($C472,基础资料!$A$4:$A$11,0)),"")</f>
        <v/>
      </c>
      <c r="E472" s="39"/>
      <c r="F472" s="46"/>
      <c r="G472" s="10"/>
      <c r="H472" s="39"/>
      <c r="I472" s="10"/>
      <c r="J472" s="25"/>
      <c r="K472" s="88"/>
      <c r="L472" s="57" t="str">
        <f t="shared" si="42"/>
        <v/>
      </c>
      <c r="M472" s="57" t="str">
        <f t="shared" si="43"/>
        <v/>
      </c>
      <c r="N472" s="57" t="str">
        <f>IF($I472="","",SUMIFS(资金流水!$K$5:$K$3032,资金流水!$Q$5:$Q$3015,$I472))</f>
        <v/>
      </c>
      <c r="O472" s="25"/>
      <c r="P472" s="57" t="str">
        <f t="shared" si="44"/>
        <v/>
      </c>
      <c r="Q472" s="58" t="str">
        <f t="shared" si="45"/>
        <v/>
      </c>
      <c r="R472" s="54" t="str">
        <f t="shared" si="46"/>
        <v/>
      </c>
      <c r="S472" s="56" t="str">
        <f ca="1" t="shared" si="47"/>
        <v/>
      </c>
      <c r="T472" s="10"/>
    </row>
    <row r="473" spans="1:20">
      <c r="A473" s="56" t="str">
        <f>IF($B473="","",COUNTA($B$5:$B473))</f>
        <v/>
      </c>
      <c r="B473" s="53"/>
      <c r="C473" s="46"/>
      <c r="D473" s="56" t="str">
        <f>IFERROR(INDEX(基础资料!$C$4:$C$11,MATCH($C473,基础资料!$A$4:$A$11,0)),"")</f>
        <v/>
      </c>
      <c r="E473" s="39"/>
      <c r="F473" s="46"/>
      <c r="G473" s="10"/>
      <c r="H473" s="39"/>
      <c r="I473" s="10"/>
      <c r="J473" s="25"/>
      <c r="K473" s="88"/>
      <c r="L473" s="57" t="str">
        <f t="shared" si="42"/>
        <v/>
      </c>
      <c r="M473" s="57" t="str">
        <f t="shared" si="43"/>
        <v/>
      </c>
      <c r="N473" s="57" t="str">
        <f>IF($I473="","",SUMIFS(资金流水!$K$5:$K$3032,资金流水!$Q$5:$Q$3015,$I473))</f>
        <v/>
      </c>
      <c r="O473" s="25"/>
      <c r="P473" s="57" t="str">
        <f t="shared" si="44"/>
        <v/>
      </c>
      <c r="Q473" s="58" t="str">
        <f t="shared" si="45"/>
        <v/>
      </c>
      <c r="R473" s="54" t="str">
        <f t="shared" si="46"/>
        <v/>
      </c>
      <c r="S473" s="56" t="str">
        <f ca="1" t="shared" si="47"/>
        <v/>
      </c>
      <c r="T473" s="10"/>
    </row>
    <row r="474" spans="1:20">
      <c r="A474" s="56" t="str">
        <f>IF($B474="","",COUNTA($B$5:$B474))</f>
        <v/>
      </c>
      <c r="B474" s="53"/>
      <c r="C474" s="46"/>
      <c r="D474" s="56" t="str">
        <f>IFERROR(INDEX(基础资料!$C$4:$C$11,MATCH($C474,基础资料!$A$4:$A$11,0)),"")</f>
        <v/>
      </c>
      <c r="E474" s="39"/>
      <c r="F474" s="46"/>
      <c r="G474" s="10"/>
      <c r="H474" s="39"/>
      <c r="I474" s="10"/>
      <c r="J474" s="25"/>
      <c r="K474" s="88"/>
      <c r="L474" s="57" t="str">
        <f t="shared" si="42"/>
        <v/>
      </c>
      <c r="M474" s="57" t="str">
        <f t="shared" si="43"/>
        <v/>
      </c>
      <c r="N474" s="57" t="str">
        <f>IF($I474="","",SUMIFS(资金流水!$K$5:$K$3032,资金流水!$Q$5:$Q$3015,$I474))</f>
        <v/>
      </c>
      <c r="O474" s="25"/>
      <c r="P474" s="57" t="str">
        <f t="shared" si="44"/>
        <v/>
      </c>
      <c r="Q474" s="58" t="str">
        <f t="shared" si="45"/>
        <v/>
      </c>
      <c r="R474" s="54" t="str">
        <f t="shared" si="46"/>
        <v/>
      </c>
      <c r="S474" s="56" t="str">
        <f ca="1" t="shared" si="47"/>
        <v/>
      </c>
      <c r="T474" s="10"/>
    </row>
    <row r="475" spans="1:20">
      <c r="A475" s="56" t="str">
        <f>IF($B475="","",COUNTA($B$5:$B475))</f>
        <v/>
      </c>
      <c r="B475" s="53"/>
      <c r="C475" s="46"/>
      <c r="D475" s="56" t="str">
        <f>IFERROR(INDEX(基础资料!$C$4:$C$11,MATCH($C475,基础资料!$A$4:$A$11,0)),"")</f>
        <v/>
      </c>
      <c r="E475" s="39"/>
      <c r="F475" s="46"/>
      <c r="G475" s="10"/>
      <c r="H475" s="39"/>
      <c r="I475" s="10"/>
      <c r="J475" s="25"/>
      <c r="K475" s="88"/>
      <c r="L475" s="57" t="str">
        <f t="shared" si="42"/>
        <v/>
      </c>
      <c r="M475" s="57" t="str">
        <f t="shared" si="43"/>
        <v/>
      </c>
      <c r="N475" s="57" t="str">
        <f>IF($I475="","",SUMIFS(资金流水!$K$5:$K$3032,资金流水!$Q$5:$Q$3015,$I475))</f>
        <v/>
      </c>
      <c r="O475" s="25"/>
      <c r="P475" s="57" t="str">
        <f t="shared" si="44"/>
        <v/>
      </c>
      <c r="Q475" s="58" t="str">
        <f t="shared" si="45"/>
        <v/>
      </c>
      <c r="R475" s="54" t="str">
        <f t="shared" si="46"/>
        <v/>
      </c>
      <c r="S475" s="56" t="str">
        <f ca="1" t="shared" si="47"/>
        <v/>
      </c>
      <c r="T475" s="10"/>
    </row>
    <row r="476" spans="1:20">
      <c r="A476" s="56" t="str">
        <f>IF($B476="","",COUNTA($B$5:$B476))</f>
        <v/>
      </c>
      <c r="B476" s="53"/>
      <c r="C476" s="46"/>
      <c r="D476" s="56" t="str">
        <f>IFERROR(INDEX(基础资料!$C$4:$C$11,MATCH($C476,基础资料!$A$4:$A$11,0)),"")</f>
        <v/>
      </c>
      <c r="E476" s="39"/>
      <c r="F476" s="46"/>
      <c r="G476" s="10"/>
      <c r="H476" s="39"/>
      <c r="I476" s="10"/>
      <c r="J476" s="25"/>
      <c r="K476" s="88"/>
      <c r="L476" s="57" t="str">
        <f t="shared" si="42"/>
        <v/>
      </c>
      <c r="M476" s="57" t="str">
        <f t="shared" si="43"/>
        <v/>
      </c>
      <c r="N476" s="57" t="str">
        <f>IF($I476="","",SUMIFS(资金流水!$K$5:$K$3032,资金流水!$Q$5:$Q$3015,$I476))</f>
        <v/>
      </c>
      <c r="O476" s="25"/>
      <c r="P476" s="57" t="str">
        <f t="shared" si="44"/>
        <v/>
      </c>
      <c r="Q476" s="58" t="str">
        <f t="shared" si="45"/>
        <v/>
      </c>
      <c r="R476" s="54" t="str">
        <f t="shared" si="46"/>
        <v/>
      </c>
      <c r="S476" s="56" t="str">
        <f ca="1" t="shared" si="47"/>
        <v/>
      </c>
      <c r="T476" s="10"/>
    </row>
    <row r="477" spans="1:20">
      <c r="A477" s="56" t="str">
        <f>IF($B477="","",COUNTA($B$5:$B477))</f>
        <v/>
      </c>
      <c r="B477" s="53"/>
      <c r="C477" s="46"/>
      <c r="D477" s="56" t="str">
        <f>IFERROR(INDEX(基础资料!$C$4:$C$11,MATCH($C477,基础资料!$A$4:$A$11,0)),"")</f>
        <v/>
      </c>
      <c r="E477" s="39"/>
      <c r="F477" s="46"/>
      <c r="G477" s="10"/>
      <c r="H477" s="39"/>
      <c r="I477" s="10"/>
      <c r="J477" s="25"/>
      <c r="K477" s="88"/>
      <c r="L477" s="57" t="str">
        <f t="shared" si="42"/>
        <v/>
      </c>
      <c r="M477" s="57" t="str">
        <f t="shared" si="43"/>
        <v/>
      </c>
      <c r="N477" s="57" t="str">
        <f>IF($I477="","",SUMIFS(资金流水!$K$5:$K$3032,资金流水!$Q$5:$Q$3015,$I477))</f>
        <v/>
      </c>
      <c r="O477" s="25"/>
      <c r="P477" s="57" t="str">
        <f t="shared" si="44"/>
        <v/>
      </c>
      <c r="Q477" s="58" t="str">
        <f t="shared" si="45"/>
        <v/>
      </c>
      <c r="R477" s="54" t="str">
        <f t="shared" si="46"/>
        <v/>
      </c>
      <c r="S477" s="56" t="str">
        <f ca="1" t="shared" si="47"/>
        <v/>
      </c>
      <c r="T477" s="10"/>
    </row>
    <row r="478" spans="1:20">
      <c r="A478" s="56" t="str">
        <f>IF($B478="","",COUNTA($B$5:$B478))</f>
        <v/>
      </c>
      <c r="B478" s="53"/>
      <c r="C478" s="46"/>
      <c r="D478" s="56" t="str">
        <f>IFERROR(INDEX(基础资料!$C$4:$C$11,MATCH($C478,基础资料!$A$4:$A$11,0)),"")</f>
        <v/>
      </c>
      <c r="E478" s="39"/>
      <c r="F478" s="46"/>
      <c r="G478" s="10"/>
      <c r="H478" s="39"/>
      <c r="I478" s="10"/>
      <c r="J478" s="25"/>
      <c r="K478" s="88"/>
      <c r="L478" s="57" t="str">
        <f t="shared" si="42"/>
        <v/>
      </c>
      <c r="M478" s="57" t="str">
        <f t="shared" si="43"/>
        <v/>
      </c>
      <c r="N478" s="57" t="str">
        <f>IF($I478="","",SUMIFS(资金流水!$K$5:$K$3032,资金流水!$Q$5:$Q$3015,$I478))</f>
        <v/>
      </c>
      <c r="O478" s="25"/>
      <c r="P478" s="57" t="str">
        <f t="shared" si="44"/>
        <v/>
      </c>
      <c r="Q478" s="58" t="str">
        <f t="shared" si="45"/>
        <v/>
      </c>
      <c r="R478" s="54" t="str">
        <f t="shared" si="46"/>
        <v/>
      </c>
      <c r="S478" s="56" t="str">
        <f ca="1" t="shared" si="47"/>
        <v/>
      </c>
      <c r="T478" s="10"/>
    </row>
    <row r="479" spans="1:20">
      <c r="A479" s="56" t="str">
        <f>IF($B479="","",COUNTA($B$5:$B479))</f>
        <v/>
      </c>
      <c r="B479" s="53"/>
      <c r="C479" s="46"/>
      <c r="D479" s="56" t="str">
        <f>IFERROR(INDEX(基础资料!$C$4:$C$11,MATCH($C479,基础资料!$A$4:$A$11,0)),"")</f>
        <v/>
      </c>
      <c r="E479" s="39"/>
      <c r="F479" s="46"/>
      <c r="G479" s="10"/>
      <c r="H479" s="39"/>
      <c r="I479" s="10"/>
      <c r="J479" s="25"/>
      <c r="K479" s="88"/>
      <c r="L479" s="57" t="str">
        <f t="shared" si="42"/>
        <v/>
      </c>
      <c r="M479" s="57" t="str">
        <f t="shared" si="43"/>
        <v/>
      </c>
      <c r="N479" s="57" t="str">
        <f>IF($I479="","",SUMIFS(资金流水!$K$5:$K$3032,资金流水!$Q$5:$Q$3015,$I479))</f>
        <v/>
      </c>
      <c r="O479" s="25"/>
      <c r="P479" s="57" t="str">
        <f t="shared" si="44"/>
        <v/>
      </c>
      <c r="Q479" s="58" t="str">
        <f t="shared" si="45"/>
        <v/>
      </c>
      <c r="R479" s="54" t="str">
        <f t="shared" si="46"/>
        <v/>
      </c>
      <c r="S479" s="56" t="str">
        <f ca="1" t="shared" si="47"/>
        <v/>
      </c>
      <c r="T479" s="10"/>
    </row>
    <row r="480" spans="1:20">
      <c r="A480" s="56" t="str">
        <f>IF($B480="","",COUNTA($B$5:$B480))</f>
        <v/>
      </c>
      <c r="B480" s="53"/>
      <c r="C480" s="46"/>
      <c r="D480" s="56" t="str">
        <f>IFERROR(INDEX(基础资料!$C$4:$C$11,MATCH($C480,基础资料!$A$4:$A$11,0)),"")</f>
        <v/>
      </c>
      <c r="E480" s="39"/>
      <c r="F480" s="46"/>
      <c r="G480" s="10"/>
      <c r="H480" s="39"/>
      <c r="I480" s="10"/>
      <c r="J480" s="25"/>
      <c r="K480" s="88"/>
      <c r="L480" s="57" t="str">
        <f t="shared" si="42"/>
        <v/>
      </c>
      <c r="M480" s="57" t="str">
        <f t="shared" si="43"/>
        <v/>
      </c>
      <c r="N480" s="57" t="str">
        <f>IF($I480="","",SUMIFS(资金流水!$K$5:$K$3032,资金流水!$Q$5:$Q$3015,$I480))</f>
        <v/>
      </c>
      <c r="O480" s="25"/>
      <c r="P480" s="57" t="str">
        <f t="shared" si="44"/>
        <v/>
      </c>
      <c r="Q480" s="58" t="str">
        <f t="shared" si="45"/>
        <v/>
      </c>
      <c r="R480" s="54" t="str">
        <f t="shared" si="46"/>
        <v/>
      </c>
      <c r="S480" s="56" t="str">
        <f ca="1" t="shared" si="47"/>
        <v/>
      </c>
      <c r="T480" s="10"/>
    </row>
    <row r="481" spans="1:20">
      <c r="A481" s="56" t="str">
        <f>IF($B481="","",COUNTA($B$5:$B481))</f>
        <v/>
      </c>
      <c r="B481" s="53"/>
      <c r="C481" s="46"/>
      <c r="D481" s="56" t="str">
        <f>IFERROR(INDEX(基础资料!$C$4:$C$11,MATCH($C481,基础资料!$A$4:$A$11,0)),"")</f>
        <v/>
      </c>
      <c r="E481" s="39"/>
      <c r="F481" s="46"/>
      <c r="G481" s="10"/>
      <c r="H481" s="39"/>
      <c r="I481" s="10"/>
      <c r="J481" s="25"/>
      <c r="K481" s="88"/>
      <c r="L481" s="57" t="str">
        <f t="shared" si="42"/>
        <v/>
      </c>
      <c r="M481" s="57" t="str">
        <f t="shared" si="43"/>
        <v/>
      </c>
      <c r="N481" s="57" t="str">
        <f>IF($I481="","",SUMIFS(资金流水!$K$5:$K$3032,资金流水!$Q$5:$Q$3015,$I481))</f>
        <v/>
      </c>
      <c r="O481" s="25"/>
      <c r="P481" s="57" t="str">
        <f t="shared" si="44"/>
        <v/>
      </c>
      <c r="Q481" s="58" t="str">
        <f t="shared" si="45"/>
        <v/>
      </c>
      <c r="R481" s="54" t="str">
        <f t="shared" si="46"/>
        <v/>
      </c>
      <c r="S481" s="56" t="str">
        <f ca="1" t="shared" si="47"/>
        <v/>
      </c>
      <c r="T481" s="10"/>
    </row>
    <row r="482" spans="1:20">
      <c r="A482" s="56" t="str">
        <f>IF($B482="","",COUNTA($B$5:$B482))</f>
        <v/>
      </c>
      <c r="B482" s="53"/>
      <c r="C482" s="46"/>
      <c r="D482" s="56" t="str">
        <f>IFERROR(INDEX(基础资料!$C$4:$C$11,MATCH($C482,基础资料!$A$4:$A$11,0)),"")</f>
        <v/>
      </c>
      <c r="E482" s="39"/>
      <c r="F482" s="46"/>
      <c r="G482" s="10"/>
      <c r="H482" s="39"/>
      <c r="I482" s="10"/>
      <c r="J482" s="25"/>
      <c r="K482" s="88"/>
      <c r="L482" s="57" t="str">
        <f t="shared" si="42"/>
        <v/>
      </c>
      <c r="M482" s="57" t="str">
        <f t="shared" si="43"/>
        <v/>
      </c>
      <c r="N482" s="57" t="str">
        <f>IF($I482="","",SUMIFS(资金流水!$K$5:$K$3032,资金流水!$Q$5:$Q$3015,$I482))</f>
        <v/>
      </c>
      <c r="O482" s="25"/>
      <c r="P482" s="57" t="str">
        <f t="shared" si="44"/>
        <v/>
      </c>
      <c r="Q482" s="58" t="str">
        <f t="shared" si="45"/>
        <v/>
      </c>
      <c r="R482" s="54" t="str">
        <f t="shared" si="46"/>
        <v/>
      </c>
      <c r="S482" s="56" t="str">
        <f ca="1" t="shared" si="47"/>
        <v/>
      </c>
      <c r="T482" s="10"/>
    </row>
    <row r="483" spans="1:20">
      <c r="A483" s="56" t="str">
        <f>IF($B483="","",COUNTA($B$5:$B483))</f>
        <v/>
      </c>
      <c r="B483" s="53"/>
      <c r="C483" s="46"/>
      <c r="D483" s="56" t="str">
        <f>IFERROR(INDEX(基础资料!$C$4:$C$11,MATCH($C483,基础资料!$A$4:$A$11,0)),"")</f>
        <v/>
      </c>
      <c r="E483" s="39"/>
      <c r="F483" s="46"/>
      <c r="G483" s="10"/>
      <c r="H483" s="39"/>
      <c r="I483" s="10"/>
      <c r="J483" s="25"/>
      <c r="K483" s="88"/>
      <c r="L483" s="57" t="str">
        <f t="shared" si="42"/>
        <v/>
      </c>
      <c r="M483" s="57" t="str">
        <f t="shared" si="43"/>
        <v/>
      </c>
      <c r="N483" s="57" t="str">
        <f>IF($I483="","",SUMIFS(资金流水!$K$5:$K$3032,资金流水!$Q$5:$Q$3015,$I483))</f>
        <v/>
      </c>
      <c r="O483" s="25"/>
      <c r="P483" s="57" t="str">
        <f t="shared" si="44"/>
        <v/>
      </c>
      <c r="Q483" s="58" t="str">
        <f t="shared" si="45"/>
        <v/>
      </c>
      <c r="R483" s="54" t="str">
        <f t="shared" si="46"/>
        <v/>
      </c>
      <c r="S483" s="56" t="str">
        <f ca="1" t="shared" si="47"/>
        <v/>
      </c>
      <c r="T483" s="10"/>
    </row>
    <row r="484" spans="1:20">
      <c r="A484" s="56" t="str">
        <f>IF($B484="","",COUNTA($B$5:$B484))</f>
        <v/>
      </c>
      <c r="B484" s="53"/>
      <c r="C484" s="46"/>
      <c r="D484" s="56" t="str">
        <f>IFERROR(INDEX(基础资料!$C$4:$C$11,MATCH($C484,基础资料!$A$4:$A$11,0)),"")</f>
        <v/>
      </c>
      <c r="E484" s="39"/>
      <c r="F484" s="46"/>
      <c r="G484" s="10"/>
      <c r="H484" s="39"/>
      <c r="I484" s="10"/>
      <c r="J484" s="25"/>
      <c r="K484" s="88"/>
      <c r="L484" s="57" t="str">
        <f t="shared" si="42"/>
        <v/>
      </c>
      <c r="M484" s="57" t="str">
        <f t="shared" si="43"/>
        <v/>
      </c>
      <c r="N484" s="57" t="str">
        <f>IF($I484="","",SUMIFS(资金流水!$K$5:$K$3032,资金流水!$Q$5:$Q$3015,$I484))</f>
        <v/>
      </c>
      <c r="O484" s="25"/>
      <c r="P484" s="57" t="str">
        <f t="shared" si="44"/>
        <v/>
      </c>
      <c r="Q484" s="58" t="str">
        <f t="shared" si="45"/>
        <v/>
      </c>
      <c r="R484" s="54" t="str">
        <f t="shared" si="46"/>
        <v/>
      </c>
      <c r="S484" s="56" t="str">
        <f ca="1" t="shared" si="47"/>
        <v/>
      </c>
      <c r="T484" s="10"/>
    </row>
    <row r="485" spans="1:20">
      <c r="A485" s="56" t="str">
        <f>IF($B485="","",COUNTA($B$5:$B485))</f>
        <v/>
      </c>
      <c r="B485" s="53"/>
      <c r="C485" s="46"/>
      <c r="D485" s="56" t="str">
        <f>IFERROR(INDEX(基础资料!$C$4:$C$11,MATCH($C485,基础资料!$A$4:$A$11,0)),"")</f>
        <v/>
      </c>
      <c r="E485" s="39"/>
      <c r="F485" s="46"/>
      <c r="G485" s="10"/>
      <c r="H485" s="39"/>
      <c r="I485" s="10"/>
      <c r="J485" s="25"/>
      <c r="K485" s="88"/>
      <c r="L485" s="57" t="str">
        <f t="shared" si="42"/>
        <v/>
      </c>
      <c r="M485" s="57" t="str">
        <f t="shared" si="43"/>
        <v/>
      </c>
      <c r="N485" s="57" t="str">
        <f>IF($I485="","",SUMIFS(资金流水!$K$5:$K$3032,资金流水!$Q$5:$Q$3015,$I485))</f>
        <v/>
      </c>
      <c r="O485" s="25"/>
      <c r="P485" s="57" t="str">
        <f t="shared" si="44"/>
        <v/>
      </c>
      <c r="Q485" s="58" t="str">
        <f t="shared" si="45"/>
        <v/>
      </c>
      <c r="R485" s="54" t="str">
        <f t="shared" si="46"/>
        <v/>
      </c>
      <c r="S485" s="56" t="str">
        <f ca="1" t="shared" si="47"/>
        <v/>
      </c>
      <c r="T485" s="10"/>
    </row>
    <row r="486" spans="1:20">
      <c r="A486" s="56" t="str">
        <f>IF($B486="","",COUNTA($B$5:$B486))</f>
        <v/>
      </c>
      <c r="B486" s="53"/>
      <c r="C486" s="46"/>
      <c r="D486" s="56" t="str">
        <f>IFERROR(INDEX(基础资料!$C$4:$C$11,MATCH($C486,基础资料!$A$4:$A$11,0)),"")</f>
        <v/>
      </c>
      <c r="E486" s="39"/>
      <c r="F486" s="46"/>
      <c r="G486" s="10"/>
      <c r="H486" s="39"/>
      <c r="I486" s="10"/>
      <c r="J486" s="25"/>
      <c r="K486" s="88"/>
      <c r="L486" s="57" t="str">
        <f t="shared" si="42"/>
        <v/>
      </c>
      <c r="M486" s="57" t="str">
        <f t="shared" si="43"/>
        <v/>
      </c>
      <c r="N486" s="57" t="str">
        <f>IF($I486="","",SUMIFS(资金流水!$K$5:$K$3032,资金流水!$Q$5:$Q$3015,$I486))</f>
        <v/>
      </c>
      <c r="O486" s="25"/>
      <c r="P486" s="57" t="str">
        <f t="shared" si="44"/>
        <v/>
      </c>
      <c r="Q486" s="58" t="str">
        <f t="shared" si="45"/>
        <v/>
      </c>
      <c r="R486" s="54" t="str">
        <f t="shared" si="46"/>
        <v/>
      </c>
      <c r="S486" s="56" t="str">
        <f ca="1" t="shared" si="47"/>
        <v/>
      </c>
      <c r="T486" s="10"/>
    </row>
    <row r="487" spans="1:20">
      <c r="A487" s="56" t="str">
        <f>IF($B487="","",COUNTA($B$5:$B487))</f>
        <v/>
      </c>
      <c r="B487" s="53"/>
      <c r="C487" s="46"/>
      <c r="D487" s="56" t="str">
        <f>IFERROR(INDEX(基础资料!$C$4:$C$11,MATCH($C487,基础资料!$A$4:$A$11,0)),"")</f>
        <v/>
      </c>
      <c r="E487" s="39"/>
      <c r="F487" s="46"/>
      <c r="G487" s="10"/>
      <c r="H487" s="39"/>
      <c r="I487" s="10"/>
      <c r="J487" s="25"/>
      <c r="K487" s="88"/>
      <c r="L487" s="57" t="str">
        <f t="shared" si="42"/>
        <v/>
      </c>
      <c r="M487" s="57" t="str">
        <f t="shared" si="43"/>
        <v/>
      </c>
      <c r="N487" s="57" t="str">
        <f>IF($I487="","",SUMIFS(资金流水!$K$5:$K$3032,资金流水!$Q$5:$Q$3015,$I487))</f>
        <v/>
      </c>
      <c r="O487" s="25"/>
      <c r="P487" s="57" t="str">
        <f t="shared" si="44"/>
        <v/>
      </c>
      <c r="Q487" s="58" t="str">
        <f t="shared" si="45"/>
        <v/>
      </c>
      <c r="R487" s="54" t="str">
        <f t="shared" si="46"/>
        <v/>
      </c>
      <c r="S487" s="56" t="str">
        <f ca="1" t="shared" si="47"/>
        <v/>
      </c>
      <c r="T487" s="10"/>
    </row>
    <row r="488" spans="1:20">
      <c r="A488" s="56" t="str">
        <f>IF($B488="","",COUNTA($B$5:$B488))</f>
        <v/>
      </c>
      <c r="B488" s="53"/>
      <c r="C488" s="46"/>
      <c r="D488" s="56" t="str">
        <f>IFERROR(INDEX(基础资料!$C$4:$C$11,MATCH($C488,基础资料!$A$4:$A$11,0)),"")</f>
        <v/>
      </c>
      <c r="E488" s="39"/>
      <c r="F488" s="46"/>
      <c r="G488" s="10"/>
      <c r="H488" s="39"/>
      <c r="I488" s="10"/>
      <c r="J488" s="25"/>
      <c r="K488" s="88"/>
      <c r="L488" s="57" t="str">
        <f t="shared" si="42"/>
        <v/>
      </c>
      <c r="M488" s="57" t="str">
        <f t="shared" si="43"/>
        <v/>
      </c>
      <c r="N488" s="57" t="str">
        <f>IF($I488="","",SUMIFS(资金流水!$K$5:$K$3032,资金流水!$Q$5:$Q$3015,$I488))</f>
        <v/>
      </c>
      <c r="O488" s="25"/>
      <c r="P488" s="57" t="str">
        <f t="shared" si="44"/>
        <v/>
      </c>
      <c r="Q488" s="58" t="str">
        <f t="shared" si="45"/>
        <v/>
      </c>
      <c r="R488" s="54" t="str">
        <f t="shared" si="46"/>
        <v/>
      </c>
      <c r="S488" s="56" t="str">
        <f ca="1" t="shared" si="47"/>
        <v/>
      </c>
      <c r="T488" s="10"/>
    </row>
    <row r="489" spans="1:20">
      <c r="A489" s="56" t="str">
        <f>IF($B489="","",COUNTA($B$5:$B489))</f>
        <v/>
      </c>
      <c r="B489" s="53"/>
      <c r="C489" s="46"/>
      <c r="D489" s="56" t="str">
        <f>IFERROR(INDEX(基础资料!$C$4:$C$11,MATCH($C489,基础资料!$A$4:$A$11,0)),"")</f>
        <v/>
      </c>
      <c r="E489" s="39"/>
      <c r="F489" s="46"/>
      <c r="G489" s="10"/>
      <c r="H489" s="39"/>
      <c r="I489" s="10"/>
      <c r="J489" s="25"/>
      <c r="K489" s="88"/>
      <c r="L489" s="57" t="str">
        <f t="shared" si="42"/>
        <v/>
      </c>
      <c r="M489" s="57" t="str">
        <f t="shared" si="43"/>
        <v/>
      </c>
      <c r="N489" s="57" t="str">
        <f>IF($I489="","",SUMIFS(资金流水!$K$5:$K$3032,资金流水!$Q$5:$Q$3015,$I489))</f>
        <v/>
      </c>
      <c r="O489" s="25"/>
      <c r="P489" s="57" t="str">
        <f t="shared" si="44"/>
        <v/>
      </c>
      <c r="Q489" s="58" t="str">
        <f t="shared" si="45"/>
        <v/>
      </c>
      <c r="R489" s="54" t="str">
        <f t="shared" si="46"/>
        <v/>
      </c>
      <c r="S489" s="56" t="str">
        <f ca="1" t="shared" si="47"/>
        <v/>
      </c>
      <c r="T489" s="10"/>
    </row>
    <row r="490" spans="1:20">
      <c r="A490" s="56" t="str">
        <f>IF($B490="","",COUNTA($B$5:$B490))</f>
        <v/>
      </c>
      <c r="B490" s="53"/>
      <c r="C490" s="46"/>
      <c r="D490" s="56" t="str">
        <f>IFERROR(INDEX(基础资料!$C$4:$C$11,MATCH($C490,基础资料!$A$4:$A$11,0)),"")</f>
        <v/>
      </c>
      <c r="E490" s="39"/>
      <c r="F490" s="46"/>
      <c r="G490" s="10"/>
      <c r="H490" s="39"/>
      <c r="I490" s="10"/>
      <c r="J490" s="25"/>
      <c r="K490" s="88"/>
      <c r="L490" s="57" t="str">
        <f t="shared" si="42"/>
        <v/>
      </c>
      <c r="M490" s="57" t="str">
        <f t="shared" si="43"/>
        <v/>
      </c>
      <c r="N490" s="57" t="str">
        <f>IF($I490="","",SUMIFS(资金流水!$K$5:$K$3032,资金流水!$Q$5:$Q$3015,$I490))</f>
        <v/>
      </c>
      <c r="O490" s="25"/>
      <c r="P490" s="57" t="str">
        <f t="shared" si="44"/>
        <v/>
      </c>
      <c r="Q490" s="58" t="str">
        <f t="shared" si="45"/>
        <v/>
      </c>
      <c r="R490" s="54" t="str">
        <f t="shared" si="46"/>
        <v/>
      </c>
      <c r="S490" s="56" t="str">
        <f ca="1" t="shared" si="47"/>
        <v/>
      </c>
      <c r="T490" s="10"/>
    </row>
    <row r="491" spans="1:20">
      <c r="A491" s="56" t="str">
        <f>IF($B491="","",COUNTA($B$5:$B491))</f>
        <v/>
      </c>
      <c r="B491" s="53"/>
      <c r="C491" s="46"/>
      <c r="D491" s="56" t="str">
        <f>IFERROR(INDEX(基础资料!$C$4:$C$11,MATCH($C491,基础资料!$A$4:$A$11,0)),"")</f>
        <v/>
      </c>
      <c r="E491" s="39"/>
      <c r="F491" s="46"/>
      <c r="G491" s="10"/>
      <c r="H491" s="39"/>
      <c r="I491" s="10"/>
      <c r="J491" s="25"/>
      <c r="K491" s="88"/>
      <c r="L491" s="57" t="str">
        <f t="shared" si="42"/>
        <v/>
      </c>
      <c r="M491" s="57" t="str">
        <f t="shared" si="43"/>
        <v/>
      </c>
      <c r="N491" s="57" t="str">
        <f>IF($I491="","",SUMIFS(资金流水!$K$5:$K$3032,资金流水!$Q$5:$Q$3015,$I491))</f>
        <v/>
      </c>
      <c r="O491" s="25"/>
      <c r="P491" s="57" t="str">
        <f t="shared" si="44"/>
        <v/>
      </c>
      <c r="Q491" s="58" t="str">
        <f t="shared" si="45"/>
        <v/>
      </c>
      <c r="R491" s="54" t="str">
        <f t="shared" si="46"/>
        <v/>
      </c>
      <c r="S491" s="56" t="str">
        <f ca="1" t="shared" si="47"/>
        <v/>
      </c>
      <c r="T491" s="10"/>
    </row>
    <row r="492" spans="1:20">
      <c r="A492" s="56" t="str">
        <f>IF($B492="","",COUNTA($B$5:$B492))</f>
        <v/>
      </c>
      <c r="B492" s="53"/>
      <c r="C492" s="46"/>
      <c r="D492" s="56" t="str">
        <f>IFERROR(INDEX(基础资料!$C$4:$C$11,MATCH($C492,基础资料!$A$4:$A$11,0)),"")</f>
        <v/>
      </c>
      <c r="E492" s="39"/>
      <c r="F492" s="46"/>
      <c r="G492" s="10"/>
      <c r="H492" s="39"/>
      <c r="I492" s="10"/>
      <c r="J492" s="25"/>
      <c r="K492" s="88"/>
      <c r="L492" s="57" t="str">
        <f t="shared" si="42"/>
        <v/>
      </c>
      <c r="M492" s="57" t="str">
        <f t="shared" si="43"/>
        <v/>
      </c>
      <c r="N492" s="57" t="str">
        <f>IF($I492="","",SUMIFS(资金流水!$K$5:$K$3032,资金流水!$Q$5:$Q$3015,$I492))</f>
        <v/>
      </c>
      <c r="O492" s="25"/>
      <c r="P492" s="57" t="str">
        <f t="shared" si="44"/>
        <v/>
      </c>
      <c r="Q492" s="58" t="str">
        <f t="shared" si="45"/>
        <v/>
      </c>
      <c r="R492" s="54" t="str">
        <f t="shared" si="46"/>
        <v/>
      </c>
      <c r="S492" s="56" t="str">
        <f ca="1" t="shared" si="47"/>
        <v/>
      </c>
      <c r="T492" s="10"/>
    </row>
    <row r="493" spans="1:20">
      <c r="A493" s="56" t="str">
        <f>IF($B493="","",COUNTA($B$5:$B493))</f>
        <v/>
      </c>
      <c r="B493" s="53"/>
      <c r="C493" s="46"/>
      <c r="D493" s="56" t="str">
        <f>IFERROR(INDEX(基础资料!$C$4:$C$11,MATCH($C493,基础资料!$A$4:$A$11,0)),"")</f>
        <v/>
      </c>
      <c r="E493" s="39"/>
      <c r="F493" s="46"/>
      <c r="G493" s="10"/>
      <c r="H493" s="39"/>
      <c r="I493" s="10"/>
      <c r="J493" s="25"/>
      <c r="K493" s="88"/>
      <c r="L493" s="57" t="str">
        <f t="shared" si="42"/>
        <v/>
      </c>
      <c r="M493" s="57" t="str">
        <f t="shared" si="43"/>
        <v/>
      </c>
      <c r="N493" s="57" t="str">
        <f>IF($I493="","",SUMIFS(资金流水!$K$5:$K$3032,资金流水!$Q$5:$Q$3015,$I493))</f>
        <v/>
      </c>
      <c r="O493" s="25"/>
      <c r="P493" s="57" t="str">
        <f t="shared" si="44"/>
        <v/>
      </c>
      <c r="Q493" s="58" t="str">
        <f t="shared" si="45"/>
        <v/>
      </c>
      <c r="R493" s="54" t="str">
        <f t="shared" si="46"/>
        <v/>
      </c>
      <c r="S493" s="56" t="str">
        <f ca="1" t="shared" si="47"/>
        <v/>
      </c>
      <c r="T493" s="10"/>
    </row>
    <row r="494" spans="1:20">
      <c r="A494" s="56" t="str">
        <f>IF($B494="","",COUNTA($B$5:$B494))</f>
        <v/>
      </c>
      <c r="B494" s="53"/>
      <c r="C494" s="46"/>
      <c r="D494" s="56" t="str">
        <f>IFERROR(INDEX(基础资料!$C$4:$C$11,MATCH($C494,基础资料!$A$4:$A$11,0)),"")</f>
        <v/>
      </c>
      <c r="E494" s="39"/>
      <c r="F494" s="46"/>
      <c r="G494" s="10"/>
      <c r="H494" s="39"/>
      <c r="I494" s="10"/>
      <c r="J494" s="25"/>
      <c r="K494" s="88"/>
      <c r="L494" s="57" t="str">
        <f t="shared" si="42"/>
        <v/>
      </c>
      <c r="M494" s="57" t="str">
        <f t="shared" si="43"/>
        <v/>
      </c>
      <c r="N494" s="57" t="str">
        <f>IF($I494="","",SUMIFS(资金流水!$K$5:$K$3032,资金流水!$Q$5:$Q$3015,$I494))</f>
        <v/>
      </c>
      <c r="O494" s="25"/>
      <c r="P494" s="57" t="str">
        <f t="shared" si="44"/>
        <v/>
      </c>
      <c r="Q494" s="58" t="str">
        <f t="shared" si="45"/>
        <v/>
      </c>
      <c r="R494" s="54" t="str">
        <f t="shared" si="46"/>
        <v/>
      </c>
      <c r="S494" s="56" t="str">
        <f ca="1" t="shared" si="47"/>
        <v/>
      </c>
      <c r="T494" s="10"/>
    </row>
    <row r="495" spans="1:20">
      <c r="A495" s="56" t="str">
        <f>IF($B495="","",COUNTA($B$5:$B495))</f>
        <v/>
      </c>
      <c r="B495" s="53"/>
      <c r="C495" s="46"/>
      <c r="D495" s="56" t="str">
        <f>IFERROR(INDEX(基础资料!$C$4:$C$11,MATCH($C495,基础资料!$A$4:$A$11,0)),"")</f>
        <v/>
      </c>
      <c r="E495" s="39"/>
      <c r="F495" s="46"/>
      <c r="G495" s="10"/>
      <c r="H495" s="39"/>
      <c r="I495" s="10"/>
      <c r="J495" s="25"/>
      <c r="K495" s="88"/>
      <c r="L495" s="57" t="str">
        <f t="shared" si="42"/>
        <v/>
      </c>
      <c r="M495" s="57" t="str">
        <f t="shared" si="43"/>
        <v/>
      </c>
      <c r="N495" s="57" t="str">
        <f>IF($I495="","",SUMIFS(资金流水!$K$5:$K$3032,资金流水!$Q$5:$Q$3015,$I495))</f>
        <v/>
      </c>
      <c r="O495" s="25"/>
      <c r="P495" s="57" t="str">
        <f t="shared" si="44"/>
        <v/>
      </c>
      <c r="Q495" s="58" t="str">
        <f t="shared" si="45"/>
        <v/>
      </c>
      <c r="R495" s="54" t="str">
        <f t="shared" si="46"/>
        <v/>
      </c>
      <c r="S495" s="56" t="str">
        <f ca="1" t="shared" si="47"/>
        <v/>
      </c>
      <c r="T495" s="10"/>
    </row>
    <row r="496" spans="1:20">
      <c r="A496" s="56" t="str">
        <f>IF($B496="","",COUNTA($B$5:$B496))</f>
        <v/>
      </c>
      <c r="B496" s="53"/>
      <c r="C496" s="46"/>
      <c r="D496" s="56" t="str">
        <f>IFERROR(INDEX(基础资料!$C$4:$C$11,MATCH($C496,基础资料!$A$4:$A$11,0)),"")</f>
        <v/>
      </c>
      <c r="E496" s="39"/>
      <c r="F496" s="46"/>
      <c r="G496" s="10"/>
      <c r="H496" s="39"/>
      <c r="I496" s="10"/>
      <c r="J496" s="25"/>
      <c r="K496" s="88"/>
      <c r="L496" s="57" t="str">
        <f t="shared" si="42"/>
        <v/>
      </c>
      <c r="M496" s="57" t="str">
        <f t="shared" si="43"/>
        <v/>
      </c>
      <c r="N496" s="57" t="str">
        <f>IF($I496="","",SUMIFS(资金流水!$K$5:$K$3032,资金流水!$Q$5:$Q$3015,$I496))</f>
        <v/>
      </c>
      <c r="O496" s="25"/>
      <c r="P496" s="57" t="str">
        <f t="shared" si="44"/>
        <v/>
      </c>
      <c r="Q496" s="58" t="str">
        <f t="shared" si="45"/>
        <v/>
      </c>
      <c r="R496" s="54" t="str">
        <f t="shared" si="46"/>
        <v/>
      </c>
      <c r="S496" s="56" t="str">
        <f ca="1" t="shared" si="47"/>
        <v/>
      </c>
      <c r="T496" s="10"/>
    </row>
    <row r="497" spans="1:20">
      <c r="A497" s="56" t="str">
        <f>IF($B497="","",COUNTA($B$5:$B497))</f>
        <v/>
      </c>
      <c r="B497" s="53"/>
      <c r="C497" s="46"/>
      <c r="D497" s="56" t="str">
        <f>IFERROR(INDEX(基础资料!$C$4:$C$11,MATCH($C497,基础资料!$A$4:$A$11,0)),"")</f>
        <v/>
      </c>
      <c r="E497" s="39"/>
      <c r="F497" s="46"/>
      <c r="G497" s="10"/>
      <c r="H497" s="39"/>
      <c r="I497" s="10"/>
      <c r="J497" s="25"/>
      <c r="K497" s="88"/>
      <c r="L497" s="57" t="str">
        <f t="shared" si="42"/>
        <v/>
      </c>
      <c r="M497" s="57" t="str">
        <f t="shared" si="43"/>
        <v/>
      </c>
      <c r="N497" s="57" t="str">
        <f>IF($I497="","",SUMIFS(资金流水!$K$5:$K$3032,资金流水!$Q$5:$Q$3015,$I497))</f>
        <v/>
      </c>
      <c r="O497" s="25"/>
      <c r="P497" s="57" t="str">
        <f t="shared" si="44"/>
        <v/>
      </c>
      <c r="Q497" s="58" t="str">
        <f t="shared" si="45"/>
        <v/>
      </c>
      <c r="R497" s="54" t="str">
        <f t="shared" si="46"/>
        <v/>
      </c>
      <c r="S497" s="56" t="str">
        <f ca="1" t="shared" si="47"/>
        <v/>
      </c>
      <c r="T497" s="10"/>
    </row>
    <row r="498" spans="1:20">
      <c r="A498" s="56" t="str">
        <f>IF($B498="","",COUNTA($B$5:$B498))</f>
        <v/>
      </c>
      <c r="B498" s="53"/>
      <c r="C498" s="46"/>
      <c r="D498" s="56" t="str">
        <f>IFERROR(INDEX(基础资料!$C$4:$C$11,MATCH($C498,基础资料!$A$4:$A$11,0)),"")</f>
        <v/>
      </c>
      <c r="E498" s="39"/>
      <c r="F498" s="46"/>
      <c r="G498" s="10"/>
      <c r="H498" s="39"/>
      <c r="I498" s="10"/>
      <c r="J498" s="25"/>
      <c r="K498" s="88"/>
      <c r="L498" s="57" t="str">
        <f t="shared" si="42"/>
        <v/>
      </c>
      <c r="M498" s="57" t="str">
        <f t="shared" si="43"/>
        <v/>
      </c>
      <c r="N498" s="57" t="str">
        <f>IF($I498="","",SUMIFS(资金流水!$K$5:$K$3032,资金流水!$Q$5:$Q$3015,$I498))</f>
        <v/>
      </c>
      <c r="O498" s="25"/>
      <c r="P498" s="57" t="str">
        <f t="shared" si="44"/>
        <v/>
      </c>
      <c r="Q498" s="58" t="str">
        <f t="shared" si="45"/>
        <v/>
      </c>
      <c r="R498" s="54" t="str">
        <f t="shared" si="46"/>
        <v/>
      </c>
      <c r="S498" s="56" t="str">
        <f ca="1" t="shared" si="47"/>
        <v/>
      </c>
      <c r="T498" s="10"/>
    </row>
    <row r="499" spans="1:20">
      <c r="A499" s="56" t="str">
        <f>IF($B499="","",COUNTA($B$5:$B499))</f>
        <v/>
      </c>
      <c r="B499" s="53"/>
      <c r="C499" s="46"/>
      <c r="D499" s="56" t="str">
        <f>IFERROR(INDEX(基础资料!$C$4:$C$11,MATCH($C499,基础资料!$A$4:$A$11,0)),"")</f>
        <v/>
      </c>
      <c r="E499" s="39"/>
      <c r="F499" s="46"/>
      <c r="G499" s="10"/>
      <c r="H499" s="39"/>
      <c r="I499" s="10"/>
      <c r="J499" s="25"/>
      <c r="K499" s="88"/>
      <c r="L499" s="57" t="str">
        <f t="shared" si="42"/>
        <v/>
      </c>
      <c r="M499" s="57" t="str">
        <f t="shared" si="43"/>
        <v/>
      </c>
      <c r="N499" s="57" t="str">
        <f>IF($I499="","",SUMIFS(资金流水!$K$5:$K$3032,资金流水!$Q$5:$Q$3015,$I499))</f>
        <v/>
      </c>
      <c r="O499" s="25"/>
      <c r="P499" s="57" t="str">
        <f t="shared" si="44"/>
        <v/>
      </c>
      <c r="Q499" s="58" t="str">
        <f t="shared" si="45"/>
        <v/>
      </c>
      <c r="R499" s="54" t="str">
        <f t="shared" si="46"/>
        <v/>
      </c>
      <c r="S499" s="56" t="str">
        <f ca="1" t="shared" si="47"/>
        <v/>
      </c>
      <c r="T499" s="10"/>
    </row>
    <row r="500" spans="1:20">
      <c r="A500" s="56" t="str">
        <f>IF($B500="","",COUNTA($B$5:$B500))</f>
        <v/>
      </c>
      <c r="B500" s="53"/>
      <c r="C500" s="46"/>
      <c r="D500" s="56" t="str">
        <f>IFERROR(INDEX(基础资料!$C$4:$C$11,MATCH($C500,基础资料!$A$4:$A$11,0)),"")</f>
        <v/>
      </c>
      <c r="E500" s="39"/>
      <c r="F500" s="46"/>
      <c r="G500" s="10"/>
      <c r="H500" s="39"/>
      <c r="I500" s="10"/>
      <c r="J500" s="25"/>
      <c r="K500" s="88"/>
      <c r="L500" s="57" t="str">
        <f t="shared" si="42"/>
        <v/>
      </c>
      <c r="M500" s="57" t="str">
        <f t="shared" si="43"/>
        <v/>
      </c>
      <c r="N500" s="57" t="str">
        <f>IF($I500="","",SUMIFS(资金流水!$K$5:$K$3032,资金流水!$Q$5:$Q$3015,$I500))</f>
        <v/>
      </c>
      <c r="O500" s="25"/>
      <c r="P500" s="57" t="str">
        <f t="shared" si="44"/>
        <v/>
      </c>
      <c r="Q500" s="58" t="str">
        <f t="shared" si="45"/>
        <v/>
      </c>
      <c r="R500" s="54" t="str">
        <f t="shared" si="46"/>
        <v/>
      </c>
      <c r="S500" s="56" t="str">
        <f ca="1" t="shared" si="47"/>
        <v/>
      </c>
      <c r="T500" s="10"/>
    </row>
    <row r="501" spans="1:20">
      <c r="A501" s="56" t="str">
        <f>IF($B501="","",COUNTA($B$5:$B501))</f>
        <v/>
      </c>
      <c r="B501" s="53"/>
      <c r="C501" s="46"/>
      <c r="D501" s="56" t="str">
        <f>IFERROR(INDEX(基础资料!$C$4:$C$11,MATCH($C501,基础资料!$A$4:$A$11,0)),"")</f>
        <v/>
      </c>
      <c r="E501" s="39"/>
      <c r="F501" s="46"/>
      <c r="G501" s="10"/>
      <c r="H501" s="39"/>
      <c r="I501" s="10"/>
      <c r="J501" s="25"/>
      <c r="K501" s="88"/>
      <c r="L501" s="57" t="str">
        <f t="shared" si="42"/>
        <v/>
      </c>
      <c r="M501" s="57" t="str">
        <f t="shared" si="43"/>
        <v/>
      </c>
      <c r="N501" s="57" t="str">
        <f>IF($I501="","",SUMIFS(资金流水!$K$5:$K$3032,资金流水!$Q$5:$Q$3015,$I501))</f>
        <v/>
      </c>
      <c r="O501" s="25"/>
      <c r="P501" s="57" t="str">
        <f t="shared" si="44"/>
        <v/>
      </c>
      <c r="Q501" s="58" t="str">
        <f t="shared" si="45"/>
        <v/>
      </c>
      <c r="R501" s="54" t="str">
        <f t="shared" si="46"/>
        <v/>
      </c>
      <c r="S501" s="56" t="str">
        <f ca="1" t="shared" si="47"/>
        <v/>
      </c>
      <c r="T501" s="10"/>
    </row>
    <row r="502" spans="1:20">
      <c r="A502" s="56" t="str">
        <f>IF($B502="","",COUNTA($B$5:$B502))</f>
        <v/>
      </c>
      <c r="B502" s="53"/>
      <c r="C502" s="46"/>
      <c r="D502" s="56" t="str">
        <f>IFERROR(INDEX(基础资料!$C$4:$C$11,MATCH($C502,基础资料!$A$4:$A$11,0)),"")</f>
        <v/>
      </c>
      <c r="E502" s="39"/>
      <c r="F502" s="46"/>
      <c r="G502" s="10"/>
      <c r="H502" s="39"/>
      <c r="I502" s="10"/>
      <c r="J502" s="25"/>
      <c r="K502" s="88"/>
      <c r="L502" s="57" t="str">
        <f t="shared" si="42"/>
        <v/>
      </c>
      <c r="M502" s="57" t="str">
        <f t="shared" si="43"/>
        <v/>
      </c>
      <c r="N502" s="57" t="str">
        <f>IF($I502="","",SUMIFS(资金流水!$K$5:$K$3032,资金流水!$Q$5:$Q$3015,$I502))</f>
        <v/>
      </c>
      <c r="O502" s="25"/>
      <c r="P502" s="57" t="str">
        <f t="shared" si="44"/>
        <v/>
      </c>
      <c r="Q502" s="58" t="str">
        <f t="shared" si="45"/>
        <v/>
      </c>
      <c r="R502" s="54" t="str">
        <f t="shared" si="46"/>
        <v/>
      </c>
      <c r="S502" s="56" t="str">
        <f ca="1" t="shared" si="47"/>
        <v/>
      </c>
      <c r="T502" s="10"/>
    </row>
    <row r="503" spans="1:20">
      <c r="A503" s="56" t="str">
        <f>IF($B503="","",COUNTA($B$5:$B503))</f>
        <v/>
      </c>
      <c r="B503" s="53"/>
      <c r="C503" s="46"/>
      <c r="D503" s="56" t="str">
        <f>IFERROR(INDEX(基础资料!$C$4:$C$11,MATCH($C503,基础资料!$A$4:$A$11,0)),"")</f>
        <v/>
      </c>
      <c r="E503" s="39"/>
      <c r="F503" s="46"/>
      <c r="G503" s="10"/>
      <c r="H503" s="39"/>
      <c r="I503" s="10"/>
      <c r="J503" s="25"/>
      <c r="K503" s="88"/>
      <c r="L503" s="57" t="str">
        <f t="shared" si="42"/>
        <v/>
      </c>
      <c r="M503" s="57" t="str">
        <f t="shared" si="43"/>
        <v/>
      </c>
      <c r="N503" s="57" t="str">
        <f>IF($I503="","",SUMIFS(资金流水!$K$5:$K$3032,资金流水!$Q$5:$Q$3015,$I503))</f>
        <v/>
      </c>
      <c r="O503" s="25"/>
      <c r="P503" s="57" t="str">
        <f t="shared" si="44"/>
        <v/>
      </c>
      <c r="Q503" s="58" t="str">
        <f t="shared" si="45"/>
        <v/>
      </c>
      <c r="R503" s="54" t="str">
        <f t="shared" si="46"/>
        <v/>
      </c>
      <c r="S503" s="56" t="str">
        <f ca="1" t="shared" si="47"/>
        <v/>
      </c>
      <c r="T503" s="10"/>
    </row>
    <row r="504" spans="1:20">
      <c r="A504" s="56" t="str">
        <f>IF($B504="","",COUNTA($B$5:$B504))</f>
        <v/>
      </c>
      <c r="B504" s="53"/>
      <c r="C504" s="46"/>
      <c r="D504" s="56" t="str">
        <f>IFERROR(INDEX(基础资料!$C$4:$C$11,MATCH($C504,基础资料!$A$4:$A$11,0)),"")</f>
        <v/>
      </c>
      <c r="E504" s="39"/>
      <c r="F504" s="46"/>
      <c r="G504" s="10"/>
      <c r="H504" s="39"/>
      <c r="I504" s="10"/>
      <c r="J504" s="25"/>
      <c r="K504" s="88"/>
      <c r="L504" s="57" t="str">
        <f t="shared" si="42"/>
        <v/>
      </c>
      <c r="M504" s="57" t="str">
        <f t="shared" si="43"/>
        <v/>
      </c>
      <c r="N504" s="57" t="str">
        <f>IF($I504="","",SUMIFS(资金流水!$K$5:$K$3032,资金流水!$Q$5:$Q$3015,$I504))</f>
        <v/>
      </c>
      <c r="O504" s="25"/>
      <c r="P504" s="57" t="str">
        <f t="shared" si="44"/>
        <v/>
      </c>
      <c r="Q504" s="58" t="str">
        <f t="shared" si="45"/>
        <v/>
      </c>
      <c r="R504" s="54" t="str">
        <f t="shared" si="46"/>
        <v/>
      </c>
      <c r="S504" s="56" t="str">
        <f ca="1" t="shared" si="47"/>
        <v/>
      </c>
      <c r="T504" s="10"/>
    </row>
  </sheetData>
  <autoFilter xmlns:etc="http://www.wps.cn/officeDocument/2017/etCustomData" ref="A4:T504" etc:filterBottomFollowUsedRange="0">
    <filterColumn colId="1">
      <filters blank="1">
        <dateGroupItem year="2026" dateTimeGrouping="year"/>
      </filters>
    </filterColumn>
    <extLst/>
  </autoFilter>
  <mergeCells count="3">
    <mergeCell ref="A1:T1"/>
    <mergeCell ref="C2:E2"/>
    <mergeCell ref="A3:T3"/>
  </mergeCells>
  <conditionalFormatting sqref="Q5:Q504">
    <cfRule type="cellIs" dxfId="0" priority="2" operator="equal">
      <formula>"未收款"</formula>
    </cfRule>
  </conditionalFormatting>
  <conditionalFormatting sqref="S5:S504">
    <cfRule type="cellIs" dxfId="1" priority="3" operator="greaterThan">
      <formula>90</formula>
    </cfRule>
  </conditionalFormatting>
  <dataValidations count="6">
    <dataValidation type="list" allowBlank="1" sqref="F59 F67 F5:F14 F73:F504">
      <formula1>基础资料!$Y$4:$Y$63</formula1>
    </dataValidation>
    <dataValidation type="list" allowBlank="1" sqref="G59 G5:G14 G66:G70 G72:G504">
      <formula1>基础资料!$J$4:$J$63</formula1>
    </dataValidation>
    <dataValidation type="list" allowBlank="1" sqref="C5:C504">
      <formula1>基础资料!$A$4:$A$11</formula1>
    </dataValidation>
    <dataValidation type="list" allowBlank="1" sqref="E5:E504">
      <formula1>基础资料!$AC$4:$AC$11</formula1>
    </dataValidation>
    <dataValidation type="list" allowBlank="1" sqref="H5:H504">
      <formula1>基础资料!$Q$4:$Q$17</formula1>
    </dataValidation>
    <dataValidation type="list" allowBlank="1" sqref="K5:K504">
      <formula1>基础资料!$AE$4:$AE$13</formula1>
    </dataValidation>
  </dataValidation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B050"/>
  </sheetPr>
  <dimension ref="A1:X3032"/>
  <sheetViews>
    <sheetView showGridLines="0" tabSelected="1" workbookViewId="0">
      <pane xSplit="4" ySplit="4" topLeftCell="F673" activePane="bottomRight" state="frozen"/>
      <selection/>
      <selection pane="topRight"/>
      <selection pane="bottomLeft"/>
      <selection pane="bottomRight" activeCell="F662" sqref="F662"/>
    </sheetView>
  </sheetViews>
  <sheetFormatPr defaultColWidth="8.67619047619048" defaultRowHeight="15"/>
  <cols>
    <col min="1" max="1" width="6" customWidth="1"/>
    <col min="2" max="2" width="10.7809523809524" customWidth="1"/>
    <col min="3" max="3" width="23.4285714285714" customWidth="1"/>
    <col min="4" max="5" width="11" customWidth="1"/>
    <col min="6" max="6" width="42.1142857142857" customWidth="1"/>
    <col min="7" max="7" width="13" customWidth="1"/>
    <col min="8" max="8" width="14" customWidth="1"/>
    <col min="9" max="9" width="13" customWidth="1"/>
    <col min="10" max="10" width="26" customWidth="1"/>
    <col min="11" max="11" width="17" customWidth="1"/>
    <col min="12" max="12" width="16.6666666666667" customWidth="1"/>
    <col min="13" max="13" width="21.3333333333333" customWidth="1"/>
    <col min="14" max="15" width="12" customWidth="1"/>
    <col min="16" max="16" width="11" customWidth="1"/>
    <col min="17" max="17" width="16" customWidth="1"/>
    <col min="18" max="18" width="14" customWidth="1"/>
    <col min="19" max="20" width="9" customWidth="1"/>
    <col min="21" max="21" width="7" customWidth="1"/>
    <col min="22" max="22" width="8" customWidth="1"/>
    <col min="23" max="24" width="11" customWidth="1"/>
  </cols>
  <sheetData>
    <row r="1" ht="25.5" customHeight="1" spans="1:24">
      <c r="A1" s="1" t="s">
        <v>459</v>
      </c>
      <c r="B1" s="1"/>
      <c r="C1" s="1"/>
      <c r="D1" s="1"/>
      <c r="E1" s="1"/>
      <c r="F1" s="1"/>
      <c r="G1" s="1"/>
      <c r="H1" s="1"/>
      <c r="I1" s="1"/>
      <c r="J1" s="1"/>
      <c r="K1" s="1"/>
      <c r="L1" s="1"/>
      <c r="M1" s="1"/>
      <c r="N1" s="1"/>
      <c r="O1" s="1"/>
      <c r="P1" s="1"/>
      <c r="Q1" s="1"/>
      <c r="R1" s="1"/>
    </row>
    <row r="2" customHeight="1" spans="1:24">
      <c r="A2" s="17" t="s">
        <v>460</v>
      </c>
      <c r="B2" s="17"/>
      <c r="C2" s="5">
        <f>$M$2+$K$2-$L$2</f>
        <v>1804897457.51</v>
      </c>
      <c r="D2" s="17" t="s">
        <v>461</v>
      </c>
      <c r="E2" s="17"/>
      <c r="F2" s="18">
        <f>COUNTIF($U$5:$U$3015,"跨期")</f>
        <v>2</v>
      </c>
      <c r="G2" s="17" t="s">
        <v>462</v>
      </c>
      <c r="H2" s="17"/>
      <c r="I2" s="18">
        <f>COUNT($B$5:$B$3032)</f>
        <v>673</v>
      </c>
      <c r="J2" s="16" t="s">
        <v>463</v>
      </c>
      <c r="K2" s="59">
        <f>SUBTOTAL(109,$K$5:$K$3032)</f>
        <v>15241708.75</v>
      </c>
      <c r="L2" s="59">
        <f>SUBTOTAL(109,$L$5:$L$3032)</f>
        <v>9937223.15000001</v>
      </c>
      <c r="M2" s="59">
        <f>SUBTOTAL(109,$M$5:$M$3015)</f>
        <v>1799592971.91</v>
      </c>
    </row>
    <row r="3" ht="51.75" customHeight="1" spans="1:24">
      <c r="A3" s="33" t="s">
        <v>464</v>
      </c>
      <c r="B3" s="33"/>
      <c r="C3" s="33"/>
      <c r="D3" s="33"/>
      <c r="E3" s="33"/>
      <c r="F3" s="33"/>
      <c r="G3" s="33"/>
      <c r="H3" s="33"/>
      <c r="I3" s="33"/>
      <c r="J3" s="33"/>
      <c r="K3" s="33"/>
      <c r="L3" s="33"/>
      <c r="M3" s="33"/>
      <c r="N3" s="33"/>
      <c r="O3" s="33"/>
      <c r="P3" s="33"/>
      <c r="Q3" s="33"/>
      <c r="R3" s="33"/>
    </row>
    <row r="4" ht="42" customHeight="1" spans="1:24">
      <c r="A4" s="22" t="s">
        <v>393</v>
      </c>
      <c r="B4" s="22" t="s">
        <v>465</v>
      </c>
      <c r="C4" s="22" t="s">
        <v>466</v>
      </c>
      <c r="D4" s="22" t="s">
        <v>467</v>
      </c>
      <c r="E4" s="22" t="s">
        <v>468</v>
      </c>
      <c r="F4" s="22" t="s">
        <v>62</v>
      </c>
      <c r="G4" s="22" t="s">
        <v>67</v>
      </c>
      <c r="H4" s="22" t="s">
        <v>69</v>
      </c>
      <c r="I4" s="22" t="s">
        <v>70</v>
      </c>
      <c r="J4" s="22" t="s">
        <v>469</v>
      </c>
      <c r="K4" s="22" t="s">
        <v>470</v>
      </c>
      <c r="L4" s="22" t="s">
        <v>471</v>
      </c>
      <c r="M4" s="60" t="s">
        <v>472</v>
      </c>
      <c r="N4" s="22" t="s">
        <v>63</v>
      </c>
      <c r="O4" s="22" t="s">
        <v>72</v>
      </c>
      <c r="P4" s="22" t="s">
        <v>473</v>
      </c>
      <c r="Q4" s="22" t="s">
        <v>474</v>
      </c>
      <c r="R4" s="22" t="s">
        <v>408</v>
      </c>
      <c r="S4" s="61" t="s">
        <v>475</v>
      </c>
      <c r="T4" s="61" t="s">
        <v>476</v>
      </c>
      <c r="U4" s="61" t="s">
        <v>477</v>
      </c>
      <c r="V4" s="61" t="s">
        <v>478</v>
      </c>
      <c r="W4" s="61" t="s">
        <v>479</v>
      </c>
      <c r="X4" s="61" t="s">
        <v>68</v>
      </c>
    </row>
    <row r="5" spans="1:24">
      <c r="A5" s="58">
        <f>IF($B5="","",COUNTA($B$5:$B5))</f>
        <v>1</v>
      </c>
      <c r="B5" s="53">
        <v>46023</v>
      </c>
      <c r="C5" s="62" t="s">
        <v>80</v>
      </c>
      <c r="D5" s="63" t="str">
        <f>IFERROR(INDEX(基础资料!$F$4:$F$23,MATCH($C5,基础资料!$E$4:$E$23,0)),IF($C5="","","未匹配账户"))</f>
        <v>双思威</v>
      </c>
      <c r="E5" s="39" t="s">
        <v>480</v>
      </c>
      <c r="F5" s="10"/>
      <c r="G5" s="10"/>
      <c r="H5" s="10"/>
      <c r="I5" s="10"/>
      <c r="J5" s="46" t="s">
        <v>480</v>
      </c>
      <c r="K5" s="25"/>
      <c r="L5" s="25"/>
      <c r="M5" s="64">
        <v>857870.23</v>
      </c>
      <c r="N5" s="10"/>
      <c r="O5" s="10"/>
      <c r="P5" s="65"/>
      <c r="Q5" s="46"/>
      <c r="R5" s="46" t="s">
        <v>481</v>
      </c>
      <c r="S5" s="54">
        <f>IF($B5="","",--TEXT($B5,"yyyymm"))</f>
        <v>202601</v>
      </c>
      <c r="T5" s="54">
        <f>IF($B5="","",IF($P5="",$S5,IFERROR($P5*1,$P5)))</f>
        <v>202601</v>
      </c>
      <c r="U5" s="58" t="str">
        <f>IF($B5="","",IF($T5=$S5,"","跨期"))</f>
        <v/>
      </c>
      <c r="V5" s="58">
        <f>IF(AND($B5&lt;&gt;"",$F5&lt;&gt;"",$F5=项目明细账!$C$2),N(V4)+1,N(V4))</f>
        <v>0</v>
      </c>
      <c r="W5" s="63" t="str">
        <f>IF($H5&lt;&gt;"","项目成本",IFERROR(INDEX(基础资料!$W$4:$W$49,MATCH($I5,基础资料!$V$4:$V$49,0)),""))</f>
        <v/>
      </c>
      <c r="X5" s="63" t="str">
        <f>IFERROR(INDEX(基础资料!$R$4:$R$17,MATCH($G5,基础资料!$Q$4:$Q$17,0)),"")</f>
        <v/>
      </c>
    </row>
    <row r="6" spans="1:24">
      <c r="A6" s="58">
        <f>IF($B6="","",COUNTA($B$5:$B6))</f>
        <v>2</v>
      </c>
      <c r="B6" s="53">
        <v>46023</v>
      </c>
      <c r="C6" s="46" t="s">
        <v>99</v>
      </c>
      <c r="D6" s="63" t="str">
        <f>IFERROR(INDEX(基础资料!$F$4:$F$23,MATCH($C6,基础资料!$E$4:$E$23,0)),IF($C6="","","未匹配账户"))</f>
        <v>双思威</v>
      </c>
      <c r="E6" s="39" t="s">
        <v>480</v>
      </c>
      <c r="F6" s="10"/>
      <c r="G6" s="10"/>
      <c r="H6" s="10"/>
      <c r="I6" s="10"/>
      <c r="J6" s="46" t="s">
        <v>480</v>
      </c>
      <c r="K6" s="25"/>
      <c r="L6" s="25"/>
      <c r="M6" s="64">
        <v>996321.15</v>
      </c>
      <c r="N6" s="10"/>
      <c r="O6" s="10"/>
      <c r="P6" s="65"/>
      <c r="Q6" s="46"/>
      <c r="R6" s="46" t="s">
        <v>481</v>
      </c>
      <c r="S6" s="54">
        <f t="shared" ref="S6:S69" si="0">IF($B6="","",--TEXT($B6,"yyyymm"))</f>
        <v>202601</v>
      </c>
      <c r="T6" s="54">
        <f t="shared" ref="T6:T69" si="1">IF($B6="","",IF($P6="",$S6,IFERROR($P6*1,$P6)))</f>
        <v>202601</v>
      </c>
      <c r="U6" s="58" t="str">
        <f t="shared" ref="U6:U69" si="2">IF($B6="","",IF($T6=$S6,"","跨期"))</f>
        <v/>
      </c>
      <c r="V6" s="58">
        <f>IF(AND($B6&lt;&gt;"",$F6&lt;&gt;"",$F6=项目明细账!$C$2),N(V5)+1,N(V5))</f>
        <v>0</v>
      </c>
      <c r="W6" s="63" t="str">
        <f>IF($H6&lt;&gt;"","项目成本",IFERROR(INDEX(基础资料!$W$4:$W$49,MATCH($I6,基础资料!$V$4:$V$49,0)),""))</f>
        <v/>
      </c>
      <c r="X6" s="63" t="str">
        <f>IFERROR(INDEX(基础资料!$R$4:$R$17,MATCH($G6,基础资料!$Q$4:$Q$17,0)),"")</f>
        <v/>
      </c>
    </row>
    <row r="7" spans="1:24">
      <c r="A7" s="58">
        <f>IF($B7="","",COUNTA($B$5:$B7))</f>
        <v>3</v>
      </c>
      <c r="B7" s="53">
        <v>46023</v>
      </c>
      <c r="C7" s="46" t="s">
        <v>114</v>
      </c>
      <c r="D7" s="63" t="str">
        <f>IFERROR(INDEX(基础资料!$F$4:$F$23,MATCH($C7,基础资料!$E$4:$E$23,0)),IF($C7="","","未匹配账户"))</f>
        <v>晨拓</v>
      </c>
      <c r="E7" s="39" t="s">
        <v>480</v>
      </c>
      <c r="F7" s="10"/>
      <c r="G7" s="10"/>
      <c r="H7" s="10"/>
      <c r="I7" s="10"/>
      <c r="J7" s="46" t="s">
        <v>480</v>
      </c>
      <c r="K7" s="25"/>
      <c r="L7" s="25"/>
      <c r="M7" s="64">
        <v>1695593.5</v>
      </c>
      <c r="N7" s="10"/>
      <c r="O7" s="10"/>
      <c r="P7" s="65"/>
      <c r="Q7" s="46"/>
      <c r="R7" s="46" t="s">
        <v>481</v>
      </c>
      <c r="S7" s="54">
        <f t="shared" si="0"/>
        <v>202601</v>
      </c>
      <c r="T7" s="54">
        <f t="shared" si="1"/>
        <v>202601</v>
      </c>
      <c r="U7" s="58" t="str">
        <f t="shared" si="2"/>
        <v/>
      </c>
      <c r="V7" s="58">
        <f>IF(AND($B7&lt;&gt;"",$F7&lt;&gt;"",$F7=项目明细账!$C$2),N(V6)+1,N(V6))</f>
        <v>0</v>
      </c>
      <c r="W7" s="63" t="str">
        <f>IF($H7&lt;&gt;"","项目成本",IFERROR(INDEX(基础资料!$W$4:$W$49,MATCH($I7,基础资料!$V$4:$V$49,0)),""))</f>
        <v/>
      </c>
      <c r="X7" s="63" t="str">
        <f>IFERROR(INDEX(基础资料!$R$4:$R$17,MATCH($G7,基础资料!$Q$4:$Q$17,0)),"")</f>
        <v/>
      </c>
    </row>
    <row r="8" spans="1:24">
      <c r="A8" s="58">
        <f>IF($B8="","",COUNTA($B$5:$B8))</f>
        <v>4</v>
      </c>
      <c r="B8" s="53">
        <v>46023</v>
      </c>
      <c r="C8" s="46" t="s">
        <v>126</v>
      </c>
      <c r="D8" s="63" t="str">
        <f>IFERROR(INDEX(基础资料!$F$4:$F$23,MATCH($C8,基础资料!$E$4:$E$23,0)),IF($C8="","","未匹配账户"))</f>
        <v>元界极光</v>
      </c>
      <c r="E8" s="39" t="s">
        <v>480</v>
      </c>
      <c r="F8" s="10"/>
      <c r="G8" s="10"/>
      <c r="H8" s="10"/>
      <c r="I8" s="10"/>
      <c r="J8" s="46" t="s">
        <v>480</v>
      </c>
      <c r="K8" s="25"/>
      <c r="L8" s="25"/>
      <c r="M8" s="64">
        <v>450747.19</v>
      </c>
      <c r="N8" s="10"/>
      <c r="O8" s="10"/>
      <c r="P8" s="65"/>
      <c r="Q8" s="46"/>
      <c r="R8" s="46" t="s">
        <v>481</v>
      </c>
      <c r="S8" s="54">
        <f t="shared" si="0"/>
        <v>202601</v>
      </c>
      <c r="T8" s="54">
        <f t="shared" si="1"/>
        <v>202601</v>
      </c>
      <c r="U8" s="58" t="str">
        <f t="shared" si="2"/>
        <v/>
      </c>
      <c r="V8" s="58">
        <f>IF(AND($B8&lt;&gt;"",$F8&lt;&gt;"",$F8=项目明细账!$C$2),N(V7)+1,N(V7))</f>
        <v>0</v>
      </c>
      <c r="W8" s="63" t="str">
        <f>IF($H8&lt;&gt;"","项目成本",IFERROR(INDEX(基础资料!$W$4:$W$49,MATCH($I8,基础资料!$V$4:$V$49,0)),""))</f>
        <v/>
      </c>
      <c r="X8" s="63" t="str">
        <f>IFERROR(INDEX(基础资料!$R$4:$R$17,MATCH($G8,基础资料!$Q$4:$Q$17,0)),"")</f>
        <v/>
      </c>
    </row>
    <row r="9" spans="1:24">
      <c r="A9" s="58">
        <f>IF($B9="","",COUNTA($B$5:$B9))</f>
        <v>5</v>
      </c>
      <c r="B9" s="53">
        <v>46023</v>
      </c>
      <c r="C9" s="46" t="s">
        <v>140</v>
      </c>
      <c r="D9" s="63" t="str">
        <f>IFERROR(INDEX(基础资料!$F$4:$F$23,MATCH($C9,基础资料!$E$4:$E$23,0)),IF($C9="","","未匹配账户"))</f>
        <v>元界极光</v>
      </c>
      <c r="E9" s="39" t="s">
        <v>480</v>
      </c>
      <c r="F9" s="10"/>
      <c r="G9" s="10"/>
      <c r="H9" s="10"/>
      <c r="I9" s="10"/>
      <c r="J9" s="46" t="s">
        <v>480</v>
      </c>
      <c r="K9" s="25"/>
      <c r="L9" s="25"/>
      <c r="M9" s="64">
        <v>200010.67</v>
      </c>
      <c r="N9" s="10"/>
      <c r="O9" s="10"/>
      <c r="P9" s="65"/>
      <c r="Q9" s="46"/>
      <c r="R9" s="46" t="s">
        <v>481</v>
      </c>
      <c r="S9" s="54">
        <f t="shared" si="0"/>
        <v>202601</v>
      </c>
      <c r="T9" s="54">
        <f t="shared" si="1"/>
        <v>202601</v>
      </c>
      <c r="U9" s="58" t="str">
        <f t="shared" si="2"/>
        <v/>
      </c>
      <c r="V9" s="58">
        <f>IF(AND($B9&lt;&gt;"",$F9&lt;&gt;"",$F9=项目明细账!$C$2),N(V8)+1,N(V8))</f>
        <v>0</v>
      </c>
      <c r="W9" s="63" t="str">
        <f>IF($H9&lt;&gt;"","项目成本",IFERROR(INDEX(基础资料!$W$4:$W$49,MATCH($I9,基础资料!$V$4:$V$49,0)),""))</f>
        <v/>
      </c>
      <c r="X9" s="63" t="str">
        <f>IFERROR(INDEX(基础资料!$R$4:$R$17,MATCH($G9,基础资料!$Q$4:$Q$17,0)),"")</f>
        <v/>
      </c>
    </row>
    <row r="10" spans="1:24">
      <c r="A10" s="58">
        <f>IF($B10="","",COUNTA($B$5:$B10))</f>
        <v>6</v>
      </c>
      <c r="B10" s="53">
        <v>46023</v>
      </c>
      <c r="C10" s="46" t="s">
        <v>150</v>
      </c>
      <c r="D10" s="63" t="str">
        <f>IFERROR(INDEX(基础资料!$F$4:$F$23,MATCH($C10,基础资料!$E$4:$E$23,0)),IF($C10="","","未匹配账户"))</f>
        <v>瑞盛天</v>
      </c>
      <c r="E10" s="39" t="s">
        <v>480</v>
      </c>
      <c r="F10" s="10"/>
      <c r="G10" s="10"/>
      <c r="H10" s="10"/>
      <c r="I10" s="10"/>
      <c r="J10" s="46" t="s">
        <v>480</v>
      </c>
      <c r="K10" s="25"/>
      <c r="L10" s="25"/>
      <c r="M10" s="64">
        <v>1332384.19</v>
      </c>
      <c r="N10" s="10"/>
      <c r="O10" s="10"/>
      <c r="P10" s="65"/>
      <c r="Q10" s="46"/>
      <c r="R10" s="46" t="s">
        <v>481</v>
      </c>
      <c r="S10" s="54">
        <f t="shared" si="0"/>
        <v>202601</v>
      </c>
      <c r="T10" s="54">
        <f t="shared" si="1"/>
        <v>202601</v>
      </c>
      <c r="U10" s="58" t="str">
        <f t="shared" si="2"/>
        <v/>
      </c>
      <c r="V10" s="58">
        <f>IF(AND($B10&lt;&gt;"",$F10&lt;&gt;"",$F10=项目明细账!$C$2),N(V9)+1,N(V9))</f>
        <v>0</v>
      </c>
      <c r="W10" s="63" t="str">
        <f>IF($H10&lt;&gt;"","项目成本",IFERROR(INDEX(基础资料!$W$4:$W$49,MATCH($I10,基础资料!$V$4:$V$49,0)),""))</f>
        <v/>
      </c>
      <c r="X10" s="63" t="str">
        <f>IFERROR(INDEX(基础资料!$R$4:$R$17,MATCH($G10,基础资料!$Q$4:$Q$17,0)),"")</f>
        <v/>
      </c>
    </row>
    <row r="11" spans="1:24">
      <c r="A11" s="58">
        <f>IF($B11="","",COUNTA($B$5:$B11))</f>
        <v>7</v>
      </c>
      <c r="B11" s="53">
        <v>46023</v>
      </c>
      <c r="C11" s="46" t="s">
        <v>158</v>
      </c>
      <c r="D11" s="63" t="str">
        <f>IFERROR(INDEX(基础资料!$F$4:$F$23,MATCH($C11,基础资料!$E$4:$E$23,0)),IF($C11="","","未匹配账户"))</f>
        <v>瑞盛天</v>
      </c>
      <c r="E11" s="39" t="s">
        <v>480</v>
      </c>
      <c r="F11" s="10"/>
      <c r="G11" s="10"/>
      <c r="H11" s="10"/>
      <c r="I11" s="10"/>
      <c r="J11" s="46" t="s">
        <v>480</v>
      </c>
      <c r="K11" s="25"/>
      <c r="L11" s="25"/>
      <c r="M11" s="64">
        <v>201465.55</v>
      </c>
      <c r="N11" s="10"/>
      <c r="O11" s="10"/>
      <c r="P11" s="65"/>
      <c r="Q11" s="46"/>
      <c r="R11" s="46" t="s">
        <v>481</v>
      </c>
      <c r="S11" s="54">
        <f t="shared" si="0"/>
        <v>202601</v>
      </c>
      <c r="T11" s="54">
        <f t="shared" si="1"/>
        <v>202601</v>
      </c>
      <c r="U11" s="58" t="str">
        <f t="shared" si="2"/>
        <v/>
      </c>
      <c r="V11" s="58">
        <f>IF(AND($B11&lt;&gt;"",$F11&lt;&gt;"",$F11=项目明细账!$C$2),N(V10)+1,N(V10))</f>
        <v>0</v>
      </c>
      <c r="W11" s="63" t="str">
        <f>IF($H11&lt;&gt;"","项目成本",IFERROR(INDEX(基础资料!$W$4:$W$49,MATCH($I11,基础资料!$V$4:$V$49,0)),""))</f>
        <v/>
      </c>
      <c r="X11" s="63" t="str">
        <f>IFERROR(INDEX(基础资料!$R$4:$R$17,MATCH($G11,基础资料!$Q$4:$Q$17,0)),"")</f>
        <v/>
      </c>
    </row>
    <row r="12" spans="1:24">
      <c r="A12" s="58">
        <f>IF($B12="","",COUNTA($B$5:$B12))</f>
        <v>8</v>
      </c>
      <c r="B12" s="53">
        <v>46023</v>
      </c>
      <c r="C12" s="46" t="s">
        <v>169</v>
      </c>
      <c r="D12" s="63" t="str">
        <f>IFERROR(INDEX(基础资料!$F$4:$F$23,MATCH($C12,基础资料!$E$4:$E$23,0)),IF($C12="","","未匹配账户"))</f>
        <v>中展</v>
      </c>
      <c r="E12" s="39" t="s">
        <v>480</v>
      </c>
      <c r="F12" s="10"/>
      <c r="G12" s="10"/>
      <c r="H12" s="10"/>
      <c r="I12" s="10"/>
      <c r="J12" s="46" t="s">
        <v>480</v>
      </c>
      <c r="K12" s="25"/>
      <c r="L12" s="25"/>
      <c r="M12" s="64">
        <v>237547.75</v>
      </c>
      <c r="N12" s="10"/>
      <c r="O12" s="10"/>
      <c r="P12" s="65"/>
      <c r="Q12" s="46"/>
      <c r="R12" s="46" t="s">
        <v>481</v>
      </c>
      <c r="S12" s="54">
        <f t="shared" si="0"/>
        <v>202601</v>
      </c>
      <c r="T12" s="54">
        <f t="shared" si="1"/>
        <v>202601</v>
      </c>
      <c r="U12" s="58" t="str">
        <f t="shared" si="2"/>
        <v/>
      </c>
      <c r="V12" s="58">
        <f>IF(AND($B12&lt;&gt;"",$F12&lt;&gt;"",$F12=项目明细账!$C$2),N(V11)+1,N(V11))</f>
        <v>0</v>
      </c>
      <c r="W12" s="63" t="str">
        <f>IF($H12&lt;&gt;"","项目成本",IFERROR(INDEX(基础资料!$W$4:$W$49,MATCH($I12,基础资料!$V$4:$V$49,0)),""))</f>
        <v/>
      </c>
      <c r="X12" s="63" t="str">
        <f>IFERROR(INDEX(基础资料!$R$4:$R$17,MATCH($G12,基础资料!$Q$4:$Q$17,0)),"")</f>
        <v/>
      </c>
    </row>
    <row r="13" spans="1:24">
      <c r="A13" s="58">
        <f>IF($B13="","",COUNTA($B$5:$B13))</f>
        <v>9</v>
      </c>
      <c r="B13" s="53">
        <v>46050</v>
      </c>
      <c r="C13" s="46" t="s">
        <v>179</v>
      </c>
      <c r="D13" s="63" t="str">
        <f>IFERROR(INDEX(基础资料!$F$4:$F$23,MATCH($C13,基础资料!$E$4:$E$23,0)),IF($C13="","","未匹配账户"))</f>
        <v>中展</v>
      </c>
      <c r="E13" s="39" t="s">
        <v>480</v>
      </c>
      <c r="F13" s="10"/>
      <c r="G13" s="10"/>
      <c r="H13" s="10"/>
      <c r="I13" s="10"/>
      <c r="J13" s="46" t="s">
        <v>480</v>
      </c>
      <c r="K13" s="25"/>
      <c r="L13" s="25"/>
      <c r="M13" s="64">
        <v>100000</v>
      </c>
      <c r="N13" s="10"/>
      <c r="O13" s="10"/>
      <c r="P13" s="65"/>
      <c r="Q13" s="46"/>
      <c r="R13" s="46" t="s">
        <v>481</v>
      </c>
      <c r="S13" s="54">
        <f t="shared" si="0"/>
        <v>202601</v>
      </c>
      <c r="T13" s="54">
        <f t="shared" si="1"/>
        <v>202601</v>
      </c>
      <c r="U13" s="58" t="str">
        <f t="shared" si="2"/>
        <v/>
      </c>
      <c r="V13" s="58">
        <f>IF(AND($B13&lt;&gt;"",$F13&lt;&gt;"",$F13=项目明细账!$C$2),N(V12)+1,N(V12))</f>
        <v>0</v>
      </c>
      <c r="W13" s="63" t="str">
        <f>IF($H13&lt;&gt;"","项目成本",IFERROR(INDEX(基础资料!$W$4:$W$49,MATCH($I13,基础资料!$V$4:$V$49,0)),""))</f>
        <v/>
      </c>
      <c r="X13" s="63" t="str">
        <f>IFERROR(INDEX(基础资料!$R$4:$R$17,MATCH($G13,基础资料!$Q$4:$Q$17,0)),"")</f>
        <v/>
      </c>
    </row>
    <row r="14" spans="1:24">
      <c r="A14" s="58">
        <f>IF($B14="","",COUNTA($B$5:$B14))</f>
        <v>10</v>
      </c>
      <c r="B14" s="53">
        <v>46023</v>
      </c>
      <c r="C14" s="46" t="s">
        <v>197</v>
      </c>
      <c r="D14" s="63" t="str">
        <f>IFERROR(INDEX(基础资料!$F$4:$F$23,MATCH($C14,基础资料!$E$4:$E$23,0)),IF($C14="","","未匹配账户"))</f>
        <v>卓卓通</v>
      </c>
      <c r="E14" s="39" t="s">
        <v>480</v>
      </c>
      <c r="F14" s="10"/>
      <c r="G14" s="10"/>
      <c r="H14" s="10"/>
      <c r="I14" s="10"/>
      <c r="J14" s="46" t="s">
        <v>480</v>
      </c>
      <c r="K14" s="25"/>
      <c r="L14" s="25"/>
      <c r="M14" s="64">
        <v>283669.65</v>
      </c>
      <c r="N14" s="10"/>
      <c r="O14" s="10"/>
      <c r="P14" s="65"/>
      <c r="Q14" s="46"/>
      <c r="R14" s="46" t="s">
        <v>481</v>
      </c>
      <c r="S14" s="54">
        <f t="shared" si="0"/>
        <v>202601</v>
      </c>
      <c r="T14" s="54">
        <f t="shared" si="1"/>
        <v>202601</v>
      </c>
      <c r="U14" s="58" t="str">
        <f t="shared" si="2"/>
        <v/>
      </c>
      <c r="V14" s="58">
        <f>IF(AND($B14&lt;&gt;"",$F14&lt;&gt;"",$F14=项目明细账!$C$2),N(V13)+1,N(V13))</f>
        <v>0</v>
      </c>
      <c r="W14" s="63" t="str">
        <f>IF($H14&lt;&gt;"","项目成本",IFERROR(INDEX(基础资料!$W$4:$W$49,MATCH($I14,基础资料!$V$4:$V$49,0)),""))</f>
        <v/>
      </c>
      <c r="X14" s="63" t="str">
        <f>IFERROR(INDEX(基础资料!$R$4:$R$17,MATCH($G14,基础资料!$Q$4:$Q$17,0)),"")</f>
        <v/>
      </c>
    </row>
    <row r="15" spans="1:24">
      <c r="A15" s="58">
        <f>IF($B15="","",COUNTA($B$5:$B15))</f>
        <v>11</v>
      </c>
      <c r="B15" s="53">
        <v>46023</v>
      </c>
      <c r="C15" s="46" t="s">
        <v>204</v>
      </c>
      <c r="D15" s="63" t="str">
        <f>IFERROR(INDEX(基础资料!$F$4:$F$23,MATCH($C15,基础资料!$E$4:$E$23,0)),IF($C15="","","未匹配账户"))</f>
        <v>财兴通</v>
      </c>
      <c r="E15" s="39" t="s">
        <v>480</v>
      </c>
      <c r="F15" s="10"/>
      <c r="G15" s="10"/>
      <c r="H15" s="10"/>
      <c r="I15" s="10"/>
      <c r="J15" s="46" t="s">
        <v>480</v>
      </c>
      <c r="K15" s="25"/>
      <c r="L15" s="25"/>
      <c r="M15" s="64">
        <v>174172.53</v>
      </c>
      <c r="N15" s="10"/>
      <c r="O15" s="10"/>
      <c r="P15" s="65"/>
      <c r="Q15" s="46"/>
      <c r="R15" s="46" t="s">
        <v>481</v>
      </c>
      <c r="S15" s="54">
        <f t="shared" si="0"/>
        <v>202601</v>
      </c>
      <c r="T15" s="54">
        <f t="shared" si="1"/>
        <v>202601</v>
      </c>
      <c r="U15" s="58" t="str">
        <f t="shared" si="2"/>
        <v/>
      </c>
      <c r="V15" s="58">
        <f>IF(AND($B15&lt;&gt;"",$F15&lt;&gt;"",$F15=项目明细账!$C$2),N(V14)+1,N(V14))</f>
        <v>0</v>
      </c>
      <c r="W15" s="63" t="str">
        <f>IF($H15&lt;&gt;"","项目成本",IFERROR(INDEX(基础资料!$W$4:$W$49,MATCH($I15,基础资料!$V$4:$V$49,0)),""))</f>
        <v/>
      </c>
      <c r="X15" s="63" t="str">
        <f>IFERROR(INDEX(基础资料!$R$4:$R$17,MATCH($G15,基础资料!$Q$4:$Q$17,0)),"")</f>
        <v/>
      </c>
    </row>
    <row r="16" spans="1:24">
      <c r="A16" s="58">
        <f>IF($B16="","",COUNTA($B$5:$B16))</f>
        <v>12</v>
      </c>
      <c r="B16" s="53">
        <v>46023</v>
      </c>
      <c r="C16" s="46" t="s">
        <v>211</v>
      </c>
      <c r="D16" s="63" t="str">
        <f>IFERROR(INDEX(基础资料!$F$4:$F$23,MATCH($C16,基础资料!$E$4:$E$23,0)),IF($C16="","","未匹配账户"))</f>
        <v>鑫海特</v>
      </c>
      <c r="E16" s="39" t="s">
        <v>480</v>
      </c>
      <c r="F16" s="10"/>
      <c r="G16" s="10"/>
      <c r="H16" s="10"/>
      <c r="I16" s="10"/>
      <c r="J16" s="46" t="s">
        <v>480</v>
      </c>
      <c r="K16" s="25"/>
      <c r="L16" s="25"/>
      <c r="M16" s="64">
        <v>3110.37</v>
      </c>
      <c r="N16" s="10"/>
      <c r="O16" s="10"/>
      <c r="P16" s="65"/>
      <c r="Q16" s="46"/>
      <c r="R16" s="46" t="s">
        <v>481</v>
      </c>
      <c r="S16" s="54">
        <f t="shared" si="0"/>
        <v>202601</v>
      </c>
      <c r="T16" s="54">
        <f t="shared" si="1"/>
        <v>202601</v>
      </c>
      <c r="U16" s="58" t="str">
        <f t="shared" si="2"/>
        <v/>
      </c>
      <c r="V16" s="58">
        <f>IF(AND($B16&lt;&gt;"",$F16&lt;&gt;"",$F16=项目明细账!$C$2),N(V15)+1,N(V15))</f>
        <v>0</v>
      </c>
      <c r="W16" s="63" t="str">
        <f>IF($H16&lt;&gt;"","项目成本",IFERROR(INDEX(基础资料!$W$4:$W$49,MATCH($I16,基础资料!$V$4:$V$49,0)),""))</f>
        <v/>
      </c>
      <c r="X16" s="63" t="str">
        <f>IFERROR(INDEX(基础资料!$R$4:$R$17,MATCH($G16,基础资料!$Q$4:$Q$17,0)),"")</f>
        <v/>
      </c>
    </row>
    <row r="17" spans="1:24">
      <c r="A17" s="58">
        <f>IF($B17="","",COUNTA($B$5:$B17))</f>
        <v>13</v>
      </c>
      <c r="B17" s="53">
        <v>46023</v>
      </c>
      <c r="C17" s="46" t="s">
        <v>217</v>
      </c>
      <c r="D17" s="63" t="str">
        <f>IFERROR(INDEX(基础资料!$F$4:$F$23,MATCH($C17,基础资料!$E$4:$E$23,0)),IF($C17="","","未匹配账户"))</f>
        <v>鸿禧</v>
      </c>
      <c r="E17" s="39" t="s">
        <v>480</v>
      </c>
      <c r="F17" s="10"/>
      <c r="G17" s="10"/>
      <c r="H17" s="10"/>
      <c r="I17" s="10"/>
      <c r="J17" s="46" t="s">
        <v>480</v>
      </c>
      <c r="K17" s="25"/>
      <c r="L17" s="25"/>
      <c r="M17" s="64">
        <v>65594.13</v>
      </c>
      <c r="N17" s="10"/>
      <c r="O17" s="10"/>
      <c r="P17" s="65"/>
      <c r="Q17" s="46"/>
      <c r="R17" s="46" t="s">
        <v>481</v>
      </c>
      <c r="S17" s="54">
        <f t="shared" si="0"/>
        <v>202601</v>
      </c>
      <c r="T17" s="54">
        <f t="shared" si="1"/>
        <v>202601</v>
      </c>
      <c r="U17" s="58" t="str">
        <f t="shared" si="2"/>
        <v/>
      </c>
      <c r="V17" s="58">
        <f>IF(AND($B17&lt;&gt;"",$F17&lt;&gt;"",$F17=项目明细账!$C$2),N(V16)+1,N(V16))</f>
        <v>0</v>
      </c>
      <c r="W17" s="63" t="str">
        <f>IF($H17&lt;&gt;"","项目成本",IFERROR(INDEX(基础资料!$W$4:$W$49,MATCH($I17,基础资料!$V$4:$V$49,0)),""))</f>
        <v/>
      </c>
      <c r="X17" s="63" t="str">
        <f>IFERROR(INDEX(基础资料!$R$4:$R$17,MATCH($G17,基础资料!$Q$4:$Q$17,0)),"")</f>
        <v/>
      </c>
    </row>
    <row r="18" spans="1:24">
      <c r="A18" s="58">
        <f>IF($B18="","",COUNTA($B$5:$B18))</f>
        <v>14</v>
      </c>
      <c r="B18" s="53">
        <v>46128</v>
      </c>
      <c r="C18" s="46" t="s">
        <v>222</v>
      </c>
      <c r="D18" s="63" t="str">
        <f>IFERROR(INDEX(基础资料!$F$4:$F$23,MATCH($C18,基础资料!$E$4:$E$23,0)),IF($C18="","","未匹配账户"))</f>
        <v>元界启辰</v>
      </c>
      <c r="E18" s="39" t="s">
        <v>480</v>
      </c>
      <c r="F18" s="10"/>
      <c r="G18" s="10"/>
      <c r="H18" s="10"/>
      <c r="I18" s="10"/>
      <c r="J18" s="46" t="s">
        <v>480</v>
      </c>
      <c r="K18" s="25"/>
      <c r="L18" s="25"/>
      <c r="M18" s="64">
        <v>0</v>
      </c>
      <c r="N18" s="10"/>
      <c r="O18" s="10"/>
      <c r="P18" s="65"/>
      <c r="Q18" s="46"/>
      <c r="R18" s="46" t="s">
        <v>481</v>
      </c>
      <c r="S18" s="54">
        <f t="shared" si="0"/>
        <v>202604</v>
      </c>
      <c r="T18" s="54">
        <f t="shared" si="1"/>
        <v>202604</v>
      </c>
      <c r="U18" s="58" t="str">
        <f t="shared" si="2"/>
        <v/>
      </c>
      <c r="V18" s="58">
        <f>IF(AND($B18&lt;&gt;"",$F18&lt;&gt;"",$F18=项目明细账!$C$2),N(V17)+1,N(V17))</f>
        <v>0</v>
      </c>
      <c r="W18" s="63" t="str">
        <f>IF($H18&lt;&gt;"","项目成本",IFERROR(INDEX(基础资料!$W$4:$W$49,MATCH($I18,基础资料!$V$4:$V$49,0)),""))</f>
        <v/>
      </c>
      <c r="X18" s="63" t="str">
        <f>IFERROR(INDEX(基础资料!$R$4:$R$17,MATCH($G18,基础资料!$Q$4:$Q$17,0)),"")</f>
        <v/>
      </c>
    </row>
    <row r="19" spans="1:24">
      <c r="A19" s="58">
        <f>IF($B19="","",COUNTA($B$5:$B19))</f>
        <v>15</v>
      </c>
      <c r="B19" s="53">
        <v>46129</v>
      </c>
      <c r="C19" s="46" t="s">
        <v>227</v>
      </c>
      <c r="D19" s="63" t="str">
        <f>IFERROR(INDEX(基础资料!$F$4:$F$23,MATCH($C19,基础资料!$E$4:$E$23,0)),IF($C19="","","未匹配账户"))</f>
        <v>锐思维度</v>
      </c>
      <c r="E19" s="39" t="s">
        <v>480</v>
      </c>
      <c r="F19" s="10"/>
      <c r="G19" s="10"/>
      <c r="H19" s="10"/>
      <c r="I19" s="10"/>
      <c r="J19" s="46" t="s">
        <v>480</v>
      </c>
      <c r="K19" s="25"/>
      <c r="L19" s="25"/>
      <c r="M19" s="64">
        <v>0</v>
      </c>
      <c r="N19" s="10"/>
      <c r="O19" s="10"/>
      <c r="P19" s="65"/>
      <c r="Q19" s="46"/>
      <c r="R19" s="46" t="s">
        <v>481</v>
      </c>
      <c r="S19" s="54">
        <f t="shared" si="0"/>
        <v>202604</v>
      </c>
      <c r="T19" s="54">
        <f t="shared" si="1"/>
        <v>202604</v>
      </c>
      <c r="U19" s="58" t="str">
        <f t="shared" si="2"/>
        <v/>
      </c>
      <c r="V19" s="58">
        <f>IF(AND($B19&lt;&gt;"",$F19&lt;&gt;"",$F19=项目明细账!$C$2),N(V18)+1,N(V18))</f>
        <v>0</v>
      </c>
      <c r="W19" s="63" t="str">
        <f>IF($H19&lt;&gt;"","项目成本",IFERROR(INDEX(基础资料!$W$4:$W$49,MATCH($I19,基础资料!$V$4:$V$49,0)),""))</f>
        <v/>
      </c>
      <c r="X19" s="63" t="str">
        <f>IFERROR(INDEX(基础资料!$R$4:$R$17,MATCH($G19,基础资料!$Q$4:$Q$17,0)),"")</f>
        <v/>
      </c>
    </row>
    <row r="20" spans="1:24">
      <c r="A20" s="58">
        <f>IF($B20="","",COUNTA($B$5:$B20))</f>
        <v>16</v>
      </c>
      <c r="B20" s="53">
        <v>46023</v>
      </c>
      <c r="C20" s="46" t="s">
        <v>482</v>
      </c>
      <c r="D20" s="63" t="str">
        <f>IFERROR(INDEX(基础资料!$F$4:$F$23,MATCH($C20,基础资料!$E$4:$E$23,0)),IF($C20="","","未匹配账户"))</f>
        <v>未匹配账户</v>
      </c>
      <c r="E20" s="39" t="s">
        <v>480</v>
      </c>
      <c r="F20" s="10"/>
      <c r="G20" s="10"/>
      <c r="H20" s="10"/>
      <c r="I20" s="10"/>
      <c r="J20" s="46" t="s">
        <v>480</v>
      </c>
      <c r="K20" s="25"/>
      <c r="L20" s="25"/>
      <c r="M20" s="64">
        <v>0</v>
      </c>
      <c r="N20" s="10"/>
      <c r="O20" s="10"/>
      <c r="P20" s="65"/>
      <c r="Q20" s="46"/>
      <c r="R20" s="46" t="s">
        <v>481</v>
      </c>
      <c r="S20" s="54">
        <f t="shared" si="0"/>
        <v>202601</v>
      </c>
      <c r="T20" s="54">
        <f t="shared" si="1"/>
        <v>202601</v>
      </c>
      <c r="U20" s="58" t="str">
        <f t="shared" si="2"/>
        <v/>
      </c>
      <c r="V20" s="58">
        <f>IF(AND($B20&lt;&gt;"",$F20&lt;&gt;"",$F20=项目明细账!$C$2),N(V19)+1,N(V19))</f>
        <v>0</v>
      </c>
      <c r="W20" s="63" t="str">
        <f>IF($H20&lt;&gt;"","项目成本",IFERROR(INDEX(基础资料!$W$4:$W$49,MATCH($I20,基础资料!$V$4:$V$49,0)),""))</f>
        <v/>
      </c>
      <c r="X20" s="63" t="str">
        <f>IFERROR(INDEX(基础资料!$R$4:$R$17,MATCH($G20,基础资料!$Q$4:$Q$17,0)),"")</f>
        <v/>
      </c>
    </row>
    <row r="21" spans="1:24">
      <c r="A21" s="58">
        <f>IF($B21="","",COUNTA($B$5:$B21))</f>
        <v>17</v>
      </c>
      <c r="B21" s="53">
        <v>46023</v>
      </c>
      <c r="C21" s="46" t="s">
        <v>231</v>
      </c>
      <c r="D21" s="63">
        <f>IFERROR(INDEX(基础资料!$F$4:$F$23,MATCH($C21,基础资料!$E$4:$E$23,0)),IF($C21="","","未匹配账户"))</f>
        <v>0</v>
      </c>
      <c r="E21" s="39" t="s">
        <v>480</v>
      </c>
      <c r="F21" s="10"/>
      <c r="G21" s="10"/>
      <c r="H21" s="10"/>
      <c r="I21" s="10"/>
      <c r="J21" s="46" t="s">
        <v>480</v>
      </c>
      <c r="K21" s="25"/>
      <c r="L21" s="25"/>
      <c r="M21" s="64">
        <v>0</v>
      </c>
      <c r="N21" s="10"/>
      <c r="O21" s="10"/>
      <c r="P21" s="65"/>
      <c r="Q21" s="46"/>
      <c r="R21" s="46" t="s">
        <v>481</v>
      </c>
      <c r="S21" s="54">
        <f t="shared" si="0"/>
        <v>202601</v>
      </c>
      <c r="T21" s="54">
        <f t="shared" si="1"/>
        <v>202601</v>
      </c>
      <c r="U21" s="58" t="str">
        <f t="shared" si="2"/>
        <v/>
      </c>
      <c r="V21" s="58">
        <f>IF(AND($B21&lt;&gt;"",$F21&lt;&gt;"",$F21=项目明细账!$C$2),N(V20)+1,N(V20))</f>
        <v>0</v>
      </c>
      <c r="W21" s="63" t="str">
        <f>IF($H21&lt;&gt;"","项目成本",IFERROR(INDEX(基础资料!$W$4:$W$49,MATCH($I21,基础资料!$V$4:$V$49,0)),""))</f>
        <v/>
      </c>
      <c r="X21" s="63" t="str">
        <f>IFERROR(INDEX(基础资料!$R$4:$R$17,MATCH($G21,基础资料!$Q$4:$Q$17,0)),"")</f>
        <v/>
      </c>
    </row>
    <row r="22" spans="1:24">
      <c r="A22" s="58">
        <f>IF($B22="","",COUNTA($B$5:$B22))</f>
        <v>18</v>
      </c>
      <c r="B22" s="53">
        <v>46023</v>
      </c>
      <c r="C22" s="46" t="s">
        <v>235</v>
      </c>
      <c r="D22" s="63">
        <f>IFERROR(INDEX(基础资料!$F$4:$F$23,MATCH($C22,基础资料!$E$4:$E$23,0)),IF($C22="","","未匹配账户"))</f>
        <v>0</v>
      </c>
      <c r="E22" s="39" t="s">
        <v>480</v>
      </c>
      <c r="F22" s="10"/>
      <c r="G22" s="10"/>
      <c r="H22" s="10"/>
      <c r="I22" s="10"/>
      <c r="J22" s="46" t="s">
        <v>480</v>
      </c>
      <c r="K22" s="25"/>
      <c r="L22" s="25"/>
      <c r="M22" s="64">
        <v>0</v>
      </c>
      <c r="N22" s="10"/>
      <c r="O22" s="10"/>
      <c r="P22" s="65"/>
      <c r="Q22" s="46"/>
      <c r="R22" s="46" t="s">
        <v>481</v>
      </c>
      <c r="S22" s="54">
        <f t="shared" si="0"/>
        <v>202601</v>
      </c>
      <c r="T22" s="54">
        <f t="shared" si="1"/>
        <v>202601</v>
      </c>
      <c r="U22" s="58" t="str">
        <f t="shared" si="2"/>
        <v/>
      </c>
      <c r="V22" s="58">
        <f>IF(AND($B22&lt;&gt;"",$F22&lt;&gt;"",$F22=项目明细账!$C$2),N(V21)+1,N(V21))</f>
        <v>0</v>
      </c>
      <c r="W22" s="63" t="str">
        <f>IF($H22&lt;&gt;"","项目成本",IFERROR(INDEX(基础资料!$W$4:$W$49,MATCH($I22,基础资料!$V$4:$V$49,0)),""))</f>
        <v/>
      </c>
      <c r="X22" s="63" t="str">
        <f>IFERROR(INDEX(基础资料!$R$4:$R$17,MATCH($G22,基础资料!$Q$4:$Q$17,0)),"")</f>
        <v/>
      </c>
    </row>
    <row r="23" spans="1:24">
      <c r="A23" s="58">
        <f>IF($B23="","",COUNTA($B$5:$B23))</f>
        <v>19</v>
      </c>
      <c r="B23" s="53">
        <v>46023</v>
      </c>
      <c r="C23" s="46" t="s">
        <v>239</v>
      </c>
      <c r="D23" s="63">
        <f>IFERROR(INDEX(基础资料!$F$4:$F$23,MATCH($C23,基础资料!$E$4:$E$23,0)),IF($C23="","","未匹配账户"))</f>
        <v>0</v>
      </c>
      <c r="E23" s="39" t="s">
        <v>480</v>
      </c>
      <c r="F23" s="10"/>
      <c r="G23" s="10"/>
      <c r="H23" s="10"/>
      <c r="I23" s="10"/>
      <c r="J23" s="46" t="s">
        <v>480</v>
      </c>
      <c r="K23" s="25"/>
      <c r="L23" s="25"/>
      <c r="M23" s="64">
        <v>0</v>
      </c>
      <c r="N23" s="10"/>
      <c r="O23" s="10"/>
      <c r="P23" s="65"/>
      <c r="Q23" s="46"/>
      <c r="R23" s="46" t="s">
        <v>481</v>
      </c>
      <c r="S23" s="54">
        <f t="shared" si="0"/>
        <v>202601</v>
      </c>
      <c r="T23" s="54">
        <f t="shared" si="1"/>
        <v>202601</v>
      </c>
      <c r="U23" s="58" t="str">
        <f t="shared" si="2"/>
        <v/>
      </c>
      <c r="V23" s="58">
        <f>IF(AND($B23&lt;&gt;"",$F23&lt;&gt;"",$F23=项目明细账!$C$2),N(V22)+1,N(V22))</f>
        <v>0</v>
      </c>
      <c r="W23" s="63" t="str">
        <f>IF($H23&lt;&gt;"","项目成本",IFERROR(INDEX(基础资料!$W$4:$W$49,MATCH($I23,基础资料!$V$4:$V$49,0)),""))</f>
        <v/>
      </c>
      <c r="X23" s="63" t="str">
        <f>IFERROR(INDEX(基础资料!$R$4:$R$17,MATCH($G23,基础资料!$Q$4:$Q$17,0)),"")</f>
        <v/>
      </c>
    </row>
    <row r="24" spans="1:24">
      <c r="A24" s="58">
        <f>IF($B24="","",COUNTA($B$5:$B24))</f>
        <v>20</v>
      </c>
      <c r="B24" s="53">
        <v>46023</v>
      </c>
      <c r="C24" s="46" t="s">
        <v>243</v>
      </c>
      <c r="D24" s="63">
        <f>IFERROR(INDEX(基础资料!$F$4:$F$23,MATCH($C24,基础资料!$E$4:$E$23,0)),IF($C24="","","未匹配账户"))</f>
        <v>0</v>
      </c>
      <c r="E24" s="39" t="s">
        <v>480</v>
      </c>
      <c r="F24" s="10"/>
      <c r="G24" s="10"/>
      <c r="H24" s="10"/>
      <c r="I24" s="10"/>
      <c r="J24" s="46" t="s">
        <v>480</v>
      </c>
      <c r="K24" s="25"/>
      <c r="L24" s="25"/>
      <c r="M24" s="64">
        <v>0</v>
      </c>
      <c r="N24" s="10"/>
      <c r="O24" s="10"/>
      <c r="P24" s="65"/>
      <c r="Q24" s="46"/>
      <c r="R24" s="46" t="s">
        <v>481</v>
      </c>
      <c r="S24" s="54">
        <f t="shared" si="0"/>
        <v>202601</v>
      </c>
      <c r="T24" s="54">
        <f t="shared" si="1"/>
        <v>202601</v>
      </c>
      <c r="U24" s="58" t="str">
        <f t="shared" si="2"/>
        <v/>
      </c>
      <c r="V24" s="58">
        <f>IF(AND($B24&lt;&gt;"",$F24&lt;&gt;"",$F24=项目明细账!$C$2),N(V23)+1,N(V23))</f>
        <v>0</v>
      </c>
      <c r="W24" s="63" t="str">
        <f>IF($H24&lt;&gt;"","项目成本",IFERROR(INDEX(基础资料!$W$4:$W$49,MATCH($I24,基础资料!$V$4:$V$49,0)),""))</f>
        <v/>
      </c>
      <c r="X24" s="63" t="str">
        <f>IFERROR(INDEX(基础资料!$R$4:$R$17,MATCH($G24,基础资料!$Q$4:$Q$17,0)),"")</f>
        <v/>
      </c>
    </row>
    <row r="25" spans="1:24">
      <c r="A25" s="58">
        <f>IF($B25="","",COUNTA($B$5:$B25))</f>
        <v>21</v>
      </c>
      <c r="B25" s="66">
        <v>46023</v>
      </c>
      <c r="C25" s="46" t="s">
        <v>80</v>
      </c>
      <c r="D25" s="63" t="str">
        <f>IFERROR(INDEX(基础资料!$F$4:$F$23,MATCH($C25,基础资料!$E$4:$E$23,0)),IF($C25="","","未匹配账户"))</f>
        <v>双思威</v>
      </c>
      <c r="E25" s="39" t="s">
        <v>483</v>
      </c>
      <c r="F25" s="10" t="s">
        <v>159</v>
      </c>
      <c r="G25" s="10" t="s">
        <v>87</v>
      </c>
      <c r="H25" s="10"/>
      <c r="I25" s="46"/>
      <c r="J25" s="67" t="s">
        <v>484</v>
      </c>
      <c r="K25" s="68">
        <v>286729.93</v>
      </c>
      <c r="L25" s="25"/>
      <c r="M25" s="25">
        <f>IFERROR(VLOOKUP($C25,$C$5:$M$24,11,0)+SUMIF($C$25:$C25,$C25,$K$25:$K25)-SUMIF($C$25:$C25,$C25,$L$25:$L25),"")</f>
        <v>1144600.16</v>
      </c>
      <c r="N25" s="10"/>
      <c r="O25" s="10"/>
      <c r="P25" s="65"/>
      <c r="Q25" s="46"/>
      <c r="R25" s="46" t="s">
        <v>485</v>
      </c>
      <c r="S25" s="54">
        <f t="shared" si="0"/>
        <v>202601</v>
      </c>
      <c r="T25" s="54">
        <f t="shared" si="1"/>
        <v>202601</v>
      </c>
      <c r="U25" s="58" t="str">
        <f t="shared" si="2"/>
        <v/>
      </c>
      <c r="V25" s="58">
        <f>IF(AND($B25&lt;&gt;"",$F25&lt;&gt;"",$F25=项目明细账!$C$2),N(V24)+1,N(V24))</f>
        <v>0</v>
      </c>
      <c r="W25" s="63" t="str">
        <f>IF($H25&lt;&gt;"","项目成本",IFERROR(INDEX(基础资料!$W$4:$W$49,MATCH($I25,基础资料!$V$4:$V$49,0)),""))</f>
        <v/>
      </c>
      <c r="X25" s="63" t="str">
        <f>IFERROR(INDEX(基础资料!$R$4:$R$17,MATCH($G25,基础资料!$Q$4:$Q$17,0)),"")</f>
        <v>经营收入</v>
      </c>
    </row>
    <row r="26" spans="1:24">
      <c r="A26" s="58">
        <f>IF($B26="","",COUNTA($B$5:$B26))</f>
        <v>22</v>
      </c>
      <c r="B26" s="53">
        <v>46048</v>
      </c>
      <c r="C26" s="46" t="s">
        <v>80</v>
      </c>
      <c r="D26" s="63" t="str">
        <f>IFERROR(INDEX(基础资料!$F$4:$F$23,MATCH($C26,基础资料!$E$4:$E$23,0)),IF($C26="","","未匹配账户"))</f>
        <v>双思威</v>
      </c>
      <c r="E26" s="39" t="s">
        <v>483</v>
      </c>
      <c r="F26" s="10" t="s">
        <v>170</v>
      </c>
      <c r="G26" s="10" t="s">
        <v>87</v>
      </c>
      <c r="H26" s="10"/>
      <c r="I26" s="46"/>
      <c r="J26" s="67" t="s">
        <v>486</v>
      </c>
      <c r="K26" s="68">
        <v>582712.28</v>
      </c>
      <c r="L26" s="25"/>
      <c r="M26" s="25">
        <f>IFERROR(VLOOKUP($C26,$C$5:$M$24,11,0)+SUMIF($C$25:$C26,$C26,$K$25:$K26)-SUMIF($C$25:$C26,$C26,$L$25:$L26),"")</f>
        <v>1727312.44</v>
      </c>
      <c r="N26" s="10"/>
      <c r="O26" s="10"/>
      <c r="P26" s="65"/>
      <c r="Q26" s="46"/>
      <c r="R26" s="46" t="s">
        <v>485</v>
      </c>
      <c r="S26" s="54">
        <f t="shared" si="0"/>
        <v>202601</v>
      </c>
      <c r="T26" s="54">
        <f t="shared" si="1"/>
        <v>202601</v>
      </c>
      <c r="U26" s="58" t="str">
        <f t="shared" si="2"/>
        <v/>
      </c>
      <c r="V26" s="58">
        <f>IF(AND($B26&lt;&gt;"",$F26&lt;&gt;"",$F26=项目明细账!$C$2),N(V25)+1,N(V25))</f>
        <v>0</v>
      </c>
      <c r="W26" s="63" t="str">
        <f>IF($H26&lt;&gt;"","项目成本",IFERROR(INDEX(基础资料!$W$4:$W$49,MATCH($I26,基础资料!$V$4:$V$49,0)),""))</f>
        <v/>
      </c>
      <c r="X26" s="63" t="str">
        <f>IFERROR(INDEX(基础资料!$R$4:$R$17,MATCH($G26,基础资料!$Q$4:$Q$17,0)),"")</f>
        <v>经营收入</v>
      </c>
    </row>
    <row r="27" spans="1:24">
      <c r="A27" s="58">
        <f>IF($B27="","",COUNTA($B$5:$B27))</f>
        <v>23</v>
      </c>
      <c r="B27" s="53">
        <v>46049</v>
      </c>
      <c r="C27" s="46" t="s">
        <v>80</v>
      </c>
      <c r="D27" s="63" t="str">
        <f>IFERROR(INDEX(基础资料!$F$4:$F$23,MATCH($C27,基础资料!$E$4:$E$23,0)),IF($C27="","","未匹配账户"))</f>
        <v>双思威</v>
      </c>
      <c r="E27" s="39" t="s">
        <v>483</v>
      </c>
      <c r="F27" s="10" t="s">
        <v>180</v>
      </c>
      <c r="G27" s="46" t="s">
        <v>87</v>
      </c>
      <c r="H27" s="10"/>
      <c r="I27" s="10"/>
      <c r="J27" s="69" t="s">
        <v>180</v>
      </c>
      <c r="K27" s="68">
        <v>236456</v>
      </c>
      <c r="L27" s="25"/>
      <c r="M27" s="25">
        <f>IFERROR(VLOOKUP($C27,$C$5:$M$24,11,0)+SUMIF($C$25:$C27,$C27,$K$25:$K27)-SUMIF($C$25:$C27,$C27,$L$25:$L27),"")</f>
        <v>1963768.44</v>
      </c>
      <c r="N27" s="10"/>
      <c r="O27" s="10"/>
      <c r="P27" s="65"/>
      <c r="Q27" s="46"/>
      <c r="R27" s="46" t="s">
        <v>485</v>
      </c>
      <c r="S27" s="54">
        <f t="shared" si="0"/>
        <v>202601</v>
      </c>
      <c r="T27" s="54">
        <f t="shared" si="1"/>
        <v>202601</v>
      </c>
      <c r="U27" s="58" t="str">
        <f t="shared" si="2"/>
        <v/>
      </c>
      <c r="V27" s="58">
        <f>IF(AND($B27&lt;&gt;"",$F27&lt;&gt;"",$F27=项目明细账!$C$2),N(V26)+1,N(V26))</f>
        <v>0</v>
      </c>
      <c r="W27" s="63" t="str">
        <f>IF($H27&lt;&gt;"","项目成本",IFERROR(INDEX(基础资料!$W$4:$W$49,MATCH($I27,基础资料!$V$4:$V$49,0)),""))</f>
        <v/>
      </c>
      <c r="X27" s="63" t="str">
        <f>IFERROR(INDEX(基础资料!$R$4:$R$17,MATCH($G27,基础资料!$Q$4:$Q$17,0)),"")</f>
        <v>经营收入</v>
      </c>
    </row>
    <row r="28" spans="1:24">
      <c r="A28" s="58">
        <f>IF($B28="","",COUNTA($B$5:$B28))</f>
        <v>24</v>
      </c>
      <c r="B28" s="53">
        <v>46049</v>
      </c>
      <c r="C28" s="46" t="s">
        <v>80</v>
      </c>
      <c r="D28" s="63" t="str">
        <f>IFERROR(INDEX(基础资料!$F$4:$F$23,MATCH($C28,基础资料!$E$4:$E$23,0)),IF($C28="","","未匹配账户"))</f>
        <v>双思威</v>
      </c>
      <c r="E28" s="39" t="s">
        <v>483</v>
      </c>
      <c r="F28" s="10" t="s">
        <v>190</v>
      </c>
      <c r="G28" s="10" t="s">
        <v>87</v>
      </c>
      <c r="H28" s="10"/>
      <c r="I28" s="46"/>
      <c r="J28" s="69" t="s">
        <v>190</v>
      </c>
      <c r="K28" s="68">
        <v>82000</v>
      </c>
      <c r="L28" s="25"/>
      <c r="M28" s="25">
        <f>IFERROR(VLOOKUP($C28,$C$5:$M$24,11,0)+SUMIF($C$25:$C28,$C28,$K$25:$K28)-SUMIF($C$25:$C28,$C28,$L$25:$L28),"")</f>
        <v>2045768.44</v>
      </c>
      <c r="N28" s="10"/>
      <c r="O28" s="10"/>
      <c r="P28" s="65"/>
      <c r="Q28" s="46"/>
      <c r="R28" s="46" t="s">
        <v>485</v>
      </c>
      <c r="S28" s="54">
        <f t="shared" si="0"/>
        <v>202601</v>
      </c>
      <c r="T28" s="54">
        <f t="shared" si="1"/>
        <v>202601</v>
      </c>
      <c r="U28" s="58" t="str">
        <f t="shared" si="2"/>
        <v/>
      </c>
      <c r="V28" s="58">
        <f>IF(AND($B28&lt;&gt;"",$F28&lt;&gt;"",$F28=项目明细账!$C$2),N(V27)+1,N(V27))</f>
        <v>0</v>
      </c>
      <c r="W28" s="63" t="str">
        <f>IF($H28&lt;&gt;"","项目成本",IFERROR(INDEX(基础资料!$W$4:$W$49,MATCH($I28,基础资料!$V$4:$V$49,0)),""))</f>
        <v/>
      </c>
      <c r="X28" s="63" t="str">
        <f>IFERROR(INDEX(基础资料!$R$4:$R$17,MATCH($G28,基础资料!$Q$4:$Q$17,0)),"")</f>
        <v>经营收入</v>
      </c>
    </row>
    <row r="29" spans="1:24">
      <c r="A29" s="58">
        <f>IF($B29="","",COUNTA($B$5:$B29))</f>
        <v>25</v>
      </c>
      <c r="B29" s="53">
        <v>46034</v>
      </c>
      <c r="C29" s="46" t="s">
        <v>99</v>
      </c>
      <c r="D29" s="63" t="str">
        <f>IFERROR(INDEX(基础资料!$F$4:$F$23,MATCH($C29,基础资料!$E$4:$E$23,0)),IF($C29="","","未匹配账户"))</f>
        <v>双思威</v>
      </c>
      <c r="E29" s="39" t="s">
        <v>483</v>
      </c>
      <c r="F29" s="10" t="s">
        <v>198</v>
      </c>
      <c r="G29" s="10" t="s">
        <v>87</v>
      </c>
      <c r="H29" s="10"/>
      <c r="I29" s="46"/>
      <c r="J29" s="46" t="s">
        <v>487</v>
      </c>
      <c r="K29" s="25">
        <v>3122400</v>
      </c>
      <c r="L29" s="25"/>
      <c r="M29" s="25">
        <f>IFERROR(VLOOKUP($C29,$C$5:$M$24,11,0)+SUMIF($C$25:$C29,$C29,$K$25:$K29)-SUMIF($C$25:$C29,$C29,$L$25:$L29),"")</f>
        <v>4118721.15</v>
      </c>
      <c r="N29" s="10"/>
      <c r="O29" s="10"/>
      <c r="P29" s="65"/>
      <c r="Q29" s="46"/>
      <c r="R29" s="46" t="s">
        <v>485</v>
      </c>
      <c r="S29" s="54">
        <f t="shared" si="0"/>
        <v>202601</v>
      </c>
      <c r="T29" s="54">
        <f t="shared" si="1"/>
        <v>202601</v>
      </c>
      <c r="U29" s="58" t="str">
        <f t="shared" si="2"/>
        <v/>
      </c>
      <c r="V29" s="58">
        <f>IF(AND($B29&lt;&gt;"",$F29&lt;&gt;"",$F29=项目明细账!$C$2),N(V28)+1,N(V28))</f>
        <v>0</v>
      </c>
      <c r="W29" s="63" t="str">
        <f>IF($H29&lt;&gt;"","项目成本",IFERROR(INDEX(基础资料!$W$4:$W$49,MATCH($I29,基础资料!$V$4:$V$49,0)),""))</f>
        <v/>
      </c>
      <c r="X29" s="63" t="str">
        <f>IFERROR(INDEX(基础资料!$R$4:$R$17,MATCH($G29,基础资料!$Q$4:$Q$17,0)),"")</f>
        <v>经营收入</v>
      </c>
    </row>
    <row r="30" spans="1:24">
      <c r="A30" s="58">
        <f>IF($B30="","",COUNTA($B$5:$B30))</f>
        <v>26</v>
      </c>
      <c r="B30" s="53">
        <v>46051</v>
      </c>
      <c r="C30" s="46" t="s">
        <v>150</v>
      </c>
      <c r="D30" s="63" t="str">
        <f>IFERROR(INDEX(基础资料!$F$4:$F$23,MATCH($C30,基础资料!$E$4:$E$23,0)),IF($C30="","","未匹配账户"))</f>
        <v>瑞盛天</v>
      </c>
      <c r="E30" s="39" t="s">
        <v>483</v>
      </c>
      <c r="F30" s="10" t="s">
        <v>205</v>
      </c>
      <c r="G30" s="10" t="s">
        <v>87</v>
      </c>
      <c r="H30" s="10"/>
      <c r="I30" s="46"/>
      <c r="J30" s="46" t="s">
        <v>206</v>
      </c>
      <c r="K30" s="25">
        <v>200000</v>
      </c>
      <c r="L30" s="25"/>
      <c r="M30" s="25">
        <f>IFERROR(VLOOKUP($C30,$C$5:$M$24,11,0)+SUMIF($C$25:$C30,$C30,$K$25:$K30)-SUMIF($C$25:$C30,$C30,$L$25:$L30),"")</f>
        <v>1532384.19</v>
      </c>
      <c r="N30" s="10"/>
      <c r="O30" s="10"/>
      <c r="P30" s="65"/>
      <c r="Q30" s="46"/>
      <c r="R30" s="46" t="s">
        <v>485</v>
      </c>
      <c r="S30" s="54">
        <f t="shared" si="0"/>
        <v>202601</v>
      </c>
      <c r="T30" s="54">
        <f t="shared" si="1"/>
        <v>202601</v>
      </c>
      <c r="U30" s="58" t="str">
        <f t="shared" si="2"/>
        <v/>
      </c>
      <c r="V30" s="58">
        <f>IF(AND($B30&lt;&gt;"",$F30&lt;&gt;"",$F30=项目明细账!$C$2),N(V29)+1,N(V29))</f>
        <v>0</v>
      </c>
      <c r="W30" s="63" t="str">
        <f>IF($H30&lt;&gt;"","项目成本",IFERROR(INDEX(基础资料!$W$4:$W$49,MATCH($I30,基础资料!$V$4:$V$49,0)),""))</f>
        <v/>
      </c>
      <c r="X30" s="63" t="str">
        <f>IFERROR(INDEX(基础资料!$R$4:$R$17,MATCH($G30,基础资料!$Q$4:$Q$17,0)),"")</f>
        <v>经营收入</v>
      </c>
    </row>
    <row r="31" spans="1:24">
      <c r="A31" s="58">
        <f>IF($B31="","",COUNTA($B$5:$B31))</f>
        <v>27</v>
      </c>
      <c r="B31" s="53">
        <v>46032</v>
      </c>
      <c r="C31" s="46" t="s">
        <v>80</v>
      </c>
      <c r="D31" s="63" t="str">
        <f>IFERROR(INDEX(基础资料!$F$4:$F$23,MATCH($C31,基础资料!$E$4:$E$23,0)),IF($C31="","","未匹配账户"))</f>
        <v>双思威</v>
      </c>
      <c r="E31" s="39" t="s">
        <v>488</v>
      </c>
      <c r="F31" s="10"/>
      <c r="G31" s="10"/>
      <c r="H31" s="10"/>
      <c r="I31" s="46" t="s">
        <v>282</v>
      </c>
      <c r="J31" s="62" t="s">
        <v>489</v>
      </c>
      <c r="K31" s="25"/>
      <c r="L31" s="25">
        <v>4.05</v>
      </c>
      <c r="M31" s="25">
        <f>IFERROR(VLOOKUP($C31,$C$5:$M$24,11,0)+SUMIF($C$25:$C31,$C31,$K$25:$K31)-SUMIF($C$25:$C31,$C31,$L$25:$L31),"")</f>
        <v>2045764.39</v>
      </c>
      <c r="N31" s="10"/>
      <c r="O31" s="10"/>
      <c r="P31" s="65"/>
      <c r="Q31" s="46"/>
      <c r="R31" s="46" t="s">
        <v>485</v>
      </c>
      <c r="S31" s="54">
        <f t="shared" si="0"/>
        <v>202601</v>
      </c>
      <c r="T31" s="54">
        <f t="shared" si="1"/>
        <v>202601</v>
      </c>
      <c r="U31" s="58" t="str">
        <f t="shared" si="2"/>
        <v/>
      </c>
      <c r="V31" s="58">
        <f>IF(AND($B31&lt;&gt;"",$F31&lt;&gt;"",$F31=项目明细账!$C$2),N(V30)+1,N(V30))</f>
        <v>0</v>
      </c>
      <c r="W31" s="63" t="str">
        <f>IF($H31&lt;&gt;"","项目成本",IFERROR(INDEX(基础资料!$W$4:$W$49,MATCH($I31,基础资料!$V$4:$V$49,0)),""))</f>
        <v>财务费用</v>
      </c>
      <c r="X31" s="63" t="str">
        <f>IFERROR(INDEX(基础资料!$R$4:$R$17,MATCH($G31,基础资料!$Q$4:$Q$17,0)),"")</f>
        <v/>
      </c>
    </row>
    <row r="32" spans="1:24">
      <c r="A32" s="58">
        <f>IF($B32="","",COUNTA($B$5:$B32))</f>
        <v>28</v>
      </c>
      <c r="B32" s="53">
        <v>46035</v>
      </c>
      <c r="C32" s="46" t="s">
        <v>80</v>
      </c>
      <c r="D32" s="63" t="str">
        <f>IFERROR(INDEX(基础资料!$F$4:$F$23,MATCH($C32,基础资料!$E$4:$E$23,0)),IF($C32="","","未匹配账户"))</f>
        <v>双思威</v>
      </c>
      <c r="E32" s="39" t="s">
        <v>488</v>
      </c>
      <c r="F32" s="10"/>
      <c r="G32" s="10"/>
      <c r="H32" s="10"/>
      <c r="I32" s="46" t="s">
        <v>282</v>
      </c>
      <c r="J32" s="62" t="s">
        <v>489</v>
      </c>
      <c r="K32" s="25"/>
      <c r="L32" s="25">
        <v>4.05</v>
      </c>
      <c r="M32" s="25">
        <f>IFERROR(VLOOKUP($C32,$C$5:$M$24,11,0)+SUMIF($C$25:$C32,$C32,$K$25:$K32)-SUMIF($C$25:$C32,$C32,$L$25:$L32),"")</f>
        <v>2045760.34</v>
      </c>
      <c r="N32" s="10"/>
      <c r="O32" s="10"/>
      <c r="P32" s="65"/>
      <c r="Q32" s="46"/>
      <c r="R32" s="46" t="s">
        <v>485</v>
      </c>
      <c r="S32" s="54">
        <f t="shared" si="0"/>
        <v>202601</v>
      </c>
      <c r="T32" s="54">
        <f t="shared" si="1"/>
        <v>202601</v>
      </c>
      <c r="U32" s="58" t="str">
        <f t="shared" si="2"/>
        <v/>
      </c>
      <c r="V32" s="58">
        <f>IF(AND($B32&lt;&gt;"",$F32&lt;&gt;"",$F32=项目明细账!$C$2),N(V31)+1,N(V31))</f>
        <v>0</v>
      </c>
      <c r="W32" s="63" t="str">
        <f>IF($H32&lt;&gt;"","项目成本",IFERROR(INDEX(基础资料!$W$4:$W$49,MATCH($I32,基础资料!$V$4:$V$49,0)),""))</f>
        <v>财务费用</v>
      </c>
      <c r="X32" s="63" t="str">
        <f>IFERROR(INDEX(基础资料!$R$4:$R$17,MATCH($G32,基础资料!$Q$4:$Q$17,0)),"")</f>
        <v/>
      </c>
    </row>
    <row r="33" spans="1:24">
      <c r="A33" s="58">
        <f>IF($B33="","",COUNTA($B$5:$B33))</f>
        <v>29</v>
      </c>
      <c r="B33" s="53">
        <v>46036</v>
      </c>
      <c r="C33" s="46" t="s">
        <v>80</v>
      </c>
      <c r="D33" s="63" t="str">
        <f>IFERROR(INDEX(基础资料!$F$4:$F$23,MATCH($C33,基础资料!$E$4:$E$23,0)),IF($C33="","","未匹配账户"))</f>
        <v>双思威</v>
      </c>
      <c r="E33" s="39" t="s">
        <v>488</v>
      </c>
      <c r="F33" s="10"/>
      <c r="G33" s="10"/>
      <c r="H33" s="10"/>
      <c r="I33" s="46" t="s">
        <v>237</v>
      </c>
      <c r="J33" s="62" t="s">
        <v>490</v>
      </c>
      <c r="K33" s="25"/>
      <c r="L33" s="25">
        <v>250000</v>
      </c>
      <c r="M33" s="25">
        <f>IFERROR(VLOOKUP($C33,$C$5:$M$24,11,0)+SUMIF($C$25:$C33,$C33,$K$25:$K33)-SUMIF($C$25:$C33,$C33,$L$25:$L33),"")</f>
        <v>1795760.34</v>
      </c>
      <c r="N33" s="10"/>
      <c r="O33" s="10"/>
      <c r="P33" s="65"/>
      <c r="Q33" s="46"/>
      <c r="R33" s="46" t="s">
        <v>485</v>
      </c>
      <c r="S33" s="54">
        <f t="shared" si="0"/>
        <v>202601</v>
      </c>
      <c r="T33" s="54">
        <f t="shared" si="1"/>
        <v>202601</v>
      </c>
      <c r="U33" s="58" t="str">
        <f t="shared" si="2"/>
        <v/>
      </c>
      <c r="V33" s="58">
        <f>IF(AND($B33&lt;&gt;"",$F33&lt;&gt;"",$F33=项目明细账!$C$2),N(V32)+1,N(V32))</f>
        <v>0</v>
      </c>
      <c r="W33" s="63" t="str">
        <f>IF($H33&lt;&gt;"","项目成本",IFERROR(INDEX(基础资料!$W$4:$W$49,MATCH($I33,基础资料!$V$4:$V$49,0)),""))</f>
        <v>人工社保</v>
      </c>
      <c r="X33" s="63" t="str">
        <f>IFERROR(INDEX(基础资料!$R$4:$R$17,MATCH($G33,基础资料!$Q$4:$Q$17,0)),"")</f>
        <v/>
      </c>
    </row>
    <row r="34" spans="1:24">
      <c r="A34" s="58">
        <f>IF($B34="","",COUNTA($B$5:$B34))</f>
        <v>30</v>
      </c>
      <c r="B34" s="53">
        <v>46036</v>
      </c>
      <c r="C34" s="46" t="s">
        <v>80</v>
      </c>
      <c r="D34" s="63" t="str">
        <f>IFERROR(INDEX(基础资料!$F$4:$F$23,MATCH($C34,基础资料!$E$4:$E$23,0)),IF($C34="","","未匹配账户"))</f>
        <v>双思威</v>
      </c>
      <c r="E34" s="39" t="s">
        <v>488</v>
      </c>
      <c r="F34" s="10"/>
      <c r="G34" s="10"/>
      <c r="H34" s="10"/>
      <c r="I34" s="46" t="s">
        <v>282</v>
      </c>
      <c r="J34" s="46" t="s">
        <v>489</v>
      </c>
      <c r="K34" s="25"/>
      <c r="L34" s="25">
        <v>200</v>
      </c>
      <c r="M34" s="25">
        <f>IFERROR(VLOOKUP($C34,$C$5:$M$24,11,0)+SUMIF($C$25:$C34,$C34,$K$25:$K34)-SUMIF($C$25:$C34,$C34,$L$25:$L34),"")</f>
        <v>1795560.34</v>
      </c>
      <c r="N34" s="10"/>
      <c r="O34" s="10"/>
      <c r="P34" s="65"/>
      <c r="Q34" s="46"/>
      <c r="R34" s="46" t="s">
        <v>485</v>
      </c>
      <c r="S34" s="54">
        <f t="shared" si="0"/>
        <v>202601</v>
      </c>
      <c r="T34" s="54">
        <f t="shared" si="1"/>
        <v>202601</v>
      </c>
      <c r="U34" s="58" t="str">
        <f t="shared" si="2"/>
        <v/>
      </c>
      <c r="V34" s="58">
        <f>IF(AND($B34&lt;&gt;"",$F34&lt;&gt;"",$F34=项目明细账!$C$2),N(V33)+1,N(V33))</f>
        <v>0</v>
      </c>
      <c r="W34" s="63" t="str">
        <f>IF($H34&lt;&gt;"","项目成本",IFERROR(INDEX(基础资料!$W$4:$W$49,MATCH($I34,基础资料!$V$4:$V$49,0)),""))</f>
        <v>财务费用</v>
      </c>
      <c r="X34" s="63" t="str">
        <f>IFERROR(INDEX(基础资料!$R$4:$R$17,MATCH($G34,基础资料!$Q$4:$Q$17,0)),"")</f>
        <v/>
      </c>
    </row>
    <row r="35" spans="1:24">
      <c r="A35" s="58">
        <f>IF($B35="","",COUNTA($B$5:$B35))</f>
        <v>31</v>
      </c>
      <c r="B35" s="53">
        <v>46036</v>
      </c>
      <c r="C35" s="46" t="s">
        <v>80</v>
      </c>
      <c r="D35" s="63" t="str">
        <f>IFERROR(INDEX(基础资料!$F$4:$F$23,MATCH($C35,基础资料!$E$4:$E$23,0)),IF($C35="","","未匹配账户"))</f>
        <v>双思威</v>
      </c>
      <c r="E35" s="39" t="s">
        <v>488</v>
      </c>
      <c r="F35" s="10"/>
      <c r="G35" s="10"/>
      <c r="H35" s="10"/>
      <c r="I35" s="46" t="s">
        <v>237</v>
      </c>
      <c r="J35" s="69" t="s">
        <v>491</v>
      </c>
      <c r="K35" s="25"/>
      <c r="L35" s="25">
        <v>8582.47</v>
      </c>
      <c r="M35" s="25">
        <f>IFERROR(VLOOKUP($C35,$C$5:$M$24,11,0)+SUMIF($C$25:$C35,$C35,$K$25:$K35)-SUMIF($C$25:$C35,$C35,$L$25:$L35),"")</f>
        <v>1786977.87</v>
      </c>
      <c r="N35" s="10"/>
      <c r="O35" s="10"/>
      <c r="P35" s="65"/>
      <c r="Q35" s="46"/>
      <c r="R35" s="46" t="s">
        <v>485</v>
      </c>
      <c r="S35" s="54">
        <f t="shared" si="0"/>
        <v>202601</v>
      </c>
      <c r="T35" s="54">
        <f t="shared" si="1"/>
        <v>202601</v>
      </c>
      <c r="U35" s="58" t="str">
        <f t="shared" si="2"/>
        <v/>
      </c>
      <c r="V35" s="58">
        <f>IF(AND($B35&lt;&gt;"",$F35&lt;&gt;"",$F35=项目明细账!$C$2),N(V34)+1,N(V34))</f>
        <v>0</v>
      </c>
      <c r="W35" s="63" t="str">
        <f>IF($H35&lt;&gt;"","项目成本",IFERROR(INDEX(基础资料!$W$4:$W$49,MATCH($I35,基础资料!$V$4:$V$49,0)),""))</f>
        <v>人工社保</v>
      </c>
      <c r="X35" s="63" t="str">
        <f>IFERROR(INDEX(基础资料!$R$4:$R$17,MATCH($G35,基础资料!$Q$4:$Q$17,0)),"")</f>
        <v/>
      </c>
    </row>
    <row r="36" spans="1:24">
      <c r="A36" s="58">
        <f>IF($B36="","",COUNTA($B$5:$B36))</f>
        <v>32</v>
      </c>
      <c r="B36" s="53">
        <v>46036</v>
      </c>
      <c r="C36" s="46" t="s">
        <v>80</v>
      </c>
      <c r="D36" s="63" t="str">
        <f>IFERROR(INDEX(基础资料!$F$4:$F$23,MATCH($C36,基础资料!$E$4:$E$23,0)),IF($C36="","","未匹配账户"))</f>
        <v>双思威</v>
      </c>
      <c r="E36" s="39" t="s">
        <v>488</v>
      </c>
      <c r="F36" s="10"/>
      <c r="G36" s="10"/>
      <c r="H36" s="10"/>
      <c r="I36" s="46" t="s">
        <v>237</v>
      </c>
      <c r="J36" s="69" t="s">
        <v>492</v>
      </c>
      <c r="K36" s="25"/>
      <c r="L36" s="25">
        <v>3157.61</v>
      </c>
      <c r="M36" s="25">
        <f>IFERROR(VLOOKUP($C36,$C$5:$M$24,11,0)+SUMIF($C$25:$C36,$C36,$K$25:$K36)-SUMIF($C$25:$C36,$C36,$L$25:$L36),"")</f>
        <v>1783820.26</v>
      </c>
      <c r="N36" s="10"/>
      <c r="O36" s="10"/>
      <c r="P36" s="65"/>
      <c r="Q36" s="46"/>
      <c r="R36" s="46" t="s">
        <v>485</v>
      </c>
      <c r="S36" s="54">
        <f t="shared" si="0"/>
        <v>202601</v>
      </c>
      <c r="T36" s="54">
        <f t="shared" si="1"/>
        <v>202601</v>
      </c>
      <c r="U36" s="58" t="str">
        <f t="shared" si="2"/>
        <v/>
      </c>
      <c r="V36" s="58">
        <f>IF(AND($B36&lt;&gt;"",$F36&lt;&gt;"",$F36=项目明细账!$C$2),N(V35)+1,N(V35))</f>
        <v>0</v>
      </c>
      <c r="W36" s="63" t="str">
        <f>IF($H36&lt;&gt;"","项目成本",IFERROR(INDEX(基础资料!$W$4:$W$49,MATCH($I36,基础资料!$V$4:$V$49,0)),""))</f>
        <v>人工社保</v>
      </c>
      <c r="X36" s="63" t="str">
        <f>IFERROR(INDEX(基础资料!$R$4:$R$17,MATCH($G36,基础资料!$Q$4:$Q$17,0)),"")</f>
        <v/>
      </c>
    </row>
    <row r="37" spans="1:24">
      <c r="A37" s="58">
        <f>IF($B37="","",COUNTA($B$5:$B37))</f>
        <v>33</v>
      </c>
      <c r="B37" s="53">
        <v>46036</v>
      </c>
      <c r="C37" s="46" t="s">
        <v>80</v>
      </c>
      <c r="D37" s="63" t="str">
        <f>IFERROR(INDEX(基础资料!$F$4:$F$23,MATCH($C37,基础资料!$E$4:$E$23,0)),IF($C37="","","未匹配账户"))</f>
        <v>双思威</v>
      </c>
      <c r="E37" s="39" t="s">
        <v>488</v>
      </c>
      <c r="F37" s="10"/>
      <c r="G37" s="10"/>
      <c r="H37" s="10"/>
      <c r="I37" s="46" t="s">
        <v>237</v>
      </c>
      <c r="J37" s="69" t="s">
        <v>493</v>
      </c>
      <c r="K37" s="25"/>
      <c r="L37" s="25">
        <v>3152.48</v>
      </c>
      <c r="M37" s="25">
        <f>IFERROR(VLOOKUP($C37,$C$5:$M$24,11,0)+SUMIF($C$25:$C37,$C37,$K$25:$K37)-SUMIF($C$25:$C37,$C37,$L$25:$L37),"")</f>
        <v>1780667.78</v>
      </c>
      <c r="N37" s="10"/>
      <c r="O37" s="10"/>
      <c r="P37" s="65"/>
      <c r="Q37" s="46"/>
      <c r="R37" s="46" t="s">
        <v>485</v>
      </c>
      <c r="S37" s="54">
        <f t="shared" si="0"/>
        <v>202601</v>
      </c>
      <c r="T37" s="54">
        <f t="shared" si="1"/>
        <v>202601</v>
      </c>
      <c r="U37" s="58" t="str">
        <f t="shared" si="2"/>
        <v/>
      </c>
      <c r="V37" s="58">
        <f>IF(AND($B37&lt;&gt;"",$F37&lt;&gt;"",$F37=项目明细账!$C$2),N(V36)+1,N(V36))</f>
        <v>0</v>
      </c>
      <c r="W37" s="63" t="str">
        <f>IF($H37&lt;&gt;"","项目成本",IFERROR(INDEX(基础资料!$W$4:$W$49,MATCH($I37,基础资料!$V$4:$V$49,0)),""))</f>
        <v>人工社保</v>
      </c>
      <c r="X37" s="63" t="str">
        <f>IFERROR(INDEX(基础资料!$R$4:$R$17,MATCH($G37,基础资料!$Q$4:$Q$17,0)),"")</f>
        <v/>
      </c>
    </row>
    <row r="38" spans="1:24">
      <c r="A38" s="58">
        <f>IF($B38="","",COUNTA($B$5:$B38))</f>
        <v>34</v>
      </c>
      <c r="B38" s="53">
        <v>46036</v>
      </c>
      <c r="C38" s="46" t="s">
        <v>80</v>
      </c>
      <c r="D38" s="63" t="str">
        <f>IFERROR(INDEX(基础资料!$F$4:$F$23,MATCH($C38,基础资料!$E$4:$E$23,0)),IF($C38="","","未匹配账户"))</f>
        <v>双思威</v>
      </c>
      <c r="E38" s="39" t="s">
        <v>488</v>
      </c>
      <c r="F38" s="10"/>
      <c r="G38" s="10"/>
      <c r="H38" s="10"/>
      <c r="I38" s="46" t="s">
        <v>237</v>
      </c>
      <c r="J38" s="69" t="s">
        <v>494</v>
      </c>
      <c r="K38" s="25"/>
      <c r="L38" s="25">
        <v>6677.12</v>
      </c>
      <c r="M38" s="25">
        <f>IFERROR(VLOOKUP($C38,$C$5:$M$24,11,0)+SUMIF($C$25:$C38,$C38,$K$25:$K38)-SUMIF($C$25:$C38,$C38,$L$25:$L38),"")</f>
        <v>1773990.66</v>
      </c>
      <c r="N38" s="10"/>
      <c r="O38" s="10"/>
      <c r="P38" s="65"/>
      <c r="Q38" s="46"/>
      <c r="R38" s="46" t="s">
        <v>485</v>
      </c>
      <c r="S38" s="54">
        <f t="shared" si="0"/>
        <v>202601</v>
      </c>
      <c r="T38" s="54">
        <f t="shared" si="1"/>
        <v>202601</v>
      </c>
      <c r="U38" s="58" t="str">
        <f t="shared" si="2"/>
        <v/>
      </c>
      <c r="V38" s="58">
        <f>IF(AND($B38&lt;&gt;"",$F38&lt;&gt;"",$F38=项目明细账!$C$2),N(V37)+1,N(V37))</f>
        <v>0</v>
      </c>
      <c r="W38" s="63" t="str">
        <f>IF($H38&lt;&gt;"","项目成本",IFERROR(INDEX(基础资料!$W$4:$W$49,MATCH($I38,基础资料!$V$4:$V$49,0)),""))</f>
        <v>人工社保</v>
      </c>
      <c r="X38" s="63" t="str">
        <f>IFERROR(INDEX(基础资料!$R$4:$R$17,MATCH($G38,基础资料!$Q$4:$Q$17,0)),"")</f>
        <v/>
      </c>
    </row>
    <row r="39" spans="1:24">
      <c r="A39" s="58">
        <f>IF($B39="","",COUNTA($B$5:$B39))</f>
        <v>35</v>
      </c>
      <c r="B39" s="53">
        <v>46036</v>
      </c>
      <c r="C39" s="46" t="s">
        <v>80</v>
      </c>
      <c r="D39" s="63" t="str">
        <f>IFERROR(INDEX(基础资料!$F$4:$F$23,MATCH($C39,基础资料!$E$4:$E$23,0)),IF($C39="","","未匹配账户"))</f>
        <v>双思威</v>
      </c>
      <c r="E39" s="39" t="s">
        <v>488</v>
      </c>
      <c r="F39" s="10"/>
      <c r="G39" s="10"/>
      <c r="H39" s="10"/>
      <c r="I39" s="46" t="s">
        <v>237</v>
      </c>
      <c r="J39" s="69" t="s">
        <v>495</v>
      </c>
      <c r="K39" s="25"/>
      <c r="L39" s="25">
        <v>2657.61</v>
      </c>
      <c r="M39" s="25">
        <f>IFERROR(VLOOKUP($C39,$C$5:$M$24,11,0)+SUMIF($C$25:$C39,$C39,$K$25:$K39)-SUMIF($C$25:$C39,$C39,$L$25:$L39),"")</f>
        <v>1771333.05</v>
      </c>
      <c r="N39" s="10"/>
      <c r="O39" s="10"/>
      <c r="P39" s="65"/>
      <c r="Q39" s="46"/>
      <c r="R39" s="46" t="s">
        <v>485</v>
      </c>
      <c r="S39" s="54">
        <f t="shared" si="0"/>
        <v>202601</v>
      </c>
      <c r="T39" s="54">
        <f t="shared" si="1"/>
        <v>202601</v>
      </c>
      <c r="U39" s="58" t="str">
        <f t="shared" si="2"/>
        <v/>
      </c>
      <c r="V39" s="58">
        <f>IF(AND($B39&lt;&gt;"",$F39&lt;&gt;"",$F39=项目明细账!$C$2),N(V38)+1,N(V38))</f>
        <v>0</v>
      </c>
      <c r="W39" s="63" t="str">
        <f>IF($H39&lt;&gt;"","项目成本",IFERROR(INDEX(基础资料!$W$4:$W$49,MATCH($I39,基础资料!$V$4:$V$49,0)),""))</f>
        <v>人工社保</v>
      </c>
      <c r="X39" s="63" t="str">
        <f>IFERROR(INDEX(基础资料!$R$4:$R$17,MATCH($G39,基础资料!$Q$4:$Q$17,0)),"")</f>
        <v/>
      </c>
    </row>
    <row r="40" spans="1:24">
      <c r="A40" s="58">
        <f>IF($B40="","",COUNTA($B$5:$B40))</f>
        <v>36</v>
      </c>
      <c r="B40" s="53">
        <v>46036</v>
      </c>
      <c r="C40" s="46" t="s">
        <v>80</v>
      </c>
      <c r="D40" s="63" t="str">
        <f>IFERROR(INDEX(基础资料!$F$4:$F$23,MATCH($C40,基础资料!$E$4:$E$23,0)),IF($C40="","","未匹配账户"))</f>
        <v>双思威</v>
      </c>
      <c r="E40" s="39" t="s">
        <v>488</v>
      </c>
      <c r="F40" s="10"/>
      <c r="G40" s="10"/>
      <c r="H40" s="10"/>
      <c r="I40" s="46" t="s">
        <v>237</v>
      </c>
      <c r="J40" s="69" t="s">
        <v>496</v>
      </c>
      <c r="K40" s="25"/>
      <c r="L40" s="25">
        <v>2657.61</v>
      </c>
      <c r="M40" s="25">
        <f>IFERROR(VLOOKUP($C40,$C$5:$M$24,11,0)+SUMIF($C$25:$C40,$C40,$K$25:$K40)-SUMIF($C$25:$C40,$C40,$L$25:$L40),"")</f>
        <v>1768675.44</v>
      </c>
      <c r="N40" s="10"/>
      <c r="O40" s="10"/>
      <c r="P40" s="65"/>
      <c r="Q40" s="46"/>
      <c r="R40" s="46" t="s">
        <v>485</v>
      </c>
      <c r="S40" s="54">
        <f t="shared" si="0"/>
        <v>202601</v>
      </c>
      <c r="T40" s="54">
        <f t="shared" si="1"/>
        <v>202601</v>
      </c>
      <c r="U40" s="58" t="str">
        <f t="shared" si="2"/>
        <v/>
      </c>
      <c r="V40" s="58">
        <f>IF(AND($B40&lt;&gt;"",$F40&lt;&gt;"",$F40=项目明细账!$C$2),N(V39)+1,N(V39))</f>
        <v>0</v>
      </c>
      <c r="W40" s="63" t="str">
        <f>IF($H40&lt;&gt;"","项目成本",IFERROR(INDEX(基础资料!$W$4:$W$49,MATCH($I40,基础资料!$V$4:$V$49,0)),""))</f>
        <v>人工社保</v>
      </c>
      <c r="X40" s="63" t="str">
        <f>IFERROR(INDEX(基础资料!$R$4:$R$17,MATCH($G40,基础资料!$Q$4:$Q$17,0)),"")</f>
        <v/>
      </c>
    </row>
    <row r="41" spans="1:24">
      <c r="A41" s="58">
        <f>IF($B41="","",COUNTA($B$5:$B41))</f>
        <v>37</v>
      </c>
      <c r="B41" s="53">
        <v>46036</v>
      </c>
      <c r="C41" s="46" t="s">
        <v>80</v>
      </c>
      <c r="D41" s="63" t="str">
        <f>IFERROR(INDEX(基础资料!$F$4:$F$23,MATCH($C41,基础资料!$E$4:$E$23,0)),IF($C41="","","未匹配账户"))</f>
        <v>双思威</v>
      </c>
      <c r="E41" s="39" t="s">
        <v>488</v>
      </c>
      <c r="F41" s="10"/>
      <c r="G41" s="10"/>
      <c r="H41" s="10"/>
      <c r="I41" s="46" t="s">
        <v>237</v>
      </c>
      <c r="J41" s="69" t="s">
        <v>497</v>
      </c>
      <c r="K41" s="25"/>
      <c r="L41" s="25">
        <v>2757.61</v>
      </c>
      <c r="M41" s="25">
        <f>IFERROR(VLOOKUP($C41,$C$5:$M$24,11,0)+SUMIF($C$25:$C41,$C41,$K$25:$K41)-SUMIF($C$25:$C41,$C41,$L$25:$L41),"")</f>
        <v>1765917.83</v>
      </c>
      <c r="N41" s="10"/>
      <c r="O41" s="10"/>
      <c r="P41" s="65"/>
      <c r="Q41" s="46"/>
      <c r="R41" s="46" t="s">
        <v>485</v>
      </c>
      <c r="S41" s="54">
        <f t="shared" si="0"/>
        <v>202601</v>
      </c>
      <c r="T41" s="54">
        <f t="shared" si="1"/>
        <v>202601</v>
      </c>
      <c r="U41" s="58" t="str">
        <f t="shared" si="2"/>
        <v/>
      </c>
      <c r="V41" s="58">
        <f>IF(AND($B41&lt;&gt;"",$F41&lt;&gt;"",$F41=项目明细账!$C$2),N(V40)+1,N(V40))</f>
        <v>0</v>
      </c>
      <c r="W41" s="63" t="str">
        <f>IF($H41&lt;&gt;"","项目成本",IFERROR(INDEX(基础资料!$W$4:$W$49,MATCH($I41,基础资料!$V$4:$V$49,0)),""))</f>
        <v>人工社保</v>
      </c>
      <c r="X41" s="63" t="str">
        <f>IFERROR(INDEX(基础资料!$R$4:$R$17,MATCH($G41,基础资料!$Q$4:$Q$17,0)),"")</f>
        <v/>
      </c>
    </row>
    <row r="42" spans="1:24">
      <c r="A42" s="58">
        <f>IF($B42="","",COUNTA($B$5:$B42))</f>
        <v>38</v>
      </c>
      <c r="B42" s="53">
        <v>46036</v>
      </c>
      <c r="C42" s="46" t="s">
        <v>80</v>
      </c>
      <c r="D42" s="63" t="str">
        <f>IFERROR(INDEX(基础资料!$F$4:$F$23,MATCH($C42,基础资料!$E$4:$E$23,0)),IF($C42="","","未匹配账户"))</f>
        <v>双思威</v>
      </c>
      <c r="E42" s="39" t="s">
        <v>488</v>
      </c>
      <c r="F42" s="10"/>
      <c r="G42" s="10"/>
      <c r="H42" s="10"/>
      <c r="I42" s="46" t="s">
        <v>237</v>
      </c>
      <c r="J42" s="69" t="s">
        <v>498</v>
      </c>
      <c r="K42" s="25"/>
      <c r="L42" s="25">
        <v>1500</v>
      </c>
      <c r="M42" s="25">
        <f>IFERROR(VLOOKUP($C42,$C$5:$M$24,11,0)+SUMIF($C$25:$C42,$C42,$K$25:$K42)-SUMIF($C$25:$C42,$C42,$L$25:$L42),"")</f>
        <v>1764417.83</v>
      </c>
      <c r="N42" s="10"/>
      <c r="O42" s="10"/>
      <c r="P42" s="65"/>
      <c r="Q42" s="46"/>
      <c r="R42" s="46" t="s">
        <v>485</v>
      </c>
      <c r="S42" s="54">
        <f t="shared" si="0"/>
        <v>202601</v>
      </c>
      <c r="T42" s="54">
        <f t="shared" si="1"/>
        <v>202601</v>
      </c>
      <c r="U42" s="58" t="str">
        <f t="shared" si="2"/>
        <v/>
      </c>
      <c r="V42" s="58">
        <f>IF(AND($B42&lt;&gt;"",$F42&lt;&gt;"",$F42=项目明细账!$C$2),N(V41)+1,N(V41))</f>
        <v>0</v>
      </c>
      <c r="W42" s="63" t="str">
        <f>IF($H42&lt;&gt;"","项目成本",IFERROR(INDEX(基础资料!$W$4:$W$49,MATCH($I42,基础资料!$V$4:$V$49,0)),""))</f>
        <v>人工社保</v>
      </c>
      <c r="X42" s="63" t="str">
        <f>IFERROR(INDEX(基础资料!$R$4:$R$17,MATCH($G42,基础资料!$Q$4:$Q$17,0)),"")</f>
        <v/>
      </c>
    </row>
    <row r="43" spans="1:24">
      <c r="A43" s="58">
        <f>IF($B43="","",COUNTA($B$5:$B43))</f>
        <v>39</v>
      </c>
      <c r="B43" s="53">
        <v>46036</v>
      </c>
      <c r="C43" s="46" t="s">
        <v>80</v>
      </c>
      <c r="D43" s="63" t="str">
        <f>IFERROR(INDEX(基础资料!$F$4:$F$23,MATCH($C43,基础资料!$E$4:$E$23,0)),IF($C43="","","未匹配账户"))</f>
        <v>双思威</v>
      </c>
      <c r="E43" s="39" t="s">
        <v>488</v>
      </c>
      <c r="F43" s="10"/>
      <c r="G43" s="46"/>
      <c r="H43" s="10"/>
      <c r="I43" s="46" t="s">
        <v>237</v>
      </c>
      <c r="J43" s="69" t="s">
        <v>499</v>
      </c>
      <c r="K43" s="25"/>
      <c r="L43" s="25">
        <v>2457.61</v>
      </c>
      <c r="M43" s="25">
        <f>IFERROR(VLOOKUP($C43,$C$5:$M$24,11,0)+SUMIF($C$25:$C43,$C43,$K$25:$K43)-SUMIF($C$25:$C43,$C43,$L$25:$L43),"")</f>
        <v>1761960.22</v>
      </c>
      <c r="N43" s="10"/>
      <c r="O43" s="10"/>
      <c r="P43" s="65"/>
      <c r="Q43" s="46"/>
      <c r="R43" s="46" t="s">
        <v>485</v>
      </c>
      <c r="S43" s="54">
        <f t="shared" si="0"/>
        <v>202601</v>
      </c>
      <c r="T43" s="54">
        <f t="shared" si="1"/>
        <v>202601</v>
      </c>
      <c r="U43" s="58" t="str">
        <f t="shared" si="2"/>
        <v/>
      </c>
      <c r="V43" s="58">
        <f>IF(AND($B43&lt;&gt;"",$F43&lt;&gt;"",$F43=项目明细账!$C$2),N(V42)+1,N(V42))</f>
        <v>0</v>
      </c>
      <c r="W43" s="63" t="str">
        <f>IF($H43&lt;&gt;"","项目成本",IFERROR(INDEX(基础资料!$W$4:$W$49,MATCH($I43,基础资料!$V$4:$V$49,0)),""))</f>
        <v>人工社保</v>
      </c>
      <c r="X43" s="63" t="str">
        <f>IFERROR(INDEX(基础资料!$R$4:$R$17,MATCH($G43,基础资料!$Q$4:$Q$17,0)),"")</f>
        <v/>
      </c>
    </row>
    <row r="44" spans="1:24">
      <c r="A44" s="58">
        <f>IF($B44="","",COUNTA($B$5:$B44))</f>
        <v>40</v>
      </c>
      <c r="B44" s="53">
        <v>46036</v>
      </c>
      <c r="C44" s="46" t="s">
        <v>80</v>
      </c>
      <c r="D44" s="63" t="str">
        <f>IFERROR(INDEX(基础资料!$F$4:$F$23,MATCH($C44,基础资料!$E$4:$E$23,0)),IF($C44="","","未匹配账户"))</f>
        <v>双思威</v>
      </c>
      <c r="E44" s="39" t="s">
        <v>488</v>
      </c>
      <c r="F44" s="10"/>
      <c r="G44" s="10"/>
      <c r="H44" s="10"/>
      <c r="I44" s="46" t="s">
        <v>237</v>
      </c>
      <c r="J44" s="69" t="s">
        <v>500</v>
      </c>
      <c r="K44" s="25"/>
      <c r="L44" s="25">
        <v>2857.61</v>
      </c>
      <c r="M44" s="25">
        <f>IFERROR(VLOOKUP($C44,$C$5:$M$24,11,0)+SUMIF($C$25:$C44,$C44,$K$25:$K44)-SUMIF($C$25:$C44,$C44,$L$25:$L44),"")</f>
        <v>1759102.61</v>
      </c>
      <c r="N44" s="10"/>
      <c r="O44" s="10"/>
      <c r="P44" s="65"/>
      <c r="Q44" s="46"/>
      <c r="R44" s="46" t="s">
        <v>485</v>
      </c>
      <c r="S44" s="54">
        <f t="shared" si="0"/>
        <v>202601</v>
      </c>
      <c r="T44" s="54">
        <f t="shared" si="1"/>
        <v>202601</v>
      </c>
      <c r="U44" s="58" t="str">
        <f t="shared" si="2"/>
        <v/>
      </c>
      <c r="V44" s="58">
        <f>IF(AND($B44&lt;&gt;"",$F44&lt;&gt;"",$F44=项目明细账!$C$2),N(V43)+1,N(V43))</f>
        <v>0</v>
      </c>
      <c r="W44" s="63" t="str">
        <f>IF($H44&lt;&gt;"","项目成本",IFERROR(INDEX(基础资料!$W$4:$W$49,MATCH($I44,基础资料!$V$4:$V$49,0)),""))</f>
        <v>人工社保</v>
      </c>
      <c r="X44" s="63" t="str">
        <f>IFERROR(INDEX(基础资料!$R$4:$R$17,MATCH($G44,基础资料!$Q$4:$Q$17,0)),"")</f>
        <v/>
      </c>
    </row>
    <row r="45" spans="1:24">
      <c r="A45" s="58">
        <f>IF($B45="","",COUNTA($B$5:$B45))</f>
        <v>41</v>
      </c>
      <c r="B45" s="53">
        <v>46036</v>
      </c>
      <c r="C45" s="46" t="s">
        <v>80</v>
      </c>
      <c r="D45" s="63" t="str">
        <f>IFERROR(INDEX(基础资料!$F$4:$F$23,MATCH($C45,基础资料!$E$4:$E$23,0)),IF($C45="","","未匹配账户"))</f>
        <v>双思威</v>
      </c>
      <c r="E45" s="39" t="s">
        <v>488</v>
      </c>
      <c r="F45" s="10"/>
      <c r="G45" s="10"/>
      <c r="H45" s="10"/>
      <c r="I45" s="46" t="s">
        <v>237</v>
      </c>
      <c r="J45" s="69" t="s">
        <v>501</v>
      </c>
      <c r="K45" s="25"/>
      <c r="L45" s="25">
        <v>1437.61</v>
      </c>
      <c r="M45" s="25">
        <f>IFERROR(VLOOKUP($C45,$C$5:$M$24,11,0)+SUMIF($C$25:$C45,$C45,$K$25:$K45)-SUMIF($C$25:$C45,$C45,$L$25:$L45),"")</f>
        <v>1757665</v>
      </c>
      <c r="N45" s="10"/>
      <c r="O45" s="10"/>
      <c r="P45" s="65"/>
      <c r="Q45" s="46"/>
      <c r="R45" s="46" t="s">
        <v>485</v>
      </c>
      <c r="S45" s="54">
        <f t="shared" si="0"/>
        <v>202601</v>
      </c>
      <c r="T45" s="54">
        <f t="shared" si="1"/>
        <v>202601</v>
      </c>
      <c r="U45" s="58" t="str">
        <f t="shared" si="2"/>
        <v/>
      </c>
      <c r="V45" s="58">
        <f>IF(AND($B45&lt;&gt;"",$F45&lt;&gt;"",$F45=项目明细账!$C$2),N(V44)+1,N(V44))</f>
        <v>0</v>
      </c>
      <c r="W45" s="63" t="str">
        <f>IF($H45&lt;&gt;"","项目成本",IFERROR(INDEX(基础资料!$W$4:$W$49,MATCH($I45,基础资料!$V$4:$V$49,0)),""))</f>
        <v>人工社保</v>
      </c>
      <c r="X45" s="63" t="str">
        <f>IFERROR(INDEX(基础资料!$R$4:$R$17,MATCH($G45,基础资料!$Q$4:$Q$17,0)),"")</f>
        <v/>
      </c>
    </row>
    <row r="46" spans="1:24">
      <c r="A46" s="58">
        <f>IF($B46="","",COUNTA($B$5:$B46))</f>
        <v>42</v>
      </c>
      <c r="B46" s="53">
        <v>46036</v>
      </c>
      <c r="C46" s="46" t="s">
        <v>80</v>
      </c>
      <c r="D46" s="63" t="str">
        <f>IFERROR(INDEX(基础资料!$F$4:$F$23,MATCH($C46,基础资料!$E$4:$E$23,0)),IF($C46="","","未匹配账户"))</f>
        <v>双思威</v>
      </c>
      <c r="E46" s="39" t="s">
        <v>488</v>
      </c>
      <c r="F46" s="10"/>
      <c r="G46" s="10"/>
      <c r="H46" s="10"/>
      <c r="I46" s="46" t="s">
        <v>237</v>
      </c>
      <c r="J46" s="69" t="s">
        <v>502</v>
      </c>
      <c r="K46" s="25"/>
      <c r="L46" s="25">
        <v>2657.61</v>
      </c>
      <c r="M46" s="25">
        <f>IFERROR(VLOOKUP($C46,$C$5:$M$24,11,0)+SUMIF($C$25:$C46,$C46,$K$25:$K46)-SUMIF($C$25:$C46,$C46,$L$25:$L46),"")</f>
        <v>1755007.39</v>
      </c>
      <c r="N46" s="10"/>
      <c r="O46" s="10"/>
      <c r="P46" s="65"/>
      <c r="Q46" s="46"/>
      <c r="R46" s="46" t="s">
        <v>485</v>
      </c>
      <c r="S46" s="54">
        <f t="shared" si="0"/>
        <v>202601</v>
      </c>
      <c r="T46" s="54">
        <f t="shared" si="1"/>
        <v>202601</v>
      </c>
      <c r="U46" s="58" t="str">
        <f t="shared" si="2"/>
        <v/>
      </c>
      <c r="V46" s="58">
        <f>IF(AND($B46&lt;&gt;"",$F46&lt;&gt;"",$F46=项目明细账!$C$2),N(V45)+1,N(V45))</f>
        <v>0</v>
      </c>
      <c r="W46" s="63" t="str">
        <f>IF($H46&lt;&gt;"","项目成本",IFERROR(INDEX(基础资料!$W$4:$W$49,MATCH($I46,基础资料!$V$4:$V$49,0)),""))</f>
        <v>人工社保</v>
      </c>
      <c r="X46" s="63" t="str">
        <f>IFERROR(INDEX(基础资料!$R$4:$R$17,MATCH($G46,基础资料!$Q$4:$Q$17,0)),"")</f>
        <v/>
      </c>
    </row>
    <row r="47" spans="1:24">
      <c r="A47" s="58">
        <f>IF($B47="","",COUNTA($B$5:$B47))</f>
        <v>43</v>
      </c>
      <c r="B47" s="53">
        <v>46036</v>
      </c>
      <c r="C47" s="46" t="s">
        <v>80</v>
      </c>
      <c r="D47" s="63" t="str">
        <f>IFERROR(INDEX(基础资料!$F$4:$F$23,MATCH($C47,基础资料!$E$4:$E$23,0)),IF($C47="","","未匹配账户"))</f>
        <v>双思威</v>
      </c>
      <c r="E47" s="39" t="s">
        <v>488</v>
      </c>
      <c r="F47" s="10"/>
      <c r="G47" s="10"/>
      <c r="H47" s="10"/>
      <c r="I47" s="46" t="s">
        <v>237</v>
      </c>
      <c r="J47" s="69" t="s">
        <v>503</v>
      </c>
      <c r="K47" s="25"/>
      <c r="L47" s="25">
        <v>2757.61</v>
      </c>
      <c r="M47" s="25">
        <f>IFERROR(VLOOKUP($C47,$C$5:$M$24,11,0)+SUMIF($C$25:$C47,$C47,$K$25:$K47)-SUMIF($C$25:$C47,$C47,$L$25:$L47),"")</f>
        <v>1752249.78</v>
      </c>
      <c r="N47" s="10"/>
      <c r="O47" s="10"/>
      <c r="P47" s="65"/>
      <c r="Q47" s="46"/>
      <c r="R47" s="46" t="s">
        <v>485</v>
      </c>
      <c r="S47" s="54">
        <f t="shared" si="0"/>
        <v>202601</v>
      </c>
      <c r="T47" s="54">
        <f t="shared" si="1"/>
        <v>202601</v>
      </c>
      <c r="U47" s="58" t="str">
        <f t="shared" si="2"/>
        <v/>
      </c>
      <c r="V47" s="58">
        <f>IF(AND($B47&lt;&gt;"",$F47&lt;&gt;"",$F47=项目明细账!$C$2),N(V46)+1,N(V46))</f>
        <v>0</v>
      </c>
      <c r="W47" s="63" t="str">
        <f>IF($H47&lt;&gt;"","项目成本",IFERROR(INDEX(基础资料!$W$4:$W$49,MATCH($I47,基础资料!$V$4:$V$49,0)),""))</f>
        <v>人工社保</v>
      </c>
      <c r="X47" s="63" t="str">
        <f>IFERROR(INDEX(基础资料!$R$4:$R$17,MATCH($G47,基础资料!$Q$4:$Q$17,0)),"")</f>
        <v/>
      </c>
    </row>
    <row r="48" spans="1:24">
      <c r="A48" s="58">
        <f>IF($B48="","",COUNTA($B$5:$B48))</f>
        <v>44</v>
      </c>
      <c r="B48" s="53">
        <v>46036</v>
      </c>
      <c r="C48" s="46" t="s">
        <v>80</v>
      </c>
      <c r="D48" s="63" t="str">
        <f>IFERROR(INDEX(基础资料!$F$4:$F$23,MATCH($C48,基础资料!$E$4:$E$23,0)),IF($C48="","","未匹配账户"))</f>
        <v>双思威</v>
      </c>
      <c r="E48" s="39" t="s">
        <v>488</v>
      </c>
      <c r="F48" s="10"/>
      <c r="G48" s="46"/>
      <c r="H48" s="10"/>
      <c r="I48" s="46" t="s">
        <v>237</v>
      </c>
      <c r="J48" s="69" t="s">
        <v>504</v>
      </c>
      <c r="K48" s="25"/>
      <c r="L48" s="25">
        <v>900</v>
      </c>
      <c r="M48" s="25">
        <f>IFERROR(VLOOKUP($C48,$C$5:$M$24,11,0)+SUMIF($C$25:$C48,$C48,$K$25:$K48)-SUMIF($C$25:$C48,$C48,$L$25:$L48),"")</f>
        <v>1751349.78</v>
      </c>
      <c r="N48" s="10"/>
      <c r="O48" s="10"/>
      <c r="P48" s="65"/>
      <c r="Q48" s="46"/>
      <c r="R48" s="46" t="s">
        <v>485</v>
      </c>
      <c r="S48" s="54">
        <f t="shared" si="0"/>
        <v>202601</v>
      </c>
      <c r="T48" s="54">
        <f t="shared" si="1"/>
        <v>202601</v>
      </c>
      <c r="U48" s="58" t="str">
        <f t="shared" si="2"/>
        <v/>
      </c>
      <c r="V48" s="58">
        <f>IF(AND($B48&lt;&gt;"",$F48&lt;&gt;"",$F48=项目明细账!$C$2),N(V47)+1,N(V47))</f>
        <v>0</v>
      </c>
      <c r="W48" s="63" t="str">
        <f>IF($H48&lt;&gt;"","项目成本",IFERROR(INDEX(基础资料!$W$4:$W$49,MATCH($I48,基础资料!$V$4:$V$49,0)),""))</f>
        <v>人工社保</v>
      </c>
      <c r="X48" s="63" t="str">
        <f>IFERROR(INDEX(基础资料!$R$4:$R$17,MATCH($G48,基础资料!$Q$4:$Q$17,0)),"")</f>
        <v/>
      </c>
    </row>
    <row r="49" spans="1:24">
      <c r="A49" s="58">
        <f>IF($B49="","",COUNTA($B$5:$B49))</f>
        <v>45</v>
      </c>
      <c r="B49" s="53">
        <v>46036</v>
      </c>
      <c r="C49" s="46" t="s">
        <v>80</v>
      </c>
      <c r="D49" s="63" t="str">
        <f>IFERROR(INDEX(基础资料!$F$4:$F$23,MATCH($C49,基础资料!$E$4:$E$23,0)),IF($C49="","","未匹配账户"))</f>
        <v>双思威</v>
      </c>
      <c r="E49" s="39" t="s">
        <v>488</v>
      </c>
      <c r="F49" s="10"/>
      <c r="G49" s="46"/>
      <c r="H49" s="10"/>
      <c r="I49" s="46" t="s">
        <v>237</v>
      </c>
      <c r="J49" s="69" t="s">
        <v>505</v>
      </c>
      <c r="K49" s="25"/>
      <c r="L49" s="25">
        <v>600</v>
      </c>
      <c r="M49" s="25">
        <f>IFERROR(VLOOKUP($C49,$C$5:$M$24,11,0)+SUMIF($C$25:$C49,$C49,$K$25:$K49)-SUMIF($C$25:$C49,$C49,$L$25:$L49),"")</f>
        <v>1750749.78</v>
      </c>
      <c r="N49" s="10"/>
      <c r="O49" s="10"/>
      <c r="P49" s="65"/>
      <c r="Q49" s="46"/>
      <c r="R49" s="46" t="s">
        <v>485</v>
      </c>
      <c r="S49" s="54">
        <f t="shared" si="0"/>
        <v>202601</v>
      </c>
      <c r="T49" s="54">
        <f t="shared" si="1"/>
        <v>202601</v>
      </c>
      <c r="U49" s="58" t="str">
        <f t="shared" si="2"/>
        <v/>
      </c>
      <c r="V49" s="58">
        <f>IF(AND($B49&lt;&gt;"",$F49&lt;&gt;"",$F49=项目明细账!$C$2),N(V48)+1,N(V48))</f>
        <v>0</v>
      </c>
      <c r="W49" s="63" t="str">
        <f>IF($H49&lt;&gt;"","项目成本",IFERROR(INDEX(基础资料!$W$4:$W$49,MATCH($I49,基础资料!$V$4:$V$49,0)),""))</f>
        <v>人工社保</v>
      </c>
      <c r="X49" s="63" t="str">
        <f>IFERROR(INDEX(基础资料!$R$4:$R$17,MATCH($G49,基础资料!$Q$4:$Q$17,0)),"")</f>
        <v/>
      </c>
    </row>
    <row r="50" spans="1:24">
      <c r="A50" s="58">
        <f>IF($B50="","",COUNTA($B$5:$B50))</f>
        <v>46</v>
      </c>
      <c r="B50" s="53">
        <v>46036</v>
      </c>
      <c r="C50" s="46" t="s">
        <v>80</v>
      </c>
      <c r="D50" s="63" t="str">
        <f>IFERROR(INDEX(基础资料!$F$4:$F$23,MATCH($C50,基础资料!$E$4:$E$23,0)),IF($C50="","","未匹配账户"))</f>
        <v>双思威</v>
      </c>
      <c r="E50" s="39" t="s">
        <v>488</v>
      </c>
      <c r="F50" s="10"/>
      <c r="G50" s="10"/>
      <c r="H50" s="10"/>
      <c r="I50" s="46" t="s">
        <v>237</v>
      </c>
      <c r="J50" s="69" t="s">
        <v>506</v>
      </c>
      <c r="K50" s="25"/>
      <c r="L50" s="25">
        <v>1400</v>
      </c>
      <c r="M50" s="25">
        <f>IFERROR(VLOOKUP($C50,$C$5:$M$24,11,0)+SUMIF($C$25:$C50,$C50,$K$25:$K50)-SUMIF($C$25:$C50,$C50,$L$25:$L50),"")</f>
        <v>1749349.78</v>
      </c>
      <c r="N50" s="10"/>
      <c r="O50" s="10"/>
      <c r="P50" s="65"/>
      <c r="Q50" s="46"/>
      <c r="R50" s="46" t="s">
        <v>485</v>
      </c>
      <c r="S50" s="54">
        <f t="shared" si="0"/>
        <v>202601</v>
      </c>
      <c r="T50" s="54">
        <f t="shared" si="1"/>
        <v>202601</v>
      </c>
      <c r="U50" s="58" t="str">
        <f t="shared" si="2"/>
        <v/>
      </c>
      <c r="V50" s="58">
        <f>IF(AND($B50&lt;&gt;"",$F50&lt;&gt;"",$F50=项目明细账!$C$2),N(V49)+1,N(V49))</f>
        <v>0</v>
      </c>
      <c r="W50" s="63" t="str">
        <f>IF($H50&lt;&gt;"","项目成本",IFERROR(INDEX(基础资料!$W$4:$W$49,MATCH($I50,基础资料!$V$4:$V$49,0)),""))</f>
        <v>人工社保</v>
      </c>
      <c r="X50" s="63" t="str">
        <f>IFERROR(INDEX(基础资料!$R$4:$R$17,MATCH($G50,基础资料!$Q$4:$Q$17,0)),"")</f>
        <v/>
      </c>
    </row>
    <row r="51" spans="1:24">
      <c r="A51" s="58">
        <f>IF($B51="","",COUNTA($B$5:$B51))</f>
        <v>47</v>
      </c>
      <c r="B51" s="53">
        <v>46036</v>
      </c>
      <c r="C51" s="46" t="s">
        <v>80</v>
      </c>
      <c r="D51" s="63" t="str">
        <f>IFERROR(INDEX(基础资料!$F$4:$F$23,MATCH($C51,基础资料!$E$4:$E$23,0)),IF($C51="","","未匹配账户"))</f>
        <v>双思威</v>
      </c>
      <c r="E51" s="39" t="s">
        <v>488</v>
      </c>
      <c r="F51" s="10"/>
      <c r="G51" s="10"/>
      <c r="H51" s="10"/>
      <c r="I51" s="46" t="s">
        <v>237</v>
      </c>
      <c r="J51" s="69" t="s">
        <v>507</v>
      </c>
      <c r="K51" s="25"/>
      <c r="L51" s="25">
        <v>1400</v>
      </c>
      <c r="M51" s="25">
        <f>IFERROR(VLOOKUP($C51,$C$5:$M$24,11,0)+SUMIF($C$25:$C51,$C51,$K$25:$K51)-SUMIF($C$25:$C51,$C51,$L$25:$L51),"")</f>
        <v>1747949.78</v>
      </c>
      <c r="N51" s="10"/>
      <c r="O51" s="10"/>
      <c r="P51" s="65"/>
      <c r="Q51" s="46"/>
      <c r="R51" s="46" t="s">
        <v>485</v>
      </c>
      <c r="S51" s="54">
        <f t="shared" si="0"/>
        <v>202601</v>
      </c>
      <c r="T51" s="54">
        <f t="shared" si="1"/>
        <v>202601</v>
      </c>
      <c r="U51" s="58" t="str">
        <f t="shared" si="2"/>
        <v/>
      </c>
      <c r="V51" s="58">
        <f>IF(AND($B51&lt;&gt;"",$F51&lt;&gt;"",$F51=项目明细账!$C$2),N(V50)+1,N(V50))</f>
        <v>0</v>
      </c>
      <c r="W51" s="63" t="str">
        <f>IF($H51&lt;&gt;"","项目成本",IFERROR(INDEX(基础资料!$W$4:$W$49,MATCH($I51,基础资料!$V$4:$V$49,0)),""))</f>
        <v>人工社保</v>
      </c>
      <c r="X51" s="63" t="str">
        <f>IFERROR(INDEX(基础资料!$R$4:$R$17,MATCH($G51,基础资料!$Q$4:$Q$17,0)),"")</f>
        <v/>
      </c>
    </row>
    <row r="52" spans="1:24">
      <c r="A52" s="58">
        <f>IF($B52="","",COUNTA($B$5:$B52))</f>
        <v>48</v>
      </c>
      <c r="B52" s="53">
        <v>46036</v>
      </c>
      <c r="C52" s="46" t="s">
        <v>80</v>
      </c>
      <c r="D52" s="63" t="str">
        <f>IFERROR(INDEX(基础资料!$F$4:$F$23,MATCH($C52,基础资料!$E$4:$E$23,0)),IF($C52="","","未匹配账户"))</f>
        <v>双思威</v>
      </c>
      <c r="E52" s="39" t="s">
        <v>488</v>
      </c>
      <c r="F52" s="10"/>
      <c r="G52" s="10"/>
      <c r="H52" s="10"/>
      <c r="I52" s="46" t="s">
        <v>237</v>
      </c>
      <c r="J52" s="69" t="s">
        <v>508</v>
      </c>
      <c r="K52" s="25"/>
      <c r="L52" s="25">
        <v>800</v>
      </c>
      <c r="M52" s="25">
        <f>IFERROR(VLOOKUP($C52,$C$5:$M$24,11,0)+SUMIF($C$25:$C52,$C52,$K$25:$K52)-SUMIF($C$25:$C52,$C52,$L$25:$L52),"")</f>
        <v>1747149.78</v>
      </c>
      <c r="N52" s="10"/>
      <c r="O52" s="10"/>
      <c r="P52" s="65"/>
      <c r="Q52" s="46"/>
      <c r="R52" s="46" t="s">
        <v>485</v>
      </c>
      <c r="S52" s="54">
        <f t="shared" si="0"/>
        <v>202601</v>
      </c>
      <c r="T52" s="54">
        <f t="shared" si="1"/>
        <v>202601</v>
      </c>
      <c r="U52" s="58" t="str">
        <f t="shared" si="2"/>
        <v/>
      </c>
      <c r="V52" s="58">
        <f>IF(AND($B52&lt;&gt;"",$F52&lt;&gt;"",$F52=项目明细账!$C$2),N(V51)+1,N(V51))</f>
        <v>0</v>
      </c>
      <c r="W52" s="63" t="str">
        <f>IF($H52&lt;&gt;"","项目成本",IFERROR(INDEX(基础资料!$W$4:$W$49,MATCH($I52,基础资料!$V$4:$V$49,0)),""))</f>
        <v>人工社保</v>
      </c>
      <c r="X52" s="63" t="str">
        <f>IFERROR(INDEX(基础资料!$R$4:$R$17,MATCH($G52,基础资料!$Q$4:$Q$17,0)),"")</f>
        <v/>
      </c>
    </row>
    <row r="53" spans="1:24">
      <c r="A53" s="58">
        <f>IF($B53="","",COUNTA($B$5:$B53))</f>
        <v>49</v>
      </c>
      <c r="B53" s="53">
        <v>46036</v>
      </c>
      <c r="C53" s="46" t="s">
        <v>80</v>
      </c>
      <c r="D53" s="63" t="str">
        <f>IFERROR(INDEX(基础资料!$F$4:$F$23,MATCH($C53,基础资料!$E$4:$E$23,0)),IF($C53="","","未匹配账户"))</f>
        <v>双思威</v>
      </c>
      <c r="E53" s="39" t="s">
        <v>488</v>
      </c>
      <c r="F53" s="10"/>
      <c r="G53" s="10"/>
      <c r="H53" s="10"/>
      <c r="I53" s="46" t="s">
        <v>237</v>
      </c>
      <c r="J53" s="69" t="s">
        <v>509</v>
      </c>
      <c r="K53" s="25"/>
      <c r="L53" s="25">
        <v>2800</v>
      </c>
      <c r="M53" s="25">
        <f>IFERROR(VLOOKUP($C53,$C$5:$M$24,11,0)+SUMIF($C$25:$C53,$C53,$K$25:$K53)-SUMIF($C$25:$C53,$C53,$L$25:$L53),"")</f>
        <v>1744349.78</v>
      </c>
      <c r="N53" s="10"/>
      <c r="O53" s="10"/>
      <c r="P53" s="65"/>
      <c r="Q53" s="46"/>
      <c r="R53" s="46" t="s">
        <v>485</v>
      </c>
      <c r="S53" s="54">
        <f t="shared" si="0"/>
        <v>202601</v>
      </c>
      <c r="T53" s="54">
        <f t="shared" si="1"/>
        <v>202601</v>
      </c>
      <c r="U53" s="58" t="str">
        <f t="shared" si="2"/>
        <v/>
      </c>
      <c r="V53" s="58">
        <f>IF(AND($B53&lt;&gt;"",$F53&lt;&gt;"",$F53=项目明细账!$C$2),N(V52)+1,N(V52))</f>
        <v>0</v>
      </c>
      <c r="W53" s="63" t="str">
        <f>IF($H53&lt;&gt;"","项目成本",IFERROR(INDEX(基础资料!$W$4:$W$49,MATCH($I53,基础资料!$V$4:$V$49,0)),""))</f>
        <v>人工社保</v>
      </c>
      <c r="X53" s="63" t="str">
        <f>IFERROR(INDEX(基础资料!$R$4:$R$17,MATCH($G53,基础资料!$Q$4:$Q$17,0)),"")</f>
        <v/>
      </c>
    </row>
    <row r="54" spans="1:24">
      <c r="A54" s="58">
        <f>IF($B54="","",COUNTA($B$5:$B54))</f>
        <v>50</v>
      </c>
      <c r="B54" s="53">
        <v>46036</v>
      </c>
      <c r="C54" s="46" t="s">
        <v>80</v>
      </c>
      <c r="D54" s="63" t="str">
        <f>IFERROR(INDEX(基础资料!$F$4:$F$23,MATCH($C54,基础资料!$E$4:$E$23,0)),IF($C54="","","未匹配账户"))</f>
        <v>双思威</v>
      </c>
      <c r="E54" s="39" t="s">
        <v>488</v>
      </c>
      <c r="F54" s="10"/>
      <c r="G54" s="10"/>
      <c r="H54" s="10"/>
      <c r="I54" s="46" t="s">
        <v>237</v>
      </c>
      <c r="J54" s="69" t="s">
        <v>510</v>
      </c>
      <c r="K54" s="25"/>
      <c r="L54" s="25">
        <v>1000</v>
      </c>
      <c r="M54" s="25">
        <f>IFERROR(VLOOKUP($C54,$C$5:$M$24,11,0)+SUMIF($C$25:$C54,$C54,$K$25:$K54)-SUMIF($C$25:$C54,$C54,$L$25:$L54),"")</f>
        <v>1743349.78</v>
      </c>
      <c r="N54" s="10"/>
      <c r="O54" s="10"/>
      <c r="P54" s="65"/>
      <c r="Q54" s="46"/>
      <c r="R54" s="46" t="s">
        <v>485</v>
      </c>
      <c r="S54" s="54">
        <f t="shared" si="0"/>
        <v>202601</v>
      </c>
      <c r="T54" s="54">
        <f t="shared" si="1"/>
        <v>202601</v>
      </c>
      <c r="U54" s="58" t="str">
        <f t="shared" si="2"/>
        <v/>
      </c>
      <c r="V54" s="58">
        <f>IF(AND($B54&lt;&gt;"",$F54&lt;&gt;"",$F54=项目明细账!$C$2),N(V53)+1,N(V53))</f>
        <v>0</v>
      </c>
      <c r="W54" s="63" t="str">
        <f>IF($H54&lt;&gt;"","项目成本",IFERROR(INDEX(基础资料!$W$4:$W$49,MATCH($I54,基础资料!$V$4:$V$49,0)),""))</f>
        <v>人工社保</v>
      </c>
      <c r="X54" s="63" t="str">
        <f>IFERROR(INDEX(基础资料!$R$4:$R$17,MATCH($G54,基础资料!$Q$4:$Q$17,0)),"")</f>
        <v/>
      </c>
    </row>
    <row r="55" spans="1:24">
      <c r="A55" s="58">
        <f>IF($B55="","",COUNTA($B$5:$B55))</f>
        <v>51</v>
      </c>
      <c r="B55" s="53">
        <v>46036</v>
      </c>
      <c r="C55" s="46" t="s">
        <v>80</v>
      </c>
      <c r="D55" s="63" t="str">
        <f>IFERROR(INDEX(基础资料!$F$4:$F$23,MATCH($C55,基础资料!$E$4:$E$23,0)),IF($C55="","","未匹配账户"))</f>
        <v>双思威</v>
      </c>
      <c r="E55" s="39" t="s">
        <v>488</v>
      </c>
      <c r="F55" s="10"/>
      <c r="G55" s="10"/>
      <c r="H55" s="10"/>
      <c r="I55" s="46" t="s">
        <v>237</v>
      </c>
      <c r="J55" s="69" t="s">
        <v>511</v>
      </c>
      <c r="K55" s="25"/>
      <c r="L55" s="25">
        <v>1300</v>
      </c>
      <c r="M55" s="25">
        <f>IFERROR(VLOOKUP($C55,$C$5:$M$24,11,0)+SUMIF($C$25:$C55,$C55,$K$25:$K55)-SUMIF($C$25:$C55,$C55,$L$25:$L55),"")</f>
        <v>1742049.78</v>
      </c>
      <c r="N55" s="10"/>
      <c r="O55" s="10"/>
      <c r="P55" s="65"/>
      <c r="Q55" s="46"/>
      <c r="R55" s="46" t="s">
        <v>485</v>
      </c>
      <c r="S55" s="54">
        <f t="shared" si="0"/>
        <v>202601</v>
      </c>
      <c r="T55" s="54">
        <f t="shared" si="1"/>
        <v>202601</v>
      </c>
      <c r="U55" s="58" t="str">
        <f t="shared" si="2"/>
        <v/>
      </c>
      <c r="V55" s="58">
        <f>IF(AND($B55&lt;&gt;"",$F55&lt;&gt;"",$F55=项目明细账!$C$2),N(V54)+1,N(V54))</f>
        <v>0</v>
      </c>
      <c r="W55" s="63" t="str">
        <f>IF($H55&lt;&gt;"","项目成本",IFERROR(INDEX(基础资料!$W$4:$W$49,MATCH($I55,基础资料!$V$4:$V$49,0)),""))</f>
        <v>人工社保</v>
      </c>
      <c r="X55" s="63" t="str">
        <f>IFERROR(INDEX(基础资料!$R$4:$R$17,MATCH($G55,基础资料!$Q$4:$Q$17,0)),"")</f>
        <v/>
      </c>
    </row>
    <row r="56" spans="1:24">
      <c r="A56" s="58">
        <f>IF($B56="","",COUNTA($B$5:$B56))</f>
        <v>52</v>
      </c>
      <c r="B56" s="53">
        <v>46036</v>
      </c>
      <c r="C56" s="46" t="s">
        <v>80</v>
      </c>
      <c r="D56" s="63" t="str">
        <f>IFERROR(INDEX(基础资料!$F$4:$F$23,MATCH($C56,基础资料!$E$4:$E$23,0)),IF($C56="","","未匹配账户"))</f>
        <v>双思威</v>
      </c>
      <c r="E56" s="39" t="s">
        <v>488</v>
      </c>
      <c r="F56" s="10"/>
      <c r="G56" s="10"/>
      <c r="H56" s="10"/>
      <c r="I56" s="46" t="s">
        <v>237</v>
      </c>
      <c r="J56" s="69" t="s">
        <v>512</v>
      </c>
      <c r="K56" s="25"/>
      <c r="L56" s="25">
        <v>1700</v>
      </c>
      <c r="M56" s="25">
        <f>IFERROR(VLOOKUP($C56,$C$5:$M$24,11,0)+SUMIF($C$25:$C56,$C56,$K$25:$K56)-SUMIF($C$25:$C56,$C56,$L$25:$L56),"")</f>
        <v>1740349.78</v>
      </c>
      <c r="N56" s="10"/>
      <c r="O56" s="10"/>
      <c r="P56" s="65"/>
      <c r="Q56" s="46"/>
      <c r="R56" s="46" t="s">
        <v>485</v>
      </c>
      <c r="S56" s="54">
        <f t="shared" si="0"/>
        <v>202601</v>
      </c>
      <c r="T56" s="54">
        <f t="shared" si="1"/>
        <v>202601</v>
      </c>
      <c r="U56" s="58" t="str">
        <f t="shared" si="2"/>
        <v/>
      </c>
      <c r="V56" s="58">
        <f>IF(AND($B56&lt;&gt;"",$F56&lt;&gt;"",$F56=项目明细账!$C$2),N(V55)+1,N(V55))</f>
        <v>0</v>
      </c>
      <c r="W56" s="63" t="str">
        <f>IF($H56&lt;&gt;"","项目成本",IFERROR(INDEX(基础资料!$W$4:$W$49,MATCH($I56,基础资料!$V$4:$V$49,0)),""))</f>
        <v>人工社保</v>
      </c>
      <c r="X56" s="63" t="str">
        <f>IFERROR(INDEX(基础资料!$R$4:$R$17,MATCH($G56,基础资料!$Q$4:$Q$17,0)),"")</f>
        <v/>
      </c>
    </row>
    <row r="57" spans="1:24">
      <c r="A57" s="58">
        <f>IF($B57="","",COUNTA($B$5:$B57))</f>
        <v>53</v>
      </c>
      <c r="B57" s="53">
        <v>46036</v>
      </c>
      <c r="C57" s="46" t="s">
        <v>80</v>
      </c>
      <c r="D57" s="63" t="str">
        <f>IFERROR(INDEX(基础资料!$F$4:$F$23,MATCH($C57,基础资料!$E$4:$E$23,0)),IF($C57="","","未匹配账户"))</f>
        <v>双思威</v>
      </c>
      <c r="E57" s="39" t="s">
        <v>488</v>
      </c>
      <c r="F57" s="10"/>
      <c r="G57" s="10"/>
      <c r="H57" s="46"/>
      <c r="I57" s="46" t="s">
        <v>237</v>
      </c>
      <c r="J57" s="69" t="s">
        <v>513</v>
      </c>
      <c r="K57" s="25"/>
      <c r="L57" s="25">
        <v>1200</v>
      </c>
      <c r="M57" s="25">
        <f>IFERROR(VLOOKUP($C57,$C$5:$M$24,11,0)+SUMIF($C$25:$C57,$C57,$K$25:$K57)-SUMIF($C$25:$C57,$C57,$L$25:$L57),"")</f>
        <v>1739149.78</v>
      </c>
      <c r="N57" s="10"/>
      <c r="O57" s="46" t="s">
        <v>514</v>
      </c>
      <c r="P57" s="65"/>
      <c r="Q57" s="46"/>
      <c r="R57" s="46" t="s">
        <v>485</v>
      </c>
      <c r="S57" s="54">
        <f t="shared" si="0"/>
        <v>202601</v>
      </c>
      <c r="T57" s="54">
        <f t="shared" si="1"/>
        <v>202601</v>
      </c>
      <c r="U57" s="58" t="str">
        <f t="shared" si="2"/>
        <v/>
      </c>
      <c r="V57" s="58">
        <f>IF(AND($B57&lt;&gt;"",$F57&lt;&gt;"",$F57=项目明细账!$C$2),N(V56)+1,N(V56))</f>
        <v>0</v>
      </c>
      <c r="W57" s="63" t="str">
        <f>IF($H57&lt;&gt;"","项目成本",IFERROR(INDEX(基础资料!$W$4:$W$49,MATCH($I57,基础资料!$V$4:$V$49,0)),""))</f>
        <v>人工社保</v>
      </c>
      <c r="X57" s="63" t="str">
        <f>IFERROR(INDEX(基础资料!$R$4:$R$17,MATCH($G57,基础资料!$Q$4:$Q$17,0)),"")</f>
        <v/>
      </c>
    </row>
    <row r="58" spans="1:24">
      <c r="A58" s="58">
        <f>IF($B58="","",COUNTA($B$5:$B58))</f>
        <v>54</v>
      </c>
      <c r="B58" s="53">
        <v>46036</v>
      </c>
      <c r="C58" s="46" t="s">
        <v>80</v>
      </c>
      <c r="D58" s="63" t="str">
        <f>IFERROR(INDEX(基础资料!$F$4:$F$23,MATCH($C58,基础资料!$E$4:$E$23,0)),IF($C58="","","未匹配账户"))</f>
        <v>双思威</v>
      </c>
      <c r="E58" s="39" t="s">
        <v>488</v>
      </c>
      <c r="F58" s="10"/>
      <c r="G58" s="10"/>
      <c r="H58" s="46"/>
      <c r="I58" s="46" t="s">
        <v>237</v>
      </c>
      <c r="J58" s="69" t="s">
        <v>515</v>
      </c>
      <c r="K58" s="25"/>
      <c r="L58" s="25">
        <v>600</v>
      </c>
      <c r="M58" s="25">
        <f>IFERROR(VLOOKUP($C58,$C$5:$M$24,11,0)+SUMIF($C$25:$C58,$C58,$K$25:$K58)-SUMIF($C$25:$C58,$C58,$L$25:$L58),"")</f>
        <v>1738549.78</v>
      </c>
      <c r="N58" s="10"/>
      <c r="O58" s="46" t="s">
        <v>514</v>
      </c>
      <c r="P58" s="65"/>
      <c r="Q58" s="46"/>
      <c r="R58" s="46" t="s">
        <v>485</v>
      </c>
      <c r="S58" s="54">
        <f t="shared" si="0"/>
        <v>202601</v>
      </c>
      <c r="T58" s="54">
        <f t="shared" si="1"/>
        <v>202601</v>
      </c>
      <c r="U58" s="58" t="str">
        <f t="shared" si="2"/>
        <v/>
      </c>
      <c r="V58" s="58">
        <f>IF(AND($B58&lt;&gt;"",$F58&lt;&gt;"",$F58=项目明细账!$C$2),N(V57)+1,N(V57))</f>
        <v>0</v>
      </c>
      <c r="W58" s="63" t="str">
        <f>IF($H58&lt;&gt;"","项目成本",IFERROR(INDEX(基础资料!$W$4:$W$49,MATCH($I58,基础资料!$V$4:$V$49,0)),""))</f>
        <v>人工社保</v>
      </c>
      <c r="X58" s="63" t="str">
        <f>IFERROR(INDEX(基础资料!$R$4:$R$17,MATCH($G58,基础资料!$Q$4:$Q$17,0)),"")</f>
        <v/>
      </c>
    </row>
    <row r="59" spans="1:24">
      <c r="A59" s="58">
        <f>IF($B59="","",COUNTA($B$5:$B59))</f>
        <v>55</v>
      </c>
      <c r="B59" s="53">
        <v>46036</v>
      </c>
      <c r="C59" s="46" t="s">
        <v>80</v>
      </c>
      <c r="D59" s="63" t="str">
        <f>IFERROR(INDEX(基础资料!$F$4:$F$23,MATCH($C59,基础资料!$E$4:$E$23,0)),IF($C59="","","未匹配账户"))</f>
        <v>双思威</v>
      </c>
      <c r="E59" s="39" t="s">
        <v>488</v>
      </c>
      <c r="F59" s="10"/>
      <c r="G59" s="10"/>
      <c r="H59" s="46"/>
      <c r="I59" s="46" t="s">
        <v>237</v>
      </c>
      <c r="J59" s="69" t="s">
        <v>516</v>
      </c>
      <c r="K59" s="25"/>
      <c r="L59" s="25">
        <v>1168.59</v>
      </c>
      <c r="M59" s="25">
        <f>IFERROR(VLOOKUP($C59,$C$5:$M$24,11,0)+SUMIF($C$25:$C59,$C59,$K$25:$K59)-SUMIF($C$25:$C59,$C59,$L$25:$L59),"")</f>
        <v>1737381.19</v>
      </c>
      <c r="N59" s="10"/>
      <c r="O59" s="46" t="s">
        <v>514</v>
      </c>
      <c r="P59" s="65"/>
      <c r="Q59" s="46"/>
      <c r="R59" s="46" t="s">
        <v>485</v>
      </c>
      <c r="S59" s="54">
        <f t="shared" si="0"/>
        <v>202601</v>
      </c>
      <c r="T59" s="54">
        <f t="shared" si="1"/>
        <v>202601</v>
      </c>
      <c r="U59" s="58" t="str">
        <f t="shared" si="2"/>
        <v/>
      </c>
      <c r="V59" s="58">
        <f>IF(AND($B59&lt;&gt;"",$F59&lt;&gt;"",$F59=项目明细账!$C$2),N(V58)+1,N(V58))</f>
        <v>0</v>
      </c>
      <c r="W59" s="63" t="str">
        <f>IF($H59&lt;&gt;"","项目成本",IFERROR(INDEX(基础资料!$W$4:$W$49,MATCH($I59,基础资料!$V$4:$V$49,0)),""))</f>
        <v>人工社保</v>
      </c>
      <c r="X59" s="63" t="str">
        <f>IFERROR(INDEX(基础资料!$R$4:$R$17,MATCH($G59,基础资料!$Q$4:$Q$17,0)),"")</f>
        <v/>
      </c>
    </row>
    <row r="60" spans="1:24">
      <c r="A60" s="58">
        <f>IF($B60="","",COUNTA($B$5:$B60))</f>
        <v>56</v>
      </c>
      <c r="B60" s="53">
        <v>46036</v>
      </c>
      <c r="C60" s="46" t="s">
        <v>80</v>
      </c>
      <c r="D60" s="63" t="str">
        <f>IFERROR(INDEX(基础资料!$F$4:$F$23,MATCH($C60,基础资料!$E$4:$E$23,0)),IF($C60="","","未匹配账户"))</f>
        <v>双思威</v>
      </c>
      <c r="E60" s="39" t="s">
        <v>488</v>
      </c>
      <c r="F60" s="10"/>
      <c r="G60" s="10"/>
      <c r="H60" s="10"/>
      <c r="I60" s="46" t="s">
        <v>237</v>
      </c>
      <c r="J60" s="69" t="s">
        <v>517</v>
      </c>
      <c r="K60" s="25"/>
      <c r="L60" s="25">
        <v>1000</v>
      </c>
      <c r="M60" s="25">
        <f>IFERROR(VLOOKUP($C60,$C$5:$M$24,11,0)+SUMIF($C$25:$C60,$C60,$K$25:$K60)-SUMIF($C$25:$C60,$C60,$L$25:$L60),"")</f>
        <v>1736381.19</v>
      </c>
      <c r="N60" s="10"/>
      <c r="O60" s="46" t="s">
        <v>518</v>
      </c>
      <c r="P60" s="65"/>
      <c r="Q60" s="46"/>
      <c r="R60" s="46" t="s">
        <v>485</v>
      </c>
      <c r="S60" s="54">
        <f t="shared" si="0"/>
        <v>202601</v>
      </c>
      <c r="T60" s="54">
        <f t="shared" si="1"/>
        <v>202601</v>
      </c>
      <c r="U60" s="58" t="str">
        <f t="shared" si="2"/>
        <v/>
      </c>
      <c r="V60" s="58">
        <f>IF(AND($B60&lt;&gt;"",$F60&lt;&gt;"",$F60=项目明细账!$C$2),N(V59)+1,N(V59))</f>
        <v>0</v>
      </c>
      <c r="W60" s="63" t="str">
        <f>IF($H60&lt;&gt;"","项目成本",IFERROR(INDEX(基础资料!$W$4:$W$49,MATCH($I60,基础资料!$V$4:$V$49,0)),""))</f>
        <v>人工社保</v>
      </c>
      <c r="X60" s="63" t="str">
        <f>IFERROR(INDEX(基础资料!$R$4:$R$17,MATCH($G60,基础资料!$Q$4:$Q$17,0)),"")</f>
        <v/>
      </c>
    </row>
    <row r="61" spans="1:24">
      <c r="A61" s="58">
        <f>IF($B61="","",COUNTA($B$5:$B61))</f>
        <v>57</v>
      </c>
      <c r="B61" s="53">
        <v>46036</v>
      </c>
      <c r="C61" s="46" t="s">
        <v>80</v>
      </c>
      <c r="D61" s="63" t="str">
        <f>IFERROR(INDEX(基础资料!$F$4:$F$23,MATCH($C61,基础资料!$E$4:$E$23,0)),IF($C61="","","未匹配账户"))</f>
        <v>双思威</v>
      </c>
      <c r="E61" s="39" t="s">
        <v>488</v>
      </c>
      <c r="F61" s="10"/>
      <c r="G61" s="10"/>
      <c r="H61" s="10"/>
      <c r="I61" s="46" t="s">
        <v>237</v>
      </c>
      <c r="J61" s="69" t="s">
        <v>519</v>
      </c>
      <c r="K61" s="25"/>
      <c r="L61" s="25">
        <v>1500</v>
      </c>
      <c r="M61" s="25">
        <f>IFERROR(VLOOKUP($C61,$C$5:$M$24,11,0)+SUMIF($C$25:$C61,$C61,$K$25:$K61)-SUMIF($C$25:$C61,$C61,$L$25:$L61),"")</f>
        <v>1734881.19</v>
      </c>
      <c r="N61" s="10"/>
      <c r="O61" s="46" t="s">
        <v>518</v>
      </c>
      <c r="P61" s="65"/>
      <c r="Q61" s="46"/>
      <c r="R61" s="46" t="s">
        <v>485</v>
      </c>
      <c r="S61" s="54">
        <f t="shared" si="0"/>
        <v>202601</v>
      </c>
      <c r="T61" s="54">
        <f t="shared" si="1"/>
        <v>202601</v>
      </c>
      <c r="U61" s="58" t="str">
        <f t="shared" si="2"/>
        <v/>
      </c>
      <c r="V61" s="58">
        <f>IF(AND($B61&lt;&gt;"",$F61&lt;&gt;"",$F61=项目明细账!$C$2),N(V60)+1,N(V60))</f>
        <v>0</v>
      </c>
      <c r="W61" s="63" t="str">
        <f>IF($H61&lt;&gt;"","项目成本",IFERROR(INDEX(基础资料!$W$4:$W$49,MATCH($I61,基础资料!$V$4:$V$49,0)),""))</f>
        <v>人工社保</v>
      </c>
      <c r="X61" s="63" t="str">
        <f>IFERROR(INDEX(基础资料!$R$4:$R$17,MATCH($G61,基础资料!$Q$4:$Q$17,0)),"")</f>
        <v/>
      </c>
    </row>
    <row r="62" spans="1:24">
      <c r="A62" s="58">
        <f>IF($B62="","",COUNTA($B$5:$B62))</f>
        <v>58</v>
      </c>
      <c r="B62" s="53">
        <v>46042</v>
      </c>
      <c r="C62" s="46" t="s">
        <v>80</v>
      </c>
      <c r="D62" s="63" t="str">
        <f>IFERROR(INDEX(基础资料!$F$4:$F$23,MATCH($C62,基础资料!$E$4:$E$23,0)),IF($C62="","","未匹配账户"))</f>
        <v>双思威</v>
      </c>
      <c r="E62" s="39" t="s">
        <v>488</v>
      </c>
      <c r="F62" s="10"/>
      <c r="G62" s="10"/>
      <c r="H62" s="46"/>
      <c r="I62" s="10" t="s">
        <v>273</v>
      </c>
      <c r="J62" s="69" t="s">
        <v>520</v>
      </c>
      <c r="K62" s="25"/>
      <c r="L62" s="25">
        <v>3653.4</v>
      </c>
      <c r="M62" s="25">
        <f>IFERROR(VLOOKUP($C62,$C$5:$M$24,11,0)+SUMIF($C$25:$C62,$C62,$K$25:$K62)-SUMIF($C$25:$C62,$C62,$L$25:$L62),"")</f>
        <v>1731227.79</v>
      </c>
      <c r="N62" s="10"/>
      <c r="O62" s="46" t="s">
        <v>514</v>
      </c>
      <c r="P62" s="65"/>
      <c r="Q62" s="46"/>
      <c r="R62" s="46" t="s">
        <v>485</v>
      </c>
      <c r="S62" s="54">
        <f t="shared" si="0"/>
        <v>202601</v>
      </c>
      <c r="T62" s="54">
        <f t="shared" si="1"/>
        <v>202601</v>
      </c>
      <c r="U62" s="58" t="str">
        <f t="shared" si="2"/>
        <v/>
      </c>
      <c r="V62" s="58">
        <f>IF(AND($B62&lt;&gt;"",$F62&lt;&gt;"",$F62=项目明细账!$C$2),N(V61)+1,N(V61))</f>
        <v>0</v>
      </c>
      <c r="W62" s="63" t="str">
        <f>IF($H62&lt;&gt;"","项目成本",IFERROR(INDEX(基础资料!$W$4:$W$49,MATCH($I62,基础资料!$V$4:$V$49,0)),""))</f>
        <v>税费</v>
      </c>
      <c r="X62" s="63" t="str">
        <f>IFERROR(INDEX(基础资料!$R$4:$R$17,MATCH($G62,基础资料!$Q$4:$Q$17,0)),"")</f>
        <v/>
      </c>
    </row>
    <row r="63" spans="1:24">
      <c r="A63" s="58">
        <f>IF($B63="","",COUNTA($B$5:$B63))</f>
        <v>59</v>
      </c>
      <c r="B63" s="53">
        <v>46042</v>
      </c>
      <c r="C63" s="46" t="s">
        <v>80</v>
      </c>
      <c r="D63" s="63" t="str">
        <f>IFERROR(INDEX(基础资料!$F$4:$F$23,MATCH($C63,基础资料!$E$4:$E$23,0)),IF($C63="","","未匹配账户"))</f>
        <v>双思威</v>
      </c>
      <c r="E63" s="39" t="s">
        <v>488</v>
      </c>
      <c r="F63" s="10"/>
      <c r="G63" s="10"/>
      <c r="H63" s="46"/>
      <c r="I63" s="10"/>
      <c r="J63" s="69" t="s">
        <v>521</v>
      </c>
      <c r="K63" s="25"/>
      <c r="L63" s="25">
        <v>1654.37</v>
      </c>
      <c r="M63" s="25">
        <f>IFERROR(VLOOKUP($C63,$C$5:$M$24,11,0)+SUMIF($C$25:$C63,$C63,$K$25:$K63)-SUMIF($C$25:$C63,$C63,$L$25:$L63),"")</f>
        <v>1729573.42</v>
      </c>
      <c r="N63" s="10"/>
      <c r="O63" s="46" t="s">
        <v>514</v>
      </c>
      <c r="P63" s="65"/>
      <c r="Q63" s="46"/>
      <c r="R63" s="46" t="s">
        <v>485</v>
      </c>
      <c r="S63" s="54">
        <f t="shared" si="0"/>
        <v>202601</v>
      </c>
      <c r="T63" s="54">
        <f t="shared" si="1"/>
        <v>202601</v>
      </c>
      <c r="U63" s="58" t="str">
        <f t="shared" si="2"/>
        <v/>
      </c>
      <c r="V63" s="58">
        <f>IF(AND($B63&lt;&gt;"",$F63&lt;&gt;"",$F63=项目明细账!$C$2),N(V62)+1,N(V62))</f>
        <v>0</v>
      </c>
      <c r="W63" s="63" t="str">
        <f>IF($H63&lt;&gt;"","项目成本",IFERROR(INDEX(基础资料!$W$4:$W$49,MATCH($I63,基础资料!$V$4:$V$49,0)),""))</f>
        <v/>
      </c>
      <c r="X63" s="63" t="str">
        <f>IFERROR(INDEX(基础资料!$R$4:$R$17,MATCH($G63,基础资料!$Q$4:$Q$17,0)),"")</f>
        <v/>
      </c>
    </row>
    <row r="64" spans="1:24">
      <c r="A64" s="58">
        <f>IF($B64="","",COUNTA($B$5:$B64))</f>
        <v>60</v>
      </c>
      <c r="B64" s="53">
        <v>46042</v>
      </c>
      <c r="C64" s="46" t="s">
        <v>80</v>
      </c>
      <c r="D64" s="63" t="str">
        <f>IFERROR(INDEX(基础资料!$F$4:$F$23,MATCH($C64,基础资料!$E$4:$E$23,0)),IF($C64="","","未匹配账户"))</f>
        <v>双思威</v>
      </c>
      <c r="E64" s="39" t="s">
        <v>488</v>
      </c>
      <c r="F64" s="10"/>
      <c r="G64" s="10"/>
      <c r="H64" s="10"/>
      <c r="I64" s="46" t="s">
        <v>262</v>
      </c>
      <c r="J64" s="69" t="s">
        <v>522</v>
      </c>
      <c r="K64" s="25"/>
      <c r="L64" s="25">
        <v>8022.84</v>
      </c>
      <c r="M64" s="25">
        <f>IFERROR(VLOOKUP($C64,$C$5:$M$24,11,0)+SUMIF($C$25:$C64,$C64,$K$25:$K64)-SUMIF($C$25:$C64,$C64,$L$25:$L64),"")</f>
        <v>1721550.58</v>
      </c>
      <c r="N64" s="10"/>
      <c r="O64" s="10"/>
      <c r="P64" s="65"/>
      <c r="Q64" s="46"/>
      <c r="R64" s="46" t="s">
        <v>485</v>
      </c>
      <c r="S64" s="54">
        <f t="shared" si="0"/>
        <v>202601</v>
      </c>
      <c r="T64" s="54">
        <f t="shared" si="1"/>
        <v>202601</v>
      </c>
      <c r="U64" s="58" t="str">
        <f t="shared" si="2"/>
        <v/>
      </c>
      <c r="V64" s="58">
        <f>IF(AND($B64&lt;&gt;"",$F64&lt;&gt;"",$F64=项目明细账!$C$2),N(V63)+1,N(V63))</f>
        <v>0</v>
      </c>
      <c r="W64" s="63" t="str">
        <f>IF($H64&lt;&gt;"","项目成本",IFERROR(INDEX(基础资料!$W$4:$W$49,MATCH($I64,基础资料!$V$4:$V$49,0)),""))</f>
        <v>税费</v>
      </c>
      <c r="X64" s="63" t="str">
        <f>IFERROR(INDEX(基础资料!$R$4:$R$17,MATCH($G64,基础资料!$Q$4:$Q$17,0)),"")</f>
        <v/>
      </c>
    </row>
    <row r="65" spans="1:24">
      <c r="A65" s="58">
        <f>IF($B65="","",COUNTA($B$5:$B65))</f>
        <v>61</v>
      </c>
      <c r="B65" s="53">
        <v>46042</v>
      </c>
      <c r="C65" s="46" t="s">
        <v>80</v>
      </c>
      <c r="D65" s="63" t="str">
        <f>IFERROR(INDEX(基础资料!$F$4:$F$23,MATCH($C65,基础资料!$E$4:$E$23,0)),IF($C65="","","未匹配账户"))</f>
        <v>双思威</v>
      </c>
      <c r="E65" s="39" t="s">
        <v>488</v>
      </c>
      <c r="F65" s="10"/>
      <c r="G65" s="46"/>
      <c r="H65" s="10"/>
      <c r="I65" s="10" t="s">
        <v>267</v>
      </c>
      <c r="J65" s="69" t="s">
        <v>523</v>
      </c>
      <c r="K65" s="25"/>
      <c r="L65" s="25">
        <v>481.37</v>
      </c>
      <c r="M65" s="25">
        <f>IFERROR(VLOOKUP($C65,$C$5:$M$24,11,0)+SUMIF($C$25:$C65,$C65,$K$25:$K65)-SUMIF($C$25:$C65,$C65,$L$25:$L65),"")</f>
        <v>1721069.21</v>
      </c>
      <c r="N65" s="10"/>
      <c r="O65" s="10"/>
      <c r="P65" s="65"/>
      <c r="Q65" s="46"/>
      <c r="R65" s="46" t="s">
        <v>485</v>
      </c>
      <c r="S65" s="54">
        <f t="shared" si="0"/>
        <v>202601</v>
      </c>
      <c r="T65" s="54">
        <f t="shared" si="1"/>
        <v>202601</v>
      </c>
      <c r="U65" s="58" t="str">
        <f t="shared" si="2"/>
        <v/>
      </c>
      <c r="V65" s="58">
        <f>IF(AND($B65&lt;&gt;"",$F65&lt;&gt;"",$F65=项目明细账!$C$2),N(V64)+1,N(V64))</f>
        <v>0</v>
      </c>
      <c r="W65" s="63" t="str">
        <f>IF($H65&lt;&gt;"","项目成本",IFERROR(INDEX(基础资料!$W$4:$W$49,MATCH($I65,基础资料!$V$4:$V$49,0)),""))</f>
        <v>税费</v>
      </c>
      <c r="X65" s="63" t="str">
        <f>IFERROR(INDEX(基础资料!$R$4:$R$17,MATCH($G65,基础资料!$Q$4:$Q$17,0)),"")</f>
        <v/>
      </c>
    </row>
    <row r="66" spans="1:24">
      <c r="A66" s="58">
        <f>IF($B66="","",COUNTA($B$5:$B66))</f>
        <v>62</v>
      </c>
      <c r="B66" s="53">
        <v>46042</v>
      </c>
      <c r="C66" s="46" t="s">
        <v>80</v>
      </c>
      <c r="D66" s="63" t="str">
        <f>IFERROR(INDEX(基础资料!$F$4:$F$23,MATCH($C66,基础资料!$E$4:$E$23,0)),IF($C66="","","未匹配账户"))</f>
        <v>双思威</v>
      </c>
      <c r="E66" s="39" t="s">
        <v>488</v>
      </c>
      <c r="F66" s="10"/>
      <c r="G66" s="46"/>
      <c r="H66" s="10"/>
      <c r="I66" s="10" t="s">
        <v>270</v>
      </c>
      <c r="J66" s="69" t="s">
        <v>524</v>
      </c>
      <c r="K66" s="25"/>
      <c r="L66" s="25">
        <v>2753.62</v>
      </c>
      <c r="M66" s="25">
        <f>IFERROR(VLOOKUP($C66,$C$5:$M$24,11,0)+SUMIF($C$25:$C66,$C66,$K$25:$K66)-SUMIF($C$25:$C66,$C66,$L$25:$L66),"")</f>
        <v>1718315.59</v>
      </c>
      <c r="N66" s="10"/>
      <c r="O66" s="10"/>
      <c r="P66" s="65"/>
      <c r="Q66" s="46"/>
      <c r="R66" s="46" t="s">
        <v>485</v>
      </c>
      <c r="S66" s="54">
        <f t="shared" si="0"/>
        <v>202601</v>
      </c>
      <c r="T66" s="54">
        <f t="shared" si="1"/>
        <v>202601</v>
      </c>
      <c r="U66" s="58" t="str">
        <f t="shared" si="2"/>
        <v/>
      </c>
      <c r="V66" s="58">
        <f>IF(AND($B66&lt;&gt;"",$F66&lt;&gt;"",$F66=项目明细账!$C$2),N(V65)+1,N(V65))</f>
        <v>0</v>
      </c>
      <c r="W66" s="63" t="str">
        <f>IF($H66&lt;&gt;"","项目成本",IFERROR(INDEX(基础资料!$W$4:$W$49,MATCH($I66,基础资料!$V$4:$V$49,0)),""))</f>
        <v>税费</v>
      </c>
      <c r="X66" s="63" t="str">
        <f>IFERROR(INDEX(基础资料!$R$4:$R$17,MATCH($G66,基础资料!$Q$4:$Q$17,0)),"")</f>
        <v/>
      </c>
    </row>
    <row r="67" spans="1:24">
      <c r="A67" s="58">
        <f>IF($B67="","",COUNTA($B$5:$B67))</f>
        <v>63</v>
      </c>
      <c r="B67" s="53">
        <v>46042</v>
      </c>
      <c r="C67" s="46" t="s">
        <v>80</v>
      </c>
      <c r="D67" s="63" t="str">
        <f>IFERROR(INDEX(基础资料!$F$4:$F$23,MATCH($C67,基础资料!$E$4:$E$23,0)),IF($C67="","","未匹配账户"))</f>
        <v>双思威</v>
      </c>
      <c r="E67" s="39" t="s">
        <v>488</v>
      </c>
      <c r="F67" s="10"/>
      <c r="G67" s="10"/>
      <c r="H67" s="10"/>
      <c r="I67" s="46" t="s">
        <v>270</v>
      </c>
      <c r="J67" s="69" t="s">
        <v>524</v>
      </c>
      <c r="K67" s="25"/>
      <c r="L67" s="25">
        <v>34.21</v>
      </c>
      <c r="M67" s="25">
        <f>IFERROR(VLOOKUP($C67,$C$5:$M$24,11,0)+SUMIF($C$25:$C67,$C67,$K$25:$K67)-SUMIF($C$25:$C67,$C67,$L$25:$L67),"")</f>
        <v>1718281.38</v>
      </c>
      <c r="N67" s="10"/>
      <c r="O67" s="46" t="s">
        <v>525</v>
      </c>
      <c r="P67" s="65"/>
      <c r="Q67" s="46"/>
      <c r="R67" s="46" t="s">
        <v>485</v>
      </c>
      <c r="S67" s="54">
        <f t="shared" si="0"/>
        <v>202601</v>
      </c>
      <c r="T67" s="54">
        <f t="shared" si="1"/>
        <v>202601</v>
      </c>
      <c r="U67" s="58" t="str">
        <f t="shared" si="2"/>
        <v/>
      </c>
      <c r="V67" s="58">
        <f>IF(AND($B67&lt;&gt;"",$F67&lt;&gt;"",$F67=项目明细账!$C$2),N(V66)+1,N(V66))</f>
        <v>0</v>
      </c>
      <c r="W67" s="63" t="str">
        <f>IF($H67&lt;&gt;"","项目成本",IFERROR(INDEX(基础资料!$W$4:$W$49,MATCH($I67,基础资料!$V$4:$V$49,0)),""))</f>
        <v>税费</v>
      </c>
      <c r="X67" s="63" t="str">
        <f>IFERROR(INDEX(基础资料!$R$4:$R$17,MATCH($G67,基础资料!$Q$4:$Q$17,0)),"")</f>
        <v/>
      </c>
    </row>
    <row r="68" spans="1:24">
      <c r="A68" s="58">
        <f>IF($B68="","",COUNTA($B$5:$B68))</f>
        <v>64</v>
      </c>
      <c r="B68" s="53">
        <v>46044</v>
      </c>
      <c r="C68" s="46" t="s">
        <v>80</v>
      </c>
      <c r="D68" s="63" t="str">
        <f>IFERROR(INDEX(基础资料!$F$4:$F$23,MATCH($C68,基础资料!$E$4:$E$23,0)),IF($C68="","","未匹配账户"))</f>
        <v>双思威</v>
      </c>
      <c r="E68" s="39" t="s">
        <v>488</v>
      </c>
      <c r="F68" s="10"/>
      <c r="G68" s="10"/>
      <c r="H68" s="46"/>
      <c r="I68" s="10" t="s">
        <v>282</v>
      </c>
      <c r="J68" s="46" t="s">
        <v>489</v>
      </c>
      <c r="K68" s="25"/>
      <c r="L68" s="25">
        <v>9</v>
      </c>
      <c r="M68" s="25">
        <f>IFERROR(VLOOKUP($C68,$C$5:$M$24,11,0)+SUMIF($C$25:$C68,$C68,$K$25:$K68)-SUMIF($C$25:$C68,$C68,$L$25:$L68),"")</f>
        <v>1718272.38</v>
      </c>
      <c r="N68" s="10"/>
      <c r="O68" s="46" t="s">
        <v>514</v>
      </c>
      <c r="P68" s="65"/>
      <c r="Q68" s="46"/>
      <c r="R68" s="46" t="s">
        <v>485</v>
      </c>
      <c r="S68" s="54">
        <f t="shared" si="0"/>
        <v>202601</v>
      </c>
      <c r="T68" s="54">
        <f t="shared" si="1"/>
        <v>202601</v>
      </c>
      <c r="U68" s="58" t="str">
        <f t="shared" si="2"/>
        <v/>
      </c>
      <c r="V68" s="58">
        <f>IF(AND($B68&lt;&gt;"",$F68&lt;&gt;"",$F68=项目明细账!$C$2),N(V67)+1,N(V67))</f>
        <v>0</v>
      </c>
      <c r="W68" s="63" t="str">
        <f>IF($H68&lt;&gt;"","项目成本",IFERROR(INDEX(基础资料!$W$4:$W$49,MATCH($I68,基础资料!$V$4:$V$49,0)),""))</f>
        <v>财务费用</v>
      </c>
      <c r="X68" s="63" t="str">
        <f>IFERROR(INDEX(基础资料!$R$4:$R$17,MATCH($G68,基础资料!$Q$4:$Q$17,0)),"")</f>
        <v/>
      </c>
    </row>
    <row r="69" spans="1:24">
      <c r="A69" s="58">
        <f>IF($B69="","",COUNTA($B$5:$B69))</f>
        <v>65</v>
      </c>
      <c r="B69" s="53">
        <v>46045</v>
      </c>
      <c r="C69" s="46" t="s">
        <v>80</v>
      </c>
      <c r="D69" s="63" t="str">
        <f>IFERROR(INDEX(基础资料!$F$4:$F$23,MATCH($C69,基础资料!$E$4:$E$23,0)),IF($C69="","","未匹配账户"))</f>
        <v>双思威</v>
      </c>
      <c r="E69" s="39" t="s">
        <v>488</v>
      </c>
      <c r="F69" s="10"/>
      <c r="G69" s="10"/>
      <c r="H69" s="46"/>
      <c r="I69" s="10" t="s">
        <v>246</v>
      </c>
      <c r="J69" s="69" t="s">
        <v>526</v>
      </c>
      <c r="K69" s="25"/>
      <c r="L69" s="25">
        <v>20703.73</v>
      </c>
      <c r="M69" s="25">
        <f>IFERROR(VLOOKUP($C69,$C$5:$M$24,11,0)+SUMIF($C$25:$C69,$C69,$K$25:$K69)-SUMIF($C$25:$C69,$C69,$L$25:$L69),"")</f>
        <v>1697568.65</v>
      </c>
      <c r="N69" s="10"/>
      <c r="O69" s="46" t="s">
        <v>514</v>
      </c>
      <c r="P69" s="65"/>
      <c r="Q69" s="46"/>
      <c r="R69" s="46" t="s">
        <v>485</v>
      </c>
      <c r="S69" s="54">
        <f t="shared" si="0"/>
        <v>202601</v>
      </c>
      <c r="T69" s="54">
        <f t="shared" si="1"/>
        <v>202601</v>
      </c>
      <c r="U69" s="58" t="str">
        <f t="shared" si="2"/>
        <v/>
      </c>
      <c r="V69" s="58">
        <f>IF(AND($B69&lt;&gt;"",$F69&lt;&gt;"",$F69=项目明细账!$C$2),N(V68)+1,N(V68))</f>
        <v>0</v>
      </c>
      <c r="W69" s="63" t="str">
        <f>IF($H69&lt;&gt;"","项目成本",IFERROR(INDEX(基础资料!$W$4:$W$49,MATCH($I69,基础资料!$V$4:$V$49,0)),""))</f>
        <v>人工社保</v>
      </c>
      <c r="X69" s="63" t="str">
        <f>IFERROR(INDEX(基础资料!$R$4:$R$17,MATCH($G69,基础资料!$Q$4:$Q$17,0)),"")</f>
        <v/>
      </c>
    </row>
    <row r="70" spans="1:24">
      <c r="A70" s="58">
        <f>IF($B70="","",COUNTA($B$5:$B70))</f>
        <v>66</v>
      </c>
      <c r="B70" s="53">
        <v>46045</v>
      </c>
      <c r="C70" s="46" t="s">
        <v>80</v>
      </c>
      <c r="D70" s="63" t="str">
        <f>IFERROR(INDEX(基础资料!$F$4:$F$23,MATCH($C70,基础资料!$E$4:$E$23,0)),IF($C70="","","未匹配账户"))</f>
        <v>双思威</v>
      </c>
      <c r="E70" s="39" t="s">
        <v>488</v>
      </c>
      <c r="F70" s="10"/>
      <c r="G70" s="10"/>
      <c r="H70" s="10"/>
      <c r="I70" s="46" t="s">
        <v>248</v>
      </c>
      <c r="J70" s="69" t="s">
        <v>527</v>
      </c>
      <c r="K70" s="25"/>
      <c r="L70" s="25">
        <v>9637.29</v>
      </c>
      <c r="M70" s="25">
        <f>IFERROR(VLOOKUP($C70,$C$5:$M$24,11,0)+SUMIF($C$25:$C70,$C70,$K$25:$K70)-SUMIF($C$25:$C70,$C70,$L$25:$L70),"")</f>
        <v>1687931.36</v>
      </c>
      <c r="N70" s="10"/>
      <c r="O70" s="46" t="s">
        <v>528</v>
      </c>
      <c r="P70" s="65"/>
      <c r="Q70" s="46"/>
      <c r="R70" s="46" t="s">
        <v>485</v>
      </c>
      <c r="S70" s="54">
        <f t="shared" ref="S70:S133" si="3">IF($B70="","",--TEXT($B70,"yyyymm"))</f>
        <v>202601</v>
      </c>
      <c r="T70" s="54">
        <f t="shared" ref="T70:T133" si="4">IF($B70="","",IF($P70="",$S70,IFERROR($P70*1,$P70)))</f>
        <v>202601</v>
      </c>
      <c r="U70" s="58" t="str">
        <f t="shared" ref="U70:U133" si="5">IF($B70="","",IF($T70=$S70,"","跨期"))</f>
        <v/>
      </c>
      <c r="V70" s="58">
        <f>IF(AND($B70&lt;&gt;"",$F70&lt;&gt;"",$F70=项目明细账!$C$2),N(V69)+1,N(V69))</f>
        <v>0</v>
      </c>
      <c r="W70" s="63" t="str">
        <f>IF($H70&lt;&gt;"","项目成本",IFERROR(INDEX(基础资料!$W$4:$W$49,MATCH($I70,基础资料!$V$4:$V$49,0)),""))</f>
        <v>人工社保</v>
      </c>
      <c r="X70" s="63" t="str">
        <f>IFERROR(INDEX(基础资料!$R$4:$R$17,MATCH($G70,基础资料!$Q$4:$Q$17,0)),"")</f>
        <v/>
      </c>
    </row>
    <row r="71" spans="1:24">
      <c r="A71" s="58">
        <f>IF($B71="","",COUNTA($B$5:$B71))</f>
        <v>67</v>
      </c>
      <c r="B71" s="53">
        <v>46049</v>
      </c>
      <c r="C71" s="46" t="s">
        <v>80</v>
      </c>
      <c r="D71" s="63" t="str">
        <f>IFERROR(INDEX(基础资料!$F$4:$F$23,MATCH($C71,基础资料!$E$4:$E$23,0)),IF($C71="","","未匹配账户"))</f>
        <v>双思威</v>
      </c>
      <c r="E71" s="39" t="s">
        <v>488</v>
      </c>
      <c r="F71" s="10"/>
      <c r="G71" s="10"/>
      <c r="H71" s="10"/>
      <c r="I71" s="46" t="s">
        <v>282</v>
      </c>
      <c r="J71" s="46" t="s">
        <v>489</v>
      </c>
      <c r="K71" s="25"/>
      <c r="L71" s="25">
        <v>4.5</v>
      </c>
      <c r="M71" s="25">
        <f>IFERROR(VLOOKUP($C71,$C$5:$M$24,11,0)+SUMIF($C$25:$C71,$C71,$K$25:$K71)-SUMIF($C$25:$C71,$C71,$L$25:$L71),"")</f>
        <v>1687926.86</v>
      </c>
      <c r="N71" s="10"/>
      <c r="O71" s="10"/>
      <c r="P71" s="65"/>
      <c r="Q71" s="46"/>
      <c r="R71" s="46" t="s">
        <v>485</v>
      </c>
      <c r="S71" s="54">
        <f t="shared" si="3"/>
        <v>202601</v>
      </c>
      <c r="T71" s="54">
        <f t="shared" si="4"/>
        <v>202601</v>
      </c>
      <c r="U71" s="58" t="str">
        <f t="shared" si="5"/>
        <v/>
      </c>
      <c r="V71" s="58">
        <f>IF(AND($B71&lt;&gt;"",$F71&lt;&gt;"",$F71=项目明细账!$C$2),N(V70)+1,N(V70))</f>
        <v>0</v>
      </c>
      <c r="W71" s="63" t="str">
        <f>IF($H71&lt;&gt;"","项目成本",IFERROR(INDEX(基础资料!$W$4:$W$49,MATCH($I71,基础资料!$V$4:$V$49,0)),""))</f>
        <v>财务费用</v>
      </c>
      <c r="X71" s="63" t="str">
        <f>IFERROR(INDEX(基础资料!$R$4:$R$17,MATCH($G71,基础资料!$Q$4:$Q$17,0)),"")</f>
        <v/>
      </c>
    </row>
    <row r="72" spans="1:24">
      <c r="A72" s="58">
        <f>IF($B72="","",COUNTA($B$5:$B72))</f>
        <v>68</v>
      </c>
      <c r="B72" s="53">
        <v>46049</v>
      </c>
      <c r="C72" s="46" t="s">
        <v>80</v>
      </c>
      <c r="D72" s="63" t="str">
        <f>IFERROR(INDEX(基础资料!$F$4:$F$23,MATCH($C72,基础资料!$E$4:$E$23,0)),IF($C72="","","未匹配账户"))</f>
        <v>双思威</v>
      </c>
      <c r="E72" s="39" t="s">
        <v>488</v>
      </c>
      <c r="F72" s="10"/>
      <c r="G72" s="46"/>
      <c r="H72" s="10"/>
      <c r="I72" s="10" t="s">
        <v>282</v>
      </c>
      <c r="J72" s="46" t="s">
        <v>489</v>
      </c>
      <c r="K72" s="25"/>
      <c r="L72" s="25">
        <v>4.5</v>
      </c>
      <c r="M72" s="25">
        <f>IFERROR(VLOOKUP($C72,$C$5:$M$24,11,0)+SUMIF($C$25:$C72,$C72,$K$25:$K72)-SUMIF($C$25:$C72,$C72,$L$25:$L72),"")</f>
        <v>1687922.36</v>
      </c>
      <c r="N72" s="10"/>
      <c r="O72" s="10"/>
      <c r="P72" s="65"/>
      <c r="Q72" s="46"/>
      <c r="R72" s="46" t="s">
        <v>485</v>
      </c>
      <c r="S72" s="54">
        <f t="shared" si="3"/>
        <v>202601</v>
      </c>
      <c r="T72" s="54">
        <f t="shared" si="4"/>
        <v>202601</v>
      </c>
      <c r="U72" s="58" t="str">
        <f t="shared" si="5"/>
        <v/>
      </c>
      <c r="V72" s="58">
        <f>IF(AND($B72&lt;&gt;"",$F72&lt;&gt;"",$F72=项目明细账!$C$2),N(V71)+1,N(V71))</f>
        <v>0</v>
      </c>
      <c r="W72" s="63" t="str">
        <f>IF($H72&lt;&gt;"","项目成本",IFERROR(INDEX(基础资料!$W$4:$W$49,MATCH($I72,基础资料!$V$4:$V$49,0)),""))</f>
        <v>财务费用</v>
      </c>
      <c r="X72" s="63" t="str">
        <f>IFERROR(INDEX(基础资料!$R$4:$R$17,MATCH($G72,基础资料!$Q$4:$Q$17,0)),"")</f>
        <v/>
      </c>
    </row>
    <row r="73" spans="1:24">
      <c r="A73" s="58">
        <f>IF($B73="","",COUNTA($B$5:$B73))</f>
        <v>69</v>
      </c>
      <c r="B73" s="53">
        <v>46024</v>
      </c>
      <c r="C73" s="46" t="s">
        <v>99</v>
      </c>
      <c r="D73" s="63" t="str">
        <f>IFERROR(INDEX(基础资料!$F$4:$F$23,MATCH($C73,基础资料!$E$4:$E$23,0)),IF($C73="","","未匹配账户"))</f>
        <v>双思威</v>
      </c>
      <c r="E73" s="39" t="s">
        <v>488</v>
      </c>
      <c r="F73" s="10"/>
      <c r="G73" s="46"/>
      <c r="H73" s="10"/>
      <c r="I73" s="10" t="s">
        <v>221</v>
      </c>
      <c r="J73" s="70" t="s">
        <v>529</v>
      </c>
      <c r="K73" s="25"/>
      <c r="L73" s="25">
        <v>4715</v>
      </c>
      <c r="M73" s="25">
        <f>IFERROR(VLOOKUP($C73,$C$5:$M$24,11,0)+SUMIF($C$25:$C73,$C73,$K$25:$K73)-SUMIF($C$25:$C73,$C73,$L$25:$L73),"")</f>
        <v>4114006.15</v>
      </c>
      <c r="N73" s="10"/>
      <c r="O73" s="10"/>
      <c r="P73" s="65"/>
      <c r="Q73" s="46"/>
      <c r="R73" s="46" t="s">
        <v>485</v>
      </c>
      <c r="S73" s="54">
        <f t="shared" si="3"/>
        <v>202601</v>
      </c>
      <c r="T73" s="54">
        <f t="shared" si="4"/>
        <v>202601</v>
      </c>
      <c r="U73" s="58" t="str">
        <f t="shared" si="5"/>
        <v/>
      </c>
      <c r="V73" s="58">
        <f>IF(AND($B73&lt;&gt;"",$F73&lt;&gt;"",$F73=项目明细账!$C$2),N(V72)+1,N(V72))</f>
        <v>0</v>
      </c>
      <c r="W73" s="63" t="str">
        <f>IF($H73&lt;&gt;"","项目成本",IFERROR(INDEX(基础资料!$W$4:$W$49,MATCH($I73,基础资料!$V$4:$V$49,0)),""))</f>
        <v>管理费用</v>
      </c>
      <c r="X73" s="63" t="str">
        <f>IFERROR(INDEX(基础资料!$R$4:$R$17,MATCH($G73,基础资料!$Q$4:$Q$17,0)),"")</f>
        <v/>
      </c>
    </row>
    <row r="74" spans="1:24">
      <c r="A74" s="58">
        <f>IF($B74="","",COUNTA($B$5:$B74))</f>
        <v>70</v>
      </c>
      <c r="B74" s="53">
        <v>46025</v>
      </c>
      <c r="C74" s="46" t="s">
        <v>99</v>
      </c>
      <c r="D74" s="63" t="str">
        <f>IFERROR(INDEX(基础资料!$F$4:$F$23,MATCH($C74,基础资料!$E$4:$E$23,0)),IF($C74="","","未匹配账户"))</f>
        <v>双思威</v>
      </c>
      <c r="E74" s="39" t="s">
        <v>488</v>
      </c>
      <c r="F74" s="10" t="s">
        <v>212</v>
      </c>
      <c r="G74" s="10"/>
      <c r="H74" s="10" t="s">
        <v>530</v>
      </c>
      <c r="I74" s="46"/>
      <c r="J74" s="70" t="s">
        <v>531</v>
      </c>
      <c r="K74" s="25"/>
      <c r="L74" s="25">
        <v>5898</v>
      </c>
      <c r="M74" s="25">
        <f>IFERROR(VLOOKUP($C74,$C$5:$M$24,11,0)+SUMIF($C$25:$C74,$C74,$K$25:$K74)-SUMIF($C$25:$C74,$C74,$L$25:$L74),"")</f>
        <v>4108108.15</v>
      </c>
      <c r="N74" s="10"/>
      <c r="O74" s="10"/>
      <c r="P74" s="65"/>
      <c r="Q74" s="46"/>
      <c r="R74" s="46" t="s">
        <v>485</v>
      </c>
      <c r="S74" s="54">
        <f t="shared" si="3"/>
        <v>202601</v>
      </c>
      <c r="T74" s="54">
        <f t="shared" si="4"/>
        <v>202601</v>
      </c>
      <c r="U74" s="58" t="str">
        <f t="shared" si="5"/>
        <v/>
      </c>
      <c r="V74" s="58">
        <f>IF(AND($B74&lt;&gt;"",$F74&lt;&gt;"",$F74=项目明细账!$C$2),N(V73)+1,N(V73))</f>
        <v>0</v>
      </c>
      <c r="W74" s="63" t="str">
        <f>IF($H74&lt;&gt;"","项目成本",IFERROR(INDEX(基础资料!$W$4:$W$49,MATCH($I74,基础资料!$V$4:$V$49,0)),""))</f>
        <v>项目成本</v>
      </c>
      <c r="X74" s="63" t="str">
        <f>IFERROR(INDEX(基础资料!$R$4:$R$17,MATCH($G74,基础资料!$Q$4:$Q$17,0)),"")</f>
        <v/>
      </c>
    </row>
    <row r="75" spans="1:24">
      <c r="A75" s="58">
        <f>IF($B75="","",COUNTA($B$5:$B75))</f>
        <v>71</v>
      </c>
      <c r="B75" s="53">
        <v>46026</v>
      </c>
      <c r="C75" s="46" t="s">
        <v>99</v>
      </c>
      <c r="D75" s="63" t="str">
        <f>IFERROR(INDEX(基础资料!$F$4:$F$23,MATCH($C75,基础资料!$E$4:$E$23,0)),IF($C75="","","未匹配账户"))</f>
        <v>双思威</v>
      </c>
      <c r="E75" s="39" t="s">
        <v>488</v>
      </c>
      <c r="F75" s="10"/>
      <c r="G75" s="10"/>
      <c r="H75" s="10"/>
      <c r="I75" s="46" t="s">
        <v>133</v>
      </c>
      <c r="J75" s="70" t="s">
        <v>532</v>
      </c>
      <c r="K75" s="25"/>
      <c r="L75" s="25">
        <v>1845.66</v>
      </c>
      <c r="M75" s="25">
        <f>IFERROR(VLOOKUP($C75,$C$5:$M$24,11,0)+SUMIF($C$25:$C75,$C75,$K$25:$K75)-SUMIF($C$25:$C75,$C75,$L$25:$L75),"")</f>
        <v>4106262.49</v>
      </c>
      <c r="N75" s="10"/>
      <c r="O75" s="10"/>
      <c r="P75" s="65"/>
      <c r="Q75" s="46"/>
      <c r="R75" s="46" t="s">
        <v>485</v>
      </c>
      <c r="S75" s="54">
        <f t="shared" si="3"/>
        <v>202601</v>
      </c>
      <c r="T75" s="54">
        <f t="shared" si="4"/>
        <v>202601</v>
      </c>
      <c r="U75" s="58" t="str">
        <f t="shared" si="5"/>
        <v/>
      </c>
      <c r="V75" s="58">
        <f>IF(AND($B75&lt;&gt;"",$F75&lt;&gt;"",$F75=项目明细账!$C$2),N(V74)+1,N(V74))</f>
        <v>0</v>
      </c>
      <c r="W75" s="63" t="str">
        <f>IF($H75&lt;&gt;"","项目成本",IFERROR(INDEX(基础资料!$W$4:$W$49,MATCH($I75,基础资料!$V$4:$V$49,0)),""))</f>
        <v>管理费用</v>
      </c>
      <c r="X75" s="63" t="str">
        <f>IFERROR(INDEX(基础资料!$R$4:$R$17,MATCH($G75,基础资料!$Q$4:$Q$17,0)),"")</f>
        <v/>
      </c>
    </row>
    <row r="76" spans="1:24">
      <c r="A76" s="58">
        <f>IF($B76="","",COUNTA($B$5:$B76))</f>
        <v>72</v>
      </c>
      <c r="B76" s="53">
        <v>46027</v>
      </c>
      <c r="C76" s="46" t="s">
        <v>99</v>
      </c>
      <c r="D76" s="63" t="str">
        <f>IFERROR(INDEX(基础资料!$F$4:$F$23,MATCH($C76,基础资料!$E$4:$E$23,0)),IF($C76="","","未匹配账户"))</f>
        <v>双思威</v>
      </c>
      <c r="E76" s="39" t="s">
        <v>488</v>
      </c>
      <c r="F76" s="10" t="s">
        <v>287</v>
      </c>
      <c r="G76" s="10"/>
      <c r="H76" s="10" t="s">
        <v>530</v>
      </c>
      <c r="I76" s="46"/>
      <c r="J76" s="70" t="s">
        <v>533</v>
      </c>
      <c r="K76" s="25"/>
      <c r="L76" s="25">
        <v>6930</v>
      </c>
      <c r="M76" s="25">
        <f>IFERROR(VLOOKUP($C76,$C$5:$M$24,11,0)+SUMIF($C$25:$C76,$C76,$K$25:$K76)-SUMIF($C$25:$C76,$C76,$L$25:$L76),"")</f>
        <v>4099332.49</v>
      </c>
      <c r="N76" s="10"/>
      <c r="O76" s="10"/>
      <c r="P76" s="65"/>
      <c r="Q76" s="46"/>
      <c r="R76" s="46" t="s">
        <v>485</v>
      </c>
      <c r="S76" s="54">
        <f t="shared" si="3"/>
        <v>202601</v>
      </c>
      <c r="T76" s="54">
        <f t="shared" si="4"/>
        <v>202601</v>
      </c>
      <c r="U76" s="58" t="str">
        <f t="shared" si="5"/>
        <v/>
      </c>
      <c r="V76" s="58">
        <f>IF(AND($B76&lt;&gt;"",$F76&lt;&gt;"",$F76=项目明细账!$C$2),N(V75)+1,N(V75))</f>
        <v>0</v>
      </c>
      <c r="W76" s="63" t="str">
        <f>IF($H76&lt;&gt;"","项目成本",IFERROR(INDEX(基础资料!$W$4:$W$49,MATCH($I76,基础资料!$V$4:$V$49,0)),""))</f>
        <v>项目成本</v>
      </c>
      <c r="X76" s="63" t="str">
        <f>IFERROR(INDEX(基础资料!$R$4:$R$17,MATCH($G76,基础资料!$Q$4:$Q$17,0)),"")</f>
        <v/>
      </c>
    </row>
    <row r="77" spans="1:24">
      <c r="A77" s="58">
        <f>IF($B77="","",COUNTA($B$5:$B77))</f>
        <v>73</v>
      </c>
      <c r="B77" s="53">
        <v>46027</v>
      </c>
      <c r="C77" s="46" t="s">
        <v>99</v>
      </c>
      <c r="D77" s="63" t="str">
        <f>IFERROR(INDEX(基础资料!$F$4:$F$23,MATCH($C77,基础资料!$E$4:$E$23,0)),IF($C77="","","未匹配账户"))</f>
        <v>双思威</v>
      </c>
      <c r="E77" s="39" t="s">
        <v>488</v>
      </c>
      <c r="F77" s="10" t="s">
        <v>291</v>
      </c>
      <c r="G77" s="46"/>
      <c r="H77" s="10" t="s">
        <v>530</v>
      </c>
      <c r="I77" s="10"/>
      <c r="J77" s="70" t="s">
        <v>534</v>
      </c>
      <c r="K77" s="25"/>
      <c r="L77" s="25">
        <v>1800</v>
      </c>
      <c r="M77" s="25">
        <f>IFERROR(VLOOKUP($C77,$C$5:$M$24,11,0)+SUMIF($C$25:$C77,$C77,$K$25:$K77)-SUMIF($C$25:$C77,$C77,$L$25:$L77),"")</f>
        <v>4097532.49</v>
      </c>
      <c r="N77" s="10"/>
      <c r="O77" s="10"/>
      <c r="P77" s="65"/>
      <c r="Q77" s="46"/>
      <c r="R77" s="46" t="s">
        <v>485</v>
      </c>
      <c r="S77" s="54">
        <f t="shared" si="3"/>
        <v>202601</v>
      </c>
      <c r="T77" s="54">
        <f t="shared" si="4"/>
        <v>202601</v>
      </c>
      <c r="U77" s="58" t="str">
        <f t="shared" si="5"/>
        <v/>
      </c>
      <c r="V77" s="58">
        <f>IF(AND($B77&lt;&gt;"",$F77&lt;&gt;"",$F77=项目明细账!$C$2),N(V76)+1,N(V76))</f>
        <v>0</v>
      </c>
      <c r="W77" s="63" t="str">
        <f>IF($H77&lt;&gt;"","项目成本",IFERROR(INDEX(基础资料!$W$4:$W$49,MATCH($I77,基础资料!$V$4:$V$49,0)),""))</f>
        <v>项目成本</v>
      </c>
      <c r="X77" s="63" t="str">
        <f>IFERROR(INDEX(基础资料!$R$4:$R$17,MATCH($G77,基础资料!$Q$4:$Q$17,0)),"")</f>
        <v/>
      </c>
    </row>
    <row r="78" spans="1:24">
      <c r="A78" s="58">
        <f>IF($B78="","",COUNTA($B$5:$B78))</f>
        <v>74</v>
      </c>
      <c r="B78" s="53">
        <v>46027</v>
      </c>
      <c r="C78" s="46" t="s">
        <v>99</v>
      </c>
      <c r="D78" s="63" t="str">
        <f>IFERROR(INDEX(基础资料!$F$4:$F$23,MATCH($C78,基础资料!$E$4:$E$23,0)),IF($C78="","","未匹配账户"))</f>
        <v>双思威</v>
      </c>
      <c r="E78" s="39" t="s">
        <v>488</v>
      </c>
      <c r="F78" s="10" t="s">
        <v>295</v>
      </c>
      <c r="G78" s="10"/>
      <c r="H78" s="10" t="s">
        <v>530</v>
      </c>
      <c r="I78" s="46"/>
      <c r="J78" s="70" t="s">
        <v>535</v>
      </c>
      <c r="K78" s="25"/>
      <c r="L78" s="25">
        <v>11900</v>
      </c>
      <c r="M78" s="25">
        <f>IFERROR(VLOOKUP($C78,$C$5:$M$24,11,0)+SUMIF($C$25:$C78,$C78,$K$25:$K78)-SUMIF($C$25:$C78,$C78,$L$25:$L78),"")</f>
        <v>4085632.49</v>
      </c>
      <c r="N78" s="10"/>
      <c r="O78" s="46" t="s">
        <v>528</v>
      </c>
      <c r="P78" s="65"/>
      <c r="Q78" s="46"/>
      <c r="R78" s="46" t="s">
        <v>485</v>
      </c>
      <c r="S78" s="54">
        <f t="shared" si="3"/>
        <v>202601</v>
      </c>
      <c r="T78" s="54">
        <f t="shared" si="4"/>
        <v>202601</v>
      </c>
      <c r="U78" s="58" t="str">
        <f t="shared" si="5"/>
        <v/>
      </c>
      <c r="V78" s="58">
        <f>IF(AND($B78&lt;&gt;"",$F78&lt;&gt;"",$F78=项目明细账!$C$2),N(V77)+1,N(V77))</f>
        <v>0</v>
      </c>
      <c r="W78" s="63" t="str">
        <f>IF($H78&lt;&gt;"","项目成本",IFERROR(INDEX(基础资料!$W$4:$W$49,MATCH($I78,基础资料!$V$4:$V$49,0)),""))</f>
        <v>项目成本</v>
      </c>
      <c r="X78" s="63" t="str">
        <f>IFERROR(INDEX(基础资料!$R$4:$R$17,MATCH($G78,基础资料!$Q$4:$Q$17,0)),"")</f>
        <v/>
      </c>
    </row>
    <row r="79" spans="1:24">
      <c r="A79" s="58">
        <f>IF($B79="","",COUNTA($B$5:$B79))</f>
        <v>75</v>
      </c>
      <c r="B79" s="53">
        <v>46027</v>
      </c>
      <c r="C79" s="46" t="s">
        <v>99</v>
      </c>
      <c r="D79" s="63" t="str">
        <f>IFERROR(INDEX(基础资料!$F$4:$F$23,MATCH($C79,基础资料!$E$4:$E$23,0)),IF($C79="","","未匹配账户"))</f>
        <v>双思威</v>
      </c>
      <c r="E79" s="39" t="s">
        <v>488</v>
      </c>
      <c r="F79" s="10"/>
      <c r="G79" s="10"/>
      <c r="H79" s="10"/>
      <c r="I79" s="46" t="s">
        <v>234</v>
      </c>
      <c r="J79" s="69" t="s">
        <v>536</v>
      </c>
      <c r="K79" s="25"/>
      <c r="L79" s="25">
        <v>1129.1</v>
      </c>
      <c r="M79" s="25">
        <f>IFERROR(VLOOKUP($C79,$C$5:$M$24,11,0)+SUMIF($C$25:$C79,$C79,$K$25:$K79)-SUMIF($C$25:$C79,$C79,$L$25:$L79),"")</f>
        <v>4084503.39</v>
      </c>
      <c r="N79" s="10"/>
      <c r="O79" s="46" t="s">
        <v>528</v>
      </c>
      <c r="P79" s="65"/>
      <c r="Q79" s="46"/>
      <c r="R79" s="46" t="s">
        <v>485</v>
      </c>
      <c r="S79" s="54">
        <f t="shared" si="3"/>
        <v>202601</v>
      </c>
      <c r="T79" s="54">
        <f t="shared" si="4"/>
        <v>202601</v>
      </c>
      <c r="U79" s="58" t="str">
        <f t="shared" si="5"/>
        <v/>
      </c>
      <c r="V79" s="58">
        <f>IF(AND($B79&lt;&gt;"",$F79&lt;&gt;"",$F79=项目明细账!$C$2),N(V78)+1,N(V78))</f>
        <v>0</v>
      </c>
      <c r="W79" s="63" t="str">
        <f>IF($H79&lt;&gt;"","项目成本",IFERROR(INDEX(基础资料!$W$4:$W$49,MATCH($I79,基础资料!$V$4:$V$49,0)),""))</f>
        <v>管理费用</v>
      </c>
      <c r="X79" s="63" t="str">
        <f>IFERROR(INDEX(基础资料!$R$4:$R$17,MATCH($G79,基础资料!$Q$4:$Q$17,0)),"")</f>
        <v/>
      </c>
    </row>
    <row r="80" spans="1:24">
      <c r="A80" s="58">
        <f>IF($B80="","",COUNTA($B$5:$B80))</f>
        <v>76</v>
      </c>
      <c r="B80" s="53">
        <v>46027</v>
      </c>
      <c r="C80" s="46" t="s">
        <v>99</v>
      </c>
      <c r="D80" s="63" t="str">
        <f>IFERROR(INDEX(基础资料!$F$4:$F$23,MATCH($C80,基础资料!$E$4:$E$23,0)),IF($C80="","","未匹配账户"))</f>
        <v>双思威</v>
      </c>
      <c r="E80" s="39" t="s">
        <v>488</v>
      </c>
      <c r="F80" s="10" t="s">
        <v>83</v>
      </c>
      <c r="G80" s="10"/>
      <c r="H80" s="10" t="s">
        <v>530</v>
      </c>
      <c r="I80" s="46"/>
      <c r="J80" s="70" t="s">
        <v>537</v>
      </c>
      <c r="K80" s="25"/>
      <c r="L80" s="25">
        <v>5300</v>
      </c>
      <c r="M80" s="25">
        <f>IFERROR(VLOOKUP($C80,$C$5:$M$24,11,0)+SUMIF($C$25:$C80,$C80,$K$25:$K80)-SUMIF($C$25:$C80,$C80,$L$25:$L80),"")</f>
        <v>4079203.39</v>
      </c>
      <c r="N80" s="10"/>
      <c r="O80" s="46" t="s">
        <v>528</v>
      </c>
      <c r="P80" s="65"/>
      <c r="Q80" s="46"/>
      <c r="R80" s="46" t="s">
        <v>485</v>
      </c>
      <c r="S80" s="54">
        <f t="shared" si="3"/>
        <v>202601</v>
      </c>
      <c r="T80" s="54">
        <f t="shared" si="4"/>
        <v>202601</v>
      </c>
      <c r="U80" s="58" t="str">
        <f t="shared" si="5"/>
        <v/>
      </c>
      <c r="V80" s="58">
        <f>IF(AND($B80&lt;&gt;"",$F80&lt;&gt;"",$F80=项目明细账!$C$2),N(V79)+1,N(V79))</f>
        <v>0</v>
      </c>
      <c r="W80" s="63" t="str">
        <f>IF($H80&lt;&gt;"","项目成本",IFERROR(INDEX(基础资料!$W$4:$W$49,MATCH($I80,基础资料!$V$4:$V$49,0)),""))</f>
        <v>项目成本</v>
      </c>
      <c r="X80" s="63" t="str">
        <f>IFERROR(INDEX(基础资料!$R$4:$R$17,MATCH($G80,基础资料!$Q$4:$Q$17,0)),"")</f>
        <v/>
      </c>
    </row>
    <row r="81" spans="1:24">
      <c r="A81" s="58">
        <f>IF($B81="","",COUNTA($B$5:$B81))</f>
        <v>77</v>
      </c>
      <c r="B81" s="53">
        <v>46027</v>
      </c>
      <c r="C81" s="46" t="s">
        <v>99</v>
      </c>
      <c r="D81" s="63" t="str">
        <f>IFERROR(INDEX(基础资料!$F$4:$F$23,MATCH($C81,基础资料!$E$4:$E$23,0)),IF($C81="","","未匹配账户"))</f>
        <v>双思威</v>
      </c>
      <c r="E81" s="39" t="s">
        <v>488</v>
      </c>
      <c r="F81" s="10" t="s">
        <v>291</v>
      </c>
      <c r="G81" s="10"/>
      <c r="H81" s="46" t="s">
        <v>538</v>
      </c>
      <c r="I81" s="10"/>
      <c r="J81" s="70" t="s">
        <v>539</v>
      </c>
      <c r="K81" s="25"/>
      <c r="L81" s="25">
        <v>980</v>
      </c>
      <c r="M81" s="25">
        <f>IFERROR(VLOOKUP($C81,$C$5:$M$24,11,0)+SUMIF($C$25:$C81,$C81,$K$25:$K81)-SUMIF($C$25:$C81,$C81,$L$25:$L81),"")</f>
        <v>4078223.39</v>
      </c>
      <c r="N81" s="10"/>
      <c r="O81" s="46" t="s">
        <v>514</v>
      </c>
      <c r="P81" s="65"/>
      <c r="Q81" s="46"/>
      <c r="R81" s="46" t="s">
        <v>485</v>
      </c>
      <c r="S81" s="54">
        <f t="shared" si="3"/>
        <v>202601</v>
      </c>
      <c r="T81" s="54">
        <f t="shared" si="4"/>
        <v>202601</v>
      </c>
      <c r="U81" s="58" t="str">
        <f t="shared" si="5"/>
        <v/>
      </c>
      <c r="V81" s="58">
        <f>IF(AND($B81&lt;&gt;"",$F81&lt;&gt;"",$F81=项目明细账!$C$2),N(V80)+1,N(V80))</f>
        <v>0</v>
      </c>
      <c r="W81" s="63" t="str">
        <f>IF($H81&lt;&gt;"","项目成本",IFERROR(INDEX(基础资料!$W$4:$W$49,MATCH($I81,基础资料!$V$4:$V$49,0)),""))</f>
        <v>项目成本</v>
      </c>
      <c r="X81" s="63" t="str">
        <f>IFERROR(INDEX(基础资料!$R$4:$R$17,MATCH($G81,基础资料!$Q$4:$Q$17,0)),"")</f>
        <v/>
      </c>
    </row>
    <row r="82" spans="1:24">
      <c r="A82" s="58">
        <f>IF($B82="","",COUNTA($B$5:$B82))</f>
        <v>78</v>
      </c>
      <c r="B82" s="53">
        <v>46027</v>
      </c>
      <c r="C82" s="46" t="s">
        <v>99</v>
      </c>
      <c r="D82" s="63" t="str">
        <f>IFERROR(INDEX(基础资料!$F$4:$F$23,MATCH($C82,基础资料!$E$4:$E$23,0)),IF($C82="","","未匹配账户"))</f>
        <v>双思威</v>
      </c>
      <c r="E82" s="39" t="s">
        <v>488</v>
      </c>
      <c r="F82" s="10" t="s">
        <v>287</v>
      </c>
      <c r="G82" s="10"/>
      <c r="H82" s="46" t="s">
        <v>538</v>
      </c>
      <c r="I82" s="10"/>
      <c r="J82" s="70" t="s">
        <v>540</v>
      </c>
      <c r="K82" s="25"/>
      <c r="L82" s="25">
        <v>2500</v>
      </c>
      <c r="M82" s="25">
        <f>IFERROR(VLOOKUP($C82,$C$5:$M$24,11,0)+SUMIF($C$25:$C82,$C82,$K$25:$K82)-SUMIF($C$25:$C82,$C82,$L$25:$L82),"")</f>
        <v>4075723.39</v>
      </c>
      <c r="N82" s="10"/>
      <c r="O82" s="46" t="s">
        <v>514</v>
      </c>
      <c r="P82" s="65"/>
      <c r="Q82" s="46"/>
      <c r="R82" s="46" t="s">
        <v>485</v>
      </c>
      <c r="S82" s="54">
        <f t="shared" si="3"/>
        <v>202601</v>
      </c>
      <c r="T82" s="54">
        <f t="shared" si="4"/>
        <v>202601</v>
      </c>
      <c r="U82" s="58" t="str">
        <f t="shared" si="5"/>
        <v/>
      </c>
      <c r="V82" s="58">
        <f>IF(AND($B82&lt;&gt;"",$F82&lt;&gt;"",$F82=项目明细账!$C$2),N(V81)+1,N(V81))</f>
        <v>0</v>
      </c>
      <c r="W82" s="63" t="str">
        <f>IF($H82&lt;&gt;"","项目成本",IFERROR(INDEX(基础资料!$W$4:$W$49,MATCH($I82,基础资料!$V$4:$V$49,0)),""))</f>
        <v>项目成本</v>
      </c>
      <c r="X82" s="63" t="str">
        <f>IFERROR(INDEX(基础资料!$R$4:$R$17,MATCH($G82,基础资料!$Q$4:$Q$17,0)),"")</f>
        <v/>
      </c>
    </row>
    <row r="83" spans="1:24">
      <c r="A83" s="58">
        <f>IF($B83="","",COUNTA($B$5:$B83))</f>
        <v>79</v>
      </c>
      <c r="B83" s="53">
        <v>46027</v>
      </c>
      <c r="C83" s="46" t="s">
        <v>99</v>
      </c>
      <c r="D83" s="63" t="str">
        <f>IFERROR(INDEX(基础资料!$F$4:$F$23,MATCH($C83,基础资料!$E$4:$E$23,0)),IF($C83="","","未匹配账户"))</f>
        <v>双思威</v>
      </c>
      <c r="E83" s="39" t="s">
        <v>488</v>
      </c>
      <c r="F83" s="10"/>
      <c r="G83" s="10"/>
      <c r="H83" s="10"/>
      <c r="I83" s="46" t="s">
        <v>234</v>
      </c>
      <c r="J83" s="70" t="s">
        <v>541</v>
      </c>
      <c r="K83" s="25"/>
      <c r="L83" s="25">
        <v>3030</v>
      </c>
      <c r="M83" s="25">
        <f>IFERROR(VLOOKUP($C83,$C$5:$M$24,11,0)+SUMIF($C$25:$C83,$C83,$K$25:$K83)-SUMIF($C$25:$C83,$C83,$L$25:$L83),"")</f>
        <v>4072693.39</v>
      </c>
      <c r="N83" s="10"/>
      <c r="O83" s="10"/>
      <c r="P83" s="65"/>
      <c r="Q83" s="46"/>
      <c r="R83" s="46" t="s">
        <v>485</v>
      </c>
      <c r="S83" s="54">
        <f t="shared" si="3"/>
        <v>202601</v>
      </c>
      <c r="T83" s="54">
        <f t="shared" si="4"/>
        <v>202601</v>
      </c>
      <c r="U83" s="58" t="str">
        <f t="shared" si="5"/>
        <v/>
      </c>
      <c r="V83" s="58">
        <f>IF(AND($B83&lt;&gt;"",$F83&lt;&gt;"",$F83=项目明细账!$C$2),N(V82)+1,N(V82))</f>
        <v>0</v>
      </c>
      <c r="W83" s="63" t="str">
        <f>IF($H83&lt;&gt;"","项目成本",IFERROR(INDEX(基础资料!$W$4:$W$49,MATCH($I83,基础资料!$V$4:$V$49,0)),""))</f>
        <v>管理费用</v>
      </c>
      <c r="X83" s="63" t="str">
        <f>IFERROR(INDEX(基础资料!$R$4:$R$17,MATCH($G83,基础资料!$Q$4:$Q$17,0)),"")</f>
        <v/>
      </c>
    </row>
    <row r="84" spans="1:24">
      <c r="A84" s="58">
        <f>IF($B84="","",COUNTA($B$5:$B84))</f>
        <v>80</v>
      </c>
      <c r="B84" s="53">
        <v>46027</v>
      </c>
      <c r="C84" s="46" t="s">
        <v>99</v>
      </c>
      <c r="D84" s="63" t="str">
        <f>IFERROR(INDEX(基础资料!$F$4:$F$23,MATCH($C84,基础资料!$E$4:$E$23,0)),IF($C84="","","未匹配账户"))</f>
        <v>双思威</v>
      </c>
      <c r="E84" s="39" t="s">
        <v>488</v>
      </c>
      <c r="F84" s="10" t="s">
        <v>287</v>
      </c>
      <c r="G84" s="10"/>
      <c r="H84" s="10" t="s">
        <v>538</v>
      </c>
      <c r="I84" s="46"/>
      <c r="J84" s="70" t="s">
        <v>542</v>
      </c>
      <c r="K84" s="25"/>
      <c r="L84" s="25">
        <v>7000</v>
      </c>
      <c r="M84" s="25">
        <f>IFERROR(VLOOKUP($C84,$C$5:$M$24,11,0)+SUMIF($C$25:$C84,$C84,$K$25:$K84)-SUMIF($C$25:$C84,$C84,$L$25:$L84),"")</f>
        <v>4065693.39</v>
      </c>
      <c r="N84" s="10"/>
      <c r="O84" s="10"/>
      <c r="P84" s="65"/>
      <c r="Q84" s="46"/>
      <c r="R84" s="46" t="s">
        <v>485</v>
      </c>
      <c r="S84" s="54">
        <f t="shared" si="3"/>
        <v>202601</v>
      </c>
      <c r="T84" s="54">
        <f t="shared" si="4"/>
        <v>202601</v>
      </c>
      <c r="U84" s="58" t="str">
        <f t="shared" si="5"/>
        <v/>
      </c>
      <c r="V84" s="58">
        <f>IF(AND($B84&lt;&gt;"",$F84&lt;&gt;"",$F84=项目明细账!$C$2),N(V83)+1,N(V83))</f>
        <v>0</v>
      </c>
      <c r="W84" s="63" t="str">
        <f>IF($H84&lt;&gt;"","项目成本",IFERROR(INDEX(基础资料!$W$4:$W$49,MATCH($I84,基础资料!$V$4:$V$49,0)),""))</f>
        <v>项目成本</v>
      </c>
      <c r="X84" s="63" t="str">
        <f>IFERROR(INDEX(基础资料!$R$4:$R$17,MATCH($G84,基础资料!$Q$4:$Q$17,0)),"")</f>
        <v/>
      </c>
    </row>
    <row r="85" spans="1:24">
      <c r="A85" s="58">
        <f>IF($B85="","",COUNTA($B$5:$B85))</f>
        <v>81</v>
      </c>
      <c r="B85" s="53">
        <v>46028</v>
      </c>
      <c r="C85" s="46" t="s">
        <v>99</v>
      </c>
      <c r="D85" s="63" t="str">
        <f>IFERROR(INDEX(基础资料!$F$4:$F$23,MATCH($C85,基础资料!$E$4:$E$23,0)),IF($C85="","","未匹配账户"))</f>
        <v>双思威</v>
      </c>
      <c r="E85" s="39" t="s">
        <v>488</v>
      </c>
      <c r="F85" s="10"/>
      <c r="G85" s="10"/>
      <c r="H85" s="46"/>
      <c r="I85" s="10" t="s">
        <v>234</v>
      </c>
      <c r="J85" s="69" t="s">
        <v>543</v>
      </c>
      <c r="K85" s="25"/>
      <c r="L85" s="25">
        <v>2722.59</v>
      </c>
      <c r="M85" s="25">
        <f>IFERROR(VLOOKUP($C85,$C$5:$M$24,11,0)+SUMIF($C$25:$C85,$C85,$K$25:$K85)-SUMIF($C$25:$C85,$C85,$L$25:$L85),"")</f>
        <v>4062970.8</v>
      </c>
      <c r="N85" s="10"/>
      <c r="O85" s="46" t="s">
        <v>514</v>
      </c>
      <c r="P85" s="65"/>
      <c r="Q85" s="46"/>
      <c r="R85" s="46" t="s">
        <v>485</v>
      </c>
      <c r="S85" s="54">
        <f t="shared" si="3"/>
        <v>202601</v>
      </c>
      <c r="T85" s="54">
        <f t="shared" si="4"/>
        <v>202601</v>
      </c>
      <c r="U85" s="58" t="str">
        <f t="shared" si="5"/>
        <v/>
      </c>
      <c r="V85" s="58">
        <f>IF(AND($B85&lt;&gt;"",$F85&lt;&gt;"",$F85=项目明细账!$C$2),N(V84)+1,N(V84))</f>
        <v>0</v>
      </c>
      <c r="W85" s="63" t="str">
        <f>IF($H85&lt;&gt;"","项目成本",IFERROR(INDEX(基础资料!$W$4:$W$49,MATCH($I85,基础资料!$V$4:$V$49,0)),""))</f>
        <v>管理费用</v>
      </c>
      <c r="X85" s="63" t="str">
        <f>IFERROR(INDEX(基础资料!$R$4:$R$17,MATCH($G85,基础资料!$Q$4:$Q$17,0)),"")</f>
        <v/>
      </c>
    </row>
    <row r="86" spans="1:24">
      <c r="A86" s="58">
        <f>IF($B86="","",COUNTA($B$5:$B86))</f>
        <v>82</v>
      </c>
      <c r="B86" s="53">
        <v>46028</v>
      </c>
      <c r="C86" s="46" t="s">
        <v>99</v>
      </c>
      <c r="D86" s="63" t="str">
        <f>IFERROR(INDEX(基础资料!$F$4:$F$23,MATCH($C86,基础资料!$E$4:$E$23,0)),IF($C86="","","未匹配账户"))</f>
        <v>双思威</v>
      </c>
      <c r="E86" s="39" t="s">
        <v>488</v>
      </c>
      <c r="F86" s="10"/>
      <c r="G86" s="10"/>
      <c r="H86" s="46"/>
      <c r="I86" s="10" t="s">
        <v>234</v>
      </c>
      <c r="J86" s="69" t="s">
        <v>544</v>
      </c>
      <c r="K86" s="25"/>
      <c r="L86" s="25">
        <v>11344.5</v>
      </c>
      <c r="M86" s="25">
        <f>IFERROR(VLOOKUP($C86,$C$5:$M$24,11,0)+SUMIF($C$25:$C86,$C86,$K$25:$K86)-SUMIF($C$25:$C86,$C86,$L$25:$L86),"")</f>
        <v>4051626.3</v>
      </c>
      <c r="N86" s="10"/>
      <c r="O86" s="46" t="s">
        <v>514</v>
      </c>
      <c r="P86" s="65"/>
      <c r="Q86" s="46"/>
      <c r="R86" s="46" t="s">
        <v>485</v>
      </c>
      <c r="S86" s="54">
        <f t="shared" si="3"/>
        <v>202601</v>
      </c>
      <c r="T86" s="54">
        <f t="shared" si="4"/>
        <v>202601</v>
      </c>
      <c r="U86" s="58" t="str">
        <f t="shared" si="5"/>
        <v/>
      </c>
      <c r="V86" s="58">
        <f>IF(AND($B86&lt;&gt;"",$F86&lt;&gt;"",$F86=项目明细账!$C$2),N(V85)+1,N(V85))</f>
        <v>0</v>
      </c>
      <c r="W86" s="63" t="str">
        <f>IF($H86&lt;&gt;"","项目成本",IFERROR(INDEX(基础资料!$W$4:$W$49,MATCH($I86,基础资料!$V$4:$V$49,0)),""))</f>
        <v>管理费用</v>
      </c>
      <c r="X86" s="63" t="str">
        <f>IFERROR(INDEX(基础资料!$R$4:$R$17,MATCH($G86,基础资料!$Q$4:$Q$17,0)),"")</f>
        <v/>
      </c>
    </row>
    <row r="87" spans="1:24">
      <c r="A87" s="58">
        <f>IF($B87="","",COUNTA($B$5:$B87))</f>
        <v>83</v>
      </c>
      <c r="B87" s="53">
        <v>46028</v>
      </c>
      <c r="C87" s="46" t="s">
        <v>99</v>
      </c>
      <c r="D87" s="63" t="str">
        <f>IFERROR(INDEX(基础资料!$F$4:$F$23,MATCH($C87,基础资料!$E$4:$E$23,0)),IF($C87="","","未匹配账户"))</f>
        <v>双思威</v>
      </c>
      <c r="E87" s="39" t="s">
        <v>483</v>
      </c>
      <c r="F87" s="10" t="s">
        <v>299</v>
      </c>
      <c r="G87" s="10"/>
      <c r="H87" s="10"/>
      <c r="I87" s="46"/>
      <c r="J87" s="70" t="s">
        <v>545</v>
      </c>
      <c r="K87" s="25">
        <v>1010</v>
      </c>
      <c r="L87" s="25"/>
      <c r="M87" s="25">
        <f>IFERROR(VLOOKUP($C87,$C$5:$M$24,11,0)+SUMIF($C$25:$C87,$C87,$K$25:$K87)-SUMIF($C$25:$C87,$C87,$L$25:$L87),"")</f>
        <v>4052636.3</v>
      </c>
      <c r="N87" s="10"/>
      <c r="O87" s="46" t="s">
        <v>518</v>
      </c>
      <c r="P87" s="65"/>
      <c r="Q87" s="46"/>
      <c r="R87" s="46" t="s">
        <v>485</v>
      </c>
      <c r="S87" s="54">
        <f t="shared" si="3"/>
        <v>202601</v>
      </c>
      <c r="T87" s="54">
        <f t="shared" si="4"/>
        <v>202601</v>
      </c>
      <c r="U87" s="58" t="str">
        <f t="shared" si="5"/>
        <v/>
      </c>
      <c r="V87" s="58">
        <f>IF(AND($B87&lt;&gt;"",$F87&lt;&gt;"",$F87=项目明细账!$C$2),N(V86)+1,N(V86))</f>
        <v>0</v>
      </c>
      <c r="W87" s="63" t="str">
        <f>IF($H87&lt;&gt;"","项目成本",IFERROR(INDEX(基础资料!$W$4:$W$49,MATCH($I87,基础资料!$V$4:$V$49,0)),""))</f>
        <v/>
      </c>
      <c r="X87" s="63" t="str">
        <f>IFERROR(INDEX(基础资料!$R$4:$R$17,MATCH($G87,基础资料!$Q$4:$Q$17,0)),"")</f>
        <v/>
      </c>
    </row>
    <row r="88" spans="1:24">
      <c r="A88" s="58">
        <f>IF($B88="","",COUNTA($B$5:$B88))</f>
        <v>84</v>
      </c>
      <c r="B88" s="53">
        <v>46029</v>
      </c>
      <c r="C88" s="46" t="s">
        <v>99</v>
      </c>
      <c r="D88" s="63" t="str">
        <f>IFERROR(INDEX(基础资料!$F$4:$F$23,MATCH($C88,基础资料!$E$4:$E$23,0)),IF($C88="","","未匹配账户"))</f>
        <v>双思威</v>
      </c>
      <c r="E88" s="39" t="s">
        <v>488</v>
      </c>
      <c r="F88" s="10" t="s">
        <v>83</v>
      </c>
      <c r="G88" s="10"/>
      <c r="H88" s="10" t="s">
        <v>530</v>
      </c>
      <c r="I88" s="46"/>
      <c r="J88" s="70" t="s">
        <v>546</v>
      </c>
      <c r="K88" s="25"/>
      <c r="L88" s="25">
        <v>2730</v>
      </c>
      <c r="M88" s="25">
        <f>IFERROR(VLOOKUP($C88,$C$5:$M$24,11,0)+SUMIF($C$25:$C88,$C88,$K$25:$K88)-SUMIF($C$25:$C88,$C88,$L$25:$L88),"")</f>
        <v>4049906.3</v>
      </c>
      <c r="N88" s="10"/>
      <c r="O88" s="10"/>
      <c r="P88" s="65"/>
      <c r="Q88" s="46"/>
      <c r="R88" s="46" t="s">
        <v>485</v>
      </c>
      <c r="S88" s="54">
        <f t="shared" si="3"/>
        <v>202601</v>
      </c>
      <c r="T88" s="54">
        <f t="shared" si="4"/>
        <v>202601</v>
      </c>
      <c r="U88" s="58" t="str">
        <f t="shared" si="5"/>
        <v/>
      </c>
      <c r="V88" s="58">
        <f>IF(AND($B88&lt;&gt;"",$F88&lt;&gt;"",$F88=项目明细账!$C$2),N(V87)+1,N(V87))</f>
        <v>0</v>
      </c>
      <c r="W88" s="63" t="str">
        <f>IF($H88&lt;&gt;"","项目成本",IFERROR(INDEX(基础资料!$W$4:$W$49,MATCH($I88,基础资料!$V$4:$V$49,0)),""))</f>
        <v>项目成本</v>
      </c>
      <c r="X88" s="63" t="str">
        <f>IFERROR(INDEX(基础资料!$R$4:$R$17,MATCH($G88,基础资料!$Q$4:$Q$17,0)),"")</f>
        <v/>
      </c>
    </row>
    <row r="89" spans="1:24">
      <c r="A89" s="58">
        <f>IF($B89="","",COUNTA($B$5:$B89))</f>
        <v>85</v>
      </c>
      <c r="B89" s="53">
        <v>46029</v>
      </c>
      <c r="C89" s="46" t="s">
        <v>99</v>
      </c>
      <c r="D89" s="63" t="str">
        <f>IFERROR(INDEX(基础资料!$F$4:$F$23,MATCH($C89,基础资料!$E$4:$E$23,0)),IF($C89="","","未匹配账户"))</f>
        <v>双思威</v>
      </c>
      <c r="E89" s="39" t="s">
        <v>488</v>
      </c>
      <c r="F89" s="10" t="s">
        <v>291</v>
      </c>
      <c r="G89" s="46"/>
      <c r="H89" s="10" t="s">
        <v>538</v>
      </c>
      <c r="I89" s="10"/>
      <c r="J89" s="70" t="s">
        <v>547</v>
      </c>
      <c r="K89" s="25"/>
      <c r="L89" s="25">
        <v>3500</v>
      </c>
      <c r="M89" s="25">
        <f>IFERROR(VLOOKUP($C89,$C$5:$M$24,11,0)+SUMIF($C$25:$C89,$C89,$K$25:$K89)-SUMIF($C$25:$C89,$C89,$L$25:$L89),"")</f>
        <v>4046406.3</v>
      </c>
      <c r="N89" s="10"/>
      <c r="O89" s="10"/>
      <c r="P89" s="65"/>
      <c r="Q89" s="46"/>
      <c r="R89" s="46" t="s">
        <v>485</v>
      </c>
      <c r="S89" s="54">
        <f t="shared" si="3"/>
        <v>202601</v>
      </c>
      <c r="T89" s="54">
        <f t="shared" si="4"/>
        <v>202601</v>
      </c>
      <c r="U89" s="58" t="str">
        <f t="shared" si="5"/>
        <v/>
      </c>
      <c r="V89" s="58">
        <f>IF(AND($B89&lt;&gt;"",$F89&lt;&gt;"",$F89=项目明细账!$C$2),N(V88)+1,N(V88))</f>
        <v>0</v>
      </c>
      <c r="W89" s="63" t="str">
        <f>IF($H89&lt;&gt;"","项目成本",IFERROR(INDEX(基础资料!$W$4:$W$49,MATCH($I89,基础资料!$V$4:$V$49,0)),""))</f>
        <v>项目成本</v>
      </c>
      <c r="X89" s="63" t="str">
        <f>IFERROR(INDEX(基础资料!$R$4:$R$17,MATCH($G89,基础资料!$Q$4:$Q$17,0)),"")</f>
        <v/>
      </c>
    </row>
    <row r="90" spans="1:24">
      <c r="A90" s="58">
        <f>IF($B90="","",COUNTA($B$5:$B90))</f>
        <v>86</v>
      </c>
      <c r="B90" s="53">
        <v>46030</v>
      </c>
      <c r="C90" s="46" t="s">
        <v>99</v>
      </c>
      <c r="D90" s="63" t="str">
        <f>IFERROR(INDEX(基础资料!$F$4:$F$23,MATCH($C90,基础资料!$E$4:$E$23,0)),IF($C90="","","未匹配账户"))</f>
        <v>双思威</v>
      </c>
      <c r="E90" s="39" t="s">
        <v>488</v>
      </c>
      <c r="F90" s="10" t="s">
        <v>303</v>
      </c>
      <c r="G90" s="10"/>
      <c r="H90" s="46" t="s">
        <v>548</v>
      </c>
      <c r="I90" s="10"/>
      <c r="J90" s="70" t="s">
        <v>549</v>
      </c>
      <c r="K90" s="25"/>
      <c r="L90" s="25">
        <v>13000</v>
      </c>
      <c r="M90" s="25">
        <f>IFERROR(VLOOKUP($C90,$C$5:$M$24,11,0)+SUMIF($C$25:$C90,$C90,$K$25:$K90)-SUMIF($C$25:$C90,$C90,$L$25:$L90),"")</f>
        <v>4033406.3</v>
      </c>
      <c r="N90" s="10"/>
      <c r="O90" s="46" t="s">
        <v>514</v>
      </c>
      <c r="P90" s="65"/>
      <c r="Q90" s="46"/>
      <c r="R90" s="46" t="s">
        <v>485</v>
      </c>
      <c r="S90" s="54">
        <f t="shared" si="3"/>
        <v>202601</v>
      </c>
      <c r="T90" s="54">
        <f t="shared" si="4"/>
        <v>202601</v>
      </c>
      <c r="U90" s="58" t="str">
        <f t="shared" si="5"/>
        <v/>
      </c>
      <c r="V90" s="58">
        <f>IF(AND($B90&lt;&gt;"",$F90&lt;&gt;"",$F90=项目明细账!$C$2),N(V89)+1,N(V89))</f>
        <v>0</v>
      </c>
      <c r="W90" s="63" t="str">
        <f>IF($H90&lt;&gt;"","项目成本",IFERROR(INDEX(基础资料!$W$4:$W$49,MATCH($I90,基础资料!$V$4:$V$49,0)),""))</f>
        <v>项目成本</v>
      </c>
      <c r="X90" s="63" t="str">
        <f>IFERROR(INDEX(基础资料!$R$4:$R$17,MATCH($G90,基础资料!$Q$4:$Q$17,0)),"")</f>
        <v/>
      </c>
    </row>
    <row r="91" spans="1:24">
      <c r="A91" s="58">
        <f>IF($B91="","",COUNTA($B$5:$B91))</f>
        <v>87</v>
      </c>
      <c r="B91" s="53">
        <v>46030</v>
      </c>
      <c r="C91" s="46" t="s">
        <v>99</v>
      </c>
      <c r="D91" s="63" t="str">
        <f>IFERROR(INDEX(基础资料!$F$4:$F$23,MATCH($C91,基础资料!$E$4:$E$23,0)),IF($C91="","","未匹配账户"))</f>
        <v>双思威</v>
      </c>
      <c r="E91" s="39" t="s">
        <v>488</v>
      </c>
      <c r="F91" s="10" t="s">
        <v>303</v>
      </c>
      <c r="G91" s="10"/>
      <c r="H91" s="46" t="s">
        <v>548</v>
      </c>
      <c r="I91" s="10"/>
      <c r="J91" s="70" t="s">
        <v>550</v>
      </c>
      <c r="K91" s="25"/>
      <c r="L91" s="25">
        <v>1500</v>
      </c>
      <c r="M91" s="25">
        <f>IFERROR(VLOOKUP($C91,$C$5:$M$24,11,0)+SUMIF($C$25:$C91,$C91,$K$25:$K91)-SUMIF($C$25:$C91,$C91,$L$25:$L91),"")</f>
        <v>4031906.3</v>
      </c>
      <c r="N91" s="10"/>
      <c r="O91" s="46" t="s">
        <v>514</v>
      </c>
      <c r="P91" s="65"/>
      <c r="Q91" s="46"/>
      <c r="R91" s="46" t="s">
        <v>485</v>
      </c>
      <c r="S91" s="54">
        <f t="shared" si="3"/>
        <v>202601</v>
      </c>
      <c r="T91" s="54">
        <f t="shared" si="4"/>
        <v>202601</v>
      </c>
      <c r="U91" s="58" t="str">
        <f t="shared" si="5"/>
        <v/>
      </c>
      <c r="V91" s="58">
        <f>IF(AND($B91&lt;&gt;"",$F91&lt;&gt;"",$F91=项目明细账!$C$2),N(V90)+1,N(V90))</f>
        <v>0</v>
      </c>
      <c r="W91" s="63" t="str">
        <f>IF($H91&lt;&gt;"","项目成本",IFERROR(INDEX(基础资料!$W$4:$W$49,MATCH($I91,基础资料!$V$4:$V$49,0)),""))</f>
        <v>项目成本</v>
      </c>
      <c r="X91" s="63" t="str">
        <f>IFERROR(INDEX(基础资料!$R$4:$R$17,MATCH($G91,基础资料!$Q$4:$Q$17,0)),"")</f>
        <v/>
      </c>
    </row>
    <row r="92" spans="1:24">
      <c r="A92" s="58">
        <f>IF($B92="","",COUNTA($B$5:$B92))</f>
        <v>88</v>
      </c>
      <c r="B92" s="53">
        <v>46030</v>
      </c>
      <c r="C92" s="46" t="s">
        <v>99</v>
      </c>
      <c r="D92" s="63" t="str">
        <f>IFERROR(INDEX(基础资料!$F$4:$F$23,MATCH($C92,基础资料!$E$4:$E$23,0)),IF($C92="","","未匹配账户"))</f>
        <v>双思威</v>
      </c>
      <c r="E92" s="39" t="s">
        <v>488</v>
      </c>
      <c r="F92" s="10" t="s">
        <v>303</v>
      </c>
      <c r="G92" s="10"/>
      <c r="H92" s="46" t="s">
        <v>548</v>
      </c>
      <c r="I92" s="10"/>
      <c r="J92" s="70" t="s">
        <v>550</v>
      </c>
      <c r="K92" s="25"/>
      <c r="L92" s="25">
        <v>13500</v>
      </c>
      <c r="M92" s="25">
        <f>IFERROR(VLOOKUP($C92,$C$5:$M$24,11,0)+SUMIF($C$25:$C92,$C92,$K$25:$K92)-SUMIF($C$25:$C92,$C92,$L$25:$L92),"")</f>
        <v>4018406.3</v>
      </c>
      <c r="N92" s="10"/>
      <c r="O92" s="46" t="s">
        <v>514</v>
      </c>
      <c r="P92" s="65"/>
      <c r="Q92" s="46"/>
      <c r="R92" s="46" t="s">
        <v>485</v>
      </c>
      <c r="S92" s="54">
        <f t="shared" si="3"/>
        <v>202601</v>
      </c>
      <c r="T92" s="54">
        <f t="shared" si="4"/>
        <v>202601</v>
      </c>
      <c r="U92" s="58" t="str">
        <f t="shared" si="5"/>
        <v/>
      </c>
      <c r="V92" s="58">
        <f>IF(AND($B92&lt;&gt;"",$F92&lt;&gt;"",$F92=项目明细账!$C$2),N(V91)+1,N(V91))</f>
        <v>0</v>
      </c>
      <c r="W92" s="63" t="str">
        <f>IF($H92&lt;&gt;"","项目成本",IFERROR(INDEX(基础资料!$W$4:$W$49,MATCH($I92,基础资料!$V$4:$V$49,0)),""))</f>
        <v>项目成本</v>
      </c>
      <c r="X92" s="63" t="str">
        <f>IFERROR(INDEX(基础资料!$R$4:$R$17,MATCH($G92,基础资料!$Q$4:$Q$17,0)),"")</f>
        <v/>
      </c>
    </row>
    <row r="93" spans="1:24">
      <c r="A93" s="58">
        <f>IF($B93="","",COUNTA($B$5:$B93))</f>
        <v>89</v>
      </c>
      <c r="B93" s="53">
        <v>46032</v>
      </c>
      <c r="C93" s="46" t="s">
        <v>99</v>
      </c>
      <c r="D93" s="63" t="str">
        <f>IFERROR(INDEX(基础资料!$F$4:$F$23,MATCH($C93,基础资料!$E$4:$E$23,0)),IF($C93="","","未匹配账户"))</f>
        <v>双思威</v>
      </c>
      <c r="E93" s="39" t="s">
        <v>488</v>
      </c>
      <c r="F93" s="10" t="s">
        <v>287</v>
      </c>
      <c r="G93" s="10"/>
      <c r="H93" s="10" t="s">
        <v>530</v>
      </c>
      <c r="I93" s="46"/>
      <c r="J93" s="70" t="s">
        <v>551</v>
      </c>
      <c r="K93" s="25"/>
      <c r="L93" s="25">
        <v>42500</v>
      </c>
      <c r="M93" s="25">
        <f>IFERROR(VLOOKUP($C93,$C$5:$M$24,11,0)+SUMIF($C$25:$C93,$C93,$K$25:$K93)-SUMIF($C$25:$C93,$C93,$L$25:$L93),"")</f>
        <v>3975906.3</v>
      </c>
      <c r="N93" s="10"/>
      <c r="O93" s="10"/>
      <c r="P93" s="65"/>
      <c r="Q93" s="46"/>
      <c r="R93" s="46" t="s">
        <v>485</v>
      </c>
      <c r="S93" s="54">
        <f t="shared" si="3"/>
        <v>202601</v>
      </c>
      <c r="T93" s="54">
        <f t="shared" si="4"/>
        <v>202601</v>
      </c>
      <c r="U93" s="58" t="str">
        <f t="shared" si="5"/>
        <v/>
      </c>
      <c r="V93" s="58">
        <f>IF(AND($B93&lt;&gt;"",$F93&lt;&gt;"",$F93=项目明细账!$C$2),N(V92)+1,N(V92))</f>
        <v>0</v>
      </c>
      <c r="W93" s="63" t="str">
        <f>IF($H93&lt;&gt;"","项目成本",IFERROR(INDEX(基础资料!$W$4:$W$49,MATCH($I93,基础资料!$V$4:$V$49,0)),""))</f>
        <v>项目成本</v>
      </c>
      <c r="X93" s="63" t="str">
        <f>IFERROR(INDEX(基础资料!$R$4:$R$17,MATCH($G93,基础资料!$Q$4:$Q$17,0)),"")</f>
        <v/>
      </c>
    </row>
    <row r="94" spans="1:24">
      <c r="A94" s="58">
        <f>IF($B94="","",COUNTA($B$5:$B94))</f>
        <v>90</v>
      </c>
      <c r="B94" s="53">
        <v>46032</v>
      </c>
      <c r="C94" s="46" t="s">
        <v>99</v>
      </c>
      <c r="D94" s="63" t="str">
        <f>IFERROR(INDEX(基础资料!$F$4:$F$23,MATCH($C94,基础资料!$E$4:$E$23,0)),IF($C94="","","未匹配账户"))</f>
        <v>双思威</v>
      </c>
      <c r="E94" s="39" t="s">
        <v>488</v>
      </c>
      <c r="F94" s="10"/>
      <c r="G94" s="10"/>
      <c r="H94" s="10"/>
      <c r="I94" s="46" t="s">
        <v>234</v>
      </c>
      <c r="J94" s="70" t="s">
        <v>552</v>
      </c>
      <c r="K94" s="25"/>
      <c r="L94" s="25">
        <v>875</v>
      </c>
      <c r="M94" s="25">
        <f>IFERROR(VLOOKUP($C94,$C$5:$M$24,11,0)+SUMIF($C$25:$C94,$C94,$K$25:$K94)-SUMIF($C$25:$C94,$C94,$L$25:$L94),"")</f>
        <v>3975031.3</v>
      </c>
      <c r="N94" s="10"/>
      <c r="O94" s="10"/>
      <c r="P94" s="65"/>
      <c r="Q94" s="46"/>
      <c r="R94" s="46" t="s">
        <v>485</v>
      </c>
      <c r="S94" s="54">
        <f t="shared" si="3"/>
        <v>202601</v>
      </c>
      <c r="T94" s="54">
        <f t="shared" si="4"/>
        <v>202601</v>
      </c>
      <c r="U94" s="58" t="str">
        <f t="shared" si="5"/>
        <v/>
      </c>
      <c r="V94" s="58">
        <f>IF(AND($B94&lt;&gt;"",$F94&lt;&gt;"",$F94=项目明细账!$C$2),N(V93)+1,N(V93))</f>
        <v>0</v>
      </c>
      <c r="W94" s="63" t="str">
        <f>IF($H94&lt;&gt;"","项目成本",IFERROR(INDEX(基础资料!$W$4:$W$49,MATCH($I94,基础资料!$V$4:$V$49,0)),""))</f>
        <v>管理费用</v>
      </c>
      <c r="X94" s="63" t="str">
        <f>IFERROR(INDEX(基础资料!$R$4:$R$17,MATCH($G94,基础资料!$Q$4:$Q$17,0)),"")</f>
        <v/>
      </c>
    </row>
    <row r="95" spans="1:24">
      <c r="A95" s="58">
        <f>IF($B95="","",COUNTA($B$5:$B95))</f>
        <v>91</v>
      </c>
      <c r="B95" s="53">
        <v>46032</v>
      </c>
      <c r="C95" s="46" t="s">
        <v>99</v>
      </c>
      <c r="D95" s="63" t="str">
        <f>IFERROR(INDEX(基础资料!$F$4:$F$23,MATCH($C95,基础资料!$E$4:$E$23,0)),IF($C95="","","未匹配账户"))</f>
        <v>双思威</v>
      </c>
      <c r="E95" s="39" t="s">
        <v>488</v>
      </c>
      <c r="F95" s="10" t="s">
        <v>299</v>
      </c>
      <c r="G95" s="46"/>
      <c r="H95" s="10" t="s">
        <v>530</v>
      </c>
      <c r="I95" s="10"/>
      <c r="J95" s="70" t="s">
        <v>553</v>
      </c>
      <c r="K95" s="25"/>
      <c r="L95" s="25">
        <v>6134.6</v>
      </c>
      <c r="M95" s="25">
        <f>IFERROR(VLOOKUP($C95,$C$5:$M$24,11,0)+SUMIF($C$25:$C95,$C95,$K$25:$K95)-SUMIF($C$25:$C95,$C95,$L$25:$L95),"")</f>
        <v>3968896.7</v>
      </c>
      <c r="N95" s="10"/>
      <c r="O95" s="10"/>
      <c r="P95" s="65"/>
      <c r="Q95" s="46"/>
      <c r="R95" s="46" t="s">
        <v>485</v>
      </c>
      <c r="S95" s="54">
        <f t="shared" si="3"/>
        <v>202601</v>
      </c>
      <c r="T95" s="54">
        <f t="shared" si="4"/>
        <v>202601</v>
      </c>
      <c r="U95" s="58" t="str">
        <f t="shared" si="5"/>
        <v/>
      </c>
      <c r="V95" s="58">
        <f>IF(AND($B95&lt;&gt;"",$F95&lt;&gt;"",$F95=项目明细账!$C$2),N(V94)+1,N(V94))</f>
        <v>0</v>
      </c>
      <c r="W95" s="63" t="str">
        <f>IF($H95&lt;&gt;"","项目成本",IFERROR(INDEX(基础资料!$W$4:$W$49,MATCH($I95,基础资料!$V$4:$V$49,0)),""))</f>
        <v>项目成本</v>
      </c>
      <c r="X95" s="63" t="str">
        <f>IFERROR(INDEX(基础资料!$R$4:$R$17,MATCH($G95,基础资料!$Q$4:$Q$17,0)),"")</f>
        <v/>
      </c>
    </row>
    <row r="96" spans="1:24">
      <c r="A96" s="58">
        <f>IF($B96="","",COUNTA($B$5:$B96))</f>
        <v>92</v>
      </c>
      <c r="B96" s="53">
        <v>46032</v>
      </c>
      <c r="C96" s="46" t="s">
        <v>99</v>
      </c>
      <c r="D96" s="63" t="str">
        <f>IFERROR(INDEX(基础资料!$F$4:$F$23,MATCH($C96,基础资料!$E$4:$E$23,0)),IF($C96="","","未匹配账户"))</f>
        <v>双思威</v>
      </c>
      <c r="E96" s="39" t="s">
        <v>488</v>
      </c>
      <c r="F96" s="10" t="s">
        <v>307</v>
      </c>
      <c r="G96" s="10"/>
      <c r="H96" s="10" t="s">
        <v>530</v>
      </c>
      <c r="I96" s="46"/>
      <c r="J96" s="70" t="s">
        <v>554</v>
      </c>
      <c r="K96" s="25"/>
      <c r="L96" s="25">
        <v>2408</v>
      </c>
      <c r="M96" s="25">
        <f>IFERROR(VLOOKUP($C96,$C$5:$M$24,11,0)+SUMIF($C$25:$C96,$C96,$K$25:$K96)-SUMIF($C$25:$C96,$C96,$L$25:$L96),"")</f>
        <v>3966488.7</v>
      </c>
      <c r="N96" s="10"/>
      <c r="O96" s="10"/>
      <c r="P96" s="65"/>
      <c r="Q96" s="46"/>
      <c r="R96" s="46" t="s">
        <v>485</v>
      </c>
      <c r="S96" s="54">
        <f t="shared" si="3"/>
        <v>202601</v>
      </c>
      <c r="T96" s="54">
        <f t="shared" si="4"/>
        <v>202601</v>
      </c>
      <c r="U96" s="58" t="str">
        <f t="shared" si="5"/>
        <v/>
      </c>
      <c r="V96" s="58">
        <f>IF(AND($B96&lt;&gt;"",$F96&lt;&gt;"",$F96=项目明细账!$C$2),N(V95)+1,N(V95))</f>
        <v>0</v>
      </c>
      <c r="W96" s="63" t="str">
        <f>IF($H96&lt;&gt;"","项目成本",IFERROR(INDEX(基础资料!$W$4:$W$49,MATCH($I96,基础资料!$V$4:$V$49,0)),""))</f>
        <v>项目成本</v>
      </c>
      <c r="X96" s="63" t="str">
        <f>IFERROR(INDEX(基础资料!$R$4:$R$17,MATCH($G96,基础资料!$Q$4:$Q$17,0)),"")</f>
        <v/>
      </c>
    </row>
    <row r="97" spans="1:24">
      <c r="A97" s="58">
        <f>IF($B97="","",COUNTA($B$5:$B97))</f>
        <v>93</v>
      </c>
      <c r="B97" s="53">
        <v>46032</v>
      </c>
      <c r="C97" s="46" t="s">
        <v>99</v>
      </c>
      <c r="D97" s="63" t="str">
        <f>IFERROR(INDEX(基础资料!$F$4:$F$23,MATCH($C97,基础资料!$E$4:$E$23,0)),IF($C97="","","未匹配账户"))</f>
        <v>双思威</v>
      </c>
      <c r="E97" s="39" t="s">
        <v>488</v>
      </c>
      <c r="F97" s="10" t="s">
        <v>299</v>
      </c>
      <c r="G97" s="10"/>
      <c r="H97" s="10" t="s">
        <v>530</v>
      </c>
      <c r="I97" s="46"/>
      <c r="J97" s="70" t="s">
        <v>555</v>
      </c>
      <c r="K97" s="25"/>
      <c r="L97" s="25">
        <v>7969</v>
      </c>
      <c r="M97" s="25">
        <f>IFERROR(VLOOKUP($C97,$C$5:$M$24,11,0)+SUMIF($C$25:$C97,$C97,$K$25:$K97)-SUMIF($C$25:$C97,$C97,$L$25:$L97),"")</f>
        <v>3958519.7</v>
      </c>
      <c r="N97" s="10"/>
      <c r="O97" s="10"/>
      <c r="P97" s="65"/>
      <c r="Q97" s="46"/>
      <c r="R97" s="46" t="s">
        <v>485</v>
      </c>
      <c r="S97" s="54">
        <f t="shared" si="3"/>
        <v>202601</v>
      </c>
      <c r="T97" s="54">
        <f t="shared" si="4"/>
        <v>202601</v>
      </c>
      <c r="U97" s="58" t="str">
        <f t="shared" si="5"/>
        <v/>
      </c>
      <c r="V97" s="58">
        <f>IF(AND($B97&lt;&gt;"",$F97&lt;&gt;"",$F97=项目明细账!$C$2),N(V96)+1,N(V96))</f>
        <v>0</v>
      </c>
      <c r="W97" s="63" t="str">
        <f>IF($H97&lt;&gt;"","项目成本",IFERROR(INDEX(基础资料!$W$4:$W$49,MATCH($I97,基础资料!$V$4:$V$49,0)),""))</f>
        <v>项目成本</v>
      </c>
      <c r="X97" s="63" t="str">
        <f>IFERROR(INDEX(基础资料!$R$4:$R$17,MATCH($G97,基础资料!$Q$4:$Q$17,0)),"")</f>
        <v/>
      </c>
    </row>
    <row r="98" spans="1:24">
      <c r="A98" s="58">
        <f>IF($B98="","",COUNTA($B$5:$B98))</f>
        <v>94</v>
      </c>
      <c r="B98" s="53">
        <v>46034</v>
      </c>
      <c r="C98" s="46" t="s">
        <v>99</v>
      </c>
      <c r="D98" s="63" t="str">
        <f>IFERROR(INDEX(基础资料!$F$4:$F$23,MATCH($C98,基础资料!$E$4:$E$23,0)),IF($C98="","","未匹配账户"))</f>
        <v>双思威</v>
      </c>
      <c r="E98" s="39" t="s">
        <v>488</v>
      </c>
      <c r="F98" s="10" t="s">
        <v>198</v>
      </c>
      <c r="G98" s="10" t="s">
        <v>87</v>
      </c>
      <c r="H98" s="46"/>
      <c r="I98" s="10"/>
      <c r="J98" s="70" t="s">
        <v>487</v>
      </c>
      <c r="K98" s="25">
        <v>3122400</v>
      </c>
      <c r="L98" s="25"/>
      <c r="M98" s="25">
        <f>IFERROR(VLOOKUP($C98,$C$5:$M$24,11,0)+SUMIF($C$25:$C98,$C98,$K$25:$K98)-SUMIF($C$25:$C98,$C98,$L$25:$L98),"")</f>
        <v>7080919.7</v>
      </c>
      <c r="N98" s="10"/>
      <c r="O98" s="46" t="s">
        <v>514</v>
      </c>
      <c r="P98" s="65"/>
      <c r="Q98" s="46"/>
      <c r="R98" s="46" t="s">
        <v>485</v>
      </c>
      <c r="S98" s="54">
        <f t="shared" si="3"/>
        <v>202601</v>
      </c>
      <c r="T98" s="54">
        <f t="shared" si="4"/>
        <v>202601</v>
      </c>
      <c r="U98" s="58" t="str">
        <f t="shared" si="5"/>
        <v/>
      </c>
      <c r="V98" s="58">
        <f>IF(AND($B98&lt;&gt;"",$F98&lt;&gt;"",$F98=项目明细账!$C$2),N(V97)+1,N(V97))</f>
        <v>0</v>
      </c>
      <c r="W98" s="63" t="str">
        <f>IF($H98&lt;&gt;"","项目成本",IFERROR(INDEX(基础资料!$W$4:$W$49,MATCH($I98,基础资料!$V$4:$V$49,0)),""))</f>
        <v/>
      </c>
      <c r="X98" s="63" t="str">
        <f>IFERROR(INDEX(基础资料!$R$4:$R$17,MATCH($G98,基础资料!$Q$4:$Q$17,0)),"")</f>
        <v>经营收入</v>
      </c>
    </row>
    <row r="99" spans="1:24">
      <c r="A99" s="58">
        <f>IF($B99="","",COUNTA($B$5:$B99))</f>
        <v>95</v>
      </c>
      <c r="B99" s="53">
        <v>46034</v>
      </c>
      <c r="C99" s="46" t="s">
        <v>99</v>
      </c>
      <c r="D99" s="63" t="str">
        <f>IFERROR(INDEX(基础资料!$F$4:$F$23,MATCH($C99,基础资料!$E$4:$E$23,0)),IF($C99="","","未匹配账户"))</f>
        <v>双思威</v>
      </c>
      <c r="E99" s="39" t="s">
        <v>488</v>
      </c>
      <c r="F99" s="10" t="s">
        <v>128</v>
      </c>
      <c r="G99" s="10"/>
      <c r="H99" s="10" t="s">
        <v>530</v>
      </c>
      <c r="I99" s="46"/>
      <c r="J99" s="70" t="s">
        <v>556</v>
      </c>
      <c r="K99" s="25"/>
      <c r="L99" s="25">
        <v>11000</v>
      </c>
      <c r="M99" s="25">
        <f>IFERROR(VLOOKUP($C99,$C$5:$M$24,11,0)+SUMIF($C$25:$C99,$C99,$K$25:$K99)-SUMIF($C$25:$C99,$C99,$L$25:$L99),"")</f>
        <v>7069919.7</v>
      </c>
      <c r="N99" s="10"/>
      <c r="O99" s="10"/>
      <c r="P99" s="65"/>
      <c r="Q99" s="46"/>
      <c r="R99" s="46" t="s">
        <v>485</v>
      </c>
      <c r="S99" s="54">
        <f t="shared" si="3"/>
        <v>202601</v>
      </c>
      <c r="T99" s="54">
        <f t="shared" si="4"/>
        <v>202601</v>
      </c>
      <c r="U99" s="58" t="str">
        <f t="shared" si="5"/>
        <v/>
      </c>
      <c r="V99" s="58">
        <f>IF(AND($B99&lt;&gt;"",$F99&lt;&gt;"",$F99=项目明细账!$C$2),N(V98)+1,N(V98))</f>
        <v>0</v>
      </c>
      <c r="W99" s="63" t="str">
        <f>IF($H99&lt;&gt;"","项目成本",IFERROR(INDEX(基础资料!$W$4:$W$49,MATCH($I99,基础资料!$V$4:$V$49,0)),""))</f>
        <v>项目成本</v>
      </c>
      <c r="X99" s="63" t="str">
        <f>IFERROR(INDEX(基础资料!$R$4:$R$17,MATCH($G99,基础资料!$Q$4:$Q$17,0)),"")</f>
        <v/>
      </c>
    </row>
    <row r="100" spans="1:24">
      <c r="A100" s="58">
        <f>IF($B100="","",COUNTA($B$5:$B100))</f>
        <v>96</v>
      </c>
      <c r="B100" s="53">
        <v>46035</v>
      </c>
      <c r="C100" s="46" t="s">
        <v>99</v>
      </c>
      <c r="D100" s="63" t="str">
        <f>IFERROR(INDEX(基础资料!$F$4:$F$23,MATCH($C100,基础资料!$E$4:$E$23,0)),IF($C100="","","未匹配账户"))</f>
        <v>双思威</v>
      </c>
      <c r="E100" s="39" t="s">
        <v>488</v>
      </c>
      <c r="F100" s="10" t="s">
        <v>287</v>
      </c>
      <c r="G100" s="10"/>
      <c r="H100" s="10" t="s">
        <v>530</v>
      </c>
      <c r="I100" s="46"/>
      <c r="J100" s="70" t="s">
        <v>557</v>
      </c>
      <c r="K100" s="25"/>
      <c r="L100" s="25">
        <v>2300</v>
      </c>
      <c r="M100" s="25">
        <f>IFERROR(VLOOKUP($C100,$C$5:$M$24,11,0)+SUMIF($C$25:$C100,$C100,$K$25:$K100)-SUMIF($C$25:$C100,$C100,$L$25:$L100),"")</f>
        <v>7067619.7</v>
      </c>
      <c r="N100" s="10"/>
      <c r="O100" s="10"/>
      <c r="P100" s="65"/>
      <c r="Q100" s="46"/>
      <c r="R100" s="46" t="s">
        <v>485</v>
      </c>
      <c r="S100" s="54">
        <f t="shared" si="3"/>
        <v>202601</v>
      </c>
      <c r="T100" s="54">
        <f t="shared" si="4"/>
        <v>202601</v>
      </c>
      <c r="U100" s="58" t="str">
        <f t="shared" si="5"/>
        <v/>
      </c>
      <c r="V100" s="58">
        <f>IF(AND($B100&lt;&gt;"",$F100&lt;&gt;"",$F100=项目明细账!$C$2),N(V99)+1,N(V99))</f>
        <v>0</v>
      </c>
      <c r="W100" s="63" t="str">
        <f>IF($H100&lt;&gt;"","项目成本",IFERROR(INDEX(基础资料!$W$4:$W$49,MATCH($I100,基础资料!$V$4:$V$49,0)),""))</f>
        <v>项目成本</v>
      </c>
      <c r="X100" s="63" t="str">
        <f>IFERROR(INDEX(基础资料!$R$4:$R$17,MATCH($G100,基础资料!$Q$4:$Q$17,0)),"")</f>
        <v/>
      </c>
    </row>
    <row r="101" spans="1:24">
      <c r="A101" s="58">
        <f>IF($B101="","",COUNTA($B$5:$B101))</f>
        <v>97</v>
      </c>
      <c r="B101" s="53">
        <v>46036</v>
      </c>
      <c r="C101" s="46" t="s">
        <v>99</v>
      </c>
      <c r="D101" s="63" t="str">
        <f>IFERROR(INDEX(基础资料!$F$4:$F$23,MATCH($C101,基础资料!$E$4:$E$23,0)),IF($C101="","","未匹配账户"))</f>
        <v>双思威</v>
      </c>
      <c r="E101" s="39" t="s">
        <v>488</v>
      </c>
      <c r="F101" s="10" t="s">
        <v>198</v>
      </c>
      <c r="G101" s="10"/>
      <c r="H101" s="10" t="s">
        <v>558</v>
      </c>
      <c r="I101" s="46"/>
      <c r="J101" s="70" t="s">
        <v>559</v>
      </c>
      <c r="K101" s="25"/>
      <c r="L101" s="25">
        <v>300</v>
      </c>
      <c r="M101" s="25">
        <f>IFERROR(VLOOKUP($C101,$C$5:$M$24,11,0)+SUMIF($C$25:$C101,$C101,$K$25:$K101)-SUMIF($C$25:$C101,$C101,$L$25:$L101),"")</f>
        <v>7067319.7</v>
      </c>
      <c r="N101" s="10"/>
      <c r="O101" s="10"/>
      <c r="P101" s="65"/>
      <c r="Q101" s="46"/>
      <c r="R101" s="46" t="s">
        <v>485</v>
      </c>
      <c r="S101" s="54">
        <f t="shared" si="3"/>
        <v>202601</v>
      </c>
      <c r="T101" s="54">
        <f t="shared" si="4"/>
        <v>202601</v>
      </c>
      <c r="U101" s="58" t="str">
        <f t="shared" si="5"/>
        <v/>
      </c>
      <c r="V101" s="58">
        <f>IF(AND($B101&lt;&gt;"",$F101&lt;&gt;"",$F101=项目明细账!$C$2),N(V100)+1,N(V100))</f>
        <v>0</v>
      </c>
      <c r="W101" s="63" t="str">
        <f>IF($H101&lt;&gt;"","项目成本",IFERROR(INDEX(基础资料!$W$4:$W$49,MATCH($I101,基础资料!$V$4:$V$49,0)),""))</f>
        <v>项目成本</v>
      </c>
      <c r="X101" s="63" t="str">
        <f>IFERROR(INDEX(基础资料!$R$4:$R$17,MATCH($G101,基础资料!$Q$4:$Q$17,0)),"")</f>
        <v/>
      </c>
    </row>
    <row r="102" spans="1:24">
      <c r="A102" s="58">
        <f>IF($B102="","",COUNTA($B$5:$B102))</f>
        <v>98</v>
      </c>
      <c r="B102" s="53">
        <v>46036</v>
      </c>
      <c r="C102" s="46" t="s">
        <v>99</v>
      </c>
      <c r="D102" s="63" t="str">
        <f>IFERROR(INDEX(基础资料!$F$4:$F$23,MATCH($C102,基础资料!$E$4:$E$23,0)),IF($C102="","","未匹配账户"))</f>
        <v>双思威</v>
      </c>
      <c r="E102" s="39" t="s">
        <v>488</v>
      </c>
      <c r="F102" s="10" t="s">
        <v>291</v>
      </c>
      <c r="G102" s="10"/>
      <c r="H102" s="10" t="s">
        <v>530</v>
      </c>
      <c r="I102" s="46"/>
      <c r="J102" s="70" t="s">
        <v>560</v>
      </c>
      <c r="K102" s="25"/>
      <c r="L102" s="25">
        <v>15400</v>
      </c>
      <c r="M102" s="25">
        <f>IFERROR(VLOOKUP($C102,$C$5:$M$24,11,0)+SUMIF($C$25:$C102,$C102,$K$25:$K102)-SUMIF($C$25:$C102,$C102,$L$25:$L102),"")</f>
        <v>7051919.7</v>
      </c>
      <c r="N102" s="10"/>
      <c r="O102" s="10"/>
      <c r="P102" s="65"/>
      <c r="Q102" s="46"/>
      <c r="R102" s="46" t="s">
        <v>485</v>
      </c>
      <c r="S102" s="54">
        <f t="shared" si="3"/>
        <v>202601</v>
      </c>
      <c r="T102" s="54">
        <f t="shared" si="4"/>
        <v>202601</v>
      </c>
      <c r="U102" s="58" t="str">
        <f t="shared" si="5"/>
        <v/>
      </c>
      <c r="V102" s="58">
        <f>IF(AND($B102&lt;&gt;"",$F102&lt;&gt;"",$F102=项目明细账!$C$2),N(V101)+1,N(V101))</f>
        <v>0</v>
      </c>
      <c r="W102" s="63" t="str">
        <f>IF($H102&lt;&gt;"","项目成本",IFERROR(INDEX(基础资料!$W$4:$W$49,MATCH($I102,基础资料!$V$4:$V$49,0)),""))</f>
        <v>项目成本</v>
      </c>
      <c r="X102" s="63" t="str">
        <f>IFERROR(INDEX(基础资料!$R$4:$R$17,MATCH($G102,基础资料!$Q$4:$Q$17,0)),"")</f>
        <v/>
      </c>
    </row>
    <row r="103" spans="1:24">
      <c r="A103" s="58">
        <f>IF($B103="","",COUNTA($B$5:$B103))</f>
        <v>99</v>
      </c>
      <c r="B103" s="53">
        <v>46036</v>
      </c>
      <c r="C103" s="46" t="s">
        <v>99</v>
      </c>
      <c r="D103" s="63" t="str">
        <f>IFERROR(INDEX(基础资料!$F$4:$F$23,MATCH($C103,基础资料!$E$4:$E$23,0)),IF($C103="","","未匹配账户"))</f>
        <v>双思威</v>
      </c>
      <c r="E103" s="39" t="s">
        <v>488</v>
      </c>
      <c r="F103" s="10" t="s">
        <v>291</v>
      </c>
      <c r="G103" s="10"/>
      <c r="H103" s="10" t="s">
        <v>530</v>
      </c>
      <c r="I103" s="46"/>
      <c r="J103" s="70" t="s">
        <v>561</v>
      </c>
      <c r="K103" s="25"/>
      <c r="L103" s="25">
        <v>4080</v>
      </c>
      <c r="M103" s="25">
        <f>IFERROR(VLOOKUP($C103,$C$5:$M$24,11,0)+SUMIF($C$25:$C103,$C103,$K$25:$K103)-SUMIF($C$25:$C103,$C103,$L$25:$L103),"")</f>
        <v>7047839.7</v>
      </c>
      <c r="N103" s="10"/>
      <c r="O103" s="10"/>
      <c r="P103" s="65"/>
      <c r="Q103" s="46"/>
      <c r="R103" s="46" t="s">
        <v>485</v>
      </c>
      <c r="S103" s="54">
        <f t="shared" si="3"/>
        <v>202601</v>
      </c>
      <c r="T103" s="54">
        <f t="shared" si="4"/>
        <v>202601</v>
      </c>
      <c r="U103" s="58" t="str">
        <f t="shared" si="5"/>
        <v/>
      </c>
      <c r="V103" s="58">
        <f>IF(AND($B103&lt;&gt;"",$F103&lt;&gt;"",$F103=项目明细账!$C$2),N(V102)+1,N(V102))</f>
        <v>0</v>
      </c>
      <c r="W103" s="63" t="str">
        <f>IF($H103&lt;&gt;"","项目成本",IFERROR(INDEX(基础资料!$W$4:$W$49,MATCH($I103,基础资料!$V$4:$V$49,0)),""))</f>
        <v>项目成本</v>
      </c>
      <c r="X103" s="63" t="str">
        <f>IFERROR(INDEX(基础资料!$R$4:$R$17,MATCH($G103,基础资料!$Q$4:$Q$17,0)),"")</f>
        <v/>
      </c>
    </row>
    <row r="104" spans="1:24">
      <c r="A104" s="58">
        <f>IF($B104="","",COUNTA($B$5:$B104))</f>
        <v>100</v>
      </c>
      <c r="B104" s="53">
        <v>46037</v>
      </c>
      <c r="C104" s="46" t="s">
        <v>99</v>
      </c>
      <c r="D104" s="63" t="str">
        <f>IFERROR(INDEX(基础资料!$F$4:$F$23,MATCH($C104,基础资料!$E$4:$E$23,0)),IF($C104="","","未匹配账户"))</f>
        <v>双思威</v>
      </c>
      <c r="E104" s="39" t="s">
        <v>488</v>
      </c>
      <c r="F104" s="10" t="s">
        <v>309</v>
      </c>
      <c r="G104" s="10"/>
      <c r="H104" s="10" t="s">
        <v>530</v>
      </c>
      <c r="I104" s="46"/>
      <c r="J104" s="70" t="s">
        <v>562</v>
      </c>
      <c r="K104" s="25"/>
      <c r="L104" s="25">
        <v>18000</v>
      </c>
      <c r="M104" s="25">
        <f>IFERROR(VLOOKUP($C104,$C$5:$M$24,11,0)+SUMIF($C$25:$C104,$C104,$K$25:$K104)-SUMIF($C$25:$C104,$C104,$L$25:$L104),"")</f>
        <v>7029839.7</v>
      </c>
      <c r="N104" s="10"/>
      <c r="O104" s="10"/>
      <c r="P104" s="65"/>
      <c r="Q104" s="46"/>
      <c r="R104" s="46" t="s">
        <v>485</v>
      </c>
      <c r="S104" s="54">
        <f t="shared" si="3"/>
        <v>202601</v>
      </c>
      <c r="T104" s="54">
        <f t="shared" si="4"/>
        <v>202601</v>
      </c>
      <c r="U104" s="58" t="str">
        <f t="shared" si="5"/>
        <v/>
      </c>
      <c r="V104" s="58">
        <f>IF(AND($B104&lt;&gt;"",$F104&lt;&gt;"",$F104=项目明细账!$C$2),N(V103)+1,N(V103))</f>
        <v>0</v>
      </c>
      <c r="W104" s="63" t="str">
        <f>IF($H104&lt;&gt;"","项目成本",IFERROR(INDEX(基础资料!$W$4:$W$49,MATCH($I104,基础资料!$V$4:$V$49,0)),""))</f>
        <v>项目成本</v>
      </c>
      <c r="X104" s="63" t="str">
        <f>IFERROR(INDEX(基础资料!$R$4:$R$17,MATCH($G104,基础资料!$Q$4:$Q$17,0)),"")</f>
        <v/>
      </c>
    </row>
    <row r="105" spans="1:24">
      <c r="A105" s="58">
        <f>IF($B105="","",COUNTA($B$5:$B105))</f>
        <v>101</v>
      </c>
      <c r="B105" s="53">
        <v>46037</v>
      </c>
      <c r="C105" s="46" t="s">
        <v>99</v>
      </c>
      <c r="D105" s="63" t="str">
        <f>IFERROR(INDEX(基础资料!$F$4:$F$23,MATCH($C105,基础资料!$E$4:$E$23,0)),IF($C105="","","未匹配账户"))</f>
        <v>双思威</v>
      </c>
      <c r="E105" s="39" t="s">
        <v>488</v>
      </c>
      <c r="F105" s="10" t="s">
        <v>299</v>
      </c>
      <c r="G105" s="10"/>
      <c r="H105" s="10" t="s">
        <v>530</v>
      </c>
      <c r="I105" s="46"/>
      <c r="J105" s="70" t="s">
        <v>563</v>
      </c>
      <c r="K105" s="25"/>
      <c r="L105" s="25">
        <v>1500</v>
      </c>
      <c r="M105" s="25">
        <f>IFERROR(VLOOKUP($C105,$C$5:$M$24,11,0)+SUMIF($C$25:$C105,$C105,$K$25:$K105)-SUMIF($C$25:$C105,$C105,$L$25:$L105),"")</f>
        <v>7028339.7</v>
      </c>
      <c r="N105" s="10"/>
      <c r="O105" s="10"/>
      <c r="P105" s="65"/>
      <c r="Q105" s="46"/>
      <c r="R105" s="46" t="s">
        <v>485</v>
      </c>
      <c r="S105" s="54">
        <f t="shared" si="3"/>
        <v>202601</v>
      </c>
      <c r="T105" s="54">
        <f t="shared" si="4"/>
        <v>202601</v>
      </c>
      <c r="U105" s="58" t="str">
        <f t="shared" si="5"/>
        <v/>
      </c>
      <c r="V105" s="58">
        <f>IF(AND($B105&lt;&gt;"",$F105&lt;&gt;"",$F105=项目明细账!$C$2),N(V104)+1,N(V104))</f>
        <v>0</v>
      </c>
      <c r="W105" s="63" t="str">
        <f>IF($H105&lt;&gt;"","项目成本",IFERROR(INDEX(基础资料!$W$4:$W$49,MATCH($I105,基础资料!$V$4:$V$49,0)),""))</f>
        <v>项目成本</v>
      </c>
      <c r="X105" s="63" t="str">
        <f>IFERROR(INDEX(基础资料!$R$4:$R$17,MATCH($G105,基础资料!$Q$4:$Q$17,0)),"")</f>
        <v/>
      </c>
    </row>
    <row r="106" spans="1:24">
      <c r="A106" s="58">
        <f>IF($B106="","",COUNTA($B$5:$B106))</f>
        <v>102</v>
      </c>
      <c r="B106" s="53">
        <v>46039</v>
      </c>
      <c r="C106" s="46" t="s">
        <v>99</v>
      </c>
      <c r="D106" s="63" t="str">
        <f>IFERROR(INDEX(基础资料!$F$4:$F$23,MATCH($C106,基础资料!$E$4:$E$23,0)),IF($C106="","","未匹配账户"))</f>
        <v>双思威</v>
      </c>
      <c r="E106" s="39" t="s">
        <v>488</v>
      </c>
      <c r="F106" s="10" t="s">
        <v>291</v>
      </c>
      <c r="G106" s="10"/>
      <c r="H106" s="10" t="s">
        <v>530</v>
      </c>
      <c r="I106" s="46"/>
      <c r="J106" s="70" t="s">
        <v>564</v>
      </c>
      <c r="K106" s="25"/>
      <c r="L106" s="25">
        <v>2800</v>
      </c>
      <c r="M106" s="25">
        <f>IFERROR(VLOOKUP($C106,$C$5:$M$24,11,0)+SUMIF($C$25:$C106,$C106,$K$25:$K106)-SUMIF($C$25:$C106,$C106,$L$25:$L106),"")</f>
        <v>7025539.7</v>
      </c>
      <c r="N106" s="10"/>
      <c r="O106" s="10"/>
      <c r="P106" s="65"/>
      <c r="Q106" s="46"/>
      <c r="R106" s="46" t="s">
        <v>485</v>
      </c>
      <c r="S106" s="54">
        <f t="shared" si="3"/>
        <v>202601</v>
      </c>
      <c r="T106" s="54">
        <f t="shared" si="4"/>
        <v>202601</v>
      </c>
      <c r="U106" s="58" t="str">
        <f t="shared" si="5"/>
        <v/>
      </c>
      <c r="V106" s="58">
        <f>IF(AND($B106&lt;&gt;"",$F106&lt;&gt;"",$F106=项目明细账!$C$2),N(V105)+1,N(V105))</f>
        <v>0</v>
      </c>
      <c r="W106" s="63" t="str">
        <f>IF($H106&lt;&gt;"","项目成本",IFERROR(INDEX(基础资料!$W$4:$W$49,MATCH($I106,基础资料!$V$4:$V$49,0)),""))</f>
        <v>项目成本</v>
      </c>
      <c r="X106" s="63" t="str">
        <f>IFERROR(INDEX(基础资料!$R$4:$R$17,MATCH($G106,基础资料!$Q$4:$Q$17,0)),"")</f>
        <v/>
      </c>
    </row>
    <row r="107" spans="1:24">
      <c r="A107" s="58">
        <f>IF($B107="","",COUNTA($B$5:$B107))</f>
        <v>103</v>
      </c>
      <c r="B107" s="53">
        <v>46041</v>
      </c>
      <c r="C107" s="46" t="s">
        <v>99</v>
      </c>
      <c r="D107" s="63" t="str">
        <f>IFERROR(INDEX(基础资料!$F$4:$F$23,MATCH($C107,基础资料!$E$4:$E$23,0)),IF($C107="","","未匹配账户"))</f>
        <v>双思威</v>
      </c>
      <c r="E107" s="39" t="s">
        <v>488</v>
      </c>
      <c r="F107" s="10" t="s">
        <v>291</v>
      </c>
      <c r="G107" s="10"/>
      <c r="H107" s="10" t="s">
        <v>530</v>
      </c>
      <c r="I107" s="46"/>
      <c r="J107" s="70" t="s">
        <v>565</v>
      </c>
      <c r="K107" s="25"/>
      <c r="L107" s="25">
        <v>1930</v>
      </c>
      <c r="M107" s="25">
        <f>IFERROR(VLOOKUP($C107,$C$5:$M$24,11,0)+SUMIF($C$25:$C107,$C107,$K$25:$K107)-SUMIF($C$25:$C107,$C107,$L$25:$L107),"")</f>
        <v>7023609.7</v>
      </c>
      <c r="N107" s="10"/>
      <c r="O107" s="10"/>
      <c r="P107" s="65"/>
      <c r="Q107" s="46"/>
      <c r="R107" s="46" t="s">
        <v>485</v>
      </c>
      <c r="S107" s="54">
        <f t="shared" si="3"/>
        <v>202601</v>
      </c>
      <c r="T107" s="54">
        <f t="shared" si="4"/>
        <v>202601</v>
      </c>
      <c r="U107" s="58" t="str">
        <f t="shared" si="5"/>
        <v/>
      </c>
      <c r="V107" s="58">
        <f>IF(AND($B107&lt;&gt;"",$F107&lt;&gt;"",$F107=项目明细账!$C$2),N(V106)+1,N(V106))</f>
        <v>0</v>
      </c>
      <c r="W107" s="63" t="str">
        <f>IF($H107&lt;&gt;"","项目成本",IFERROR(INDEX(基础资料!$W$4:$W$49,MATCH($I107,基础资料!$V$4:$V$49,0)),""))</f>
        <v>项目成本</v>
      </c>
      <c r="X107" s="63" t="str">
        <f>IFERROR(INDEX(基础资料!$R$4:$R$17,MATCH($G107,基础资料!$Q$4:$Q$17,0)),"")</f>
        <v/>
      </c>
    </row>
    <row r="108" spans="1:24">
      <c r="A108" s="58">
        <f>IF($B108="","",COUNTA($B$5:$B108))</f>
        <v>104</v>
      </c>
      <c r="B108" s="53">
        <v>46041</v>
      </c>
      <c r="C108" s="46" t="s">
        <v>99</v>
      </c>
      <c r="D108" s="63" t="str">
        <f>IFERROR(INDEX(基础资料!$F$4:$F$23,MATCH($C108,基础资料!$E$4:$E$23,0)),IF($C108="","","未匹配账户"))</f>
        <v>双思威</v>
      </c>
      <c r="E108" s="39" t="s">
        <v>488</v>
      </c>
      <c r="F108" s="10" t="s">
        <v>83</v>
      </c>
      <c r="G108" s="10"/>
      <c r="H108" s="10" t="s">
        <v>538</v>
      </c>
      <c r="I108" s="46"/>
      <c r="J108" s="70" t="s">
        <v>566</v>
      </c>
      <c r="K108" s="25"/>
      <c r="L108" s="25">
        <v>9000</v>
      </c>
      <c r="M108" s="25">
        <f>IFERROR(VLOOKUP($C108,$C$5:$M$24,11,0)+SUMIF($C$25:$C108,$C108,$K$25:$K108)-SUMIF($C$25:$C108,$C108,$L$25:$L108),"")</f>
        <v>7014609.7</v>
      </c>
      <c r="N108" s="10"/>
      <c r="O108" s="10"/>
      <c r="P108" s="65"/>
      <c r="Q108" s="46"/>
      <c r="R108" s="46" t="s">
        <v>485</v>
      </c>
      <c r="S108" s="54">
        <f t="shared" si="3"/>
        <v>202601</v>
      </c>
      <c r="T108" s="54">
        <f t="shared" si="4"/>
        <v>202601</v>
      </c>
      <c r="U108" s="58" t="str">
        <f t="shared" si="5"/>
        <v/>
      </c>
      <c r="V108" s="58">
        <f>IF(AND($B108&lt;&gt;"",$F108&lt;&gt;"",$F108=项目明细账!$C$2),N(V107)+1,N(V107))</f>
        <v>0</v>
      </c>
      <c r="W108" s="63" t="str">
        <f>IF($H108&lt;&gt;"","项目成本",IFERROR(INDEX(基础资料!$W$4:$W$49,MATCH($I108,基础资料!$V$4:$V$49,0)),""))</f>
        <v>项目成本</v>
      </c>
      <c r="X108" s="63" t="str">
        <f>IFERROR(INDEX(基础资料!$R$4:$R$17,MATCH($G108,基础资料!$Q$4:$Q$17,0)),"")</f>
        <v/>
      </c>
    </row>
    <row r="109" spans="1:24">
      <c r="A109" s="58">
        <f>IF($B109="","",COUNTA($B$5:$B109))</f>
        <v>105</v>
      </c>
      <c r="B109" s="53">
        <v>46041</v>
      </c>
      <c r="C109" s="46" t="s">
        <v>99</v>
      </c>
      <c r="D109" s="63" t="str">
        <f>IFERROR(INDEX(基础资料!$F$4:$F$23,MATCH($C109,基础资料!$E$4:$E$23,0)),IF($C109="","","未匹配账户"))</f>
        <v>双思威</v>
      </c>
      <c r="E109" s="39" t="s">
        <v>488</v>
      </c>
      <c r="F109" s="10" t="s">
        <v>83</v>
      </c>
      <c r="G109" s="10"/>
      <c r="H109" s="10" t="s">
        <v>538</v>
      </c>
      <c r="I109" s="46"/>
      <c r="J109" s="70" t="s">
        <v>567</v>
      </c>
      <c r="K109" s="25"/>
      <c r="L109" s="25">
        <v>6400</v>
      </c>
      <c r="M109" s="25">
        <f>IFERROR(VLOOKUP($C109,$C$5:$M$24,11,0)+SUMIF($C$25:$C109,$C109,$K$25:$K109)-SUMIF($C$25:$C109,$C109,$L$25:$L109),"")</f>
        <v>7008209.7</v>
      </c>
      <c r="N109" s="10"/>
      <c r="O109" s="10"/>
      <c r="P109" s="65"/>
      <c r="Q109" s="46"/>
      <c r="R109" s="46" t="s">
        <v>485</v>
      </c>
      <c r="S109" s="54">
        <f t="shared" si="3"/>
        <v>202601</v>
      </c>
      <c r="T109" s="54">
        <f t="shared" si="4"/>
        <v>202601</v>
      </c>
      <c r="U109" s="58" t="str">
        <f t="shared" si="5"/>
        <v/>
      </c>
      <c r="V109" s="58">
        <f>IF(AND($B109&lt;&gt;"",$F109&lt;&gt;"",$F109=项目明细账!$C$2),N(V108)+1,N(V108))</f>
        <v>0</v>
      </c>
      <c r="W109" s="63" t="str">
        <f>IF($H109&lt;&gt;"","项目成本",IFERROR(INDEX(基础资料!$W$4:$W$49,MATCH($I109,基础资料!$V$4:$V$49,0)),""))</f>
        <v>项目成本</v>
      </c>
      <c r="X109" s="63" t="str">
        <f>IFERROR(INDEX(基础资料!$R$4:$R$17,MATCH($G109,基础资料!$Q$4:$Q$17,0)),"")</f>
        <v/>
      </c>
    </row>
    <row r="110" spans="1:24">
      <c r="A110" s="58">
        <f>IF($B110="","",COUNTA($B$5:$B110))</f>
        <v>106</v>
      </c>
      <c r="B110" s="53">
        <v>46042</v>
      </c>
      <c r="C110" s="46" t="s">
        <v>99</v>
      </c>
      <c r="D110" s="63" t="str">
        <f>IFERROR(INDEX(基础资料!$F$4:$F$23,MATCH($C110,基础资料!$E$4:$E$23,0)),IF($C110="","","未匹配账户"))</f>
        <v>双思威</v>
      </c>
      <c r="E110" s="39" t="s">
        <v>488</v>
      </c>
      <c r="F110" s="10" t="s">
        <v>83</v>
      </c>
      <c r="G110" s="10"/>
      <c r="H110" s="10" t="s">
        <v>530</v>
      </c>
      <c r="I110" s="46"/>
      <c r="J110" s="70" t="s">
        <v>568</v>
      </c>
      <c r="K110" s="25"/>
      <c r="L110" s="25">
        <v>55592</v>
      </c>
      <c r="M110" s="25">
        <f>IFERROR(VLOOKUP($C110,$C$5:$M$24,11,0)+SUMIF($C$25:$C110,$C110,$K$25:$K110)-SUMIF($C$25:$C110,$C110,$L$25:$L110),"")</f>
        <v>6952617.7</v>
      </c>
      <c r="N110" s="10"/>
      <c r="O110" s="10"/>
      <c r="P110" s="65"/>
      <c r="Q110" s="46"/>
      <c r="R110" s="46" t="s">
        <v>485</v>
      </c>
      <c r="S110" s="54">
        <f t="shared" si="3"/>
        <v>202601</v>
      </c>
      <c r="T110" s="54">
        <f t="shared" si="4"/>
        <v>202601</v>
      </c>
      <c r="U110" s="58" t="str">
        <f t="shared" si="5"/>
        <v/>
      </c>
      <c r="V110" s="58">
        <f>IF(AND($B110&lt;&gt;"",$F110&lt;&gt;"",$F110=项目明细账!$C$2),N(V109)+1,N(V109))</f>
        <v>0</v>
      </c>
      <c r="W110" s="63" t="str">
        <f>IF($H110&lt;&gt;"","项目成本",IFERROR(INDEX(基础资料!$W$4:$W$49,MATCH($I110,基础资料!$V$4:$V$49,0)),""))</f>
        <v>项目成本</v>
      </c>
      <c r="X110" s="63" t="str">
        <f>IFERROR(INDEX(基础资料!$R$4:$R$17,MATCH($G110,基础资料!$Q$4:$Q$17,0)),"")</f>
        <v/>
      </c>
    </row>
    <row r="111" spans="1:24">
      <c r="A111" s="58">
        <f>IF($B111="","",COUNTA($B$5:$B111))</f>
        <v>107</v>
      </c>
      <c r="B111" s="53">
        <v>46042</v>
      </c>
      <c r="C111" s="46" t="s">
        <v>99</v>
      </c>
      <c r="D111" s="63" t="str">
        <f>IFERROR(INDEX(基础资料!$F$4:$F$23,MATCH($C111,基础资料!$E$4:$E$23,0)),IF($C111="","","未匹配账户"))</f>
        <v>双思威</v>
      </c>
      <c r="E111" s="39" t="s">
        <v>488</v>
      </c>
      <c r="F111" s="10" t="s">
        <v>128</v>
      </c>
      <c r="G111" s="10"/>
      <c r="H111" s="10" t="s">
        <v>538</v>
      </c>
      <c r="I111" s="46"/>
      <c r="J111" s="70" t="s">
        <v>568</v>
      </c>
      <c r="K111" s="25"/>
      <c r="L111" s="25">
        <v>60833</v>
      </c>
      <c r="M111" s="25">
        <f>IFERROR(VLOOKUP($C111,$C$5:$M$24,11,0)+SUMIF($C$25:$C111,$C111,$K$25:$K111)-SUMIF($C$25:$C111,$C111,$L$25:$L111),"")</f>
        <v>6891784.7</v>
      </c>
      <c r="N111" s="10"/>
      <c r="O111" s="10"/>
      <c r="P111" s="65"/>
      <c r="Q111" s="46"/>
      <c r="R111" s="46" t="s">
        <v>485</v>
      </c>
      <c r="S111" s="54">
        <f t="shared" si="3"/>
        <v>202601</v>
      </c>
      <c r="T111" s="54">
        <f t="shared" si="4"/>
        <v>202601</v>
      </c>
      <c r="U111" s="58" t="str">
        <f t="shared" si="5"/>
        <v/>
      </c>
      <c r="V111" s="58">
        <f>IF(AND($B111&lt;&gt;"",$F111&lt;&gt;"",$F111=项目明细账!$C$2),N(V110)+1,N(V110))</f>
        <v>0</v>
      </c>
      <c r="W111" s="63" t="str">
        <f>IF($H111&lt;&gt;"","项目成本",IFERROR(INDEX(基础资料!$W$4:$W$49,MATCH($I111,基础资料!$V$4:$V$49,0)),""))</f>
        <v>项目成本</v>
      </c>
      <c r="X111" s="63" t="str">
        <f>IFERROR(INDEX(基础资料!$R$4:$R$17,MATCH($G111,基础资料!$Q$4:$Q$17,0)),"")</f>
        <v/>
      </c>
    </row>
    <row r="112" spans="1:24">
      <c r="A112" s="58">
        <f>IF($B112="","",COUNTA($B$5:$B112))</f>
        <v>108</v>
      </c>
      <c r="B112" s="53">
        <v>46042</v>
      </c>
      <c r="C112" s="46" t="s">
        <v>99</v>
      </c>
      <c r="D112" s="63" t="str">
        <f>IFERROR(INDEX(基础资料!$F$4:$F$23,MATCH($C112,基础资料!$E$4:$E$23,0)),IF($C112="","","未匹配账户"))</f>
        <v>双思威</v>
      </c>
      <c r="E112" s="39" t="s">
        <v>488</v>
      </c>
      <c r="F112" s="10" t="s">
        <v>310</v>
      </c>
      <c r="G112" s="10"/>
      <c r="H112" s="10" t="s">
        <v>538</v>
      </c>
      <c r="I112" s="46"/>
      <c r="J112" s="70" t="s">
        <v>569</v>
      </c>
      <c r="K112" s="25"/>
      <c r="L112" s="25">
        <v>50000</v>
      </c>
      <c r="M112" s="25">
        <f>IFERROR(VLOOKUP($C112,$C$5:$M$24,11,0)+SUMIF($C$25:$C112,$C112,$K$25:$K112)-SUMIF($C$25:$C112,$C112,$L$25:$L112),"")</f>
        <v>6841784.7</v>
      </c>
      <c r="N112" s="10"/>
      <c r="O112" s="10"/>
      <c r="P112" s="65"/>
      <c r="Q112" s="46"/>
      <c r="R112" s="46" t="s">
        <v>485</v>
      </c>
      <c r="S112" s="54">
        <f t="shared" si="3"/>
        <v>202601</v>
      </c>
      <c r="T112" s="54">
        <f t="shared" si="4"/>
        <v>202601</v>
      </c>
      <c r="U112" s="58" t="str">
        <f t="shared" si="5"/>
        <v/>
      </c>
      <c r="V112" s="58">
        <f>IF(AND($B112&lt;&gt;"",$F112&lt;&gt;"",$F112=项目明细账!$C$2),N(V111)+1,N(V111))</f>
        <v>0</v>
      </c>
      <c r="W112" s="63" t="str">
        <f>IF($H112&lt;&gt;"","项目成本",IFERROR(INDEX(基础资料!$W$4:$W$49,MATCH($I112,基础资料!$V$4:$V$49,0)),""))</f>
        <v>项目成本</v>
      </c>
      <c r="X112" s="63" t="str">
        <f>IFERROR(INDEX(基础资料!$R$4:$R$17,MATCH($G112,基础资料!$Q$4:$Q$17,0)),"")</f>
        <v/>
      </c>
    </row>
    <row r="113" spans="1:24">
      <c r="A113" s="58">
        <f>IF($B113="","",COUNTA($B$5:$B113))</f>
        <v>109</v>
      </c>
      <c r="B113" s="53">
        <v>46042</v>
      </c>
      <c r="C113" s="46" t="s">
        <v>99</v>
      </c>
      <c r="D113" s="63" t="str">
        <f>IFERROR(INDEX(基础资料!$F$4:$F$23,MATCH($C113,基础资料!$E$4:$E$23,0)),IF($C113="","","未匹配账户"))</f>
        <v>双思威</v>
      </c>
      <c r="E113" s="39" t="s">
        <v>488</v>
      </c>
      <c r="F113" s="10" t="s">
        <v>212</v>
      </c>
      <c r="G113" s="10"/>
      <c r="H113" s="10" t="s">
        <v>530</v>
      </c>
      <c r="I113" s="46"/>
      <c r="J113" s="70" t="s">
        <v>570</v>
      </c>
      <c r="K113" s="25"/>
      <c r="L113" s="25">
        <v>2250</v>
      </c>
      <c r="M113" s="25">
        <f>IFERROR(VLOOKUP($C113,$C$5:$M$24,11,0)+SUMIF($C$25:$C113,$C113,$K$25:$K113)-SUMIF($C$25:$C113,$C113,$L$25:$L113),"")</f>
        <v>6839534.7</v>
      </c>
      <c r="N113" s="10"/>
      <c r="O113" s="10"/>
      <c r="P113" s="65"/>
      <c r="Q113" s="46"/>
      <c r="R113" s="46" t="s">
        <v>485</v>
      </c>
      <c r="S113" s="54">
        <f t="shared" si="3"/>
        <v>202601</v>
      </c>
      <c r="T113" s="54">
        <f t="shared" si="4"/>
        <v>202601</v>
      </c>
      <c r="U113" s="58" t="str">
        <f t="shared" si="5"/>
        <v/>
      </c>
      <c r="V113" s="58">
        <f>IF(AND($B113&lt;&gt;"",$F113&lt;&gt;"",$F113=项目明细账!$C$2),N(V112)+1,N(V112))</f>
        <v>0</v>
      </c>
      <c r="W113" s="63" t="str">
        <f>IF($H113&lt;&gt;"","项目成本",IFERROR(INDEX(基础资料!$W$4:$W$49,MATCH($I113,基础资料!$V$4:$V$49,0)),""))</f>
        <v>项目成本</v>
      </c>
      <c r="X113" s="63" t="str">
        <f>IFERROR(INDEX(基础资料!$R$4:$R$17,MATCH($G113,基础资料!$Q$4:$Q$17,0)),"")</f>
        <v/>
      </c>
    </row>
    <row r="114" spans="1:24">
      <c r="A114" s="58">
        <f>IF($B114="","",COUNTA($B$5:$B114))</f>
        <v>110</v>
      </c>
      <c r="B114" s="53">
        <v>46043</v>
      </c>
      <c r="C114" s="46" t="s">
        <v>99</v>
      </c>
      <c r="D114" s="63" t="str">
        <f>IFERROR(INDEX(基础资料!$F$4:$F$23,MATCH($C114,基础资料!$E$4:$E$23,0)),IF($C114="","","未匹配账户"))</f>
        <v>双思威</v>
      </c>
      <c r="E114" s="39" t="s">
        <v>488</v>
      </c>
      <c r="F114" s="10"/>
      <c r="G114" s="10"/>
      <c r="H114" s="10"/>
      <c r="I114" s="46" t="s">
        <v>234</v>
      </c>
      <c r="J114" s="71" t="s">
        <v>571</v>
      </c>
      <c r="K114" s="25"/>
      <c r="L114" s="25">
        <v>10000</v>
      </c>
      <c r="M114" s="25">
        <f>IFERROR(VLOOKUP($C114,$C$5:$M$24,11,0)+SUMIF($C$25:$C114,$C114,$K$25:$K114)-SUMIF($C$25:$C114,$C114,$L$25:$L114),"")</f>
        <v>6829534.7</v>
      </c>
      <c r="N114" s="10"/>
      <c r="O114" s="10"/>
      <c r="P114" s="65"/>
      <c r="Q114" s="46"/>
      <c r="R114" s="46" t="s">
        <v>485</v>
      </c>
      <c r="S114" s="54">
        <f t="shared" si="3"/>
        <v>202601</v>
      </c>
      <c r="T114" s="54">
        <f t="shared" si="4"/>
        <v>202601</v>
      </c>
      <c r="U114" s="58" t="str">
        <f t="shared" si="5"/>
        <v/>
      </c>
      <c r="V114" s="58">
        <f>IF(AND($B114&lt;&gt;"",$F114&lt;&gt;"",$F114=项目明细账!$C$2),N(V113)+1,N(V113))</f>
        <v>0</v>
      </c>
      <c r="W114" s="63" t="str">
        <f>IF($H114&lt;&gt;"","项目成本",IFERROR(INDEX(基础资料!$W$4:$W$49,MATCH($I114,基础资料!$V$4:$V$49,0)),""))</f>
        <v>管理费用</v>
      </c>
      <c r="X114" s="63" t="str">
        <f>IFERROR(INDEX(基础资料!$R$4:$R$17,MATCH($G114,基础资料!$Q$4:$Q$17,0)),"")</f>
        <v/>
      </c>
    </row>
    <row r="115" spans="1:24">
      <c r="A115" s="58">
        <f>IF($B115="","",COUNTA($B$5:$B115))</f>
        <v>111</v>
      </c>
      <c r="B115" s="53">
        <v>46044</v>
      </c>
      <c r="C115" s="46" t="s">
        <v>99</v>
      </c>
      <c r="D115" s="63" t="str">
        <f>IFERROR(INDEX(基础资料!$F$4:$F$23,MATCH($C115,基础资料!$E$4:$E$23,0)),IF($C115="","","未匹配账户"))</f>
        <v>双思威</v>
      </c>
      <c r="E115" s="39" t="s">
        <v>488</v>
      </c>
      <c r="F115" s="10" t="s">
        <v>83</v>
      </c>
      <c r="G115" s="10"/>
      <c r="H115" s="10" t="s">
        <v>572</v>
      </c>
      <c r="I115" s="46"/>
      <c r="J115" s="70" t="s">
        <v>573</v>
      </c>
      <c r="K115" s="25"/>
      <c r="L115" s="25">
        <v>8951</v>
      </c>
      <c r="M115" s="25">
        <f>IFERROR(VLOOKUP($C115,$C$5:$M$24,11,0)+SUMIF($C$25:$C115,$C115,$K$25:$K115)-SUMIF($C$25:$C115,$C115,$L$25:$L115),"")</f>
        <v>6820583.7</v>
      </c>
      <c r="N115" s="10"/>
      <c r="O115" s="10"/>
      <c r="P115" s="65"/>
      <c r="Q115" s="46"/>
      <c r="R115" s="46" t="s">
        <v>485</v>
      </c>
      <c r="S115" s="54">
        <f t="shared" si="3"/>
        <v>202601</v>
      </c>
      <c r="T115" s="54">
        <f t="shared" si="4"/>
        <v>202601</v>
      </c>
      <c r="U115" s="58" t="str">
        <f t="shared" si="5"/>
        <v/>
      </c>
      <c r="V115" s="58">
        <f>IF(AND($B115&lt;&gt;"",$F115&lt;&gt;"",$F115=项目明细账!$C$2),N(V114)+1,N(V114))</f>
        <v>0</v>
      </c>
      <c r="W115" s="63" t="str">
        <f>IF($H115&lt;&gt;"","项目成本",IFERROR(INDEX(基础资料!$W$4:$W$49,MATCH($I115,基础资料!$V$4:$V$49,0)),""))</f>
        <v>项目成本</v>
      </c>
      <c r="X115" s="63" t="str">
        <f>IFERROR(INDEX(基础资料!$R$4:$R$17,MATCH($G115,基础资料!$Q$4:$Q$17,0)),"")</f>
        <v/>
      </c>
    </row>
    <row r="116" spans="1:24">
      <c r="A116" s="58">
        <f>IF($B116="","",COUNTA($B$5:$B116))</f>
        <v>112</v>
      </c>
      <c r="B116" s="53">
        <v>46046</v>
      </c>
      <c r="C116" s="46" t="s">
        <v>99</v>
      </c>
      <c r="D116" s="63" t="str">
        <f>IFERROR(INDEX(基础资料!$F$4:$F$23,MATCH($C116,基础资料!$E$4:$E$23,0)),IF($C116="","","未匹配账户"))</f>
        <v>双思威</v>
      </c>
      <c r="E116" s="39" t="s">
        <v>488</v>
      </c>
      <c r="F116" s="10" t="s">
        <v>291</v>
      </c>
      <c r="G116" s="10"/>
      <c r="H116" s="10" t="s">
        <v>530</v>
      </c>
      <c r="I116" s="46"/>
      <c r="J116" s="70" t="s">
        <v>574</v>
      </c>
      <c r="K116" s="25"/>
      <c r="L116" s="25">
        <v>14000</v>
      </c>
      <c r="M116" s="25">
        <f>IFERROR(VLOOKUP($C116,$C$5:$M$24,11,0)+SUMIF($C$25:$C116,$C116,$K$25:$K116)-SUMIF($C$25:$C116,$C116,$L$25:$L116),"")</f>
        <v>6806583.7</v>
      </c>
      <c r="N116" s="10"/>
      <c r="O116" s="10"/>
      <c r="P116" s="65"/>
      <c r="Q116" s="46"/>
      <c r="R116" s="46" t="s">
        <v>485</v>
      </c>
      <c r="S116" s="54">
        <f t="shared" si="3"/>
        <v>202601</v>
      </c>
      <c r="T116" s="54">
        <f t="shared" si="4"/>
        <v>202601</v>
      </c>
      <c r="U116" s="58" t="str">
        <f t="shared" si="5"/>
        <v/>
      </c>
      <c r="V116" s="58">
        <f>IF(AND($B116&lt;&gt;"",$F116&lt;&gt;"",$F116=项目明细账!$C$2),N(V115)+1,N(V115))</f>
        <v>0</v>
      </c>
      <c r="W116" s="63" t="str">
        <f>IF($H116&lt;&gt;"","项目成本",IFERROR(INDEX(基础资料!$W$4:$W$49,MATCH($I116,基础资料!$V$4:$V$49,0)),""))</f>
        <v>项目成本</v>
      </c>
      <c r="X116" s="63" t="str">
        <f>IFERROR(INDEX(基础资料!$R$4:$R$17,MATCH($G116,基础资料!$Q$4:$Q$17,0)),"")</f>
        <v/>
      </c>
    </row>
    <row r="117" spans="1:24">
      <c r="A117" s="58">
        <f>IF($B117="","",COUNTA($B$5:$B117))</f>
        <v>113</v>
      </c>
      <c r="B117" s="53">
        <v>46046</v>
      </c>
      <c r="C117" s="46" t="s">
        <v>99</v>
      </c>
      <c r="D117" s="63" t="str">
        <f>IFERROR(INDEX(基础资料!$F$4:$F$23,MATCH($C117,基础资料!$E$4:$E$23,0)),IF($C117="","","未匹配账户"))</f>
        <v>双思威</v>
      </c>
      <c r="E117" s="39" t="s">
        <v>488</v>
      </c>
      <c r="F117" s="10" t="s">
        <v>291</v>
      </c>
      <c r="G117" s="10"/>
      <c r="H117" s="10" t="s">
        <v>530</v>
      </c>
      <c r="I117" s="46"/>
      <c r="J117" s="70" t="s">
        <v>575</v>
      </c>
      <c r="K117" s="25"/>
      <c r="L117" s="25">
        <v>2550</v>
      </c>
      <c r="M117" s="25">
        <f>IFERROR(VLOOKUP($C117,$C$5:$M$24,11,0)+SUMIF($C$25:$C117,$C117,$K$25:$K117)-SUMIF($C$25:$C117,$C117,$L$25:$L117),"")</f>
        <v>6804033.7</v>
      </c>
      <c r="N117" s="10"/>
      <c r="O117" s="10"/>
      <c r="P117" s="65"/>
      <c r="Q117" s="46"/>
      <c r="R117" s="46" t="s">
        <v>485</v>
      </c>
      <c r="S117" s="54">
        <f t="shared" si="3"/>
        <v>202601</v>
      </c>
      <c r="T117" s="54">
        <f t="shared" si="4"/>
        <v>202601</v>
      </c>
      <c r="U117" s="58" t="str">
        <f t="shared" si="5"/>
        <v/>
      </c>
      <c r="V117" s="58">
        <f>IF(AND($B117&lt;&gt;"",$F117&lt;&gt;"",$F117=项目明细账!$C$2),N(V116)+1,N(V116))</f>
        <v>0</v>
      </c>
      <c r="W117" s="63" t="str">
        <f>IF($H117&lt;&gt;"","项目成本",IFERROR(INDEX(基础资料!$W$4:$W$49,MATCH($I117,基础资料!$V$4:$V$49,0)),""))</f>
        <v>项目成本</v>
      </c>
      <c r="X117" s="63" t="str">
        <f>IFERROR(INDEX(基础资料!$R$4:$R$17,MATCH($G117,基础资料!$Q$4:$Q$17,0)),"")</f>
        <v/>
      </c>
    </row>
    <row r="118" spans="1:24">
      <c r="A118" s="58">
        <f>IF($B118="","",COUNTA($B$5:$B118))</f>
        <v>114</v>
      </c>
      <c r="B118" s="53">
        <v>46046</v>
      </c>
      <c r="C118" s="46" t="s">
        <v>99</v>
      </c>
      <c r="D118" s="63" t="str">
        <f>IFERROR(INDEX(基础资料!$F$4:$F$23,MATCH($C118,基础资料!$E$4:$E$23,0)),IF($C118="","","未匹配账户"))</f>
        <v>双思威</v>
      </c>
      <c r="E118" s="39" t="s">
        <v>488</v>
      </c>
      <c r="F118" s="10" t="s">
        <v>303</v>
      </c>
      <c r="G118" s="10"/>
      <c r="H118" s="10" t="s">
        <v>530</v>
      </c>
      <c r="I118" s="46"/>
      <c r="J118" s="70" t="s">
        <v>576</v>
      </c>
      <c r="K118" s="25"/>
      <c r="L118" s="25">
        <v>17918</v>
      </c>
      <c r="M118" s="25">
        <f>IFERROR(VLOOKUP($C118,$C$5:$M$24,11,0)+SUMIF($C$25:$C118,$C118,$K$25:$K118)-SUMIF($C$25:$C118,$C118,$L$25:$L118),"")</f>
        <v>6786115.7</v>
      </c>
      <c r="N118" s="10"/>
      <c r="O118" s="10"/>
      <c r="P118" s="65"/>
      <c r="Q118" s="46"/>
      <c r="R118" s="46" t="s">
        <v>485</v>
      </c>
      <c r="S118" s="54">
        <f t="shared" si="3"/>
        <v>202601</v>
      </c>
      <c r="T118" s="54">
        <f t="shared" si="4"/>
        <v>202601</v>
      </c>
      <c r="U118" s="58" t="str">
        <f t="shared" si="5"/>
        <v/>
      </c>
      <c r="V118" s="58">
        <f>IF(AND($B118&lt;&gt;"",$F118&lt;&gt;"",$F118=项目明细账!$C$2),N(V117)+1,N(V117))</f>
        <v>0</v>
      </c>
      <c r="W118" s="63" t="str">
        <f>IF($H118&lt;&gt;"","项目成本",IFERROR(INDEX(基础资料!$W$4:$W$49,MATCH($I118,基础资料!$V$4:$V$49,0)),""))</f>
        <v>项目成本</v>
      </c>
      <c r="X118" s="63" t="str">
        <f>IFERROR(INDEX(基础资料!$R$4:$R$17,MATCH($G118,基础资料!$Q$4:$Q$17,0)),"")</f>
        <v/>
      </c>
    </row>
    <row r="119" spans="1:24">
      <c r="A119" s="58">
        <f>IF($B119="","",COUNTA($B$5:$B119))</f>
        <v>115</v>
      </c>
      <c r="B119" s="53">
        <v>46049</v>
      </c>
      <c r="C119" s="46" t="s">
        <v>99</v>
      </c>
      <c r="D119" s="63" t="str">
        <f>IFERROR(INDEX(基础资料!$F$4:$F$23,MATCH($C119,基础资料!$E$4:$E$23,0)),IF($C119="","","未匹配账户"))</f>
        <v>双思威</v>
      </c>
      <c r="E119" s="39" t="s">
        <v>488</v>
      </c>
      <c r="F119" s="10"/>
      <c r="G119" s="10"/>
      <c r="H119" s="10"/>
      <c r="I119" s="46" t="s">
        <v>234</v>
      </c>
      <c r="J119" s="70" t="s">
        <v>577</v>
      </c>
      <c r="K119" s="25"/>
      <c r="L119" s="25">
        <v>1645</v>
      </c>
      <c r="M119" s="25">
        <f>IFERROR(VLOOKUP($C119,$C$5:$M$24,11,0)+SUMIF($C$25:$C119,$C119,$K$25:$K119)-SUMIF($C$25:$C119,$C119,$L$25:$L119),"")</f>
        <v>6784470.7</v>
      </c>
      <c r="N119" s="10"/>
      <c r="O119" s="10"/>
      <c r="P119" s="65"/>
      <c r="Q119" s="46"/>
      <c r="R119" s="46" t="s">
        <v>485</v>
      </c>
      <c r="S119" s="54">
        <f t="shared" si="3"/>
        <v>202601</v>
      </c>
      <c r="T119" s="54">
        <f t="shared" si="4"/>
        <v>202601</v>
      </c>
      <c r="U119" s="58" t="str">
        <f t="shared" si="5"/>
        <v/>
      </c>
      <c r="V119" s="58">
        <f>IF(AND($B119&lt;&gt;"",$F119&lt;&gt;"",$F119=项目明细账!$C$2),N(V118)+1,N(V118))</f>
        <v>0</v>
      </c>
      <c r="W119" s="63" t="str">
        <f>IF($H119&lt;&gt;"","项目成本",IFERROR(INDEX(基础资料!$W$4:$W$49,MATCH($I119,基础资料!$V$4:$V$49,0)),""))</f>
        <v>管理费用</v>
      </c>
      <c r="X119" s="63" t="str">
        <f>IFERROR(INDEX(基础资料!$R$4:$R$17,MATCH($G119,基础资料!$Q$4:$Q$17,0)),"")</f>
        <v/>
      </c>
    </row>
    <row r="120" spans="1:24">
      <c r="A120" s="58">
        <f>IF($B120="","",COUNTA($B$5:$B120))</f>
        <v>116</v>
      </c>
      <c r="B120" s="53">
        <v>46049</v>
      </c>
      <c r="C120" s="46" t="s">
        <v>99</v>
      </c>
      <c r="D120" s="63" t="str">
        <f>IFERROR(INDEX(基础资料!$F$4:$F$23,MATCH($C120,基础资料!$E$4:$E$23,0)),IF($C120="","","未匹配账户"))</f>
        <v>双思威</v>
      </c>
      <c r="E120" s="39" t="s">
        <v>488</v>
      </c>
      <c r="F120" s="10"/>
      <c r="G120" s="10"/>
      <c r="H120" s="10"/>
      <c r="I120" s="46" t="s">
        <v>234</v>
      </c>
      <c r="J120" s="70" t="s">
        <v>578</v>
      </c>
      <c r="K120" s="25"/>
      <c r="L120" s="25">
        <v>3810</v>
      </c>
      <c r="M120" s="25">
        <f>IFERROR(VLOOKUP($C120,$C$5:$M$24,11,0)+SUMIF($C$25:$C120,$C120,$K$25:$K120)-SUMIF($C$25:$C120,$C120,$L$25:$L120),"")</f>
        <v>6780660.7</v>
      </c>
      <c r="N120" s="10"/>
      <c r="O120" s="10"/>
      <c r="P120" s="65"/>
      <c r="Q120" s="46"/>
      <c r="R120" s="46" t="s">
        <v>485</v>
      </c>
      <c r="S120" s="54">
        <f t="shared" si="3"/>
        <v>202601</v>
      </c>
      <c r="T120" s="54">
        <f t="shared" si="4"/>
        <v>202601</v>
      </c>
      <c r="U120" s="58" t="str">
        <f t="shared" si="5"/>
        <v/>
      </c>
      <c r="V120" s="58">
        <f>IF(AND($B120&lt;&gt;"",$F120&lt;&gt;"",$F120=项目明细账!$C$2),N(V119)+1,N(V119))</f>
        <v>0</v>
      </c>
      <c r="W120" s="63" t="str">
        <f>IF($H120&lt;&gt;"","项目成本",IFERROR(INDEX(基础资料!$W$4:$W$49,MATCH($I120,基础资料!$V$4:$V$49,0)),""))</f>
        <v>管理费用</v>
      </c>
      <c r="X120" s="63" t="str">
        <f>IFERROR(INDEX(基础资料!$R$4:$R$17,MATCH($G120,基础资料!$Q$4:$Q$17,0)),"")</f>
        <v/>
      </c>
    </row>
    <row r="121" spans="1:24">
      <c r="A121" s="58">
        <f>IF($B121="","",COUNTA($B$5:$B121))</f>
        <v>117</v>
      </c>
      <c r="B121" s="53">
        <v>46049</v>
      </c>
      <c r="C121" s="46" t="s">
        <v>99</v>
      </c>
      <c r="D121" s="63" t="str">
        <f>IFERROR(INDEX(基础资料!$F$4:$F$23,MATCH($C121,基础资料!$E$4:$E$23,0)),IF($C121="","","未匹配账户"))</f>
        <v>双思威</v>
      </c>
      <c r="E121" s="39" t="s">
        <v>488</v>
      </c>
      <c r="F121" s="10" t="s">
        <v>128</v>
      </c>
      <c r="G121" s="10"/>
      <c r="H121" s="10" t="s">
        <v>530</v>
      </c>
      <c r="I121" s="46"/>
      <c r="J121" s="70" t="s">
        <v>579</v>
      </c>
      <c r="K121" s="25"/>
      <c r="L121" s="25">
        <v>1150</v>
      </c>
      <c r="M121" s="25">
        <f>IFERROR(VLOOKUP($C121,$C$5:$M$24,11,0)+SUMIF($C$25:$C121,$C121,$K$25:$K121)-SUMIF($C$25:$C121,$C121,$L$25:$L121),"")</f>
        <v>6779510.7</v>
      </c>
      <c r="N121" s="10"/>
      <c r="O121" s="10"/>
      <c r="P121" s="65"/>
      <c r="Q121" s="46"/>
      <c r="R121" s="46" t="s">
        <v>485</v>
      </c>
      <c r="S121" s="54">
        <f t="shared" si="3"/>
        <v>202601</v>
      </c>
      <c r="T121" s="54">
        <f t="shared" si="4"/>
        <v>202601</v>
      </c>
      <c r="U121" s="58" t="str">
        <f t="shared" si="5"/>
        <v/>
      </c>
      <c r="V121" s="58">
        <f>IF(AND($B121&lt;&gt;"",$F121&lt;&gt;"",$F121=项目明细账!$C$2),N(V120)+1,N(V120))</f>
        <v>0</v>
      </c>
      <c r="W121" s="63" t="str">
        <f>IF($H121&lt;&gt;"","项目成本",IFERROR(INDEX(基础资料!$W$4:$W$49,MATCH($I121,基础资料!$V$4:$V$49,0)),""))</f>
        <v>项目成本</v>
      </c>
      <c r="X121" s="63" t="str">
        <f>IFERROR(INDEX(基础资料!$R$4:$R$17,MATCH($G121,基础资料!$Q$4:$Q$17,0)),"")</f>
        <v/>
      </c>
    </row>
    <row r="122" spans="1:24">
      <c r="A122" s="58">
        <f>IF($B122="","",COUNTA($B$5:$B122))</f>
        <v>118</v>
      </c>
      <c r="B122" s="53">
        <v>46050</v>
      </c>
      <c r="C122" s="46" t="s">
        <v>99</v>
      </c>
      <c r="D122" s="63" t="str">
        <f>IFERROR(INDEX(基础资料!$F$4:$F$23,MATCH($C122,基础资料!$E$4:$E$23,0)),IF($C122="","","未匹配账户"))</f>
        <v>双思威</v>
      </c>
      <c r="E122" s="39" t="s">
        <v>488</v>
      </c>
      <c r="F122" s="10" t="s">
        <v>212</v>
      </c>
      <c r="G122" s="10"/>
      <c r="H122" s="10" t="s">
        <v>530</v>
      </c>
      <c r="I122" s="46"/>
      <c r="J122" s="71" t="s">
        <v>570</v>
      </c>
      <c r="K122" s="25"/>
      <c r="L122" s="25">
        <v>2250</v>
      </c>
      <c r="M122" s="25">
        <f>IFERROR(VLOOKUP($C122,$C$5:$M$24,11,0)+SUMIF($C$25:$C122,$C122,$K$25:$K122)-SUMIF($C$25:$C122,$C122,$L$25:$L122),"")</f>
        <v>6777260.7</v>
      </c>
      <c r="N122" s="10"/>
      <c r="O122" s="10"/>
      <c r="P122" s="65"/>
      <c r="Q122" s="46"/>
      <c r="R122" s="46" t="s">
        <v>485</v>
      </c>
      <c r="S122" s="54">
        <f t="shared" si="3"/>
        <v>202601</v>
      </c>
      <c r="T122" s="54">
        <f t="shared" si="4"/>
        <v>202601</v>
      </c>
      <c r="U122" s="58" t="str">
        <f t="shared" si="5"/>
        <v/>
      </c>
      <c r="V122" s="58">
        <f>IF(AND($B122&lt;&gt;"",$F122&lt;&gt;"",$F122=项目明细账!$C$2),N(V121)+1,N(V121))</f>
        <v>0</v>
      </c>
      <c r="W122" s="63" t="str">
        <f>IF($H122&lt;&gt;"","项目成本",IFERROR(INDEX(基础资料!$W$4:$W$49,MATCH($I122,基础资料!$V$4:$V$49,0)),""))</f>
        <v>项目成本</v>
      </c>
      <c r="X122" s="63" t="str">
        <f>IFERROR(INDEX(基础资料!$R$4:$R$17,MATCH($G122,基础资料!$Q$4:$Q$17,0)),"")</f>
        <v/>
      </c>
    </row>
    <row r="123" spans="1:24">
      <c r="A123" s="58">
        <f>IF($B123="","",COUNTA($B$5:$B123))</f>
        <v>119</v>
      </c>
      <c r="B123" s="53">
        <v>46050</v>
      </c>
      <c r="C123" s="46" t="s">
        <v>99</v>
      </c>
      <c r="D123" s="63" t="str">
        <f>IFERROR(INDEX(基础资料!$F$4:$F$23,MATCH($C123,基础资料!$E$4:$E$23,0)),IF($C123="","","未匹配账户"))</f>
        <v>双思威</v>
      </c>
      <c r="E123" s="39" t="s">
        <v>488</v>
      </c>
      <c r="F123" s="10" t="s">
        <v>291</v>
      </c>
      <c r="G123" s="10"/>
      <c r="H123" s="10" t="s">
        <v>530</v>
      </c>
      <c r="I123" s="46"/>
      <c r="J123" s="71" t="s">
        <v>580</v>
      </c>
      <c r="K123" s="25"/>
      <c r="L123" s="25">
        <v>6600</v>
      </c>
      <c r="M123" s="25">
        <f>IFERROR(VLOOKUP($C123,$C$5:$M$24,11,0)+SUMIF($C$25:$C123,$C123,$K$25:$K123)-SUMIF($C$25:$C123,$C123,$L$25:$L123),"")</f>
        <v>6770660.7</v>
      </c>
      <c r="N123" s="10"/>
      <c r="O123" s="10"/>
      <c r="P123" s="65"/>
      <c r="Q123" s="46"/>
      <c r="R123" s="46" t="s">
        <v>485</v>
      </c>
      <c r="S123" s="54">
        <f t="shared" si="3"/>
        <v>202601</v>
      </c>
      <c r="T123" s="54">
        <f t="shared" si="4"/>
        <v>202601</v>
      </c>
      <c r="U123" s="58" t="str">
        <f t="shared" si="5"/>
        <v/>
      </c>
      <c r="V123" s="58">
        <f>IF(AND($B123&lt;&gt;"",$F123&lt;&gt;"",$F123=项目明细账!$C$2),N(V122)+1,N(V122))</f>
        <v>0</v>
      </c>
      <c r="W123" s="63" t="str">
        <f>IF($H123&lt;&gt;"","项目成本",IFERROR(INDEX(基础资料!$W$4:$W$49,MATCH($I123,基础资料!$V$4:$V$49,0)),""))</f>
        <v>项目成本</v>
      </c>
      <c r="X123" s="63" t="str">
        <f>IFERROR(INDEX(基础资料!$R$4:$R$17,MATCH($G123,基础资料!$Q$4:$Q$17,0)),"")</f>
        <v/>
      </c>
    </row>
    <row r="124" spans="1:24">
      <c r="A124" s="58">
        <f>IF($B124="","",COUNTA($B$5:$B124))</f>
        <v>120</v>
      </c>
      <c r="B124" s="53">
        <v>46050</v>
      </c>
      <c r="C124" s="46" t="s">
        <v>99</v>
      </c>
      <c r="D124" s="63" t="str">
        <f>IFERROR(INDEX(基础资料!$F$4:$F$23,MATCH($C124,基础资料!$E$4:$E$23,0)),IF($C124="","","未匹配账户"))</f>
        <v>双思威</v>
      </c>
      <c r="E124" s="39" t="s">
        <v>488</v>
      </c>
      <c r="F124" s="10" t="s">
        <v>303</v>
      </c>
      <c r="G124" s="10"/>
      <c r="H124" s="10" t="s">
        <v>572</v>
      </c>
      <c r="I124" s="46"/>
      <c r="J124" s="70" t="s">
        <v>581</v>
      </c>
      <c r="K124" s="25"/>
      <c r="L124" s="25">
        <v>6400</v>
      </c>
      <c r="M124" s="25">
        <f>IFERROR(VLOOKUP($C124,$C$5:$M$24,11,0)+SUMIF($C$25:$C124,$C124,$K$25:$K124)-SUMIF($C$25:$C124,$C124,$L$25:$L124),"")</f>
        <v>6764260.7</v>
      </c>
      <c r="N124" s="10"/>
      <c r="O124" s="10"/>
      <c r="P124" s="65"/>
      <c r="Q124" s="46"/>
      <c r="R124" s="46" t="s">
        <v>485</v>
      </c>
      <c r="S124" s="54">
        <f t="shared" si="3"/>
        <v>202601</v>
      </c>
      <c r="T124" s="54">
        <f t="shared" si="4"/>
        <v>202601</v>
      </c>
      <c r="U124" s="58" t="str">
        <f t="shared" si="5"/>
        <v/>
      </c>
      <c r="V124" s="58">
        <f>IF(AND($B124&lt;&gt;"",$F124&lt;&gt;"",$F124=项目明细账!$C$2),N(V123)+1,N(V123))</f>
        <v>0</v>
      </c>
      <c r="W124" s="63" t="str">
        <f>IF($H124&lt;&gt;"","项目成本",IFERROR(INDEX(基础资料!$W$4:$W$49,MATCH($I124,基础资料!$V$4:$V$49,0)),""))</f>
        <v>项目成本</v>
      </c>
      <c r="X124" s="63" t="str">
        <f>IFERROR(INDEX(基础资料!$R$4:$R$17,MATCH($G124,基础资料!$Q$4:$Q$17,0)),"")</f>
        <v/>
      </c>
    </row>
    <row r="125" spans="1:24">
      <c r="A125" s="58">
        <f>IF($B125="","",COUNTA($B$5:$B125))</f>
        <v>121</v>
      </c>
      <c r="B125" s="53">
        <v>46051</v>
      </c>
      <c r="C125" s="46" t="s">
        <v>99</v>
      </c>
      <c r="D125" s="63" t="str">
        <f>IFERROR(INDEX(基础资料!$F$4:$F$23,MATCH($C125,基础资料!$E$4:$E$23,0)),IF($C125="","","未匹配账户"))</f>
        <v>双思威</v>
      </c>
      <c r="E125" s="39" t="s">
        <v>488</v>
      </c>
      <c r="F125" s="10" t="s">
        <v>83</v>
      </c>
      <c r="G125" s="10"/>
      <c r="H125" s="10" t="s">
        <v>530</v>
      </c>
      <c r="I125" s="46"/>
      <c r="J125" s="70" t="s">
        <v>582</v>
      </c>
      <c r="K125" s="25"/>
      <c r="L125" s="25">
        <v>112</v>
      </c>
      <c r="M125" s="25">
        <f>IFERROR(VLOOKUP($C125,$C$5:$M$24,11,0)+SUMIF($C$25:$C125,$C125,$K$25:$K125)-SUMIF($C$25:$C125,$C125,$L$25:$L125),"")</f>
        <v>6764148.7</v>
      </c>
      <c r="N125" s="10"/>
      <c r="O125" s="10"/>
      <c r="P125" s="65"/>
      <c r="Q125" s="46"/>
      <c r="R125" s="46" t="s">
        <v>485</v>
      </c>
      <c r="S125" s="54">
        <f t="shared" si="3"/>
        <v>202601</v>
      </c>
      <c r="T125" s="54">
        <f t="shared" si="4"/>
        <v>202601</v>
      </c>
      <c r="U125" s="58" t="str">
        <f t="shared" si="5"/>
        <v/>
      </c>
      <c r="V125" s="58">
        <f>IF(AND($B125&lt;&gt;"",$F125&lt;&gt;"",$F125=项目明细账!$C$2),N(V124)+1,N(V124))</f>
        <v>0</v>
      </c>
      <c r="W125" s="63" t="str">
        <f>IF($H125&lt;&gt;"","项目成本",IFERROR(INDEX(基础资料!$W$4:$W$49,MATCH($I125,基础资料!$V$4:$V$49,0)),""))</f>
        <v>项目成本</v>
      </c>
      <c r="X125" s="63" t="str">
        <f>IFERROR(INDEX(基础资料!$R$4:$R$17,MATCH($G125,基础资料!$Q$4:$Q$17,0)),"")</f>
        <v/>
      </c>
    </row>
    <row r="126" spans="1:24">
      <c r="A126" s="58">
        <f>IF($B126="","",COUNTA($B$5:$B126))</f>
        <v>122</v>
      </c>
      <c r="B126" s="53">
        <v>46051</v>
      </c>
      <c r="C126" s="46" t="s">
        <v>99</v>
      </c>
      <c r="D126" s="63" t="str">
        <f>IFERROR(INDEX(基础资料!$F$4:$F$23,MATCH($C126,基础资料!$E$4:$E$23,0)),IF($C126="","","未匹配账户"))</f>
        <v>双思威</v>
      </c>
      <c r="E126" s="39" t="s">
        <v>488</v>
      </c>
      <c r="F126" s="10" t="s">
        <v>83</v>
      </c>
      <c r="G126" s="10"/>
      <c r="H126" s="10" t="s">
        <v>530</v>
      </c>
      <c r="I126" s="46"/>
      <c r="J126" s="71" t="s">
        <v>567</v>
      </c>
      <c r="K126" s="25"/>
      <c r="L126" s="25">
        <v>5400</v>
      </c>
      <c r="M126" s="25">
        <f>IFERROR(VLOOKUP($C126,$C$5:$M$24,11,0)+SUMIF($C$25:$C126,$C126,$K$25:$K126)-SUMIF($C$25:$C126,$C126,$L$25:$L126),"")</f>
        <v>6758748.7</v>
      </c>
      <c r="N126" s="10"/>
      <c r="O126" s="10"/>
      <c r="P126" s="65"/>
      <c r="Q126" s="46"/>
      <c r="R126" s="46" t="s">
        <v>485</v>
      </c>
      <c r="S126" s="54">
        <f t="shared" si="3"/>
        <v>202601</v>
      </c>
      <c r="T126" s="54">
        <f t="shared" si="4"/>
        <v>202601</v>
      </c>
      <c r="U126" s="58" t="str">
        <f t="shared" si="5"/>
        <v/>
      </c>
      <c r="V126" s="58">
        <f>IF(AND($B126&lt;&gt;"",$F126&lt;&gt;"",$F126=项目明细账!$C$2),N(V125)+1,N(V125))</f>
        <v>0</v>
      </c>
      <c r="W126" s="63" t="str">
        <f>IF($H126&lt;&gt;"","项目成本",IFERROR(INDEX(基础资料!$W$4:$W$49,MATCH($I126,基础资料!$V$4:$V$49,0)),""))</f>
        <v>项目成本</v>
      </c>
      <c r="X126" s="63" t="str">
        <f>IFERROR(INDEX(基础资料!$R$4:$R$17,MATCH($G126,基础资料!$Q$4:$Q$17,0)),"")</f>
        <v/>
      </c>
    </row>
    <row r="127" ht="26.25" spans="1:24">
      <c r="A127" s="58">
        <f>IF($B127="","",COUNTA($B$5:$B127))</f>
        <v>123</v>
      </c>
      <c r="B127" s="53">
        <v>46051</v>
      </c>
      <c r="C127" s="46" t="s">
        <v>99</v>
      </c>
      <c r="D127" s="63" t="str">
        <f>IFERROR(INDEX(基础资料!$F$4:$F$23,MATCH($C127,基础资料!$E$4:$E$23,0)),IF($C127="","","未匹配账户"))</f>
        <v>双思威</v>
      </c>
      <c r="E127" s="39" t="s">
        <v>488</v>
      </c>
      <c r="F127" s="10" t="s">
        <v>83</v>
      </c>
      <c r="G127" s="10"/>
      <c r="H127" s="10" t="s">
        <v>538</v>
      </c>
      <c r="I127" s="46"/>
      <c r="J127" s="72" t="s">
        <v>566</v>
      </c>
      <c r="K127" s="25"/>
      <c r="L127" s="25">
        <v>5153</v>
      </c>
      <c r="M127" s="25">
        <f>IFERROR(VLOOKUP($C127,$C$5:$M$24,11,0)+SUMIF($C$25:$C127,$C127,$K$25:$K127)-SUMIF($C$25:$C127,$C127,$L$25:$L127),"")</f>
        <v>6753595.7</v>
      </c>
      <c r="N127" s="10"/>
      <c r="O127" s="10"/>
      <c r="P127" s="65"/>
      <c r="Q127" s="46"/>
      <c r="R127" s="46" t="s">
        <v>485</v>
      </c>
      <c r="S127" s="54">
        <f t="shared" si="3"/>
        <v>202601</v>
      </c>
      <c r="T127" s="54">
        <f t="shared" si="4"/>
        <v>202601</v>
      </c>
      <c r="U127" s="58" t="str">
        <f t="shared" si="5"/>
        <v/>
      </c>
      <c r="V127" s="58">
        <f>IF(AND($B127&lt;&gt;"",$F127&lt;&gt;"",$F127=项目明细账!$C$2),N(V126)+1,N(V126))</f>
        <v>0</v>
      </c>
      <c r="W127" s="63" t="str">
        <f>IF($H127&lt;&gt;"","项目成本",IFERROR(INDEX(基础资料!$W$4:$W$49,MATCH($I127,基础资料!$V$4:$V$49,0)),""))</f>
        <v>项目成本</v>
      </c>
      <c r="X127" s="63" t="str">
        <f>IFERROR(INDEX(基础资料!$R$4:$R$17,MATCH($G127,基础资料!$Q$4:$Q$17,0)),"")</f>
        <v/>
      </c>
    </row>
    <row r="128" spans="1:24">
      <c r="A128" s="58">
        <f>IF($B128="","",COUNTA($B$5:$B128))</f>
        <v>124</v>
      </c>
      <c r="B128" s="53">
        <v>46051</v>
      </c>
      <c r="C128" s="46" t="s">
        <v>99</v>
      </c>
      <c r="D128" s="63" t="str">
        <f>IFERROR(INDEX(基础资料!$F$4:$F$23,MATCH($C128,基础资料!$E$4:$E$23,0)),IF($C128="","","未匹配账户"))</f>
        <v>双思威</v>
      </c>
      <c r="E128" s="39" t="s">
        <v>488</v>
      </c>
      <c r="F128" s="10" t="s">
        <v>151</v>
      </c>
      <c r="G128" s="10"/>
      <c r="H128" s="10" t="s">
        <v>538</v>
      </c>
      <c r="I128" s="46"/>
      <c r="J128" s="70" t="s">
        <v>583</v>
      </c>
      <c r="K128" s="25"/>
      <c r="L128" s="25">
        <v>7000</v>
      </c>
      <c r="M128" s="25">
        <f>IFERROR(VLOOKUP($C128,$C$5:$M$24,11,0)+SUMIF($C$25:$C128,$C128,$K$25:$K128)-SUMIF($C$25:$C128,$C128,$L$25:$L128),"")</f>
        <v>6746595.7</v>
      </c>
      <c r="N128" s="10"/>
      <c r="O128" s="10"/>
      <c r="P128" s="65"/>
      <c r="Q128" s="46"/>
      <c r="R128" s="46" t="s">
        <v>485</v>
      </c>
      <c r="S128" s="54">
        <f t="shared" si="3"/>
        <v>202601</v>
      </c>
      <c r="T128" s="54">
        <f t="shared" si="4"/>
        <v>202601</v>
      </c>
      <c r="U128" s="58" t="str">
        <f t="shared" si="5"/>
        <v/>
      </c>
      <c r="V128" s="58">
        <f>IF(AND($B128&lt;&gt;"",$F128&lt;&gt;"",$F128=项目明细账!$C$2),N(V127)+1,N(V127))</f>
        <v>0</v>
      </c>
      <c r="W128" s="63" t="str">
        <f>IF($H128&lt;&gt;"","项目成本",IFERROR(INDEX(基础资料!$W$4:$W$49,MATCH($I128,基础资料!$V$4:$V$49,0)),""))</f>
        <v>项目成本</v>
      </c>
      <c r="X128" s="63" t="str">
        <f>IFERROR(INDEX(基础资料!$R$4:$R$17,MATCH($G128,基础资料!$Q$4:$Q$17,0)),"")</f>
        <v/>
      </c>
    </row>
    <row r="129" spans="1:24">
      <c r="A129" s="58">
        <f>IF($B129="","",COUNTA($B$5:$B129))</f>
        <v>125</v>
      </c>
      <c r="B129" s="53">
        <v>46052</v>
      </c>
      <c r="C129" s="46" t="s">
        <v>99</v>
      </c>
      <c r="D129" s="63" t="str">
        <f>IFERROR(INDEX(基础资料!$F$4:$F$23,MATCH($C129,基础资料!$E$4:$E$23,0)),IF($C129="","","未匹配账户"))</f>
        <v>双思威</v>
      </c>
      <c r="E129" s="39" t="s">
        <v>488</v>
      </c>
      <c r="F129" s="10" t="s">
        <v>83</v>
      </c>
      <c r="G129" s="10"/>
      <c r="H129" s="10" t="s">
        <v>530</v>
      </c>
      <c r="I129" s="46"/>
      <c r="J129" s="70" t="s">
        <v>584</v>
      </c>
      <c r="K129" s="25"/>
      <c r="L129" s="25">
        <v>505</v>
      </c>
      <c r="M129" s="25">
        <f>IFERROR(VLOOKUP($C129,$C$5:$M$24,11,0)+SUMIF($C$25:$C129,$C129,$K$25:$K129)-SUMIF($C$25:$C129,$C129,$L$25:$L129),"")</f>
        <v>6746090.7</v>
      </c>
      <c r="N129" s="10"/>
      <c r="O129" s="10"/>
      <c r="P129" s="65"/>
      <c r="Q129" s="46"/>
      <c r="R129" s="46" t="s">
        <v>485</v>
      </c>
      <c r="S129" s="54">
        <f t="shared" si="3"/>
        <v>202601</v>
      </c>
      <c r="T129" s="54">
        <f t="shared" si="4"/>
        <v>202601</v>
      </c>
      <c r="U129" s="58" t="str">
        <f t="shared" si="5"/>
        <v/>
      </c>
      <c r="V129" s="58">
        <f>IF(AND($B129&lt;&gt;"",$F129&lt;&gt;"",$F129=项目明细账!$C$2),N(V128)+1,N(V128))</f>
        <v>0</v>
      </c>
      <c r="W129" s="63" t="str">
        <f>IF($H129&lt;&gt;"","项目成本",IFERROR(INDEX(基础资料!$W$4:$W$49,MATCH($I129,基础资料!$V$4:$V$49,0)),""))</f>
        <v>项目成本</v>
      </c>
      <c r="X129" s="63" t="str">
        <f>IFERROR(INDEX(基础资料!$R$4:$R$17,MATCH($G129,基础资料!$Q$4:$Q$17,0)),"")</f>
        <v/>
      </c>
    </row>
    <row r="130" spans="1:24">
      <c r="A130" s="58">
        <f>IF($B130="","",COUNTA($B$5:$B130))</f>
        <v>126</v>
      </c>
      <c r="B130" s="53">
        <v>46052</v>
      </c>
      <c r="C130" s="46" t="s">
        <v>99</v>
      </c>
      <c r="D130" s="63" t="str">
        <f>IFERROR(INDEX(基础资料!$F$4:$F$23,MATCH($C130,基础资料!$E$4:$E$23,0)),IF($C130="","","未匹配账户"))</f>
        <v>双思威</v>
      </c>
      <c r="E130" s="39" t="s">
        <v>488</v>
      </c>
      <c r="F130" s="10"/>
      <c r="G130" s="10"/>
      <c r="H130" s="10"/>
      <c r="I130" s="46" t="s">
        <v>234</v>
      </c>
      <c r="J130" s="70" t="s">
        <v>585</v>
      </c>
      <c r="K130" s="25"/>
      <c r="L130" s="25">
        <v>900</v>
      </c>
      <c r="M130" s="25">
        <f>IFERROR(VLOOKUP($C130,$C$5:$M$24,11,0)+SUMIF($C$25:$C130,$C130,$K$25:$K130)-SUMIF($C$25:$C130,$C130,$L$25:$L130),"")</f>
        <v>6745190.7</v>
      </c>
      <c r="N130" s="10"/>
      <c r="O130" s="10"/>
      <c r="P130" s="65"/>
      <c r="Q130" s="46"/>
      <c r="R130" s="46" t="s">
        <v>485</v>
      </c>
      <c r="S130" s="54">
        <f t="shared" si="3"/>
        <v>202601</v>
      </c>
      <c r="T130" s="54">
        <f t="shared" si="4"/>
        <v>202601</v>
      </c>
      <c r="U130" s="58" t="str">
        <f t="shared" si="5"/>
        <v/>
      </c>
      <c r="V130" s="58">
        <f>IF(AND($B130&lt;&gt;"",$F130&lt;&gt;"",$F130=项目明细账!$C$2),N(V129)+1,N(V129))</f>
        <v>0</v>
      </c>
      <c r="W130" s="63" t="str">
        <f>IF($H130&lt;&gt;"","项目成本",IFERROR(INDEX(基础资料!$W$4:$W$49,MATCH($I130,基础资料!$V$4:$V$49,0)),""))</f>
        <v>管理费用</v>
      </c>
      <c r="X130" s="63" t="str">
        <f>IFERROR(INDEX(基础资料!$R$4:$R$17,MATCH($G130,基础资料!$Q$4:$Q$17,0)),"")</f>
        <v/>
      </c>
    </row>
    <row r="131" spans="1:24">
      <c r="A131" s="58">
        <f>IF($B131="","",COUNTA($B$5:$B131))</f>
        <v>127</v>
      </c>
      <c r="B131" s="53">
        <v>46053</v>
      </c>
      <c r="C131" s="46" t="s">
        <v>99</v>
      </c>
      <c r="D131" s="63" t="str">
        <f>IFERROR(INDEX(基础资料!$F$4:$F$23,MATCH($C131,基础资料!$E$4:$E$23,0)),IF($C131="","","未匹配账户"))</f>
        <v>双思威</v>
      </c>
      <c r="E131" s="39" t="s">
        <v>488</v>
      </c>
      <c r="F131" s="10"/>
      <c r="G131" s="10"/>
      <c r="H131" s="10"/>
      <c r="I131" s="46" t="s">
        <v>234</v>
      </c>
      <c r="J131" s="69" t="s">
        <v>543</v>
      </c>
      <c r="K131" s="25"/>
      <c r="L131" s="25">
        <v>627.4</v>
      </c>
      <c r="M131" s="25">
        <f>IFERROR(VLOOKUP($C131,$C$5:$M$24,11,0)+SUMIF($C$25:$C131,$C131,$K$25:$K131)-SUMIF($C$25:$C131,$C131,$L$25:$L131),"")</f>
        <v>6744563.3</v>
      </c>
      <c r="N131" s="10"/>
      <c r="O131" s="10"/>
      <c r="P131" s="65"/>
      <c r="Q131" s="46"/>
      <c r="R131" s="46" t="s">
        <v>485</v>
      </c>
      <c r="S131" s="54">
        <f t="shared" si="3"/>
        <v>202601</v>
      </c>
      <c r="T131" s="54">
        <f t="shared" si="4"/>
        <v>202601</v>
      </c>
      <c r="U131" s="58" t="str">
        <f t="shared" si="5"/>
        <v/>
      </c>
      <c r="V131" s="58">
        <f>IF(AND($B131&lt;&gt;"",$F131&lt;&gt;"",$F131=项目明细账!$C$2),N(V130)+1,N(V130))</f>
        <v>0</v>
      </c>
      <c r="W131" s="63" t="str">
        <f>IF($H131&lt;&gt;"","项目成本",IFERROR(INDEX(基础资料!$W$4:$W$49,MATCH($I131,基础资料!$V$4:$V$49,0)),""))</f>
        <v>管理费用</v>
      </c>
      <c r="X131" s="63" t="str">
        <f>IFERROR(INDEX(基础资料!$R$4:$R$17,MATCH($G131,基础资料!$Q$4:$Q$17,0)),"")</f>
        <v/>
      </c>
    </row>
    <row r="132" spans="1:24">
      <c r="A132" s="58">
        <f>IF($B132="","",COUNTA($B$5:$B132))</f>
        <v>128</v>
      </c>
      <c r="B132" s="53">
        <v>46053</v>
      </c>
      <c r="C132" s="46" t="s">
        <v>99</v>
      </c>
      <c r="D132" s="63" t="str">
        <f>IFERROR(INDEX(基础资料!$F$4:$F$23,MATCH($C132,基础资料!$E$4:$E$23,0)),IF($C132="","","未匹配账户"))</f>
        <v>双思威</v>
      </c>
      <c r="E132" s="39" t="s">
        <v>488</v>
      </c>
      <c r="F132" s="10"/>
      <c r="G132" s="10"/>
      <c r="H132" s="10"/>
      <c r="I132" s="46" t="s">
        <v>234</v>
      </c>
      <c r="J132" s="69" t="s">
        <v>586</v>
      </c>
      <c r="K132" s="25"/>
      <c r="L132" s="25">
        <v>2299</v>
      </c>
      <c r="M132" s="25">
        <f>IFERROR(VLOOKUP($C132,$C$5:$M$24,11,0)+SUMIF($C$25:$C132,$C132,$K$25:$K132)-SUMIF($C$25:$C132,$C132,$L$25:$L132),"")</f>
        <v>6742264.3</v>
      </c>
      <c r="N132" s="10"/>
      <c r="O132" s="10"/>
      <c r="P132" s="65"/>
      <c r="Q132" s="46"/>
      <c r="R132" s="46" t="s">
        <v>485</v>
      </c>
      <c r="S132" s="54">
        <f t="shared" si="3"/>
        <v>202601</v>
      </c>
      <c r="T132" s="54">
        <f t="shared" si="4"/>
        <v>202601</v>
      </c>
      <c r="U132" s="58" t="str">
        <f t="shared" si="5"/>
        <v/>
      </c>
      <c r="V132" s="58">
        <f>IF(AND($B132&lt;&gt;"",$F132&lt;&gt;"",$F132=项目明细账!$C$2),N(V131)+1,N(V131))</f>
        <v>0</v>
      </c>
      <c r="W132" s="63" t="str">
        <f>IF($H132&lt;&gt;"","项目成本",IFERROR(INDEX(基础资料!$W$4:$W$49,MATCH($I132,基础资料!$V$4:$V$49,0)),""))</f>
        <v>管理费用</v>
      </c>
      <c r="X132" s="63" t="str">
        <f>IFERROR(INDEX(基础资料!$R$4:$R$17,MATCH($G132,基础资料!$Q$4:$Q$17,0)),"")</f>
        <v/>
      </c>
    </row>
    <row r="133" spans="1:24">
      <c r="A133" s="58">
        <f>IF($B133="","",COUNTA($B$5:$B133))</f>
        <v>129</v>
      </c>
      <c r="B133" s="53">
        <v>46053</v>
      </c>
      <c r="C133" s="46" t="s">
        <v>99</v>
      </c>
      <c r="D133" s="63" t="str">
        <f>IFERROR(INDEX(基础资料!$F$4:$F$23,MATCH($C133,基础资料!$E$4:$E$23,0)),IF($C133="","","未匹配账户"))</f>
        <v>双思威</v>
      </c>
      <c r="E133" s="39" t="s">
        <v>488</v>
      </c>
      <c r="F133" s="10"/>
      <c r="G133" s="10"/>
      <c r="H133" s="10"/>
      <c r="I133" s="46" t="s">
        <v>234</v>
      </c>
      <c r="J133" s="69" t="s">
        <v>586</v>
      </c>
      <c r="K133" s="25"/>
      <c r="L133" s="25">
        <v>911.5</v>
      </c>
      <c r="M133" s="25">
        <f>IFERROR(VLOOKUP($C133,$C$5:$M$24,11,0)+SUMIF($C$25:$C133,$C133,$K$25:$K133)-SUMIF($C$25:$C133,$C133,$L$25:$L133),"")</f>
        <v>6741352.8</v>
      </c>
      <c r="N133" s="10"/>
      <c r="O133" s="10"/>
      <c r="P133" s="65"/>
      <c r="Q133" s="46"/>
      <c r="R133" s="46" t="s">
        <v>485</v>
      </c>
      <c r="S133" s="54">
        <f t="shared" si="3"/>
        <v>202601</v>
      </c>
      <c r="T133" s="54">
        <f t="shared" si="4"/>
        <v>202601</v>
      </c>
      <c r="U133" s="58" t="str">
        <f t="shared" si="5"/>
        <v/>
      </c>
      <c r="V133" s="58">
        <f>IF(AND($B133&lt;&gt;"",$F133&lt;&gt;"",$F133=项目明细账!$C$2),N(V132)+1,N(V132))</f>
        <v>0</v>
      </c>
      <c r="W133" s="63" t="str">
        <f>IF($H133&lt;&gt;"","项目成本",IFERROR(INDEX(基础资料!$W$4:$W$49,MATCH($I133,基础资料!$V$4:$V$49,0)),""))</f>
        <v>管理费用</v>
      </c>
      <c r="X133" s="63" t="str">
        <f>IFERROR(INDEX(基础资料!$R$4:$R$17,MATCH($G133,基础资料!$Q$4:$Q$17,0)),"")</f>
        <v/>
      </c>
    </row>
    <row r="134" spans="1:24">
      <c r="A134" s="58">
        <f>IF($B134="","",COUNTA($B$5:$B134))</f>
        <v>130</v>
      </c>
      <c r="B134" s="53">
        <v>46053</v>
      </c>
      <c r="C134" s="46" t="s">
        <v>99</v>
      </c>
      <c r="D134" s="63" t="str">
        <f>IFERROR(INDEX(基础资料!$F$4:$F$23,MATCH($C134,基础资料!$E$4:$E$23,0)),IF($C134="","","未匹配账户"))</f>
        <v>双思威</v>
      </c>
      <c r="E134" s="39" t="s">
        <v>488</v>
      </c>
      <c r="F134" s="10"/>
      <c r="G134" s="10"/>
      <c r="H134" s="10"/>
      <c r="I134" s="46" t="s">
        <v>234</v>
      </c>
      <c r="J134" s="69" t="s">
        <v>532</v>
      </c>
      <c r="K134" s="25"/>
      <c r="L134" s="25">
        <v>3341.66</v>
      </c>
      <c r="M134" s="25">
        <f>IFERROR(VLOOKUP($C134,$C$5:$M$24,11,0)+SUMIF($C$25:$C134,$C134,$K$25:$K134)-SUMIF($C$25:$C134,$C134,$L$25:$L134),"")</f>
        <v>6738011.14</v>
      </c>
      <c r="N134" s="10"/>
      <c r="O134" s="10"/>
      <c r="P134" s="65"/>
      <c r="Q134" s="46"/>
      <c r="R134" s="46" t="s">
        <v>485</v>
      </c>
      <c r="S134" s="54">
        <f t="shared" ref="S134:S197" si="6">IF($B134="","",--TEXT($B134,"yyyymm"))</f>
        <v>202601</v>
      </c>
      <c r="T134" s="54">
        <f t="shared" ref="T134:T197" si="7">IF($B134="","",IF($P134="",$S134,IFERROR($P134*1,$P134)))</f>
        <v>202601</v>
      </c>
      <c r="U134" s="58" t="str">
        <f t="shared" ref="U134:U197" si="8">IF($B134="","",IF($T134=$S134,"","跨期"))</f>
        <v/>
      </c>
      <c r="V134" s="58">
        <f>IF(AND($B134&lt;&gt;"",$F134&lt;&gt;"",$F134=项目明细账!$C$2),N(V133)+1,N(V133))</f>
        <v>0</v>
      </c>
      <c r="W134" s="63" t="str">
        <f>IF($H134&lt;&gt;"","项目成本",IFERROR(INDEX(基础资料!$W$4:$W$49,MATCH($I134,基础资料!$V$4:$V$49,0)),""))</f>
        <v>管理费用</v>
      </c>
      <c r="X134" s="63" t="str">
        <f>IFERROR(INDEX(基础资料!$R$4:$R$17,MATCH($G134,基础资料!$Q$4:$Q$17,0)),"")</f>
        <v/>
      </c>
    </row>
    <row r="135" spans="1:24">
      <c r="A135" s="58">
        <f>IF($B135="","",COUNTA($B$5:$B135))</f>
        <v>131</v>
      </c>
      <c r="B135" s="53">
        <v>46053</v>
      </c>
      <c r="C135" s="46" t="s">
        <v>99</v>
      </c>
      <c r="D135" s="63" t="str">
        <f>IFERROR(INDEX(基础资料!$F$4:$F$23,MATCH($C135,基础资料!$E$4:$E$23,0)),IF($C135="","","未匹配账户"))</f>
        <v>双思威</v>
      </c>
      <c r="E135" s="39" t="s">
        <v>488</v>
      </c>
      <c r="F135" s="10" t="s">
        <v>295</v>
      </c>
      <c r="G135" s="10"/>
      <c r="H135" s="10" t="s">
        <v>530</v>
      </c>
      <c r="I135" s="46"/>
      <c r="J135" s="69" t="s">
        <v>587</v>
      </c>
      <c r="K135" s="25"/>
      <c r="L135" s="25">
        <v>1107</v>
      </c>
      <c r="M135" s="25">
        <f>IFERROR(VLOOKUP($C135,$C$5:$M$24,11,0)+SUMIF($C$25:$C135,$C135,$K$25:$K135)-SUMIF($C$25:$C135,$C135,$L$25:$L135),"")</f>
        <v>6736904.14</v>
      </c>
      <c r="N135" s="10"/>
      <c r="O135" s="10"/>
      <c r="P135" s="65"/>
      <c r="Q135" s="46"/>
      <c r="R135" s="46" t="s">
        <v>485</v>
      </c>
      <c r="S135" s="54">
        <f t="shared" si="6"/>
        <v>202601</v>
      </c>
      <c r="T135" s="54">
        <f t="shared" si="7"/>
        <v>202601</v>
      </c>
      <c r="U135" s="58" t="str">
        <f t="shared" si="8"/>
        <v/>
      </c>
      <c r="V135" s="58">
        <f>IF(AND($B135&lt;&gt;"",$F135&lt;&gt;"",$F135=项目明细账!$C$2),N(V134)+1,N(V134))</f>
        <v>0</v>
      </c>
      <c r="W135" s="63" t="str">
        <f>IF($H135&lt;&gt;"","项目成本",IFERROR(INDEX(基础资料!$W$4:$W$49,MATCH($I135,基础资料!$V$4:$V$49,0)),""))</f>
        <v>项目成本</v>
      </c>
      <c r="X135" s="63" t="str">
        <f>IFERROR(INDEX(基础资料!$R$4:$R$17,MATCH($G135,基础资料!$Q$4:$Q$17,0)),"")</f>
        <v/>
      </c>
    </row>
    <row r="136" spans="1:24">
      <c r="A136" s="58">
        <f>IF($B136="","",COUNTA($B$5:$B136))</f>
        <v>132</v>
      </c>
      <c r="B136" s="53">
        <v>46053</v>
      </c>
      <c r="C136" s="46" t="s">
        <v>99</v>
      </c>
      <c r="D136" s="63" t="str">
        <f>IFERROR(INDEX(基础资料!$F$4:$F$23,MATCH($C136,基础资料!$E$4:$E$23,0)),IF($C136="","","未匹配账户"))</f>
        <v>双思威</v>
      </c>
      <c r="E136" s="39" t="s">
        <v>488</v>
      </c>
      <c r="F136" s="10" t="s">
        <v>83</v>
      </c>
      <c r="G136" s="10"/>
      <c r="H136" s="10" t="s">
        <v>530</v>
      </c>
      <c r="I136" s="46"/>
      <c r="J136" s="69" t="s">
        <v>587</v>
      </c>
      <c r="K136" s="25"/>
      <c r="L136" s="25">
        <v>1500</v>
      </c>
      <c r="M136" s="25">
        <f>IFERROR(VLOOKUP($C136,$C$5:$M$24,11,0)+SUMIF($C$25:$C136,$C136,$K$25:$K136)-SUMIF($C$25:$C136,$C136,$L$25:$L136),"")</f>
        <v>6735404.14</v>
      </c>
      <c r="N136" s="10"/>
      <c r="O136" s="10"/>
      <c r="P136" s="65"/>
      <c r="Q136" s="46"/>
      <c r="R136" s="46" t="s">
        <v>485</v>
      </c>
      <c r="S136" s="54">
        <f t="shared" si="6"/>
        <v>202601</v>
      </c>
      <c r="T136" s="54">
        <f t="shared" si="7"/>
        <v>202601</v>
      </c>
      <c r="U136" s="58" t="str">
        <f t="shared" si="8"/>
        <v/>
      </c>
      <c r="V136" s="58">
        <f>IF(AND($B136&lt;&gt;"",$F136&lt;&gt;"",$F136=项目明细账!$C$2),N(V135)+1,N(V135))</f>
        <v>0</v>
      </c>
      <c r="W136" s="63" t="str">
        <f>IF($H136&lt;&gt;"","项目成本",IFERROR(INDEX(基础资料!$W$4:$W$49,MATCH($I136,基础资料!$V$4:$V$49,0)),""))</f>
        <v>项目成本</v>
      </c>
      <c r="X136" s="63" t="str">
        <f>IFERROR(INDEX(基础资料!$R$4:$R$17,MATCH($G136,基础资料!$Q$4:$Q$17,0)),"")</f>
        <v/>
      </c>
    </row>
    <row r="137" spans="1:24">
      <c r="A137" s="58">
        <f>IF($B137="","",COUNTA($B$5:$B137))</f>
        <v>133</v>
      </c>
      <c r="B137" s="53">
        <v>46053</v>
      </c>
      <c r="C137" s="46" t="s">
        <v>99</v>
      </c>
      <c r="D137" s="63" t="str">
        <f>IFERROR(INDEX(基础资料!$F$4:$F$23,MATCH($C137,基础资料!$E$4:$E$23,0)),IF($C137="","","未匹配账户"))</f>
        <v>双思威</v>
      </c>
      <c r="E137" s="39" t="s">
        <v>488</v>
      </c>
      <c r="F137" s="10"/>
      <c r="G137" s="10"/>
      <c r="H137" s="10"/>
      <c r="I137" s="46" t="s">
        <v>234</v>
      </c>
      <c r="J137" s="69" t="s">
        <v>586</v>
      </c>
      <c r="K137" s="25"/>
      <c r="L137" s="25">
        <v>3515.01</v>
      </c>
      <c r="M137" s="25">
        <f>IFERROR(VLOOKUP($C137,$C$5:$M$24,11,0)+SUMIF($C$25:$C137,$C137,$K$25:$K137)-SUMIF($C$25:$C137,$C137,$L$25:$L137),"")</f>
        <v>6731889.13</v>
      </c>
      <c r="N137" s="10"/>
      <c r="O137" s="10"/>
      <c r="P137" s="65"/>
      <c r="Q137" s="46"/>
      <c r="R137" s="46" t="s">
        <v>485</v>
      </c>
      <c r="S137" s="54">
        <f t="shared" si="6"/>
        <v>202601</v>
      </c>
      <c r="T137" s="54">
        <f t="shared" si="7"/>
        <v>202601</v>
      </c>
      <c r="U137" s="58" t="str">
        <f t="shared" si="8"/>
        <v/>
      </c>
      <c r="V137" s="58">
        <f>IF(AND($B137&lt;&gt;"",$F137&lt;&gt;"",$F137=项目明细账!$C$2),N(V136)+1,N(V136))</f>
        <v>0</v>
      </c>
      <c r="W137" s="63" t="str">
        <f>IF($H137&lt;&gt;"","项目成本",IFERROR(INDEX(基础资料!$W$4:$W$49,MATCH($I137,基础资料!$V$4:$V$49,0)),""))</f>
        <v>管理费用</v>
      </c>
      <c r="X137" s="63" t="str">
        <f>IFERROR(INDEX(基础资料!$R$4:$R$17,MATCH($G137,基础资料!$Q$4:$Q$17,0)),"")</f>
        <v/>
      </c>
    </row>
    <row r="138" spans="1:24">
      <c r="A138" s="58">
        <f>IF($B138="","",COUNTA($B$5:$B138))</f>
        <v>134</v>
      </c>
      <c r="B138" s="53">
        <v>46053</v>
      </c>
      <c r="C138" s="46" t="s">
        <v>99</v>
      </c>
      <c r="D138" s="63" t="str">
        <f>IFERROR(INDEX(基础资料!$F$4:$F$23,MATCH($C138,基础资料!$E$4:$E$23,0)),IF($C138="","","未匹配账户"))</f>
        <v>双思威</v>
      </c>
      <c r="E138" s="39" t="s">
        <v>488</v>
      </c>
      <c r="F138" s="10"/>
      <c r="G138" s="10"/>
      <c r="H138" s="10"/>
      <c r="I138" s="46" t="s">
        <v>234</v>
      </c>
      <c r="J138" s="69" t="s">
        <v>588</v>
      </c>
      <c r="K138" s="25"/>
      <c r="L138" s="25">
        <v>200</v>
      </c>
      <c r="M138" s="25">
        <f>IFERROR(VLOOKUP($C138,$C$5:$M$24,11,0)+SUMIF($C$25:$C138,$C138,$K$25:$K138)-SUMIF($C$25:$C138,$C138,$L$25:$L138),"")</f>
        <v>6731689.13</v>
      </c>
      <c r="N138" s="10"/>
      <c r="O138" s="10"/>
      <c r="P138" s="65"/>
      <c r="Q138" s="46"/>
      <c r="R138" s="46" t="s">
        <v>485</v>
      </c>
      <c r="S138" s="54">
        <f t="shared" si="6"/>
        <v>202601</v>
      </c>
      <c r="T138" s="54">
        <f t="shared" si="7"/>
        <v>202601</v>
      </c>
      <c r="U138" s="58" t="str">
        <f t="shared" si="8"/>
        <v/>
      </c>
      <c r="V138" s="58">
        <f>IF(AND($B138&lt;&gt;"",$F138&lt;&gt;"",$F138=项目明细账!$C$2),N(V137)+1,N(V137))</f>
        <v>0</v>
      </c>
      <c r="W138" s="63" t="str">
        <f>IF($H138&lt;&gt;"","项目成本",IFERROR(INDEX(基础资料!$W$4:$W$49,MATCH($I138,基础资料!$V$4:$V$49,0)),""))</f>
        <v>管理费用</v>
      </c>
      <c r="X138" s="63" t="str">
        <f>IFERROR(INDEX(基础资料!$R$4:$R$17,MATCH($G138,基础资料!$Q$4:$Q$17,0)),"")</f>
        <v/>
      </c>
    </row>
    <row r="139" spans="1:24">
      <c r="A139" s="58">
        <f>IF($B139="","",COUNTA($B$5:$B139))</f>
        <v>135</v>
      </c>
      <c r="B139" s="53">
        <v>46053</v>
      </c>
      <c r="C139" s="46" t="s">
        <v>99</v>
      </c>
      <c r="D139" s="63" t="str">
        <f>IFERROR(INDEX(基础资料!$F$4:$F$23,MATCH($C139,基础资料!$E$4:$E$23,0)),IF($C139="","","未匹配账户"))</f>
        <v>双思威</v>
      </c>
      <c r="E139" s="39" t="s">
        <v>488</v>
      </c>
      <c r="F139" s="10" t="s">
        <v>311</v>
      </c>
      <c r="G139" s="10"/>
      <c r="H139" s="10" t="s">
        <v>530</v>
      </c>
      <c r="I139" s="46"/>
      <c r="J139" s="70" t="s">
        <v>589</v>
      </c>
      <c r="K139" s="25"/>
      <c r="L139" s="25">
        <v>11846</v>
      </c>
      <c r="M139" s="25">
        <f>IFERROR(VLOOKUP($C139,$C$5:$M$24,11,0)+SUMIF($C$25:$C139,$C139,$K$25:$K139)-SUMIF($C$25:$C139,$C139,$L$25:$L139),"")</f>
        <v>6719843.13</v>
      </c>
      <c r="N139" s="10"/>
      <c r="O139" s="10"/>
      <c r="P139" s="65"/>
      <c r="Q139" s="46"/>
      <c r="R139" s="46" t="s">
        <v>485</v>
      </c>
      <c r="S139" s="54">
        <f t="shared" si="6"/>
        <v>202601</v>
      </c>
      <c r="T139" s="54">
        <f t="shared" si="7"/>
        <v>202601</v>
      </c>
      <c r="U139" s="58" t="str">
        <f t="shared" si="8"/>
        <v/>
      </c>
      <c r="V139" s="58">
        <f>IF(AND($B139&lt;&gt;"",$F139&lt;&gt;"",$F139=项目明细账!$C$2),N(V138)+1,N(V138))</f>
        <v>0</v>
      </c>
      <c r="W139" s="63" t="str">
        <f>IF($H139&lt;&gt;"","项目成本",IFERROR(INDEX(基础资料!$W$4:$W$49,MATCH($I139,基础资料!$V$4:$V$49,0)),""))</f>
        <v>项目成本</v>
      </c>
      <c r="X139" s="63" t="str">
        <f>IFERROR(INDEX(基础资料!$R$4:$R$17,MATCH($G139,基础资料!$Q$4:$Q$17,0)),"")</f>
        <v/>
      </c>
    </row>
    <row r="140" spans="1:24">
      <c r="A140" s="58">
        <f>IF($B140="","",COUNTA($B$5:$B140))</f>
        <v>136</v>
      </c>
      <c r="B140" s="53">
        <v>46053</v>
      </c>
      <c r="C140" s="46" t="s">
        <v>99</v>
      </c>
      <c r="D140" s="63" t="str">
        <f>IFERROR(INDEX(基础资料!$F$4:$F$23,MATCH($C140,基础资料!$E$4:$E$23,0)),IF($C140="","","未匹配账户"))</f>
        <v>双思威</v>
      </c>
      <c r="E140" s="39" t="s">
        <v>488</v>
      </c>
      <c r="F140" s="10" t="s">
        <v>312</v>
      </c>
      <c r="G140" s="10"/>
      <c r="H140" s="10" t="s">
        <v>530</v>
      </c>
      <c r="I140" s="46"/>
      <c r="J140" s="71" t="s">
        <v>590</v>
      </c>
      <c r="K140" s="25"/>
      <c r="L140" s="25">
        <v>200000</v>
      </c>
      <c r="M140" s="25">
        <f>IFERROR(VLOOKUP($C140,$C$5:$M$24,11,0)+SUMIF($C$25:$C140,$C140,$K$25:$K140)-SUMIF($C$25:$C140,$C140,$L$25:$L140),"")</f>
        <v>6519843.13</v>
      </c>
      <c r="N140" s="10"/>
      <c r="O140" s="10"/>
      <c r="P140" s="65"/>
      <c r="Q140" s="46"/>
      <c r="R140" s="46" t="s">
        <v>485</v>
      </c>
      <c r="S140" s="54">
        <f t="shared" si="6"/>
        <v>202601</v>
      </c>
      <c r="T140" s="54">
        <f t="shared" si="7"/>
        <v>202601</v>
      </c>
      <c r="U140" s="58" t="str">
        <f t="shared" si="8"/>
        <v/>
      </c>
      <c r="V140" s="58">
        <f>IF(AND($B140&lt;&gt;"",$F140&lt;&gt;"",$F140=项目明细账!$C$2),N(V139)+1,N(V139))</f>
        <v>0</v>
      </c>
      <c r="W140" s="63" t="str">
        <f>IF($H140&lt;&gt;"","项目成本",IFERROR(INDEX(基础资料!$W$4:$W$49,MATCH($I140,基础资料!$V$4:$V$49,0)),""))</f>
        <v>项目成本</v>
      </c>
      <c r="X140" s="63" t="str">
        <f>IFERROR(INDEX(基础资料!$R$4:$R$17,MATCH($G140,基础资料!$Q$4:$Q$17,0)),"")</f>
        <v/>
      </c>
    </row>
    <row r="141" spans="1:24">
      <c r="A141" s="58">
        <f>IF($B141="","",COUNTA($B$5:$B141))</f>
        <v>137</v>
      </c>
      <c r="B141" s="53">
        <v>46053</v>
      </c>
      <c r="C141" s="46" t="s">
        <v>99</v>
      </c>
      <c r="D141" s="63" t="str">
        <f>IFERROR(INDEX(基础资料!$F$4:$F$23,MATCH($C141,基础资料!$E$4:$E$23,0)),IF($C141="","","未匹配账户"))</f>
        <v>双思威</v>
      </c>
      <c r="E141" s="39" t="s">
        <v>488</v>
      </c>
      <c r="F141" s="10"/>
      <c r="G141" s="10"/>
      <c r="H141" s="10"/>
      <c r="I141" s="46" t="s">
        <v>234</v>
      </c>
      <c r="J141" s="69" t="s">
        <v>536</v>
      </c>
      <c r="K141" s="25"/>
      <c r="L141" s="25">
        <v>225</v>
      </c>
      <c r="M141" s="25">
        <f>IFERROR(VLOOKUP($C141,$C$5:$M$24,11,0)+SUMIF($C$25:$C141,$C141,$K$25:$K141)-SUMIF($C$25:$C141,$C141,$L$25:$L141),"")</f>
        <v>6519618.13</v>
      </c>
      <c r="N141" s="10"/>
      <c r="O141" s="10"/>
      <c r="P141" s="65"/>
      <c r="Q141" s="46"/>
      <c r="R141" s="46" t="s">
        <v>485</v>
      </c>
      <c r="S141" s="54">
        <f t="shared" si="6"/>
        <v>202601</v>
      </c>
      <c r="T141" s="54">
        <f t="shared" si="7"/>
        <v>202601</v>
      </c>
      <c r="U141" s="58" t="str">
        <f t="shared" si="8"/>
        <v/>
      </c>
      <c r="V141" s="58">
        <f>IF(AND($B141&lt;&gt;"",$F141&lt;&gt;"",$F141=项目明细账!$C$2),N(V140)+1,N(V140))</f>
        <v>0</v>
      </c>
      <c r="W141" s="63" t="str">
        <f>IF($H141&lt;&gt;"","项目成本",IFERROR(INDEX(基础资料!$W$4:$W$49,MATCH($I141,基础资料!$V$4:$V$49,0)),""))</f>
        <v>管理费用</v>
      </c>
      <c r="X141" s="63" t="str">
        <f>IFERROR(INDEX(基础资料!$R$4:$R$17,MATCH($G141,基础资料!$Q$4:$Q$17,0)),"")</f>
        <v/>
      </c>
    </row>
    <row r="142" spans="1:24">
      <c r="A142" s="58">
        <f>IF($B142="","",COUNTA($B$5:$B142))</f>
        <v>138</v>
      </c>
      <c r="B142" s="53">
        <v>46027</v>
      </c>
      <c r="C142" s="46" t="s">
        <v>114</v>
      </c>
      <c r="D142" s="63" t="str">
        <f>IFERROR(INDEX(基础资料!$F$4:$F$23,MATCH($C142,基础资料!$E$4:$E$23,0)),IF($C142="","","未匹配账户"))</f>
        <v>晨拓</v>
      </c>
      <c r="E142" s="39" t="s">
        <v>488</v>
      </c>
      <c r="F142" s="10" t="s">
        <v>314</v>
      </c>
      <c r="G142" s="10"/>
      <c r="H142" s="10" t="s">
        <v>530</v>
      </c>
      <c r="I142" s="46"/>
      <c r="J142" s="70" t="s">
        <v>591</v>
      </c>
      <c r="K142" s="25"/>
      <c r="L142" s="25">
        <v>1810</v>
      </c>
      <c r="M142" s="25">
        <f>IFERROR(VLOOKUP($C142,$C$5:$M$24,11,0)+SUMIF($C$25:$C142,$C142,$K$25:$K142)-SUMIF($C$25:$C142,$C142,$L$25:$L142),"")</f>
        <v>1693783.5</v>
      </c>
      <c r="N142" s="10"/>
      <c r="O142" s="10"/>
      <c r="P142" s="65"/>
      <c r="Q142" s="46"/>
      <c r="R142" s="46" t="s">
        <v>485</v>
      </c>
      <c r="S142" s="54">
        <f t="shared" si="6"/>
        <v>202601</v>
      </c>
      <c r="T142" s="54">
        <f t="shared" si="7"/>
        <v>202601</v>
      </c>
      <c r="U142" s="58" t="str">
        <f t="shared" si="8"/>
        <v/>
      </c>
      <c r="V142" s="58">
        <f>IF(AND($B142&lt;&gt;"",$F142&lt;&gt;"",$F142=项目明细账!$C$2),N(V141)+1,N(V141))</f>
        <v>0</v>
      </c>
      <c r="W142" s="63" t="str">
        <f>IF($H142&lt;&gt;"","项目成本",IFERROR(INDEX(基础资料!$W$4:$W$49,MATCH($I142,基础资料!$V$4:$V$49,0)),""))</f>
        <v>项目成本</v>
      </c>
      <c r="X142" s="63" t="str">
        <f>IFERROR(INDEX(基础资料!$R$4:$R$17,MATCH($G142,基础资料!$Q$4:$Q$17,0)),"")</f>
        <v/>
      </c>
    </row>
    <row r="143" spans="1:24">
      <c r="A143" s="58">
        <f>IF($B143="","",COUNTA($B$5:$B143))</f>
        <v>139</v>
      </c>
      <c r="B143" s="53">
        <v>46030</v>
      </c>
      <c r="C143" s="46" t="s">
        <v>114</v>
      </c>
      <c r="D143" s="63" t="str">
        <f>IFERROR(INDEX(基础资料!$F$4:$F$23,MATCH($C143,基础资料!$E$4:$E$23,0)),IF($C143="","","未匹配账户"))</f>
        <v>晨拓</v>
      </c>
      <c r="E143" s="39" t="s">
        <v>488</v>
      </c>
      <c r="F143" s="10"/>
      <c r="G143" s="10"/>
      <c r="H143" s="10"/>
      <c r="I143" s="46" t="s">
        <v>234</v>
      </c>
      <c r="J143" s="70" t="s">
        <v>591</v>
      </c>
      <c r="K143" s="25"/>
      <c r="L143" s="25">
        <v>397</v>
      </c>
      <c r="M143" s="25">
        <f>IFERROR(VLOOKUP($C143,$C$5:$M$24,11,0)+SUMIF($C$25:$C143,$C143,$K$25:$K143)-SUMIF($C$25:$C143,$C143,$L$25:$L143),"")</f>
        <v>1693386.5</v>
      </c>
      <c r="N143" s="10"/>
      <c r="O143" s="10"/>
      <c r="P143" s="65"/>
      <c r="Q143" s="46"/>
      <c r="R143" s="46" t="s">
        <v>485</v>
      </c>
      <c r="S143" s="54">
        <f t="shared" si="6"/>
        <v>202601</v>
      </c>
      <c r="T143" s="54">
        <f t="shared" si="7"/>
        <v>202601</v>
      </c>
      <c r="U143" s="58" t="str">
        <f t="shared" si="8"/>
        <v/>
      </c>
      <c r="V143" s="58">
        <f>IF(AND($B143&lt;&gt;"",$F143&lt;&gt;"",$F143=项目明细账!$C$2),N(V142)+1,N(V142))</f>
        <v>0</v>
      </c>
      <c r="W143" s="63" t="str">
        <f>IF($H143&lt;&gt;"","项目成本",IFERROR(INDEX(基础资料!$W$4:$W$49,MATCH($I143,基础资料!$V$4:$V$49,0)),""))</f>
        <v>管理费用</v>
      </c>
      <c r="X143" s="63" t="str">
        <f>IFERROR(INDEX(基础资料!$R$4:$R$17,MATCH($G143,基础资料!$Q$4:$Q$17,0)),"")</f>
        <v/>
      </c>
    </row>
    <row r="144" spans="1:24">
      <c r="A144" s="58">
        <f>IF($B144="","",COUNTA($B$5:$B144))</f>
        <v>140</v>
      </c>
      <c r="B144" s="53">
        <v>46036</v>
      </c>
      <c r="C144" s="46" t="s">
        <v>114</v>
      </c>
      <c r="D144" s="63" t="str">
        <f>IFERROR(INDEX(基础资料!$F$4:$F$23,MATCH($C144,基础资料!$E$4:$E$23,0)),IF($C144="","","未匹配账户"))</f>
        <v>晨拓</v>
      </c>
      <c r="E144" s="39" t="s">
        <v>488</v>
      </c>
      <c r="F144" s="10"/>
      <c r="G144" s="10"/>
      <c r="H144" s="10"/>
      <c r="I144" s="46" t="s">
        <v>234</v>
      </c>
      <c r="J144" s="70" t="s">
        <v>592</v>
      </c>
      <c r="K144" s="25"/>
      <c r="L144" s="25">
        <v>1600</v>
      </c>
      <c r="M144" s="25">
        <f>IFERROR(VLOOKUP($C144,$C$5:$M$24,11,0)+SUMIF($C$25:$C144,$C144,$K$25:$K144)-SUMIF($C$25:$C144,$C144,$L$25:$L144),"")</f>
        <v>1691786.5</v>
      </c>
      <c r="N144" s="10"/>
      <c r="O144" s="10"/>
      <c r="P144" s="65"/>
      <c r="Q144" s="46"/>
      <c r="R144" s="46" t="s">
        <v>485</v>
      </c>
      <c r="S144" s="54">
        <f t="shared" si="6"/>
        <v>202601</v>
      </c>
      <c r="T144" s="54">
        <f t="shared" si="7"/>
        <v>202601</v>
      </c>
      <c r="U144" s="58" t="str">
        <f t="shared" si="8"/>
        <v/>
      </c>
      <c r="V144" s="58">
        <f>IF(AND($B144&lt;&gt;"",$F144&lt;&gt;"",$F144=项目明细账!$C$2),N(V143)+1,N(V143))</f>
        <v>0</v>
      </c>
      <c r="W144" s="63" t="str">
        <f>IF($H144&lt;&gt;"","项目成本",IFERROR(INDEX(基础资料!$W$4:$W$49,MATCH($I144,基础资料!$V$4:$V$49,0)),""))</f>
        <v>管理费用</v>
      </c>
      <c r="X144" s="63" t="str">
        <f>IFERROR(INDEX(基础资料!$R$4:$R$17,MATCH($G144,基础资料!$Q$4:$Q$17,0)),"")</f>
        <v/>
      </c>
    </row>
    <row r="145" spans="1:24">
      <c r="A145" s="58">
        <f>IF($B145="","",COUNTA($B$5:$B145))</f>
        <v>141</v>
      </c>
      <c r="B145" s="53">
        <v>46041</v>
      </c>
      <c r="C145" s="46" t="s">
        <v>114</v>
      </c>
      <c r="D145" s="63" t="str">
        <f>IFERROR(INDEX(基础资料!$F$4:$F$23,MATCH($C145,基础资料!$E$4:$E$23,0)),IF($C145="","","未匹配账户"))</f>
        <v>晨拓</v>
      </c>
      <c r="E145" s="39" t="s">
        <v>488</v>
      </c>
      <c r="F145" s="10" t="s">
        <v>593</v>
      </c>
      <c r="G145" s="10"/>
      <c r="H145" s="10" t="s">
        <v>530</v>
      </c>
      <c r="I145" s="46"/>
      <c r="J145" s="70" t="s">
        <v>594</v>
      </c>
      <c r="K145" s="25"/>
      <c r="L145" s="25">
        <v>500</v>
      </c>
      <c r="M145" s="25">
        <f>IFERROR(VLOOKUP($C145,$C$5:$M$24,11,0)+SUMIF($C$25:$C145,$C145,$K$25:$K145)-SUMIF($C$25:$C145,$C145,$L$25:$L145),"")</f>
        <v>1691286.5</v>
      </c>
      <c r="N145" s="10"/>
      <c r="O145" s="10"/>
      <c r="P145" s="65"/>
      <c r="Q145" s="46"/>
      <c r="R145" s="46" t="s">
        <v>485</v>
      </c>
      <c r="S145" s="54">
        <f t="shared" si="6"/>
        <v>202601</v>
      </c>
      <c r="T145" s="54">
        <f t="shared" si="7"/>
        <v>202601</v>
      </c>
      <c r="U145" s="58" t="str">
        <f t="shared" si="8"/>
        <v/>
      </c>
      <c r="V145" s="58">
        <f>IF(AND($B145&lt;&gt;"",$F145&lt;&gt;"",$F145=项目明细账!$C$2),N(V144)+1,N(V144))</f>
        <v>0</v>
      </c>
      <c r="W145" s="63" t="str">
        <f>IF($H145&lt;&gt;"","项目成本",IFERROR(INDEX(基础资料!$W$4:$W$49,MATCH($I145,基础资料!$V$4:$V$49,0)),""))</f>
        <v>项目成本</v>
      </c>
      <c r="X145" s="63" t="str">
        <f>IFERROR(INDEX(基础资料!$R$4:$R$17,MATCH($G145,基础资料!$Q$4:$Q$17,0)),"")</f>
        <v/>
      </c>
    </row>
    <row r="146" spans="1:24">
      <c r="A146" s="58">
        <f>IF($B146="","",COUNTA($B$5:$B146))</f>
        <v>142</v>
      </c>
      <c r="B146" s="53">
        <v>46042</v>
      </c>
      <c r="C146" s="46" t="s">
        <v>114</v>
      </c>
      <c r="D146" s="63" t="str">
        <f>IFERROR(INDEX(基础资料!$F$4:$F$23,MATCH($C146,基础资料!$E$4:$E$23,0)),IF($C146="","","未匹配账户"))</f>
        <v>晨拓</v>
      </c>
      <c r="E146" s="39" t="s">
        <v>488</v>
      </c>
      <c r="F146" s="10"/>
      <c r="G146" s="10"/>
      <c r="H146" s="10"/>
      <c r="I146" s="46" t="s">
        <v>237</v>
      </c>
      <c r="J146" s="70" t="s">
        <v>595</v>
      </c>
      <c r="K146" s="25"/>
      <c r="L146" s="25">
        <v>6500</v>
      </c>
      <c r="M146" s="25">
        <f>IFERROR(VLOOKUP($C146,$C$5:$M$24,11,0)+SUMIF($C$25:$C146,$C146,$K$25:$K146)-SUMIF($C$25:$C146,$C146,$L$25:$L146),"")</f>
        <v>1684786.5</v>
      </c>
      <c r="N146" s="10"/>
      <c r="O146" s="10"/>
      <c r="P146" s="65"/>
      <c r="Q146" s="46"/>
      <c r="R146" s="46" t="s">
        <v>485</v>
      </c>
      <c r="S146" s="54">
        <f t="shared" si="6"/>
        <v>202601</v>
      </c>
      <c r="T146" s="54">
        <f t="shared" si="7"/>
        <v>202601</v>
      </c>
      <c r="U146" s="58" t="str">
        <f t="shared" si="8"/>
        <v/>
      </c>
      <c r="V146" s="58">
        <f>IF(AND($B146&lt;&gt;"",$F146&lt;&gt;"",$F146=项目明细账!$C$2),N(V145)+1,N(V145))</f>
        <v>0</v>
      </c>
      <c r="W146" s="63" t="str">
        <f>IF($H146&lt;&gt;"","项目成本",IFERROR(INDEX(基础资料!$W$4:$W$49,MATCH($I146,基础资料!$V$4:$V$49,0)),""))</f>
        <v>人工社保</v>
      </c>
      <c r="X146" s="63" t="str">
        <f>IFERROR(INDEX(基础资料!$R$4:$R$17,MATCH($G146,基础资料!$Q$4:$Q$17,0)),"")</f>
        <v/>
      </c>
    </row>
    <row r="147" spans="1:24">
      <c r="A147" s="58">
        <f>IF($B147="","",COUNTA($B$5:$B147))</f>
        <v>143</v>
      </c>
      <c r="B147" s="53">
        <v>46042</v>
      </c>
      <c r="C147" s="46" t="s">
        <v>114</v>
      </c>
      <c r="D147" s="63" t="str">
        <f>IFERROR(INDEX(基础资料!$F$4:$F$23,MATCH($C147,基础资料!$E$4:$E$23,0)),IF($C147="","","未匹配账户"))</f>
        <v>晨拓</v>
      </c>
      <c r="E147" s="39" t="s">
        <v>488</v>
      </c>
      <c r="F147" s="10"/>
      <c r="G147" s="10"/>
      <c r="H147" s="10"/>
      <c r="I147" s="46" t="s">
        <v>234</v>
      </c>
      <c r="J147" s="69" t="s">
        <v>596</v>
      </c>
      <c r="K147" s="25"/>
      <c r="L147" s="25">
        <v>300</v>
      </c>
      <c r="M147" s="25">
        <f>IFERROR(VLOOKUP($C147,$C$5:$M$24,11,0)+SUMIF($C$25:$C147,$C147,$K$25:$K147)-SUMIF($C$25:$C147,$C147,$L$25:$L147),"")</f>
        <v>1684486.5</v>
      </c>
      <c r="N147" s="10"/>
      <c r="O147" s="10"/>
      <c r="P147" s="65"/>
      <c r="Q147" s="46"/>
      <c r="R147" s="46" t="s">
        <v>485</v>
      </c>
      <c r="S147" s="54">
        <f t="shared" si="6"/>
        <v>202601</v>
      </c>
      <c r="T147" s="54">
        <f t="shared" si="7"/>
        <v>202601</v>
      </c>
      <c r="U147" s="58" t="str">
        <f t="shared" si="8"/>
        <v/>
      </c>
      <c r="V147" s="58">
        <f>IF(AND($B147&lt;&gt;"",$F147&lt;&gt;"",$F147=项目明细账!$C$2),N(V146)+1,N(V146))</f>
        <v>0</v>
      </c>
      <c r="W147" s="63" t="str">
        <f>IF($H147&lt;&gt;"","项目成本",IFERROR(INDEX(基础资料!$W$4:$W$49,MATCH($I147,基础资料!$V$4:$V$49,0)),""))</f>
        <v>管理费用</v>
      </c>
      <c r="X147" s="63" t="str">
        <f>IFERROR(INDEX(基础资料!$R$4:$R$17,MATCH($G147,基础资料!$Q$4:$Q$17,0)),"")</f>
        <v/>
      </c>
    </row>
    <row r="148" spans="1:24">
      <c r="A148" s="58">
        <f>IF($B148="","",COUNTA($B$5:$B148))</f>
        <v>144</v>
      </c>
      <c r="B148" s="53">
        <v>46042</v>
      </c>
      <c r="C148" s="46" t="s">
        <v>114</v>
      </c>
      <c r="D148" s="63" t="str">
        <f>IFERROR(INDEX(基础资料!$F$4:$F$23,MATCH($C148,基础资料!$E$4:$E$23,0)),IF($C148="","","未匹配账户"))</f>
        <v>晨拓</v>
      </c>
      <c r="E148" s="39" t="s">
        <v>488</v>
      </c>
      <c r="F148" s="10"/>
      <c r="G148" s="10"/>
      <c r="H148" s="10"/>
      <c r="I148" s="46" t="s">
        <v>262</v>
      </c>
      <c r="J148" s="69" t="s">
        <v>522</v>
      </c>
      <c r="K148" s="25"/>
      <c r="L148" s="25">
        <v>117533.89</v>
      </c>
      <c r="M148" s="25">
        <f>IFERROR(VLOOKUP($C148,$C$5:$M$24,11,0)+SUMIF($C$25:$C148,$C148,$K$25:$K148)-SUMIF($C$25:$C148,$C148,$L$25:$L148),"")</f>
        <v>1566952.61</v>
      </c>
      <c r="N148" s="10"/>
      <c r="O148" s="10"/>
      <c r="P148" s="65"/>
      <c r="Q148" s="46"/>
      <c r="R148" s="46" t="s">
        <v>485</v>
      </c>
      <c r="S148" s="54">
        <f t="shared" si="6"/>
        <v>202601</v>
      </c>
      <c r="T148" s="54">
        <f t="shared" si="7"/>
        <v>202601</v>
      </c>
      <c r="U148" s="58" t="str">
        <f t="shared" si="8"/>
        <v/>
      </c>
      <c r="V148" s="58">
        <f>IF(AND($B148&lt;&gt;"",$F148&lt;&gt;"",$F148=项目明细账!$C$2),N(V147)+1,N(V147))</f>
        <v>0</v>
      </c>
      <c r="W148" s="63" t="str">
        <f>IF($H148&lt;&gt;"","项目成本",IFERROR(INDEX(基础资料!$W$4:$W$49,MATCH($I148,基础资料!$V$4:$V$49,0)),""))</f>
        <v>税费</v>
      </c>
      <c r="X148" s="63" t="str">
        <f>IFERROR(INDEX(基础资料!$R$4:$R$17,MATCH($G148,基础资料!$Q$4:$Q$17,0)),"")</f>
        <v/>
      </c>
    </row>
    <row r="149" spans="1:24">
      <c r="A149" s="58">
        <f>IF($B149="","",COUNTA($B$5:$B149))</f>
        <v>145</v>
      </c>
      <c r="B149" s="53">
        <v>46044</v>
      </c>
      <c r="C149" s="46" t="s">
        <v>114</v>
      </c>
      <c r="D149" s="63" t="str">
        <f>IFERROR(INDEX(基础资料!$F$4:$F$23,MATCH($C149,基础资料!$E$4:$E$23,0)),IF($C149="","","未匹配账户"))</f>
        <v>晨拓</v>
      </c>
      <c r="E149" s="39" t="s">
        <v>488</v>
      </c>
      <c r="F149" s="10"/>
      <c r="G149" s="10"/>
      <c r="H149" s="10"/>
      <c r="I149" s="46" t="s">
        <v>273</v>
      </c>
      <c r="J149" s="69" t="s">
        <v>597</v>
      </c>
      <c r="K149" s="25"/>
      <c r="L149" s="25">
        <v>13168.81</v>
      </c>
      <c r="M149" s="25">
        <f>IFERROR(VLOOKUP($C149,$C$5:$M$24,11,0)+SUMIF($C$25:$C149,$C149,$K$25:$K149)-SUMIF($C$25:$C149,$C149,$L$25:$L149),"")</f>
        <v>1553783.8</v>
      </c>
      <c r="N149" s="10"/>
      <c r="O149" s="10"/>
      <c r="P149" s="65"/>
      <c r="Q149" s="46"/>
      <c r="R149" s="46" t="s">
        <v>485</v>
      </c>
      <c r="S149" s="54">
        <f t="shared" si="6"/>
        <v>202601</v>
      </c>
      <c r="T149" s="54">
        <f t="shared" si="7"/>
        <v>202601</v>
      </c>
      <c r="U149" s="58" t="str">
        <f t="shared" si="8"/>
        <v/>
      </c>
      <c r="V149" s="58">
        <f>IF(AND($B149&lt;&gt;"",$F149&lt;&gt;"",$F149=项目明细账!$C$2),N(V148)+1,N(V148))</f>
        <v>0</v>
      </c>
      <c r="W149" s="63" t="str">
        <f>IF($H149&lt;&gt;"","项目成本",IFERROR(INDEX(基础资料!$W$4:$W$49,MATCH($I149,基础资料!$V$4:$V$49,0)),""))</f>
        <v>税费</v>
      </c>
      <c r="X149" s="63" t="str">
        <f>IFERROR(INDEX(基础资料!$R$4:$R$17,MATCH($G149,基础资料!$Q$4:$Q$17,0)),"")</f>
        <v/>
      </c>
    </row>
    <row r="150" spans="1:24">
      <c r="A150" s="58">
        <f>IF($B150="","",COUNTA($B$5:$B150))</f>
        <v>146</v>
      </c>
      <c r="B150" s="53">
        <v>46044</v>
      </c>
      <c r="C150" s="46" t="s">
        <v>114</v>
      </c>
      <c r="D150" s="63" t="str">
        <f>IFERROR(INDEX(基础资料!$F$4:$F$23,MATCH($C150,基础资料!$E$4:$E$23,0)),IF($C150="","","未匹配账户"))</f>
        <v>晨拓</v>
      </c>
      <c r="E150" s="39" t="s">
        <v>488</v>
      </c>
      <c r="F150" s="10"/>
      <c r="G150" s="46"/>
      <c r="H150" s="10"/>
      <c r="I150" s="10" t="s">
        <v>246</v>
      </c>
      <c r="J150" s="69" t="s">
        <v>598</v>
      </c>
      <c r="K150" s="25"/>
      <c r="L150" s="25">
        <v>1277.4</v>
      </c>
      <c r="M150" s="25">
        <f>IFERROR(VLOOKUP($C150,$C$5:$M$24,11,0)+SUMIF($C$25:$C150,$C150,$K$25:$K150)-SUMIF($C$25:$C150,$C150,$L$25:$L150),"")</f>
        <v>1552506.4</v>
      </c>
      <c r="N150" s="46" t="s">
        <v>599</v>
      </c>
      <c r="O150" s="10"/>
      <c r="P150" s="65"/>
      <c r="Q150" s="46"/>
      <c r="R150" s="46" t="s">
        <v>485</v>
      </c>
      <c r="S150" s="54">
        <f t="shared" si="6"/>
        <v>202601</v>
      </c>
      <c r="T150" s="54">
        <f t="shared" si="7"/>
        <v>202601</v>
      </c>
      <c r="U150" s="58" t="str">
        <f t="shared" si="8"/>
        <v/>
      </c>
      <c r="V150" s="58">
        <f>IF(AND($B150&lt;&gt;"",$F150&lt;&gt;"",$F150=项目明细账!$C$2),N(V149)+1,N(V149))</f>
        <v>0</v>
      </c>
      <c r="W150" s="63" t="str">
        <f>IF($H150&lt;&gt;"","项目成本",IFERROR(INDEX(基础资料!$W$4:$W$49,MATCH($I150,基础资料!$V$4:$V$49,0)),""))</f>
        <v>人工社保</v>
      </c>
      <c r="X150" s="63" t="str">
        <f>IFERROR(INDEX(基础资料!$R$4:$R$17,MATCH($G150,基础资料!$Q$4:$Q$17,0)),"")</f>
        <v/>
      </c>
    </row>
    <row r="151" spans="1:24">
      <c r="A151" s="58">
        <f>IF($B151="","",COUNTA($B$5:$B151))</f>
        <v>147</v>
      </c>
      <c r="B151" s="53">
        <v>46046</v>
      </c>
      <c r="C151" s="46" t="s">
        <v>114</v>
      </c>
      <c r="D151" s="63" t="str">
        <f>IFERROR(INDEX(基础资料!$F$4:$F$23,MATCH($C151,基础资料!$E$4:$E$23,0)),IF($C151="","","未匹配账户"))</f>
        <v>晨拓</v>
      </c>
      <c r="E151" s="39" t="s">
        <v>488</v>
      </c>
      <c r="F151" s="10"/>
      <c r="G151" s="10"/>
      <c r="H151" s="10"/>
      <c r="I151" s="46" t="s">
        <v>248</v>
      </c>
      <c r="J151" s="69" t="s">
        <v>600</v>
      </c>
      <c r="K151" s="25"/>
      <c r="L151" s="25">
        <v>556.25</v>
      </c>
      <c r="M151" s="25">
        <f>IFERROR(VLOOKUP($C151,$C$5:$M$24,11,0)+SUMIF($C$25:$C151,$C151,$K$25:$K151)-SUMIF($C$25:$C151,$C151,$L$25:$L151),"")</f>
        <v>1551950.15</v>
      </c>
      <c r="N151" s="10"/>
      <c r="O151" s="10"/>
      <c r="P151" s="65"/>
      <c r="Q151" s="46"/>
      <c r="R151" s="46" t="s">
        <v>485</v>
      </c>
      <c r="S151" s="54">
        <f t="shared" si="6"/>
        <v>202601</v>
      </c>
      <c r="T151" s="54">
        <f t="shared" si="7"/>
        <v>202601</v>
      </c>
      <c r="U151" s="58" t="str">
        <f t="shared" si="8"/>
        <v/>
      </c>
      <c r="V151" s="58">
        <f>IF(AND($B151&lt;&gt;"",$F151&lt;&gt;"",$F151=项目明细账!$C$2),N(V150)+1,N(V150))</f>
        <v>0</v>
      </c>
      <c r="W151" s="63" t="str">
        <f>IF($H151&lt;&gt;"","项目成本",IFERROR(INDEX(基础资料!$W$4:$W$49,MATCH($I151,基础资料!$V$4:$V$49,0)),""))</f>
        <v>人工社保</v>
      </c>
      <c r="X151" s="63" t="str">
        <f>IFERROR(INDEX(基础资料!$R$4:$R$17,MATCH($G151,基础资料!$Q$4:$Q$17,0)),"")</f>
        <v/>
      </c>
    </row>
    <row r="152" spans="1:24">
      <c r="A152" s="58">
        <f>IF($B152="","",COUNTA($B$5:$B152))</f>
        <v>148</v>
      </c>
      <c r="B152" s="53">
        <v>46049</v>
      </c>
      <c r="C152" s="46" t="s">
        <v>114</v>
      </c>
      <c r="D152" s="63" t="str">
        <f>IFERROR(INDEX(基础资料!$F$4:$F$23,MATCH($C152,基础资料!$E$4:$E$23,0)),IF($C152="","","未匹配账户"))</f>
        <v>晨拓</v>
      </c>
      <c r="E152" s="39" t="s">
        <v>488</v>
      </c>
      <c r="F152" s="10"/>
      <c r="G152" s="10"/>
      <c r="H152" s="10"/>
      <c r="I152" s="46" t="s">
        <v>237</v>
      </c>
      <c r="J152" s="69" t="s">
        <v>601</v>
      </c>
      <c r="K152" s="25"/>
      <c r="L152" s="25">
        <v>4955.75</v>
      </c>
      <c r="M152" s="25">
        <f>IFERROR(VLOOKUP($C152,$C$5:$M$24,11,0)+SUMIF($C$25:$C152,$C152,$K$25:$K152)-SUMIF($C$25:$C152,$C152,$L$25:$L152),"")</f>
        <v>1546994.4</v>
      </c>
      <c r="N152" s="10"/>
      <c r="O152" s="10"/>
      <c r="P152" s="65"/>
      <c r="Q152" s="46"/>
      <c r="R152" s="46" t="s">
        <v>485</v>
      </c>
      <c r="S152" s="54">
        <f t="shared" si="6"/>
        <v>202601</v>
      </c>
      <c r="T152" s="54">
        <f t="shared" si="7"/>
        <v>202601</v>
      </c>
      <c r="U152" s="58" t="str">
        <f t="shared" si="8"/>
        <v/>
      </c>
      <c r="V152" s="58">
        <f>IF(AND($B152&lt;&gt;"",$F152&lt;&gt;"",$F152=项目明细账!$C$2),N(V151)+1,N(V151))</f>
        <v>0</v>
      </c>
      <c r="W152" s="63" t="str">
        <f>IF($H152&lt;&gt;"","项目成本",IFERROR(INDEX(基础资料!$W$4:$W$49,MATCH($I152,基础资料!$V$4:$V$49,0)),""))</f>
        <v>人工社保</v>
      </c>
      <c r="X152" s="63" t="str">
        <f>IFERROR(INDEX(基础资料!$R$4:$R$17,MATCH($G152,基础资料!$Q$4:$Q$17,0)),"")</f>
        <v/>
      </c>
    </row>
    <row r="153" spans="1:24">
      <c r="A153" s="58">
        <f>IF($B153="","",COUNTA($B$5:$B153))</f>
        <v>149</v>
      </c>
      <c r="B153" s="53">
        <v>46036</v>
      </c>
      <c r="C153" s="46" t="s">
        <v>126</v>
      </c>
      <c r="D153" s="63" t="str">
        <f>IFERROR(INDEX(基础资料!$F$4:$F$23,MATCH($C153,基础资料!$E$4:$E$23,0)),IF($C153="","","未匹配账户"))</f>
        <v>元界极光</v>
      </c>
      <c r="E153" s="39" t="s">
        <v>488</v>
      </c>
      <c r="F153" s="10"/>
      <c r="G153" s="10"/>
      <c r="H153" s="10"/>
      <c r="I153" s="46" t="s">
        <v>237</v>
      </c>
      <c r="J153" s="69" t="s">
        <v>602</v>
      </c>
      <c r="K153" s="25"/>
      <c r="L153" s="25">
        <v>3942.4</v>
      </c>
      <c r="M153" s="25">
        <f>IFERROR(VLOOKUP($C153,$C$5:$M$24,11,0)+SUMIF($C$25:$C153,$C153,$K$25:$K153)-SUMIF($C$25:$C153,$C153,$L$25:$L153),"")</f>
        <v>446804.79</v>
      </c>
      <c r="N153" s="10"/>
      <c r="O153" s="10"/>
      <c r="P153" s="65"/>
      <c r="Q153" s="46"/>
      <c r="R153" s="46" t="s">
        <v>485</v>
      </c>
      <c r="S153" s="54">
        <f t="shared" si="6"/>
        <v>202601</v>
      </c>
      <c r="T153" s="54">
        <f t="shared" si="7"/>
        <v>202601</v>
      </c>
      <c r="U153" s="58" t="str">
        <f t="shared" si="8"/>
        <v/>
      </c>
      <c r="V153" s="58">
        <f>IF(AND($B153&lt;&gt;"",$F153&lt;&gt;"",$F153=项目明细账!$C$2),N(V152)+1,N(V152))</f>
        <v>0</v>
      </c>
      <c r="W153" s="63" t="str">
        <f>IF($H153&lt;&gt;"","项目成本",IFERROR(INDEX(基础资料!$W$4:$W$49,MATCH($I153,基础资料!$V$4:$V$49,0)),""))</f>
        <v>人工社保</v>
      </c>
      <c r="X153" s="63" t="str">
        <f>IFERROR(INDEX(基础资料!$R$4:$R$17,MATCH($G153,基础资料!$Q$4:$Q$17,0)),"")</f>
        <v/>
      </c>
    </row>
    <row r="154" spans="1:24">
      <c r="A154" s="58">
        <f>IF($B154="","",COUNTA($B$5:$B154))</f>
        <v>150</v>
      </c>
      <c r="B154" s="53">
        <v>46038</v>
      </c>
      <c r="C154" s="46" t="s">
        <v>126</v>
      </c>
      <c r="D154" s="63" t="str">
        <f>IFERROR(INDEX(基础资料!$F$4:$F$23,MATCH($C154,基础资料!$E$4:$E$23,0)),IF($C154="","","未匹配账户"))</f>
        <v>元界极光</v>
      </c>
      <c r="E154" s="39" t="s">
        <v>488</v>
      </c>
      <c r="F154" s="10"/>
      <c r="G154" s="10"/>
      <c r="H154" s="10"/>
      <c r="I154" s="46" t="s">
        <v>237</v>
      </c>
      <c r="J154" s="69" t="s">
        <v>603</v>
      </c>
      <c r="K154" s="25"/>
      <c r="L154" s="25">
        <v>3400</v>
      </c>
      <c r="M154" s="25">
        <f>IFERROR(VLOOKUP($C154,$C$5:$M$24,11,0)+SUMIF($C$25:$C154,$C154,$K$25:$K154)-SUMIF($C$25:$C154,$C154,$L$25:$L154),"")</f>
        <v>443404.79</v>
      </c>
      <c r="N154" s="10"/>
      <c r="O154" s="10"/>
      <c r="P154" s="65"/>
      <c r="Q154" s="46"/>
      <c r="R154" s="46" t="s">
        <v>485</v>
      </c>
      <c r="S154" s="54">
        <f t="shared" si="6"/>
        <v>202601</v>
      </c>
      <c r="T154" s="54">
        <f t="shared" si="7"/>
        <v>202601</v>
      </c>
      <c r="U154" s="58" t="str">
        <f t="shared" si="8"/>
        <v/>
      </c>
      <c r="V154" s="58">
        <f>IF(AND($B154&lt;&gt;"",$F154&lt;&gt;"",$F154=项目明细账!$C$2),N(V153)+1,N(V153))</f>
        <v>0</v>
      </c>
      <c r="W154" s="63" t="str">
        <f>IF($H154&lt;&gt;"","项目成本",IFERROR(INDEX(基础资料!$W$4:$W$49,MATCH($I154,基础资料!$V$4:$V$49,0)),""))</f>
        <v>人工社保</v>
      </c>
      <c r="X154" s="63" t="str">
        <f>IFERROR(INDEX(基础资料!$R$4:$R$17,MATCH($G154,基础资料!$Q$4:$Q$17,0)),"")</f>
        <v/>
      </c>
    </row>
    <row r="155" spans="1:24">
      <c r="A155" s="58">
        <f>IF($B155="","",COUNTA($B$5:$B155))</f>
        <v>151</v>
      </c>
      <c r="B155" s="53">
        <v>46042</v>
      </c>
      <c r="C155" s="46" t="s">
        <v>126</v>
      </c>
      <c r="D155" s="63" t="str">
        <f>IFERROR(INDEX(基础资料!$F$4:$F$23,MATCH($C155,基础资料!$E$4:$E$23,0)),IF($C155="","","未匹配账户"))</f>
        <v>元界极光</v>
      </c>
      <c r="E155" s="39" t="s">
        <v>488</v>
      </c>
      <c r="F155" s="10"/>
      <c r="G155" s="46"/>
      <c r="H155" s="10"/>
      <c r="I155" s="10" t="s">
        <v>270</v>
      </c>
      <c r="J155" s="69" t="s">
        <v>524</v>
      </c>
      <c r="K155" s="25"/>
      <c r="L155" s="25">
        <v>72.68</v>
      </c>
      <c r="M155" s="25">
        <f>IFERROR(VLOOKUP($C155,$C$5:$M$24,11,0)+SUMIF($C$25:$C155,$C155,$K$25:$K155)-SUMIF($C$25:$C155,$C155,$L$25:$L155),"")</f>
        <v>443332.11</v>
      </c>
      <c r="N155" s="10"/>
      <c r="O155" s="10"/>
      <c r="P155" s="65"/>
      <c r="Q155" s="46"/>
      <c r="R155" s="46" t="s">
        <v>485</v>
      </c>
      <c r="S155" s="54">
        <f t="shared" si="6"/>
        <v>202601</v>
      </c>
      <c r="T155" s="54">
        <f t="shared" si="7"/>
        <v>202601</v>
      </c>
      <c r="U155" s="58" t="str">
        <f t="shared" si="8"/>
        <v/>
      </c>
      <c r="V155" s="58">
        <f>IF(AND($B155&lt;&gt;"",$F155&lt;&gt;"",$F155=项目明细账!$C$2),N(V154)+1,N(V154))</f>
        <v>0</v>
      </c>
      <c r="W155" s="63" t="str">
        <f>IF($H155&lt;&gt;"","项目成本",IFERROR(INDEX(基础资料!$W$4:$W$49,MATCH($I155,基础资料!$V$4:$V$49,0)),""))</f>
        <v>税费</v>
      </c>
      <c r="X155" s="63" t="str">
        <f>IFERROR(INDEX(基础资料!$R$4:$R$17,MATCH($G155,基础资料!$Q$4:$Q$17,0)),"")</f>
        <v/>
      </c>
    </row>
    <row r="156" spans="1:24">
      <c r="A156" s="58">
        <f>IF($B156="","",COUNTA($B$5:$B156))</f>
        <v>152</v>
      </c>
      <c r="B156" s="53">
        <v>46042</v>
      </c>
      <c r="C156" s="46" t="s">
        <v>126</v>
      </c>
      <c r="D156" s="63" t="str">
        <f>IFERROR(INDEX(基础资料!$F$4:$F$23,MATCH($C156,基础资料!$E$4:$E$23,0)),IF($C156="","","未匹配账户"))</f>
        <v>元界极光</v>
      </c>
      <c r="E156" s="39" t="s">
        <v>488</v>
      </c>
      <c r="F156" s="10"/>
      <c r="G156" s="46"/>
      <c r="H156" s="10"/>
      <c r="I156" s="10" t="s">
        <v>262</v>
      </c>
      <c r="J156" s="69" t="s">
        <v>604</v>
      </c>
      <c r="K156" s="25"/>
      <c r="L156" s="25">
        <v>5136.13</v>
      </c>
      <c r="M156" s="25">
        <f>IFERROR(VLOOKUP($C156,$C$5:$M$24,11,0)+SUMIF($C$25:$C156,$C156,$K$25:$K156)-SUMIF($C$25:$C156,$C156,$L$25:$L156),"")</f>
        <v>438195.98</v>
      </c>
      <c r="N156" s="10"/>
      <c r="O156" s="10"/>
      <c r="P156" s="65"/>
      <c r="Q156" s="46"/>
      <c r="R156" s="46" t="s">
        <v>485</v>
      </c>
      <c r="S156" s="54">
        <f t="shared" si="6"/>
        <v>202601</v>
      </c>
      <c r="T156" s="54">
        <f t="shared" si="7"/>
        <v>202601</v>
      </c>
      <c r="U156" s="58" t="str">
        <f t="shared" si="8"/>
        <v/>
      </c>
      <c r="V156" s="58">
        <f>IF(AND($B156&lt;&gt;"",$F156&lt;&gt;"",$F156=项目明细账!$C$2),N(V155)+1,N(V155))</f>
        <v>0</v>
      </c>
      <c r="W156" s="63" t="str">
        <f>IF($H156&lt;&gt;"","项目成本",IFERROR(INDEX(基础资料!$W$4:$W$49,MATCH($I156,基础资料!$V$4:$V$49,0)),""))</f>
        <v>税费</v>
      </c>
      <c r="X156" s="63" t="str">
        <f>IFERROR(INDEX(基础资料!$R$4:$R$17,MATCH($G156,基础资料!$Q$4:$Q$17,0)),"")</f>
        <v/>
      </c>
    </row>
    <row r="157" spans="1:24">
      <c r="A157" s="58">
        <f>IF($B157="","",COUNTA($B$5:$B157))</f>
        <v>153</v>
      </c>
      <c r="B157" s="53">
        <v>46042</v>
      </c>
      <c r="C157" s="46" t="s">
        <v>126</v>
      </c>
      <c r="D157" s="63" t="str">
        <f>IFERROR(INDEX(基础资料!$F$4:$F$23,MATCH($C157,基础资料!$E$4:$E$23,0)),IF($C157="","","未匹配账户"))</f>
        <v>元界极光</v>
      </c>
      <c r="E157" s="39" t="s">
        <v>488</v>
      </c>
      <c r="F157" s="10"/>
      <c r="G157" s="46"/>
      <c r="H157" s="10"/>
      <c r="I157" s="10" t="s">
        <v>273</v>
      </c>
      <c r="J157" s="69" t="s">
        <v>597</v>
      </c>
      <c r="K157" s="25"/>
      <c r="L157" s="25">
        <v>3010.83</v>
      </c>
      <c r="M157" s="25">
        <f>IFERROR(VLOOKUP($C157,$C$5:$M$24,11,0)+SUMIF($C$25:$C157,$C157,$K$25:$K157)-SUMIF($C$25:$C157,$C157,$L$25:$L157),"")</f>
        <v>435185.15</v>
      </c>
      <c r="N157" s="10"/>
      <c r="O157" s="10"/>
      <c r="P157" s="65"/>
      <c r="Q157" s="46"/>
      <c r="R157" s="46" t="s">
        <v>485</v>
      </c>
      <c r="S157" s="54">
        <f t="shared" si="6"/>
        <v>202601</v>
      </c>
      <c r="T157" s="54">
        <f t="shared" si="7"/>
        <v>202601</v>
      </c>
      <c r="U157" s="58" t="str">
        <f t="shared" si="8"/>
        <v/>
      </c>
      <c r="V157" s="58">
        <f>IF(AND($B157&lt;&gt;"",$F157&lt;&gt;"",$F157=项目明细账!$C$2),N(V156)+1,N(V156))</f>
        <v>0</v>
      </c>
      <c r="W157" s="63" t="str">
        <f>IF($H157&lt;&gt;"","项目成本",IFERROR(INDEX(基础资料!$W$4:$W$49,MATCH($I157,基础资料!$V$4:$V$49,0)),""))</f>
        <v>税费</v>
      </c>
      <c r="X157" s="63" t="str">
        <f>IFERROR(INDEX(基础资料!$R$4:$R$17,MATCH($G157,基础资料!$Q$4:$Q$17,0)),"")</f>
        <v/>
      </c>
    </row>
    <row r="158" spans="1:24">
      <c r="A158" s="58">
        <f>IF($B158="","",COUNTA($B$5:$B158))</f>
        <v>154</v>
      </c>
      <c r="B158" s="53">
        <v>46042</v>
      </c>
      <c r="C158" s="46" t="s">
        <v>126</v>
      </c>
      <c r="D158" s="63" t="str">
        <f>IFERROR(INDEX(基础资料!$F$4:$F$23,MATCH($C158,基础资料!$E$4:$E$23,0)),IF($C158="","","未匹配账户"))</f>
        <v>元界极光</v>
      </c>
      <c r="E158" s="39" t="s">
        <v>488</v>
      </c>
      <c r="F158" s="10"/>
      <c r="G158" s="46"/>
      <c r="H158" s="10"/>
      <c r="I158" s="10" t="s">
        <v>270</v>
      </c>
      <c r="J158" s="69" t="s">
        <v>605</v>
      </c>
      <c r="K158" s="25"/>
      <c r="L158" s="25">
        <v>2.51</v>
      </c>
      <c r="M158" s="25">
        <f>IFERROR(VLOOKUP($C158,$C$5:$M$24,11,0)+SUMIF($C$25:$C158,$C158,$K$25:$K158)-SUMIF($C$25:$C158,$C158,$L$25:$L158),"")</f>
        <v>435182.64</v>
      </c>
      <c r="N158" s="10"/>
      <c r="O158" s="10"/>
      <c r="P158" s="65"/>
      <c r="Q158" s="46"/>
      <c r="R158" s="46" t="s">
        <v>485</v>
      </c>
      <c r="S158" s="54">
        <f t="shared" si="6"/>
        <v>202601</v>
      </c>
      <c r="T158" s="54">
        <f t="shared" si="7"/>
        <v>202601</v>
      </c>
      <c r="U158" s="58" t="str">
        <f t="shared" si="8"/>
        <v/>
      </c>
      <c r="V158" s="58">
        <f>IF(AND($B158&lt;&gt;"",$F158&lt;&gt;"",$F158=项目明细账!$C$2),N(V157)+1,N(V157))</f>
        <v>0</v>
      </c>
      <c r="W158" s="63" t="str">
        <f>IF($H158&lt;&gt;"","项目成本",IFERROR(INDEX(基础资料!$W$4:$W$49,MATCH($I158,基础资料!$V$4:$V$49,0)),""))</f>
        <v>税费</v>
      </c>
      <c r="X158" s="63" t="str">
        <f>IFERROR(INDEX(基础资料!$R$4:$R$17,MATCH($G158,基础资料!$Q$4:$Q$17,0)),"")</f>
        <v/>
      </c>
    </row>
    <row r="159" spans="1:24">
      <c r="A159" s="58">
        <f>IF($B159="","",COUNTA($B$5:$B159))</f>
        <v>155</v>
      </c>
      <c r="B159" s="53">
        <v>46043</v>
      </c>
      <c r="C159" s="46" t="s">
        <v>126</v>
      </c>
      <c r="D159" s="63" t="str">
        <f>IFERROR(INDEX(基础资料!$F$4:$F$23,MATCH($C159,基础资料!$E$4:$E$23,0)),IF($C159="","","未匹配账户"))</f>
        <v>元界极光</v>
      </c>
      <c r="E159" s="39" t="s">
        <v>488</v>
      </c>
      <c r="F159" s="10"/>
      <c r="G159" s="46"/>
      <c r="H159" s="10"/>
      <c r="I159" s="10" t="s">
        <v>246</v>
      </c>
      <c r="J159" s="69" t="s">
        <v>600</v>
      </c>
      <c r="K159" s="25"/>
      <c r="L159" s="25">
        <v>1323.02</v>
      </c>
      <c r="M159" s="25">
        <f>IFERROR(VLOOKUP($C159,$C$5:$M$24,11,0)+SUMIF($C$25:$C159,$C159,$K$25:$K159)-SUMIF($C$25:$C159,$C159,$L$25:$L159),"")</f>
        <v>433859.62</v>
      </c>
      <c r="N159" s="10"/>
      <c r="O159" s="10"/>
      <c r="P159" s="65"/>
      <c r="Q159" s="46"/>
      <c r="R159" s="46" t="s">
        <v>485</v>
      </c>
      <c r="S159" s="54">
        <f t="shared" si="6"/>
        <v>202601</v>
      </c>
      <c r="T159" s="54">
        <f t="shared" si="7"/>
        <v>202601</v>
      </c>
      <c r="U159" s="58" t="str">
        <f t="shared" si="8"/>
        <v/>
      </c>
      <c r="V159" s="58">
        <f>IF(AND($B159&lt;&gt;"",$F159&lt;&gt;"",$F159=项目明细账!$C$2),N(V158)+1,N(V158))</f>
        <v>0</v>
      </c>
      <c r="W159" s="63" t="str">
        <f>IF($H159&lt;&gt;"","项目成本",IFERROR(INDEX(基础资料!$W$4:$W$49,MATCH($I159,基础资料!$V$4:$V$49,0)),""))</f>
        <v>人工社保</v>
      </c>
      <c r="X159" s="63" t="str">
        <f>IFERROR(INDEX(基础资料!$R$4:$R$17,MATCH($G159,基础资料!$Q$4:$Q$17,0)),"")</f>
        <v/>
      </c>
    </row>
    <row r="160" spans="1:24">
      <c r="A160" s="58">
        <f>IF($B160="","",COUNTA($B$5:$B160))</f>
        <v>156</v>
      </c>
      <c r="B160" s="53">
        <v>46043</v>
      </c>
      <c r="C160" s="46" t="s">
        <v>126</v>
      </c>
      <c r="D160" s="63" t="str">
        <f>IFERROR(INDEX(基础资料!$F$4:$F$23,MATCH($C160,基础资料!$E$4:$E$23,0)),IF($C160="","","未匹配账户"))</f>
        <v>元界极光</v>
      </c>
      <c r="E160" s="39" t="s">
        <v>488</v>
      </c>
      <c r="F160" s="10"/>
      <c r="G160" s="46"/>
      <c r="H160" s="10"/>
      <c r="I160" s="10" t="s">
        <v>248</v>
      </c>
      <c r="J160" s="69" t="s">
        <v>598</v>
      </c>
      <c r="K160" s="25"/>
      <c r="L160" s="25">
        <v>623.49</v>
      </c>
      <c r="M160" s="25">
        <f>IFERROR(VLOOKUP($C160,$C$5:$M$24,11,0)+SUMIF($C$25:$C160,$C160,$K$25:$K160)-SUMIF($C$25:$C160,$C160,$L$25:$L160),"")</f>
        <v>433236.13</v>
      </c>
      <c r="N160" s="10"/>
      <c r="O160" s="10"/>
      <c r="P160" s="65"/>
      <c r="Q160" s="46"/>
      <c r="R160" s="46" t="s">
        <v>485</v>
      </c>
      <c r="S160" s="54">
        <f t="shared" si="6"/>
        <v>202601</v>
      </c>
      <c r="T160" s="54">
        <f t="shared" si="7"/>
        <v>202601</v>
      </c>
      <c r="U160" s="58" t="str">
        <f t="shared" si="8"/>
        <v/>
      </c>
      <c r="V160" s="58">
        <f>IF(AND($B160&lt;&gt;"",$F160&lt;&gt;"",$F160=项目明细账!$C$2),N(V159)+1,N(V159))</f>
        <v>0</v>
      </c>
      <c r="W160" s="63" t="str">
        <f>IF($H160&lt;&gt;"","项目成本",IFERROR(INDEX(基础资料!$W$4:$W$49,MATCH($I160,基础资料!$V$4:$V$49,0)),""))</f>
        <v>人工社保</v>
      </c>
      <c r="X160" s="63" t="str">
        <f>IFERROR(INDEX(基础资料!$R$4:$R$17,MATCH($G160,基础资料!$Q$4:$Q$17,0)),"")</f>
        <v/>
      </c>
    </row>
    <row r="161" spans="1:24">
      <c r="A161" s="58">
        <f>IF($B161="","",COUNTA($B$5:$B161))</f>
        <v>157</v>
      </c>
      <c r="B161" s="53">
        <v>46044</v>
      </c>
      <c r="C161" s="46" t="s">
        <v>126</v>
      </c>
      <c r="D161" s="63" t="str">
        <f>IFERROR(INDEX(基础资料!$F$4:$F$23,MATCH($C161,基础资料!$E$4:$E$23,0)),IF($C161="","","未匹配账户"))</f>
        <v>元界极光</v>
      </c>
      <c r="E161" s="39" t="s">
        <v>488</v>
      </c>
      <c r="F161" s="10"/>
      <c r="G161" s="46"/>
      <c r="H161" s="10"/>
      <c r="I161" s="10" t="s">
        <v>282</v>
      </c>
      <c r="J161" s="69" t="s">
        <v>489</v>
      </c>
      <c r="K161" s="25"/>
      <c r="L161" s="25">
        <v>15</v>
      </c>
      <c r="M161" s="25">
        <f>IFERROR(VLOOKUP($C161,$C$5:$M$24,11,0)+SUMIF($C$25:$C161,$C161,$K$25:$K161)-SUMIF($C$25:$C161,$C161,$L$25:$L161),"")</f>
        <v>433221.13</v>
      </c>
      <c r="N161" s="10"/>
      <c r="O161" s="10"/>
      <c r="P161" s="65"/>
      <c r="Q161" s="46"/>
      <c r="R161" s="46" t="s">
        <v>485</v>
      </c>
      <c r="S161" s="54">
        <f t="shared" si="6"/>
        <v>202601</v>
      </c>
      <c r="T161" s="54">
        <f t="shared" si="7"/>
        <v>202601</v>
      </c>
      <c r="U161" s="58" t="str">
        <f t="shared" si="8"/>
        <v/>
      </c>
      <c r="V161" s="58">
        <f>IF(AND($B161&lt;&gt;"",$F161&lt;&gt;"",$F161=项目明细账!$C$2),N(V160)+1,N(V160))</f>
        <v>0</v>
      </c>
      <c r="W161" s="63" t="str">
        <f>IF($H161&lt;&gt;"","项目成本",IFERROR(INDEX(基础资料!$W$4:$W$49,MATCH($I161,基础资料!$V$4:$V$49,0)),""))</f>
        <v>财务费用</v>
      </c>
      <c r="X161" s="63" t="str">
        <f>IFERROR(INDEX(基础资料!$R$4:$R$17,MATCH($G161,基础资料!$Q$4:$Q$17,0)),"")</f>
        <v/>
      </c>
    </row>
    <row r="162" spans="1:24">
      <c r="A162" s="58">
        <f>IF($B162="","",COUNTA($B$5:$B162))</f>
        <v>158</v>
      </c>
      <c r="B162" s="53">
        <v>46027</v>
      </c>
      <c r="C162" s="46" t="s">
        <v>140</v>
      </c>
      <c r="D162" s="63" t="str">
        <f>IFERROR(INDEX(基础资料!$F$4:$F$23,MATCH($C162,基础资料!$E$4:$E$23,0)),IF($C162="","","未匹配账户"))</f>
        <v>元界极光</v>
      </c>
      <c r="E162" s="39" t="s">
        <v>488</v>
      </c>
      <c r="F162" s="10" t="s">
        <v>303</v>
      </c>
      <c r="G162" s="46"/>
      <c r="H162" s="10" t="s">
        <v>530</v>
      </c>
      <c r="I162" s="10"/>
      <c r="J162" s="70" t="s">
        <v>606</v>
      </c>
      <c r="K162" s="25"/>
      <c r="L162" s="25">
        <v>50000</v>
      </c>
      <c r="M162" s="25">
        <f>IFERROR(VLOOKUP($C162,$C$5:$M$24,11,0)+SUMIF($C$25:$C162,$C162,$K$25:$K162)-SUMIF($C$25:$C162,$C162,$L$25:$L162),"")</f>
        <v>150010.67</v>
      </c>
      <c r="N162" s="10"/>
      <c r="O162" s="10"/>
      <c r="P162" s="65"/>
      <c r="Q162" s="46"/>
      <c r="R162" s="46" t="s">
        <v>485</v>
      </c>
      <c r="S162" s="54">
        <f t="shared" si="6"/>
        <v>202601</v>
      </c>
      <c r="T162" s="54">
        <f t="shared" si="7"/>
        <v>202601</v>
      </c>
      <c r="U162" s="58" t="str">
        <f t="shared" si="8"/>
        <v/>
      </c>
      <c r="V162" s="58">
        <f>IF(AND($B162&lt;&gt;"",$F162&lt;&gt;"",$F162=项目明细账!$C$2),N(V161)+1,N(V161))</f>
        <v>0</v>
      </c>
      <c r="W162" s="63" t="str">
        <f>IF($H162&lt;&gt;"","项目成本",IFERROR(INDEX(基础资料!$W$4:$W$49,MATCH($I162,基础资料!$V$4:$V$49,0)),""))</f>
        <v>项目成本</v>
      </c>
      <c r="X162" s="63" t="str">
        <f>IFERROR(INDEX(基础资料!$R$4:$R$17,MATCH($G162,基础资料!$Q$4:$Q$17,0)),"")</f>
        <v/>
      </c>
    </row>
    <row r="163" spans="1:24">
      <c r="A163" s="58">
        <f>IF($B163="","",COUNTA($B$5:$B163))</f>
        <v>159</v>
      </c>
      <c r="B163" s="53">
        <v>46030</v>
      </c>
      <c r="C163" s="46" t="s">
        <v>140</v>
      </c>
      <c r="D163" s="63" t="str">
        <f>IFERROR(INDEX(基础资料!$F$4:$F$23,MATCH($C163,基础资料!$E$4:$E$23,0)),IF($C163="","","未匹配账户"))</f>
        <v>元界极光</v>
      </c>
      <c r="E163" s="39" t="s">
        <v>488</v>
      </c>
      <c r="F163" s="10" t="s">
        <v>303</v>
      </c>
      <c r="G163" s="10"/>
      <c r="H163" s="10" t="s">
        <v>530</v>
      </c>
      <c r="I163" s="46"/>
      <c r="J163" s="71" t="s">
        <v>607</v>
      </c>
      <c r="K163" s="25"/>
      <c r="L163" s="25">
        <v>8500</v>
      </c>
      <c r="M163" s="25">
        <f>IFERROR(VLOOKUP($C163,$C$5:$M$24,11,0)+SUMIF($C$25:$C163,$C163,$K$25:$K163)-SUMIF($C$25:$C163,$C163,$L$25:$L163),"")</f>
        <v>141510.67</v>
      </c>
      <c r="N163" s="10"/>
      <c r="O163" s="10"/>
      <c r="P163" s="65"/>
      <c r="Q163" s="46"/>
      <c r="R163" s="46" t="s">
        <v>485</v>
      </c>
      <c r="S163" s="54">
        <f t="shared" si="6"/>
        <v>202601</v>
      </c>
      <c r="T163" s="54">
        <f t="shared" si="7"/>
        <v>202601</v>
      </c>
      <c r="U163" s="58" t="str">
        <f t="shared" si="8"/>
        <v/>
      </c>
      <c r="V163" s="58">
        <f>IF(AND($B163&lt;&gt;"",$F163&lt;&gt;"",$F163=项目明细账!$C$2),N(V162)+1,N(V162))</f>
        <v>0</v>
      </c>
      <c r="W163" s="63" t="str">
        <f>IF($H163&lt;&gt;"","项目成本",IFERROR(INDEX(基础资料!$W$4:$W$49,MATCH($I163,基础资料!$V$4:$V$49,0)),""))</f>
        <v>项目成本</v>
      </c>
      <c r="X163" s="63" t="str">
        <f>IFERROR(INDEX(基础资料!$R$4:$R$17,MATCH($G163,基础资料!$Q$4:$Q$17,0)),"")</f>
        <v/>
      </c>
    </row>
    <row r="164" spans="1:24">
      <c r="A164" s="58">
        <f>IF($B164="","",COUNTA($B$5:$B164))</f>
        <v>160</v>
      </c>
      <c r="B164" s="53">
        <v>46039</v>
      </c>
      <c r="C164" s="46" t="s">
        <v>140</v>
      </c>
      <c r="D164" s="63" t="str">
        <f>IFERROR(INDEX(基础资料!$F$4:$F$23,MATCH($C164,基础资料!$E$4:$E$23,0)),IF($C164="","","未匹配账户"))</f>
        <v>元界极光</v>
      </c>
      <c r="E164" s="39" t="s">
        <v>488</v>
      </c>
      <c r="F164" s="10" t="s">
        <v>303</v>
      </c>
      <c r="G164" s="46"/>
      <c r="H164" s="10" t="s">
        <v>530</v>
      </c>
      <c r="I164" s="10"/>
      <c r="J164" s="70" t="s">
        <v>606</v>
      </c>
      <c r="K164" s="25"/>
      <c r="L164" s="25">
        <v>50000</v>
      </c>
      <c r="M164" s="25">
        <f>IFERROR(VLOOKUP($C164,$C$5:$M$24,11,0)+SUMIF($C$25:$C164,$C164,$K$25:$K164)-SUMIF($C$25:$C164,$C164,$L$25:$L164),"")</f>
        <v>91510.67</v>
      </c>
      <c r="N164" s="10"/>
      <c r="O164" s="10"/>
      <c r="P164" s="65"/>
      <c r="Q164" s="46"/>
      <c r="R164" s="46" t="s">
        <v>485</v>
      </c>
      <c r="S164" s="54">
        <f t="shared" si="6"/>
        <v>202601</v>
      </c>
      <c r="T164" s="54">
        <f t="shared" si="7"/>
        <v>202601</v>
      </c>
      <c r="U164" s="58" t="str">
        <f t="shared" si="8"/>
        <v/>
      </c>
      <c r="V164" s="58">
        <f>IF(AND($B164&lt;&gt;"",$F164&lt;&gt;"",$F164=项目明细账!$C$2),N(V163)+1,N(V163))</f>
        <v>0</v>
      </c>
      <c r="W164" s="63" t="str">
        <f>IF($H164&lt;&gt;"","项目成本",IFERROR(INDEX(基础资料!$W$4:$W$49,MATCH($I164,基础资料!$V$4:$V$49,0)),""))</f>
        <v>项目成本</v>
      </c>
      <c r="X164" s="63" t="str">
        <f>IFERROR(INDEX(基础资料!$R$4:$R$17,MATCH($G164,基础资料!$Q$4:$Q$17,0)),"")</f>
        <v/>
      </c>
    </row>
    <row r="165" spans="1:24">
      <c r="A165" s="58">
        <f>IF($B165="","",COUNTA($B$5:$B165))</f>
        <v>161</v>
      </c>
      <c r="B165" s="53">
        <v>46041</v>
      </c>
      <c r="C165" s="46" t="s">
        <v>140</v>
      </c>
      <c r="D165" s="63" t="str">
        <f>IFERROR(INDEX(基础资料!$F$4:$F$23,MATCH($C165,基础资料!$E$4:$E$23,0)),IF($C165="","","未匹配账户"))</f>
        <v>元界极光</v>
      </c>
      <c r="E165" s="39" t="s">
        <v>488</v>
      </c>
      <c r="F165" s="10" t="s">
        <v>303</v>
      </c>
      <c r="G165" s="46"/>
      <c r="H165" s="10" t="s">
        <v>530</v>
      </c>
      <c r="I165" s="10"/>
      <c r="J165" s="70" t="s">
        <v>606</v>
      </c>
      <c r="K165" s="25"/>
      <c r="L165" s="25">
        <v>50000</v>
      </c>
      <c r="M165" s="25">
        <f>IFERROR(VLOOKUP($C165,$C$5:$M$24,11,0)+SUMIF($C$25:$C165,$C165,$K$25:$K165)-SUMIF($C$25:$C165,$C165,$L$25:$L165),"")</f>
        <v>41510.67</v>
      </c>
      <c r="N165" s="10"/>
      <c r="O165" s="10"/>
      <c r="P165" s="65"/>
      <c r="Q165" s="46"/>
      <c r="R165" s="46" t="s">
        <v>485</v>
      </c>
      <c r="S165" s="54">
        <f t="shared" si="6"/>
        <v>202601</v>
      </c>
      <c r="T165" s="54">
        <f t="shared" si="7"/>
        <v>202601</v>
      </c>
      <c r="U165" s="58" t="str">
        <f t="shared" si="8"/>
        <v/>
      </c>
      <c r="V165" s="58">
        <f>IF(AND($B165&lt;&gt;"",$F165&lt;&gt;"",$F165=项目明细账!$C$2),N(V164)+1,N(V164))</f>
        <v>0</v>
      </c>
      <c r="W165" s="63" t="str">
        <f>IF($H165&lt;&gt;"","项目成本",IFERROR(INDEX(基础资料!$W$4:$W$49,MATCH($I165,基础资料!$V$4:$V$49,0)),""))</f>
        <v>项目成本</v>
      </c>
      <c r="X165" s="63" t="str">
        <f>IFERROR(INDEX(基础资料!$R$4:$R$17,MATCH($G165,基础资料!$Q$4:$Q$17,0)),"")</f>
        <v/>
      </c>
    </row>
    <row r="166" spans="1:24">
      <c r="A166" s="58">
        <f>IF($B166="","",COUNTA($B$5:$B166))</f>
        <v>162</v>
      </c>
      <c r="B166" s="53">
        <v>46042</v>
      </c>
      <c r="C166" s="46" t="s">
        <v>140</v>
      </c>
      <c r="D166" s="63" t="str">
        <f>IFERROR(INDEX(基础资料!$F$4:$F$23,MATCH($C166,基础资料!$E$4:$E$23,0)),IF($C166="","","未匹配账户"))</f>
        <v>元界极光</v>
      </c>
      <c r="E166" s="39" t="s">
        <v>488</v>
      </c>
      <c r="F166" s="10" t="s">
        <v>303</v>
      </c>
      <c r="G166" s="10"/>
      <c r="H166" s="10" t="s">
        <v>530</v>
      </c>
      <c r="I166" s="46"/>
      <c r="J166" s="70" t="s">
        <v>606</v>
      </c>
      <c r="K166" s="25"/>
      <c r="L166" s="25">
        <v>36500</v>
      </c>
      <c r="M166" s="25">
        <f>IFERROR(VLOOKUP($C166,$C$5:$M$24,11,0)+SUMIF($C$25:$C166,$C166,$K$25:$K166)-SUMIF($C$25:$C166,$C166,$L$25:$L166),"")</f>
        <v>5010.67000000001</v>
      </c>
      <c r="N166" s="10"/>
      <c r="O166" s="10"/>
      <c r="P166" s="65"/>
      <c r="Q166" s="46"/>
      <c r="R166" s="46" t="s">
        <v>485</v>
      </c>
      <c r="S166" s="54">
        <f t="shared" si="6"/>
        <v>202601</v>
      </c>
      <c r="T166" s="54">
        <f t="shared" si="7"/>
        <v>202601</v>
      </c>
      <c r="U166" s="58" t="str">
        <f t="shared" si="8"/>
        <v/>
      </c>
      <c r="V166" s="58">
        <f>IF(AND($B166&lt;&gt;"",$F166&lt;&gt;"",$F166=项目明细账!$C$2),N(V165)+1,N(V165))</f>
        <v>0</v>
      </c>
      <c r="W166" s="63" t="str">
        <f>IF($H166&lt;&gt;"","项目成本",IFERROR(INDEX(基础资料!$W$4:$W$49,MATCH($I166,基础资料!$V$4:$V$49,0)),""))</f>
        <v>项目成本</v>
      </c>
      <c r="X166" s="63" t="str">
        <f>IFERROR(INDEX(基础资料!$R$4:$R$17,MATCH($G166,基础资料!$Q$4:$Q$17,0)),"")</f>
        <v/>
      </c>
    </row>
    <row r="167" spans="1:24">
      <c r="A167" s="58">
        <f>IF($B167="","",COUNTA($B$5:$B167))</f>
        <v>163</v>
      </c>
      <c r="B167" s="53">
        <v>46044</v>
      </c>
      <c r="C167" s="46" t="s">
        <v>140</v>
      </c>
      <c r="D167" s="63" t="str">
        <f>IFERROR(INDEX(基础资料!$F$4:$F$23,MATCH($C167,基础资料!$E$4:$E$23,0)),IF($C167="","","未匹配账户"))</f>
        <v>元界极光</v>
      </c>
      <c r="E167" s="39" t="s">
        <v>488</v>
      </c>
      <c r="F167" s="10" t="s">
        <v>83</v>
      </c>
      <c r="G167" s="10"/>
      <c r="H167" s="46" t="s">
        <v>548</v>
      </c>
      <c r="I167" s="10"/>
      <c r="J167" s="70" t="s">
        <v>608</v>
      </c>
      <c r="K167" s="25"/>
      <c r="L167" s="25">
        <v>6400</v>
      </c>
      <c r="M167" s="25">
        <f>IFERROR(VLOOKUP($C167,$C$5:$M$24,11,0)+SUMIF($C$25:$C167,$C167,$K$25:$K167)-SUMIF($C$25:$C167,$C167,$L$25:$L167),"")</f>
        <v>-1389.32999999999</v>
      </c>
      <c r="N167" s="10"/>
      <c r="O167" s="46" t="s">
        <v>514</v>
      </c>
      <c r="P167" s="65"/>
      <c r="Q167" s="46"/>
      <c r="R167" s="46" t="s">
        <v>485</v>
      </c>
      <c r="S167" s="54">
        <f t="shared" si="6"/>
        <v>202601</v>
      </c>
      <c r="T167" s="54">
        <f t="shared" si="7"/>
        <v>202601</v>
      </c>
      <c r="U167" s="58" t="str">
        <f t="shared" si="8"/>
        <v/>
      </c>
      <c r="V167" s="58">
        <f>IF(AND($B167&lt;&gt;"",$F167&lt;&gt;"",$F167=项目明细账!$C$2),N(V166)+1,N(V166))</f>
        <v>0</v>
      </c>
      <c r="W167" s="63" t="str">
        <f>IF($H167&lt;&gt;"","项目成本",IFERROR(INDEX(基础资料!$W$4:$W$49,MATCH($I167,基础资料!$V$4:$V$49,0)),""))</f>
        <v>项目成本</v>
      </c>
      <c r="X167" s="63" t="str">
        <f>IFERROR(INDEX(基础资料!$R$4:$R$17,MATCH($G167,基础资料!$Q$4:$Q$17,0)),"")</f>
        <v/>
      </c>
    </row>
    <row r="168" spans="1:24">
      <c r="A168" s="58">
        <f>IF($B168="","",COUNTA($B$5:$B168))</f>
        <v>164</v>
      </c>
      <c r="B168" s="73">
        <v>46043</v>
      </c>
      <c r="C168" s="46" t="s">
        <v>150</v>
      </c>
      <c r="D168" s="63" t="str">
        <f>IFERROR(INDEX(基础资料!$F$4:$F$23,MATCH($C168,基础资料!$E$4:$E$23,0)),IF($C168="","","未匹配账户"))</f>
        <v>瑞盛天</v>
      </c>
      <c r="E168" s="39"/>
      <c r="F168" s="10" t="s">
        <v>338</v>
      </c>
      <c r="G168" s="10"/>
      <c r="H168" s="10"/>
      <c r="I168" s="10"/>
      <c r="J168" s="74" t="s">
        <v>609</v>
      </c>
      <c r="K168" s="25"/>
      <c r="L168" s="25">
        <v>110000</v>
      </c>
      <c r="M168" s="25">
        <f>IFERROR(VLOOKUP($C168,$C$5:$M$24,11,0)+SUMIF($C$25:$C168,$C168,$K$25:$K168)-SUMIF($C$25:$C168,$C168,$L$25:$L168),"")</f>
        <v>1422384.19</v>
      </c>
      <c r="N168" s="10"/>
      <c r="O168" s="10"/>
      <c r="P168" s="65"/>
      <c r="Q168" s="46"/>
      <c r="R168" s="46" t="s">
        <v>485</v>
      </c>
      <c r="S168" s="54">
        <f t="shared" si="6"/>
        <v>202601</v>
      </c>
      <c r="T168" s="54">
        <f t="shared" si="7"/>
        <v>202601</v>
      </c>
      <c r="U168" s="58" t="str">
        <f t="shared" si="8"/>
        <v/>
      </c>
      <c r="V168" s="58">
        <f>IF(AND($B168&lt;&gt;"",$F168&lt;&gt;"",$F168=项目明细账!$C$2),N(V167)+1,N(V167))</f>
        <v>0</v>
      </c>
      <c r="W168" s="63" t="str">
        <f>IF($H168&lt;&gt;"","项目成本",IFERROR(INDEX(基础资料!$W$4:$W$49,MATCH($I168,基础资料!$V$4:$V$49,0)),""))</f>
        <v/>
      </c>
      <c r="X168" s="63" t="str">
        <f>IFERROR(INDEX(基础资料!$R$4:$R$17,MATCH($G168,基础资料!$Q$4:$Q$17,0)),"")</f>
        <v/>
      </c>
    </row>
    <row r="169" spans="1:24">
      <c r="A169" s="58">
        <f>IF($B169="","",COUNTA($B$5:$B169))</f>
        <v>165</v>
      </c>
      <c r="B169" s="73">
        <v>46043</v>
      </c>
      <c r="C169" s="46" t="s">
        <v>150</v>
      </c>
      <c r="D169" s="63" t="str">
        <f>IFERROR(INDEX(基础资料!$F$4:$F$23,MATCH($C169,基础资料!$E$4:$E$23,0)),IF($C169="","","未匹配账户"))</f>
        <v>瑞盛天</v>
      </c>
      <c r="E169" s="39"/>
      <c r="F169" s="10"/>
      <c r="G169" s="10"/>
      <c r="H169" s="10"/>
      <c r="I169" s="10" t="s">
        <v>282</v>
      </c>
      <c r="J169" s="69" t="s">
        <v>489</v>
      </c>
      <c r="K169" s="25"/>
      <c r="L169" s="25">
        <v>15</v>
      </c>
      <c r="M169" s="25">
        <f>IFERROR(VLOOKUP($C169,$C$5:$M$24,11,0)+SUMIF($C$25:$C169,$C169,$K$25:$K169)-SUMIF($C$25:$C169,$C169,$L$25:$L169),"")</f>
        <v>1422369.19</v>
      </c>
      <c r="N169" s="10"/>
      <c r="O169" s="10"/>
      <c r="P169" s="65"/>
      <c r="Q169" s="46"/>
      <c r="R169" s="46" t="s">
        <v>485</v>
      </c>
      <c r="S169" s="54">
        <f t="shared" si="6"/>
        <v>202601</v>
      </c>
      <c r="T169" s="54">
        <f t="shared" si="7"/>
        <v>202601</v>
      </c>
      <c r="U169" s="58" t="str">
        <f t="shared" si="8"/>
        <v/>
      </c>
      <c r="V169" s="58">
        <f>IF(AND($B169&lt;&gt;"",$F169&lt;&gt;"",$F169=项目明细账!$C$2),N(V168)+1,N(V168))</f>
        <v>0</v>
      </c>
      <c r="W169" s="63" t="str">
        <f>IF($H169&lt;&gt;"","项目成本",IFERROR(INDEX(基础资料!$W$4:$W$49,MATCH($I169,基础资料!$V$4:$V$49,0)),""))</f>
        <v>财务费用</v>
      </c>
      <c r="X169" s="63" t="str">
        <f>IFERROR(INDEX(基础资料!$R$4:$R$17,MATCH($G169,基础资料!$Q$4:$Q$17,0)),"")</f>
        <v/>
      </c>
    </row>
    <row r="170" spans="1:24">
      <c r="A170" s="58">
        <f>IF($B170="","",COUNTA($B$5:$B170))</f>
        <v>166</v>
      </c>
      <c r="B170" s="73">
        <v>46043</v>
      </c>
      <c r="C170" s="46" t="s">
        <v>150</v>
      </c>
      <c r="D170" s="63" t="str">
        <f>IFERROR(INDEX(基础资料!$F$4:$F$23,MATCH($C170,基础资料!$E$4:$E$23,0)),IF($C170="","","未匹配账户"))</f>
        <v>瑞盛天</v>
      </c>
      <c r="E170" s="39"/>
      <c r="F170" s="10" t="s">
        <v>338</v>
      </c>
      <c r="G170" s="10"/>
      <c r="H170" s="10"/>
      <c r="I170" s="10"/>
      <c r="J170" s="69" t="s">
        <v>610</v>
      </c>
      <c r="K170" s="25"/>
      <c r="L170" s="25">
        <v>90000</v>
      </c>
      <c r="M170" s="25">
        <f>IFERROR(VLOOKUP($C170,$C$5:$M$24,11,0)+SUMIF($C$25:$C170,$C170,$K$25:$K170)-SUMIF($C$25:$C170,$C170,$L$25:$L170),"")</f>
        <v>1332369.19</v>
      </c>
      <c r="N170" s="10"/>
      <c r="O170" s="10"/>
      <c r="P170" s="65"/>
      <c r="Q170" s="46"/>
      <c r="R170" s="46" t="s">
        <v>485</v>
      </c>
      <c r="S170" s="54">
        <f t="shared" si="6"/>
        <v>202601</v>
      </c>
      <c r="T170" s="54">
        <f t="shared" si="7"/>
        <v>202601</v>
      </c>
      <c r="U170" s="58" t="str">
        <f t="shared" si="8"/>
        <v/>
      </c>
      <c r="V170" s="58">
        <f>IF(AND($B170&lt;&gt;"",$F170&lt;&gt;"",$F170=项目明细账!$C$2),N(V169)+1,N(V169))</f>
        <v>0</v>
      </c>
      <c r="W170" s="63" t="str">
        <f>IF($H170&lt;&gt;"","项目成本",IFERROR(INDEX(基础资料!$W$4:$W$49,MATCH($I170,基础资料!$V$4:$V$49,0)),""))</f>
        <v/>
      </c>
      <c r="X170" s="63" t="str">
        <f>IFERROR(INDEX(基础资料!$R$4:$R$17,MATCH($G170,基础资料!$Q$4:$Q$17,0)),"")</f>
        <v/>
      </c>
    </row>
    <row r="171" spans="1:24">
      <c r="A171" s="58">
        <f>IF($B171="","",COUNTA($B$5:$B171))</f>
        <v>167</v>
      </c>
      <c r="B171" s="73">
        <v>46043</v>
      </c>
      <c r="C171" s="46" t="s">
        <v>150</v>
      </c>
      <c r="D171" s="63" t="str">
        <f>IFERROR(INDEX(基础资料!$F$4:$F$23,MATCH($C171,基础资料!$E$4:$E$23,0)),IF($C171="","","未匹配账户"))</f>
        <v>瑞盛天</v>
      </c>
      <c r="E171" s="39"/>
      <c r="F171" s="10"/>
      <c r="G171" s="10"/>
      <c r="H171" s="10"/>
      <c r="I171" s="10" t="s">
        <v>282</v>
      </c>
      <c r="J171" s="69" t="s">
        <v>489</v>
      </c>
      <c r="K171" s="25"/>
      <c r="L171" s="25">
        <v>9</v>
      </c>
      <c r="M171" s="25">
        <f>IFERROR(VLOOKUP($C171,$C$5:$M$24,11,0)+SUMIF($C$25:$C171,$C171,$K$25:$K171)-SUMIF($C$25:$C171,$C171,$L$25:$L171),"")</f>
        <v>1332360.19</v>
      </c>
      <c r="N171" s="10"/>
      <c r="O171" s="10"/>
      <c r="P171" s="65"/>
      <c r="Q171" s="46"/>
      <c r="R171" s="46" t="s">
        <v>485</v>
      </c>
      <c r="S171" s="54">
        <f t="shared" si="6"/>
        <v>202601</v>
      </c>
      <c r="T171" s="54">
        <f t="shared" si="7"/>
        <v>202601</v>
      </c>
      <c r="U171" s="58" t="str">
        <f t="shared" si="8"/>
        <v/>
      </c>
      <c r="V171" s="58">
        <f>IF(AND($B171&lt;&gt;"",$F171&lt;&gt;"",$F171=项目明细账!$C$2),N(V170)+1,N(V170))</f>
        <v>0</v>
      </c>
      <c r="W171" s="63" t="str">
        <f>IF($H171&lt;&gt;"","项目成本",IFERROR(INDEX(基础资料!$W$4:$W$49,MATCH($I171,基础资料!$V$4:$V$49,0)),""))</f>
        <v>财务费用</v>
      </c>
      <c r="X171" s="63" t="str">
        <f>IFERROR(INDEX(基础资料!$R$4:$R$17,MATCH($G171,基础资料!$Q$4:$Q$17,0)),"")</f>
        <v/>
      </c>
    </row>
    <row r="172" spans="1:24">
      <c r="A172" s="58">
        <f>IF($B172="","",COUNTA($B$5:$B172))</f>
        <v>168</v>
      </c>
      <c r="B172" s="53">
        <v>46042</v>
      </c>
      <c r="C172" s="46" t="s">
        <v>150</v>
      </c>
      <c r="D172" s="63" t="str">
        <f>IFERROR(INDEX(基础资料!$F$4:$F$23,MATCH($C172,基础资料!$E$4:$E$23,0)),IF($C172="","","未匹配账户"))</f>
        <v>瑞盛天</v>
      </c>
      <c r="E172" s="39" t="s">
        <v>488</v>
      </c>
      <c r="F172" s="10"/>
      <c r="G172" s="10"/>
      <c r="H172" s="10"/>
      <c r="I172" s="46" t="s">
        <v>273</v>
      </c>
      <c r="J172" s="69" t="s">
        <v>520</v>
      </c>
      <c r="K172" s="25"/>
      <c r="L172" s="25">
        <v>8455.03</v>
      </c>
      <c r="M172" s="25">
        <f>IFERROR(VLOOKUP($C172,$C$5:$M$24,11,0)+SUMIF($C$25:$C172,$C172,$K$25:$K172)-SUMIF($C$25:$C172,$C172,$L$25:$L172),"")</f>
        <v>1323905.16</v>
      </c>
      <c r="N172" s="10"/>
      <c r="O172" s="10"/>
      <c r="P172" s="65"/>
      <c r="Q172" s="46"/>
      <c r="R172" s="46" t="s">
        <v>485</v>
      </c>
      <c r="S172" s="54">
        <f t="shared" si="6"/>
        <v>202601</v>
      </c>
      <c r="T172" s="54">
        <f t="shared" si="7"/>
        <v>202601</v>
      </c>
      <c r="U172" s="58" t="str">
        <f t="shared" si="8"/>
        <v/>
      </c>
      <c r="V172" s="58">
        <f>IF(AND($B172&lt;&gt;"",$F172&lt;&gt;"",$F172=项目明细账!$C$2),N(V171)+1,N(V171))</f>
        <v>0</v>
      </c>
      <c r="W172" s="63" t="str">
        <f>IF($H172&lt;&gt;"","项目成本",IFERROR(INDEX(基础资料!$W$4:$W$49,MATCH($I172,基础资料!$V$4:$V$49,0)),""))</f>
        <v>税费</v>
      </c>
      <c r="X172" s="63" t="str">
        <f>IFERROR(INDEX(基础资料!$R$4:$R$17,MATCH($G172,基础资料!$Q$4:$Q$17,0)),"")</f>
        <v/>
      </c>
    </row>
    <row r="173" spans="1:24">
      <c r="A173" s="58">
        <f>IF($B173="","",COUNTA($B$5:$B173))</f>
        <v>169</v>
      </c>
      <c r="B173" s="53">
        <v>46042</v>
      </c>
      <c r="C173" s="46" t="s">
        <v>150</v>
      </c>
      <c r="D173" s="63" t="str">
        <f>IFERROR(INDEX(基础资料!$F$4:$F$23,MATCH($C173,基础资料!$E$4:$E$23,0)),IF($C173="","","未匹配账户"))</f>
        <v>瑞盛天</v>
      </c>
      <c r="E173" s="39" t="s">
        <v>488</v>
      </c>
      <c r="F173" s="10"/>
      <c r="G173" s="10"/>
      <c r="H173" s="10"/>
      <c r="I173" s="46" t="s">
        <v>270</v>
      </c>
      <c r="J173" s="69" t="s">
        <v>524</v>
      </c>
      <c r="K173" s="25"/>
      <c r="L173" s="25">
        <v>52.33</v>
      </c>
      <c r="M173" s="25">
        <f>IFERROR(VLOOKUP($C173,$C$5:$M$24,11,0)+SUMIF($C$25:$C173,$C173,$K$25:$K173)-SUMIF($C$25:$C173,$C173,$L$25:$L173),"")</f>
        <v>1323852.83</v>
      </c>
      <c r="N173" s="10"/>
      <c r="O173" s="10"/>
      <c r="P173" s="65"/>
      <c r="Q173" s="46"/>
      <c r="R173" s="46" t="s">
        <v>485</v>
      </c>
      <c r="S173" s="54">
        <f t="shared" si="6"/>
        <v>202601</v>
      </c>
      <c r="T173" s="54">
        <f t="shared" si="7"/>
        <v>202601</v>
      </c>
      <c r="U173" s="58" t="str">
        <f t="shared" si="8"/>
        <v/>
      </c>
      <c r="V173" s="58">
        <f>IF(AND($B173&lt;&gt;"",$F173&lt;&gt;"",$F173=项目明细账!$C$2),N(V172)+1,N(V172))</f>
        <v>0</v>
      </c>
      <c r="W173" s="63" t="str">
        <f>IF($H173&lt;&gt;"","项目成本",IFERROR(INDEX(基础资料!$W$4:$W$49,MATCH($I173,基础资料!$V$4:$V$49,0)),""))</f>
        <v>税费</v>
      </c>
      <c r="X173" s="63" t="str">
        <f>IFERROR(INDEX(基础资料!$R$4:$R$17,MATCH($G173,基础资料!$Q$4:$Q$17,0)),"")</f>
        <v/>
      </c>
    </row>
    <row r="174" spans="1:24">
      <c r="A174" s="58">
        <f>IF($B174="","",COUNTA($B$5:$B174))</f>
        <v>170</v>
      </c>
      <c r="B174" s="53">
        <v>46042</v>
      </c>
      <c r="C174" s="46" t="s">
        <v>150</v>
      </c>
      <c r="D174" s="63" t="str">
        <f>IFERROR(INDEX(基础资料!$F$4:$F$23,MATCH($C174,基础资料!$E$4:$E$23,0)),IF($C174="","","未匹配账户"))</f>
        <v>瑞盛天</v>
      </c>
      <c r="E174" s="39" t="s">
        <v>488</v>
      </c>
      <c r="F174" s="10"/>
      <c r="G174" s="10"/>
      <c r="H174" s="10"/>
      <c r="I174" s="46" t="s">
        <v>270</v>
      </c>
      <c r="J174" s="69" t="s">
        <v>524</v>
      </c>
      <c r="K174" s="25"/>
      <c r="L174" s="25">
        <v>755.29</v>
      </c>
      <c r="M174" s="25">
        <f>IFERROR(VLOOKUP($C174,$C$5:$M$24,11,0)+SUMIF($C$25:$C174,$C174,$K$25:$K174)-SUMIF($C$25:$C174,$C174,$L$25:$L174),"")</f>
        <v>1323097.54</v>
      </c>
      <c r="N174" s="10"/>
      <c r="O174" s="10"/>
      <c r="P174" s="65"/>
      <c r="Q174" s="46"/>
      <c r="R174" s="46" t="s">
        <v>485</v>
      </c>
      <c r="S174" s="54">
        <f t="shared" si="6"/>
        <v>202601</v>
      </c>
      <c r="T174" s="54">
        <f t="shared" si="7"/>
        <v>202601</v>
      </c>
      <c r="U174" s="58" t="str">
        <f t="shared" si="8"/>
        <v/>
      </c>
      <c r="V174" s="58">
        <f>IF(AND($B174&lt;&gt;"",$F174&lt;&gt;"",$F174=项目明细账!$C$2),N(V173)+1,N(V173))</f>
        <v>0</v>
      </c>
      <c r="W174" s="63" t="str">
        <f>IF($H174&lt;&gt;"","项目成本",IFERROR(INDEX(基础资料!$W$4:$W$49,MATCH($I174,基础资料!$V$4:$V$49,0)),""))</f>
        <v>税费</v>
      </c>
      <c r="X174" s="63" t="str">
        <f>IFERROR(INDEX(基础资料!$R$4:$R$17,MATCH($G174,基础资料!$Q$4:$Q$17,0)),"")</f>
        <v/>
      </c>
    </row>
    <row r="175" spans="1:24">
      <c r="A175" s="58">
        <f>IF($B175="","",COUNTA($B$5:$B175))</f>
        <v>171</v>
      </c>
      <c r="B175" s="53">
        <v>46044</v>
      </c>
      <c r="C175" s="46" t="s">
        <v>150</v>
      </c>
      <c r="D175" s="63" t="str">
        <f>IFERROR(INDEX(基础资料!$F$4:$F$23,MATCH($C175,基础资料!$E$4:$E$23,0)),IF($C175="","","未匹配账户"))</f>
        <v>瑞盛天</v>
      </c>
      <c r="E175" s="39" t="s">
        <v>488</v>
      </c>
      <c r="F175" s="10"/>
      <c r="G175" s="10"/>
      <c r="H175" s="10"/>
      <c r="I175" s="46" t="s">
        <v>246</v>
      </c>
      <c r="J175" s="69" t="s">
        <v>526</v>
      </c>
      <c r="K175" s="25"/>
      <c r="L175" s="25">
        <v>2590.28</v>
      </c>
      <c r="M175" s="25">
        <f>IFERROR(VLOOKUP($C175,$C$5:$M$24,11,0)+SUMIF($C$25:$C175,$C175,$K$25:$K175)-SUMIF($C$25:$C175,$C175,$L$25:$L175),"")</f>
        <v>1320507.26</v>
      </c>
      <c r="N175" s="10"/>
      <c r="O175" s="10"/>
      <c r="P175" s="65"/>
      <c r="Q175" s="46"/>
      <c r="R175" s="46" t="s">
        <v>485</v>
      </c>
      <c r="S175" s="54">
        <f t="shared" si="6"/>
        <v>202601</v>
      </c>
      <c r="T175" s="54">
        <f t="shared" si="7"/>
        <v>202601</v>
      </c>
      <c r="U175" s="58" t="str">
        <f t="shared" si="8"/>
        <v/>
      </c>
      <c r="V175" s="58">
        <f>IF(AND($B175&lt;&gt;"",$F175&lt;&gt;"",$F175=项目明细账!$C$2),N(V174)+1,N(V174))</f>
        <v>0</v>
      </c>
      <c r="W175" s="63" t="str">
        <f>IF($H175&lt;&gt;"","项目成本",IFERROR(INDEX(基础资料!$W$4:$W$49,MATCH($I175,基础资料!$V$4:$V$49,0)),""))</f>
        <v>人工社保</v>
      </c>
      <c r="X175" s="63" t="str">
        <f>IFERROR(INDEX(基础资料!$R$4:$R$17,MATCH($G175,基础资料!$Q$4:$Q$17,0)),"")</f>
        <v/>
      </c>
    </row>
    <row r="176" spans="1:24">
      <c r="A176" s="58">
        <f>IF($B176="","",COUNTA($B$5:$B176))</f>
        <v>172</v>
      </c>
      <c r="B176" s="53">
        <v>46044</v>
      </c>
      <c r="C176" s="46" t="s">
        <v>150</v>
      </c>
      <c r="D176" s="63" t="str">
        <f>IFERROR(INDEX(基础资料!$F$4:$F$23,MATCH($C176,基础资料!$E$4:$E$23,0)),IF($C176="","","未匹配账户"))</f>
        <v>瑞盛天</v>
      </c>
      <c r="E176" s="39" t="s">
        <v>488</v>
      </c>
      <c r="F176" s="10"/>
      <c r="G176" s="10"/>
      <c r="H176" s="10"/>
      <c r="I176" s="46" t="s">
        <v>248</v>
      </c>
      <c r="J176" s="69" t="s">
        <v>527</v>
      </c>
      <c r="K176" s="25"/>
      <c r="L176" s="25">
        <v>1196.3</v>
      </c>
      <c r="M176" s="25">
        <f>IFERROR(VLOOKUP($C176,$C$5:$M$24,11,0)+SUMIF($C$25:$C176,$C176,$K$25:$K176)-SUMIF($C$25:$C176,$C176,$L$25:$L176),"")</f>
        <v>1319310.96</v>
      </c>
      <c r="N176" s="46" t="s">
        <v>409</v>
      </c>
      <c r="O176" s="10"/>
      <c r="P176" s="65">
        <v>202512</v>
      </c>
      <c r="Q176" s="10" t="s">
        <v>411</v>
      </c>
      <c r="R176" s="46" t="s">
        <v>611</v>
      </c>
      <c r="S176" s="54">
        <f t="shared" si="6"/>
        <v>202601</v>
      </c>
      <c r="T176" s="54">
        <f t="shared" si="7"/>
        <v>202512</v>
      </c>
      <c r="U176" s="58" t="str">
        <f t="shared" si="8"/>
        <v>跨期</v>
      </c>
      <c r="V176" s="58">
        <f>IF(AND($B176&lt;&gt;"",$F176&lt;&gt;"",$F176=项目明细账!$C$2),N(V175)+1,N(V175))</f>
        <v>0</v>
      </c>
      <c r="W176" s="63" t="str">
        <f>IF($H176&lt;&gt;"","项目成本",IFERROR(INDEX(基础资料!$W$4:$W$49,MATCH($I176,基础资料!$V$4:$V$49,0)),""))</f>
        <v>人工社保</v>
      </c>
      <c r="X176" s="63" t="str">
        <f>IFERROR(INDEX(基础资料!$R$4:$R$17,MATCH($G176,基础资料!$Q$4:$Q$17,0)),"")</f>
        <v/>
      </c>
    </row>
    <row r="177" spans="1:24">
      <c r="A177" s="58">
        <f>IF($B177="","",COUNTA($B$5:$B177))</f>
        <v>173</v>
      </c>
      <c r="B177" s="73">
        <v>46044</v>
      </c>
      <c r="C177" s="46" t="s">
        <v>150</v>
      </c>
      <c r="D177" s="63" t="str">
        <f>IFERROR(INDEX(基础资料!$F$4:$F$23,MATCH($C177,基础资料!$E$4:$E$23,0)),IF($C177="","","未匹配账户"))</f>
        <v>瑞盛天</v>
      </c>
      <c r="E177" s="39"/>
      <c r="F177" s="10" t="s">
        <v>338</v>
      </c>
      <c r="G177" s="10"/>
      <c r="H177" s="10"/>
      <c r="I177" s="10"/>
      <c r="J177" s="67" t="s">
        <v>612</v>
      </c>
      <c r="K177" s="25">
        <v>1922773.11</v>
      </c>
      <c r="L177" s="25"/>
      <c r="M177" s="25">
        <f>IFERROR(VLOOKUP($C177,$C$5:$M$24,11,0)+SUMIF($C$25:$C177,$C177,$K$25:$K177)-SUMIF($C$25:$C177,$C177,$L$25:$L177),"")</f>
        <v>3242084.07</v>
      </c>
      <c r="N177" s="10"/>
      <c r="O177" s="46" t="s">
        <v>514</v>
      </c>
      <c r="P177" s="65">
        <v>202512</v>
      </c>
      <c r="Q177" s="10" t="s">
        <v>613</v>
      </c>
      <c r="R177" s="46" t="s">
        <v>611</v>
      </c>
      <c r="S177" s="54">
        <f t="shared" si="6"/>
        <v>202601</v>
      </c>
      <c r="T177" s="54">
        <f t="shared" si="7"/>
        <v>202512</v>
      </c>
      <c r="U177" s="58" t="str">
        <f t="shared" si="8"/>
        <v>跨期</v>
      </c>
      <c r="V177" s="58">
        <f>IF(AND($B177&lt;&gt;"",$F177&lt;&gt;"",$F177=项目明细账!$C$2),N(V176)+1,N(V176))</f>
        <v>0</v>
      </c>
      <c r="W177" s="63" t="str">
        <f>IF($H177&lt;&gt;"","项目成本",IFERROR(INDEX(基础资料!$W$4:$W$49,MATCH($I177,基础资料!$V$4:$V$49,0)),""))</f>
        <v/>
      </c>
      <c r="X177" s="63" t="str">
        <f>IFERROR(INDEX(基础资料!$R$4:$R$17,MATCH($G177,基础资料!$Q$4:$Q$17,0)),"")</f>
        <v/>
      </c>
    </row>
    <row r="178" spans="1:24">
      <c r="A178" s="58">
        <f>IF($B178="","",COUNTA($B$5:$B178))</f>
        <v>174</v>
      </c>
      <c r="B178" s="73">
        <v>46045</v>
      </c>
      <c r="C178" s="46" t="s">
        <v>150</v>
      </c>
      <c r="D178" s="63" t="str">
        <f>IFERROR(INDEX(基础资料!$F$4:$F$23,MATCH($C178,基础资料!$E$4:$E$23,0)),IF($C178="","","未匹配账户"))</f>
        <v>瑞盛天</v>
      </c>
      <c r="E178" s="39"/>
      <c r="F178" s="10" t="s">
        <v>338</v>
      </c>
      <c r="G178" s="10"/>
      <c r="H178" s="10"/>
      <c r="I178" s="10"/>
      <c r="J178" s="74" t="s">
        <v>614</v>
      </c>
      <c r="K178" s="25"/>
      <c r="L178" s="25">
        <v>77000</v>
      </c>
      <c r="M178" s="25">
        <f>IFERROR(VLOOKUP($C178,$C$5:$M$24,11,0)+SUMIF($C$25:$C178,$C178,$K$25:$K178)-SUMIF($C$25:$C178,$C178,$L$25:$L178),"")</f>
        <v>3165084.07</v>
      </c>
      <c r="N178" s="46" t="s">
        <v>599</v>
      </c>
      <c r="O178" s="10"/>
      <c r="P178" s="65"/>
      <c r="Q178" s="10" t="s">
        <v>413</v>
      </c>
      <c r="R178" s="46" t="s">
        <v>615</v>
      </c>
      <c r="S178" s="54">
        <f t="shared" si="6"/>
        <v>202601</v>
      </c>
      <c r="T178" s="54">
        <f t="shared" si="7"/>
        <v>202601</v>
      </c>
      <c r="U178" s="58" t="str">
        <f t="shared" si="8"/>
        <v/>
      </c>
      <c r="V178" s="58">
        <f>IF(AND($B178&lt;&gt;"",$F178&lt;&gt;"",$F178=项目明细账!$C$2),N(V177)+1,N(V177))</f>
        <v>0</v>
      </c>
      <c r="W178" s="63" t="str">
        <f>IF($H178&lt;&gt;"","项目成本",IFERROR(INDEX(基础资料!$W$4:$W$49,MATCH($I178,基础资料!$V$4:$V$49,0)),""))</f>
        <v/>
      </c>
      <c r="X178" s="63" t="str">
        <f>IFERROR(INDEX(基础资料!$R$4:$R$17,MATCH($G178,基础资料!$Q$4:$Q$17,0)),"")</f>
        <v/>
      </c>
    </row>
    <row r="179" spans="1:24">
      <c r="A179" s="58">
        <f>IF($B179="","",COUNTA($B$5:$B179))</f>
        <v>175</v>
      </c>
      <c r="B179" s="73">
        <v>46045</v>
      </c>
      <c r="C179" s="46" t="s">
        <v>150</v>
      </c>
      <c r="D179" s="63" t="str">
        <f>IFERROR(INDEX(基础资料!$F$4:$F$23,MATCH($C179,基础资料!$E$4:$E$23,0)),IF($C179="","","未匹配账户"))</f>
        <v>瑞盛天</v>
      </c>
      <c r="E179" s="39"/>
      <c r="F179" s="10"/>
      <c r="G179" s="10"/>
      <c r="H179" s="10"/>
      <c r="I179" s="10" t="s">
        <v>282</v>
      </c>
      <c r="J179" s="69" t="s">
        <v>489</v>
      </c>
      <c r="K179" s="25"/>
      <c r="L179" s="25">
        <v>9</v>
      </c>
      <c r="M179" s="25">
        <f>IFERROR(VLOOKUP($C179,$C$5:$M$24,11,0)+SUMIF($C$25:$C179,$C179,$K$25:$K179)-SUMIF($C$25:$C179,$C179,$L$25:$L179),"")</f>
        <v>3165075.07</v>
      </c>
      <c r="N179" s="10"/>
      <c r="O179" s="10"/>
      <c r="P179" s="65"/>
      <c r="Q179" s="10"/>
      <c r="R179" s="10"/>
      <c r="S179" s="54">
        <f t="shared" si="6"/>
        <v>202601</v>
      </c>
      <c r="T179" s="54">
        <f t="shared" si="7"/>
        <v>202601</v>
      </c>
      <c r="U179" s="58" t="str">
        <f t="shared" si="8"/>
        <v/>
      </c>
      <c r="V179" s="58">
        <f>IF(AND($B179&lt;&gt;"",$F179&lt;&gt;"",$F179=项目明细账!$C$2),N(V178)+1,N(V178))</f>
        <v>0</v>
      </c>
      <c r="W179" s="63" t="str">
        <f>IF($H179&lt;&gt;"","项目成本",IFERROR(INDEX(基础资料!$W$4:$W$49,MATCH($I179,基础资料!$V$4:$V$49,0)),""))</f>
        <v>财务费用</v>
      </c>
      <c r="X179" s="63" t="str">
        <f>IFERROR(INDEX(基础资料!$R$4:$R$17,MATCH($G179,基础资料!$Q$4:$Q$17,0)),"")</f>
        <v/>
      </c>
    </row>
    <row r="180" spans="1:24">
      <c r="A180" s="58">
        <f>IF($B180="","",COUNTA($B$5:$B180))</f>
        <v>176</v>
      </c>
      <c r="B180" s="73">
        <v>46045</v>
      </c>
      <c r="C180" s="46" t="s">
        <v>150</v>
      </c>
      <c r="D180" s="63" t="str">
        <f>IFERROR(INDEX(基础资料!$F$4:$F$23,MATCH($C180,基础资料!$E$4:$E$23,0)),IF($C180="","","未匹配账户"))</f>
        <v>瑞盛天</v>
      </c>
      <c r="E180" s="39"/>
      <c r="F180" s="10" t="s">
        <v>338</v>
      </c>
      <c r="G180" s="10"/>
      <c r="H180" s="10"/>
      <c r="I180" s="10"/>
      <c r="J180" s="74" t="s">
        <v>614</v>
      </c>
      <c r="K180" s="25"/>
      <c r="L180" s="25">
        <v>100000</v>
      </c>
      <c r="M180" s="25">
        <f>IFERROR(VLOOKUP($C180,$C$5:$M$24,11,0)+SUMIF($C$25:$C180,$C180,$K$25:$K180)-SUMIF($C$25:$C180,$C180,$L$25:$L180),"")</f>
        <v>3065075.07</v>
      </c>
      <c r="N180" s="10"/>
      <c r="O180" s="10"/>
      <c r="P180" s="65"/>
      <c r="Q180" s="10"/>
      <c r="R180" s="10"/>
      <c r="S180" s="54">
        <f t="shared" si="6"/>
        <v>202601</v>
      </c>
      <c r="T180" s="54">
        <f t="shared" si="7"/>
        <v>202601</v>
      </c>
      <c r="U180" s="58" t="str">
        <f t="shared" si="8"/>
        <v/>
      </c>
      <c r="V180" s="58">
        <f>IF(AND($B180&lt;&gt;"",$F180&lt;&gt;"",$F180=项目明细账!$C$2),N(V179)+1,N(V179))</f>
        <v>0</v>
      </c>
      <c r="W180" s="63" t="str">
        <f>IF($H180&lt;&gt;"","项目成本",IFERROR(INDEX(基础资料!$W$4:$W$49,MATCH($I180,基础资料!$V$4:$V$49,0)),""))</f>
        <v/>
      </c>
      <c r="X180" s="63" t="str">
        <f>IFERROR(INDEX(基础资料!$R$4:$R$17,MATCH($G180,基础资料!$Q$4:$Q$17,0)),"")</f>
        <v/>
      </c>
    </row>
    <row r="181" spans="1:24">
      <c r="A181" s="58">
        <f>IF($B181="","",COUNTA($B$5:$B181))</f>
        <v>177</v>
      </c>
      <c r="B181" s="73">
        <v>46045</v>
      </c>
      <c r="C181" s="46" t="s">
        <v>150</v>
      </c>
      <c r="D181" s="63" t="str">
        <f>IFERROR(INDEX(基础资料!$F$4:$F$23,MATCH($C181,基础资料!$E$4:$E$23,0)),IF($C181="","","未匹配账户"))</f>
        <v>瑞盛天</v>
      </c>
      <c r="E181" s="39"/>
      <c r="F181" s="10"/>
      <c r="G181" s="10"/>
      <c r="H181" s="10"/>
      <c r="I181" s="10" t="s">
        <v>282</v>
      </c>
      <c r="J181" s="69" t="s">
        <v>489</v>
      </c>
      <c r="K181" s="25"/>
      <c r="L181" s="25">
        <v>9</v>
      </c>
      <c r="M181" s="25">
        <f>IFERROR(VLOOKUP($C181,$C$5:$M$24,11,0)+SUMIF($C$25:$C181,$C181,$K$25:$K181)-SUMIF($C$25:$C181,$C181,$L$25:$L181),"")</f>
        <v>3065066.07</v>
      </c>
      <c r="N181" s="10"/>
      <c r="O181" s="10"/>
      <c r="P181" s="65"/>
      <c r="Q181" s="10"/>
      <c r="R181" s="10"/>
      <c r="S181" s="54">
        <f t="shared" si="6"/>
        <v>202601</v>
      </c>
      <c r="T181" s="54">
        <f t="shared" si="7"/>
        <v>202601</v>
      </c>
      <c r="U181" s="58" t="str">
        <f t="shared" si="8"/>
        <v/>
      </c>
      <c r="V181" s="58">
        <f>IF(AND($B181&lt;&gt;"",$F181&lt;&gt;"",$F181=项目明细账!$C$2),N(V180)+1,N(V180))</f>
        <v>0</v>
      </c>
      <c r="W181" s="63" t="str">
        <f>IF($H181&lt;&gt;"","项目成本",IFERROR(INDEX(基础资料!$W$4:$W$49,MATCH($I181,基础资料!$V$4:$V$49,0)),""))</f>
        <v>财务费用</v>
      </c>
      <c r="X181" s="63" t="str">
        <f>IFERROR(INDEX(基础资料!$R$4:$R$17,MATCH($G181,基础资料!$Q$4:$Q$17,0)),"")</f>
        <v/>
      </c>
    </row>
    <row r="182" spans="1:24">
      <c r="A182" s="58">
        <f>IF($B182="","",COUNTA($B$5:$B182))</f>
        <v>178</v>
      </c>
      <c r="B182" s="73">
        <v>46045</v>
      </c>
      <c r="C182" s="46" t="s">
        <v>150</v>
      </c>
      <c r="D182" s="63" t="str">
        <f>IFERROR(INDEX(基础资料!$F$4:$F$23,MATCH($C182,基础资料!$E$4:$E$23,0)),IF($C182="","","未匹配账户"))</f>
        <v>瑞盛天</v>
      </c>
      <c r="E182" s="39"/>
      <c r="F182" s="10" t="s">
        <v>338</v>
      </c>
      <c r="G182" s="10"/>
      <c r="H182" s="10"/>
      <c r="I182" s="10"/>
      <c r="J182" s="74" t="s">
        <v>616</v>
      </c>
      <c r="K182" s="25"/>
      <c r="L182" s="25">
        <v>28000</v>
      </c>
      <c r="M182" s="25">
        <f>IFERROR(VLOOKUP($C182,$C$5:$M$24,11,0)+SUMIF($C$25:$C182,$C182,$K$25:$K182)-SUMIF($C$25:$C182,$C182,$L$25:$L182),"")</f>
        <v>3037066.07</v>
      </c>
      <c r="N182" s="10"/>
      <c r="O182" s="10"/>
      <c r="P182" s="65"/>
      <c r="Q182" s="10"/>
      <c r="R182" s="10"/>
      <c r="S182" s="54">
        <f t="shared" si="6"/>
        <v>202601</v>
      </c>
      <c r="T182" s="54">
        <f t="shared" si="7"/>
        <v>202601</v>
      </c>
      <c r="U182" s="58" t="str">
        <f t="shared" si="8"/>
        <v/>
      </c>
      <c r="V182" s="58">
        <f>IF(AND($B182&lt;&gt;"",$F182&lt;&gt;"",$F182=项目明细账!$C$2),N(V181)+1,N(V181))</f>
        <v>0</v>
      </c>
      <c r="W182" s="63" t="str">
        <f>IF($H182&lt;&gt;"","项目成本",IFERROR(INDEX(基础资料!$W$4:$W$49,MATCH($I182,基础资料!$V$4:$V$49,0)),""))</f>
        <v/>
      </c>
      <c r="X182" s="63" t="str">
        <f>IFERROR(INDEX(基础资料!$R$4:$R$17,MATCH($G182,基础资料!$Q$4:$Q$17,0)),"")</f>
        <v/>
      </c>
    </row>
    <row r="183" spans="1:24">
      <c r="A183" s="58">
        <f>IF($B183="","",COUNTA($B$5:$B183))</f>
        <v>179</v>
      </c>
      <c r="B183" s="73">
        <v>46045</v>
      </c>
      <c r="C183" s="46" t="s">
        <v>150</v>
      </c>
      <c r="D183" s="63" t="str">
        <f>IFERROR(INDEX(基础资料!$F$4:$F$23,MATCH($C183,基础资料!$E$4:$E$23,0)),IF($C183="","","未匹配账户"))</f>
        <v>瑞盛天</v>
      </c>
      <c r="E183" s="39"/>
      <c r="F183" s="10"/>
      <c r="G183" s="10"/>
      <c r="H183" s="10"/>
      <c r="I183" s="10" t="s">
        <v>282</v>
      </c>
      <c r="J183" s="69" t="s">
        <v>489</v>
      </c>
      <c r="K183" s="25"/>
      <c r="L183" s="25">
        <v>9</v>
      </c>
      <c r="M183" s="25">
        <f>IFERROR(VLOOKUP($C183,$C$5:$M$24,11,0)+SUMIF($C$25:$C183,$C183,$K$25:$K183)-SUMIF($C$25:$C183,$C183,$L$25:$L183),"")</f>
        <v>3037057.07</v>
      </c>
      <c r="N183" s="10"/>
      <c r="O183" s="10"/>
      <c r="P183" s="65"/>
      <c r="Q183" s="10"/>
      <c r="R183" s="10"/>
      <c r="S183" s="54">
        <f t="shared" si="6"/>
        <v>202601</v>
      </c>
      <c r="T183" s="54">
        <f t="shared" si="7"/>
        <v>202601</v>
      </c>
      <c r="U183" s="58" t="str">
        <f t="shared" si="8"/>
        <v/>
      </c>
      <c r="V183" s="58">
        <f>IF(AND($B183&lt;&gt;"",$F183&lt;&gt;"",$F183=项目明细账!$C$2),N(V182)+1,N(V182))</f>
        <v>0</v>
      </c>
      <c r="W183" s="63" t="str">
        <f>IF($H183&lt;&gt;"","项目成本",IFERROR(INDEX(基础资料!$W$4:$W$49,MATCH($I183,基础资料!$V$4:$V$49,0)),""))</f>
        <v>财务费用</v>
      </c>
      <c r="X183" s="63" t="str">
        <f>IFERROR(INDEX(基础资料!$R$4:$R$17,MATCH($G183,基础资料!$Q$4:$Q$17,0)),"")</f>
        <v/>
      </c>
    </row>
    <row r="184" spans="1:24">
      <c r="A184" s="58">
        <f>IF($B184="","",COUNTA($B$5:$B184))</f>
        <v>180</v>
      </c>
      <c r="B184" s="73">
        <v>46048</v>
      </c>
      <c r="C184" s="46" t="s">
        <v>150</v>
      </c>
      <c r="D184" s="63" t="str">
        <f>IFERROR(INDEX(基础资料!$F$4:$F$23,MATCH($C184,基础资料!$E$4:$E$23,0)),IF($C184="","","未匹配账户"))</f>
        <v>瑞盛天</v>
      </c>
      <c r="E184" s="39"/>
      <c r="F184" s="10" t="s">
        <v>338</v>
      </c>
      <c r="G184" s="10"/>
      <c r="H184" s="10"/>
      <c r="I184" s="10"/>
      <c r="J184" s="74" t="s">
        <v>617</v>
      </c>
      <c r="K184" s="25"/>
      <c r="L184" s="25">
        <v>260000</v>
      </c>
      <c r="M184" s="25">
        <f>IFERROR(VLOOKUP($C184,$C$5:$M$24,11,0)+SUMIF($C$25:$C184,$C184,$K$25:$K184)-SUMIF($C$25:$C184,$C184,$L$25:$L184),"")</f>
        <v>2777057.07</v>
      </c>
      <c r="N184" s="10"/>
      <c r="O184" s="10"/>
      <c r="P184" s="65"/>
      <c r="Q184" s="10"/>
      <c r="R184" s="10"/>
      <c r="S184" s="54">
        <f t="shared" si="6"/>
        <v>202601</v>
      </c>
      <c r="T184" s="54">
        <f t="shared" si="7"/>
        <v>202601</v>
      </c>
      <c r="U184" s="58" t="str">
        <f t="shared" si="8"/>
        <v/>
      </c>
      <c r="V184" s="58">
        <f>IF(AND($B184&lt;&gt;"",$F184&lt;&gt;"",$F184=项目明细账!$C$2),N(V183)+1,N(V183))</f>
        <v>0</v>
      </c>
      <c r="W184" s="63" t="str">
        <f>IF($H184&lt;&gt;"","项目成本",IFERROR(INDEX(基础资料!$W$4:$W$49,MATCH($I184,基础资料!$V$4:$V$49,0)),""))</f>
        <v/>
      </c>
      <c r="X184" s="63" t="str">
        <f>IFERROR(INDEX(基础资料!$R$4:$R$17,MATCH($G184,基础资料!$Q$4:$Q$17,0)),"")</f>
        <v/>
      </c>
    </row>
    <row r="185" spans="1:24">
      <c r="A185" s="58">
        <f>IF($B185="","",COUNTA($B$5:$B185))</f>
        <v>181</v>
      </c>
      <c r="B185" s="73">
        <v>46048</v>
      </c>
      <c r="C185" s="46" t="s">
        <v>150</v>
      </c>
      <c r="D185" s="63" t="str">
        <f>IFERROR(INDEX(基础资料!$F$4:$F$23,MATCH($C185,基础资料!$E$4:$E$23,0)),IF($C185="","","未匹配账户"))</f>
        <v>瑞盛天</v>
      </c>
      <c r="E185" s="39"/>
      <c r="F185" s="10"/>
      <c r="G185" s="10"/>
      <c r="H185" s="10"/>
      <c r="I185" s="10" t="s">
        <v>282</v>
      </c>
      <c r="J185" s="69" t="s">
        <v>489</v>
      </c>
      <c r="K185" s="25"/>
      <c r="L185" s="25">
        <v>15</v>
      </c>
      <c r="M185" s="25">
        <f>IFERROR(VLOOKUP($C185,$C$5:$M$24,11,0)+SUMIF($C$25:$C185,$C185,$K$25:$K185)-SUMIF($C$25:$C185,$C185,$L$25:$L185),"")</f>
        <v>2777042.07</v>
      </c>
      <c r="N185" s="10"/>
      <c r="O185" s="10"/>
      <c r="P185" s="65"/>
      <c r="Q185" s="10"/>
      <c r="R185" s="10"/>
      <c r="S185" s="54">
        <f t="shared" si="6"/>
        <v>202601</v>
      </c>
      <c r="T185" s="54">
        <f t="shared" si="7"/>
        <v>202601</v>
      </c>
      <c r="U185" s="58" t="str">
        <f t="shared" si="8"/>
        <v/>
      </c>
      <c r="V185" s="58">
        <f>IF(AND($B185&lt;&gt;"",$F185&lt;&gt;"",$F185=项目明细账!$C$2),N(V184)+1,N(V184))</f>
        <v>0</v>
      </c>
      <c r="W185" s="63" t="str">
        <f>IF($H185&lt;&gt;"","项目成本",IFERROR(INDEX(基础资料!$W$4:$W$49,MATCH($I185,基础资料!$V$4:$V$49,0)),""))</f>
        <v>财务费用</v>
      </c>
      <c r="X185" s="63" t="str">
        <f>IFERROR(INDEX(基础资料!$R$4:$R$17,MATCH($G185,基础资料!$Q$4:$Q$17,0)),"")</f>
        <v/>
      </c>
    </row>
    <row r="186" spans="1:24">
      <c r="A186" s="58">
        <f>IF($B186="","",COUNTA($B$5:$B186))</f>
        <v>182</v>
      </c>
      <c r="B186" s="73">
        <v>46049</v>
      </c>
      <c r="C186" s="46" t="s">
        <v>150</v>
      </c>
      <c r="D186" s="63" t="str">
        <f>IFERROR(INDEX(基础资料!$F$4:$F$23,MATCH($C186,基础资料!$E$4:$E$23,0)),IF($C186="","","未匹配账户"))</f>
        <v>瑞盛天</v>
      </c>
      <c r="E186" s="39"/>
      <c r="F186" s="10" t="s">
        <v>338</v>
      </c>
      <c r="G186" s="10"/>
      <c r="H186" s="10"/>
      <c r="I186" s="10"/>
      <c r="J186" s="74" t="s">
        <v>617</v>
      </c>
      <c r="K186" s="25"/>
      <c r="L186" s="25">
        <v>263500</v>
      </c>
      <c r="M186" s="25">
        <f>IFERROR(VLOOKUP($C186,$C$5:$M$24,11,0)+SUMIF($C$25:$C186,$C186,$K$25:$K186)-SUMIF($C$25:$C186,$C186,$L$25:$L186),"")</f>
        <v>2513542.07</v>
      </c>
      <c r="N186" s="10"/>
      <c r="O186" s="10"/>
      <c r="P186" s="65"/>
      <c r="Q186" s="10"/>
      <c r="R186" s="10"/>
      <c r="S186" s="54">
        <f t="shared" si="6"/>
        <v>202601</v>
      </c>
      <c r="T186" s="54">
        <f t="shared" si="7"/>
        <v>202601</v>
      </c>
      <c r="U186" s="58" t="str">
        <f t="shared" si="8"/>
        <v/>
      </c>
      <c r="V186" s="58">
        <f>IF(AND($B186&lt;&gt;"",$F186&lt;&gt;"",$F186=项目明细账!$C$2),N(V185)+1,N(V185))</f>
        <v>0</v>
      </c>
      <c r="W186" s="63" t="str">
        <f>IF($H186&lt;&gt;"","项目成本",IFERROR(INDEX(基础资料!$W$4:$W$49,MATCH($I186,基础资料!$V$4:$V$49,0)),""))</f>
        <v/>
      </c>
      <c r="X186" s="63" t="str">
        <f>IFERROR(INDEX(基础资料!$R$4:$R$17,MATCH($G186,基础资料!$Q$4:$Q$17,0)),"")</f>
        <v/>
      </c>
    </row>
    <row r="187" spans="1:24">
      <c r="A187" s="58">
        <f>IF($B187="","",COUNTA($B$5:$B187))</f>
        <v>183</v>
      </c>
      <c r="B187" s="73">
        <v>46049</v>
      </c>
      <c r="C187" s="46" t="s">
        <v>150</v>
      </c>
      <c r="D187" s="63" t="str">
        <f>IFERROR(INDEX(基础资料!$F$4:$F$23,MATCH($C187,基础资料!$E$4:$E$23,0)),IF($C187="","","未匹配账户"))</f>
        <v>瑞盛天</v>
      </c>
      <c r="E187" s="39"/>
      <c r="F187" s="10"/>
      <c r="G187" s="10"/>
      <c r="H187" s="10"/>
      <c r="I187" s="10" t="s">
        <v>282</v>
      </c>
      <c r="J187" s="69" t="s">
        <v>489</v>
      </c>
      <c r="K187" s="25"/>
      <c r="L187" s="25">
        <v>15</v>
      </c>
      <c r="M187" s="25">
        <f>IFERROR(VLOOKUP($C187,$C$5:$M$24,11,0)+SUMIF($C$25:$C187,$C187,$K$25:$K187)-SUMIF($C$25:$C187,$C187,$L$25:$L187),"")</f>
        <v>2513527.07</v>
      </c>
      <c r="N187" s="10"/>
      <c r="O187" s="10"/>
      <c r="P187" s="65"/>
      <c r="Q187" s="10"/>
      <c r="R187" s="10"/>
      <c r="S187" s="54">
        <f t="shared" si="6"/>
        <v>202601</v>
      </c>
      <c r="T187" s="54">
        <f t="shared" si="7"/>
        <v>202601</v>
      </c>
      <c r="U187" s="58" t="str">
        <f t="shared" si="8"/>
        <v/>
      </c>
      <c r="V187" s="58">
        <f>IF(AND($B187&lt;&gt;"",$F187&lt;&gt;"",$F187=项目明细账!$C$2),N(V186)+1,N(V186))</f>
        <v>0</v>
      </c>
      <c r="W187" s="63" t="str">
        <f>IF($H187&lt;&gt;"","项目成本",IFERROR(INDEX(基础资料!$W$4:$W$49,MATCH($I187,基础资料!$V$4:$V$49,0)),""))</f>
        <v>财务费用</v>
      </c>
      <c r="X187" s="63" t="str">
        <f>IFERROR(INDEX(基础资料!$R$4:$R$17,MATCH($G187,基础资料!$Q$4:$Q$17,0)),"")</f>
        <v/>
      </c>
    </row>
    <row r="188" spans="1:24">
      <c r="A188" s="58">
        <f>IF($B188="","",COUNTA($B$5:$B188))</f>
        <v>184</v>
      </c>
      <c r="B188" s="73">
        <v>46049</v>
      </c>
      <c r="C188" s="46" t="s">
        <v>150</v>
      </c>
      <c r="D188" s="63" t="str">
        <f>IFERROR(INDEX(基础资料!$F$4:$F$23,MATCH($C188,基础资料!$E$4:$E$23,0)),IF($C188="","","未匹配账户"))</f>
        <v>瑞盛天</v>
      </c>
      <c r="E188" s="39"/>
      <c r="F188" s="10" t="s">
        <v>338</v>
      </c>
      <c r="G188" s="10"/>
      <c r="H188" s="10"/>
      <c r="I188" s="10"/>
      <c r="J188" s="74" t="s">
        <v>618</v>
      </c>
      <c r="K188" s="25"/>
      <c r="L188" s="25">
        <v>400000</v>
      </c>
      <c r="M188" s="25">
        <f>IFERROR(VLOOKUP($C188,$C$5:$M$24,11,0)+SUMIF($C$25:$C188,$C188,$K$25:$K188)-SUMIF($C$25:$C188,$C188,$L$25:$L188),"")</f>
        <v>2113527.07</v>
      </c>
      <c r="N188" s="10"/>
      <c r="O188" s="10"/>
      <c r="P188" s="65"/>
      <c r="Q188" s="10"/>
      <c r="R188" s="10"/>
      <c r="S188" s="54">
        <f t="shared" si="6"/>
        <v>202601</v>
      </c>
      <c r="T188" s="54">
        <f t="shared" si="7"/>
        <v>202601</v>
      </c>
      <c r="U188" s="58" t="str">
        <f t="shared" si="8"/>
        <v/>
      </c>
      <c r="V188" s="58">
        <f>IF(AND($B188&lt;&gt;"",$F188&lt;&gt;"",$F188=项目明细账!$C$2),N(V187)+1,N(V187))</f>
        <v>0</v>
      </c>
      <c r="W188" s="63" t="str">
        <f>IF($H188&lt;&gt;"","项目成本",IFERROR(INDEX(基础资料!$W$4:$W$49,MATCH($I188,基础资料!$V$4:$V$49,0)),""))</f>
        <v/>
      </c>
      <c r="X188" s="63" t="str">
        <f>IFERROR(INDEX(基础资料!$R$4:$R$17,MATCH($G188,基础资料!$Q$4:$Q$17,0)),"")</f>
        <v/>
      </c>
    </row>
    <row r="189" spans="1:24">
      <c r="A189" s="58">
        <f>IF($B189="","",COUNTA($B$5:$B189))</f>
        <v>185</v>
      </c>
      <c r="B189" s="73">
        <v>46049</v>
      </c>
      <c r="C189" s="46" t="s">
        <v>150</v>
      </c>
      <c r="D189" s="63" t="str">
        <f>IFERROR(INDEX(基础资料!$F$4:$F$23,MATCH($C189,基础资料!$E$4:$E$23,0)),IF($C189="","","未匹配账户"))</f>
        <v>瑞盛天</v>
      </c>
      <c r="E189" s="39"/>
      <c r="F189" s="10"/>
      <c r="G189" s="10"/>
      <c r="H189" s="10"/>
      <c r="I189" s="10"/>
      <c r="J189" s="69" t="s">
        <v>489</v>
      </c>
      <c r="K189" s="25"/>
      <c r="L189" s="25">
        <v>15</v>
      </c>
      <c r="M189" s="25">
        <f>IFERROR(VLOOKUP($C189,$C$5:$M$24,11,0)+SUMIF($C$25:$C189,$C189,$K$25:$K189)-SUMIF($C$25:$C189,$C189,$L$25:$L189),"")</f>
        <v>2113512.07</v>
      </c>
      <c r="N189" s="10"/>
      <c r="O189" s="10"/>
      <c r="P189" s="65"/>
      <c r="Q189" s="10"/>
      <c r="R189" s="10"/>
      <c r="S189" s="54">
        <f t="shared" si="6"/>
        <v>202601</v>
      </c>
      <c r="T189" s="54">
        <f t="shared" si="7"/>
        <v>202601</v>
      </c>
      <c r="U189" s="58" t="str">
        <f t="shared" si="8"/>
        <v/>
      </c>
      <c r="V189" s="58">
        <f>IF(AND($B189&lt;&gt;"",$F189&lt;&gt;"",$F189=项目明细账!$C$2),N(V188)+1,N(V188))</f>
        <v>0</v>
      </c>
      <c r="W189" s="63" t="str">
        <f>IF($H189&lt;&gt;"","项目成本",IFERROR(INDEX(基础资料!$W$4:$W$49,MATCH($I189,基础资料!$V$4:$V$49,0)),""))</f>
        <v/>
      </c>
      <c r="X189" s="63" t="str">
        <f>IFERROR(INDEX(基础资料!$R$4:$R$17,MATCH($G189,基础资料!$Q$4:$Q$17,0)),"")</f>
        <v/>
      </c>
    </row>
    <row r="190" spans="1:24">
      <c r="A190" s="58">
        <f>IF($B190="","",COUNTA($B$5:$B190))</f>
        <v>186</v>
      </c>
      <c r="B190" s="53">
        <v>46051</v>
      </c>
      <c r="C190" s="46" t="s">
        <v>150</v>
      </c>
      <c r="D190" s="63" t="str">
        <f>IFERROR(INDEX(基础资料!$F$4:$F$23,MATCH($C190,基础资料!$E$4:$E$23,0)),IF($C190="","","未匹配账户"))</f>
        <v>瑞盛天</v>
      </c>
      <c r="E190" s="39" t="s">
        <v>483</v>
      </c>
      <c r="F190" s="10" t="s">
        <v>205</v>
      </c>
      <c r="G190" s="10" t="s">
        <v>87</v>
      </c>
      <c r="H190" s="10"/>
      <c r="I190" s="46"/>
      <c r="J190" s="67" t="s">
        <v>206</v>
      </c>
      <c r="K190" s="25">
        <v>200000</v>
      </c>
      <c r="L190" s="25"/>
      <c r="M190" s="25">
        <f>IFERROR(VLOOKUP($C190,$C$5:$M$24,11,0)+SUMIF($C$25:$C190,$C190,$K$25:$K190)-SUMIF($C$25:$C190,$C190,$L$25:$L190),"")</f>
        <v>2313512.07</v>
      </c>
      <c r="N190" s="10"/>
      <c r="O190" s="10"/>
      <c r="P190" s="65"/>
      <c r="Q190" s="10"/>
      <c r="R190" s="10"/>
      <c r="S190" s="54">
        <f t="shared" si="6"/>
        <v>202601</v>
      </c>
      <c r="T190" s="54">
        <f t="shared" si="7"/>
        <v>202601</v>
      </c>
      <c r="U190" s="58" t="str">
        <f t="shared" si="8"/>
        <v/>
      </c>
      <c r="V190" s="58">
        <f>IF(AND($B190&lt;&gt;"",$F190&lt;&gt;"",$F190=项目明细账!$C$2),N(V189)+1,N(V189))</f>
        <v>0</v>
      </c>
      <c r="W190" s="63" t="str">
        <f>IF($H190&lt;&gt;"","项目成本",IFERROR(INDEX(基础资料!$W$4:$W$49,MATCH($I190,基础资料!$V$4:$V$49,0)),""))</f>
        <v/>
      </c>
      <c r="X190" s="63" t="str">
        <f>IFERROR(INDEX(基础资料!$R$4:$R$17,MATCH($G190,基础资料!$Q$4:$Q$17,0)),"")</f>
        <v>经营收入</v>
      </c>
    </row>
    <row r="191" spans="1:24">
      <c r="A191" s="58">
        <f>IF($B191="","",COUNTA($B$5:$B191))</f>
        <v>187</v>
      </c>
      <c r="B191" s="53">
        <v>46025</v>
      </c>
      <c r="C191" s="46" t="s">
        <v>158</v>
      </c>
      <c r="D191" s="63" t="str">
        <f>IFERROR(INDEX(基础资料!$F$4:$F$23,MATCH($C191,基础资料!$E$4:$E$23,0)),IF($C191="","","未匹配账户"))</f>
        <v>瑞盛天</v>
      </c>
      <c r="E191" s="39" t="s">
        <v>488</v>
      </c>
      <c r="F191" s="10"/>
      <c r="G191" s="10"/>
      <c r="H191" s="10"/>
      <c r="I191" s="46" t="s">
        <v>234</v>
      </c>
      <c r="J191" s="69" t="s">
        <v>619</v>
      </c>
      <c r="K191" s="25"/>
      <c r="L191" s="25">
        <v>718</v>
      </c>
      <c r="M191" s="25">
        <f>IFERROR(VLOOKUP($C191,$C$5:$M$24,11,0)+SUMIF($C$25:$C191,$C191,$K$25:$K191)-SUMIF($C$25:$C191,$C191,$L$25:$L191),"")</f>
        <v>200747.55</v>
      </c>
      <c r="N191" s="10"/>
      <c r="O191" s="10"/>
      <c r="P191" s="65"/>
      <c r="Q191" s="10"/>
      <c r="R191" s="10"/>
      <c r="S191" s="54">
        <f t="shared" si="6"/>
        <v>202601</v>
      </c>
      <c r="T191" s="54">
        <f t="shared" si="7"/>
        <v>202601</v>
      </c>
      <c r="U191" s="58" t="str">
        <f t="shared" si="8"/>
        <v/>
      </c>
      <c r="V191" s="58">
        <f>IF(AND($B191&lt;&gt;"",$F191&lt;&gt;"",$F191=项目明细账!$C$2),N(V190)+1,N(V190))</f>
        <v>0</v>
      </c>
      <c r="W191" s="63" t="str">
        <f>IF($H191&lt;&gt;"","项目成本",IFERROR(INDEX(基础资料!$W$4:$W$49,MATCH($I191,基础资料!$V$4:$V$49,0)),""))</f>
        <v>管理费用</v>
      </c>
      <c r="X191" s="63" t="str">
        <f>IFERROR(INDEX(基础资料!$R$4:$R$17,MATCH($G191,基础资料!$Q$4:$Q$17,0)),"")</f>
        <v/>
      </c>
    </row>
    <row r="192" spans="1:24">
      <c r="A192" s="58">
        <f>IF($B192="","",COUNTA($B$5:$B192))</f>
        <v>188</v>
      </c>
      <c r="B192" s="53">
        <v>46026</v>
      </c>
      <c r="C192" s="46" t="s">
        <v>158</v>
      </c>
      <c r="D192" s="63" t="str">
        <f>IFERROR(INDEX(基础资料!$F$4:$F$23,MATCH($C192,基础资料!$E$4:$E$23,0)),IF($C192="","","未匹配账户"))</f>
        <v>瑞盛天</v>
      </c>
      <c r="E192" s="39" t="s">
        <v>483</v>
      </c>
      <c r="F192" s="10" t="s">
        <v>315</v>
      </c>
      <c r="G192" s="46" t="s">
        <v>87</v>
      </c>
      <c r="H192" s="10"/>
      <c r="I192" s="10"/>
      <c r="J192" s="71" t="s">
        <v>129</v>
      </c>
      <c r="K192" s="25">
        <v>179350</v>
      </c>
      <c r="L192" s="25"/>
      <c r="M192" s="25">
        <f>IFERROR(VLOOKUP($C192,$C$5:$M$24,11,0)+SUMIF($C$25:$C192,$C192,$K$25:$K192)-SUMIF($C$25:$C192,$C192,$L$25:$L192),"")</f>
        <v>380097.55</v>
      </c>
      <c r="N192" s="10"/>
      <c r="O192" s="10"/>
      <c r="P192" s="65"/>
      <c r="Q192" s="10"/>
      <c r="R192" s="10"/>
      <c r="S192" s="54">
        <f t="shared" si="6"/>
        <v>202601</v>
      </c>
      <c r="T192" s="54">
        <f t="shared" si="7"/>
        <v>202601</v>
      </c>
      <c r="U192" s="58" t="str">
        <f t="shared" si="8"/>
        <v/>
      </c>
      <c r="V192" s="58">
        <f>IF(AND($B192&lt;&gt;"",$F192&lt;&gt;"",$F192=项目明细账!$C$2),N(V191)+1,N(V191))</f>
        <v>0</v>
      </c>
      <c r="W192" s="63" t="str">
        <f>IF($H192&lt;&gt;"","项目成本",IFERROR(INDEX(基础资料!$W$4:$W$49,MATCH($I192,基础资料!$V$4:$V$49,0)),""))</f>
        <v/>
      </c>
      <c r="X192" s="63" t="str">
        <f>IFERROR(INDEX(基础资料!$R$4:$R$17,MATCH($G192,基础资料!$Q$4:$Q$17,0)),"")</f>
        <v>经营收入</v>
      </c>
    </row>
    <row r="193" spans="1:24">
      <c r="A193" s="58">
        <f>IF($B193="","",COUNTA($B$5:$B193))</f>
        <v>189</v>
      </c>
      <c r="B193" s="53">
        <v>46037</v>
      </c>
      <c r="C193" s="46" t="s">
        <v>158</v>
      </c>
      <c r="D193" s="63" t="str">
        <f>IFERROR(INDEX(基础资料!$F$4:$F$23,MATCH($C193,基础资料!$E$4:$E$23,0)),IF($C193="","","未匹配账户"))</f>
        <v>瑞盛天</v>
      </c>
      <c r="E193" s="39" t="s">
        <v>488</v>
      </c>
      <c r="F193" s="10"/>
      <c r="G193" s="46"/>
      <c r="H193" s="10"/>
      <c r="I193" s="10" t="s">
        <v>237</v>
      </c>
      <c r="J193" s="69" t="s">
        <v>620</v>
      </c>
      <c r="K193" s="25"/>
      <c r="L193" s="25">
        <v>2300</v>
      </c>
      <c r="M193" s="25">
        <f>IFERROR(VLOOKUP($C193,$C$5:$M$24,11,0)+SUMIF($C$25:$C193,$C193,$K$25:$K193)-SUMIF($C$25:$C193,$C193,$L$25:$L193),"")</f>
        <v>377797.55</v>
      </c>
      <c r="N193" s="10"/>
      <c r="O193" s="10"/>
      <c r="P193" s="65"/>
      <c r="Q193" s="10"/>
      <c r="R193" s="10"/>
      <c r="S193" s="54">
        <f t="shared" si="6"/>
        <v>202601</v>
      </c>
      <c r="T193" s="54">
        <f t="shared" si="7"/>
        <v>202601</v>
      </c>
      <c r="U193" s="58" t="str">
        <f t="shared" si="8"/>
        <v/>
      </c>
      <c r="V193" s="58">
        <f>IF(AND($B193&lt;&gt;"",$F193&lt;&gt;"",$F193=项目明细账!$C$2),N(V192)+1,N(V192))</f>
        <v>0</v>
      </c>
      <c r="W193" s="63" t="str">
        <f>IF($H193&lt;&gt;"","项目成本",IFERROR(INDEX(基础资料!$W$4:$W$49,MATCH($I193,基础资料!$V$4:$V$49,0)),""))</f>
        <v>人工社保</v>
      </c>
      <c r="X193" s="63" t="str">
        <f>IFERROR(INDEX(基础资料!$R$4:$R$17,MATCH($G193,基础资料!$Q$4:$Q$17,0)),"")</f>
        <v/>
      </c>
    </row>
    <row r="194" spans="1:24">
      <c r="A194" s="58">
        <f>IF($B194="","",COUNTA($B$5:$B194))</f>
        <v>190</v>
      </c>
      <c r="B194" s="53">
        <v>46037</v>
      </c>
      <c r="C194" s="46" t="s">
        <v>158</v>
      </c>
      <c r="D194" s="63" t="str">
        <f>IFERROR(INDEX(基础资料!$F$4:$F$23,MATCH($C194,基础资料!$E$4:$E$23,0)),IF($C194="","","未匹配账户"))</f>
        <v>瑞盛天</v>
      </c>
      <c r="E194" s="39" t="s">
        <v>488</v>
      </c>
      <c r="F194" s="10"/>
      <c r="G194" s="10"/>
      <c r="H194" s="46"/>
      <c r="I194" s="10" t="s">
        <v>237</v>
      </c>
      <c r="J194" s="69" t="s">
        <v>621</v>
      </c>
      <c r="K194" s="25"/>
      <c r="L194" s="25">
        <v>3536.44</v>
      </c>
      <c r="M194" s="25">
        <f>IFERROR(VLOOKUP($C194,$C$5:$M$24,11,0)+SUMIF($C$25:$C194,$C194,$K$25:$K194)-SUMIF($C$25:$C194,$C194,$L$25:$L194),"")</f>
        <v>374261.11</v>
      </c>
      <c r="N194" s="10"/>
      <c r="O194" s="10"/>
      <c r="P194" s="65"/>
      <c r="Q194" s="10"/>
      <c r="R194" s="10"/>
      <c r="S194" s="54">
        <f t="shared" si="6"/>
        <v>202601</v>
      </c>
      <c r="T194" s="54">
        <f t="shared" si="7"/>
        <v>202601</v>
      </c>
      <c r="U194" s="58" t="str">
        <f t="shared" si="8"/>
        <v/>
      </c>
      <c r="V194" s="58">
        <f>IF(AND($B194&lt;&gt;"",$F194&lt;&gt;"",$F194=项目明细账!$C$2),N(V193)+1,N(V193))</f>
        <v>0</v>
      </c>
      <c r="W194" s="63" t="str">
        <f>IF($H194&lt;&gt;"","项目成本",IFERROR(INDEX(基础资料!$W$4:$W$49,MATCH($I194,基础资料!$V$4:$V$49,0)),""))</f>
        <v>人工社保</v>
      </c>
      <c r="X194" s="63" t="str">
        <f>IFERROR(INDEX(基础资料!$R$4:$R$17,MATCH($G194,基础资料!$Q$4:$Q$17,0)),"")</f>
        <v/>
      </c>
    </row>
    <row r="195" spans="1:24">
      <c r="A195" s="58">
        <f>IF($B195="","",COUNTA($B$5:$B195))</f>
        <v>191</v>
      </c>
      <c r="B195" s="53">
        <v>46053</v>
      </c>
      <c r="C195" s="46" t="s">
        <v>158</v>
      </c>
      <c r="D195" s="63" t="str">
        <f>IFERROR(INDEX(基础资料!$F$4:$F$23,MATCH($C195,基础资料!$E$4:$E$23,0)),IF($C195="","","未匹配账户"))</f>
        <v>瑞盛天</v>
      </c>
      <c r="E195" s="39" t="s">
        <v>488</v>
      </c>
      <c r="F195" s="10"/>
      <c r="G195" s="46"/>
      <c r="H195" s="10"/>
      <c r="I195" s="10" t="s">
        <v>237</v>
      </c>
      <c r="J195" s="69" t="s">
        <v>622</v>
      </c>
      <c r="K195" s="25"/>
      <c r="L195" s="25">
        <v>6000</v>
      </c>
      <c r="M195" s="25">
        <f>IFERROR(VLOOKUP($C195,$C$5:$M$24,11,0)+SUMIF($C$25:$C195,$C195,$K$25:$K195)-SUMIF($C$25:$C195,$C195,$L$25:$L195),"")</f>
        <v>368261.11</v>
      </c>
      <c r="N195" s="10"/>
      <c r="O195" s="10"/>
      <c r="P195" s="65"/>
      <c r="Q195" s="10"/>
      <c r="R195" s="10"/>
      <c r="S195" s="54">
        <f t="shared" si="6"/>
        <v>202601</v>
      </c>
      <c r="T195" s="54">
        <f t="shared" si="7"/>
        <v>202601</v>
      </c>
      <c r="U195" s="58" t="str">
        <f t="shared" si="8"/>
        <v/>
      </c>
      <c r="V195" s="58">
        <f>IF(AND($B195&lt;&gt;"",$F195&lt;&gt;"",$F195=项目明细账!$C$2),N(V194)+1,N(V194))</f>
        <v>0</v>
      </c>
      <c r="W195" s="63" t="str">
        <f>IF($H195&lt;&gt;"","项目成本",IFERROR(INDEX(基础资料!$W$4:$W$49,MATCH($I195,基础资料!$V$4:$V$49,0)),""))</f>
        <v>人工社保</v>
      </c>
      <c r="X195" s="63" t="str">
        <f>IFERROR(INDEX(基础资料!$R$4:$R$17,MATCH($G195,基础资料!$Q$4:$Q$17,0)),"")</f>
        <v/>
      </c>
    </row>
    <row r="196" spans="1:24">
      <c r="A196" s="58">
        <f>IF($B196="","",COUNTA($B$5:$B196))</f>
        <v>192</v>
      </c>
      <c r="B196" s="53">
        <v>46053</v>
      </c>
      <c r="C196" s="46" t="s">
        <v>158</v>
      </c>
      <c r="D196" s="63" t="str">
        <f>IFERROR(INDEX(基础资料!$F$4:$F$23,MATCH($C196,基础资料!$E$4:$E$23,0)),IF($C196="","","未匹配账户"))</f>
        <v>瑞盛天</v>
      </c>
      <c r="E196" s="39" t="s">
        <v>488</v>
      </c>
      <c r="F196" s="10"/>
      <c r="G196" s="10"/>
      <c r="H196" s="10"/>
      <c r="I196" s="10" t="s">
        <v>234</v>
      </c>
      <c r="J196" s="69" t="s">
        <v>619</v>
      </c>
      <c r="K196" s="25"/>
      <c r="L196" s="25">
        <v>946.7</v>
      </c>
      <c r="M196" s="25">
        <f>IFERROR(VLOOKUP($C196,$C$5:$M$24,11,0)+SUMIF($C$25:$C196,$C196,$K$25:$K196)-SUMIF($C$25:$C196,$C196,$L$25:$L196),"")</f>
        <v>367314.41</v>
      </c>
      <c r="N196" s="10"/>
      <c r="O196" s="10"/>
      <c r="P196" s="65"/>
      <c r="Q196" s="10"/>
      <c r="R196" s="10"/>
      <c r="S196" s="54">
        <f t="shared" si="6"/>
        <v>202601</v>
      </c>
      <c r="T196" s="54">
        <f t="shared" si="7"/>
        <v>202601</v>
      </c>
      <c r="U196" s="58" t="str">
        <f t="shared" si="8"/>
        <v/>
      </c>
      <c r="V196" s="58">
        <f>IF(AND($B196&lt;&gt;"",$F196&lt;&gt;"",$F196=项目明细账!$C$2),N(V195)+1,N(V195))</f>
        <v>0</v>
      </c>
      <c r="W196" s="63" t="str">
        <f>IF($H196&lt;&gt;"","项目成本",IFERROR(INDEX(基础资料!$W$4:$W$49,MATCH($I196,基础资料!$V$4:$V$49,0)),""))</f>
        <v>管理费用</v>
      </c>
      <c r="X196" s="63" t="str">
        <f>IFERROR(INDEX(基础资料!$R$4:$R$17,MATCH($G196,基础资料!$Q$4:$Q$17,0)),"")</f>
        <v/>
      </c>
    </row>
    <row r="197" spans="1:24">
      <c r="A197" s="58">
        <f>IF($B197="","",COUNTA($B$5:$B197))</f>
        <v>193</v>
      </c>
      <c r="B197" s="53">
        <v>46053</v>
      </c>
      <c r="C197" s="46" t="s">
        <v>158</v>
      </c>
      <c r="D197" s="63" t="str">
        <f>IFERROR(INDEX(基础资料!$F$4:$F$23,MATCH($C197,基础资料!$E$4:$E$23,0)),IF($C197="","","未匹配账户"))</f>
        <v>瑞盛天</v>
      </c>
      <c r="E197" s="39" t="s">
        <v>488</v>
      </c>
      <c r="F197" s="10"/>
      <c r="G197" s="10"/>
      <c r="H197" s="10"/>
      <c r="I197" s="10" t="s">
        <v>234</v>
      </c>
      <c r="J197" s="69" t="s">
        <v>619</v>
      </c>
      <c r="K197" s="25"/>
      <c r="L197" s="25">
        <v>736.5</v>
      </c>
      <c r="M197" s="25">
        <f>IFERROR(VLOOKUP($C197,$C$5:$M$24,11,0)+SUMIF($C$25:$C197,$C197,$K$25:$K197)-SUMIF($C$25:$C197,$C197,$L$25:$L197),"")</f>
        <v>366577.91</v>
      </c>
      <c r="N197" s="10"/>
      <c r="O197" s="10"/>
      <c r="P197" s="65"/>
      <c r="Q197" s="10"/>
      <c r="R197" s="10"/>
      <c r="S197" s="54">
        <f t="shared" si="6"/>
        <v>202601</v>
      </c>
      <c r="T197" s="54">
        <f t="shared" si="7"/>
        <v>202601</v>
      </c>
      <c r="U197" s="58" t="str">
        <f t="shared" si="8"/>
        <v/>
      </c>
      <c r="V197" s="58">
        <f>IF(AND($B197&lt;&gt;"",$F197&lt;&gt;"",$F197=项目明细账!$C$2),N(V196)+1,N(V196))</f>
        <v>0</v>
      </c>
      <c r="W197" s="63" t="str">
        <f>IF($H197&lt;&gt;"","项目成本",IFERROR(INDEX(基础资料!$W$4:$W$49,MATCH($I197,基础资料!$V$4:$V$49,0)),""))</f>
        <v>管理费用</v>
      </c>
      <c r="X197" s="63" t="str">
        <f>IFERROR(INDEX(基础资料!$R$4:$R$17,MATCH($G197,基础资料!$Q$4:$Q$17,0)),"")</f>
        <v/>
      </c>
    </row>
    <row r="198" spans="1:24">
      <c r="A198" s="58">
        <f>IF($B198="","",COUNTA($B$5:$B198))</f>
        <v>194</v>
      </c>
      <c r="B198" s="53">
        <v>46053</v>
      </c>
      <c r="C198" s="46" t="s">
        <v>158</v>
      </c>
      <c r="D198" s="63" t="str">
        <f>IFERROR(INDEX(基础资料!$F$4:$F$23,MATCH($C198,基础资料!$E$4:$E$23,0)),IF($C198="","","未匹配账户"))</f>
        <v>瑞盛天</v>
      </c>
      <c r="E198" s="39" t="s">
        <v>488</v>
      </c>
      <c r="F198" s="10"/>
      <c r="G198" s="10"/>
      <c r="H198" s="10"/>
      <c r="I198" s="10" t="s">
        <v>234</v>
      </c>
      <c r="J198" s="69" t="s">
        <v>619</v>
      </c>
      <c r="K198" s="25"/>
      <c r="L198" s="25">
        <v>6468.8</v>
      </c>
      <c r="M198" s="25">
        <f>IFERROR(VLOOKUP($C198,$C$5:$M$24,11,0)+SUMIF($C$25:$C198,$C198,$K$25:$K198)-SUMIF($C$25:$C198,$C198,$L$25:$L198),"")</f>
        <v>360109.11</v>
      </c>
      <c r="N198" s="10"/>
      <c r="O198" s="10"/>
      <c r="P198" s="65"/>
      <c r="Q198" s="10"/>
      <c r="R198" s="10"/>
      <c r="S198" s="54">
        <f t="shared" ref="S198:S261" si="9">IF($B198="","",--TEXT($B198,"yyyymm"))</f>
        <v>202601</v>
      </c>
      <c r="T198" s="54">
        <f t="shared" ref="T198:T261" si="10">IF($B198="","",IF($P198="",$S198,IFERROR($P198*1,$P198)))</f>
        <v>202601</v>
      </c>
      <c r="U198" s="58" t="str">
        <f t="shared" ref="U198:U261" si="11">IF($B198="","",IF($T198=$S198,"","跨期"))</f>
        <v/>
      </c>
      <c r="V198" s="58">
        <f>IF(AND($B198&lt;&gt;"",$F198&lt;&gt;"",$F198=项目明细账!$C$2),N(V197)+1,N(V197))</f>
        <v>0</v>
      </c>
      <c r="W198" s="63" t="str">
        <f>IF($H198&lt;&gt;"","项目成本",IFERROR(INDEX(基础资料!$W$4:$W$49,MATCH($I198,基础资料!$V$4:$V$49,0)),""))</f>
        <v>管理费用</v>
      </c>
      <c r="X198" s="63" t="str">
        <f>IFERROR(INDEX(基础资料!$R$4:$R$17,MATCH($G198,基础资料!$Q$4:$Q$17,0)),"")</f>
        <v/>
      </c>
    </row>
    <row r="199" spans="1:24">
      <c r="A199" s="58">
        <f>IF($B199="","",COUNTA($B$5:$B199))</f>
        <v>195</v>
      </c>
      <c r="B199" s="53">
        <v>46053</v>
      </c>
      <c r="C199" s="46" t="s">
        <v>158</v>
      </c>
      <c r="D199" s="63" t="str">
        <f>IFERROR(INDEX(基础资料!$F$4:$F$23,MATCH($C199,基础资料!$E$4:$E$23,0)),IF($C199="","","未匹配账户"))</f>
        <v>瑞盛天</v>
      </c>
      <c r="E199" s="39" t="s">
        <v>488</v>
      </c>
      <c r="F199" s="10"/>
      <c r="G199" s="10"/>
      <c r="H199" s="10"/>
      <c r="I199" s="10" t="s">
        <v>234</v>
      </c>
      <c r="J199" s="69" t="s">
        <v>619</v>
      </c>
      <c r="K199" s="25"/>
      <c r="L199" s="25">
        <v>350</v>
      </c>
      <c r="M199" s="25">
        <f>IFERROR(VLOOKUP($C199,$C$5:$M$24,11,0)+SUMIF($C$25:$C199,$C199,$K$25:$K199)-SUMIF($C$25:$C199,$C199,$L$25:$L199),"")</f>
        <v>359759.11</v>
      </c>
      <c r="N199" s="10"/>
      <c r="O199" s="10"/>
      <c r="P199" s="65"/>
      <c r="Q199" s="10"/>
      <c r="R199" s="10"/>
      <c r="S199" s="54">
        <f t="shared" si="9"/>
        <v>202601</v>
      </c>
      <c r="T199" s="54">
        <f t="shared" si="10"/>
        <v>202601</v>
      </c>
      <c r="U199" s="58" t="str">
        <f t="shared" si="11"/>
        <v/>
      </c>
      <c r="V199" s="58">
        <f>IF(AND($B199&lt;&gt;"",$F199&lt;&gt;"",$F199=项目明细账!$C$2),N(V198)+1,N(V198))</f>
        <v>0</v>
      </c>
      <c r="W199" s="63" t="str">
        <f>IF($H199&lt;&gt;"","项目成本",IFERROR(INDEX(基础资料!$W$4:$W$49,MATCH($I199,基础资料!$V$4:$V$49,0)),""))</f>
        <v>管理费用</v>
      </c>
      <c r="X199" s="63" t="str">
        <f>IFERROR(INDEX(基础资料!$R$4:$R$17,MATCH($G199,基础资料!$Q$4:$Q$17,0)),"")</f>
        <v/>
      </c>
    </row>
    <row r="200" spans="1:24">
      <c r="A200" s="58">
        <f>IF($B200="","",COUNTA($B$5:$B200))</f>
        <v>196</v>
      </c>
      <c r="B200" s="53">
        <v>46028</v>
      </c>
      <c r="C200" s="46" t="s">
        <v>169</v>
      </c>
      <c r="D200" s="63" t="str">
        <f>IFERROR(INDEX(基础资料!$F$4:$F$23,MATCH($C200,基础资料!$E$4:$E$23,0)),IF($C200="","","未匹配账户"))</f>
        <v>中展</v>
      </c>
      <c r="E200" s="39" t="s">
        <v>488</v>
      </c>
      <c r="F200" s="10" t="s">
        <v>316</v>
      </c>
      <c r="G200" s="10"/>
      <c r="H200" s="10" t="s">
        <v>530</v>
      </c>
      <c r="I200" s="10"/>
      <c r="J200" s="74" t="s">
        <v>623</v>
      </c>
      <c r="K200" s="25"/>
      <c r="L200" s="25">
        <v>1500</v>
      </c>
      <c r="M200" s="25">
        <f>IFERROR(VLOOKUP($C200,$C$5:$M$24,11,0)+SUMIF($C$25:$C200,$C200,$K$25:$K200)-SUMIF($C$25:$C200,$C200,$L$25:$L200),"")</f>
        <v>236047.75</v>
      </c>
      <c r="N200" s="10"/>
      <c r="O200" s="10"/>
      <c r="P200" s="65"/>
      <c r="Q200" s="10"/>
      <c r="R200" s="10"/>
      <c r="S200" s="54">
        <f t="shared" si="9"/>
        <v>202601</v>
      </c>
      <c r="T200" s="54">
        <f t="shared" si="10"/>
        <v>202601</v>
      </c>
      <c r="U200" s="58" t="str">
        <f t="shared" si="11"/>
        <v/>
      </c>
      <c r="V200" s="58">
        <f>IF(AND($B200&lt;&gt;"",$F200&lt;&gt;"",$F200=项目明细账!$C$2),N(V199)+1,N(V199))</f>
        <v>0</v>
      </c>
      <c r="W200" s="63" t="str">
        <f>IF($H200&lt;&gt;"","项目成本",IFERROR(INDEX(基础资料!$W$4:$W$49,MATCH($I200,基础资料!$V$4:$V$49,0)),""))</f>
        <v>项目成本</v>
      </c>
      <c r="X200" s="63" t="str">
        <f>IFERROR(INDEX(基础资料!$R$4:$R$17,MATCH($G200,基础资料!$Q$4:$Q$17,0)),"")</f>
        <v/>
      </c>
    </row>
    <row r="201" spans="1:24">
      <c r="A201" s="58">
        <f>IF($B201="","",COUNTA($B$5:$B201))</f>
        <v>197</v>
      </c>
      <c r="B201" s="53">
        <v>46028</v>
      </c>
      <c r="C201" s="46" t="s">
        <v>169</v>
      </c>
      <c r="D201" s="63" t="str">
        <f>IFERROR(INDEX(基础资料!$F$4:$F$23,MATCH($C201,基础资料!$E$4:$E$23,0)),IF($C201="","","未匹配账户"))</f>
        <v>中展</v>
      </c>
      <c r="E201" s="39" t="s">
        <v>488</v>
      </c>
      <c r="F201" s="10"/>
      <c r="G201" s="10"/>
      <c r="H201" s="10"/>
      <c r="I201" s="10" t="s">
        <v>282</v>
      </c>
      <c r="J201" s="69" t="s">
        <v>489</v>
      </c>
      <c r="K201" s="25"/>
      <c r="L201" s="25">
        <v>4.5</v>
      </c>
      <c r="M201" s="25">
        <f>IFERROR(VLOOKUP($C201,$C$5:$M$24,11,0)+SUMIF($C$25:$C201,$C201,$K$25:$K201)-SUMIF($C$25:$C201,$C201,$L$25:$L201),"")</f>
        <v>236043.25</v>
      </c>
      <c r="N201" s="10"/>
      <c r="O201" s="10"/>
      <c r="P201" s="65"/>
      <c r="Q201" s="10"/>
      <c r="R201" s="10"/>
      <c r="S201" s="54">
        <f t="shared" si="9"/>
        <v>202601</v>
      </c>
      <c r="T201" s="54">
        <f t="shared" si="10"/>
        <v>202601</v>
      </c>
      <c r="U201" s="58" t="str">
        <f t="shared" si="11"/>
        <v/>
      </c>
      <c r="V201" s="58">
        <f>IF(AND($B201&lt;&gt;"",$F201&lt;&gt;"",$F201=项目明细账!$C$2),N(V200)+1,N(V200))</f>
        <v>0</v>
      </c>
      <c r="W201" s="63" t="str">
        <f>IF($H201&lt;&gt;"","项目成本",IFERROR(INDEX(基础资料!$W$4:$W$49,MATCH($I201,基础资料!$V$4:$V$49,0)),""))</f>
        <v>财务费用</v>
      </c>
      <c r="X201" s="63" t="str">
        <f>IFERROR(INDEX(基础资料!$R$4:$R$17,MATCH($G201,基础资料!$Q$4:$Q$17,0)),"")</f>
        <v/>
      </c>
    </row>
    <row r="202" spans="1:24">
      <c r="A202" s="58">
        <f>IF($B202="","",COUNTA($B$5:$B202))</f>
        <v>198</v>
      </c>
      <c r="B202" s="53">
        <v>46028</v>
      </c>
      <c r="C202" s="46" t="s">
        <v>169</v>
      </c>
      <c r="D202" s="63" t="str">
        <f>IFERROR(INDEX(基础资料!$F$4:$F$23,MATCH($C202,基础资料!$E$4:$E$23,0)),IF($C202="","","未匹配账户"))</f>
        <v>中展</v>
      </c>
      <c r="E202" s="39" t="s">
        <v>488</v>
      </c>
      <c r="F202" s="10" t="s">
        <v>316</v>
      </c>
      <c r="G202" s="10"/>
      <c r="H202" s="10" t="s">
        <v>538</v>
      </c>
      <c r="I202" s="10"/>
      <c r="J202" s="74" t="s">
        <v>624</v>
      </c>
      <c r="K202" s="25"/>
      <c r="L202" s="25">
        <v>16200</v>
      </c>
      <c r="M202" s="25">
        <f>IFERROR(VLOOKUP($C202,$C$5:$M$24,11,0)+SUMIF($C$25:$C202,$C202,$K$25:$K202)-SUMIF($C$25:$C202,$C202,$L$25:$L202),"")</f>
        <v>219843.25</v>
      </c>
      <c r="N202" s="10"/>
      <c r="O202" s="10"/>
      <c r="P202" s="65"/>
      <c r="Q202" s="10"/>
      <c r="R202" s="10"/>
      <c r="S202" s="54">
        <f t="shared" si="9"/>
        <v>202601</v>
      </c>
      <c r="T202" s="54">
        <f t="shared" si="10"/>
        <v>202601</v>
      </c>
      <c r="U202" s="58" t="str">
        <f t="shared" si="11"/>
        <v/>
      </c>
      <c r="V202" s="58">
        <f>IF(AND($B202&lt;&gt;"",$F202&lt;&gt;"",$F202=项目明细账!$C$2),N(V201)+1,N(V201))</f>
        <v>0</v>
      </c>
      <c r="W202" s="63" t="str">
        <f>IF($H202&lt;&gt;"","项目成本",IFERROR(INDEX(基础资料!$W$4:$W$49,MATCH($I202,基础资料!$V$4:$V$49,0)),""))</f>
        <v>项目成本</v>
      </c>
      <c r="X202" s="63" t="str">
        <f>IFERROR(INDEX(基础资料!$R$4:$R$17,MATCH($G202,基础资料!$Q$4:$Q$17,0)),"")</f>
        <v/>
      </c>
    </row>
    <row r="203" spans="1:24">
      <c r="A203" s="58">
        <f>IF($B203="","",COUNTA($B$5:$B203))</f>
        <v>199</v>
      </c>
      <c r="B203" s="53">
        <v>46028</v>
      </c>
      <c r="C203" s="46" t="s">
        <v>169</v>
      </c>
      <c r="D203" s="63" t="str">
        <f>IFERROR(INDEX(基础资料!$F$4:$F$23,MATCH($C203,基础资料!$E$4:$E$23,0)),IF($C203="","","未匹配账户"))</f>
        <v>中展</v>
      </c>
      <c r="E203" s="39" t="s">
        <v>488</v>
      </c>
      <c r="F203" s="10"/>
      <c r="G203" s="10"/>
      <c r="H203" s="10"/>
      <c r="I203" s="10" t="s">
        <v>282</v>
      </c>
      <c r="J203" s="69" t="s">
        <v>489</v>
      </c>
      <c r="K203" s="25"/>
      <c r="L203" s="25">
        <v>9</v>
      </c>
      <c r="M203" s="25">
        <f>IFERROR(VLOOKUP($C203,$C$5:$M$24,11,0)+SUMIF($C$25:$C203,$C203,$K$25:$K203)-SUMIF($C$25:$C203,$C203,$L$25:$L203),"")</f>
        <v>219834.25</v>
      </c>
      <c r="N203" s="10"/>
      <c r="O203" s="10"/>
      <c r="P203" s="65"/>
      <c r="Q203" s="10"/>
      <c r="R203" s="10"/>
      <c r="S203" s="54">
        <f t="shared" si="9"/>
        <v>202601</v>
      </c>
      <c r="T203" s="54">
        <f t="shared" si="10"/>
        <v>202601</v>
      </c>
      <c r="U203" s="58" t="str">
        <f t="shared" si="11"/>
        <v/>
      </c>
      <c r="V203" s="58">
        <f>IF(AND($B203&lt;&gt;"",$F203&lt;&gt;"",$F203=项目明细账!$C$2),N(V202)+1,N(V202))</f>
        <v>0</v>
      </c>
      <c r="W203" s="63" t="str">
        <f>IF($H203&lt;&gt;"","项目成本",IFERROR(INDEX(基础资料!$W$4:$W$49,MATCH($I203,基础资料!$V$4:$V$49,0)),""))</f>
        <v>财务费用</v>
      </c>
      <c r="X203" s="63" t="str">
        <f>IFERROR(INDEX(基础资料!$R$4:$R$17,MATCH($G203,基础资料!$Q$4:$Q$17,0)),"")</f>
        <v/>
      </c>
    </row>
    <row r="204" spans="1:24">
      <c r="A204" s="58">
        <f>IF($B204="","",COUNTA($B$5:$B204))</f>
        <v>200</v>
      </c>
      <c r="B204" s="53">
        <v>46030</v>
      </c>
      <c r="C204" s="46" t="s">
        <v>169</v>
      </c>
      <c r="D204" s="63" t="str">
        <f>IFERROR(INDEX(基础资料!$F$4:$F$23,MATCH($C204,基础资料!$E$4:$E$23,0)),IF($C204="","","未匹配账户"))</f>
        <v>中展</v>
      </c>
      <c r="E204" s="39" t="s">
        <v>488</v>
      </c>
      <c r="F204" s="10"/>
      <c r="G204" s="10"/>
      <c r="H204" s="10"/>
      <c r="I204" s="10" t="s">
        <v>234</v>
      </c>
      <c r="J204" s="69" t="s">
        <v>625</v>
      </c>
      <c r="K204" s="25"/>
      <c r="L204" s="25">
        <v>5350</v>
      </c>
      <c r="M204" s="25">
        <f>IFERROR(VLOOKUP($C204,$C$5:$M$24,11,0)+SUMIF($C$25:$C204,$C204,$K$25:$K204)-SUMIF($C$25:$C204,$C204,$L$25:$L204),"")</f>
        <v>214484.25</v>
      </c>
      <c r="N204" s="10"/>
      <c r="O204" s="10"/>
      <c r="P204" s="65"/>
      <c r="Q204" s="10"/>
      <c r="R204" s="10"/>
      <c r="S204" s="54">
        <f t="shared" si="9"/>
        <v>202601</v>
      </c>
      <c r="T204" s="54">
        <f t="shared" si="10"/>
        <v>202601</v>
      </c>
      <c r="U204" s="58" t="str">
        <f t="shared" si="11"/>
        <v/>
      </c>
      <c r="V204" s="58">
        <f>IF(AND($B204&lt;&gt;"",$F204&lt;&gt;"",$F204=项目明细账!$C$2),N(V203)+1,N(V203))</f>
        <v>0</v>
      </c>
      <c r="W204" s="63" t="str">
        <f>IF($H204&lt;&gt;"","项目成本",IFERROR(INDEX(基础资料!$W$4:$W$49,MATCH($I204,基础资料!$V$4:$V$49,0)),""))</f>
        <v>管理费用</v>
      </c>
      <c r="X204" s="63" t="str">
        <f>IFERROR(INDEX(基础资料!$R$4:$R$17,MATCH($G204,基础资料!$Q$4:$Q$17,0)),"")</f>
        <v/>
      </c>
    </row>
    <row r="205" spans="1:24">
      <c r="A205" s="58">
        <f>IF($B205="","",COUNTA($B$5:$B205))</f>
        <v>201</v>
      </c>
      <c r="B205" s="53">
        <v>46036</v>
      </c>
      <c r="C205" s="46" t="s">
        <v>169</v>
      </c>
      <c r="D205" s="63" t="str">
        <f>IFERROR(INDEX(基础资料!$F$4:$F$23,MATCH($C205,基础资料!$E$4:$E$23,0)),IF($C205="","","未匹配账户"))</f>
        <v>中展</v>
      </c>
      <c r="E205" s="39" t="s">
        <v>488</v>
      </c>
      <c r="F205" s="10"/>
      <c r="G205" s="10"/>
      <c r="H205" s="10"/>
      <c r="I205" s="10" t="s">
        <v>237</v>
      </c>
      <c r="J205" s="69" t="s">
        <v>626</v>
      </c>
      <c r="K205" s="25"/>
      <c r="L205" s="25">
        <v>500</v>
      </c>
      <c r="M205" s="25">
        <f>IFERROR(VLOOKUP($C205,$C$5:$M$24,11,0)+SUMIF($C$25:$C205,$C205,$K$25:$K205)-SUMIF($C$25:$C205,$C205,$L$25:$L205),"")</f>
        <v>213984.25</v>
      </c>
      <c r="N205" s="10"/>
      <c r="O205" s="10"/>
      <c r="P205" s="65"/>
      <c r="Q205" s="10"/>
      <c r="R205" s="10"/>
      <c r="S205" s="54">
        <f t="shared" si="9"/>
        <v>202601</v>
      </c>
      <c r="T205" s="54">
        <f t="shared" si="10"/>
        <v>202601</v>
      </c>
      <c r="U205" s="58" t="str">
        <f t="shared" si="11"/>
        <v/>
      </c>
      <c r="V205" s="58">
        <f>IF(AND($B205&lt;&gt;"",$F205&lt;&gt;"",$F205=项目明细账!$C$2),N(V204)+1,N(V204))</f>
        <v>0</v>
      </c>
      <c r="W205" s="63" t="str">
        <f>IF($H205&lt;&gt;"","项目成本",IFERROR(INDEX(基础资料!$W$4:$W$49,MATCH($I205,基础资料!$V$4:$V$49,0)),""))</f>
        <v>人工社保</v>
      </c>
      <c r="X205" s="63" t="str">
        <f>IFERROR(INDEX(基础资料!$R$4:$R$17,MATCH($G205,基础资料!$Q$4:$Q$17,0)),"")</f>
        <v/>
      </c>
    </row>
    <row r="206" spans="1:24">
      <c r="A206" s="58">
        <f>IF($B206="","",COUNTA($B$5:$B206))</f>
        <v>202</v>
      </c>
      <c r="B206" s="53">
        <v>46036</v>
      </c>
      <c r="C206" s="46" t="s">
        <v>169</v>
      </c>
      <c r="D206" s="63" t="str">
        <f>IFERROR(INDEX(基础资料!$F$4:$F$23,MATCH($C206,基础资料!$E$4:$E$23,0)),IF($C206="","","未匹配账户"))</f>
        <v>中展</v>
      </c>
      <c r="E206" s="39" t="s">
        <v>488</v>
      </c>
      <c r="F206" s="10"/>
      <c r="G206" s="10"/>
      <c r="H206" s="10"/>
      <c r="I206" s="10" t="s">
        <v>237</v>
      </c>
      <c r="J206" s="69" t="s">
        <v>627</v>
      </c>
      <c r="K206" s="25"/>
      <c r="L206" s="25">
        <v>4957.61</v>
      </c>
      <c r="M206" s="25">
        <f>IFERROR(VLOOKUP($C206,$C$5:$M$24,11,0)+SUMIF($C$25:$C206,$C206,$K$25:$K206)-SUMIF($C$25:$C206,$C206,$L$25:$L206),"")</f>
        <v>209026.64</v>
      </c>
      <c r="N206" s="10"/>
      <c r="O206" s="10"/>
      <c r="P206" s="65"/>
      <c r="Q206" s="10"/>
      <c r="R206" s="10"/>
      <c r="S206" s="54">
        <f t="shared" si="9"/>
        <v>202601</v>
      </c>
      <c r="T206" s="54">
        <f t="shared" si="10"/>
        <v>202601</v>
      </c>
      <c r="U206" s="58" t="str">
        <f t="shared" si="11"/>
        <v/>
      </c>
      <c r="V206" s="58">
        <f>IF(AND($B206&lt;&gt;"",$F206&lt;&gt;"",$F206=项目明细账!$C$2),N(V205)+1,N(V205))</f>
        <v>0</v>
      </c>
      <c r="W206" s="63" t="str">
        <f>IF($H206&lt;&gt;"","项目成本",IFERROR(INDEX(基础资料!$W$4:$W$49,MATCH($I206,基础资料!$V$4:$V$49,0)),""))</f>
        <v>人工社保</v>
      </c>
      <c r="X206" s="63" t="str">
        <f>IFERROR(INDEX(基础资料!$R$4:$R$17,MATCH($G206,基础资料!$Q$4:$Q$17,0)),"")</f>
        <v/>
      </c>
    </row>
    <row r="207" spans="1:24">
      <c r="A207" s="58">
        <f>IF($B207="","",COUNTA($B$5:$B207))</f>
        <v>203</v>
      </c>
      <c r="B207" s="53">
        <v>46038</v>
      </c>
      <c r="C207" s="46" t="s">
        <v>169</v>
      </c>
      <c r="D207" s="63" t="str">
        <f>IFERROR(INDEX(基础资料!$F$4:$F$23,MATCH($C207,基础资料!$E$4:$E$23,0)),IF($C207="","","未匹配账户"))</f>
        <v>中展</v>
      </c>
      <c r="E207" s="39" t="s">
        <v>488</v>
      </c>
      <c r="F207" s="10"/>
      <c r="G207" s="10"/>
      <c r="H207" s="10"/>
      <c r="I207" s="10" t="s">
        <v>237</v>
      </c>
      <c r="J207" s="69" t="s">
        <v>628</v>
      </c>
      <c r="K207" s="25"/>
      <c r="L207" s="25">
        <v>6000</v>
      </c>
      <c r="M207" s="25">
        <f>IFERROR(VLOOKUP($C207,$C$5:$M$24,11,0)+SUMIF($C$25:$C207,$C207,$K$25:$K207)-SUMIF($C$25:$C207,$C207,$L$25:$L207),"")</f>
        <v>203026.64</v>
      </c>
      <c r="N207" s="10"/>
      <c r="O207" s="10"/>
      <c r="P207" s="65"/>
      <c r="Q207" s="10"/>
      <c r="R207" s="10"/>
      <c r="S207" s="54">
        <f t="shared" si="9"/>
        <v>202601</v>
      </c>
      <c r="T207" s="54">
        <f t="shared" si="10"/>
        <v>202601</v>
      </c>
      <c r="U207" s="58" t="str">
        <f t="shared" si="11"/>
        <v/>
      </c>
      <c r="V207" s="58">
        <f>IF(AND($B207&lt;&gt;"",$F207&lt;&gt;"",$F207=项目明细账!$C$2),N(V206)+1,N(V206))</f>
        <v>0</v>
      </c>
      <c r="W207" s="63" t="str">
        <f>IF($H207&lt;&gt;"","项目成本",IFERROR(INDEX(基础资料!$W$4:$W$49,MATCH($I207,基础资料!$V$4:$V$49,0)),""))</f>
        <v>人工社保</v>
      </c>
      <c r="X207" s="63" t="str">
        <f>IFERROR(INDEX(基础资料!$R$4:$R$17,MATCH($G207,基础资料!$Q$4:$Q$17,0)),"")</f>
        <v/>
      </c>
    </row>
    <row r="208" spans="1:24">
      <c r="A208" s="58">
        <f>IF($B208="","",COUNTA($B$5:$B208))</f>
        <v>204</v>
      </c>
      <c r="B208" s="53">
        <v>46041</v>
      </c>
      <c r="C208" s="46" t="s">
        <v>169</v>
      </c>
      <c r="D208" s="63" t="str">
        <f>IFERROR(INDEX(基础资料!$F$4:$F$23,MATCH($C208,基础资料!$E$4:$E$23,0)),IF($C208="","","未匹配账户"))</f>
        <v>中展</v>
      </c>
      <c r="E208" s="39" t="s">
        <v>488</v>
      </c>
      <c r="F208" s="10"/>
      <c r="G208" s="10"/>
      <c r="H208" s="10"/>
      <c r="I208" s="10" t="s">
        <v>246</v>
      </c>
      <c r="J208" s="69" t="s">
        <v>526</v>
      </c>
      <c r="K208" s="25"/>
      <c r="L208" s="25">
        <v>1287.54</v>
      </c>
      <c r="M208" s="25">
        <f>IFERROR(VLOOKUP($C208,$C$5:$M$24,11,0)+SUMIF($C$25:$C208,$C208,$K$25:$K208)-SUMIF($C$25:$C208,$C208,$L$25:$L208),"")</f>
        <v>201739.1</v>
      </c>
      <c r="N208" s="10"/>
      <c r="O208" s="10"/>
      <c r="P208" s="65"/>
      <c r="Q208" s="10"/>
      <c r="R208" s="10"/>
      <c r="S208" s="54">
        <f t="shared" si="9"/>
        <v>202601</v>
      </c>
      <c r="T208" s="54">
        <f t="shared" si="10"/>
        <v>202601</v>
      </c>
      <c r="U208" s="58" t="str">
        <f t="shared" si="11"/>
        <v/>
      </c>
      <c r="V208" s="58">
        <f>IF(AND($B208&lt;&gt;"",$F208&lt;&gt;"",$F208=项目明细账!$C$2),N(V207)+1,N(V207))</f>
        <v>0</v>
      </c>
      <c r="W208" s="63" t="str">
        <f>IF($H208&lt;&gt;"","项目成本",IFERROR(INDEX(基础资料!$W$4:$W$49,MATCH($I208,基础资料!$V$4:$V$49,0)),""))</f>
        <v>人工社保</v>
      </c>
      <c r="X208" s="63" t="str">
        <f>IFERROR(INDEX(基础资料!$R$4:$R$17,MATCH($G208,基础资料!$Q$4:$Q$17,0)),"")</f>
        <v/>
      </c>
    </row>
    <row r="209" spans="1:24">
      <c r="A209" s="58">
        <f>IF($B209="","",COUNTA($B$5:$B209))</f>
        <v>205</v>
      </c>
      <c r="B209" s="53">
        <v>46041</v>
      </c>
      <c r="C209" s="46" t="s">
        <v>169</v>
      </c>
      <c r="D209" s="63" t="str">
        <f>IFERROR(INDEX(基础资料!$F$4:$F$23,MATCH($C209,基础资料!$E$4:$E$23,0)),IF($C209="","","未匹配账户"))</f>
        <v>中展</v>
      </c>
      <c r="E209" s="39" t="s">
        <v>488</v>
      </c>
      <c r="F209" s="10"/>
      <c r="G209" s="10"/>
      <c r="H209" s="10"/>
      <c r="I209" s="10" t="s">
        <v>248</v>
      </c>
      <c r="J209" s="69" t="s">
        <v>527</v>
      </c>
      <c r="K209" s="25"/>
      <c r="L209" s="25">
        <v>598.15</v>
      </c>
      <c r="M209" s="25">
        <f>IFERROR(VLOOKUP($C209,$C$5:$M$24,11,0)+SUMIF($C$25:$C209,$C209,$K$25:$K209)-SUMIF($C$25:$C209,$C209,$L$25:$L209),"")</f>
        <v>201140.95</v>
      </c>
      <c r="N209" s="10"/>
      <c r="O209" s="10"/>
      <c r="P209" s="65"/>
      <c r="Q209" s="10"/>
      <c r="R209" s="10"/>
      <c r="S209" s="54">
        <f t="shared" si="9"/>
        <v>202601</v>
      </c>
      <c r="T209" s="54">
        <f t="shared" si="10"/>
        <v>202601</v>
      </c>
      <c r="U209" s="58" t="str">
        <f t="shared" si="11"/>
        <v/>
      </c>
      <c r="V209" s="58">
        <f>IF(AND($B209&lt;&gt;"",$F209&lt;&gt;"",$F209=项目明细账!$C$2),N(V208)+1,N(V208))</f>
        <v>0</v>
      </c>
      <c r="W209" s="63" t="str">
        <f>IF($H209&lt;&gt;"","项目成本",IFERROR(INDEX(基础资料!$W$4:$W$49,MATCH($I209,基础资料!$V$4:$V$49,0)),""))</f>
        <v>人工社保</v>
      </c>
      <c r="X209" s="63" t="str">
        <f>IFERROR(INDEX(基础资料!$R$4:$R$17,MATCH($G209,基础资料!$Q$4:$Q$17,0)),"")</f>
        <v/>
      </c>
    </row>
    <row r="210" spans="1:24">
      <c r="A210" s="58">
        <f>IF($B210="","",COUNTA($B$5:$B210))</f>
        <v>206</v>
      </c>
      <c r="B210" s="53">
        <v>46042</v>
      </c>
      <c r="C210" s="46" t="s">
        <v>169</v>
      </c>
      <c r="D210" s="63" t="str">
        <f>IFERROR(INDEX(基础资料!$F$4:$F$23,MATCH($C210,基础资料!$E$4:$E$23,0)),IF($C210="","","未匹配账户"))</f>
        <v>中展</v>
      </c>
      <c r="E210" s="39" t="s">
        <v>488</v>
      </c>
      <c r="F210" s="10"/>
      <c r="G210" s="10"/>
      <c r="H210" s="10"/>
      <c r="I210" s="10" t="s">
        <v>270</v>
      </c>
      <c r="J210" s="67" t="s">
        <v>524</v>
      </c>
      <c r="K210" s="25"/>
      <c r="L210" s="25">
        <v>341.25</v>
      </c>
      <c r="M210" s="25">
        <f>IFERROR(VLOOKUP($C210,$C$5:$M$24,11,0)+SUMIF($C$25:$C210,$C210,$K$25:$K210)-SUMIF($C$25:$C210,$C210,$L$25:$L210),"")</f>
        <v>200799.7</v>
      </c>
      <c r="N210" s="10"/>
      <c r="O210" s="10"/>
      <c r="P210" s="65"/>
      <c r="Q210" s="10"/>
      <c r="R210" s="10"/>
      <c r="S210" s="54">
        <f t="shared" si="9"/>
        <v>202601</v>
      </c>
      <c r="T210" s="54">
        <f t="shared" si="10"/>
        <v>202601</v>
      </c>
      <c r="U210" s="58" t="str">
        <f t="shared" si="11"/>
        <v/>
      </c>
      <c r="V210" s="58">
        <f>IF(AND($B210&lt;&gt;"",$F210&lt;&gt;"",$F210=项目明细账!$C$2),N(V209)+1,N(V209))</f>
        <v>0</v>
      </c>
      <c r="W210" s="63" t="str">
        <f>IF($H210&lt;&gt;"","项目成本",IFERROR(INDEX(基础资料!$W$4:$W$49,MATCH($I210,基础资料!$V$4:$V$49,0)),""))</f>
        <v>税费</v>
      </c>
      <c r="X210" s="63" t="str">
        <f>IFERROR(INDEX(基础资料!$R$4:$R$17,MATCH($G210,基础资料!$Q$4:$Q$17,0)),"")</f>
        <v/>
      </c>
    </row>
    <row r="211" spans="1:24">
      <c r="A211" s="58">
        <f>IF($B211="","",COUNTA($B$5:$B211))</f>
        <v>207</v>
      </c>
      <c r="B211" s="53">
        <v>46042</v>
      </c>
      <c r="C211" s="46" t="s">
        <v>169</v>
      </c>
      <c r="D211" s="63" t="str">
        <f>IFERROR(INDEX(基础资料!$F$4:$F$23,MATCH($C211,基础资料!$E$4:$E$23,0)),IF($C211="","","未匹配账户"))</f>
        <v>中展</v>
      </c>
      <c r="E211" s="39" t="s">
        <v>488</v>
      </c>
      <c r="F211" s="10"/>
      <c r="G211" s="10"/>
      <c r="H211" s="10"/>
      <c r="I211" s="10" t="s">
        <v>262</v>
      </c>
      <c r="J211" s="69" t="s">
        <v>522</v>
      </c>
      <c r="K211" s="25"/>
      <c r="L211" s="25">
        <v>11851.6</v>
      </c>
      <c r="M211" s="25">
        <f>IFERROR(VLOOKUP($C211,$C$5:$M$24,11,0)+SUMIF($C$25:$C211,$C211,$K$25:$K211)-SUMIF($C$25:$C211,$C211,$L$25:$L211),"")</f>
        <v>188948.1</v>
      </c>
      <c r="N211" s="10"/>
      <c r="O211" s="10"/>
      <c r="P211" s="65"/>
      <c r="Q211" s="10"/>
      <c r="R211" s="10"/>
      <c r="S211" s="54">
        <f t="shared" si="9"/>
        <v>202601</v>
      </c>
      <c r="T211" s="54">
        <f t="shared" si="10"/>
        <v>202601</v>
      </c>
      <c r="U211" s="58" t="str">
        <f t="shared" si="11"/>
        <v/>
      </c>
      <c r="V211" s="58">
        <f>IF(AND($B211&lt;&gt;"",$F211&lt;&gt;"",$F211=项目明细账!$C$2),N(V210)+1,N(V210))</f>
        <v>0</v>
      </c>
      <c r="W211" s="63" t="str">
        <f>IF($H211&lt;&gt;"","项目成本",IFERROR(INDEX(基础资料!$W$4:$W$49,MATCH($I211,基础资料!$V$4:$V$49,0)),""))</f>
        <v>税费</v>
      </c>
      <c r="X211" s="63" t="str">
        <f>IFERROR(INDEX(基础资料!$R$4:$R$17,MATCH($G211,基础资料!$Q$4:$Q$17,0)),"")</f>
        <v/>
      </c>
    </row>
    <row r="212" spans="1:24">
      <c r="A212" s="58">
        <f>IF($B212="","",COUNTA($B$5:$B212))</f>
        <v>208</v>
      </c>
      <c r="B212" s="53">
        <v>46042</v>
      </c>
      <c r="C212" s="46" t="s">
        <v>169</v>
      </c>
      <c r="D212" s="63" t="str">
        <f>IFERROR(INDEX(基础资料!$F$4:$F$23,MATCH($C212,基础资料!$E$4:$E$23,0)),IF($C212="","","未匹配账户"))</f>
        <v>中展</v>
      </c>
      <c r="E212" s="39" t="s">
        <v>488</v>
      </c>
      <c r="F212" s="10"/>
      <c r="G212" s="10"/>
      <c r="H212" s="10"/>
      <c r="I212" s="10" t="s">
        <v>270</v>
      </c>
      <c r="J212" s="69" t="s">
        <v>524</v>
      </c>
      <c r="K212" s="25"/>
      <c r="L212" s="25">
        <v>200</v>
      </c>
      <c r="M212" s="25">
        <f>IFERROR(VLOOKUP($C212,$C$5:$M$24,11,0)+SUMIF($C$25:$C212,$C212,$K$25:$K212)-SUMIF($C$25:$C212,$C212,$L$25:$L212),"")</f>
        <v>188748.1</v>
      </c>
      <c r="N212" s="10"/>
      <c r="O212" s="10"/>
      <c r="P212" s="65"/>
      <c r="Q212" s="10"/>
      <c r="R212" s="10"/>
      <c r="S212" s="54">
        <f t="shared" si="9"/>
        <v>202601</v>
      </c>
      <c r="T212" s="54">
        <f t="shared" si="10"/>
        <v>202601</v>
      </c>
      <c r="U212" s="58" t="str">
        <f t="shared" si="11"/>
        <v/>
      </c>
      <c r="V212" s="58">
        <f>IF(AND($B212&lt;&gt;"",$F212&lt;&gt;"",$F212=项目明细账!$C$2),N(V211)+1,N(V211))</f>
        <v>0</v>
      </c>
      <c r="W212" s="63" t="str">
        <f>IF($H212&lt;&gt;"","项目成本",IFERROR(INDEX(基础资料!$W$4:$W$49,MATCH($I212,基础资料!$V$4:$V$49,0)),""))</f>
        <v>税费</v>
      </c>
      <c r="X212" s="63" t="str">
        <f>IFERROR(INDEX(基础资料!$R$4:$R$17,MATCH($G212,基础资料!$Q$4:$Q$17,0)),"")</f>
        <v/>
      </c>
    </row>
    <row r="213" spans="1:24">
      <c r="A213" s="58">
        <f>IF($B213="","",COUNTA($B$5:$B213))</f>
        <v>209</v>
      </c>
      <c r="B213" s="53">
        <v>46045</v>
      </c>
      <c r="C213" s="46" t="s">
        <v>169</v>
      </c>
      <c r="D213" s="63" t="str">
        <f>IFERROR(INDEX(基础资料!$F$4:$F$23,MATCH($C213,基础资料!$E$4:$E$23,0)),IF($C213="","","未匹配账户"))</f>
        <v>中展</v>
      </c>
      <c r="E213" s="39" t="s">
        <v>488</v>
      </c>
      <c r="F213" s="10" t="s">
        <v>83</v>
      </c>
      <c r="G213" s="10"/>
      <c r="H213" s="10" t="s">
        <v>530</v>
      </c>
      <c r="I213" s="10"/>
      <c r="J213" s="75" t="s">
        <v>629</v>
      </c>
      <c r="K213" s="25"/>
      <c r="L213" s="25">
        <v>2800</v>
      </c>
      <c r="M213" s="25">
        <f>IFERROR(VLOOKUP($C213,$C$5:$M$24,11,0)+SUMIF($C$25:$C213,$C213,$K$25:$K213)-SUMIF($C$25:$C213,$C213,$L$25:$L213),"")</f>
        <v>185948.1</v>
      </c>
      <c r="N213" s="10"/>
      <c r="O213" s="10"/>
      <c r="P213" s="65"/>
      <c r="Q213" s="10"/>
      <c r="R213" s="10"/>
      <c r="S213" s="54">
        <f t="shared" si="9"/>
        <v>202601</v>
      </c>
      <c r="T213" s="54">
        <f t="shared" si="10"/>
        <v>202601</v>
      </c>
      <c r="U213" s="58" t="str">
        <f t="shared" si="11"/>
        <v/>
      </c>
      <c r="V213" s="58">
        <f>IF(AND($B213&lt;&gt;"",$F213&lt;&gt;"",$F213=项目明细账!$C$2),N(V212)+1,N(V212))</f>
        <v>0</v>
      </c>
      <c r="W213" s="63" t="str">
        <f>IF($H213&lt;&gt;"","项目成本",IFERROR(INDEX(基础资料!$W$4:$W$49,MATCH($I213,基础资料!$V$4:$V$49,0)),""))</f>
        <v>项目成本</v>
      </c>
      <c r="X213" s="63" t="str">
        <f>IFERROR(INDEX(基础资料!$R$4:$R$17,MATCH($G213,基础资料!$Q$4:$Q$17,0)),"")</f>
        <v/>
      </c>
    </row>
    <row r="214" spans="1:24">
      <c r="A214" s="58">
        <f>IF($B214="","",COUNTA($B$5:$B214))</f>
        <v>210</v>
      </c>
      <c r="B214" s="53">
        <v>46045</v>
      </c>
      <c r="C214" s="46" t="s">
        <v>169</v>
      </c>
      <c r="D214" s="63" t="str">
        <f>IFERROR(INDEX(基础资料!$F$4:$F$23,MATCH($C214,基础资料!$E$4:$E$23,0)),IF($C214="","","未匹配账户"))</f>
        <v>中展</v>
      </c>
      <c r="E214" s="39" t="s">
        <v>488</v>
      </c>
      <c r="F214" s="10"/>
      <c r="G214" s="10"/>
      <c r="H214" s="10"/>
      <c r="I214" s="10" t="s">
        <v>282</v>
      </c>
      <c r="J214" s="74" t="s">
        <v>489</v>
      </c>
      <c r="K214" s="25"/>
      <c r="L214" s="25">
        <v>4.5</v>
      </c>
      <c r="M214" s="25">
        <f>IFERROR(VLOOKUP($C214,$C$5:$M$24,11,0)+SUMIF($C$25:$C214,$C214,$K$25:$K214)-SUMIF($C$25:$C214,$C214,$L$25:$L214),"")</f>
        <v>185943.6</v>
      </c>
      <c r="N214" s="10"/>
      <c r="O214" s="10"/>
      <c r="P214" s="65"/>
      <c r="Q214" s="10"/>
      <c r="R214" s="10"/>
      <c r="S214" s="54">
        <f t="shared" si="9"/>
        <v>202601</v>
      </c>
      <c r="T214" s="54">
        <f t="shared" si="10"/>
        <v>202601</v>
      </c>
      <c r="U214" s="58" t="str">
        <f t="shared" si="11"/>
        <v/>
      </c>
      <c r="V214" s="58">
        <f>IF(AND($B214&lt;&gt;"",$F214&lt;&gt;"",$F214=项目明细账!$C$2),N(V213)+1,N(V213))</f>
        <v>0</v>
      </c>
      <c r="W214" s="63" t="str">
        <f>IF($H214&lt;&gt;"","项目成本",IFERROR(INDEX(基础资料!$W$4:$W$49,MATCH($I214,基础资料!$V$4:$V$49,0)),""))</f>
        <v>财务费用</v>
      </c>
      <c r="X214" s="63" t="str">
        <f>IFERROR(INDEX(基础资料!$R$4:$R$17,MATCH($G214,基础资料!$Q$4:$Q$17,0)),"")</f>
        <v/>
      </c>
    </row>
    <row r="215" spans="1:24">
      <c r="A215" s="58">
        <f>IF($B215="","",COUNTA($B$5:$B215))</f>
        <v>211</v>
      </c>
      <c r="B215" s="53">
        <v>46046</v>
      </c>
      <c r="C215" s="46" t="s">
        <v>169</v>
      </c>
      <c r="D215" s="63" t="str">
        <f>IFERROR(INDEX(基础资料!$F$4:$F$23,MATCH($C215,基础资料!$E$4:$E$23,0)),IF($C215="","","未匹配账户"))</f>
        <v>中展</v>
      </c>
      <c r="E215" s="39" t="s">
        <v>488</v>
      </c>
      <c r="F215" s="10" t="s">
        <v>319</v>
      </c>
      <c r="G215" s="10"/>
      <c r="H215" s="10"/>
      <c r="I215" s="10"/>
      <c r="J215" s="67" t="s">
        <v>537</v>
      </c>
      <c r="K215" s="25"/>
      <c r="L215" s="25">
        <v>786</v>
      </c>
      <c r="M215" s="25">
        <f>IFERROR(VLOOKUP($C215,$C$5:$M$24,11,0)+SUMIF($C$25:$C215,$C215,$K$25:$K215)-SUMIF($C$25:$C215,$C215,$L$25:$L215),"")</f>
        <v>185157.6</v>
      </c>
      <c r="N215" s="10"/>
      <c r="O215" s="10"/>
      <c r="P215" s="65"/>
      <c r="Q215" s="10"/>
      <c r="R215" s="10"/>
      <c r="S215" s="54">
        <f t="shared" si="9"/>
        <v>202601</v>
      </c>
      <c r="T215" s="54">
        <f t="shared" si="10"/>
        <v>202601</v>
      </c>
      <c r="U215" s="58" t="str">
        <f t="shared" si="11"/>
        <v/>
      </c>
      <c r="V215" s="58">
        <f>IF(AND($B215&lt;&gt;"",$F215&lt;&gt;"",$F215=项目明细账!$C$2),N(V214)+1,N(V214))</f>
        <v>0</v>
      </c>
      <c r="W215" s="63" t="str">
        <f>IF($H215&lt;&gt;"","项目成本",IFERROR(INDEX(基础资料!$W$4:$W$49,MATCH($I215,基础资料!$V$4:$V$49,0)),""))</f>
        <v/>
      </c>
      <c r="X215" s="63" t="str">
        <f>IFERROR(INDEX(基础资料!$R$4:$R$17,MATCH($G215,基础资料!$Q$4:$Q$17,0)),"")</f>
        <v/>
      </c>
    </row>
    <row r="216" spans="1:24">
      <c r="A216" s="58">
        <f>IF($B216="","",COUNTA($B$5:$B216))</f>
        <v>212</v>
      </c>
      <c r="B216" s="53">
        <v>46046</v>
      </c>
      <c r="C216" s="46" t="s">
        <v>169</v>
      </c>
      <c r="D216" s="63" t="str">
        <f>IFERROR(INDEX(基础资料!$F$4:$F$23,MATCH($C216,基础资料!$E$4:$E$23,0)),IF($C216="","","未匹配账户"))</f>
        <v>中展</v>
      </c>
      <c r="E216" s="39" t="s">
        <v>488</v>
      </c>
      <c r="F216" s="10" t="s">
        <v>151</v>
      </c>
      <c r="G216" s="10"/>
      <c r="H216" s="10"/>
      <c r="I216" s="10"/>
      <c r="J216" s="67" t="s">
        <v>537</v>
      </c>
      <c r="K216" s="25"/>
      <c r="L216" s="25">
        <v>1704</v>
      </c>
      <c r="M216" s="25">
        <f>IFERROR(VLOOKUP($C216,$C$5:$M$24,11,0)+SUMIF($C$25:$C216,$C216,$K$25:$K216)-SUMIF($C$25:$C216,$C216,$L$25:$L216),"")</f>
        <v>183453.6</v>
      </c>
      <c r="N216" s="10"/>
      <c r="O216" s="10"/>
      <c r="P216" s="65"/>
      <c r="Q216" s="10"/>
      <c r="R216" s="10"/>
      <c r="S216" s="54">
        <f t="shared" si="9"/>
        <v>202601</v>
      </c>
      <c r="T216" s="54">
        <f t="shared" si="10"/>
        <v>202601</v>
      </c>
      <c r="U216" s="58" t="str">
        <f t="shared" si="11"/>
        <v/>
      </c>
      <c r="V216" s="58">
        <f>IF(AND($B216&lt;&gt;"",$F216&lt;&gt;"",$F216=项目明细账!$C$2),N(V215)+1,N(V215))</f>
        <v>0</v>
      </c>
      <c r="W216" s="63" t="str">
        <f>IF($H216&lt;&gt;"","项目成本",IFERROR(INDEX(基础资料!$W$4:$W$49,MATCH($I216,基础资料!$V$4:$V$49,0)),""))</f>
        <v/>
      </c>
      <c r="X216" s="63" t="str">
        <f>IFERROR(INDEX(基础资料!$R$4:$R$17,MATCH($G216,基础资料!$Q$4:$Q$17,0)),"")</f>
        <v/>
      </c>
    </row>
    <row r="217" spans="1:24">
      <c r="A217" s="58">
        <f>IF($B217="","",COUNTA($B$5:$B217))</f>
        <v>213</v>
      </c>
      <c r="B217" s="53">
        <v>46046</v>
      </c>
      <c r="C217" s="46" t="s">
        <v>169</v>
      </c>
      <c r="D217" s="63" t="str">
        <f>IFERROR(INDEX(基础资料!$F$4:$F$23,MATCH($C217,基础资料!$E$4:$E$23,0)),IF($C217="","","未匹配账户"))</f>
        <v>中展</v>
      </c>
      <c r="E217" s="39" t="s">
        <v>488</v>
      </c>
      <c r="F217" s="10" t="s">
        <v>83</v>
      </c>
      <c r="G217" s="10"/>
      <c r="H217" s="10"/>
      <c r="I217" s="10"/>
      <c r="J217" s="67" t="s">
        <v>537</v>
      </c>
      <c r="K217" s="25"/>
      <c r="L217" s="25">
        <v>510</v>
      </c>
      <c r="M217" s="25">
        <f>IFERROR(VLOOKUP($C217,$C$5:$M$24,11,0)+SUMIF($C$25:$C217,$C217,$K$25:$K217)-SUMIF($C$25:$C217,$C217,$L$25:$L217),"")</f>
        <v>182943.6</v>
      </c>
      <c r="N217" s="10"/>
      <c r="O217" s="10"/>
      <c r="P217" s="65"/>
      <c r="Q217" s="10"/>
      <c r="R217" s="10"/>
      <c r="S217" s="54">
        <f t="shared" si="9"/>
        <v>202601</v>
      </c>
      <c r="T217" s="54">
        <f t="shared" si="10"/>
        <v>202601</v>
      </c>
      <c r="U217" s="58" t="str">
        <f t="shared" si="11"/>
        <v/>
      </c>
      <c r="V217" s="58">
        <f>IF(AND($B217&lt;&gt;"",$F217&lt;&gt;"",$F217=项目明细账!$C$2),N(V216)+1,N(V216))</f>
        <v>0</v>
      </c>
      <c r="W217" s="63" t="str">
        <f>IF($H217&lt;&gt;"","项目成本",IFERROR(INDEX(基础资料!$W$4:$W$49,MATCH($I217,基础资料!$V$4:$V$49,0)),""))</f>
        <v/>
      </c>
      <c r="X217" s="63" t="str">
        <f>IFERROR(INDEX(基础资料!$R$4:$R$17,MATCH($G217,基础资料!$Q$4:$Q$17,0)),"")</f>
        <v/>
      </c>
    </row>
    <row r="218" spans="1:24">
      <c r="A218" s="58">
        <f>IF($B218="","",COUNTA($B$5:$B218))</f>
        <v>214</v>
      </c>
      <c r="B218" s="53">
        <v>46046</v>
      </c>
      <c r="C218" s="46" t="s">
        <v>169</v>
      </c>
      <c r="D218" s="63" t="str">
        <f>IFERROR(INDEX(基础资料!$F$4:$F$23,MATCH($C218,基础资料!$E$4:$E$23,0)),IF($C218="","","未匹配账户"))</f>
        <v>中展</v>
      </c>
      <c r="E218" s="39" t="s">
        <v>488</v>
      </c>
      <c r="F218" s="10"/>
      <c r="G218" s="10"/>
      <c r="H218" s="10"/>
      <c r="I218" s="10" t="s">
        <v>282</v>
      </c>
      <c r="J218" s="10" t="s">
        <v>489</v>
      </c>
      <c r="K218" s="25"/>
      <c r="L218" s="25">
        <v>4.5</v>
      </c>
      <c r="M218" s="25">
        <f>IFERROR(VLOOKUP($C218,$C$5:$M$24,11,0)+SUMIF($C$25:$C218,$C218,$K$25:$K218)-SUMIF($C$25:$C218,$C218,$L$25:$L218),"")</f>
        <v>182939.1</v>
      </c>
      <c r="N218" s="10"/>
      <c r="O218" s="10"/>
      <c r="P218" s="65"/>
      <c r="Q218" s="10"/>
      <c r="R218" s="10"/>
      <c r="S218" s="54">
        <f t="shared" si="9"/>
        <v>202601</v>
      </c>
      <c r="T218" s="54">
        <f t="shared" si="10"/>
        <v>202601</v>
      </c>
      <c r="U218" s="58" t="str">
        <f t="shared" si="11"/>
        <v/>
      </c>
      <c r="V218" s="58">
        <f>IF(AND($B218&lt;&gt;"",$F218&lt;&gt;"",$F218=项目明细账!$C$2),N(V217)+1,N(V217))</f>
        <v>0</v>
      </c>
      <c r="W218" s="63" t="str">
        <f>IF($H218&lt;&gt;"","项目成本",IFERROR(INDEX(基础资料!$W$4:$W$49,MATCH($I218,基础资料!$V$4:$V$49,0)),""))</f>
        <v>财务费用</v>
      </c>
      <c r="X218" s="63" t="str">
        <f>IFERROR(INDEX(基础资料!$R$4:$R$17,MATCH($G218,基础资料!$Q$4:$Q$17,0)),"")</f>
        <v/>
      </c>
    </row>
    <row r="219" spans="1:24">
      <c r="A219" s="58">
        <f>IF($B219="","",COUNTA($B$5:$B219))</f>
        <v>215</v>
      </c>
      <c r="B219" s="76">
        <v>46025</v>
      </c>
      <c r="C219" s="46" t="s">
        <v>197</v>
      </c>
      <c r="D219" s="63" t="str">
        <f>IFERROR(INDEX(基础资料!$F$4:$F$23,MATCH($C219,基础资料!$E$4:$E$23,0)),IF($C219="","","未匹配账户"))</f>
        <v>卓卓通</v>
      </c>
      <c r="E219" s="39" t="s">
        <v>488</v>
      </c>
      <c r="F219" s="10"/>
      <c r="G219" s="10"/>
      <c r="H219" s="10"/>
      <c r="I219" s="10" t="s">
        <v>234</v>
      </c>
      <c r="J219" s="69" t="s">
        <v>630</v>
      </c>
      <c r="K219" s="25"/>
      <c r="L219" s="25">
        <v>100</v>
      </c>
      <c r="M219" s="25">
        <f>IFERROR(VLOOKUP($C219,$C$5:$M$24,11,0)+SUMIF($C$25:$C219,$C219,$K$25:$K219)-SUMIF($C$25:$C219,$C219,$L$25:$L219),"")</f>
        <v>283569.65</v>
      </c>
      <c r="N219" s="10"/>
      <c r="O219" s="10"/>
      <c r="P219" s="65"/>
      <c r="Q219" s="10"/>
      <c r="R219" s="10"/>
      <c r="S219" s="54">
        <f t="shared" si="9"/>
        <v>202601</v>
      </c>
      <c r="T219" s="54">
        <f t="shared" si="10"/>
        <v>202601</v>
      </c>
      <c r="U219" s="58" t="str">
        <f t="shared" si="11"/>
        <v/>
      </c>
      <c r="V219" s="58">
        <f>IF(AND($B219&lt;&gt;"",$F219&lt;&gt;"",$F219=项目明细账!$C$2),N(V218)+1,N(V218))</f>
        <v>0</v>
      </c>
      <c r="W219" s="63" t="str">
        <f>IF($H219&lt;&gt;"","项目成本",IFERROR(INDEX(基础资料!$W$4:$W$49,MATCH($I219,基础资料!$V$4:$V$49,0)),""))</f>
        <v>管理费用</v>
      </c>
      <c r="X219" s="63" t="str">
        <f>IFERROR(INDEX(基础资料!$R$4:$R$17,MATCH($G219,基础资料!$Q$4:$Q$17,0)),"")</f>
        <v/>
      </c>
    </row>
    <row r="220" spans="1:24">
      <c r="A220" s="58">
        <f>IF($B220="","",COUNTA($B$5:$B220))</f>
        <v>216</v>
      </c>
      <c r="B220" s="76">
        <v>46026</v>
      </c>
      <c r="C220" s="46" t="s">
        <v>197</v>
      </c>
      <c r="D220" s="63" t="str">
        <f>IFERROR(INDEX(基础资料!$F$4:$F$23,MATCH($C220,基础资料!$E$4:$E$23,0)),IF($C220="","","未匹配账户"))</f>
        <v>卓卓通</v>
      </c>
      <c r="E220" s="39" t="s">
        <v>488</v>
      </c>
      <c r="F220" s="10" t="s">
        <v>320</v>
      </c>
      <c r="G220" s="10"/>
      <c r="H220" s="10"/>
      <c r="I220" s="10"/>
      <c r="J220" s="69" t="s">
        <v>631</v>
      </c>
      <c r="K220" s="25"/>
      <c r="L220" s="25">
        <v>4200</v>
      </c>
      <c r="M220" s="25">
        <f>IFERROR(VLOOKUP($C220,$C$5:$M$24,11,0)+SUMIF($C$25:$C220,$C220,$K$25:$K220)-SUMIF($C$25:$C220,$C220,$L$25:$L220),"")</f>
        <v>279369.65</v>
      </c>
      <c r="N220" s="10"/>
      <c r="O220" s="10"/>
      <c r="P220" s="65"/>
      <c r="Q220" s="10"/>
      <c r="R220" s="10"/>
      <c r="S220" s="54">
        <f t="shared" si="9"/>
        <v>202601</v>
      </c>
      <c r="T220" s="54">
        <f t="shared" si="10"/>
        <v>202601</v>
      </c>
      <c r="U220" s="58" t="str">
        <f t="shared" si="11"/>
        <v/>
      </c>
      <c r="V220" s="58">
        <f>IF(AND($B220&lt;&gt;"",$F220&lt;&gt;"",$F220=项目明细账!$C$2),N(V219)+1,N(V219))</f>
        <v>0</v>
      </c>
      <c r="W220" s="63" t="str">
        <f>IF($H220&lt;&gt;"","项目成本",IFERROR(INDEX(基础资料!$W$4:$W$49,MATCH($I220,基础资料!$V$4:$V$49,0)),""))</f>
        <v/>
      </c>
      <c r="X220" s="63" t="str">
        <f>IFERROR(INDEX(基础资料!$R$4:$R$17,MATCH($G220,基础资料!$Q$4:$Q$17,0)),"")</f>
        <v/>
      </c>
    </row>
    <row r="221" spans="1:24">
      <c r="A221" s="58">
        <f>IF($B221="","",COUNTA($B$5:$B221))</f>
        <v>217</v>
      </c>
      <c r="B221" s="76">
        <v>46028</v>
      </c>
      <c r="C221" s="46" t="s">
        <v>197</v>
      </c>
      <c r="D221" s="63" t="str">
        <f>IFERROR(INDEX(基础资料!$F$4:$F$23,MATCH($C221,基础资料!$E$4:$E$23,0)),IF($C221="","","未匹配账户"))</f>
        <v>卓卓通</v>
      </c>
      <c r="E221" s="39" t="s">
        <v>488</v>
      </c>
      <c r="F221" s="10"/>
      <c r="G221" s="10"/>
      <c r="H221" s="10"/>
      <c r="I221" s="10" t="s">
        <v>262</v>
      </c>
      <c r="J221" s="69" t="s">
        <v>522</v>
      </c>
      <c r="K221" s="25"/>
      <c r="L221" s="25">
        <v>5623.3</v>
      </c>
      <c r="M221" s="25">
        <f>IFERROR(VLOOKUP($C221,$C$5:$M$24,11,0)+SUMIF($C$25:$C221,$C221,$K$25:$K221)-SUMIF($C$25:$C221,$C221,$L$25:$L221),"")</f>
        <v>273746.35</v>
      </c>
      <c r="N221" s="10"/>
      <c r="O221" s="10"/>
      <c r="P221" s="65"/>
      <c r="Q221" s="10"/>
      <c r="R221" s="10"/>
      <c r="S221" s="54">
        <f t="shared" si="9"/>
        <v>202601</v>
      </c>
      <c r="T221" s="54">
        <f t="shared" si="10"/>
        <v>202601</v>
      </c>
      <c r="U221" s="58" t="str">
        <f t="shared" si="11"/>
        <v/>
      </c>
      <c r="V221" s="58">
        <f>IF(AND($B221&lt;&gt;"",$F221&lt;&gt;"",$F221=项目明细账!$C$2),N(V220)+1,N(V220))</f>
        <v>0</v>
      </c>
      <c r="W221" s="63" t="str">
        <f>IF($H221&lt;&gt;"","项目成本",IFERROR(INDEX(基础资料!$W$4:$W$49,MATCH($I221,基础资料!$V$4:$V$49,0)),""))</f>
        <v>税费</v>
      </c>
      <c r="X221" s="63" t="str">
        <f>IFERROR(INDEX(基础资料!$R$4:$R$17,MATCH($G221,基础资料!$Q$4:$Q$17,0)),"")</f>
        <v/>
      </c>
    </row>
    <row r="222" spans="1:24">
      <c r="A222" s="58">
        <f>IF($B222="","",COUNTA($B$5:$B222))</f>
        <v>218</v>
      </c>
      <c r="B222" s="76">
        <v>46042</v>
      </c>
      <c r="C222" s="46" t="s">
        <v>197</v>
      </c>
      <c r="D222" s="63" t="str">
        <f>IFERROR(INDEX(基础资料!$F$4:$F$23,MATCH($C222,基础资料!$E$4:$E$23,0)),IF($C222="","","未匹配账户"))</f>
        <v>卓卓通</v>
      </c>
      <c r="E222" s="39" t="s">
        <v>488</v>
      </c>
      <c r="F222" s="10"/>
      <c r="G222" s="10"/>
      <c r="H222" s="10"/>
      <c r="I222" s="10" t="s">
        <v>273</v>
      </c>
      <c r="J222" s="69" t="s">
        <v>632</v>
      </c>
      <c r="K222" s="25"/>
      <c r="L222" s="25">
        <v>5305.03</v>
      </c>
      <c r="M222" s="25">
        <f>IFERROR(VLOOKUP($C222,$C$5:$M$24,11,0)+SUMIF($C$25:$C222,$C222,$K$25:$K222)-SUMIF($C$25:$C222,$C222,$L$25:$L222),"")</f>
        <v>268441.32</v>
      </c>
      <c r="N222" s="10"/>
      <c r="O222" s="10"/>
      <c r="P222" s="65"/>
      <c r="Q222" s="10"/>
      <c r="R222" s="10"/>
      <c r="S222" s="54">
        <f t="shared" si="9"/>
        <v>202601</v>
      </c>
      <c r="T222" s="54">
        <f t="shared" si="10"/>
        <v>202601</v>
      </c>
      <c r="U222" s="58" t="str">
        <f t="shared" si="11"/>
        <v/>
      </c>
      <c r="V222" s="58">
        <f>IF(AND($B222&lt;&gt;"",$F222&lt;&gt;"",$F222=项目明细账!$C$2),N(V221)+1,N(V221))</f>
        <v>0</v>
      </c>
      <c r="W222" s="63" t="str">
        <f>IF($H222&lt;&gt;"","项目成本",IFERROR(INDEX(基础资料!$W$4:$W$49,MATCH($I222,基础资料!$V$4:$V$49,0)),""))</f>
        <v>税费</v>
      </c>
      <c r="X222" s="63" t="str">
        <f>IFERROR(INDEX(基础资料!$R$4:$R$17,MATCH($G222,基础资料!$Q$4:$Q$17,0)),"")</f>
        <v/>
      </c>
    </row>
    <row r="223" spans="1:24">
      <c r="A223" s="58">
        <f>IF($B223="","",COUNTA($B$5:$B223))</f>
        <v>219</v>
      </c>
      <c r="B223" s="76">
        <v>46043</v>
      </c>
      <c r="C223" s="46" t="s">
        <v>197</v>
      </c>
      <c r="D223" s="63" t="str">
        <f>IFERROR(INDEX(基础资料!$F$4:$F$23,MATCH($C223,基础资料!$E$4:$E$23,0)),IF($C223="","","未匹配账户"))</f>
        <v>卓卓通</v>
      </c>
      <c r="E223" s="39" t="s">
        <v>488</v>
      </c>
      <c r="F223" s="10"/>
      <c r="G223" s="10"/>
      <c r="H223" s="10"/>
      <c r="I223" s="10" t="s">
        <v>165</v>
      </c>
      <c r="J223" s="69" t="s">
        <v>633</v>
      </c>
      <c r="K223" s="25"/>
      <c r="L223" s="25">
        <v>10000</v>
      </c>
      <c r="M223" s="25">
        <f>IFERROR(VLOOKUP($C223,$C$5:$M$24,11,0)+SUMIF($C$25:$C223,$C223,$K$25:$K223)-SUMIF($C$25:$C223,$C223,$L$25:$L223),"")</f>
        <v>258441.32</v>
      </c>
      <c r="N223" s="10"/>
      <c r="O223" s="10"/>
      <c r="P223" s="65"/>
      <c r="Q223" s="10"/>
      <c r="R223" s="10"/>
      <c r="S223" s="54">
        <f t="shared" si="9"/>
        <v>202601</v>
      </c>
      <c r="T223" s="54">
        <f t="shared" si="10"/>
        <v>202601</v>
      </c>
      <c r="U223" s="58" t="str">
        <f t="shared" si="11"/>
        <v/>
      </c>
      <c r="V223" s="58">
        <f>IF(AND($B223&lt;&gt;"",$F223&lt;&gt;"",$F223=项目明细账!$C$2),N(V222)+1,N(V222))</f>
        <v>0</v>
      </c>
      <c r="W223" s="63" t="str">
        <f>IF($H223&lt;&gt;"","项目成本",IFERROR(INDEX(基础资料!$W$4:$W$49,MATCH($I223,基础资料!$V$4:$V$49,0)),""))</f>
        <v>管理费用</v>
      </c>
      <c r="X223" s="63" t="str">
        <f>IFERROR(INDEX(基础资料!$R$4:$R$17,MATCH($G223,基础资料!$Q$4:$Q$17,0)),"")</f>
        <v/>
      </c>
    </row>
    <row r="224" spans="1:24">
      <c r="A224" s="58">
        <f>IF($B224="","",COUNTA($B$5:$B224))</f>
        <v>220</v>
      </c>
      <c r="B224" s="76">
        <v>46050</v>
      </c>
      <c r="C224" s="46" t="s">
        <v>197</v>
      </c>
      <c r="D224" s="63" t="str">
        <f>IFERROR(INDEX(基础资料!$F$4:$F$23,MATCH($C224,基础资料!$E$4:$E$23,0)),IF($C224="","","未匹配账户"))</f>
        <v>卓卓通</v>
      </c>
      <c r="E224" s="39" t="s">
        <v>488</v>
      </c>
      <c r="F224" s="10"/>
      <c r="G224" s="10"/>
      <c r="H224" s="10"/>
      <c r="I224" s="10" t="s">
        <v>234</v>
      </c>
      <c r="J224" s="69" t="s">
        <v>634</v>
      </c>
      <c r="K224" s="25"/>
      <c r="L224" s="25">
        <v>500</v>
      </c>
      <c r="M224" s="25">
        <f>IFERROR(VLOOKUP($C224,$C$5:$M$24,11,0)+SUMIF($C$25:$C224,$C224,$K$25:$K224)-SUMIF($C$25:$C224,$C224,$L$25:$L224),"")</f>
        <v>257941.32</v>
      </c>
      <c r="N224" s="10"/>
      <c r="O224" s="10"/>
      <c r="P224" s="65"/>
      <c r="Q224" s="10"/>
      <c r="R224" s="10"/>
      <c r="S224" s="54">
        <f t="shared" si="9"/>
        <v>202601</v>
      </c>
      <c r="T224" s="54">
        <f t="shared" si="10"/>
        <v>202601</v>
      </c>
      <c r="U224" s="58" t="str">
        <f t="shared" si="11"/>
        <v/>
      </c>
      <c r="V224" s="58">
        <f>IF(AND($B224&lt;&gt;"",$F224&lt;&gt;"",$F224=项目明细账!$C$2),N(V223)+1,N(V223))</f>
        <v>0</v>
      </c>
      <c r="W224" s="63" t="str">
        <f>IF($H224&lt;&gt;"","项目成本",IFERROR(INDEX(基础资料!$W$4:$W$49,MATCH($I224,基础资料!$V$4:$V$49,0)),""))</f>
        <v>管理费用</v>
      </c>
      <c r="X224" s="63" t="str">
        <f>IFERROR(INDEX(基础资料!$R$4:$R$17,MATCH($G224,基础资料!$Q$4:$Q$17,0)),"")</f>
        <v/>
      </c>
    </row>
    <row r="225" spans="1:24">
      <c r="A225" s="58">
        <f>IF($B225="","",COUNTA($B$5:$B225))</f>
        <v>221</v>
      </c>
      <c r="B225" s="76">
        <v>46053</v>
      </c>
      <c r="C225" s="46" t="s">
        <v>197</v>
      </c>
      <c r="D225" s="63" t="str">
        <f>IFERROR(INDEX(基础资料!$F$4:$F$23,MATCH($C225,基础资料!$E$4:$E$23,0)),IF($C225="","","未匹配账户"))</f>
        <v>卓卓通</v>
      </c>
      <c r="E225" s="39" t="s">
        <v>488</v>
      </c>
      <c r="F225" s="10" t="s">
        <v>311</v>
      </c>
      <c r="G225" s="10"/>
      <c r="H225" s="10" t="s">
        <v>538</v>
      </c>
      <c r="I225" s="10"/>
      <c r="J225" s="69" t="s">
        <v>635</v>
      </c>
      <c r="K225" s="25"/>
      <c r="L225" s="25">
        <v>2000</v>
      </c>
      <c r="M225" s="25">
        <f>IFERROR(VLOOKUP($C225,$C$5:$M$24,11,0)+SUMIF($C$25:$C225,$C225,$K$25:$K225)-SUMIF($C$25:$C225,$C225,$L$25:$L225),"")</f>
        <v>255941.32</v>
      </c>
      <c r="N225" s="10"/>
      <c r="O225" s="10"/>
      <c r="P225" s="65"/>
      <c r="Q225" s="10"/>
      <c r="R225" s="10"/>
      <c r="S225" s="54">
        <f t="shared" si="9"/>
        <v>202601</v>
      </c>
      <c r="T225" s="54">
        <f t="shared" si="10"/>
        <v>202601</v>
      </c>
      <c r="U225" s="58" t="str">
        <f t="shared" si="11"/>
        <v/>
      </c>
      <c r="V225" s="58">
        <f>IF(AND($B225&lt;&gt;"",$F225&lt;&gt;"",$F225=项目明细账!$C$2),N(V224)+1,N(V224))</f>
        <v>0</v>
      </c>
      <c r="W225" s="63" t="str">
        <f>IF($H225&lt;&gt;"","项目成本",IFERROR(INDEX(基础资料!$W$4:$W$49,MATCH($I225,基础资料!$V$4:$V$49,0)),""))</f>
        <v>项目成本</v>
      </c>
      <c r="X225" s="63" t="str">
        <f>IFERROR(INDEX(基础资料!$R$4:$R$17,MATCH($G225,基础资料!$Q$4:$Q$17,0)),"")</f>
        <v/>
      </c>
    </row>
    <row r="226" spans="1:24">
      <c r="A226" s="58">
        <f>IF($B226="","",COUNTA($B$5:$B226))</f>
        <v>222</v>
      </c>
      <c r="B226" s="77">
        <v>46031</v>
      </c>
      <c r="C226" s="46" t="s">
        <v>204</v>
      </c>
      <c r="D226" s="63" t="str">
        <f>IFERROR(INDEX(基础资料!$F$4:$F$23,MATCH($C226,基础资料!$E$4:$E$23,0)),IF($C226="","","未匹配账户"))</f>
        <v>财兴通</v>
      </c>
      <c r="E226" s="39" t="s">
        <v>488</v>
      </c>
      <c r="F226" s="10"/>
      <c r="G226" s="10"/>
      <c r="H226" s="10"/>
      <c r="I226" s="10" t="s">
        <v>234</v>
      </c>
      <c r="J226" s="69" t="s">
        <v>586</v>
      </c>
      <c r="K226" s="25"/>
      <c r="L226" s="25">
        <v>37721</v>
      </c>
      <c r="M226" s="25">
        <f>IFERROR(VLOOKUP($C226,$C$5:$M$24,11,0)+SUMIF($C$25:$C226,$C226,$K$25:$K226)-SUMIF($C$25:$C226,$C226,$L$25:$L226),"")</f>
        <v>136451.53</v>
      </c>
      <c r="N226" s="10"/>
      <c r="O226" s="10"/>
      <c r="P226" s="65"/>
      <c r="Q226" s="10"/>
      <c r="R226" s="10"/>
      <c r="S226" s="54">
        <f t="shared" si="9"/>
        <v>202601</v>
      </c>
      <c r="T226" s="54">
        <f t="shared" si="10"/>
        <v>202601</v>
      </c>
      <c r="U226" s="58" t="str">
        <f t="shared" si="11"/>
        <v/>
      </c>
      <c r="V226" s="58">
        <f>IF(AND($B226&lt;&gt;"",$F226&lt;&gt;"",$F226=项目明细账!$C$2),N(V225)+1,N(V225))</f>
        <v>0</v>
      </c>
      <c r="W226" s="63" t="str">
        <f>IF($H226&lt;&gt;"","项目成本",IFERROR(INDEX(基础资料!$W$4:$W$49,MATCH($I226,基础资料!$V$4:$V$49,0)),""))</f>
        <v>管理费用</v>
      </c>
      <c r="X226" s="63" t="str">
        <f>IFERROR(INDEX(基础资料!$R$4:$R$17,MATCH($G226,基础资料!$Q$4:$Q$17,0)),"")</f>
        <v/>
      </c>
    </row>
    <row r="227" spans="1:24">
      <c r="A227" s="58">
        <f>IF($B227="","",COUNTA($B$5:$B227))</f>
        <v>223</v>
      </c>
      <c r="B227" s="77">
        <v>46036</v>
      </c>
      <c r="C227" s="46" t="s">
        <v>204</v>
      </c>
      <c r="D227" s="63" t="str">
        <f>IFERROR(INDEX(基础资料!$F$4:$F$23,MATCH($C227,基础资料!$E$4:$E$23,0)),IF($C227="","","未匹配账户"))</f>
        <v>财兴通</v>
      </c>
      <c r="E227" s="39" t="s">
        <v>488</v>
      </c>
      <c r="F227" s="10"/>
      <c r="G227" s="10"/>
      <c r="H227" s="10"/>
      <c r="I227" s="10" t="s">
        <v>234</v>
      </c>
      <c r="J227" s="69" t="s">
        <v>636</v>
      </c>
      <c r="K227" s="25"/>
      <c r="L227" s="25">
        <v>5000</v>
      </c>
      <c r="M227" s="25">
        <f>IFERROR(VLOOKUP($C227,$C$5:$M$24,11,0)+SUMIF($C$25:$C227,$C227,$K$25:$K227)-SUMIF($C$25:$C227,$C227,$L$25:$L227),"")</f>
        <v>131451.53</v>
      </c>
      <c r="N227" s="10"/>
      <c r="O227" s="10"/>
      <c r="P227" s="65"/>
      <c r="Q227" s="10"/>
      <c r="R227" s="10"/>
      <c r="S227" s="54">
        <f t="shared" si="9"/>
        <v>202601</v>
      </c>
      <c r="T227" s="54">
        <f t="shared" si="10"/>
        <v>202601</v>
      </c>
      <c r="U227" s="58" t="str">
        <f t="shared" si="11"/>
        <v/>
      </c>
      <c r="V227" s="58">
        <f>IF(AND($B227&lt;&gt;"",$F227&lt;&gt;"",$F227=项目明细账!$C$2),N(V226)+1,N(V226))</f>
        <v>0</v>
      </c>
      <c r="W227" s="63" t="str">
        <f>IF($H227&lt;&gt;"","项目成本",IFERROR(INDEX(基础资料!$W$4:$W$49,MATCH($I227,基础资料!$V$4:$V$49,0)),""))</f>
        <v>管理费用</v>
      </c>
      <c r="X227" s="63" t="str">
        <f>IFERROR(INDEX(基础资料!$R$4:$R$17,MATCH($G227,基础资料!$Q$4:$Q$17,0)),"")</f>
        <v/>
      </c>
    </row>
    <row r="228" spans="1:24">
      <c r="A228" s="58">
        <f>IF($B228="","",COUNTA($B$5:$B228))</f>
        <v>224</v>
      </c>
      <c r="B228" s="77">
        <v>46036</v>
      </c>
      <c r="C228" s="46" t="s">
        <v>204</v>
      </c>
      <c r="D228" s="63" t="str">
        <f>IFERROR(INDEX(基础资料!$F$4:$F$23,MATCH($C228,基础资料!$E$4:$E$23,0)),IF($C228="","","未匹配账户"))</f>
        <v>财兴通</v>
      </c>
      <c r="E228" s="39" t="s">
        <v>488</v>
      </c>
      <c r="F228" s="10"/>
      <c r="G228" s="10"/>
      <c r="H228" s="10"/>
      <c r="I228" s="10" t="s">
        <v>234</v>
      </c>
      <c r="J228" s="69" t="s">
        <v>634</v>
      </c>
      <c r="K228" s="25"/>
      <c r="L228" s="25">
        <v>20000</v>
      </c>
      <c r="M228" s="25">
        <f>IFERROR(VLOOKUP($C228,$C$5:$M$24,11,0)+SUMIF($C$25:$C228,$C228,$K$25:$K228)-SUMIF($C$25:$C228,$C228,$L$25:$L228),"")</f>
        <v>111451.53</v>
      </c>
      <c r="N228" s="10"/>
      <c r="O228" s="10"/>
      <c r="P228" s="65"/>
      <c r="Q228" s="10"/>
      <c r="R228" s="10"/>
      <c r="S228" s="54">
        <f t="shared" si="9"/>
        <v>202601</v>
      </c>
      <c r="T228" s="54">
        <f t="shared" si="10"/>
        <v>202601</v>
      </c>
      <c r="U228" s="58" t="str">
        <f t="shared" si="11"/>
        <v/>
      </c>
      <c r="V228" s="58">
        <f>IF(AND($B228&lt;&gt;"",$F228&lt;&gt;"",$F228=项目明细账!$C$2),N(V227)+1,N(V227))</f>
        <v>0</v>
      </c>
      <c r="W228" s="63" t="str">
        <f>IF($H228&lt;&gt;"","项目成本",IFERROR(INDEX(基础资料!$W$4:$W$49,MATCH($I228,基础资料!$V$4:$V$49,0)),""))</f>
        <v>管理费用</v>
      </c>
      <c r="X228" s="63" t="str">
        <f>IFERROR(INDEX(基础资料!$R$4:$R$17,MATCH($G228,基础资料!$Q$4:$Q$17,0)),"")</f>
        <v/>
      </c>
    </row>
    <row r="229" spans="1:24">
      <c r="A229" s="58">
        <f>IF($B229="","",COUNTA($B$5:$B229))</f>
        <v>225</v>
      </c>
      <c r="B229" s="77">
        <v>46036</v>
      </c>
      <c r="C229" s="46" t="s">
        <v>204</v>
      </c>
      <c r="D229" s="63" t="str">
        <f>IFERROR(INDEX(基础资料!$F$4:$F$23,MATCH($C229,基础资料!$E$4:$E$23,0)),IF($C229="","","未匹配账户"))</f>
        <v>财兴通</v>
      </c>
      <c r="E229" s="39" t="s">
        <v>488</v>
      </c>
      <c r="F229" s="10"/>
      <c r="G229" s="10"/>
      <c r="H229" s="10"/>
      <c r="I229" s="10" t="s">
        <v>237</v>
      </c>
      <c r="J229" s="70" t="s">
        <v>637</v>
      </c>
      <c r="K229" s="25"/>
      <c r="L229" s="25">
        <v>2741.9</v>
      </c>
      <c r="M229" s="25">
        <f>IFERROR(VLOOKUP($C229,$C$5:$M$24,11,0)+SUMIF($C$25:$C229,$C229,$K$25:$K229)-SUMIF($C$25:$C229,$C229,$L$25:$L229),"")</f>
        <v>108709.63</v>
      </c>
      <c r="N229" s="10"/>
      <c r="O229" s="10"/>
      <c r="P229" s="65"/>
      <c r="Q229" s="10"/>
      <c r="R229" s="10"/>
      <c r="S229" s="54">
        <f t="shared" si="9"/>
        <v>202601</v>
      </c>
      <c r="T229" s="54">
        <f t="shared" si="10"/>
        <v>202601</v>
      </c>
      <c r="U229" s="58" t="str">
        <f t="shared" si="11"/>
        <v/>
      </c>
      <c r="V229" s="58">
        <f>IF(AND($B229&lt;&gt;"",$F229&lt;&gt;"",$F229=项目明细账!$C$2),N(V228)+1,N(V228))</f>
        <v>0</v>
      </c>
      <c r="W229" s="63" t="str">
        <f>IF($H229&lt;&gt;"","项目成本",IFERROR(INDEX(基础资料!$W$4:$W$49,MATCH($I229,基础资料!$V$4:$V$49,0)),""))</f>
        <v>人工社保</v>
      </c>
      <c r="X229" s="63" t="str">
        <f>IFERROR(INDEX(基础资料!$R$4:$R$17,MATCH($G229,基础资料!$Q$4:$Q$17,0)),"")</f>
        <v/>
      </c>
    </row>
    <row r="230" spans="1:24">
      <c r="A230" s="58">
        <f>IF($B230="","",COUNTA($B$5:$B230))</f>
        <v>226</v>
      </c>
      <c r="B230" s="77">
        <v>46036</v>
      </c>
      <c r="C230" s="46" t="s">
        <v>204</v>
      </c>
      <c r="D230" s="63" t="str">
        <f>IFERROR(INDEX(基础资料!$F$4:$F$23,MATCH($C230,基础资料!$E$4:$E$23,0)),IF($C230="","","未匹配账户"))</f>
        <v>财兴通</v>
      </c>
      <c r="E230" s="39" t="s">
        <v>488</v>
      </c>
      <c r="F230" s="10"/>
      <c r="G230" s="10"/>
      <c r="H230" s="10"/>
      <c r="I230" s="10" t="s">
        <v>237</v>
      </c>
      <c r="J230" s="69" t="s">
        <v>638</v>
      </c>
      <c r="K230" s="25"/>
      <c r="L230" s="25">
        <v>4000</v>
      </c>
      <c r="M230" s="25">
        <f>IFERROR(VLOOKUP($C230,$C$5:$M$24,11,0)+SUMIF($C$25:$C230,$C230,$K$25:$K230)-SUMIF($C$25:$C230,$C230,$L$25:$L230),"")</f>
        <v>104709.63</v>
      </c>
      <c r="N230" s="10"/>
      <c r="O230" s="10"/>
      <c r="P230" s="65"/>
      <c r="Q230" s="10"/>
      <c r="R230" s="10"/>
      <c r="S230" s="54">
        <f t="shared" si="9"/>
        <v>202601</v>
      </c>
      <c r="T230" s="54">
        <f t="shared" si="10"/>
        <v>202601</v>
      </c>
      <c r="U230" s="58" t="str">
        <f t="shared" si="11"/>
        <v/>
      </c>
      <c r="V230" s="58">
        <f>IF(AND($B230&lt;&gt;"",$F230&lt;&gt;"",$F230=项目明细账!$C$2),N(V229)+1,N(V229))</f>
        <v>0</v>
      </c>
      <c r="W230" s="63" t="str">
        <f>IF($H230&lt;&gt;"","项目成本",IFERROR(INDEX(基础资料!$W$4:$W$49,MATCH($I230,基础资料!$V$4:$V$49,0)),""))</f>
        <v>人工社保</v>
      </c>
      <c r="X230" s="63" t="str">
        <f>IFERROR(INDEX(基础资料!$R$4:$R$17,MATCH($G230,基础资料!$Q$4:$Q$17,0)),"")</f>
        <v/>
      </c>
    </row>
    <row r="231" spans="1:24">
      <c r="A231" s="58">
        <f>IF($B231="","",COUNTA($B$5:$B231))</f>
        <v>227</v>
      </c>
      <c r="B231" s="77">
        <v>46036</v>
      </c>
      <c r="C231" s="46" t="s">
        <v>204</v>
      </c>
      <c r="D231" s="63" t="str">
        <f>IFERROR(INDEX(基础资料!$F$4:$F$23,MATCH($C231,基础资料!$E$4:$E$23,0)),IF($C231="","","未匹配账户"))</f>
        <v>财兴通</v>
      </c>
      <c r="E231" s="39" t="s">
        <v>488</v>
      </c>
      <c r="F231" s="10"/>
      <c r="G231" s="10"/>
      <c r="H231" s="10"/>
      <c r="I231" s="10" t="s">
        <v>237</v>
      </c>
      <c r="J231" s="70" t="s">
        <v>639</v>
      </c>
      <c r="K231" s="25"/>
      <c r="L231" s="25">
        <v>3500</v>
      </c>
      <c r="M231" s="25">
        <f>IFERROR(VLOOKUP($C231,$C$5:$M$24,11,0)+SUMIF($C$25:$C231,$C231,$K$25:$K231)-SUMIF($C$25:$C231,$C231,$L$25:$L231),"")</f>
        <v>101209.63</v>
      </c>
      <c r="N231" s="10"/>
      <c r="O231" s="10"/>
      <c r="P231" s="65"/>
      <c r="Q231" s="10"/>
      <c r="R231" s="10"/>
      <c r="S231" s="54">
        <f t="shared" si="9"/>
        <v>202601</v>
      </c>
      <c r="T231" s="54">
        <f t="shared" si="10"/>
        <v>202601</v>
      </c>
      <c r="U231" s="58" t="str">
        <f t="shared" si="11"/>
        <v/>
      </c>
      <c r="V231" s="58">
        <f>IF(AND($B231&lt;&gt;"",$F231&lt;&gt;"",$F231=项目明细账!$C$2),N(V230)+1,N(V230))</f>
        <v>0</v>
      </c>
      <c r="W231" s="63" t="str">
        <f>IF($H231&lt;&gt;"","项目成本",IFERROR(INDEX(基础资料!$W$4:$W$49,MATCH($I231,基础资料!$V$4:$V$49,0)),""))</f>
        <v>人工社保</v>
      </c>
      <c r="X231" s="63" t="str">
        <f>IFERROR(INDEX(基础资料!$R$4:$R$17,MATCH($G231,基础资料!$Q$4:$Q$17,0)),"")</f>
        <v/>
      </c>
    </row>
    <row r="232" spans="1:24">
      <c r="A232" s="58">
        <f>IF($B232="","",COUNTA($B$5:$B232))</f>
        <v>228</v>
      </c>
      <c r="B232" s="77">
        <v>46036</v>
      </c>
      <c r="C232" s="46" t="s">
        <v>204</v>
      </c>
      <c r="D232" s="63" t="str">
        <f>IFERROR(INDEX(基础资料!$F$4:$F$23,MATCH($C232,基础资料!$E$4:$E$23,0)),IF($C232="","","未匹配账户"))</f>
        <v>财兴通</v>
      </c>
      <c r="E232" s="39" t="s">
        <v>488</v>
      </c>
      <c r="F232" s="10"/>
      <c r="G232" s="10"/>
      <c r="H232" s="10"/>
      <c r="I232" s="10" t="s">
        <v>237</v>
      </c>
      <c r="J232" s="69" t="s">
        <v>640</v>
      </c>
      <c r="K232" s="25"/>
      <c r="L232" s="25">
        <v>3000</v>
      </c>
      <c r="M232" s="25">
        <f>IFERROR(VLOOKUP($C232,$C$5:$M$24,11,0)+SUMIF($C$25:$C232,$C232,$K$25:$K232)-SUMIF($C$25:$C232,$C232,$L$25:$L232),"")</f>
        <v>98209.63</v>
      </c>
      <c r="N232" s="10"/>
      <c r="O232" s="10"/>
      <c r="P232" s="65"/>
      <c r="Q232" s="10"/>
      <c r="R232" s="10"/>
      <c r="S232" s="54">
        <f t="shared" si="9"/>
        <v>202601</v>
      </c>
      <c r="T232" s="54">
        <f t="shared" si="10"/>
        <v>202601</v>
      </c>
      <c r="U232" s="58" t="str">
        <f t="shared" si="11"/>
        <v/>
      </c>
      <c r="V232" s="58">
        <f>IF(AND($B232&lt;&gt;"",$F232&lt;&gt;"",$F232=项目明细账!$C$2),N(V231)+1,N(V231))</f>
        <v>0</v>
      </c>
      <c r="W232" s="63" t="str">
        <f>IF($H232&lt;&gt;"","项目成本",IFERROR(INDEX(基础资料!$W$4:$W$49,MATCH($I232,基础资料!$V$4:$V$49,0)),""))</f>
        <v>人工社保</v>
      </c>
      <c r="X232" s="63" t="str">
        <f>IFERROR(INDEX(基础资料!$R$4:$R$17,MATCH($G232,基础资料!$Q$4:$Q$17,0)),"")</f>
        <v/>
      </c>
    </row>
    <row r="233" spans="1:24">
      <c r="A233" s="58">
        <f>IF($B233="","",COUNTA($B$5:$B233))</f>
        <v>229</v>
      </c>
      <c r="B233" s="77">
        <v>46043</v>
      </c>
      <c r="C233" s="46" t="s">
        <v>204</v>
      </c>
      <c r="D233" s="63" t="str">
        <f>IFERROR(INDEX(基础资料!$F$4:$F$23,MATCH($C233,基础资料!$E$4:$E$23,0)),IF($C233="","","未匹配账户"))</f>
        <v>财兴通</v>
      </c>
      <c r="E233" s="39" t="s">
        <v>488</v>
      </c>
      <c r="F233" s="10"/>
      <c r="G233" s="10"/>
      <c r="H233" s="10"/>
      <c r="I233" s="10" t="s">
        <v>234</v>
      </c>
      <c r="J233" s="69" t="s">
        <v>641</v>
      </c>
      <c r="K233" s="25"/>
      <c r="L233" s="25">
        <v>15000</v>
      </c>
      <c r="M233" s="25">
        <f>IFERROR(VLOOKUP($C233,$C$5:$M$24,11,0)+SUMIF($C$25:$C233,$C233,$K$25:$K233)-SUMIF($C$25:$C233,$C233,$L$25:$L233),"")</f>
        <v>83209.63</v>
      </c>
      <c r="N233" s="10"/>
      <c r="O233" s="10"/>
      <c r="P233" s="65"/>
      <c r="Q233" s="10"/>
      <c r="R233" s="10"/>
      <c r="S233" s="54">
        <f t="shared" si="9"/>
        <v>202601</v>
      </c>
      <c r="T233" s="54">
        <f t="shared" si="10"/>
        <v>202601</v>
      </c>
      <c r="U233" s="58" t="str">
        <f t="shared" si="11"/>
        <v/>
      </c>
      <c r="V233" s="58">
        <f>IF(AND($B233&lt;&gt;"",$F233&lt;&gt;"",$F233=项目明细账!$C$2),N(V232)+1,N(V232))</f>
        <v>0</v>
      </c>
      <c r="W233" s="63" t="str">
        <f>IF($H233&lt;&gt;"","项目成本",IFERROR(INDEX(基础资料!$W$4:$W$49,MATCH($I233,基础资料!$V$4:$V$49,0)),""))</f>
        <v>管理费用</v>
      </c>
      <c r="X233" s="63" t="str">
        <f>IFERROR(INDEX(基础资料!$R$4:$R$17,MATCH($G233,基础资料!$Q$4:$Q$17,0)),"")</f>
        <v/>
      </c>
    </row>
    <row r="234" spans="1:24">
      <c r="A234" s="58">
        <f>IF($B234="","",COUNTA($B$5:$B234))</f>
        <v>230</v>
      </c>
      <c r="B234" s="77">
        <v>46043</v>
      </c>
      <c r="C234" s="46" t="s">
        <v>204</v>
      </c>
      <c r="D234" s="63" t="str">
        <f>IFERROR(INDEX(基础资料!$F$4:$F$23,MATCH($C234,基础资料!$E$4:$E$23,0)),IF($C234="","","未匹配账户"))</f>
        <v>财兴通</v>
      </c>
      <c r="E234" s="39" t="s">
        <v>488</v>
      </c>
      <c r="F234" s="10"/>
      <c r="G234" s="10"/>
      <c r="H234" s="10"/>
      <c r="I234" s="10" t="s">
        <v>237</v>
      </c>
      <c r="J234" s="69" t="s">
        <v>642</v>
      </c>
      <c r="K234" s="25"/>
      <c r="L234" s="25">
        <v>5000</v>
      </c>
      <c r="M234" s="25">
        <f>IFERROR(VLOOKUP($C234,$C$5:$M$24,11,0)+SUMIF($C$25:$C234,$C234,$K$25:$K234)-SUMIF($C$25:$C234,$C234,$L$25:$L234),"")</f>
        <v>78209.63</v>
      </c>
      <c r="N234" s="10"/>
      <c r="O234" s="10"/>
      <c r="P234" s="65"/>
      <c r="Q234" s="10"/>
      <c r="R234" s="10"/>
      <c r="S234" s="54">
        <f t="shared" si="9"/>
        <v>202601</v>
      </c>
      <c r="T234" s="54">
        <f t="shared" si="10"/>
        <v>202601</v>
      </c>
      <c r="U234" s="58" t="str">
        <f t="shared" si="11"/>
        <v/>
      </c>
      <c r="V234" s="58">
        <f>IF(AND($B234&lt;&gt;"",$F234&lt;&gt;"",$F234=项目明细账!$C$2),N(V233)+1,N(V233))</f>
        <v>0</v>
      </c>
      <c r="W234" s="63" t="str">
        <f>IF($H234&lt;&gt;"","项目成本",IFERROR(INDEX(基础资料!$W$4:$W$49,MATCH($I234,基础资料!$V$4:$V$49,0)),""))</f>
        <v>人工社保</v>
      </c>
      <c r="X234" s="63" t="str">
        <f>IFERROR(INDEX(基础资料!$R$4:$R$17,MATCH($G234,基础资料!$Q$4:$Q$17,0)),"")</f>
        <v/>
      </c>
    </row>
    <row r="235" spans="1:24">
      <c r="A235" s="58">
        <f>IF($B235="","",COUNTA($B$5:$B235))</f>
        <v>231</v>
      </c>
      <c r="B235" s="77">
        <v>46044</v>
      </c>
      <c r="C235" s="46" t="s">
        <v>204</v>
      </c>
      <c r="D235" s="63" t="str">
        <f>IFERROR(INDEX(基础资料!$F$4:$F$23,MATCH($C235,基础资料!$E$4:$E$23,0)),IF($C235="","","未匹配账户"))</f>
        <v>财兴通</v>
      </c>
      <c r="E235" s="39" t="s">
        <v>488</v>
      </c>
      <c r="F235" s="10"/>
      <c r="G235" s="10"/>
      <c r="H235" s="10"/>
      <c r="I235" s="10" t="s">
        <v>273</v>
      </c>
      <c r="J235" s="69" t="s">
        <v>632</v>
      </c>
      <c r="K235" s="25"/>
      <c r="L235" s="25">
        <v>1050.1</v>
      </c>
      <c r="M235" s="25">
        <f>IFERROR(VLOOKUP($C235,$C$5:$M$24,11,0)+SUMIF($C$25:$C235,$C235,$K$25:$K235)-SUMIF($C$25:$C235,$C235,$L$25:$L235),"")</f>
        <v>77159.53</v>
      </c>
      <c r="N235" s="10"/>
      <c r="O235" s="10"/>
      <c r="P235" s="65"/>
      <c r="Q235" s="10"/>
      <c r="R235" s="10"/>
      <c r="S235" s="54">
        <f t="shared" si="9"/>
        <v>202601</v>
      </c>
      <c r="T235" s="54">
        <f t="shared" si="10"/>
        <v>202601</v>
      </c>
      <c r="U235" s="58" t="str">
        <f t="shared" si="11"/>
        <v/>
      </c>
      <c r="V235" s="58">
        <f>IF(AND($B235&lt;&gt;"",$F235&lt;&gt;"",$F235=项目明细账!$C$2),N(V234)+1,N(V234))</f>
        <v>0</v>
      </c>
      <c r="W235" s="63" t="str">
        <f>IF($H235&lt;&gt;"","项目成本",IFERROR(INDEX(基础资料!$W$4:$W$49,MATCH($I235,基础资料!$V$4:$V$49,0)),""))</f>
        <v>税费</v>
      </c>
      <c r="X235" s="63" t="str">
        <f>IFERROR(INDEX(基础资料!$R$4:$R$17,MATCH($G235,基础资料!$Q$4:$Q$17,0)),"")</f>
        <v/>
      </c>
    </row>
    <row r="236" spans="1:24">
      <c r="A236" s="58">
        <f>IF($B236="","",COUNTA($B$5:$B236))</f>
        <v>232</v>
      </c>
      <c r="B236" s="77">
        <v>46044</v>
      </c>
      <c r="C236" s="46" t="s">
        <v>204</v>
      </c>
      <c r="D236" s="63" t="str">
        <f>IFERROR(INDEX(基础资料!$F$4:$F$23,MATCH($C236,基础资料!$E$4:$E$23,0)),IF($C236="","","未匹配账户"))</f>
        <v>财兴通</v>
      </c>
      <c r="E236" s="39" t="s">
        <v>488</v>
      </c>
      <c r="F236" s="10"/>
      <c r="G236" s="10"/>
      <c r="H236" s="10"/>
      <c r="I236" s="10" t="s">
        <v>234</v>
      </c>
      <c r="J236" s="69" t="s">
        <v>643</v>
      </c>
      <c r="K236" s="25"/>
      <c r="L236" s="25">
        <v>27000</v>
      </c>
      <c r="M236" s="25">
        <f>IFERROR(VLOOKUP($C236,$C$5:$M$24,11,0)+SUMIF($C$25:$C236,$C236,$K$25:$K236)-SUMIF($C$25:$C236,$C236,$L$25:$L236),"")</f>
        <v>50159.53</v>
      </c>
      <c r="N236" s="10"/>
      <c r="O236" s="10"/>
      <c r="P236" s="65"/>
      <c r="Q236" s="10"/>
      <c r="R236" s="10"/>
      <c r="S236" s="54">
        <f t="shared" si="9"/>
        <v>202601</v>
      </c>
      <c r="T236" s="54">
        <f t="shared" si="10"/>
        <v>202601</v>
      </c>
      <c r="U236" s="58" t="str">
        <f t="shared" si="11"/>
        <v/>
      </c>
      <c r="V236" s="58">
        <f>IF(AND($B236&lt;&gt;"",$F236&lt;&gt;"",$F236=项目明细账!$C$2),N(V235)+1,N(V235))</f>
        <v>0</v>
      </c>
      <c r="W236" s="63" t="str">
        <f>IF($H236&lt;&gt;"","项目成本",IFERROR(INDEX(基础资料!$W$4:$W$49,MATCH($I236,基础资料!$V$4:$V$49,0)),""))</f>
        <v>管理费用</v>
      </c>
      <c r="X236" s="63" t="str">
        <f>IFERROR(INDEX(基础资料!$R$4:$R$17,MATCH($G236,基础资料!$Q$4:$Q$17,0)),"")</f>
        <v/>
      </c>
    </row>
    <row r="237" spans="1:24">
      <c r="A237" s="58">
        <f>IF($B237="","",COUNTA($B$5:$B237))</f>
        <v>233</v>
      </c>
      <c r="B237" s="77">
        <v>46045</v>
      </c>
      <c r="C237" s="46" t="s">
        <v>204</v>
      </c>
      <c r="D237" s="63" t="str">
        <f>IFERROR(INDEX(基础资料!$F$4:$F$23,MATCH($C237,基础资料!$E$4:$E$23,0)),IF($C237="","","未匹配账户"))</f>
        <v>财兴通</v>
      </c>
      <c r="E237" s="39" t="s">
        <v>488</v>
      </c>
      <c r="F237" s="10"/>
      <c r="G237" s="10"/>
      <c r="H237" s="10"/>
      <c r="I237" s="10" t="s">
        <v>237</v>
      </c>
      <c r="J237" s="69" t="s">
        <v>644</v>
      </c>
      <c r="K237" s="25"/>
      <c r="L237" s="25">
        <v>6000</v>
      </c>
      <c r="M237" s="25">
        <f>IFERROR(VLOOKUP($C237,$C$5:$M$24,11,0)+SUMIF($C$25:$C237,$C237,$K$25:$K237)-SUMIF($C$25:$C237,$C237,$L$25:$L237),"")</f>
        <v>44159.53</v>
      </c>
      <c r="N237" s="10"/>
      <c r="O237" s="10"/>
      <c r="P237" s="65"/>
      <c r="Q237" s="10"/>
      <c r="R237" s="10"/>
      <c r="S237" s="54">
        <f t="shared" si="9"/>
        <v>202601</v>
      </c>
      <c r="T237" s="54">
        <f t="shared" si="10"/>
        <v>202601</v>
      </c>
      <c r="U237" s="58" t="str">
        <f t="shared" si="11"/>
        <v/>
      </c>
      <c r="V237" s="58">
        <f>IF(AND($B237&lt;&gt;"",$F237&lt;&gt;"",$F237=项目明细账!$C$2),N(V236)+1,N(V236))</f>
        <v>0</v>
      </c>
      <c r="W237" s="63" t="str">
        <f>IF($H237&lt;&gt;"","项目成本",IFERROR(INDEX(基础资料!$W$4:$W$49,MATCH($I237,基础资料!$V$4:$V$49,0)),""))</f>
        <v>人工社保</v>
      </c>
      <c r="X237" s="63" t="str">
        <f>IFERROR(INDEX(基础资料!$R$4:$R$17,MATCH($G237,基础资料!$Q$4:$Q$17,0)),"")</f>
        <v/>
      </c>
    </row>
    <row r="238" spans="1:24">
      <c r="A238" s="58">
        <f>IF($B238="","",COUNTA($B$5:$B238))</f>
        <v>234</v>
      </c>
      <c r="B238" s="77">
        <v>46046</v>
      </c>
      <c r="C238" s="46" t="s">
        <v>204</v>
      </c>
      <c r="D238" s="63" t="str">
        <f>IFERROR(INDEX(基础资料!$F$4:$F$23,MATCH($C238,基础资料!$E$4:$E$23,0)),IF($C238="","","未匹配账户"))</f>
        <v>财兴通</v>
      </c>
      <c r="E238" s="39" t="s">
        <v>488</v>
      </c>
      <c r="F238" s="10"/>
      <c r="G238" s="10"/>
      <c r="H238" s="10"/>
      <c r="I238" s="10" t="s">
        <v>237</v>
      </c>
      <c r="J238" s="69" t="s">
        <v>645</v>
      </c>
      <c r="K238" s="25"/>
      <c r="L238" s="25">
        <v>1741.94</v>
      </c>
      <c r="M238" s="25">
        <f>IFERROR(VLOOKUP($C238,$C$5:$M$24,11,0)+SUMIF($C$25:$C238,$C238,$K$25:$K238)-SUMIF($C$25:$C238,$C238,$L$25:$L238),"")</f>
        <v>42417.59</v>
      </c>
      <c r="N238" s="10"/>
      <c r="O238" s="10"/>
      <c r="P238" s="65"/>
      <c r="Q238" s="10"/>
      <c r="R238" s="10"/>
      <c r="S238" s="54">
        <f t="shared" si="9"/>
        <v>202601</v>
      </c>
      <c r="T238" s="54">
        <f t="shared" si="10"/>
        <v>202601</v>
      </c>
      <c r="U238" s="58" t="str">
        <f t="shared" si="11"/>
        <v/>
      </c>
      <c r="V238" s="58">
        <f>IF(AND($B238&lt;&gt;"",$F238&lt;&gt;"",$F238=项目明细账!$C$2),N(V237)+1,N(V237))</f>
        <v>0</v>
      </c>
      <c r="W238" s="63" t="str">
        <f>IF($H238&lt;&gt;"","项目成本",IFERROR(INDEX(基础资料!$W$4:$W$49,MATCH($I238,基础资料!$V$4:$V$49,0)),""))</f>
        <v>人工社保</v>
      </c>
      <c r="X238" s="63" t="str">
        <f>IFERROR(INDEX(基础资料!$R$4:$R$17,MATCH($G238,基础资料!$Q$4:$Q$17,0)),"")</f>
        <v/>
      </c>
    </row>
    <row r="239" spans="1:24">
      <c r="A239" s="58">
        <f>IF($B239="","",COUNTA($B$5:$B239))</f>
        <v>235</v>
      </c>
      <c r="B239" s="78">
        <v>46049</v>
      </c>
      <c r="C239" s="46" t="s">
        <v>204</v>
      </c>
      <c r="D239" s="63" t="str">
        <f>IFERROR(INDEX(基础资料!$F$4:$F$23,MATCH($C239,基础资料!$E$4:$E$23,0)),IF($C239="","","未匹配账户"))</f>
        <v>财兴通</v>
      </c>
      <c r="E239" s="39" t="s">
        <v>488</v>
      </c>
      <c r="F239" s="10"/>
      <c r="G239" s="10"/>
      <c r="H239" s="10"/>
      <c r="I239" s="10" t="s">
        <v>234</v>
      </c>
      <c r="J239" s="70" t="s">
        <v>646</v>
      </c>
      <c r="K239" s="25"/>
      <c r="L239" s="25">
        <v>3000</v>
      </c>
      <c r="M239" s="25">
        <f>IFERROR(VLOOKUP($C239,$C$5:$M$24,11,0)+SUMIF($C$25:$C239,$C239,$K$25:$K239)-SUMIF($C$25:$C239,$C239,$L$25:$L239),"")</f>
        <v>39417.59</v>
      </c>
      <c r="N239" s="10"/>
      <c r="O239" s="10"/>
      <c r="P239" s="65"/>
      <c r="Q239" s="10"/>
      <c r="R239" s="10"/>
      <c r="S239" s="54">
        <f t="shared" si="9"/>
        <v>202601</v>
      </c>
      <c r="T239" s="54">
        <f t="shared" si="10"/>
        <v>202601</v>
      </c>
      <c r="U239" s="58" t="str">
        <f t="shared" si="11"/>
        <v/>
      </c>
      <c r="V239" s="58">
        <f>IF(AND($B239&lt;&gt;"",$F239&lt;&gt;"",$F239=项目明细账!$C$2),N(V238)+1,N(V238))</f>
        <v>0</v>
      </c>
      <c r="W239" s="63" t="str">
        <f>IF($H239&lt;&gt;"","项目成本",IFERROR(INDEX(基础资料!$W$4:$W$49,MATCH($I239,基础资料!$V$4:$V$49,0)),""))</f>
        <v>管理费用</v>
      </c>
      <c r="X239" s="63" t="str">
        <f>IFERROR(INDEX(基础资料!$R$4:$R$17,MATCH($G239,基础资料!$Q$4:$Q$17,0)),"")</f>
        <v/>
      </c>
    </row>
    <row r="240" spans="1:24">
      <c r="A240" s="58">
        <f>IF($B240="","",COUNTA($B$5:$B240))</f>
        <v>236</v>
      </c>
      <c r="B240" s="77">
        <v>46053</v>
      </c>
      <c r="C240" s="46" t="s">
        <v>204</v>
      </c>
      <c r="D240" s="63" t="str">
        <f>IFERROR(INDEX(基础资料!$F$4:$F$23,MATCH($C240,基础资料!$E$4:$E$23,0)),IF($C240="","","未匹配账户"))</f>
        <v>财兴通</v>
      </c>
      <c r="E240" s="39" t="s">
        <v>488</v>
      </c>
      <c r="F240" s="10"/>
      <c r="G240" s="10"/>
      <c r="H240" s="10"/>
      <c r="I240" s="10" t="s">
        <v>234</v>
      </c>
      <c r="J240" s="69" t="s">
        <v>647</v>
      </c>
      <c r="K240" s="25"/>
      <c r="L240" s="25">
        <v>526.42</v>
      </c>
      <c r="M240" s="25">
        <f>IFERROR(VLOOKUP($C240,$C$5:$M$24,11,0)+SUMIF($C$25:$C240,$C240,$K$25:$K240)-SUMIF($C$25:$C240,$C240,$L$25:$L240),"")</f>
        <v>38891.17</v>
      </c>
      <c r="N240" s="10"/>
      <c r="O240" s="10"/>
      <c r="P240" s="65"/>
      <c r="Q240" s="10"/>
      <c r="R240" s="10"/>
      <c r="S240" s="54">
        <f t="shared" si="9"/>
        <v>202601</v>
      </c>
      <c r="T240" s="54">
        <f t="shared" si="10"/>
        <v>202601</v>
      </c>
      <c r="U240" s="58" t="str">
        <f t="shared" si="11"/>
        <v/>
      </c>
      <c r="V240" s="58">
        <f>IF(AND($B240&lt;&gt;"",$F240&lt;&gt;"",$F240=项目明细账!$C$2),N(V239)+1,N(V239))</f>
        <v>0</v>
      </c>
      <c r="W240" s="63" t="str">
        <f>IF($H240&lt;&gt;"","项目成本",IFERROR(INDEX(基础资料!$W$4:$W$49,MATCH($I240,基础资料!$V$4:$V$49,0)),""))</f>
        <v>管理费用</v>
      </c>
      <c r="X240" s="63" t="str">
        <f>IFERROR(INDEX(基础资料!$R$4:$R$17,MATCH($G240,基础资料!$Q$4:$Q$17,0)),"")</f>
        <v/>
      </c>
    </row>
    <row r="241" spans="1:24">
      <c r="A241" s="58">
        <f>IF($B241="","",COUNTA($B$5:$B241))</f>
        <v>237</v>
      </c>
      <c r="B241" s="77">
        <v>46053</v>
      </c>
      <c r="C241" s="46" t="s">
        <v>204</v>
      </c>
      <c r="D241" s="63" t="str">
        <f>IFERROR(INDEX(基础资料!$F$4:$F$23,MATCH($C241,基础资料!$E$4:$E$23,0)),IF($C241="","","未匹配账户"))</f>
        <v>财兴通</v>
      </c>
      <c r="E241" s="39" t="s">
        <v>488</v>
      </c>
      <c r="F241" s="10"/>
      <c r="G241" s="10"/>
      <c r="H241" s="10"/>
      <c r="I241" s="10" t="s">
        <v>234</v>
      </c>
      <c r="J241" s="69" t="s">
        <v>587</v>
      </c>
      <c r="K241" s="25"/>
      <c r="L241" s="25">
        <v>199.5</v>
      </c>
      <c r="M241" s="25">
        <f>IFERROR(VLOOKUP($C241,$C$5:$M$24,11,0)+SUMIF($C$25:$C241,$C241,$K$25:$K241)-SUMIF($C$25:$C241,$C241,$L$25:$L241),"")</f>
        <v>38691.67</v>
      </c>
      <c r="N241" s="10"/>
      <c r="O241" s="10"/>
      <c r="P241" s="65"/>
      <c r="Q241" s="10"/>
      <c r="R241" s="10"/>
      <c r="S241" s="54">
        <f t="shared" si="9"/>
        <v>202601</v>
      </c>
      <c r="T241" s="54">
        <f t="shared" si="10"/>
        <v>202601</v>
      </c>
      <c r="U241" s="58" t="str">
        <f t="shared" si="11"/>
        <v/>
      </c>
      <c r="V241" s="58">
        <f>IF(AND($B241&lt;&gt;"",$F241&lt;&gt;"",$F241=项目明细账!$C$2),N(V240)+1,N(V240))</f>
        <v>0</v>
      </c>
      <c r="W241" s="63" t="str">
        <f>IF($H241&lt;&gt;"","项目成本",IFERROR(INDEX(基础资料!$W$4:$W$49,MATCH($I241,基础资料!$V$4:$V$49,0)),""))</f>
        <v>管理费用</v>
      </c>
      <c r="X241" s="63" t="str">
        <f>IFERROR(INDEX(基础资料!$R$4:$R$17,MATCH($G241,基础资料!$Q$4:$Q$17,0)),"")</f>
        <v/>
      </c>
    </row>
    <row r="242" spans="1:24">
      <c r="A242" s="58">
        <f>IF($B242="","",COUNTA($B$5:$B242))</f>
        <v>238</v>
      </c>
      <c r="B242" s="79">
        <v>46033</v>
      </c>
      <c r="C242" s="46" t="s">
        <v>211</v>
      </c>
      <c r="D242" s="63" t="str">
        <f>IFERROR(INDEX(基础资料!$F$4:$F$23,MATCH($C242,基础资料!$E$4:$E$23,0)),IF($C242="","","未匹配账户"))</f>
        <v>鑫海特</v>
      </c>
      <c r="E242" s="39" t="s">
        <v>488</v>
      </c>
      <c r="F242" s="10"/>
      <c r="G242" s="10"/>
      <c r="H242" s="10"/>
      <c r="I242" s="10" t="s">
        <v>282</v>
      </c>
      <c r="J242" s="80" t="s">
        <v>648</v>
      </c>
      <c r="K242" s="25"/>
      <c r="L242" s="25">
        <v>100</v>
      </c>
      <c r="M242" s="25">
        <f>IFERROR(VLOOKUP($C242,$C$5:$M$24,11,0)+SUMIF($C$25:$C242,$C242,$K$25:$K242)-SUMIF($C$25:$C242,$C242,$L$25:$L242),"")</f>
        <v>3010.37</v>
      </c>
      <c r="N242" s="10"/>
      <c r="O242" s="10"/>
      <c r="P242" s="65"/>
      <c r="Q242" s="10"/>
      <c r="R242" s="10"/>
      <c r="S242" s="54">
        <f t="shared" si="9"/>
        <v>202601</v>
      </c>
      <c r="T242" s="54">
        <f t="shared" si="10"/>
        <v>202601</v>
      </c>
      <c r="U242" s="58" t="str">
        <f t="shared" si="11"/>
        <v/>
      </c>
      <c r="V242" s="58">
        <f>IF(AND($B242&lt;&gt;"",$F242&lt;&gt;"",$F242=项目明细账!$C$2),N(V241)+1,N(V241))</f>
        <v>0</v>
      </c>
      <c r="W242" s="63" t="str">
        <f>IF($H242&lt;&gt;"","项目成本",IFERROR(INDEX(基础资料!$W$4:$W$49,MATCH($I242,基础资料!$V$4:$V$49,0)),""))</f>
        <v>财务费用</v>
      </c>
      <c r="X242" s="63" t="str">
        <f>IFERROR(INDEX(基础资料!$R$4:$R$17,MATCH($G242,基础资料!$Q$4:$Q$17,0)),"")</f>
        <v/>
      </c>
    </row>
    <row r="243" spans="1:24">
      <c r="A243" s="58">
        <f>IF($B243="","",COUNTA($B$5:$B243))</f>
        <v>239</v>
      </c>
      <c r="B243" s="79">
        <v>46034</v>
      </c>
      <c r="C243" s="46" t="s">
        <v>211</v>
      </c>
      <c r="D243" s="63" t="str">
        <f>IFERROR(INDEX(基础资料!$F$4:$F$23,MATCH($C243,基础资料!$E$4:$E$23,0)),IF($C243="","","未匹配账户"))</f>
        <v>鑫海特</v>
      </c>
      <c r="E243" s="39" t="s">
        <v>488</v>
      </c>
      <c r="F243" s="10"/>
      <c r="G243" s="10"/>
      <c r="H243" s="10"/>
      <c r="I243" s="10" t="s">
        <v>282</v>
      </c>
      <c r="J243" s="80" t="s">
        <v>649</v>
      </c>
      <c r="K243" s="25"/>
      <c r="L243" s="25">
        <v>360</v>
      </c>
      <c r="M243" s="25">
        <f>IFERROR(VLOOKUP($C243,$C$5:$M$24,11,0)+SUMIF($C$25:$C243,$C243,$K$25:$K243)-SUMIF($C$25:$C243,$C243,$L$25:$L243),"")</f>
        <v>2650.37</v>
      </c>
      <c r="N243" s="10"/>
      <c r="O243" s="10"/>
      <c r="P243" s="65"/>
      <c r="Q243" s="10"/>
      <c r="R243" s="10"/>
      <c r="S243" s="54">
        <f t="shared" si="9"/>
        <v>202601</v>
      </c>
      <c r="T243" s="54">
        <f t="shared" si="10"/>
        <v>202601</v>
      </c>
      <c r="U243" s="58" t="str">
        <f t="shared" si="11"/>
        <v/>
      </c>
      <c r="V243" s="58">
        <f>IF(AND($B243&lt;&gt;"",$F243&lt;&gt;"",$F243=项目明细账!$C$2),N(V242)+1,N(V242))</f>
        <v>0</v>
      </c>
      <c r="W243" s="63" t="str">
        <f>IF($H243&lt;&gt;"","项目成本",IFERROR(INDEX(基础资料!$W$4:$W$49,MATCH($I243,基础资料!$V$4:$V$49,0)),""))</f>
        <v>财务费用</v>
      </c>
      <c r="X243" s="63" t="str">
        <f>IFERROR(INDEX(基础资料!$R$4:$R$17,MATCH($G243,基础资料!$Q$4:$Q$17,0)),"")</f>
        <v/>
      </c>
    </row>
    <row r="244" spans="1:24">
      <c r="A244" s="58">
        <f>IF($B244="","",COUNTA($B$5:$B244))</f>
        <v>240</v>
      </c>
      <c r="B244" s="79">
        <v>46041</v>
      </c>
      <c r="C244" s="46" t="s">
        <v>211</v>
      </c>
      <c r="D244" s="63" t="str">
        <f>IFERROR(INDEX(基础资料!$F$4:$F$23,MATCH($C244,基础资料!$E$4:$E$23,0)),IF($C244="","","未匹配账户"))</f>
        <v>鑫海特</v>
      </c>
      <c r="E244" s="39" t="s">
        <v>488</v>
      </c>
      <c r="F244" s="10"/>
      <c r="G244" s="10"/>
      <c r="H244" s="10"/>
      <c r="I244" s="10" t="s">
        <v>270</v>
      </c>
      <c r="J244" s="80" t="s">
        <v>650</v>
      </c>
      <c r="K244" s="25"/>
      <c r="L244" s="25">
        <v>19.43</v>
      </c>
      <c r="M244" s="25">
        <f>IFERROR(VLOOKUP($C244,$C$5:$M$24,11,0)+SUMIF($C$25:$C244,$C244,$K$25:$K244)-SUMIF($C$25:$C244,$C244,$L$25:$L244),"")</f>
        <v>2630.94</v>
      </c>
      <c r="N244" s="10"/>
      <c r="O244" s="10"/>
      <c r="P244" s="65"/>
      <c r="Q244" s="10"/>
      <c r="R244" s="10"/>
      <c r="S244" s="54">
        <f t="shared" si="9"/>
        <v>202601</v>
      </c>
      <c r="T244" s="54">
        <f t="shared" si="10"/>
        <v>202601</v>
      </c>
      <c r="U244" s="58" t="str">
        <f t="shared" si="11"/>
        <v/>
      </c>
      <c r="V244" s="58">
        <f>IF(AND($B244&lt;&gt;"",$F244&lt;&gt;"",$F244=项目明细账!$C$2),N(V243)+1,N(V243))</f>
        <v>0</v>
      </c>
      <c r="W244" s="63" t="str">
        <f>IF($H244&lt;&gt;"","项目成本",IFERROR(INDEX(基础资料!$W$4:$W$49,MATCH($I244,基础资料!$V$4:$V$49,0)),""))</f>
        <v>税费</v>
      </c>
      <c r="X244" s="63" t="str">
        <f>IFERROR(INDEX(基础资料!$R$4:$R$17,MATCH($G244,基础资料!$Q$4:$Q$17,0)),"")</f>
        <v/>
      </c>
    </row>
    <row r="245" spans="1:24">
      <c r="A245" s="58">
        <f>IF($B245="","",COUNTA($B$5:$B245))</f>
        <v>241</v>
      </c>
      <c r="B245" s="81">
        <v>46043</v>
      </c>
      <c r="C245" s="46" t="s">
        <v>217</v>
      </c>
      <c r="D245" s="63" t="str">
        <f>IFERROR(INDEX(基础资料!$F$4:$F$23,MATCH($C245,基础资料!$E$4:$E$23,0)),IF($C245="","","未匹配账户"))</f>
        <v>鸿禧</v>
      </c>
      <c r="E245" s="39" t="s">
        <v>488</v>
      </c>
      <c r="F245" s="10"/>
      <c r="G245" s="10"/>
      <c r="H245" s="10"/>
      <c r="I245" s="10" t="s">
        <v>273</v>
      </c>
      <c r="J245" s="82" t="s">
        <v>651</v>
      </c>
      <c r="K245" s="25"/>
      <c r="L245" s="25">
        <v>13040.96</v>
      </c>
      <c r="M245" s="25">
        <f>IFERROR(VLOOKUP($C245,$C$5:$M$24,11,0)+SUMIF($C$25:$C245,$C245,$K$25:$K245)-SUMIF($C$25:$C245,$C245,$L$25:$L245),"")</f>
        <v>52553.17</v>
      </c>
      <c r="N245" s="10"/>
      <c r="O245" s="10"/>
      <c r="P245" s="65"/>
      <c r="Q245" s="10"/>
      <c r="R245" s="10"/>
      <c r="S245" s="54">
        <f t="shared" si="9"/>
        <v>202601</v>
      </c>
      <c r="T245" s="54">
        <f t="shared" si="10"/>
        <v>202601</v>
      </c>
      <c r="U245" s="58" t="str">
        <f t="shared" si="11"/>
        <v/>
      </c>
      <c r="V245" s="58">
        <f>IF(AND($B245&lt;&gt;"",$F245&lt;&gt;"",$F245=项目明细账!$C$2),N(V244)+1,N(V244))</f>
        <v>0</v>
      </c>
      <c r="W245" s="63" t="str">
        <f>IF($H245&lt;&gt;"","项目成本",IFERROR(INDEX(基础资料!$W$4:$W$49,MATCH($I245,基础资料!$V$4:$V$49,0)),""))</f>
        <v>税费</v>
      </c>
      <c r="X245" s="63" t="str">
        <f>IFERROR(INDEX(基础资料!$R$4:$R$17,MATCH($G245,基础资料!$Q$4:$Q$17,0)),"")</f>
        <v/>
      </c>
    </row>
    <row r="246" spans="1:24">
      <c r="A246" s="58">
        <f>IF($B246="","",COUNTA($B$5:$B246))</f>
        <v>242</v>
      </c>
      <c r="B246" s="81">
        <v>46043</v>
      </c>
      <c r="C246" s="46" t="s">
        <v>217</v>
      </c>
      <c r="D246" s="63" t="str">
        <f>IFERROR(INDEX(基础资料!$F$4:$F$23,MATCH($C246,基础资料!$E$4:$E$23,0)),IF($C246="","","未匹配账户"))</f>
        <v>鸿禧</v>
      </c>
      <c r="E246" s="39" t="s">
        <v>488</v>
      </c>
      <c r="F246" s="10"/>
      <c r="G246" s="10"/>
      <c r="H246" s="10"/>
      <c r="I246" s="10" t="s">
        <v>282</v>
      </c>
      <c r="J246" s="82" t="s">
        <v>652</v>
      </c>
      <c r="K246" s="25"/>
      <c r="L246" s="25">
        <v>9</v>
      </c>
      <c r="M246" s="25">
        <f>IFERROR(VLOOKUP($C246,$C$5:$M$24,11,0)+SUMIF($C$25:$C246,$C246,$K$25:$K246)-SUMIF($C$25:$C246,$C246,$L$25:$L246),"")</f>
        <v>52544.17</v>
      </c>
      <c r="N246" s="10"/>
      <c r="O246" s="10"/>
      <c r="P246" s="65"/>
      <c r="Q246" s="10"/>
      <c r="R246" s="10"/>
      <c r="S246" s="54">
        <f t="shared" si="9"/>
        <v>202601</v>
      </c>
      <c r="T246" s="54">
        <f t="shared" si="10"/>
        <v>202601</v>
      </c>
      <c r="U246" s="58" t="str">
        <f t="shared" si="11"/>
        <v/>
      </c>
      <c r="V246" s="58">
        <f>IF(AND($B246&lt;&gt;"",$F246&lt;&gt;"",$F246=项目明细账!$C$2),N(V245)+1,N(V245))</f>
        <v>0</v>
      </c>
      <c r="W246" s="63" t="str">
        <f>IF($H246&lt;&gt;"","项目成本",IFERROR(INDEX(基础资料!$W$4:$W$49,MATCH($I246,基础资料!$V$4:$V$49,0)),""))</f>
        <v>财务费用</v>
      </c>
      <c r="X246" s="63" t="str">
        <f>IFERROR(INDEX(基础资料!$R$4:$R$17,MATCH($G246,基础资料!$Q$4:$Q$17,0)),"")</f>
        <v/>
      </c>
    </row>
    <row r="247" spans="1:24">
      <c r="A247" s="58">
        <f>IF($B247="","",COUNTA($B$5:$B247))</f>
        <v>243</v>
      </c>
      <c r="B247" s="73">
        <v>46054</v>
      </c>
      <c r="C247" s="46" t="s">
        <v>80</v>
      </c>
      <c r="D247" s="63" t="str">
        <f>IFERROR(INDEX(基础资料!$F$4:$F$23,MATCH($C247,基础资料!$E$4:$E$23,0)),IF($C247="","","未匹配账户"))</f>
        <v>双思威</v>
      </c>
      <c r="E247" s="39" t="s">
        <v>488</v>
      </c>
      <c r="F247" s="10"/>
      <c r="G247" s="10"/>
      <c r="H247" s="10"/>
      <c r="I247" s="10" t="s">
        <v>282</v>
      </c>
      <c r="J247" s="69" t="s">
        <v>653</v>
      </c>
      <c r="K247" s="25"/>
      <c r="L247" s="25">
        <v>420</v>
      </c>
      <c r="M247" s="25">
        <f>IFERROR(VLOOKUP($C247,$C$5:$M$24,11,0)+SUMIF($C$25:$C247,$C247,$K$25:$K247)-SUMIF($C$25:$C247,$C247,$L$25:$L247),"")</f>
        <v>1687502.36</v>
      </c>
      <c r="N247" s="10"/>
      <c r="O247" s="10"/>
      <c r="P247" s="65"/>
      <c r="Q247" s="10"/>
      <c r="R247" s="10"/>
      <c r="S247" s="54">
        <f t="shared" si="9"/>
        <v>202602</v>
      </c>
      <c r="T247" s="54">
        <f t="shared" si="10"/>
        <v>202602</v>
      </c>
      <c r="U247" s="58" t="str">
        <f t="shared" si="11"/>
        <v/>
      </c>
      <c r="V247" s="58">
        <f>IF(AND($B247&lt;&gt;"",$F247&lt;&gt;"",$F247=项目明细账!$C$2),N(V246)+1,N(V246))</f>
        <v>0</v>
      </c>
      <c r="W247" s="63" t="str">
        <f>IF($H247&lt;&gt;"","项目成本",IFERROR(INDEX(基础资料!$W$4:$W$49,MATCH($I247,基础资料!$V$4:$V$49,0)),""))</f>
        <v>财务费用</v>
      </c>
      <c r="X247" s="63" t="str">
        <f>IFERROR(INDEX(基础资料!$R$4:$R$17,MATCH($G247,基础资料!$Q$4:$Q$17,0)),"")</f>
        <v/>
      </c>
    </row>
    <row r="248" spans="1:24">
      <c r="A248" s="58">
        <f>IF($B248="","",COUNTA($B$5:$B248))</f>
        <v>244</v>
      </c>
      <c r="B248" s="73">
        <v>46058</v>
      </c>
      <c r="C248" s="46" t="s">
        <v>80</v>
      </c>
      <c r="D248" s="63" t="str">
        <f>IFERROR(INDEX(基础资料!$F$4:$F$23,MATCH($C248,基础资料!$E$4:$E$23,0)),IF($C248="","","未匹配账户"))</f>
        <v>双思威</v>
      </c>
      <c r="E248" s="39" t="s">
        <v>483</v>
      </c>
      <c r="F248" s="10"/>
      <c r="G248" s="10" t="s">
        <v>117</v>
      </c>
      <c r="H248" s="10"/>
      <c r="I248" s="10"/>
      <c r="J248" s="69" t="s">
        <v>654</v>
      </c>
      <c r="K248" s="25">
        <v>6976.37</v>
      </c>
      <c r="L248" s="25"/>
      <c r="M248" s="25">
        <f>IFERROR(VLOOKUP($C248,$C$5:$M$24,11,0)+SUMIF($C$25:$C248,$C248,$K$25:$K248)-SUMIF($C$25:$C248,$C248,$L$25:$L248),"")</f>
        <v>1694478.73</v>
      </c>
      <c r="N248" s="10"/>
      <c r="O248" s="10"/>
      <c r="P248" s="65"/>
      <c r="Q248" s="10"/>
      <c r="R248" s="10"/>
      <c r="S248" s="54">
        <f t="shared" si="9"/>
        <v>202602</v>
      </c>
      <c r="T248" s="54">
        <f t="shared" si="10"/>
        <v>202602</v>
      </c>
      <c r="U248" s="58" t="str">
        <f t="shared" si="11"/>
        <v/>
      </c>
      <c r="V248" s="58">
        <f>IF(AND($B248&lt;&gt;"",$F248&lt;&gt;"",$F248=项目明细账!$C$2),N(V247)+1,N(V247))</f>
        <v>0</v>
      </c>
      <c r="W248" s="63" t="str">
        <f>IF($H248&lt;&gt;"","项目成本",IFERROR(INDEX(基础资料!$W$4:$W$49,MATCH($I248,基础资料!$V$4:$V$49,0)),""))</f>
        <v/>
      </c>
      <c r="X248" s="63" t="str">
        <f>IFERROR(INDEX(基础资料!$R$4:$R$17,MATCH($G248,基础资料!$Q$4:$Q$17,0)),"")</f>
        <v>非经营收入</v>
      </c>
    </row>
    <row r="249" spans="1:24">
      <c r="A249" s="58">
        <f>IF($B249="","",COUNTA($B$5:$B249))</f>
        <v>245</v>
      </c>
      <c r="B249" s="73">
        <v>46058</v>
      </c>
      <c r="C249" s="46" t="s">
        <v>80</v>
      </c>
      <c r="D249" s="63" t="str">
        <f>IFERROR(INDEX(基础资料!$F$4:$F$23,MATCH($C249,基础资料!$E$4:$E$23,0)),IF($C249="","","未匹配账户"))</f>
        <v>双思威</v>
      </c>
      <c r="E249" s="39" t="s">
        <v>483</v>
      </c>
      <c r="F249" s="10"/>
      <c r="G249" s="10" t="s">
        <v>117</v>
      </c>
      <c r="H249" s="10"/>
      <c r="I249" s="10"/>
      <c r="J249" s="69" t="s">
        <v>654</v>
      </c>
      <c r="K249" s="25">
        <v>15303.23</v>
      </c>
      <c r="L249" s="25"/>
      <c r="M249" s="25">
        <f>IFERROR(VLOOKUP($C249,$C$5:$M$24,11,0)+SUMIF($C$25:$C249,$C249,$K$25:$K249)-SUMIF($C$25:$C249,$C249,$L$25:$L249),"")</f>
        <v>1709781.96</v>
      </c>
      <c r="N249" s="10"/>
      <c r="O249" s="10"/>
      <c r="P249" s="65"/>
      <c r="Q249" s="10"/>
      <c r="R249" s="10"/>
      <c r="S249" s="54">
        <f t="shared" si="9"/>
        <v>202602</v>
      </c>
      <c r="T249" s="54">
        <f t="shared" si="10"/>
        <v>202602</v>
      </c>
      <c r="U249" s="58" t="str">
        <f t="shared" si="11"/>
        <v/>
      </c>
      <c r="V249" s="58">
        <f>IF(AND($B249&lt;&gt;"",$F249&lt;&gt;"",$F249=项目明细账!$C$2),N(V248)+1,N(V248))</f>
        <v>0</v>
      </c>
      <c r="W249" s="63" t="str">
        <f>IF($H249&lt;&gt;"","项目成本",IFERROR(INDEX(基础资料!$W$4:$W$49,MATCH($I249,基础资料!$V$4:$V$49,0)),""))</f>
        <v/>
      </c>
      <c r="X249" s="63" t="str">
        <f>IFERROR(INDEX(基础资料!$R$4:$R$17,MATCH($G249,基础资料!$Q$4:$Q$17,0)),"")</f>
        <v>非经营收入</v>
      </c>
    </row>
    <row r="250" spans="1:24">
      <c r="A250" s="58">
        <f>IF($B250="","",COUNTA($B$5:$B250))</f>
        <v>246</v>
      </c>
      <c r="B250" s="73">
        <v>46062</v>
      </c>
      <c r="C250" s="46" t="s">
        <v>80</v>
      </c>
      <c r="D250" s="63" t="str">
        <f>IFERROR(INDEX(基础资料!$F$4:$F$23,MATCH($C250,基础资料!$E$4:$E$23,0)),IF($C250="","","未匹配账户"))</f>
        <v>双思威</v>
      </c>
      <c r="E250" s="39" t="s">
        <v>488</v>
      </c>
      <c r="F250" s="10"/>
      <c r="G250" s="10"/>
      <c r="H250" s="10"/>
      <c r="I250" s="10" t="s">
        <v>282</v>
      </c>
      <c r="J250" s="69" t="s">
        <v>489</v>
      </c>
      <c r="K250" s="25"/>
      <c r="L250" s="25">
        <v>4.5</v>
      </c>
      <c r="M250" s="25">
        <f>IFERROR(VLOOKUP($C250,$C$5:$M$24,11,0)+SUMIF($C$25:$C250,$C250,$K$25:$K250)-SUMIF($C$25:$C250,$C250,$L$25:$L250),"")</f>
        <v>1709777.46</v>
      </c>
      <c r="N250" s="10"/>
      <c r="O250" s="10"/>
      <c r="P250" s="65"/>
      <c r="Q250" s="10"/>
      <c r="R250" s="10"/>
      <c r="S250" s="54">
        <f t="shared" si="9"/>
        <v>202602</v>
      </c>
      <c r="T250" s="54">
        <f t="shared" si="10"/>
        <v>202602</v>
      </c>
      <c r="U250" s="58" t="str">
        <f t="shared" si="11"/>
        <v/>
      </c>
      <c r="V250" s="58">
        <f>IF(AND($B250&lt;&gt;"",$F250&lt;&gt;"",$F250=项目明细账!$C$2),N(V249)+1,N(V249))</f>
        <v>0</v>
      </c>
      <c r="W250" s="63" t="str">
        <f>IF($H250&lt;&gt;"","项目成本",IFERROR(INDEX(基础资料!$W$4:$W$49,MATCH($I250,基础资料!$V$4:$V$49,0)),""))</f>
        <v>财务费用</v>
      </c>
      <c r="X250" s="63" t="str">
        <f>IFERROR(INDEX(基础资料!$R$4:$R$17,MATCH($G250,基础资料!$Q$4:$Q$17,0)),"")</f>
        <v/>
      </c>
    </row>
    <row r="251" spans="1:24">
      <c r="A251" s="58">
        <f>IF($B251="","",COUNTA($B$5:$B251))</f>
        <v>247</v>
      </c>
      <c r="B251" s="73">
        <v>46062</v>
      </c>
      <c r="C251" s="46" t="s">
        <v>80</v>
      </c>
      <c r="D251" s="63" t="str">
        <f>IFERROR(INDEX(基础资料!$F$4:$F$23,MATCH($C251,基础资料!$E$4:$E$23,0)),IF($C251="","","未匹配账户"))</f>
        <v>双思威</v>
      </c>
      <c r="E251" s="39" t="s">
        <v>488</v>
      </c>
      <c r="F251" s="10"/>
      <c r="G251" s="10"/>
      <c r="H251" s="10"/>
      <c r="I251" s="10" t="s">
        <v>237</v>
      </c>
      <c r="J251" s="69" t="s">
        <v>491</v>
      </c>
      <c r="K251" s="25"/>
      <c r="L251" s="25">
        <v>8744.87</v>
      </c>
      <c r="M251" s="25">
        <f>IFERROR(VLOOKUP($C251,$C$5:$M$24,11,0)+SUMIF($C$25:$C251,$C251,$K$25:$K251)-SUMIF($C$25:$C251,$C251,$L$25:$L251),"")</f>
        <v>1701032.59</v>
      </c>
      <c r="N251" s="10"/>
      <c r="O251" s="10"/>
      <c r="P251" s="65"/>
      <c r="Q251" s="10"/>
      <c r="R251" s="10"/>
      <c r="S251" s="54">
        <f t="shared" si="9"/>
        <v>202602</v>
      </c>
      <c r="T251" s="54">
        <f t="shared" si="10"/>
        <v>202602</v>
      </c>
      <c r="U251" s="58" t="str">
        <f t="shared" si="11"/>
        <v/>
      </c>
      <c r="V251" s="58">
        <f>IF(AND($B251&lt;&gt;"",$F251&lt;&gt;"",$F251=项目明细账!$C$2),N(V250)+1,N(V250))</f>
        <v>0</v>
      </c>
      <c r="W251" s="63" t="str">
        <f>IF($H251&lt;&gt;"","项目成本",IFERROR(INDEX(基础资料!$W$4:$W$49,MATCH($I251,基础资料!$V$4:$V$49,0)),""))</f>
        <v>人工社保</v>
      </c>
      <c r="X251" s="63" t="str">
        <f>IFERROR(INDEX(基础资料!$R$4:$R$17,MATCH($G251,基础资料!$Q$4:$Q$17,0)),"")</f>
        <v/>
      </c>
    </row>
    <row r="252" spans="1:24">
      <c r="A252" s="58">
        <f>IF($B252="","",COUNTA($B$5:$B252))</f>
        <v>248</v>
      </c>
      <c r="B252" s="73">
        <v>46062</v>
      </c>
      <c r="C252" s="46" t="s">
        <v>80</v>
      </c>
      <c r="D252" s="63" t="str">
        <f>IFERROR(INDEX(基础资料!$F$4:$F$23,MATCH($C252,基础资料!$E$4:$E$23,0)),IF($C252="","","未匹配账户"))</f>
        <v>双思威</v>
      </c>
      <c r="E252" s="39" t="s">
        <v>488</v>
      </c>
      <c r="F252" s="10"/>
      <c r="G252" s="10"/>
      <c r="H252" s="10"/>
      <c r="I252" s="10" t="s">
        <v>237</v>
      </c>
      <c r="J252" s="69" t="s">
        <v>492</v>
      </c>
      <c r="K252" s="25"/>
      <c r="L252" s="25">
        <v>3157.61</v>
      </c>
      <c r="M252" s="25">
        <f>IFERROR(VLOOKUP($C252,$C$5:$M$24,11,0)+SUMIF($C$25:$C252,$C252,$K$25:$K252)-SUMIF($C$25:$C252,$C252,$L$25:$L252),"")</f>
        <v>1697874.98</v>
      </c>
      <c r="N252" s="10"/>
      <c r="O252" s="10"/>
      <c r="P252" s="65"/>
      <c r="Q252" s="10"/>
      <c r="R252" s="10"/>
      <c r="S252" s="54">
        <f t="shared" si="9"/>
        <v>202602</v>
      </c>
      <c r="T252" s="54">
        <f t="shared" si="10"/>
        <v>202602</v>
      </c>
      <c r="U252" s="58" t="str">
        <f t="shared" si="11"/>
        <v/>
      </c>
      <c r="V252" s="58">
        <f>IF(AND($B252&lt;&gt;"",$F252&lt;&gt;"",$F252=项目明细账!$C$2),N(V251)+1,N(V251))</f>
        <v>0</v>
      </c>
      <c r="W252" s="63" t="str">
        <f>IF($H252&lt;&gt;"","项目成本",IFERROR(INDEX(基础资料!$W$4:$W$49,MATCH($I252,基础资料!$V$4:$V$49,0)),""))</f>
        <v>人工社保</v>
      </c>
      <c r="X252" s="63" t="str">
        <f>IFERROR(INDEX(基础资料!$R$4:$R$17,MATCH($G252,基础资料!$Q$4:$Q$17,0)),"")</f>
        <v/>
      </c>
    </row>
    <row r="253" spans="1:24">
      <c r="A253" s="58">
        <f>IF($B253="","",COUNTA($B$5:$B253))</f>
        <v>249</v>
      </c>
      <c r="B253" s="73">
        <v>46062</v>
      </c>
      <c r="C253" s="46" t="s">
        <v>80</v>
      </c>
      <c r="D253" s="63" t="str">
        <f>IFERROR(INDEX(基础资料!$F$4:$F$23,MATCH($C253,基础资料!$E$4:$E$23,0)),IF($C253="","","未匹配账户"))</f>
        <v>双思威</v>
      </c>
      <c r="E253" s="39" t="s">
        <v>488</v>
      </c>
      <c r="F253" s="10"/>
      <c r="G253" s="10"/>
      <c r="H253" s="10"/>
      <c r="I253" s="10" t="s">
        <v>237</v>
      </c>
      <c r="J253" s="69" t="s">
        <v>493</v>
      </c>
      <c r="K253" s="25"/>
      <c r="L253" s="25">
        <v>3157.61</v>
      </c>
      <c r="M253" s="25">
        <f>IFERROR(VLOOKUP($C253,$C$5:$M$24,11,0)+SUMIF($C$25:$C253,$C253,$K$25:$K253)-SUMIF($C$25:$C253,$C253,$L$25:$L253),"")</f>
        <v>1694717.37</v>
      </c>
      <c r="N253" s="10"/>
      <c r="O253" s="10"/>
      <c r="P253" s="65"/>
      <c r="Q253" s="10"/>
      <c r="R253" s="10"/>
      <c r="S253" s="54">
        <f t="shared" si="9"/>
        <v>202602</v>
      </c>
      <c r="T253" s="54">
        <f t="shared" si="10"/>
        <v>202602</v>
      </c>
      <c r="U253" s="58" t="str">
        <f t="shared" si="11"/>
        <v/>
      </c>
      <c r="V253" s="58">
        <f>IF(AND($B253&lt;&gt;"",$F253&lt;&gt;"",$F253=项目明细账!$C$2),N(V252)+1,N(V252))</f>
        <v>0</v>
      </c>
      <c r="W253" s="63" t="str">
        <f>IF($H253&lt;&gt;"","项目成本",IFERROR(INDEX(基础资料!$W$4:$W$49,MATCH($I253,基础资料!$V$4:$V$49,0)),""))</f>
        <v>人工社保</v>
      </c>
      <c r="X253" s="63" t="str">
        <f>IFERROR(INDEX(基础资料!$R$4:$R$17,MATCH($G253,基础资料!$Q$4:$Q$17,0)),"")</f>
        <v/>
      </c>
    </row>
    <row r="254" spans="1:24">
      <c r="A254" s="58">
        <f>IF($B254="","",COUNTA($B$5:$B254))</f>
        <v>250</v>
      </c>
      <c r="B254" s="73">
        <v>46062</v>
      </c>
      <c r="C254" s="46" t="s">
        <v>80</v>
      </c>
      <c r="D254" s="63" t="str">
        <f>IFERROR(INDEX(基础资料!$F$4:$F$23,MATCH($C254,基础资料!$E$4:$E$23,0)),IF($C254="","","未匹配账户"))</f>
        <v>双思威</v>
      </c>
      <c r="E254" s="39" t="s">
        <v>488</v>
      </c>
      <c r="F254" s="10"/>
      <c r="G254" s="10"/>
      <c r="H254" s="10"/>
      <c r="I254" s="10" t="s">
        <v>237</v>
      </c>
      <c r="J254" s="69" t="s">
        <v>494</v>
      </c>
      <c r="K254" s="25"/>
      <c r="L254" s="25">
        <v>6933.06</v>
      </c>
      <c r="M254" s="25">
        <f>IFERROR(VLOOKUP($C254,$C$5:$M$24,11,0)+SUMIF($C$25:$C254,$C254,$K$25:$K254)-SUMIF($C$25:$C254,$C254,$L$25:$L254),"")</f>
        <v>1687784.31</v>
      </c>
      <c r="N254" s="10"/>
      <c r="O254" s="10"/>
      <c r="P254" s="65"/>
      <c r="Q254" s="10"/>
      <c r="R254" s="10"/>
      <c r="S254" s="54">
        <f t="shared" si="9"/>
        <v>202602</v>
      </c>
      <c r="T254" s="54">
        <f t="shared" si="10"/>
        <v>202602</v>
      </c>
      <c r="U254" s="58" t="str">
        <f t="shared" si="11"/>
        <v/>
      </c>
      <c r="V254" s="58">
        <f>IF(AND($B254&lt;&gt;"",$F254&lt;&gt;"",$F254=项目明细账!$C$2),N(V253)+1,N(V253))</f>
        <v>0</v>
      </c>
      <c r="W254" s="63" t="str">
        <f>IF($H254&lt;&gt;"","项目成本",IFERROR(INDEX(基础资料!$W$4:$W$49,MATCH($I254,基础资料!$V$4:$V$49,0)),""))</f>
        <v>人工社保</v>
      </c>
      <c r="X254" s="63" t="str">
        <f>IFERROR(INDEX(基础资料!$R$4:$R$17,MATCH($G254,基础资料!$Q$4:$Q$17,0)),"")</f>
        <v/>
      </c>
    </row>
    <row r="255" spans="1:24">
      <c r="A255" s="58">
        <f>IF($B255="","",COUNTA($B$5:$B255))</f>
        <v>251</v>
      </c>
      <c r="B255" s="73">
        <v>46062</v>
      </c>
      <c r="C255" s="46" t="s">
        <v>80</v>
      </c>
      <c r="D255" s="63" t="str">
        <f>IFERROR(INDEX(基础资料!$F$4:$F$23,MATCH($C255,基础资料!$E$4:$E$23,0)),IF($C255="","","未匹配账户"))</f>
        <v>双思威</v>
      </c>
      <c r="E255" s="39" t="s">
        <v>488</v>
      </c>
      <c r="F255" s="10"/>
      <c r="G255" s="10"/>
      <c r="H255" s="10"/>
      <c r="I255" s="10" t="s">
        <v>237</v>
      </c>
      <c r="J255" s="69" t="s">
        <v>495</v>
      </c>
      <c r="K255" s="25"/>
      <c r="L255" s="25">
        <v>2657.61</v>
      </c>
      <c r="M255" s="25">
        <f>IFERROR(VLOOKUP($C255,$C$5:$M$24,11,0)+SUMIF($C$25:$C255,$C255,$K$25:$K255)-SUMIF($C$25:$C255,$C255,$L$25:$L255),"")</f>
        <v>1685126.7</v>
      </c>
      <c r="N255" s="10"/>
      <c r="O255" s="10"/>
      <c r="P255" s="65"/>
      <c r="Q255" s="10"/>
      <c r="R255" s="10"/>
      <c r="S255" s="54">
        <f t="shared" si="9"/>
        <v>202602</v>
      </c>
      <c r="T255" s="54">
        <f t="shared" si="10"/>
        <v>202602</v>
      </c>
      <c r="U255" s="58" t="str">
        <f t="shared" si="11"/>
        <v/>
      </c>
      <c r="V255" s="58">
        <f>IF(AND($B255&lt;&gt;"",$F255&lt;&gt;"",$F255=项目明细账!$C$2),N(V254)+1,N(V254))</f>
        <v>0</v>
      </c>
      <c r="W255" s="63" t="str">
        <f>IF($H255&lt;&gt;"","项目成本",IFERROR(INDEX(基础资料!$W$4:$W$49,MATCH($I255,基础资料!$V$4:$V$49,0)),""))</f>
        <v>人工社保</v>
      </c>
      <c r="X255" s="63" t="str">
        <f>IFERROR(INDEX(基础资料!$R$4:$R$17,MATCH($G255,基础资料!$Q$4:$Q$17,0)),"")</f>
        <v/>
      </c>
    </row>
    <row r="256" spans="1:24">
      <c r="A256" s="58">
        <f>IF($B256="","",COUNTA($B$5:$B256))</f>
        <v>252</v>
      </c>
      <c r="B256" s="73">
        <v>46062</v>
      </c>
      <c r="C256" s="46" t="s">
        <v>80</v>
      </c>
      <c r="D256" s="63" t="str">
        <f>IFERROR(INDEX(基础资料!$F$4:$F$23,MATCH($C256,基础资料!$E$4:$E$23,0)),IF($C256="","","未匹配账户"))</f>
        <v>双思威</v>
      </c>
      <c r="E256" s="39" t="s">
        <v>488</v>
      </c>
      <c r="F256" s="10"/>
      <c r="G256" s="10"/>
      <c r="H256" s="10"/>
      <c r="I256" s="10" t="s">
        <v>237</v>
      </c>
      <c r="J256" s="69" t="s">
        <v>496</v>
      </c>
      <c r="K256" s="25"/>
      <c r="L256" s="25">
        <v>2657.61</v>
      </c>
      <c r="M256" s="25">
        <f>IFERROR(VLOOKUP($C256,$C$5:$M$24,11,0)+SUMIF($C$25:$C256,$C256,$K$25:$K256)-SUMIF($C$25:$C256,$C256,$L$25:$L256),"")</f>
        <v>1682469.09</v>
      </c>
      <c r="N256" s="10"/>
      <c r="O256" s="10"/>
      <c r="P256" s="65"/>
      <c r="Q256" s="10"/>
      <c r="R256" s="10"/>
      <c r="S256" s="54">
        <f t="shared" si="9"/>
        <v>202602</v>
      </c>
      <c r="T256" s="54">
        <f t="shared" si="10"/>
        <v>202602</v>
      </c>
      <c r="U256" s="58" t="str">
        <f t="shared" si="11"/>
        <v/>
      </c>
      <c r="V256" s="58">
        <f>IF(AND($B256&lt;&gt;"",$F256&lt;&gt;"",$F256=项目明细账!$C$2),N(V255)+1,N(V255))</f>
        <v>0</v>
      </c>
      <c r="W256" s="63" t="str">
        <f>IF($H256&lt;&gt;"","项目成本",IFERROR(INDEX(基础资料!$W$4:$W$49,MATCH($I256,基础资料!$V$4:$V$49,0)),""))</f>
        <v>人工社保</v>
      </c>
      <c r="X256" s="63" t="str">
        <f>IFERROR(INDEX(基础资料!$R$4:$R$17,MATCH($G256,基础资料!$Q$4:$Q$17,0)),"")</f>
        <v/>
      </c>
    </row>
    <row r="257" spans="1:24">
      <c r="A257" s="58">
        <f>IF($B257="","",COUNTA($B$5:$B257))</f>
        <v>253</v>
      </c>
      <c r="B257" s="73">
        <v>46062</v>
      </c>
      <c r="C257" s="46" t="s">
        <v>80</v>
      </c>
      <c r="D257" s="63" t="str">
        <f>IFERROR(INDEX(基础资料!$F$4:$F$23,MATCH($C257,基础资料!$E$4:$E$23,0)),IF($C257="","","未匹配账户"))</f>
        <v>双思威</v>
      </c>
      <c r="E257" s="39" t="s">
        <v>488</v>
      </c>
      <c r="F257" s="10"/>
      <c r="G257" s="10"/>
      <c r="H257" s="10"/>
      <c r="I257" s="10" t="s">
        <v>237</v>
      </c>
      <c r="J257" s="69" t="s">
        <v>497</v>
      </c>
      <c r="K257" s="25"/>
      <c r="L257" s="25">
        <v>2757.61</v>
      </c>
      <c r="M257" s="25">
        <f>IFERROR(VLOOKUP($C257,$C$5:$M$24,11,0)+SUMIF($C$25:$C257,$C257,$K$25:$K257)-SUMIF($C$25:$C257,$C257,$L$25:$L257),"")</f>
        <v>1679711.48</v>
      </c>
      <c r="N257" s="10"/>
      <c r="O257" s="10"/>
      <c r="P257" s="65"/>
      <c r="Q257" s="10"/>
      <c r="R257" s="10"/>
      <c r="S257" s="54">
        <f t="shared" si="9"/>
        <v>202602</v>
      </c>
      <c r="T257" s="54">
        <f t="shared" si="10"/>
        <v>202602</v>
      </c>
      <c r="U257" s="58" t="str">
        <f t="shared" si="11"/>
        <v/>
      </c>
      <c r="V257" s="58">
        <f>IF(AND($B257&lt;&gt;"",$F257&lt;&gt;"",$F257=项目明细账!$C$2),N(V256)+1,N(V256))</f>
        <v>0</v>
      </c>
      <c r="W257" s="63" t="str">
        <f>IF($H257&lt;&gt;"","项目成本",IFERROR(INDEX(基础资料!$W$4:$W$49,MATCH($I257,基础资料!$V$4:$V$49,0)),""))</f>
        <v>人工社保</v>
      </c>
      <c r="X257" s="63" t="str">
        <f>IFERROR(INDEX(基础资料!$R$4:$R$17,MATCH($G257,基础资料!$Q$4:$Q$17,0)),"")</f>
        <v/>
      </c>
    </row>
    <row r="258" spans="1:24">
      <c r="A258" s="58">
        <f>IF($B258="","",COUNTA($B$5:$B258))</f>
        <v>254</v>
      </c>
      <c r="B258" s="73">
        <v>46062</v>
      </c>
      <c r="C258" s="46" t="s">
        <v>80</v>
      </c>
      <c r="D258" s="63" t="str">
        <f>IFERROR(INDEX(基础资料!$F$4:$F$23,MATCH($C258,基础资料!$E$4:$E$23,0)),IF($C258="","","未匹配账户"))</f>
        <v>双思威</v>
      </c>
      <c r="E258" s="39" t="s">
        <v>488</v>
      </c>
      <c r="F258" s="10"/>
      <c r="G258" s="10"/>
      <c r="H258" s="10"/>
      <c r="I258" s="10" t="s">
        <v>237</v>
      </c>
      <c r="J258" s="69" t="s">
        <v>655</v>
      </c>
      <c r="K258" s="25"/>
      <c r="L258" s="25">
        <v>1790.61</v>
      </c>
      <c r="M258" s="25">
        <f>IFERROR(VLOOKUP($C258,$C$5:$M$24,11,0)+SUMIF($C$25:$C258,$C258,$K$25:$K258)-SUMIF($C$25:$C258,$C258,$L$25:$L258),"")</f>
        <v>1677920.87</v>
      </c>
      <c r="N258" s="10"/>
      <c r="O258" s="10"/>
      <c r="P258" s="65"/>
      <c r="Q258" s="10"/>
      <c r="R258" s="10"/>
      <c r="S258" s="54">
        <f t="shared" si="9"/>
        <v>202602</v>
      </c>
      <c r="T258" s="54">
        <f t="shared" si="10"/>
        <v>202602</v>
      </c>
      <c r="U258" s="58" t="str">
        <f t="shared" si="11"/>
        <v/>
      </c>
      <c r="V258" s="58">
        <f>IF(AND($B258&lt;&gt;"",$F258&lt;&gt;"",$F258=项目明细账!$C$2),N(V257)+1,N(V257))</f>
        <v>0</v>
      </c>
      <c r="W258" s="63" t="str">
        <f>IF($H258&lt;&gt;"","项目成本",IFERROR(INDEX(基础资料!$W$4:$W$49,MATCH($I258,基础资料!$V$4:$V$49,0)),""))</f>
        <v>人工社保</v>
      </c>
      <c r="X258" s="63" t="str">
        <f>IFERROR(INDEX(基础资料!$R$4:$R$17,MATCH($G258,基础资料!$Q$4:$Q$17,0)),"")</f>
        <v/>
      </c>
    </row>
    <row r="259" spans="1:24">
      <c r="A259" s="58">
        <f>IF($B259="","",COUNTA($B$5:$B259))</f>
        <v>255</v>
      </c>
      <c r="B259" s="73">
        <v>46062</v>
      </c>
      <c r="C259" s="46" t="s">
        <v>80</v>
      </c>
      <c r="D259" s="63" t="str">
        <f>IFERROR(INDEX(基础资料!$F$4:$F$23,MATCH($C259,基础资料!$E$4:$E$23,0)),IF($C259="","","未匹配账户"))</f>
        <v>双思威</v>
      </c>
      <c r="E259" s="39" t="s">
        <v>488</v>
      </c>
      <c r="F259" s="10"/>
      <c r="G259" s="10"/>
      <c r="H259" s="10"/>
      <c r="I259" s="10" t="s">
        <v>237</v>
      </c>
      <c r="J259" s="69" t="s">
        <v>498</v>
      </c>
      <c r="K259" s="25"/>
      <c r="L259" s="25">
        <v>1500</v>
      </c>
      <c r="M259" s="25">
        <f>IFERROR(VLOOKUP($C259,$C$5:$M$24,11,0)+SUMIF($C$25:$C259,$C259,$K$25:$K259)-SUMIF($C$25:$C259,$C259,$L$25:$L259),"")</f>
        <v>1676420.87</v>
      </c>
      <c r="N259" s="10"/>
      <c r="O259" s="10"/>
      <c r="P259" s="65"/>
      <c r="Q259" s="10"/>
      <c r="R259" s="10"/>
      <c r="S259" s="54">
        <f t="shared" si="9"/>
        <v>202602</v>
      </c>
      <c r="T259" s="54">
        <f t="shared" si="10"/>
        <v>202602</v>
      </c>
      <c r="U259" s="58" t="str">
        <f t="shared" si="11"/>
        <v/>
      </c>
      <c r="V259" s="58">
        <f>IF(AND($B259&lt;&gt;"",$F259&lt;&gt;"",$F259=项目明细账!$C$2),N(V258)+1,N(V258))</f>
        <v>0</v>
      </c>
      <c r="W259" s="63" t="str">
        <f>IF($H259&lt;&gt;"","项目成本",IFERROR(INDEX(基础资料!$W$4:$W$49,MATCH($I259,基础资料!$V$4:$V$49,0)),""))</f>
        <v>人工社保</v>
      </c>
      <c r="X259" s="63" t="str">
        <f>IFERROR(INDEX(基础资料!$R$4:$R$17,MATCH($G259,基础资料!$Q$4:$Q$17,0)),"")</f>
        <v/>
      </c>
    </row>
    <row r="260" spans="1:24">
      <c r="A260" s="58">
        <f>IF($B260="","",COUNTA($B$5:$B260))</f>
        <v>256</v>
      </c>
      <c r="B260" s="73">
        <v>46062</v>
      </c>
      <c r="C260" s="46" t="s">
        <v>80</v>
      </c>
      <c r="D260" s="63" t="str">
        <f>IFERROR(INDEX(基础资料!$F$4:$F$23,MATCH($C260,基础资料!$E$4:$E$23,0)),IF($C260="","","未匹配账户"))</f>
        <v>双思威</v>
      </c>
      <c r="E260" s="39" t="s">
        <v>488</v>
      </c>
      <c r="F260" s="10"/>
      <c r="G260" s="10"/>
      <c r="H260" s="10"/>
      <c r="I260" s="10" t="s">
        <v>237</v>
      </c>
      <c r="J260" s="69" t="s">
        <v>499</v>
      </c>
      <c r="K260" s="25"/>
      <c r="L260" s="25">
        <v>2322.61</v>
      </c>
      <c r="M260" s="25">
        <f>IFERROR(VLOOKUP($C260,$C$5:$M$24,11,0)+SUMIF($C$25:$C260,$C260,$K$25:$K260)-SUMIF($C$25:$C260,$C260,$L$25:$L260),"")</f>
        <v>1674098.26</v>
      </c>
      <c r="N260" s="10"/>
      <c r="O260" s="10"/>
      <c r="P260" s="65"/>
      <c r="Q260" s="10"/>
      <c r="R260" s="10"/>
      <c r="S260" s="54">
        <f t="shared" si="9"/>
        <v>202602</v>
      </c>
      <c r="T260" s="54">
        <f t="shared" si="10"/>
        <v>202602</v>
      </c>
      <c r="U260" s="58" t="str">
        <f t="shared" si="11"/>
        <v/>
      </c>
      <c r="V260" s="58">
        <f>IF(AND($B260&lt;&gt;"",$F260&lt;&gt;"",$F260=项目明细账!$C$2),N(V259)+1,N(V259))</f>
        <v>0</v>
      </c>
      <c r="W260" s="63" t="str">
        <f>IF($H260&lt;&gt;"","项目成本",IFERROR(INDEX(基础资料!$W$4:$W$49,MATCH($I260,基础资料!$V$4:$V$49,0)),""))</f>
        <v>人工社保</v>
      </c>
      <c r="X260" s="63" t="str">
        <f>IFERROR(INDEX(基础资料!$R$4:$R$17,MATCH($G260,基础资料!$Q$4:$Q$17,0)),"")</f>
        <v/>
      </c>
    </row>
    <row r="261" spans="1:24">
      <c r="A261" s="58">
        <f>IF($B261="","",COUNTA($B$5:$B261))</f>
        <v>257</v>
      </c>
      <c r="B261" s="73">
        <v>46062</v>
      </c>
      <c r="C261" s="46" t="s">
        <v>80</v>
      </c>
      <c r="D261" s="63" t="str">
        <f>IFERROR(INDEX(基础资料!$F$4:$F$23,MATCH($C261,基础资料!$E$4:$E$23,0)),IF($C261="","","未匹配账户"))</f>
        <v>双思威</v>
      </c>
      <c r="E261" s="39" t="s">
        <v>488</v>
      </c>
      <c r="F261" s="10"/>
      <c r="G261" s="10"/>
      <c r="H261" s="10"/>
      <c r="I261" s="10" t="s">
        <v>237</v>
      </c>
      <c r="J261" s="69" t="s">
        <v>500</v>
      </c>
      <c r="K261" s="25"/>
      <c r="L261" s="25">
        <v>2857.61</v>
      </c>
      <c r="M261" s="25">
        <f>IFERROR(VLOOKUP($C261,$C$5:$M$24,11,0)+SUMIF($C$25:$C261,$C261,$K$25:$K261)-SUMIF($C$25:$C261,$C261,$L$25:$L261),"")</f>
        <v>1671240.65</v>
      </c>
      <c r="N261" s="10"/>
      <c r="O261" s="10"/>
      <c r="P261" s="65"/>
      <c r="Q261" s="10"/>
      <c r="R261" s="10"/>
      <c r="S261" s="54">
        <f t="shared" si="9"/>
        <v>202602</v>
      </c>
      <c r="T261" s="54">
        <f t="shared" si="10"/>
        <v>202602</v>
      </c>
      <c r="U261" s="58" t="str">
        <f t="shared" si="11"/>
        <v/>
      </c>
      <c r="V261" s="58">
        <f>IF(AND($B261&lt;&gt;"",$F261&lt;&gt;"",$F261=项目明细账!$C$2),N(V260)+1,N(V260))</f>
        <v>0</v>
      </c>
      <c r="W261" s="63" t="str">
        <f>IF($H261&lt;&gt;"","项目成本",IFERROR(INDEX(基础资料!$W$4:$W$49,MATCH($I261,基础资料!$V$4:$V$49,0)),""))</f>
        <v>人工社保</v>
      </c>
      <c r="X261" s="63" t="str">
        <f>IFERROR(INDEX(基础资料!$R$4:$R$17,MATCH($G261,基础资料!$Q$4:$Q$17,0)),"")</f>
        <v/>
      </c>
    </row>
    <row r="262" spans="1:24">
      <c r="A262" s="58">
        <f>IF($B262="","",COUNTA($B$5:$B262))</f>
        <v>258</v>
      </c>
      <c r="B262" s="73">
        <v>46062</v>
      </c>
      <c r="C262" s="46" t="s">
        <v>80</v>
      </c>
      <c r="D262" s="63" t="str">
        <f>IFERROR(INDEX(基础资料!$F$4:$F$23,MATCH($C262,基础资料!$E$4:$E$23,0)),IF($C262="","","未匹配账户"))</f>
        <v>双思威</v>
      </c>
      <c r="E262" s="39" t="s">
        <v>488</v>
      </c>
      <c r="F262" s="10"/>
      <c r="G262" s="10"/>
      <c r="H262" s="10"/>
      <c r="I262" s="10" t="s">
        <v>237</v>
      </c>
      <c r="J262" s="69" t="s">
        <v>501</v>
      </c>
      <c r="K262" s="25"/>
      <c r="L262" s="25">
        <v>1437.61</v>
      </c>
      <c r="M262" s="25">
        <f>IFERROR(VLOOKUP($C262,$C$5:$M$24,11,0)+SUMIF($C$25:$C262,$C262,$K$25:$K262)-SUMIF($C$25:$C262,$C262,$L$25:$L262),"")</f>
        <v>1669803.04</v>
      </c>
      <c r="N262" s="10"/>
      <c r="O262" s="10"/>
      <c r="P262" s="65"/>
      <c r="Q262" s="10"/>
      <c r="R262" s="10"/>
      <c r="S262" s="54">
        <f t="shared" ref="S262:S325" si="12">IF($B262="","",--TEXT($B262,"yyyymm"))</f>
        <v>202602</v>
      </c>
      <c r="T262" s="54">
        <f t="shared" ref="T262:T325" si="13">IF($B262="","",IF($P262="",$S262,IFERROR($P262*1,$P262)))</f>
        <v>202602</v>
      </c>
      <c r="U262" s="58" t="str">
        <f t="shared" ref="U262:U325" si="14">IF($B262="","",IF($T262=$S262,"","跨期"))</f>
        <v/>
      </c>
      <c r="V262" s="58">
        <f>IF(AND($B262&lt;&gt;"",$F262&lt;&gt;"",$F262=项目明细账!$C$2),N(V261)+1,N(V261))</f>
        <v>0</v>
      </c>
      <c r="W262" s="63" t="str">
        <f>IF($H262&lt;&gt;"","项目成本",IFERROR(INDEX(基础资料!$W$4:$W$49,MATCH($I262,基础资料!$V$4:$V$49,0)),""))</f>
        <v>人工社保</v>
      </c>
      <c r="X262" s="63" t="str">
        <f>IFERROR(INDEX(基础资料!$R$4:$R$17,MATCH($G262,基础资料!$Q$4:$Q$17,0)),"")</f>
        <v/>
      </c>
    </row>
    <row r="263" spans="1:24">
      <c r="A263" s="58">
        <f>IF($B263="","",COUNTA($B$5:$B263))</f>
        <v>259</v>
      </c>
      <c r="B263" s="73">
        <v>46062</v>
      </c>
      <c r="C263" s="46" t="s">
        <v>80</v>
      </c>
      <c r="D263" s="63" t="str">
        <f>IFERROR(INDEX(基础资料!$F$4:$F$23,MATCH($C263,基础资料!$E$4:$E$23,0)),IF($C263="","","未匹配账户"))</f>
        <v>双思威</v>
      </c>
      <c r="E263" s="39" t="s">
        <v>488</v>
      </c>
      <c r="F263" s="10"/>
      <c r="G263" s="10"/>
      <c r="H263" s="10"/>
      <c r="I263" s="10" t="s">
        <v>237</v>
      </c>
      <c r="J263" s="69" t="s">
        <v>502</v>
      </c>
      <c r="K263" s="25"/>
      <c r="L263" s="25">
        <v>2657.61</v>
      </c>
      <c r="M263" s="25">
        <f>IFERROR(VLOOKUP($C263,$C$5:$M$24,11,0)+SUMIF($C$25:$C263,$C263,$K$25:$K263)-SUMIF($C$25:$C263,$C263,$L$25:$L263),"")</f>
        <v>1667145.43</v>
      </c>
      <c r="N263" s="10"/>
      <c r="O263" s="10"/>
      <c r="P263" s="65"/>
      <c r="Q263" s="10"/>
      <c r="R263" s="10"/>
      <c r="S263" s="54">
        <f t="shared" si="12"/>
        <v>202602</v>
      </c>
      <c r="T263" s="54">
        <f t="shared" si="13"/>
        <v>202602</v>
      </c>
      <c r="U263" s="58" t="str">
        <f t="shared" si="14"/>
        <v/>
      </c>
      <c r="V263" s="58">
        <f>IF(AND($B263&lt;&gt;"",$F263&lt;&gt;"",$F263=项目明细账!$C$2),N(V262)+1,N(V262))</f>
        <v>0</v>
      </c>
      <c r="W263" s="63" t="str">
        <f>IF($H263&lt;&gt;"","项目成本",IFERROR(INDEX(基础资料!$W$4:$W$49,MATCH($I263,基础资料!$V$4:$V$49,0)),""))</f>
        <v>人工社保</v>
      </c>
      <c r="X263" s="63" t="str">
        <f>IFERROR(INDEX(基础资料!$R$4:$R$17,MATCH($G263,基础资料!$Q$4:$Q$17,0)),"")</f>
        <v/>
      </c>
    </row>
    <row r="264" spans="1:24">
      <c r="A264" s="58">
        <f>IF($B264="","",COUNTA($B$5:$B264))</f>
        <v>260</v>
      </c>
      <c r="B264" s="73">
        <v>46062</v>
      </c>
      <c r="C264" s="46" t="s">
        <v>80</v>
      </c>
      <c r="D264" s="63" t="str">
        <f>IFERROR(INDEX(基础资料!$F$4:$F$23,MATCH($C264,基础资料!$E$4:$E$23,0)),IF($C264="","","未匹配账户"))</f>
        <v>双思威</v>
      </c>
      <c r="E264" s="39" t="s">
        <v>488</v>
      </c>
      <c r="F264" s="10"/>
      <c r="G264" s="10"/>
      <c r="H264" s="10"/>
      <c r="I264" s="10" t="s">
        <v>237</v>
      </c>
      <c r="J264" s="69" t="s">
        <v>503</v>
      </c>
      <c r="K264" s="25"/>
      <c r="L264" s="25">
        <v>2757.61</v>
      </c>
      <c r="M264" s="25">
        <f>IFERROR(VLOOKUP($C264,$C$5:$M$24,11,0)+SUMIF($C$25:$C264,$C264,$K$25:$K264)-SUMIF($C$25:$C264,$C264,$L$25:$L264),"")</f>
        <v>1664387.82</v>
      </c>
      <c r="N264" s="10"/>
      <c r="O264" s="10"/>
      <c r="P264" s="65"/>
      <c r="Q264" s="10"/>
      <c r="R264" s="10"/>
      <c r="S264" s="54">
        <f t="shared" si="12"/>
        <v>202602</v>
      </c>
      <c r="T264" s="54">
        <f t="shared" si="13"/>
        <v>202602</v>
      </c>
      <c r="U264" s="58" t="str">
        <f t="shared" si="14"/>
        <v/>
      </c>
      <c r="V264" s="58">
        <f>IF(AND($B264&lt;&gt;"",$F264&lt;&gt;"",$F264=项目明细账!$C$2),N(V263)+1,N(V263))</f>
        <v>0</v>
      </c>
      <c r="W264" s="63" t="str">
        <f>IF($H264&lt;&gt;"","项目成本",IFERROR(INDEX(基础资料!$W$4:$W$49,MATCH($I264,基础资料!$V$4:$V$49,0)),""))</f>
        <v>人工社保</v>
      </c>
      <c r="X264" s="63" t="str">
        <f>IFERROR(INDEX(基础资料!$R$4:$R$17,MATCH($G264,基础资料!$Q$4:$Q$17,0)),"")</f>
        <v/>
      </c>
    </row>
    <row r="265" spans="1:24">
      <c r="A265" s="58">
        <f>IF($B265="","",COUNTA($B$5:$B265))</f>
        <v>261</v>
      </c>
      <c r="B265" s="73">
        <v>46062</v>
      </c>
      <c r="C265" s="46" t="s">
        <v>80</v>
      </c>
      <c r="D265" s="63" t="str">
        <f>IFERROR(INDEX(基础资料!$F$4:$F$23,MATCH($C265,基础资料!$E$4:$E$23,0)),IF($C265="","","未匹配账户"))</f>
        <v>双思威</v>
      </c>
      <c r="E265" s="39" t="s">
        <v>488</v>
      </c>
      <c r="F265" s="10"/>
      <c r="G265" s="10"/>
      <c r="H265" s="10"/>
      <c r="I265" s="10" t="s">
        <v>237</v>
      </c>
      <c r="J265" s="69" t="s">
        <v>504</v>
      </c>
      <c r="K265" s="25"/>
      <c r="L265" s="25">
        <v>900</v>
      </c>
      <c r="M265" s="25">
        <f>IFERROR(VLOOKUP($C265,$C$5:$M$24,11,0)+SUMIF($C$25:$C265,$C265,$K$25:$K265)-SUMIF($C$25:$C265,$C265,$L$25:$L265),"")</f>
        <v>1663487.82</v>
      </c>
      <c r="N265" s="10"/>
      <c r="O265" s="10"/>
      <c r="P265" s="65"/>
      <c r="Q265" s="10"/>
      <c r="R265" s="10"/>
      <c r="S265" s="54">
        <f t="shared" si="12"/>
        <v>202602</v>
      </c>
      <c r="T265" s="54">
        <f t="shared" si="13"/>
        <v>202602</v>
      </c>
      <c r="U265" s="58" t="str">
        <f t="shared" si="14"/>
        <v/>
      </c>
      <c r="V265" s="58">
        <f>IF(AND($B265&lt;&gt;"",$F265&lt;&gt;"",$F265=项目明细账!$C$2),N(V264)+1,N(V264))</f>
        <v>0</v>
      </c>
      <c r="W265" s="63" t="str">
        <f>IF($H265&lt;&gt;"","项目成本",IFERROR(INDEX(基础资料!$W$4:$W$49,MATCH($I265,基础资料!$V$4:$V$49,0)),""))</f>
        <v>人工社保</v>
      </c>
      <c r="X265" s="63" t="str">
        <f>IFERROR(INDEX(基础资料!$R$4:$R$17,MATCH($G265,基础资料!$Q$4:$Q$17,0)),"")</f>
        <v/>
      </c>
    </row>
    <row r="266" spans="1:24">
      <c r="A266" s="58">
        <f>IF($B266="","",COUNTA($B$5:$B266))</f>
        <v>262</v>
      </c>
      <c r="B266" s="73">
        <v>46062</v>
      </c>
      <c r="C266" s="46" t="s">
        <v>80</v>
      </c>
      <c r="D266" s="63" t="str">
        <f>IFERROR(INDEX(基础资料!$F$4:$F$23,MATCH($C266,基础资料!$E$4:$E$23,0)),IF($C266="","","未匹配账户"))</f>
        <v>双思威</v>
      </c>
      <c r="E266" s="39" t="s">
        <v>488</v>
      </c>
      <c r="F266" s="10"/>
      <c r="G266" s="10"/>
      <c r="H266" s="10"/>
      <c r="I266" s="10" t="s">
        <v>237</v>
      </c>
      <c r="J266" s="69" t="s">
        <v>505</v>
      </c>
      <c r="K266" s="25"/>
      <c r="L266" s="25">
        <v>600</v>
      </c>
      <c r="M266" s="25">
        <f>IFERROR(VLOOKUP($C266,$C$5:$M$24,11,0)+SUMIF($C$25:$C266,$C266,$K$25:$K266)-SUMIF($C$25:$C266,$C266,$L$25:$L266),"")</f>
        <v>1662887.82</v>
      </c>
      <c r="N266" s="10"/>
      <c r="O266" s="10"/>
      <c r="P266" s="65"/>
      <c r="Q266" s="10"/>
      <c r="R266" s="10"/>
      <c r="S266" s="54">
        <f t="shared" si="12"/>
        <v>202602</v>
      </c>
      <c r="T266" s="54">
        <f t="shared" si="13"/>
        <v>202602</v>
      </c>
      <c r="U266" s="58" t="str">
        <f t="shared" si="14"/>
        <v/>
      </c>
      <c r="V266" s="58">
        <f>IF(AND($B266&lt;&gt;"",$F266&lt;&gt;"",$F266=项目明细账!$C$2),N(V265)+1,N(V265))</f>
        <v>0</v>
      </c>
      <c r="W266" s="63" t="str">
        <f>IF($H266&lt;&gt;"","项目成本",IFERROR(INDEX(基础资料!$W$4:$W$49,MATCH($I266,基础资料!$V$4:$V$49,0)),""))</f>
        <v>人工社保</v>
      </c>
      <c r="X266" s="63" t="str">
        <f>IFERROR(INDEX(基础资料!$R$4:$R$17,MATCH($G266,基础资料!$Q$4:$Q$17,0)),"")</f>
        <v/>
      </c>
    </row>
    <row r="267" spans="1:24">
      <c r="A267" s="58">
        <f>IF($B267="","",COUNTA($B$5:$B267))</f>
        <v>263</v>
      </c>
      <c r="B267" s="73">
        <v>46062</v>
      </c>
      <c r="C267" s="46" t="s">
        <v>80</v>
      </c>
      <c r="D267" s="63" t="str">
        <f>IFERROR(INDEX(基础资料!$F$4:$F$23,MATCH($C267,基础资料!$E$4:$E$23,0)),IF($C267="","","未匹配账户"))</f>
        <v>双思威</v>
      </c>
      <c r="E267" s="39" t="s">
        <v>488</v>
      </c>
      <c r="F267" s="10"/>
      <c r="G267" s="10"/>
      <c r="H267" s="10"/>
      <c r="I267" s="10" t="s">
        <v>237</v>
      </c>
      <c r="J267" s="69" t="s">
        <v>506</v>
      </c>
      <c r="K267" s="25"/>
      <c r="L267" s="25">
        <v>1400</v>
      </c>
      <c r="M267" s="25">
        <f>IFERROR(VLOOKUP($C267,$C$5:$M$24,11,0)+SUMIF($C$25:$C267,$C267,$K$25:$K267)-SUMIF($C$25:$C267,$C267,$L$25:$L267),"")</f>
        <v>1661487.82</v>
      </c>
      <c r="N267" s="10"/>
      <c r="O267" s="10"/>
      <c r="P267" s="65"/>
      <c r="Q267" s="10"/>
      <c r="R267" s="10"/>
      <c r="S267" s="54">
        <f t="shared" si="12"/>
        <v>202602</v>
      </c>
      <c r="T267" s="54">
        <f t="shared" si="13"/>
        <v>202602</v>
      </c>
      <c r="U267" s="58" t="str">
        <f t="shared" si="14"/>
        <v/>
      </c>
      <c r="V267" s="58">
        <f>IF(AND($B267&lt;&gt;"",$F267&lt;&gt;"",$F267=项目明细账!$C$2),N(V266)+1,N(V266))</f>
        <v>0</v>
      </c>
      <c r="W267" s="63" t="str">
        <f>IF($H267&lt;&gt;"","项目成本",IFERROR(INDEX(基础资料!$W$4:$W$49,MATCH($I267,基础资料!$V$4:$V$49,0)),""))</f>
        <v>人工社保</v>
      </c>
      <c r="X267" s="63" t="str">
        <f>IFERROR(INDEX(基础资料!$R$4:$R$17,MATCH($G267,基础资料!$Q$4:$Q$17,0)),"")</f>
        <v/>
      </c>
    </row>
    <row r="268" spans="1:24">
      <c r="A268" s="58">
        <f>IF($B268="","",COUNTA($B$5:$B268))</f>
        <v>264</v>
      </c>
      <c r="B268" s="73">
        <v>46062</v>
      </c>
      <c r="C268" s="46" t="s">
        <v>80</v>
      </c>
      <c r="D268" s="63" t="str">
        <f>IFERROR(INDEX(基础资料!$F$4:$F$23,MATCH($C268,基础资料!$E$4:$E$23,0)),IF($C268="","","未匹配账户"))</f>
        <v>双思威</v>
      </c>
      <c r="E268" s="39" t="s">
        <v>488</v>
      </c>
      <c r="F268" s="10"/>
      <c r="G268" s="10"/>
      <c r="H268" s="10"/>
      <c r="I268" s="10" t="s">
        <v>237</v>
      </c>
      <c r="J268" s="69" t="s">
        <v>507</v>
      </c>
      <c r="K268" s="25"/>
      <c r="L268" s="25">
        <v>1400</v>
      </c>
      <c r="M268" s="25">
        <f>IFERROR(VLOOKUP($C268,$C$5:$M$24,11,0)+SUMIF($C$25:$C268,$C268,$K$25:$K268)-SUMIF($C$25:$C268,$C268,$L$25:$L268),"")</f>
        <v>1660087.82</v>
      </c>
      <c r="N268" s="10"/>
      <c r="O268" s="10"/>
      <c r="P268" s="65"/>
      <c r="Q268" s="10"/>
      <c r="R268" s="10"/>
      <c r="S268" s="54">
        <f t="shared" si="12"/>
        <v>202602</v>
      </c>
      <c r="T268" s="54">
        <f t="shared" si="13"/>
        <v>202602</v>
      </c>
      <c r="U268" s="58" t="str">
        <f t="shared" si="14"/>
        <v/>
      </c>
      <c r="V268" s="58">
        <f>IF(AND($B268&lt;&gt;"",$F268&lt;&gt;"",$F268=项目明细账!$C$2),N(V267)+1,N(V267))</f>
        <v>0</v>
      </c>
      <c r="W268" s="63" t="str">
        <f>IF($H268&lt;&gt;"","项目成本",IFERROR(INDEX(基础资料!$W$4:$W$49,MATCH($I268,基础资料!$V$4:$V$49,0)),""))</f>
        <v>人工社保</v>
      </c>
      <c r="X268" s="63" t="str">
        <f>IFERROR(INDEX(基础资料!$R$4:$R$17,MATCH($G268,基础资料!$Q$4:$Q$17,0)),"")</f>
        <v/>
      </c>
    </row>
    <row r="269" spans="1:24">
      <c r="A269" s="58">
        <f>IF($B269="","",COUNTA($B$5:$B269))</f>
        <v>265</v>
      </c>
      <c r="B269" s="73">
        <v>46062</v>
      </c>
      <c r="C269" s="46" t="s">
        <v>80</v>
      </c>
      <c r="D269" s="63" t="str">
        <f>IFERROR(INDEX(基础资料!$F$4:$F$23,MATCH($C269,基础资料!$E$4:$E$23,0)),IF($C269="","","未匹配账户"))</f>
        <v>双思威</v>
      </c>
      <c r="E269" s="39" t="s">
        <v>488</v>
      </c>
      <c r="F269" s="10"/>
      <c r="G269" s="10"/>
      <c r="H269" s="10"/>
      <c r="I269" s="10" t="s">
        <v>237</v>
      </c>
      <c r="J269" s="69" t="s">
        <v>508</v>
      </c>
      <c r="K269" s="25"/>
      <c r="L269" s="25">
        <v>800</v>
      </c>
      <c r="M269" s="25">
        <f>IFERROR(VLOOKUP($C269,$C$5:$M$24,11,0)+SUMIF($C$25:$C269,$C269,$K$25:$K269)-SUMIF($C$25:$C269,$C269,$L$25:$L269),"")</f>
        <v>1659287.82</v>
      </c>
      <c r="N269" s="10"/>
      <c r="O269" s="10"/>
      <c r="P269" s="65"/>
      <c r="Q269" s="10"/>
      <c r="R269" s="10"/>
      <c r="S269" s="54">
        <f t="shared" si="12"/>
        <v>202602</v>
      </c>
      <c r="T269" s="54">
        <f t="shared" si="13"/>
        <v>202602</v>
      </c>
      <c r="U269" s="58" t="str">
        <f t="shared" si="14"/>
        <v/>
      </c>
      <c r="V269" s="58">
        <f>IF(AND($B269&lt;&gt;"",$F269&lt;&gt;"",$F269=项目明细账!$C$2),N(V268)+1,N(V268))</f>
        <v>0</v>
      </c>
      <c r="W269" s="63" t="str">
        <f>IF($H269&lt;&gt;"","项目成本",IFERROR(INDEX(基础资料!$W$4:$W$49,MATCH($I269,基础资料!$V$4:$V$49,0)),""))</f>
        <v>人工社保</v>
      </c>
      <c r="X269" s="63" t="str">
        <f>IFERROR(INDEX(基础资料!$R$4:$R$17,MATCH($G269,基础资料!$Q$4:$Q$17,0)),"")</f>
        <v/>
      </c>
    </row>
    <row r="270" spans="1:24">
      <c r="A270" s="58">
        <f>IF($B270="","",COUNTA($B$5:$B270))</f>
        <v>266</v>
      </c>
      <c r="B270" s="73">
        <v>46062</v>
      </c>
      <c r="C270" s="46" t="s">
        <v>80</v>
      </c>
      <c r="D270" s="63" t="str">
        <f>IFERROR(INDEX(基础资料!$F$4:$F$23,MATCH($C270,基础资料!$E$4:$E$23,0)),IF($C270="","","未匹配账户"))</f>
        <v>双思威</v>
      </c>
      <c r="E270" s="39" t="s">
        <v>488</v>
      </c>
      <c r="F270" s="10"/>
      <c r="G270" s="10"/>
      <c r="H270" s="10"/>
      <c r="I270" s="10" t="s">
        <v>237</v>
      </c>
      <c r="J270" s="69" t="s">
        <v>509</v>
      </c>
      <c r="K270" s="25"/>
      <c r="L270" s="25">
        <v>2800</v>
      </c>
      <c r="M270" s="25">
        <f>IFERROR(VLOOKUP($C270,$C$5:$M$24,11,0)+SUMIF($C$25:$C270,$C270,$K$25:$K270)-SUMIF($C$25:$C270,$C270,$L$25:$L270),"")</f>
        <v>1656487.82</v>
      </c>
      <c r="N270" s="10"/>
      <c r="O270" s="10"/>
      <c r="P270" s="65"/>
      <c r="Q270" s="10"/>
      <c r="R270" s="10"/>
      <c r="S270" s="54">
        <f t="shared" si="12"/>
        <v>202602</v>
      </c>
      <c r="T270" s="54">
        <f t="shared" si="13"/>
        <v>202602</v>
      </c>
      <c r="U270" s="58" t="str">
        <f t="shared" si="14"/>
        <v/>
      </c>
      <c r="V270" s="58">
        <f>IF(AND($B270&lt;&gt;"",$F270&lt;&gt;"",$F270=项目明细账!$C$2),N(V269)+1,N(V269))</f>
        <v>0</v>
      </c>
      <c r="W270" s="63" t="str">
        <f>IF($H270&lt;&gt;"","项目成本",IFERROR(INDEX(基础资料!$W$4:$W$49,MATCH($I270,基础资料!$V$4:$V$49,0)),""))</f>
        <v>人工社保</v>
      </c>
      <c r="X270" s="63" t="str">
        <f>IFERROR(INDEX(基础资料!$R$4:$R$17,MATCH($G270,基础资料!$Q$4:$Q$17,0)),"")</f>
        <v/>
      </c>
    </row>
    <row r="271" spans="1:24">
      <c r="A271" s="58">
        <f>IF($B271="","",COUNTA($B$5:$B271))</f>
        <v>267</v>
      </c>
      <c r="B271" s="73">
        <v>46062</v>
      </c>
      <c r="C271" s="46" t="s">
        <v>80</v>
      </c>
      <c r="D271" s="63" t="str">
        <f>IFERROR(INDEX(基础资料!$F$4:$F$23,MATCH($C271,基础资料!$E$4:$E$23,0)),IF($C271="","","未匹配账户"))</f>
        <v>双思威</v>
      </c>
      <c r="E271" s="39" t="s">
        <v>488</v>
      </c>
      <c r="F271" s="10"/>
      <c r="G271" s="10"/>
      <c r="H271" s="10"/>
      <c r="I271" s="10" t="s">
        <v>237</v>
      </c>
      <c r="J271" s="69" t="s">
        <v>510</v>
      </c>
      <c r="K271" s="25"/>
      <c r="L271" s="25">
        <v>1000</v>
      </c>
      <c r="M271" s="25">
        <f>IFERROR(VLOOKUP($C271,$C$5:$M$24,11,0)+SUMIF($C$25:$C271,$C271,$K$25:$K271)-SUMIF($C$25:$C271,$C271,$L$25:$L271),"")</f>
        <v>1655487.82</v>
      </c>
      <c r="N271" s="10"/>
      <c r="O271" s="10"/>
      <c r="P271" s="65"/>
      <c r="Q271" s="10"/>
      <c r="R271" s="10"/>
      <c r="S271" s="54">
        <f t="shared" si="12"/>
        <v>202602</v>
      </c>
      <c r="T271" s="54">
        <f t="shared" si="13"/>
        <v>202602</v>
      </c>
      <c r="U271" s="58" t="str">
        <f t="shared" si="14"/>
        <v/>
      </c>
      <c r="V271" s="58">
        <f>IF(AND($B271&lt;&gt;"",$F271&lt;&gt;"",$F271=项目明细账!$C$2),N(V270)+1,N(V270))</f>
        <v>0</v>
      </c>
      <c r="W271" s="63" t="str">
        <f>IF($H271&lt;&gt;"","项目成本",IFERROR(INDEX(基础资料!$W$4:$W$49,MATCH($I271,基础资料!$V$4:$V$49,0)),""))</f>
        <v>人工社保</v>
      </c>
      <c r="X271" s="63" t="str">
        <f>IFERROR(INDEX(基础资料!$R$4:$R$17,MATCH($G271,基础资料!$Q$4:$Q$17,0)),"")</f>
        <v/>
      </c>
    </row>
    <row r="272" spans="1:24">
      <c r="A272" s="58">
        <f>IF($B272="","",COUNTA($B$5:$B272))</f>
        <v>268</v>
      </c>
      <c r="B272" s="73">
        <v>46062</v>
      </c>
      <c r="C272" s="46" t="s">
        <v>80</v>
      </c>
      <c r="D272" s="63" t="str">
        <f>IFERROR(INDEX(基础资料!$F$4:$F$23,MATCH($C272,基础资料!$E$4:$E$23,0)),IF($C272="","","未匹配账户"))</f>
        <v>双思威</v>
      </c>
      <c r="E272" s="39" t="s">
        <v>488</v>
      </c>
      <c r="F272" s="10"/>
      <c r="G272" s="10"/>
      <c r="H272" s="10"/>
      <c r="I272" s="10" t="s">
        <v>237</v>
      </c>
      <c r="J272" s="69" t="s">
        <v>511</v>
      </c>
      <c r="K272" s="25"/>
      <c r="L272" s="25">
        <v>1300</v>
      </c>
      <c r="M272" s="25">
        <f>IFERROR(VLOOKUP($C272,$C$5:$M$24,11,0)+SUMIF($C$25:$C272,$C272,$K$25:$K272)-SUMIF($C$25:$C272,$C272,$L$25:$L272),"")</f>
        <v>1654187.82</v>
      </c>
      <c r="N272" s="10"/>
      <c r="O272" s="10"/>
      <c r="P272" s="65"/>
      <c r="Q272" s="10"/>
      <c r="R272" s="10"/>
      <c r="S272" s="54">
        <f t="shared" si="12"/>
        <v>202602</v>
      </c>
      <c r="T272" s="54">
        <f t="shared" si="13"/>
        <v>202602</v>
      </c>
      <c r="U272" s="58" t="str">
        <f t="shared" si="14"/>
        <v/>
      </c>
      <c r="V272" s="58">
        <f>IF(AND($B272&lt;&gt;"",$F272&lt;&gt;"",$F272=项目明细账!$C$2),N(V271)+1,N(V271))</f>
        <v>0</v>
      </c>
      <c r="W272" s="63" t="str">
        <f>IF($H272&lt;&gt;"","项目成本",IFERROR(INDEX(基础资料!$W$4:$W$49,MATCH($I272,基础资料!$V$4:$V$49,0)),""))</f>
        <v>人工社保</v>
      </c>
      <c r="X272" s="63" t="str">
        <f>IFERROR(INDEX(基础资料!$R$4:$R$17,MATCH($G272,基础资料!$Q$4:$Q$17,0)),"")</f>
        <v/>
      </c>
    </row>
    <row r="273" spans="1:24">
      <c r="A273" s="58">
        <f>IF($B273="","",COUNTA($B$5:$B273))</f>
        <v>269</v>
      </c>
      <c r="B273" s="73">
        <v>46062</v>
      </c>
      <c r="C273" s="46" t="s">
        <v>80</v>
      </c>
      <c r="D273" s="63" t="str">
        <f>IFERROR(INDEX(基础资料!$F$4:$F$23,MATCH($C273,基础资料!$E$4:$E$23,0)),IF($C273="","","未匹配账户"))</f>
        <v>双思威</v>
      </c>
      <c r="E273" s="39" t="s">
        <v>488</v>
      </c>
      <c r="F273" s="10"/>
      <c r="G273" s="10"/>
      <c r="H273" s="10"/>
      <c r="I273" s="10" t="s">
        <v>237</v>
      </c>
      <c r="J273" s="69" t="s">
        <v>656</v>
      </c>
      <c r="K273" s="25"/>
      <c r="L273" s="25">
        <v>1700</v>
      </c>
      <c r="M273" s="25">
        <f>IFERROR(VLOOKUP($C273,$C$5:$M$24,11,0)+SUMIF($C$25:$C273,$C273,$K$25:$K273)-SUMIF($C$25:$C273,$C273,$L$25:$L273),"")</f>
        <v>1652487.82</v>
      </c>
      <c r="N273" s="10"/>
      <c r="O273" s="10"/>
      <c r="P273" s="65"/>
      <c r="Q273" s="10"/>
      <c r="R273" s="10"/>
      <c r="S273" s="54">
        <f t="shared" si="12"/>
        <v>202602</v>
      </c>
      <c r="T273" s="54">
        <f t="shared" si="13"/>
        <v>202602</v>
      </c>
      <c r="U273" s="58" t="str">
        <f t="shared" si="14"/>
        <v/>
      </c>
      <c r="V273" s="58">
        <f>IF(AND($B273&lt;&gt;"",$F273&lt;&gt;"",$F273=项目明细账!$C$2),N(V272)+1,N(V272))</f>
        <v>0</v>
      </c>
      <c r="W273" s="63" t="str">
        <f>IF($H273&lt;&gt;"","项目成本",IFERROR(INDEX(基础资料!$W$4:$W$49,MATCH($I273,基础资料!$V$4:$V$49,0)),""))</f>
        <v>人工社保</v>
      </c>
      <c r="X273" s="63" t="str">
        <f>IFERROR(INDEX(基础资料!$R$4:$R$17,MATCH($G273,基础资料!$Q$4:$Q$17,0)),"")</f>
        <v/>
      </c>
    </row>
    <row r="274" spans="1:24">
      <c r="A274" s="58">
        <f>IF($B274="","",COUNTA($B$5:$B274))</f>
        <v>270</v>
      </c>
      <c r="B274" s="73">
        <v>46062</v>
      </c>
      <c r="C274" s="46" t="s">
        <v>80</v>
      </c>
      <c r="D274" s="63" t="str">
        <f>IFERROR(INDEX(基础资料!$F$4:$F$23,MATCH($C274,基础资料!$E$4:$E$23,0)),IF($C274="","","未匹配账户"))</f>
        <v>双思威</v>
      </c>
      <c r="E274" s="39" t="s">
        <v>488</v>
      </c>
      <c r="F274" s="10"/>
      <c r="G274" s="10"/>
      <c r="H274" s="10"/>
      <c r="I274" s="10" t="s">
        <v>237</v>
      </c>
      <c r="J274" s="69" t="s">
        <v>512</v>
      </c>
      <c r="K274" s="25"/>
      <c r="L274" s="25">
        <v>1700</v>
      </c>
      <c r="M274" s="25">
        <f>IFERROR(VLOOKUP($C274,$C$5:$M$24,11,0)+SUMIF($C$25:$C274,$C274,$K$25:$K274)-SUMIF($C$25:$C274,$C274,$L$25:$L274),"")</f>
        <v>1650787.82</v>
      </c>
      <c r="N274" s="10"/>
      <c r="O274" s="10"/>
      <c r="P274" s="65"/>
      <c r="Q274" s="10"/>
      <c r="R274" s="10"/>
      <c r="S274" s="54">
        <f t="shared" si="12"/>
        <v>202602</v>
      </c>
      <c r="T274" s="54">
        <f t="shared" si="13"/>
        <v>202602</v>
      </c>
      <c r="U274" s="58" t="str">
        <f t="shared" si="14"/>
        <v/>
      </c>
      <c r="V274" s="58">
        <f>IF(AND($B274&lt;&gt;"",$F274&lt;&gt;"",$F274=项目明细账!$C$2),N(V273)+1,N(V273))</f>
        <v>0</v>
      </c>
      <c r="W274" s="63" t="str">
        <f>IF($H274&lt;&gt;"","项目成本",IFERROR(INDEX(基础资料!$W$4:$W$49,MATCH($I274,基础资料!$V$4:$V$49,0)),""))</f>
        <v>人工社保</v>
      </c>
      <c r="X274" s="63" t="str">
        <f>IFERROR(INDEX(基础资料!$R$4:$R$17,MATCH($G274,基础资料!$Q$4:$Q$17,0)),"")</f>
        <v/>
      </c>
    </row>
    <row r="275" spans="1:24">
      <c r="A275" s="58">
        <f>IF($B275="","",COUNTA($B$5:$B275))</f>
        <v>271</v>
      </c>
      <c r="B275" s="73">
        <v>46062</v>
      </c>
      <c r="C275" s="46" t="s">
        <v>80</v>
      </c>
      <c r="D275" s="63" t="str">
        <f>IFERROR(INDEX(基础资料!$F$4:$F$23,MATCH($C275,基础资料!$E$4:$E$23,0)),IF($C275="","","未匹配账户"))</f>
        <v>双思威</v>
      </c>
      <c r="E275" s="39" t="s">
        <v>488</v>
      </c>
      <c r="F275" s="10"/>
      <c r="G275" s="10"/>
      <c r="H275" s="10"/>
      <c r="I275" s="10" t="s">
        <v>237</v>
      </c>
      <c r="J275" s="69" t="s">
        <v>513</v>
      </c>
      <c r="K275" s="25"/>
      <c r="L275" s="25">
        <v>1200</v>
      </c>
      <c r="M275" s="25">
        <f>IFERROR(VLOOKUP($C275,$C$5:$M$24,11,0)+SUMIF($C$25:$C275,$C275,$K$25:$K275)-SUMIF($C$25:$C275,$C275,$L$25:$L275),"")</f>
        <v>1649587.82</v>
      </c>
      <c r="N275" s="10"/>
      <c r="O275" s="10"/>
      <c r="P275" s="65"/>
      <c r="Q275" s="10"/>
      <c r="R275" s="10"/>
      <c r="S275" s="54">
        <f t="shared" si="12"/>
        <v>202602</v>
      </c>
      <c r="T275" s="54">
        <f t="shared" si="13"/>
        <v>202602</v>
      </c>
      <c r="U275" s="58" t="str">
        <f t="shared" si="14"/>
        <v/>
      </c>
      <c r="V275" s="58">
        <f>IF(AND($B275&lt;&gt;"",$F275&lt;&gt;"",$F275=项目明细账!$C$2),N(V274)+1,N(V274))</f>
        <v>0</v>
      </c>
      <c r="W275" s="63" t="str">
        <f>IF($H275&lt;&gt;"","项目成本",IFERROR(INDEX(基础资料!$W$4:$W$49,MATCH($I275,基础资料!$V$4:$V$49,0)),""))</f>
        <v>人工社保</v>
      </c>
      <c r="X275" s="63" t="str">
        <f>IFERROR(INDEX(基础资料!$R$4:$R$17,MATCH($G275,基础资料!$Q$4:$Q$17,0)),"")</f>
        <v/>
      </c>
    </row>
    <row r="276" spans="1:24">
      <c r="A276" s="58">
        <f>IF($B276="","",COUNTA($B$5:$B276))</f>
        <v>272</v>
      </c>
      <c r="B276" s="73">
        <v>46062</v>
      </c>
      <c r="C276" s="46" t="s">
        <v>80</v>
      </c>
      <c r="D276" s="63" t="str">
        <f>IFERROR(INDEX(基础资料!$F$4:$F$23,MATCH($C276,基础资料!$E$4:$E$23,0)),IF($C276="","","未匹配账户"))</f>
        <v>双思威</v>
      </c>
      <c r="E276" s="39" t="s">
        <v>488</v>
      </c>
      <c r="F276" s="10"/>
      <c r="G276" s="10"/>
      <c r="H276" s="10"/>
      <c r="I276" s="10" t="s">
        <v>237</v>
      </c>
      <c r="J276" s="69" t="s">
        <v>515</v>
      </c>
      <c r="K276" s="25"/>
      <c r="L276" s="25">
        <v>600</v>
      </c>
      <c r="M276" s="25">
        <f>IFERROR(VLOOKUP($C276,$C$5:$M$24,11,0)+SUMIF($C$25:$C276,$C276,$K$25:$K276)-SUMIF($C$25:$C276,$C276,$L$25:$L276),"")</f>
        <v>1648987.82</v>
      </c>
      <c r="N276" s="10"/>
      <c r="O276" s="10"/>
      <c r="P276" s="65"/>
      <c r="Q276" s="10"/>
      <c r="R276" s="10"/>
      <c r="S276" s="54">
        <f t="shared" si="12"/>
        <v>202602</v>
      </c>
      <c r="T276" s="54">
        <f t="shared" si="13"/>
        <v>202602</v>
      </c>
      <c r="U276" s="58" t="str">
        <f t="shared" si="14"/>
        <v/>
      </c>
      <c r="V276" s="58">
        <f>IF(AND($B276&lt;&gt;"",$F276&lt;&gt;"",$F276=项目明细账!$C$2),N(V275)+1,N(V275))</f>
        <v>0</v>
      </c>
      <c r="W276" s="63" t="str">
        <f>IF($H276&lt;&gt;"","项目成本",IFERROR(INDEX(基础资料!$W$4:$W$49,MATCH($I276,基础资料!$V$4:$V$49,0)),""))</f>
        <v>人工社保</v>
      </c>
      <c r="X276" s="63" t="str">
        <f>IFERROR(INDEX(基础资料!$R$4:$R$17,MATCH($G276,基础资料!$Q$4:$Q$17,0)),"")</f>
        <v/>
      </c>
    </row>
    <row r="277" spans="1:24">
      <c r="A277" s="58">
        <f>IF($B277="","",COUNTA($B$5:$B277))</f>
        <v>273</v>
      </c>
      <c r="B277" s="73">
        <v>46062</v>
      </c>
      <c r="C277" s="46" t="s">
        <v>80</v>
      </c>
      <c r="D277" s="63" t="str">
        <f>IFERROR(INDEX(基础资料!$F$4:$F$23,MATCH($C277,基础资料!$E$4:$E$23,0)),IF($C277="","","未匹配账户"))</f>
        <v>双思威</v>
      </c>
      <c r="E277" s="39" t="s">
        <v>488</v>
      </c>
      <c r="F277" s="10"/>
      <c r="G277" s="10"/>
      <c r="H277" s="10"/>
      <c r="I277" s="10" t="s">
        <v>237</v>
      </c>
      <c r="J277" s="69" t="s">
        <v>516</v>
      </c>
      <c r="K277" s="25"/>
      <c r="L277" s="25">
        <v>1179.24</v>
      </c>
      <c r="M277" s="25">
        <f>IFERROR(VLOOKUP($C277,$C$5:$M$24,11,0)+SUMIF($C$25:$C277,$C277,$K$25:$K277)-SUMIF($C$25:$C277,$C277,$L$25:$L277),"")</f>
        <v>1647808.58</v>
      </c>
      <c r="N277" s="10"/>
      <c r="O277" s="10"/>
      <c r="P277" s="65"/>
      <c r="Q277" s="10"/>
      <c r="R277" s="10"/>
      <c r="S277" s="54">
        <f t="shared" si="12"/>
        <v>202602</v>
      </c>
      <c r="T277" s="54">
        <f t="shared" si="13"/>
        <v>202602</v>
      </c>
      <c r="U277" s="58" t="str">
        <f t="shared" si="14"/>
        <v/>
      </c>
      <c r="V277" s="58">
        <f>IF(AND($B277&lt;&gt;"",$F277&lt;&gt;"",$F277=项目明细账!$C$2),N(V276)+1,N(V276))</f>
        <v>0</v>
      </c>
      <c r="W277" s="63" t="str">
        <f>IF($H277&lt;&gt;"","项目成本",IFERROR(INDEX(基础资料!$W$4:$W$49,MATCH($I277,基础资料!$V$4:$V$49,0)),""))</f>
        <v>人工社保</v>
      </c>
      <c r="X277" s="63" t="str">
        <f>IFERROR(INDEX(基础资料!$R$4:$R$17,MATCH($G277,基础资料!$Q$4:$Q$17,0)),"")</f>
        <v/>
      </c>
    </row>
    <row r="278" spans="1:24">
      <c r="A278" s="58">
        <f>IF($B278="","",COUNTA($B$5:$B278))</f>
        <v>274</v>
      </c>
      <c r="B278" s="73">
        <v>46062</v>
      </c>
      <c r="C278" s="46" t="s">
        <v>80</v>
      </c>
      <c r="D278" s="63" t="str">
        <f>IFERROR(INDEX(基础资料!$F$4:$F$23,MATCH($C278,基础资料!$E$4:$E$23,0)),IF($C278="","","未匹配账户"))</f>
        <v>双思威</v>
      </c>
      <c r="E278" s="39" t="s">
        <v>488</v>
      </c>
      <c r="F278" s="10"/>
      <c r="G278" s="10"/>
      <c r="H278" s="10"/>
      <c r="I278" s="10" t="s">
        <v>237</v>
      </c>
      <c r="J278" s="69" t="s">
        <v>517</v>
      </c>
      <c r="K278" s="25"/>
      <c r="L278" s="25">
        <v>1000</v>
      </c>
      <c r="M278" s="25">
        <f>IFERROR(VLOOKUP($C278,$C$5:$M$24,11,0)+SUMIF($C$25:$C278,$C278,$K$25:$K278)-SUMIF($C$25:$C278,$C278,$L$25:$L278),"")</f>
        <v>1646808.58</v>
      </c>
      <c r="N278" s="10"/>
      <c r="O278" s="10"/>
      <c r="P278" s="65"/>
      <c r="Q278" s="10"/>
      <c r="R278" s="10"/>
      <c r="S278" s="54">
        <f t="shared" si="12"/>
        <v>202602</v>
      </c>
      <c r="T278" s="54">
        <f t="shared" si="13"/>
        <v>202602</v>
      </c>
      <c r="U278" s="58" t="str">
        <f t="shared" si="14"/>
        <v/>
      </c>
      <c r="V278" s="58">
        <f>IF(AND($B278&lt;&gt;"",$F278&lt;&gt;"",$F278=项目明细账!$C$2),N(V277)+1,N(V277))</f>
        <v>0</v>
      </c>
      <c r="W278" s="63" t="str">
        <f>IF($H278&lt;&gt;"","项目成本",IFERROR(INDEX(基础资料!$W$4:$W$49,MATCH($I278,基础资料!$V$4:$V$49,0)),""))</f>
        <v>人工社保</v>
      </c>
      <c r="X278" s="63" t="str">
        <f>IFERROR(INDEX(基础资料!$R$4:$R$17,MATCH($G278,基础资料!$Q$4:$Q$17,0)),"")</f>
        <v/>
      </c>
    </row>
    <row r="279" spans="1:24">
      <c r="A279" s="58">
        <f>IF($B279="","",COUNTA($B$5:$B279))</f>
        <v>275</v>
      </c>
      <c r="B279" s="73">
        <v>46062</v>
      </c>
      <c r="C279" s="46" t="s">
        <v>80</v>
      </c>
      <c r="D279" s="63" t="str">
        <f>IFERROR(INDEX(基础资料!$F$4:$F$23,MATCH($C279,基础资料!$E$4:$E$23,0)),IF($C279="","","未匹配账户"))</f>
        <v>双思威</v>
      </c>
      <c r="E279" s="39" t="s">
        <v>488</v>
      </c>
      <c r="F279" s="10"/>
      <c r="G279" s="10"/>
      <c r="H279" s="10"/>
      <c r="I279" s="10" t="s">
        <v>237</v>
      </c>
      <c r="J279" s="69" t="s">
        <v>519</v>
      </c>
      <c r="K279" s="25"/>
      <c r="L279" s="25">
        <v>1500</v>
      </c>
      <c r="M279" s="25">
        <f>IFERROR(VLOOKUP($C279,$C$5:$M$24,11,0)+SUMIF($C$25:$C279,$C279,$K$25:$K279)-SUMIF($C$25:$C279,$C279,$L$25:$L279),"")</f>
        <v>1645308.58</v>
      </c>
      <c r="N279" s="10"/>
      <c r="O279" s="10"/>
      <c r="P279" s="65"/>
      <c r="Q279" s="10"/>
      <c r="R279" s="10"/>
      <c r="S279" s="54">
        <f t="shared" si="12"/>
        <v>202602</v>
      </c>
      <c r="T279" s="54">
        <f t="shared" si="13"/>
        <v>202602</v>
      </c>
      <c r="U279" s="58" t="str">
        <f t="shared" si="14"/>
        <v/>
      </c>
      <c r="V279" s="58">
        <f>IF(AND($B279&lt;&gt;"",$F279&lt;&gt;"",$F279=项目明细账!$C$2),N(V278)+1,N(V278))</f>
        <v>0</v>
      </c>
      <c r="W279" s="63" t="str">
        <f>IF($H279&lt;&gt;"","项目成本",IFERROR(INDEX(基础资料!$W$4:$W$49,MATCH($I279,基础资料!$V$4:$V$49,0)),""))</f>
        <v>人工社保</v>
      </c>
      <c r="X279" s="63" t="str">
        <f>IFERROR(INDEX(基础资料!$R$4:$R$17,MATCH($G279,基础资料!$Q$4:$Q$17,0)),"")</f>
        <v/>
      </c>
    </row>
    <row r="280" spans="1:24">
      <c r="A280" s="58">
        <f>IF($B280="","",COUNTA($B$5:$B280))</f>
        <v>276</v>
      </c>
      <c r="B280" s="73">
        <v>46062</v>
      </c>
      <c r="C280" s="46" t="s">
        <v>80</v>
      </c>
      <c r="D280" s="63" t="str">
        <f>IFERROR(INDEX(基础资料!$F$4:$F$23,MATCH($C280,基础资料!$E$4:$E$23,0)),IF($C280="","","未匹配账户"))</f>
        <v>双思威</v>
      </c>
      <c r="E280" s="39" t="s">
        <v>488</v>
      </c>
      <c r="F280" s="10"/>
      <c r="G280" s="10"/>
      <c r="H280" s="10"/>
      <c r="I280" s="10"/>
      <c r="J280" s="69" t="s">
        <v>489</v>
      </c>
      <c r="K280" s="25"/>
      <c r="L280" s="25">
        <v>20</v>
      </c>
      <c r="M280" s="25">
        <f>IFERROR(VLOOKUP($C280,$C$5:$M$24,11,0)+SUMIF($C$25:$C280,$C280,$K$25:$K280)-SUMIF($C$25:$C280,$C280,$L$25:$L280),"")</f>
        <v>1645288.58</v>
      </c>
      <c r="N280" s="10"/>
      <c r="O280" s="10"/>
      <c r="P280" s="65"/>
      <c r="Q280" s="10"/>
      <c r="R280" s="10"/>
      <c r="S280" s="54">
        <f t="shared" si="12"/>
        <v>202602</v>
      </c>
      <c r="T280" s="54">
        <f t="shared" si="13"/>
        <v>202602</v>
      </c>
      <c r="U280" s="58" t="str">
        <f t="shared" si="14"/>
        <v/>
      </c>
      <c r="V280" s="58">
        <f>IF(AND($B280&lt;&gt;"",$F280&lt;&gt;"",$F280=项目明细账!$C$2),N(V279)+1,N(V279))</f>
        <v>0</v>
      </c>
      <c r="W280" s="63" t="str">
        <f>IF($H280&lt;&gt;"","项目成本",IFERROR(INDEX(基础资料!$W$4:$W$49,MATCH($I280,基础资料!$V$4:$V$49,0)),""))</f>
        <v/>
      </c>
      <c r="X280" s="63" t="str">
        <f>IFERROR(INDEX(基础资料!$R$4:$R$17,MATCH($G280,基础资料!$Q$4:$Q$17,0)),"")</f>
        <v/>
      </c>
    </row>
    <row r="281" spans="1:24">
      <c r="A281" s="58">
        <f>IF($B281="","",COUNTA($B$5:$B281))</f>
        <v>277</v>
      </c>
      <c r="B281" s="73">
        <v>46063</v>
      </c>
      <c r="C281" s="46" t="s">
        <v>80</v>
      </c>
      <c r="D281" s="63" t="str">
        <f>IFERROR(INDEX(基础资料!$F$4:$F$23,MATCH($C281,基础资料!$E$4:$E$23,0)),IF($C281="","","未匹配账户"))</f>
        <v>双思威</v>
      </c>
      <c r="E281" s="39" t="s">
        <v>483</v>
      </c>
      <c r="F281" s="10" t="s">
        <v>323</v>
      </c>
      <c r="G281" s="10" t="s">
        <v>87</v>
      </c>
      <c r="H281" s="10"/>
      <c r="I281" s="10"/>
      <c r="J281" s="67" t="s">
        <v>657</v>
      </c>
      <c r="K281" s="25">
        <v>240000</v>
      </c>
      <c r="L281" s="25"/>
      <c r="M281" s="25">
        <f>IFERROR(VLOOKUP($C281,$C$5:$M$24,11,0)+SUMIF($C$25:$C281,$C281,$K$25:$K281)-SUMIF($C$25:$C281,$C281,$L$25:$L281),"")</f>
        <v>1885288.58</v>
      </c>
      <c r="N281" s="10"/>
      <c r="O281" s="10"/>
      <c r="P281" s="65"/>
      <c r="Q281" s="10"/>
      <c r="R281" s="10"/>
      <c r="S281" s="54">
        <f t="shared" si="12"/>
        <v>202602</v>
      </c>
      <c r="T281" s="54">
        <f t="shared" si="13"/>
        <v>202602</v>
      </c>
      <c r="U281" s="58" t="str">
        <f t="shared" si="14"/>
        <v/>
      </c>
      <c r="V281" s="58">
        <f>IF(AND($B281&lt;&gt;"",$F281&lt;&gt;"",$F281=项目明细账!$C$2),N(V280)+1,N(V280))</f>
        <v>0</v>
      </c>
      <c r="W281" s="63" t="str">
        <f>IF($H281&lt;&gt;"","项目成本",IFERROR(INDEX(基础资料!$W$4:$W$49,MATCH($I281,基础资料!$V$4:$V$49,0)),""))</f>
        <v/>
      </c>
      <c r="X281" s="63" t="str">
        <f>IFERROR(INDEX(基础资料!$R$4:$R$17,MATCH($G281,基础资料!$Q$4:$Q$17,0)),"")</f>
        <v>经营收入</v>
      </c>
    </row>
    <row r="282" spans="1:24">
      <c r="A282" s="58">
        <f>IF($B282="","",COUNTA($B$5:$B282))</f>
        <v>278</v>
      </c>
      <c r="B282" s="73">
        <v>46064</v>
      </c>
      <c r="C282" s="46" t="s">
        <v>80</v>
      </c>
      <c r="D282" s="63" t="str">
        <f>IFERROR(INDEX(基础资料!$F$4:$F$23,MATCH($C282,基础资料!$E$4:$E$23,0)),IF($C282="","","未匹配账户"))</f>
        <v>双思威</v>
      </c>
      <c r="E282" s="39" t="s">
        <v>483</v>
      </c>
      <c r="F282" s="10"/>
      <c r="G282" s="10" t="s">
        <v>117</v>
      </c>
      <c r="H282" s="10"/>
      <c r="I282" s="10"/>
      <c r="J282" s="69" t="s">
        <v>654</v>
      </c>
      <c r="K282" s="25">
        <v>4502.18</v>
      </c>
      <c r="L282" s="25"/>
      <c r="M282" s="25">
        <f>IFERROR(VLOOKUP($C282,$C$5:$M$24,11,0)+SUMIF($C$25:$C282,$C282,$K$25:$K282)-SUMIF($C$25:$C282,$C282,$L$25:$L282),"")</f>
        <v>1889790.76</v>
      </c>
      <c r="N282" s="10"/>
      <c r="O282" s="10"/>
      <c r="P282" s="65"/>
      <c r="Q282" s="10"/>
      <c r="R282" s="10"/>
      <c r="S282" s="54">
        <f t="shared" si="12"/>
        <v>202602</v>
      </c>
      <c r="T282" s="54">
        <f t="shared" si="13"/>
        <v>202602</v>
      </c>
      <c r="U282" s="58" t="str">
        <f t="shared" si="14"/>
        <v/>
      </c>
      <c r="V282" s="58">
        <f>IF(AND($B282&lt;&gt;"",$F282&lt;&gt;"",$F282=项目明细账!$C$2),N(V281)+1,N(V281))</f>
        <v>0</v>
      </c>
      <c r="W282" s="63" t="str">
        <f>IF($H282&lt;&gt;"","项目成本",IFERROR(INDEX(基础资料!$W$4:$W$49,MATCH($I282,基础资料!$V$4:$V$49,0)),""))</f>
        <v/>
      </c>
      <c r="X282" s="63" t="str">
        <f>IFERROR(INDEX(基础资料!$R$4:$R$17,MATCH($G282,基础资料!$Q$4:$Q$17,0)),"")</f>
        <v>非经营收入</v>
      </c>
    </row>
    <row r="283" spans="1:24">
      <c r="A283" s="58">
        <f>IF($B283="","",COUNTA($B$5:$B283))</f>
        <v>279</v>
      </c>
      <c r="B283" s="73">
        <v>46064</v>
      </c>
      <c r="C283" s="46" t="s">
        <v>80</v>
      </c>
      <c r="D283" s="63" t="str">
        <f>IFERROR(INDEX(基础资料!$F$4:$F$23,MATCH($C283,基础资料!$E$4:$E$23,0)),IF($C283="","","未匹配账户"))</f>
        <v>双思威</v>
      </c>
      <c r="E283" s="39" t="s">
        <v>483</v>
      </c>
      <c r="F283" s="10" t="s">
        <v>325</v>
      </c>
      <c r="G283" s="10" t="s">
        <v>87</v>
      </c>
      <c r="H283" s="10"/>
      <c r="I283" s="10"/>
      <c r="J283" s="74" t="s">
        <v>658</v>
      </c>
      <c r="K283" s="25">
        <v>32900</v>
      </c>
      <c r="L283" s="25"/>
      <c r="M283" s="25">
        <f>IFERROR(VLOOKUP($C283,$C$5:$M$24,11,0)+SUMIF($C$25:$C283,$C283,$K$25:$K283)-SUMIF($C$25:$C283,$C283,$L$25:$L283),"")</f>
        <v>1922690.76</v>
      </c>
      <c r="N283" s="10"/>
      <c r="O283" s="10"/>
      <c r="P283" s="65"/>
      <c r="Q283" s="10"/>
      <c r="R283" s="10"/>
      <c r="S283" s="54">
        <f t="shared" si="12"/>
        <v>202602</v>
      </c>
      <c r="T283" s="54">
        <f t="shared" si="13"/>
        <v>202602</v>
      </c>
      <c r="U283" s="58" t="str">
        <f t="shared" si="14"/>
        <v/>
      </c>
      <c r="V283" s="58">
        <f>IF(AND($B283&lt;&gt;"",$F283&lt;&gt;"",$F283=项目明细账!$C$2),N(V282)+1,N(V282))</f>
        <v>0</v>
      </c>
      <c r="W283" s="63" t="str">
        <f>IF($H283&lt;&gt;"","项目成本",IFERROR(INDEX(基础资料!$W$4:$W$49,MATCH($I283,基础资料!$V$4:$V$49,0)),""))</f>
        <v/>
      </c>
      <c r="X283" s="63" t="str">
        <f>IFERROR(INDEX(基础资料!$R$4:$R$17,MATCH($G283,基础资料!$Q$4:$Q$17,0)),"")</f>
        <v>经营收入</v>
      </c>
    </row>
    <row r="284" spans="1:24">
      <c r="A284" s="58">
        <f>IF($B284="","",COUNTA($B$5:$B284))</f>
        <v>280</v>
      </c>
      <c r="B284" s="73">
        <v>46064</v>
      </c>
      <c r="C284" s="46" t="s">
        <v>80</v>
      </c>
      <c r="D284" s="63" t="str">
        <f>IFERROR(INDEX(基础资料!$F$4:$F$23,MATCH($C284,基础资料!$E$4:$E$23,0)),IF($C284="","","未匹配账户"))</f>
        <v>双思威</v>
      </c>
      <c r="E284" s="39" t="s">
        <v>483</v>
      </c>
      <c r="F284" s="10" t="s">
        <v>328</v>
      </c>
      <c r="G284" s="10" t="s">
        <v>87</v>
      </c>
      <c r="H284" s="10"/>
      <c r="I284" s="10"/>
      <c r="J284" s="74" t="s">
        <v>658</v>
      </c>
      <c r="K284" s="25">
        <v>16000</v>
      </c>
      <c r="L284" s="25"/>
      <c r="M284" s="25">
        <f>IFERROR(VLOOKUP($C284,$C$5:$M$24,11,0)+SUMIF($C$25:$C284,$C284,$K$25:$K284)-SUMIF($C$25:$C284,$C284,$L$25:$L284),"")</f>
        <v>1938690.76</v>
      </c>
      <c r="N284" s="10"/>
      <c r="O284" s="10"/>
      <c r="P284" s="65"/>
      <c r="Q284" s="10"/>
      <c r="R284" s="10"/>
      <c r="S284" s="54">
        <f t="shared" si="12"/>
        <v>202602</v>
      </c>
      <c r="T284" s="54">
        <f t="shared" si="13"/>
        <v>202602</v>
      </c>
      <c r="U284" s="58" t="str">
        <f t="shared" si="14"/>
        <v/>
      </c>
      <c r="V284" s="58">
        <f>IF(AND($B284&lt;&gt;"",$F284&lt;&gt;"",$F284=项目明细账!$C$2),N(V283)+1,N(V283))</f>
        <v>0</v>
      </c>
      <c r="W284" s="63" t="str">
        <f>IF($H284&lt;&gt;"","项目成本",IFERROR(INDEX(基础资料!$W$4:$W$49,MATCH($I284,基础资料!$V$4:$V$49,0)),""))</f>
        <v/>
      </c>
      <c r="X284" s="63" t="str">
        <f>IFERROR(INDEX(基础资料!$R$4:$R$17,MATCH($G284,基础资料!$Q$4:$Q$17,0)),"")</f>
        <v>经营收入</v>
      </c>
    </row>
    <row r="285" spans="1:24">
      <c r="A285" s="58">
        <f>IF($B285="","",COUNTA($B$5:$B285))</f>
        <v>281</v>
      </c>
      <c r="B285" s="73">
        <v>46064</v>
      </c>
      <c r="C285" s="46" t="s">
        <v>80</v>
      </c>
      <c r="D285" s="63" t="str">
        <f>IFERROR(INDEX(基础资料!$F$4:$F$23,MATCH($C285,基础资料!$E$4:$E$23,0)),IF($C285="","","未匹配账户"))</f>
        <v>双思威</v>
      </c>
      <c r="E285" s="39" t="s">
        <v>483</v>
      </c>
      <c r="F285" s="10"/>
      <c r="G285" s="10" t="s">
        <v>117</v>
      </c>
      <c r="H285" s="10"/>
      <c r="I285" s="10"/>
      <c r="J285" s="10" t="s">
        <v>654</v>
      </c>
      <c r="K285" s="25">
        <v>38137.53</v>
      </c>
      <c r="L285" s="25"/>
      <c r="M285" s="25">
        <f>IFERROR(VLOOKUP($C285,$C$5:$M$24,11,0)+SUMIF($C$25:$C285,$C285,$K$25:$K285)-SUMIF($C$25:$C285,$C285,$L$25:$L285),"")</f>
        <v>1976828.29</v>
      </c>
      <c r="N285" s="10"/>
      <c r="O285" s="10"/>
      <c r="P285" s="65"/>
      <c r="Q285" s="10"/>
      <c r="R285" s="10"/>
      <c r="S285" s="54">
        <f t="shared" si="12"/>
        <v>202602</v>
      </c>
      <c r="T285" s="54">
        <f t="shared" si="13"/>
        <v>202602</v>
      </c>
      <c r="U285" s="58" t="str">
        <f t="shared" si="14"/>
        <v/>
      </c>
      <c r="V285" s="58">
        <f>IF(AND($B285&lt;&gt;"",$F285&lt;&gt;"",$F285=项目明细账!$C$2),N(V284)+1,N(V284))</f>
        <v>0</v>
      </c>
      <c r="W285" s="63" t="str">
        <f>IF($H285&lt;&gt;"","项目成本",IFERROR(INDEX(基础资料!$W$4:$W$49,MATCH($I285,基础资料!$V$4:$V$49,0)),""))</f>
        <v/>
      </c>
      <c r="X285" s="63" t="str">
        <f>IFERROR(INDEX(基础资料!$R$4:$R$17,MATCH($G285,基础资料!$Q$4:$Q$17,0)),"")</f>
        <v>非经营收入</v>
      </c>
    </row>
    <row r="286" spans="1:24">
      <c r="A286" s="58">
        <f>IF($B286="","",COUNTA($B$5:$B286))</f>
        <v>282</v>
      </c>
      <c r="B286" s="73">
        <v>46064</v>
      </c>
      <c r="C286" s="46" t="s">
        <v>80</v>
      </c>
      <c r="D286" s="63" t="str">
        <f>IFERROR(INDEX(基础资料!$F$4:$F$23,MATCH($C286,基础资料!$E$4:$E$23,0)),IF($C286="","","未匹配账户"))</f>
        <v>双思威</v>
      </c>
      <c r="E286" s="39" t="s">
        <v>483</v>
      </c>
      <c r="F286" s="10"/>
      <c r="G286" s="10" t="s">
        <v>117</v>
      </c>
      <c r="H286" s="10"/>
      <c r="I286" s="10"/>
      <c r="J286" s="10" t="s">
        <v>654</v>
      </c>
      <c r="K286" s="25">
        <v>2652.13</v>
      </c>
      <c r="L286" s="25"/>
      <c r="M286" s="25">
        <f>IFERROR(VLOOKUP($C286,$C$5:$M$24,11,0)+SUMIF($C$25:$C286,$C286,$K$25:$K286)-SUMIF($C$25:$C286,$C286,$L$25:$L286),"")</f>
        <v>1979480.42</v>
      </c>
      <c r="N286" s="10"/>
      <c r="O286" s="10"/>
      <c r="P286" s="65"/>
      <c r="Q286" s="10"/>
      <c r="R286" s="10"/>
      <c r="S286" s="54">
        <f t="shared" si="12"/>
        <v>202602</v>
      </c>
      <c r="T286" s="54">
        <f t="shared" si="13"/>
        <v>202602</v>
      </c>
      <c r="U286" s="58" t="str">
        <f t="shared" si="14"/>
        <v/>
      </c>
      <c r="V286" s="58">
        <f>IF(AND($B286&lt;&gt;"",$F286&lt;&gt;"",$F286=项目明细账!$C$2),N(V285)+1,N(V285))</f>
        <v>0</v>
      </c>
      <c r="W286" s="63" t="str">
        <f>IF($H286&lt;&gt;"","项目成本",IFERROR(INDEX(基础资料!$W$4:$W$49,MATCH($I286,基础资料!$V$4:$V$49,0)),""))</f>
        <v/>
      </c>
      <c r="X286" s="63" t="str">
        <f>IFERROR(INDEX(基础资料!$R$4:$R$17,MATCH($G286,基础资料!$Q$4:$Q$17,0)),"")</f>
        <v>非经营收入</v>
      </c>
    </row>
    <row r="287" spans="1:24">
      <c r="A287" s="58">
        <f>IF($B287="","",COUNTA($B$5:$B287))</f>
        <v>283</v>
      </c>
      <c r="B287" s="73">
        <v>46064</v>
      </c>
      <c r="C287" s="46" t="s">
        <v>80</v>
      </c>
      <c r="D287" s="63" t="str">
        <f>IFERROR(INDEX(基础资料!$F$4:$F$23,MATCH($C287,基础资料!$E$4:$E$23,0)),IF($C287="","","未匹配账户"))</f>
        <v>双思威</v>
      </c>
      <c r="E287" s="39" t="s">
        <v>488</v>
      </c>
      <c r="F287" s="10"/>
      <c r="G287" s="10"/>
      <c r="H287" s="10"/>
      <c r="I287" s="10" t="s">
        <v>237</v>
      </c>
      <c r="J287" s="69" t="s">
        <v>659</v>
      </c>
      <c r="K287" s="25"/>
      <c r="L287" s="25">
        <v>1200</v>
      </c>
      <c r="M287" s="25">
        <f>IFERROR(VLOOKUP($C287,$C$5:$M$24,11,0)+SUMIF($C$25:$C287,$C287,$K$25:$K287)-SUMIF($C$25:$C287,$C287,$L$25:$L287),"")</f>
        <v>1978280.42</v>
      </c>
      <c r="N287" s="10"/>
      <c r="O287" s="10"/>
      <c r="P287" s="65"/>
      <c r="Q287" s="10"/>
      <c r="R287" s="10"/>
      <c r="S287" s="54">
        <f t="shared" si="12"/>
        <v>202602</v>
      </c>
      <c r="T287" s="54">
        <f t="shared" si="13"/>
        <v>202602</v>
      </c>
      <c r="U287" s="58" t="str">
        <f t="shared" si="14"/>
        <v/>
      </c>
      <c r="V287" s="58">
        <f>IF(AND($B287&lt;&gt;"",$F287&lt;&gt;"",$F287=项目明细账!$C$2),N(V286)+1,N(V286))</f>
        <v>0</v>
      </c>
      <c r="W287" s="63" t="str">
        <f>IF($H287&lt;&gt;"","项目成本",IFERROR(INDEX(基础资料!$W$4:$W$49,MATCH($I287,基础资料!$V$4:$V$49,0)),""))</f>
        <v>人工社保</v>
      </c>
      <c r="X287" s="63" t="str">
        <f>IFERROR(INDEX(基础资料!$R$4:$R$17,MATCH($G287,基础资料!$Q$4:$Q$17,0)),"")</f>
        <v/>
      </c>
    </row>
    <row r="288" spans="1:24">
      <c r="A288" s="58">
        <f>IF($B288="","",COUNTA($B$5:$B288))</f>
        <v>284</v>
      </c>
      <c r="B288" s="73">
        <v>46065</v>
      </c>
      <c r="C288" s="46" t="s">
        <v>80</v>
      </c>
      <c r="D288" s="63" t="str">
        <f>IFERROR(INDEX(基础资料!$F$4:$F$23,MATCH($C288,基础资料!$E$4:$E$23,0)),IF($C288="","","未匹配账户"))</f>
        <v>双思威</v>
      </c>
      <c r="E288" s="39" t="s">
        <v>488</v>
      </c>
      <c r="F288" s="10"/>
      <c r="G288" s="10"/>
      <c r="H288" s="10"/>
      <c r="I288" s="10" t="s">
        <v>262</v>
      </c>
      <c r="J288" s="69" t="s">
        <v>522</v>
      </c>
      <c r="K288" s="25"/>
      <c r="L288" s="25">
        <v>135345.86</v>
      </c>
      <c r="M288" s="25">
        <f>IFERROR(VLOOKUP($C288,$C$5:$M$24,11,0)+SUMIF($C$25:$C288,$C288,$K$25:$K288)-SUMIF($C$25:$C288,$C288,$L$25:$L288),"")</f>
        <v>1842934.56</v>
      </c>
      <c r="N288" s="10"/>
      <c r="O288" s="10"/>
      <c r="P288" s="65"/>
      <c r="Q288" s="10"/>
      <c r="R288" s="10"/>
      <c r="S288" s="54">
        <f t="shared" si="12"/>
        <v>202602</v>
      </c>
      <c r="T288" s="54">
        <f t="shared" si="13"/>
        <v>202602</v>
      </c>
      <c r="U288" s="58" t="str">
        <f t="shared" si="14"/>
        <v/>
      </c>
      <c r="V288" s="58">
        <f>IF(AND($B288&lt;&gt;"",$F288&lt;&gt;"",$F288=项目明细账!$C$2),N(V287)+1,N(V287))</f>
        <v>0</v>
      </c>
      <c r="W288" s="63" t="str">
        <f>IF($H288&lt;&gt;"","项目成本",IFERROR(INDEX(基础资料!$W$4:$W$49,MATCH($I288,基础资料!$V$4:$V$49,0)),""))</f>
        <v>税费</v>
      </c>
      <c r="X288" s="63" t="str">
        <f>IFERROR(INDEX(基础资料!$R$4:$R$17,MATCH($G288,基础资料!$Q$4:$Q$17,0)),"")</f>
        <v/>
      </c>
    </row>
    <row r="289" spans="1:24">
      <c r="A289" s="58">
        <f>IF($B289="","",COUNTA($B$5:$B289))</f>
        <v>285</v>
      </c>
      <c r="B289" s="73">
        <v>46065</v>
      </c>
      <c r="C289" s="46" t="s">
        <v>80</v>
      </c>
      <c r="D289" s="63" t="str">
        <f>IFERROR(INDEX(基础资料!$F$4:$F$23,MATCH($C289,基础资料!$E$4:$E$23,0)),IF($C289="","","未匹配账户"))</f>
        <v>双思威</v>
      </c>
      <c r="E289" s="39" t="s">
        <v>488</v>
      </c>
      <c r="F289" s="10"/>
      <c r="G289" s="10"/>
      <c r="H289" s="10"/>
      <c r="I289" s="10" t="s">
        <v>262</v>
      </c>
      <c r="J289" s="69" t="s">
        <v>523</v>
      </c>
      <c r="K289" s="25"/>
      <c r="L289" s="25">
        <v>8120.75</v>
      </c>
      <c r="M289" s="25">
        <f>IFERROR(VLOOKUP($C289,$C$5:$M$24,11,0)+SUMIF($C$25:$C289,$C289,$K$25:$K289)-SUMIF($C$25:$C289,$C289,$L$25:$L289),"")</f>
        <v>1834813.81</v>
      </c>
      <c r="N289" s="10"/>
      <c r="O289" s="10"/>
      <c r="P289" s="65"/>
      <c r="Q289" s="10"/>
      <c r="R289" s="10"/>
      <c r="S289" s="54">
        <f t="shared" si="12"/>
        <v>202602</v>
      </c>
      <c r="T289" s="54">
        <f t="shared" si="13"/>
        <v>202602</v>
      </c>
      <c r="U289" s="58" t="str">
        <f t="shared" si="14"/>
        <v/>
      </c>
      <c r="V289" s="58">
        <f>IF(AND($B289&lt;&gt;"",$F289&lt;&gt;"",$F289=项目明细账!$C$2),N(V288)+1,N(V288))</f>
        <v>0</v>
      </c>
      <c r="W289" s="63" t="str">
        <f>IF($H289&lt;&gt;"","项目成本",IFERROR(INDEX(基础资料!$W$4:$W$49,MATCH($I289,基础资料!$V$4:$V$49,0)),""))</f>
        <v>税费</v>
      </c>
      <c r="X289" s="63" t="str">
        <f>IFERROR(INDEX(基础资料!$R$4:$R$17,MATCH($G289,基础资料!$Q$4:$Q$17,0)),"")</f>
        <v/>
      </c>
    </row>
    <row r="290" spans="1:24">
      <c r="A290" s="58">
        <f>IF($B290="","",COUNTA($B$5:$B290))</f>
        <v>286</v>
      </c>
      <c r="B290" s="73">
        <v>46065</v>
      </c>
      <c r="C290" s="46" t="s">
        <v>80</v>
      </c>
      <c r="D290" s="63" t="str">
        <f>IFERROR(INDEX(基础资料!$F$4:$F$23,MATCH($C290,基础资料!$E$4:$E$23,0)),IF($C290="","","未匹配账户"))</f>
        <v>双思威</v>
      </c>
      <c r="E290" s="39" t="s">
        <v>488</v>
      </c>
      <c r="F290" s="10"/>
      <c r="G290" s="10"/>
      <c r="H290" s="10"/>
      <c r="I290" s="10" t="s">
        <v>246</v>
      </c>
      <c r="J290" s="69" t="s">
        <v>527</v>
      </c>
      <c r="K290" s="25"/>
      <c r="L290" s="25">
        <v>9039.14</v>
      </c>
      <c r="M290" s="25">
        <f>IFERROR(VLOOKUP($C290,$C$5:$M$24,11,0)+SUMIF($C$25:$C290,$C290,$K$25:$K290)-SUMIF($C$25:$C290,$C290,$L$25:$L290),"")</f>
        <v>1825774.67</v>
      </c>
      <c r="N290" s="10"/>
      <c r="O290" s="10"/>
      <c r="P290" s="65"/>
      <c r="Q290" s="10"/>
      <c r="R290" s="10"/>
      <c r="S290" s="54">
        <f t="shared" si="12"/>
        <v>202602</v>
      </c>
      <c r="T290" s="54">
        <f t="shared" si="13"/>
        <v>202602</v>
      </c>
      <c r="U290" s="58" t="str">
        <f t="shared" si="14"/>
        <v/>
      </c>
      <c r="V290" s="58">
        <f>IF(AND($B290&lt;&gt;"",$F290&lt;&gt;"",$F290=项目明细账!$C$2),N(V289)+1,N(V289))</f>
        <v>0</v>
      </c>
      <c r="W290" s="63" t="str">
        <f>IF($H290&lt;&gt;"","项目成本",IFERROR(INDEX(基础资料!$W$4:$W$49,MATCH($I290,基础资料!$V$4:$V$49,0)),""))</f>
        <v>人工社保</v>
      </c>
      <c r="X290" s="63" t="str">
        <f>IFERROR(INDEX(基础资料!$R$4:$R$17,MATCH($G290,基础资料!$Q$4:$Q$17,0)),"")</f>
        <v/>
      </c>
    </row>
    <row r="291" spans="1:24">
      <c r="A291" s="58">
        <f>IF($B291="","",COUNTA($B$5:$B291))</f>
        <v>287</v>
      </c>
      <c r="B291" s="73">
        <v>46065</v>
      </c>
      <c r="C291" s="46" t="s">
        <v>80</v>
      </c>
      <c r="D291" s="63" t="str">
        <f>IFERROR(INDEX(基础资料!$F$4:$F$23,MATCH($C291,基础资料!$E$4:$E$23,0)),IF($C291="","","未匹配账户"))</f>
        <v>双思威</v>
      </c>
      <c r="E291" s="39" t="s">
        <v>488</v>
      </c>
      <c r="F291" s="10"/>
      <c r="G291" s="10"/>
      <c r="H291" s="10"/>
      <c r="I291" s="10" t="s">
        <v>248</v>
      </c>
      <c r="J291" s="69" t="s">
        <v>526</v>
      </c>
      <c r="K291" s="25"/>
      <c r="L291" s="25">
        <v>19418.73</v>
      </c>
      <c r="M291" s="25">
        <f>IFERROR(VLOOKUP($C291,$C$5:$M$24,11,0)+SUMIF($C$25:$C291,$C291,$K$25:$K291)-SUMIF($C$25:$C291,$C291,$L$25:$L291),"")</f>
        <v>1806355.94</v>
      </c>
      <c r="N291" s="10"/>
      <c r="O291" s="10"/>
      <c r="P291" s="65"/>
      <c r="Q291" s="10"/>
      <c r="R291" s="10"/>
      <c r="S291" s="54">
        <f t="shared" si="12"/>
        <v>202602</v>
      </c>
      <c r="T291" s="54">
        <f t="shared" si="13"/>
        <v>202602</v>
      </c>
      <c r="U291" s="58" t="str">
        <f t="shared" si="14"/>
        <v/>
      </c>
      <c r="V291" s="58">
        <f>IF(AND($B291&lt;&gt;"",$F291&lt;&gt;"",$F291=项目明细账!$C$2),N(V290)+1,N(V290))</f>
        <v>0</v>
      </c>
      <c r="W291" s="63" t="str">
        <f>IF($H291&lt;&gt;"","项目成本",IFERROR(INDEX(基础资料!$W$4:$W$49,MATCH($I291,基础资料!$V$4:$V$49,0)),""))</f>
        <v>人工社保</v>
      </c>
      <c r="X291" s="63" t="str">
        <f>IFERROR(INDEX(基础资料!$R$4:$R$17,MATCH($G291,基础资料!$Q$4:$Q$17,0)),"")</f>
        <v/>
      </c>
    </row>
    <row r="292" spans="1:24">
      <c r="A292" s="58">
        <f>IF($B292="","",COUNTA($B$5:$B292))</f>
        <v>288</v>
      </c>
      <c r="B292" s="73">
        <v>46066</v>
      </c>
      <c r="C292" s="46" t="s">
        <v>80</v>
      </c>
      <c r="D292" s="63" t="str">
        <f>IFERROR(INDEX(基础资料!$F$4:$F$23,MATCH($C292,基础资料!$E$4:$E$23,0)),IF($C292="","","未匹配账户"))</f>
        <v>双思威</v>
      </c>
      <c r="E292" s="39" t="s">
        <v>483</v>
      </c>
      <c r="F292" s="10" t="s">
        <v>329</v>
      </c>
      <c r="G292" s="10" t="s">
        <v>87</v>
      </c>
      <c r="H292" s="10"/>
      <c r="I292" s="10"/>
      <c r="J292" s="74" t="s">
        <v>657</v>
      </c>
      <c r="K292" s="25">
        <v>18800</v>
      </c>
      <c r="L292" s="25"/>
      <c r="M292" s="25">
        <f>IFERROR(VLOOKUP($C292,$C$5:$M$24,11,0)+SUMIF($C$25:$C292,$C292,$K$25:$K292)-SUMIF($C$25:$C292,$C292,$L$25:$L292),"")</f>
        <v>1825155.94</v>
      </c>
      <c r="N292" s="10"/>
      <c r="O292" s="10"/>
      <c r="P292" s="65"/>
      <c r="Q292" s="10"/>
      <c r="R292" s="10"/>
      <c r="S292" s="54">
        <f t="shared" si="12"/>
        <v>202602</v>
      </c>
      <c r="T292" s="54">
        <f t="shared" si="13"/>
        <v>202602</v>
      </c>
      <c r="U292" s="58" t="str">
        <f t="shared" si="14"/>
        <v/>
      </c>
      <c r="V292" s="58">
        <f>IF(AND($B292&lt;&gt;"",$F292&lt;&gt;"",$F292=项目明细账!$C$2),N(V291)+1,N(V291))</f>
        <v>0</v>
      </c>
      <c r="W292" s="63" t="str">
        <f>IF($H292&lt;&gt;"","项目成本",IFERROR(INDEX(基础资料!$W$4:$W$49,MATCH($I292,基础资料!$V$4:$V$49,0)),""))</f>
        <v/>
      </c>
      <c r="X292" s="63" t="str">
        <f>IFERROR(INDEX(基础资料!$R$4:$R$17,MATCH($G292,基础资料!$Q$4:$Q$17,0)),"")</f>
        <v>经营收入</v>
      </c>
    </row>
    <row r="293" spans="1:24">
      <c r="A293" s="58">
        <f>IF($B293="","",COUNTA($B$5:$B293))</f>
        <v>289</v>
      </c>
      <c r="B293" s="73">
        <v>46067</v>
      </c>
      <c r="C293" s="46" t="s">
        <v>80</v>
      </c>
      <c r="D293" s="63" t="str">
        <f>IFERROR(INDEX(基础资料!$F$4:$F$23,MATCH($C293,基础资料!$E$4:$E$23,0)),IF($C293="","","未匹配账户"))</f>
        <v>双思威</v>
      </c>
      <c r="E293" s="39" t="s">
        <v>483</v>
      </c>
      <c r="F293" s="10" t="s">
        <v>330</v>
      </c>
      <c r="G293" s="10" t="s">
        <v>87</v>
      </c>
      <c r="H293" s="10"/>
      <c r="I293" s="10"/>
      <c r="J293" s="74" t="s">
        <v>331</v>
      </c>
      <c r="K293" s="25">
        <v>104768</v>
      </c>
      <c r="L293" s="25"/>
      <c r="M293" s="25">
        <f>IFERROR(VLOOKUP($C293,$C$5:$M$24,11,0)+SUMIF($C$25:$C293,$C293,$K$25:$K293)-SUMIF($C$25:$C293,$C293,$L$25:$L293),"")</f>
        <v>1929923.94</v>
      </c>
      <c r="N293" s="10"/>
      <c r="O293" s="10"/>
      <c r="P293" s="65"/>
      <c r="Q293" s="10"/>
      <c r="R293" s="10"/>
      <c r="S293" s="54">
        <f t="shared" si="12"/>
        <v>202602</v>
      </c>
      <c r="T293" s="54">
        <f t="shared" si="13"/>
        <v>202602</v>
      </c>
      <c r="U293" s="58" t="str">
        <f t="shared" si="14"/>
        <v/>
      </c>
      <c r="V293" s="58">
        <f>IF(AND($B293&lt;&gt;"",$F293&lt;&gt;"",$F293=项目明细账!$C$2),N(V292)+1,N(V292))</f>
        <v>0</v>
      </c>
      <c r="W293" s="63" t="str">
        <f>IF($H293&lt;&gt;"","项目成本",IFERROR(INDEX(基础资料!$W$4:$W$49,MATCH($I293,基础资料!$V$4:$V$49,0)),""))</f>
        <v/>
      </c>
      <c r="X293" s="63" t="str">
        <f>IFERROR(INDEX(基础资料!$R$4:$R$17,MATCH($G293,基础资料!$Q$4:$Q$17,0)),"")</f>
        <v>经营收入</v>
      </c>
    </row>
    <row r="294" spans="1:24">
      <c r="A294" s="58">
        <f>IF($B294="","",COUNTA($B$5:$B294))</f>
        <v>290</v>
      </c>
      <c r="B294" s="73">
        <v>46055</v>
      </c>
      <c r="C294" s="46" t="s">
        <v>99</v>
      </c>
      <c r="D294" s="63" t="str">
        <f>IFERROR(INDEX(基础资料!$F$4:$F$23,MATCH($C294,基础资料!$E$4:$E$23,0)),IF($C294="","","未匹配账户"))</f>
        <v>双思威</v>
      </c>
      <c r="E294" s="39" t="s">
        <v>488</v>
      </c>
      <c r="F294" s="10" t="s">
        <v>295</v>
      </c>
      <c r="G294" s="10"/>
      <c r="H294" s="10" t="s">
        <v>530</v>
      </c>
      <c r="I294" s="10"/>
      <c r="J294" s="70" t="s">
        <v>660</v>
      </c>
      <c r="K294" s="25"/>
      <c r="L294" s="25">
        <v>9900</v>
      </c>
      <c r="M294" s="25">
        <f>IFERROR(VLOOKUP($C294,$C$5:$M$24,11,0)+SUMIF($C$25:$C294,$C294,$K$25:$K294)-SUMIF($C$25:$C294,$C294,$L$25:$L294),"")</f>
        <v>6509718.13</v>
      </c>
      <c r="N294" s="10"/>
      <c r="O294" s="10"/>
      <c r="P294" s="65"/>
      <c r="Q294" s="10"/>
      <c r="R294" s="10"/>
      <c r="S294" s="54">
        <f t="shared" si="12"/>
        <v>202602</v>
      </c>
      <c r="T294" s="54">
        <f t="shared" si="13"/>
        <v>202602</v>
      </c>
      <c r="U294" s="58" t="str">
        <f t="shared" si="14"/>
        <v/>
      </c>
      <c r="V294" s="58">
        <f>IF(AND($B294&lt;&gt;"",$F294&lt;&gt;"",$F294=项目明细账!$C$2),N(V293)+1,N(V293))</f>
        <v>0</v>
      </c>
      <c r="W294" s="63" t="str">
        <f>IF($H294&lt;&gt;"","项目成本",IFERROR(INDEX(基础资料!$W$4:$W$49,MATCH($I294,基础资料!$V$4:$V$49,0)),""))</f>
        <v>项目成本</v>
      </c>
      <c r="X294" s="63" t="str">
        <f>IFERROR(INDEX(基础资料!$R$4:$R$17,MATCH($G294,基础资料!$Q$4:$Q$17,0)),"")</f>
        <v/>
      </c>
    </row>
    <row r="295" spans="1:24">
      <c r="A295" s="58">
        <f>IF($B295="","",COUNTA($B$5:$B295))</f>
        <v>291</v>
      </c>
      <c r="B295" s="73">
        <v>46055</v>
      </c>
      <c r="C295" s="46" t="s">
        <v>99</v>
      </c>
      <c r="D295" s="63" t="str">
        <f>IFERROR(INDEX(基础资料!$F$4:$F$23,MATCH($C295,基础资料!$E$4:$E$23,0)),IF($C295="","","未匹配账户"))</f>
        <v>双思威</v>
      </c>
      <c r="E295" s="39" t="s">
        <v>488</v>
      </c>
      <c r="F295" s="10" t="s">
        <v>319</v>
      </c>
      <c r="G295" s="10"/>
      <c r="H295" s="10" t="s">
        <v>538</v>
      </c>
      <c r="I295" s="10"/>
      <c r="J295" s="70" t="s">
        <v>661</v>
      </c>
      <c r="K295" s="25"/>
      <c r="L295" s="25">
        <v>2300</v>
      </c>
      <c r="M295" s="25">
        <f>IFERROR(VLOOKUP($C295,$C$5:$M$24,11,0)+SUMIF($C$25:$C295,$C295,$K$25:$K295)-SUMIF($C$25:$C295,$C295,$L$25:$L295),"")</f>
        <v>6507418.13</v>
      </c>
      <c r="N295" s="10"/>
      <c r="O295" s="10"/>
      <c r="P295" s="65"/>
      <c r="Q295" s="10"/>
      <c r="R295" s="10"/>
      <c r="S295" s="54">
        <f t="shared" si="12"/>
        <v>202602</v>
      </c>
      <c r="T295" s="54">
        <f t="shared" si="13"/>
        <v>202602</v>
      </c>
      <c r="U295" s="58" t="str">
        <f t="shared" si="14"/>
        <v/>
      </c>
      <c r="V295" s="58">
        <f>IF(AND($B295&lt;&gt;"",$F295&lt;&gt;"",$F295=项目明细账!$C$2),N(V294)+1,N(V294))</f>
        <v>0</v>
      </c>
      <c r="W295" s="63" t="str">
        <f>IF($H295&lt;&gt;"","项目成本",IFERROR(INDEX(基础资料!$W$4:$W$49,MATCH($I295,基础资料!$V$4:$V$49,0)),""))</f>
        <v>项目成本</v>
      </c>
      <c r="X295" s="63" t="str">
        <f>IFERROR(INDEX(基础资料!$R$4:$R$17,MATCH($G295,基础资料!$Q$4:$Q$17,0)),"")</f>
        <v/>
      </c>
    </row>
    <row r="296" spans="1:24">
      <c r="A296" s="58">
        <f>IF($B296="","",COUNTA($B$5:$B296))</f>
        <v>292</v>
      </c>
      <c r="B296" s="73">
        <v>46055</v>
      </c>
      <c r="C296" s="46" t="s">
        <v>99</v>
      </c>
      <c r="D296" s="63" t="str">
        <f>IFERROR(INDEX(基础资料!$F$4:$F$23,MATCH($C296,基础资料!$E$4:$E$23,0)),IF($C296="","","未匹配账户"))</f>
        <v>双思威</v>
      </c>
      <c r="E296" s="39" t="s">
        <v>488</v>
      </c>
      <c r="F296" s="10" t="s">
        <v>83</v>
      </c>
      <c r="G296" s="10"/>
      <c r="H296" s="10" t="s">
        <v>538</v>
      </c>
      <c r="I296" s="10"/>
      <c r="J296" s="70" t="s">
        <v>662</v>
      </c>
      <c r="K296" s="25"/>
      <c r="L296" s="25">
        <v>17500</v>
      </c>
      <c r="M296" s="25">
        <f>IFERROR(VLOOKUP($C296,$C$5:$M$24,11,0)+SUMIF($C$25:$C296,$C296,$K$25:$K296)-SUMIF($C$25:$C296,$C296,$L$25:$L296),"")</f>
        <v>6489918.13</v>
      </c>
      <c r="N296" s="10"/>
      <c r="O296" s="10"/>
      <c r="P296" s="65"/>
      <c r="Q296" s="10"/>
      <c r="R296" s="10"/>
      <c r="S296" s="54">
        <f t="shared" si="12"/>
        <v>202602</v>
      </c>
      <c r="T296" s="54">
        <f t="shared" si="13"/>
        <v>202602</v>
      </c>
      <c r="U296" s="58" t="str">
        <f t="shared" si="14"/>
        <v/>
      </c>
      <c r="V296" s="58">
        <f>IF(AND($B296&lt;&gt;"",$F296&lt;&gt;"",$F296=项目明细账!$C$2),N(V295)+1,N(V295))</f>
        <v>0</v>
      </c>
      <c r="W296" s="63" t="str">
        <f>IF($H296&lt;&gt;"","项目成本",IFERROR(INDEX(基础资料!$W$4:$W$49,MATCH($I296,基础资料!$V$4:$V$49,0)),""))</f>
        <v>项目成本</v>
      </c>
      <c r="X296" s="63" t="str">
        <f>IFERROR(INDEX(基础资料!$R$4:$R$17,MATCH($G296,基础资料!$Q$4:$Q$17,0)),"")</f>
        <v/>
      </c>
    </row>
    <row r="297" ht="13" customHeight="1" spans="1:24">
      <c r="A297" s="58">
        <f>IF($B297="","",COUNTA($B$5:$B297))</f>
        <v>293</v>
      </c>
      <c r="B297" s="73">
        <v>46055</v>
      </c>
      <c r="C297" s="46" t="s">
        <v>99</v>
      </c>
      <c r="D297" s="63" t="str">
        <f>IFERROR(INDEX(基础资料!$F$4:$F$23,MATCH($C297,基础资料!$E$4:$E$23,0)),IF($C297="","","未匹配账户"))</f>
        <v>双思威</v>
      </c>
      <c r="E297" s="39" t="s">
        <v>488</v>
      </c>
      <c r="F297" s="10"/>
      <c r="G297" s="10"/>
      <c r="H297" s="10"/>
      <c r="I297" s="10" t="s">
        <v>234</v>
      </c>
      <c r="J297" s="70" t="s">
        <v>663</v>
      </c>
      <c r="K297" s="25"/>
      <c r="L297" s="25">
        <v>10320</v>
      </c>
      <c r="M297" s="25">
        <f>IFERROR(VLOOKUP($C297,$C$5:$M$24,11,0)+SUMIF($C$25:$C297,$C297,$K$25:$K297)-SUMIF($C$25:$C297,$C297,$L$25:$L297),"")</f>
        <v>6479598.13</v>
      </c>
      <c r="N297" s="10"/>
      <c r="O297" s="10"/>
      <c r="P297" s="65"/>
      <c r="Q297" s="10"/>
      <c r="R297" s="10"/>
      <c r="S297" s="54">
        <f t="shared" si="12"/>
        <v>202602</v>
      </c>
      <c r="T297" s="54">
        <f t="shared" si="13"/>
        <v>202602</v>
      </c>
      <c r="U297" s="58" t="str">
        <f t="shared" si="14"/>
        <v/>
      </c>
      <c r="V297" s="58">
        <f>IF(AND($B297&lt;&gt;"",$F297&lt;&gt;"",$F297=项目明细账!$C$2),N(V296)+1,N(V296))</f>
        <v>0</v>
      </c>
      <c r="W297" s="63" t="str">
        <f>IF($H297&lt;&gt;"","项目成本",IFERROR(INDEX(基础资料!$W$4:$W$49,MATCH($I297,基础资料!$V$4:$V$49,0)),""))</f>
        <v>管理费用</v>
      </c>
      <c r="X297" s="63" t="str">
        <f>IFERROR(INDEX(基础资料!$R$4:$R$17,MATCH($G297,基础资料!$Q$4:$Q$17,0)),"")</f>
        <v/>
      </c>
    </row>
    <row r="298" spans="1:24">
      <c r="A298" s="58">
        <f>IF($B298="","",COUNTA($B$5:$B298))</f>
        <v>294</v>
      </c>
      <c r="B298" s="73">
        <v>46055</v>
      </c>
      <c r="C298" s="46" t="s">
        <v>99</v>
      </c>
      <c r="D298" s="63" t="str">
        <f>IFERROR(INDEX(基础资料!$F$4:$F$23,MATCH($C298,基础资料!$E$4:$E$23,0)),IF($C298="","","未匹配账户"))</f>
        <v>双思威</v>
      </c>
      <c r="E298" s="39" t="s">
        <v>488</v>
      </c>
      <c r="F298" s="10"/>
      <c r="G298" s="10"/>
      <c r="H298" s="10"/>
      <c r="I298" s="10" t="s">
        <v>234</v>
      </c>
      <c r="J298" s="70" t="s">
        <v>664</v>
      </c>
      <c r="K298" s="25"/>
      <c r="L298" s="25">
        <v>19200</v>
      </c>
      <c r="M298" s="25">
        <f>IFERROR(VLOOKUP($C298,$C$5:$M$24,11,0)+SUMIF($C$25:$C298,$C298,$K$25:$K298)-SUMIF($C$25:$C298,$C298,$L$25:$L298),"")</f>
        <v>6460398.13</v>
      </c>
      <c r="N298" s="10"/>
      <c r="O298" s="10"/>
      <c r="P298" s="65"/>
      <c r="Q298" s="10"/>
      <c r="R298" s="10"/>
      <c r="S298" s="54">
        <f t="shared" si="12"/>
        <v>202602</v>
      </c>
      <c r="T298" s="54">
        <f t="shared" si="13"/>
        <v>202602</v>
      </c>
      <c r="U298" s="58" t="str">
        <f t="shared" si="14"/>
        <v/>
      </c>
      <c r="V298" s="58">
        <f>IF(AND($B298&lt;&gt;"",$F298&lt;&gt;"",$F298=项目明细账!$C$2),N(V297)+1,N(V297))</f>
        <v>0</v>
      </c>
      <c r="W298" s="63" t="str">
        <f>IF($H298&lt;&gt;"","项目成本",IFERROR(INDEX(基础资料!$W$4:$W$49,MATCH($I298,基础资料!$V$4:$V$49,0)),""))</f>
        <v>管理费用</v>
      </c>
      <c r="X298" s="63" t="str">
        <f>IFERROR(INDEX(基础资料!$R$4:$R$17,MATCH($G298,基础资料!$Q$4:$Q$17,0)),"")</f>
        <v/>
      </c>
    </row>
    <row r="299" spans="1:24">
      <c r="A299" s="58">
        <f>IF($B299="","",COUNTA($B$5:$B299))</f>
        <v>295</v>
      </c>
      <c r="B299" s="73">
        <v>46056</v>
      </c>
      <c r="C299" s="46" t="s">
        <v>99</v>
      </c>
      <c r="D299" s="63" t="str">
        <f>IFERROR(INDEX(基础资料!$F$4:$F$23,MATCH($C299,基础资料!$E$4:$E$23,0)),IF($C299="","","未匹配账户"))</f>
        <v>双思威</v>
      </c>
      <c r="E299" s="39" t="s">
        <v>488</v>
      </c>
      <c r="F299" s="10"/>
      <c r="G299" s="10"/>
      <c r="H299" s="10"/>
      <c r="I299" s="10" t="s">
        <v>234</v>
      </c>
      <c r="J299" s="69" t="s">
        <v>665</v>
      </c>
      <c r="K299" s="25"/>
      <c r="L299" s="25">
        <v>31570</v>
      </c>
      <c r="M299" s="25">
        <f>IFERROR(VLOOKUP($C299,$C$5:$M$24,11,0)+SUMIF($C$25:$C299,$C299,$K$25:$K299)-SUMIF($C$25:$C299,$C299,$L$25:$L299),"")</f>
        <v>6428828.13</v>
      </c>
      <c r="N299" s="10"/>
      <c r="O299" s="10"/>
      <c r="P299" s="65"/>
      <c r="Q299" s="10"/>
      <c r="R299" s="10"/>
      <c r="S299" s="54">
        <f t="shared" si="12"/>
        <v>202602</v>
      </c>
      <c r="T299" s="54">
        <f t="shared" si="13"/>
        <v>202602</v>
      </c>
      <c r="U299" s="58" t="str">
        <f t="shared" si="14"/>
        <v/>
      </c>
      <c r="V299" s="58">
        <f>IF(AND($B299&lt;&gt;"",$F299&lt;&gt;"",$F299=项目明细账!$C$2),N(V298)+1,N(V298))</f>
        <v>0</v>
      </c>
      <c r="W299" s="63" t="str">
        <f>IF($H299&lt;&gt;"","项目成本",IFERROR(INDEX(基础资料!$W$4:$W$49,MATCH($I299,基础资料!$V$4:$V$49,0)),""))</f>
        <v>管理费用</v>
      </c>
      <c r="X299" s="63" t="str">
        <f>IFERROR(INDEX(基础资料!$R$4:$R$17,MATCH($G299,基础资料!$Q$4:$Q$17,0)),"")</f>
        <v/>
      </c>
    </row>
    <row r="300" spans="1:24">
      <c r="A300" s="58">
        <f>IF($B300="","",COUNTA($B$5:$B300))</f>
        <v>296</v>
      </c>
      <c r="B300" s="73">
        <v>46057</v>
      </c>
      <c r="C300" s="46" t="s">
        <v>99</v>
      </c>
      <c r="D300" s="63" t="str">
        <f>IFERROR(INDEX(基础资料!$F$4:$F$23,MATCH($C300,基础资料!$E$4:$E$23,0)),IF($C300="","","未匹配账户"))</f>
        <v>双思威</v>
      </c>
      <c r="E300" s="39" t="s">
        <v>488</v>
      </c>
      <c r="F300" s="10"/>
      <c r="G300" s="10"/>
      <c r="H300" s="10"/>
      <c r="I300" s="10" t="s">
        <v>234</v>
      </c>
      <c r="J300" s="71" t="s">
        <v>666</v>
      </c>
      <c r="K300" s="25"/>
      <c r="L300" s="25">
        <v>790</v>
      </c>
      <c r="M300" s="25">
        <f>IFERROR(VLOOKUP($C300,$C$5:$M$24,11,0)+SUMIF($C$25:$C300,$C300,$K$25:$K300)-SUMIF($C$25:$C300,$C300,$L$25:$L300),"")</f>
        <v>6428038.13</v>
      </c>
      <c r="N300" s="10"/>
      <c r="O300" s="10"/>
      <c r="P300" s="65"/>
      <c r="Q300" s="10"/>
      <c r="R300" s="10"/>
      <c r="S300" s="54">
        <f t="shared" si="12"/>
        <v>202602</v>
      </c>
      <c r="T300" s="54">
        <f t="shared" si="13"/>
        <v>202602</v>
      </c>
      <c r="U300" s="58" t="str">
        <f t="shared" si="14"/>
        <v/>
      </c>
      <c r="V300" s="58">
        <f>IF(AND($B300&lt;&gt;"",$F300&lt;&gt;"",$F300=项目明细账!$C$2),N(V299)+1,N(V299))</f>
        <v>0</v>
      </c>
      <c r="W300" s="63" t="str">
        <f>IF($H300&lt;&gt;"","项目成本",IFERROR(INDEX(基础资料!$W$4:$W$49,MATCH($I300,基础资料!$V$4:$V$49,0)),""))</f>
        <v>管理费用</v>
      </c>
      <c r="X300" s="63" t="str">
        <f>IFERROR(INDEX(基础资料!$R$4:$R$17,MATCH($G300,基础资料!$Q$4:$Q$17,0)),"")</f>
        <v/>
      </c>
    </row>
    <row r="301" spans="1:24">
      <c r="A301" s="58">
        <f>IF($B301="","",COUNTA($B$5:$B301))</f>
        <v>297</v>
      </c>
      <c r="B301" s="73">
        <v>46057</v>
      </c>
      <c r="C301" s="46" t="s">
        <v>99</v>
      </c>
      <c r="D301" s="63" t="str">
        <f>IFERROR(INDEX(基础资料!$F$4:$F$23,MATCH($C301,基础资料!$E$4:$E$23,0)),IF($C301="","","未匹配账户"))</f>
        <v>双思威</v>
      </c>
      <c r="E301" s="39" t="s">
        <v>488</v>
      </c>
      <c r="F301" s="10" t="s">
        <v>128</v>
      </c>
      <c r="G301" s="10"/>
      <c r="H301" s="10" t="s">
        <v>530</v>
      </c>
      <c r="I301" s="10"/>
      <c r="J301" s="71" t="s">
        <v>667</v>
      </c>
      <c r="K301" s="25"/>
      <c r="L301" s="25">
        <v>129716</v>
      </c>
      <c r="M301" s="25">
        <f>IFERROR(VLOOKUP($C301,$C$5:$M$24,11,0)+SUMIF($C$25:$C301,$C301,$K$25:$K301)-SUMIF($C$25:$C301,$C301,$L$25:$L301),"")</f>
        <v>6298322.13</v>
      </c>
      <c r="N301" s="10"/>
      <c r="O301" s="10"/>
      <c r="P301" s="65"/>
      <c r="Q301" s="10"/>
      <c r="R301" s="10"/>
      <c r="S301" s="54">
        <f t="shared" si="12"/>
        <v>202602</v>
      </c>
      <c r="T301" s="54">
        <f t="shared" si="13"/>
        <v>202602</v>
      </c>
      <c r="U301" s="58" t="str">
        <f t="shared" si="14"/>
        <v/>
      </c>
      <c r="V301" s="58">
        <f>IF(AND($B301&lt;&gt;"",$F301&lt;&gt;"",$F301=项目明细账!$C$2),N(V300)+1,N(V300))</f>
        <v>0</v>
      </c>
      <c r="W301" s="63" t="str">
        <f>IF($H301&lt;&gt;"","项目成本",IFERROR(INDEX(基础资料!$W$4:$W$49,MATCH($I301,基础资料!$V$4:$V$49,0)),""))</f>
        <v>项目成本</v>
      </c>
      <c r="X301" s="63" t="str">
        <f>IFERROR(INDEX(基础资料!$R$4:$R$17,MATCH($G301,基础资料!$Q$4:$Q$17,0)),"")</f>
        <v/>
      </c>
    </row>
    <row r="302" spans="1:24">
      <c r="A302" s="58">
        <f>IF($B302="","",COUNTA($B$5:$B302))</f>
        <v>298</v>
      </c>
      <c r="B302" s="73">
        <v>46057</v>
      </c>
      <c r="C302" s="46" t="s">
        <v>99</v>
      </c>
      <c r="D302" s="63" t="str">
        <f>IFERROR(INDEX(基础资料!$F$4:$F$23,MATCH($C302,基础资料!$E$4:$E$23,0)),IF($C302="","","未匹配账户"))</f>
        <v>双思威</v>
      </c>
      <c r="E302" s="39" t="s">
        <v>488</v>
      </c>
      <c r="F302" s="10" t="s">
        <v>83</v>
      </c>
      <c r="G302" s="10"/>
      <c r="H302" s="10" t="s">
        <v>530</v>
      </c>
      <c r="I302" s="10"/>
      <c r="J302" s="71" t="s">
        <v>667</v>
      </c>
      <c r="K302" s="25"/>
      <c r="L302" s="25">
        <v>141944</v>
      </c>
      <c r="M302" s="25">
        <f>IFERROR(VLOOKUP($C302,$C$5:$M$24,11,0)+SUMIF($C$25:$C302,$C302,$K$25:$K302)-SUMIF($C$25:$C302,$C302,$L$25:$L302),"")</f>
        <v>6156378.13</v>
      </c>
      <c r="N302" s="10"/>
      <c r="O302" s="10"/>
      <c r="P302" s="65"/>
      <c r="Q302" s="10"/>
      <c r="R302" s="10"/>
      <c r="S302" s="54">
        <f t="shared" si="12"/>
        <v>202602</v>
      </c>
      <c r="T302" s="54">
        <f t="shared" si="13"/>
        <v>202602</v>
      </c>
      <c r="U302" s="58" t="str">
        <f t="shared" si="14"/>
        <v/>
      </c>
      <c r="V302" s="58">
        <f>IF(AND($B302&lt;&gt;"",$F302&lt;&gt;"",$F302=项目明细账!$C$2),N(V301)+1,N(V301))</f>
        <v>0</v>
      </c>
      <c r="W302" s="63" t="str">
        <f>IF($H302&lt;&gt;"","项目成本",IFERROR(INDEX(基础资料!$W$4:$W$49,MATCH($I302,基础资料!$V$4:$V$49,0)),""))</f>
        <v>项目成本</v>
      </c>
      <c r="X302" s="63" t="str">
        <f>IFERROR(INDEX(基础资料!$R$4:$R$17,MATCH($G302,基础资料!$Q$4:$Q$17,0)),"")</f>
        <v/>
      </c>
    </row>
    <row r="303" spans="1:24">
      <c r="A303" s="58">
        <f>IF($B303="","",COUNTA($B$5:$B303))</f>
        <v>299</v>
      </c>
      <c r="B303" s="73">
        <v>46057</v>
      </c>
      <c r="C303" s="46" t="s">
        <v>99</v>
      </c>
      <c r="D303" s="63" t="str">
        <f>IFERROR(INDEX(基础资料!$F$4:$F$23,MATCH($C303,基础资料!$E$4:$E$23,0)),IF($C303="","","未匹配账户"))</f>
        <v>双思威</v>
      </c>
      <c r="E303" s="39" t="s">
        <v>488</v>
      </c>
      <c r="F303" s="10" t="s">
        <v>83</v>
      </c>
      <c r="G303" s="10"/>
      <c r="H303" s="10" t="s">
        <v>530</v>
      </c>
      <c r="I303" s="10"/>
      <c r="J303" s="70" t="s">
        <v>668</v>
      </c>
      <c r="K303" s="25"/>
      <c r="L303" s="25">
        <v>47500</v>
      </c>
      <c r="M303" s="25">
        <f>IFERROR(VLOOKUP($C303,$C$5:$M$24,11,0)+SUMIF($C$25:$C303,$C303,$K$25:$K303)-SUMIF($C$25:$C303,$C303,$L$25:$L303),"")</f>
        <v>6108878.13</v>
      </c>
      <c r="N303" s="10"/>
      <c r="O303" s="10"/>
      <c r="P303" s="65"/>
      <c r="Q303" s="10"/>
      <c r="R303" s="10"/>
      <c r="S303" s="54">
        <f t="shared" si="12"/>
        <v>202602</v>
      </c>
      <c r="T303" s="54">
        <f t="shared" si="13"/>
        <v>202602</v>
      </c>
      <c r="U303" s="58" t="str">
        <f t="shared" si="14"/>
        <v/>
      </c>
      <c r="V303" s="58">
        <f>IF(AND($B303&lt;&gt;"",$F303&lt;&gt;"",$F303=项目明细账!$C$2),N(V302)+1,N(V302))</f>
        <v>0</v>
      </c>
      <c r="W303" s="63" t="str">
        <f>IF($H303&lt;&gt;"","项目成本",IFERROR(INDEX(基础资料!$W$4:$W$49,MATCH($I303,基础资料!$V$4:$V$49,0)),""))</f>
        <v>项目成本</v>
      </c>
      <c r="X303" s="63" t="str">
        <f>IFERROR(INDEX(基础资料!$R$4:$R$17,MATCH($G303,基础资料!$Q$4:$Q$17,0)),"")</f>
        <v/>
      </c>
    </row>
    <row r="304" spans="1:24">
      <c r="A304" s="58">
        <f>IF($B304="","",COUNTA($B$5:$B304))</f>
        <v>300</v>
      </c>
      <c r="B304" s="73">
        <v>46058</v>
      </c>
      <c r="C304" s="46" t="s">
        <v>99</v>
      </c>
      <c r="D304" s="63" t="str">
        <f>IFERROR(INDEX(基础资料!$F$4:$F$23,MATCH($C304,基础资料!$E$4:$E$23,0)),IF($C304="","","未匹配账户"))</f>
        <v>双思威</v>
      </c>
      <c r="E304" s="39" t="s">
        <v>488</v>
      </c>
      <c r="F304" s="10" t="s">
        <v>287</v>
      </c>
      <c r="G304" s="10"/>
      <c r="H304" s="10" t="s">
        <v>530</v>
      </c>
      <c r="I304" s="10"/>
      <c r="J304" s="69" t="s">
        <v>543</v>
      </c>
      <c r="K304" s="25"/>
      <c r="L304" s="25">
        <v>497</v>
      </c>
      <c r="M304" s="25">
        <f>IFERROR(VLOOKUP($C304,$C$5:$M$24,11,0)+SUMIF($C$25:$C304,$C304,$K$25:$K304)-SUMIF($C$25:$C304,$C304,$L$25:$L304),"")</f>
        <v>6108381.13</v>
      </c>
      <c r="N304" s="10"/>
      <c r="O304" s="10"/>
      <c r="P304" s="65"/>
      <c r="Q304" s="10"/>
      <c r="R304" s="10"/>
      <c r="S304" s="54">
        <f t="shared" si="12"/>
        <v>202602</v>
      </c>
      <c r="T304" s="54">
        <f t="shared" si="13"/>
        <v>202602</v>
      </c>
      <c r="U304" s="58" t="str">
        <f t="shared" si="14"/>
        <v/>
      </c>
      <c r="V304" s="58">
        <f>IF(AND($B304&lt;&gt;"",$F304&lt;&gt;"",$F304=项目明细账!$C$2),N(V303)+1,N(V303))</f>
        <v>0</v>
      </c>
      <c r="W304" s="63" t="str">
        <f>IF($H304&lt;&gt;"","项目成本",IFERROR(INDEX(基础资料!$W$4:$W$49,MATCH($I304,基础资料!$V$4:$V$49,0)),""))</f>
        <v>项目成本</v>
      </c>
      <c r="X304" s="63" t="str">
        <f>IFERROR(INDEX(基础资料!$R$4:$R$17,MATCH($G304,基础资料!$Q$4:$Q$17,0)),"")</f>
        <v/>
      </c>
    </row>
    <row r="305" spans="1:24">
      <c r="A305" s="58">
        <f>IF($B305="","",COUNTA($B$5:$B305))</f>
        <v>301</v>
      </c>
      <c r="B305" s="73">
        <v>46058</v>
      </c>
      <c r="C305" s="46" t="s">
        <v>99</v>
      </c>
      <c r="D305" s="63" t="str">
        <f>IFERROR(INDEX(基础资料!$F$4:$F$23,MATCH($C305,基础资料!$E$4:$E$23,0)),IF($C305="","","未匹配账户"))</f>
        <v>双思威</v>
      </c>
      <c r="E305" s="39" t="s">
        <v>488</v>
      </c>
      <c r="F305" s="10" t="s">
        <v>83</v>
      </c>
      <c r="G305" s="10"/>
      <c r="H305" s="10" t="s">
        <v>530</v>
      </c>
      <c r="I305" s="10"/>
      <c r="J305" s="69" t="s">
        <v>543</v>
      </c>
      <c r="K305" s="25"/>
      <c r="L305" s="25">
        <v>1128.71</v>
      </c>
      <c r="M305" s="25">
        <f>IFERROR(VLOOKUP($C305,$C$5:$M$24,11,0)+SUMIF($C$25:$C305,$C305,$K$25:$K305)-SUMIF($C$25:$C305,$C305,$L$25:$L305),"")</f>
        <v>6107252.42</v>
      </c>
      <c r="N305" s="10"/>
      <c r="O305" s="10"/>
      <c r="P305" s="65"/>
      <c r="Q305" s="10"/>
      <c r="R305" s="10"/>
      <c r="S305" s="54">
        <f t="shared" si="12"/>
        <v>202602</v>
      </c>
      <c r="T305" s="54">
        <f t="shared" si="13"/>
        <v>202602</v>
      </c>
      <c r="U305" s="58" t="str">
        <f t="shared" si="14"/>
        <v/>
      </c>
      <c r="V305" s="58">
        <f>IF(AND($B305&lt;&gt;"",$F305&lt;&gt;"",$F305=项目明细账!$C$2),N(V304)+1,N(V304))</f>
        <v>0</v>
      </c>
      <c r="W305" s="63" t="str">
        <f>IF($H305&lt;&gt;"","项目成本",IFERROR(INDEX(基础资料!$W$4:$W$49,MATCH($I305,基础资料!$V$4:$V$49,0)),""))</f>
        <v>项目成本</v>
      </c>
      <c r="X305" s="63" t="str">
        <f>IFERROR(INDEX(基础资料!$R$4:$R$17,MATCH($G305,基础资料!$Q$4:$Q$17,0)),"")</f>
        <v/>
      </c>
    </row>
    <row r="306" spans="1:24">
      <c r="A306" s="58">
        <f>IF($B306="","",COUNTA($B$5:$B306))</f>
        <v>302</v>
      </c>
      <c r="B306" s="73">
        <v>46058</v>
      </c>
      <c r="C306" s="46" t="s">
        <v>99</v>
      </c>
      <c r="D306" s="63" t="str">
        <f>IFERROR(INDEX(基础资料!$F$4:$F$23,MATCH($C306,基础资料!$E$4:$E$23,0)),IF($C306="","","未匹配账户"))</f>
        <v>双思威</v>
      </c>
      <c r="E306" s="39" t="s">
        <v>488</v>
      </c>
      <c r="F306" s="10"/>
      <c r="G306" s="10"/>
      <c r="H306" s="10"/>
      <c r="I306" s="10" t="s">
        <v>234</v>
      </c>
      <c r="J306" s="69" t="s">
        <v>669</v>
      </c>
      <c r="K306" s="25"/>
      <c r="L306" s="25">
        <v>167</v>
      </c>
      <c r="M306" s="25">
        <f>IFERROR(VLOOKUP($C306,$C$5:$M$24,11,0)+SUMIF($C$25:$C306,$C306,$K$25:$K306)-SUMIF($C$25:$C306,$C306,$L$25:$L306),"")</f>
        <v>6107085.42</v>
      </c>
      <c r="N306" s="10"/>
      <c r="O306" s="10"/>
      <c r="P306" s="65"/>
      <c r="Q306" s="10"/>
      <c r="R306" s="10"/>
      <c r="S306" s="54">
        <f t="shared" si="12"/>
        <v>202602</v>
      </c>
      <c r="T306" s="54">
        <f t="shared" si="13"/>
        <v>202602</v>
      </c>
      <c r="U306" s="58" t="str">
        <f t="shared" si="14"/>
        <v/>
      </c>
      <c r="V306" s="58">
        <f>IF(AND($B306&lt;&gt;"",$F306&lt;&gt;"",$F306=项目明细账!$C$2),N(V305)+1,N(V305))</f>
        <v>0</v>
      </c>
      <c r="W306" s="63" t="str">
        <f>IF($H306&lt;&gt;"","项目成本",IFERROR(INDEX(基础资料!$W$4:$W$49,MATCH($I306,基础资料!$V$4:$V$49,0)),""))</f>
        <v>管理费用</v>
      </c>
      <c r="X306" s="63" t="str">
        <f>IFERROR(INDEX(基础资料!$R$4:$R$17,MATCH($G306,基础资料!$Q$4:$Q$17,0)),"")</f>
        <v/>
      </c>
    </row>
    <row r="307" spans="1:24">
      <c r="A307" s="58">
        <f>IF($B307="","",COUNTA($B$5:$B307))</f>
        <v>303</v>
      </c>
      <c r="B307" s="73">
        <v>46058</v>
      </c>
      <c r="C307" s="46" t="s">
        <v>99</v>
      </c>
      <c r="D307" s="63" t="str">
        <f>IFERROR(INDEX(基础资料!$F$4:$F$23,MATCH($C307,基础资料!$E$4:$E$23,0)),IF($C307="","","未匹配账户"))</f>
        <v>双思威</v>
      </c>
      <c r="E307" s="39" t="s">
        <v>488</v>
      </c>
      <c r="F307" s="10" t="s">
        <v>303</v>
      </c>
      <c r="G307" s="10"/>
      <c r="H307" s="10" t="s">
        <v>530</v>
      </c>
      <c r="I307" s="10"/>
      <c r="J307" s="70" t="s">
        <v>670</v>
      </c>
      <c r="K307" s="25"/>
      <c r="L307" s="25">
        <v>874</v>
      </c>
      <c r="M307" s="25">
        <f>IFERROR(VLOOKUP($C307,$C$5:$M$24,11,0)+SUMIF($C$25:$C307,$C307,$K$25:$K307)-SUMIF($C$25:$C307,$C307,$L$25:$L307),"")</f>
        <v>6106211.42</v>
      </c>
      <c r="N307" s="10"/>
      <c r="O307" s="10"/>
      <c r="P307" s="65"/>
      <c r="Q307" s="10"/>
      <c r="R307" s="10"/>
      <c r="S307" s="54">
        <f t="shared" si="12"/>
        <v>202602</v>
      </c>
      <c r="T307" s="54">
        <f t="shared" si="13"/>
        <v>202602</v>
      </c>
      <c r="U307" s="58" t="str">
        <f t="shared" si="14"/>
        <v/>
      </c>
      <c r="V307" s="58">
        <f>IF(AND($B307&lt;&gt;"",$F307&lt;&gt;"",$F307=项目明细账!$C$2),N(V306)+1,N(V306))</f>
        <v>0</v>
      </c>
      <c r="W307" s="63" t="str">
        <f>IF($H307&lt;&gt;"","项目成本",IFERROR(INDEX(基础资料!$W$4:$W$49,MATCH($I307,基础资料!$V$4:$V$49,0)),""))</f>
        <v>项目成本</v>
      </c>
      <c r="X307" s="63" t="str">
        <f>IFERROR(INDEX(基础资料!$R$4:$R$17,MATCH($G307,基础资料!$Q$4:$Q$17,0)),"")</f>
        <v/>
      </c>
    </row>
    <row r="308" spans="1:24">
      <c r="A308" s="58">
        <f>IF($B308="","",COUNTA($B$5:$B308))</f>
        <v>304</v>
      </c>
      <c r="B308" s="73">
        <v>46058</v>
      </c>
      <c r="C308" s="46" t="s">
        <v>99</v>
      </c>
      <c r="D308" s="63" t="str">
        <f>IFERROR(INDEX(基础资料!$F$4:$F$23,MATCH($C308,基础资料!$E$4:$E$23,0)),IF($C308="","","未匹配账户"))</f>
        <v>双思威</v>
      </c>
      <c r="E308" s="39" t="s">
        <v>488</v>
      </c>
      <c r="F308" s="10" t="s">
        <v>303</v>
      </c>
      <c r="G308" s="10"/>
      <c r="H308" s="10" t="s">
        <v>530</v>
      </c>
      <c r="I308" s="10"/>
      <c r="J308" s="70" t="s">
        <v>671</v>
      </c>
      <c r="K308" s="25"/>
      <c r="L308" s="25">
        <v>5960</v>
      </c>
      <c r="M308" s="25">
        <f>IFERROR(VLOOKUP($C308,$C$5:$M$24,11,0)+SUMIF($C$25:$C308,$C308,$K$25:$K308)-SUMIF($C$25:$C308,$C308,$L$25:$L308),"")</f>
        <v>6100251.42</v>
      </c>
      <c r="N308" s="10"/>
      <c r="O308" s="10"/>
      <c r="P308" s="65"/>
      <c r="Q308" s="10"/>
      <c r="R308" s="10"/>
      <c r="S308" s="54">
        <f t="shared" si="12"/>
        <v>202602</v>
      </c>
      <c r="T308" s="54">
        <f t="shared" si="13"/>
        <v>202602</v>
      </c>
      <c r="U308" s="58" t="str">
        <f t="shared" si="14"/>
        <v/>
      </c>
      <c r="V308" s="58">
        <f>IF(AND($B308&lt;&gt;"",$F308&lt;&gt;"",$F308=项目明细账!$C$2),N(V307)+1,N(V307))</f>
        <v>0</v>
      </c>
      <c r="W308" s="63" t="str">
        <f>IF($H308&lt;&gt;"","项目成本",IFERROR(INDEX(基础资料!$W$4:$W$49,MATCH($I308,基础资料!$V$4:$V$49,0)),""))</f>
        <v>项目成本</v>
      </c>
      <c r="X308" s="63" t="str">
        <f>IFERROR(INDEX(基础资料!$R$4:$R$17,MATCH($G308,基础资料!$Q$4:$Q$17,0)),"")</f>
        <v/>
      </c>
    </row>
    <row r="309" spans="1:24">
      <c r="A309" s="58">
        <f>IF($B309="","",COUNTA($B$5:$B309))</f>
        <v>305</v>
      </c>
      <c r="B309" s="73">
        <v>46058</v>
      </c>
      <c r="C309" s="46" t="s">
        <v>99</v>
      </c>
      <c r="D309" s="63" t="str">
        <f>IFERROR(INDEX(基础资料!$F$4:$F$23,MATCH($C309,基础资料!$E$4:$E$23,0)),IF($C309="","","未匹配账户"))</f>
        <v>双思威</v>
      </c>
      <c r="E309" s="39" t="s">
        <v>488</v>
      </c>
      <c r="F309" s="10"/>
      <c r="G309" s="10"/>
      <c r="H309" s="10"/>
      <c r="I309" s="10" t="s">
        <v>234</v>
      </c>
      <c r="J309" s="70" t="s">
        <v>672</v>
      </c>
      <c r="K309" s="25"/>
      <c r="L309" s="25">
        <v>15000</v>
      </c>
      <c r="M309" s="25">
        <f>IFERROR(VLOOKUP($C309,$C$5:$M$24,11,0)+SUMIF($C$25:$C309,$C309,$K$25:$K309)-SUMIF($C$25:$C309,$C309,$L$25:$L309),"")</f>
        <v>6085251.42</v>
      </c>
      <c r="N309" s="10"/>
      <c r="O309" s="10"/>
      <c r="P309" s="65"/>
      <c r="Q309" s="10"/>
      <c r="R309" s="10"/>
      <c r="S309" s="54">
        <f t="shared" si="12"/>
        <v>202602</v>
      </c>
      <c r="T309" s="54">
        <f t="shared" si="13"/>
        <v>202602</v>
      </c>
      <c r="U309" s="58" t="str">
        <f t="shared" si="14"/>
        <v/>
      </c>
      <c r="V309" s="58">
        <f>IF(AND($B309&lt;&gt;"",$F309&lt;&gt;"",$F309=项目明细账!$C$2),N(V308)+1,N(V308))</f>
        <v>0</v>
      </c>
      <c r="W309" s="63" t="str">
        <f>IF($H309&lt;&gt;"","项目成本",IFERROR(INDEX(基础资料!$W$4:$W$49,MATCH($I309,基础资料!$V$4:$V$49,0)),""))</f>
        <v>管理费用</v>
      </c>
      <c r="X309" s="63" t="str">
        <f>IFERROR(INDEX(基础资料!$R$4:$R$17,MATCH($G309,基础资料!$Q$4:$Q$17,0)),"")</f>
        <v/>
      </c>
    </row>
    <row r="310" spans="1:24">
      <c r="A310" s="58">
        <f>IF($B310="","",COUNTA($B$5:$B310))</f>
        <v>306</v>
      </c>
      <c r="B310" s="73">
        <v>46060</v>
      </c>
      <c r="C310" s="46" t="s">
        <v>99</v>
      </c>
      <c r="D310" s="63" t="str">
        <f>IFERROR(INDEX(基础资料!$F$4:$F$23,MATCH($C310,基础资料!$E$4:$E$23,0)),IF($C310="","","未匹配账户"))</f>
        <v>双思威</v>
      </c>
      <c r="E310" s="39" t="s">
        <v>488</v>
      </c>
      <c r="F310" s="10" t="s">
        <v>83</v>
      </c>
      <c r="G310" s="10"/>
      <c r="H310" s="10" t="s">
        <v>530</v>
      </c>
      <c r="I310" s="10"/>
      <c r="J310" s="71" t="s">
        <v>662</v>
      </c>
      <c r="K310" s="25"/>
      <c r="L310" s="25">
        <v>14000</v>
      </c>
      <c r="M310" s="25">
        <f>IFERROR(VLOOKUP($C310,$C$5:$M$24,11,0)+SUMIF($C$25:$C310,$C310,$K$25:$K310)-SUMIF($C$25:$C310,$C310,$L$25:$L310),"")</f>
        <v>6071251.42</v>
      </c>
      <c r="N310" s="10"/>
      <c r="O310" s="10"/>
      <c r="P310" s="65"/>
      <c r="Q310" s="10"/>
      <c r="R310" s="10"/>
      <c r="S310" s="54">
        <f t="shared" si="12"/>
        <v>202602</v>
      </c>
      <c r="T310" s="54">
        <f t="shared" si="13"/>
        <v>202602</v>
      </c>
      <c r="U310" s="58" t="str">
        <f t="shared" si="14"/>
        <v/>
      </c>
      <c r="V310" s="58">
        <f>IF(AND($B310&lt;&gt;"",$F310&lt;&gt;"",$F310=项目明细账!$C$2),N(V309)+1,N(V309))</f>
        <v>0</v>
      </c>
      <c r="W310" s="63" t="str">
        <f>IF($H310&lt;&gt;"","项目成本",IFERROR(INDEX(基础资料!$W$4:$W$49,MATCH($I310,基础资料!$V$4:$V$49,0)),""))</f>
        <v>项目成本</v>
      </c>
      <c r="X310" s="63" t="str">
        <f>IFERROR(INDEX(基础资料!$R$4:$R$17,MATCH($G310,基础资料!$Q$4:$Q$17,0)),"")</f>
        <v/>
      </c>
    </row>
    <row r="311" spans="1:24">
      <c r="A311" s="58">
        <f>IF($B311="","",COUNTA($B$5:$B311))</f>
        <v>307</v>
      </c>
      <c r="B311" s="73">
        <v>46062</v>
      </c>
      <c r="C311" s="46" t="s">
        <v>99</v>
      </c>
      <c r="D311" s="63" t="str">
        <f>IFERROR(INDEX(基础资料!$F$4:$F$23,MATCH($C311,基础资料!$E$4:$E$23,0)),IF($C311="","","未匹配账户"))</f>
        <v>双思威</v>
      </c>
      <c r="E311" s="39" t="s">
        <v>488</v>
      </c>
      <c r="F311" s="10"/>
      <c r="G311" s="10"/>
      <c r="H311" s="10"/>
      <c r="I311" s="10" t="s">
        <v>234</v>
      </c>
      <c r="J311" s="70" t="s">
        <v>673</v>
      </c>
      <c r="K311" s="25"/>
      <c r="L311" s="25">
        <v>8660</v>
      </c>
      <c r="M311" s="25">
        <f>IFERROR(VLOOKUP($C311,$C$5:$M$24,11,0)+SUMIF($C$25:$C311,$C311,$K$25:$K311)-SUMIF($C$25:$C311,$C311,$L$25:$L311),"")</f>
        <v>6062591.42</v>
      </c>
      <c r="N311" s="10"/>
      <c r="O311" s="10"/>
      <c r="P311" s="65"/>
      <c r="Q311" s="10"/>
      <c r="R311" s="10"/>
      <c r="S311" s="54">
        <f t="shared" si="12"/>
        <v>202602</v>
      </c>
      <c r="T311" s="54">
        <f t="shared" si="13"/>
        <v>202602</v>
      </c>
      <c r="U311" s="58" t="str">
        <f t="shared" si="14"/>
        <v/>
      </c>
      <c r="V311" s="58">
        <f>IF(AND($B311&lt;&gt;"",$F311&lt;&gt;"",$F311=项目明细账!$C$2),N(V310)+1,N(V310))</f>
        <v>0</v>
      </c>
      <c r="W311" s="63" t="str">
        <f>IF($H311&lt;&gt;"","项目成本",IFERROR(INDEX(基础资料!$W$4:$W$49,MATCH($I311,基础资料!$V$4:$V$49,0)),""))</f>
        <v>管理费用</v>
      </c>
      <c r="X311" s="63" t="str">
        <f>IFERROR(INDEX(基础资料!$R$4:$R$17,MATCH($G311,基础资料!$Q$4:$Q$17,0)),"")</f>
        <v/>
      </c>
    </row>
    <row r="312" spans="1:24">
      <c r="A312" s="58">
        <f>IF($B312="","",COUNTA($B$5:$B312))</f>
        <v>308</v>
      </c>
      <c r="B312" s="73">
        <v>46063</v>
      </c>
      <c r="C312" s="46" t="s">
        <v>99</v>
      </c>
      <c r="D312" s="63" t="str">
        <f>IFERROR(INDEX(基础资料!$F$4:$F$23,MATCH($C312,基础资料!$E$4:$E$23,0)),IF($C312="","","未匹配账户"))</f>
        <v>双思威</v>
      </c>
      <c r="E312" s="39" t="s">
        <v>488</v>
      </c>
      <c r="F312" s="10"/>
      <c r="G312" s="10"/>
      <c r="H312" s="10"/>
      <c r="I312" s="10" t="s">
        <v>234</v>
      </c>
      <c r="J312" s="69" t="s">
        <v>674</v>
      </c>
      <c r="K312" s="25"/>
      <c r="L312" s="25">
        <v>900</v>
      </c>
      <c r="M312" s="25">
        <f>IFERROR(VLOOKUP($C312,$C$5:$M$24,11,0)+SUMIF($C$25:$C312,$C312,$K$25:$K312)-SUMIF($C$25:$C312,$C312,$L$25:$L312),"")</f>
        <v>6061691.42</v>
      </c>
      <c r="N312" s="10"/>
      <c r="O312" s="10"/>
      <c r="P312" s="65"/>
      <c r="Q312" s="10"/>
      <c r="R312" s="10"/>
      <c r="S312" s="54">
        <f t="shared" si="12"/>
        <v>202602</v>
      </c>
      <c r="T312" s="54">
        <f t="shared" si="13"/>
        <v>202602</v>
      </c>
      <c r="U312" s="58" t="str">
        <f t="shared" si="14"/>
        <v/>
      </c>
      <c r="V312" s="58">
        <f>IF(AND($B312&lt;&gt;"",$F312&lt;&gt;"",$F312=项目明细账!$C$2),N(V311)+1,N(V311))</f>
        <v>0</v>
      </c>
      <c r="W312" s="63" t="str">
        <f>IF($H312&lt;&gt;"","项目成本",IFERROR(INDEX(基础资料!$W$4:$W$49,MATCH($I312,基础资料!$V$4:$V$49,0)),""))</f>
        <v>管理费用</v>
      </c>
      <c r="X312" s="63" t="str">
        <f>IFERROR(INDEX(基础资料!$R$4:$R$17,MATCH($G312,基础资料!$Q$4:$Q$17,0)),"")</f>
        <v/>
      </c>
    </row>
    <row r="313" spans="1:24">
      <c r="A313" s="58">
        <f>IF($B313="","",COUNTA($B$5:$B313))</f>
        <v>309</v>
      </c>
      <c r="B313" s="73">
        <v>46063</v>
      </c>
      <c r="C313" s="46" t="s">
        <v>99</v>
      </c>
      <c r="D313" s="63" t="str">
        <f>IFERROR(INDEX(基础资料!$F$4:$F$23,MATCH($C313,基础资料!$E$4:$E$23,0)),IF($C313="","","未匹配账户"))</f>
        <v>双思威</v>
      </c>
      <c r="E313" s="39" t="s">
        <v>488</v>
      </c>
      <c r="F313" s="10" t="s">
        <v>83</v>
      </c>
      <c r="G313" s="10"/>
      <c r="H313" s="10" t="s">
        <v>538</v>
      </c>
      <c r="I313" s="10"/>
      <c r="J313" s="70" t="s">
        <v>675</v>
      </c>
      <c r="K313" s="25"/>
      <c r="L313" s="25">
        <v>400</v>
      </c>
      <c r="M313" s="25">
        <f>IFERROR(VLOOKUP($C313,$C$5:$M$24,11,0)+SUMIF($C$25:$C313,$C313,$K$25:$K313)-SUMIF($C$25:$C313,$C313,$L$25:$L313),"")</f>
        <v>6061291.42</v>
      </c>
      <c r="N313" s="10"/>
      <c r="O313" s="10"/>
      <c r="P313" s="65"/>
      <c r="Q313" s="10"/>
      <c r="R313" s="10"/>
      <c r="S313" s="54">
        <f t="shared" si="12"/>
        <v>202602</v>
      </c>
      <c r="T313" s="54">
        <f t="shared" si="13"/>
        <v>202602</v>
      </c>
      <c r="U313" s="58" t="str">
        <f t="shared" si="14"/>
        <v/>
      </c>
      <c r="V313" s="58">
        <f>IF(AND($B313&lt;&gt;"",$F313&lt;&gt;"",$F313=项目明细账!$C$2),N(V312)+1,N(V312))</f>
        <v>0</v>
      </c>
      <c r="W313" s="63" t="str">
        <f>IF($H313&lt;&gt;"","项目成本",IFERROR(INDEX(基础资料!$W$4:$W$49,MATCH($I313,基础资料!$V$4:$V$49,0)),""))</f>
        <v>项目成本</v>
      </c>
      <c r="X313" s="63" t="str">
        <f>IFERROR(INDEX(基础资料!$R$4:$R$17,MATCH($G313,基础资料!$Q$4:$Q$17,0)),"")</f>
        <v/>
      </c>
    </row>
    <row r="314" spans="1:24">
      <c r="A314" s="58">
        <f>IF($B314="","",COUNTA($B$5:$B314))</f>
        <v>310</v>
      </c>
      <c r="B314" s="73">
        <v>46063</v>
      </c>
      <c r="C314" s="46" t="s">
        <v>99</v>
      </c>
      <c r="D314" s="63" t="str">
        <f>IFERROR(INDEX(基础资料!$F$4:$F$23,MATCH($C314,基础资料!$E$4:$E$23,0)),IF($C314="","","未匹配账户"))</f>
        <v>双思威</v>
      </c>
      <c r="E314" s="39" t="s">
        <v>488</v>
      </c>
      <c r="F314" s="10" t="s">
        <v>287</v>
      </c>
      <c r="G314" s="10"/>
      <c r="H314" s="10" t="s">
        <v>538</v>
      </c>
      <c r="I314" s="10"/>
      <c r="J314" s="70" t="s">
        <v>676</v>
      </c>
      <c r="K314" s="25"/>
      <c r="L314" s="25">
        <v>3000</v>
      </c>
      <c r="M314" s="25">
        <f>IFERROR(VLOOKUP($C314,$C$5:$M$24,11,0)+SUMIF($C$25:$C314,$C314,$K$25:$K314)-SUMIF($C$25:$C314,$C314,$L$25:$L314),"")</f>
        <v>6058291.42</v>
      </c>
      <c r="N314" s="10"/>
      <c r="O314" s="10"/>
      <c r="P314" s="65"/>
      <c r="Q314" s="10"/>
      <c r="R314" s="10"/>
      <c r="S314" s="54">
        <f t="shared" si="12"/>
        <v>202602</v>
      </c>
      <c r="T314" s="54">
        <f t="shared" si="13"/>
        <v>202602</v>
      </c>
      <c r="U314" s="58" t="str">
        <f t="shared" si="14"/>
        <v/>
      </c>
      <c r="V314" s="58">
        <f>IF(AND($B314&lt;&gt;"",$F314&lt;&gt;"",$F314=项目明细账!$C$2),N(V313)+1,N(V313))</f>
        <v>0</v>
      </c>
      <c r="W314" s="63" t="str">
        <f>IF($H314&lt;&gt;"","项目成本",IFERROR(INDEX(基础资料!$W$4:$W$49,MATCH($I314,基础资料!$V$4:$V$49,0)),""))</f>
        <v>项目成本</v>
      </c>
      <c r="X314" s="63" t="str">
        <f>IFERROR(INDEX(基础资料!$R$4:$R$17,MATCH($G314,基础资料!$Q$4:$Q$17,0)),"")</f>
        <v/>
      </c>
    </row>
    <row r="315" spans="1:24">
      <c r="A315" s="58">
        <f>IF($B315="","",COUNTA($B$5:$B315))</f>
        <v>311</v>
      </c>
      <c r="B315" s="73">
        <v>46063</v>
      </c>
      <c r="C315" s="46" t="s">
        <v>99</v>
      </c>
      <c r="D315" s="63" t="str">
        <f>IFERROR(INDEX(基础资料!$F$4:$F$23,MATCH($C315,基础资料!$E$4:$E$23,0)),IF($C315="","","未匹配账户"))</f>
        <v>双思威</v>
      </c>
      <c r="E315" s="39" t="s">
        <v>488</v>
      </c>
      <c r="F315" s="10" t="s">
        <v>319</v>
      </c>
      <c r="G315" s="10"/>
      <c r="H315" s="10" t="s">
        <v>530</v>
      </c>
      <c r="I315" s="10"/>
      <c r="J315" s="70" t="s">
        <v>677</v>
      </c>
      <c r="K315" s="25"/>
      <c r="L315" s="25">
        <v>339</v>
      </c>
      <c r="M315" s="25">
        <f>IFERROR(VLOOKUP($C315,$C$5:$M$24,11,0)+SUMIF($C$25:$C315,$C315,$K$25:$K315)-SUMIF($C$25:$C315,$C315,$L$25:$L315),"")</f>
        <v>6057952.42</v>
      </c>
      <c r="N315" s="10"/>
      <c r="O315" s="10"/>
      <c r="P315" s="65"/>
      <c r="Q315" s="10"/>
      <c r="R315" s="10"/>
      <c r="S315" s="54">
        <f t="shared" si="12"/>
        <v>202602</v>
      </c>
      <c r="T315" s="54">
        <f t="shared" si="13"/>
        <v>202602</v>
      </c>
      <c r="U315" s="58" t="str">
        <f t="shared" si="14"/>
        <v/>
      </c>
      <c r="V315" s="58">
        <f>IF(AND($B315&lt;&gt;"",$F315&lt;&gt;"",$F315=项目明细账!$C$2),N(V314)+1,N(V314))</f>
        <v>0</v>
      </c>
      <c r="W315" s="63" t="str">
        <f>IF($H315&lt;&gt;"","项目成本",IFERROR(INDEX(基础资料!$W$4:$W$49,MATCH($I315,基础资料!$V$4:$V$49,0)),""))</f>
        <v>项目成本</v>
      </c>
      <c r="X315" s="63" t="str">
        <f>IFERROR(INDEX(基础资料!$R$4:$R$17,MATCH($G315,基础资料!$Q$4:$Q$17,0)),"")</f>
        <v/>
      </c>
    </row>
    <row r="316" spans="1:24">
      <c r="A316" s="58">
        <f>IF($B316="","",COUNTA($B$5:$B316))</f>
        <v>312</v>
      </c>
      <c r="B316" s="73">
        <v>46063</v>
      </c>
      <c r="C316" s="46" t="s">
        <v>99</v>
      </c>
      <c r="D316" s="63" t="str">
        <f>IFERROR(INDEX(基础资料!$F$4:$F$23,MATCH($C316,基础资料!$E$4:$E$23,0)),IF($C316="","","未匹配账户"))</f>
        <v>双思威</v>
      </c>
      <c r="E316" s="39" t="s">
        <v>488</v>
      </c>
      <c r="F316" s="10" t="s">
        <v>287</v>
      </c>
      <c r="G316" s="10"/>
      <c r="H316" s="10" t="s">
        <v>530</v>
      </c>
      <c r="I316" s="10"/>
      <c r="J316" s="71" t="s">
        <v>677</v>
      </c>
      <c r="K316" s="25"/>
      <c r="L316" s="25">
        <v>5231.5</v>
      </c>
      <c r="M316" s="25">
        <f>IFERROR(VLOOKUP($C316,$C$5:$M$24,11,0)+SUMIF($C$25:$C316,$C316,$K$25:$K316)-SUMIF($C$25:$C316,$C316,$L$25:$L316),"")</f>
        <v>6052720.92</v>
      </c>
      <c r="N316" s="10"/>
      <c r="O316" s="10"/>
      <c r="P316" s="65"/>
      <c r="Q316" s="10"/>
      <c r="R316" s="10"/>
      <c r="S316" s="54">
        <f t="shared" si="12"/>
        <v>202602</v>
      </c>
      <c r="T316" s="54">
        <f t="shared" si="13"/>
        <v>202602</v>
      </c>
      <c r="U316" s="58" t="str">
        <f t="shared" si="14"/>
        <v/>
      </c>
      <c r="V316" s="58">
        <f>IF(AND($B316&lt;&gt;"",$F316&lt;&gt;"",$F316=项目明细账!$C$2),N(V315)+1,N(V315))</f>
        <v>0</v>
      </c>
      <c r="W316" s="63" t="str">
        <f>IF($H316&lt;&gt;"","项目成本",IFERROR(INDEX(基础资料!$W$4:$W$49,MATCH($I316,基础资料!$V$4:$V$49,0)),""))</f>
        <v>项目成本</v>
      </c>
      <c r="X316" s="63" t="str">
        <f>IFERROR(INDEX(基础资料!$R$4:$R$17,MATCH($G316,基础资料!$Q$4:$Q$17,0)),"")</f>
        <v/>
      </c>
    </row>
    <row r="317" spans="1:24">
      <c r="A317" s="58">
        <f>IF($B317="","",COUNTA($B$5:$B317))</f>
        <v>313</v>
      </c>
      <c r="B317" s="73">
        <v>46063</v>
      </c>
      <c r="C317" s="46" t="s">
        <v>99</v>
      </c>
      <c r="D317" s="63" t="str">
        <f>IFERROR(INDEX(基础资料!$F$4:$F$23,MATCH($C317,基础资料!$E$4:$E$23,0)),IF($C317="","","未匹配账户"))</f>
        <v>双思威</v>
      </c>
      <c r="E317" s="39" t="s">
        <v>488</v>
      </c>
      <c r="F317" s="10" t="s">
        <v>83</v>
      </c>
      <c r="G317" s="10"/>
      <c r="H317" s="10" t="s">
        <v>530</v>
      </c>
      <c r="I317" s="10"/>
      <c r="J317" s="71" t="s">
        <v>677</v>
      </c>
      <c r="K317" s="25"/>
      <c r="L317" s="25">
        <v>1926</v>
      </c>
      <c r="M317" s="25">
        <f>IFERROR(VLOOKUP($C317,$C$5:$M$24,11,0)+SUMIF($C$25:$C317,$C317,$K$25:$K317)-SUMIF($C$25:$C317,$C317,$L$25:$L317),"")</f>
        <v>6050794.92</v>
      </c>
      <c r="N317" s="10"/>
      <c r="O317" s="10"/>
      <c r="P317" s="65"/>
      <c r="Q317" s="10"/>
      <c r="R317" s="10"/>
      <c r="S317" s="54">
        <f t="shared" si="12"/>
        <v>202602</v>
      </c>
      <c r="T317" s="54">
        <f t="shared" si="13"/>
        <v>202602</v>
      </c>
      <c r="U317" s="58" t="str">
        <f t="shared" si="14"/>
        <v/>
      </c>
      <c r="V317" s="58">
        <f>IF(AND($B317&lt;&gt;"",$F317&lt;&gt;"",$F317=项目明细账!$C$2),N(V316)+1,N(V316))</f>
        <v>0</v>
      </c>
      <c r="W317" s="63" t="str">
        <f>IF($H317&lt;&gt;"","项目成本",IFERROR(INDEX(基础资料!$W$4:$W$49,MATCH($I317,基础资料!$V$4:$V$49,0)),""))</f>
        <v>项目成本</v>
      </c>
      <c r="X317" s="63" t="str">
        <f>IFERROR(INDEX(基础资料!$R$4:$R$17,MATCH($G317,基础资料!$Q$4:$Q$17,0)),"")</f>
        <v/>
      </c>
    </row>
    <row r="318" spans="1:24">
      <c r="A318" s="58">
        <f>IF($B318="","",COUNTA($B$5:$B318))</f>
        <v>314</v>
      </c>
      <c r="B318" s="73">
        <v>46063</v>
      </c>
      <c r="C318" s="46" t="s">
        <v>99</v>
      </c>
      <c r="D318" s="63" t="str">
        <f>IFERROR(INDEX(基础资料!$F$4:$F$23,MATCH($C318,基础资料!$E$4:$E$23,0)),IF($C318="","","未匹配账户"))</f>
        <v>双思威</v>
      </c>
      <c r="E318" s="39" t="s">
        <v>488</v>
      </c>
      <c r="F318" s="10" t="s">
        <v>319</v>
      </c>
      <c r="G318" s="10"/>
      <c r="H318" s="10" t="s">
        <v>530</v>
      </c>
      <c r="I318" s="10"/>
      <c r="J318" s="71" t="s">
        <v>677</v>
      </c>
      <c r="K318" s="25"/>
      <c r="L318" s="25">
        <v>468</v>
      </c>
      <c r="M318" s="25">
        <f>IFERROR(VLOOKUP($C318,$C$5:$M$24,11,0)+SUMIF($C$25:$C318,$C318,$K$25:$K318)-SUMIF($C$25:$C318,$C318,$L$25:$L318),"")</f>
        <v>6050326.92</v>
      </c>
      <c r="N318" s="10"/>
      <c r="O318" s="10"/>
      <c r="P318" s="65"/>
      <c r="Q318" s="10"/>
      <c r="R318" s="10"/>
      <c r="S318" s="54">
        <f t="shared" si="12"/>
        <v>202602</v>
      </c>
      <c r="T318" s="54">
        <f t="shared" si="13"/>
        <v>202602</v>
      </c>
      <c r="U318" s="58" t="str">
        <f t="shared" si="14"/>
        <v/>
      </c>
      <c r="V318" s="58">
        <f>IF(AND($B318&lt;&gt;"",$F318&lt;&gt;"",$F318=项目明细账!$C$2),N(V317)+1,N(V317))</f>
        <v>0</v>
      </c>
      <c r="W318" s="63" t="str">
        <f>IF($H318&lt;&gt;"","项目成本",IFERROR(INDEX(基础资料!$W$4:$W$49,MATCH($I318,基础资料!$V$4:$V$49,0)),""))</f>
        <v>项目成本</v>
      </c>
      <c r="X318" s="63" t="str">
        <f>IFERROR(INDEX(基础资料!$R$4:$R$17,MATCH($G318,基础资料!$Q$4:$Q$17,0)),"")</f>
        <v/>
      </c>
    </row>
    <row r="319" spans="1:24">
      <c r="A319" s="58">
        <f>IF($B319="","",COUNTA($B$5:$B319))</f>
        <v>315</v>
      </c>
      <c r="B319" s="73">
        <v>46063</v>
      </c>
      <c r="C319" s="46" t="s">
        <v>99</v>
      </c>
      <c r="D319" s="63" t="str">
        <f>IFERROR(INDEX(基础资料!$F$4:$F$23,MATCH($C319,基础资料!$E$4:$E$23,0)),IF($C319="","","未匹配账户"))</f>
        <v>双思威</v>
      </c>
      <c r="E319" s="39" t="s">
        <v>488</v>
      </c>
      <c r="F319" s="10" t="s">
        <v>319</v>
      </c>
      <c r="G319" s="10"/>
      <c r="H319" s="10" t="s">
        <v>530</v>
      </c>
      <c r="I319" s="10"/>
      <c r="J319" s="71" t="s">
        <v>677</v>
      </c>
      <c r="K319" s="25"/>
      <c r="L319" s="25">
        <v>1334</v>
      </c>
      <c r="M319" s="25">
        <f>IFERROR(VLOOKUP($C319,$C$5:$M$24,11,0)+SUMIF($C$25:$C319,$C319,$K$25:$K319)-SUMIF($C$25:$C319,$C319,$L$25:$L319),"")</f>
        <v>6048992.92</v>
      </c>
      <c r="N319" s="10"/>
      <c r="O319" s="10"/>
      <c r="P319" s="65"/>
      <c r="Q319" s="10"/>
      <c r="R319" s="10"/>
      <c r="S319" s="54">
        <f t="shared" si="12"/>
        <v>202602</v>
      </c>
      <c r="T319" s="54">
        <f t="shared" si="13"/>
        <v>202602</v>
      </c>
      <c r="U319" s="58" t="str">
        <f t="shared" si="14"/>
        <v/>
      </c>
      <c r="V319" s="58">
        <f>IF(AND($B319&lt;&gt;"",$F319&lt;&gt;"",$F319=项目明细账!$C$2),N(V318)+1,N(V318))</f>
        <v>0</v>
      </c>
      <c r="W319" s="63" t="str">
        <f>IF($H319&lt;&gt;"","项目成本",IFERROR(INDEX(基础资料!$W$4:$W$49,MATCH($I319,基础资料!$V$4:$V$49,0)),""))</f>
        <v>项目成本</v>
      </c>
      <c r="X319" s="63" t="str">
        <f>IFERROR(INDEX(基础资料!$R$4:$R$17,MATCH($G319,基础资料!$Q$4:$Q$17,0)),"")</f>
        <v/>
      </c>
    </row>
    <row r="320" spans="1:24">
      <c r="A320" s="58">
        <f>IF($B320="","",COUNTA($B$5:$B320))</f>
        <v>316</v>
      </c>
      <c r="B320" s="73">
        <v>46063</v>
      </c>
      <c r="C320" s="46" t="s">
        <v>99</v>
      </c>
      <c r="D320" s="63" t="str">
        <f>IFERROR(INDEX(基础资料!$F$4:$F$23,MATCH($C320,基础资料!$E$4:$E$23,0)),IF($C320="","","未匹配账户"))</f>
        <v>双思威</v>
      </c>
      <c r="E320" s="39" t="s">
        <v>488</v>
      </c>
      <c r="F320" s="10" t="s">
        <v>323</v>
      </c>
      <c r="G320" s="10"/>
      <c r="H320" s="10" t="s">
        <v>538</v>
      </c>
      <c r="I320" s="10"/>
      <c r="J320" s="70" t="s">
        <v>678</v>
      </c>
      <c r="K320" s="25"/>
      <c r="L320" s="25">
        <v>232800</v>
      </c>
      <c r="M320" s="25">
        <f>IFERROR(VLOOKUP($C320,$C$5:$M$24,11,0)+SUMIF($C$25:$C320,$C320,$K$25:$K320)-SUMIF($C$25:$C320,$C320,$L$25:$L320),"")</f>
        <v>5816192.92</v>
      </c>
      <c r="N320" s="10"/>
      <c r="O320" s="10"/>
      <c r="P320" s="65"/>
      <c r="Q320" s="10"/>
      <c r="R320" s="10"/>
      <c r="S320" s="54">
        <f t="shared" si="12"/>
        <v>202602</v>
      </c>
      <c r="T320" s="54">
        <f t="shared" si="13"/>
        <v>202602</v>
      </c>
      <c r="U320" s="58" t="str">
        <f t="shared" si="14"/>
        <v/>
      </c>
      <c r="V320" s="58">
        <f>IF(AND($B320&lt;&gt;"",$F320&lt;&gt;"",$F320=项目明细账!$C$2),N(V319)+1,N(V319))</f>
        <v>0</v>
      </c>
      <c r="W320" s="63" t="str">
        <f>IF($H320&lt;&gt;"","项目成本",IFERROR(INDEX(基础资料!$W$4:$W$49,MATCH($I320,基础资料!$V$4:$V$49,0)),""))</f>
        <v>项目成本</v>
      </c>
      <c r="X320" s="63" t="str">
        <f>IFERROR(INDEX(基础资料!$R$4:$R$17,MATCH($G320,基础资料!$Q$4:$Q$17,0)),"")</f>
        <v/>
      </c>
    </row>
    <row r="321" spans="1:24">
      <c r="A321" s="58">
        <f>IF($B321="","",COUNTA($B$5:$B321))</f>
        <v>317</v>
      </c>
      <c r="B321" s="73">
        <v>46063</v>
      </c>
      <c r="C321" s="46" t="s">
        <v>99</v>
      </c>
      <c r="D321" s="63" t="str">
        <f>IFERROR(INDEX(基础资料!$F$4:$F$23,MATCH($C321,基础资料!$E$4:$E$23,0)),IF($C321="","","未匹配账户"))</f>
        <v>双思威</v>
      </c>
      <c r="E321" s="39" t="s">
        <v>488</v>
      </c>
      <c r="F321" s="10"/>
      <c r="G321" s="10"/>
      <c r="H321" s="10"/>
      <c r="I321" s="10" t="s">
        <v>234</v>
      </c>
      <c r="J321" s="70" t="s">
        <v>679</v>
      </c>
      <c r="K321" s="25"/>
      <c r="L321" s="25">
        <v>1268</v>
      </c>
      <c r="M321" s="25">
        <f>IFERROR(VLOOKUP($C321,$C$5:$M$24,11,0)+SUMIF($C$25:$C321,$C321,$K$25:$K321)-SUMIF($C$25:$C321,$C321,$L$25:$L321),"")</f>
        <v>5814924.92</v>
      </c>
      <c r="N321" s="10"/>
      <c r="O321" s="10"/>
      <c r="P321" s="65"/>
      <c r="Q321" s="10"/>
      <c r="R321" s="10"/>
      <c r="S321" s="54">
        <f t="shared" si="12"/>
        <v>202602</v>
      </c>
      <c r="T321" s="54">
        <f t="shared" si="13"/>
        <v>202602</v>
      </c>
      <c r="U321" s="58" t="str">
        <f t="shared" si="14"/>
        <v/>
      </c>
      <c r="V321" s="58">
        <f>IF(AND($B321&lt;&gt;"",$F321&lt;&gt;"",$F321=项目明细账!$C$2),N(V320)+1,N(V320))</f>
        <v>0</v>
      </c>
      <c r="W321" s="63" t="str">
        <f>IF($H321&lt;&gt;"","项目成本",IFERROR(INDEX(基础资料!$W$4:$W$49,MATCH($I321,基础资料!$V$4:$V$49,0)),""))</f>
        <v>管理费用</v>
      </c>
      <c r="X321" s="63" t="str">
        <f>IFERROR(INDEX(基础资料!$R$4:$R$17,MATCH($G321,基础资料!$Q$4:$Q$17,0)),"")</f>
        <v/>
      </c>
    </row>
    <row r="322" spans="1:24">
      <c r="A322" s="58">
        <f>IF($B322="","",COUNTA($B$5:$B322))</f>
        <v>318</v>
      </c>
      <c r="B322" s="73">
        <v>46063</v>
      </c>
      <c r="C322" s="46" t="s">
        <v>99</v>
      </c>
      <c r="D322" s="63" t="str">
        <f>IFERROR(INDEX(基础资料!$F$4:$F$23,MATCH($C322,基础资料!$E$4:$E$23,0)),IF($C322="","","未匹配账户"))</f>
        <v>双思威</v>
      </c>
      <c r="E322" s="39" t="s">
        <v>488</v>
      </c>
      <c r="F322" s="10" t="s">
        <v>310</v>
      </c>
      <c r="G322" s="10"/>
      <c r="H322" s="10" t="s">
        <v>538</v>
      </c>
      <c r="I322" s="10"/>
      <c r="J322" s="69" t="s">
        <v>680</v>
      </c>
      <c r="K322" s="25"/>
      <c r="L322" s="25">
        <v>1030</v>
      </c>
      <c r="M322" s="25">
        <f>IFERROR(VLOOKUP($C322,$C$5:$M$24,11,0)+SUMIF($C$25:$C322,$C322,$K$25:$K322)-SUMIF($C$25:$C322,$C322,$L$25:$L322),"")</f>
        <v>5813894.92</v>
      </c>
      <c r="N322" s="10"/>
      <c r="O322" s="10"/>
      <c r="P322" s="65"/>
      <c r="Q322" s="10"/>
      <c r="R322" s="10"/>
      <c r="S322" s="54">
        <f t="shared" si="12"/>
        <v>202602</v>
      </c>
      <c r="T322" s="54">
        <f t="shared" si="13"/>
        <v>202602</v>
      </c>
      <c r="U322" s="58" t="str">
        <f t="shared" si="14"/>
        <v/>
      </c>
      <c r="V322" s="58">
        <f>IF(AND($B322&lt;&gt;"",$F322&lt;&gt;"",$F322=项目明细账!$C$2),N(V321)+1,N(V321))</f>
        <v>0</v>
      </c>
      <c r="W322" s="63" t="str">
        <f>IF($H322&lt;&gt;"","项目成本",IFERROR(INDEX(基础资料!$W$4:$W$49,MATCH($I322,基础资料!$V$4:$V$49,0)),""))</f>
        <v>项目成本</v>
      </c>
      <c r="X322" s="63" t="str">
        <f>IFERROR(INDEX(基础资料!$R$4:$R$17,MATCH($G322,基础资料!$Q$4:$Q$17,0)),"")</f>
        <v/>
      </c>
    </row>
    <row r="323" spans="1:24">
      <c r="A323" s="58">
        <f>IF($B323="","",COUNTA($B$5:$B323))</f>
        <v>319</v>
      </c>
      <c r="B323" s="73">
        <v>46063</v>
      </c>
      <c r="C323" s="46" t="s">
        <v>99</v>
      </c>
      <c r="D323" s="63" t="str">
        <f>IFERROR(INDEX(基础资料!$F$4:$F$23,MATCH($C323,基础资料!$E$4:$E$23,0)),IF($C323="","","未匹配账户"))</f>
        <v>双思威</v>
      </c>
      <c r="E323" s="39" t="s">
        <v>488</v>
      </c>
      <c r="F323" s="10" t="s">
        <v>310</v>
      </c>
      <c r="G323" s="10"/>
      <c r="H323" s="10" t="s">
        <v>538</v>
      </c>
      <c r="I323" s="10"/>
      <c r="J323" s="70" t="s">
        <v>681</v>
      </c>
      <c r="K323" s="25"/>
      <c r="L323" s="25">
        <v>2325</v>
      </c>
      <c r="M323" s="25">
        <f>IFERROR(VLOOKUP($C323,$C$5:$M$24,11,0)+SUMIF($C$25:$C323,$C323,$K$25:$K323)-SUMIF($C$25:$C323,$C323,$L$25:$L323),"")</f>
        <v>5811569.92</v>
      </c>
      <c r="N323" s="10"/>
      <c r="O323" s="10"/>
      <c r="P323" s="65"/>
      <c r="Q323" s="10"/>
      <c r="R323" s="10"/>
      <c r="S323" s="54">
        <f t="shared" si="12"/>
        <v>202602</v>
      </c>
      <c r="T323" s="54">
        <f t="shared" si="13"/>
        <v>202602</v>
      </c>
      <c r="U323" s="58" t="str">
        <f t="shared" si="14"/>
        <v/>
      </c>
      <c r="V323" s="58">
        <f>IF(AND($B323&lt;&gt;"",$F323&lt;&gt;"",$F323=项目明细账!$C$2),N(V322)+1,N(V322))</f>
        <v>0</v>
      </c>
      <c r="W323" s="63" t="str">
        <f>IF($H323&lt;&gt;"","项目成本",IFERROR(INDEX(基础资料!$W$4:$W$49,MATCH($I323,基础资料!$V$4:$V$49,0)),""))</f>
        <v>项目成本</v>
      </c>
      <c r="X323" s="63" t="str">
        <f>IFERROR(INDEX(基础资料!$R$4:$R$17,MATCH($G323,基础资料!$Q$4:$Q$17,0)),"")</f>
        <v/>
      </c>
    </row>
    <row r="324" spans="1:24">
      <c r="A324" s="58">
        <f>IF($B324="","",COUNTA($B$5:$B324))</f>
        <v>320</v>
      </c>
      <c r="B324" s="73">
        <v>46064</v>
      </c>
      <c r="C324" s="46" t="s">
        <v>99</v>
      </c>
      <c r="D324" s="63" t="str">
        <f>IFERROR(INDEX(基础资料!$F$4:$F$23,MATCH($C324,基础资料!$E$4:$E$23,0)),IF($C324="","","未匹配账户"))</f>
        <v>双思威</v>
      </c>
      <c r="E324" s="39" t="s">
        <v>488</v>
      </c>
      <c r="F324" s="10" t="s">
        <v>310</v>
      </c>
      <c r="G324" s="10"/>
      <c r="H324" s="10" t="s">
        <v>538</v>
      </c>
      <c r="I324" s="10"/>
      <c r="J324" s="69" t="s">
        <v>682</v>
      </c>
      <c r="K324" s="25"/>
      <c r="L324" s="25">
        <v>3900</v>
      </c>
      <c r="M324" s="25">
        <f>IFERROR(VLOOKUP($C324,$C$5:$M$24,11,0)+SUMIF($C$25:$C324,$C324,$K$25:$K324)-SUMIF($C$25:$C324,$C324,$L$25:$L324),"")</f>
        <v>5807669.92</v>
      </c>
      <c r="N324" s="10"/>
      <c r="O324" s="10"/>
      <c r="P324" s="65"/>
      <c r="Q324" s="10"/>
      <c r="R324" s="10"/>
      <c r="S324" s="54">
        <f t="shared" si="12"/>
        <v>202602</v>
      </c>
      <c r="T324" s="54">
        <f t="shared" si="13"/>
        <v>202602</v>
      </c>
      <c r="U324" s="58" t="str">
        <f t="shared" si="14"/>
        <v/>
      </c>
      <c r="V324" s="58">
        <f>IF(AND($B324&lt;&gt;"",$F324&lt;&gt;"",$F324=项目明细账!$C$2),N(V323)+1,N(V323))</f>
        <v>0</v>
      </c>
      <c r="W324" s="63" t="str">
        <f>IF($H324&lt;&gt;"","项目成本",IFERROR(INDEX(基础资料!$W$4:$W$49,MATCH($I324,基础资料!$V$4:$V$49,0)),""))</f>
        <v>项目成本</v>
      </c>
      <c r="X324" s="63" t="str">
        <f>IFERROR(INDEX(基础资料!$R$4:$R$17,MATCH($G324,基础资料!$Q$4:$Q$17,0)),"")</f>
        <v/>
      </c>
    </row>
    <row r="325" spans="1:24">
      <c r="A325" s="58">
        <f>IF($B325="","",COUNTA($B$5:$B325))</f>
        <v>321</v>
      </c>
      <c r="B325" s="73">
        <v>46064</v>
      </c>
      <c r="C325" s="46" t="s">
        <v>99</v>
      </c>
      <c r="D325" s="63" t="str">
        <f>IFERROR(INDEX(基础资料!$F$4:$F$23,MATCH($C325,基础资料!$E$4:$E$23,0)),IF($C325="","","未匹配账户"))</f>
        <v>双思威</v>
      </c>
      <c r="E325" s="39" t="s">
        <v>488</v>
      </c>
      <c r="F325" s="10" t="s">
        <v>291</v>
      </c>
      <c r="G325" s="10"/>
      <c r="H325" s="10" t="s">
        <v>538</v>
      </c>
      <c r="I325" s="10"/>
      <c r="J325" s="69" t="s">
        <v>683</v>
      </c>
      <c r="K325" s="25"/>
      <c r="L325" s="25">
        <v>1500</v>
      </c>
      <c r="M325" s="25">
        <f>IFERROR(VLOOKUP($C325,$C$5:$M$24,11,0)+SUMIF($C$25:$C325,$C325,$K$25:$K325)-SUMIF($C$25:$C325,$C325,$L$25:$L325),"")</f>
        <v>5806169.92</v>
      </c>
      <c r="N325" s="10"/>
      <c r="O325" s="10"/>
      <c r="P325" s="65"/>
      <c r="Q325" s="10"/>
      <c r="R325" s="10"/>
      <c r="S325" s="54">
        <f t="shared" si="12"/>
        <v>202602</v>
      </c>
      <c r="T325" s="54">
        <f t="shared" si="13"/>
        <v>202602</v>
      </c>
      <c r="U325" s="58" t="str">
        <f t="shared" si="14"/>
        <v/>
      </c>
      <c r="V325" s="58">
        <f>IF(AND($B325&lt;&gt;"",$F325&lt;&gt;"",$F325=项目明细账!$C$2),N(V324)+1,N(V324))</f>
        <v>0</v>
      </c>
      <c r="W325" s="63" t="str">
        <f>IF($H325&lt;&gt;"","项目成本",IFERROR(INDEX(基础资料!$W$4:$W$49,MATCH($I325,基础资料!$V$4:$V$49,0)),""))</f>
        <v>项目成本</v>
      </c>
      <c r="X325" s="63" t="str">
        <f>IFERROR(INDEX(基础资料!$R$4:$R$17,MATCH($G325,基础资料!$Q$4:$Q$17,0)),"")</f>
        <v/>
      </c>
    </row>
    <row r="326" spans="1:24">
      <c r="A326" s="58">
        <f>IF($B326="","",COUNTA($B$5:$B326))</f>
        <v>322</v>
      </c>
      <c r="B326" s="73">
        <v>46064</v>
      </c>
      <c r="C326" s="46" t="s">
        <v>99</v>
      </c>
      <c r="D326" s="63" t="str">
        <f>IFERROR(INDEX(基础资料!$F$4:$F$23,MATCH($C326,基础资料!$E$4:$E$23,0)),IF($C326="","","未匹配账户"))</f>
        <v>双思威</v>
      </c>
      <c r="E326" s="39" t="s">
        <v>488</v>
      </c>
      <c r="F326" s="10" t="s">
        <v>212</v>
      </c>
      <c r="G326" s="10"/>
      <c r="H326" s="10" t="s">
        <v>538</v>
      </c>
      <c r="I326" s="10"/>
      <c r="J326" s="69" t="s">
        <v>683</v>
      </c>
      <c r="K326" s="25"/>
      <c r="L326" s="25">
        <v>2000</v>
      </c>
      <c r="M326" s="25">
        <f>IFERROR(VLOOKUP($C326,$C$5:$M$24,11,0)+SUMIF($C$25:$C326,$C326,$K$25:$K326)-SUMIF($C$25:$C326,$C326,$L$25:$L326),"")</f>
        <v>5804169.92</v>
      </c>
      <c r="N326" s="10"/>
      <c r="O326" s="10"/>
      <c r="P326" s="65"/>
      <c r="Q326" s="10"/>
      <c r="R326" s="10"/>
      <c r="S326" s="54">
        <f t="shared" ref="S326:S389" si="15">IF($B326="","",--TEXT($B326,"yyyymm"))</f>
        <v>202602</v>
      </c>
      <c r="T326" s="54">
        <f t="shared" ref="T326:T389" si="16">IF($B326="","",IF($P326="",$S326,IFERROR($P326*1,$P326)))</f>
        <v>202602</v>
      </c>
      <c r="U326" s="58" t="str">
        <f t="shared" ref="U326:U389" si="17">IF($B326="","",IF($T326=$S326,"","跨期"))</f>
        <v/>
      </c>
      <c r="V326" s="58">
        <f>IF(AND($B326&lt;&gt;"",$F326&lt;&gt;"",$F326=项目明细账!$C$2),N(V325)+1,N(V325))</f>
        <v>0</v>
      </c>
      <c r="W326" s="63" t="str">
        <f>IF($H326&lt;&gt;"","项目成本",IFERROR(INDEX(基础资料!$W$4:$W$49,MATCH($I326,基础资料!$V$4:$V$49,0)),""))</f>
        <v>项目成本</v>
      </c>
      <c r="X326" s="63" t="str">
        <f>IFERROR(INDEX(基础资料!$R$4:$R$17,MATCH($G326,基础资料!$Q$4:$Q$17,0)),"")</f>
        <v/>
      </c>
    </row>
    <row r="327" spans="1:24">
      <c r="A327" s="58">
        <f>IF($B327="","",COUNTA($B$5:$B327))</f>
        <v>323</v>
      </c>
      <c r="B327" s="73">
        <v>46064</v>
      </c>
      <c r="C327" s="46" t="s">
        <v>99</v>
      </c>
      <c r="D327" s="63" t="str">
        <f>IFERROR(INDEX(基础资料!$F$4:$F$23,MATCH($C327,基础资料!$E$4:$E$23,0)),IF($C327="","","未匹配账户"))</f>
        <v>双思威</v>
      </c>
      <c r="E327" s="39" t="s">
        <v>488</v>
      </c>
      <c r="F327" s="10"/>
      <c r="G327" s="10"/>
      <c r="H327" s="10"/>
      <c r="I327" s="10" t="s">
        <v>234</v>
      </c>
      <c r="J327" s="69" t="s">
        <v>586</v>
      </c>
      <c r="K327" s="25"/>
      <c r="L327" s="25">
        <v>4447</v>
      </c>
      <c r="M327" s="25">
        <f>IFERROR(VLOOKUP($C327,$C$5:$M$24,11,0)+SUMIF($C$25:$C327,$C327,$K$25:$K327)-SUMIF($C$25:$C327,$C327,$L$25:$L327),"")</f>
        <v>5799722.92</v>
      </c>
      <c r="N327" s="10"/>
      <c r="O327" s="10"/>
      <c r="P327" s="65"/>
      <c r="Q327" s="10"/>
      <c r="R327" s="10"/>
      <c r="S327" s="54">
        <f t="shared" si="15"/>
        <v>202602</v>
      </c>
      <c r="T327" s="54">
        <f t="shared" si="16"/>
        <v>202602</v>
      </c>
      <c r="U327" s="58" t="str">
        <f t="shared" si="17"/>
        <v/>
      </c>
      <c r="V327" s="58">
        <f>IF(AND($B327&lt;&gt;"",$F327&lt;&gt;"",$F327=项目明细账!$C$2),N(V326)+1,N(V326))</f>
        <v>0</v>
      </c>
      <c r="W327" s="63" t="str">
        <f>IF($H327&lt;&gt;"","项目成本",IFERROR(INDEX(基础资料!$W$4:$W$49,MATCH($I327,基础资料!$V$4:$V$49,0)),""))</f>
        <v>管理费用</v>
      </c>
      <c r="X327" s="63" t="str">
        <f>IFERROR(INDEX(基础资料!$R$4:$R$17,MATCH($G327,基础资料!$Q$4:$Q$17,0)),"")</f>
        <v/>
      </c>
    </row>
    <row r="328" spans="1:24">
      <c r="A328" s="58">
        <f>IF($B328="","",COUNTA($B$5:$B328))</f>
        <v>324</v>
      </c>
      <c r="B328" s="73">
        <v>46064</v>
      </c>
      <c r="C328" s="46" t="s">
        <v>99</v>
      </c>
      <c r="D328" s="63" t="str">
        <f>IFERROR(INDEX(基础资料!$F$4:$F$23,MATCH($C328,基础资料!$E$4:$E$23,0)),IF($C328="","","未匹配账户"))</f>
        <v>双思威</v>
      </c>
      <c r="E328" s="39" t="s">
        <v>488</v>
      </c>
      <c r="F328" s="10"/>
      <c r="G328" s="10"/>
      <c r="H328" s="10"/>
      <c r="I328" s="10" t="s">
        <v>234</v>
      </c>
      <c r="J328" s="69" t="s">
        <v>586</v>
      </c>
      <c r="K328" s="25"/>
      <c r="L328" s="25">
        <v>6542</v>
      </c>
      <c r="M328" s="25">
        <f>IFERROR(VLOOKUP($C328,$C$5:$M$24,11,0)+SUMIF($C$25:$C328,$C328,$K$25:$K328)-SUMIF($C$25:$C328,$C328,$L$25:$L328),"")</f>
        <v>5793180.92</v>
      </c>
      <c r="N328" s="10"/>
      <c r="O328" s="10"/>
      <c r="P328" s="65"/>
      <c r="Q328" s="10"/>
      <c r="R328" s="10"/>
      <c r="S328" s="54">
        <f t="shared" si="15"/>
        <v>202602</v>
      </c>
      <c r="T328" s="54">
        <f t="shared" si="16"/>
        <v>202602</v>
      </c>
      <c r="U328" s="58" t="str">
        <f t="shared" si="17"/>
        <v/>
      </c>
      <c r="V328" s="58">
        <f>IF(AND($B328&lt;&gt;"",$F328&lt;&gt;"",$F328=项目明细账!$C$2),N(V327)+1,N(V327))</f>
        <v>0</v>
      </c>
      <c r="W328" s="63" t="str">
        <f>IF($H328&lt;&gt;"","项目成本",IFERROR(INDEX(基础资料!$W$4:$W$49,MATCH($I328,基础资料!$V$4:$V$49,0)),""))</f>
        <v>管理费用</v>
      </c>
      <c r="X328" s="63" t="str">
        <f>IFERROR(INDEX(基础资料!$R$4:$R$17,MATCH($G328,基础资料!$Q$4:$Q$17,0)),"")</f>
        <v/>
      </c>
    </row>
    <row r="329" spans="1:24">
      <c r="A329" s="58">
        <f>IF($B329="","",COUNTA($B$5:$B329))</f>
        <v>325</v>
      </c>
      <c r="B329" s="73">
        <v>46064</v>
      </c>
      <c r="C329" s="46" t="s">
        <v>99</v>
      </c>
      <c r="D329" s="63" t="str">
        <f>IFERROR(INDEX(基础资料!$F$4:$F$23,MATCH($C329,基础资料!$E$4:$E$23,0)),IF($C329="","","未匹配账户"))</f>
        <v>双思威</v>
      </c>
      <c r="E329" s="39" t="s">
        <v>488</v>
      </c>
      <c r="F329" s="10" t="s">
        <v>83</v>
      </c>
      <c r="G329" s="10"/>
      <c r="H329" s="10"/>
      <c r="I329" s="10"/>
      <c r="J329" s="69" t="s">
        <v>587</v>
      </c>
      <c r="K329" s="25"/>
      <c r="L329" s="25">
        <v>800</v>
      </c>
      <c r="M329" s="25">
        <f>IFERROR(VLOOKUP($C329,$C$5:$M$24,11,0)+SUMIF($C$25:$C329,$C329,$K$25:$K329)-SUMIF($C$25:$C329,$C329,$L$25:$L329),"")</f>
        <v>5792380.92</v>
      </c>
      <c r="N329" s="10"/>
      <c r="O329" s="10"/>
      <c r="P329" s="65"/>
      <c r="Q329" s="10"/>
      <c r="R329" s="10"/>
      <c r="S329" s="54">
        <f t="shared" si="15"/>
        <v>202602</v>
      </c>
      <c r="T329" s="54">
        <f t="shared" si="16"/>
        <v>202602</v>
      </c>
      <c r="U329" s="58" t="str">
        <f t="shared" si="17"/>
        <v/>
      </c>
      <c r="V329" s="58">
        <f>IF(AND($B329&lt;&gt;"",$F329&lt;&gt;"",$F329=项目明细账!$C$2),N(V328)+1,N(V328))</f>
        <v>0</v>
      </c>
      <c r="W329" s="63" t="str">
        <f>IF($H329&lt;&gt;"","项目成本",IFERROR(INDEX(基础资料!$W$4:$W$49,MATCH($I329,基础资料!$V$4:$V$49,0)),""))</f>
        <v/>
      </c>
      <c r="X329" s="63" t="str">
        <f>IFERROR(INDEX(基础资料!$R$4:$R$17,MATCH($G329,基础资料!$Q$4:$Q$17,0)),"")</f>
        <v/>
      </c>
    </row>
    <row r="330" spans="1:24">
      <c r="A330" s="58">
        <f>IF($B330="","",COUNTA($B$5:$B330))</f>
        <v>326</v>
      </c>
      <c r="B330" s="73">
        <v>46064</v>
      </c>
      <c r="C330" s="46" t="s">
        <v>99</v>
      </c>
      <c r="D330" s="63" t="str">
        <f>IFERROR(INDEX(基础资料!$F$4:$F$23,MATCH($C330,基础资料!$E$4:$E$23,0)),IF($C330="","","未匹配账户"))</f>
        <v>双思威</v>
      </c>
      <c r="E330" s="39" t="s">
        <v>488</v>
      </c>
      <c r="F330" s="10" t="s">
        <v>291</v>
      </c>
      <c r="G330" s="10"/>
      <c r="H330" s="10"/>
      <c r="I330" s="10"/>
      <c r="J330" s="69" t="s">
        <v>587</v>
      </c>
      <c r="K330" s="25"/>
      <c r="L330" s="25">
        <v>800</v>
      </c>
      <c r="M330" s="25">
        <f>IFERROR(VLOOKUP($C330,$C$5:$M$24,11,0)+SUMIF($C$25:$C330,$C330,$K$25:$K330)-SUMIF($C$25:$C330,$C330,$L$25:$L330),"")</f>
        <v>5791580.92</v>
      </c>
      <c r="N330" s="10"/>
      <c r="O330" s="10"/>
      <c r="P330" s="65"/>
      <c r="Q330" s="10"/>
      <c r="R330" s="10"/>
      <c r="S330" s="54">
        <f t="shared" si="15"/>
        <v>202602</v>
      </c>
      <c r="T330" s="54">
        <f t="shared" si="16"/>
        <v>202602</v>
      </c>
      <c r="U330" s="58" t="str">
        <f t="shared" si="17"/>
        <v/>
      </c>
      <c r="V330" s="58">
        <f>IF(AND($B330&lt;&gt;"",$F330&lt;&gt;"",$F330=项目明细账!$C$2),N(V329)+1,N(V329))</f>
        <v>0</v>
      </c>
      <c r="W330" s="63" t="str">
        <f>IF($H330&lt;&gt;"","项目成本",IFERROR(INDEX(基础资料!$W$4:$W$49,MATCH($I330,基础资料!$V$4:$V$49,0)),""))</f>
        <v/>
      </c>
      <c r="X330" s="63" t="str">
        <f>IFERROR(INDEX(基础资料!$R$4:$R$17,MATCH($G330,基础资料!$Q$4:$Q$17,0)),"")</f>
        <v/>
      </c>
    </row>
    <row r="331" spans="1:24">
      <c r="A331" s="58">
        <f>IF($B331="","",COUNTA($B$5:$B331))</f>
        <v>327</v>
      </c>
      <c r="B331" s="73">
        <v>46064</v>
      </c>
      <c r="C331" s="46" t="s">
        <v>99</v>
      </c>
      <c r="D331" s="63" t="str">
        <f>IFERROR(INDEX(基础资料!$F$4:$F$23,MATCH($C331,基础资料!$E$4:$E$23,0)),IF($C331="","","未匹配账户"))</f>
        <v>双思威</v>
      </c>
      <c r="E331" s="39" t="s">
        <v>488</v>
      </c>
      <c r="F331" s="10" t="s">
        <v>83</v>
      </c>
      <c r="G331" s="10"/>
      <c r="H331" s="10"/>
      <c r="I331" s="10"/>
      <c r="J331" s="69" t="s">
        <v>587</v>
      </c>
      <c r="K331" s="25"/>
      <c r="L331" s="25">
        <v>2530</v>
      </c>
      <c r="M331" s="25">
        <f>IFERROR(VLOOKUP($C331,$C$5:$M$24,11,0)+SUMIF($C$25:$C331,$C331,$K$25:$K331)-SUMIF($C$25:$C331,$C331,$L$25:$L331),"")</f>
        <v>5789050.92</v>
      </c>
      <c r="N331" s="10"/>
      <c r="O331" s="10"/>
      <c r="P331" s="65"/>
      <c r="Q331" s="10"/>
      <c r="R331" s="10"/>
      <c r="S331" s="54">
        <f t="shared" si="15"/>
        <v>202602</v>
      </c>
      <c r="T331" s="54">
        <f t="shared" si="16"/>
        <v>202602</v>
      </c>
      <c r="U331" s="58" t="str">
        <f t="shared" si="17"/>
        <v/>
      </c>
      <c r="V331" s="58">
        <f>IF(AND($B331&lt;&gt;"",$F331&lt;&gt;"",$F331=项目明细账!$C$2),N(V330)+1,N(V330))</f>
        <v>0</v>
      </c>
      <c r="W331" s="63" t="str">
        <f>IF($H331&lt;&gt;"","项目成本",IFERROR(INDEX(基础资料!$W$4:$W$49,MATCH($I331,基础资料!$V$4:$V$49,0)),""))</f>
        <v/>
      </c>
      <c r="X331" s="63" t="str">
        <f>IFERROR(INDEX(基础资料!$R$4:$R$17,MATCH($G331,基础资料!$Q$4:$Q$17,0)),"")</f>
        <v/>
      </c>
    </row>
    <row r="332" spans="1:24">
      <c r="A332" s="58">
        <f>IF($B332="","",COUNTA($B$5:$B332))</f>
        <v>328</v>
      </c>
      <c r="B332" s="73">
        <v>46065</v>
      </c>
      <c r="C332" s="46" t="s">
        <v>99</v>
      </c>
      <c r="D332" s="63" t="str">
        <f>IFERROR(INDEX(基础资料!$F$4:$F$23,MATCH($C332,基础资料!$E$4:$E$23,0)),IF($C332="","","未匹配账户"))</f>
        <v>双思威</v>
      </c>
      <c r="E332" s="39" t="s">
        <v>488</v>
      </c>
      <c r="F332" s="10"/>
      <c r="G332" s="10"/>
      <c r="H332" s="10"/>
      <c r="I332" s="10" t="s">
        <v>234</v>
      </c>
      <c r="J332" s="70" t="s">
        <v>684</v>
      </c>
      <c r="K332" s="25"/>
      <c r="L332" s="25">
        <v>3600</v>
      </c>
      <c r="M332" s="25">
        <f>IFERROR(VLOOKUP($C332,$C$5:$M$24,11,0)+SUMIF($C$25:$C332,$C332,$K$25:$K332)-SUMIF($C$25:$C332,$C332,$L$25:$L332),"")</f>
        <v>5785450.92</v>
      </c>
      <c r="N332" s="10"/>
      <c r="O332" s="10"/>
      <c r="P332" s="65"/>
      <c r="Q332" s="10"/>
      <c r="R332" s="10"/>
      <c r="S332" s="54">
        <f t="shared" si="15"/>
        <v>202602</v>
      </c>
      <c r="T332" s="54">
        <f t="shared" si="16"/>
        <v>202602</v>
      </c>
      <c r="U332" s="58" t="str">
        <f t="shared" si="17"/>
        <v/>
      </c>
      <c r="V332" s="58">
        <f>IF(AND($B332&lt;&gt;"",$F332&lt;&gt;"",$F332=项目明细账!$C$2),N(V331)+1,N(V331))</f>
        <v>0</v>
      </c>
      <c r="W332" s="63" t="str">
        <f>IF($H332&lt;&gt;"","项目成本",IFERROR(INDEX(基础资料!$W$4:$W$49,MATCH($I332,基础资料!$V$4:$V$49,0)),""))</f>
        <v>管理费用</v>
      </c>
      <c r="X332" s="63" t="str">
        <f>IFERROR(INDEX(基础资料!$R$4:$R$17,MATCH($G332,基础资料!$Q$4:$Q$17,0)),"")</f>
        <v/>
      </c>
    </row>
    <row r="333" spans="1:24">
      <c r="A333" s="58">
        <f>IF($B333="","",COUNTA($B$5:$B333))</f>
        <v>329</v>
      </c>
      <c r="B333" s="73">
        <v>46065</v>
      </c>
      <c r="C333" s="46" t="s">
        <v>99</v>
      </c>
      <c r="D333" s="63" t="str">
        <f>IFERROR(INDEX(基础资料!$F$4:$F$23,MATCH($C333,基础资料!$E$4:$E$23,0)),IF($C333="","","未匹配账户"))</f>
        <v>双思威</v>
      </c>
      <c r="E333" s="39" t="s">
        <v>488</v>
      </c>
      <c r="F333" s="10"/>
      <c r="G333" s="10"/>
      <c r="H333" s="10"/>
      <c r="I333" s="10" t="s">
        <v>234</v>
      </c>
      <c r="J333" s="71" t="s">
        <v>673</v>
      </c>
      <c r="K333" s="25"/>
      <c r="L333" s="25">
        <v>1265</v>
      </c>
      <c r="M333" s="25">
        <f>IFERROR(VLOOKUP($C333,$C$5:$M$24,11,0)+SUMIF($C$25:$C333,$C333,$K$25:$K333)-SUMIF($C$25:$C333,$C333,$L$25:$L333),"")</f>
        <v>5784185.92</v>
      </c>
      <c r="N333" s="10"/>
      <c r="O333" s="10"/>
      <c r="P333" s="65"/>
      <c r="Q333" s="10"/>
      <c r="R333" s="10"/>
      <c r="S333" s="54">
        <f t="shared" si="15"/>
        <v>202602</v>
      </c>
      <c r="T333" s="54">
        <f t="shared" si="16"/>
        <v>202602</v>
      </c>
      <c r="U333" s="58" t="str">
        <f t="shared" si="17"/>
        <v/>
      </c>
      <c r="V333" s="58">
        <f>IF(AND($B333&lt;&gt;"",$F333&lt;&gt;"",$F333=项目明细账!$C$2),N(V332)+1,N(V332))</f>
        <v>0</v>
      </c>
      <c r="W333" s="63" t="str">
        <f>IF($H333&lt;&gt;"","项目成本",IFERROR(INDEX(基础资料!$W$4:$W$49,MATCH($I333,基础资料!$V$4:$V$49,0)),""))</f>
        <v>管理费用</v>
      </c>
      <c r="X333" s="63" t="str">
        <f>IFERROR(INDEX(基础资料!$R$4:$R$17,MATCH($G333,基础资料!$Q$4:$Q$17,0)),"")</f>
        <v/>
      </c>
    </row>
    <row r="334" spans="1:24">
      <c r="A334" s="58">
        <f>IF($B334="","",COUNTA($B$5:$B334))</f>
        <v>330</v>
      </c>
      <c r="B334" s="73">
        <v>46065</v>
      </c>
      <c r="C334" s="46" t="s">
        <v>99</v>
      </c>
      <c r="D334" s="63" t="str">
        <f>IFERROR(INDEX(基础资料!$F$4:$F$23,MATCH($C334,基础资料!$E$4:$E$23,0)),IF($C334="","","未匹配账户"))</f>
        <v>双思威</v>
      </c>
      <c r="E334" s="39" t="s">
        <v>488</v>
      </c>
      <c r="F334" s="10" t="s">
        <v>291</v>
      </c>
      <c r="G334" s="10"/>
      <c r="H334" s="10" t="s">
        <v>530</v>
      </c>
      <c r="I334" s="10"/>
      <c r="J334" s="71" t="s">
        <v>580</v>
      </c>
      <c r="K334" s="25"/>
      <c r="L334" s="25">
        <v>49200</v>
      </c>
      <c r="M334" s="25">
        <f>IFERROR(VLOOKUP($C334,$C$5:$M$24,11,0)+SUMIF($C$25:$C334,$C334,$K$25:$K334)-SUMIF($C$25:$C334,$C334,$L$25:$L334),"")</f>
        <v>5734985.92</v>
      </c>
      <c r="N334" s="10"/>
      <c r="O334" s="10"/>
      <c r="P334" s="65"/>
      <c r="Q334" s="10"/>
      <c r="R334" s="10"/>
      <c r="S334" s="54">
        <f t="shared" si="15"/>
        <v>202602</v>
      </c>
      <c r="T334" s="54">
        <f t="shared" si="16"/>
        <v>202602</v>
      </c>
      <c r="U334" s="58" t="str">
        <f t="shared" si="17"/>
        <v/>
      </c>
      <c r="V334" s="58">
        <f>IF(AND($B334&lt;&gt;"",$F334&lt;&gt;"",$F334=项目明细账!$C$2),N(V333)+1,N(V333))</f>
        <v>0</v>
      </c>
      <c r="W334" s="63" t="str">
        <f>IF($H334&lt;&gt;"","项目成本",IFERROR(INDEX(基础资料!$W$4:$W$49,MATCH($I334,基础资料!$V$4:$V$49,0)),""))</f>
        <v>项目成本</v>
      </c>
      <c r="X334" s="63" t="str">
        <f>IFERROR(INDEX(基础资料!$R$4:$R$17,MATCH($G334,基础资料!$Q$4:$Q$17,0)),"")</f>
        <v/>
      </c>
    </row>
    <row r="335" spans="1:24">
      <c r="A335" s="58">
        <f>IF($B335="","",COUNTA($B$5:$B335))</f>
        <v>331</v>
      </c>
      <c r="B335" s="73">
        <v>46066</v>
      </c>
      <c r="C335" s="46" t="s">
        <v>99</v>
      </c>
      <c r="D335" s="63" t="str">
        <f>IFERROR(INDEX(基础资料!$F$4:$F$23,MATCH($C335,基础资料!$E$4:$E$23,0)),IF($C335="","","未匹配账户"))</f>
        <v>双思威</v>
      </c>
      <c r="E335" s="39" t="s">
        <v>488</v>
      </c>
      <c r="F335" s="10" t="s">
        <v>83</v>
      </c>
      <c r="G335" s="10"/>
      <c r="H335" s="10" t="s">
        <v>530</v>
      </c>
      <c r="I335" s="10"/>
      <c r="J335" s="70" t="s">
        <v>685</v>
      </c>
      <c r="K335" s="25"/>
      <c r="L335" s="25">
        <v>4000</v>
      </c>
      <c r="M335" s="25">
        <f>IFERROR(VLOOKUP($C335,$C$5:$M$24,11,0)+SUMIF($C$25:$C335,$C335,$K$25:$K335)-SUMIF($C$25:$C335,$C335,$L$25:$L335),"")</f>
        <v>5730985.92</v>
      </c>
      <c r="N335" s="10"/>
      <c r="O335" s="10"/>
      <c r="P335" s="65"/>
      <c r="Q335" s="10"/>
      <c r="R335" s="10"/>
      <c r="S335" s="54">
        <f t="shared" si="15"/>
        <v>202602</v>
      </c>
      <c r="T335" s="54">
        <f t="shared" si="16"/>
        <v>202602</v>
      </c>
      <c r="U335" s="58" t="str">
        <f t="shared" si="17"/>
        <v/>
      </c>
      <c r="V335" s="58">
        <f>IF(AND($B335&lt;&gt;"",$F335&lt;&gt;"",$F335=项目明细账!$C$2),N(V334)+1,N(V334))</f>
        <v>0</v>
      </c>
      <c r="W335" s="63" t="str">
        <f>IF($H335&lt;&gt;"","项目成本",IFERROR(INDEX(基础资料!$W$4:$W$49,MATCH($I335,基础资料!$V$4:$V$49,0)),""))</f>
        <v>项目成本</v>
      </c>
      <c r="X335" s="63" t="str">
        <f>IFERROR(INDEX(基础资料!$R$4:$R$17,MATCH($G335,基础资料!$Q$4:$Q$17,0)),"")</f>
        <v/>
      </c>
    </row>
    <row r="336" spans="1:24">
      <c r="A336" s="58">
        <f>IF($B336="","",COUNTA($B$5:$B336))</f>
        <v>332</v>
      </c>
      <c r="B336" s="73">
        <v>46066</v>
      </c>
      <c r="C336" s="46" t="s">
        <v>99</v>
      </c>
      <c r="D336" s="63" t="str">
        <f>IFERROR(INDEX(基础资料!$F$4:$F$23,MATCH($C336,基础资料!$E$4:$E$23,0)),IF($C336="","","未匹配账户"))</f>
        <v>双思威</v>
      </c>
      <c r="E336" s="39" t="s">
        <v>488</v>
      </c>
      <c r="F336" s="10" t="s">
        <v>310</v>
      </c>
      <c r="G336" s="10"/>
      <c r="H336" s="10" t="s">
        <v>530</v>
      </c>
      <c r="I336" s="10"/>
      <c r="J336" s="70" t="s">
        <v>686</v>
      </c>
      <c r="K336" s="25"/>
      <c r="L336" s="25">
        <v>2355</v>
      </c>
      <c r="M336" s="25">
        <f>IFERROR(VLOOKUP($C336,$C$5:$M$24,11,0)+SUMIF($C$25:$C336,$C336,$K$25:$K336)-SUMIF($C$25:$C336,$C336,$L$25:$L336),"")</f>
        <v>5728630.92</v>
      </c>
      <c r="N336" s="10"/>
      <c r="O336" s="10"/>
      <c r="P336" s="65"/>
      <c r="Q336" s="10"/>
      <c r="R336" s="10"/>
      <c r="S336" s="54">
        <f t="shared" si="15"/>
        <v>202602</v>
      </c>
      <c r="T336" s="54">
        <f t="shared" si="16"/>
        <v>202602</v>
      </c>
      <c r="U336" s="58" t="str">
        <f t="shared" si="17"/>
        <v/>
      </c>
      <c r="V336" s="58">
        <f>IF(AND($B336&lt;&gt;"",$F336&lt;&gt;"",$F336=项目明细账!$C$2),N(V335)+1,N(V335))</f>
        <v>0</v>
      </c>
      <c r="W336" s="63" t="str">
        <f>IF($H336&lt;&gt;"","项目成本",IFERROR(INDEX(基础资料!$W$4:$W$49,MATCH($I336,基础资料!$V$4:$V$49,0)),""))</f>
        <v>项目成本</v>
      </c>
      <c r="X336" s="63" t="str">
        <f>IFERROR(INDEX(基础资料!$R$4:$R$17,MATCH($G336,基础资料!$Q$4:$Q$17,0)),"")</f>
        <v/>
      </c>
    </row>
    <row r="337" spans="1:24">
      <c r="A337" s="58">
        <f>IF($B337="","",COUNTA($B$5:$B337))</f>
        <v>333</v>
      </c>
      <c r="B337" s="73">
        <v>46066</v>
      </c>
      <c r="C337" s="46" t="s">
        <v>99</v>
      </c>
      <c r="D337" s="63" t="str">
        <f>IFERROR(INDEX(基础资料!$F$4:$F$23,MATCH($C337,基础资料!$E$4:$E$23,0)),IF($C337="","","未匹配账户"))</f>
        <v>双思威</v>
      </c>
      <c r="E337" s="39" t="s">
        <v>488</v>
      </c>
      <c r="F337" s="10" t="s">
        <v>333</v>
      </c>
      <c r="G337" s="10"/>
      <c r="H337" s="10" t="s">
        <v>538</v>
      </c>
      <c r="I337" s="10"/>
      <c r="J337" s="70" t="s">
        <v>687</v>
      </c>
      <c r="K337" s="25"/>
      <c r="L337" s="25">
        <v>5280</v>
      </c>
      <c r="M337" s="25">
        <f>IFERROR(VLOOKUP($C337,$C$5:$M$24,11,0)+SUMIF($C$25:$C337,$C337,$K$25:$K337)-SUMIF($C$25:$C337,$C337,$L$25:$L337),"")</f>
        <v>5723350.92</v>
      </c>
      <c r="N337" s="10"/>
      <c r="O337" s="10"/>
      <c r="P337" s="65"/>
      <c r="Q337" s="10"/>
      <c r="R337" s="10"/>
      <c r="S337" s="54">
        <f t="shared" si="15"/>
        <v>202602</v>
      </c>
      <c r="T337" s="54">
        <f t="shared" si="16"/>
        <v>202602</v>
      </c>
      <c r="U337" s="58" t="str">
        <f t="shared" si="17"/>
        <v/>
      </c>
      <c r="V337" s="58">
        <f>IF(AND($B337&lt;&gt;"",$F337&lt;&gt;"",$F337=项目明细账!$C$2),N(V336)+1,N(V336))</f>
        <v>0</v>
      </c>
      <c r="W337" s="63" t="str">
        <f>IF($H337&lt;&gt;"","项目成本",IFERROR(INDEX(基础资料!$W$4:$W$49,MATCH($I337,基础资料!$V$4:$V$49,0)),""))</f>
        <v>项目成本</v>
      </c>
      <c r="X337" s="63" t="str">
        <f>IFERROR(INDEX(基础资料!$R$4:$R$17,MATCH($G337,基础资料!$Q$4:$Q$17,0)),"")</f>
        <v/>
      </c>
    </row>
    <row r="338" spans="1:24">
      <c r="A338" s="58">
        <f>IF($B338="","",COUNTA($B$5:$B338))</f>
        <v>334</v>
      </c>
      <c r="B338" s="73">
        <v>46066</v>
      </c>
      <c r="C338" s="46" t="s">
        <v>99</v>
      </c>
      <c r="D338" s="63" t="str">
        <f>IFERROR(INDEX(基础资料!$F$4:$F$23,MATCH($C338,基础资料!$E$4:$E$23,0)),IF($C338="","","未匹配账户"))</f>
        <v>双思威</v>
      </c>
      <c r="E338" s="39" t="s">
        <v>488</v>
      </c>
      <c r="F338" s="10" t="s">
        <v>335</v>
      </c>
      <c r="G338" s="10"/>
      <c r="H338" s="10" t="s">
        <v>538</v>
      </c>
      <c r="I338" s="10"/>
      <c r="J338" s="70" t="s">
        <v>688</v>
      </c>
      <c r="K338" s="25"/>
      <c r="L338" s="25">
        <v>3000</v>
      </c>
      <c r="M338" s="25">
        <f>IFERROR(VLOOKUP($C338,$C$5:$M$24,11,0)+SUMIF($C$25:$C338,$C338,$K$25:$K338)-SUMIF($C$25:$C338,$C338,$L$25:$L338),"")</f>
        <v>5720350.92</v>
      </c>
      <c r="N338" s="10"/>
      <c r="O338" s="10"/>
      <c r="P338" s="65"/>
      <c r="Q338" s="10"/>
      <c r="R338" s="10"/>
      <c r="S338" s="54">
        <f t="shared" si="15"/>
        <v>202602</v>
      </c>
      <c r="T338" s="54">
        <f t="shared" si="16"/>
        <v>202602</v>
      </c>
      <c r="U338" s="58" t="str">
        <f t="shared" si="17"/>
        <v/>
      </c>
      <c r="V338" s="58">
        <f>IF(AND($B338&lt;&gt;"",$F338&lt;&gt;"",$F338=项目明细账!$C$2),N(V337)+1,N(V337))</f>
        <v>0</v>
      </c>
      <c r="W338" s="63" t="str">
        <f>IF($H338&lt;&gt;"","项目成本",IFERROR(INDEX(基础资料!$W$4:$W$49,MATCH($I338,基础资料!$V$4:$V$49,0)),""))</f>
        <v>项目成本</v>
      </c>
      <c r="X338" s="63" t="str">
        <f>IFERROR(INDEX(基础资料!$R$4:$R$17,MATCH($G338,基础资料!$Q$4:$Q$17,0)),"")</f>
        <v/>
      </c>
    </row>
    <row r="339" spans="1:24">
      <c r="A339" s="58">
        <f>IF($B339="","",COUNTA($B$5:$B339))</f>
        <v>335</v>
      </c>
      <c r="B339" s="73">
        <v>46066</v>
      </c>
      <c r="C339" s="46" t="s">
        <v>99</v>
      </c>
      <c r="D339" s="63" t="str">
        <f>IFERROR(INDEX(基础资料!$F$4:$F$23,MATCH($C339,基础资料!$E$4:$E$23,0)),IF($C339="","","未匹配账户"))</f>
        <v>双思威</v>
      </c>
      <c r="E339" s="39" t="s">
        <v>488</v>
      </c>
      <c r="F339" s="10" t="s">
        <v>299</v>
      </c>
      <c r="G339" s="10"/>
      <c r="H339" s="10" t="s">
        <v>538</v>
      </c>
      <c r="I339" s="10"/>
      <c r="J339" s="70" t="s">
        <v>689</v>
      </c>
      <c r="K339" s="25"/>
      <c r="L339" s="25">
        <v>50000</v>
      </c>
      <c r="M339" s="25">
        <f>IFERROR(VLOOKUP($C339,$C$5:$M$24,11,0)+SUMIF($C$25:$C339,$C339,$K$25:$K339)-SUMIF($C$25:$C339,$C339,$L$25:$L339),"")</f>
        <v>5670350.92</v>
      </c>
      <c r="N339" s="10"/>
      <c r="O339" s="10"/>
      <c r="P339" s="65"/>
      <c r="Q339" s="10"/>
      <c r="R339" s="10"/>
      <c r="S339" s="54">
        <f t="shared" si="15"/>
        <v>202602</v>
      </c>
      <c r="T339" s="54">
        <f t="shared" si="16"/>
        <v>202602</v>
      </c>
      <c r="U339" s="58" t="str">
        <f t="shared" si="17"/>
        <v/>
      </c>
      <c r="V339" s="58">
        <f>IF(AND($B339&lt;&gt;"",$F339&lt;&gt;"",$F339=项目明细账!$C$2),N(V338)+1,N(V338))</f>
        <v>0</v>
      </c>
      <c r="W339" s="63" t="str">
        <f>IF($H339&lt;&gt;"","项目成本",IFERROR(INDEX(基础资料!$W$4:$W$49,MATCH($I339,基础资料!$V$4:$V$49,0)),""))</f>
        <v>项目成本</v>
      </c>
      <c r="X339" s="63" t="str">
        <f>IFERROR(INDEX(基础资料!$R$4:$R$17,MATCH($G339,基础资料!$Q$4:$Q$17,0)),"")</f>
        <v/>
      </c>
    </row>
    <row r="340" spans="1:24">
      <c r="A340" s="58">
        <f>IF($B340="","",COUNTA($B$5:$B340))</f>
        <v>336</v>
      </c>
      <c r="B340" s="73">
        <v>46066</v>
      </c>
      <c r="C340" s="46" t="s">
        <v>99</v>
      </c>
      <c r="D340" s="63" t="str">
        <f>IFERROR(INDEX(基础资料!$F$4:$F$23,MATCH($C340,基础资料!$E$4:$E$23,0)),IF($C340="","","未匹配账户"))</f>
        <v>双思威</v>
      </c>
      <c r="E340" s="39" t="s">
        <v>488</v>
      </c>
      <c r="F340" s="10" t="s">
        <v>299</v>
      </c>
      <c r="G340" s="10"/>
      <c r="H340" s="10" t="s">
        <v>538</v>
      </c>
      <c r="I340" s="10"/>
      <c r="J340" s="70" t="s">
        <v>690</v>
      </c>
      <c r="K340" s="25"/>
      <c r="L340" s="25">
        <v>27657</v>
      </c>
      <c r="M340" s="25">
        <f>IFERROR(VLOOKUP($C340,$C$5:$M$24,11,0)+SUMIF($C$25:$C340,$C340,$K$25:$K340)-SUMIF($C$25:$C340,$C340,$L$25:$L340),"")</f>
        <v>5642693.92</v>
      </c>
      <c r="N340" s="10"/>
      <c r="O340" s="10"/>
      <c r="P340" s="65"/>
      <c r="Q340" s="10"/>
      <c r="R340" s="10"/>
      <c r="S340" s="54">
        <f t="shared" si="15"/>
        <v>202602</v>
      </c>
      <c r="T340" s="54">
        <f t="shared" si="16"/>
        <v>202602</v>
      </c>
      <c r="U340" s="58" t="str">
        <f t="shared" si="17"/>
        <v/>
      </c>
      <c r="V340" s="58">
        <f>IF(AND($B340&lt;&gt;"",$F340&lt;&gt;"",$F340=项目明细账!$C$2),N(V339)+1,N(V339))</f>
        <v>0</v>
      </c>
      <c r="W340" s="63" t="str">
        <f>IF($H340&lt;&gt;"","项目成本",IFERROR(INDEX(基础资料!$W$4:$W$49,MATCH($I340,基础资料!$V$4:$V$49,0)),""))</f>
        <v>项目成本</v>
      </c>
      <c r="X340" s="63" t="str">
        <f>IFERROR(INDEX(基础资料!$R$4:$R$17,MATCH($G340,基础资料!$Q$4:$Q$17,0)),"")</f>
        <v/>
      </c>
    </row>
    <row r="341" spans="1:24">
      <c r="A341" s="58">
        <f>IF($B341="","",COUNTA($B$5:$B341))</f>
        <v>337</v>
      </c>
      <c r="B341" s="73">
        <v>46078</v>
      </c>
      <c r="C341" s="46" t="s">
        <v>99</v>
      </c>
      <c r="D341" s="63" t="str">
        <f>IFERROR(INDEX(基础资料!$F$4:$F$23,MATCH($C341,基础资料!$E$4:$E$23,0)),IF($C341="","","未匹配账户"))</f>
        <v>双思威</v>
      </c>
      <c r="E341" s="39" t="s">
        <v>488</v>
      </c>
      <c r="F341" s="10"/>
      <c r="G341" s="10"/>
      <c r="H341" s="10"/>
      <c r="I341" s="10" t="s">
        <v>234</v>
      </c>
      <c r="J341" s="71" t="s">
        <v>691</v>
      </c>
      <c r="K341" s="25"/>
      <c r="L341" s="25">
        <v>2432.86</v>
      </c>
      <c r="M341" s="25">
        <f>IFERROR(VLOOKUP($C341,$C$5:$M$24,11,0)+SUMIF($C$25:$C341,$C341,$K$25:$K341)-SUMIF($C$25:$C341,$C341,$L$25:$L341),"")</f>
        <v>5640261.06</v>
      </c>
      <c r="N341" s="10"/>
      <c r="O341" s="10"/>
      <c r="P341" s="65"/>
      <c r="Q341" s="10"/>
      <c r="R341" s="10"/>
      <c r="S341" s="54">
        <f t="shared" si="15"/>
        <v>202602</v>
      </c>
      <c r="T341" s="54">
        <f t="shared" si="16"/>
        <v>202602</v>
      </c>
      <c r="U341" s="58" t="str">
        <f t="shared" si="17"/>
        <v/>
      </c>
      <c r="V341" s="58">
        <f>IF(AND($B341&lt;&gt;"",$F341&lt;&gt;"",$F341=项目明细账!$C$2),N(V340)+1,N(V340))</f>
        <v>0</v>
      </c>
      <c r="W341" s="63" t="str">
        <f>IF($H341&lt;&gt;"","项目成本",IFERROR(INDEX(基础资料!$W$4:$W$49,MATCH($I341,基础资料!$V$4:$V$49,0)),""))</f>
        <v>管理费用</v>
      </c>
      <c r="X341" s="63" t="str">
        <f>IFERROR(INDEX(基础资料!$R$4:$R$17,MATCH($G341,基础资料!$Q$4:$Q$17,0)),"")</f>
        <v/>
      </c>
    </row>
    <row r="342" spans="1:24">
      <c r="A342" s="58">
        <f>IF($B342="","",COUNTA($B$5:$B342))</f>
        <v>338</v>
      </c>
      <c r="B342" s="73">
        <v>46080</v>
      </c>
      <c r="C342" s="46" t="s">
        <v>99</v>
      </c>
      <c r="D342" s="63" t="str">
        <f>IFERROR(INDEX(基础资料!$F$4:$F$23,MATCH($C342,基础资料!$E$4:$E$23,0)),IF($C342="","","未匹配账户"))</f>
        <v>双思威</v>
      </c>
      <c r="E342" s="39" t="s">
        <v>488</v>
      </c>
      <c r="F342" s="10"/>
      <c r="G342" s="10"/>
      <c r="H342" s="10"/>
      <c r="I342" s="10" t="s">
        <v>234</v>
      </c>
      <c r="J342" s="70" t="s">
        <v>692</v>
      </c>
      <c r="K342" s="25"/>
      <c r="L342" s="25">
        <v>300</v>
      </c>
      <c r="M342" s="25">
        <f>IFERROR(VLOOKUP($C342,$C$5:$M$24,11,0)+SUMIF($C$25:$C342,$C342,$K$25:$K342)-SUMIF($C$25:$C342,$C342,$L$25:$L342),"")</f>
        <v>5639961.06</v>
      </c>
      <c r="N342" s="10"/>
      <c r="O342" s="10"/>
      <c r="P342" s="65"/>
      <c r="Q342" s="10"/>
      <c r="R342" s="10"/>
      <c r="S342" s="54">
        <f t="shared" si="15"/>
        <v>202602</v>
      </c>
      <c r="T342" s="54">
        <f t="shared" si="16"/>
        <v>202602</v>
      </c>
      <c r="U342" s="58" t="str">
        <f t="shared" si="17"/>
        <v/>
      </c>
      <c r="V342" s="58">
        <f>IF(AND($B342&lt;&gt;"",$F342&lt;&gt;"",$F342=项目明细账!$C$2),N(V341)+1,N(V341))</f>
        <v>0</v>
      </c>
      <c r="W342" s="63" t="str">
        <f>IF($H342&lt;&gt;"","项目成本",IFERROR(INDEX(基础资料!$W$4:$W$49,MATCH($I342,基础资料!$V$4:$V$49,0)),""))</f>
        <v>管理费用</v>
      </c>
      <c r="X342" s="63" t="str">
        <f>IFERROR(INDEX(基础资料!$R$4:$R$17,MATCH($G342,基础资料!$Q$4:$Q$17,0)),"")</f>
        <v/>
      </c>
    </row>
    <row r="343" spans="1:24">
      <c r="A343" s="58">
        <f>IF($B343="","",COUNTA($B$5:$B343))</f>
        <v>339</v>
      </c>
      <c r="B343" s="73">
        <v>46081</v>
      </c>
      <c r="C343" s="46" t="s">
        <v>99</v>
      </c>
      <c r="D343" s="63" t="str">
        <f>IFERROR(INDEX(基础资料!$F$4:$F$23,MATCH($C343,基础资料!$E$4:$E$23,0)),IF($C343="","","未匹配账户"))</f>
        <v>双思威</v>
      </c>
      <c r="E343" s="39" t="s">
        <v>488</v>
      </c>
      <c r="F343" s="10"/>
      <c r="G343" s="10"/>
      <c r="H343" s="10"/>
      <c r="I343" s="10" t="s">
        <v>234</v>
      </c>
      <c r="J343" s="70" t="s">
        <v>693</v>
      </c>
      <c r="K343" s="25"/>
      <c r="L343" s="25">
        <v>150</v>
      </c>
      <c r="M343" s="25">
        <f>IFERROR(VLOOKUP($C343,$C$5:$M$24,11,0)+SUMIF($C$25:$C343,$C343,$K$25:$K343)-SUMIF($C$25:$C343,$C343,$L$25:$L343),"")</f>
        <v>5639811.06</v>
      </c>
      <c r="N343" s="10"/>
      <c r="O343" s="10"/>
      <c r="P343" s="65"/>
      <c r="Q343" s="10"/>
      <c r="R343" s="10"/>
      <c r="S343" s="54">
        <f t="shared" si="15"/>
        <v>202602</v>
      </c>
      <c r="T343" s="54">
        <f t="shared" si="16"/>
        <v>202602</v>
      </c>
      <c r="U343" s="58" t="str">
        <f t="shared" si="17"/>
        <v/>
      </c>
      <c r="V343" s="58">
        <f>IF(AND($B343&lt;&gt;"",$F343&lt;&gt;"",$F343=项目明细账!$C$2),N(V342)+1,N(V342))</f>
        <v>0</v>
      </c>
      <c r="W343" s="63" t="str">
        <f>IF($H343&lt;&gt;"","项目成本",IFERROR(INDEX(基础资料!$W$4:$W$49,MATCH($I343,基础资料!$V$4:$V$49,0)),""))</f>
        <v>管理费用</v>
      </c>
      <c r="X343" s="63" t="str">
        <f>IFERROR(INDEX(基础资料!$R$4:$R$17,MATCH($G343,基础资料!$Q$4:$Q$17,0)),"")</f>
        <v/>
      </c>
    </row>
    <row r="344" spans="1:24">
      <c r="A344" s="58">
        <f>IF($B344="","",COUNTA($B$5:$B344))</f>
        <v>340</v>
      </c>
      <c r="B344" s="73">
        <v>46081</v>
      </c>
      <c r="C344" s="46" t="s">
        <v>99</v>
      </c>
      <c r="D344" s="63" t="str">
        <f>IFERROR(INDEX(基础资料!$F$4:$F$23,MATCH($C344,基础资料!$E$4:$E$23,0)),IF($C344="","","未匹配账户"))</f>
        <v>双思威</v>
      </c>
      <c r="E344" s="39" t="s">
        <v>488</v>
      </c>
      <c r="F344" s="10" t="s">
        <v>694</v>
      </c>
      <c r="G344" s="10"/>
      <c r="H344" s="10"/>
      <c r="I344" s="10"/>
      <c r="J344" s="70" t="s">
        <v>695</v>
      </c>
      <c r="K344" s="25"/>
      <c r="L344" s="25">
        <v>6650</v>
      </c>
      <c r="M344" s="25">
        <f>IFERROR(VLOOKUP($C344,$C$5:$M$24,11,0)+SUMIF($C$25:$C344,$C344,$K$25:$K344)-SUMIF($C$25:$C344,$C344,$L$25:$L344),"")</f>
        <v>5633161.06</v>
      </c>
      <c r="N344" s="10"/>
      <c r="O344" s="10"/>
      <c r="P344" s="65"/>
      <c r="Q344" s="10"/>
      <c r="R344" s="10"/>
      <c r="S344" s="54">
        <f t="shared" si="15"/>
        <v>202602</v>
      </c>
      <c r="T344" s="54">
        <f t="shared" si="16"/>
        <v>202602</v>
      </c>
      <c r="U344" s="58" t="str">
        <f t="shared" si="17"/>
        <v/>
      </c>
      <c r="V344" s="58">
        <f>IF(AND($B344&lt;&gt;"",$F344&lt;&gt;"",$F344=项目明细账!$C$2),N(V343)+1,N(V343))</f>
        <v>0</v>
      </c>
      <c r="W344" s="63" t="str">
        <f>IF($H344&lt;&gt;"","项目成本",IFERROR(INDEX(基础资料!$W$4:$W$49,MATCH($I344,基础资料!$V$4:$V$49,0)),""))</f>
        <v/>
      </c>
      <c r="X344" s="63" t="str">
        <f>IFERROR(INDEX(基础资料!$R$4:$R$17,MATCH($G344,基础资料!$Q$4:$Q$17,0)),"")</f>
        <v/>
      </c>
    </row>
    <row r="345" spans="1:24">
      <c r="A345" s="58">
        <f>IF($B345="","",COUNTA($B$5:$B345))</f>
        <v>341</v>
      </c>
      <c r="B345" s="73">
        <v>46057</v>
      </c>
      <c r="C345" s="46" t="s">
        <v>114</v>
      </c>
      <c r="D345" s="63" t="str">
        <f>IFERROR(INDEX(基础资料!$F$4:$F$23,MATCH($C345,基础资料!$E$4:$E$23,0)),IF($C345="","","未匹配账户"))</f>
        <v>晨拓</v>
      </c>
      <c r="E345" s="39" t="s">
        <v>488</v>
      </c>
      <c r="F345" s="10"/>
      <c r="G345" s="10"/>
      <c r="H345" s="10"/>
      <c r="I345" s="10" t="s">
        <v>234</v>
      </c>
      <c r="J345" s="70" t="s">
        <v>696</v>
      </c>
      <c r="K345" s="25"/>
      <c r="L345" s="25">
        <v>9100</v>
      </c>
      <c r="M345" s="25">
        <f>IFERROR(VLOOKUP($C345,$C$5:$M$24,11,0)+SUMIF($C$25:$C345,$C345,$K$25:$K345)-SUMIF($C$25:$C345,$C345,$L$25:$L345),"")</f>
        <v>1537894.4</v>
      </c>
      <c r="N345" s="10"/>
      <c r="O345" s="10"/>
      <c r="P345" s="65"/>
      <c r="Q345" s="10"/>
      <c r="R345" s="10"/>
      <c r="S345" s="54">
        <f t="shared" si="15"/>
        <v>202602</v>
      </c>
      <c r="T345" s="54">
        <f t="shared" si="16"/>
        <v>202602</v>
      </c>
      <c r="U345" s="58" t="str">
        <f t="shared" si="17"/>
        <v/>
      </c>
      <c r="V345" s="58">
        <f>IF(AND($B345&lt;&gt;"",$F345&lt;&gt;"",$F345=项目明细账!$C$2),N(V344)+1,N(V344))</f>
        <v>0</v>
      </c>
      <c r="W345" s="63" t="str">
        <f>IF($H345&lt;&gt;"","项目成本",IFERROR(INDEX(基础资料!$W$4:$W$49,MATCH($I345,基础资料!$V$4:$V$49,0)),""))</f>
        <v>管理费用</v>
      </c>
      <c r="X345" s="63" t="str">
        <f>IFERROR(INDEX(基础资料!$R$4:$R$17,MATCH($G345,基础资料!$Q$4:$Q$17,0)),"")</f>
        <v/>
      </c>
    </row>
    <row r="346" spans="1:24">
      <c r="A346" s="58">
        <f>IF($B346="","",COUNTA($B$5:$B346))</f>
        <v>342</v>
      </c>
      <c r="B346" s="73">
        <v>46058</v>
      </c>
      <c r="C346" s="46" t="s">
        <v>114</v>
      </c>
      <c r="D346" s="63" t="str">
        <f>IFERROR(INDEX(基础资料!$F$4:$F$23,MATCH($C346,基础资料!$E$4:$E$23,0)),IF($C346="","","未匹配账户"))</f>
        <v>晨拓</v>
      </c>
      <c r="E346" s="39" t="s">
        <v>488</v>
      </c>
      <c r="F346" s="10"/>
      <c r="G346" s="10"/>
      <c r="H346" s="10"/>
      <c r="I346" s="10" t="s">
        <v>234</v>
      </c>
      <c r="J346" s="69" t="s">
        <v>697</v>
      </c>
      <c r="K346" s="25"/>
      <c r="L346" s="25">
        <v>12000</v>
      </c>
      <c r="M346" s="25">
        <f>IFERROR(VLOOKUP($C346,$C$5:$M$24,11,0)+SUMIF($C$25:$C346,$C346,$K$25:$K346)-SUMIF($C$25:$C346,$C346,$L$25:$L346),"")</f>
        <v>1525894.4</v>
      </c>
      <c r="N346" s="10"/>
      <c r="O346" s="10"/>
      <c r="P346" s="65"/>
      <c r="Q346" s="10"/>
      <c r="R346" s="10"/>
      <c r="S346" s="54">
        <f t="shared" si="15"/>
        <v>202602</v>
      </c>
      <c r="T346" s="54">
        <f t="shared" si="16"/>
        <v>202602</v>
      </c>
      <c r="U346" s="58" t="str">
        <f t="shared" si="17"/>
        <v/>
      </c>
      <c r="V346" s="58">
        <f>IF(AND($B346&lt;&gt;"",$F346&lt;&gt;"",$F346=项目明细账!$C$2),N(V345)+1,N(V345))</f>
        <v>0</v>
      </c>
      <c r="W346" s="63" t="str">
        <f>IF($H346&lt;&gt;"","项目成本",IFERROR(INDEX(基础资料!$W$4:$W$49,MATCH($I346,基础资料!$V$4:$V$49,0)),""))</f>
        <v>管理费用</v>
      </c>
      <c r="X346" s="63" t="str">
        <f>IFERROR(INDEX(基础资料!$R$4:$R$17,MATCH($G346,基础资料!$Q$4:$Q$17,0)),"")</f>
        <v/>
      </c>
    </row>
    <row r="347" spans="1:24">
      <c r="A347" s="58">
        <f>IF($B347="","",COUNTA($B$5:$B347))</f>
        <v>343</v>
      </c>
      <c r="B347" s="73">
        <v>46060</v>
      </c>
      <c r="C347" s="46" t="s">
        <v>114</v>
      </c>
      <c r="D347" s="63" t="str">
        <f>IFERROR(INDEX(基础资料!$F$4:$F$23,MATCH($C347,基础资料!$E$4:$E$23,0)),IF($C347="","","未匹配账户"))</f>
        <v>晨拓</v>
      </c>
      <c r="E347" s="39" t="s">
        <v>488</v>
      </c>
      <c r="F347" s="10"/>
      <c r="G347" s="10"/>
      <c r="H347" s="10"/>
      <c r="I347" s="10" t="s">
        <v>246</v>
      </c>
      <c r="J347" s="69" t="s">
        <v>598</v>
      </c>
      <c r="K347" s="25"/>
      <c r="L347" s="25">
        <v>1277.4</v>
      </c>
      <c r="M347" s="25">
        <f>IFERROR(VLOOKUP($C347,$C$5:$M$24,11,0)+SUMIF($C$25:$C347,$C347,$K$25:$K347)-SUMIF($C$25:$C347,$C347,$L$25:$L347),"")</f>
        <v>1524617</v>
      </c>
      <c r="N347" s="10"/>
      <c r="O347" s="10"/>
      <c r="P347" s="65"/>
      <c r="Q347" s="10"/>
      <c r="R347" s="10"/>
      <c r="S347" s="54">
        <f t="shared" si="15"/>
        <v>202602</v>
      </c>
      <c r="T347" s="54">
        <f t="shared" si="16"/>
        <v>202602</v>
      </c>
      <c r="U347" s="58" t="str">
        <f t="shared" si="17"/>
        <v/>
      </c>
      <c r="V347" s="58">
        <f>IF(AND($B347&lt;&gt;"",$F347&lt;&gt;"",$F347=项目明细账!$C$2),N(V346)+1,N(V346))</f>
        <v>0</v>
      </c>
      <c r="W347" s="63" t="str">
        <f>IF($H347&lt;&gt;"","项目成本",IFERROR(INDEX(基础资料!$W$4:$W$49,MATCH($I347,基础资料!$V$4:$V$49,0)),""))</f>
        <v>人工社保</v>
      </c>
      <c r="X347" s="63" t="str">
        <f>IFERROR(INDEX(基础资料!$R$4:$R$17,MATCH($G347,基础资料!$Q$4:$Q$17,0)),"")</f>
        <v/>
      </c>
    </row>
    <row r="348" spans="1:24">
      <c r="A348" s="58">
        <f>IF($B348="","",COUNTA($B$5:$B348))</f>
        <v>344</v>
      </c>
      <c r="B348" s="73">
        <v>46060</v>
      </c>
      <c r="C348" s="46" t="s">
        <v>114</v>
      </c>
      <c r="D348" s="63" t="str">
        <f>IFERROR(INDEX(基础资料!$F$4:$F$23,MATCH($C348,基础资料!$E$4:$E$23,0)),IF($C348="","","未匹配账户"))</f>
        <v>晨拓</v>
      </c>
      <c r="E348" s="39" t="s">
        <v>488</v>
      </c>
      <c r="F348" s="10"/>
      <c r="G348" s="10"/>
      <c r="H348" s="10"/>
      <c r="I348" s="10" t="s">
        <v>248</v>
      </c>
      <c r="J348" s="69" t="s">
        <v>600</v>
      </c>
      <c r="K348" s="25"/>
      <c r="L348" s="25">
        <v>556.25</v>
      </c>
      <c r="M348" s="25">
        <f>IFERROR(VLOOKUP($C348,$C$5:$M$24,11,0)+SUMIF($C$25:$C348,$C348,$K$25:$K348)-SUMIF($C$25:$C348,$C348,$L$25:$L348),"")</f>
        <v>1524060.75</v>
      </c>
      <c r="N348" s="10"/>
      <c r="O348" s="10"/>
      <c r="P348" s="65"/>
      <c r="Q348" s="10"/>
      <c r="R348" s="10"/>
      <c r="S348" s="54">
        <f t="shared" si="15"/>
        <v>202602</v>
      </c>
      <c r="T348" s="54">
        <f t="shared" si="16"/>
        <v>202602</v>
      </c>
      <c r="U348" s="58" t="str">
        <f t="shared" si="17"/>
        <v/>
      </c>
      <c r="V348" s="58">
        <f>IF(AND($B348&lt;&gt;"",$F348&lt;&gt;"",$F348=项目明细账!$C$2),N(V347)+1,N(V347))</f>
        <v>0</v>
      </c>
      <c r="W348" s="63" t="str">
        <f>IF($H348&lt;&gt;"","项目成本",IFERROR(INDEX(基础资料!$W$4:$W$49,MATCH($I348,基础资料!$V$4:$V$49,0)),""))</f>
        <v>人工社保</v>
      </c>
      <c r="X348" s="63" t="str">
        <f>IFERROR(INDEX(基础资料!$R$4:$R$17,MATCH($G348,基础资料!$Q$4:$Q$17,0)),"")</f>
        <v/>
      </c>
    </row>
    <row r="349" spans="1:24">
      <c r="A349" s="58">
        <f>IF($B349="","",COUNTA($B$5:$B349))</f>
        <v>345</v>
      </c>
      <c r="B349" s="73">
        <v>46062</v>
      </c>
      <c r="C349" s="46" t="s">
        <v>114</v>
      </c>
      <c r="D349" s="63" t="str">
        <f>IFERROR(INDEX(基础资料!$F$4:$F$23,MATCH($C349,基础资料!$E$4:$E$23,0)),IF($C349="","","未匹配账户"))</f>
        <v>晨拓</v>
      </c>
      <c r="E349" s="39" t="s">
        <v>488</v>
      </c>
      <c r="F349" s="10"/>
      <c r="G349" s="10"/>
      <c r="H349" s="10"/>
      <c r="I349" s="10" t="s">
        <v>237</v>
      </c>
      <c r="J349" s="69" t="s">
        <v>601</v>
      </c>
      <c r="K349" s="25"/>
      <c r="L349" s="25">
        <v>2439.75</v>
      </c>
      <c r="M349" s="25">
        <f>IFERROR(VLOOKUP($C349,$C$5:$M$24,11,0)+SUMIF($C$25:$C349,$C349,$K$25:$K349)-SUMIF($C$25:$C349,$C349,$L$25:$L349),"")</f>
        <v>1521621</v>
      </c>
      <c r="N349" s="10"/>
      <c r="O349" s="10"/>
      <c r="P349" s="65"/>
      <c r="Q349" s="10"/>
      <c r="R349" s="10"/>
      <c r="S349" s="54">
        <f t="shared" si="15"/>
        <v>202602</v>
      </c>
      <c r="T349" s="54">
        <f t="shared" si="16"/>
        <v>202602</v>
      </c>
      <c r="U349" s="58" t="str">
        <f t="shared" si="17"/>
        <v/>
      </c>
      <c r="V349" s="58">
        <f>IF(AND($B349&lt;&gt;"",$F349&lt;&gt;"",$F349=项目明细账!$C$2),N(V348)+1,N(V348))</f>
        <v>0</v>
      </c>
      <c r="W349" s="63" t="str">
        <f>IF($H349&lt;&gt;"","项目成本",IFERROR(INDEX(基础资料!$W$4:$W$49,MATCH($I349,基础资料!$V$4:$V$49,0)),""))</f>
        <v>人工社保</v>
      </c>
      <c r="X349" s="63" t="str">
        <f>IFERROR(INDEX(基础资料!$R$4:$R$17,MATCH($G349,基础资料!$Q$4:$Q$17,0)),"")</f>
        <v/>
      </c>
    </row>
    <row r="350" spans="1:24">
      <c r="A350" s="58">
        <f>IF($B350="","",COUNTA($B$5:$B350))</f>
        <v>346</v>
      </c>
      <c r="B350" s="73">
        <v>46060</v>
      </c>
      <c r="C350" s="46" t="s">
        <v>126</v>
      </c>
      <c r="D350" s="63" t="str">
        <f>IFERROR(INDEX(基础资料!$F$4:$F$23,MATCH($C350,基础资料!$E$4:$E$23,0)),IF($C350="","","未匹配账户"))</f>
        <v>元界极光</v>
      </c>
      <c r="E350" s="39" t="s">
        <v>488</v>
      </c>
      <c r="F350" s="10"/>
      <c r="G350" s="10"/>
      <c r="H350" s="10"/>
      <c r="I350" s="10" t="s">
        <v>246</v>
      </c>
      <c r="J350" s="69" t="s">
        <v>600</v>
      </c>
      <c r="K350" s="25"/>
      <c r="L350" s="25">
        <v>1323.02</v>
      </c>
      <c r="M350" s="25">
        <f>IFERROR(VLOOKUP($C350,$C$5:$M$24,11,0)+SUMIF($C$25:$C350,$C350,$K$25:$K350)-SUMIF($C$25:$C350,$C350,$L$25:$L350),"")</f>
        <v>431898.11</v>
      </c>
      <c r="N350" s="10"/>
      <c r="O350" s="10"/>
      <c r="P350" s="65"/>
      <c r="Q350" s="10"/>
      <c r="R350" s="10"/>
      <c r="S350" s="54">
        <f t="shared" si="15"/>
        <v>202602</v>
      </c>
      <c r="T350" s="54">
        <f t="shared" si="16"/>
        <v>202602</v>
      </c>
      <c r="U350" s="58" t="str">
        <f t="shared" si="17"/>
        <v/>
      </c>
      <c r="V350" s="58">
        <f>IF(AND($B350&lt;&gt;"",$F350&lt;&gt;"",$F350=项目明细账!$C$2),N(V349)+1,N(V349))</f>
        <v>0</v>
      </c>
      <c r="W350" s="63" t="str">
        <f>IF($H350&lt;&gt;"","项目成本",IFERROR(INDEX(基础资料!$W$4:$W$49,MATCH($I350,基础资料!$V$4:$V$49,0)),""))</f>
        <v>人工社保</v>
      </c>
      <c r="X350" s="63" t="str">
        <f>IFERROR(INDEX(基础资料!$R$4:$R$17,MATCH($G350,基础资料!$Q$4:$Q$17,0)),"")</f>
        <v/>
      </c>
    </row>
    <row r="351" spans="1:24">
      <c r="A351" s="58">
        <f>IF($B351="","",COUNTA($B$5:$B351))</f>
        <v>347</v>
      </c>
      <c r="B351" s="73">
        <v>46060</v>
      </c>
      <c r="C351" s="46" t="s">
        <v>126</v>
      </c>
      <c r="D351" s="63" t="str">
        <f>IFERROR(INDEX(基础资料!$F$4:$F$23,MATCH($C351,基础资料!$E$4:$E$23,0)),IF($C351="","","未匹配账户"))</f>
        <v>元界极光</v>
      </c>
      <c r="E351" s="39" t="s">
        <v>488</v>
      </c>
      <c r="F351" s="10"/>
      <c r="G351" s="10"/>
      <c r="H351" s="10"/>
      <c r="I351" s="10" t="s">
        <v>248</v>
      </c>
      <c r="J351" s="69" t="s">
        <v>598</v>
      </c>
      <c r="K351" s="25"/>
      <c r="L351" s="25">
        <v>623.49</v>
      </c>
      <c r="M351" s="25">
        <f>IFERROR(VLOOKUP($C351,$C$5:$M$24,11,0)+SUMIF($C$25:$C351,$C351,$K$25:$K351)-SUMIF($C$25:$C351,$C351,$L$25:$L351),"")</f>
        <v>431274.62</v>
      </c>
      <c r="N351" s="10"/>
      <c r="O351" s="10"/>
      <c r="P351" s="65"/>
      <c r="Q351" s="10"/>
      <c r="R351" s="10"/>
      <c r="S351" s="54">
        <f t="shared" si="15"/>
        <v>202602</v>
      </c>
      <c r="T351" s="54">
        <f t="shared" si="16"/>
        <v>202602</v>
      </c>
      <c r="U351" s="58" t="str">
        <f t="shared" si="17"/>
        <v/>
      </c>
      <c r="V351" s="58">
        <f>IF(AND($B351&lt;&gt;"",$F351&lt;&gt;"",$F351=项目明细账!$C$2),N(V350)+1,N(V350))</f>
        <v>0</v>
      </c>
      <c r="W351" s="63" t="str">
        <f>IF($H351&lt;&gt;"","项目成本",IFERROR(INDEX(基础资料!$W$4:$W$49,MATCH($I351,基础资料!$V$4:$V$49,0)),""))</f>
        <v>人工社保</v>
      </c>
      <c r="X351" s="63" t="str">
        <f>IFERROR(INDEX(基础资料!$R$4:$R$17,MATCH($G351,基础资料!$Q$4:$Q$17,0)),"")</f>
        <v/>
      </c>
    </row>
    <row r="352" spans="1:24">
      <c r="A352" s="58">
        <f>IF($B352="","",COUNTA($B$5:$B352))</f>
        <v>348</v>
      </c>
      <c r="B352" s="73">
        <v>46062</v>
      </c>
      <c r="C352" s="46" t="s">
        <v>126</v>
      </c>
      <c r="D352" s="63" t="str">
        <f>IFERROR(INDEX(基础资料!$F$4:$F$23,MATCH($C352,基础资料!$E$4:$E$23,0)),IF($C352="","","未匹配账户"))</f>
        <v>元界极光</v>
      </c>
      <c r="E352" s="39" t="s">
        <v>488</v>
      </c>
      <c r="F352" s="10"/>
      <c r="G352" s="10"/>
      <c r="H352" s="10"/>
      <c r="I352" s="10" t="s">
        <v>237</v>
      </c>
      <c r="J352" s="69" t="s">
        <v>602</v>
      </c>
      <c r="K352" s="25"/>
      <c r="L352" s="25">
        <v>3942.4</v>
      </c>
      <c r="M352" s="25">
        <f>IFERROR(VLOOKUP($C352,$C$5:$M$24,11,0)+SUMIF($C$25:$C352,$C352,$K$25:$K352)-SUMIF($C$25:$C352,$C352,$L$25:$L352),"")</f>
        <v>427332.22</v>
      </c>
      <c r="N352" s="10"/>
      <c r="O352" s="10"/>
      <c r="P352" s="65"/>
      <c r="Q352" s="10"/>
      <c r="R352" s="10"/>
      <c r="S352" s="54">
        <f t="shared" si="15"/>
        <v>202602</v>
      </c>
      <c r="T352" s="54">
        <f t="shared" si="16"/>
        <v>202602</v>
      </c>
      <c r="U352" s="58" t="str">
        <f t="shared" si="17"/>
        <v/>
      </c>
      <c r="V352" s="58">
        <f>IF(AND($B352&lt;&gt;"",$F352&lt;&gt;"",$F352=项目明细账!$C$2),N(V351)+1,N(V351))</f>
        <v>0</v>
      </c>
      <c r="W352" s="63" t="str">
        <f>IF($H352&lt;&gt;"","项目成本",IFERROR(INDEX(基础资料!$W$4:$W$49,MATCH($I352,基础资料!$V$4:$V$49,0)),""))</f>
        <v>人工社保</v>
      </c>
      <c r="X352" s="63" t="str">
        <f>IFERROR(INDEX(基础资料!$R$4:$R$17,MATCH($G352,基础资料!$Q$4:$Q$17,0)),"")</f>
        <v/>
      </c>
    </row>
    <row r="353" spans="1:24">
      <c r="A353" s="58">
        <f>IF($B353="","",COUNTA($B$5:$B353))</f>
        <v>349</v>
      </c>
      <c r="B353" s="73">
        <v>46024</v>
      </c>
      <c r="C353" s="46" t="s">
        <v>140</v>
      </c>
      <c r="D353" s="63" t="str">
        <f>IFERROR(INDEX(基础资料!$F$4:$F$23,MATCH($C353,基础资料!$E$4:$E$23,0)),IF($C353="","","未匹配账户"))</f>
        <v>元界极光</v>
      </c>
      <c r="E353" s="39" t="s">
        <v>488</v>
      </c>
      <c r="F353" s="10"/>
      <c r="G353" s="10"/>
      <c r="H353" s="10"/>
      <c r="I353" s="10" t="s">
        <v>306</v>
      </c>
      <c r="J353" s="70" t="s">
        <v>698</v>
      </c>
      <c r="K353" s="25">
        <v>300000</v>
      </c>
      <c r="L353" s="25"/>
      <c r="M353" s="25">
        <f>IFERROR(VLOOKUP($C353,$C$5:$M$24,11,0)+SUMIF($C$25:$C353,$C353,$K$25:$K353)-SUMIF($C$25:$C353,$C353,$L$25:$L353),"")</f>
        <v>298610.67</v>
      </c>
      <c r="N353" s="10"/>
      <c r="O353" s="10"/>
      <c r="P353" s="65"/>
      <c r="Q353" s="10"/>
      <c r="R353" s="10"/>
      <c r="S353" s="54">
        <f t="shared" si="15"/>
        <v>202601</v>
      </c>
      <c r="T353" s="54">
        <f t="shared" si="16"/>
        <v>202601</v>
      </c>
      <c r="U353" s="58" t="str">
        <f t="shared" si="17"/>
        <v/>
      </c>
      <c r="V353" s="58">
        <f>IF(AND($B353&lt;&gt;"",$F353&lt;&gt;"",$F353=项目明细账!$C$2),N(V352)+1,N(V352))</f>
        <v>0</v>
      </c>
      <c r="W353" s="63" t="str">
        <f>IF($H353&lt;&gt;"","项目成本",IFERROR(INDEX(基础资料!$W$4:$W$49,MATCH($I353,基础资料!$V$4:$V$49,0)),""))</f>
        <v>往来及保证金</v>
      </c>
      <c r="X353" s="63" t="str">
        <f>IFERROR(INDEX(基础资料!$R$4:$R$17,MATCH($G353,基础资料!$Q$4:$Q$17,0)),"")</f>
        <v/>
      </c>
    </row>
    <row r="354" spans="1:24">
      <c r="A354" s="58">
        <f>IF($B354="","",COUNTA($B$5:$B354))</f>
        <v>350</v>
      </c>
      <c r="B354" s="73">
        <v>46055</v>
      </c>
      <c r="C354" s="46" t="s">
        <v>140</v>
      </c>
      <c r="D354" s="63" t="str">
        <f>IFERROR(INDEX(基础资料!$F$4:$F$23,MATCH($C354,基础资料!$E$4:$E$23,0)),IF($C354="","","未匹配账户"))</f>
        <v>元界极光</v>
      </c>
      <c r="E354" s="39" t="s">
        <v>488</v>
      </c>
      <c r="F354" s="10" t="s">
        <v>303</v>
      </c>
      <c r="G354" s="10"/>
      <c r="H354" s="10" t="s">
        <v>530</v>
      </c>
      <c r="I354" s="10"/>
      <c r="J354" s="70" t="s">
        <v>699</v>
      </c>
      <c r="K354" s="25"/>
      <c r="L354" s="25"/>
      <c r="M354" s="25">
        <f>IFERROR(VLOOKUP($C354,$C$5:$M$24,11,0)+SUMIF($C$25:$C354,$C354,$K$25:$K354)-SUMIF($C$25:$C354,$C354,$L$25:$L354),"")</f>
        <v>298610.67</v>
      </c>
      <c r="N354" s="10"/>
      <c r="O354" s="10"/>
      <c r="P354" s="65"/>
      <c r="Q354" s="10"/>
      <c r="R354" s="10"/>
      <c r="S354" s="54">
        <f t="shared" si="15"/>
        <v>202602</v>
      </c>
      <c r="T354" s="54">
        <f t="shared" si="16"/>
        <v>202602</v>
      </c>
      <c r="U354" s="58" t="str">
        <f t="shared" si="17"/>
        <v/>
      </c>
      <c r="V354" s="58">
        <f>IF(AND($B354&lt;&gt;"",$F354&lt;&gt;"",$F354=项目明细账!$C$2),N(V353)+1,N(V353))</f>
        <v>0</v>
      </c>
      <c r="W354" s="63" t="str">
        <f>IF($H354&lt;&gt;"","项目成本",IFERROR(INDEX(基础资料!$W$4:$W$49,MATCH($I354,基础资料!$V$4:$V$49,0)),""))</f>
        <v>项目成本</v>
      </c>
      <c r="X354" s="63" t="str">
        <f>IFERROR(INDEX(基础资料!$R$4:$R$17,MATCH($G354,基础资料!$Q$4:$Q$17,0)),"")</f>
        <v/>
      </c>
    </row>
    <row r="355" spans="1:24">
      <c r="A355" s="58">
        <f>IF($B355="","",COUNTA($B$5:$B355))</f>
        <v>351</v>
      </c>
      <c r="B355" s="73">
        <v>46058</v>
      </c>
      <c r="C355" s="46" t="s">
        <v>140</v>
      </c>
      <c r="D355" s="63" t="str">
        <f>IFERROR(INDEX(基础资料!$F$4:$F$23,MATCH($C355,基础资料!$E$4:$E$23,0)),IF($C355="","","未匹配账户"))</f>
        <v>元界极光</v>
      </c>
      <c r="E355" s="39" t="s">
        <v>488</v>
      </c>
      <c r="F355" s="10" t="s">
        <v>303</v>
      </c>
      <c r="G355" s="10"/>
      <c r="H355" s="10" t="s">
        <v>530</v>
      </c>
      <c r="I355" s="10"/>
      <c r="J355" s="70" t="s">
        <v>699</v>
      </c>
      <c r="K355" s="25"/>
      <c r="L355" s="25"/>
      <c r="M355" s="25">
        <f>IFERROR(VLOOKUP($C355,$C$5:$M$24,11,0)+SUMIF($C$25:$C355,$C355,$K$25:$K355)-SUMIF($C$25:$C355,$C355,$L$25:$L355),"")</f>
        <v>298610.67</v>
      </c>
      <c r="N355" s="10"/>
      <c r="O355" s="10"/>
      <c r="P355" s="65"/>
      <c r="Q355" s="10"/>
      <c r="R355" s="10"/>
      <c r="S355" s="54">
        <f t="shared" si="15"/>
        <v>202602</v>
      </c>
      <c r="T355" s="54">
        <f t="shared" si="16"/>
        <v>202602</v>
      </c>
      <c r="U355" s="58" t="str">
        <f t="shared" si="17"/>
        <v/>
      </c>
      <c r="V355" s="58">
        <f>IF(AND($B355&lt;&gt;"",$F355&lt;&gt;"",$F355=项目明细账!$C$2),N(V354)+1,N(V354))</f>
        <v>0</v>
      </c>
      <c r="W355" s="63" t="str">
        <f>IF($H355&lt;&gt;"","项目成本",IFERROR(INDEX(基础资料!$W$4:$W$49,MATCH($I355,基础资料!$V$4:$V$49,0)),""))</f>
        <v>项目成本</v>
      </c>
      <c r="X355" s="63" t="str">
        <f>IFERROR(INDEX(基础资料!$R$4:$R$17,MATCH($G355,基础资料!$Q$4:$Q$17,0)),"")</f>
        <v/>
      </c>
    </row>
    <row r="356" spans="1:24">
      <c r="A356" s="58">
        <f>IF($B356="","",COUNTA($B$5:$B356))</f>
        <v>352</v>
      </c>
      <c r="B356" s="73">
        <v>46063</v>
      </c>
      <c r="C356" s="46" t="s">
        <v>140</v>
      </c>
      <c r="D356" s="63" t="str">
        <f>IFERROR(INDEX(基础资料!$F$4:$F$23,MATCH($C356,基础资料!$E$4:$E$23,0)),IF($C356="","","未匹配账户"))</f>
        <v>元界极光</v>
      </c>
      <c r="E356" s="39" t="s">
        <v>488</v>
      </c>
      <c r="F356" s="10" t="s">
        <v>218</v>
      </c>
      <c r="G356" s="10"/>
      <c r="H356" s="10" t="s">
        <v>530</v>
      </c>
      <c r="I356" s="10"/>
      <c r="J356" s="71" t="s">
        <v>700</v>
      </c>
      <c r="K356" s="25"/>
      <c r="L356" s="25"/>
      <c r="M356" s="25">
        <f>IFERROR(VLOOKUP($C356,$C$5:$M$24,11,0)+SUMIF($C$25:$C356,$C356,$K$25:$K356)-SUMIF($C$25:$C356,$C356,$L$25:$L356),"")</f>
        <v>298610.67</v>
      </c>
      <c r="N356" s="10"/>
      <c r="O356" s="10"/>
      <c r="P356" s="65"/>
      <c r="Q356" s="10"/>
      <c r="R356" s="10"/>
      <c r="S356" s="54">
        <f t="shared" si="15"/>
        <v>202602</v>
      </c>
      <c r="T356" s="54">
        <f t="shared" si="16"/>
        <v>202602</v>
      </c>
      <c r="U356" s="58" t="str">
        <f t="shared" si="17"/>
        <v/>
      </c>
      <c r="V356" s="58">
        <f>IF(AND($B356&lt;&gt;"",$F356&lt;&gt;"",$F356=项目明细账!$C$2),N(V355)+1,N(V355))</f>
        <v>0</v>
      </c>
      <c r="W356" s="63" t="str">
        <f>IF($H356&lt;&gt;"","项目成本",IFERROR(INDEX(基础资料!$W$4:$W$49,MATCH($I356,基础资料!$V$4:$V$49,0)),""))</f>
        <v>项目成本</v>
      </c>
      <c r="X356" s="63" t="str">
        <f>IFERROR(INDEX(基础资料!$R$4:$R$17,MATCH($G356,基础资料!$Q$4:$Q$17,0)),"")</f>
        <v/>
      </c>
    </row>
    <row r="357" spans="1:24">
      <c r="A357" s="58">
        <f>IF($B357="","",COUNTA($B$5:$B357))</f>
        <v>353</v>
      </c>
      <c r="B357" s="73">
        <v>46064</v>
      </c>
      <c r="C357" s="46" t="s">
        <v>140</v>
      </c>
      <c r="D357" s="63" t="str">
        <f>IFERROR(INDEX(基础资料!$F$4:$F$23,MATCH($C357,基础资料!$E$4:$E$23,0)),IF($C357="","","未匹配账户"))</f>
        <v>元界极光</v>
      </c>
      <c r="E357" s="39" t="s">
        <v>488</v>
      </c>
      <c r="F357" s="10" t="s">
        <v>303</v>
      </c>
      <c r="G357" s="10"/>
      <c r="H357" s="10" t="s">
        <v>538</v>
      </c>
      <c r="I357" s="10"/>
      <c r="J357" s="70" t="s">
        <v>701</v>
      </c>
      <c r="K357" s="25"/>
      <c r="L357" s="25"/>
      <c r="M357" s="25">
        <f>IFERROR(VLOOKUP($C357,$C$5:$M$24,11,0)+SUMIF($C$25:$C357,$C357,$K$25:$K357)-SUMIF($C$25:$C357,$C357,$L$25:$L357),"")</f>
        <v>298610.67</v>
      </c>
      <c r="N357" s="10"/>
      <c r="O357" s="10"/>
      <c r="P357" s="65"/>
      <c r="Q357" s="10"/>
      <c r="R357" s="10"/>
      <c r="S357" s="54">
        <f t="shared" si="15"/>
        <v>202602</v>
      </c>
      <c r="T357" s="54">
        <f t="shared" si="16"/>
        <v>202602</v>
      </c>
      <c r="U357" s="58" t="str">
        <f t="shared" si="17"/>
        <v/>
      </c>
      <c r="V357" s="58">
        <f>IF(AND($B357&lt;&gt;"",$F357&lt;&gt;"",$F357=项目明细账!$C$2),N(V356)+1,N(V356))</f>
        <v>0</v>
      </c>
      <c r="W357" s="63" t="str">
        <f>IF($H357&lt;&gt;"","项目成本",IFERROR(INDEX(基础资料!$W$4:$W$49,MATCH($I357,基础资料!$V$4:$V$49,0)),""))</f>
        <v>项目成本</v>
      </c>
      <c r="X357" s="63" t="str">
        <f>IFERROR(INDEX(基础资料!$R$4:$R$17,MATCH($G357,基础资料!$Q$4:$Q$17,0)),"")</f>
        <v/>
      </c>
    </row>
    <row r="358" spans="1:24">
      <c r="A358" s="58">
        <f>IF($B358="","",COUNTA($B$5:$B358))</f>
        <v>354</v>
      </c>
      <c r="B358" s="73">
        <v>46065</v>
      </c>
      <c r="C358" s="46" t="s">
        <v>140</v>
      </c>
      <c r="D358" s="63" t="str">
        <f>IFERROR(INDEX(基础资料!$F$4:$F$23,MATCH($C358,基础资料!$E$4:$E$23,0)),IF($C358="","","未匹配账户"))</f>
        <v>元界极光</v>
      </c>
      <c r="E358" s="39" t="s">
        <v>488</v>
      </c>
      <c r="F358" s="10" t="s">
        <v>218</v>
      </c>
      <c r="G358" s="10"/>
      <c r="H358" s="10" t="s">
        <v>538</v>
      </c>
      <c r="I358" s="10"/>
      <c r="J358" s="69" t="s">
        <v>702</v>
      </c>
      <c r="K358" s="25"/>
      <c r="L358" s="25"/>
      <c r="M358" s="25">
        <f>IFERROR(VLOOKUP($C358,$C$5:$M$24,11,0)+SUMIF($C$25:$C358,$C358,$K$25:$K358)-SUMIF($C$25:$C358,$C358,$L$25:$L358),"")</f>
        <v>298610.67</v>
      </c>
      <c r="N358" s="10"/>
      <c r="O358" s="10"/>
      <c r="P358" s="65"/>
      <c r="Q358" s="10"/>
      <c r="R358" s="10"/>
      <c r="S358" s="54">
        <f t="shared" si="15"/>
        <v>202602</v>
      </c>
      <c r="T358" s="54">
        <f t="shared" si="16"/>
        <v>202602</v>
      </c>
      <c r="U358" s="58" t="str">
        <f t="shared" si="17"/>
        <v/>
      </c>
      <c r="V358" s="58">
        <f>IF(AND($B358&lt;&gt;"",$F358&lt;&gt;"",$F358=项目明细账!$C$2),N(V357)+1,N(V357))</f>
        <v>0</v>
      </c>
      <c r="W358" s="63" t="str">
        <f>IF($H358&lt;&gt;"","项目成本",IFERROR(INDEX(基础资料!$W$4:$W$49,MATCH($I358,基础资料!$V$4:$V$49,0)),""))</f>
        <v>项目成本</v>
      </c>
      <c r="X358" s="63" t="str">
        <f>IFERROR(INDEX(基础资料!$R$4:$R$17,MATCH($G358,基础资料!$Q$4:$Q$17,0)),"")</f>
        <v/>
      </c>
    </row>
    <row r="359" spans="1:24">
      <c r="A359" s="58">
        <f>IF($B359="","",COUNTA($B$5:$B359))</f>
        <v>355</v>
      </c>
      <c r="B359" s="73">
        <v>46055</v>
      </c>
      <c r="C359" s="46" t="s">
        <v>150</v>
      </c>
      <c r="D359" s="63" t="str">
        <f>IFERROR(INDEX(基础资料!$F$4:$F$23,MATCH($C359,基础资料!$E$4:$E$23,0)),IF($C359="","","未匹配账户"))</f>
        <v>瑞盛天</v>
      </c>
      <c r="E359" s="39" t="s">
        <v>488</v>
      </c>
      <c r="F359" s="10" t="s">
        <v>338</v>
      </c>
      <c r="G359" s="10"/>
      <c r="H359" s="10" t="s">
        <v>530</v>
      </c>
      <c r="I359" s="10"/>
      <c r="J359" s="74" t="s">
        <v>617</v>
      </c>
      <c r="K359" s="25"/>
      <c r="L359" s="25">
        <v>150</v>
      </c>
      <c r="M359" s="25">
        <f>IFERROR(VLOOKUP($C359,$C$5:$M$24,11,0)+SUMIF($C$25:$C359,$C359,$K$25:$K359)-SUMIF($C$25:$C359,$C359,$L$25:$L359),"")</f>
        <v>2313362.07</v>
      </c>
      <c r="N359" s="10"/>
      <c r="O359" s="10"/>
      <c r="P359" s="65"/>
      <c r="Q359" s="10"/>
      <c r="R359" s="10"/>
      <c r="S359" s="54">
        <f t="shared" si="15"/>
        <v>202602</v>
      </c>
      <c r="T359" s="54">
        <f t="shared" si="16"/>
        <v>202602</v>
      </c>
      <c r="U359" s="58" t="str">
        <f t="shared" si="17"/>
        <v/>
      </c>
      <c r="V359" s="58">
        <f>IF(AND($B359&lt;&gt;"",$F359&lt;&gt;"",$F359=项目明细账!$C$2),N(V358)+1,N(V358))</f>
        <v>0</v>
      </c>
      <c r="W359" s="63" t="str">
        <f>IF($H359&lt;&gt;"","项目成本",IFERROR(INDEX(基础资料!$W$4:$W$49,MATCH($I359,基础资料!$V$4:$V$49,0)),""))</f>
        <v>项目成本</v>
      </c>
      <c r="X359" s="63" t="str">
        <f>IFERROR(INDEX(基础资料!$R$4:$R$17,MATCH($G359,基础资料!$Q$4:$Q$17,0)),"")</f>
        <v/>
      </c>
    </row>
    <row r="360" spans="1:24">
      <c r="A360" s="58">
        <f>IF($B360="","",COUNTA($B$5:$B360))</f>
        <v>356</v>
      </c>
      <c r="B360" s="73">
        <v>46055</v>
      </c>
      <c r="C360" s="46" t="s">
        <v>150</v>
      </c>
      <c r="D360" s="63" t="str">
        <f>IFERROR(INDEX(基础资料!$F$4:$F$23,MATCH($C360,基础资料!$E$4:$E$23,0)),IF($C360="","","未匹配账户"))</f>
        <v>瑞盛天</v>
      </c>
      <c r="E360" s="39" t="s">
        <v>488</v>
      </c>
      <c r="F360" s="10"/>
      <c r="G360" s="10"/>
      <c r="H360" s="10"/>
      <c r="I360" s="10" t="s">
        <v>282</v>
      </c>
      <c r="J360" s="67" t="s">
        <v>489</v>
      </c>
      <c r="K360" s="25"/>
      <c r="L360" s="25">
        <v>4.5</v>
      </c>
      <c r="M360" s="25">
        <f>IFERROR(VLOOKUP($C360,$C$5:$M$24,11,0)+SUMIF($C$25:$C360,$C360,$K$25:$K360)-SUMIF($C$25:$C360,$C360,$L$25:$L360),"")</f>
        <v>2313357.57</v>
      </c>
      <c r="N360" s="10"/>
      <c r="O360" s="10"/>
      <c r="P360" s="65"/>
      <c r="Q360" s="10"/>
      <c r="R360" s="10"/>
      <c r="S360" s="54">
        <f t="shared" si="15"/>
        <v>202602</v>
      </c>
      <c r="T360" s="54">
        <f t="shared" si="16"/>
        <v>202602</v>
      </c>
      <c r="U360" s="58" t="str">
        <f t="shared" si="17"/>
        <v/>
      </c>
      <c r="V360" s="58">
        <f>IF(AND($B360&lt;&gt;"",$F360&lt;&gt;"",$F360=项目明细账!$C$2),N(V359)+1,N(V359))</f>
        <v>0</v>
      </c>
      <c r="W360" s="63" t="str">
        <f>IF($H360&lt;&gt;"","项目成本",IFERROR(INDEX(基础资料!$W$4:$W$49,MATCH($I360,基础资料!$V$4:$V$49,0)),""))</f>
        <v>财务费用</v>
      </c>
      <c r="X360" s="63" t="str">
        <f>IFERROR(INDEX(基础资料!$R$4:$R$17,MATCH($G360,基础资料!$Q$4:$Q$17,0)),"")</f>
        <v/>
      </c>
    </row>
    <row r="361" spans="1:24">
      <c r="A361" s="58">
        <f>IF($B361="","",COUNTA($B$5:$B361))</f>
        <v>357</v>
      </c>
      <c r="B361" s="73">
        <v>46055</v>
      </c>
      <c r="C361" s="46" t="s">
        <v>150</v>
      </c>
      <c r="D361" s="63" t="str">
        <f>IFERROR(INDEX(基础资料!$F$4:$F$23,MATCH($C361,基础资料!$E$4:$E$23,0)),IF($C361="","","未匹配账户"))</f>
        <v>瑞盛天</v>
      </c>
      <c r="E361" s="39" t="s">
        <v>488</v>
      </c>
      <c r="F361" s="10" t="s">
        <v>338</v>
      </c>
      <c r="G361" s="10"/>
      <c r="H361" s="10" t="s">
        <v>530</v>
      </c>
      <c r="I361" s="10"/>
      <c r="J361" s="74" t="s">
        <v>618</v>
      </c>
      <c r="K361" s="25"/>
      <c r="L361" s="25">
        <v>800000</v>
      </c>
      <c r="M361" s="25">
        <f>IFERROR(VLOOKUP($C361,$C$5:$M$24,11,0)+SUMIF($C$25:$C361,$C361,$K$25:$K361)-SUMIF($C$25:$C361,$C361,$L$25:$L361),"")</f>
        <v>1513357.57</v>
      </c>
      <c r="N361" s="10"/>
      <c r="O361" s="10"/>
      <c r="P361" s="65"/>
      <c r="Q361" s="10"/>
      <c r="R361" s="10"/>
      <c r="S361" s="54">
        <f t="shared" si="15"/>
        <v>202602</v>
      </c>
      <c r="T361" s="54">
        <f t="shared" si="16"/>
        <v>202602</v>
      </c>
      <c r="U361" s="58" t="str">
        <f t="shared" si="17"/>
        <v/>
      </c>
      <c r="V361" s="58">
        <f>IF(AND($B361&lt;&gt;"",$F361&lt;&gt;"",$F361=项目明细账!$C$2),N(V360)+1,N(V360))</f>
        <v>0</v>
      </c>
      <c r="W361" s="63" t="str">
        <f>IF($H361&lt;&gt;"","项目成本",IFERROR(INDEX(基础资料!$W$4:$W$49,MATCH($I361,基础资料!$V$4:$V$49,0)),""))</f>
        <v>项目成本</v>
      </c>
      <c r="X361" s="63" t="str">
        <f>IFERROR(INDEX(基础资料!$R$4:$R$17,MATCH($G361,基础资料!$Q$4:$Q$17,0)),"")</f>
        <v/>
      </c>
    </row>
    <row r="362" spans="1:24">
      <c r="A362" s="58">
        <f>IF($B362="","",COUNTA($B$5:$B362))</f>
        <v>358</v>
      </c>
      <c r="B362" s="73">
        <v>46055</v>
      </c>
      <c r="C362" s="46" t="s">
        <v>150</v>
      </c>
      <c r="D362" s="63" t="str">
        <f>IFERROR(INDEX(基础资料!$F$4:$F$23,MATCH($C362,基础资料!$E$4:$E$23,0)),IF($C362="","","未匹配账户"))</f>
        <v>瑞盛天</v>
      </c>
      <c r="E362" s="39" t="s">
        <v>488</v>
      </c>
      <c r="F362" s="10"/>
      <c r="G362" s="10"/>
      <c r="H362" s="10"/>
      <c r="I362" s="10" t="s">
        <v>282</v>
      </c>
      <c r="J362" s="69" t="s">
        <v>489</v>
      </c>
      <c r="K362" s="25"/>
      <c r="L362" s="25">
        <v>20</v>
      </c>
      <c r="M362" s="25">
        <f>IFERROR(VLOOKUP($C362,$C$5:$M$24,11,0)+SUMIF($C$25:$C362,$C362,$K$25:$K362)-SUMIF($C$25:$C362,$C362,$L$25:$L362),"")</f>
        <v>1513337.57</v>
      </c>
      <c r="N362" s="10"/>
      <c r="O362" s="10"/>
      <c r="P362" s="65"/>
      <c r="Q362" s="10"/>
      <c r="R362" s="10"/>
      <c r="S362" s="54">
        <f t="shared" si="15"/>
        <v>202602</v>
      </c>
      <c r="T362" s="54">
        <f t="shared" si="16"/>
        <v>202602</v>
      </c>
      <c r="U362" s="58" t="str">
        <f t="shared" si="17"/>
        <v/>
      </c>
      <c r="V362" s="58">
        <f>IF(AND($B362&lt;&gt;"",$F362&lt;&gt;"",$F362=项目明细账!$C$2),N(V361)+1,N(V361))</f>
        <v>0</v>
      </c>
      <c r="W362" s="63" t="str">
        <f>IF($H362&lt;&gt;"","项目成本",IFERROR(INDEX(基础资料!$W$4:$W$49,MATCH($I362,基础资料!$V$4:$V$49,0)),""))</f>
        <v>财务费用</v>
      </c>
      <c r="X362" s="63" t="str">
        <f>IFERROR(INDEX(基础资料!$R$4:$R$17,MATCH($G362,基础资料!$Q$4:$Q$17,0)),"")</f>
        <v/>
      </c>
    </row>
    <row r="363" spans="1:24">
      <c r="A363" s="58">
        <f>IF($B363="","",COUNTA($B$5:$B363))</f>
        <v>359</v>
      </c>
      <c r="B363" s="73">
        <v>46056</v>
      </c>
      <c r="C363" s="46" t="s">
        <v>150</v>
      </c>
      <c r="D363" s="63" t="str">
        <f>IFERROR(INDEX(基础资料!$F$4:$F$23,MATCH($C363,基础资料!$E$4:$E$23,0)),IF($C363="","","未匹配账户"))</f>
        <v>瑞盛天</v>
      </c>
      <c r="E363" s="39" t="s">
        <v>488</v>
      </c>
      <c r="F363" s="10" t="s">
        <v>311</v>
      </c>
      <c r="G363" s="10"/>
      <c r="H363" s="10"/>
      <c r="I363" s="10"/>
      <c r="J363" s="69" t="s">
        <v>703</v>
      </c>
      <c r="K363" s="25"/>
      <c r="L363" s="25">
        <v>186750</v>
      </c>
      <c r="M363" s="25">
        <f>IFERROR(VLOOKUP($C363,$C$5:$M$24,11,0)+SUMIF($C$25:$C363,$C363,$K$25:$K363)-SUMIF($C$25:$C363,$C363,$L$25:$L363),"")</f>
        <v>1326587.57</v>
      </c>
      <c r="N363" s="10"/>
      <c r="O363" s="10"/>
      <c r="P363" s="65"/>
      <c r="Q363" s="10"/>
      <c r="R363" s="10"/>
      <c r="S363" s="54">
        <f t="shared" si="15"/>
        <v>202602</v>
      </c>
      <c r="T363" s="54">
        <f t="shared" si="16"/>
        <v>202602</v>
      </c>
      <c r="U363" s="58" t="str">
        <f t="shared" si="17"/>
        <v/>
      </c>
      <c r="V363" s="58">
        <f>IF(AND($B363&lt;&gt;"",$F363&lt;&gt;"",$F363=项目明细账!$C$2),N(V362)+1,N(V362))</f>
        <v>0</v>
      </c>
      <c r="W363" s="63" t="str">
        <f>IF($H363&lt;&gt;"","项目成本",IFERROR(INDEX(基础资料!$W$4:$W$49,MATCH($I363,基础资料!$V$4:$V$49,0)),""))</f>
        <v/>
      </c>
      <c r="X363" s="63" t="str">
        <f>IFERROR(INDEX(基础资料!$R$4:$R$17,MATCH($G363,基础资料!$Q$4:$Q$17,0)),"")</f>
        <v/>
      </c>
    </row>
    <row r="364" spans="1:24">
      <c r="A364" s="58">
        <f>IF($B364="","",COUNTA($B$5:$B364))</f>
        <v>360</v>
      </c>
      <c r="B364" s="73">
        <v>46056</v>
      </c>
      <c r="C364" s="46" t="s">
        <v>150</v>
      </c>
      <c r="D364" s="63" t="str">
        <f>IFERROR(INDEX(基础资料!$F$4:$F$23,MATCH($C364,基础资料!$E$4:$E$23,0)),IF($C364="","","未匹配账户"))</f>
        <v>瑞盛天</v>
      </c>
      <c r="E364" s="39" t="s">
        <v>488</v>
      </c>
      <c r="F364" s="10"/>
      <c r="G364" s="10"/>
      <c r="H364" s="10"/>
      <c r="I364" s="10" t="s">
        <v>282</v>
      </c>
      <c r="J364" s="69" t="s">
        <v>489</v>
      </c>
      <c r="K364" s="25"/>
      <c r="L364" s="25">
        <v>15</v>
      </c>
      <c r="M364" s="25">
        <f>IFERROR(VLOOKUP($C364,$C$5:$M$24,11,0)+SUMIF($C$25:$C364,$C364,$K$25:$K364)-SUMIF($C$25:$C364,$C364,$L$25:$L364),"")</f>
        <v>1326572.57</v>
      </c>
      <c r="N364" s="10"/>
      <c r="O364" s="10"/>
      <c r="P364" s="65"/>
      <c r="Q364" s="10"/>
      <c r="R364" s="10"/>
      <c r="S364" s="54">
        <f t="shared" si="15"/>
        <v>202602</v>
      </c>
      <c r="T364" s="54">
        <f t="shared" si="16"/>
        <v>202602</v>
      </c>
      <c r="U364" s="58" t="str">
        <f t="shared" si="17"/>
        <v/>
      </c>
      <c r="V364" s="58">
        <f>IF(AND($B364&lt;&gt;"",$F364&lt;&gt;"",$F364=项目明细账!$C$2),N(V363)+1,N(V363))</f>
        <v>0</v>
      </c>
      <c r="W364" s="63" t="str">
        <f>IF($H364&lt;&gt;"","项目成本",IFERROR(INDEX(基础资料!$W$4:$W$49,MATCH($I364,基础资料!$V$4:$V$49,0)),""))</f>
        <v>财务费用</v>
      </c>
      <c r="X364" s="63" t="str">
        <f>IFERROR(INDEX(基础资料!$R$4:$R$17,MATCH($G364,基础资料!$Q$4:$Q$17,0)),"")</f>
        <v/>
      </c>
    </row>
    <row r="365" spans="1:24">
      <c r="A365" s="58">
        <f>IF($B365="","",COUNTA($B$5:$B365))</f>
        <v>361</v>
      </c>
      <c r="B365" s="73">
        <v>46058</v>
      </c>
      <c r="C365" s="46" t="s">
        <v>150</v>
      </c>
      <c r="D365" s="63" t="str">
        <f>IFERROR(INDEX(基础资料!$F$4:$F$23,MATCH($C365,基础资料!$E$4:$E$23,0)),IF($C365="","","未匹配账户"))</f>
        <v>瑞盛天</v>
      </c>
      <c r="E365" s="39" t="s">
        <v>488</v>
      </c>
      <c r="F365" s="10"/>
      <c r="G365" s="10"/>
      <c r="H365" s="10"/>
      <c r="I365" s="10" t="s">
        <v>282</v>
      </c>
      <c r="J365" s="69" t="s">
        <v>704</v>
      </c>
      <c r="K365" s="25"/>
      <c r="L365" s="25">
        <v>120</v>
      </c>
      <c r="M365" s="25">
        <f>IFERROR(VLOOKUP($C365,$C$5:$M$24,11,0)+SUMIF($C$25:$C365,$C365,$K$25:$K365)-SUMIF($C$25:$C365,$C365,$L$25:$L365),"")</f>
        <v>1326452.57</v>
      </c>
      <c r="N365" s="10"/>
      <c r="O365" s="10"/>
      <c r="P365" s="65"/>
      <c r="Q365" s="10"/>
      <c r="R365" s="10"/>
      <c r="S365" s="54">
        <f t="shared" si="15"/>
        <v>202602</v>
      </c>
      <c r="T365" s="54">
        <f t="shared" si="16"/>
        <v>202602</v>
      </c>
      <c r="U365" s="58" t="str">
        <f t="shared" si="17"/>
        <v/>
      </c>
      <c r="V365" s="58">
        <f>IF(AND($B365&lt;&gt;"",$F365&lt;&gt;"",$F365=项目明细账!$C$2),N(V364)+1,N(V364))</f>
        <v>0</v>
      </c>
      <c r="W365" s="63" t="str">
        <f>IF($H365&lt;&gt;"","项目成本",IFERROR(INDEX(基础资料!$W$4:$W$49,MATCH($I365,基础资料!$V$4:$V$49,0)),""))</f>
        <v>财务费用</v>
      </c>
      <c r="X365" s="63" t="str">
        <f>IFERROR(INDEX(基础资料!$R$4:$R$17,MATCH($G365,基础资料!$Q$4:$Q$17,0)),"")</f>
        <v/>
      </c>
    </row>
    <row r="366" spans="1:24">
      <c r="A366" s="58">
        <f>IF($B366="","",COUNTA($B$5:$B366))</f>
        <v>362</v>
      </c>
      <c r="B366" s="73">
        <v>46065</v>
      </c>
      <c r="C366" s="46" t="s">
        <v>150</v>
      </c>
      <c r="D366" s="63" t="str">
        <f>IFERROR(INDEX(基础资料!$F$4:$F$23,MATCH($C366,基础资料!$E$4:$E$23,0)),IF($C366="","","未匹配账户"))</f>
        <v>瑞盛天</v>
      </c>
      <c r="E366" s="39" t="s">
        <v>488</v>
      </c>
      <c r="F366" s="10"/>
      <c r="G366" s="10"/>
      <c r="H366" s="10"/>
      <c r="I366" s="10"/>
      <c r="J366" s="69" t="s">
        <v>705</v>
      </c>
      <c r="K366" s="25"/>
      <c r="L366" s="25">
        <v>1000000</v>
      </c>
      <c r="M366" s="25">
        <f>IFERROR(VLOOKUP($C366,$C$5:$M$24,11,0)+SUMIF($C$25:$C366,$C366,$K$25:$K366)-SUMIF($C$25:$C366,$C366,$L$25:$L366),"")</f>
        <v>326452.57</v>
      </c>
      <c r="N366" s="10"/>
      <c r="O366" s="10"/>
      <c r="P366" s="65"/>
      <c r="Q366" s="10"/>
      <c r="R366" s="10"/>
      <c r="S366" s="54">
        <f t="shared" si="15"/>
        <v>202602</v>
      </c>
      <c r="T366" s="54">
        <f t="shared" si="16"/>
        <v>202602</v>
      </c>
      <c r="U366" s="58" t="str">
        <f t="shared" si="17"/>
        <v/>
      </c>
      <c r="V366" s="58">
        <f>IF(AND($B366&lt;&gt;"",$F366&lt;&gt;"",$F366=项目明细账!$C$2),N(V365)+1,N(V365))</f>
        <v>0</v>
      </c>
      <c r="W366" s="63" t="str">
        <f>IF($H366&lt;&gt;"","项目成本",IFERROR(INDEX(基础资料!$W$4:$W$49,MATCH($I366,基础资料!$V$4:$V$49,0)),""))</f>
        <v/>
      </c>
      <c r="X366" s="63" t="str">
        <f>IFERROR(INDEX(基础资料!$R$4:$R$17,MATCH($G366,基础资料!$Q$4:$Q$17,0)),"")</f>
        <v/>
      </c>
    </row>
    <row r="367" spans="1:24">
      <c r="A367" s="58">
        <f>IF($B367="","",COUNTA($B$5:$B367))</f>
        <v>363</v>
      </c>
      <c r="B367" s="73">
        <v>46065</v>
      </c>
      <c r="C367" s="46" t="s">
        <v>150</v>
      </c>
      <c r="D367" s="63" t="str">
        <f>IFERROR(INDEX(基础资料!$F$4:$F$23,MATCH($C367,基础资料!$E$4:$E$23,0)),IF($C367="","","未匹配账户"))</f>
        <v>瑞盛天</v>
      </c>
      <c r="E367" s="39" t="s">
        <v>488</v>
      </c>
      <c r="F367" s="10"/>
      <c r="G367" s="10"/>
      <c r="H367" s="10"/>
      <c r="I367" s="10" t="s">
        <v>246</v>
      </c>
      <c r="J367" s="69" t="s">
        <v>526</v>
      </c>
      <c r="K367" s="25"/>
      <c r="L367" s="25">
        <v>2590.28</v>
      </c>
      <c r="M367" s="25">
        <f>IFERROR(VLOOKUP($C367,$C$5:$M$24,11,0)+SUMIF($C$25:$C367,$C367,$K$25:$K367)-SUMIF($C$25:$C367,$C367,$L$25:$L367),"")</f>
        <v>323862.290000001</v>
      </c>
      <c r="N367" s="10"/>
      <c r="O367" s="10"/>
      <c r="P367" s="65"/>
      <c r="Q367" s="10"/>
      <c r="R367" s="10"/>
      <c r="S367" s="54">
        <f t="shared" si="15"/>
        <v>202602</v>
      </c>
      <c r="T367" s="54">
        <f t="shared" si="16"/>
        <v>202602</v>
      </c>
      <c r="U367" s="58" t="str">
        <f t="shared" si="17"/>
        <v/>
      </c>
      <c r="V367" s="58">
        <f>IF(AND($B367&lt;&gt;"",$F367&lt;&gt;"",$F367=项目明细账!$C$2),N(V366)+1,N(V366))</f>
        <v>0</v>
      </c>
      <c r="W367" s="63" t="str">
        <f>IF($H367&lt;&gt;"","项目成本",IFERROR(INDEX(基础资料!$W$4:$W$49,MATCH($I367,基础资料!$V$4:$V$49,0)),""))</f>
        <v>人工社保</v>
      </c>
      <c r="X367" s="63" t="str">
        <f>IFERROR(INDEX(基础资料!$R$4:$R$17,MATCH($G367,基础资料!$Q$4:$Q$17,0)),"")</f>
        <v/>
      </c>
    </row>
    <row r="368" spans="1:24">
      <c r="A368" s="58">
        <f>IF($B368="","",COUNTA($B$5:$B368))</f>
        <v>364</v>
      </c>
      <c r="B368" s="73">
        <v>46065</v>
      </c>
      <c r="C368" s="46" t="s">
        <v>150</v>
      </c>
      <c r="D368" s="63" t="str">
        <f>IFERROR(INDEX(基础资料!$F$4:$F$23,MATCH($C368,基础资料!$E$4:$E$23,0)),IF($C368="","","未匹配账户"))</f>
        <v>瑞盛天</v>
      </c>
      <c r="E368" s="39" t="s">
        <v>488</v>
      </c>
      <c r="F368" s="10"/>
      <c r="G368" s="10"/>
      <c r="H368" s="10"/>
      <c r="I368" s="10" t="s">
        <v>248</v>
      </c>
      <c r="J368" s="69" t="s">
        <v>527</v>
      </c>
      <c r="K368" s="25"/>
      <c r="L368" s="25">
        <v>1196.3</v>
      </c>
      <c r="M368" s="25">
        <f>IFERROR(VLOOKUP($C368,$C$5:$M$24,11,0)+SUMIF($C$25:$C368,$C368,$K$25:$K368)-SUMIF($C$25:$C368,$C368,$L$25:$L368),"")</f>
        <v>322665.990000001</v>
      </c>
      <c r="N368" s="10"/>
      <c r="O368" s="10"/>
      <c r="P368" s="65"/>
      <c r="Q368" s="10"/>
      <c r="R368" s="10"/>
      <c r="S368" s="54">
        <f t="shared" si="15"/>
        <v>202602</v>
      </c>
      <c r="T368" s="54">
        <f t="shared" si="16"/>
        <v>202602</v>
      </c>
      <c r="U368" s="58" t="str">
        <f t="shared" si="17"/>
        <v/>
      </c>
      <c r="V368" s="58">
        <f>IF(AND($B368&lt;&gt;"",$F368&lt;&gt;"",$F368=项目明细账!$C$2),N(V367)+1,N(V367))</f>
        <v>0</v>
      </c>
      <c r="W368" s="63" t="str">
        <f>IF($H368&lt;&gt;"","项目成本",IFERROR(INDEX(基础资料!$W$4:$W$49,MATCH($I368,基础资料!$V$4:$V$49,0)),""))</f>
        <v>人工社保</v>
      </c>
      <c r="X368" s="63" t="str">
        <f>IFERROR(INDEX(基础资料!$R$4:$R$17,MATCH($G368,基础资料!$Q$4:$Q$17,0)),"")</f>
        <v/>
      </c>
    </row>
    <row r="369" spans="1:24">
      <c r="A369" s="58">
        <f>IF($B369="","",COUNTA($B$5:$B369))</f>
        <v>365</v>
      </c>
      <c r="B369" s="73">
        <v>46066</v>
      </c>
      <c r="C369" s="46" t="s">
        <v>150</v>
      </c>
      <c r="D369" s="63" t="str">
        <f>IFERROR(INDEX(基础资料!$F$4:$F$23,MATCH($C369,基础资料!$E$4:$E$23,0)),IF($C369="","","未匹配账户"))</f>
        <v>瑞盛天</v>
      </c>
      <c r="E369" s="39" t="s">
        <v>483</v>
      </c>
      <c r="F369" s="10" t="s">
        <v>338</v>
      </c>
      <c r="G369" s="10" t="s">
        <v>87</v>
      </c>
      <c r="H369" s="10"/>
      <c r="I369" s="10"/>
      <c r="J369" s="74" t="s">
        <v>706</v>
      </c>
      <c r="K369" s="25">
        <v>494695</v>
      </c>
      <c r="L369" s="25"/>
      <c r="M369" s="25">
        <f>IFERROR(VLOOKUP($C369,$C$5:$M$24,11,0)+SUMIF($C$25:$C369,$C369,$K$25:$K369)-SUMIF($C$25:$C369,$C369,$L$25:$L369),"")</f>
        <v>817360.990000001</v>
      </c>
      <c r="N369" s="10"/>
      <c r="O369" s="10"/>
      <c r="P369" s="65"/>
      <c r="Q369" s="10"/>
      <c r="R369" s="10"/>
      <c r="S369" s="54">
        <f t="shared" si="15"/>
        <v>202602</v>
      </c>
      <c r="T369" s="54">
        <f t="shared" si="16"/>
        <v>202602</v>
      </c>
      <c r="U369" s="58" t="str">
        <f t="shared" si="17"/>
        <v/>
      </c>
      <c r="V369" s="58">
        <f>IF(AND($B369&lt;&gt;"",$F369&lt;&gt;"",$F369=项目明细账!$C$2),N(V368)+1,N(V368))</f>
        <v>0</v>
      </c>
      <c r="W369" s="63" t="str">
        <f>IF($H369&lt;&gt;"","项目成本",IFERROR(INDEX(基础资料!$W$4:$W$49,MATCH($I369,基础资料!$V$4:$V$49,0)),""))</f>
        <v/>
      </c>
      <c r="X369" s="63" t="str">
        <f>IFERROR(INDEX(基础资料!$R$4:$R$17,MATCH($G369,基础资料!$Q$4:$Q$17,0)),"")</f>
        <v>经营收入</v>
      </c>
    </row>
    <row r="370" spans="1:24">
      <c r="A370" s="58">
        <f>IF($B370="","",COUNTA($B$5:$B370))</f>
        <v>366</v>
      </c>
      <c r="B370" s="73">
        <v>46062</v>
      </c>
      <c r="C370" s="46" t="s">
        <v>158</v>
      </c>
      <c r="D370" s="63" t="str">
        <f>IFERROR(INDEX(基础资料!$F$4:$F$23,MATCH($C370,基础资料!$E$4:$E$23,0)),IF($C370="","","未匹配账户"))</f>
        <v>瑞盛天</v>
      </c>
      <c r="E370" s="39" t="s">
        <v>488</v>
      </c>
      <c r="F370" s="10"/>
      <c r="G370" s="10"/>
      <c r="H370" s="10"/>
      <c r="I370" s="10" t="s">
        <v>237</v>
      </c>
      <c r="J370" s="69" t="s">
        <v>707</v>
      </c>
      <c r="K370" s="25"/>
      <c r="L370" s="25">
        <v>2300</v>
      </c>
      <c r="M370" s="25">
        <f>IFERROR(VLOOKUP($C370,$C$5:$M$24,11,0)+SUMIF($C$25:$C370,$C370,$K$25:$K370)-SUMIF($C$25:$C370,$C370,$L$25:$L370),"")</f>
        <v>357459.11</v>
      </c>
      <c r="N370" s="10"/>
      <c r="O370" s="10"/>
      <c r="P370" s="65"/>
      <c r="Q370" s="10"/>
      <c r="R370" s="10"/>
      <c r="S370" s="54">
        <f t="shared" si="15"/>
        <v>202602</v>
      </c>
      <c r="T370" s="54">
        <f t="shared" si="16"/>
        <v>202602</v>
      </c>
      <c r="U370" s="58" t="str">
        <f t="shared" si="17"/>
        <v/>
      </c>
      <c r="V370" s="58">
        <f>IF(AND($B370&lt;&gt;"",$F370&lt;&gt;"",$F370=项目明细账!$C$2),N(V369)+1,N(V369))</f>
        <v>0</v>
      </c>
      <c r="W370" s="63" t="str">
        <f>IF($H370&lt;&gt;"","项目成本",IFERROR(INDEX(基础资料!$W$4:$W$49,MATCH($I370,基础资料!$V$4:$V$49,0)),""))</f>
        <v>人工社保</v>
      </c>
      <c r="X370" s="63" t="str">
        <f>IFERROR(INDEX(基础资料!$R$4:$R$17,MATCH($G370,基础资料!$Q$4:$Q$17,0)),"")</f>
        <v/>
      </c>
    </row>
    <row r="371" spans="1:24">
      <c r="A371" s="58">
        <f>IF($B371="","",COUNTA($B$5:$B371))</f>
        <v>367</v>
      </c>
      <c r="B371" s="73">
        <v>46062</v>
      </c>
      <c r="C371" s="46" t="s">
        <v>158</v>
      </c>
      <c r="D371" s="63" t="str">
        <f>IFERROR(INDEX(基础资料!$F$4:$F$23,MATCH($C371,基础资料!$E$4:$E$23,0)),IF($C371="","","未匹配账户"))</f>
        <v>瑞盛天</v>
      </c>
      <c r="E371" s="39" t="s">
        <v>488</v>
      </c>
      <c r="F371" s="10"/>
      <c r="G371" s="10"/>
      <c r="H371" s="10"/>
      <c r="I371" s="10" t="s">
        <v>237</v>
      </c>
      <c r="J371" s="69" t="s">
        <v>621</v>
      </c>
      <c r="K371" s="25"/>
      <c r="L371" s="25">
        <v>3536.44</v>
      </c>
      <c r="M371" s="25">
        <f>IFERROR(VLOOKUP($C371,$C$5:$M$24,11,0)+SUMIF($C$25:$C371,$C371,$K$25:$K371)-SUMIF($C$25:$C371,$C371,$L$25:$L371),"")</f>
        <v>353922.67</v>
      </c>
      <c r="N371" s="10"/>
      <c r="O371" s="10"/>
      <c r="P371" s="65"/>
      <c r="Q371" s="10"/>
      <c r="R371" s="10"/>
      <c r="S371" s="54">
        <f t="shared" si="15"/>
        <v>202602</v>
      </c>
      <c r="T371" s="54">
        <f t="shared" si="16"/>
        <v>202602</v>
      </c>
      <c r="U371" s="58" t="str">
        <f t="shared" si="17"/>
        <v/>
      </c>
      <c r="V371" s="58">
        <f>IF(AND($B371&lt;&gt;"",$F371&lt;&gt;"",$F371=项目明细账!$C$2),N(V370)+1,N(V370))</f>
        <v>0</v>
      </c>
      <c r="W371" s="63" t="str">
        <f>IF($H371&lt;&gt;"","项目成本",IFERROR(INDEX(基础资料!$W$4:$W$49,MATCH($I371,基础资料!$V$4:$V$49,0)),""))</f>
        <v>人工社保</v>
      </c>
      <c r="X371" s="63" t="str">
        <f>IFERROR(INDEX(基础资料!$R$4:$R$17,MATCH($G371,基础资料!$Q$4:$Q$17,0)),"")</f>
        <v/>
      </c>
    </row>
    <row r="372" spans="1:24">
      <c r="A372" s="58">
        <f>IF($B372="","",COUNTA($B$5:$B372))</f>
        <v>368</v>
      </c>
      <c r="B372" s="73">
        <v>46064</v>
      </c>
      <c r="C372" s="46" t="s">
        <v>158</v>
      </c>
      <c r="D372" s="63" t="str">
        <f>IFERROR(INDEX(基础资料!$F$4:$F$23,MATCH($C372,基础资料!$E$4:$E$23,0)),IF($C372="","","未匹配账户"))</f>
        <v>瑞盛天</v>
      </c>
      <c r="E372" s="39" t="s">
        <v>488</v>
      </c>
      <c r="F372" s="10" t="s">
        <v>341</v>
      </c>
      <c r="G372" s="10"/>
      <c r="H372" s="10" t="s">
        <v>538</v>
      </c>
      <c r="I372" s="10"/>
      <c r="J372" s="69" t="s">
        <v>708</v>
      </c>
      <c r="K372" s="25"/>
      <c r="L372" s="25">
        <v>2500</v>
      </c>
      <c r="M372" s="25">
        <f>IFERROR(VLOOKUP($C372,$C$5:$M$24,11,0)+SUMIF($C$25:$C372,$C372,$K$25:$K372)-SUMIF($C$25:$C372,$C372,$L$25:$L372),"")</f>
        <v>351422.67</v>
      </c>
      <c r="N372" s="10"/>
      <c r="O372" s="10"/>
      <c r="P372" s="65"/>
      <c r="Q372" s="10"/>
      <c r="R372" s="10"/>
      <c r="S372" s="54">
        <f t="shared" si="15"/>
        <v>202602</v>
      </c>
      <c r="T372" s="54">
        <f t="shared" si="16"/>
        <v>202602</v>
      </c>
      <c r="U372" s="58" t="str">
        <f t="shared" si="17"/>
        <v/>
      </c>
      <c r="V372" s="58">
        <f>IF(AND($B372&lt;&gt;"",$F372&lt;&gt;"",$F372=项目明细账!$C$2),N(V371)+1,N(V371))</f>
        <v>0</v>
      </c>
      <c r="W372" s="63" t="str">
        <f>IF($H372&lt;&gt;"","项目成本",IFERROR(INDEX(基础资料!$W$4:$W$49,MATCH($I372,基础资料!$V$4:$V$49,0)),""))</f>
        <v>项目成本</v>
      </c>
      <c r="X372" s="63" t="str">
        <f>IFERROR(INDEX(基础资料!$R$4:$R$17,MATCH($G372,基础资料!$Q$4:$Q$17,0)),"")</f>
        <v/>
      </c>
    </row>
    <row r="373" spans="1:24">
      <c r="A373" s="58">
        <f>IF($B373="","",COUNTA($B$5:$B373))</f>
        <v>369</v>
      </c>
      <c r="B373" s="73">
        <v>46055</v>
      </c>
      <c r="C373" s="46" t="s">
        <v>169</v>
      </c>
      <c r="D373" s="63" t="str">
        <f>IFERROR(INDEX(基础资料!$F$4:$F$23,MATCH($C373,基础资料!$E$4:$E$23,0)),IF($C373="","","未匹配账户"))</f>
        <v>中展</v>
      </c>
      <c r="E373" s="39" t="s">
        <v>488</v>
      </c>
      <c r="F373" s="10"/>
      <c r="G373" s="10"/>
      <c r="H373" s="10"/>
      <c r="I373" s="10" t="s">
        <v>282</v>
      </c>
      <c r="J373" s="69" t="s">
        <v>489</v>
      </c>
      <c r="K373" s="25"/>
      <c r="L373" s="25">
        <v>15</v>
      </c>
      <c r="M373" s="25">
        <f>IFERROR(VLOOKUP($C373,$C$5:$M$24,11,0)+SUMIF($C$25:$C373,$C373,$K$25:$K373)-SUMIF($C$25:$C373,$C373,$L$25:$L373),"")</f>
        <v>182924.1</v>
      </c>
      <c r="N373" s="10"/>
      <c r="O373" s="10"/>
      <c r="P373" s="65"/>
      <c r="Q373" s="10"/>
      <c r="R373" s="10"/>
      <c r="S373" s="54">
        <f t="shared" si="15"/>
        <v>202602</v>
      </c>
      <c r="T373" s="54">
        <f t="shared" si="16"/>
        <v>202602</v>
      </c>
      <c r="U373" s="58" t="str">
        <f t="shared" si="17"/>
        <v/>
      </c>
      <c r="V373" s="58">
        <f>IF(AND($B373&lt;&gt;"",$F373&lt;&gt;"",$F373=项目明细账!$C$2),N(V372)+1,N(V372))</f>
        <v>0</v>
      </c>
      <c r="W373" s="63" t="str">
        <f>IF($H373&lt;&gt;"","项目成本",IFERROR(INDEX(基础资料!$W$4:$W$49,MATCH($I373,基础资料!$V$4:$V$49,0)),""))</f>
        <v>财务费用</v>
      </c>
      <c r="X373" s="63" t="str">
        <f>IFERROR(INDEX(基础资料!$R$4:$R$17,MATCH($G373,基础资料!$Q$4:$Q$17,0)),"")</f>
        <v/>
      </c>
    </row>
    <row r="374" spans="1:24">
      <c r="A374" s="58">
        <f>IF($B374="","",COUNTA($B$5:$B374))</f>
        <v>370</v>
      </c>
      <c r="B374" s="73">
        <v>46056</v>
      </c>
      <c r="C374" s="46" t="s">
        <v>169</v>
      </c>
      <c r="D374" s="63" t="str">
        <f>IFERROR(INDEX(基础资料!$F$4:$F$23,MATCH($C374,基础资料!$E$4:$E$23,0)),IF($C374="","","未匹配账户"))</f>
        <v>中展</v>
      </c>
      <c r="E374" s="39" t="s">
        <v>488</v>
      </c>
      <c r="F374" s="10"/>
      <c r="G374" s="10"/>
      <c r="H374" s="10"/>
      <c r="I374" s="10" t="s">
        <v>234</v>
      </c>
      <c r="J374" s="67" t="s">
        <v>709</v>
      </c>
      <c r="K374" s="25"/>
      <c r="L374" s="25">
        <v>725</v>
      </c>
      <c r="M374" s="25">
        <f>IFERROR(VLOOKUP($C374,$C$5:$M$24,11,0)+SUMIF($C$25:$C374,$C374,$K$25:$K374)-SUMIF($C$25:$C374,$C374,$L$25:$L374),"")</f>
        <v>182199.1</v>
      </c>
      <c r="N374" s="10"/>
      <c r="O374" s="10"/>
      <c r="P374" s="65"/>
      <c r="Q374" s="10"/>
      <c r="R374" s="10"/>
      <c r="S374" s="54">
        <f t="shared" si="15"/>
        <v>202602</v>
      </c>
      <c r="T374" s="54">
        <f t="shared" si="16"/>
        <v>202602</v>
      </c>
      <c r="U374" s="58" t="str">
        <f t="shared" si="17"/>
        <v/>
      </c>
      <c r="V374" s="58">
        <f>IF(AND($B374&lt;&gt;"",$F374&lt;&gt;"",$F374=项目明细账!$C$2),N(V373)+1,N(V373))</f>
        <v>0</v>
      </c>
      <c r="W374" s="63" t="str">
        <f>IF($H374&lt;&gt;"","项目成本",IFERROR(INDEX(基础资料!$W$4:$W$49,MATCH($I374,基础资料!$V$4:$V$49,0)),""))</f>
        <v>管理费用</v>
      </c>
      <c r="X374" s="63" t="str">
        <f>IFERROR(INDEX(基础资料!$R$4:$R$17,MATCH($G374,基础资料!$Q$4:$Q$17,0)),"")</f>
        <v/>
      </c>
    </row>
    <row r="375" spans="1:24">
      <c r="A375" s="58">
        <f>IF($B375="","",COUNTA($B$5:$B375))</f>
        <v>371</v>
      </c>
      <c r="B375" s="73">
        <v>46056</v>
      </c>
      <c r="C375" s="46" t="s">
        <v>169</v>
      </c>
      <c r="D375" s="63" t="str">
        <f>IFERROR(INDEX(基础资料!$F$4:$F$23,MATCH($C375,基础资料!$E$4:$E$23,0)),IF($C375="","","未匹配账户"))</f>
        <v>中展</v>
      </c>
      <c r="E375" s="39" t="s">
        <v>488</v>
      </c>
      <c r="F375" s="10"/>
      <c r="G375" s="10"/>
      <c r="H375" s="10"/>
      <c r="I375" s="10" t="s">
        <v>282</v>
      </c>
      <c r="J375" s="69" t="s">
        <v>489</v>
      </c>
      <c r="K375" s="25"/>
      <c r="L375" s="25">
        <v>4.5</v>
      </c>
      <c r="M375" s="25">
        <f>IFERROR(VLOOKUP($C375,$C$5:$M$24,11,0)+SUMIF($C$25:$C375,$C375,$K$25:$K375)-SUMIF($C$25:$C375,$C375,$L$25:$L375),"")</f>
        <v>182194.6</v>
      </c>
      <c r="N375" s="10"/>
      <c r="O375" s="10"/>
      <c r="P375" s="65"/>
      <c r="Q375" s="10"/>
      <c r="R375" s="10"/>
      <c r="S375" s="54">
        <f t="shared" si="15"/>
        <v>202602</v>
      </c>
      <c r="T375" s="54">
        <f t="shared" si="16"/>
        <v>202602</v>
      </c>
      <c r="U375" s="58" t="str">
        <f t="shared" si="17"/>
        <v/>
      </c>
      <c r="V375" s="58">
        <f>IF(AND($B375&lt;&gt;"",$F375&lt;&gt;"",$F375=项目明细账!$C$2),N(V374)+1,N(V374))</f>
        <v>0</v>
      </c>
      <c r="W375" s="63" t="str">
        <f>IF($H375&lt;&gt;"","项目成本",IFERROR(INDEX(基础资料!$W$4:$W$49,MATCH($I375,基础资料!$V$4:$V$49,0)),""))</f>
        <v>财务费用</v>
      </c>
      <c r="X375" s="63" t="str">
        <f>IFERROR(INDEX(基础资料!$R$4:$R$17,MATCH($G375,基础资料!$Q$4:$Q$17,0)),"")</f>
        <v/>
      </c>
    </row>
    <row r="376" spans="1:24">
      <c r="A376" s="58">
        <f>IF($B376="","",COUNTA($B$5:$B376))</f>
        <v>372</v>
      </c>
      <c r="B376" s="73">
        <v>46056</v>
      </c>
      <c r="C376" s="46" t="s">
        <v>169</v>
      </c>
      <c r="D376" s="63" t="str">
        <f>IFERROR(INDEX(基础资料!$F$4:$F$23,MATCH($C376,基础资料!$E$4:$E$23,0)),IF($C376="","","未匹配账户"))</f>
        <v>中展</v>
      </c>
      <c r="E376" s="39" t="s">
        <v>488</v>
      </c>
      <c r="F376" s="10"/>
      <c r="G376" s="10"/>
      <c r="H376" s="10"/>
      <c r="I376" s="10" t="s">
        <v>282</v>
      </c>
      <c r="J376" s="69" t="s">
        <v>489</v>
      </c>
      <c r="K376" s="25"/>
      <c r="L376" s="25">
        <v>15</v>
      </c>
      <c r="M376" s="25">
        <f>IFERROR(VLOOKUP($C376,$C$5:$M$24,11,0)+SUMIF($C$25:$C376,$C376,$K$25:$K376)-SUMIF($C$25:$C376,$C376,$L$25:$L376),"")</f>
        <v>182179.6</v>
      </c>
      <c r="N376" s="10"/>
      <c r="O376" s="10"/>
      <c r="P376" s="65"/>
      <c r="Q376" s="10"/>
      <c r="R376" s="10"/>
      <c r="S376" s="54">
        <f t="shared" si="15"/>
        <v>202602</v>
      </c>
      <c r="T376" s="54">
        <f t="shared" si="16"/>
        <v>202602</v>
      </c>
      <c r="U376" s="58" t="str">
        <f t="shared" si="17"/>
        <v/>
      </c>
      <c r="V376" s="58">
        <f>IF(AND($B376&lt;&gt;"",$F376&lt;&gt;"",$F376=项目明细账!$C$2),N(V375)+1,N(V375))</f>
        <v>0</v>
      </c>
      <c r="W376" s="63" t="str">
        <f>IF($H376&lt;&gt;"","项目成本",IFERROR(INDEX(基础资料!$W$4:$W$49,MATCH($I376,基础资料!$V$4:$V$49,0)),""))</f>
        <v>财务费用</v>
      </c>
      <c r="X376" s="63" t="str">
        <f>IFERROR(INDEX(基础资料!$R$4:$R$17,MATCH($G376,基础资料!$Q$4:$Q$17,0)),"")</f>
        <v/>
      </c>
    </row>
    <row r="377" spans="1:24">
      <c r="A377" s="58">
        <f>IF($B377="","",COUNTA($B$5:$B377))</f>
        <v>373</v>
      </c>
      <c r="B377" s="53">
        <v>46056</v>
      </c>
      <c r="C377" s="46" t="s">
        <v>169</v>
      </c>
      <c r="D377" s="63" t="str">
        <f>IFERROR(INDEX(基础资料!$F$4:$F$23,MATCH($C377,基础资料!$E$4:$E$23,0)),IF($C377="","","未匹配账户"))</f>
        <v>中展</v>
      </c>
      <c r="E377" s="39" t="s">
        <v>483</v>
      </c>
      <c r="F377" s="10"/>
      <c r="G377" s="10"/>
      <c r="H377" s="10"/>
      <c r="I377" s="10"/>
      <c r="J377" s="67" t="s">
        <v>710</v>
      </c>
      <c r="K377" s="25">
        <v>1225</v>
      </c>
      <c r="L377" s="25"/>
      <c r="M377" s="25">
        <f>IFERROR(VLOOKUP($C377,$C$5:$M$24,11,0)+SUMIF($C$25:$C377,$C377,$K$25:$K377)-SUMIF($C$25:$C377,$C377,$L$25:$L377),"")</f>
        <v>183404.6</v>
      </c>
      <c r="N377" s="10"/>
      <c r="O377" s="10"/>
      <c r="P377" s="65"/>
      <c r="Q377" s="10"/>
      <c r="R377" s="10"/>
      <c r="S377" s="54">
        <f t="shared" si="15"/>
        <v>202602</v>
      </c>
      <c r="T377" s="54">
        <f t="shared" si="16"/>
        <v>202602</v>
      </c>
      <c r="U377" s="58" t="str">
        <f t="shared" si="17"/>
        <v/>
      </c>
      <c r="V377" s="58">
        <f>IF(AND($B377&lt;&gt;"",$F377&lt;&gt;"",$F377=项目明细账!$C$2),N(V376)+1,N(V376))</f>
        <v>0</v>
      </c>
      <c r="W377" s="63" t="str">
        <f>IF($H377&lt;&gt;"","项目成本",IFERROR(INDEX(基础资料!$W$4:$W$49,MATCH($I377,基础资料!$V$4:$V$49,0)),""))</f>
        <v/>
      </c>
      <c r="X377" s="63" t="str">
        <f>IFERROR(INDEX(基础资料!$R$4:$R$17,MATCH($G377,基础资料!$Q$4:$Q$17,0)),"")</f>
        <v/>
      </c>
    </row>
    <row r="378" spans="1:24">
      <c r="A378" s="58">
        <f>IF($B378="","",COUNTA($B$5:$B378))</f>
        <v>374</v>
      </c>
      <c r="B378" s="53">
        <v>46058</v>
      </c>
      <c r="C378" s="46" t="s">
        <v>169</v>
      </c>
      <c r="D378" s="63" t="str">
        <f>IFERROR(INDEX(基础资料!$F$4:$F$23,MATCH($C378,基础资料!$E$4:$E$23,0)),IF($C378="","","未匹配账户"))</f>
        <v>中展</v>
      </c>
      <c r="E378" s="39" t="s">
        <v>488</v>
      </c>
      <c r="F378" s="10"/>
      <c r="G378" s="10"/>
      <c r="H378" s="10"/>
      <c r="I378" s="10" t="s">
        <v>246</v>
      </c>
      <c r="J378" s="69" t="s">
        <v>526</v>
      </c>
      <c r="K378" s="25"/>
      <c r="L378" s="25">
        <v>1277.4</v>
      </c>
      <c r="M378" s="25">
        <f>IFERROR(VLOOKUP($C378,$C$5:$M$24,11,0)+SUMIF($C$25:$C378,$C378,$K$25:$K378)-SUMIF($C$25:$C378,$C378,$L$25:$L378),"")</f>
        <v>182127.2</v>
      </c>
      <c r="N378" s="10"/>
      <c r="O378" s="10"/>
      <c r="P378" s="65"/>
      <c r="Q378" s="10"/>
      <c r="R378" s="10"/>
      <c r="S378" s="54">
        <f t="shared" si="15"/>
        <v>202602</v>
      </c>
      <c r="T378" s="54">
        <f t="shared" si="16"/>
        <v>202602</v>
      </c>
      <c r="U378" s="58" t="str">
        <f t="shared" si="17"/>
        <v/>
      </c>
      <c r="V378" s="58">
        <f>IF(AND($B378&lt;&gt;"",$F378&lt;&gt;"",$F378=项目明细账!$C$2),N(V377)+1,N(V377))</f>
        <v>0</v>
      </c>
      <c r="W378" s="63" t="str">
        <f>IF($H378&lt;&gt;"","项目成本",IFERROR(INDEX(基础资料!$W$4:$W$49,MATCH($I378,基础资料!$V$4:$V$49,0)),""))</f>
        <v>人工社保</v>
      </c>
      <c r="X378" s="63" t="str">
        <f>IFERROR(INDEX(基础资料!$R$4:$R$17,MATCH($G378,基础资料!$Q$4:$Q$17,0)),"")</f>
        <v/>
      </c>
    </row>
    <row r="379" spans="1:24">
      <c r="A379" s="58">
        <f>IF($B379="","",COUNTA($B$5:$B379))</f>
        <v>375</v>
      </c>
      <c r="B379" s="53">
        <v>46060</v>
      </c>
      <c r="C379" s="46" t="s">
        <v>169</v>
      </c>
      <c r="D379" s="63" t="str">
        <f>IFERROR(INDEX(基础资料!$F$4:$F$23,MATCH($C379,基础资料!$E$4:$E$23,0)),IF($C379="","","未匹配账户"))</f>
        <v>中展</v>
      </c>
      <c r="E379" s="39" t="s">
        <v>488</v>
      </c>
      <c r="F379" s="10"/>
      <c r="G379" s="10"/>
      <c r="H379" s="10"/>
      <c r="I379" s="10" t="s">
        <v>248</v>
      </c>
      <c r="J379" s="69" t="s">
        <v>527</v>
      </c>
      <c r="K379" s="25"/>
      <c r="L379" s="25">
        <v>598.15</v>
      </c>
      <c r="M379" s="25">
        <f>IFERROR(VLOOKUP($C379,$C$5:$M$24,11,0)+SUMIF($C$25:$C379,$C379,$K$25:$K379)-SUMIF($C$25:$C379,$C379,$L$25:$L379),"")</f>
        <v>181529.05</v>
      </c>
      <c r="N379" s="10"/>
      <c r="O379" s="10"/>
      <c r="P379" s="65"/>
      <c r="Q379" s="10"/>
      <c r="R379" s="10"/>
      <c r="S379" s="54">
        <f t="shared" si="15"/>
        <v>202602</v>
      </c>
      <c r="T379" s="54">
        <f t="shared" si="16"/>
        <v>202602</v>
      </c>
      <c r="U379" s="58" t="str">
        <f t="shared" si="17"/>
        <v/>
      </c>
      <c r="V379" s="58">
        <f>IF(AND($B379&lt;&gt;"",$F379&lt;&gt;"",$F379=项目明细账!$C$2),N(V378)+1,N(V378))</f>
        <v>0</v>
      </c>
      <c r="W379" s="63" t="str">
        <f>IF($H379&lt;&gt;"","项目成本",IFERROR(INDEX(基础资料!$W$4:$W$49,MATCH($I379,基础资料!$V$4:$V$49,0)),""))</f>
        <v>人工社保</v>
      </c>
      <c r="X379" s="63" t="str">
        <f>IFERROR(INDEX(基础资料!$R$4:$R$17,MATCH($G379,基础资料!$Q$4:$Q$17,0)),"")</f>
        <v/>
      </c>
    </row>
    <row r="380" spans="1:24">
      <c r="A380" s="58">
        <f>IF($B380="","",COUNTA($B$5:$B380))</f>
        <v>376</v>
      </c>
      <c r="B380" s="53">
        <v>45695</v>
      </c>
      <c r="C380" s="46" t="s">
        <v>169</v>
      </c>
      <c r="D380" s="63" t="str">
        <f>IFERROR(INDEX(基础资料!$F$4:$F$23,MATCH($C380,基础资料!$E$4:$E$23,0)),IF($C380="","","未匹配账户"))</f>
        <v>中展</v>
      </c>
      <c r="E380" s="39" t="s">
        <v>488</v>
      </c>
      <c r="F380" s="10"/>
      <c r="G380" s="10"/>
      <c r="H380" s="10"/>
      <c r="I380" s="10" t="s">
        <v>237</v>
      </c>
      <c r="J380" s="69" t="s">
        <v>711</v>
      </c>
      <c r="K380" s="25"/>
      <c r="L380" s="25">
        <v>200</v>
      </c>
      <c r="M380" s="25">
        <f>IFERROR(VLOOKUP($C380,$C$5:$M$24,11,0)+SUMIF($C$25:$C380,$C380,$K$25:$K380)-SUMIF($C$25:$C380,$C380,$L$25:$L380),"")</f>
        <v>181329.05</v>
      </c>
      <c r="N380" s="10"/>
      <c r="O380" s="10"/>
      <c r="P380" s="65"/>
      <c r="Q380" s="10"/>
      <c r="R380" s="10"/>
      <c r="S380" s="54">
        <f t="shared" si="15"/>
        <v>202502</v>
      </c>
      <c r="T380" s="54">
        <f t="shared" si="16"/>
        <v>202502</v>
      </c>
      <c r="U380" s="58" t="str">
        <f t="shared" si="17"/>
        <v/>
      </c>
      <c r="V380" s="58">
        <f>IF(AND($B380&lt;&gt;"",$F380&lt;&gt;"",$F380=项目明细账!$C$2),N(V379)+1,N(V379))</f>
        <v>0</v>
      </c>
      <c r="W380" s="63" t="str">
        <f>IF($H380&lt;&gt;"","项目成本",IFERROR(INDEX(基础资料!$W$4:$W$49,MATCH($I380,基础资料!$V$4:$V$49,0)),""))</f>
        <v>人工社保</v>
      </c>
      <c r="X380" s="63" t="str">
        <f>IFERROR(INDEX(基础资料!$R$4:$R$17,MATCH($G380,基础资料!$Q$4:$Q$17,0)),"")</f>
        <v/>
      </c>
    </row>
    <row r="381" spans="1:24">
      <c r="A381" s="58">
        <f>IF($B381="","",COUNTA($B$5:$B381))</f>
        <v>377</v>
      </c>
      <c r="B381" s="53">
        <v>46062</v>
      </c>
      <c r="C381" s="46" t="s">
        <v>169</v>
      </c>
      <c r="D381" s="63" t="str">
        <f>IFERROR(INDEX(基础资料!$F$4:$F$23,MATCH($C381,基础资料!$E$4:$E$23,0)),IF($C381="","","未匹配账户"))</f>
        <v>中展</v>
      </c>
      <c r="E381" s="39" t="s">
        <v>488</v>
      </c>
      <c r="F381" s="10"/>
      <c r="G381" s="10"/>
      <c r="H381" s="10"/>
      <c r="I381" s="10" t="s">
        <v>237</v>
      </c>
      <c r="J381" s="69" t="s">
        <v>626</v>
      </c>
      <c r="K381" s="25"/>
      <c r="L381" s="25">
        <v>500</v>
      </c>
      <c r="M381" s="25">
        <f>IFERROR(VLOOKUP($C381,$C$5:$M$24,11,0)+SUMIF($C$25:$C381,$C381,$K$25:$K381)-SUMIF($C$25:$C381,$C381,$L$25:$L381),"")</f>
        <v>180829.05</v>
      </c>
      <c r="N381" s="10"/>
      <c r="O381" s="10"/>
      <c r="P381" s="65"/>
      <c r="Q381" s="10"/>
      <c r="R381" s="10"/>
      <c r="S381" s="54">
        <f t="shared" si="15"/>
        <v>202602</v>
      </c>
      <c r="T381" s="54">
        <f t="shared" si="16"/>
        <v>202602</v>
      </c>
      <c r="U381" s="58" t="str">
        <f t="shared" si="17"/>
        <v/>
      </c>
      <c r="V381" s="58">
        <f>IF(AND($B381&lt;&gt;"",$F381&lt;&gt;"",$F381=项目明细账!$C$2),N(V380)+1,N(V380))</f>
        <v>0</v>
      </c>
      <c r="W381" s="63" t="str">
        <f>IF($H381&lt;&gt;"","项目成本",IFERROR(INDEX(基础资料!$W$4:$W$49,MATCH($I381,基础资料!$V$4:$V$49,0)),""))</f>
        <v>人工社保</v>
      </c>
      <c r="X381" s="63" t="str">
        <f>IFERROR(INDEX(基础资料!$R$4:$R$17,MATCH($G381,基础资料!$Q$4:$Q$17,0)),"")</f>
        <v/>
      </c>
    </row>
    <row r="382" spans="1:24">
      <c r="A382" s="58">
        <f>IF($B382="","",COUNTA($B$5:$B382))</f>
        <v>378</v>
      </c>
      <c r="B382" s="53">
        <v>46062</v>
      </c>
      <c r="C382" s="46" t="s">
        <v>169</v>
      </c>
      <c r="D382" s="63" t="str">
        <f>IFERROR(INDEX(基础资料!$F$4:$F$23,MATCH($C382,基础资料!$E$4:$E$23,0)),IF($C382="","","未匹配账户"))</f>
        <v>中展</v>
      </c>
      <c r="E382" s="39" t="s">
        <v>488</v>
      </c>
      <c r="F382" s="10"/>
      <c r="G382" s="10"/>
      <c r="H382" s="10"/>
      <c r="I382" s="10" t="s">
        <v>237</v>
      </c>
      <c r="J382" s="69" t="s">
        <v>627</v>
      </c>
      <c r="K382" s="25"/>
      <c r="L382" s="25">
        <v>4957.61</v>
      </c>
      <c r="M382" s="25">
        <f>IFERROR(VLOOKUP($C382,$C$5:$M$24,11,0)+SUMIF($C$25:$C382,$C382,$K$25:$K382)-SUMIF($C$25:$C382,$C382,$L$25:$L382),"")</f>
        <v>175871.44</v>
      </c>
      <c r="N382" s="10"/>
      <c r="O382" s="10"/>
      <c r="P382" s="65"/>
      <c r="Q382" s="10"/>
      <c r="R382" s="10"/>
      <c r="S382" s="54">
        <f t="shared" si="15"/>
        <v>202602</v>
      </c>
      <c r="T382" s="54">
        <f t="shared" si="16"/>
        <v>202602</v>
      </c>
      <c r="U382" s="58" t="str">
        <f t="shared" si="17"/>
        <v/>
      </c>
      <c r="V382" s="58">
        <f>IF(AND($B382&lt;&gt;"",$F382&lt;&gt;"",$F382=项目明细账!$C$2),N(V381)+1,N(V381))</f>
        <v>0</v>
      </c>
      <c r="W382" s="63" t="str">
        <f>IF($H382&lt;&gt;"","项目成本",IFERROR(INDEX(基础资料!$W$4:$W$49,MATCH($I382,基础资料!$V$4:$V$49,0)),""))</f>
        <v>人工社保</v>
      </c>
      <c r="X382" s="63" t="str">
        <f>IFERROR(INDEX(基础资料!$R$4:$R$17,MATCH($G382,基础资料!$Q$4:$Q$17,0)),"")</f>
        <v/>
      </c>
    </row>
    <row r="383" spans="1:24">
      <c r="A383" s="58">
        <f>IF($B383="","",COUNTA($B$5:$B383))</f>
        <v>379</v>
      </c>
      <c r="B383" s="53">
        <v>46062</v>
      </c>
      <c r="C383" s="46" t="s">
        <v>169</v>
      </c>
      <c r="D383" s="63" t="str">
        <f>IFERROR(INDEX(基础资料!$F$4:$F$23,MATCH($C383,基础资料!$E$4:$E$23,0)),IF($C383="","","未匹配账户"))</f>
        <v>中展</v>
      </c>
      <c r="E383" s="39" t="s">
        <v>488</v>
      </c>
      <c r="F383" s="10"/>
      <c r="G383" s="10"/>
      <c r="H383" s="10"/>
      <c r="I383" s="10" t="s">
        <v>234</v>
      </c>
      <c r="J383" s="69" t="s">
        <v>712</v>
      </c>
      <c r="K383" s="25"/>
      <c r="L383" s="25">
        <v>600</v>
      </c>
      <c r="M383" s="25">
        <f>IFERROR(VLOOKUP($C383,$C$5:$M$24,11,0)+SUMIF($C$25:$C383,$C383,$K$25:$K383)-SUMIF($C$25:$C383,$C383,$L$25:$L383),"")</f>
        <v>175271.44</v>
      </c>
      <c r="N383" s="10"/>
      <c r="O383" s="10"/>
      <c r="P383" s="65"/>
      <c r="Q383" s="10"/>
      <c r="R383" s="10"/>
      <c r="S383" s="54">
        <f t="shared" si="15"/>
        <v>202602</v>
      </c>
      <c r="T383" s="54">
        <f t="shared" si="16"/>
        <v>202602</v>
      </c>
      <c r="U383" s="58" t="str">
        <f t="shared" si="17"/>
        <v/>
      </c>
      <c r="V383" s="58">
        <f>IF(AND($B383&lt;&gt;"",$F383&lt;&gt;"",$F383=项目明细账!$C$2),N(V382)+1,N(V382))</f>
        <v>0</v>
      </c>
      <c r="W383" s="63" t="str">
        <f>IF($H383&lt;&gt;"","项目成本",IFERROR(INDEX(基础资料!$W$4:$W$49,MATCH($I383,基础资料!$V$4:$V$49,0)),""))</f>
        <v>管理费用</v>
      </c>
      <c r="X383" s="63" t="str">
        <f>IFERROR(INDEX(基础资料!$R$4:$R$17,MATCH($G383,基础资料!$Q$4:$Q$17,0)),"")</f>
        <v/>
      </c>
    </row>
    <row r="384" spans="1:24">
      <c r="A384" s="58" t="str">
        <f>IF($B384="","",COUNTA($B$5:$B384))</f>
        <v/>
      </c>
      <c r="B384" s="53"/>
      <c r="C384" s="46"/>
      <c r="D384" s="63" t="str">
        <f>IFERROR(INDEX(基础资料!$F$4:$F$23,MATCH($C384,基础资料!$E$4:$E$23,0)),IF($C384="","","未匹配账户"))</f>
        <v/>
      </c>
      <c r="E384" s="39" t="s">
        <v>488</v>
      </c>
      <c r="F384" s="10"/>
      <c r="G384" s="10"/>
      <c r="H384" s="10"/>
      <c r="I384" s="10"/>
      <c r="J384" s="69" t="s">
        <v>713</v>
      </c>
      <c r="K384" s="25">
        <v>150589.92</v>
      </c>
      <c r="L384" s="25"/>
      <c r="M384" s="25" t="str">
        <f>IFERROR(VLOOKUP($C384,$C$5:$M$24,11,0)+SUMIF($C$25:$C384,$C384,$K$25:$K384)-SUMIF($C$25:$C384,$C384,$L$25:$L384),"")</f>
        <v/>
      </c>
      <c r="N384" s="10"/>
      <c r="O384" s="10"/>
      <c r="P384" s="65"/>
      <c r="Q384" s="10"/>
      <c r="R384" s="10"/>
      <c r="S384" s="54" t="str">
        <f t="shared" si="15"/>
        <v/>
      </c>
      <c r="T384" s="54" t="str">
        <f t="shared" si="16"/>
        <v/>
      </c>
      <c r="U384" s="58" t="str">
        <f t="shared" si="17"/>
        <v/>
      </c>
      <c r="V384" s="58">
        <f>IF(AND($B384&lt;&gt;"",$F384&lt;&gt;"",$F384=项目明细账!$C$2),N(V383)+1,N(V383))</f>
        <v>0</v>
      </c>
      <c r="W384" s="63" t="str">
        <f>IF($H384&lt;&gt;"","项目成本",IFERROR(INDEX(基础资料!$W$4:$W$49,MATCH($I384,基础资料!$V$4:$V$49,0)),""))</f>
        <v/>
      </c>
      <c r="X384" s="63" t="str">
        <f>IFERROR(INDEX(基础资料!$R$4:$R$17,MATCH($G384,基础资料!$Q$4:$Q$17,0)),"")</f>
        <v/>
      </c>
    </row>
    <row r="385" spans="1:24">
      <c r="A385" s="58">
        <f>IF($B385="","",COUNTA($B$5:$B385))</f>
        <v>380</v>
      </c>
      <c r="B385" s="53">
        <v>46059</v>
      </c>
      <c r="C385" s="46" t="s">
        <v>179</v>
      </c>
      <c r="D385" s="63" t="str">
        <f>IFERROR(INDEX(基础资料!$F$4:$F$23,MATCH($C385,基础资料!$E$4:$E$23,0)),IF($C385="","","未匹配账户"))</f>
        <v>中展</v>
      </c>
      <c r="E385" s="39" t="s">
        <v>488</v>
      </c>
      <c r="F385" s="10" t="s">
        <v>151</v>
      </c>
      <c r="G385" s="10"/>
      <c r="H385" s="10"/>
      <c r="I385" s="10"/>
      <c r="J385" s="70" t="s">
        <v>714</v>
      </c>
      <c r="K385" s="25"/>
      <c r="L385" s="25">
        <v>24464</v>
      </c>
      <c r="M385" s="25">
        <f>IFERROR(VLOOKUP($C385,$C$5:$M$24,11,0)+SUMIF($C$25:$C385,$C385,$K$25:$K385)-SUMIF($C$25:$C385,$C385,$L$25:$L385),"")</f>
        <v>75536</v>
      </c>
      <c r="N385" s="10"/>
      <c r="O385" s="10"/>
      <c r="P385" s="65"/>
      <c r="Q385" s="10"/>
      <c r="R385" s="10"/>
      <c r="S385" s="54">
        <f t="shared" si="15"/>
        <v>202602</v>
      </c>
      <c r="T385" s="54">
        <f t="shared" si="16"/>
        <v>202602</v>
      </c>
      <c r="U385" s="58" t="str">
        <f t="shared" si="17"/>
        <v/>
      </c>
      <c r="V385" s="58">
        <f>IF(AND($B385&lt;&gt;"",$F385&lt;&gt;"",$F385=项目明细账!$C$2),N(V384)+1,N(V384))</f>
        <v>0</v>
      </c>
      <c r="W385" s="63" t="str">
        <f>IF($H385&lt;&gt;"","项目成本",IFERROR(INDEX(基础资料!$W$4:$W$49,MATCH($I385,基础资料!$V$4:$V$49,0)),""))</f>
        <v/>
      </c>
      <c r="X385" s="63" t="str">
        <f>IFERROR(INDEX(基础资料!$R$4:$R$17,MATCH($G385,基础资料!$Q$4:$Q$17,0)),"")</f>
        <v/>
      </c>
    </row>
    <row r="386" spans="1:24">
      <c r="A386" s="58">
        <f>IF($B386="","",COUNTA($B$5:$B386))</f>
        <v>381</v>
      </c>
      <c r="B386" s="53">
        <v>46060</v>
      </c>
      <c r="C386" s="46" t="s">
        <v>179</v>
      </c>
      <c r="D386" s="63" t="str">
        <f>IFERROR(INDEX(基础资料!$F$4:$F$23,MATCH($C386,基础资料!$E$4:$E$23,0)),IF($C386="","","未匹配账户"))</f>
        <v>中展</v>
      </c>
      <c r="E386" s="39" t="s">
        <v>488</v>
      </c>
      <c r="F386" s="10"/>
      <c r="G386" s="10"/>
      <c r="H386" s="10"/>
      <c r="I386" s="10" t="s">
        <v>234</v>
      </c>
      <c r="J386" s="70" t="s">
        <v>715</v>
      </c>
      <c r="K386" s="25"/>
      <c r="L386" s="25">
        <v>21360</v>
      </c>
      <c r="M386" s="25">
        <f>IFERROR(VLOOKUP($C386,$C$5:$M$24,11,0)+SUMIF($C$25:$C386,$C386,$K$25:$K386)-SUMIF($C$25:$C386,$C386,$L$25:$L386),"")</f>
        <v>54176</v>
      </c>
      <c r="N386" s="10"/>
      <c r="O386" s="10"/>
      <c r="P386" s="65"/>
      <c r="Q386" s="10"/>
      <c r="R386" s="10"/>
      <c r="S386" s="54">
        <f t="shared" si="15"/>
        <v>202602</v>
      </c>
      <c r="T386" s="54">
        <f t="shared" si="16"/>
        <v>202602</v>
      </c>
      <c r="U386" s="58" t="str">
        <f t="shared" si="17"/>
        <v/>
      </c>
      <c r="V386" s="58">
        <f>IF(AND($B386&lt;&gt;"",$F386&lt;&gt;"",$F386=项目明细账!$C$2),N(V385)+1,N(V385))</f>
        <v>0</v>
      </c>
      <c r="W386" s="63" t="str">
        <f>IF($H386&lt;&gt;"","项目成本",IFERROR(INDEX(基础资料!$W$4:$W$49,MATCH($I386,基础资料!$V$4:$V$49,0)),""))</f>
        <v>管理费用</v>
      </c>
      <c r="X386" s="63" t="str">
        <f>IFERROR(INDEX(基础资料!$R$4:$R$17,MATCH($G386,基础资料!$Q$4:$Q$17,0)),"")</f>
        <v/>
      </c>
    </row>
    <row r="387" spans="1:24">
      <c r="A387" s="58">
        <f>IF($B387="","",COUNTA($B$5:$B387))</f>
        <v>382</v>
      </c>
      <c r="B387" s="53">
        <v>46062</v>
      </c>
      <c r="C387" s="46" t="s">
        <v>179</v>
      </c>
      <c r="D387" s="63" t="str">
        <f>IFERROR(INDEX(基础资料!$F$4:$F$23,MATCH($C387,基础资料!$E$4:$E$23,0)),IF($C387="","","未匹配账户"))</f>
        <v>中展</v>
      </c>
      <c r="E387" s="39" t="s">
        <v>488</v>
      </c>
      <c r="F387" s="10"/>
      <c r="G387" s="10"/>
      <c r="H387" s="10"/>
      <c r="I387" s="10" t="s">
        <v>234</v>
      </c>
      <c r="J387" s="70" t="s">
        <v>716</v>
      </c>
      <c r="K387" s="25"/>
      <c r="L387" s="25">
        <v>4308</v>
      </c>
      <c r="M387" s="25">
        <f>IFERROR(VLOOKUP($C387,$C$5:$M$24,11,0)+SUMIF($C$25:$C387,$C387,$K$25:$K387)-SUMIF($C$25:$C387,$C387,$L$25:$L387),"")</f>
        <v>49868</v>
      </c>
      <c r="N387" s="10"/>
      <c r="O387" s="10"/>
      <c r="P387" s="65"/>
      <c r="Q387" s="10"/>
      <c r="R387" s="10"/>
      <c r="S387" s="54">
        <f t="shared" si="15"/>
        <v>202602</v>
      </c>
      <c r="T387" s="54">
        <f t="shared" si="16"/>
        <v>202602</v>
      </c>
      <c r="U387" s="58" t="str">
        <f t="shared" si="17"/>
        <v/>
      </c>
      <c r="V387" s="58">
        <f>IF(AND($B387&lt;&gt;"",$F387&lt;&gt;"",$F387=项目明细账!$C$2),N(V386)+1,N(V386))</f>
        <v>0</v>
      </c>
      <c r="W387" s="63" t="str">
        <f>IF($H387&lt;&gt;"","项目成本",IFERROR(INDEX(基础资料!$W$4:$W$49,MATCH($I387,基础资料!$V$4:$V$49,0)),""))</f>
        <v>管理费用</v>
      </c>
      <c r="X387" s="63" t="str">
        <f>IFERROR(INDEX(基础资料!$R$4:$R$17,MATCH($G387,基础资料!$Q$4:$Q$17,0)),"")</f>
        <v/>
      </c>
    </row>
    <row r="388" spans="1:24">
      <c r="A388" s="58">
        <f>IF($B388="","",COUNTA($B$5:$B388))</f>
        <v>383</v>
      </c>
      <c r="B388" s="53">
        <v>46064</v>
      </c>
      <c r="C388" s="46" t="s">
        <v>179</v>
      </c>
      <c r="D388" s="63" t="str">
        <f>IFERROR(INDEX(基础资料!$F$4:$F$23,MATCH($C388,基础资料!$E$4:$E$23,0)),IF($C388="","","未匹配账户"))</f>
        <v>中展</v>
      </c>
      <c r="E388" s="39" t="s">
        <v>488</v>
      </c>
      <c r="F388" s="10" t="s">
        <v>319</v>
      </c>
      <c r="G388" s="10"/>
      <c r="H388" s="10"/>
      <c r="I388" s="10"/>
      <c r="J388" s="70" t="s">
        <v>717</v>
      </c>
      <c r="K388" s="25"/>
      <c r="L388" s="25">
        <v>10</v>
      </c>
      <c r="M388" s="25">
        <f>IFERROR(VLOOKUP($C388,$C$5:$M$24,11,0)+SUMIF($C$25:$C388,$C388,$K$25:$K388)-SUMIF($C$25:$C388,$C388,$L$25:$L388),"")</f>
        <v>49858</v>
      </c>
      <c r="N388" s="10"/>
      <c r="O388" s="10"/>
      <c r="P388" s="65"/>
      <c r="Q388" s="10"/>
      <c r="R388" s="10"/>
      <c r="S388" s="54">
        <f t="shared" si="15"/>
        <v>202602</v>
      </c>
      <c r="T388" s="54">
        <f t="shared" si="16"/>
        <v>202602</v>
      </c>
      <c r="U388" s="58" t="str">
        <f t="shared" si="17"/>
        <v/>
      </c>
      <c r="V388" s="58">
        <f>IF(AND($B388&lt;&gt;"",$F388&lt;&gt;"",$F388=项目明细账!$C$2),N(V387)+1,N(V387))</f>
        <v>0</v>
      </c>
      <c r="W388" s="63" t="str">
        <f>IF($H388&lt;&gt;"","项目成本",IFERROR(INDEX(基础资料!$W$4:$W$49,MATCH($I388,基础资料!$V$4:$V$49,0)),""))</f>
        <v/>
      </c>
      <c r="X388" s="63" t="str">
        <f>IFERROR(INDEX(基础资料!$R$4:$R$17,MATCH($G388,基础资料!$Q$4:$Q$17,0)),"")</f>
        <v/>
      </c>
    </row>
    <row r="389" spans="1:24">
      <c r="A389" s="58">
        <f>IF($B389="","",COUNTA($B$5:$B389))</f>
        <v>384</v>
      </c>
      <c r="B389" s="53">
        <v>46064</v>
      </c>
      <c r="C389" s="46" t="s">
        <v>179</v>
      </c>
      <c r="D389" s="63" t="str">
        <f>IFERROR(INDEX(基础资料!$F$4:$F$23,MATCH($C389,基础资料!$E$4:$E$23,0)),IF($C389="","","未匹配账户"))</f>
        <v>中展</v>
      </c>
      <c r="E389" s="39" t="s">
        <v>488</v>
      </c>
      <c r="F389" s="10" t="s">
        <v>287</v>
      </c>
      <c r="G389" s="10"/>
      <c r="H389" s="10"/>
      <c r="I389" s="10"/>
      <c r="J389" s="70" t="s">
        <v>717</v>
      </c>
      <c r="K389" s="25"/>
      <c r="L389" s="25">
        <v>60</v>
      </c>
      <c r="M389" s="25">
        <f>IFERROR(VLOOKUP($C389,$C$5:$M$24,11,0)+SUMIF($C$25:$C389,$C389,$K$25:$K389)-SUMIF($C$25:$C389,$C389,$L$25:$L389),"")</f>
        <v>49798</v>
      </c>
      <c r="N389" s="10"/>
      <c r="O389" s="10"/>
      <c r="P389" s="65"/>
      <c r="Q389" s="10"/>
      <c r="R389" s="10"/>
      <c r="S389" s="54">
        <f t="shared" si="15"/>
        <v>202602</v>
      </c>
      <c r="T389" s="54">
        <f t="shared" si="16"/>
        <v>202602</v>
      </c>
      <c r="U389" s="58" t="str">
        <f t="shared" si="17"/>
        <v/>
      </c>
      <c r="V389" s="58">
        <f>IF(AND($B389&lt;&gt;"",$F389&lt;&gt;"",$F389=项目明细账!$C$2),N(V388)+1,N(V388))</f>
        <v>0</v>
      </c>
      <c r="W389" s="63" t="str">
        <f>IF($H389&lt;&gt;"","项目成本",IFERROR(INDEX(基础资料!$W$4:$W$49,MATCH($I389,基础资料!$V$4:$V$49,0)),""))</f>
        <v/>
      </c>
      <c r="X389" s="63" t="str">
        <f>IFERROR(INDEX(基础资料!$R$4:$R$17,MATCH($G389,基础资料!$Q$4:$Q$17,0)),"")</f>
        <v/>
      </c>
    </row>
    <row r="390" spans="1:24">
      <c r="A390" s="58">
        <f>IF($B390="","",COUNTA($B$5:$B390))</f>
        <v>385</v>
      </c>
      <c r="B390" s="53">
        <v>46064</v>
      </c>
      <c r="C390" s="46" t="s">
        <v>179</v>
      </c>
      <c r="D390" s="63" t="str">
        <f>IFERROR(INDEX(基础资料!$F$4:$F$23,MATCH($C390,基础资料!$E$4:$E$23,0)),IF($C390="","","未匹配账户"))</f>
        <v>中展</v>
      </c>
      <c r="E390" s="39" t="s">
        <v>488</v>
      </c>
      <c r="F390" s="10" t="s">
        <v>128</v>
      </c>
      <c r="G390" s="10"/>
      <c r="H390" s="10"/>
      <c r="I390" s="10"/>
      <c r="J390" s="70" t="s">
        <v>717</v>
      </c>
      <c r="K390" s="25"/>
      <c r="L390" s="25">
        <v>315</v>
      </c>
      <c r="M390" s="25">
        <f>IFERROR(VLOOKUP($C390,$C$5:$M$24,11,0)+SUMIF($C$25:$C390,$C390,$K$25:$K390)-SUMIF($C$25:$C390,$C390,$L$25:$L390),"")</f>
        <v>49483</v>
      </c>
      <c r="N390" s="10"/>
      <c r="O390" s="10"/>
      <c r="P390" s="65"/>
      <c r="Q390" s="10"/>
      <c r="R390" s="10"/>
      <c r="S390" s="54">
        <f t="shared" ref="S390:S453" si="18">IF($B390="","",--TEXT($B390,"yyyymm"))</f>
        <v>202602</v>
      </c>
      <c r="T390" s="54">
        <f t="shared" ref="T390:T453" si="19">IF($B390="","",IF($P390="",$S390,IFERROR($P390*1,$P390)))</f>
        <v>202602</v>
      </c>
      <c r="U390" s="58" t="str">
        <f t="shared" ref="U390:U453" si="20">IF($B390="","",IF($T390=$S390,"","跨期"))</f>
        <v/>
      </c>
      <c r="V390" s="58">
        <f>IF(AND($B390&lt;&gt;"",$F390&lt;&gt;"",$F390=项目明细账!$C$2),N(V389)+1,N(V389))</f>
        <v>0</v>
      </c>
      <c r="W390" s="63" t="str">
        <f>IF($H390&lt;&gt;"","项目成本",IFERROR(INDEX(基础资料!$W$4:$W$49,MATCH($I390,基础资料!$V$4:$V$49,0)),""))</f>
        <v/>
      </c>
      <c r="X390" s="63" t="str">
        <f>IFERROR(INDEX(基础资料!$R$4:$R$17,MATCH($G390,基础资料!$Q$4:$Q$17,0)),"")</f>
        <v/>
      </c>
    </row>
    <row r="391" spans="1:24">
      <c r="A391" s="58">
        <f>IF($B391="","",COUNTA($B$5:$B391))</f>
        <v>386</v>
      </c>
      <c r="B391" s="53">
        <v>46064</v>
      </c>
      <c r="C391" s="46" t="s">
        <v>179</v>
      </c>
      <c r="D391" s="63" t="str">
        <f>IFERROR(INDEX(基础资料!$F$4:$F$23,MATCH($C391,基础资料!$E$4:$E$23,0)),IF($C391="","","未匹配账户"))</f>
        <v>中展</v>
      </c>
      <c r="E391" s="39" t="s">
        <v>488</v>
      </c>
      <c r="F391" s="10" t="s">
        <v>343</v>
      </c>
      <c r="G391" s="10"/>
      <c r="H391" s="10"/>
      <c r="I391" s="10"/>
      <c r="J391" s="70" t="s">
        <v>717</v>
      </c>
      <c r="K391" s="25"/>
      <c r="L391" s="25">
        <v>2420</v>
      </c>
      <c r="M391" s="25">
        <f>IFERROR(VLOOKUP($C391,$C$5:$M$24,11,0)+SUMIF($C$25:$C391,$C391,$K$25:$K391)-SUMIF($C$25:$C391,$C391,$L$25:$L391),"")</f>
        <v>47063</v>
      </c>
      <c r="N391" s="10"/>
      <c r="O391" s="10"/>
      <c r="P391" s="65"/>
      <c r="Q391" s="10"/>
      <c r="R391" s="10"/>
      <c r="S391" s="54">
        <f t="shared" si="18"/>
        <v>202602</v>
      </c>
      <c r="T391" s="54">
        <f t="shared" si="19"/>
        <v>202602</v>
      </c>
      <c r="U391" s="58" t="str">
        <f t="shared" si="20"/>
        <v/>
      </c>
      <c r="V391" s="58">
        <f>IF(AND($B391&lt;&gt;"",$F391&lt;&gt;"",$F391=项目明细账!$C$2),N(V390)+1,N(V390))</f>
        <v>0</v>
      </c>
      <c r="W391" s="63" t="str">
        <f>IF($H391&lt;&gt;"","项目成本",IFERROR(INDEX(基础资料!$W$4:$W$49,MATCH($I391,基础资料!$V$4:$V$49,0)),""))</f>
        <v/>
      </c>
      <c r="X391" s="63" t="str">
        <f>IFERROR(INDEX(基础资料!$R$4:$R$17,MATCH($G391,基础资料!$Q$4:$Q$17,0)),"")</f>
        <v/>
      </c>
    </row>
    <row r="392" spans="1:24">
      <c r="A392" s="58">
        <f>IF($B392="","",COUNTA($B$5:$B392))</f>
        <v>387</v>
      </c>
      <c r="B392" s="53">
        <v>46064</v>
      </c>
      <c r="C392" s="46" t="s">
        <v>179</v>
      </c>
      <c r="D392" s="63" t="str">
        <f>IFERROR(INDEX(基础资料!$F$4:$F$23,MATCH($C392,基础资料!$E$4:$E$23,0)),IF($C392="","","未匹配账户"))</f>
        <v>中展</v>
      </c>
      <c r="E392" s="39" t="s">
        <v>488</v>
      </c>
      <c r="F392" s="10" t="s">
        <v>458</v>
      </c>
      <c r="G392" s="10"/>
      <c r="H392" s="10"/>
      <c r="I392" s="10"/>
      <c r="J392" s="70" t="s">
        <v>717</v>
      </c>
      <c r="K392" s="25"/>
      <c r="L392" s="25">
        <v>407.5</v>
      </c>
      <c r="M392" s="25">
        <f>IFERROR(VLOOKUP($C392,$C$5:$M$24,11,0)+SUMIF($C$25:$C392,$C392,$K$25:$K392)-SUMIF($C$25:$C392,$C392,$L$25:$L392),"")</f>
        <v>46655.5</v>
      </c>
      <c r="N392" s="10"/>
      <c r="O392" s="10"/>
      <c r="P392" s="65"/>
      <c r="Q392" s="10"/>
      <c r="R392" s="10"/>
      <c r="S392" s="54">
        <f t="shared" si="18"/>
        <v>202602</v>
      </c>
      <c r="T392" s="54">
        <f t="shared" si="19"/>
        <v>202602</v>
      </c>
      <c r="U392" s="58" t="str">
        <f t="shared" si="20"/>
        <v/>
      </c>
      <c r="V392" s="58">
        <f>IF(AND($B392&lt;&gt;"",$F392&lt;&gt;"",$F392=项目明细账!$C$2),N(V391)+1,N(V391))</f>
        <v>0</v>
      </c>
      <c r="W392" s="63" t="str">
        <f>IF($H392&lt;&gt;"","项目成本",IFERROR(INDEX(基础资料!$W$4:$W$49,MATCH($I392,基础资料!$V$4:$V$49,0)),""))</f>
        <v/>
      </c>
      <c r="X392" s="63" t="str">
        <f>IFERROR(INDEX(基础资料!$R$4:$R$17,MATCH($G392,基础资料!$Q$4:$Q$17,0)),"")</f>
        <v/>
      </c>
    </row>
    <row r="393" spans="1:24">
      <c r="A393" s="58">
        <f>IF($B393="","",COUNTA($B$5:$B393))</f>
        <v>388</v>
      </c>
      <c r="B393" s="53">
        <v>46064</v>
      </c>
      <c r="C393" s="46" t="s">
        <v>179</v>
      </c>
      <c r="D393" s="63" t="str">
        <f>IFERROR(INDEX(基础资料!$F$4:$F$23,MATCH($C393,基础资料!$E$4:$E$23,0)),IF($C393="","","未匹配账户"))</f>
        <v>中展</v>
      </c>
      <c r="E393" s="39" t="s">
        <v>488</v>
      </c>
      <c r="F393" s="10" t="s">
        <v>291</v>
      </c>
      <c r="G393" s="10"/>
      <c r="H393" s="10"/>
      <c r="I393" s="10"/>
      <c r="J393" s="70" t="s">
        <v>717</v>
      </c>
      <c r="K393" s="25"/>
      <c r="L393" s="25">
        <v>2006</v>
      </c>
      <c r="M393" s="25">
        <f>IFERROR(VLOOKUP($C393,$C$5:$M$24,11,0)+SUMIF($C$25:$C393,$C393,$K$25:$K393)-SUMIF($C$25:$C393,$C393,$L$25:$L393),"")</f>
        <v>44649.5</v>
      </c>
      <c r="N393" s="10"/>
      <c r="O393" s="10"/>
      <c r="P393" s="65"/>
      <c r="Q393" s="10"/>
      <c r="R393" s="10"/>
      <c r="S393" s="54">
        <f t="shared" si="18"/>
        <v>202602</v>
      </c>
      <c r="T393" s="54">
        <f t="shared" si="19"/>
        <v>202602</v>
      </c>
      <c r="U393" s="58" t="str">
        <f t="shared" si="20"/>
        <v/>
      </c>
      <c r="V393" s="58">
        <f>IF(AND($B393&lt;&gt;"",$F393&lt;&gt;"",$F393=项目明细账!$C$2),N(V392)+1,N(V392))</f>
        <v>0</v>
      </c>
      <c r="W393" s="63" t="str">
        <f>IF($H393&lt;&gt;"","项目成本",IFERROR(INDEX(基础资料!$W$4:$W$49,MATCH($I393,基础资料!$V$4:$V$49,0)),""))</f>
        <v/>
      </c>
      <c r="X393" s="63" t="str">
        <f>IFERROR(INDEX(基础资料!$R$4:$R$17,MATCH($G393,基础资料!$Q$4:$Q$17,0)),"")</f>
        <v/>
      </c>
    </row>
    <row r="394" spans="1:24">
      <c r="A394" s="58">
        <f>IF($B394="","",COUNTA($B$5:$B394))</f>
        <v>389</v>
      </c>
      <c r="B394" s="53">
        <v>46064</v>
      </c>
      <c r="C394" s="46" t="s">
        <v>179</v>
      </c>
      <c r="D394" s="63" t="str">
        <f>IFERROR(INDEX(基础资料!$F$4:$F$23,MATCH($C394,基础资料!$E$4:$E$23,0)),IF($C394="","","未匹配账户"))</f>
        <v>中展</v>
      </c>
      <c r="E394" s="39" t="s">
        <v>488</v>
      </c>
      <c r="F394" s="10"/>
      <c r="G394" s="10"/>
      <c r="H394" s="10"/>
      <c r="I394" s="10" t="s">
        <v>234</v>
      </c>
      <c r="J394" s="70" t="s">
        <v>717</v>
      </c>
      <c r="K394" s="25"/>
      <c r="L394" s="25">
        <v>273</v>
      </c>
      <c r="M394" s="25">
        <f>IFERROR(VLOOKUP($C394,$C$5:$M$24,11,0)+SUMIF($C$25:$C394,$C394,$K$25:$K394)-SUMIF($C$25:$C394,$C394,$L$25:$L394),"")</f>
        <v>44376.5</v>
      </c>
      <c r="N394" s="10"/>
      <c r="O394" s="10"/>
      <c r="P394" s="65"/>
      <c r="Q394" s="10"/>
      <c r="R394" s="10"/>
      <c r="S394" s="54">
        <f t="shared" si="18"/>
        <v>202602</v>
      </c>
      <c r="T394" s="54">
        <f t="shared" si="19"/>
        <v>202602</v>
      </c>
      <c r="U394" s="58" t="str">
        <f t="shared" si="20"/>
        <v/>
      </c>
      <c r="V394" s="58">
        <f>IF(AND($B394&lt;&gt;"",$F394&lt;&gt;"",$F394=项目明细账!$C$2),N(V393)+1,N(V393))</f>
        <v>0</v>
      </c>
      <c r="W394" s="63" t="str">
        <f>IF($H394&lt;&gt;"","项目成本",IFERROR(INDEX(基础资料!$W$4:$W$49,MATCH($I394,基础资料!$V$4:$V$49,0)),""))</f>
        <v>管理费用</v>
      </c>
      <c r="X394" s="63" t="str">
        <f>IFERROR(INDEX(基础资料!$R$4:$R$17,MATCH($G394,基础资料!$Q$4:$Q$17,0)),"")</f>
        <v/>
      </c>
    </row>
    <row r="395" spans="1:24">
      <c r="A395" s="58">
        <f>IF($B395="","",COUNTA($B$5:$B395))</f>
        <v>390</v>
      </c>
      <c r="B395" s="53">
        <v>46064</v>
      </c>
      <c r="C395" s="46" t="s">
        <v>179</v>
      </c>
      <c r="D395" s="63" t="str">
        <f>IFERROR(INDEX(基础资料!$F$4:$F$23,MATCH($C395,基础资料!$E$4:$E$23,0)),IF($C395="","","未匹配账户"))</f>
        <v>中展</v>
      </c>
      <c r="E395" s="39" t="s">
        <v>488</v>
      </c>
      <c r="F395" s="10" t="s">
        <v>344</v>
      </c>
      <c r="G395" s="10"/>
      <c r="H395" s="10"/>
      <c r="I395" s="10" t="s">
        <v>234</v>
      </c>
      <c r="J395" s="70" t="s">
        <v>718</v>
      </c>
      <c r="K395" s="25"/>
      <c r="L395" s="25">
        <v>5000</v>
      </c>
      <c r="M395" s="25">
        <f>IFERROR(VLOOKUP($C395,$C$5:$M$24,11,0)+SUMIF($C$25:$C395,$C395,$K$25:$K395)-SUMIF($C$25:$C395,$C395,$L$25:$L395),"")</f>
        <v>39376.5</v>
      </c>
      <c r="N395" s="10"/>
      <c r="O395" s="10"/>
      <c r="P395" s="65"/>
      <c r="Q395" s="10"/>
      <c r="R395" s="10"/>
      <c r="S395" s="54">
        <f t="shared" si="18"/>
        <v>202602</v>
      </c>
      <c r="T395" s="54">
        <f t="shared" si="19"/>
        <v>202602</v>
      </c>
      <c r="U395" s="58" t="str">
        <f t="shared" si="20"/>
        <v/>
      </c>
      <c r="V395" s="58">
        <f>IF(AND($B395&lt;&gt;"",$F395&lt;&gt;"",$F395=项目明细账!$C$2),N(V394)+1,N(V394))</f>
        <v>0</v>
      </c>
      <c r="W395" s="63" t="str">
        <f>IF($H395&lt;&gt;"","项目成本",IFERROR(INDEX(基础资料!$W$4:$W$49,MATCH($I395,基础资料!$V$4:$V$49,0)),""))</f>
        <v>管理费用</v>
      </c>
      <c r="X395" s="63" t="str">
        <f>IFERROR(INDEX(基础资料!$R$4:$R$17,MATCH($G395,基础资料!$Q$4:$Q$17,0)),"")</f>
        <v/>
      </c>
    </row>
    <row r="396" spans="1:24">
      <c r="A396" s="58">
        <f>IF($B396="","",COUNTA($B$5:$B396))</f>
        <v>391</v>
      </c>
      <c r="B396" s="53">
        <v>46064</v>
      </c>
      <c r="C396" s="46" t="s">
        <v>179</v>
      </c>
      <c r="D396" s="63" t="str">
        <f>IFERROR(INDEX(基础资料!$F$4:$F$23,MATCH($C396,基础资料!$E$4:$E$23,0)),IF($C396="","","未匹配账户"))</f>
        <v>中展</v>
      </c>
      <c r="E396" s="39" t="s">
        <v>488</v>
      </c>
      <c r="F396" s="10"/>
      <c r="G396" s="10"/>
      <c r="H396" s="10"/>
      <c r="I396" s="10" t="s">
        <v>234</v>
      </c>
      <c r="J396" s="70" t="s">
        <v>718</v>
      </c>
      <c r="K396" s="25"/>
      <c r="L396" s="25">
        <v>1000</v>
      </c>
      <c r="M396" s="25">
        <f>IFERROR(VLOOKUP($C396,$C$5:$M$24,11,0)+SUMIF($C$25:$C396,$C396,$K$25:$K396)-SUMIF($C$25:$C396,$C396,$L$25:$L396),"")</f>
        <v>38376.5</v>
      </c>
      <c r="N396" s="10"/>
      <c r="O396" s="10"/>
      <c r="P396" s="65"/>
      <c r="Q396" s="10"/>
      <c r="R396" s="10"/>
      <c r="S396" s="54">
        <f t="shared" si="18"/>
        <v>202602</v>
      </c>
      <c r="T396" s="54">
        <f t="shared" si="19"/>
        <v>202602</v>
      </c>
      <c r="U396" s="58" t="str">
        <f t="shared" si="20"/>
        <v/>
      </c>
      <c r="V396" s="58">
        <f>IF(AND($B396&lt;&gt;"",$F396&lt;&gt;"",$F396=项目明细账!$C$2),N(V395)+1,N(V395))</f>
        <v>0</v>
      </c>
      <c r="W396" s="63" t="str">
        <f>IF($H396&lt;&gt;"","项目成本",IFERROR(INDEX(基础资料!$W$4:$W$49,MATCH($I396,基础资料!$V$4:$V$49,0)),""))</f>
        <v>管理费用</v>
      </c>
      <c r="X396" s="63" t="str">
        <f>IFERROR(INDEX(基础资料!$R$4:$R$17,MATCH($G396,基础资料!$Q$4:$Q$17,0)),"")</f>
        <v/>
      </c>
    </row>
    <row r="397" spans="1:24">
      <c r="A397" s="58">
        <f>IF($B397="","",COUNTA($B$5:$B397))</f>
        <v>392</v>
      </c>
      <c r="B397" s="53">
        <v>46064</v>
      </c>
      <c r="C397" s="46" t="s">
        <v>179</v>
      </c>
      <c r="D397" s="63" t="str">
        <f>IFERROR(INDEX(基础资料!$F$4:$F$23,MATCH($C397,基础资料!$E$4:$E$23,0)),IF($C397="","","未匹配账户"))</f>
        <v>中展</v>
      </c>
      <c r="E397" s="39" t="s">
        <v>488</v>
      </c>
      <c r="F397" s="10"/>
      <c r="G397" s="10"/>
      <c r="H397" s="10"/>
      <c r="I397" s="10" t="s">
        <v>234</v>
      </c>
      <c r="J397" s="71" t="s">
        <v>719</v>
      </c>
      <c r="K397" s="25"/>
      <c r="L397" s="25">
        <v>3051</v>
      </c>
      <c r="M397" s="25">
        <f>IFERROR(VLOOKUP($C397,$C$5:$M$24,11,0)+SUMIF($C$25:$C397,$C397,$K$25:$K397)-SUMIF($C$25:$C397,$C397,$L$25:$L397),"")</f>
        <v>35325.5</v>
      </c>
      <c r="N397" s="10"/>
      <c r="O397" s="10"/>
      <c r="P397" s="65"/>
      <c r="Q397" s="10"/>
      <c r="R397" s="10"/>
      <c r="S397" s="54">
        <f t="shared" si="18"/>
        <v>202602</v>
      </c>
      <c r="T397" s="54">
        <f t="shared" si="19"/>
        <v>202602</v>
      </c>
      <c r="U397" s="58" t="str">
        <f t="shared" si="20"/>
        <v/>
      </c>
      <c r="V397" s="58">
        <f>IF(AND($B397&lt;&gt;"",$F397&lt;&gt;"",$F397=项目明细账!$C$2),N(V396)+1,N(V396))</f>
        <v>0</v>
      </c>
      <c r="W397" s="63" t="str">
        <f>IF($H397&lt;&gt;"","项目成本",IFERROR(INDEX(基础资料!$W$4:$W$49,MATCH($I397,基础资料!$V$4:$V$49,0)),""))</f>
        <v>管理费用</v>
      </c>
      <c r="X397" s="63" t="str">
        <f>IFERROR(INDEX(基础资料!$R$4:$R$17,MATCH($G397,基础资料!$Q$4:$Q$17,0)),"")</f>
        <v/>
      </c>
    </row>
    <row r="398" spans="1:24">
      <c r="A398" s="58">
        <f>IF($B398="","",COUNTA($B$5:$B398))</f>
        <v>393</v>
      </c>
      <c r="B398" s="53">
        <v>46064</v>
      </c>
      <c r="C398" s="46" t="s">
        <v>179</v>
      </c>
      <c r="D398" s="63" t="str">
        <f>IFERROR(INDEX(基础资料!$F$4:$F$23,MATCH($C398,基础资料!$E$4:$E$23,0)),IF($C398="","","未匹配账户"))</f>
        <v>中展</v>
      </c>
      <c r="E398" s="39" t="s">
        <v>488</v>
      </c>
      <c r="F398" s="10" t="s">
        <v>291</v>
      </c>
      <c r="G398" s="10"/>
      <c r="H398" s="10" t="s">
        <v>530</v>
      </c>
      <c r="I398" s="10"/>
      <c r="J398" s="71" t="s">
        <v>719</v>
      </c>
      <c r="K398" s="25"/>
      <c r="L398" s="25">
        <v>1755</v>
      </c>
      <c r="M398" s="25">
        <f>IFERROR(VLOOKUP($C398,$C$5:$M$24,11,0)+SUMIF($C$25:$C398,$C398,$K$25:$K398)-SUMIF($C$25:$C398,$C398,$L$25:$L398),"")</f>
        <v>33570.5</v>
      </c>
      <c r="N398" s="10"/>
      <c r="O398" s="10"/>
      <c r="P398" s="65"/>
      <c r="Q398" s="10"/>
      <c r="R398" s="10"/>
      <c r="S398" s="54">
        <f t="shared" si="18"/>
        <v>202602</v>
      </c>
      <c r="T398" s="54">
        <f t="shared" si="19"/>
        <v>202602</v>
      </c>
      <c r="U398" s="58" t="str">
        <f t="shared" si="20"/>
        <v/>
      </c>
      <c r="V398" s="58">
        <f>IF(AND($B398&lt;&gt;"",$F398&lt;&gt;"",$F398=项目明细账!$C$2),N(V397)+1,N(V397))</f>
        <v>0</v>
      </c>
      <c r="W398" s="63" t="str">
        <f>IF($H398&lt;&gt;"","项目成本",IFERROR(INDEX(基础资料!$W$4:$W$49,MATCH($I398,基础资料!$V$4:$V$49,0)),""))</f>
        <v>项目成本</v>
      </c>
      <c r="X398" s="63" t="str">
        <f>IFERROR(INDEX(基础资料!$R$4:$R$17,MATCH($G398,基础资料!$Q$4:$Q$17,0)),"")</f>
        <v/>
      </c>
    </row>
    <row r="399" spans="1:24">
      <c r="A399" s="58">
        <f>IF($B399="","",COUNTA($B$5:$B399))</f>
        <v>394</v>
      </c>
      <c r="B399" s="53">
        <v>46064</v>
      </c>
      <c r="C399" s="46" t="s">
        <v>179</v>
      </c>
      <c r="D399" s="63" t="str">
        <f>IFERROR(INDEX(基础资料!$F$4:$F$23,MATCH($C399,基础资料!$E$4:$E$23,0)),IF($C399="","","未匹配账户"))</f>
        <v>中展</v>
      </c>
      <c r="E399" s="39" t="s">
        <v>488</v>
      </c>
      <c r="F399" s="10" t="s">
        <v>128</v>
      </c>
      <c r="G399" s="10"/>
      <c r="H399" s="10" t="s">
        <v>530</v>
      </c>
      <c r="I399" s="10"/>
      <c r="J399" s="71" t="s">
        <v>719</v>
      </c>
      <c r="K399" s="25"/>
      <c r="L399" s="25">
        <v>277.5</v>
      </c>
      <c r="M399" s="25">
        <f>IFERROR(VLOOKUP($C399,$C$5:$M$24,11,0)+SUMIF($C$25:$C399,$C399,$K$25:$K399)-SUMIF($C$25:$C399,$C399,$L$25:$L399),"")</f>
        <v>33293</v>
      </c>
      <c r="N399" s="10"/>
      <c r="O399" s="10"/>
      <c r="P399" s="65"/>
      <c r="Q399" s="10"/>
      <c r="R399" s="10"/>
      <c r="S399" s="54">
        <f t="shared" si="18"/>
        <v>202602</v>
      </c>
      <c r="T399" s="54">
        <f t="shared" si="19"/>
        <v>202602</v>
      </c>
      <c r="U399" s="58" t="str">
        <f t="shared" si="20"/>
        <v/>
      </c>
      <c r="V399" s="58">
        <f>IF(AND($B399&lt;&gt;"",$F399&lt;&gt;"",$F399=项目明细账!$C$2),N(V398)+1,N(V398))</f>
        <v>0</v>
      </c>
      <c r="W399" s="63" t="str">
        <f>IF($H399&lt;&gt;"","项目成本",IFERROR(INDEX(基础资料!$W$4:$W$49,MATCH($I399,基础资料!$V$4:$V$49,0)),""))</f>
        <v>项目成本</v>
      </c>
      <c r="X399" s="63" t="str">
        <f>IFERROR(INDEX(基础资料!$R$4:$R$17,MATCH($G399,基础资料!$Q$4:$Q$17,0)),"")</f>
        <v/>
      </c>
    </row>
    <row r="400" spans="1:24">
      <c r="A400" s="58">
        <f>IF($B400="","",COUNTA($B$5:$B400))</f>
        <v>395</v>
      </c>
      <c r="B400" s="53">
        <v>46065</v>
      </c>
      <c r="C400" s="46" t="s">
        <v>179</v>
      </c>
      <c r="D400" s="63" t="str">
        <f>IFERROR(INDEX(基础资料!$F$4:$F$23,MATCH($C400,基础资料!$E$4:$E$23,0)),IF($C400="","","未匹配账户"))</f>
        <v>中展</v>
      </c>
      <c r="E400" s="39" t="s">
        <v>488</v>
      </c>
      <c r="F400" s="10"/>
      <c r="G400" s="10"/>
      <c r="H400" s="10"/>
      <c r="I400" s="10" t="s">
        <v>234</v>
      </c>
      <c r="J400" s="69" t="s">
        <v>684</v>
      </c>
      <c r="K400" s="25"/>
      <c r="L400" s="25">
        <v>1600</v>
      </c>
      <c r="M400" s="25">
        <f>IFERROR(VLOOKUP($C400,$C$5:$M$24,11,0)+SUMIF($C$25:$C400,$C400,$K$25:$K400)-SUMIF($C$25:$C400,$C400,$L$25:$L400),"")</f>
        <v>31693</v>
      </c>
      <c r="N400" s="10"/>
      <c r="O400" s="10"/>
      <c r="P400" s="65"/>
      <c r="Q400" s="10"/>
      <c r="R400" s="10"/>
      <c r="S400" s="54">
        <f t="shared" si="18"/>
        <v>202602</v>
      </c>
      <c r="T400" s="54">
        <f t="shared" si="19"/>
        <v>202602</v>
      </c>
      <c r="U400" s="58" t="str">
        <f t="shared" si="20"/>
        <v/>
      </c>
      <c r="V400" s="58">
        <f>IF(AND($B400&lt;&gt;"",$F400&lt;&gt;"",$F400=项目明细账!$C$2),N(V399)+1,N(V399))</f>
        <v>0</v>
      </c>
      <c r="W400" s="63" t="str">
        <f>IF($H400&lt;&gt;"","项目成本",IFERROR(INDEX(基础资料!$W$4:$W$49,MATCH($I400,基础资料!$V$4:$V$49,0)),""))</f>
        <v>管理费用</v>
      </c>
      <c r="X400" s="63" t="str">
        <f>IFERROR(INDEX(基础资料!$R$4:$R$17,MATCH($G400,基础资料!$Q$4:$Q$17,0)),"")</f>
        <v/>
      </c>
    </row>
    <row r="401" spans="1:24">
      <c r="A401" s="58">
        <f>IF($B401="","",COUNTA($B$5:$B401))</f>
        <v>396</v>
      </c>
      <c r="B401" s="73">
        <v>46058</v>
      </c>
      <c r="C401" s="46" t="s">
        <v>197</v>
      </c>
      <c r="D401" s="63" t="str">
        <f>IFERROR(INDEX(基础资料!$F$4:$F$23,MATCH($C401,基础资料!$E$4:$E$23,0)),IF($C401="","","未匹配账户"))</f>
        <v>卓卓通</v>
      </c>
      <c r="E401" s="39" t="s">
        <v>488</v>
      </c>
      <c r="F401" s="10"/>
      <c r="G401" s="10"/>
      <c r="H401" s="10"/>
      <c r="I401" s="10" t="s">
        <v>234</v>
      </c>
      <c r="J401" s="69" t="s">
        <v>669</v>
      </c>
      <c r="K401" s="25"/>
      <c r="L401" s="25">
        <v>2900</v>
      </c>
      <c r="M401" s="25">
        <f>IFERROR(VLOOKUP($C401,$C$5:$M$24,11,0)+SUMIF($C$25:$C401,$C401,$K$25:$K401)-SUMIF($C$25:$C401,$C401,$L$25:$L401),"")</f>
        <v>253041.32</v>
      </c>
      <c r="N401" s="10"/>
      <c r="O401" s="10"/>
      <c r="P401" s="65"/>
      <c r="Q401" s="10"/>
      <c r="R401" s="10"/>
      <c r="S401" s="54">
        <f t="shared" si="18"/>
        <v>202602</v>
      </c>
      <c r="T401" s="54">
        <f t="shared" si="19"/>
        <v>202602</v>
      </c>
      <c r="U401" s="58" t="str">
        <f t="shared" si="20"/>
        <v/>
      </c>
      <c r="V401" s="58">
        <f>IF(AND($B401&lt;&gt;"",$F401&lt;&gt;"",$F401=项目明细账!$C$2),N(V400)+1,N(V400))</f>
        <v>0</v>
      </c>
      <c r="W401" s="63" t="str">
        <f>IF($H401&lt;&gt;"","项目成本",IFERROR(INDEX(基础资料!$W$4:$W$49,MATCH($I401,基础资料!$V$4:$V$49,0)),""))</f>
        <v>管理费用</v>
      </c>
      <c r="X401" s="63" t="str">
        <f>IFERROR(INDEX(基础资料!$R$4:$R$17,MATCH($G401,基础资料!$Q$4:$Q$17,0)),"")</f>
        <v/>
      </c>
    </row>
    <row r="402" spans="1:24">
      <c r="A402" s="58">
        <f>IF($B402="","",COUNTA($B$5:$B402))</f>
        <v>397</v>
      </c>
      <c r="B402" s="73">
        <v>46058</v>
      </c>
      <c r="C402" s="46" t="s">
        <v>197</v>
      </c>
      <c r="D402" s="63" t="str">
        <f>IFERROR(INDEX(基础资料!$F$4:$F$23,MATCH($C402,基础资料!$E$4:$E$23,0)),IF($C402="","","未匹配账户"))</f>
        <v>卓卓通</v>
      </c>
      <c r="E402" s="39" t="s">
        <v>488</v>
      </c>
      <c r="F402" s="10" t="s">
        <v>198</v>
      </c>
      <c r="G402" s="10"/>
      <c r="H402" s="10"/>
      <c r="I402" s="10"/>
      <c r="J402" s="69" t="s">
        <v>720</v>
      </c>
      <c r="K402" s="25"/>
      <c r="L402" s="25">
        <v>27300</v>
      </c>
      <c r="M402" s="25">
        <f>IFERROR(VLOOKUP($C402,$C$5:$M$24,11,0)+SUMIF($C$25:$C402,$C402,$K$25:$K402)-SUMIF($C$25:$C402,$C402,$L$25:$L402),"")</f>
        <v>225741.32</v>
      </c>
      <c r="N402" s="10"/>
      <c r="O402" s="10"/>
      <c r="P402" s="65"/>
      <c r="Q402" s="10"/>
      <c r="R402" s="10"/>
      <c r="S402" s="54">
        <f t="shared" si="18"/>
        <v>202602</v>
      </c>
      <c r="T402" s="54">
        <f t="shared" si="19"/>
        <v>202602</v>
      </c>
      <c r="U402" s="58" t="str">
        <f t="shared" si="20"/>
        <v/>
      </c>
      <c r="V402" s="58">
        <f>IF(AND($B402&lt;&gt;"",$F402&lt;&gt;"",$F402=项目明细账!$C$2),N(V401)+1,N(V401))</f>
        <v>0</v>
      </c>
      <c r="W402" s="63" t="str">
        <f>IF($H402&lt;&gt;"","项目成本",IFERROR(INDEX(基础资料!$W$4:$W$49,MATCH($I402,基础资料!$V$4:$V$49,0)),""))</f>
        <v/>
      </c>
      <c r="X402" s="63" t="str">
        <f>IFERROR(INDEX(基础资料!$R$4:$R$17,MATCH($G402,基础资料!$Q$4:$Q$17,0)),"")</f>
        <v/>
      </c>
    </row>
    <row r="403" spans="1:24">
      <c r="A403" s="58">
        <f>IF($B403="","",COUNTA($B$5:$B403))</f>
        <v>398</v>
      </c>
      <c r="B403" s="73">
        <v>45695</v>
      </c>
      <c r="C403" s="46" t="s">
        <v>197</v>
      </c>
      <c r="D403" s="63" t="str">
        <f>IFERROR(INDEX(基础资料!$F$4:$F$23,MATCH($C403,基础资料!$E$4:$E$23,0)),IF($C403="","","未匹配账户"))</f>
        <v>卓卓通</v>
      </c>
      <c r="E403" s="39" t="s">
        <v>488</v>
      </c>
      <c r="F403" s="10"/>
      <c r="G403" s="10"/>
      <c r="H403" s="10"/>
      <c r="I403" s="10" t="s">
        <v>237</v>
      </c>
      <c r="J403" s="70" t="s">
        <v>721</v>
      </c>
      <c r="K403" s="25"/>
      <c r="L403" s="25">
        <v>600</v>
      </c>
      <c r="M403" s="25">
        <f>IFERROR(VLOOKUP($C403,$C$5:$M$24,11,0)+SUMIF($C$25:$C403,$C403,$K$25:$K403)-SUMIF($C$25:$C403,$C403,$L$25:$L403),"")</f>
        <v>225141.32</v>
      </c>
      <c r="N403" s="10"/>
      <c r="O403" s="10"/>
      <c r="P403" s="65"/>
      <c r="Q403" s="10"/>
      <c r="R403" s="10"/>
      <c r="S403" s="54">
        <f t="shared" si="18"/>
        <v>202502</v>
      </c>
      <c r="T403" s="54">
        <f t="shared" si="19"/>
        <v>202502</v>
      </c>
      <c r="U403" s="58" t="str">
        <f t="shared" si="20"/>
        <v/>
      </c>
      <c r="V403" s="58">
        <f>IF(AND($B403&lt;&gt;"",$F403&lt;&gt;"",$F403=项目明细账!$C$2),N(V402)+1,N(V402))</f>
        <v>0</v>
      </c>
      <c r="W403" s="63" t="str">
        <f>IF($H403&lt;&gt;"","项目成本",IFERROR(INDEX(基础资料!$W$4:$W$49,MATCH($I403,基础资料!$V$4:$V$49,0)),""))</f>
        <v>人工社保</v>
      </c>
      <c r="X403" s="63" t="str">
        <f>IFERROR(INDEX(基础资料!$R$4:$R$17,MATCH($G403,基础资料!$Q$4:$Q$17,0)),"")</f>
        <v/>
      </c>
    </row>
    <row r="404" spans="1:24">
      <c r="A404" s="58">
        <f>IF($B404="","",COUNTA($B$5:$B404))</f>
        <v>399</v>
      </c>
      <c r="B404" s="73">
        <v>46063</v>
      </c>
      <c r="C404" s="46" t="s">
        <v>197</v>
      </c>
      <c r="D404" s="63" t="str">
        <f>IFERROR(INDEX(基础资料!$F$4:$F$23,MATCH($C404,基础资料!$E$4:$E$23,0)),IF($C404="","","未匹配账户"))</f>
        <v>卓卓通</v>
      </c>
      <c r="E404" s="39" t="s">
        <v>488</v>
      </c>
      <c r="F404" s="10"/>
      <c r="G404" s="10"/>
      <c r="H404" s="10"/>
      <c r="I404" s="10" t="s">
        <v>237</v>
      </c>
      <c r="J404" s="70" t="s">
        <v>722</v>
      </c>
      <c r="K404" s="25"/>
      <c r="L404" s="25">
        <v>3770</v>
      </c>
      <c r="M404" s="25">
        <f>IFERROR(VLOOKUP($C404,$C$5:$M$24,11,0)+SUMIF($C$25:$C404,$C404,$K$25:$K404)-SUMIF($C$25:$C404,$C404,$L$25:$L404),"")</f>
        <v>221371.32</v>
      </c>
      <c r="N404" s="10"/>
      <c r="O404" s="10"/>
      <c r="P404" s="65"/>
      <c r="Q404" s="10"/>
      <c r="R404" s="10"/>
      <c r="S404" s="54">
        <f t="shared" si="18"/>
        <v>202602</v>
      </c>
      <c r="T404" s="54">
        <f t="shared" si="19"/>
        <v>202602</v>
      </c>
      <c r="U404" s="58" t="str">
        <f t="shared" si="20"/>
        <v/>
      </c>
      <c r="V404" s="58">
        <f>IF(AND($B404&lt;&gt;"",$F404&lt;&gt;"",$F404=项目明细账!$C$2),N(V403)+1,N(V403))</f>
        <v>0</v>
      </c>
      <c r="W404" s="63" t="str">
        <f>IF($H404&lt;&gt;"","项目成本",IFERROR(INDEX(基础资料!$W$4:$W$49,MATCH($I404,基础资料!$V$4:$V$49,0)),""))</f>
        <v>人工社保</v>
      </c>
      <c r="X404" s="63" t="str">
        <f>IFERROR(INDEX(基础资料!$R$4:$R$17,MATCH($G404,基础资料!$Q$4:$Q$17,0)),"")</f>
        <v/>
      </c>
    </row>
    <row r="405" spans="1:24">
      <c r="A405" s="58">
        <f>IF($B405="","",COUNTA($B$5:$B405))</f>
        <v>400</v>
      </c>
      <c r="B405" s="73">
        <v>46063</v>
      </c>
      <c r="C405" s="46" t="s">
        <v>197</v>
      </c>
      <c r="D405" s="63" t="str">
        <f>IFERROR(INDEX(基础资料!$F$4:$F$23,MATCH($C405,基础资料!$E$4:$E$23,0)),IF($C405="","","未匹配账户"))</f>
        <v>卓卓通</v>
      </c>
      <c r="E405" s="39" t="s">
        <v>488</v>
      </c>
      <c r="F405" s="10"/>
      <c r="G405" s="10"/>
      <c r="H405" s="10"/>
      <c r="I405" s="10" t="s">
        <v>237</v>
      </c>
      <c r="J405" s="70" t="s">
        <v>637</v>
      </c>
      <c r="K405" s="25"/>
      <c r="L405" s="25">
        <v>5000</v>
      </c>
      <c r="M405" s="25">
        <f>IFERROR(VLOOKUP($C405,$C$5:$M$24,11,0)+SUMIF($C$25:$C405,$C405,$K$25:$K405)-SUMIF($C$25:$C405,$C405,$L$25:$L405),"")</f>
        <v>216371.32</v>
      </c>
      <c r="N405" s="10"/>
      <c r="O405" s="10"/>
      <c r="P405" s="65"/>
      <c r="Q405" s="10"/>
      <c r="R405" s="10"/>
      <c r="S405" s="54">
        <f t="shared" si="18"/>
        <v>202602</v>
      </c>
      <c r="T405" s="54">
        <f t="shared" si="19"/>
        <v>202602</v>
      </c>
      <c r="U405" s="58" t="str">
        <f t="shared" si="20"/>
        <v/>
      </c>
      <c r="V405" s="58">
        <f>IF(AND($B405&lt;&gt;"",$F405&lt;&gt;"",$F405=项目明细账!$C$2),N(V404)+1,N(V404))</f>
        <v>0</v>
      </c>
      <c r="W405" s="63" t="str">
        <f>IF($H405&lt;&gt;"","项目成本",IFERROR(INDEX(基础资料!$W$4:$W$49,MATCH($I405,基础资料!$V$4:$V$49,0)),""))</f>
        <v>人工社保</v>
      </c>
      <c r="X405" s="63" t="str">
        <f>IFERROR(INDEX(基础资料!$R$4:$R$17,MATCH($G405,基础资料!$Q$4:$Q$17,0)),"")</f>
        <v/>
      </c>
    </row>
    <row r="406" spans="1:24">
      <c r="A406" s="58">
        <f>IF($B406="","",COUNTA($B$5:$B406))</f>
        <v>401</v>
      </c>
      <c r="B406" s="73">
        <v>46063</v>
      </c>
      <c r="C406" s="46" t="s">
        <v>197</v>
      </c>
      <c r="D406" s="63" t="str">
        <f>IFERROR(INDEX(基础资料!$F$4:$F$23,MATCH($C406,基础资料!$E$4:$E$23,0)),IF($C406="","","未匹配账户"))</f>
        <v>卓卓通</v>
      </c>
      <c r="E406" s="39" t="s">
        <v>488</v>
      </c>
      <c r="F406" s="10"/>
      <c r="G406" s="10"/>
      <c r="H406" s="10"/>
      <c r="I406" s="10" t="s">
        <v>237</v>
      </c>
      <c r="J406" s="70" t="s">
        <v>638</v>
      </c>
      <c r="K406" s="25"/>
      <c r="L406" s="25">
        <v>4000</v>
      </c>
      <c r="M406" s="25">
        <f>IFERROR(VLOOKUP($C406,$C$5:$M$24,11,0)+SUMIF($C$25:$C406,$C406,$K$25:$K406)-SUMIF($C$25:$C406,$C406,$L$25:$L406),"")</f>
        <v>212371.32</v>
      </c>
      <c r="N406" s="10"/>
      <c r="O406" s="10"/>
      <c r="P406" s="65"/>
      <c r="Q406" s="10"/>
      <c r="R406" s="10"/>
      <c r="S406" s="54">
        <f t="shared" si="18"/>
        <v>202602</v>
      </c>
      <c r="T406" s="54">
        <f t="shared" si="19"/>
        <v>202602</v>
      </c>
      <c r="U406" s="58" t="str">
        <f t="shared" si="20"/>
        <v/>
      </c>
      <c r="V406" s="58">
        <f>IF(AND($B406&lt;&gt;"",$F406&lt;&gt;"",$F406=项目明细账!$C$2),N(V405)+1,N(V405))</f>
        <v>0</v>
      </c>
      <c r="W406" s="63" t="str">
        <f>IF($H406&lt;&gt;"","项目成本",IFERROR(INDEX(基础资料!$W$4:$W$49,MATCH($I406,基础资料!$V$4:$V$49,0)),""))</f>
        <v>人工社保</v>
      </c>
      <c r="X406" s="63" t="str">
        <f>IFERROR(INDEX(基础资料!$R$4:$R$17,MATCH($G406,基础资料!$Q$4:$Q$17,0)),"")</f>
        <v/>
      </c>
    </row>
    <row r="407" spans="1:24">
      <c r="A407" s="58">
        <f>IF($B407="","",COUNTA($B$5:$B407))</f>
        <v>402</v>
      </c>
      <c r="B407" s="73">
        <v>46063</v>
      </c>
      <c r="C407" s="46" t="s">
        <v>197</v>
      </c>
      <c r="D407" s="63" t="str">
        <f>IFERROR(INDEX(基础资料!$F$4:$F$23,MATCH($C407,基础资料!$E$4:$E$23,0)),IF($C407="","","未匹配账户"))</f>
        <v>卓卓通</v>
      </c>
      <c r="E407" s="39" t="s">
        <v>488</v>
      </c>
      <c r="F407" s="10"/>
      <c r="G407" s="10"/>
      <c r="H407" s="10"/>
      <c r="I407" s="10" t="s">
        <v>237</v>
      </c>
      <c r="J407" s="70" t="s">
        <v>639</v>
      </c>
      <c r="K407" s="25"/>
      <c r="L407" s="25">
        <v>3500</v>
      </c>
      <c r="M407" s="25">
        <f>IFERROR(VLOOKUP($C407,$C$5:$M$24,11,0)+SUMIF($C$25:$C407,$C407,$K$25:$K407)-SUMIF($C$25:$C407,$C407,$L$25:$L407),"")</f>
        <v>208871.32</v>
      </c>
      <c r="N407" s="10"/>
      <c r="O407" s="10"/>
      <c r="P407" s="65"/>
      <c r="Q407" s="10"/>
      <c r="R407" s="10"/>
      <c r="S407" s="54">
        <f t="shared" si="18"/>
        <v>202602</v>
      </c>
      <c r="T407" s="54">
        <f t="shared" si="19"/>
        <v>202602</v>
      </c>
      <c r="U407" s="58" t="str">
        <f t="shared" si="20"/>
        <v/>
      </c>
      <c r="V407" s="58">
        <f>IF(AND($B407&lt;&gt;"",$F407&lt;&gt;"",$F407=项目明细账!$C$2),N(V406)+1,N(V406))</f>
        <v>0</v>
      </c>
      <c r="W407" s="63" t="str">
        <f>IF($H407&lt;&gt;"","项目成本",IFERROR(INDEX(基础资料!$W$4:$W$49,MATCH($I407,基础资料!$V$4:$V$49,0)),""))</f>
        <v>人工社保</v>
      </c>
      <c r="X407" s="63" t="str">
        <f>IFERROR(INDEX(基础资料!$R$4:$R$17,MATCH($G407,基础资料!$Q$4:$Q$17,0)),"")</f>
        <v/>
      </c>
    </row>
    <row r="408" spans="1:24">
      <c r="A408" s="58">
        <f>IF($B408="","",COUNTA($B$5:$B408))</f>
        <v>403</v>
      </c>
      <c r="B408" s="73">
        <v>46063</v>
      </c>
      <c r="C408" s="46" t="s">
        <v>197</v>
      </c>
      <c r="D408" s="63" t="str">
        <f>IFERROR(INDEX(基础资料!$F$4:$F$23,MATCH($C408,基础资料!$E$4:$E$23,0)),IF($C408="","","未匹配账户"))</f>
        <v>卓卓通</v>
      </c>
      <c r="E408" s="39" t="s">
        <v>488</v>
      </c>
      <c r="F408" s="10"/>
      <c r="G408" s="10"/>
      <c r="H408" s="10"/>
      <c r="I408" s="10" t="s">
        <v>237</v>
      </c>
      <c r="J408" s="70" t="s">
        <v>644</v>
      </c>
      <c r="K408" s="25"/>
      <c r="L408" s="25">
        <v>6000</v>
      </c>
      <c r="M408" s="25">
        <f>IFERROR(VLOOKUP($C408,$C$5:$M$24,11,0)+SUMIF($C$25:$C408,$C408,$K$25:$K408)-SUMIF($C$25:$C408,$C408,$L$25:$L408),"")</f>
        <v>202871.32</v>
      </c>
      <c r="N408" s="10"/>
      <c r="O408" s="10"/>
      <c r="P408" s="65"/>
      <c r="Q408" s="10"/>
      <c r="R408" s="10"/>
      <c r="S408" s="54">
        <f t="shared" si="18"/>
        <v>202602</v>
      </c>
      <c r="T408" s="54">
        <f t="shared" si="19"/>
        <v>202602</v>
      </c>
      <c r="U408" s="58" t="str">
        <f t="shared" si="20"/>
        <v/>
      </c>
      <c r="V408" s="58">
        <f>IF(AND($B408&lt;&gt;"",$F408&lt;&gt;"",$F408=项目明细账!$C$2),N(V407)+1,N(V407))</f>
        <v>0</v>
      </c>
      <c r="W408" s="63" t="str">
        <f>IF($H408&lt;&gt;"","项目成本",IFERROR(INDEX(基础资料!$W$4:$W$49,MATCH($I408,基础资料!$V$4:$V$49,0)),""))</f>
        <v>人工社保</v>
      </c>
      <c r="X408" s="63" t="str">
        <f>IFERROR(INDEX(基础资料!$R$4:$R$17,MATCH($G408,基础资料!$Q$4:$Q$17,0)),"")</f>
        <v/>
      </c>
    </row>
    <row r="409" spans="1:24">
      <c r="A409" s="58">
        <f>IF($B409="","",COUNTA($B$5:$B409))</f>
        <v>404</v>
      </c>
      <c r="B409" s="73">
        <v>46063</v>
      </c>
      <c r="C409" s="46" t="s">
        <v>197</v>
      </c>
      <c r="D409" s="63" t="str">
        <f>IFERROR(INDEX(基础资料!$F$4:$F$23,MATCH($C409,基础资料!$E$4:$E$23,0)),IF($C409="","","未匹配账户"))</f>
        <v>卓卓通</v>
      </c>
      <c r="E409" s="39" t="s">
        <v>488</v>
      </c>
      <c r="F409" s="10"/>
      <c r="G409" s="10"/>
      <c r="H409" s="10"/>
      <c r="I409" s="10" t="s">
        <v>237</v>
      </c>
      <c r="J409" s="70" t="s">
        <v>723</v>
      </c>
      <c r="K409" s="25"/>
      <c r="L409" s="25">
        <v>3000</v>
      </c>
      <c r="M409" s="25">
        <f>IFERROR(VLOOKUP($C409,$C$5:$M$24,11,0)+SUMIF($C$25:$C409,$C409,$K$25:$K409)-SUMIF($C$25:$C409,$C409,$L$25:$L409),"")</f>
        <v>199871.32</v>
      </c>
      <c r="N409" s="10"/>
      <c r="O409" s="10"/>
      <c r="P409" s="65"/>
      <c r="Q409" s="10"/>
      <c r="R409" s="10"/>
      <c r="S409" s="54">
        <f t="shared" si="18"/>
        <v>202602</v>
      </c>
      <c r="T409" s="54">
        <f t="shared" si="19"/>
        <v>202602</v>
      </c>
      <c r="U409" s="58" t="str">
        <f t="shared" si="20"/>
        <v/>
      </c>
      <c r="V409" s="58">
        <f>IF(AND($B409&lt;&gt;"",$F409&lt;&gt;"",$F409=项目明细账!$C$2),N(V408)+1,N(V408))</f>
        <v>0</v>
      </c>
      <c r="W409" s="63" t="str">
        <f>IF($H409&lt;&gt;"","项目成本",IFERROR(INDEX(基础资料!$W$4:$W$49,MATCH($I409,基础资料!$V$4:$V$49,0)),""))</f>
        <v>人工社保</v>
      </c>
      <c r="X409" s="63" t="str">
        <f>IFERROR(INDEX(基础资料!$R$4:$R$17,MATCH($G409,基础资料!$Q$4:$Q$17,0)),"")</f>
        <v/>
      </c>
    </row>
    <row r="410" spans="1:24">
      <c r="A410" s="58">
        <f>IF($B410="","",COUNTA($B$5:$B410))</f>
        <v>405</v>
      </c>
      <c r="B410" s="73">
        <v>46063</v>
      </c>
      <c r="C410" s="46" t="s">
        <v>197</v>
      </c>
      <c r="D410" s="63" t="str">
        <f>IFERROR(INDEX(基础资料!$F$4:$F$23,MATCH($C410,基础资料!$E$4:$E$23,0)),IF($C410="","","未匹配账户"))</f>
        <v>卓卓通</v>
      </c>
      <c r="E410" s="39" t="s">
        <v>488</v>
      </c>
      <c r="F410" s="10"/>
      <c r="G410" s="10"/>
      <c r="H410" s="10"/>
      <c r="I410" s="10" t="s">
        <v>237</v>
      </c>
      <c r="J410" s="70" t="s">
        <v>642</v>
      </c>
      <c r="K410" s="25"/>
      <c r="L410" s="25">
        <v>5000</v>
      </c>
      <c r="M410" s="25">
        <f>IFERROR(VLOOKUP($C410,$C$5:$M$24,11,0)+SUMIF($C$25:$C410,$C410,$K$25:$K410)-SUMIF($C$25:$C410,$C410,$L$25:$L410),"")</f>
        <v>194871.32</v>
      </c>
      <c r="N410" s="10"/>
      <c r="O410" s="10"/>
      <c r="P410" s="65"/>
      <c r="Q410" s="10"/>
      <c r="R410" s="10"/>
      <c r="S410" s="54">
        <f t="shared" si="18"/>
        <v>202602</v>
      </c>
      <c r="T410" s="54">
        <f t="shared" si="19"/>
        <v>202602</v>
      </c>
      <c r="U410" s="58" t="str">
        <f t="shared" si="20"/>
        <v/>
      </c>
      <c r="V410" s="58">
        <f>IF(AND($B410&lt;&gt;"",$F410&lt;&gt;"",$F410=项目明细账!$C$2),N(V409)+1,N(V409))</f>
        <v>0</v>
      </c>
      <c r="W410" s="63" t="str">
        <f>IF($H410&lt;&gt;"","项目成本",IFERROR(INDEX(基础资料!$W$4:$W$49,MATCH($I410,基础资料!$V$4:$V$49,0)),""))</f>
        <v>人工社保</v>
      </c>
      <c r="X410" s="63" t="str">
        <f>IFERROR(INDEX(基础资料!$R$4:$R$17,MATCH($G410,基础资料!$Q$4:$Q$17,0)),"")</f>
        <v/>
      </c>
    </row>
    <row r="411" spans="1:24">
      <c r="A411" s="58">
        <f>IF($B411="","",COUNTA($B$5:$B411))</f>
        <v>406</v>
      </c>
      <c r="B411" s="73">
        <v>46064</v>
      </c>
      <c r="C411" s="46" t="s">
        <v>197</v>
      </c>
      <c r="D411" s="63" t="str">
        <f>IFERROR(INDEX(基础资料!$F$4:$F$23,MATCH($C411,基础资料!$E$4:$E$23,0)),IF($C411="","","未匹配账户"))</f>
        <v>卓卓通</v>
      </c>
      <c r="E411" s="39" t="s">
        <v>488</v>
      </c>
      <c r="F411" s="10"/>
      <c r="G411" s="10"/>
      <c r="H411" s="10"/>
      <c r="I411" s="10" t="s">
        <v>237</v>
      </c>
      <c r="J411" s="69" t="s">
        <v>637</v>
      </c>
      <c r="K411" s="25"/>
      <c r="L411" s="25">
        <v>1428.6</v>
      </c>
      <c r="M411" s="25">
        <f>IFERROR(VLOOKUP($C411,$C$5:$M$24,11,0)+SUMIF($C$25:$C411,$C411,$K$25:$K411)-SUMIF($C$25:$C411,$C411,$L$25:$L411),"")</f>
        <v>193442.72</v>
      </c>
      <c r="N411" s="10"/>
      <c r="O411" s="10"/>
      <c r="P411" s="65"/>
      <c r="Q411" s="10"/>
      <c r="R411" s="10"/>
      <c r="S411" s="54">
        <f t="shared" si="18"/>
        <v>202602</v>
      </c>
      <c r="T411" s="54">
        <f t="shared" si="19"/>
        <v>202602</v>
      </c>
      <c r="U411" s="58" t="str">
        <f t="shared" si="20"/>
        <v/>
      </c>
      <c r="V411" s="58">
        <f>IF(AND($B411&lt;&gt;"",$F411&lt;&gt;"",$F411=项目明细账!$C$2),N(V410)+1,N(V410))</f>
        <v>0</v>
      </c>
      <c r="W411" s="63" t="str">
        <f>IF($H411&lt;&gt;"","项目成本",IFERROR(INDEX(基础资料!$W$4:$W$49,MATCH($I411,基础资料!$V$4:$V$49,0)),""))</f>
        <v>人工社保</v>
      </c>
      <c r="X411" s="63" t="str">
        <f>IFERROR(INDEX(基础资料!$R$4:$R$17,MATCH($G411,基础资料!$Q$4:$Q$17,0)),"")</f>
        <v/>
      </c>
    </row>
    <row r="412" spans="1:24">
      <c r="A412" s="58">
        <f>IF($B412="","",COUNTA($B$5:$B412))</f>
        <v>407</v>
      </c>
      <c r="B412" s="73">
        <v>46066</v>
      </c>
      <c r="C412" s="46" t="s">
        <v>197</v>
      </c>
      <c r="D412" s="63" t="str">
        <f>IFERROR(INDEX(基础资料!$F$4:$F$23,MATCH($C412,基础资料!$E$4:$E$23,0)),IF($C412="","","未匹配账户"))</f>
        <v>卓卓通</v>
      </c>
      <c r="E412" s="39" t="s">
        <v>488</v>
      </c>
      <c r="F412" s="10"/>
      <c r="G412" s="10"/>
      <c r="H412" s="10"/>
      <c r="I412" s="10" t="s">
        <v>234</v>
      </c>
      <c r="J412" s="69" t="s">
        <v>724</v>
      </c>
      <c r="K412" s="25"/>
      <c r="L412" s="25">
        <v>1379</v>
      </c>
      <c r="M412" s="25">
        <f>IFERROR(VLOOKUP($C412,$C$5:$M$24,11,0)+SUMIF($C$25:$C412,$C412,$K$25:$K412)-SUMIF($C$25:$C412,$C412,$L$25:$L412),"")</f>
        <v>192063.72</v>
      </c>
      <c r="N412" s="10"/>
      <c r="O412" s="10"/>
      <c r="P412" s="65"/>
      <c r="Q412" s="10"/>
      <c r="R412" s="10"/>
      <c r="S412" s="54">
        <f t="shared" si="18"/>
        <v>202602</v>
      </c>
      <c r="T412" s="54">
        <f t="shared" si="19"/>
        <v>202602</v>
      </c>
      <c r="U412" s="58" t="str">
        <f t="shared" si="20"/>
        <v/>
      </c>
      <c r="V412" s="58">
        <f>IF(AND($B412&lt;&gt;"",$F412&lt;&gt;"",$F412=项目明细账!$C$2),N(V411)+1,N(V411))</f>
        <v>0</v>
      </c>
      <c r="W412" s="63" t="str">
        <f>IF($H412&lt;&gt;"","项目成本",IFERROR(INDEX(基础资料!$W$4:$W$49,MATCH($I412,基础资料!$V$4:$V$49,0)),""))</f>
        <v>管理费用</v>
      </c>
      <c r="X412" s="63" t="str">
        <f>IFERROR(INDEX(基础资料!$R$4:$R$17,MATCH($G412,基础资料!$Q$4:$Q$17,0)),"")</f>
        <v/>
      </c>
    </row>
    <row r="413" spans="1:24">
      <c r="A413" s="58">
        <f>IF($B413="","",COUNTA($B$5:$B413))</f>
        <v>408</v>
      </c>
      <c r="B413" s="73">
        <v>46102</v>
      </c>
      <c r="C413" s="46" t="s">
        <v>197</v>
      </c>
      <c r="D413" s="63" t="str">
        <f>IFERROR(INDEX(基础资料!$F$4:$F$23,MATCH($C413,基础资料!$E$4:$E$23,0)),IF($C413="","","未匹配账户"))</f>
        <v>卓卓通</v>
      </c>
      <c r="E413" s="39" t="s">
        <v>488</v>
      </c>
      <c r="F413" s="10"/>
      <c r="G413" s="10"/>
      <c r="H413" s="10"/>
      <c r="I413" s="10"/>
      <c r="J413" s="69" t="s">
        <v>725</v>
      </c>
      <c r="K413" s="25">
        <v>11.33</v>
      </c>
      <c r="L413" s="25"/>
      <c r="M413" s="25">
        <f>IFERROR(VLOOKUP($C413,$C$5:$M$24,11,0)+SUMIF($C$25:$C413,$C413,$K$25:$K413)-SUMIF($C$25:$C413,$C413,$L$25:$L413),"")</f>
        <v>192075.05</v>
      </c>
      <c r="N413" s="10"/>
      <c r="O413" s="10"/>
      <c r="P413" s="65"/>
      <c r="Q413" s="10"/>
      <c r="R413" s="10"/>
      <c r="S413" s="54">
        <f t="shared" si="18"/>
        <v>202603</v>
      </c>
      <c r="T413" s="54">
        <f t="shared" si="19"/>
        <v>202603</v>
      </c>
      <c r="U413" s="58" t="str">
        <f t="shared" si="20"/>
        <v/>
      </c>
      <c r="V413" s="58">
        <f>IF(AND($B413&lt;&gt;"",$F413&lt;&gt;"",$F413=项目明细账!$C$2),N(V412)+1,N(V412))</f>
        <v>0</v>
      </c>
      <c r="W413" s="63" t="str">
        <f>IF($H413&lt;&gt;"","项目成本",IFERROR(INDEX(基础资料!$W$4:$W$49,MATCH($I413,基础资料!$V$4:$V$49,0)),""))</f>
        <v/>
      </c>
      <c r="X413" s="63" t="str">
        <f>IFERROR(INDEX(基础资料!$R$4:$R$17,MATCH($G413,基础资料!$Q$4:$Q$17,0)),"")</f>
        <v/>
      </c>
    </row>
    <row r="414" spans="1:24">
      <c r="A414" s="58">
        <f>IF($B414="","",COUNTA($B$5:$B414))</f>
        <v>409</v>
      </c>
      <c r="B414" s="73">
        <v>46108</v>
      </c>
      <c r="C414" s="46" t="s">
        <v>197</v>
      </c>
      <c r="D414" s="63" t="str">
        <f>IFERROR(INDEX(基础资料!$F$4:$F$23,MATCH($C414,基础资料!$E$4:$E$23,0)),IF($C414="","","未匹配账户"))</f>
        <v>卓卓通</v>
      </c>
      <c r="E414" s="39" t="s">
        <v>483</v>
      </c>
      <c r="F414" s="10"/>
      <c r="G414" s="10"/>
      <c r="H414" s="10"/>
      <c r="I414" s="10"/>
      <c r="J414" s="69" t="s">
        <v>726</v>
      </c>
      <c r="K414" s="25">
        <v>79545</v>
      </c>
      <c r="L414" s="25"/>
      <c r="M414" s="25">
        <f>IFERROR(VLOOKUP($C414,$C$5:$M$24,11,0)+SUMIF($C$25:$C414,$C414,$K$25:$K414)-SUMIF($C$25:$C414,$C414,$L$25:$L414),"")</f>
        <v>271620.05</v>
      </c>
      <c r="N414" s="10"/>
      <c r="O414" s="10"/>
      <c r="P414" s="65"/>
      <c r="Q414" s="10"/>
      <c r="R414" s="10"/>
      <c r="S414" s="54">
        <f t="shared" si="18"/>
        <v>202603</v>
      </c>
      <c r="T414" s="54">
        <f t="shared" si="19"/>
        <v>202603</v>
      </c>
      <c r="U414" s="58" t="str">
        <f t="shared" si="20"/>
        <v/>
      </c>
      <c r="V414" s="58">
        <f>IF(AND($B414&lt;&gt;"",$F414&lt;&gt;"",$F414=项目明细账!$C$2),N(V413)+1,N(V413))</f>
        <v>0</v>
      </c>
      <c r="W414" s="63" t="str">
        <f>IF($H414&lt;&gt;"","项目成本",IFERROR(INDEX(基础资料!$W$4:$W$49,MATCH($I414,基础资料!$V$4:$V$49,0)),""))</f>
        <v/>
      </c>
      <c r="X414" s="63" t="str">
        <f>IFERROR(INDEX(基础资料!$R$4:$R$17,MATCH($G414,基础资料!$Q$4:$Q$17,0)),"")</f>
        <v/>
      </c>
    </row>
    <row r="415" spans="1:24">
      <c r="A415" s="58" t="str">
        <f>IF($B415="","",COUNTA($B$5:$B415))</f>
        <v/>
      </c>
      <c r="B415" s="53"/>
      <c r="C415" s="46"/>
      <c r="D415" s="63" t="str">
        <f>IFERROR(INDEX(基础资料!$F$4:$F$23,MATCH($C415,基础资料!$E$4:$E$23,0)),IF($C415="","","未匹配账户"))</f>
        <v/>
      </c>
      <c r="E415" s="39" t="s">
        <v>483</v>
      </c>
      <c r="F415" s="10"/>
      <c r="G415" s="10"/>
      <c r="H415" s="10"/>
      <c r="I415" s="10"/>
      <c r="J415" s="69" t="s">
        <v>726</v>
      </c>
      <c r="K415" s="25">
        <v>61675</v>
      </c>
      <c r="L415" s="25"/>
      <c r="M415" s="25" t="str">
        <f>IFERROR(VLOOKUP($C415,$C$5:$M$24,11,0)+SUMIF($C$25:$C415,$C415,$K$25:$K415)-SUMIF($C$25:$C415,$C415,$L$25:$L415),"")</f>
        <v/>
      </c>
      <c r="N415" s="10"/>
      <c r="O415" s="10"/>
      <c r="P415" s="65"/>
      <c r="Q415" s="10"/>
      <c r="R415" s="10"/>
      <c r="S415" s="54" t="str">
        <f t="shared" si="18"/>
        <v/>
      </c>
      <c r="T415" s="54" t="str">
        <f t="shared" si="19"/>
        <v/>
      </c>
      <c r="U415" s="58" t="str">
        <f t="shared" si="20"/>
        <v/>
      </c>
      <c r="V415" s="58">
        <f>IF(AND($B415&lt;&gt;"",$F415&lt;&gt;"",$F415=项目明细账!$C$2),N(V414)+1,N(V414))</f>
        <v>0</v>
      </c>
      <c r="W415" s="63" t="str">
        <f>IF($H415&lt;&gt;"","项目成本",IFERROR(INDEX(基础资料!$W$4:$W$49,MATCH($I415,基础资料!$V$4:$V$49,0)),""))</f>
        <v/>
      </c>
      <c r="X415" s="63" t="str">
        <f>IFERROR(INDEX(基础资料!$R$4:$R$17,MATCH($G415,基础资料!$Q$4:$Q$17,0)),"")</f>
        <v/>
      </c>
    </row>
    <row r="416" spans="1:24">
      <c r="A416" s="58" t="str">
        <f>IF($B416="","",COUNTA($B$5:$B416))</f>
        <v/>
      </c>
      <c r="B416" s="53"/>
      <c r="C416" s="46"/>
      <c r="D416" s="63" t="str">
        <f>IFERROR(INDEX(基础资料!$F$4:$F$23,MATCH($C416,基础资料!$E$4:$E$23,0)),IF($C416="","","未匹配账户"))</f>
        <v/>
      </c>
      <c r="E416" s="39" t="s">
        <v>483</v>
      </c>
      <c r="F416" s="10"/>
      <c r="G416" s="10"/>
      <c r="H416" s="10"/>
      <c r="I416" s="10"/>
      <c r="J416" s="69" t="s">
        <v>727</v>
      </c>
      <c r="K416" s="25">
        <v>476.61</v>
      </c>
      <c r="L416" s="25"/>
      <c r="M416" s="25" t="str">
        <f>IFERROR(VLOOKUP($C416,$C$5:$M$24,11,0)+SUMIF($C$25:$C416,$C416,$K$25:$K416)-SUMIF($C$25:$C416,$C416,$L$25:$L416),"")</f>
        <v/>
      </c>
      <c r="N416" s="10"/>
      <c r="O416" s="10"/>
      <c r="P416" s="65"/>
      <c r="Q416" s="10"/>
      <c r="R416" s="10"/>
      <c r="S416" s="54" t="str">
        <f t="shared" si="18"/>
        <v/>
      </c>
      <c r="T416" s="54" t="str">
        <f t="shared" si="19"/>
        <v/>
      </c>
      <c r="U416" s="58" t="str">
        <f t="shared" si="20"/>
        <v/>
      </c>
      <c r="V416" s="58">
        <f>IF(AND($B416&lt;&gt;"",$F416&lt;&gt;"",$F416=项目明细账!$C$2),N(V415)+1,N(V415))</f>
        <v>0</v>
      </c>
      <c r="W416" s="63" t="str">
        <f>IF($H416&lt;&gt;"","项目成本",IFERROR(INDEX(基础资料!$W$4:$W$49,MATCH($I416,基础资料!$V$4:$V$49,0)),""))</f>
        <v/>
      </c>
      <c r="X416" s="63" t="str">
        <f>IFERROR(INDEX(基础资料!$R$4:$R$17,MATCH($G416,基础资料!$Q$4:$Q$17,0)),"")</f>
        <v/>
      </c>
    </row>
    <row r="417" spans="1:24">
      <c r="A417" s="58">
        <f>IF($B417="","",COUNTA($B$5:$B417))</f>
        <v>410</v>
      </c>
      <c r="B417" s="73">
        <v>46095</v>
      </c>
      <c r="C417" s="46" t="s">
        <v>80</v>
      </c>
      <c r="D417" s="63" t="str">
        <f>IFERROR(INDEX(基础资料!$F$4:$F$23,MATCH($C417,基础资料!$E$4:$E$23,0)),IF($C417="","","未匹配账户"))</f>
        <v>双思威</v>
      </c>
      <c r="E417" s="39" t="s">
        <v>488</v>
      </c>
      <c r="F417" s="10"/>
      <c r="G417" s="10"/>
      <c r="H417" s="10"/>
      <c r="I417" s="10" t="s">
        <v>237</v>
      </c>
      <c r="J417" s="69" t="s">
        <v>491</v>
      </c>
      <c r="K417" s="25"/>
      <c r="L417" s="25">
        <v>7858.11</v>
      </c>
      <c r="M417" s="25">
        <f>IFERROR(VLOOKUP($C417,$C$5:$M$24,11,0)+SUMIF($C$25:$C417,$C417,$K$25:$K417)-SUMIF($C$25:$C417,$C417,$L$25:$L417),"")</f>
        <v>1922065.83</v>
      </c>
      <c r="N417" s="10"/>
      <c r="O417" s="10"/>
      <c r="P417" s="65"/>
      <c r="Q417" s="10"/>
      <c r="R417" s="10"/>
      <c r="S417" s="54">
        <f t="shared" si="18"/>
        <v>202603</v>
      </c>
      <c r="T417" s="54">
        <f t="shared" si="19"/>
        <v>202603</v>
      </c>
      <c r="U417" s="58" t="str">
        <f t="shared" si="20"/>
        <v/>
      </c>
      <c r="V417" s="58">
        <f>IF(AND($B417&lt;&gt;"",$F417&lt;&gt;"",$F417=项目明细账!$C$2),N(V416)+1,N(V416))</f>
        <v>0</v>
      </c>
      <c r="W417" s="63" t="str">
        <f>IF($H417&lt;&gt;"","项目成本",IFERROR(INDEX(基础资料!$W$4:$W$49,MATCH($I417,基础资料!$V$4:$V$49,0)),""))</f>
        <v>人工社保</v>
      </c>
      <c r="X417" s="63" t="str">
        <f>IFERROR(INDEX(基础资料!$R$4:$R$17,MATCH($G417,基础资料!$Q$4:$Q$17,0)),"")</f>
        <v/>
      </c>
    </row>
    <row r="418" spans="1:24">
      <c r="A418" s="58">
        <f>IF($B418="","",COUNTA($B$5:$B418))</f>
        <v>411</v>
      </c>
      <c r="B418" s="73">
        <v>46095</v>
      </c>
      <c r="C418" s="46" t="s">
        <v>80</v>
      </c>
      <c r="D418" s="63" t="str">
        <f>IFERROR(INDEX(基础资料!$F$4:$F$23,MATCH($C418,基础资料!$E$4:$E$23,0)),IF($C418="","","未匹配账户"))</f>
        <v>双思威</v>
      </c>
      <c r="E418" s="39" t="s">
        <v>488</v>
      </c>
      <c r="F418" s="10"/>
      <c r="G418" s="10"/>
      <c r="H418" s="10"/>
      <c r="I418" s="10" t="s">
        <v>237</v>
      </c>
      <c r="J418" s="69" t="s">
        <v>492</v>
      </c>
      <c r="K418" s="25"/>
      <c r="L418" s="25">
        <v>2525.11</v>
      </c>
      <c r="M418" s="25">
        <f>IFERROR(VLOOKUP($C418,$C$5:$M$24,11,0)+SUMIF($C$25:$C418,$C418,$K$25:$K418)-SUMIF($C$25:$C418,$C418,$L$25:$L418),"")</f>
        <v>1919540.72</v>
      </c>
      <c r="N418" s="10"/>
      <c r="O418" s="10"/>
      <c r="P418" s="65"/>
      <c r="Q418" s="10"/>
      <c r="R418" s="10"/>
      <c r="S418" s="54">
        <f t="shared" si="18"/>
        <v>202603</v>
      </c>
      <c r="T418" s="54">
        <f t="shared" si="19"/>
        <v>202603</v>
      </c>
      <c r="U418" s="58" t="str">
        <f t="shared" si="20"/>
        <v/>
      </c>
      <c r="V418" s="58">
        <f>IF(AND($B418&lt;&gt;"",$F418&lt;&gt;"",$F418=项目明细账!$C$2),N(V417)+1,N(V417))</f>
        <v>0</v>
      </c>
      <c r="W418" s="63" t="str">
        <f>IF($H418&lt;&gt;"","项目成本",IFERROR(INDEX(基础资料!$W$4:$W$49,MATCH($I418,基础资料!$V$4:$V$49,0)),""))</f>
        <v>人工社保</v>
      </c>
      <c r="X418" s="63" t="str">
        <f>IFERROR(INDEX(基础资料!$R$4:$R$17,MATCH($G418,基础资料!$Q$4:$Q$17,0)),"")</f>
        <v/>
      </c>
    </row>
    <row r="419" spans="1:24">
      <c r="A419" s="58">
        <f>IF($B419="","",COUNTA($B$5:$B419))</f>
        <v>412</v>
      </c>
      <c r="B419" s="73">
        <v>46095</v>
      </c>
      <c r="C419" s="46" t="s">
        <v>80</v>
      </c>
      <c r="D419" s="63" t="str">
        <f>IFERROR(INDEX(基础资料!$F$4:$F$23,MATCH($C419,基础资料!$E$4:$E$23,0)),IF($C419="","","未匹配账户"))</f>
        <v>双思威</v>
      </c>
      <c r="E419" s="39" t="s">
        <v>488</v>
      </c>
      <c r="F419" s="10"/>
      <c r="G419" s="10"/>
      <c r="H419" s="10"/>
      <c r="I419" s="10" t="s">
        <v>237</v>
      </c>
      <c r="J419" s="69" t="s">
        <v>493</v>
      </c>
      <c r="K419" s="25"/>
      <c r="L419" s="25">
        <v>2409.23</v>
      </c>
      <c r="M419" s="25">
        <f>IFERROR(VLOOKUP($C419,$C$5:$M$24,11,0)+SUMIF($C$25:$C419,$C419,$K$25:$K419)-SUMIF($C$25:$C419,$C419,$L$25:$L419),"")</f>
        <v>1917131.49</v>
      </c>
      <c r="N419" s="10"/>
      <c r="O419" s="10"/>
      <c r="P419" s="65"/>
      <c r="Q419" s="10"/>
      <c r="R419" s="10"/>
      <c r="S419" s="54">
        <f t="shared" si="18"/>
        <v>202603</v>
      </c>
      <c r="T419" s="54">
        <f t="shared" si="19"/>
        <v>202603</v>
      </c>
      <c r="U419" s="58" t="str">
        <f t="shared" si="20"/>
        <v/>
      </c>
      <c r="V419" s="58">
        <f>IF(AND($B419&lt;&gt;"",$F419&lt;&gt;"",$F419=项目明细账!$C$2),N(V418)+1,N(V418))</f>
        <v>0</v>
      </c>
      <c r="W419" s="63" t="str">
        <f>IF($H419&lt;&gt;"","项目成本",IFERROR(INDEX(基础资料!$W$4:$W$49,MATCH($I419,基础资料!$V$4:$V$49,0)),""))</f>
        <v>人工社保</v>
      </c>
      <c r="X419" s="63" t="str">
        <f>IFERROR(INDEX(基础资料!$R$4:$R$17,MATCH($G419,基础资料!$Q$4:$Q$17,0)),"")</f>
        <v/>
      </c>
    </row>
    <row r="420" spans="1:24">
      <c r="A420" s="58">
        <f>IF($B420="","",COUNTA($B$5:$B420))</f>
        <v>413</v>
      </c>
      <c r="B420" s="73">
        <v>46095</v>
      </c>
      <c r="C420" s="46" t="s">
        <v>80</v>
      </c>
      <c r="D420" s="63" t="str">
        <f>IFERROR(INDEX(基础资料!$F$4:$F$23,MATCH($C420,基础资料!$E$4:$E$23,0)),IF($C420="","","未匹配账户"))</f>
        <v>双思威</v>
      </c>
      <c r="E420" s="39" t="s">
        <v>488</v>
      </c>
      <c r="F420" s="10"/>
      <c r="G420" s="10"/>
      <c r="H420" s="10"/>
      <c r="I420" s="10" t="s">
        <v>237</v>
      </c>
      <c r="J420" s="69" t="s">
        <v>494</v>
      </c>
      <c r="K420" s="25"/>
      <c r="L420" s="25">
        <v>6189.81</v>
      </c>
      <c r="M420" s="25">
        <f>IFERROR(VLOOKUP($C420,$C$5:$M$24,11,0)+SUMIF($C$25:$C420,$C420,$K$25:$K420)-SUMIF($C$25:$C420,$C420,$L$25:$L420),"")</f>
        <v>1910941.68</v>
      </c>
      <c r="N420" s="10"/>
      <c r="O420" s="10"/>
      <c r="P420" s="65"/>
      <c r="Q420" s="10"/>
      <c r="R420" s="10"/>
      <c r="S420" s="54">
        <f t="shared" si="18"/>
        <v>202603</v>
      </c>
      <c r="T420" s="54">
        <f t="shared" si="19"/>
        <v>202603</v>
      </c>
      <c r="U420" s="58" t="str">
        <f t="shared" si="20"/>
        <v/>
      </c>
      <c r="V420" s="58">
        <f>IF(AND($B420&lt;&gt;"",$F420&lt;&gt;"",$F420=项目明细账!$C$2),N(V419)+1,N(V419))</f>
        <v>0</v>
      </c>
      <c r="W420" s="63" t="str">
        <f>IF($H420&lt;&gt;"","项目成本",IFERROR(INDEX(基础资料!$W$4:$W$49,MATCH($I420,基础资料!$V$4:$V$49,0)),""))</f>
        <v>人工社保</v>
      </c>
      <c r="X420" s="63" t="str">
        <f>IFERROR(INDEX(基础资料!$R$4:$R$17,MATCH($G420,基础资料!$Q$4:$Q$17,0)),"")</f>
        <v/>
      </c>
    </row>
    <row r="421" spans="1:24">
      <c r="A421" s="58">
        <f>IF($B421="","",COUNTA($B$5:$B421))</f>
        <v>414</v>
      </c>
      <c r="B421" s="73">
        <v>46095</v>
      </c>
      <c r="C421" s="46" t="s">
        <v>80</v>
      </c>
      <c r="D421" s="63" t="str">
        <f>IFERROR(INDEX(基础资料!$F$4:$F$23,MATCH($C421,基础资料!$E$4:$E$23,0)),IF($C421="","","未匹配账户"))</f>
        <v>双思威</v>
      </c>
      <c r="E421" s="39" t="s">
        <v>488</v>
      </c>
      <c r="F421" s="10"/>
      <c r="G421" s="10"/>
      <c r="H421" s="10"/>
      <c r="I421" s="10" t="s">
        <v>237</v>
      </c>
      <c r="J421" s="69" t="s">
        <v>495</v>
      </c>
      <c r="K421" s="25"/>
      <c r="L421" s="25">
        <v>1944.36</v>
      </c>
      <c r="M421" s="25">
        <f>IFERROR(VLOOKUP($C421,$C$5:$M$24,11,0)+SUMIF($C$25:$C421,$C421,$K$25:$K421)-SUMIF($C$25:$C421,$C421,$L$25:$L421),"")</f>
        <v>1908997.32</v>
      </c>
      <c r="N421" s="10"/>
      <c r="O421" s="10"/>
      <c r="P421" s="65"/>
      <c r="Q421" s="10"/>
      <c r="R421" s="10"/>
      <c r="S421" s="54">
        <f t="shared" si="18"/>
        <v>202603</v>
      </c>
      <c r="T421" s="54">
        <f t="shared" si="19"/>
        <v>202603</v>
      </c>
      <c r="U421" s="58" t="str">
        <f t="shared" si="20"/>
        <v/>
      </c>
      <c r="V421" s="58">
        <f>IF(AND($B421&lt;&gt;"",$F421&lt;&gt;"",$F421=项目明细账!$C$2),N(V420)+1,N(V420))</f>
        <v>0</v>
      </c>
      <c r="W421" s="63" t="str">
        <f>IF($H421&lt;&gt;"","项目成本",IFERROR(INDEX(基础资料!$W$4:$W$49,MATCH($I421,基础资料!$V$4:$V$49,0)),""))</f>
        <v>人工社保</v>
      </c>
      <c r="X421" s="63" t="str">
        <f>IFERROR(INDEX(基础资料!$R$4:$R$17,MATCH($G421,基础资料!$Q$4:$Q$17,0)),"")</f>
        <v/>
      </c>
    </row>
    <row r="422" spans="1:24">
      <c r="A422" s="58">
        <f>IF($B422="","",COUNTA($B$5:$B422))</f>
        <v>415</v>
      </c>
      <c r="B422" s="73">
        <v>46095</v>
      </c>
      <c r="C422" s="46" t="s">
        <v>80</v>
      </c>
      <c r="D422" s="63" t="str">
        <f>IFERROR(INDEX(基础资料!$F$4:$F$23,MATCH($C422,基础资料!$E$4:$E$23,0)),IF($C422="","","未匹配账户"))</f>
        <v>双思威</v>
      </c>
      <c r="E422" s="39" t="s">
        <v>488</v>
      </c>
      <c r="F422" s="10"/>
      <c r="G422" s="10"/>
      <c r="H422" s="10"/>
      <c r="I422" s="10" t="s">
        <v>237</v>
      </c>
      <c r="J422" s="69" t="s">
        <v>496</v>
      </c>
      <c r="K422" s="25"/>
      <c r="L422" s="25">
        <v>2004.36</v>
      </c>
      <c r="M422" s="25">
        <f>IFERROR(VLOOKUP($C422,$C$5:$M$24,11,0)+SUMIF($C$25:$C422,$C422,$K$25:$K422)-SUMIF($C$25:$C422,$C422,$L$25:$L422),"")</f>
        <v>1906992.96</v>
      </c>
      <c r="N422" s="10"/>
      <c r="O422" s="10"/>
      <c r="P422" s="65"/>
      <c r="Q422" s="10"/>
      <c r="R422" s="10"/>
      <c r="S422" s="54">
        <f t="shared" si="18"/>
        <v>202603</v>
      </c>
      <c r="T422" s="54">
        <f t="shared" si="19"/>
        <v>202603</v>
      </c>
      <c r="U422" s="58" t="str">
        <f t="shared" si="20"/>
        <v/>
      </c>
      <c r="V422" s="58">
        <f>IF(AND($B422&lt;&gt;"",$F422&lt;&gt;"",$F422=项目明细账!$C$2),N(V421)+1,N(V421))</f>
        <v>0</v>
      </c>
      <c r="W422" s="63" t="str">
        <f>IF($H422&lt;&gt;"","项目成本",IFERROR(INDEX(基础资料!$W$4:$W$49,MATCH($I422,基础资料!$V$4:$V$49,0)),""))</f>
        <v>人工社保</v>
      </c>
      <c r="X422" s="63" t="str">
        <f>IFERROR(INDEX(基础资料!$R$4:$R$17,MATCH($G422,基础资料!$Q$4:$Q$17,0)),"")</f>
        <v/>
      </c>
    </row>
    <row r="423" spans="1:24">
      <c r="A423" s="58">
        <f>IF($B423="","",COUNTA($B$5:$B423))</f>
        <v>416</v>
      </c>
      <c r="B423" s="73">
        <v>46095</v>
      </c>
      <c r="C423" s="46" t="s">
        <v>80</v>
      </c>
      <c r="D423" s="63" t="str">
        <f>IFERROR(INDEX(基础资料!$F$4:$F$23,MATCH($C423,基础资料!$E$4:$E$23,0)),IF($C423="","","未匹配账户"))</f>
        <v>双思威</v>
      </c>
      <c r="E423" s="39" t="s">
        <v>488</v>
      </c>
      <c r="F423" s="10"/>
      <c r="G423" s="10"/>
      <c r="H423" s="10"/>
      <c r="I423" s="10" t="s">
        <v>237</v>
      </c>
      <c r="J423" s="69" t="s">
        <v>497</v>
      </c>
      <c r="K423" s="25"/>
      <c r="L423" s="25">
        <v>2089.36</v>
      </c>
      <c r="M423" s="25">
        <f>IFERROR(VLOOKUP($C423,$C$5:$M$24,11,0)+SUMIF($C$25:$C423,$C423,$K$25:$K423)-SUMIF($C$25:$C423,$C423,$L$25:$L423),"")</f>
        <v>1904903.6</v>
      </c>
      <c r="N423" s="10"/>
      <c r="O423" s="10"/>
      <c r="P423" s="65"/>
      <c r="Q423" s="10"/>
      <c r="R423" s="10"/>
      <c r="S423" s="54">
        <f t="shared" si="18"/>
        <v>202603</v>
      </c>
      <c r="T423" s="54">
        <f t="shared" si="19"/>
        <v>202603</v>
      </c>
      <c r="U423" s="58" t="str">
        <f t="shared" si="20"/>
        <v/>
      </c>
      <c r="V423" s="58">
        <f>IF(AND($B423&lt;&gt;"",$F423&lt;&gt;"",$F423=项目明细账!$C$2),N(V422)+1,N(V422))</f>
        <v>0</v>
      </c>
      <c r="W423" s="63" t="str">
        <f>IF($H423&lt;&gt;"","项目成本",IFERROR(INDEX(基础资料!$W$4:$W$49,MATCH($I423,基础资料!$V$4:$V$49,0)),""))</f>
        <v>人工社保</v>
      </c>
      <c r="X423" s="63" t="str">
        <f>IFERROR(INDEX(基础资料!$R$4:$R$17,MATCH($G423,基础资料!$Q$4:$Q$17,0)),"")</f>
        <v/>
      </c>
    </row>
    <row r="424" spans="1:24">
      <c r="A424" s="58">
        <f>IF($B424="","",COUNTA($B$5:$B424))</f>
        <v>417</v>
      </c>
      <c r="B424" s="73">
        <v>46095</v>
      </c>
      <c r="C424" s="46" t="s">
        <v>80</v>
      </c>
      <c r="D424" s="63" t="str">
        <f>IFERROR(INDEX(基础资料!$F$4:$F$23,MATCH($C424,基础资料!$E$4:$E$23,0)),IF($C424="","","未匹配账户"))</f>
        <v>双思威</v>
      </c>
      <c r="E424" s="39" t="s">
        <v>488</v>
      </c>
      <c r="F424" s="10"/>
      <c r="G424" s="10"/>
      <c r="H424" s="10"/>
      <c r="I424" s="10" t="s">
        <v>237</v>
      </c>
      <c r="J424" s="69" t="s">
        <v>655</v>
      </c>
      <c r="K424" s="25"/>
      <c r="L424" s="25">
        <v>2089.36</v>
      </c>
      <c r="M424" s="25">
        <f>IFERROR(VLOOKUP($C424,$C$5:$M$24,11,0)+SUMIF($C$25:$C424,$C424,$K$25:$K424)-SUMIF($C$25:$C424,$C424,$L$25:$L424),"")</f>
        <v>1902814.24</v>
      </c>
      <c r="N424" s="10"/>
      <c r="O424" s="10"/>
      <c r="P424" s="65"/>
      <c r="Q424" s="10"/>
      <c r="R424" s="10"/>
      <c r="S424" s="54">
        <f t="shared" si="18"/>
        <v>202603</v>
      </c>
      <c r="T424" s="54">
        <f t="shared" si="19"/>
        <v>202603</v>
      </c>
      <c r="U424" s="58" t="str">
        <f t="shared" si="20"/>
        <v/>
      </c>
      <c r="V424" s="58">
        <f>IF(AND($B424&lt;&gt;"",$F424&lt;&gt;"",$F424=项目明细账!$C$2),N(V423)+1,N(V423))</f>
        <v>0</v>
      </c>
      <c r="W424" s="63" t="str">
        <f>IF($H424&lt;&gt;"","项目成本",IFERROR(INDEX(基础资料!$W$4:$W$49,MATCH($I424,基础资料!$V$4:$V$49,0)),""))</f>
        <v>人工社保</v>
      </c>
      <c r="X424" s="63" t="str">
        <f>IFERROR(INDEX(基础资料!$R$4:$R$17,MATCH($G424,基础资料!$Q$4:$Q$17,0)),"")</f>
        <v/>
      </c>
    </row>
    <row r="425" spans="1:24">
      <c r="A425" s="58">
        <f>IF($B425="","",COUNTA($B$5:$B425))</f>
        <v>418</v>
      </c>
      <c r="B425" s="73">
        <v>46095</v>
      </c>
      <c r="C425" s="46" t="s">
        <v>80</v>
      </c>
      <c r="D425" s="63" t="str">
        <f>IFERROR(INDEX(基础资料!$F$4:$F$23,MATCH($C425,基础资料!$E$4:$E$23,0)),IF($C425="","","未匹配账户"))</f>
        <v>双思威</v>
      </c>
      <c r="E425" s="39" t="s">
        <v>488</v>
      </c>
      <c r="F425" s="10"/>
      <c r="G425" s="10"/>
      <c r="H425" s="10"/>
      <c r="I425" s="10" t="s">
        <v>237</v>
      </c>
      <c r="J425" s="69" t="s">
        <v>498</v>
      </c>
      <c r="K425" s="25"/>
      <c r="L425" s="25">
        <v>1500</v>
      </c>
      <c r="M425" s="25">
        <f>IFERROR(VLOOKUP($C425,$C$5:$M$24,11,0)+SUMIF($C$25:$C425,$C425,$K$25:$K425)-SUMIF($C$25:$C425,$C425,$L$25:$L425),"")</f>
        <v>1901314.24</v>
      </c>
      <c r="N425" s="10"/>
      <c r="O425" s="10"/>
      <c r="P425" s="65"/>
      <c r="Q425" s="10"/>
      <c r="R425" s="10"/>
      <c r="S425" s="54">
        <f t="shared" si="18"/>
        <v>202603</v>
      </c>
      <c r="T425" s="54">
        <f t="shared" si="19"/>
        <v>202603</v>
      </c>
      <c r="U425" s="58" t="str">
        <f t="shared" si="20"/>
        <v/>
      </c>
      <c r="V425" s="58">
        <f>IF(AND($B425&lt;&gt;"",$F425&lt;&gt;"",$F425=项目明细账!$C$2),N(V424)+1,N(V424))</f>
        <v>0</v>
      </c>
      <c r="W425" s="63" t="str">
        <f>IF($H425&lt;&gt;"","项目成本",IFERROR(INDEX(基础资料!$W$4:$W$49,MATCH($I425,基础资料!$V$4:$V$49,0)),""))</f>
        <v>人工社保</v>
      </c>
      <c r="X425" s="63" t="str">
        <f>IFERROR(INDEX(基础资料!$R$4:$R$17,MATCH($G425,基础资料!$Q$4:$Q$17,0)),"")</f>
        <v/>
      </c>
    </row>
    <row r="426" spans="1:24">
      <c r="A426" s="58">
        <f>IF($B426="","",COUNTA($B$5:$B426))</f>
        <v>419</v>
      </c>
      <c r="B426" s="73">
        <v>46095</v>
      </c>
      <c r="C426" s="46" t="s">
        <v>80</v>
      </c>
      <c r="D426" s="63" t="str">
        <f>IFERROR(INDEX(基础资料!$F$4:$F$23,MATCH($C426,基础资料!$E$4:$E$23,0)),IF($C426="","","未匹配账户"))</f>
        <v>双思威</v>
      </c>
      <c r="E426" s="39" t="s">
        <v>488</v>
      </c>
      <c r="F426" s="10"/>
      <c r="G426" s="10"/>
      <c r="H426" s="10"/>
      <c r="I426" s="10" t="s">
        <v>237</v>
      </c>
      <c r="J426" s="69" t="s">
        <v>499</v>
      </c>
      <c r="K426" s="25"/>
      <c r="L426" s="25">
        <v>1813.36</v>
      </c>
      <c r="M426" s="25">
        <f>IFERROR(VLOOKUP($C426,$C$5:$M$24,11,0)+SUMIF($C$25:$C426,$C426,$K$25:$K426)-SUMIF($C$25:$C426,$C426,$L$25:$L426),"")</f>
        <v>1899500.88</v>
      </c>
      <c r="N426" s="10"/>
      <c r="O426" s="10"/>
      <c r="P426" s="65"/>
      <c r="Q426" s="10"/>
      <c r="R426" s="10"/>
      <c r="S426" s="54">
        <f t="shared" si="18"/>
        <v>202603</v>
      </c>
      <c r="T426" s="54">
        <f t="shared" si="19"/>
        <v>202603</v>
      </c>
      <c r="U426" s="58" t="str">
        <f t="shared" si="20"/>
        <v/>
      </c>
      <c r="V426" s="58">
        <f>IF(AND($B426&lt;&gt;"",$F426&lt;&gt;"",$F426=项目明细账!$C$2),N(V425)+1,N(V425))</f>
        <v>0</v>
      </c>
      <c r="W426" s="63" t="str">
        <f>IF($H426&lt;&gt;"","项目成本",IFERROR(INDEX(基础资料!$W$4:$W$49,MATCH($I426,基础资料!$V$4:$V$49,0)),""))</f>
        <v>人工社保</v>
      </c>
      <c r="X426" s="63" t="str">
        <f>IFERROR(INDEX(基础资料!$R$4:$R$17,MATCH($G426,基础资料!$Q$4:$Q$17,0)),"")</f>
        <v/>
      </c>
    </row>
    <row r="427" spans="1:24">
      <c r="A427" s="58">
        <f>IF($B427="","",COUNTA($B$5:$B427))</f>
        <v>420</v>
      </c>
      <c r="B427" s="73">
        <v>46095</v>
      </c>
      <c r="C427" s="46" t="s">
        <v>80</v>
      </c>
      <c r="D427" s="63" t="str">
        <f>IFERROR(INDEX(基础资料!$F$4:$F$23,MATCH($C427,基础资料!$E$4:$E$23,0)),IF($C427="","","未匹配账户"))</f>
        <v>双思威</v>
      </c>
      <c r="E427" s="39" t="s">
        <v>488</v>
      </c>
      <c r="F427" s="10"/>
      <c r="G427" s="10"/>
      <c r="H427" s="10"/>
      <c r="I427" s="10" t="s">
        <v>237</v>
      </c>
      <c r="J427" s="69" t="s">
        <v>500</v>
      </c>
      <c r="K427" s="25"/>
      <c r="L427" s="25">
        <v>2857.61</v>
      </c>
      <c r="M427" s="25">
        <f>IFERROR(VLOOKUP($C427,$C$5:$M$24,11,0)+SUMIF($C$25:$C427,$C427,$K$25:$K427)-SUMIF($C$25:$C427,$C427,$L$25:$L427),"")</f>
        <v>1896643.27</v>
      </c>
      <c r="N427" s="10"/>
      <c r="O427" s="10"/>
      <c r="P427" s="65"/>
      <c r="Q427" s="10"/>
      <c r="R427" s="10"/>
      <c r="S427" s="54">
        <f t="shared" si="18"/>
        <v>202603</v>
      </c>
      <c r="T427" s="54">
        <f t="shared" si="19"/>
        <v>202603</v>
      </c>
      <c r="U427" s="58" t="str">
        <f t="shared" si="20"/>
        <v/>
      </c>
      <c r="V427" s="58">
        <f>IF(AND($B427&lt;&gt;"",$F427&lt;&gt;"",$F427=项目明细账!$C$2),N(V426)+1,N(V426))</f>
        <v>0</v>
      </c>
      <c r="W427" s="63" t="str">
        <f>IF($H427&lt;&gt;"","项目成本",IFERROR(INDEX(基础资料!$W$4:$W$49,MATCH($I427,基础资料!$V$4:$V$49,0)),""))</f>
        <v>人工社保</v>
      </c>
      <c r="X427" s="63" t="str">
        <f>IFERROR(INDEX(基础资料!$R$4:$R$17,MATCH($G427,基础资料!$Q$4:$Q$17,0)),"")</f>
        <v/>
      </c>
    </row>
    <row r="428" spans="1:24">
      <c r="A428" s="58">
        <f>IF($B428="","",COUNTA($B$5:$B428))</f>
        <v>421</v>
      </c>
      <c r="B428" s="73">
        <v>46095</v>
      </c>
      <c r="C428" s="46" t="s">
        <v>80</v>
      </c>
      <c r="D428" s="63" t="str">
        <f>IFERROR(INDEX(基础资料!$F$4:$F$23,MATCH($C428,基础资料!$E$4:$E$23,0)),IF($C428="","","未匹配账户"))</f>
        <v>双思威</v>
      </c>
      <c r="E428" s="39" t="s">
        <v>488</v>
      </c>
      <c r="F428" s="10"/>
      <c r="G428" s="10"/>
      <c r="H428" s="10"/>
      <c r="I428" s="10" t="s">
        <v>237</v>
      </c>
      <c r="J428" s="69" t="s">
        <v>501</v>
      </c>
      <c r="K428" s="25"/>
      <c r="L428" s="25">
        <v>1437.61</v>
      </c>
      <c r="M428" s="25">
        <f>IFERROR(VLOOKUP($C428,$C$5:$M$24,11,0)+SUMIF($C$25:$C428,$C428,$K$25:$K428)-SUMIF($C$25:$C428,$C428,$L$25:$L428),"")</f>
        <v>1895205.66</v>
      </c>
      <c r="N428" s="10"/>
      <c r="O428" s="10"/>
      <c r="P428" s="65"/>
      <c r="Q428" s="10"/>
      <c r="R428" s="10"/>
      <c r="S428" s="54">
        <f t="shared" si="18"/>
        <v>202603</v>
      </c>
      <c r="T428" s="54">
        <f t="shared" si="19"/>
        <v>202603</v>
      </c>
      <c r="U428" s="58" t="str">
        <f t="shared" si="20"/>
        <v/>
      </c>
      <c r="V428" s="58">
        <f>IF(AND($B428&lt;&gt;"",$F428&lt;&gt;"",$F428=项目明细账!$C$2),N(V427)+1,N(V427))</f>
        <v>0</v>
      </c>
      <c r="W428" s="63" t="str">
        <f>IF($H428&lt;&gt;"","项目成本",IFERROR(INDEX(基础资料!$W$4:$W$49,MATCH($I428,基础资料!$V$4:$V$49,0)),""))</f>
        <v>人工社保</v>
      </c>
      <c r="X428" s="63" t="str">
        <f>IFERROR(INDEX(基础资料!$R$4:$R$17,MATCH($G428,基础资料!$Q$4:$Q$17,0)),"")</f>
        <v/>
      </c>
    </row>
    <row r="429" spans="1:24">
      <c r="A429" s="58">
        <f>IF($B429="","",COUNTA($B$5:$B429))</f>
        <v>422</v>
      </c>
      <c r="B429" s="73">
        <v>46095</v>
      </c>
      <c r="C429" s="46" t="s">
        <v>80</v>
      </c>
      <c r="D429" s="63" t="str">
        <f>IFERROR(INDEX(基础资料!$F$4:$F$23,MATCH($C429,基础资料!$E$4:$E$23,0)),IF($C429="","","未匹配账户"))</f>
        <v>双思威</v>
      </c>
      <c r="E429" s="39" t="s">
        <v>488</v>
      </c>
      <c r="F429" s="10"/>
      <c r="G429" s="10"/>
      <c r="H429" s="10"/>
      <c r="I429" s="10" t="s">
        <v>237</v>
      </c>
      <c r="J429" s="69" t="s">
        <v>502</v>
      </c>
      <c r="K429" s="25"/>
      <c r="L429" s="25">
        <v>2013.11</v>
      </c>
      <c r="M429" s="25">
        <f>IFERROR(VLOOKUP($C429,$C$5:$M$24,11,0)+SUMIF($C$25:$C429,$C429,$K$25:$K429)-SUMIF($C$25:$C429,$C429,$L$25:$L429),"")</f>
        <v>1893192.55</v>
      </c>
      <c r="N429" s="10"/>
      <c r="O429" s="10"/>
      <c r="P429" s="65"/>
      <c r="Q429" s="10"/>
      <c r="R429" s="10"/>
      <c r="S429" s="54">
        <f t="shared" si="18"/>
        <v>202603</v>
      </c>
      <c r="T429" s="54">
        <f t="shared" si="19"/>
        <v>202603</v>
      </c>
      <c r="U429" s="58" t="str">
        <f t="shared" si="20"/>
        <v/>
      </c>
      <c r="V429" s="58">
        <f>IF(AND($B429&lt;&gt;"",$F429&lt;&gt;"",$F429=项目明细账!$C$2),N(V428)+1,N(V428))</f>
        <v>0</v>
      </c>
      <c r="W429" s="63" t="str">
        <f>IF($H429&lt;&gt;"","项目成本",IFERROR(INDEX(基础资料!$W$4:$W$49,MATCH($I429,基础资料!$V$4:$V$49,0)),""))</f>
        <v>人工社保</v>
      </c>
      <c r="X429" s="63" t="str">
        <f>IFERROR(INDEX(基础资料!$R$4:$R$17,MATCH($G429,基础资料!$Q$4:$Q$17,0)),"")</f>
        <v/>
      </c>
    </row>
    <row r="430" spans="1:24">
      <c r="A430" s="58">
        <f>IF($B430="","",COUNTA($B$5:$B430))</f>
        <v>423</v>
      </c>
      <c r="B430" s="73">
        <v>46095</v>
      </c>
      <c r="C430" s="46" t="s">
        <v>80</v>
      </c>
      <c r="D430" s="63" t="str">
        <f>IFERROR(INDEX(基础资料!$F$4:$F$23,MATCH($C430,基础资料!$E$4:$E$23,0)),IF($C430="","","未匹配账户"))</f>
        <v>双思威</v>
      </c>
      <c r="E430" s="39" t="s">
        <v>488</v>
      </c>
      <c r="F430" s="10"/>
      <c r="G430" s="10"/>
      <c r="H430" s="10"/>
      <c r="I430" s="10" t="s">
        <v>237</v>
      </c>
      <c r="J430" s="69" t="s">
        <v>504</v>
      </c>
      <c r="K430" s="25"/>
      <c r="L430" s="25">
        <v>1000</v>
      </c>
      <c r="M430" s="25">
        <f>IFERROR(VLOOKUP($C430,$C$5:$M$24,11,0)+SUMIF($C$25:$C430,$C430,$K$25:$K430)-SUMIF($C$25:$C430,$C430,$L$25:$L430),"")</f>
        <v>1892192.55</v>
      </c>
      <c r="N430" s="10"/>
      <c r="O430" s="10"/>
      <c r="P430" s="65"/>
      <c r="Q430" s="10"/>
      <c r="R430" s="10"/>
      <c r="S430" s="54">
        <f t="shared" si="18"/>
        <v>202603</v>
      </c>
      <c r="T430" s="54">
        <f t="shared" si="19"/>
        <v>202603</v>
      </c>
      <c r="U430" s="58" t="str">
        <f t="shared" si="20"/>
        <v/>
      </c>
      <c r="V430" s="58">
        <f>IF(AND($B430&lt;&gt;"",$F430&lt;&gt;"",$F430=项目明细账!$C$2),N(V429)+1,N(V429))</f>
        <v>0</v>
      </c>
      <c r="W430" s="63" t="str">
        <f>IF($H430&lt;&gt;"","项目成本",IFERROR(INDEX(基础资料!$W$4:$W$49,MATCH($I430,基础资料!$V$4:$V$49,0)),""))</f>
        <v>人工社保</v>
      </c>
      <c r="X430" s="63" t="str">
        <f>IFERROR(INDEX(基础资料!$R$4:$R$17,MATCH($G430,基础资料!$Q$4:$Q$17,0)),"")</f>
        <v/>
      </c>
    </row>
    <row r="431" spans="1:24">
      <c r="A431" s="58">
        <f>IF($B431="","",COUNTA($B$5:$B431))</f>
        <v>424</v>
      </c>
      <c r="B431" s="73">
        <v>46095</v>
      </c>
      <c r="C431" s="46" t="s">
        <v>80</v>
      </c>
      <c r="D431" s="63" t="str">
        <f>IFERROR(INDEX(基础资料!$F$4:$F$23,MATCH($C431,基础资料!$E$4:$E$23,0)),IF($C431="","","未匹配账户"))</f>
        <v>双思威</v>
      </c>
      <c r="E431" s="39" t="s">
        <v>488</v>
      </c>
      <c r="F431" s="10"/>
      <c r="G431" s="10"/>
      <c r="H431" s="10"/>
      <c r="I431" s="10" t="s">
        <v>237</v>
      </c>
      <c r="J431" s="69" t="s">
        <v>505</v>
      </c>
      <c r="K431" s="25"/>
      <c r="L431" s="25">
        <v>800</v>
      </c>
      <c r="M431" s="25">
        <f>IFERROR(VLOOKUP($C431,$C$5:$M$24,11,0)+SUMIF($C$25:$C431,$C431,$K$25:$K431)-SUMIF($C$25:$C431,$C431,$L$25:$L431),"")</f>
        <v>1891392.55</v>
      </c>
      <c r="N431" s="10"/>
      <c r="O431" s="10"/>
      <c r="P431" s="65"/>
      <c r="Q431" s="10"/>
      <c r="R431" s="10"/>
      <c r="S431" s="54">
        <f t="shared" si="18"/>
        <v>202603</v>
      </c>
      <c r="T431" s="54">
        <f t="shared" si="19"/>
        <v>202603</v>
      </c>
      <c r="U431" s="58" t="str">
        <f t="shared" si="20"/>
        <v/>
      </c>
      <c r="V431" s="58">
        <f>IF(AND($B431&lt;&gt;"",$F431&lt;&gt;"",$F431=项目明细账!$C$2),N(V430)+1,N(V430))</f>
        <v>0</v>
      </c>
      <c r="W431" s="63" t="str">
        <f>IF($H431&lt;&gt;"","项目成本",IFERROR(INDEX(基础资料!$W$4:$W$49,MATCH($I431,基础资料!$V$4:$V$49,0)),""))</f>
        <v>人工社保</v>
      </c>
      <c r="X431" s="63" t="str">
        <f>IFERROR(INDEX(基础资料!$R$4:$R$17,MATCH($G431,基础资料!$Q$4:$Q$17,0)),"")</f>
        <v/>
      </c>
    </row>
    <row r="432" spans="1:24">
      <c r="A432" s="58">
        <f>IF($B432="","",COUNTA($B$5:$B432))</f>
        <v>425</v>
      </c>
      <c r="B432" s="73">
        <v>46095</v>
      </c>
      <c r="C432" s="46" t="s">
        <v>80</v>
      </c>
      <c r="D432" s="63" t="str">
        <f>IFERROR(INDEX(基础资料!$F$4:$F$23,MATCH($C432,基础资料!$E$4:$E$23,0)),IF($C432="","","未匹配账户"))</f>
        <v>双思威</v>
      </c>
      <c r="E432" s="39" t="s">
        <v>488</v>
      </c>
      <c r="F432" s="10"/>
      <c r="G432" s="10"/>
      <c r="H432" s="10"/>
      <c r="I432" s="10" t="s">
        <v>237</v>
      </c>
      <c r="J432" s="69" t="s">
        <v>506</v>
      </c>
      <c r="K432" s="25"/>
      <c r="L432" s="25">
        <v>1800</v>
      </c>
      <c r="M432" s="25">
        <f>IFERROR(VLOOKUP($C432,$C$5:$M$24,11,0)+SUMIF($C$25:$C432,$C432,$K$25:$K432)-SUMIF($C$25:$C432,$C432,$L$25:$L432),"")</f>
        <v>1889592.55</v>
      </c>
      <c r="N432" s="10"/>
      <c r="O432" s="10"/>
      <c r="P432" s="65"/>
      <c r="Q432" s="10"/>
      <c r="R432" s="10"/>
      <c r="S432" s="54">
        <f t="shared" si="18"/>
        <v>202603</v>
      </c>
      <c r="T432" s="54">
        <f t="shared" si="19"/>
        <v>202603</v>
      </c>
      <c r="U432" s="58" t="str">
        <f t="shared" si="20"/>
        <v/>
      </c>
      <c r="V432" s="58">
        <f>IF(AND($B432&lt;&gt;"",$F432&lt;&gt;"",$F432=项目明细账!$C$2),N(V431)+1,N(V431))</f>
        <v>0</v>
      </c>
      <c r="W432" s="63" t="str">
        <f>IF($H432&lt;&gt;"","项目成本",IFERROR(INDEX(基础资料!$W$4:$W$49,MATCH($I432,基础资料!$V$4:$V$49,0)),""))</f>
        <v>人工社保</v>
      </c>
      <c r="X432" s="63" t="str">
        <f>IFERROR(INDEX(基础资料!$R$4:$R$17,MATCH($G432,基础资料!$Q$4:$Q$17,0)),"")</f>
        <v/>
      </c>
    </row>
    <row r="433" spans="1:24">
      <c r="A433" s="58">
        <f>IF($B433="","",COUNTA($B$5:$B433))</f>
        <v>426</v>
      </c>
      <c r="B433" s="73">
        <v>46095</v>
      </c>
      <c r="C433" s="46" t="s">
        <v>80</v>
      </c>
      <c r="D433" s="63" t="str">
        <f>IFERROR(INDEX(基础资料!$F$4:$F$23,MATCH($C433,基础资料!$E$4:$E$23,0)),IF($C433="","","未匹配账户"))</f>
        <v>双思威</v>
      </c>
      <c r="E433" s="39" t="s">
        <v>488</v>
      </c>
      <c r="F433" s="10"/>
      <c r="G433" s="10"/>
      <c r="H433" s="10"/>
      <c r="I433" s="10" t="s">
        <v>237</v>
      </c>
      <c r="J433" s="69" t="s">
        <v>507</v>
      </c>
      <c r="K433" s="25"/>
      <c r="L433" s="25">
        <v>1200</v>
      </c>
      <c r="M433" s="25">
        <f>IFERROR(VLOOKUP($C433,$C$5:$M$24,11,0)+SUMIF($C$25:$C433,$C433,$K$25:$K433)-SUMIF($C$25:$C433,$C433,$L$25:$L433),"")</f>
        <v>1888392.55</v>
      </c>
      <c r="N433" s="10"/>
      <c r="O433" s="10"/>
      <c r="P433" s="65"/>
      <c r="Q433" s="10"/>
      <c r="R433" s="10"/>
      <c r="S433" s="54">
        <f t="shared" si="18"/>
        <v>202603</v>
      </c>
      <c r="T433" s="54">
        <f t="shared" si="19"/>
        <v>202603</v>
      </c>
      <c r="U433" s="58" t="str">
        <f t="shared" si="20"/>
        <v/>
      </c>
      <c r="V433" s="58">
        <f>IF(AND($B433&lt;&gt;"",$F433&lt;&gt;"",$F433=项目明细账!$C$2),N(V432)+1,N(V432))</f>
        <v>0</v>
      </c>
      <c r="W433" s="63" t="str">
        <f>IF($H433&lt;&gt;"","项目成本",IFERROR(INDEX(基础资料!$W$4:$W$49,MATCH($I433,基础资料!$V$4:$V$49,0)),""))</f>
        <v>人工社保</v>
      </c>
      <c r="X433" s="63" t="str">
        <f>IFERROR(INDEX(基础资料!$R$4:$R$17,MATCH($G433,基础资料!$Q$4:$Q$17,0)),"")</f>
        <v/>
      </c>
    </row>
    <row r="434" spans="1:24">
      <c r="A434" s="58">
        <f>IF($B434="","",COUNTA($B$5:$B434))</f>
        <v>427</v>
      </c>
      <c r="B434" s="73">
        <v>46095</v>
      </c>
      <c r="C434" s="46" t="s">
        <v>80</v>
      </c>
      <c r="D434" s="63" t="str">
        <f>IFERROR(INDEX(基础资料!$F$4:$F$23,MATCH($C434,基础资料!$E$4:$E$23,0)),IF($C434="","","未匹配账户"))</f>
        <v>双思威</v>
      </c>
      <c r="E434" s="39" t="s">
        <v>488</v>
      </c>
      <c r="F434" s="10"/>
      <c r="G434" s="10"/>
      <c r="H434" s="10"/>
      <c r="I434" s="10" t="s">
        <v>237</v>
      </c>
      <c r="J434" s="69" t="s">
        <v>508</v>
      </c>
      <c r="K434" s="25"/>
      <c r="L434" s="25">
        <v>800</v>
      </c>
      <c r="M434" s="25">
        <f>IFERROR(VLOOKUP($C434,$C$5:$M$24,11,0)+SUMIF($C$25:$C434,$C434,$K$25:$K434)-SUMIF($C$25:$C434,$C434,$L$25:$L434),"")</f>
        <v>1887592.55</v>
      </c>
      <c r="N434" s="10"/>
      <c r="O434" s="10"/>
      <c r="P434" s="65"/>
      <c r="Q434" s="10"/>
      <c r="R434" s="10"/>
      <c r="S434" s="54">
        <f t="shared" si="18"/>
        <v>202603</v>
      </c>
      <c r="T434" s="54">
        <f t="shared" si="19"/>
        <v>202603</v>
      </c>
      <c r="U434" s="58" t="str">
        <f t="shared" si="20"/>
        <v/>
      </c>
      <c r="V434" s="58">
        <f>IF(AND($B434&lt;&gt;"",$F434&lt;&gt;"",$F434=项目明细账!$C$2),N(V433)+1,N(V433))</f>
        <v>0</v>
      </c>
      <c r="W434" s="63" t="str">
        <f>IF($H434&lt;&gt;"","项目成本",IFERROR(INDEX(基础资料!$W$4:$W$49,MATCH($I434,基础资料!$V$4:$V$49,0)),""))</f>
        <v>人工社保</v>
      </c>
      <c r="X434" s="63" t="str">
        <f>IFERROR(INDEX(基础资料!$R$4:$R$17,MATCH($G434,基础资料!$Q$4:$Q$17,0)),"")</f>
        <v/>
      </c>
    </row>
    <row r="435" spans="1:24">
      <c r="A435" s="58">
        <f>IF($B435="","",COUNTA($B$5:$B435))</f>
        <v>428</v>
      </c>
      <c r="B435" s="73">
        <v>46095</v>
      </c>
      <c r="C435" s="46" t="s">
        <v>80</v>
      </c>
      <c r="D435" s="63" t="str">
        <f>IFERROR(INDEX(基础资料!$F$4:$F$23,MATCH($C435,基础资料!$E$4:$E$23,0)),IF($C435="","","未匹配账户"))</f>
        <v>双思威</v>
      </c>
      <c r="E435" s="39" t="s">
        <v>488</v>
      </c>
      <c r="F435" s="10"/>
      <c r="G435" s="10"/>
      <c r="H435" s="10"/>
      <c r="I435" s="10" t="s">
        <v>237</v>
      </c>
      <c r="J435" s="69" t="s">
        <v>509</v>
      </c>
      <c r="K435" s="25"/>
      <c r="L435" s="25">
        <v>2800</v>
      </c>
      <c r="M435" s="25">
        <f>IFERROR(VLOOKUP($C435,$C$5:$M$24,11,0)+SUMIF($C$25:$C435,$C435,$K$25:$K435)-SUMIF($C$25:$C435,$C435,$L$25:$L435),"")</f>
        <v>1884792.55</v>
      </c>
      <c r="N435" s="10"/>
      <c r="O435" s="10"/>
      <c r="P435" s="65"/>
      <c r="Q435" s="10"/>
      <c r="R435" s="10"/>
      <c r="S435" s="54">
        <f t="shared" si="18"/>
        <v>202603</v>
      </c>
      <c r="T435" s="54">
        <f t="shared" si="19"/>
        <v>202603</v>
      </c>
      <c r="U435" s="58" t="str">
        <f t="shared" si="20"/>
        <v/>
      </c>
      <c r="V435" s="58">
        <f>IF(AND($B435&lt;&gt;"",$F435&lt;&gt;"",$F435=项目明细账!$C$2),N(V434)+1,N(V434))</f>
        <v>0</v>
      </c>
      <c r="W435" s="63" t="str">
        <f>IF($H435&lt;&gt;"","项目成本",IFERROR(INDEX(基础资料!$W$4:$W$49,MATCH($I435,基础资料!$V$4:$V$49,0)),""))</f>
        <v>人工社保</v>
      </c>
      <c r="X435" s="63" t="str">
        <f>IFERROR(INDEX(基础资料!$R$4:$R$17,MATCH($G435,基础资料!$Q$4:$Q$17,0)),"")</f>
        <v/>
      </c>
    </row>
    <row r="436" spans="1:24">
      <c r="A436" s="58">
        <f>IF($B436="","",COUNTA($B$5:$B436))</f>
        <v>429</v>
      </c>
      <c r="B436" s="73">
        <v>46095</v>
      </c>
      <c r="C436" s="46" t="s">
        <v>80</v>
      </c>
      <c r="D436" s="63" t="str">
        <f>IFERROR(INDEX(基础资料!$F$4:$F$23,MATCH($C436,基础资料!$E$4:$E$23,0)),IF($C436="","","未匹配账户"))</f>
        <v>双思威</v>
      </c>
      <c r="E436" s="39" t="s">
        <v>488</v>
      </c>
      <c r="F436" s="10"/>
      <c r="G436" s="10"/>
      <c r="H436" s="10"/>
      <c r="I436" s="10" t="s">
        <v>237</v>
      </c>
      <c r="J436" s="69" t="s">
        <v>510</v>
      </c>
      <c r="K436" s="25"/>
      <c r="L436" s="25">
        <v>1000</v>
      </c>
      <c r="M436" s="25">
        <f>IFERROR(VLOOKUP($C436,$C$5:$M$24,11,0)+SUMIF($C$25:$C436,$C436,$K$25:$K436)-SUMIF($C$25:$C436,$C436,$L$25:$L436),"")</f>
        <v>1883792.55</v>
      </c>
      <c r="N436" s="10"/>
      <c r="O436" s="10"/>
      <c r="P436" s="65"/>
      <c r="Q436" s="10"/>
      <c r="R436" s="10"/>
      <c r="S436" s="54">
        <f t="shared" si="18"/>
        <v>202603</v>
      </c>
      <c r="T436" s="54">
        <f t="shared" si="19"/>
        <v>202603</v>
      </c>
      <c r="U436" s="58" t="str">
        <f t="shared" si="20"/>
        <v/>
      </c>
      <c r="V436" s="58">
        <f>IF(AND($B436&lt;&gt;"",$F436&lt;&gt;"",$F436=项目明细账!$C$2),N(V435)+1,N(V435))</f>
        <v>0</v>
      </c>
      <c r="W436" s="63" t="str">
        <f>IF($H436&lt;&gt;"","项目成本",IFERROR(INDEX(基础资料!$W$4:$W$49,MATCH($I436,基础资料!$V$4:$V$49,0)),""))</f>
        <v>人工社保</v>
      </c>
      <c r="X436" s="63" t="str">
        <f>IFERROR(INDEX(基础资料!$R$4:$R$17,MATCH($G436,基础资料!$Q$4:$Q$17,0)),"")</f>
        <v/>
      </c>
    </row>
    <row r="437" spans="1:24">
      <c r="A437" s="58">
        <f>IF($B437="","",COUNTA($B$5:$B437))</f>
        <v>430</v>
      </c>
      <c r="B437" s="73">
        <v>46095</v>
      </c>
      <c r="C437" s="46" t="s">
        <v>80</v>
      </c>
      <c r="D437" s="63" t="str">
        <f>IFERROR(INDEX(基础资料!$F$4:$F$23,MATCH($C437,基础资料!$E$4:$E$23,0)),IF($C437="","","未匹配账户"))</f>
        <v>双思威</v>
      </c>
      <c r="E437" s="39" t="s">
        <v>488</v>
      </c>
      <c r="F437" s="10"/>
      <c r="G437" s="10"/>
      <c r="H437" s="10"/>
      <c r="I437" s="10" t="s">
        <v>237</v>
      </c>
      <c r="J437" s="69" t="s">
        <v>511</v>
      </c>
      <c r="K437" s="25"/>
      <c r="L437" s="25">
        <v>1300</v>
      </c>
      <c r="M437" s="25">
        <f>IFERROR(VLOOKUP($C437,$C$5:$M$24,11,0)+SUMIF($C$25:$C437,$C437,$K$25:$K437)-SUMIF($C$25:$C437,$C437,$L$25:$L437),"")</f>
        <v>1882492.55</v>
      </c>
      <c r="N437" s="10"/>
      <c r="O437" s="10"/>
      <c r="P437" s="65"/>
      <c r="Q437" s="10"/>
      <c r="R437" s="10"/>
      <c r="S437" s="54">
        <f t="shared" si="18"/>
        <v>202603</v>
      </c>
      <c r="T437" s="54">
        <f t="shared" si="19"/>
        <v>202603</v>
      </c>
      <c r="U437" s="58" t="str">
        <f t="shared" si="20"/>
        <v/>
      </c>
      <c r="V437" s="58">
        <f>IF(AND($B437&lt;&gt;"",$F437&lt;&gt;"",$F437=项目明细账!$C$2),N(V436)+1,N(V436))</f>
        <v>0</v>
      </c>
      <c r="W437" s="63" t="str">
        <f>IF($H437&lt;&gt;"","项目成本",IFERROR(INDEX(基础资料!$W$4:$W$49,MATCH($I437,基础资料!$V$4:$V$49,0)),""))</f>
        <v>人工社保</v>
      </c>
      <c r="X437" s="63" t="str">
        <f>IFERROR(INDEX(基础资料!$R$4:$R$17,MATCH($G437,基础资料!$Q$4:$Q$17,0)),"")</f>
        <v/>
      </c>
    </row>
    <row r="438" spans="1:24">
      <c r="A438" s="58">
        <f>IF($B438="","",COUNTA($B$5:$B438))</f>
        <v>431</v>
      </c>
      <c r="B438" s="73">
        <v>46095</v>
      </c>
      <c r="C438" s="46" t="s">
        <v>80</v>
      </c>
      <c r="D438" s="63" t="str">
        <f>IFERROR(INDEX(基础资料!$F$4:$F$23,MATCH($C438,基础资料!$E$4:$E$23,0)),IF($C438="","","未匹配账户"))</f>
        <v>双思威</v>
      </c>
      <c r="E438" s="39" t="s">
        <v>488</v>
      </c>
      <c r="F438" s="10"/>
      <c r="G438" s="10"/>
      <c r="H438" s="10"/>
      <c r="I438" s="10" t="s">
        <v>237</v>
      </c>
      <c r="J438" s="69" t="s">
        <v>656</v>
      </c>
      <c r="K438" s="25"/>
      <c r="L438" s="25">
        <v>1700</v>
      </c>
      <c r="M438" s="25">
        <f>IFERROR(VLOOKUP($C438,$C$5:$M$24,11,0)+SUMIF($C$25:$C438,$C438,$K$25:$K438)-SUMIF($C$25:$C438,$C438,$L$25:$L438),"")</f>
        <v>1880792.55</v>
      </c>
      <c r="N438" s="10"/>
      <c r="O438" s="10"/>
      <c r="P438" s="65"/>
      <c r="Q438" s="10"/>
      <c r="R438" s="10"/>
      <c r="S438" s="54">
        <f t="shared" si="18"/>
        <v>202603</v>
      </c>
      <c r="T438" s="54">
        <f t="shared" si="19"/>
        <v>202603</v>
      </c>
      <c r="U438" s="58" t="str">
        <f t="shared" si="20"/>
        <v/>
      </c>
      <c r="V438" s="58">
        <f>IF(AND($B438&lt;&gt;"",$F438&lt;&gt;"",$F438=项目明细账!$C$2),N(V437)+1,N(V437))</f>
        <v>0</v>
      </c>
      <c r="W438" s="63" t="str">
        <f>IF($H438&lt;&gt;"","项目成本",IFERROR(INDEX(基础资料!$W$4:$W$49,MATCH($I438,基础资料!$V$4:$V$49,0)),""))</f>
        <v>人工社保</v>
      </c>
      <c r="X438" s="63" t="str">
        <f>IFERROR(INDEX(基础资料!$R$4:$R$17,MATCH($G438,基础资料!$Q$4:$Q$17,0)),"")</f>
        <v/>
      </c>
    </row>
    <row r="439" spans="1:24">
      <c r="A439" s="58">
        <f>IF($B439="","",COUNTA($B$5:$B439))</f>
        <v>432</v>
      </c>
      <c r="B439" s="73">
        <v>46095</v>
      </c>
      <c r="C439" s="46" t="s">
        <v>80</v>
      </c>
      <c r="D439" s="63" t="str">
        <f>IFERROR(INDEX(基础资料!$F$4:$F$23,MATCH($C439,基础资料!$E$4:$E$23,0)),IF($C439="","","未匹配账户"))</f>
        <v>双思威</v>
      </c>
      <c r="E439" s="39" t="s">
        <v>488</v>
      </c>
      <c r="F439" s="10"/>
      <c r="G439" s="10"/>
      <c r="H439" s="10"/>
      <c r="I439" s="10" t="s">
        <v>237</v>
      </c>
      <c r="J439" s="69" t="s">
        <v>512</v>
      </c>
      <c r="K439" s="25"/>
      <c r="L439" s="25">
        <v>1700</v>
      </c>
      <c r="M439" s="25">
        <f>IFERROR(VLOOKUP($C439,$C$5:$M$24,11,0)+SUMIF($C$25:$C439,$C439,$K$25:$K439)-SUMIF($C$25:$C439,$C439,$L$25:$L439),"")</f>
        <v>1879092.55</v>
      </c>
      <c r="N439" s="10"/>
      <c r="O439" s="10"/>
      <c r="P439" s="65"/>
      <c r="Q439" s="10"/>
      <c r="R439" s="10"/>
      <c r="S439" s="54">
        <f t="shared" si="18"/>
        <v>202603</v>
      </c>
      <c r="T439" s="54">
        <f t="shared" si="19"/>
        <v>202603</v>
      </c>
      <c r="U439" s="58" t="str">
        <f t="shared" si="20"/>
        <v/>
      </c>
      <c r="V439" s="58">
        <f>IF(AND($B439&lt;&gt;"",$F439&lt;&gt;"",$F439=项目明细账!$C$2),N(V438)+1,N(V438))</f>
        <v>0</v>
      </c>
      <c r="W439" s="63" t="str">
        <f>IF($H439&lt;&gt;"","项目成本",IFERROR(INDEX(基础资料!$W$4:$W$49,MATCH($I439,基础资料!$V$4:$V$49,0)),""))</f>
        <v>人工社保</v>
      </c>
      <c r="X439" s="63" t="str">
        <f>IFERROR(INDEX(基础资料!$R$4:$R$17,MATCH($G439,基础资料!$Q$4:$Q$17,0)),"")</f>
        <v/>
      </c>
    </row>
    <row r="440" spans="1:24">
      <c r="A440" s="58">
        <f>IF($B440="","",COUNTA($B$5:$B440))</f>
        <v>433</v>
      </c>
      <c r="B440" s="73">
        <v>46095</v>
      </c>
      <c r="C440" s="46" t="s">
        <v>80</v>
      </c>
      <c r="D440" s="63" t="str">
        <f>IFERROR(INDEX(基础资料!$F$4:$F$23,MATCH($C440,基础资料!$E$4:$E$23,0)),IF($C440="","","未匹配账户"))</f>
        <v>双思威</v>
      </c>
      <c r="E440" s="39" t="s">
        <v>488</v>
      </c>
      <c r="F440" s="10"/>
      <c r="G440" s="10"/>
      <c r="H440" s="10"/>
      <c r="I440" s="10" t="s">
        <v>237</v>
      </c>
      <c r="J440" s="69" t="s">
        <v>513</v>
      </c>
      <c r="K440" s="25"/>
      <c r="L440" s="25">
        <v>1200</v>
      </c>
      <c r="M440" s="25">
        <f>IFERROR(VLOOKUP($C440,$C$5:$M$24,11,0)+SUMIF($C$25:$C440,$C440,$K$25:$K440)-SUMIF($C$25:$C440,$C440,$L$25:$L440),"")</f>
        <v>1877892.55</v>
      </c>
      <c r="N440" s="10"/>
      <c r="O440" s="10"/>
      <c r="P440" s="65"/>
      <c r="Q440" s="10"/>
      <c r="R440" s="10"/>
      <c r="S440" s="54">
        <f t="shared" si="18"/>
        <v>202603</v>
      </c>
      <c r="T440" s="54">
        <f t="shared" si="19"/>
        <v>202603</v>
      </c>
      <c r="U440" s="58" t="str">
        <f t="shared" si="20"/>
        <v/>
      </c>
      <c r="V440" s="58">
        <f>IF(AND($B440&lt;&gt;"",$F440&lt;&gt;"",$F440=项目明细账!$C$2),N(V439)+1,N(V439))</f>
        <v>0</v>
      </c>
      <c r="W440" s="63" t="str">
        <f>IF($H440&lt;&gt;"","项目成本",IFERROR(INDEX(基础资料!$W$4:$W$49,MATCH($I440,基础资料!$V$4:$V$49,0)),""))</f>
        <v>人工社保</v>
      </c>
      <c r="X440" s="63" t="str">
        <f>IFERROR(INDEX(基础资料!$R$4:$R$17,MATCH($G440,基础资料!$Q$4:$Q$17,0)),"")</f>
        <v/>
      </c>
    </row>
    <row r="441" spans="1:24">
      <c r="A441" s="58">
        <f>IF($B441="","",COUNTA($B$5:$B441))</f>
        <v>434</v>
      </c>
      <c r="B441" s="73">
        <v>46095</v>
      </c>
      <c r="C441" s="46" t="s">
        <v>80</v>
      </c>
      <c r="D441" s="63" t="str">
        <f>IFERROR(INDEX(基础资料!$F$4:$F$23,MATCH($C441,基础资料!$E$4:$E$23,0)),IF($C441="","","未匹配账户"))</f>
        <v>双思威</v>
      </c>
      <c r="E441" s="39" t="s">
        <v>488</v>
      </c>
      <c r="F441" s="10"/>
      <c r="G441" s="10"/>
      <c r="H441" s="10"/>
      <c r="I441" s="10" t="s">
        <v>237</v>
      </c>
      <c r="J441" s="69" t="s">
        <v>515</v>
      </c>
      <c r="K441" s="25"/>
      <c r="L441" s="25">
        <v>600</v>
      </c>
      <c r="M441" s="25">
        <f>IFERROR(VLOOKUP($C441,$C$5:$M$24,11,0)+SUMIF($C$25:$C441,$C441,$K$25:$K441)-SUMIF($C$25:$C441,$C441,$L$25:$L441),"")</f>
        <v>1877292.55</v>
      </c>
      <c r="N441" s="10"/>
      <c r="O441" s="10"/>
      <c r="P441" s="65"/>
      <c r="Q441" s="10"/>
      <c r="R441" s="10"/>
      <c r="S441" s="54">
        <f t="shared" si="18"/>
        <v>202603</v>
      </c>
      <c r="T441" s="54">
        <f t="shared" si="19"/>
        <v>202603</v>
      </c>
      <c r="U441" s="58" t="str">
        <f t="shared" si="20"/>
        <v/>
      </c>
      <c r="V441" s="58">
        <f>IF(AND($B441&lt;&gt;"",$F441&lt;&gt;"",$F441=项目明细账!$C$2),N(V440)+1,N(V440))</f>
        <v>0</v>
      </c>
      <c r="W441" s="63" t="str">
        <f>IF($H441&lt;&gt;"","项目成本",IFERROR(INDEX(基础资料!$W$4:$W$49,MATCH($I441,基础资料!$V$4:$V$49,0)),""))</f>
        <v>人工社保</v>
      </c>
      <c r="X441" s="63" t="str">
        <f>IFERROR(INDEX(基础资料!$R$4:$R$17,MATCH($G441,基础资料!$Q$4:$Q$17,0)),"")</f>
        <v/>
      </c>
    </row>
    <row r="442" spans="1:24">
      <c r="A442" s="58">
        <f>IF($B442="","",COUNTA($B$5:$B442))</f>
        <v>435</v>
      </c>
      <c r="B442" s="73">
        <v>46095</v>
      </c>
      <c r="C442" s="46" t="s">
        <v>80</v>
      </c>
      <c r="D442" s="63" t="str">
        <f>IFERROR(INDEX(基础资料!$F$4:$F$23,MATCH($C442,基础资料!$E$4:$E$23,0)),IF($C442="","","未匹配账户"))</f>
        <v>双思威</v>
      </c>
      <c r="E442" s="39" t="s">
        <v>488</v>
      </c>
      <c r="F442" s="10"/>
      <c r="G442" s="10"/>
      <c r="H442" s="10"/>
      <c r="I442" s="10" t="s">
        <v>237</v>
      </c>
      <c r="J442" s="69" t="s">
        <v>516</v>
      </c>
      <c r="K442" s="25"/>
      <c r="L442" s="25">
        <v>1179.24</v>
      </c>
      <c r="M442" s="25">
        <f>IFERROR(VLOOKUP($C442,$C$5:$M$24,11,0)+SUMIF($C$25:$C442,$C442,$K$25:$K442)-SUMIF($C$25:$C442,$C442,$L$25:$L442),"")</f>
        <v>1876113.31</v>
      </c>
      <c r="N442" s="10"/>
      <c r="O442" s="10"/>
      <c r="P442" s="65"/>
      <c r="Q442" s="10"/>
      <c r="R442" s="10"/>
      <c r="S442" s="54">
        <f t="shared" si="18"/>
        <v>202603</v>
      </c>
      <c r="T442" s="54">
        <f t="shared" si="19"/>
        <v>202603</v>
      </c>
      <c r="U442" s="58" t="str">
        <f t="shared" si="20"/>
        <v/>
      </c>
      <c r="V442" s="58">
        <f>IF(AND($B442&lt;&gt;"",$F442&lt;&gt;"",$F442=项目明细账!$C$2),N(V441)+1,N(V441))</f>
        <v>0</v>
      </c>
      <c r="W442" s="63" t="str">
        <f>IF($H442&lt;&gt;"","项目成本",IFERROR(INDEX(基础资料!$W$4:$W$49,MATCH($I442,基础资料!$V$4:$V$49,0)),""))</f>
        <v>人工社保</v>
      </c>
      <c r="X442" s="63" t="str">
        <f>IFERROR(INDEX(基础资料!$R$4:$R$17,MATCH($G442,基础资料!$Q$4:$Q$17,0)),"")</f>
        <v/>
      </c>
    </row>
    <row r="443" spans="1:24">
      <c r="A443" s="58">
        <f>IF($B443="","",COUNTA($B$5:$B443))</f>
        <v>436</v>
      </c>
      <c r="B443" s="73">
        <v>46095</v>
      </c>
      <c r="C443" s="46" t="s">
        <v>80</v>
      </c>
      <c r="D443" s="63" t="str">
        <f>IFERROR(INDEX(基础资料!$F$4:$F$23,MATCH($C443,基础资料!$E$4:$E$23,0)),IF($C443="","","未匹配账户"))</f>
        <v>双思威</v>
      </c>
      <c r="E443" s="39" t="s">
        <v>488</v>
      </c>
      <c r="F443" s="10"/>
      <c r="G443" s="10"/>
      <c r="H443" s="10"/>
      <c r="I443" s="10" t="s">
        <v>237</v>
      </c>
      <c r="J443" s="69" t="s">
        <v>517</v>
      </c>
      <c r="K443" s="25"/>
      <c r="L443" s="25">
        <v>1000</v>
      </c>
      <c r="M443" s="25">
        <f>IFERROR(VLOOKUP($C443,$C$5:$M$24,11,0)+SUMIF($C$25:$C443,$C443,$K$25:$K443)-SUMIF($C$25:$C443,$C443,$L$25:$L443),"")</f>
        <v>1875113.31</v>
      </c>
      <c r="N443" s="10"/>
      <c r="O443" s="10"/>
      <c r="P443" s="65"/>
      <c r="Q443" s="10"/>
      <c r="R443" s="10"/>
      <c r="S443" s="54">
        <f t="shared" si="18"/>
        <v>202603</v>
      </c>
      <c r="T443" s="54">
        <f t="shared" si="19"/>
        <v>202603</v>
      </c>
      <c r="U443" s="58" t="str">
        <f t="shared" si="20"/>
        <v/>
      </c>
      <c r="V443" s="58">
        <f>IF(AND($B443&lt;&gt;"",$F443&lt;&gt;"",$F443=项目明细账!$C$2),N(V442)+1,N(V442))</f>
        <v>0</v>
      </c>
      <c r="W443" s="63" t="str">
        <f>IF($H443&lt;&gt;"","项目成本",IFERROR(INDEX(基础资料!$W$4:$W$49,MATCH($I443,基础资料!$V$4:$V$49,0)),""))</f>
        <v>人工社保</v>
      </c>
      <c r="X443" s="63" t="str">
        <f>IFERROR(INDEX(基础资料!$R$4:$R$17,MATCH($G443,基础资料!$Q$4:$Q$17,0)),"")</f>
        <v/>
      </c>
    </row>
    <row r="444" spans="1:24">
      <c r="A444" s="58">
        <f>IF($B444="","",COUNTA($B$5:$B444))</f>
        <v>437</v>
      </c>
      <c r="B444" s="73">
        <v>46095</v>
      </c>
      <c r="C444" s="46" t="s">
        <v>80</v>
      </c>
      <c r="D444" s="63" t="str">
        <f>IFERROR(INDEX(基础资料!$F$4:$F$23,MATCH($C444,基础资料!$E$4:$E$23,0)),IF($C444="","","未匹配账户"))</f>
        <v>双思威</v>
      </c>
      <c r="E444" s="39" t="s">
        <v>488</v>
      </c>
      <c r="F444" s="10"/>
      <c r="G444" s="10"/>
      <c r="H444" s="10"/>
      <c r="I444" s="10" t="s">
        <v>262</v>
      </c>
      <c r="J444" s="69" t="s">
        <v>728</v>
      </c>
      <c r="K444" s="25"/>
      <c r="L444" s="25">
        <v>44876.98</v>
      </c>
      <c r="M444" s="25">
        <f>IFERROR(VLOOKUP($C444,$C$5:$M$24,11,0)+SUMIF($C$25:$C444,$C444,$K$25:$K444)-SUMIF($C$25:$C444,$C444,$L$25:$L444),"")</f>
        <v>1830236.33</v>
      </c>
      <c r="N444" s="10"/>
      <c r="O444" s="10"/>
      <c r="P444" s="65"/>
      <c r="Q444" s="10"/>
      <c r="R444" s="10"/>
      <c r="S444" s="54">
        <f t="shared" si="18"/>
        <v>202603</v>
      </c>
      <c r="T444" s="54">
        <f t="shared" si="19"/>
        <v>202603</v>
      </c>
      <c r="U444" s="58" t="str">
        <f t="shared" si="20"/>
        <v/>
      </c>
      <c r="V444" s="58">
        <f>IF(AND($B444&lt;&gt;"",$F444&lt;&gt;"",$F444=项目明细账!$C$2),N(V443)+1,N(V443))</f>
        <v>0</v>
      </c>
      <c r="W444" s="63" t="str">
        <f>IF($H444&lt;&gt;"","项目成本",IFERROR(INDEX(基础资料!$W$4:$W$49,MATCH($I444,基础资料!$V$4:$V$49,0)),""))</f>
        <v>税费</v>
      </c>
      <c r="X444" s="63" t="str">
        <f>IFERROR(INDEX(基础资料!$R$4:$R$17,MATCH($G444,基础资料!$Q$4:$Q$17,0)),"")</f>
        <v/>
      </c>
    </row>
    <row r="445" spans="1:24">
      <c r="A445" s="58">
        <f>IF($B445="","",COUNTA($B$5:$B445))</f>
        <v>438</v>
      </c>
      <c r="B445" s="73">
        <v>46095</v>
      </c>
      <c r="C445" s="46" t="s">
        <v>80</v>
      </c>
      <c r="D445" s="63" t="str">
        <f>IFERROR(INDEX(基础资料!$F$4:$F$23,MATCH($C445,基础资料!$E$4:$E$23,0)),IF($C445="","","未匹配账户"))</f>
        <v>双思威</v>
      </c>
      <c r="E445" s="39" t="s">
        <v>488</v>
      </c>
      <c r="F445" s="10"/>
      <c r="G445" s="10"/>
      <c r="H445" s="10"/>
      <c r="I445" s="10" t="s">
        <v>246</v>
      </c>
      <c r="J445" s="69" t="s">
        <v>729</v>
      </c>
      <c r="K445" s="25"/>
      <c r="L445" s="25">
        <v>19418.73</v>
      </c>
      <c r="M445" s="25">
        <f>IFERROR(VLOOKUP($C445,$C$5:$M$24,11,0)+SUMIF($C$25:$C445,$C445,$K$25:$K445)-SUMIF($C$25:$C445,$C445,$L$25:$L445),"")</f>
        <v>1810817.6</v>
      </c>
      <c r="N445" s="10"/>
      <c r="O445" s="10"/>
      <c r="P445" s="65"/>
      <c r="Q445" s="10"/>
      <c r="R445" s="10"/>
      <c r="S445" s="54">
        <f t="shared" si="18"/>
        <v>202603</v>
      </c>
      <c r="T445" s="54">
        <f t="shared" si="19"/>
        <v>202603</v>
      </c>
      <c r="U445" s="58" t="str">
        <f t="shared" si="20"/>
        <v/>
      </c>
      <c r="V445" s="58">
        <f>IF(AND($B445&lt;&gt;"",$F445&lt;&gt;"",$F445=项目明细账!$C$2),N(V444)+1,N(V444))</f>
        <v>0</v>
      </c>
      <c r="W445" s="63" t="str">
        <f>IF($H445&lt;&gt;"","项目成本",IFERROR(INDEX(基础资料!$W$4:$W$49,MATCH($I445,基础资料!$V$4:$V$49,0)),""))</f>
        <v>人工社保</v>
      </c>
      <c r="X445" s="63" t="str">
        <f>IFERROR(INDEX(基础资料!$R$4:$R$17,MATCH($G445,基础资料!$Q$4:$Q$17,0)),"")</f>
        <v/>
      </c>
    </row>
    <row r="446" spans="1:24">
      <c r="A446" s="58">
        <f>IF($B446="","",COUNTA($B$5:$B446))</f>
        <v>439</v>
      </c>
      <c r="B446" s="73">
        <v>46095</v>
      </c>
      <c r="C446" s="46" t="s">
        <v>80</v>
      </c>
      <c r="D446" s="63" t="str">
        <f>IFERROR(INDEX(基础资料!$F$4:$F$23,MATCH($C446,基础资料!$E$4:$E$23,0)),IF($C446="","","未匹配账户"))</f>
        <v>双思威</v>
      </c>
      <c r="E446" s="39" t="s">
        <v>488</v>
      </c>
      <c r="F446" s="10"/>
      <c r="G446" s="10"/>
      <c r="H446" s="10"/>
      <c r="I446" s="10" t="s">
        <v>248</v>
      </c>
      <c r="J446" s="69" t="s">
        <v>730</v>
      </c>
      <c r="K446" s="25"/>
      <c r="L446" s="25">
        <v>9039.14</v>
      </c>
      <c r="M446" s="25">
        <f>IFERROR(VLOOKUP($C446,$C$5:$M$24,11,0)+SUMIF($C$25:$C446,$C446,$K$25:$K446)-SUMIF($C$25:$C446,$C446,$L$25:$L446),"")</f>
        <v>1801778.46</v>
      </c>
      <c r="N446" s="10"/>
      <c r="O446" s="10"/>
      <c r="P446" s="65"/>
      <c r="Q446" s="10"/>
      <c r="R446" s="10"/>
      <c r="S446" s="54">
        <f t="shared" si="18"/>
        <v>202603</v>
      </c>
      <c r="T446" s="54">
        <f t="shared" si="19"/>
        <v>202603</v>
      </c>
      <c r="U446" s="58" t="str">
        <f t="shared" si="20"/>
        <v/>
      </c>
      <c r="V446" s="58">
        <f>IF(AND($B446&lt;&gt;"",$F446&lt;&gt;"",$F446=项目明细账!$C$2),N(V445)+1,N(V445))</f>
        <v>0</v>
      </c>
      <c r="W446" s="63" t="str">
        <f>IF($H446&lt;&gt;"","项目成本",IFERROR(INDEX(基础资料!$W$4:$W$49,MATCH($I446,基础资料!$V$4:$V$49,0)),""))</f>
        <v>人工社保</v>
      </c>
      <c r="X446" s="63" t="str">
        <f>IFERROR(INDEX(基础资料!$R$4:$R$17,MATCH($G446,基础资料!$Q$4:$Q$17,0)),"")</f>
        <v/>
      </c>
    </row>
    <row r="447" spans="1:24">
      <c r="A447" s="58">
        <f>IF($B447="","",COUNTA($B$5:$B447))</f>
        <v>440</v>
      </c>
      <c r="B447" s="73">
        <v>46095</v>
      </c>
      <c r="C447" s="46" t="s">
        <v>80</v>
      </c>
      <c r="D447" s="63" t="str">
        <f>IFERROR(INDEX(基础资料!$F$4:$F$23,MATCH($C447,基础资料!$E$4:$E$23,0)),IF($C447="","","未匹配账户"))</f>
        <v>双思威</v>
      </c>
      <c r="E447" s="39" t="s">
        <v>488</v>
      </c>
      <c r="F447" s="10"/>
      <c r="G447" s="10"/>
      <c r="H447" s="10"/>
      <c r="I447" s="10" t="s">
        <v>262</v>
      </c>
      <c r="J447" s="69" t="s">
        <v>731</v>
      </c>
      <c r="K447" s="25"/>
      <c r="L447" s="25">
        <v>2692.61</v>
      </c>
      <c r="M447" s="25">
        <f>IFERROR(VLOOKUP($C447,$C$5:$M$24,11,0)+SUMIF($C$25:$C447,$C447,$K$25:$K447)-SUMIF($C$25:$C447,$C447,$L$25:$L447),"")</f>
        <v>1799085.85</v>
      </c>
      <c r="N447" s="10"/>
      <c r="O447" s="10"/>
      <c r="P447" s="65"/>
      <c r="Q447" s="10"/>
      <c r="R447" s="10"/>
      <c r="S447" s="54">
        <f t="shared" si="18"/>
        <v>202603</v>
      </c>
      <c r="T447" s="54">
        <f t="shared" si="19"/>
        <v>202603</v>
      </c>
      <c r="U447" s="58" t="str">
        <f t="shared" si="20"/>
        <v/>
      </c>
      <c r="V447" s="58">
        <f>IF(AND($B447&lt;&gt;"",$F447&lt;&gt;"",$F447=项目明细账!$C$2),N(V446)+1,N(V446))</f>
        <v>0</v>
      </c>
      <c r="W447" s="63" t="str">
        <f>IF($H447&lt;&gt;"","项目成本",IFERROR(INDEX(基础资料!$W$4:$W$49,MATCH($I447,基础资料!$V$4:$V$49,0)),""))</f>
        <v>税费</v>
      </c>
      <c r="X447" s="63" t="str">
        <f>IFERROR(INDEX(基础资料!$R$4:$R$17,MATCH($G447,基础资料!$Q$4:$Q$17,0)),"")</f>
        <v/>
      </c>
    </row>
    <row r="448" spans="1:24">
      <c r="A448" s="58">
        <f>IF($B448="","",COUNTA($B$5:$B448))</f>
        <v>441</v>
      </c>
      <c r="B448" s="53">
        <v>46100</v>
      </c>
      <c r="C448" s="46" t="s">
        <v>80</v>
      </c>
      <c r="D448" s="63" t="str">
        <f>IFERROR(INDEX(基础资料!$F$4:$F$23,MATCH($C448,基础资料!$E$4:$E$23,0)),IF($C448="","","未匹配账户"))</f>
        <v>双思威</v>
      </c>
      <c r="E448" s="39" t="s">
        <v>483</v>
      </c>
      <c r="F448" s="10" t="s">
        <v>180</v>
      </c>
      <c r="G448" s="10" t="s">
        <v>87</v>
      </c>
      <c r="H448" s="10"/>
      <c r="I448" s="10"/>
      <c r="J448" s="74" t="s">
        <v>181</v>
      </c>
      <c r="K448" s="25">
        <v>59114</v>
      </c>
      <c r="L448" s="25"/>
      <c r="M448" s="25">
        <f>IFERROR(VLOOKUP($C448,$C$5:$M$24,11,0)+SUMIF($C$25:$C448,$C448,$K$25:$K448)-SUMIF($C$25:$C448,$C448,$L$25:$L448),"")</f>
        <v>1858199.85</v>
      </c>
      <c r="N448" s="10"/>
      <c r="O448" s="10"/>
      <c r="P448" s="65"/>
      <c r="Q448" s="10"/>
      <c r="R448" s="10"/>
      <c r="S448" s="54">
        <f t="shared" si="18"/>
        <v>202603</v>
      </c>
      <c r="T448" s="54">
        <f t="shared" si="19"/>
        <v>202603</v>
      </c>
      <c r="U448" s="58" t="str">
        <f t="shared" si="20"/>
        <v/>
      </c>
      <c r="V448" s="58">
        <f>IF(AND($B448&lt;&gt;"",$F448&lt;&gt;"",$F448=项目明细账!$C$2),N(V447)+1,N(V447))</f>
        <v>0</v>
      </c>
      <c r="W448" s="63" t="str">
        <f>IF($H448&lt;&gt;"","项目成本",IFERROR(INDEX(基础资料!$W$4:$W$49,MATCH($I448,基础资料!$V$4:$V$49,0)),""))</f>
        <v/>
      </c>
      <c r="X448" s="63" t="str">
        <f>IFERROR(INDEX(基础资料!$R$4:$R$17,MATCH($G448,基础资料!$Q$4:$Q$17,0)),"")</f>
        <v>经营收入</v>
      </c>
    </row>
    <row r="449" spans="1:24">
      <c r="A449" s="58">
        <f>IF($B449="","",COUNTA($B$5:$B449))</f>
        <v>442</v>
      </c>
      <c r="B449" s="53">
        <v>46104</v>
      </c>
      <c r="C449" s="46" t="s">
        <v>80</v>
      </c>
      <c r="D449" s="63" t="str">
        <f>IFERROR(INDEX(基础资料!$F$4:$F$23,MATCH($C449,基础资料!$E$4:$E$23,0)),IF($C449="","","未匹配账户"))</f>
        <v>双思威</v>
      </c>
      <c r="E449" s="39" t="s">
        <v>483</v>
      </c>
      <c r="F449" s="10" t="s">
        <v>307</v>
      </c>
      <c r="G449" s="10" t="s">
        <v>87</v>
      </c>
      <c r="H449" s="10"/>
      <c r="I449" s="10"/>
      <c r="J449" s="74" t="s">
        <v>658</v>
      </c>
      <c r="K449" s="25">
        <v>398560</v>
      </c>
      <c r="L449" s="25"/>
      <c r="M449" s="25">
        <f>IFERROR(VLOOKUP($C449,$C$5:$M$24,11,0)+SUMIF($C$25:$C449,$C449,$K$25:$K449)-SUMIF($C$25:$C449,$C449,$L$25:$L449),"")</f>
        <v>2256759.85</v>
      </c>
      <c r="N449" s="10"/>
      <c r="O449" s="10"/>
      <c r="P449" s="65"/>
      <c r="Q449" s="10"/>
      <c r="R449" s="10"/>
      <c r="S449" s="54">
        <f t="shared" si="18"/>
        <v>202603</v>
      </c>
      <c r="T449" s="54">
        <f t="shared" si="19"/>
        <v>202603</v>
      </c>
      <c r="U449" s="58" t="str">
        <f t="shared" si="20"/>
        <v/>
      </c>
      <c r="V449" s="58">
        <f>IF(AND($B449&lt;&gt;"",$F449&lt;&gt;"",$F449=项目明细账!$C$2),N(V448)+1,N(V448))</f>
        <v>0</v>
      </c>
      <c r="W449" s="63" t="str">
        <f>IF($H449&lt;&gt;"","项目成本",IFERROR(INDEX(基础资料!$W$4:$W$49,MATCH($I449,基础资料!$V$4:$V$49,0)),""))</f>
        <v/>
      </c>
      <c r="X449" s="63" t="str">
        <f>IFERROR(INDEX(基础资料!$R$4:$R$17,MATCH($G449,基础资料!$Q$4:$Q$17,0)),"")</f>
        <v>经营收入</v>
      </c>
    </row>
    <row r="450" spans="1:24">
      <c r="A450" s="58">
        <f>IF($B450="","",COUNTA($B$5:$B450))</f>
        <v>443</v>
      </c>
      <c r="B450" s="53">
        <v>46105</v>
      </c>
      <c r="C450" s="46" t="s">
        <v>80</v>
      </c>
      <c r="D450" s="63" t="str">
        <f>IFERROR(INDEX(基础资料!$F$4:$F$23,MATCH($C450,基础资料!$E$4:$E$23,0)),IF($C450="","","未匹配账户"))</f>
        <v>双思威</v>
      </c>
      <c r="E450" s="39" t="s">
        <v>483</v>
      </c>
      <c r="F450" s="10" t="s">
        <v>353</v>
      </c>
      <c r="G450" s="10" t="s">
        <v>87</v>
      </c>
      <c r="H450" s="10"/>
      <c r="I450" s="10"/>
      <c r="J450" s="74" t="s">
        <v>658</v>
      </c>
      <c r="K450" s="25">
        <v>117200</v>
      </c>
      <c r="L450" s="25"/>
      <c r="M450" s="25">
        <f>IFERROR(VLOOKUP($C450,$C$5:$M$24,11,0)+SUMIF($C$25:$C450,$C450,$K$25:$K450)-SUMIF($C$25:$C450,$C450,$L$25:$L450),"")</f>
        <v>2373959.85</v>
      </c>
      <c r="N450" s="10"/>
      <c r="O450" s="10"/>
      <c r="P450" s="65"/>
      <c r="Q450" s="10"/>
      <c r="R450" s="10"/>
      <c r="S450" s="54">
        <f t="shared" si="18"/>
        <v>202603</v>
      </c>
      <c r="T450" s="54">
        <f t="shared" si="19"/>
        <v>202603</v>
      </c>
      <c r="U450" s="58" t="str">
        <f t="shared" si="20"/>
        <v/>
      </c>
      <c r="V450" s="58">
        <f>IF(AND($B450&lt;&gt;"",$F450&lt;&gt;"",$F450=项目明细账!$C$2),N(V449)+1,N(V449))</f>
        <v>0</v>
      </c>
      <c r="W450" s="63" t="str">
        <f>IF($H450&lt;&gt;"","项目成本",IFERROR(INDEX(基础资料!$W$4:$W$49,MATCH($I450,基础资料!$V$4:$V$49,0)),""))</f>
        <v/>
      </c>
      <c r="X450" s="63" t="str">
        <f>IFERROR(INDEX(基础资料!$R$4:$R$17,MATCH($G450,基础资料!$Q$4:$Q$17,0)),"")</f>
        <v>经营收入</v>
      </c>
    </row>
    <row r="451" spans="1:24">
      <c r="A451" s="58">
        <f>IF($B451="","",COUNTA($B$5:$B451))</f>
        <v>444</v>
      </c>
      <c r="B451" s="53">
        <v>46107</v>
      </c>
      <c r="C451" s="46" t="s">
        <v>80</v>
      </c>
      <c r="D451" s="63" t="str">
        <f>IFERROR(INDEX(基础资料!$F$4:$F$23,MATCH($C451,基础资料!$E$4:$E$23,0)),IF($C451="","","未匹配账户"))</f>
        <v>双思威</v>
      </c>
      <c r="E451" s="39" t="s">
        <v>483</v>
      </c>
      <c r="F451" s="10" t="s">
        <v>180</v>
      </c>
      <c r="G451" s="10" t="s">
        <v>87</v>
      </c>
      <c r="H451" s="10"/>
      <c r="I451" s="10"/>
      <c r="J451" s="67" t="s">
        <v>732</v>
      </c>
      <c r="K451" s="25">
        <v>190002</v>
      </c>
      <c r="L451" s="25"/>
      <c r="M451" s="25">
        <f>IFERROR(VLOOKUP($C451,$C$5:$M$24,11,0)+SUMIF($C$25:$C451,$C451,$K$25:$K451)-SUMIF($C$25:$C451,$C451,$L$25:$L451),"")</f>
        <v>2563961.85</v>
      </c>
      <c r="N451" s="10"/>
      <c r="O451" s="10"/>
      <c r="P451" s="65"/>
      <c r="Q451" s="10"/>
      <c r="R451" s="10"/>
      <c r="S451" s="54">
        <f t="shared" si="18"/>
        <v>202603</v>
      </c>
      <c r="T451" s="54">
        <f t="shared" si="19"/>
        <v>202603</v>
      </c>
      <c r="U451" s="58" t="str">
        <f t="shared" si="20"/>
        <v/>
      </c>
      <c r="V451" s="58">
        <f>IF(AND($B451&lt;&gt;"",$F451&lt;&gt;"",$F451=项目明细账!$C$2),N(V450)+1,N(V450))</f>
        <v>0</v>
      </c>
      <c r="W451" s="63" t="str">
        <f>IF($H451&lt;&gt;"","项目成本",IFERROR(INDEX(基础资料!$W$4:$W$49,MATCH($I451,基础资料!$V$4:$V$49,0)),""))</f>
        <v/>
      </c>
      <c r="X451" s="63" t="str">
        <f>IFERROR(INDEX(基础资料!$R$4:$R$17,MATCH($G451,基础资料!$Q$4:$Q$17,0)),"")</f>
        <v>经营收入</v>
      </c>
    </row>
    <row r="452" spans="1:24">
      <c r="A452" s="58">
        <f>IF($B452="","",COUNTA($B$5:$B452))</f>
        <v>445</v>
      </c>
      <c r="B452" s="53">
        <v>46107</v>
      </c>
      <c r="C452" s="46" t="s">
        <v>80</v>
      </c>
      <c r="D452" s="63" t="str">
        <f>IFERROR(INDEX(基础资料!$F$4:$F$23,MATCH($C452,基础资料!$E$4:$E$23,0)),IF($C452="","","未匹配账户"))</f>
        <v>双思威</v>
      </c>
      <c r="E452" s="39" t="s">
        <v>483</v>
      </c>
      <c r="F452" s="10" t="s">
        <v>355</v>
      </c>
      <c r="G452" s="10" t="s">
        <v>87</v>
      </c>
      <c r="H452" s="10"/>
      <c r="I452" s="10"/>
      <c r="J452" s="74" t="s">
        <v>484</v>
      </c>
      <c r="K452" s="25">
        <v>273460</v>
      </c>
      <c r="L452" s="25"/>
      <c r="M452" s="25">
        <f>IFERROR(VLOOKUP($C452,$C$5:$M$24,11,0)+SUMIF($C$25:$C452,$C452,$K$25:$K452)-SUMIF($C$25:$C452,$C452,$L$25:$L452),"")</f>
        <v>2837421.85</v>
      </c>
      <c r="N452" s="10"/>
      <c r="O452" s="10"/>
      <c r="P452" s="65"/>
      <c r="Q452" s="10"/>
      <c r="R452" s="10"/>
      <c r="S452" s="54">
        <f t="shared" si="18"/>
        <v>202603</v>
      </c>
      <c r="T452" s="54">
        <f t="shared" si="19"/>
        <v>202603</v>
      </c>
      <c r="U452" s="58" t="str">
        <f t="shared" si="20"/>
        <v/>
      </c>
      <c r="V452" s="58">
        <f>IF(AND($B452&lt;&gt;"",$F452&lt;&gt;"",$F452=项目明细账!$C$2),N(V451)+1,N(V451))</f>
        <v>0</v>
      </c>
      <c r="W452" s="63" t="str">
        <f>IF($H452&lt;&gt;"","项目成本",IFERROR(INDEX(基础资料!$W$4:$W$49,MATCH($I452,基础资料!$V$4:$V$49,0)),""))</f>
        <v/>
      </c>
      <c r="X452" s="63" t="str">
        <f>IFERROR(INDEX(基础资料!$R$4:$R$17,MATCH($G452,基础资料!$Q$4:$Q$17,0)),"")</f>
        <v>经营收入</v>
      </c>
    </row>
    <row r="453" spans="1:24">
      <c r="A453" s="58">
        <f>IF($B453="","",COUNTA($B$5:$B453))</f>
        <v>446</v>
      </c>
      <c r="B453" s="53">
        <v>46107</v>
      </c>
      <c r="C453" s="46" t="s">
        <v>80</v>
      </c>
      <c r="D453" s="63" t="str">
        <f>IFERROR(INDEX(基础资料!$F$4:$F$23,MATCH($C453,基础资料!$E$4:$E$23,0)),IF($C453="","","未匹配账户"))</f>
        <v>双思威</v>
      </c>
      <c r="E453" s="39" t="s">
        <v>483</v>
      </c>
      <c r="F453" s="10" t="s">
        <v>353</v>
      </c>
      <c r="G453" s="10" t="s">
        <v>87</v>
      </c>
      <c r="H453" s="10"/>
      <c r="I453" s="10"/>
      <c r="J453" s="74" t="s">
        <v>658</v>
      </c>
      <c r="K453" s="25">
        <v>155410.8</v>
      </c>
      <c r="L453" s="25"/>
      <c r="M453" s="25">
        <f>IFERROR(VLOOKUP($C453,$C$5:$M$24,11,0)+SUMIF($C$25:$C453,$C453,$K$25:$K453)-SUMIF($C$25:$C453,$C453,$L$25:$L453),"")</f>
        <v>2992832.65</v>
      </c>
      <c r="N453" s="10"/>
      <c r="O453" s="10"/>
      <c r="P453" s="65"/>
      <c r="Q453" s="10"/>
      <c r="R453" s="10"/>
      <c r="S453" s="54">
        <f t="shared" si="18"/>
        <v>202603</v>
      </c>
      <c r="T453" s="54">
        <f t="shared" si="19"/>
        <v>202603</v>
      </c>
      <c r="U453" s="58" t="str">
        <f t="shared" si="20"/>
        <v/>
      </c>
      <c r="V453" s="58">
        <f>IF(AND($B453&lt;&gt;"",$F453&lt;&gt;"",$F453=项目明细账!$C$2),N(V452)+1,N(V452))</f>
        <v>0</v>
      </c>
      <c r="W453" s="63" t="str">
        <f>IF($H453&lt;&gt;"","项目成本",IFERROR(INDEX(基础资料!$W$4:$W$49,MATCH($I453,基础资料!$V$4:$V$49,0)),""))</f>
        <v/>
      </c>
      <c r="X453" s="63" t="str">
        <f>IFERROR(INDEX(基础资料!$R$4:$R$17,MATCH($G453,基础资料!$Q$4:$Q$17,0)),"")</f>
        <v>经营收入</v>
      </c>
    </row>
    <row r="454" spans="1:24">
      <c r="A454" s="58">
        <f>IF($B454="","",COUNTA($B$5:$B454))</f>
        <v>447</v>
      </c>
      <c r="B454" s="53">
        <v>46083</v>
      </c>
      <c r="C454" s="46" t="s">
        <v>99</v>
      </c>
      <c r="D454" s="63" t="str">
        <f>IFERROR(INDEX(基础资料!$F$4:$F$23,MATCH($C454,基础资料!$E$4:$E$23,0)),IF($C454="","","未匹配账户"))</f>
        <v>双思威</v>
      </c>
      <c r="E454" s="39"/>
      <c r="F454" s="10"/>
      <c r="G454" s="10"/>
      <c r="H454" s="10"/>
      <c r="I454" s="10" t="s">
        <v>234</v>
      </c>
      <c r="J454" s="70" t="s">
        <v>733</v>
      </c>
      <c r="K454" s="25"/>
      <c r="L454" s="25">
        <v>1250</v>
      </c>
      <c r="M454" s="25">
        <f>IFERROR(VLOOKUP($C454,$C$5:$M$24,11,0)+SUMIF($C$25:$C454,$C454,$K$25:$K454)-SUMIF($C$25:$C454,$C454,$L$25:$L454),"")</f>
        <v>5631911.06</v>
      </c>
      <c r="N454" s="10"/>
      <c r="O454" s="10"/>
      <c r="P454" s="65"/>
      <c r="Q454" s="10"/>
      <c r="R454" s="10"/>
      <c r="S454" s="54">
        <f t="shared" ref="S454:S517" si="21">IF($B454="","",--TEXT($B454,"yyyymm"))</f>
        <v>202603</v>
      </c>
      <c r="T454" s="54">
        <f t="shared" ref="T454:T517" si="22">IF($B454="","",IF($P454="",$S454,IFERROR($P454*1,$P454)))</f>
        <v>202603</v>
      </c>
      <c r="U454" s="58" t="str">
        <f t="shared" ref="U454:U517" si="23">IF($B454="","",IF($T454=$S454,"","跨期"))</f>
        <v/>
      </c>
      <c r="V454" s="58">
        <f>IF(AND($B454&lt;&gt;"",$F454&lt;&gt;"",$F454=项目明细账!$C$2),N(V453)+1,N(V453))</f>
        <v>0</v>
      </c>
      <c r="W454" s="63" t="str">
        <f>IF($H454&lt;&gt;"","项目成本",IFERROR(INDEX(基础资料!$W$4:$W$49,MATCH($I454,基础资料!$V$4:$V$49,0)),""))</f>
        <v>管理费用</v>
      </c>
      <c r="X454" s="63" t="str">
        <f>IFERROR(INDEX(基础资料!$R$4:$R$17,MATCH($G454,基础资料!$Q$4:$Q$17,0)),"")</f>
        <v/>
      </c>
    </row>
    <row r="455" spans="1:24">
      <c r="A455" s="58">
        <f>IF($B455="","",COUNTA($B$5:$B455))</f>
        <v>448</v>
      </c>
      <c r="B455" s="53">
        <v>46085</v>
      </c>
      <c r="C455" s="46" t="s">
        <v>99</v>
      </c>
      <c r="D455" s="63" t="str">
        <f>IFERROR(INDEX(基础资料!$F$4:$F$23,MATCH($C455,基础资料!$E$4:$E$23,0)),IF($C455="","","未匹配账户"))</f>
        <v>双思威</v>
      </c>
      <c r="E455" s="39"/>
      <c r="F455" s="10" t="s">
        <v>356</v>
      </c>
      <c r="G455" s="10"/>
      <c r="H455" s="10" t="s">
        <v>538</v>
      </c>
      <c r="I455" s="10"/>
      <c r="J455" s="70" t="s">
        <v>734</v>
      </c>
      <c r="K455" s="25"/>
      <c r="L455" s="25">
        <v>150000</v>
      </c>
      <c r="M455" s="25">
        <f>IFERROR(VLOOKUP($C455,$C$5:$M$24,11,0)+SUMIF($C$25:$C455,$C455,$K$25:$K455)-SUMIF($C$25:$C455,$C455,$L$25:$L455),"")</f>
        <v>5481911.06</v>
      </c>
      <c r="N455" s="10"/>
      <c r="O455" s="10"/>
      <c r="P455" s="65"/>
      <c r="Q455" s="10"/>
      <c r="R455" s="10"/>
      <c r="S455" s="54">
        <f t="shared" si="21"/>
        <v>202603</v>
      </c>
      <c r="T455" s="54">
        <f t="shared" si="22"/>
        <v>202603</v>
      </c>
      <c r="U455" s="58" t="str">
        <f t="shared" si="23"/>
        <v/>
      </c>
      <c r="V455" s="58">
        <f>IF(AND($B455&lt;&gt;"",$F455&lt;&gt;"",$F455=项目明细账!$C$2),N(V454)+1,N(V454))</f>
        <v>0</v>
      </c>
      <c r="W455" s="63" t="str">
        <f>IF($H455&lt;&gt;"","项目成本",IFERROR(INDEX(基础资料!$W$4:$W$49,MATCH($I455,基础资料!$V$4:$V$49,0)),""))</f>
        <v>项目成本</v>
      </c>
      <c r="X455" s="63" t="str">
        <f>IFERROR(INDEX(基础资料!$R$4:$R$17,MATCH($G455,基础资料!$Q$4:$Q$17,0)),"")</f>
        <v/>
      </c>
    </row>
    <row r="456" spans="1:24">
      <c r="A456" s="58" t="str">
        <f>IF($B456="","",COUNTA($B$5:$B456))</f>
        <v/>
      </c>
      <c r="B456" s="53"/>
      <c r="C456" s="46"/>
      <c r="D456" s="63" t="str">
        <f>IFERROR(INDEX(基础资料!$F$4:$F$23,MATCH($C456,基础资料!$E$4:$E$23,0)),IF($C456="","","未匹配账户"))</f>
        <v/>
      </c>
      <c r="E456" s="39"/>
      <c r="F456" s="10"/>
      <c r="G456" s="10"/>
      <c r="H456" s="10"/>
      <c r="I456" s="10"/>
      <c r="J456" s="70"/>
      <c r="K456" s="25"/>
      <c r="L456" s="25"/>
      <c r="M456" s="25" t="str">
        <f>IFERROR(VLOOKUP($C456,$C$5:$M$24,11,0)+SUMIF($C$25:$C456,$C456,$K$25:$K456)-SUMIF($C$25:$C456,$C456,$L$25:$L456),"")</f>
        <v/>
      </c>
      <c r="N456" s="10"/>
      <c r="O456" s="10"/>
      <c r="P456" s="65"/>
      <c r="Q456" s="10"/>
      <c r="R456" s="10"/>
      <c r="S456" s="54" t="str">
        <f t="shared" si="21"/>
        <v/>
      </c>
      <c r="T456" s="54" t="str">
        <f t="shared" si="22"/>
        <v/>
      </c>
      <c r="U456" s="58" t="str">
        <f t="shared" si="23"/>
        <v/>
      </c>
      <c r="V456" s="58">
        <f>IF(AND($B456&lt;&gt;"",$F456&lt;&gt;"",$F456=项目明细账!$C$2),N(V455)+1,N(V455))</f>
        <v>0</v>
      </c>
      <c r="W456" s="63" t="str">
        <f>IF($H456&lt;&gt;"","项目成本",IFERROR(INDEX(基础资料!$W$4:$W$49,MATCH($I456,基础资料!$V$4:$V$49,0)),""))</f>
        <v/>
      </c>
      <c r="X456" s="63" t="str">
        <f>IFERROR(INDEX(基础资料!$R$4:$R$17,MATCH($G456,基础资料!$Q$4:$Q$17,0)),"")</f>
        <v/>
      </c>
    </row>
    <row r="457" spans="1:24">
      <c r="A457" s="58">
        <f>IF($B457="","",COUNTA($B$5:$B457))</f>
        <v>449</v>
      </c>
      <c r="B457" s="53">
        <v>46086</v>
      </c>
      <c r="C457" s="46" t="s">
        <v>99</v>
      </c>
      <c r="D457" s="63" t="str">
        <f>IFERROR(INDEX(基础资料!$F$4:$F$23,MATCH($C457,基础资料!$E$4:$E$23,0)),IF($C457="","","未匹配账户"))</f>
        <v>双思威</v>
      </c>
      <c r="E457" s="39"/>
      <c r="F457" s="10" t="s">
        <v>356</v>
      </c>
      <c r="G457" s="10"/>
      <c r="H457" s="10" t="s">
        <v>184</v>
      </c>
      <c r="I457" s="10"/>
      <c r="J457" s="70" t="s">
        <v>735</v>
      </c>
      <c r="K457" s="25"/>
      <c r="L457" s="25">
        <v>1200</v>
      </c>
      <c r="M457" s="25">
        <f>IFERROR(VLOOKUP($C457,$C$5:$M$24,11,0)+SUMIF($C$25:$C457,$C457,$K$25:$K457)-SUMIF($C$25:$C457,$C457,$L$25:$L457),"")</f>
        <v>5480711.06</v>
      </c>
      <c r="N457" s="10"/>
      <c r="O457" s="10"/>
      <c r="P457" s="65"/>
      <c r="Q457" s="10"/>
      <c r="R457" s="10"/>
      <c r="S457" s="54">
        <f t="shared" si="21"/>
        <v>202603</v>
      </c>
      <c r="T457" s="54">
        <f t="shared" si="22"/>
        <v>202603</v>
      </c>
      <c r="U457" s="58" t="str">
        <f t="shared" si="23"/>
        <v/>
      </c>
      <c r="V457" s="58">
        <f>IF(AND($B457&lt;&gt;"",$F457&lt;&gt;"",$F457=项目明细账!$C$2),N(V456)+1,N(V456))</f>
        <v>0</v>
      </c>
      <c r="W457" s="63" t="str">
        <f>IF($H457&lt;&gt;"","项目成本",IFERROR(INDEX(基础资料!$W$4:$W$49,MATCH($I457,基础资料!$V$4:$V$49,0)),""))</f>
        <v>项目成本</v>
      </c>
      <c r="X457" s="63" t="str">
        <f>IFERROR(INDEX(基础资料!$R$4:$R$17,MATCH($G457,基础资料!$Q$4:$Q$17,0)),"")</f>
        <v/>
      </c>
    </row>
    <row r="458" spans="1:24">
      <c r="A458" s="58">
        <f>IF($B458="","",COUNTA($B$5:$B458))</f>
        <v>450</v>
      </c>
      <c r="B458" s="53">
        <v>46086</v>
      </c>
      <c r="C458" s="46" t="s">
        <v>99</v>
      </c>
      <c r="D458" s="63" t="str">
        <f>IFERROR(INDEX(基础资料!$F$4:$F$23,MATCH($C458,基础资料!$E$4:$E$23,0)),IF($C458="","","未匹配账户"))</f>
        <v>双思威</v>
      </c>
      <c r="E458" s="39"/>
      <c r="F458" s="10" t="s">
        <v>218</v>
      </c>
      <c r="G458" s="10"/>
      <c r="H458" s="10" t="s">
        <v>530</v>
      </c>
      <c r="I458" s="10"/>
      <c r="J458" s="70" t="s">
        <v>736</v>
      </c>
      <c r="K458" s="25"/>
      <c r="L458" s="25">
        <v>2280</v>
      </c>
      <c r="M458" s="25">
        <f>IFERROR(VLOOKUP($C458,$C$5:$M$24,11,0)+SUMIF($C$25:$C458,$C458,$K$25:$K458)-SUMIF($C$25:$C458,$C458,$L$25:$L458),"")</f>
        <v>5478431.06</v>
      </c>
      <c r="N458" s="10"/>
      <c r="O458" s="10"/>
      <c r="P458" s="65"/>
      <c r="Q458" s="10"/>
      <c r="R458" s="10"/>
      <c r="S458" s="54">
        <f t="shared" si="21"/>
        <v>202603</v>
      </c>
      <c r="T458" s="54">
        <f t="shared" si="22"/>
        <v>202603</v>
      </c>
      <c r="U458" s="58" t="str">
        <f t="shared" si="23"/>
        <v/>
      </c>
      <c r="V458" s="58">
        <f>IF(AND($B458&lt;&gt;"",$F458&lt;&gt;"",$F458=项目明细账!$C$2),N(V457)+1,N(V457))</f>
        <v>0</v>
      </c>
      <c r="W458" s="63" t="str">
        <f>IF($H458&lt;&gt;"","项目成本",IFERROR(INDEX(基础资料!$W$4:$W$49,MATCH($I458,基础资料!$V$4:$V$49,0)),""))</f>
        <v>项目成本</v>
      </c>
      <c r="X458" s="63" t="str">
        <f>IFERROR(INDEX(基础资料!$R$4:$R$17,MATCH($G458,基础资料!$Q$4:$Q$17,0)),"")</f>
        <v/>
      </c>
    </row>
    <row r="459" spans="1:24">
      <c r="A459" s="58">
        <f>IF($B459="","",COUNTA($B$5:$B459))</f>
        <v>451</v>
      </c>
      <c r="B459" s="53">
        <v>46086</v>
      </c>
      <c r="C459" s="46" t="s">
        <v>99</v>
      </c>
      <c r="D459" s="63" t="str">
        <f>IFERROR(INDEX(基础资料!$F$4:$F$23,MATCH($C459,基础资料!$E$4:$E$23,0)),IF($C459="","","未匹配账户"))</f>
        <v>双思威</v>
      </c>
      <c r="E459" s="39"/>
      <c r="F459" s="10" t="s">
        <v>83</v>
      </c>
      <c r="G459" s="10"/>
      <c r="H459" s="10" t="s">
        <v>530</v>
      </c>
      <c r="I459" s="10"/>
      <c r="J459" s="70" t="s">
        <v>737</v>
      </c>
      <c r="K459" s="25"/>
      <c r="L459" s="25">
        <v>40580</v>
      </c>
      <c r="M459" s="25">
        <f>IFERROR(VLOOKUP($C459,$C$5:$M$24,11,0)+SUMIF($C$25:$C459,$C459,$K$25:$K459)-SUMIF($C$25:$C459,$C459,$L$25:$L459),"")</f>
        <v>5437851.06</v>
      </c>
      <c r="N459" s="10"/>
      <c r="O459" s="10"/>
      <c r="P459" s="65"/>
      <c r="Q459" s="10"/>
      <c r="R459" s="10"/>
      <c r="S459" s="54">
        <f t="shared" si="21"/>
        <v>202603</v>
      </c>
      <c r="T459" s="54">
        <f t="shared" si="22"/>
        <v>202603</v>
      </c>
      <c r="U459" s="58" t="str">
        <f t="shared" si="23"/>
        <v/>
      </c>
      <c r="V459" s="58">
        <f>IF(AND($B459&lt;&gt;"",$F459&lt;&gt;"",$F459=项目明细账!$C$2),N(V458)+1,N(V458))</f>
        <v>0</v>
      </c>
      <c r="W459" s="63" t="str">
        <f>IF($H459&lt;&gt;"","项目成本",IFERROR(INDEX(基础资料!$W$4:$W$49,MATCH($I459,基础资料!$V$4:$V$49,0)),""))</f>
        <v>项目成本</v>
      </c>
      <c r="X459" s="63" t="str">
        <f>IFERROR(INDEX(基础资料!$R$4:$R$17,MATCH($G459,基础资料!$Q$4:$Q$17,0)),"")</f>
        <v/>
      </c>
    </row>
    <row r="460" spans="1:24">
      <c r="A460" s="58">
        <f>IF($B460="","",COUNTA($B$5:$B460))</f>
        <v>452</v>
      </c>
      <c r="B460" s="53">
        <v>46086</v>
      </c>
      <c r="C460" s="46" t="s">
        <v>99</v>
      </c>
      <c r="D460" s="63" t="str">
        <f>IFERROR(INDEX(基础资料!$F$4:$F$23,MATCH($C460,基础资料!$E$4:$E$23,0)),IF($C460="","","未匹配账户"))</f>
        <v>双思威</v>
      </c>
      <c r="E460" s="39"/>
      <c r="F460" s="10"/>
      <c r="G460" s="10"/>
      <c r="H460" s="10"/>
      <c r="I460" s="10" t="s">
        <v>234</v>
      </c>
      <c r="J460" s="69" t="s">
        <v>738</v>
      </c>
      <c r="K460" s="25"/>
      <c r="L460" s="25">
        <v>4309.3</v>
      </c>
      <c r="M460" s="25">
        <f>IFERROR(VLOOKUP($C460,$C$5:$M$24,11,0)+SUMIF($C$25:$C460,$C460,$K$25:$K460)-SUMIF($C$25:$C460,$C460,$L$25:$L460),"")</f>
        <v>5433541.76</v>
      </c>
      <c r="N460" s="10"/>
      <c r="O460" s="10"/>
      <c r="P460" s="65"/>
      <c r="Q460" s="10"/>
      <c r="R460" s="10"/>
      <c r="S460" s="54">
        <f t="shared" si="21"/>
        <v>202603</v>
      </c>
      <c r="T460" s="54">
        <f t="shared" si="22"/>
        <v>202603</v>
      </c>
      <c r="U460" s="58" t="str">
        <f t="shared" si="23"/>
        <v/>
      </c>
      <c r="V460" s="58">
        <f>IF(AND($B460&lt;&gt;"",$F460&lt;&gt;"",$F460=项目明细账!$C$2),N(V459)+1,N(V459))</f>
        <v>0</v>
      </c>
      <c r="W460" s="63" t="str">
        <f>IF($H460&lt;&gt;"","项目成本",IFERROR(INDEX(基础资料!$W$4:$W$49,MATCH($I460,基础资料!$V$4:$V$49,0)),""))</f>
        <v>管理费用</v>
      </c>
      <c r="X460" s="63" t="str">
        <f>IFERROR(INDEX(基础资料!$R$4:$R$17,MATCH($G460,基础资料!$Q$4:$Q$17,0)),"")</f>
        <v/>
      </c>
    </row>
    <row r="461" spans="1:24">
      <c r="A461" s="58">
        <f>IF($B461="","",COUNTA($B$5:$B461))</f>
        <v>453</v>
      </c>
      <c r="B461" s="53">
        <v>46087</v>
      </c>
      <c r="C461" s="46" t="s">
        <v>99</v>
      </c>
      <c r="D461" s="63" t="str">
        <f>IFERROR(INDEX(基础资料!$F$4:$F$23,MATCH($C461,基础资料!$E$4:$E$23,0)),IF($C461="","","未匹配账户"))</f>
        <v>双思威</v>
      </c>
      <c r="E461" s="39"/>
      <c r="F461" s="10"/>
      <c r="G461" s="10"/>
      <c r="H461" s="10"/>
      <c r="I461" s="10" t="s">
        <v>234</v>
      </c>
      <c r="J461" s="69" t="s">
        <v>586</v>
      </c>
      <c r="K461" s="25"/>
      <c r="L461" s="25">
        <v>1620</v>
      </c>
      <c r="M461" s="25">
        <f>IFERROR(VLOOKUP($C461,$C$5:$M$24,11,0)+SUMIF($C$25:$C461,$C461,$K$25:$K461)-SUMIF($C$25:$C461,$C461,$L$25:$L461),"")</f>
        <v>5431921.76</v>
      </c>
      <c r="N461" s="10"/>
      <c r="O461" s="10"/>
      <c r="P461" s="65"/>
      <c r="Q461" s="10"/>
      <c r="R461" s="10"/>
      <c r="S461" s="54">
        <f t="shared" si="21"/>
        <v>202603</v>
      </c>
      <c r="T461" s="54">
        <f t="shared" si="22"/>
        <v>202603</v>
      </c>
      <c r="U461" s="58" t="str">
        <f t="shared" si="23"/>
        <v/>
      </c>
      <c r="V461" s="58">
        <f>IF(AND($B461&lt;&gt;"",$F461&lt;&gt;"",$F461=项目明细账!$C$2),N(V460)+1,N(V460))</f>
        <v>0</v>
      </c>
      <c r="W461" s="63" t="str">
        <f>IF($H461&lt;&gt;"","项目成本",IFERROR(INDEX(基础资料!$W$4:$W$49,MATCH($I461,基础资料!$V$4:$V$49,0)),""))</f>
        <v>管理费用</v>
      </c>
      <c r="X461" s="63" t="str">
        <f>IFERROR(INDEX(基础资料!$R$4:$R$17,MATCH($G461,基础资料!$Q$4:$Q$17,0)),"")</f>
        <v/>
      </c>
    </row>
    <row r="462" spans="1:24">
      <c r="A462" s="58">
        <f>IF($B462="","",COUNTA($B$5:$B462))</f>
        <v>454</v>
      </c>
      <c r="B462" s="53">
        <v>46087</v>
      </c>
      <c r="C462" s="46" t="s">
        <v>99</v>
      </c>
      <c r="D462" s="63" t="str">
        <f>IFERROR(INDEX(基础资料!$F$4:$F$23,MATCH($C462,基础资料!$E$4:$E$23,0)),IF($C462="","","未匹配账户"))</f>
        <v>双思威</v>
      </c>
      <c r="E462" s="39"/>
      <c r="F462" s="10"/>
      <c r="G462" s="10"/>
      <c r="H462" s="10"/>
      <c r="I462" s="10" t="s">
        <v>234</v>
      </c>
      <c r="J462" s="69" t="s">
        <v>739</v>
      </c>
      <c r="K462" s="25"/>
      <c r="L462" s="25">
        <v>1949.77</v>
      </c>
      <c r="M462" s="25">
        <f>IFERROR(VLOOKUP($C462,$C$5:$M$24,11,0)+SUMIF($C$25:$C462,$C462,$K$25:$K462)-SUMIF($C$25:$C462,$C462,$L$25:$L462),"")</f>
        <v>5429971.99</v>
      </c>
      <c r="N462" s="10"/>
      <c r="O462" s="10"/>
      <c r="P462" s="65"/>
      <c r="Q462" s="10"/>
      <c r="R462" s="10"/>
      <c r="S462" s="54">
        <f t="shared" si="21"/>
        <v>202603</v>
      </c>
      <c r="T462" s="54">
        <f t="shared" si="22"/>
        <v>202603</v>
      </c>
      <c r="U462" s="58" t="str">
        <f t="shared" si="23"/>
        <v/>
      </c>
      <c r="V462" s="58">
        <f>IF(AND($B462&lt;&gt;"",$F462&lt;&gt;"",$F462=项目明细账!$C$2),N(V461)+1,N(V461))</f>
        <v>0</v>
      </c>
      <c r="W462" s="63" t="str">
        <f>IF($H462&lt;&gt;"","项目成本",IFERROR(INDEX(基础资料!$W$4:$W$49,MATCH($I462,基础资料!$V$4:$V$49,0)),""))</f>
        <v>管理费用</v>
      </c>
      <c r="X462" s="63" t="str">
        <f>IFERROR(INDEX(基础资料!$R$4:$R$17,MATCH($G462,基础资料!$Q$4:$Q$17,0)),"")</f>
        <v/>
      </c>
    </row>
    <row r="463" spans="1:24">
      <c r="A463" s="58">
        <f>IF($B463="","",COUNTA($B$5:$B463))</f>
        <v>455</v>
      </c>
      <c r="B463" s="53">
        <v>46088</v>
      </c>
      <c r="C463" s="46" t="s">
        <v>99</v>
      </c>
      <c r="D463" s="63" t="str">
        <f>IFERROR(INDEX(基础资料!$F$4:$F$23,MATCH($C463,基础资料!$E$4:$E$23,0)),IF($C463="","","未匹配账户"))</f>
        <v>双思威</v>
      </c>
      <c r="E463" s="39"/>
      <c r="F463" s="10"/>
      <c r="G463" s="10"/>
      <c r="H463" s="10"/>
      <c r="I463" s="10" t="s">
        <v>234</v>
      </c>
      <c r="J463" s="69" t="s">
        <v>739</v>
      </c>
      <c r="K463" s="25"/>
      <c r="L463" s="25">
        <v>401.7</v>
      </c>
      <c r="M463" s="25">
        <f>IFERROR(VLOOKUP($C463,$C$5:$M$24,11,0)+SUMIF($C$25:$C463,$C463,$K$25:$K463)-SUMIF($C$25:$C463,$C463,$L$25:$L463),"")</f>
        <v>5429570.29</v>
      </c>
      <c r="N463" s="10"/>
      <c r="O463" s="10"/>
      <c r="P463" s="65"/>
      <c r="Q463" s="10"/>
      <c r="R463" s="10"/>
      <c r="S463" s="54">
        <f t="shared" si="21"/>
        <v>202603</v>
      </c>
      <c r="T463" s="54">
        <f t="shared" si="22"/>
        <v>202603</v>
      </c>
      <c r="U463" s="58" t="str">
        <f t="shared" si="23"/>
        <v/>
      </c>
      <c r="V463" s="58">
        <f>IF(AND($B463&lt;&gt;"",$F463&lt;&gt;"",$F463=项目明细账!$C$2),N(V462)+1,N(V462))</f>
        <v>0</v>
      </c>
      <c r="W463" s="63" t="str">
        <f>IF($H463&lt;&gt;"","项目成本",IFERROR(INDEX(基础资料!$W$4:$W$49,MATCH($I463,基础资料!$V$4:$V$49,0)),""))</f>
        <v>管理费用</v>
      </c>
      <c r="X463" s="63" t="str">
        <f>IFERROR(INDEX(基础资料!$R$4:$R$17,MATCH($G463,基础资料!$Q$4:$Q$17,0)),"")</f>
        <v/>
      </c>
    </row>
    <row r="464" spans="1:24">
      <c r="A464" s="58">
        <f>IF($B464="","",COUNTA($B$5:$B464))</f>
        <v>456</v>
      </c>
      <c r="B464" s="53">
        <v>46091</v>
      </c>
      <c r="C464" s="46" t="s">
        <v>99</v>
      </c>
      <c r="D464" s="63" t="str">
        <f>IFERROR(INDEX(基础资料!$F$4:$F$23,MATCH($C464,基础资料!$E$4:$E$23,0)),IF($C464="","","未匹配账户"))</f>
        <v>双思威</v>
      </c>
      <c r="E464" s="39"/>
      <c r="F464" s="10"/>
      <c r="G464" s="10"/>
      <c r="H464" s="10"/>
      <c r="I464" s="10" t="s">
        <v>234</v>
      </c>
      <c r="J464" s="69" t="s">
        <v>740</v>
      </c>
      <c r="K464" s="25"/>
      <c r="L464" s="25">
        <v>31570</v>
      </c>
      <c r="M464" s="25">
        <f>IFERROR(VLOOKUP($C464,$C$5:$M$24,11,0)+SUMIF($C$25:$C464,$C464,$K$25:$K464)-SUMIF($C$25:$C464,$C464,$L$25:$L464),"")</f>
        <v>5398000.29</v>
      </c>
      <c r="N464" s="10"/>
      <c r="O464" s="10"/>
      <c r="P464" s="65"/>
      <c r="Q464" s="10"/>
      <c r="R464" s="10"/>
      <c r="S464" s="54">
        <f t="shared" si="21"/>
        <v>202603</v>
      </c>
      <c r="T464" s="54">
        <f t="shared" si="22"/>
        <v>202603</v>
      </c>
      <c r="U464" s="58" t="str">
        <f t="shared" si="23"/>
        <v/>
      </c>
      <c r="V464" s="58">
        <f>IF(AND($B464&lt;&gt;"",$F464&lt;&gt;"",$F464=项目明细账!$C$2),N(V463)+1,N(V463))</f>
        <v>0</v>
      </c>
      <c r="W464" s="63" t="str">
        <f>IF($H464&lt;&gt;"","项目成本",IFERROR(INDEX(基础资料!$W$4:$W$49,MATCH($I464,基础资料!$V$4:$V$49,0)),""))</f>
        <v>管理费用</v>
      </c>
      <c r="X464" s="63" t="str">
        <f>IFERROR(INDEX(基础资料!$R$4:$R$17,MATCH($G464,基础资料!$Q$4:$Q$17,0)),"")</f>
        <v/>
      </c>
    </row>
    <row r="465" spans="1:24">
      <c r="A465" s="58">
        <f>IF($B465="","",COUNTA($B$5:$B465))</f>
        <v>457</v>
      </c>
      <c r="B465" s="53">
        <v>46092</v>
      </c>
      <c r="C465" s="46" t="s">
        <v>99</v>
      </c>
      <c r="D465" s="63" t="str">
        <f>IFERROR(INDEX(基础资料!$F$4:$F$23,MATCH($C465,基础资料!$E$4:$E$23,0)),IF($C465="","","未匹配账户"))</f>
        <v>双思威</v>
      </c>
      <c r="E465" s="39"/>
      <c r="F465" s="10"/>
      <c r="G465" s="10"/>
      <c r="H465" s="10"/>
      <c r="I465" s="10" t="s">
        <v>234</v>
      </c>
      <c r="J465" s="69" t="s">
        <v>739</v>
      </c>
      <c r="K465" s="25"/>
      <c r="L465" s="25">
        <v>345.36</v>
      </c>
      <c r="M465" s="25">
        <f>IFERROR(VLOOKUP($C465,$C$5:$M$24,11,0)+SUMIF($C$25:$C465,$C465,$K$25:$K465)-SUMIF($C$25:$C465,$C465,$L$25:$L465),"")</f>
        <v>5397654.93</v>
      </c>
      <c r="N465" s="10"/>
      <c r="O465" s="10"/>
      <c r="P465" s="65"/>
      <c r="Q465" s="10"/>
      <c r="R465" s="10"/>
      <c r="S465" s="54">
        <f t="shared" si="21"/>
        <v>202603</v>
      </c>
      <c r="T465" s="54">
        <f t="shared" si="22"/>
        <v>202603</v>
      </c>
      <c r="U465" s="58" t="str">
        <f t="shared" si="23"/>
        <v/>
      </c>
      <c r="V465" s="58">
        <f>IF(AND($B465&lt;&gt;"",$F465&lt;&gt;"",$F465=项目明细账!$C$2),N(V464)+1,N(V464))</f>
        <v>0</v>
      </c>
      <c r="W465" s="63" t="str">
        <f>IF($H465&lt;&gt;"","项目成本",IFERROR(INDEX(基础资料!$W$4:$W$49,MATCH($I465,基础资料!$V$4:$V$49,0)),""))</f>
        <v>管理费用</v>
      </c>
      <c r="X465" s="63" t="str">
        <f>IFERROR(INDEX(基础资料!$R$4:$R$17,MATCH($G465,基础资料!$Q$4:$Q$17,0)),"")</f>
        <v/>
      </c>
    </row>
    <row r="466" spans="1:24">
      <c r="A466" s="58">
        <f>IF($B466="","",COUNTA($B$5:$B466))</f>
        <v>458</v>
      </c>
      <c r="B466" s="53">
        <v>46093</v>
      </c>
      <c r="C466" s="46" t="s">
        <v>99</v>
      </c>
      <c r="D466" s="63" t="str">
        <f>IFERROR(INDEX(基础资料!$F$4:$F$23,MATCH($C466,基础资料!$E$4:$E$23,0)),IF($C466="","","未匹配账户"))</f>
        <v>双思威</v>
      </c>
      <c r="E466" s="39"/>
      <c r="F466" s="10" t="s">
        <v>362</v>
      </c>
      <c r="G466" s="10"/>
      <c r="H466" s="10" t="s">
        <v>530</v>
      </c>
      <c r="I466" s="10"/>
      <c r="J466" s="70" t="s">
        <v>741</v>
      </c>
      <c r="K466" s="25"/>
      <c r="L466" s="25">
        <v>11300</v>
      </c>
      <c r="M466" s="25">
        <f>IFERROR(VLOOKUP($C466,$C$5:$M$24,11,0)+SUMIF($C$25:$C466,$C466,$K$25:$K466)-SUMIF($C$25:$C466,$C466,$L$25:$L466),"")</f>
        <v>5386354.93</v>
      </c>
      <c r="N466" s="10"/>
      <c r="O466" s="10"/>
      <c r="P466" s="65"/>
      <c r="Q466" s="10"/>
      <c r="R466" s="10"/>
      <c r="S466" s="54">
        <f t="shared" si="21"/>
        <v>202603</v>
      </c>
      <c r="T466" s="54">
        <f t="shared" si="22"/>
        <v>202603</v>
      </c>
      <c r="U466" s="58" t="str">
        <f t="shared" si="23"/>
        <v/>
      </c>
      <c r="V466" s="58">
        <f>IF(AND($B466&lt;&gt;"",$F466&lt;&gt;"",$F466=项目明细账!$C$2),N(V465)+1,N(V465))</f>
        <v>0</v>
      </c>
      <c r="W466" s="63" t="str">
        <f>IF($H466&lt;&gt;"","项目成本",IFERROR(INDEX(基础资料!$W$4:$W$49,MATCH($I466,基础资料!$V$4:$V$49,0)),""))</f>
        <v>项目成本</v>
      </c>
      <c r="X466" s="63" t="str">
        <f>IFERROR(INDEX(基础资料!$R$4:$R$17,MATCH($G466,基础资料!$Q$4:$Q$17,0)),"")</f>
        <v/>
      </c>
    </row>
    <row r="467" spans="1:24">
      <c r="A467" s="58">
        <f>IF($B467="","",COUNTA($B$5:$B467))</f>
        <v>459</v>
      </c>
      <c r="B467" s="53">
        <v>46093</v>
      </c>
      <c r="C467" s="46" t="s">
        <v>99</v>
      </c>
      <c r="D467" s="63" t="str">
        <f>IFERROR(INDEX(基础资料!$F$4:$F$23,MATCH($C467,基础资料!$E$4:$E$23,0)),IF($C467="","","未匹配账户"))</f>
        <v>双思威</v>
      </c>
      <c r="E467" s="39"/>
      <c r="F467" s="10"/>
      <c r="G467" s="10"/>
      <c r="H467" s="10"/>
      <c r="I467" s="10" t="s">
        <v>234</v>
      </c>
      <c r="J467" s="69" t="s">
        <v>742</v>
      </c>
      <c r="K467" s="25"/>
      <c r="L467" s="25">
        <v>10000</v>
      </c>
      <c r="M467" s="25">
        <f>IFERROR(VLOOKUP($C467,$C$5:$M$24,11,0)+SUMIF($C$25:$C467,$C467,$K$25:$K467)-SUMIF($C$25:$C467,$C467,$L$25:$L467),"")</f>
        <v>5376354.93</v>
      </c>
      <c r="N467" s="10"/>
      <c r="O467" s="10"/>
      <c r="P467" s="65"/>
      <c r="Q467" s="10"/>
      <c r="R467" s="10"/>
      <c r="S467" s="54">
        <f t="shared" si="21"/>
        <v>202603</v>
      </c>
      <c r="T467" s="54">
        <f t="shared" si="22"/>
        <v>202603</v>
      </c>
      <c r="U467" s="58" t="str">
        <f t="shared" si="23"/>
        <v/>
      </c>
      <c r="V467" s="58">
        <f>IF(AND($B467&lt;&gt;"",$F467&lt;&gt;"",$F467=项目明细账!$C$2),N(V466)+1,N(V466))</f>
        <v>0</v>
      </c>
      <c r="W467" s="63" t="str">
        <f>IF($H467&lt;&gt;"","项目成本",IFERROR(INDEX(基础资料!$W$4:$W$49,MATCH($I467,基础资料!$V$4:$V$49,0)),""))</f>
        <v>管理费用</v>
      </c>
      <c r="X467" s="63" t="str">
        <f>IFERROR(INDEX(基础资料!$R$4:$R$17,MATCH($G467,基础资料!$Q$4:$Q$17,0)),"")</f>
        <v/>
      </c>
    </row>
    <row r="468" spans="1:24">
      <c r="A468" s="58">
        <f>IF($B468="","",COUNTA($B$5:$B468))</f>
        <v>460</v>
      </c>
      <c r="B468" s="53">
        <v>46093</v>
      </c>
      <c r="C468" s="46" t="s">
        <v>99</v>
      </c>
      <c r="D468" s="63" t="str">
        <f>IFERROR(INDEX(基础资料!$F$4:$F$23,MATCH($C468,基础资料!$E$4:$E$23,0)),IF($C468="","","未匹配账户"))</f>
        <v>双思威</v>
      </c>
      <c r="E468" s="39"/>
      <c r="F468" s="10"/>
      <c r="G468" s="10"/>
      <c r="H468" s="10"/>
      <c r="I468" s="10" t="s">
        <v>234</v>
      </c>
      <c r="J468" s="69" t="s">
        <v>743</v>
      </c>
      <c r="K468" s="25"/>
      <c r="L468" s="25">
        <v>3000</v>
      </c>
      <c r="M468" s="25">
        <f>IFERROR(VLOOKUP($C468,$C$5:$M$24,11,0)+SUMIF($C$25:$C468,$C468,$K$25:$K468)-SUMIF($C$25:$C468,$C468,$L$25:$L468),"")</f>
        <v>5373354.93</v>
      </c>
      <c r="N468" s="10"/>
      <c r="O468" s="10"/>
      <c r="P468" s="65"/>
      <c r="Q468" s="10"/>
      <c r="R468" s="10"/>
      <c r="S468" s="54">
        <f t="shared" si="21"/>
        <v>202603</v>
      </c>
      <c r="T468" s="54">
        <f t="shared" si="22"/>
        <v>202603</v>
      </c>
      <c r="U468" s="58" t="str">
        <f t="shared" si="23"/>
        <v/>
      </c>
      <c r="V468" s="58">
        <f>IF(AND($B468&lt;&gt;"",$F468&lt;&gt;"",$F468=项目明细账!$C$2),N(V467)+1,N(V467))</f>
        <v>0</v>
      </c>
      <c r="W468" s="63" t="str">
        <f>IF($H468&lt;&gt;"","项目成本",IFERROR(INDEX(基础资料!$W$4:$W$49,MATCH($I468,基础资料!$V$4:$V$49,0)),""))</f>
        <v>管理费用</v>
      </c>
      <c r="X468" s="63" t="str">
        <f>IFERROR(INDEX(基础资料!$R$4:$R$17,MATCH($G468,基础资料!$Q$4:$Q$17,0)),"")</f>
        <v/>
      </c>
    </row>
    <row r="469" spans="1:24">
      <c r="A469" s="58">
        <f>IF($B469="","",COUNTA($B$5:$B469))</f>
        <v>461</v>
      </c>
      <c r="B469" s="53">
        <v>46093</v>
      </c>
      <c r="C469" s="46" t="s">
        <v>99</v>
      </c>
      <c r="D469" s="63" t="str">
        <f>IFERROR(INDEX(基础资料!$F$4:$F$23,MATCH($C469,基础资料!$E$4:$E$23,0)),IF($C469="","","未匹配账户"))</f>
        <v>双思威</v>
      </c>
      <c r="E469" s="39"/>
      <c r="F469" s="10" t="s">
        <v>83</v>
      </c>
      <c r="G469" s="10"/>
      <c r="H469" s="10" t="s">
        <v>530</v>
      </c>
      <c r="I469" s="10"/>
      <c r="J469" s="70" t="s">
        <v>744</v>
      </c>
      <c r="K469" s="25"/>
      <c r="L469" s="25">
        <v>4300</v>
      </c>
      <c r="M469" s="25">
        <f>IFERROR(VLOOKUP($C469,$C$5:$M$24,11,0)+SUMIF($C$25:$C469,$C469,$K$25:$K469)-SUMIF($C$25:$C469,$C469,$L$25:$L469),"")</f>
        <v>5369054.93</v>
      </c>
      <c r="N469" s="10"/>
      <c r="O469" s="10"/>
      <c r="P469" s="65"/>
      <c r="Q469" s="10"/>
      <c r="R469" s="10"/>
      <c r="S469" s="54">
        <f t="shared" si="21"/>
        <v>202603</v>
      </c>
      <c r="T469" s="54">
        <f t="shared" si="22"/>
        <v>202603</v>
      </c>
      <c r="U469" s="58" t="str">
        <f t="shared" si="23"/>
        <v/>
      </c>
      <c r="V469" s="58">
        <f>IF(AND($B469&lt;&gt;"",$F469&lt;&gt;"",$F469=项目明细账!$C$2),N(V468)+1,N(V468))</f>
        <v>0</v>
      </c>
      <c r="W469" s="63" t="str">
        <f>IF($H469&lt;&gt;"","项目成本",IFERROR(INDEX(基础资料!$W$4:$W$49,MATCH($I469,基础资料!$V$4:$V$49,0)),""))</f>
        <v>项目成本</v>
      </c>
      <c r="X469" s="63" t="str">
        <f>IFERROR(INDEX(基础资料!$R$4:$R$17,MATCH($G469,基础资料!$Q$4:$Q$17,0)),"")</f>
        <v/>
      </c>
    </row>
    <row r="470" spans="1:24">
      <c r="A470" s="58">
        <f>IF($B470="","",COUNTA($B$5:$B470))</f>
        <v>462</v>
      </c>
      <c r="B470" s="53">
        <v>46093</v>
      </c>
      <c r="C470" s="46" t="s">
        <v>99</v>
      </c>
      <c r="D470" s="63" t="str">
        <f>IFERROR(INDEX(基础资料!$F$4:$F$23,MATCH($C470,基础资料!$E$4:$E$23,0)),IF($C470="","","未匹配账户"))</f>
        <v>双思威</v>
      </c>
      <c r="E470" s="39"/>
      <c r="F470" s="10"/>
      <c r="G470" s="10"/>
      <c r="H470" s="10"/>
      <c r="I470" s="10" t="s">
        <v>234</v>
      </c>
      <c r="J470" s="70" t="s">
        <v>745</v>
      </c>
      <c r="K470" s="25"/>
      <c r="L470" s="25">
        <v>3234</v>
      </c>
      <c r="M470" s="25">
        <f>IFERROR(VLOOKUP($C470,$C$5:$M$24,11,0)+SUMIF($C$25:$C470,$C470,$K$25:$K470)-SUMIF($C$25:$C470,$C470,$L$25:$L470),"")</f>
        <v>5365820.93</v>
      </c>
      <c r="N470" s="10"/>
      <c r="O470" s="10"/>
      <c r="P470" s="65"/>
      <c r="Q470" s="10"/>
      <c r="R470" s="10"/>
      <c r="S470" s="54">
        <f t="shared" si="21"/>
        <v>202603</v>
      </c>
      <c r="T470" s="54">
        <f t="shared" si="22"/>
        <v>202603</v>
      </c>
      <c r="U470" s="58" t="str">
        <f t="shared" si="23"/>
        <v/>
      </c>
      <c r="V470" s="58">
        <f>IF(AND($B470&lt;&gt;"",$F470&lt;&gt;"",$F470=项目明细账!$C$2),N(V469)+1,N(V469))</f>
        <v>0</v>
      </c>
      <c r="W470" s="63" t="str">
        <f>IF($H470&lt;&gt;"","项目成本",IFERROR(INDEX(基础资料!$W$4:$W$49,MATCH($I470,基础资料!$V$4:$V$49,0)),""))</f>
        <v>管理费用</v>
      </c>
      <c r="X470" s="63" t="str">
        <f>IFERROR(INDEX(基础资料!$R$4:$R$17,MATCH($G470,基础资料!$Q$4:$Q$17,0)),"")</f>
        <v/>
      </c>
    </row>
    <row r="471" spans="1:24">
      <c r="A471" s="58">
        <f>IF($B471="","",COUNTA($B$5:$B471))</f>
        <v>463</v>
      </c>
      <c r="B471" s="53">
        <v>46094</v>
      </c>
      <c r="C471" s="46" t="s">
        <v>99</v>
      </c>
      <c r="D471" s="63" t="str">
        <f>IFERROR(INDEX(基础资料!$F$4:$F$23,MATCH($C471,基础资料!$E$4:$E$23,0)),IF($C471="","","未匹配账户"))</f>
        <v>双思威</v>
      </c>
      <c r="E471" s="39"/>
      <c r="F471" s="10" t="s">
        <v>83</v>
      </c>
      <c r="G471" s="10"/>
      <c r="H471" s="10"/>
      <c r="I471" s="10"/>
      <c r="J471" s="70" t="s">
        <v>746</v>
      </c>
      <c r="K471" s="25"/>
      <c r="L471" s="25">
        <v>9125</v>
      </c>
      <c r="M471" s="25">
        <f>IFERROR(VLOOKUP($C471,$C$5:$M$24,11,0)+SUMIF($C$25:$C471,$C471,$K$25:$K471)-SUMIF($C$25:$C471,$C471,$L$25:$L471),"")</f>
        <v>5356695.93</v>
      </c>
      <c r="N471" s="10"/>
      <c r="O471" s="10"/>
      <c r="P471" s="65"/>
      <c r="Q471" s="10"/>
      <c r="R471" s="10"/>
      <c r="S471" s="54">
        <f t="shared" si="21"/>
        <v>202603</v>
      </c>
      <c r="T471" s="54">
        <f t="shared" si="22"/>
        <v>202603</v>
      </c>
      <c r="U471" s="58" t="str">
        <f t="shared" si="23"/>
        <v/>
      </c>
      <c r="V471" s="58">
        <f>IF(AND($B471&lt;&gt;"",$F471&lt;&gt;"",$F471=项目明细账!$C$2),N(V470)+1,N(V470))</f>
        <v>0</v>
      </c>
      <c r="W471" s="63" t="str">
        <f>IF($H471&lt;&gt;"","项目成本",IFERROR(INDEX(基础资料!$W$4:$W$49,MATCH($I471,基础资料!$V$4:$V$49,0)),""))</f>
        <v/>
      </c>
      <c r="X471" s="63" t="str">
        <f>IFERROR(INDEX(基础资料!$R$4:$R$17,MATCH($G471,基础资料!$Q$4:$Q$17,0)),"")</f>
        <v/>
      </c>
    </row>
    <row r="472" spans="1:24">
      <c r="A472" s="58">
        <f>IF($B472="","",COUNTA($B$5:$B472))</f>
        <v>464</v>
      </c>
      <c r="B472" s="53">
        <v>46094</v>
      </c>
      <c r="C472" s="46" t="s">
        <v>99</v>
      </c>
      <c r="D472" s="63" t="str">
        <f>IFERROR(INDEX(基础资料!$F$4:$F$23,MATCH($C472,基础资料!$E$4:$E$23,0)),IF($C472="","","未匹配账户"))</f>
        <v>双思威</v>
      </c>
      <c r="E472" s="39"/>
      <c r="F472" s="10" t="s">
        <v>310</v>
      </c>
      <c r="G472" s="10"/>
      <c r="H472" s="10" t="s">
        <v>530</v>
      </c>
      <c r="I472" s="10"/>
      <c r="J472" s="71" t="s">
        <v>589</v>
      </c>
      <c r="K472" s="25"/>
      <c r="L472" s="25">
        <v>644</v>
      </c>
      <c r="M472" s="25">
        <f>IFERROR(VLOOKUP($C472,$C$5:$M$24,11,0)+SUMIF($C$25:$C472,$C472,$K$25:$K472)-SUMIF($C$25:$C472,$C472,$L$25:$L472),"")</f>
        <v>5356051.93</v>
      </c>
      <c r="N472" s="10"/>
      <c r="O472" s="10"/>
      <c r="P472" s="65"/>
      <c r="Q472" s="10"/>
      <c r="R472" s="10"/>
      <c r="S472" s="54">
        <f t="shared" si="21"/>
        <v>202603</v>
      </c>
      <c r="T472" s="54">
        <f t="shared" si="22"/>
        <v>202603</v>
      </c>
      <c r="U472" s="58" t="str">
        <f t="shared" si="23"/>
        <v/>
      </c>
      <c r="V472" s="58">
        <f>IF(AND($B472&lt;&gt;"",$F472&lt;&gt;"",$F472=项目明细账!$C$2),N(V471)+1,N(V471))</f>
        <v>0</v>
      </c>
      <c r="W472" s="63" t="str">
        <f>IF($H472&lt;&gt;"","项目成本",IFERROR(INDEX(基础资料!$W$4:$W$49,MATCH($I472,基础资料!$V$4:$V$49,0)),""))</f>
        <v>项目成本</v>
      </c>
      <c r="X472" s="63" t="str">
        <f>IFERROR(INDEX(基础资料!$R$4:$R$17,MATCH($G472,基础资料!$Q$4:$Q$17,0)),"")</f>
        <v/>
      </c>
    </row>
    <row r="473" spans="1:24">
      <c r="A473" s="58">
        <f>IF($B473="","",COUNTA($B$5:$B473))</f>
        <v>465</v>
      </c>
      <c r="B473" s="53">
        <v>46094</v>
      </c>
      <c r="C473" s="46" t="s">
        <v>99</v>
      </c>
      <c r="D473" s="63" t="str">
        <f>IFERROR(INDEX(基础资料!$F$4:$F$23,MATCH($C473,基础资料!$E$4:$E$23,0)),IF($C473="","","未匹配账户"))</f>
        <v>双思威</v>
      </c>
      <c r="E473" s="39"/>
      <c r="F473" s="10"/>
      <c r="G473" s="10"/>
      <c r="H473" s="10"/>
      <c r="I473" s="10" t="s">
        <v>234</v>
      </c>
      <c r="J473" s="70" t="s">
        <v>747</v>
      </c>
      <c r="K473" s="25"/>
      <c r="L473" s="25">
        <v>2685.76</v>
      </c>
      <c r="M473" s="25">
        <f>IFERROR(VLOOKUP($C473,$C$5:$M$24,11,0)+SUMIF($C$25:$C473,$C473,$K$25:$K473)-SUMIF($C$25:$C473,$C473,$L$25:$L473),"")</f>
        <v>5353366.17</v>
      </c>
      <c r="N473" s="10"/>
      <c r="O473" s="10"/>
      <c r="P473" s="65"/>
      <c r="Q473" s="10"/>
      <c r="R473" s="10"/>
      <c r="S473" s="54">
        <f t="shared" si="21"/>
        <v>202603</v>
      </c>
      <c r="T473" s="54">
        <f t="shared" si="22"/>
        <v>202603</v>
      </c>
      <c r="U473" s="58" t="str">
        <f t="shared" si="23"/>
        <v/>
      </c>
      <c r="V473" s="58">
        <f>IF(AND($B473&lt;&gt;"",$F473&lt;&gt;"",$F473=项目明细账!$C$2),N(V472)+1,N(V472))</f>
        <v>0</v>
      </c>
      <c r="W473" s="63" t="str">
        <f>IF($H473&lt;&gt;"","项目成本",IFERROR(INDEX(基础资料!$W$4:$W$49,MATCH($I473,基础资料!$V$4:$V$49,0)),""))</f>
        <v>管理费用</v>
      </c>
      <c r="X473" s="63" t="str">
        <f>IFERROR(INDEX(基础资料!$R$4:$R$17,MATCH($G473,基础资料!$Q$4:$Q$17,0)),"")</f>
        <v/>
      </c>
    </row>
    <row r="474" spans="1:24">
      <c r="A474" s="58">
        <f>IF($B474="","",COUNTA($B$5:$B474))</f>
        <v>466</v>
      </c>
      <c r="B474" s="53">
        <v>46094</v>
      </c>
      <c r="C474" s="46" t="s">
        <v>99</v>
      </c>
      <c r="D474" s="63" t="str">
        <f>IFERROR(INDEX(基础资料!$F$4:$F$23,MATCH($C474,基础资料!$E$4:$E$23,0)),IF($C474="","","未匹配账户"))</f>
        <v>双思威</v>
      </c>
      <c r="E474" s="39"/>
      <c r="F474" s="10" t="s">
        <v>212</v>
      </c>
      <c r="G474" s="10"/>
      <c r="H474" s="10" t="s">
        <v>530</v>
      </c>
      <c r="I474" s="10"/>
      <c r="J474" s="70" t="s">
        <v>748</v>
      </c>
      <c r="K474" s="25"/>
      <c r="L474" s="25">
        <v>700</v>
      </c>
      <c r="M474" s="25">
        <f>IFERROR(VLOOKUP($C474,$C$5:$M$24,11,0)+SUMIF($C$25:$C474,$C474,$K$25:$K474)-SUMIF($C$25:$C474,$C474,$L$25:$L474),"")</f>
        <v>5352666.17</v>
      </c>
      <c r="N474" s="10"/>
      <c r="O474" s="10"/>
      <c r="P474" s="65"/>
      <c r="Q474" s="10"/>
      <c r="R474" s="10"/>
      <c r="S474" s="54">
        <f t="shared" si="21"/>
        <v>202603</v>
      </c>
      <c r="T474" s="54">
        <f t="shared" si="22"/>
        <v>202603</v>
      </c>
      <c r="U474" s="58" t="str">
        <f t="shared" si="23"/>
        <v/>
      </c>
      <c r="V474" s="58">
        <f>IF(AND($B474&lt;&gt;"",$F474&lt;&gt;"",$F474=项目明细账!$C$2),N(V473)+1,N(V473))</f>
        <v>0</v>
      </c>
      <c r="W474" s="63" t="str">
        <f>IF($H474&lt;&gt;"","项目成本",IFERROR(INDEX(基础资料!$W$4:$W$49,MATCH($I474,基础资料!$V$4:$V$49,0)),""))</f>
        <v>项目成本</v>
      </c>
      <c r="X474" s="63" t="str">
        <f>IFERROR(INDEX(基础资料!$R$4:$R$17,MATCH($G474,基础资料!$Q$4:$Q$17,0)),"")</f>
        <v/>
      </c>
    </row>
    <row r="475" spans="1:24">
      <c r="A475" s="58">
        <f>IF($B475="","",COUNTA($B$5:$B475))</f>
        <v>467</v>
      </c>
      <c r="B475" s="53">
        <v>46094</v>
      </c>
      <c r="C475" s="46" t="s">
        <v>99</v>
      </c>
      <c r="D475" s="63" t="str">
        <f>IFERROR(INDEX(基础资料!$F$4:$F$23,MATCH($C475,基础资料!$E$4:$E$23,0)),IF($C475="","","未匹配账户"))</f>
        <v>双思威</v>
      </c>
      <c r="E475" s="39"/>
      <c r="F475" s="10"/>
      <c r="G475" s="10"/>
      <c r="H475" s="10"/>
      <c r="I475" s="10" t="s">
        <v>234</v>
      </c>
      <c r="J475" s="70" t="s">
        <v>749</v>
      </c>
      <c r="K475" s="25"/>
      <c r="L475" s="25">
        <v>800</v>
      </c>
      <c r="M475" s="25">
        <f>IFERROR(VLOOKUP($C475,$C$5:$M$24,11,0)+SUMIF($C$25:$C475,$C475,$K$25:$K475)-SUMIF($C$25:$C475,$C475,$L$25:$L475),"")</f>
        <v>5351866.17</v>
      </c>
      <c r="N475" s="10"/>
      <c r="O475" s="10"/>
      <c r="P475" s="65"/>
      <c r="Q475" s="10"/>
      <c r="R475" s="10"/>
      <c r="S475" s="54">
        <f t="shared" si="21"/>
        <v>202603</v>
      </c>
      <c r="T475" s="54">
        <f t="shared" si="22"/>
        <v>202603</v>
      </c>
      <c r="U475" s="58" t="str">
        <f t="shared" si="23"/>
        <v/>
      </c>
      <c r="V475" s="58">
        <f>IF(AND($B475&lt;&gt;"",$F475&lt;&gt;"",$F475=项目明细账!$C$2),N(V474)+1,N(V474))</f>
        <v>0</v>
      </c>
      <c r="W475" s="63" t="str">
        <f>IF($H475&lt;&gt;"","项目成本",IFERROR(INDEX(基础资料!$W$4:$W$49,MATCH($I475,基础资料!$V$4:$V$49,0)),""))</f>
        <v>管理费用</v>
      </c>
      <c r="X475" s="63" t="str">
        <f>IFERROR(INDEX(基础资料!$R$4:$R$17,MATCH($G475,基础资料!$Q$4:$Q$17,0)),"")</f>
        <v/>
      </c>
    </row>
    <row r="476" spans="1:24">
      <c r="A476" s="58">
        <f>IF($B476="","",COUNTA($B$5:$B476))</f>
        <v>468</v>
      </c>
      <c r="B476" s="53">
        <v>46094</v>
      </c>
      <c r="C476" s="46" t="s">
        <v>99</v>
      </c>
      <c r="D476" s="63" t="str">
        <f>IFERROR(INDEX(基础资料!$F$4:$F$23,MATCH($C476,基础资料!$E$4:$E$23,0)),IF($C476="","","未匹配账户"))</f>
        <v>双思威</v>
      </c>
      <c r="E476" s="39"/>
      <c r="F476" s="10" t="s">
        <v>291</v>
      </c>
      <c r="G476" s="10"/>
      <c r="H476" s="10" t="s">
        <v>530</v>
      </c>
      <c r="I476" s="10"/>
      <c r="J476" s="70" t="s">
        <v>750</v>
      </c>
      <c r="K476" s="25"/>
      <c r="L476" s="25">
        <v>23720</v>
      </c>
      <c r="M476" s="25">
        <f>IFERROR(VLOOKUP($C476,$C$5:$M$24,11,0)+SUMIF($C$25:$C476,$C476,$K$25:$K476)-SUMIF($C$25:$C476,$C476,$L$25:$L476),"")</f>
        <v>5328146.17</v>
      </c>
      <c r="N476" s="10"/>
      <c r="O476" s="10"/>
      <c r="P476" s="65"/>
      <c r="Q476" s="10"/>
      <c r="R476" s="10"/>
      <c r="S476" s="54">
        <f t="shared" si="21"/>
        <v>202603</v>
      </c>
      <c r="T476" s="54">
        <f t="shared" si="22"/>
        <v>202603</v>
      </c>
      <c r="U476" s="58" t="str">
        <f t="shared" si="23"/>
        <v/>
      </c>
      <c r="V476" s="58">
        <f>IF(AND($B476&lt;&gt;"",$F476&lt;&gt;"",$F476=项目明细账!$C$2),N(V475)+1,N(V475))</f>
        <v>0</v>
      </c>
      <c r="W476" s="63" t="str">
        <f>IF($H476&lt;&gt;"","项目成本",IFERROR(INDEX(基础资料!$W$4:$W$49,MATCH($I476,基础资料!$V$4:$V$49,0)),""))</f>
        <v>项目成本</v>
      </c>
      <c r="X476" s="63" t="str">
        <f>IFERROR(INDEX(基础资料!$R$4:$R$17,MATCH($G476,基础资料!$Q$4:$Q$17,0)),"")</f>
        <v/>
      </c>
    </row>
    <row r="477" spans="1:24">
      <c r="A477" s="58">
        <f>IF($B477="","",COUNTA($B$5:$B477))</f>
        <v>469</v>
      </c>
      <c r="B477" s="53">
        <v>46094</v>
      </c>
      <c r="C477" s="46" t="s">
        <v>99</v>
      </c>
      <c r="D477" s="63" t="str">
        <f>IFERROR(INDEX(基础资料!$F$4:$F$23,MATCH($C477,基础资料!$E$4:$E$23,0)),IF($C477="","","未匹配账户"))</f>
        <v>双思威</v>
      </c>
      <c r="E477" s="39"/>
      <c r="F477" s="10"/>
      <c r="G477" s="10"/>
      <c r="H477" s="10"/>
      <c r="I477" s="10" t="s">
        <v>234</v>
      </c>
      <c r="J477" s="71" t="s">
        <v>532</v>
      </c>
      <c r="K477" s="25"/>
      <c r="L477" s="25">
        <v>1493.92</v>
      </c>
      <c r="M477" s="25">
        <f>IFERROR(VLOOKUP($C477,$C$5:$M$24,11,0)+SUMIF($C$25:$C477,$C477,$K$25:$K477)-SUMIF($C$25:$C477,$C477,$L$25:$L477),"")</f>
        <v>5326652.25</v>
      </c>
      <c r="N477" s="10"/>
      <c r="O477" s="10"/>
      <c r="P477" s="65"/>
      <c r="Q477" s="10"/>
      <c r="R477" s="10"/>
      <c r="S477" s="54">
        <f t="shared" si="21"/>
        <v>202603</v>
      </c>
      <c r="T477" s="54">
        <f t="shared" si="22"/>
        <v>202603</v>
      </c>
      <c r="U477" s="58" t="str">
        <f t="shared" si="23"/>
        <v/>
      </c>
      <c r="V477" s="58">
        <f>IF(AND($B477&lt;&gt;"",$F477&lt;&gt;"",$F477=项目明细账!$C$2),N(V476)+1,N(V476))</f>
        <v>0</v>
      </c>
      <c r="W477" s="63" t="str">
        <f>IF($H477&lt;&gt;"","项目成本",IFERROR(INDEX(基础资料!$W$4:$W$49,MATCH($I477,基础资料!$V$4:$V$49,0)),""))</f>
        <v>管理费用</v>
      </c>
      <c r="X477" s="63" t="str">
        <f>IFERROR(INDEX(基础资料!$R$4:$R$17,MATCH($G477,基础资料!$Q$4:$Q$17,0)),"")</f>
        <v/>
      </c>
    </row>
    <row r="478" spans="1:24">
      <c r="A478" s="58">
        <f>IF($B478="","",COUNTA($B$5:$B478))</f>
        <v>470</v>
      </c>
      <c r="B478" s="53">
        <v>46095</v>
      </c>
      <c r="C478" s="46" t="s">
        <v>99</v>
      </c>
      <c r="D478" s="63" t="str">
        <f>IFERROR(INDEX(基础资料!$F$4:$F$23,MATCH($C478,基础资料!$E$4:$E$23,0)),IF($C478="","","未匹配账户"))</f>
        <v>双思威</v>
      </c>
      <c r="E478" s="39"/>
      <c r="F478" s="10"/>
      <c r="G478" s="10"/>
      <c r="H478" s="10"/>
      <c r="I478" s="10" t="s">
        <v>234</v>
      </c>
      <c r="J478" s="71" t="s">
        <v>532</v>
      </c>
      <c r="K478" s="25"/>
      <c r="L478" s="25">
        <v>85.57</v>
      </c>
      <c r="M478" s="25">
        <f>IFERROR(VLOOKUP($C478,$C$5:$M$24,11,0)+SUMIF($C$25:$C478,$C478,$K$25:$K478)-SUMIF($C$25:$C478,$C478,$L$25:$L478),"")</f>
        <v>5326566.68</v>
      </c>
      <c r="N478" s="10"/>
      <c r="O478" s="10"/>
      <c r="P478" s="65"/>
      <c r="Q478" s="10"/>
      <c r="R478" s="10"/>
      <c r="S478" s="54">
        <f t="shared" si="21"/>
        <v>202603</v>
      </c>
      <c r="T478" s="54">
        <f t="shared" si="22"/>
        <v>202603</v>
      </c>
      <c r="U478" s="58" t="str">
        <f t="shared" si="23"/>
        <v/>
      </c>
      <c r="V478" s="58">
        <f>IF(AND($B478&lt;&gt;"",$F478&lt;&gt;"",$F478=项目明细账!$C$2),N(V477)+1,N(V477))</f>
        <v>0</v>
      </c>
      <c r="W478" s="63" t="str">
        <f>IF($H478&lt;&gt;"","项目成本",IFERROR(INDEX(基础资料!$W$4:$W$49,MATCH($I478,基础资料!$V$4:$V$49,0)),""))</f>
        <v>管理费用</v>
      </c>
      <c r="X478" s="63" t="str">
        <f>IFERROR(INDEX(基础资料!$R$4:$R$17,MATCH($G478,基础资料!$Q$4:$Q$17,0)),"")</f>
        <v/>
      </c>
    </row>
    <row r="479" spans="1:24">
      <c r="A479" s="58">
        <f>IF($B479="","",COUNTA($B$5:$B479))</f>
        <v>471</v>
      </c>
      <c r="B479" s="53">
        <v>46095</v>
      </c>
      <c r="C479" s="46" t="s">
        <v>99</v>
      </c>
      <c r="D479" s="63" t="str">
        <f>IFERROR(INDEX(基础资料!$F$4:$F$23,MATCH($C479,基础资料!$E$4:$E$23,0)),IF($C479="","","未匹配账户"))</f>
        <v>双思威</v>
      </c>
      <c r="E479" s="39"/>
      <c r="F479" s="10" t="s">
        <v>364</v>
      </c>
      <c r="G479" s="10"/>
      <c r="H479" s="10" t="s">
        <v>530</v>
      </c>
      <c r="I479" s="10"/>
      <c r="J479" s="70" t="s">
        <v>751</v>
      </c>
      <c r="K479" s="25"/>
      <c r="L479" s="25">
        <v>4950</v>
      </c>
      <c r="M479" s="25">
        <f>IFERROR(VLOOKUP($C479,$C$5:$M$24,11,0)+SUMIF($C$25:$C479,$C479,$K$25:$K479)-SUMIF($C$25:$C479,$C479,$L$25:$L479),"")</f>
        <v>5321616.68</v>
      </c>
      <c r="N479" s="10"/>
      <c r="O479" s="10"/>
      <c r="P479" s="65"/>
      <c r="Q479" s="10"/>
      <c r="R479" s="10"/>
      <c r="S479" s="54">
        <f t="shared" si="21"/>
        <v>202603</v>
      </c>
      <c r="T479" s="54">
        <f t="shared" si="22"/>
        <v>202603</v>
      </c>
      <c r="U479" s="58" t="str">
        <f t="shared" si="23"/>
        <v/>
      </c>
      <c r="V479" s="58">
        <f>IF(AND($B479&lt;&gt;"",$F479&lt;&gt;"",$F479=项目明细账!$C$2),N(V478)+1,N(V478))</f>
        <v>0</v>
      </c>
      <c r="W479" s="63" t="str">
        <f>IF($H479&lt;&gt;"","项目成本",IFERROR(INDEX(基础资料!$W$4:$W$49,MATCH($I479,基础资料!$V$4:$V$49,0)),""))</f>
        <v>项目成本</v>
      </c>
      <c r="X479" s="63" t="str">
        <f>IFERROR(INDEX(基础资料!$R$4:$R$17,MATCH($G479,基础资料!$Q$4:$Q$17,0)),"")</f>
        <v/>
      </c>
    </row>
    <row r="480" spans="1:24">
      <c r="A480" s="58">
        <f>IF($B480="","",COUNTA($B$5:$B480))</f>
        <v>472</v>
      </c>
      <c r="B480" s="53">
        <v>46095</v>
      </c>
      <c r="C480" s="46" t="s">
        <v>99</v>
      </c>
      <c r="D480" s="63" t="str">
        <f>IFERROR(INDEX(基础资料!$F$4:$F$23,MATCH($C480,基础资料!$E$4:$E$23,0)),IF($C480="","","未匹配账户"))</f>
        <v>双思威</v>
      </c>
      <c r="E480" s="39"/>
      <c r="F480" s="10"/>
      <c r="G480" s="10"/>
      <c r="H480" s="10"/>
      <c r="I480" s="10" t="s">
        <v>234</v>
      </c>
      <c r="J480" s="69" t="s">
        <v>543</v>
      </c>
      <c r="K480" s="25"/>
      <c r="L480" s="25">
        <v>1222</v>
      </c>
      <c r="M480" s="25">
        <f>IFERROR(VLOOKUP($C480,$C$5:$M$24,11,0)+SUMIF($C$25:$C480,$C480,$K$25:$K480)-SUMIF($C$25:$C480,$C480,$L$25:$L480),"")</f>
        <v>5320394.68</v>
      </c>
      <c r="N480" s="10"/>
      <c r="O480" s="10"/>
      <c r="P480" s="65"/>
      <c r="Q480" s="10"/>
      <c r="R480" s="10"/>
      <c r="S480" s="54">
        <f t="shared" si="21"/>
        <v>202603</v>
      </c>
      <c r="T480" s="54">
        <f t="shared" si="22"/>
        <v>202603</v>
      </c>
      <c r="U480" s="58" t="str">
        <f t="shared" si="23"/>
        <v/>
      </c>
      <c r="V480" s="58">
        <f>IF(AND($B480&lt;&gt;"",$F480&lt;&gt;"",$F480=项目明细账!$C$2),N(V479)+1,N(V479))</f>
        <v>0</v>
      </c>
      <c r="W480" s="63" t="str">
        <f>IF($H480&lt;&gt;"","项目成本",IFERROR(INDEX(基础资料!$W$4:$W$49,MATCH($I480,基础资料!$V$4:$V$49,0)),""))</f>
        <v>管理费用</v>
      </c>
      <c r="X480" s="63" t="str">
        <f>IFERROR(INDEX(基础资料!$R$4:$R$17,MATCH($G480,基础资料!$Q$4:$Q$17,0)),"")</f>
        <v/>
      </c>
    </row>
    <row r="481" spans="1:24">
      <c r="A481" s="58">
        <f>IF($B481="","",COUNTA($B$5:$B481))</f>
        <v>473</v>
      </c>
      <c r="B481" s="53">
        <v>46097</v>
      </c>
      <c r="C481" s="46" t="s">
        <v>99</v>
      </c>
      <c r="D481" s="63" t="str">
        <f>IFERROR(INDEX(基础资料!$F$4:$F$23,MATCH($C481,基础资料!$E$4:$E$23,0)),IF($C481="","","未匹配账户"))</f>
        <v>双思威</v>
      </c>
      <c r="E481" s="39"/>
      <c r="F481" s="10"/>
      <c r="G481" s="10"/>
      <c r="H481" s="10"/>
      <c r="I481" s="10" t="s">
        <v>234</v>
      </c>
      <c r="J481" s="69" t="s">
        <v>752</v>
      </c>
      <c r="K481" s="25"/>
      <c r="L481" s="25">
        <v>503</v>
      </c>
      <c r="M481" s="25">
        <f>IFERROR(VLOOKUP($C481,$C$5:$M$24,11,0)+SUMIF($C$25:$C481,$C481,$K$25:$K481)-SUMIF($C$25:$C481,$C481,$L$25:$L481),"")</f>
        <v>5319891.68</v>
      </c>
      <c r="N481" s="10"/>
      <c r="O481" s="10"/>
      <c r="P481" s="65"/>
      <c r="Q481" s="10"/>
      <c r="R481" s="10"/>
      <c r="S481" s="54">
        <f t="shared" si="21"/>
        <v>202603</v>
      </c>
      <c r="T481" s="54">
        <f t="shared" si="22"/>
        <v>202603</v>
      </c>
      <c r="U481" s="58" t="str">
        <f t="shared" si="23"/>
        <v/>
      </c>
      <c r="V481" s="58">
        <f>IF(AND($B481&lt;&gt;"",$F481&lt;&gt;"",$F481=项目明细账!$C$2),N(V480)+1,N(V480))</f>
        <v>0</v>
      </c>
      <c r="W481" s="63" t="str">
        <f>IF($H481&lt;&gt;"","项目成本",IFERROR(INDEX(基础资料!$W$4:$W$49,MATCH($I481,基础资料!$V$4:$V$49,0)),""))</f>
        <v>管理费用</v>
      </c>
      <c r="X481" s="63" t="str">
        <f>IFERROR(INDEX(基础资料!$R$4:$R$17,MATCH($G481,基础资料!$Q$4:$Q$17,0)),"")</f>
        <v/>
      </c>
    </row>
    <row r="482" spans="1:24">
      <c r="A482" s="58">
        <f>IF($B482="","",COUNTA($B$5:$B482))</f>
        <v>474</v>
      </c>
      <c r="B482" s="53">
        <v>46097</v>
      </c>
      <c r="C482" s="46" t="s">
        <v>99</v>
      </c>
      <c r="D482" s="63" t="str">
        <f>IFERROR(INDEX(基础资料!$F$4:$F$23,MATCH($C482,基础资料!$E$4:$E$23,0)),IF($C482="","","未匹配账户"))</f>
        <v>双思威</v>
      </c>
      <c r="E482" s="39"/>
      <c r="F482" s="10"/>
      <c r="G482" s="10"/>
      <c r="H482" s="10"/>
      <c r="I482" s="10" t="s">
        <v>234</v>
      </c>
      <c r="J482" s="70" t="s">
        <v>753</v>
      </c>
      <c r="K482" s="25"/>
      <c r="L482" s="25">
        <v>10000</v>
      </c>
      <c r="M482" s="25">
        <f>IFERROR(VLOOKUP($C482,$C$5:$M$24,11,0)+SUMIF($C$25:$C482,$C482,$K$25:$K482)-SUMIF($C$25:$C482,$C482,$L$25:$L482),"")</f>
        <v>5309891.68</v>
      </c>
      <c r="N482" s="10"/>
      <c r="O482" s="10"/>
      <c r="P482" s="65"/>
      <c r="Q482" s="10"/>
      <c r="R482" s="10"/>
      <c r="S482" s="54">
        <f t="shared" si="21"/>
        <v>202603</v>
      </c>
      <c r="T482" s="54">
        <f t="shared" si="22"/>
        <v>202603</v>
      </c>
      <c r="U482" s="58" t="str">
        <f t="shared" si="23"/>
        <v/>
      </c>
      <c r="V482" s="58">
        <f>IF(AND($B482&lt;&gt;"",$F482&lt;&gt;"",$F482=项目明细账!$C$2),N(V481)+1,N(V481))</f>
        <v>0</v>
      </c>
      <c r="W482" s="63" t="str">
        <f>IF($H482&lt;&gt;"","项目成本",IFERROR(INDEX(基础资料!$W$4:$W$49,MATCH($I482,基础资料!$V$4:$V$49,0)),""))</f>
        <v>管理费用</v>
      </c>
      <c r="X482" s="63" t="str">
        <f>IFERROR(INDEX(基础资料!$R$4:$R$17,MATCH($G482,基础资料!$Q$4:$Q$17,0)),"")</f>
        <v/>
      </c>
    </row>
    <row r="483" spans="1:24">
      <c r="A483" s="58">
        <f>IF($B483="","",COUNTA($B$5:$B483))</f>
        <v>475</v>
      </c>
      <c r="B483" s="53">
        <v>46099</v>
      </c>
      <c r="C483" s="46" t="s">
        <v>99</v>
      </c>
      <c r="D483" s="63" t="str">
        <f>IFERROR(INDEX(基础资料!$F$4:$F$23,MATCH($C483,基础资料!$E$4:$E$23,0)),IF($C483="","","未匹配账户"))</f>
        <v>双思威</v>
      </c>
      <c r="E483" s="39"/>
      <c r="F483" s="10" t="s">
        <v>365</v>
      </c>
      <c r="G483" s="10"/>
      <c r="H483" s="10" t="s">
        <v>530</v>
      </c>
      <c r="I483" s="10"/>
      <c r="J483" s="71" t="s">
        <v>551</v>
      </c>
      <c r="K483" s="25"/>
      <c r="L483" s="25">
        <v>3000</v>
      </c>
      <c r="M483" s="25">
        <f>IFERROR(VLOOKUP($C483,$C$5:$M$24,11,0)+SUMIF($C$25:$C483,$C483,$K$25:$K483)-SUMIF($C$25:$C483,$C483,$L$25:$L483),"")</f>
        <v>5306891.68</v>
      </c>
      <c r="N483" s="10"/>
      <c r="O483" s="10"/>
      <c r="P483" s="65"/>
      <c r="Q483" s="10"/>
      <c r="R483" s="10"/>
      <c r="S483" s="54">
        <f t="shared" si="21"/>
        <v>202603</v>
      </c>
      <c r="T483" s="54">
        <f t="shared" si="22"/>
        <v>202603</v>
      </c>
      <c r="U483" s="58" t="str">
        <f t="shared" si="23"/>
        <v/>
      </c>
      <c r="V483" s="58">
        <f>IF(AND($B483&lt;&gt;"",$F483&lt;&gt;"",$F483=项目明细账!$C$2),N(V482)+1,N(V482))</f>
        <v>0</v>
      </c>
      <c r="W483" s="63" t="str">
        <f>IF($H483&lt;&gt;"","项目成本",IFERROR(INDEX(基础资料!$W$4:$W$49,MATCH($I483,基础资料!$V$4:$V$49,0)),""))</f>
        <v>项目成本</v>
      </c>
      <c r="X483" s="63" t="str">
        <f>IFERROR(INDEX(基础资料!$R$4:$R$17,MATCH($G483,基础资料!$Q$4:$Q$17,0)),"")</f>
        <v/>
      </c>
    </row>
    <row r="484" spans="1:24">
      <c r="A484" s="58">
        <f>IF($B484="","",COUNTA($B$5:$B484))</f>
        <v>476</v>
      </c>
      <c r="B484" s="53">
        <v>46099</v>
      </c>
      <c r="C484" s="46" t="s">
        <v>99</v>
      </c>
      <c r="D484" s="63" t="str">
        <f>IFERROR(INDEX(基础资料!$F$4:$F$23,MATCH($C484,基础资料!$E$4:$E$23,0)),IF($C484="","","未匹配账户"))</f>
        <v>双思威</v>
      </c>
      <c r="E484" s="39"/>
      <c r="F484" s="10" t="s">
        <v>366</v>
      </c>
      <c r="G484" s="10"/>
      <c r="H484" s="10" t="s">
        <v>530</v>
      </c>
      <c r="I484" s="10"/>
      <c r="J484" s="70" t="s">
        <v>754</v>
      </c>
      <c r="K484" s="25"/>
      <c r="L484" s="25">
        <v>63000</v>
      </c>
      <c r="M484" s="25">
        <f>IFERROR(VLOOKUP($C484,$C$5:$M$24,11,0)+SUMIF($C$25:$C484,$C484,$K$25:$K484)-SUMIF($C$25:$C484,$C484,$L$25:$L484),"")</f>
        <v>5243891.68</v>
      </c>
      <c r="N484" s="10"/>
      <c r="O484" s="10"/>
      <c r="P484" s="65"/>
      <c r="Q484" s="10"/>
      <c r="R484" s="10"/>
      <c r="S484" s="54">
        <f t="shared" si="21"/>
        <v>202603</v>
      </c>
      <c r="T484" s="54">
        <f t="shared" si="22"/>
        <v>202603</v>
      </c>
      <c r="U484" s="58" t="str">
        <f t="shared" si="23"/>
        <v/>
      </c>
      <c r="V484" s="58">
        <f>IF(AND($B484&lt;&gt;"",$F484&lt;&gt;"",$F484=项目明细账!$C$2),N(V483)+1,N(V483))</f>
        <v>0</v>
      </c>
      <c r="W484" s="63" t="str">
        <f>IF($H484&lt;&gt;"","项目成本",IFERROR(INDEX(基础资料!$W$4:$W$49,MATCH($I484,基础资料!$V$4:$V$49,0)),""))</f>
        <v>项目成本</v>
      </c>
      <c r="X484" s="63" t="str">
        <f>IFERROR(INDEX(基础资料!$R$4:$R$17,MATCH($G484,基础资料!$Q$4:$Q$17,0)),"")</f>
        <v/>
      </c>
    </row>
    <row r="485" spans="1:24">
      <c r="A485" s="58">
        <f>IF($B485="","",COUNTA($B$5:$B485))</f>
        <v>477</v>
      </c>
      <c r="B485" s="53">
        <v>46099</v>
      </c>
      <c r="C485" s="46" t="s">
        <v>99</v>
      </c>
      <c r="D485" s="63" t="str">
        <f>IFERROR(INDEX(基础资料!$F$4:$F$23,MATCH($C485,基础资料!$E$4:$E$23,0)),IF($C485="","","未匹配账户"))</f>
        <v>双思威</v>
      </c>
      <c r="E485" s="39"/>
      <c r="F485" s="10" t="s">
        <v>356</v>
      </c>
      <c r="G485" s="10"/>
      <c r="H485" s="10" t="s">
        <v>530</v>
      </c>
      <c r="I485" s="10"/>
      <c r="J485" s="71" t="s">
        <v>755</v>
      </c>
      <c r="K485" s="25"/>
      <c r="L485" s="25">
        <v>12800</v>
      </c>
      <c r="M485" s="25">
        <f>IFERROR(VLOOKUP($C485,$C$5:$M$24,11,0)+SUMIF($C$25:$C485,$C485,$K$25:$K485)-SUMIF($C$25:$C485,$C485,$L$25:$L485),"")</f>
        <v>5231091.68</v>
      </c>
      <c r="N485" s="10"/>
      <c r="O485" s="10"/>
      <c r="P485" s="65"/>
      <c r="Q485" s="10"/>
      <c r="R485" s="10"/>
      <c r="S485" s="54">
        <f t="shared" si="21"/>
        <v>202603</v>
      </c>
      <c r="T485" s="54">
        <f t="shared" si="22"/>
        <v>202603</v>
      </c>
      <c r="U485" s="58" t="str">
        <f t="shared" si="23"/>
        <v/>
      </c>
      <c r="V485" s="58">
        <f>IF(AND($B485&lt;&gt;"",$F485&lt;&gt;"",$F485=项目明细账!$C$2),N(V484)+1,N(V484))</f>
        <v>0</v>
      </c>
      <c r="W485" s="63" t="str">
        <f>IF($H485&lt;&gt;"","项目成本",IFERROR(INDEX(基础资料!$W$4:$W$49,MATCH($I485,基础资料!$V$4:$V$49,0)),""))</f>
        <v>项目成本</v>
      </c>
      <c r="X485" s="63" t="str">
        <f>IFERROR(INDEX(基础资料!$R$4:$R$17,MATCH($G485,基础资料!$Q$4:$Q$17,0)),"")</f>
        <v/>
      </c>
    </row>
    <row r="486" spans="1:24">
      <c r="A486" s="58">
        <f>IF($B486="","",COUNTA($B$5:$B486))</f>
        <v>478</v>
      </c>
      <c r="B486" s="53">
        <v>46099</v>
      </c>
      <c r="C486" s="46" t="s">
        <v>99</v>
      </c>
      <c r="D486" s="63" t="str">
        <f>IFERROR(INDEX(基础资料!$F$4:$F$23,MATCH($C486,基础资料!$E$4:$E$23,0)),IF($C486="","","未匹配账户"))</f>
        <v>双思威</v>
      </c>
      <c r="E486" s="39"/>
      <c r="F486" s="10" t="s">
        <v>356</v>
      </c>
      <c r="G486" s="10"/>
      <c r="H486" s="10" t="s">
        <v>530</v>
      </c>
      <c r="I486" s="10"/>
      <c r="J486" s="71" t="s">
        <v>756</v>
      </c>
      <c r="K486" s="25"/>
      <c r="L486" s="25">
        <v>150000</v>
      </c>
      <c r="M486" s="25">
        <f>IFERROR(VLOOKUP($C486,$C$5:$M$24,11,0)+SUMIF($C$25:$C486,$C486,$K$25:$K486)-SUMIF($C$25:$C486,$C486,$L$25:$L486),"")</f>
        <v>5081091.68</v>
      </c>
      <c r="N486" s="10"/>
      <c r="O486" s="10"/>
      <c r="P486" s="65"/>
      <c r="Q486" s="10"/>
      <c r="R486" s="10"/>
      <c r="S486" s="54">
        <f t="shared" si="21"/>
        <v>202603</v>
      </c>
      <c r="T486" s="54">
        <f t="shared" si="22"/>
        <v>202603</v>
      </c>
      <c r="U486" s="58" t="str">
        <f t="shared" si="23"/>
        <v/>
      </c>
      <c r="V486" s="58">
        <f>IF(AND($B486&lt;&gt;"",$F486&lt;&gt;"",$F486=项目明细账!$C$2),N(V485)+1,N(V485))</f>
        <v>0</v>
      </c>
      <c r="W486" s="63" t="str">
        <f>IF($H486&lt;&gt;"","项目成本",IFERROR(INDEX(基础资料!$W$4:$W$49,MATCH($I486,基础资料!$V$4:$V$49,0)),""))</f>
        <v>项目成本</v>
      </c>
      <c r="X486" s="63" t="str">
        <f>IFERROR(INDEX(基础资料!$R$4:$R$17,MATCH($G486,基础资料!$Q$4:$Q$17,0)),"")</f>
        <v/>
      </c>
    </row>
    <row r="487" spans="1:24">
      <c r="A487" s="58">
        <f>IF($B487="","",COUNTA($B$5:$B487))</f>
        <v>479</v>
      </c>
      <c r="B487" s="53">
        <v>46099</v>
      </c>
      <c r="C487" s="46" t="s">
        <v>99</v>
      </c>
      <c r="D487" s="63" t="str">
        <f>IFERROR(INDEX(基础资料!$F$4:$F$23,MATCH($C487,基础资料!$E$4:$E$23,0)),IF($C487="","","未匹配账户"))</f>
        <v>双思威</v>
      </c>
      <c r="E487" s="39"/>
      <c r="F487" s="10" t="s">
        <v>303</v>
      </c>
      <c r="G487" s="10"/>
      <c r="H487" s="10" t="s">
        <v>530</v>
      </c>
      <c r="I487" s="10"/>
      <c r="J487" s="70" t="s">
        <v>757</v>
      </c>
      <c r="K487" s="25"/>
      <c r="L487" s="25">
        <v>3501</v>
      </c>
      <c r="M487" s="25">
        <f>IFERROR(VLOOKUP($C487,$C$5:$M$24,11,0)+SUMIF($C$25:$C487,$C487,$K$25:$K487)-SUMIF($C$25:$C487,$C487,$L$25:$L487),"")</f>
        <v>5077590.68</v>
      </c>
      <c r="N487" s="10"/>
      <c r="O487" s="10"/>
      <c r="P487" s="65"/>
      <c r="Q487" s="10"/>
      <c r="R487" s="10"/>
      <c r="S487" s="54">
        <f t="shared" si="21"/>
        <v>202603</v>
      </c>
      <c r="T487" s="54">
        <f t="shared" si="22"/>
        <v>202603</v>
      </c>
      <c r="U487" s="58" t="str">
        <f t="shared" si="23"/>
        <v/>
      </c>
      <c r="V487" s="58">
        <f>IF(AND($B487&lt;&gt;"",$F487&lt;&gt;"",$F487=项目明细账!$C$2),N(V486)+1,N(V486))</f>
        <v>0</v>
      </c>
      <c r="W487" s="63" t="str">
        <f>IF($H487&lt;&gt;"","项目成本",IFERROR(INDEX(基础资料!$W$4:$W$49,MATCH($I487,基础资料!$V$4:$V$49,0)),""))</f>
        <v>项目成本</v>
      </c>
      <c r="X487" s="63" t="str">
        <f>IFERROR(INDEX(基础资料!$R$4:$R$17,MATCH($G487,基础资料!$Q$4:$Q$17,0)),"")</f>
        <v/>
      </c>
    </row>
    <row r="488" spans="1:24">
      <c r="A488" s="58">
        <f>IF($B488="","",COUNTA($B$5:$B488))</f>
        <v>480</v>
      </c>
      <c r="B488" s="53">
        <v>46099</v>
      </c>
      <c r="C488" s="46" t="s">
        <v>99</v>
      </c>
      <c r="D488" s="63" t="str">
        <f>IFERROR(INDEX(基础资料!$F$4:$F$23,MATCH($C488,基础资料!$E$4:$E$23,0)),IF($C488="","","未匹配账户"))</f>
        <v>双思威</v>
      </c>
      <c r="E488" s="39"/>
      <c r="F488" s="10" t="s">
        <v>291</v>
      </c>
      <c r="G488" s="10"/>
      <c r="H488" s="10" t="s">
        <v>530</v>
      </c>
      <c r="I488" s="10"/>
      <c r="J488" s="71" t="s">
        <v>551</v>
      </c>
      <c r="K488" s="25"/>
      <c r="L488" s="25">
        <v>6950</v>
      </c>
      <c r="M488" s="25">
        <f>IFERROR(VLOOKUP($C488,$C$5:$M$24,11,0)+SUMIF($C$25:$C488,$C488,$K$25:$K488)-SUMIF($C$25:$C488,$C488,$L$25:$L488),"")</f>
        <v>5070640.68</v>
      </c>
      <c r="N488" s="10"/>
      <c r="O488" s="10"/>
      <c r="P488" s="65"/>
      <c r="Q488" s="10"/>
      <c r="R488" s="10"/>
      <c r="S488" s="54">
        <f t="shared" si="21"/>
        <v>202603</v>
      </c>
      <c r="T488" s="54">
        <f t="shared" si="22"/>
        <v>202603</v>
      </c>
      <c r="U488" s="58" t="str">
        <f t="shared" si="23"/>
        <v/>
      </c>
      <c r="V488" s="58">
        <f>IF(AND($B488&lt;&gt;"",$F488&lt;&gt;"",$F488=项目明细账!$C$2),N(V487)+1,N(V487))</f>
        <v>0</v>
      </c>
      <c r="W488" s="63" t="str">
        <f>IF($H488&lt;&gt;"","项目成本",IFERROR(INDEX(基础资料!$W$4:$W$49,MATCH($I488,基础资料!$V$4:$V$49,0)),""))</f>
        <v>项目成本</v>
      </c>
      <c r="X488" s="63" t="str">
        <f>IFERROR(INDEX(基础资料!$R$4:$R$17,MATCH($G488,基础资料!$Q$4:$Q$17,0)),"")</f>
        <v/>
      </c>
    </row>
    <row r="489" spans="1:24">
      <c r="A489" s="58">
        <f>IF($B489="","",COUNTA($B$5:$B489))</f>
        <v>481</v>
      </c>
      <c r="B489" s="53">
        <v>46099</v>
      </c>
      <c r="C489" s="46" t="s">
        <v>99</v>
      </c>
      <c r="D489" s="63" t="str">
        <f>IFERROR(INDEX(基础资料!$F$4:$F$23,MATCH($C489,基础资料!$E$4:$E$23,0)),IF($C489="","","未匹配账户"))</f>
        <v>双思威</v>
      </c>
      <c r="E489" s="39"/>
      <c r="F489" s="10" t="s">
        <v>291</v>
      </c>
      <c r="G489" s="10"/>
      <c r="H489" s="10" t="s">
        <v>530</v>
      </c>
      <c r="I489" s="10"/>
      <c r="J489" s="71" t="s">
        <v>551</v>
      </c>
      <c r="K489" s="25"/>
      <c r="L489" s="25">
        <v>7637</v>
      </c>
      <c r="M489" s="25">
        <f>IFERROR(VLOOKUP($C489,$C$5:$M$24,11,0)+SUMIF($C$25:$C489,$C489,$K$25:$K489)-SUMIF($C$25:$C489,$C489,$L$25:$L489),"")</f>
        <v>5063003.68</v>
      </c>
      <c r="N489" s="10"/>
      <c r="O489" s="10"/>
      <c r="P489" s="65"/>
      <c r="Q489" s="10"/>
      <c r="R489" s="10"/>
      <c r="S489" s="54">
        <f t="shared" si="21"/>
        <v>202603</v>
      </c>
      <c r="T489" s="54">
        <f t="shared" si="22"/>
        <v>202603</v>
      </c>
      <c r="U489" s="58" t="str">
        <f t="shared" si="23"/>
        <v/>
      </c>
      <c r="V489" s="58">
        <f>IF(AND($B489&lt;&gt;"",$F489&lt;&gt;"",$F489=项目明细账!$C$2),N(V488)+1,N(V488))</f>
        <v>0</v>
      </c>
      <c r="W489" s="63" t="str">
        <f>IF($H489&lt;&gt;"","项目成本",IFERROR(INDEX(基础资料!$W$4:$W$49,MATCH($I489,基础资料!$V$4:$V$49,0)),""))</f>
        <v>项目成本</v>
      </c>
      <c r="X489" s="63" t="str">
        <f>IFERROR(INDEX(基础资料!$R$4:$R$17,MATCH($G489,基础资料!$Q$4:$Q$17,0)),"")</f>
        <v/>
      </c>
    </row>
    <row r="490" spans="1:24">
      <c r="A490" s="58">
        <f>IF($B490="","",COUNTA($B$5:$B490))</f>
        <v>482</v>
      </c>
      <c r="B490" s="53">
        <v>46099</v>
      </c>
      <c r="C490" s="46" t="s">
        <v>99</v>
      </c>
      <c r="D490" s="63" t="str">
        <f>IFERROR(INDEX(基础资料!$F$4:$F$23,MATCH($C490,基础资料!$E$4:$E$23,0)),IF($C490="","","未匹配账户"))</f>
        <v>双思威</v>
      </c>
      <c r="E490" s="39"/>
      <c r="F490" s="10" t="s">
        <v>367</v>
      </c>
      <c r="G490" s="10"/>
      <c r="H490" s="10" t="s">
        <v>530</v>
      </c>
      <c r="I490" s="10"/>
      <c r="J490" s="71" t="s">
        <v>758</v>
      </c>
      <c r="K490" s="25"/>
      <c r="L490" s="25">
        <v>300000</v>
      </c>
      <c r="M490" s="25">
        <f>IFERROR(VLOOKUP($C490,$C$5:$M$24,11,0)+SUMIF($C$25:$C490,$C490,$K$25:$K490)-SUMIF($C$25:$C490,$C490,$L$25:$L490),"")</f>
        <v>4763003.68</v>
      </c>
      <c r="N490" s="10"/>
      <c r="O490" s="10"/>
      <c r="P490" s="65"/>
      <c r="Q490" s="10"/>
      <c r="R490" s="10"/>
      <c r="S490" s="54">
        <f t="shared" si="21"/>
        <v>202603</v>
      </c>
      <c r="T490" s="54">
        <f t="shared" si="22"/>
        <v>202603</v>
      </c>
      <c r="U490" s="58" t="str">
        <f t="shared" si="23"/>
        <v/>
      </c>
      <c r="V490" s="58">
        <f>IF(AND($B490&lt;&gt;"",$F490&lt;&gt;"",$F490=项目明细账!$C$2),N(V489)+1,N(V489))</f>
        <v>0</v>
      </c>
      <c r="W490" s="63" t="str">
        <f>IF($H490&lt;&gt;"","项目成本",IFERROR(INDEX(基础资料!$W$4:$W$49,MATCH($I490,基础资料!$V$4:$V$49,0)),""))</f>
        <v>项目成本</v>
      </c>
      <c r="X490" s="63" t="str">
        <f>IFERROR(INDEX(基础资料!$R$4:$R$17,MATCH($G490,基础资料!$Q$4:$Q$17,0)),"")</f>
        <v/>
      </c>
    </row>
    <row r="491" spans="1:24">
      <c r="A491" s="58">
        <f>IF($B491="","",COUNTA($B$5:$B491))</f>
        <v>483</v>
      </c>
      <c r="B491" s="53">
        <v>46099</v>
      </c>
      <c r="C491" s="46" t="s">
        <v>99</v>
      </c>
      <c r="D491" s="63" t="str">
        <f>IFERROR(INDEX(基础资料!$F$4:$F$23,MATCH($C491,基础资料!$E$4:$E$23,0)),IF($C491="","","未匹配账户"))</f>
        <v>双思威</v>
      </c>
      <c r="E491" s="39"/>
      <c r="F491" s="10" t="s">
        <v>369</v>
      </c>
      <c r="G491" s="10"/>
      <c r="H491" s="10" t="s">
        <v>530</v>
      </c>
      <c r="I491" s="10"/>
      <c r="J491" s="70" t="s">
        <v>759</v>
      </c>
      <c r="K491" s="25"/>
      <c r="L491" s="25">
        <v>1599</v>
      </c>
      <c r="M491" s="25">
        <f>IFERROR(VLOOKUP($C491,$C$5:$M$24,11,0)+SUMIF($C$25:$C491,$C491,$K$25:$K491)-SUMIF($C$25:$C491,$C491,$L$25:$L491),"")</f>
        <v>4761404.68</v>
      </c>
      <c r="N491" s="10"/>
      <c r="O491" s="10"/>
      <c r="P491" s="65"/>
      <c r="Q491" s="10"/>
      <c r="R491" s="10"/>
      <c r="S491" s="54">
        <f t="shared" si="21"/>
        <v>202603</v>
      </c>
      <c r="T491" s="54">
        <f t="shared" si="22"/>
        <v>202603</v>
      </c>
      <c r="U491" s="58" t="str">
        <f t="shared" si="23"/>
        <v/>
      </c>
      <c r="V491" s="58">
        <f>IF(AND($B491&lt;&gt;"",$F491&lt;&gt;"",$F491=项目明细账!$C$2),N(V490)+1,N(V490))</f>
        <v>0</v>
      </c>
      <c r="W491" s="63" t="str">
        <f>IF($H491&lt;&gt;"","项目成本",IFERROR(INDEX(基础资料!$W$4:$W$49,MATCH($I491,基础资料!$V$4:$V$49,0)),""))</f>
        <v>项目成本</v>
      </c>
      <c r="X491" s="63" t="str">
        <f>IFERROR(INDEX(基础资料!$R$4:$R$17,MATCH($G491,基础资料!$Q$4:$Q$17,0)),"")</f>
        <v/>
      </c>
    </row>
    <row r="492" spans="1:24">
      <c r="A492" s="58">
        <f>IF($B492="","",COUNTA($B$5:$B492))</f>
        <v>484</v>
      </c>
      <c r="B492" s="53">
        <v>46101</v>
      </c>
      <c r="C492" s="46" t="s">
        <v>99</v>
      </c>
      <c r="D492" s="63" t="str">
        <f>IFERROR(INDEX(基础资料!$F$4:$F$23,MATCH($C492,基础资料!$E$4:$E$23,0)),IF($C492="","","未匹配账户"))</f>
        <v>双思威</v>
      </c>
      <c r="E492" s="39"/>
      <c r="F492" s="10"/>
      <c r="G492" s="10"/>
      <c r="H492" s="10"/>
      <c r="I492" s="10" t="s">
        <v>234</v>
      </c>
      <c r="J492" s="69" t="s">
        <v>739</v>
      </c>
      <c r="K492" s="25"/>
      <c r="L492" s="25">
        <v>3519.54</v>
      </c>
      <c r="M492" s="25">
        <f>IFERROR(VLOOKUP($C492,$C$5:$M$24,11,0)+SUMIF($C$25:$C492,$C492,$K$25:$K492)-SUMIF($C$25:$C492,$C492,$L$25:$L492),"")</f>
        <v>4757885.14</v>
      </c>
      <c r="N492" s="10"/>
      <c r="O492" s="10"/>
      <c r="P492" s="65"/>
      <c r="Q492" s="10"/>
      <c r="R492" s="10"/>
      <c r="S492" s="54">
        <f t="shared" si="21"/>
        <v>202603</v>
      </c>
      <c r="T492" s="54">
        <f t="shared" si="22"/>
        <v>202603</v>
      </c>
      <c r="U492" s="58" t="str">
        <f t="shared" si="23"/>
        <v/>
      </c>
      <c r="V492" s="58">
        <f>IF(AND($B492&lt;&gt;"",$F492&lt;&gt;"",$F492=项目明细账!$C$2),N(V491)+1,N(V491))</f>
        <v>0</v>
      </c>
      <c r="W492" s="63" t="str">
        <f>IF($H492&lt;&gt;"","项目成本",IFERROR(INDEX(基础资料!$W$4:$W$49,MATCH($I492,基础资料!$V$4:$V$49,0)),""))</f>
        <v>管理费用</v>
      </c>
      <c r="X492" s="63" t="str">
        <f>IFERROR(INDEX(基础资料!$R$4:$R$17,MATCH($G492,基础资料!$Q$4:$Q$17,0)),"")</f>
        <v/>
      </c>
    </row>
    <row r="493" spans="1:24">
      <c r="A493" s="58">
        <f>IF($B493="","",COUNTA($B$5:$B493))</f>
        <v>485</v>
      </c>
      <c r="B493" s="53">
        <v>46101</v>
      </c>
      <c r="C493" s="46" t="s">
        <v>99</v>
      </c>
      <c r="D493" s="63" t="str">
        <f>IFERROR(INDEX(基础资料!$F$4:$F$23,MATCH($C493,基础资料!$E$4:$E$23,0)),IF($C493="","","未匹配账户"))</f>
        <v>双思威</v>
      </c>
      <c r="E493" s="39"/>
      <c r="F493" s="10" t="s">
        <v>212</v>
      </c>
      <c r="G493" s="10"/>
      <c r="H493" s="10" t="s">
        <v>530</v>
      </c>
      <c r="I493" s="10"/>
      <c r="J493" s="69" t="s">
        <v>760</v>
      </c>
      <c r="K493" s="25"/>
      <c r="L493" s="25">
        <v>343.1</v>
      </c>
      <c r="M493" s="25">
        <f>IFERROR(VLOOKUP($C493,$C$5:$M$24,11,0)+SUMIF($C$25:$C493,$C493,$K$25:$K493)-SUMIF($C$25:$C493,$C493,$L$25:$L493),"")</f>
        <v>4757542.04</v>
      </c>
      <c r="N493" s="10"/>
      <c r="O493" s="10"/>
      <c r="P493" s="65"/>
      <c r="Q493" s="10"/>
      <c r="R493" s="10"/>
      <c r="S493" s="54">
        <f t="shared" si="21"/>
        <v>202603</v>
      </c>
      <c r="T493" s="54">
        <f t="shared" si="22"/>
        <v>202603</v>
      </c>
      <c r="U493" s="58" t="str">
        <f t="shared" si="23"/>
        <v/>
      </c>
      <c r="V493" s="58">
        <f>IF(AND($B493&lt;&gt;"",$F493&lt;&gt;"",$F493=项目明细账!$C$2),N(V492)+1,N(V492))</f>
        <v>0</v>
      </c>
      <c r="W493" s="63" t="str">
        <f>IF($H493&lt;&gt;"","项目成本",IFERROR(INDEX(基础资料!$W$4:$W$49,MATCH($I493,基础资料!$V$4:$V$49,0)),""))</f>
        <v>项目成本</v>
      </c>
      <c r="X493" s="63" t="str">
        <f>IFERROR(INDEX(基础资料!$R$4:$R$17,MATCH($G493,基础资料!$Q$4:$Q$17,0)),"")</f>
        <v/>
      </c>
    </row>
    <row r="494" spans="1:24">
      <c r="A494" s="58">
        <f>IF($B494="","",COUNTA($B$5:$B494))</f>
        <v>486</v>
      </c>
      <c r="B494" s="53">
        <v>46101</v>
      </c>
      <c r="C494" s="46" t="s">
        <v>99</v>
      </c>
      <c r="D494" s="63" t="str">
        <f>IFERROR(INDEX(基础资料!$F$4:$F$23,MATCH($C494,基础资料!$E$4:$E$23,0)),IF($C494="","","未匹配账户"))</f>
        <v>双思威</v>
      </c>
      <c r="E494" s="39"/>
      <c r="F494" s="10" t="s">
        <v>291</v>
      </c>
      <c r="G494" s="10"/>
      <c r="H494" s="10" t="s">
        <v>530</v>
      </c>
      <c r="I494" s="10"/>
      <c r="J494" s="69" t="s">
        <v>760</v>
      </c>
      <c r="K494" s="25"/>
      <c r="L494" s="25">
        <v>614</v>
      </c>
      <c r="M494" s="25">
        <f>IFERROR(VLOOKUP($C494,$C$5:$M$24,11,0)+SUMIF($C$25:$C494,$C494,$K$25:$K494)-SUMIF($C$25:$C494,$C494,$L$25:$L494),"")</f>
        <v>4756928.04</v>
      </c>
      <c r="N494" s="10"/>
      <c r="O494" s="10"/>
      <c r="P494" s="65"/>
      <c r="Q494" s="10"/>
      <c r="R494" s="10"/>
      <c r="S494" s="54">
        <f t="shared" si="21"/>
        <v>202603</v>
      </c>
      <c r="T494" s="54">
        <f t="shared" si="22"/>
        <v>202603</v>
      </c>
      <c r="U494" s="58" t="str">
        <f t="shared" si="23"/>
        <v/>
      </c>
      <c r="V494" s="58">
        <f>IF(AND($B494&lt;&gt;"",$F494&lt;&gt;"",$F494=项目明细账!$C$2),N(V493)+1,N(V493))</f>
        <v>0</v>
      </c>
      <c r="W494" s="63" t="str">
        <f>IF($H494&lt;&gt;"","项目成本",IFERROR(INDEX(基础资料!$W$4:$W$49,MATCH($I494,基础资料!$V$4:$V$49,0)),""))</f>
        <v>项目成本</v>
      </c>
      <c r="X494" s="63" t="str">
        <f>IFERROR(INDEX(基础资料!$R$4:$R$17,MATCH($G494,基础资料!$Q$4:$Q$17,0)),"")</f>
        <v/>
      </c>
    </row>
    <row r="495" spans="1:24">
      <c r="A495" s="58">
        <f>IF($B495="","",COUNTA($B$5:$B495))</f>
        <v>487</v>
      </c>
      <c r="B495" s="53">
        <v>46101</v>
      </c>
      <c r="C495" s="46" t="s">
        <v>99</v>
      </c>
      <c r="D495" s="63" t="str">
        <f>IFERROR(INDEX(基础资料!$F$4:$F$23,MATCH($C495,基础资料!$E$4:$E$23,0)),IF($C495="","","未匹配账户"))</f>
        <v>双思威</v>
      </c>
      <c r="E495" s="39"/>
      <c r="F495" s="10"/>
      <c r="G495" s="10"/>
      <c r="H495" s="10"/>
      <c r="I495" s="10" t="s">
        <v>234</v>
      </c>
      <c r="J495" s="69" t="s">
        <v>587</v>
      </c>
      <c r="K495" s="25"/>
      <c r="L495" s="25">
        <v>276</v>
      </c>
      <c r="M495" s="25">
        <f>IFERROR(VLOOKUP($C495,$C$5:$M$24,11,0)+SUMIF($C$25:$C495,$C495,$K$25:$K495)-SUMIF($C$25:$C495,$C495,$L$25:$L495),"")</f>
        <v>4756652.04</v>
      </c>
      <c r="N495" s="10"/>
      <c r="O495" s="10"/>
      <c r="P495" s="65"/>
      <c r="Q495" s="10"/>
      <c r="R495" s="10"/>
      <c r="S495" s="54">
        <f t="shared" si="21"/>
        <v>202603</v>
      </c>
      <c r="T495" s="54">
        <f t="shared" si="22"/>
        <v>202603</v>
      </c>
      <c r="U495" s="58" t="str">
        <f t="shared" si="23"/>
        <v/>
      </c>
      <c r="V495" s="58">
        <f>IF(AND($B495&lt;&gt;"",$F495&lt;&gt;"",$F495=项目明细账!$C$2),N(V494)+1,N(V494))</f>
        <v>0</v>
      </c>
      <c r="W495" s="63" t="str">
        <f>IF($H495&lt;&gt;"","项目成本",IFERROR(INDEX(基础资料!$W$4:$W$49,MATCH($I495,基础资料!$V$4:$V$49,0)),""))</f>
        <v>管理费用</v>
      </c>
      <c r="X495" s="63" t="str">
        <f>IFERROR(INDEX(基础资料!$R$4:$R$17,MATCH($G495,基础资料!$Q$4:$Q$17,0)),"")</f>
        <v/>
      </c>
    </row>
    <row r="496" spans="1:24">
      <c r="A496" s="58">
        <f>IF($B496="","",COUNTA($B$5:$B496))</f>
        <v>488</v>
      </c>
      <c r="B496" s="53">
        <v>46101</v>
      </c>
      <c r="C496" s="46" t="s">
        <v>99</v>
      </c>
      <c r="D496" s="63" t="str">
        <f>IFERROR(INDEX(基础资料!$F$4:$F$23,MATCH($C496,基础资料!$E$4:$E$23,0)),IF($C496="","","未匹配账户"))</f>
        <v>双思威</v>
      </c>
      <c r="E496" s="39"/>
      <c r="F496" s="10"/>
      <c r="G496" s="10"/>
      <c r="H496" s="10"/>
      <c r="I496" s="10" t="s">
        <v>234</v>
      </c>
      <c r="J496" s="69" t="s">
        <v>761</v>
      </c>
      <c r="K496" s="25"/>
      <c r="L496" s="25">
        <v>11401</v>
      </c>
      <c r="M496" s="25">
        <f>IFERROR(VLOOKUP($C496,$C$5:$M$24,11,0)+SUMIF($C$25:$C496,$C496,$K$25:$K496)-SUMIF($C$25:$C496,$C496,$L$25:$L496),"")</f>
        <v>4745251.04</v>
      </c>
      <c r="N496" s="10"/>
      <c r="O496" s="10"/>
      <c r="P496" s="65"/>
      <c r="Q496" s="10"/>
      <c r="R496" s="10"/>
      <c r="S496" s="54">
        <f t="shared" si="21"/>
        <v>202603</v>
      </c>
      <c r="T496" s="54">
        <f t="shared" si="22"/>
        <v>202603</v>
      </c>
      <c r="U496" s="58" t="str">
        <f t="shared" si="23"/>
        <v/>
      </c>
      <c r="V496" s="58">
        <f>IF(AND($B496&lt;&gt;"",$F496&lt;&gt;"",$F496=项目明细账!$C$2),N(V495)+1,N(V495))</f>
        <v>0</v>
      </c>
      <c r="W496" s="63" t="str">
        <f>IF($H496&lt;&gt;"","项目成本",IFERROR(INDEX(基础资料!$W$4:$W$49,MATCH($I496,基础资料!$V$4:$V$49,0)),""))</f>
        <v>管理费用</v>
      </c>
      <c r="X496" s="63" t="str">
        <f>IFERROR(INDEX(基础资料!$R$4:$R$17,MATCH($G496,基础资料!$Q$4:$Q$17,0)),"")</f>
        <v/>
      </c>
    </row>
    <row r="497" spans="1:24">
      <c r="A497" s="58">
        <f>IF($B497="","",COUNTA($B$5:$B497))</f>
        <v>489</v>
      </c>
      <c r="B497" s="53">
        <v>46101</v>
      </c>
      <c r="C497" s="46" t="s">
        <v>99</v>
      </c>
      <c r="D497" s="63" t="str">
        <f>IFERROR(INDEX(基础资料!$F$4:$F$23,MATCH($C497,基础资料!$E$4:$E$23,0)),IF($C497="","","未匹配账户"))</f>
        <v>双思威</v>
      </c>
      <c r="E497" s="39"/>
      <c r="F497" s="10" t="s">
        <v>369</v>
      </c>
      <c r="G497" s="10"/>
      <c r="H497" s="10" t="s">
        <v>530</v>
      </c>
      <c r="I497" s="10"/>
      <c r="J497" s="69" t="s">
        <v>762</v>
      </c>
      <c r="K497" s="25"/>
      <c r="L497" s="25">
        <v>1248</v>
      </c>
      <c r="M497" s="25">
        <f>IFERROR(VLOOKUP($C497,$C$5:$M$24,11,0)+SUMIF($C$25:$C497,$C497,$K$25:$K497)-SUMIF($C$25:$C497,$C497,$L$25:$L497),"")</f>
        <v>4744003.04</v>
      </c>
      <c r="N497" s="10"/>
      <c r="O497" s="10"/>
      <c r="P497" s="65"/>
      <c r="Q497" s="10"/>
      <c r="R497" s="10"/>
      <c r="S497" s="54">
        <f t="shared" si="21"/>
        <v>202603</v>
      </c>
      <c r="T497" s="54">
        <f t="shared" si="22"/>
        <v>202603</v>
      </c>
      <c r="U497" s="58" t="str">
        <f t="shared" si="23"/>
        <v/>
      </c>
      <c r="V497" s="58">
        <f>IF(AND($B497&lt;&gt;"",$F497&lt;&gt;"",$F497=项目明细账!$C$2),N(V496)+1,N(V496))</f>
        <v>0</v>
      </c>
      <c r="W497" s="63" t="str">
        <f>IF($H497&lt;&gt;"","项目成本",IFERROR(INDEX(基础资料!$W$4:$W$49,MATCH($I497,基础资料!$V$4:$V$49,0)),""))</f>
        <v>项目成本</v>
      </c>
      <c r="X497" s="63" t="str">
        <f>IFERROR(INDEX(基础资料!$R$4:$R$17,MATCH($G497,基础资料!$Q$4:$Q$17,0)),"")</f>
        <v/>
      </c>
    </row>
    <row r="498" spans="1:24">
      <c r="A498" s="58">
        <f>IF($B498="","",COUNTA($B$5:$B498))</f>
        <v>490</v>
      </c>
      <c r="B498" s="53">
        <v>46102</v>
      </c>
      <c r="C498" s="46" t="s">
        <v>99</v>
      </c>
      <c r="D498" s="63" t="str">
        <f>IFERROR(INDEX(基础资料!$F$4:$F$23,MATCH($C498,基础资料!$E$4:$E$23,0)),IF($C498="","","未匹配账户"))</f>
        <v>双思威</v>
      </c>
      <c r="E498" s="39"/>
      <c r="F498" s="10"/>
      <c r="G498" s="10"/>
      <c r="H498" s="10"/>
      <c r="I498" s="10"/>
      <c r="J498" s="69"/>
      <c r="K498" s="25"/>
      <c r="L498" s="25"/>
      <c r="M498" s="25">
        <f>IFERROR(VLOOKUP($C498,$C$5:$M$24,11,0)+SUMIF($C$25:$C498,$C498,$K$25:$K498)-SUMIF($C$25:$C498,$C498,$L$25:$L498),"")</f>
        <v>4744003.04</v>
      </c>
      <c r="N498" s="10"/>
      <c r="O498" s="10"/>
      <c r="P498" s="65"/>
      <c r="Q498" s="10"/>
      <c r="R498" s="10"/>
      <c r="S498" s="54">
        <f t="shared" si="21"/>
        <v>202603</v>
      </c>
      <c r="T498" s="54">
        <f t="shared" si="22"/>
        <v>202603</v>
      </c>
      <c r="U498" s="58" t="str">
        <f t="shared" si="23"/>
        <v/>
      </c>
      <c r="V498" s="58">
        <f>IF(AND($B498&lt;&gt;"",$F498&lt;&gt;"",$F498=项目明细账!$C$2),N(V497)+1,N(V497))</f>
        <v>0</v>
      </c>
      <c r="W498" s="63" t="str">
        <f>IF($H498&lt;&gt;"","项目成本",IFERROR(INDEX(基础资料!$W$4:$W$49,MATCH($I498,基础资料!$V$4:$V$49,0)),""))</f>
        <v/>
      </c>
      <c r="X498" s="63" t="str">
        <f>IFERROR(INDEX(基础资料!$R$4:$R$17,MATCH($G498,基础资料!$Q$4:$Q$17,0)),"")</f>
        <v/>
      </c>
    </row>
    <row r="499" spans="1:24">
      <c r="A499" s="58">
        <f>IF($B499="","",COUNTA($B$5:$B499))</f>
        <v>491</v>
      </c>
      <c r="B499" s="53">
        <v>46104</v>
      </c>
      <c r="C499" s="46" t="s">
        <v>99</v>
      </c>
      <c r="D499" s="63" t="str">
        <f>IFERROR(INDEX(基础资料!$F$4:$F$23,MATCH($C499,基础资料!$E$4:$E$23,0)),IF($C499="","","未匹配账户"))</f>
        <v>双思威</v>
      </c>
      <c r="E499" s="39"/>
      <c r="F499" s="10" t="s">
        <v>367</v>
      </c>
      <c r="G499" s="10"/>
      <c r="H499" s="10" t="s">
        <v>530</v>
      </c>
      <c r="I499" s="10"/>
      <c r="J499" s="69" t="s">
        <v>763</v>
      </c>
      <c r="K499" s="25"/>
      <c r="L499" s="25">
        <v>2304</v>
      </c>
      <c r="M499" s="25">
        <f>IFERROR(VLOOKUP($C499,$C$5:$M$24,11,0)+SUMIF($C$25:$C499,$C499,$K$25:$K499)-SUMIF($C$25:$C499,$C499,$L$25:$L499),"")</f>
        <v>4741699.04</v>
      </c>
      <c r="N499" s="10"/>
      <c r="O499" s="10"/>
      <c r="P499" s="65"/>
      <c r="Q499" s="10"/>
      <c r="R499" s="10"/>
      <c r="S499" s="54">
        <f t="shared" si="21"/>
        <v>202603</v>
      </c>
      <c r="T499" s="54">
        <f t="shared" si="22"/>
        <v>202603</v>
      </c>
      <c r="U499" s="58" t="str">
        <f t="shared" si="23"/>
        <v/>
      </c>
      <c r="V499" s="58">
        <f>IF(AND($B499&lt;&gt;"",$F499&lt;&gt;"",$F499=项目明细账!$C$2),N(V498)+1,N(V498))</f>
        <v>0</v>
      </c>
      <c r="W499" s="63" t="str">
        <f>IF($H499&lt;&gt;"","项目成本",IFERROR(INDEX(基础资料!$W$4:$W$49,MATCH($I499,基础资料!$V$4:$V$49,0)),""))</f>
        <v>项目成本</v>
      </c>
      <c r="X499" s="63" t="str">
        <f>IFERROR(INDEX(基础资料!$R$4:$R$17,MATCH($G499,基础资料!$Q$4:$Q$17,0)),"")</f>
        <v/>
      </c>
    </row>
    <row r="500" spans="1:24">
      <c r="A500" s="58">
        <f>IF($B500="","",COUNTA($B$5:$B500))</f>
        <v>492</v>
      </c>
      <c r="B500" s="53">
        <v>46104</v>
      </c>
      <c r="C500" s="46" t="s">
        <v>99</v>
      </c>
      <c r="D500" s="63" t="str">
        <f>IFERROR(INDEX(基础资料!$F$4:$F$23,MATCH($C500,基础资料!$E$4:$E$23,0)),IF($C500="","","未匹配账户"))</f>
        <v>双思威</v>
      </c>
      <c r="E500" s="39"/>
      <c r="F500" s="10" t="s">
        <v>83</v>
      </c>
      <c r="G500" s="10"/>
      <c r="H500" s="10" t="s">
        <v>530</v>
      </c>
      <c r="I500" s="10"/>
      <c r="J500" s="71" t="s">
        <v>662</v>
      </c>
      <c r="K500" s="25"/>
      <c r="L500" s="25">
        <v>3500</v>
      </c>
      <c r="M500" s="25">
        <f>IFERROR(VLOOKUP($C500,$C$5:$M$24,11,0)+SUMIF($C$25:$C500,$C500,$K$25:$K500)-SUMIF($C$25:$C500,$C500,$L$25:$L500),"")</f>
        <v>4738199.04</v>
      </c>
      <c r="N500" s="10"/>
      <c r="O500" s="10"/>
      <c r="P500" s="65"/>
      <c r="Q500" s="10"/>
      <c r="R500" s="10"/>
      <c r="S500" s="54">
        <f t="shared" si="21"/>
        <v>202603</v>
      </c>
      <c r="T500" s="54">
        <f t="shared" si="22"/>
        <v>202603</v>
      </c>
      <c r="U500" s="58" t="str">
        <f t="shared" si="23"/>
        <v/>
      </c>
      <c r="V500" s="58">
        <f>IF(AND($B500&lt;&gt;"",$F500&lt;&gt;"",$F500=项目明细账!$C$2),N(V499)+1,N(V499))</f>
        <v>0</v>
      </c>
      <c r="W500" s="63" t="str">
        <f>IF($H500&lt;&gt;"","项目成本",IFERROR(INDEX(基础资料!$W$4:$W$49,MATCH($I500,基础资料!$V$4:$V$49,0)),""))</f>
        <v>项目成本</v>
      </c>
      <c r="X500" s="63" t="str">
        <f>IFERROR(INDEX(基础资料!$R$4:$R$17,MATCH($G500,基础资料!$Q$4:$Q$17,0)),"")</f>
        <v/>
      </c>
    </row>
    <row r="501" spans="1:24">
      <c r="A501" s="58">
        <f>IF($B501="","",COUNTA($B$5:$B501))</f>
        <v>493</v>
      </c>
      <c r="B501" s="53">
        <v>46104</v>
      </c>
      <c r="C501" s="46" t="s">
        <v>99</v>
      </c>
      <c r="D501" s="63" t="str">
        <f>IFERROR(INDEX(基础资料!$F$4:$F$23,MATCH($C501,基础资料!$E$4:$E$23,0)),IF($C501="","","未匹配账户"))</f>
        <v>双思威</v>
      </c>
      <c r="E501" s="39"/>
      <c r="F501" s="10" t="s">
        <v>83</v>
      </c>
      <c r="G501" s="10"/>
      <c r="H501" s="10" t="s">
        <v>530</v>
      </c>
      <c r="I501" s="10"/>
      <c r="J501" s="71" t="s">
        <v>685</v>
      </c>
      <c r="K501" s="25"/>
      <c r="L501" s="25">
        <v>1300</v>
      </c>
      <c r="M501" s="25">
        <f>IFERROR(VLOOKUP($C501,$C$5:$M$24,11,0)+SUMIF($C$25:$C501,$C501,$K$25:$K501)-SUMIF($C$25:$C501,$C501,$L$25:$L501),"")</f>
        <v>4736899.04</v>
      </c>
      <c r="N501" s="10"/>
      <c r="O501" s="10"/>
      <c r="P501" s="65"/>
      <c r="Q501" s="10"/>
      <c r="R501" s="10"/>
      <c r="S501" s="54">
        <f t="shared" si="21"/>
        <v>202603</v>
      </c>
      <c r="T501" s="54">
        <f t="shared" si="22"/>
        <v>202603</v>
      </c>
      <c r="U501" s="58" t="str">
        <f t="shared" si="23"/>
        <v/>
      </c>
      <c r="V501" s="58">
        <f>IF(AND($B501&lt;&gt;"",$F501&lt;&gt;"",$F501=项目明细账!$C$2),N(V500)+1,N(V500))</f>
        <v>0</v>
      </c>
      <c r="W501" s="63" t="str">
        <f>IF($H501&lt;&gt;"","项目成本",IFERROR(INDEX(基础资料!$W$4:$W$49,MATCH($I501,基础资料!$V$4:$V$49,0)),""))</f>
        <v>项目成本</v>
      </c>
      <c r="X501" s="63" t="str">
        <f>IFERROR(INDEX(基础资料!$R$4:$R$17,MATCH($G501,基础资料!$Q$4:$Q$17,0)),"")</f>
        <v/>
      </c>
    </row>
    <row r="502" spans="1:24">
      <c r="A502" s="58">
        <f>IF($B502="","",COUNTA($B$5:$B502))</f>
        <v>494</v>
      </c>
      <c r="B502" s="53">
        <v>46104</v>
      </c>
      <c r="C502" s="46" t="s">
        <v>99</v>
      </c>
      <c r="D502" s="63" t="str">
        <f>IFERROR(INDEX(基础资料!$F$4:$F$23,MATCH($C502,基础资料!$E$4:$E$23,0)),IF($C502="","","未匹配账户"))</f>
        <v>双思威</v>
      </c>
      <c r="E502" s="39"/>
      <c r="F502" s="10" t="s">
        <v>223</v>
      </c>
      <c r="G502" s="10"/>
      <c r="H502" s="10"/>
      <c r="I502" s="10"/>
      <c r="J502" s="70" t="s">
        <v>764</v>
      </c>
      <c r="K502" s="25"/>
      <c r="L502" s="25">
        <v>760</v>
      </c>
      <c r="M502" s="25">
        <f>IFERROR(VLOOKUP($C502,$C$5:$M$24,11,0)+SUMIF($C$25:$C502,$C502,$K$25:$K502)-SUMIF($C$25:$C502,$C502,$L$25:$L502),"")</f>
        <v>4736139.04</v>
      </c>
      <c r="N502" s="10"/>
      <c r="O502" s="10"/>
      <c r="P502" s="65"/>
      <c r="Q502" s="10"/>
      <c r="R502" s="10"/>
      <c r="S502" s="54">
        <f t="shared" si="21"/>
        <v>202603</v>
      </c>
      <c r="T502" s="54">
        <f t="shared" si="22"/>
        <v>202603</v>
      </c>
      <c r="U502" s="58" t="str">
        <f t="shared" si="23"/>
        <v/>
      </c>
      <c r="V502" s="58">
        <f>IF(AND($B502&lt;&gt;"",$F502&lt;&gt;"",$F502=项目明细账!$C$2),N(V501)+1,N(V501))</f>
        <v>0</v>
      </c>
      <c r="W502" s="63" t="str">
        <f>IF($H502&lt;&gt;"","项目成本",IFERROR(INDEX(基础资料!$W$4:$W$49,MATCH($I502,基础资料!$V$4:$V$49,0)),""))</f>
        <v/>
      </c>
      <c r="X502" s="63" t="str">
        <f>IFERROR(INDEX(基础资料!$R$4:$R$17,MATCH($G502,基础资料!$Q$4:$Q$17,0)),"")</f>
        <v/>
      </c>
    </row>
    <row r="503" spans="1:24">
      <c r="A503" s="58">
        <f>IF($B503="","",COUNTA($B$5:$B503))</f>
        <v>495</v>
      </c>
      <c r="B503" s="53">
        <v>46106</v>
      </c>
      <c r="C503" s="46" t="s">
        <v>99</v>
      </c>
      <c r="D503" s="63" t="str">
        <f>IFERROR(INDEX(基础资料!$F$4:$F$23,MATCH($C503,基础资料!$E$4:$E$23,0)),IF($C503="","","未匹配账户"))</f>
        <v>双思威</v>
      </c>
      <c r="E503" s="39"/>
      <c r="F503" s="10" t="s">
        <v>325</v>
      </c>
      <c r="G503" s="10"/>
      <c r="H503" s="10" t="s">
        <v>530</v>
      </c>
      <c r="I503" s="10"/>
      <c r="J503" s="69" t="s">
        <v>765</v>
      </c>
      <c r="K503" s="25"/>
      <c r="L503" s="25">
        <v>11000</v>
      </c>
      <c r="M503" s="25">
        <f>IFERROR(VLOOKUP($C503,$C$5:$M$24,11,0)+SUMIF($C$25:$C503,$C503,$K$25:$K503)-SUMIF($C$25:$C503,$C503,$L$25:$L503),"")</f>
        <v>4725139.04</v>
      </c>
      <c r="N503" s="10"/>
      <c r="O503" s="10"/>
      <c r="P503" s="65"/>
      <c r="Q503" s="10"/>
      <c r="R503" s="10"/>
      <c r="S503" s="54">
        <f t="shared" si="21"/>
        <v>202603</v>
      </c>
      <c r="T503" s="54">
        <f t="shared" si="22"/>
        <v>202603</v>
      </c>
      <c r="U503" s="58" t="str">
        <f t="shared" si="23"/>
        <v/>
      </c>
      <c r="V503" s="58">
        <f>IF(AND($B503&lt;&gt;"",$F503&lt;&gt;"",$F503=项目明细账!$C$2),N(V502)+1,N(V502))</f>
        <v>0</v>
      </c>
      <c r="W503" s="63" t="str">
        <f>IF($H503&lt;&gt;"","项目成本",IFERROR(INDEX(基础资料!$W$4:$W$49,MATCH($I503,基础资料!$V$4:$V$49,0)),""))</f>
        <v>项目成本</v>
      </c>
      <c r="X503" s="63" t="str">
        <f>IFERROR(INDEX(基础资料!$R$4:$R$17,MATCH($G503,基础资料!$Q$4:$Q$17,0)),"")</f>
        <v/>
      </c>
    </row>
    <row r="504" spans="1:24">
      <c r="A504" s="58">
        <f>IF($B504="","",COUNTA($B$5:$B504))</f>
        <v>496</v>
      </c>
      <c r="B504" s="53">
        <v>46106</v>
      </c>
      <c r="C504" s="46" t="s">
        <v>99</v>
      </c>
      <c r="D504" s="63" t="str">
        <f>IFERROR(INDEX(基础资料!$F$4:$F$23,MATCH($C504,基础资料!$E$4:$E$23,0)),IF($C504="","","未匹配账户"))</f>
        <v>双思威</v>
      </c>
      <c r="E504" s="39"/>
      <c r="F504" s="10"/>
      <c r="G504" s="10"/>
      <c r="H504" s="10"/>
      <c r="I504" s="10" t="s">
        <v>234</v>
      </c>
      <c r="J504" s="70" t="s">
        <v>692</v>
      </c>
      <c r="K504" s="25"/>
      <c r="L504" s="25">
        <v>350</v>
      </c>
      <c r="M504" s="25">
        <f>IFERROR(VLOOKUP($C504,$C$5:$M$24,11,0)+SUMIF($C$25:$C504,$C504,$K$25:$K504)-SUMIF($C$25:$C504,$C504,$L$25:$L504),"")</f>
        <v>4724789.04</v>
      </c>
      <c r="N504" s="10"/>
      <c r="O504" s="10"/>
      <c r="P504" s="65"/>
      <c r="Q504" s="10"/>
      <c r="R504" s="10"/>
      <c r="S504" s="54">
        <f t="shared" si="21"/>
        <v>202603</v>
      </c>
      <c r="T504" s="54">
        <f t="shared" si="22"/>
        <v>202603</v>
      </c>
      <c r="U504" s="58" t="str">
        <f t="shared" si="23"/>
        <v/>
      </c>
      <c r="V504" s="58">
        <f>IF(AND($B504&lt;&gt;"",$F504&lt;&gt;"",$F504=项目明细账!$C$2),N(V503)+1,N(V503))</f>
        <v>0</v>
      </c>
      <c r="W504" s="63" t="str">
        <f>IF($H504&lt;&gt;"","项目成本",IFERROR(INDEX(基础资料!$W$4:$W$49,MATCH($I504,基础资料!$V$4:$V$49,0)),""))</f>
        <v>管理费用</v>
      </c>
      <c r="X504" s="63" t="str">
        <f>IFERROR(INDEX(基础资料!$R$4:$R$17,MATCH($G504,基础资料!$Q$4:$Q$17,0)),"")</f>
        <v/>
      </c>
    </row>
    <row r="505" spans="1:24">
      <c r="A505" s="58">
        <f>IF($B505="","",COUNTA($B$5:$B505))</f>
        <v>497</v>
      </c>
      <c r="B505" s="53">
        <v>46106</v>
      </c>
      <c r="C505" s="46" t="s">
        <v>99</v>
      </c>
      <c r="D505" s="63" t="str">
        <f>IFERROR(INDEX(基础资料!$F$4:$F$23,MATCH($C505,基础资料!$E$4:$E$23,0)),IF($C505="","","未匹配账户"))</f>
        <v>双思威</v>
      </c>
      <c r="E505" s="39"/>
      <c r="F505" s="10"/>
      <c r="G505" s="10"/>
      <c r="H505" s="10"/>
      <c r="I505" s="10"/>
      <c r="J505" s="83" t="s">
        <v>766</v>
      </c>
      <c r="K505" s="84"/>
      <c r="L505" s="25">
        <v>19346</v>
      </c>
      <c r="M505" s="25">
        <f>IFERROR(VLOOKUP($C505,$C$5:$M$24,11,0)+SUMIF($C$25:$C505,$C505,$K$25:$K505)-SUMIF($C$25:$C505,$C505,$L$25:$L505),"")</f>
        <v>4705443.04</v>
      </c>
      <c r="N505" s="10"/>
      <c r="O505" s="10"/>
      <c r="P505" s="65"/>
      <c r="Q505" s="10"/>
      <c r="R505" s="10"/>
      <c r="S505" s="54">
        <f t="shared" si="21"/>
        <v>202603</v>
      </c>
      <c r="T505" s="54">
        <f t="shared" si="22"/>
        <v>202603</v>
      </c>
      <c r="U505" s="58" t="str">
        <f t="shared" si="23"/>
        <v/>
      </c>
      <c r="V505" s="58">
        <f>IF(AND($B505&lt;&gt;"",$F505&lt;&gt;"",$F505=项目明细账!$C$2),N(V504)+1,N(V504))</f>
        <v>0</v>
      </c>
      <c r="W505" s="63" t="str">
        <f>IF($H505&lt;&gt;"","项目成本",IFERROR(INDEX(基础资料!$W$4:$W$49,MATCH($I505,基础资料!$V$4:$V$49,0)),""))</f>
        <v/>
      </c>
      <c r="X505" s="63" t="str">
        <f>IFERROR(INDEX(基础资料!$R$4:$R$17,MATCH($G505,基础资料!$Q$4:$Q$17,0)),"")</f>
        <v/>
      </c>
    </row>
    <row r="506" spans="1:24">
      <c r="A506" s="58">
        <f>IF($B506="","",COUNTA($B$5:$B506))</f>
        <v>498</v>
      </c>
      <c r="B506" s="53">
        <v>46107</v>
      </c>
      <c r="C506" s="46" t="s">
        <v>99</v>
      </c>
      <c r="D506" s="63" t="str">
        <f>IFERROR(INDEX(基础资料!$F$4:$F$23,MATCH($C506,基础资料!$E$4:$E$23,0)),IF($C506="","","未匹配账户"))</f>
        <v>双思威</v>
      </c>
      <c r="E506" s="39"/>
      <c r="F506" s="10"/>
      <c r="G506" s="10"/>
      <c r="H506" s="10"/>
      <c r="I506" s="10" t="s">
        <v>234</v>
      </c>
      <c r="J506" s="69" t="s">
        <v>767</v>
      </c>
      <c r="K506" s="25"/>
      <c r="L506" s="25">
        <v>3000</v>
      </c>
      <c r="M506" s="25">
        <f>IFERROR(VLOOKUP($C506,$C$5:$M$24,11,0)+SUMIF($C$25:$C506,$C506,$K$25:$K506)-SUMIF($C$25:$C506,$C506,$L$25:$L506),"")</f>
        <v>4702443.04</v>
      </c>
      <c r="N506" s="10"/>
      <c r="O506" s="10"/>
      <c r="P506" s="65"/>
      <c r="Q506" s="10"/>
      <c r="R506" s="10"/>
      <c r="S506" s="54">
        <f t="shared" si="21"/>
        <v>202603</v>
      </c>
      <c r="T506" s="54">
        <f t="shared" si="22"/>
        <v>202603</v>
      </c>
      <c r="U506" s="58" t="str">
        <f t="shared" si="23"/>
        <v/>
      </c>
      <c r="V506" s="58">
        <f>IF(AND($B506&lt;&gt;"",$F506&lt;&gt;"",$F506=项目明细账!$C$2),N(V505)+1,N(V505))</f>
        <v>0</v>
      </c>
      <c r="W506" s="63" t="str">
        <f>IF($H506&lt;&gt;"","项目成本",IFERROR(INDEX(基础资料!$W$4:$W$49,MATCH($I506,基础资料!$V$4:$V$49,0)),""))</f>
        <v>管理费用</v>
      </c>
      <c r="X506" s="63" t="str">
        <f>IFERROR(INDEX(基础资料!$R$4:$R$17,MATCH($G506,基础资料!$Q$4:$Q$17,0)),"")</f>
        <v/>
      </c>
    </row>
    <row r="507" spans="1:24">
      <c r="A507" s="58">
        <f>IF($B507="","",COUNTA($B$5:$B507))</f>
        <v>499</v>
      </c>
      <c r="B507" s="53">
        <v>46107</v>
      </c>
      <c r="C507" s="46" t="s">
        <v>99</v>
      </c>
      <c r="D507" s="63" t="str">
        <f>IFERROR(INDEX(基础资料!$F$4:$F$23,MATCH($C507,基础资料!$E$4:$E$23,0)),IF($C507="","","未匹配账户"))</f>
        <v>双思威</v>
      </c>
      <c r="E507" s="39"/>
      <c r="F507" s="10" t="s">
        <v>372</v>
      </c>
      <c r="G507" s="10"/>
      <c r="H507" s="10" t="s">
        <v>530</v>
      </c>
      <c r="I507" s="10"/>
      <c r="J507" s="70" t="s">
        <v>768</v>
      </c>
      <c r="K507" s="25"/>
      <c r="L507" s="25">
        <v>22400</v>
      </c>
      <c r="M507" s="25">
        <f>IFERROR(VLOOKUP($C507,$C$5:$M$24,11,0)+SUMIF($C$25:$C507,$C507,$K$25:$K507)-SUMIF($C$25:$C507,$C507,$L$25:$L507),"")</f>
        <v>4680043.04</v>
      </c>
      <c r="N507" s="10"/>
      <c r="O507" s="10"/>
      <c r="P507" s="65"/>
      <c r="Q507" s="10"/>
      <c r="R507" s="10"/>
      <c r="S507" s="54">
        <f t="shared" si="21"/>
        <v>202603</v>
      </c>
      <c r="T507" s="54">
        <f t="shared" si="22"/>
        <v>202603</v>
      </c>
      <c r="U507" s="58" t="str">
        <f t="shared" si="23"/>
        <v/>
      </c>
      <c r="V507" s="58">
        <f>IF(AND($B507&lt;&gt;"",$F507&lt;&gt;"",$F507=项目明细账!$C$2),N(V506)+1,N(V506))</f>
        <v>0</v>
      </c>
      <c r="W507" s="63" t="str">
        <f>IF($H507&lt;&gt;"","项目成本",IFERROR(INDEX(基础资料!$W$4:$W$49,MATCH($I507,基础资料!$V$4:$V$49,0)),""))</f>
        <v>项目成本</v>
      </c>
      <c r="X507" s="63" t="str">
        <f>IFERROR(INDEX(基础资料!$R$4:$R$17,MATCH($G507,基础资料!$Q$4:$Q$17,0)),"")</f>
        <v/>
      </c>
    </row>
    <row r="508" spans="1:24">
      <c r="A508" s="58">
        <f>IF($B508="","",COUNTA($B$5:$B508))</f>
        <v>500</v>
      </c>
      <c r="B508" s="53">
        <v>46107</v>
      </c>
      <c r="C508" s="46" t="s">
        <v>99</v>
      </c>
      <c r="D508" s="63" t="str">
        <f>IFERROR(INDEX(基础资料!$F$4:$F$23,MATCH($C508,基础资料!$E$4:$E$23,0)),IF($C508="","","未匹配账户"))</f>
        <v>双思威</v>
      </c>
      <c r="E508" s="39"/>
      <c r="F508" s="10" t="s">
        <v>83</v>
      </c>
      <c r="G508" s="10"/>
      <c r="H508" s="10" t="s">
        <v>530</v>
      </c>
      <c r="I508" s="10"/>
      <c r="J508" s="69" t="s">
        <v>769</v>
      </c>
      <c r="K508" s="25"/>
      <c r="L508" s="25">
        <v>2300</v>
      </c>
      <c r="M508" s="25">
        <f>IFERROR(VLOOKUP($C508,$C$5:$M$24,11,0)+SUMIF($C$25:$C508,$C508,$K$25:$K508)-SUMIF($C$25:$C508,$C508,$L$25:$L508),"")</f>
        <v>4677743.04</v>
      </c>
      <c r="N508" s="10"/>
      <c r="O508" s="10"/>
      <c r="P508" s="65"/>
      <c r="Q508" s="10"/>
      <c r="R508" s="10"/>
      <c r="S508" s="54">
        <f t="shared" si="21"/>
        <v>202603</v>
      </c>
      <c r="T508" s="54">
        <f t="shared" si="22"/>
        <v>202603</v>
      </c>
      <c r="U508" s="58" t="str">
        <f t="shared" si="23"/>
        <v/>
      </c>
      <c r="V508" s="58">
        <f>IF(AND($B508&lt;&gt;"",$F508&lt;&gt;"",$F508=项目明细账!$C$2),N(V507)+1,N(V507))</f>
        <v>0</v>
      </c>
      <c r="W508" s="63" t="str">
        <f>IF($H508&lt;&gt;"","项目成本",IFERROR(INDEX(基础资料!$W$4:$W$49,MATCH($I508,基础资料!$V$4:$V$49,0)),""))</f>
        <v>项目成本</v>
      </c>
      <c r="X508" s="63" t="str">
        <f>IFERROR(INDEX(基础资料!$R$4:$R$17,MATCH($G508,基础资料!$Q$4:$Q$17,0)),"")</f>
        <v/>
      </c>
    </row>
    <row r="509" spans="1:24">
      <c r="A509" s="58">
        <f>IF($B509="","",COUNTA($B$5:$B509))</f>
        <v>501</v>
      </c>
      <c r="B509" s="53">
        <v>46107</v>
      </c>
      <c r="C509" s="46" t="s">
        <v>99</v>
      </c>
      <c r="D509" s="63" t="str">
        <f>IFERROR(INDEX(基础资料!$F$4:$F$23,MATCH($C509,基础资料!$E$4:$E$23,0)),IF($C509="","","未匹配账户"))</f>
        <v>双思威</v>
      </c>
      <c r="E509" s="39"/>
      <c r="F509" s="10" t="s">
        <v>362</v>
      </c>
      <c r="G509" s="10"/>
      <c r="H509" s="10" t="s">
        <v>530</v>
      </c>
      <c r="I509" s="10"/>
      <c r="J509" s="71" t="s">
        <v>741</v>
      </c>
      <c r="K509" s="25"/>
      <c r="L509" s="25">
        <v>11300</v>
      </c>
      <c r="M509" s="25">
        <f>IFERROR(VLOOKUP($C509,$C$5:$M$24,11,0)+SUMIF($C$25:$C509,$C509,$K$25:$K509)-SUMIF($C$25:$C509,$C509,$L$25:$L509),"")</f>
        <v>4666443.04</v>
      </c>
      <c r="N509" s="10"/>
      <c r="O509" s="10"/>
      <c r="P509" s="65"/>
      <c r="Q509" s="10"/>
      <c r="R509" s="10"/>
      <c r="S509" s="54">
        <f t="shared" si="21"/>
        <v>202603</v>
      </c>
      <c r="T509" s="54">
        <f t="shared" si="22"/>
        <v>202603</v>
      </c>
      <c r="U509" s="58" t="str">
        <f t="shared" si="23"/>
        <v/>
      </c>
      <c r="V509" s="58">
        <f>IF(AND($B509&lt;&gt;"",$F509&lt;&gt;"",$F509=项目明细账!$C$2),N(V508)+1,N(V508))</f>
        <v>0</v>
      </c>
      <c r="W509" s="63" t="str">
        <f>IF($H509&lt;&gt;"","项目成本",IFERROR(INDEX(基础资料!$W$4:$W$49,MATCH($I509,基础资料!$V$4:$V$49,0)),""))</f>
        <v>项目成本</v>
      </c>
      <c r="X509" s="63" t="str">
        <f>IFERROR(INDEX(基础资料!$R$4:$R$17,MATCH($G509,基础资料!$Q$4:$Q$17,0)),"")</f>
        <v/>
      </c>
    </row>
    <row r="510" spans="1:24">
      <c r="A510" s="58">
        <f>IF($B510="","",COUNTA($B$5:$B510))</f>
        <v>502</v>
      </c>
      <c r="B510" s="53">
        <v>46107</v>
      </c>
      <c r="C510" s="46" t="s">
        <v>99</v>
      </c>
      <c r="D510" s="63" t="str">
        <f>IFERROR(INDEX(基础资料!$F$4:$F$23,MATCH($C510,基础资料!$E$4:$E$23,0)),IF($C510="","","未匹配账户"))</f>
        <v>双思威</v>
      </c>
      <c r="E510" s="39"/>
      <c r="F510" s="10" t="s">
        <v>356</v>
      </c>
      <c r="G510" s="10"/>
      <c r="H510" s="10" t="s">
        <v>184</v>
      </c>
      <c r="I510" s="10"/>
      <c r="J510" s="70" t="s">
        <v>770</v>
      </c>
      <c r="K510" s="25"/>
      <c r="L510" s="25">
        <v>324</v>
      </c>
      <c r="M510" s="25">
        <f>IFERROR(VLOOKUP($C510,$C$5:$M$24,11,0)+SUMIF($C$25:$C510,$C510,$K$25:$K510)-SUMIF($C$25:$C510,$C510,$L$25:$L510),"")</f>
        <v>4666119.04</v>
      </c>
      <c r="N510" s="10"/>
      <c r="O510" s="10"/>
      <c r="P510" s="65"/>
      <c r="Q510" s="10"/>
      <c r="R510" s="10"/>
      <c r="S510" s="54">
        <f t="shared" si="21"/>
        <v>202603</v>
      </c>
      <c r="T510" s="54">
        <f t="shared" si="22"/>
        <v>202603</v>
      </c>
      <c r="U510" s="58" t="str">
        <f t="shared" si="23"/>
        <v/>
      </c>
      <c r="V510" s="58">
        <f>IF(AND($B510&lt;&gt;"",$F510&lt;&gt;"",$F510=项目明细账!$C$2),N(V509)+1,N(V509))</f>
        <v>0</v>
      </c>
      <c r="W510" s="63" t="str">
        <f>IF($H510&lt;&gt;"","项目成本",IFERROR(INDEX(基础资料!$W$4:$W$49,MATCH($I510,基础资料!$V$4:$V$49,0)),""))</f>
        <v>项目成本</v>
      </c>
      <c r="X510" s="63" t="str">
        <f>IFERROR(INDEX(基础资料!$R$4:$R$17,MATCH($G510,基础资料!$Q$4:$Q$17,0)),"")</f>
        <v/>
      </c>
    </row>
    <row r="511" spans="1:24">
      <c r="A511" s="58">
        <f>IF($B511="","",COUNTA($B$5:$B511))</f>
        <v>503</v>
      </c>
      <c r="B511" s="53">
        <v>46107</v>
      </c>
      <c r="C511" s="46" t="s">
        <v>99</v>
      </c>
      <c r="D511" s="63" t="str">
        <f>IFERROR(INDEX(基础资料!$F$4:$F$23,MATCH($C511,基础资料!$E$4:$E$23,0)),IF($C511="","","未匹配账户"))</f>
        <v>双思威</v>
      </c>
      <c r="E511" s="39"/>
      <c r="F511" s="10" t="s">
        <v>373</v>
      </c>
      <c r="G511" s="10"/>
      <c r="H511" s="10" t="s">
        <v>530</v>
      </c>
      <c r="I511" s="10"/>
      <c r="J511" s="70" t="s">
        <v>771</v>
      </c>
      <c r="K511" s="25"/>
      <c r="L511" s="25">
        <v>350</v>
      </c>
      <c r="M511" s="25">
        <f>IFERROR(VLOOKUP($C511,$C$5:$M$24,11,0)+SUMIF($C$25:$C511,$C511,$K$25:$K511)-SUMIF($C$25:$C511,$C511,$L$25:$L511),"")</f>
        <v>4665769.04</v>
      </c>
      <c r="N511" s="10"/>
      <c r="O511" s="10"/>
      <c r="P511" s="65"/>
      <c r="Q511" s="10"/>
      <c r="R511" s="10"/>
      <c r="S511" s="54">
        <f t="shared" si="21"/>
        <v>202603</v>
      </c>
      <c r="T511" s="54">
        <f t="shared" si="22"/>
        <v>202603</v>
      </c>
      <c r="U511" s="58" t="str">
        <f t="shared" si="23"/>
        <v/>
      </c>
      <c r="V511" s="58">
        <f>IF(AND($B511&lt;&gt;"",$F511&lt;&gt;"",$F511=项目明细账!$C$2),N(V510)+1,N(V510))</f>
        <v>0</v>
      </c>
      <c r="W511" s="63" t="str">
        <f>IF($H511&lt;&gt;"","项目成本",IFERROR(INDEX(基础资料!$W$4:$W$49,MATCH($I511,基础资料!$V$4:$V$49,0)),""))</f>
        <v>项目成本</v>
      </c>
      <c r="X511" s="63" t="str">
        <f>IFERROR(INDEX(基础资料!$R$4:$R$17,MATCH($G511,基础资料!$Q$4:$Q$17,0)),"")</f>
        <v/>
      </c>
    </row>
    <row r="512" spans="1:24">
      <c r="A512" s="58">
        <f>IF($B512="","",COUNTA($B$5:$B512))</f>
        <v>504</v>
      </c>
      <c r="B512" s="53">
        <v>46108</v>
      </c>
      <c r="C512" s="46" t="s">
        <v>99</v>
      </c>
      <c r="D512" s="63" t="str">
        <f>IFERROR(INDEX(基础资料!$F$4:$F$23,MATCH($C512,基础资料!$E$4:$E$23,0)),IF($C512="","","未匹配账户"))</f>
        <v>双思威</v>
      </c>
      <c r="E512" s="39"/>
      <c r="F512" s="10" t="s">
        <v>205</v>
      </c>
      <c r="G512" s="10"/>
      <c r="H512" s="10" t="s">
        <v>530</v>
      </c>
      <c r="I512" s="10"/>
      <c r="J512" s="70" t="s">
        <v>772</v>
      </c>
      <c r="K512" s="25"/>
      <c r="L512" s="25">
        <v>175</v>
      </c>
      <c r="M512" s="25">
        <f>IFERROR(VLOOKUP($C512,$C$5:$M$24,11,0)+SUMIF($C$25:$C512,$C512,$K$25:$K512)-SUMIF($C$25:$C512,$C512,$L$25:$L512),"")</f>
        <v>4665594.04</v>
      </c>
      <c r="N512" s="10"/>
      <c r="O512" s="10"/>
      <c r="P512" s="65"/>
      <c r="Q512" s="10"/>
      <c r="R512" s="10"/>
      <c r="S512" s="54">
        <f t="shared" si="21"/>
        <v>202603</v>
      </c>
      <c r="T512" s="54">
        <f t="shared" si="22"/>
        <v>202603</v>
      </c>
      <c r="U512" s="58" t="str">
        <f t="shared" si="23"/>
        <v/>
      </c>
      <c r="V512" s="58">
        <f>IF(AND($B512&lt;&gt;"",$F512&lt;&gt;"",$F512=项目明细账!$C$2),N(V511)+1,N(V511))</f>
        <v>0</v>
      </c>
      <c r="W512" s="63" t="str">
        <f>IF($H512&lt;&gt;"","项目成本",IFERROR(INDEX(基础资料!$W$4:$W$49,MATCH($I512,基础资料!$V$4:$V$49,0)),""))</f>
        <v>项目成本</v>
      </c>
      <c r="X512" s="63" t="str">
        <f>IFERROR(INDEX(基础资料!$R$4:$R$17,MATCH($G512,基础资料!$Q$4:$Q$17,0)),"")</f>
        <v/>
      </c>
    </row>
    <row r="513" spans="1:24">
      <c r="A513" s="58">
        <f>IF($B513="","",COUNTA($B$5:$B513))</f>
        <v>505</v>
      </c>
      <c r="B513" s="53">
        <v>46108</v>
      </c>
      <c r="C513" s="46" t="s">
        <v>99</v>
      </c>
      <c r="D513" s="63" t="str">
        <f>IFERROR(INDEX(基础资料!$F$4:$F$23,MATCH($C513,基础资料!$E$4:$E$23,0)),IF($C513="","","未匹配账户"))</f>
        <v>双思威</v>
      </c>
      <c r="E513" s="39"/>
      <c r="F513" s="10"/>
      <c r="G513" s="10"/>
      <c r="H513" s="10"/>
      <c r="I513" s="10" t="s">
        <v>234</v>
      </c>
      <c r="J513" s="69" t="s">
        <v>544</v>
      </c>
      <c r="K513" s="25"/>
      <c r="L513" s="25">
        <v>2631</v>
      </c>
      <c r="M513" s="25">
        <f>IFERROR(VLOOKUP($C513,$C$5:$M$24,11,0)+SUMIF($C$25:$C513,$C513,$K$25:$K513)-SUMIF($C$25:$C513,$C513,$L$25:$L513),"")</f>
        <v>4662963.04</v>
      </c>
      <c r="N513" s="10"/>
      <c r="O513" s="10"/>
      <c r="P513" s="65"/>
      <c r="Q513" s="10"/>
      <c r="R513" s="10"/>
      <c r="S513" s="54">
        <f t="shared" si="21"/>
        <v>202603</v>
      </c>
      <c r="T513" s="54">
        <f t="shared" si="22"/>
        <v>202603</v>
      </c>
      <c r="U513" s="58" t="str">
        <f t="shared" si="23"/>
        <v/>
      </c>
      <c r="V513" s="58">
        <f>IF(AND($B513&lt;&gt;"",$F513&lt;&gt;"",$F513=项目明细账!$C$2),N(V512)+1,N(V512))</f>
        <v>0</v>
      </c>
      <c r="W513" s="63" t="str">
        <f>IF($H513&lt;&gt;"","项目成本",IFERROR(INDEX(基础资料!$W$4:$W$49,MATCH($I513,基础资料!$V$4:$V$49,0)),""))</f>
        <v>管理费用</v>
      </c>
      <c r="X513" s="63" t="str">
        <f>IFERROR(INDEX(基础资料!$R$4:$R$17,MATCH($G513,基础资料!$Q$4:$Q$17,0)),"")</f>
        <v/>
      </c>
    </row>
    <row r="514" spans="1:24">
      <c r="A514" s="58">
        <f>IF($B514="","",COUNTA($B$5:$B514))</f>
        <v>506</v>
      </c>
      <c r="B514" s="53">
        <v>46108</v>
      </c>
      <c r="C514" s="46" t="s">
        <v>99</v>
      </c>
      <c r="D514" s="63" t="str">
        <f>IFERROR(INDEX(基础资料!$F$4:$F$23,MATCH($C514,基础资料!$E$4:$E$23,0)),IF($C514="","","未匹配账户"))</f>
        <v>双思威</v>
      </c>
      <c r="E514" s="39"/>
      <c r="F514" s="10"/>
      <c r="G514" s="10"/>
      <c r="H514" s="10"/>
      <c r="I514" s="10" t="s">
        <v>234</v>
      </c>
      <c r="J514" s="69" t="s">
        <v>586</v>
      </c>
      <c r="K514" s="25"/>
      <c r="L514" s="25">
        <v>670</v>
      </c>
      <c r="M514" s="25">
        <f>IFERROR(VLOOKUP($C514,$C$5:$M$24,11,0)+SUMIF($C$25:$C514,$C514,$K$25:$K514)-SUMIF($C$25:$C514,$C514,$L$25:$L514),"")</f>
        <v>4662293.04</v>
      </c>
      <c r="N514" s="10"/>
      <c r="O514" s="10"/>
      <c r="P514" s="65"/>
      <c r="Q514" s="10"/>
      <c r="R514" s="10"/>
      <c r="S514" s="54">
        <f t="shared" si="21"/>
        <v>202603</v>
      </c>
      <c r="T514" s="54">
        <f t="shared" si="22"/>
        <v>202603</v>
      </c>
      <c r="U514" s="58" t="str">
        <f t="shared" si="23"/>
        <v/>
      </c>
      <c r="V514" s="58">
        <f>IF(AND($B514&lt;&gt;"",$F514&lt;&gt;"",$F514=项目明细账!$C$2),N(V513)+1,N(V513))</f>
        <v>0</v>
      </c>
      <c r="W514" s="63" t="str">
        <f>IF($H514&lt;&gt;"","项目成本",IFERROR(INDEX(基础资料!$W$4:$W$49,MATCH($I514,基础资料!$V$4:$V$49,0)),""))</f>
        <v>管理费用</v>
      </c>
      <c r="X514" s="63" t="str">
        <f>IFERROR(INDEX(基础资料!$R$4:$R$17,MATCH($G514,基础资料!$Q$4:$Q$17,0)),"")</f>
        <v/>
      </c>
    </row>
    <row r="515" spans="1:24">
      <c r="A515" s="58">
        <f>IF($B515="","",COUNTA($B$5:$B515))</f>
        <v>507</v>
      </c>
      <c r="B515" s="53">
        <v>46108</v>
      </c>
      <c r="C515" s="46" t="s">
        <v>99</v>
      </c>
      <c r="D515" s="63" t="str">
        <f>IFERROR(INDEX(基础资料!$F$4:$F$23,MATCH($C515,基础资料!$E$4:$E$23,0)),IF($C515="","","未匹配账户"))</f>
        <v>双思威</v>
      </c>
      <c r="E515" s="39"/>
      <c r="F515" s="10"/>
      <c r="G515" s="10"/>
      <c r="H515" s="10"/>
      <c r="I515" s="10" t="s">
        <v>234</v>
      </c>
      <c r="J515" s="70" t="s">
        <v>773</v>
      </c>
      <c r="K515" s="25"/>
      <c r="L515" s="25">
        <v>2178</v>
      </c>
      <c r="M515" s="25">
        <f>IFERROR(VLOOKUP($C515,$C$5:$M$24,11,0)+SUMIF($C$25:$C515,$C515,$K$25:$K515)-SUMIF($C$25:$C515,$C515,$L$25:$L515),"")</f>
        <v>4660115.04</v>
      </c>
      <c r="N515" s="10"/>
      <c r="O515" s="10"/>
      <c r="P515" s="65"/>
      <c r="Q515" s="10"/>
      <c r="R515" s="10"/>
      <c r="S515" s="54">
        <f t="shared" si="21"/>
        <v>202603</v>
      </c>
      <c r="T515" s="54">
        <f t="shared" si="22"/>
        <v>202603</v>
      </c>
      <c r="U515" s="58" t="str">
        <f t="shared" si="23"/>
        <v/>
      </c>
      <c r="V515" s="58">
        <f>IF(AND($B515&lt;&gt;"",$F515&lt;&gt;"",$F515=项目明细账!$C$2),N(V514)+1,N(V514))</f>
        <v>0</v>
      </c>
      <c r="W515" s="63" t="str">
        <f>IF($H515&lt;&gt;"","项目成本",IFERROR(INDEX(基础资料!$W$4:$W$49,MATCH($I515,基础资料!$V$4:$V$49,0)),""))</f>
        <v>管理费用</v>
      </c>
      <c r="X515" s="63" t="str">
        <f>IFERROR(INDEX(基础资料!$R$4:$R$17,MATCH($G515,基础资料!$Q$4:$Q$17,0)),"")</f>
        <v/>
      </c>
    </row>
    <row r="516" spans="1:24">
      <c r="A516" s="58">
        <f>IF($B516="","",COUNTA($B$5:$B516))</f>
        <v>508</v>
      </c>
      <c r="B516" s="53">
        <v>46109</v>
      </c>
      <c r="C516" s="46" t="s">
        <v>99</v>
      </c>
      <c r="D516" s="63" t="str">
        <f>IFERROR(INDEX(基础资料!$F$4:$F$23,MATCH($C516,基础资料!$E$4:$E$23,0)),IF($C516="","","未匹配账户"))</f>
        <v>双思威</v>
      </c>
      <c r="E516" s="39"/>
      <c r="F516" s="10" t="s">
        <v>291</v>
      </c>
      <c r="G516" s="10"/>
      <c r="H516" s="10" t="s">
        <v>530</v>
      </c>
      <c r="I516" s="10"/>
      <c r="J516" s="70" t="s">
        <v>774</v>
      </c>
      <c r="K516" s="25"/>
      <c r="L516" s="25">
        <v>18387</v>
      </c>
      <c r="M516" s="25">
        <f>IFERROR(VLOOKUP($C516,$C$5:$M$24,11,0)+SUMIF($C$25:$C516,$C516,$K$25:$K516)-SUMIF($C$25:$C516,$C516,$L$25:$L516),"")</f>
        <v>4641728.04</v>
      </c>
      <c r="N516" s="10"/>
      <c r="O516" s="10"/>
      <c r="P516" s="65"/>
      <c r="Q516" s="10"/>
      <c r="R516" s="10"/>
      <c r="S516" s="54">
        <f t="shared" si="21"/>
        <v>202603</v>
      </c>
      <c r="T516" s="54">
        <f t="shared" si="22"/>
        <v>202603</v>
      </c>
      <c r="U516" s="58" t="str">
        <f t="shared" si="23"/>
        <v/>
      </c>
      <c r="V516" s="58">
        <f>IF(AND($B516&lt;&gt;"",$F516&lt;&gt;"",$F516=项目明细账!$C$2),N(V515)+1,N(V515))</f>
        <v>0</v>
      </c>
      <c r="W516" s="63" t="str">
        <f>IF($H516&lt;&gt;"","项目成本",IFERROR(INDEX(基础资料!$W$4:$W$49,MATCH($I516,基础资料!$V$4:$V$49,0)),""))</f>
        <v>项目成本</v>
      </c>
      <c r="X516" s="63" t="str">
        <f>IFERROR(INDEX(基础资料!$R$4:$R$17,MATCH($G516,基础资料!$Q$4:$Q$17,0)),"")</f>
        <v/>
      </c>
    </row>
    <row r="517" spans="1:24">
      <c r="A517" s="58">
        <f>IF($B517="","",COUNTA($B$5:$B517))</f>
        <v>509</v>
      </c>
      <c r="B517" s="53">
        <v>46111</v>
      </c>
      <c r="C517" s="46" t="s">
        <v>99</v>
      </c>
      <c r="D517" s="63" t="str">
        <f>IFERROR(INDEX(基础资料!$F$4:$F$23,MATCH($C517,基础资料!$E$4:$E$23,0)),IF($C517="","","未匹配账户"))</f>
        <v>双思威</v>
      </c>
      <c r="E517" s="39"/>
      <c r="F517" s="10"/>
      <c r="G517" s="10"/>
      <c r="H517" s="10"/>
      <c r="I517" s="10" t="s">
        <v>234</v>
      </c>
      <c r="J517" s="71" t="s">
        <v>773</v>
      </c>
      <c r="K517" s="25"/>
      <c r="L517" s="25">
        <v>1808</v>
      </c>
      <c r="M517" s="25">
        <f>IFERROR(VLOOKUP($C517,$C$5:$M$24,11,0)+SUMIF($C$25:$C517,$C517,$K$25:$K517)-SUMIF($C$25:$C517,$C517,$L$25:$L517),"")</f>
        <v>4639920.04</v>
      </c>
      <c r="N517" s="10"/>
      <c r="O517" s="10"/>
      <c r="P517" s="65"/>
      <c r="Q517" s="10"/>
      <c r="R517" s="10"/>
      <c r="S517" s="54">
        <f t="shared" si="21"/>
        <v>202603</v>
      </c>
      <c r="T517" s="54">
        <f t="shared" si="22"/>
        <v>202603</v>
      </c>
      <c r="U517" s="58" t="str">
        <f t="shared" si="23"/>
        <v/>
      </c>
      <c r="V517" s="58">
        <f>IF(AND($B517&lt;&gt;"",$F517&lt;&gt;"",$F517=项目明细账!$C$2),N(V516)+1,N(V516))</f>
        <v>0</v>
      </c>
      <c r="W517" s="63" t="str">
        <f>IF($H517&lt;&gt;"","项目成本",IFERROR(INDEX(基础资料!$W$4:$W$49,MATCH($I517,基础资料!$V$4:$V$49,0)),""))</f>
        <v>管理费用</v>
      </c>
      <c r="X517" s="63" t="str">
        <f>IFERROR(INDEX(基础资料!$R$4:$R$17,MATCH($G517,基础资料!$Q$4:$Q$17,0)),"")</f>
        <v/>
      </c>
    </row>
    <row r="518" spans="1:24">
      <c r="A518" s="58">
        <f>IF($B518="","",COUNTA($B$5:$B518))</f>
        <v>510</v>
      </c>
      <c r="B518" s="53">
        <v>46111</v>
      </c>
      <c r="C518" s="46" t="s">
        <v>99</v>
      </c>
      <c r="D518" s="63" t="str">
        <f>IFERROR(INDEX(基础资料!$F$4:$F$23,MATCH($C518,基础资料!$E$4:$E$23,0)),IF($C518="","","未匹配账户"))</f>
        <v>双思威</v>
      </c>
      <c r="E518" s="39"/>
      <c r="F518" s="10"/>
      <c r="G518" s="10"/>
      <c r="H518" s="10"/>
      <c r="I518" s="10" t="s">
        <v>234</v>
      </c>
      <c r="J518" s="71" t="s">
        <v>532</v>
      </c>
      <c r="K518" s="25"/>
      <c r="L518" s="25">
        <v>1209</v>
      </c>
      <c r="M518" s="25">
        <f>IFERROR(VLOOKUP($C518,$C$5:$M$24,11,0)+SUMIF($C$25:$C518,$C518,$K$25:$K518)-SUMIF($C$25:$C518,$C518,$L$25:$L518),"")</f>
        <v>4638711.04</v>
      </c>
      <c r="N518" s="10"/>
      <c r="O518" s="10"/>
      <c r="P518" s="65"/>
      <c r="Q518" s="10"/>
      <c r="R518" s="10"/>
      <c r="S518" s="54">
        <f t="shared" ref="S518:S581" si="24">IF($B518="","",--TEXT($B518,"yyyymm"))</f>
        <v>202603</v>
      </c>
      <c r="T518" s="54">
        <f t="shared" ref="T518:T581" si="25">IF($B518="","",IF($P518="",$S518,IFERROR($P518*1,$P518)))</f>
        <v>202603</v>
      </c>
      <c r="U518" s="58" t="str">
        <f t="shared" ref="U518:U581" si="26">IF($B518="","",IF($T518=$S518,"","跨期"))</f>
        <v/>
      </c>
      <c r="V518" s="58">
        <f>IF(AND($B518&lt;&gt;"",$F518&lt;&gt;"",$F518=项目明细账!$C$2),N(V517)+1,N(V517))</f>
        <v>0</v>
      </c>
      <c r="W518" s="63" t="str">
        <f>IF($H518&lt;&gt;"","项目成本",IFERROR(INDEX(基础资料!$W$4:$W$49,MATCH($I518,基础资料!$V$4:$V$49,0)),""))</f>
        <v>管理费用</v>
      </c>
      <c r="X518" s="63" t="str">
        <f>IFERROR(INDEX(基础资料!$R$4:$R$17,MATCH($G518,基础资料!$Q$4:$Q$17,0)),"")</f>
        <v/>
      </c>
    </row>
    <row r="519" spans="1:24">
      <c r="A519" s="58">
        <f>IF($B519="","",COUNTA($B$5:$B519))</f>
        <v>511</v>
      </c>
      <c r="B519" s="53">
        <v>46111</v>
      </c>
      <c r="C519" s="46" t="s">
        <v>99</v>
      </c>
      <c r="D519" s="63" t="str">
        <f>IFERROR(INDEX(基础资料!$F$4:$F$23,MATCH($C519,基础资料!$E$4:$E$23,0)),IF($C519="","","未匹配账户"))</f>
        <v>双思威</v>
      </c>
      <c r="E519" s="39"/>
      <c r="F519" s="10"/>
      <c r="G519" s="10"/>
      <c r="H519" s="10"/>
      <c r="I519" s="10" t="s">
        <v>234</v>
      </c>
      <c r="J519" s="71" t="s">
        <v>536</v>
      </c>
      <c r="K519" s="25"/>
      <c r="L519" s="25">
        <v>429</v>
      </c>
      <c r="M519" s="25">
        <f>IFERROR(VLOOKUP($C519,$C$5:$M$24,11,0)+SUMIF($C$25:$C519,$C519,$K$25:$K519)-SUMIF($C$25:$C519,$C519,$L$25:$L519),"")</f>
        <v>4638282.04</v>
      </c>
      <c r="N519" s="10"/>
      <c r="O519" s="10"/>
      <c r="P519" s="65"/>
      <c r="Q519" s="10"/>
      <c r="R519" s="10"/>
      <c r="S519" s="54">
        <f t="shared" si="24"/>
        <v>202603</v>
      </c>
      <c r="T519" s="54">
        <f t="shared" si="25"/>
        <v>202603</v>
      </c>
      <c r="U519" s="58" t="str">
        <f t="shared" si="26"/>
        <v/>
      </c>
      <c r="V519" s="58">
        <f>IF(AND($B519&lt;&gt;"",$F519&lt;&gt;"",$F519=项目明细账!$C$2),N(V518)+1,N(V518))</f>
        <v>0</v>
      </c>
      <c r="W519" s="63" t="str">
        <f>IF($H519&lt;&gt;"","项目成本",IFERROR(INDEX(基础资料!$W$4:$W$49,MATCH($I519,基础资料!$V$4:$V$49,0)),""))</f>
        <v>管理费用</v>
      </c>
      <c r="X519" s="63" t="str">
        <f>IFERROR(INDEX(基础资料!$R$4:$R$17,MATCH($G519,基础资料!$Q$4:$Q$17,0)),"")</f>
        <v/>
      </c>
    </row>
    <row r="520" spans="1:24">
      <c r="A520" s="58">
        <f>IF($B520="","",COUNTA($B$5:$B520))</f>
        <v>512</v>
      </c>
      <c r="B520" s="53">
        <v>46111</v>
      </c>
      <c r="C520" s="46" t="s">
        <v>99</v>
      </c>
      <c r="D520" s="63" t="str">
        <f>IFERROR(INDEX(基础资料!$F$4:$F$23,MATCH($C520,基础资料!$E$4:$E$23,0)),IF($C520="","","未匹配账户"))</f>
        <v>双思威</v>
      </c>
      <c r="E520" s="39"/>
      <c r="F520" s="10" t="s">
        <v>291</v>
      </c>
      <c r="G520" s="10"/>
      <c r="H520" s="10" t="s">
        <v>530</v>
      </c>
      <c r="I520" s="10"/>
      <c r="J520" s="71" t="s">
        <v>557</v>
      </c>
      <c r="K520" s="25"/>
      <c r="L520" s="25">
        <v>3100</v>
      </c>
      <c r="M520" s="25">
        <f>IFERROR(VLOOKUP($C520,$C$5:$M$24,11,0)+SUMIF($C$25:$C520,$C520,$K$25:$K520)-SUMIF($C$25:$C520,$C520,$L$25:$L520),"")</f>
        <v>4635182.04</v>
      </c>
      <c r="N520" s="10"/>
      <c r="O520" s="10"/>
      <c r="P520" s="65"/>
      <c r="Q520" s="10"/>
      <c r="R520" s="10"/>
      <c r="S520" s="54">
        <f t="shared" si="24"/>
        <v>202603</v>
      </c>
      <c r="T520" s="54">
        <f t="shared" si="25"/>
        <v>202603</v>
      </c>
      <c r="U520" s="58" t="str">
        <f t="shared" si="26"/>
        <v/>
      </c>
      <c r="V520" s="58">
        <f>IF(AND($B520&lt;&gt;"",$F520&lt;&gt;"",$F520=项目明细账!$C$2),N(V519)+1,N(V519))</f>
        <v>0</v>
      </c>
      <c r="W520" s="63" t="str">
        <f>IF($H520&lt;&gt;"","项目成本",IFERROR(INDEX(基础资料!$W$4:$W$49,MATCH($I520,基础资料!$V$4:$V$49,0)),""))</f>
        <v>项目成本</v>
      </c>
      <c r="X520" s="63" t="str">
        <f>IFERROR(INDEX(基础资料!$R$4:$R$17,MATCH($G520,基础资料!$Q$4:$Q$17,0)),"")</f>
        <v/>
      </c>
    </row>
    <row r="521" spans="1:24">
      <c r="A521" s="58">
        <f>IF($B521="","",COUNTA($B$5:$B521))</f>
        <v>513</v>
      </c>
      <c r="B521" s="53">
        <v>46095</v>
      </c>
      <c r="C521" s="46" t="s">
        <v>114</v>
      </c>
      <c r="D521" s="63" t="str">
        <f>IFERROR(INDEX(基础资料!$F$4:$F$23,MATCH($C521,基础资料!$E$4:$E$23,0)),IF($C521="","","未匹配账户"))</f>
        <v>晨拓</v>
      </c>
      <c r="E521" s="39"/>
      <c r="F521" s="10"/>
      <c r="G521" s="10"/>
      <c r="H521" s="10"/>
      <c r="I521" s="10" t="s">
        <v>246</v>
      </c>
      <c r="J521" s="69" t="s">
        <v>598</v>
      </c>
      <c r="K521" s="25"/>
      <c r="L521" s="25">
        <v>1277.4</v>
      </c>
      <c r="M521" s="25">
        <f>IFERROR(VLOOKUP($C521,$C$5:$M$24,11,0)+SUMIF($C$25:$C521,$C521,$K$25:$K521)-SUMIF($C$25:$C521,$C521,$L$25:$L521),"")</f>
        <v>1520343.6</v>
      </c>
      <c r="N521" s="10"/>
      <c r="O521" s="10"/>
      <c r="P521" s="65"/>
      <c r="Q521" s="10"/>
      <c r="R521" s="10"/>
      <c r="S521" s="54">
        <f t="shared" si="24"/>
        <v>202603</v>
      </c>
      <c r="T521" s="54">
        <f t="shared" si="25"/>
        <v>202603</v>
      </c>
      <c r="U521" s="58" t="str">
        <f t="shared" si="26"/>
        <v/>
      </c>
      <c r="V521" s="58">
        <f>IF(AND($B521&lt;&gt;"",$F521&lt;&gt;"",$F521=项目明细账!$C$2),N(V520)+1,N(V520))</f>
        <v>0</v>
      </c>
      <c r="W521" s="63" t="str">
        <f>IF($H521&lt;&gt;"","项目成本",IFERROR(INDEX(基础资料!$W$4:$W$49,MATCH($I521,基础资料!$V$4:$V$49,0)),""))</f>
        <v>人工社保</v>
      </c>
      <c r="X521" s="63" t="str">
        <f>IFERROR(INDEX(基础资料!$R$4:$R$17,MATCH($G521,基础资料!$Q$4:$Q$17,0)),"")</f>
        <v/>
      </c>
    </row>
    <row r="522" spans="1:24">
      <c r="A522" s="58">
        <f>IF($B522="","",COUNTA($B$5:$B522))</f>
        <v>514</v>
      </c>
      <c r="B522" s="53">
        <v>46095</v>
      </c>
      <c r="C522" s="46" t="s">
        <v>114</v>
      </c>
      <c r="D522" s="63" t="str">
        <f>IFERROR(INDEX(基础资料!$F$4:$F$23,MATCH($C522,基础资料!$E$4:$E$23,0)),IF($C522="","","未匹配账户"))</f>
        <v>晨拓</v>
      </c>
      <c r="E522" s="39"/>
      <c r="F522" s="10"/>
      <c r="G522" s="10"/>
      <c r="H522" s="10"/>
      <c r="I522" s="10" t="s">
        <v>248</v>
      </c>
      <c r="J522" s="69" t="s">
        <v>600</v>
      </c>
      <c r="K522" s="25"/>
      <c r="L522" s="25">
        <v>556.25</v>
      </c>
      <c r="M522" s="25">
        <f>IFERROR(VLOOKUP($C522,$C$5:$M$24,11,0)+SUMIF($C$25:$C522,$C522,$K$25:$K522)-SUMIF($C$25:$C522,$C522,$L$25:$L522),"")</f>
        <v>1519787.35</v>
      </c>
      <c r="N522" s="10"/>
      <c r="O522" s="10"/>
      <c r="P522" s="65"/>
      <c r="Q522" s="10"/>
      <c r="R522" s="10"/>
      <c r="S522" s="54">
        <f t="shared" si="24"/>
        <v>202603</v>
      </c>
      <c r="T522" s="54">
        <f t="shared" si="25"/>
        <v>202603</v>
      </c>
      <c r="U522" s="58" t="str">
        <f t="shared" si="26"/>
        <v/>
      </c>
      <c r="V522" s="58">
        <f>IF(AND($B522&lt;&gt;"",$F522&lt;&gt;"",$F522=项目明细账!$C$2),N(V521)+1,N(V521))</f>
        <v>0</v>
      </c>
      <c r="W522" s="63" t="str">
        <f>IF($H522&lt;&gt;"","项目成本",IFERROR(INDEX(基础资料!$W$4:$W$49,MATCH($I522,基础资料!$V$4:$V$49,0)),""))</f>
        <v>人工社保</v>
      </c>
      <c r="X522" s="63" t="str">
        <f>IFERROR(INDEX(基础资料!$R$4:$R$17,MATCH($G522,基础资料!$Q$4:$Q$17,0)),"")</f>
        <v/>
      </c>
    </row>
    <row r="523" spans="1:24">
      <c r="A523" s="58">
        <f>IF($B523="","",COUNTA($B$5:$B523))</f>
        <v>515</v>
      </c>
      <c r="B523" s="53">
        <v>46095</v>
      </c>
      <c r="C523" s="46" t="s">
        <v>114</v>
      </c>
      <c r="D523" s="63" t="str">
        <f>IFERROR(INDEX(基础资料!$F$4:$F$23,MATCH($C523,基础资料!$E$4:$E$23,0)),IF($C523="","","未匹配账户"))</f>
        <v>晨拓</v>
      </c>
      <c r="E523" s="39"/>
      <c r="F523" s="10"/>
      <c r="G523" s="10"/>
      <c r="H523" s="10"/>
      <c r="I523" s="10" t="s">
        <v>237</v>
      </c>
      <c r="J523" s="69" t="s">
        <v>601</v>
      </c>
      <c r="K523" s="25"/>
      <c r="L523" s="25">
        <v>4762.08</v>
      </c>
      <c r="M523" s="25">
        <f>IFERROR(VLOOKUP($C523,$C$5:$M$24,11,0)+SUMIF($C$25:$C523,$C523,$K$25:$K523)-SUMIF($C$25:$C523,$C523,$L$25:$L523),"")</f>
        <v>1515025.27</v>
      </c>
      <c r="N523" s="10"/>
      <c r="O523" s="10"/>
      <c r="P523" s="65"/>
      <c r="Q523" s="10"/>
      <c r="R523" s="10"/>
      <c r="S523" s="54">
        <f t="shared" si="24"/>
        <v>202603</v>
      </c>
      <c r="T523" s="54">
        <f t="shared" si="25"/>
        <v>202603</v>
      </c>
      <c r="U523" s="58" t="str">
        <f t="shared" si="26"/>
        <v/>
      </c>
      <c r="V523" s="58">
        <f>IF(AND($B523&lt;&gt;"",$F523&lt;&gt;"",$F523=项目明细账!$C$2),N(V522)+1,N(V522))</f>
        <v>0</v>
      </c>
      <c r="W523" s="63" t="str">
        <f>IF($H523&lt;&gt;"","项目成本",IFERROR(INDEX(基础资料!$W$4:$W$49,MATCH($I523,基础资料!$V$4:$V$49,0)),""))</f>
        <v>人工社保</v>
      </c>
      <c r="X523" s="63" t="str">
        <f>IFERROR(INDEX(基础资料!$R$4:$R$17,MATCH($G523,基础资料!$Q$4:$Q$17,0)),"")</f>
        <v/>
      </c>
    </row>
    <row r="524" spans="1:24">
      <c r="A524" s="58">
        <f>IF($B524="","",COUNTA($B$5:$B524))</f>
        <v>516</v>
      </c>
      <c r="B524" s="53">
        <v>46095</v>
      </c>
      <c r="C524" s="46" t="s">
        <v>126</v>
      </c>
      <c r="D524" s="63" t="str">
        <f>IFERROR(INDEX(基础资料!$F$4:$F$23,MATCH($C524,基础资料!$E$4:$E$23,0)),IF($C524="","","未匹配账户"))</f>
        <v>元界极光</v>
      </c>
      <c r="E524" s="39"/>
      <c r="F524" s="10"/>
      <c r="G524" s="10"/>
      <c r="H524" s="10"/>
      <c r="I524" s="10" t="s">
        <v>246</v>
      </c>
      <c r="J524" s="69" t="s">
        <v>600</v>
      </c>
      <c r="K524" s="25"/>
      <c r="L524" s="25">
        <v>1323.02</v>
      </c>
      <c r="M524" s="25">
        <f>IFERROR(VLOOKUP($C524,$C$5:$M$24,11,0)+SUMIF($C$25:$C524,$C524,$K$25:$K524)-SUMIF($C$25:$C524,$C524,$L$25:$L524),"")</f>
        <v>426009.2</v>
      </c>
      <c r="N524" s="10"/>
      <c r="O524" s="10"/>
      <c r="P524" s="65"/>
      <c r="Q524" s="10"/>
      <c r="R524" s="10"/>
      <c r="S524" s="54">
        <f t="shared" si="24"/>
        <v>202603</v>
      </c>
      <c r="T524" s="54">
        <f t="shared" si="25"/>
        <v>202603</v>
      </c>
      <c r="U524" s="58" t="str">
        <f t="shared" si="26"/>
        <v/>
      </c>
      <c r="V524" s="58">
        <f>IF(AND($B524&lt;&gt;"",$F524&lt;&gt;"",$F524=项目明细账!$C$2),N(V523)+1,N(V523))</f>
        <v>0</v>
      </c>
      <c r="W524" s="63" t="str">
        <f>IF($H524&lt;&gt;"","项目成本",IFERROR(INDEX(基础资料!$W$4:$W$49,MATCH($I524,基础资料!$V$4:$V$49,0)),""))</f>
        <v>人工社保</v>
      </c>
      <c r="X524" s="63" t="str">
        <f>IFERROR(INDEX(基础资料!$R$4:$R$17,MATCH($G524,基础资料!$Q$4:$Q$17,0)),"")</f>
        <v/>
      </c>
    </row>
    <row r="525" spans="1:24">
      <c r="A525" s="58">
        <f>IF($B525="","",COUNTA($B$5:$B525))</f>
        <v>517</v>
      </c>
      <c r="B525" s="53">
        <v>46095</v>
      </c>
      <c r="C525" s="46" t="s">
        <v>126</v>
      </c>
      <c r="D525" s="63" t="str">
        <f>IFERROR(INDEX(基础资料!$F$4:$F$23,MATCH($C525,基础资料!$E$4:$E$23,0)),IF($C525="","","未匹配账户"))</f>
        <v>元界极光</v>
      </c>
      <c r="E525" s="39"/>
      <c r="F525" s="10"/>
      <c r="G525" s="10"/>
      <c r="H525" s="10"/>
      <c r="I525" s="10" t="s">
        <v>248</v>
      </c>
      <c r="J525" s="69" t="s">
        <v>598</v>
      </c>
      <c r="K525" s="25"/>
      <c r="L525" s="25">
        <v>623.49</v>
      </c>
      <c r="M525" s="25">
        <f>IFERROR(VLOOKUP($C525,$C$5:$M$24,11,0)+SUMIF($C$25:$C525,$C525,$K$25:$K525)-SUMIF($C$25:$C525,$C525,$L$25:$L525),"")</f>
        <v>425385.71</v>
      </c>
      <c r="N525" s="10"/>
      <c r="O525" s="10"/>
      <c r="P525" s="65"/>
      <c r="Q525" s="10"/>
      <c r="R525" s="10"/>
      <c r="S525" s="54">
        <f t="shared" si="24"/>
        <v>202603</v>
      </c>
      <c r="T525" s="54">
        <f t="shared" si="25"/>
        <v>202603</v>
      </c>
      <c r="U525" s="58" t="str">
        <f t="shared" si="26"/>
        <v/>
      </c>
      <c r="V525" s="58">
        <f>IF(AND($B525&lt;&gt;"",$F525&lt;&gt;"",$F525=项目明细账!$C$2),N(V524)+1,N(V524))</f>
        <v>0</v>
      </c>
      <c r="W525" s="63" t="str">
        <f>IF($H525&lt;&gt;"","项目成本",IFERROR(INDEX(基础资料!$W$4:$W$49,MATCH($I525,基础资料!$V$4:$V$49,0)),""))</f>
        <v>人工社保</v>
      </c>
      <c r="X525" s="63" t="str">
        <f>IFERROR(INDEX(基础资料!$R$4:$R$17,MATCH($G525,基础资料!$Q$4:$Q$17,0)),"")</f>
        <v/>
      </c>
    </row>
    <row r="526" spans="1:24">
      <c r="A526" s="58">
        <f>IF($B526="","",COUNTA($B$5:$B526))</f>
        <v>518</v>
      </c>
      <c r="B526" s="53">
        <v>46095</v>
      </c>
      <c r="C526" s="46" t="s">
        <v>126</v>
      </c>
      <c r="D526" s="63" t="str">
        <f>IFERROR(INDEX(基础资料!$F$4:$F$23,MATCH($C526,基础资料!$E$4:$E$23,0)),IF($C526="","","未匹配账户"))</f>
        <v>元界极光</v>
      </c>
      <c r="E526" s="39"/>
      <c r="F526" s="10"/>
      <c r="G526" s="10"/>
      <c r="H526" s="10"/>
      <c r="I526" s="10" t="s">
        <v>237</v>
      </c>
      <c r="J526" s="69" t="s">
        <v>602</v>
      </c>
      <c r="K526" s="25"/>
      <c r="L526" s="25">
        <v>3942.4</v>
      </c>
      <c r="M526" s="25">
        <f>IFERROR(VLOOKUP($C526,$C$5:$M$24,11,0)+SUMIF($C$25:$C526,$C526,$K$25:$K526)-SUMIF($C$25:$C526,$C526,$L$25:$L526),"")</f>
        <v>421443.31</v>
      </c>
      <c r="N526" s="10"/>
      <c r="O526" s="10"/>
      <c r="P526" s="65"/>
      <c r="Q526" s="10"/>
      <c r="R526" s="10"/>
      <c r="S526" s="54">
        <f t="shared" si="24"/>
        <v>202603</v>
      </c>
      <c r="T526" s="54">
        <f t="shared" si="25"/>
        <v>202603</v>
      </c>
      <c r="U526" s="58" t="str">
        <f t="shared" si="26"/>
        <v/>
      </c>
      <c r="V526" s="58">
        <f>IF(AND($B526&lt;&gt;"",$F526&lt;&gt;"",$F526=项目明细账!$C$2),N(V525)+1,N(V525))</f>
        <v>0</v>
      </c>
      <c r="W526" s="63" t="str">
        <f>IF($H526&lt;&gt;"","项目成本",IFERROR(INDEX(基础资料!$W$4:$W$49,MATCH($I526,基础资料!$V$4:$V$49,0)),""))</f>
        <v>人工社保</v>
      </c>
      <c r="X526" s="63" t="str">
        <f>IFERROR(INDEX(基础资料!$R$4:$R$17,MATCH($G526,基础资料!$Q$4:$Q$17,0)),"")</f>
        <v/>
      </c>
    </row>
    <row r="527" spans="1:24">
      <c r="A527" s="58">
        <f>IF($B527="","",COUNTA($B$5:$B527))</f>
        <v>519</v>
      </c>
      <c r="B527" s="53">
        <v>46088</v>
      </c>
      <c r="C527" s="46" t="s">
        <v>140</v>
      </c>
      <c r="D527" s="63" t="str">
        <f>IFERROR(INDEX(基础资料!$F$4:$F$23,MATCH($C527,基础资料!$E$4:$E$23,0)),IF($C527="","","未匹配账户"))</f>
        <v>元界极光</v>
      </c>
      <c r="E527" s="39"/>
      <c r="F527" s="10" t="s">
        <v>218</v>
      </c>
      <c r="G527" s="10"/>
      <c r="H527" s="10" t="s">
        <v>530</v>
      </c>
      <c r="I527" s="10"/>
      <c r="J527" s="70" t="s">
        <v>775</v>
      </c>
      <c r="K527" s="25"/>
      <c r="L527" s="25">
        <v>5000</v>
      </c>
      <c r="M527" s="25">
        <f>IFERROR(VLOOKUP($C527,$C$5:$M$24,11,0)+SUMIF($C$25:$C527,$C527,$K$25:$K527)-SUMIF($C$25:$C527,$C527,$L$25:$L527),"")</f>
        <v>293610.67</v>
      </c>
      <c r="N527" s="10"/>
      <c r="O527" s="10"/>
      <c r="P527" s="65"/>
      <c r="Q527" s="10"/>
      <c r="R527" s="10"/>
      <c r="S527" s="54">
        <f t="shared" si="24"/>
        <v>202603</v>
      </c>
      <c r="T527" s="54">
        <f t="shared" si="25"/>
        <v>202603</v>
      </c>
      <c r="U527" s="58" t="str">
        <f t="shared" si="26"/>
        <v/>
      </c>
      <c r="V527" s="58">
        <f>IF(AND($B527&lt;&gt;"",$F527&lt;&gt;"",$F527=项目明细账!$C$2),N(V526)+1,N(V526))</f>
        <v>0</v>
      </c>
      <c r="W527" s="63" t="str">
        <f>IF($H527&lt;&gt;"","项目成本",IFERROR(INDEX(基础资料!$W$4:$W$49,MATCH($I527,基础资料!$V$4:$V$49,0)),""))</f>
        <v>项目成本</v>
      </c>
      <c r="X527" s="63" t="str">
        <f>IFERROR(INDEX(基础资料!$R$4:$R$17,MATCH($G527,基础资料!$Q$4:$Q$17,0)),"")</f>
        <v/>
      </c>
    </row>
    <row r="528" spans="1:24">
      <c r="A528" s="58">
        <f>IF($B528="","",COUNTA($B$5:$B528))</f>
        <v>520</v>
      </c>
      <c r="B528" s="53">
        <v>46098</v>
      </c>
      <c r="C528" s="46" t="s">
        <v>140</v>
      </c>
      <c r="D528" s="63" t="str">
        <f>IFERROR(INDEX(基础资料!$F$4:$F$23,MATCH($C528,基础资料!$E$4:$E$23,0)),IF($C528="","","未匹配账户"))</f>
        <v>元界极光</v>
      </c>
      <c r="E528" s="39"/>
      <c r="F528" s="10" t="s">
        <v>303</v>
      </c>
      <c r="G528" s="10"/>
      <c r="H528" s="10" t="s">
        <v>530</v>
      </c>
      <c r="I528" s="10"/>
      <c r="J528" s="70" t="s">
        <v>776</v>
      </c>
      <c r="K528" s="25"/>
      <c r="L528" s="25">
        <v>540</v>
      </c>
      <c r="M528" s="25">
        <f>IFERROR(VLOOKUP($C528,$C$5:$M$24,11,0)+SUMIF($C$25:$C528,$C528,$K$25:$K528)-SUMIF($C$25:$C528,$C528,$L$25:$L528),"")</f>
        <v>293070.67</v>
      </c>
      <c r="N528" s="10"/>
      <c r="O528" s="10"/>
      <c r="P528" s="65"/>
      <c r="Q528" s="10"/>
      <c r="R528" s="10"/>
      <c r="S528" s="54">
        <f t="shared" si="24"/>
        <v>202603</v>
      </c>
      <c r="T528" s="54">
        <f t="shared" si="25"/>
        <v>202603</v>
      </c>
      <c r="U528" s="58" t="str">
        <f t="shared" si="26"/>
        <v/>
      </c>
      <c r="V528" s="58">
        <f>IF(AND($B528&lt;&gt;"",$F528&lt;&gt;"",$F528=项目明细账!$C$2),N(V527)+1,N(V527))</f>
        <v>0</v>
      </c>
      <c r="W528" s="63" t="str">
        <f>IF($H528&lt;&gt;"","项目成本",IFERROR(INDEX(基础资料!$W$4:$W$49,MATCH($I528,基础资料!$V$4:$V$49,0)),""))</f>
        <v>项目成本</v>
      </c>
      <c r="X528" s="63" t="str">
        <f>IFERROR(INDEX(基础资料!$R$4:$R$17,MATCH($G528,基础资料!$Q$4:$Q$17,0)),"")</f>
        <v/>
      </c>
    </row>
    <row r="529" spans="1:24">
      <c r="A529" s="58">
        <f>IF($B529="","",COUNTA($B$5:$B529))</f>
        <v>521</v>
      </c>
      <c r="B529" s="53">
        <v>46102</v>
      </c>
      <c r="C529" s="46" t="s">
        <v>140</v>
      </c>
      <c r="D529" s="63" t="str">
        <f>IFERROR(INDEX(基础资料!$F$4:$F$23,MATCH($C529,基础资料!$E$4:$E$23,0)),IF($C529="","","未匹配账户"))</f>
        <v>元界极光</v>
      </c>
      <c r="E529" s="39"/>
      <c r="F529" s="10"/>
      <c r="G529" s="10"/>
      <c r="H529" s="10"/>
      <c r="I529" s="10"/>
      <c r="J529" s="70"/>
      <c r="K529" s="25"/>
      <c r="L529" s="25"/>
      <c r="M529" s="25">
        <f>IFERROR(VLOOKUP($C529,$C$5:$M$24,11,0)+SUMIF($C$25:$C529,$C529,$K$25:$K529)-SUMIF($C$25:$C529,$C529,$L$25:$L529),"")</f>
        <v>293070.67</v>
      </c>
      <c r="N529" s="10"/>
      <c r="O529" s="10"/>
      <c r="P529" s="65"/>
      <c r="Q529" s="10"/>
      <c r="R529" s="10"/>
      <c r="S529" s="54">
        <f t="shared" si="24"/>
        <v>202603</v>
      </c>
      <c r="T529" s="54">
        <f t="shared" si="25"/>
        <v>202603</v>
      </c>
      <c r="U529" s="58" t="str">
        <f t="shared" si="26"/>
        <v/>
      </c>
      <c r="V529" s="58">
        <f>IF(AND($B529&lt;&gt;"",$F529&lt;&gt;"",$F529=项目明细账!$C$2),N(V528)+1,N(V528))</f>
        <v>0</v>
      </c>
      <c r="W529" s="63" t="str">
        <f>IF($H529&lt;&gt;"","项目成本",IFERROR(INDEX(基础资料!$W$4:$W$49,MATCH($I529,基础资料!$V$4:$V$49,0)),""))</f>
        <v/>
      </c>
      <c r="X529" s="63" t="str">
        <f>IFERROR(INDEX(基础资料!$R$4:$R$17,MATCH($G529,基础资料!$Q$4:$Q$17,0)),"")</f>
        <v/>
      </c>
    </row>
    <row r="530" spans="1:24">
      <c r="A530" s="58">
        <f>IF($B530="","",COUNTA($B$5:$B530))</f>
        <v>522</v>
      </c>
      <c r="B530" s="53">
        <v>46108</v>
      </c>
      <c r="C530" s="46" t="s">
        <v>140</v>
      </c>
      <c r="D530" s="63" t="str">
        <f>IFERROR(INDEX(基础资料!$F$4:$F$23,MATCH($C530,基础资料!$E$4:$E$23,0)),IF($C530="","","未匹配账户"))</f>
        <v>元界极光</v>
      </c>
      <c r="E530" s="39"/>
      <c r="F530" s="10" t="s">
        <v>218</v>
      </c>
      <c r="G530" s="10"/>
      <c r="H530" s="10" t="s">
        <v>530</v>
      </c>
      <c r="I530" s="10"/>
      <c r="J530" s="70" t="s">
        <v>777</v>
      </c>
      <c r="K530" s="25"/>
      <c r="L530" s="25">
        <v>3200</v>
      </c>
      <c r="M530" s="25">
        <f>IFERROR(VLOOKUP($C530,$C$5:$M$24,11,0)+SUMIF($C$25:$C530,$C530,$K$25:$K530)-SUMIF($C$25:$C530,$C530,$L$25:$L530),"")</f>
        <v>289870.67</v>
      </c>
      <c r="N530" s="10"/>
      <c r="O530" s="10"/>
      <c r="P530" s="65"/>
      <c r="Q530" s="10"/>
      <c r="R530" s="10"/>
      <c r="S530" s="54">
        <f t="shared" si="24"/>
        <v>202603</v>
      </c>
      <c r="T530" s="54">
        <f t="shared" si="25"/>
        <v>202603</v>
      </c>
      <c r="U530" s="58" t="str">
        <f t="shared" si="26"/>
        <v/>
      </c>
      <c r="V530" s="58">
        <f>IF(AND($B530&lt;&gt;"",$F530&lt;&gt;"",$F530=项目明细账!$C$2),N(V529)+1,N(V529))</f>
        <v>0</v>
      </c>
      <c r="W530" s="63" t="str">
        <f>IF($H530&lt;&gt;"","项目成本",IFERROR(INDEX(基础资料!$W$4:$W$49,MATCH($I530,基础资料!$V$4:$V$49,0)),""))</f>
        <v>项目成本</v>
      </c>
      <c r="X530" s="63" t="str">
        <f>IFERROR(INDEX(基础资料!$R$4:$R$17,MATCH($G530,基础资料!$Q$4:$Q$17,0)),"")</f>
        <v/>
      </c>
    </row>
    <row r="531" spans="1:24">
      <c r="A531" s="58">
        <f>IF($B531="","",COUNTA($B$5:$B531))</f>
        <v>523</v>
      </c>
      <c r="B531" s="53">
        <v>46108</v>
      </c>
      <c r="C531" s="46" t="s">
        <v>140</v>
      </c>
      <c r="D531" s="63" t="str">
        <f>IFERROR(INDEX(基础资料!$F$4:$F$23,MATCH($C531,基础资料!$E$4:$E$23,0)),IF($C531="","","未匹配账户"))</f>
        <v>元界极光</v>
      </c>
      <c r="E531" s="39"/>
      <c r="F531" s="10" t="s">
        <v>218</v>
      </c>
      <c r="G531" s="10"/>
      <c r="H531" s="10" t="s">
        <v>530</v>
      </c>
      <c r="I531" s="10"/>
      <c r="J531" s="70" t="s">
        <v>778</v>
      </c>
      <c r="K531" s="25"/>
      <c r="L531" s="25">
        <v>864</v>
      </c>
      <c r="M531" s="25">
        <f>IFERROR(VLOOKUP($C531,$C$5:$M$24,11,0)+SUMIF($C$25:$C531,$C531,$K$25:$K531)-SUMIF($C$25:$C531,$C531,$L$25:$L531),"")</f>
        <v>289006.67</v>
      </c>
      <c r="N531" s="10"/>
      <c r="O531" s="10"/>
      <c r="P531" s="65"/>
      <c r="Q531" s="10"/>
      <c r="R531" s="10"/>
      <c r="S531" s="54">
        <f t="shared" si="24"/>
        <v>202603</v>
      </c>
      <c r="T531" s="54">
        <f t="shared" si="25"/>
        <v>202603</v>
      </c>
      <c r="U531" s="58" t="str">
        <f t="shared" si="26"/>
        <v/>
      </c>
      <c r="V531" s="58">
        <f>IF(AND($B531&lt;&gt;"",$F531&lt;&gt;"",$F531=项目明细账!$C$2),N(V530)+1,N(V530))</f>
        <v>0</v>
      </c>
      <c r="W531" s="63" t="str">
        <f>IF($H531&lt;&gt;"","项目成本",IFERROR(INDEX(基础资料!$W$4:$W$49,MATCH($I531,基础资料!$V$4:$V$49,0)),""))</f>
        <v>项目成本</v>
      </c>
      <c r="X531" s="63" t="str">
        <f>IFERROR(INDEX(基础资料!$R$4:$R$17,MATCH($G531,基础资料!$Q$4:$Q$17,0)),"")</f>
        <v/>
      </c>
    </row>
    <row r="532" spans="1:24">
      <c r="A532" s="58">
        <f>IF($B532="","",COUNTA($B$5:$B532))</f>
        <v>524</v>
      </c>
      <c r="B532" s="53">
        <v>46109</v>
      </c>
      <c r="C532" s="46" t="s">
        <v>140</v>
      </c>
      <c r="D532" s="63" t="str">
        <f>IFERROR(INDEX(基础资料!$F$4:$F$23,MATCH($C532,基础资料!$E$4:$E$23,0)),IF($C532="","","未匹配账户"))</f>
        <v>元界极光</v>
      </c>
      <c r="E532" s="39"/>
      <c r="F532" s="10" t="s">
        <v>218</v>
      </c>
      <c r="G532" s="10"/>
      <c r="H532" s="10" t="s">
        <v>530</v>
      </c>
      <c r="I532" s="10"/>
      <c r="J532" s="71" t="s">
        <v>777</v>
      </c>
      <c r="K532" s="25"/>
      <c r="L532" s="25">
        <v>3200</v>
      </c>
      <c r="M532" s="25">
        <f>IFERROR(VLOOKUP($C532,$C$5:$M$24,11,0)+SUMIF($C$25:$C532,$C532,$K$25:$K532)-SUMIF($C$25:$C532,$C532,$L$25:$L532),"")</f>
        <v>285806.67</v>
      </c>
      <c r="N532" s="10"/>
      <c r="O532" s="10"/>
      <c r="P532" s="65"/>
      <c r="Q532" s="10"/>
      <c r="R532" s="10"/>
      <c r="S532" s="54">
        <f t="shared" si="24"/>
        <v>202603</v>
      </c>
      <c r="T532" s="54">
        <f t="shared" si="25"/>
        <v>202603</v>
      </c>
      <c r="U532" s="58" t="str">
        <f t="shared" si="26"/>
        <v/>
      </c>
      <c r="V532" s="58">
        <f>IF(AND($B532&lt;&gt;"",$F532&lt;&gt;"",$F532=项目明细账!$C$2),N(V531)+1,N(V531))</f>
        <v>0</v>
      </c>
      <c r="W532" s="63" t="str">
        <f>IF($H532&lt;&gt;"","项目成本",IFERROR(INDEX(基础资料!$W$4:$W$49,MATCH($I532,基础资料!$V$4:$V$49,0)),""))</f>
        <v>项目成本</v>
      </c>
      <c r="X532" s="63" t="str">
        <f>IFERROR(INDEX(基础资料!$R$4:$R$17,MATCH($G532,基础资料!$Q$4:$Q$17,0)),"")</f>
        <v/>
      </c>
    </row>
    <row r="533" spans="1:24">
      <c r="A533" s="58">
        <f>IF($B533="","",COUNTA($B$5:$B533))</f>
        <v>525</v>
      </c>
      <c r="B533" s="53">
        <v>46109</v>
      </c>
      <c r="C533" s="46" t="s">
        <v>140</v>
      </c>
      <c r="D533" s="63" t="str">
        <f>IFERROR(INDEX(基础资料!$F$4:$F$23,MATCH($C533,基础资料!$E$4:$E$23,0)),IF($C533="","","未匹配账户"))</f>
        <v>元界极光</v>
      </c>
      <c r="E533" s="39"/>
      <c r="F533" s="10" t="s">
        <v>218</v>
      </c>
      <c r="G533" s="10"/>
      <c r="H533" s="10" t="s">
        <v>530</v>
      </c>
      <c r="I533" s="10"/>
      <c r="J533" s="70" t="s">
        <v>779</v>
      </c>
      <c r="K533" s="25"/>
      <c r="L533" s="25">
        <v>28350</v>
      </c>
      <c r="M533" s="25">
        <f>IFERROR(VLOOKUP($C533,$C$5:$M$24,11,0)+SUMIF($C$25:$C533,$C533,$K$25:$K533)-SUMIF($C$25:$C533,$C533,$L$25:$L533),"")</f>
        <v>257456.67</v>
      </c>
      <c r="N533" s="10"/>
      <c r="O533" s="10"/>
      <c r="P533" s="65"/>
      <c r="Q533" s="10"/>
      <c r="R533" s="10"/>
      <c r="S533" s="54">
        <f t="shared" si="24"/>
        <v>202603</v>
      </c>
      <c r="T533" s="54">
        <f t="shared" si="25"/>
        <v>202603</v>
      </c>
      <c r="U533" s="58" t="str">
        <f t="shared" si="26"/>
        <v/>
      </c>
      <c r="V533" s="58">
        <f>IF(AND($B533&lt;&gt;"",$F533&lt;&gt;"",$F533=项目明细账!$C$2),N(V532)+1,N(V532))</f>
        <v>0</v>
      </c>
      <c r="W533" s="63" t="str">
        <f>IF($H533&lt;&gt;"","项目成本",IFERROR(INDEX(基础资料!$W$4:$W$49,MATCH($I533,基础资料!$V$4:$V$49,0)),""))</f>
        <v>项目成本</v>
      </c>
      <c r="X533" s="63" t="str">
        <f>IFERROR(INDEX(基础资料!$R$4:$R$17,MATCH($G533,基础资料!$Q$4:$Q$17,0)),"")</f>
        <v/>
      </c>
    </row>
    <row r="534" spans="1:24">
      <c r="A534" s="58">
        <f>IF($B534="","",COUNTA($B$5:$B534))</f>
        <v>526</v>
      </c>
      <c r="B534" s="53">
        <v>46093</v>
      </c>
      <c r="C534" s="46" t="s">
        <v>150</v>
      </c>
      <c r="D534" s="63" t="str">
        <f>IFERROR(INDEX(基础资料!$F$4:$F$23,MATCH($C534,基础资料!$E$4:$E$23,0)),IF($C534="","","未匹配账户"))</f>
        <v>瑞盛天</v>
      </c>
      <c r="E534" s="39"/>
      <c r="F534" s="10" t="s">
        <v>338</v>
      </c>
      <c r="G534" s="10" t="s">
        <v>87</v>
      </c>
      <c r="H534" s="10"/>
      <c r="I534" s="10"/>
      <c r="J534" s="69" t="s">
        <v>780</v>
      </c>
      <c r="K534" s="25">
        <v>543813.02</v>
      </c>
      <c r="L534" s="25"/>
      <c r="M534" s="25">
        <f>IFERROR(VLOOKUP($C534,$C$5:$M$24,11,0)+SUMIF($C$25:$C534,$C534,$K$25:$K534)-SUMIF($C$25:$C534,$C534,$L$25:$L534),"")</f>
        <v>1361174.01</v>
      </c>
      <c r="N534" s="10"/>
      <c r="O534" s="10"/>
      <c r="P534" s="65"/>
      <c r="Q534" s="10"/>
      <c r="R534" s="10"/>
      <c r="S534" s="54">
        <f t="shared" si="24"/>
        <v>202603</v>
      </c>
      <c r="T534" s="54">
        <f t="shared" si="25"/>
        <v>202603</v>
      </c>
      <c r="U534" s="58" t="str">
        <f t="shared" si="26"/>
        <v/>
      </c>
      <c r="V534" s="58">
        <f>IF(AND($B534&lt;&gt;"",$F534&lt;&gt;"",$F534=项目明细账!$C$2),N(V533)+1,N(V533))</f>
        <v>0</v>
      </c>
      <c r="W534" s="63" t="str">
        <f>IF($H534&lt;&gt;"","项目成本",IFERROR(INDEX(基础资料!$W$4:$W$49,MATCH($I534,基础资料!$V$4:$V$49,0)),""))</f>
        <v/>
      </c>
      <c r="X534" s="63" t="str">
        <f>IFERROR(INDEX(基础资料!$R$4:$R$17,MATCH($G534,基础资料!$Q$4:$Q$17,0)),"")</f>
        <v>经营收入</v>
      </c>
    </row>
    <row r="535" spans="1:24">
      <c r="A535" s="58">
        <f>IF($B535="","",COUNTA($B$5:$B535))</f>
        <v>527</v>
      </c>
      <c r="B535" s="53">
        <v>46093</v>
      </c>
      <c r="C535" s="46" t="s">
        <v>150</v>
      </c>
      <c r="D535" s="63" t="str">
        <f>IFERROR(INDEX(基础资料!$F$4:$F$23,MATCH($C535,基础资料!$E$4:$E$23,0)),IF($C535="","","未匹配账户"))</f>
        <v>瑞盛天</v>
      </c>
      <c r="E535" s="39"/>
      <c r="F535" s="10" t="s">
        <v>338</v>
      </c>
      <c r="G535" s="10" t="s">
        <v>87</v>
      </c>
      <c r="H535" s="10"/>
      <c r="I535" s="10"/>
      <c r="J535" s="69" t="s">
        <v>780</v>
      </c>
      <c r="K535" s="25">
        <v>700000</v>
      </c>
      <c r="L535" s="25"/>
      <c r="M535" s="25">
        <f>IFERROR(VLOOKUP($C535,$C$5:$M$24,11,0)+SUMIF($C$25:$C535,$C535,$K$25:$K535)-SUMIF($C$25:$C535,$C535,$L$25:$L535),"")</f>
        <v>2061174.01</v>
      </c>
      <c r="N535" s="10"/>
      <c r="O535" s="10"/>
      <c r="P535" s="65"/>
      <c r="Q535" s="10"/>
      <c r="R535" s="10"/>
      <c r="S535" s="54">
        <f t="shared" si="24"/>
        <v>202603</v>
      </c>
      <c r="T535" s="54">
        <f t="shared" si="25"/>
        <v>202603</v>
      </c>
      <c r="U535" s="58" t="str">
        <f t="shared" si="26"/>
        <v/>
      </c>
      <c r="V535" s="58">
        <f>IF(AND($B535&lt;&gt;"",$F535&lt;&gt;"",$F535=项目明细账!$C$2),N(V534)+1,N(V534))</f>
        <v>0</v>
      </c>
      <c r="W535" s="63" t="str">
        <f>IF($H535&lt;&gt;"","项目成本",IFERROR(INDEX(基础资料!$W$4:$W$49,MATCH($I535,基础资料!$V$4:$V$49,0)),""))</f>
        <v/>
      </c>
      <c r="X535" s="63" t="str">
        <f>IFERROR(INDEX(基础资料!$R$4:$R$17,MATCH($G535,基础资料!$Q$4:$Q$17,0)),"")</f>
        <v>经营收入</v>
      </c>
    </row>
    <row r="536" spans="1:24">
      <c r="A536" s="58">
        <f>IF($B536="","",COUNTA($B$5:$B536))</f>
        <v>528</v>
      </c>
      <c r="B536" s="53">
        <v>46095</v>
      </c>
      <c r="C536" s="46" t="s">
        <v>150</v>
      </c>
      <c r="D536" s="63" t="str">
        <f>IFERROR(INDEX(基础资料!$F$4:$F$23,MATCH($C536,基础资料!$E$4:$E$23,0)),IF($C536="","","未匹配账户"))</f>
        <v>瑞盛天</v>
      </c>
      <c r="E536" s="39"/>
      <c r="F536" s="10"/>
      <c r="G536" s="10"/>
      <c r="H536" s="10"/>
      <c r="I536" s="10" t="s">
        <v>262</v>
      </c>
      <c r="J536" s="69" t="s">
        <v>604</v>
      </c>
      <c r="K536" s="25"/>
      <c r="L536" s="25">
        <v>172769.56</v>
      </c>
      <c r="M536" s="25">
        <f>IFERROR(VLOOKUP($C536,$C$5:$M$24,11,0)+SUMIF($C$25:$C536,$C536,$K$25:$K536)-SUMIF($C$25:$C536,$C536,$L$25:$L536),"")</f>
        <v>1888404.45</v>
      </c>
      <c r="N536" s="10"/>
      <c r="O536" s="10"/>
      <c r="P536" s="65"/>
      <c r="Q536" s="10"/>
      <c r="R536" s="10"/>
      <c r="S536" s="54">
        <f t="shared" si="24"/>
        <v>202603</v>
      </c>
      <c r="T536" s="54">
        <f t="shared" si="25"/>
        <v>202603</v>
      </c>
      <c r="U536" s="58" t="str">
        <f t="shared" si="26"/>
        <v/>
      </c>
      <c r="V536" s="58">
        <f>IF(AND($B536&lt;&gt;"",$F536&lt;&gt;"",$F536=项目明细账!$C$2),N(V535)+1,N(V535))</f>
        <v>0</v>
      </c>
      <c r="W536" s="63" t="str">
        <f>IF($H536&lt;&gt;"","项目成本",IFERROR(INDEX(基础资料!$W$4:$W$49,MATCH($I536,基础资料!$V$4:$V$49,0)),""))</f>
        <v>税费</v>
      </c>
      <c r="X536" s="63" t="str">
        <f>IFERROR(INDEX(基础资料!$R$4:$R$17,MATCH($G536,基础资料!$Q$4:$Q$17,0)),"")</f>
        <v/>
      </c>
    </row>
    <row r="537" spans="1:24">
      <c r="A537" s="58">
        <f>IF($B537="","",COUNTA($B$5:$B537))</f>
        <v>529</v>
      </c>
      <c r="B537" s="53">
        <v>46095</v>
      </c>
      <c r="C537" s="46" t="s">
        <v>150</v>
      </c>
      <c r="D537" s="63" t="str">
        <f>IFERROR(INDEX(基础资料!$F$4:$F$23,MATCH($C537,基础资料!$E$4:$E$23,0)),IF($C537="","","未匹配账户"))</f>
        <v>瑞盛天</v>
      </c>
      <c r="E537" s="39"/>
      <c r="F537" s="10" t="s">
        <v>338</v>
      </c>
      <c r="G537" s="10"/>
      <c r="H537" s="10" t="s">
        <v>530</v>
      </c>
      <c r="I537" s="10"/>
      <c r="J537" s="74" t="s">
        <v>617</v>
      </c>
      <c r="K537" s="25"/>
      <c r="L537" s="25">
        <v>74000</v>
      </c>
      <c r="M537" s="25">
        <f>IFERROR(VLOOKUP($C537,$C$5:$M$24,11,0)+SUMIF($C$25:$C537,$C537,$K$25:$K537)-SUMIF($C$25:$C537,$C537,$L$25:$L537),"")</f>
        <v>1814404.45</v>
      </c>
      <c r="N537" s="10"/>
      <c r="O537" s="10"/>
      <c r="P537" s="65"/>
      <c r="Q537" s="10"/>
      <c r="R537" s="10"/>
      <c r="S537" s="54">
        <f t="shared" si="24"/>
        <v>202603</v>
      </c>
      <c r="T537" s="54">
        <f t="shared" si="25"/>
        <v>202603</v>
      </c>
      <c r="U537" s="58" t="str">
        <f t="shared" si="26"/>
        <v/>
      </c>
      <c r="V537" s="58">
        <f>IF(AND($B537&lt;&gt;"",$F537&lt;&gt;"",$F537=项目明细账!$C$2),N(V536)+1,N(V536))</f>
        <v>0</v>
      </c>
      <c r="W537" s="63" t="str">
        <f>IF($H537&lt;&gt;"","项目成本",IFERROR(INDEX(基础资料!$W$4:$W$49,MATCH($I537,基础资料!$V$4:$V$49,0)),""))</f>
        <v>项目成本</v>
      </c>
      <c r="X537" s="63" t="str">
        <f>IFERROR(INDEX(基础资料!$R$4:$R$17,MATCH($G537,基础资料!$Q$4:$Q$17,0)),"")</f>
        <v/>
      </c>
    </row>
    <row r="538" spans="1:24">
      <c r="A538" s="58">
        <f>IF($B538="","",COUNTA($B$5:$B538))</f>
        <v>530</v>
      </c>
      <c r="B538" s="53">
        <v>46095</v>
      </c>
      <c r="C538" s="46" t="s">
        <v>150</v>
      </c>
      <c r="D538" s="63" t="str">
        <f>IFERROR(INDEX(基础资料!$F$4:$F$23,MATCH($C538,基础资料!$E$4:$E$23,0)),IF($C538="","","未匹配账户"))</f>
        <v>瑞盛天</v>
      </c>
      <c r="E538" s="39"/>
      <c r="F538" s="10"/>
      <c r="G538" s="10"/>
      <c r="H538" s="10"/>
      <c r="I538" s="10" t="s">
        <v>282</v>
      </c>
      <c r="J538" s="69" t="s">
        <v>489</v>
      </c>
      <c r="K538" s="25"/>
      <c r="L538" s="25">
        <v>9</v>
      </c>
      <c r="M538" s="25">
        <f>IFERROR(VLOOKUP($C538,$C$5:$M$24,11,0)+SUMIF($C$25:$C538,$C538,$K$25:$K538)-SUMIF($C$25:$C538,$C538,$L$25:$L538),"")</f>
        <v>1814395.45</v>
      </c>
      <c r="N538" s="10"/>
      <c r="O538" s="10"/>
      <c r="P538" s="65"/>
      <c r="Q538" s="10"/>
      <c r="R538" s="10"/>
      <c r="S538" s="54">
        <f t="shared" si="24"/>
        <v>202603</v>
      </c>
      <c r="T538" s="54">
        <f t="shared" si="25"/>
        <v>202603</v>
      </c>
      <c r="U538" s="58" t="str">
        <f t="shared" si="26"/>
        <v/>
      </c>
      <c r="V538" s="58">
        <f>IF(AND($B538&lt;&gt;"",$F538&lt;&gt;"",$F538=项目明细账!$C$2),N(V537)+1,N(V537))</f>
        <v>0</v>
      </c>
      <c r="W538" s="63" t="str">
        <f>IF($H538&lt;&gt;"","项目成本",IFERROR(INDEX(基础资料!$W$4:$W$49,MATCH($I538,基础资料!$V$4:$V$49,0)),""))</f>
        <v>财务费用</v>
      </c>
      <c r="X538" s="63" t="str">
        <f>IFERROR(INDEX(基础资料!$R$4:$R$17,MATCH($G538,基础资料!$Q$4:$Q$17,0)),"")</f>
        <v/>
      </c>
    </row>
    <row r="539" spans="1:24">
      <c r="A539" s="58">
        <f>IF($B539="","",COUNTA($B$5:$B539))</f>
        <v>531</v>
      </c>
      <c r="B539" s="53">
        <v>46095</v>
      </c>
      <c r="C539" s="46" t="s">
        <v>150</v>
      </c>
      <c r="D539" s="63" t="str">
        <f>IFERROR(INDEX(基础资料!$F$4:$F$23,MATCH($C539,基础资料!$E$4:$E$23,0)),IF($C539="","","未匹配账户"))</f>
        <v>瑞盛天</v>
      </c>
      <c r="E539" s="39"/>
      <c r="F539" s="10" t="s">
        <v>338</v>
      </c>
      <c r="G539" s="10"/>
      <c r="H539" s="10" t="s">
        <v>530</v>
      </c>
      <c r="I539" s="10"/>
      <c r="J539" s="74" t="s">
        <v>618</v>
      </c>
      <c r="K539" s="25"/>
      <c r="L539" s="25">
        <v>238804</v>
      </c>
      <c r="M539" s="25">
        <f>IFERROR(VLOOKUP($C539,$C$5:$M$24,11,0)+SUMIF($C$25:$C539,$C539,$K$25:$K539)-SUMIF($C$25:$C539,$C539,$L$25:$L539),"")</f>
        <v>1575591.45</v>
      </c>
      <c r="N539" s="10"/>
      <c r="O539" s="10"/>
      <c r="P539" s="65"/>
      <c r="Q539" s="10"/>
      <c r="R539" s="10"/>
      <c r="S539" s="54">
        <f t="shared" si="24"/>
        <v>202603</v>
      </c>
      <c r="T539" s="54">
        <f t="shared" si="25"/>
        <v>202603</v>
      </c>
      <c r="U539" s="58" t="str">
        <f t="shared" si="26"/>
        <v/>
      </c>
      <c r="V539" s="58">
        <f>IF(AND($B539&lt;&gt;"",$F539&lt;&gt;"",$F539=项目明细账!$C$2),N(V538)+1,N(V538))</f>
        <v>0</v>
      </c>
      <c r="W539" s="63" t="str">
        <f>IF($H539&lt;&gt;"","项目成本",IFERROR(INDEX(基础资料!$W$4:$W$49,MATCH($I539,基础资料!$V$4:$V$49,0)),""))</f>
        <v>项目成本</v>
      </c>
      <c r="X539" s="63" t="str">
        <f>IFERROR(INDEX(基础资料!$R$4:$R$17,MATCH($G539,基础资料!$Q$4:$Q$17,0)),"")</f>
        <v/>
      </c>
    </row>
    <row r="540" spans="1:24">
      <c r="A540" s="58">
        <f>IF($B540="","",COUNTA($B$5:$B540))</f>
        <v>532</v>
      </c>
      <c r="B540" s="53">
        <v>46095</v>
      </c>
      <c r="C540" s="46" t="s">
        <v>150</v>
      </c>
      <c r="D540" s="63" t="str">
        <f>IFERROR(INDEX(基础资料!$F$4:$F$23,MATCH($C540,基础资料!$E$4:$E$23,0)),IF($C540="","","未匹配账户"))</f>
        <v>瑞盛天</v>
      </c>
      <c r="E540" s="39"/>
      <c r="F540" s="10"/>
      <c r="G540" s="10"/>
      <c r="H540" s="10"/>
      <c r="I540" s="10" t="s">
        <v>282</v>
      </c>
      <c r="J540" s="69" t="s">
        <v>489</v>
      </c>
      <c r="K540" s="25"/>
      <c r="L540" s="25">
        <v>15</v>
      </c>
      <c r="M540" s="25">
        <f>IFERROR(VLOOKUP($C540,$C$5:$M$24,11,0)+SUMIF($C$25:$C540,$C540,$K$25:$K540)-SUMIF($C$25:$C540,$C540,$L$25:$L540),"")</f>
        <v>1575576.45</v>
      </c>
      <c r="N540" s="10"/>
      <c r="O540" s="10"/>
      <c r="P540" s="65"/>
      <c r="Q540" s="10"/>
      <c r="R540" s="10"/>
      <c r="S540" s="54">
        <f t="shared" si="24"/>
        <v>202603</v>
      </c>
      <c r="T540" s="54">
        <f t="shared" si="25"/>
        <v>202603</v>
      </c>
      <c r="U540" s="58" t="str">
        <f t="shared" si="26"/>
        <v/>
      </c>
      <c r="V540" s="58">
        <f>IF(AND($B540&lt;&gt;"",$F540&lt;&gt;"",$F540=项目明细账!$C$2),N(V539)+1,N(V539))</f>
        <v>0</v>
      </c>
      <c r="W540" s="63" t="str">
        <f>IF($H540&lt;&gt;"","项目成本",IFERROR(INDEX(基础资料!$W$4:$W$49,MATCH($I540,基础资料!$V$4:$V$49,0)),""))</f>
        <v>财务费用</v>
      </c>
      <c r="X540" s="63" t="str">
        <f>IFERROR(INDEX(基础资料!$R$4:$R$17,MATCH($G540,基础资料!$Q$4:$Q$17,0)),"")</f>
        <v/>
      </c>
    </row>
    <row r="541" spans="1:24">
      <c r="A541" s="58">
        <f>IF($B541="","",COUNTA($B$5:$B541))</f>
        <v>533</v>
      </c>
      <c r="B541" s="53">
        <v>46095</v>
      </c>
      <c r="C541" s="46" t="s">
        <v>150</v>
      </c>
      <c r="D541" s="63" t="str">
        <f>IFERROR(INDEX(基础资料!$F$4:$F$23,MATCH($C541,基础资料!$E$4:$E$23,0)),IF($C541="","","未匹配账户"))</f>
        <v>瑞盛天</v>
      </c>
      <c r="E541" s="39"/>
      <c r="F541" s="10" t="s">
        <v>338</v>
      </c>
      <c r="G541" s="10"/>
      <c r="H541" s="10" t="s">
        <v>530</v>
      </c>
      <c r="I541" s="10"/>
      <c r="J541" s="74" t="s">
        <v>618</v>
      </c>
      <c r="K541" s="25"/>
      <c r="L541" s="25">
        <v>980000</v>
      </c>
      <c r="M541" s="25">
        <f>IFERROR(VLOOKUP($C541,$C$5:$M$24,11,0)+SUMIF($C$25:$C541,$C541,$K$25:$K541)-SUMIF($C$25:$C541,$C541,$L$25:$L541),"")</f>
        <v>595576.450000001</v>
      </c>
      <c r="N541" s="10"/>
      <c r="O541" s="10"/>
      <c r="P541" s="65"/>
      <c r="Q541" s="10"/>
      <c r="R541" s="10"/>
      <c r="S541" s="54">
        <f t="shared" si="24"/>
        <v>202603</v>
      </c>
      <c r="T541" s="54">
        <f t="shared" si="25"/>
        <v>202603</v>
      </c>
      <c r="U541" s="58" t="str">
        <f t="shared" si="26"/>
        <v/>
      </c>
      <c r="V541" s="58">
        <f>IF(AND($B541&lt;&gt;"",$F541&lt;&gt;"",$F541=项目明细账!$C$2),N(V540)+1,N(V540))</f>
        <v>0</v>
      </c>
      <c r="W541" s="63" t="str">
        <f>IF($H541&lt;&gt;"","项目成本",IFERROR(INDEX(基础资料!$W$4:$W$49,MATCH($I541,基础资料!$V$4:$V$49,0)),""))</f>
        <v>项目成本</v>
      </c>
      <c r="X541" s="63" t="str">
        <f>IFERROR(INDEX(基础资料!$R$4:$R$17,MATCH($G541,基础资料!$Q$4:$Q$17,0)),"")</f>
        <v/>
      </c>
    </row>
    <row r="542" spans="1:24">
      <c r="A542" s="58">
        <f>IF($B542="","",COUNTA($B$5:$B542))</f>
        <v>534</v>
      </c>
      <c r="B542" s="53">
        <v>46095</v>
      </c>
      <c r="C542" s="46" t="s">
        <v>150</v>
      </c>
      <c r="D542" s="63" t="str">
        <f>IFERROR(INDEX(基础资料!$F$4:$F$23,MATCH($C542,基础资料!$E$4:$E$23,0)),IF($C542="","","未匹配账户"))</f>
        <v>瑞盛天</v>
      </c>
      <c r="E542" s="39"/>
      <c r="F542" s="10"/>
      <c r="G542" s="10"/>
      <c r="H542" s="10"/>
      <c r="I542" s="10" t="s">
        <v>282</v>
      </c>
      <c r="J542" s="69" t="s">
        <v>489</v>
      </c>
      <c r="K542" s="25"/>
      <c r="L542" s="25">
        <v>20</v>
      </c>
      <c r="M542" s="25">
        <f>IFERROR(VLOOKUP($C542,$C$5:$M$24,11,0)+SUMIF($C$25:$C542,$C542,$K$25:$K542)-SUMIF($C$25:$C542,$C542,$L$25:$L542),"")</f>
        <v>595556.450000001</v>
      </c>
      <c r="N542" s="10"/>
      <c r="O542" s="10"/>
      <c r="P542" s="65"/>
      <c r="Q542" s="10"/>
      <c r="R542" s="10"/>
      <c r="S542" s="54">
        <f t="shared" si="24"/>
        <v>202603</v>
      </c>
      <c r="T542" s="54">
        <f t="shared" si="25"/>
        <v>202603</v>
      </c>
      <c r="U542" s="58" t="str">
        <f t="shared" si="26"/>
        <v/>
      </c>
      <c r="V542" s="58">
        <f>IF(AND($B542&lt;&gt;"",$F542&lt;&gt;"",$F542=项目明细账!$C$2),N(V541)+1,N(V541))</f>
        <v>0</v>
      </c>
      <c r="W542" s="63" t="str">
        <f>IF($H542&lt;&gt;"","项目成本",IFERROR(INDEX(基础资料!$W$4:$W$49,MATCH($I542,基础资料!$V$4:$V$49,0)),""))</f>
        <v>财务费用</v>
      </c>
      <c r="X542" s="63" t="str">
        <f>IFERROR(INDEX(基础资料!$R$4:$R$17,MATCH($G542,基础资料!$Q$4:$Q$17,0)),"")</f>
        <v/>
      </c>
    </row>
    <row r="543" spans="1:24">
      <c r="A543" s="58">
        <f>IF($B543="","",COUNTA($B$5:$B543))</f>
        <v>535</v>
      </c>
      <c r="B543" s="53">
        <v>46095</v>
      </c>
      <c r="C543" s="46" t="s">
        <v>150</v>
      </c>
      <c r="D543" s="63" t="str">
        <f>IFERROR(INDEX(基础资料!$F$4:$F$23,MATCH($C543,基础资料!$E$4:$E$23,0)),IF($C543="","","未匹配账户"))</f>
        <v>瑞盛天</v>
      </c>
      <c r="E543" s="39"/>
      <c r="F543" s="10"/>
      <c r="G543" s="10"/>
      <c r="H543" s="10"/>
      <c r="I543" s="10" t="s">
        <v>246</v>
      </c>
      <c r="J543" s="69" t="s">
        <v>526</v>
      </c>
      <c r="K543" s="25"/>
      <c r="L543" s="25">
        <v>2590.28</v>
      </c>
      <c r="M543" s="25">
        <f>IFERROR(VLOOKUP($C543,$C$5:$M$24,11,0)+SUMIF($C$25:$C543,$C543,$K$25:$K543)-SUMIF($C$25:$C543,$C543,$L$25:$L543),"")</f>
        <v>592966.170000001</v>
      </c>
      <c r="N543" s="10"/>
      <c r="O543" s="10"/>
      <c r="P543" s="65"/>
      <c r="Q543" s="10"/>
      <c r="R543" s="10"/>
      <c r="S543" s="54">
        <f t="shared" si="24"/>
        <v>202603</v>
      </c>
      <c r="T543" s="54">
        <f t="shared" si="25"/>
        <v>202603</v>
      </c>
      <c r="U543" s="58" t="str">
        <f t="shared" si="26"/>
        <v/>
      </c>
      <c r="V543" s="58">
        <f>IF(AND($B543&lt;&gt;"",$F543&lt;&gt;"",$F543=项目明细账!$C$2),N(V542)+1,N(V542))</f>
        <v>0</v>
      </c>
      <c r="W543" s="63" t="str">
        <f>IF($H543&lt;&gt;"","项目成本",IFERROR(INDEX(基础资料!$W$4:$W$49,MATCH($I543,基础资料!$V$4:$V$49,0)),""))</f>
        <v>人工社保</v>
      </c>
      <c r="X543" s="63" t="str">
        <f>IFERROR(INDEX(基础资料!$R$4:$R$17,MATCH($G543,基础资料!$Q$4:$Q$17,0)),"")</f>
        <v/>
      </c>
    </row>
    <row r="544" spans="1:24">
      <c r="A544" s="58">
        <f>IF($B544="","",COUNTA($B$5:$B544))</f>
        <v>536</v>
      </c>
      <c r="B544" s="53">
        <v>46095</v>
      </c>
      <c r="C544" s="46" t="s">
        <v>150</v>
      </c>
      <c r="D544" s="63" t="str">
        <f>IFERROR(INDEX(基础资料!$F$4:$F$23,MATCH($C544,基础资料!$E$4:$E$23,0)),IF($C544="","","未匹配账户"))</f>
        <v>瑞盛天</v>
      </c>
      <c r="E544" s="39"/>
      <c r="F544" s="10"/>
      <c r="G544" s="10"/>
      <c r="H544" s="10"/>
      <c r="I544" s="10" t="s">
        <v>248</v>
      </c>
      <c r="J544" s="69" t="s">
        <v>527</v>
      </c>
      <c r="K544" s="25"/>
      <c r="L544" s="25">
        <v>1196.3</v>
      </c>
      <c r="M544" s="25">
        <f>IFERROR(VLOOKUP($C544,$C$5:$M$24,11,0)+SUMIF($C$25:$C544,$C544,$K$25:$K544)-SUMIF($C$25:$C544,$C544,$L$25:$L544),"")</f>
        <v>591769.870000001</v>
      </c>
      <c r="N544" s="10"/>
      <c r="O544" s="10"/>
      <c r="P544" s="65"/>
      <c r="Q544" s="10"/>
      <c r="R544" s="10"/>
      <c r="S544" s="54">
        <f t="shared" si="24"/>
        <v>202603</v>
      </c>
      <c r="T544" s="54">
        <f t="shared" si="25"/>
        <v>202603</v>
      </c>
      <c r="U544" s="58" t="str">
        <f t="shared" si="26"/>
        <v/>
      </c>
      <c r="V544" s="58">
        <f>IF(AND($B544&lt;&gt;"",$F544&lt;&gt;"",$F544=项目明细账!$C$2),N(V543)+1,N(V543))</f>
        <v>0</v>
      </c>
      <c r="W544" s="63" t="str">
        <f>IF($H544&lt;&gt;"","项目成本",IFERROR(INDEX(基础资料!$W$4:$W$49,MATCH($I544,基础资料!$V$4:$V$49,0)),""))</f>
        <v>人工社保</v>
      </c>
      <c r="X544" s="63" t="str">
        <f>IFERROR(INDEX(基础资料!$R$4:$R$17,MATCH($G544,基础资料!$Q$4:$Q$17,0)),"")</f>
        <v/>
      </c>
    </row>
    <row r="545" spans="1:24">
      <c r="A545" s="58">
        <f>IF($B545="","",COUNTA($B$5:$B545))</f>
        <v>537</v>
      </c>
      <c r="B545" s="53">
        <v>46101</v>
      </c>
      <c r="C545" s="46" t="s">
        <v>150</v>
      </c>
      <c r="D545" s="63" t="str">
        <f>IFERROR(INDEX(基础资料!$F$4:$F$23,MATCH($C545,基础资料!$E$4:$E$23,0)),IF($C545="","","未匹配账户"))</f>
        <v>瑞盛天</v>
      </c>
      <c r="E545" s="39"/>
      <c r="F545" s="10"/>
      <c r="G545" s="10"/>
      <c r="H545" s="10"/>
      <c r="I545" s="10"/>
      <c r="J545" s="69"/>
      <c r="K545" s="25"/>
      <c r="L545" s="25"/>
      <c r="M545" s="25">
        <f>IFERROR(VLOOKUP($C545,$C$5:$M$24,11,0)+SUMIF($C$25:$C545,$C545,$K$25:$K545)-SUMIF($C$25:$C545,$C545,$L$25:$L545),"")</f>
        <v>591769.870000001</v>
      </c>
      <c r="N545" s="10"/>
      <c r="O545" s="10"/>
      <c r="P545" s="65"/>
      <c r="Q545" s="10"/>
      <c r="R545" s="10"/>
      <c r="S545" s="54">
        <f t="shared" si="24"/>
        <v>202603</v>
      </c>
      <c r="T545" s="54">
        <f t="shared" si="25"/>
        <v>202603</v>
      </c>
      <c r="U545" s="58" t="str">
        <f t="shared" si="26"/>
        <v/>
      </c>
      <c r="V545" s="58">
        <f>IF(AND($B545&lt;&gt;"",$F545&lt;&gt;"",$F545=项目明细账!$C$2),N(V544)+1,N(V544))</f>
        <v>0</v>
      </c>
      <c r="W545" s="63" t="str">
        <f>IF($H545&lt;&gt;"","项目成本",IFERROR(INDEX(基础资料!$W$4:$W$49,MATCH($I545,基础资料!$V$4:$V$49,0)),""))</f>
        <v/>
      </c>
      <c r="X545" s="63" t="str">
        <f>IFERROR(INDEX(基础资料!$R$4:$R$17,MATCH($G545,基础资料!$Q$4:$Q$17,0)),"")</f>
        <v/>
      </c>
    </row>
    <row r="546" spans="1:24">
      <c r="A546" s="58">
        <f>IF($B546="","",COUNTA($B$5:$B546))</f>
        <v>538</v>
      </c>
      <c r="B546" s="53">
        <v>46092</v>
      </c>
      <c r="C546" s="46" t="s">
        <v>150</v>
      </c>
      <c r="D546" s="63" t="str">
        <f>IFERROR(INDEX(基础资料!$F$4:$F$23,MATCH($C546,基础资料!$E$4:$E$23,0)),IF($C546="","","未匹配账户"))</f>
        <v>瑞盛天</v>
      </c>
      <c r="E546" s="39"/>
      <c r="F546" s="10"/>
      <c r="G546" s="10" t="s">
        <v>117</v>
      </c>
      <c r="H546" s="10"/>
      <c r="I546" s="10"/>
      <c r="J546" s="10" t="s">
        <v>654</v>
      </c>
      <c r="K546" s="25">
        <v>2335.51</v>
      </c>
      <c r="L546" s="25"/>
      <c r="M546" s="25">
        <f>IFERROR(VLOOKUP($C546,$C$5:$M$24,11,0)+SUMIF($C$25:$C546,$C546,$K$25:$K546)-SUMIF($C$25:$C546,$C546,$L$25:$L546),"")</f>
        <v>594105.380000001</v>
      </c>
      <c r="N546" s="10"/>
      <c r="O546" s="10"/>
      <c r="P546" s="65"/>
      <c r="Q546" s="10"/>
      <c r="R546" s="10"/>
      <c r="S546" s="54">
        <f t="shared" si="24"/>
        <v>202603</v>
      </c>
      <c r="T546" s="54">
        <f t="shared" si="25"/>
        <v>202603</v>
      </c>
      <c r="U546" s="58" t="str">
        <f t="shared" si="26"/>
        <v/>
      </c>
      <c r="V546" s="58">
        <f>IF(AND($B546&lt;&gt;"",$F546&lt;&gt;"",$F546=项目明细账!$C$2),N(V545)+1,N(V545))</f>
        <v>0</v>
      </c>
      <c r="W546" s="63" t="str">
        <f>IF($H546&lt;&gt;"","项目成本",IFERROR(INDEX(基础资料!$W$4:$W$49,MATCH($I546,基础资料!$V$4:$V$49,0)),""))</f>
        <v/>
      </c>
      <c r="X546" s="63" t="str">
        <f>IFERROR(INDEX(基础资料!$R$4:$R$17,MATCH($G546,基础资料!$Q$4:$Q$17,0)),"")</f>
        <v>非经营收入</v>
      </c>
    </row>
    <row r="547" spans="1:24">
      <c r="A547" s="58">
        <f>IF($B547="","",COUNTA($B$5:$B547))</f>
        <v>539</v>
      </c>
      <c r="B547" s="53">
        <v>46095</v>
      </c>
      <c r="C547" s="46" t="s">
        <v>158</v>
      </c>
      <c r="D547" s="63" t="str">
        <f>IFERROR(INDEX(基础资料!$F$4:$F$23,MATCH($C547,基础资料!$E$4:$E$23,0)),IF($C547="","","未匹配账户"))</f>
        <v>瑞盛天</v>
      </c>
      <c r="E547" s="39"/>
      <c r="F547" s="10" t="s">
        <v>375</v>
      </c>
      <c r="G547" s="10"/>
      <c r="H547" s="10" t="s">
        <v>530</v>
      </c>
      <c r="I547" s="10"/>
      <c r="J547" s="70" t="s">
        <v>781</v>
      </c>
      <c r="K547" s="25"/>
      <c r="L547" s="25">
        <v>13000</v>
      </c>
      <c r="M547" s="25">
        <f>IFERROR(VLOOKUP($C547,$C$5:$M$24,11,0)+SUMIF($C$25:$C547,$C547,$K$25:$K547)-SUMIF($C$25:$C547,$C547,$L$25:$L547),"")</f>
        <v>338422.67</v>
      </c>
      <c r="N547" s="10"/>
      <c r="O547" s="10"/>
      <c r="P547" s="65"/>
      <c r="Q547" s="10"/>
      <c r="R547" s="10"/>
      <c r="S547" s="54">
        <f t="shared" si="24"/>
        <v>202603</v>
      </c>
      <c r="T547" s="54">
        <f t="shared" si="25"/>
        <v>202603</v>
      </c>
      <c r="U547" s="58" t="str">
        <f t="shared" si="26"/>
        <v/>
      </c>
      <c r="V547" s="58">
        <f>IF(AND($B547&lt;&gt;"",$F547&lt;&gt;"",$F547=项目明细账!$C$2),N(V546)+1,N(V546))</f>
        <v>0</v>
      </c>
      <c r="W547" s="63" t="str">
        <f>IF($H547&lt;&gt;"","项目成本",IFERROR(INDEX(基础资料!$W$4:$W$49,MATCH($I547,基础资料!$V$4:$V$49,0)),""))</f>
        <v>项目成本</v>
      </c>
      <c r="X547" s="63" t="str">
        <f>IFERROR(INDEX(基础资料!$R$4:$R$17,MATCH($G547,基础资料!$Q$4:$Q$17,0)),"")</f>
        <v/>
      </c>
    </row>
    <row r="548" spans="1:24">
      <c r="A548" s="58">
        <f>IF($B548="","",COUNTA($B$5:$B548))</f>
        <v>540</v>
      </c>
      <c r="B548" s="53">
        <v>46095</v>
      </c>
      <c r="C548" s="46" t="s">
        <v>158</v>
      </c>
      <c r="D548" s="63" t="str">
        <f>IFERROR(INDEX(基础资料!$F$4:$F$23,MATCH($C548,基础资料!$E$4:$E$23,0)),IF($C548="","","未匹配账户"))</f>
        <v>瑞盛天</v>
      </c>
      <c r="E548" s="39"/>
      <c r="F548" s="10"/>
      <c r="G548" s="10"/>
      <c r="H548" s="10"/>
      <c r="I548" s="10" t="s">
        <v>234</v>
      </c>
      <c r="J548" s="69" t="s">
        <v>619</v>
      </c>
      <c r="K548" s="25"/>
      <c r="L548" s="25">
        <v>750</v>
      </c>
      <c r="M548" s="25">
        <f>IFERROR(VLOOKUP($C548,$C$5:$M$24,11,0)+SUMIF($C$25:$C548,$C548,$K$25:$K548)-SUMIF($C$25:$C548,$C548,$L$25:$L548),"")</f>
        <v>337672.67</v>
      </c>
      <c r="N548" s="10"/>
      <c r="O548" s="10"/>
      <c r="P548" s="65"/>
      <c r="Q548" s="10"/>
      <c r="R548" s="10"/>
      <c r="S548" s="54">
        <f t="shared" si="24"/>
        <v>202603</v>
      </c>
      <c r="T548" s="54">
        <f t="shared" si="25"/>
        <v>202603</v>
      </c>
      <c r="U548" s="58" t="str">
        <f t="shared" si="26"/>
        <v/>
      </c>
      <c r="V548" s="58">
        <f>IF(AND($B548&lt;&gt;"",$F548&lt;&gt;"",$F548=项目明细账!$C$2),N(V547)+1,N(V547))</f>
        <v>0</v>
      </c>
      <c r="W548" s="63" t="str">
        <f>IF($H548&lt;&gt;"","项目成本",IFERROR(INDEX(基础资料!$W$4:$W$49,MATCH($I548,基础资料!$V$4:$V$49,0)),""))</f>
        <v>管理费用</v>
      </c>
      <c r="X548" s="63" t="str">
        <f>IFERROR(INDEX(基础资料!$R$4:$R$17,MATCH($G548,基础资料!$Q$4:$Q$17,0)),"")</f>
        <v/>
      </c>
    </row>
    <row r="549" spans="1:24">
      <c r="A549" s="58">
        <f>IF($B549="","",COUNTA($B$5:$B549))</f>
        <v>541</v>
      </c>
      <c r="B549" s="53">
        <v>46095</v>
      </c>
      <c r="C549" s="46" t="s">
        <v>158</v>
      </c>
      <c r="D549" s="63" t="str">
        <f>IFERROR(INDEX(基础资料!$F$4:$F$23,MATCH($C549,基础资料!$E$4:$E$23,0)),IF($C549="","","未匹配账户"))</f>
        <v>瑞盛天</v>
      </c>
      <c r="E549" s="39"/>
      <c r="F549" s="10"/>
      <c r="G549" s="10"/>
      <c r="H549" s="10"/>
      <c r="I549" s="10" t="s">
        <v>237</v>
      </c>
      <c r="J549" s="69" t="s">
        <v>621</v>
      </c>
      <c r="K549" s="25"/>
      <c r="L549" s="25">
        <v>3564.33</v>
      </c>
      <c r="M549" s="25">
        <f>IFERROR(VLOOKUP($C549,$C$5:$M$24,11,0)+SUMIF($C$25:$C549,$C549,$K$25:$K549)-SUMIF($C$25:$C549,$C549,$L$25:$L549),"")</f>
        <v>334108.34</v>
      </c>
      <c r="N549" s="10"/>
      <c r="O549" s="10"/>
      <c r="P549" s="65"/>
      <c r="Q549" s="10"/>
      <c r="R549" s="10"/>
      <c r="S549" s="54">
        <f t="shared" si="24"/>
        <v>202603</v>
      </c>
      <c r="T549" s="54">
        <f t="shared" si="25"/>
        <v>202603</v>
      </c>
      <c r="U549" s="58" t="str">
        <f t="shared" si="26"/>
        <v/>
      </c>
      <c r="V549" s="58">
        <f>IF(AND($B549&lt;&gt;"",$F549&lt;&gt;"",$F549=项目明细账!$C$2),N(V548)+1,N(V548))</f>
        <v>0</v>
      </c>
      <c r="W549" s="63" t="str">
        <f>IF($H549&lt;&gt;"","项目成本",IFERROR(INDEX(基础资料!$W$4:$W$49,MATCH($I549,基础资料!$V$4:$V$49,0)),""))</f>
        <v>人工社保</v>
      </c>
      <c r="X549" s="63" t="str">
        <f>IFERROR(INDEX(基础资料!$R$4:$R$17,MATCH($G549,基础资料!$Q$4:$Q$17,0)),"")</f>
        <v/>
      </c>
    </row>
    <row r="550" spans="1:24">
      <c r="A550" s="58">
        <f>IF($B550="","",COUNTA($B$5:$B550))</f>
        <v>542</v>
      </c>
      <c r="B550" s="53">
        <v>46095</v>
      </c>
      <c r="C550" s="46" t="s">
        <v>158</v>
      </c>
      <c r="D550" s="63" t="str">
        <f>IFERROR(INDEX(基础资料!$F$4:$F$23,MATCH($C550,基础资料!$E$4:$E$23,0)),IF($C550="","","未匹配账户"))</f>
        <v>瑞盛天</v>
      </c>
      <c r="E550" s="39"/>
      <c r="F550" s="10"/>
      <c r="G550" s="10"/>
      <c r="H550" s="10"/>
      <c r="I550" s="10" t="s">
        <v>237</v>
      </c>
      <c r="J550" s="69" t="s">
        <v>620</v>
      </c>
      <c r="K550" s="25"/>
      <c r="L550" s="25">
        <v>2300</v>
      </c>
      <c r="M550" s="25">
        <f>IFERROR(VLOOKUP($C550,$C$5:$M$24,11,0)+SUMIF($C$25:$C550,$C550,$K$25:$K550)-SUMIF($C$25:$C550,$C550,$L$25:$L550),"")</f>
        <v>331808.34</v>
      </c>
      <c r="N550" s="10"/>
      <c r="O550" s="10"/>
      <c r="P550" s="65"/>
      <c r="Q550" s="10"/>
      <c r="R550" s="10"/>
      <c r="S550" s="54">
        <f t="shared" si="24"/>
        <v>202603</v>
      </c>
      <c r="T550" s="54">
        <f t="shared" si="25"/>
        <v>202603</v>
      </c>
      <c r="U550" s="58" t="str">
        <f t="shared" si="26"/>
        <v/>
      </c>
      <c r="V550" s="58">
        <f>IF(AND($B550&lt;&gt;"",$F550&lt;&gt;"",$F550=项目明细账!$C$2),N(V549)+1,N(V549))</f>
        <v>0</v>
      </c>
      <c r="W550" s="63" t="str">
        <f>IF($H550&lt;&gt;"","项目成本",IFERROR(INDEX(基础资料!$W$4:$W$49,MATCH($I550,基础资料!$V$4:$V$49,0)),""))</f>
        <v>人工社保</v>
      </c>
      <c r="X550" s="63" t="str">
        <f>IFERROR(INDEX(基础资料!$R$4:$R$17,MATCH($G550,基础资料!$Q$4:$Q$17,0)),"")</f>
        <v/>
      </c>
    </row>
    <row r="551" spans="1:24">
      <c r="A551" s="58">
        <f>IF($B551="","",COUNTA($B$5:$B551))</f>
        <v>543</v>
      </c>
      <c r="B551" s="53">
        <v>46101</v>
      </c>
      <c r="C551" s="46" t="s">
        <v>158</v>
      </c>
      <c r="D551" s="63" t="str">
        <f>IFERROR(INDEX(基础资料!$F$4:$F$23,MATCH($C551,基础资料!$E$4:$E$23,0)),IF($C551="","","未匹配账户"))</f>
        <v>瑞盛天</v>
      </c>
      <c r="E551" s="39"/>
      <c r="F551" s="10"/>
      <c r="G551" s="10"/>
      <c r="H551" s="10"/>
      <c r="I551" s="10"/>
      <c r="J551" s="69"/>
      <c r="K551" s="25"/>
      <c r="L551" s="25"/>
      <c r="M551" s="25">
        <f>IFERROR(VLOOKUP($C551,$C$5:$M$24,11,0)+SUMIF($C$25:$C551,$C551,$K$25:$K551)-SUMIF($C$25:$C551,$C551,$L$25:$L551),"")</f>
        <v>331808.34</v>
      </c>
      <c r="N551" s="10"/>
      <c r="O551" s="10"/>
      <c r="P551" s="65"/>
      <c r="Q551" s="10"/>
      <c r="R551" s="10"/>
      <c r="S551" s="54">
        <f t="shared" si="24"/>
        <v>202603</v>
      </c>
      <c r="T551" s="54">
        <f t="shared" si="25"/>
        <v>202603</v>
      </c>
      <c r="U551" s="58" t="str">
        <f t="shared" si="26"/>
        <v/>
      </c>
      <c r="V551" s="58">
        <f>IF(AND($B551&lt;&gt;"",$F551&lt;&gt;"",$F551=项目明细账!$C$2),N(V550)+1,N(V550))</f>
        <v>0</v>
      </c>
      <c r="W551" s="63" t="str">
        <f>IF($H551&lt;&gt;"","项目成本",IFERROR(INDEX(基础资料!$W$4:$W$49,MATCH($I551,基础资料!$V$4:$V$49,0)),""))</f>
        <v/>
      </c>
      <c r="X551" s="63" t="str">
        <f>IFERROR(INDEX(基础资料!$R$4:$R$17,MATCH($G551,基础资料!$Q$4:$Q$17,0)),"")</f>
        <v/>
      </c>
    </row>
    <row r="552" spans="1:24">
      <c r="A552" s="58">
        <f>IF($B552="","",COUNTA($B$5:$B552))</f>
        <v>544</v>
      </c>
      <c r="B552" s="53">
        <v>46083</v>
      </c>
      <c r="C552" s="46" t="s">
        <v>169</v>
      </c>
      <c r="D552" s="63" t="str">
        <f>IFERROR(INDEX(基础资料!$F$4:$F$23,MATCH($C552,基础资料!$E$4:$E$23,0)),IF($C552="","","未匹配账户"))</f>
        <v>中展</v>
      </c>
      <c r="E552" s="39"/>
      <c r="F552" s="10"/>
      <c r="G552" s="10"/>
      <c r="H552" s="10"/>
      <c r="I552" s="10"/>
      <c r="J552" s="69"/>
      <c r="K552" s="25"/>
      <c r="L552" s="25"/>
      <c r="M552" s="25">
        <f>IFERROR(VLOOKUP($C552,$C$5:$M$24,11,0)+SUMIF($C$25:$C552,$C552,$K$25:$K552)-SUMIF($C$25:$C552,$C552,$L$25:$L552),"")</f>
        <v>175271.44</v>
      </c>
      <c r="N552" s="10"/>
      <c r="O552" s="10"/>
      <c r="P552" s="65"/>
      <c r="Q552" s="10"/>
      <c r="R552" s="10"/>
      <c r="S552" s="54">
        <f t="shared" si="24"/>
        <v>202603</v>
      </c>
      <c r="T552" s="54">
        <f t="shared" si="25"/>
        <v>202603</v>
      </c>
      <c r="U552" s="58" t="str">
        <f t="shared" si="26"/>
        <v/>
      </c>
      <c r="V552" s="58">
        <f>IF(AND($B552&lt;&gt;"",$F552&lt;&gt;"",$F552=项目明细账!$C$2),N(V551)+1,N(V551))</f>
        <v>0</v>
      </c>
      <c r="W552" s="63" t="str">
        <f>IF($H552&lt;&gt;"","项目成本",IFERROR(INDEX(基础资料!$W$4:$W$49,MATCH($I552,基础资料!$V$4:$V$49,0)),""))</f>
        <v/>
      </c>
      <c r="X552" s="63" t="str">
        <f>IFERROR(INDEX(基础资料!$R$4:$R$17,MATCH($G552,基础资料!$Q$4:$Q$17,0)),"")</f>
        <v/>
      </c>
    </row>
    <row r="553" spans="1:24">
      <c r="A553" s="58">
        <f>IF($B553="","",COUNTA($B$5:$B553))</f>
        <v>545</v>
      </c>
      <c r="B553" s="53">
        <v>46095</v>
      </c>
      <c r="C553" s="46" t="s">
        <v>169</v>
      </c>
      <c r="D553" s="63" t="str">
        <f>IFERROR(INDEX(基础资料!$F$4:$F$23,MATCH($C553,基础资料!$E$4:$E$23,0)),IF($C553="","","未匹配账户"))</f>
        <v>中展</v>
      </c>
      <c r="E553" s="39"/>
      <c r="F553" s="10"/>
      <c r="G553" s="10"/>
      <c r="H553" s="10"/>
      <c r="I553" s="10" t="s">
        <v>246</v>
      </c>
      <c r="J553" s="69" t="s">
        <v>526</v>
      </c>
      <c r="K553" s="25"/>
      <c r="L553" s="25">
        <v>1277.4</v>
      </c>
      <c r="M553" s="25">
        <f>IFERROR(VLOOKUP($C553,$C$5:$M$24,11,0)+SUMIF($C$25:$C553,$C553,$K$25:$K553)-SUMIF($C$25:$C553,$C553,$L$25:$L553),"")</f>
        <v>173994.04</v>
      </c>
      <c r="N553" s="10"/>
      <c r="O553" s="10"/>
      <c r="P553" s="65"/>
      <c r="Q553" s="10"/>
      <c r="R553" s="10"/>
      <c r="S553" s="54">
        <f t="shared" si="24"/>
        <v>202603</v>
      </c>
      <c r="T553" s="54">
        <f t="shared" si="25"/>
        <v>202603</v>
      </c>
      <c r="U553" s="58" t="str">
        <f t="shared" si="26"/>
        <v/>
      </c>
      <c r="V553" s="58">
        <f>IF(AND($B553&lt;&gt;"",$F553&lt;&gt;"",$F553=项目明细账!$C$2),N(V552)+1,N(V552))</f>
        <v>0</v>
      </c>
      <c r="W553" s="63" t="str">
        <f>IF($H553&lt;&gt;"","项目成本",IFERROR(INDEX(基础资料!$W$4:$W$49,MATCH($I553,基础资料!$V$4:$V$49,0)),""))</f>
        <v>人工社保</v>
      </c>
      <c r="X553" s="63" t="str">
        <f>IFERROR(INDEX(基础资料!$R$4:$R$17,MATCH($G553,基础资料!$Q$4:$Q$17,0)),"")</f>
        <v/>
      </c>
    </row>
    <row r="554" spans="1:24">
      <c r="A554" s="58">
        <f>IF($B554="","",COUNTA($B$5:$B554))</f>
        <v>546</v>
      </c>
      <c r="B554" s="53">
        <v>46095</v>
      </c>
      <c r="C554" s="46" t="s">
        <v>169</v>
      </c>
      <c r="D554" s="63" t="str">
        <f>IFERROR(INDEX(基础资料!$F$4:$F$23,MATCH($C554,基础资料!$E$4:$E$23,0)),IF($C554="","","未匹配账户"))</f>
        <v>中展</v>
      </c>
      <c r="E554" s="39"/>
      <c r="F554" s="10"/>
      <c r="G554" s="10"/>
      <c r="H554" s="10"/>
      <c r="I554" s="10" t="s">
        <v>248</v>
      </c>
      <c r="J554" s="69" t="s">
        <v>527</v>
      </c>
      <c r="K554" s="25"/>
      <c r="L554" s="25">
        <v>598.15</v>
      </c>
      <c r="M554" s="25">
        <f>IFERROR(VLOOKUP($C554,$C$5:$M$24,11,0)+SUMIF($C$25:$C554,$C554,$K$25:$K554)-SUMIF($C$25:$C554,$C554,$L$25:$L554),"")</f>
        <v>173395.89</v>
      </c>
      <c r="N554" s="10"/>
      <c r="O554" s="10"/>
      <c r="P554" s="65"/>
      <c r="Q554" s="10"/>
      <c r="R554" s="10"/>
      <c r="S554" s="54">
        <f t="shared" si="24"/>
        <v>202603</v>
      </c>
      <c r="T554" s="54">
        <f t="shared" si="25"/>
        <v>202603</v>
      </c>
      <c r="U554" s="58" t="str">
        <f t="shared" si="26"/>
        <v/>
      </c>
      <c r="V554" s="58">
        <f>IF(AND($B554&lt;&gt;"",$F554&lt;&gt;"",$F554=项目明细账!$C$2),N(V553)+1,N(V553))</f>
        <v>0</v>
      </c>
      <c r="W554" s="63" t="str">
        <f>IF($H554&lt;&gt;"","项目成本",IFERROR(INDEX(基础资料!$W$4:$W$49,MATCH($I554,基础资料!$V$4:$V$49,0)),""))</f>
        <v>人工社保</v>
      </c>
      <c r="X554" s="63" t="str">
        <f>IFERROR(INDEX(基础资料!$R$4:$R$17,MATCH($G554,基础资料!$Q$4:$Q$17,0)),"")</f>
        <v/>
      </c>
    </row>
    <row r="555" spans="1:24">
      <c r="A555" s="58">
        <f>IF($B555="","",COUNTA($B$5:$B555))</f>
        <v>547</v>
      </c>
      <c r="B555" s="53">
        <v>46095</v>
      </c>
      <c r="C555" s="46" t="s">
        <v>169</v>
      </c>
      <c r="D555" s="63" t="str">
        <f>IFERROR(INDEX(基础资料!$F$4:$F$23,MATCH($C555,基础资料!$E$4:$E$23,0)),IF($C555="","","未匹配账户"))</f>
        <v>中展</v>
      </c>
      <c r="E555" s="39"/>
      <c r="F555" s="10"/>
      <c r="G555" s="10"/>
      <c r="H555" s="10"/>
      <c r="I555" s="10" t="s">
        <v>237</v>
      </c>
      <c r="J555" s="69" t="s">
        <v>627</v>
      </c>
      <c r="K555" s="25"/>
      <c r="L555" s="25">
        <v>5278.88</v>
      </c>
      <c r="M555" s="25">
        <f>IFERROR(VLOOKUP($C555,$C$5:$M$24,11,0)+SUMIF($C$25:$C555,$C555,$K$25:$K555)-SUMIF($C$25:$C555,$C555,$L$25:$L555),"")</f>
        <v>168117.01</v>
      </c>
      <c r="N555" s="10"/>
      <c r="O555" s="10"/>
      <c r="P555" s="65"/>
      <c r="Q555" s="10"/>
      <c r="R555" s="10"/>
      <c r="S555" s="54">
        <f t="shared" si="24"/>
        <v>202603</v>
      </c>
      <c r="T555" s="54">
        <f t="shared" si="25"/>
        <v>202603</v>
      </c>
      <c r="U555" s="58" t="str">
        <f t="shared" si="26"/>
        <v/>
      </c>
      <c r="V555" s="58">
        <f>IF(AND($B555&lt;&gt;"",$F555&lt;&gt;"",$F555=项目明细账!$C$2),N(V554)+1,N(V554))</f>
        <v>0</v>
      </c>
      <c r="W555" s="63" t="str">
        <f>IF($H555&lt;&gt;"","项目成本",IFERROR(INDEX(基础资料!$W$4:$W$49,MATCH($I555,基础资料!$V$4:$V$49,0)),""))</f>
        <v>人工社保</v>
      </c>
      <c r="X555" s="63" t="str">
        <f>IFERROR(INDEX(基础资料!$R$4:$R$17,MATCH($G555,基础资料!$Q$4:$Q$17,0)),"")</f>
        <v/>
      </c>
    </row>
    <row r="556" spans="1:24">
      <c r="A556" s="58">
        <f>IF($B556="","",COUNTA($B$5:$B556))</f>
        <v>548</v>
      </c>
      <c r="B556" s="53">
        <v>46095</v>
      </c>
      <c r="C556" s="46" t="s">
        <v>169</v>
      </c>
      <c r="D556" s="63" t="str">
        <f>IFERROR(INDEX(基础资料!$F$4:$F$23,MATCH($C556,基础资料!$E$4:$E$23,0)),IF($C556="","","未匹配账户"))</f>
        <v>中展</v>
      </c>
      <c r="E556" s="39"/>
      <c r="F556" s="10"/>
      <c r="G556" s="10"/>
      <c r="H556" s="10"/>
      <c r="I556" s="10"/>
      <c r="J556" s="69"/>
      <c r="K556" s="25"/>
      <c r="L556" s="25"/>
      <c r="M556" s="25">
        <f>IFERROR(VLOOKUP($C556,$C$5:$M$24,11,0)+SUMIF($C$25:$C556,$C556,$K$25:$K556)-SUMIF($C$25:$C556,$C556,$L$25:$L556),"")</f>
        <v>168117.01</v>
      </c>
      <c r="N556" s="10"/>
      <c r="O556" s="10"/>
      <c r="P556" s="65"/>
      <c r="Q556" s="10"/>
      <c r="R556" s="10"/>
      <c r="S556" s="54">
        <f t="shared" si="24"/>
        <v>202603</v>
      </c>
      <c r="T556" s="54">
        <f t="shared" si="25"/>
        <v>202603</v>
      </c>
      <c r="U556" s="58" t="str">
        <f t="shared" si="26"/>
        <v/>
      </c>
      <c r="V556" s="58">
        <f>IF(AND($B556&lt;&gt;"",$F556&lt;&gt;"",$F556=项目明细账!$C$2),N(V555)+1,N(V555))</f>
        <v>0</v>
      </c>
      <c r="W556" s="63" t="str">
        <f>IF($H556&lt;&gt;"","项目成本",IFERROR(INDEX(基础资料!$W$4:$W$49,MATCH($I556,基础资料!$V$4:$V$49,0)),""))</f>
        <v/>
      </c>
      <c r="X556" s="63" t="str">
        <f>IFERROR(INDEX(基础资料!$R$4:$R$17,MATCH($G556,基础资料!$Q$4:$Q$17,0)),"")</f>
        <v/>
      </c>
    </row>
    <row r="557" spans="1:24">
      <c r="A557" s="58">
        <f>IF($B557="","",COUNTA($B$5:$B557))</f>
        <v>549</v>
      </c>
      <c r="B557" s="53">
        <v>46098</v>
      </c>
      <c r="C557" s="46" t="s">
        <v>169</v>
      </c>
      <c r="D557" s="63" t="str">
        <f>IFERROR(INDEX(基础资料!$F$4:$F$23,MATCH($C557,基础资料!$E$4:$E$23,0)),IF($C557="","","未匹配账户"))</f>
        <v>中展</v>
      </c>
      <c r="E557" s="39"/>
      <c r="F557" s="10" t="s">
        <v>376</v>
      </c>
      <c r="G557" s="10" t="s">
        <v>87</v>
      </c>
      <c r="H557" s="10"/>
      <c r="I557" s="10"/>
      <c r="J557" s="67" t="s">
        <v>782</v>
      </c>
      <c r="K557" s="25">
        <v>7955.98</v>
      </c>
      <c r="L557" s="25"/>
      <c r="M557" s="25">
        <f>IFERROR(VLOOKUP($C557,$C$5:$M$24,11,0)+SUMIF($C$25:$C557,$C557,$K$25:$K557)-SUMIF($C$25:$C557,$C557,$L$25:$L557),"")</f>
        <v>176072.99</v>
      </c>
      <c r="N557" s="10"/>
      <c r="O557" s="10"/>
      <c r="P557" s="65"/>
      <c r="Q557" s="10"/>
      <c r="R557" s="10"/>
      <c r="S557" s="54">
        <f t="shared" si="24"/>
        <v>202603</v>
      </c>
      <c r="T557" s="54">
        <f t="shared" si="25"/>
        <v>202603</v>
      </c>
      <c r="U557" s="58" t="str">
        <f t="shared" si="26"/>
        <v/>
      </c>
      <c r="V557" s="58">
        <f>IF(AND($B557&lt;&gt;"",$F557&lt;&gt;"",$F557=项目明细账!$C$2),N(V556)+1,N(V556))</f>
        <v>0</v>
      </c>
      <c r="W557" s="63" t="str">
        <f>IF($H557&lt;&gt;"","项目成本",IFERROR(INDEX(基础资料!$W$4:$W$49,MATCH($I557,基础资料!$V$4:$V$49,0)),""))</f>
        <v/>
      </c>
      <c r="X557" s="63" t="str">
        <f>IFERROR(INDEX(基础资料!$R$4:$R$17,MATCH($G557,基础资料!$Q$4:$Q$17,0)),"")</f>
        <v>经营收入</v>
      </c>
    </row>
    <row r="558" spans="1:24">
      <c r="A558" s="58">
        <f>IF($B558="","",COUNTA($B$5:$B558))</f>
        <v>550</v>
      </c>
      <c r="B558" s="53">
        <v>46108</v>
      </c>
      <c r="C558" s="46" t="s">
        <v>169</v>
      </c>
      <c r="D558" s="63" t="str">
        <f>IFERROR(INDEX(基础资料!$F$4:$F$23,MATCH($C558,基础资料!$E$4:$E$23,0)),IF($C558="","","未匹配账户"))</f>
        <v>中展</v>
      </c>
      <c r="E558" s="39"/>
      <c r="F558" s="10" t="s">
        <v>377</v>
      </c>
      <c r="G558" s="10" t="s">
        <v>87</v>
      </c>
      <c r="H558" s="10"/>
      <c r="I558" s="10"/>
      <c r="J558" s="69" t="s">
        <v>783</v>
      </c>
      <c r="K558" s="25">
        <v>43000</v>
      </c>
      <c r="L558" s="25"/>
      <c r="M558" s="25">
        <f>IFERROR(VLOOKUP($C558,$C$5:$M$24,11,0)+SUMIF($C$25:$C558,$C558,$K$25:$K558)-SUMIF($C$25:$C558,$C558,$L$25:$L558),"")</f>
        <v>219072.99</v>
      </c>
      <c r="N558" s="10"/>
      <c r="O558" s="10"/>
      <c r="P558" s="65"/>
      <c r="Q558" s="10"/>
      <c r="R558" s="10"/>
      <c r="S558" s="54">
        <f t="shared" si="24"/>
        <v>202603</v>
      </c>
      <c r="T558" s="54">
        <f t="shared" si="25"/>
        <v>202603</v>
      </c>
      <c r="U558" s="58" t="str">
        <f t="shared" si="26"/>
        <v/>
      </c>
      <c r="V558" s="58">
        <f>IF(AND($B558&lt;&gt;"",$F558&lt;&gt;"",$F558=项目明细账!$C$2),N(V557)+1,N(V557))</f>
        <v>0</v>
      </c>
      <c r="W558" s="63" t="str">
        <f>IF($H558&lt;&gt;"","项目成本",IFERROR(INDEX(基础资料!$W$4:$W$49,MATCH($I558,基础资料!$V$4:$V$49,0)),""))</f>
        <v/>
      </c>
      <c r="X558" s="63" t="str">
        <f>IFERROR(INDEX(基础资料!$R$4:$R$17,MATCH($G558,基础资料!$Q$4:$Q$17,0)),"")</f>
        <v>经营收入</v>
      </c>
    </row>
    <row r="559" spans="1:24">
      <c r="A559" s="58">
        <f>IF($B559="","",COUNTA($B$5:$B559))</f>
        <v>551</v>
      </c>
      <c r="B559" s="53">
        <v>46092</v>
      </c>
      <c r="C559" s="46" t="s">
        <v>179</v>
      </c>
      <c r="D559" s="63" t="str">
        <f>IFERROR(INDEX(基础资料!$F$4:$F$23,MATCH($C559,基础资料!$E$4:$E$23,0)),IF($C559="","","未匹配账户"))</f>
        <v>中展</v>
      </c>
      <c r="E559" s="39"/>
      <c r="F559" s="10" t="s">
        <v>128</v>
      </c>
      <c r="G559" s="10"/>
      <c r="H559" s="10" t="s">
        <v>538</v>
      </c>
      <c r="I559" s="10"/>
      <c r="J559" s="71" t="s">
        <v>784</v>
      </c>
      <c r="K559" s="25"/>
      <c r="L559" s="25">
        <v>4500</v>
      </c>
      <c r="M559" s="25">
        <f>IFERROR(VLOOKUP($C559,$C$5:$M$24,11,0)+SUMIF($C$25:$C559,$C559,$K$25:$K559)-SUMIF($C$25:$C559,$C559,$L$25:$L559),"")</f>
        <v>27193</v>
      </c>
      <c r="N559" s="10"/>
      <c r="O559" s="10"/>
      <c r="P559" s="65"/>
      <c r="Q559" s="10"/>
      <c r="R559" s="10"/>
      <c r="S559" s="54">
        <f t="shared" si="24"/>
        <v>202603</v>
      </c>
      <c r="T559" s="54">
        <f t="shared" si="25"/>
        <v>202603</v>
      </c>
      <c r="U559" s="58" t="str">
        <f t="shared" si="26"/>
        <v/>
      </c>
      <c r="V559" s="58">
        <f>IF(AND($B559&lt;&gt;"",$F559&lt;&gt;"",$F559=项目明细账!$C$2),N(V558)+1,N(V558))</f>
        <v>0</v>
      </c>
      <c r="W559" s="63" t="str">
        <f>IF($H559&lt;&gt;"","项目成本",IFERROR(INDEX(基础资料!$W$4:$W$49,MATCH($I559,基础资料!$V$4:$V$49,0)),""))</f>
        <v>项目成本</v>
      </c>
      <c r="X559" s="63" t="str">
        <f>IFERROR(INDEX(基础资料!$R$4:$R$17,MATCH($G559,基础资料!$Q$4:$Q$17,0)),"")</f>
        <v/>
      </c>
    </row>
    <row r="560" spans="1:24">
      <c r="A560" s="58">
        <f>IF($B560="","",COUNTA($B$5:$B560))</f>
        <v>552</v>
      </c>
      <c r="B560" s="53">
        <v>46092</v>
      </c>
      <c r="C560" s="46" t="s">
        <v>179</v>
      </c>
      <c r="D560" s="63" t="str">
        <f>IFERROR(INDEX(基础资料!$F$4:$F$23,MATCH($C560,基础资料!$E$4:$E$23,0)),IF($C560="","","未匹配账户"))</f>
        <v>中展</v>
      </c>
      <c r="E560" s="39"/>
      <c r="F560" s="10" t="s">
        <v>128</v>
      </c>
      <c r="G560" s="10"/>
      <c r="H560" s="10" t="s">
        <v>538</v>
      </c>
      <c r="I560" s="10"/>
      <c r="J560" s="71" t="s">
        <v>784</v>
      </c>
      <c r="K560" s="25"/>
      <c r="L560" s="25">
        <v>3600</v>
      </c>
      <c r="M560" s="25">
        <f>IFERROR(VLOOKUP($C560,$C$5:$M$24,11,0)+SUMIF($C$25:$C560,$C560,$K$25:$K560)-SUMIF($C$25:$C560,$C560,$L$25:$L560),"")</f>
        <v>23593</v>
      </c>
      <c r="N560" s="10"/>
      <c r="O560" s="10"/>
      <c r="P560" s="65"/>
      <c r="Q560" s="10"/>
      <c r="R560" s="10"/>
      <c r="S560" s="54">
        <f t="shared" si="24"/>
        <v>202603</v>
      </c>
      <c r="T560" s="54">
        <f t="shared" si="25"/>
        <v>202603</v>
      </c>
      <c r="U560" s="58" t="str">
        <f t="shared" si="26"/>
        <v/>
      </c>
      <c r="V560" s="58">
        <f>IF(AND($B560&lt;&gt;"",$F560&lt;&gt;"",$F560=项目明细账!$C$2),N(V559)+1,N(V559))</f>
        <v>0</v>
      </c>
      <c r="W560" s="63" t="str">
        <f>IF($H560&lt;&gt;"","项目成本",IFERROR(INDEX(基础资料!$W$4:$W$49,MATCH($I560,基础资料!$V$4:$V$49,0)),""))</f>
        <v>项目成本</v>
      </c>
      <c r="X560" s="63" t="str">
        <f>IFERROR(INDEX(基础资料!$R$4:$R$17,MATCH($G560,基础资料!$Q$4:$Q$17,0)),"")</f>
        <v/>
      </c>
    </row>
    <row r="561" spans="1:24">
      <c r="A561" s="58">
        <f>IF($B561="","",COUNTA($B$5:$B561))</f>
        <v>553</v>
      </c>
      <c r="B561" s="53">
        <v>46092</v>
      </c>
      <c r="C561" s="46" t="s">
        <v>179</v>
      </c>
      <c r="D561" s="63" t="str">
        <f>IFERROR(INDEX(基础资料!$F$4:$F$23,MATCH($C561,基础资料!$E$4:$E$23,0)),IF($C561="","","未匹配账户"))</f>
        <v>中展</v>
      </c>
      <c r="E561" s="39"/>
      <c r="F561" s="10" t="s">
        <v>128</v>
      </c>
      <c r="G561" s="10"/>
      <c r="H561" s="10" t="s">
        <v>538</v>
      </c>
      <c r="I561" s="10"/>
      <c r="J561" s="71" t="s">
        <v>784</v>
      </c>
      <c r="K561" s="25"/>
      <c r="L561" s="25">
        <v>3096</v>
      </c>
      <c r="M561" s="25">
        <f>IFERROR(VLOOKUP($C561,$C$5:$M$24,11,0)+SUMIF($C$25:$C561,$C561,$K$25:$K561)-SUMIF($C$25:$C561,$C561,$L$25:$L561),"")</f>
        <v>20497</v>
      </c>
      <c r="N561" s="10"/>
      <c r="O561" s="10"/>
      <c r="P561" s="65"/>
      <c r="Q561" s="10"/>
      <c r="R561" s="10"/>
      <c r="S561" s="54">
        <f t="shared" si="24"/>
        <v>202603</v>
      </c>
      <c r="T561" s="54">
        <f t="shared" si="25"/>
        <v>202603</v>
      </c>
      <c r="U561" s="58" t="str">
        <f t="shared" si="26"/>
        <v/>
      </c>
      <c r="V561" s="58">
        <f>IF(AND($B561&lt;&gt;"",$F561&lt;&gt;"",$F561=项目明细账!$C$2),N(V560)+1,N(V560))</f>
        <v>0</v>
      </c>
      <c r="W561" s="63" t="str">
        <f>IF($H561&lt;&gt;"","项目成本",IFERROR(INDEX(基础资料!$W$4:$W$49,MATCH($I561,基础资料!$V$4:$V$49,0)),""))</f>
        <v>项目成本</v>
      </c>
      <c r="X561" s="63" t="str">
        <f>IFERROR(INDEX(基础资料!$R$4:$R$17,MATCH($G561,基础资料!$Q$4:$Q$17,0)),"")</f>
        <v/>
      </c>
    </row>
    <row r="562" spans="1:24">
      <c r="A562" s="58">
        <f>IF($B562="","",COUNTA($B$5:$B562))</f>
        <v>554</v>
      </c>
      <c r="B562" s="53">
        <v>46102</v>
      </c>
      <c r="C562" s="46" t="s">
        <v>179</v>
      </c>
      <c r="D562" s="63" t="str">
        <f>IFERROR(INDEX(基础资料!$F$4:$F$23,MATCH($C562,基础资料!$E$4:$E$23,0)),IF($C562="","","未匹配账户"))</f>
        <v>中展</v>
      </c>
      <c r="E562" s="39"/>
      <c r="F562" s="10" t="s">
        <v>128</v>
      </c>
      <c r="G562" s="10"/>
      <c r="H562" s="10" t="s">
        <v>538</v>
      </c>
      <c r="I562" s="10"/>
      <c r="J562" s="70" t="s">
        <v>785</v>
      </c>
      <c r="K562" s="25"/>
      <c r="L562" s="25">
        <v>510</v>
      </c>
      <c r="M562" s="25">
        <f>IFERROR(VLOOKUP($C562,$C$5:$M$24,11,0)+SUMIF($C$25:$C562,$C562,$K$25:$K562)-SUMIF($C$25:$C562,$C562,$L$25:$L562),"")</f>
        <v>19987</v>
      </c>
      <c r="N562" s="10"/>
      <c r="O562" s="10"/>
      <c r="P562" s="65"/>
      <c r="Q562" s="10"/>
      <c r="R562" s="10"/>
      <c r="S562" s="54">
        <f t="shared" si="24"/>
        <v>202603</v>
      </c>
      <c r="T562" s="54">
        <f t="shared" si="25"/>
        <v>202603</v>
      </c>
      <c r="U562" s="58" t="str">
        <f t="shared" si="26"/>
        <v/>
      </c>
      <c r="V562" s="58">
        <f>IF(AND($B562&lt;&gt;"",$F562&lt;&gt;"",$F562=项目明细账!$C$2),N(V561)+1,N(V561))</f>
        <v>0</v>
      </c>
      <c r="W562" s="63" t="str">
        <f>IF($H562&lt;&gt;"","项目成本",IFERROR(INDEX(基础资料!$W$4:$W$49,MATCH($I562,基础资料!$V$4:$V$49,0)),""))</f>
        <v>项目成本</v>
      </c>
      <c r="X562" s="63" t="str">
        <f>IFERROR(INDEX(基础资料!$R$4:$R$17,MATCH($G562,基础资料!$Q$4:$Q$17,0)),"")</f>
        <v/>
      </c>
    </row>
    <row r="563" spans="1:24">
      <c r="A563" s="58">
        <f>IF($B563="","",COUNTA($B$5:$B563))</f>
        <v>555</v>
      </c>
      <c r="B563" s="53">
        <v>46107</v>
      </c>
      <c r="C563" s="46" t="s">
        <v>179</v>
      </c>
      <c r="D563" s="63" t="str">
        <f>IFERROR(INDEX(基础资料!$F$4:$F$23,MATCH($C563,基础资料!$E$4:$E$23,0)),IF($C563="","","未匹配账户"))</f>
        <v>中展</v>
      </c>
      <c r="E563" s="39"/>
      <c r="F563" s="10" t="s">
        <v>223</v>
      </c>
      <c r="G563" s="10"/>
      <c r="H563" s="10" t="s">
        <v>530</v>
      </c>
      <c r="I563" s="10"/>
      <c r="J563" s="70" t="s">
        <v>786</v>
      </c>
      <c r="K563" s="25"/>
      <c r="L563" s="25">
        <v>1800</v>
      </c>
      <c r="M563" s="25">
        <f>IFERROR(VLOOKUP($C563,$C$5:$M$24,11,0)+SUMIF($C$25:$C563,$C563,$K$25:$K563)-SUMIF($C$25:$C563,$C563,$L$25:$L563),"")</f>
        <v>18187</v>
      </c>
      <c r="N563" s="10"/>
      <c r="O563" s="10"/>
      <c r="P563" s="65"/>
      <c r="Q563" s="10"/>
      <c r="R563" s="10"/>
      <c r="S563" s="54">
        <f t="shared" si="24"/>
        <v>202603</v>
      </c>
      <c r="T563" s="54">
        <f t="shared" si="25"/>
        <v>202603</v>
      </c>
      <c r="U563" s="58" t="str">
        <f t="shared" si="26"/>
        <v/>
      </c>
      <c r="V563" s="58">
        <f>IF(AND($B563&lt;&gt;"",$F563&lt;&gt;"",$F563=项目明细账!$C$2),N(V562)+1,N(V562))</f>
        <v>0</v>
      </c>
      <c r="W563" s="63" t="str">
        <f>IF($H563&lt;&gt;"","项目成本",IFERROR(INDEX(基础资料!$W$4:$W$49,MATCH($I563,基础资料!$V$4:$V$49,0)),""))</f>
        <v>项目成本</v>
      </c>
      <c r="X563" s="63" t="str">
        <f>IFERROR(INDEX(基础资料!$R$4:$R$17,MATCH($G563,基础资料!$Q$4:$Q$17,0)),"")</f>
        <v/>
      </c>
    </row>
    <row r="564" spans="1:24">
      <c r="A564" s="58">
        <f>IF($B564="","",COUNTA($B$5:$B564))</f>
        <v>556</v>
      </c>
      <c r="B564" s="53">
        <v>46107</v>
      </c>
      <c r="C564" s="46" t="s">
        <v>179</v>
      </c>
      <c r="D564" s="63" t="str">
        <f>IFERROR(INDEX(基础资料!$F$4:$F$23,MATCH($C564,基础资料!$E$4:$E$23,0)),IF($C564="","","未匹配账户"))</f>
        <v>中展</v>
      </c>
      <c r="E564" s="39"/>
      <c r="F564" s="10" t="s">
        <v>378</v>
      </c>
      <c r="G564" s="10"/>
      <c r="H564" s="10" t="s">
        <v>530</v>
      </c>
      <c r="I564" s="10"/>
      <c r="J564" s="70" t="s">
        <v>786</v>
      </c>
      <c r="K564" s="25"/>
      <c r="L564" s="25">
        <v>900</v>
      </c>
      <c r="M564" s="25">
        <f>IFERROR(VLOOKUP($C564,$C$5:$M$24,11,0)+SUMIF($C$25:$C564,$C564,$K$25:$K564)-SUMIF($C$25:$C564,$C564,$L$25:$L564),"")</f>
        <v>17287</v>
      </c>
      <c r="N564" s="10"/>
      <c r="O564" s="10"/>
      <c r="P564" s="65"/>
      <c r="Q564" s="10"/>
      <c r="R564" s="10"/>
      <c r="S564" s="54">
        <f t="shared" si="24"/>
        <v>202603</v>
      </c>
      <c r="T564" s="54">
        <f t="shared" si="25"/>
        <v>202603</v>
      </c>
      <c r="U564" s="58" t="str">
        <f t="shared" si="26"/>
        <v/>
      </c>
      <c r="V564" s="58">
        <f>IF(AND($B564&lt;&gt;"",$F564&lt;&gt;"",$F564=项目明细账!$C$2),N(V563)+1,N(V563))</f>
        <v>0</v>
      </c>
      <c r="W564" s="63" t="str">
        <f>IF($H564&lt;&gt;"","项目成本",IFERROR(INDEX(基础资料!$W$4:$W$49,MATCH($I564,基础资料!$V$4:$V$49,0)),""))</f>
        <v>项目成本</v>
      </c>
      <c r="X564" s="63" t="str">
        <f>IFERROR(INDEX(基础资料!$R$4:$R$17,MATCH($G564,基础资料!$Q$4:$Q$17,0)),"")</f>
        <v/>
      </c>
    </row>
    <row r="565" spans="1:24">
      <c r="A565" s="58">
        <f>IF($B565="","",COUNTA($B$5:$B565))</f>
        <v>557</v>
      </c>
      <c r="B565" s="53">
        <v>46093</v>
      </c>
      <c r="C565" s="46" t="s">
        <v>197</v>
      </c>
      <c r="D565" s="63" t="str">
        <f>IFERROR(INDEX(基础资料!$F$4:$F$23,MATCH($C565,基础资料!$E$4:$E$23,0)),IF($C565="","","未匹配账户"))</f>
        <v>卓卓通</v>
      </c>
      <c r="E565" s="39"/>
      <c r="F565" s="10"/>
      <c r="G565" s="10"/>
      <c r="H565" s="10"/>
      <c r="I565" s="10" t="s">
        <v>234</v>
      </c>
      <c r="J565" s="69" t="s">
        <v>742</v>
      </c>
      <c r="K565" s="25"/>
      <c r="L565" s="25">
        <v>10220</v>
      </c>
      <c r="M565" s="25">
        <f>IFERROR(VLOOKUP($C565,$C$5:$M$24,11,0)+SUMIF($C$25:$C565,$C565,$K$25:$K565)-SUMIF($C$25:$C565,$C565,$L$25:$L565),"")</f>
        <v>261400.05</v>
      </c>
      <c r="N565" s="10"/>
      <c r="O565" s="10"/>
      <c r="P565" s="65"/>
      <c r="Q565" s="10"/>
      <c r="R565" s="10"/>
      <c r="S565" s="54">
        <f t="shared" si="24"/>
        <v>202603</v>
      </c>
      <c r="T565" s="54">
        <f t="shared" si="25"/>
        <v>202603</v>
      </c>
      <c r="U565" s="58" t="str">
        <f t="shared" si="26"/>
        <v/>
      </c>
      <c r="V565" s="58">
        <f>IF(AND($B565&lt;&gt;"",$F565&lt;&gt;"",$F565=项目明细账!$C$2),N(V564)+1,N(V564))</f>
        <v>0</v>
      </c>
      <c r="W565" s="63" t="str">
        <f>IF($H565&lt;&gt;"","项目成本",IFERROR(INDEX(基础资料!$W$4:$W$49,MATCH($I565,基础资料!$V$4:$V$49,0)),""))</f>
        <v>管理费用</v>
      </c>
      <c r="X565" s="63" t="str">
        <f>IFERROR(INDEX(基础资料!$R$4:$R$17,MATCH($G565,基础资料!$Q$4:$Q$17,0)),"")</f>
        <v/>
      </c>
    </row>
    <row r="566" spans="1:24">
      <c r="A566" s="58">
        <f>IF($B566="","",COUNTA($B$5:$B566))</f>
        <v>558</v>
      </c>
      <c r="B566" s="53">
        <v>46097</v>
      </c>
      <c r="C566" s="46" t="s">
        <v>197</v>
      </c>
      <c r="D566" s="63" t="str">
        <f>IFERROR(INDEX(基础资料!$F$4:$F$23,MATCH($C566,基础资料!$E$4:$E$23,0)),IF($C566="","","未匹配账户"))</f>
        <v>卓卓通</v>
      </c>
      <c r="E566" s="39"/>
      <c r="F566" s="10"/>
      <c r="G566" s="10"/>
      <c r="H566" s="10"/>
      <c r="I566" s="10" t="s">
        <v>234</v>
      </c>
      <c r="J566" s="71" t="s">
        <v>787</v>
      </c>
      <c r="K566" s="25"/>
      <c r="L566" s="25">
        <v>388.6</v>
      </c>
      <c r="M566" s="25">
        <f>IFERROR(VLOOKUP($C566,$C$5:$M$24,11,0)+SUMIF($C$25:$C566,$C566,$K$25:$K566)-SUMIF($C$25:$C566,$C566,$L$25:$L566),"")</f>
        <v>261011.45</v>
      </c>
      <c r="N566" s="10"/>
      <c r="O566" s="10"/>
      <c r="P566" s="65"/>
      <c r="Q566" s="10"/>
      <c r="R566" s="10"/>
      <c r="S566" s="54">
        <f t="shared" si="24"/>
        <v>202603</v>
      </c>
      <c r="T566" s="54">
        <f t="shared" si="25"/>
        <v>202603</v>
      </c>
      <c r="U566" s="58" t="str">
        <f t="shared" si="26"/>
        <v/>
      </c>
      <c r="V566" s="58">
        <f>IF(AND($B566&lt;&gt;"",$F566&lt;&gt;"",$F566=项目明细账!$C$2),N(V565)+1,N(V565))</f>
        <v>0</v>
      </c>
      <c r="W566" s="63" t="str">
        <f>IF($H566&lt;&gt;"","项目成本",IFERROR(INDEX(基础资料!$W$4:$W$49,MATCH($I566,基础资料!$V$4:$V$49,0)),""))</f>
        <v>管理费用</v>
      </c>
      <c r="X566" s="63" t="str">
        <f>IFERROR(INDEX(基础资料!$R$4:$R$17,MATCH($G566,基础资料!$Q$4:$Q$17,0)),"")</f>
        <v/>
      </c>
    </row>
    <row r="567" spans="1:24">
      <c r="A567" s="58">
        <f>IF($B567="","",COUNTA($B$5:$B567))</f>
        <v>559</v>
      </c>
      <c r="B567" s="53">
        <v>46098</v>
      </c>
      <c r="C567" s="46" t="s">
        <v>204</v>
      </c>
      <c r="D567" s="63" t="str">
        <f>IFERROR(INDEX(基础资料!$F$4:$F$23,MATCH($C567,基础资料!$E$4:$E$23,0)),IF($C567="","","未匹配账户"))</f>
        <v>财兴通</v>
      </c>
      <c r="E567" s="39"/>
      <c r="F567" s="10"/>
      <c r="G567" s="10"/>
      <c r="H567" s="10"/>
      <c r="I567" s="10" t="s">
        <v>237</v>
      </c>
      <c r="J567" s="69" t="s">
        <v>642</v>
      </c>
      <c r="K567" s="25"/>
      <c r="L567" s="25">
        <v>5000</v>
      </c>
      <c r="M567" s="25">
        <f>IFERROR(VLOOKUP($C567,$C$5:$M$24,11,0)+SUMIF($C$25:$C567,$C567,$K$25:$K567)-SUMIF($C$25:$C567,$C567,$L$25:$L567),"")</f>
        <v>33691.67</v>
      </c>
      <c r="N567" s="10"/>
      <c r="O567" s="10"/>
      <c r="P567" s="65"/>
      <c r="Q567" s="10"/>
      <c r="R567" s="10"/>
      <c r="S567" s="54">
        <f t="shared" si="24"/>
        <v>202603</v>
      </c>
      <c r="T567" s="54">
        <f t="shared" si="25"/>
        <v>202603</v>
      </c>
      <c r="U567" s="58" t="str">
        <f t="shared" si="26"/>
        <v/>
      </c>
      <c r="V567" s="58">
        <f>IF(AND($B567&lt;&gt;"",$F567&lt;&gt;"",$F567=项目明细账!$C$2),N(V566)+1,N(V566))</f>
        <v>0</v>
      </c>
      <c r="W567" s="63" t="str">
        <f>IF($H567&lt;&gt;"","项目成本",IFERROR(INDEX(基础资料!$W$4:$W$49,MATCH($I567,基础资料!$V$4:$V$49,0)),""))</f>
        <v>人工社保</v>
      </c>
      <c r="X567" s="63" t="str">
        <f>IFERROR(INDEX(基础资料!$R$4:$R$17,MATCH($G567,基础资料!$Q$4:$Q$17,0)),"")</f>
        <v/>
      </c>
    </row>
    <row r="568" spans="1:24">
      <c r="A568" s="58">
        <f>IF($B568="","",COUNTA($B$5:$B568))</f>
        <v>560</v>
      </c>
      <c r="B568" s="53">
        <v>46098</v>
      </c>
      <c r="C568" s="46" t="s">
        <v>204</v>
      </c>
      <c r="D568" s="63" t="str">
        <f>IFERROR(INDEX(基础资料!$F$4:$F$23,MATCH($C568,基础资料!$E$4:$E$23,0)),IF($C568="","","未匹配账户"))</f>
        <v>财兴通</v>
      </c>
      <c r="E568" s="39"/>
      <c r="F568" s="10"/>
      <c r="G568" s="10"/>
      <c r="H568" s="10"/>
      <c r="I568" s="10" t="s">
        <v>237</v>
      </c>
      <c r="J568" s="69" t="s">
        <v>640</v>
      </c>
      <c r="K568" s="25"/>
      <c r="L568" s="25">
        <v>1500</v>
      </c>
      <c r="M568" s="25">
        <f>IFERROR(VLOOKUP($C568,$C$5:$M$24,11,0)+SUMIF($C$25:$C568,$C568,$K$25:$K568)-SUMIF($C$25:$C568,$C568,$L$25:$L568),"")</f>
        <v>32191.67</v>
      </c>
      <c r="N568" s="10"/>
      <c r="O568" s="10"/>
      <c r="P568" s="65"/>
      <c r="Q568" s="10"/>
      <c r="R568" s="10"/>
      <c r="S568" s="54">
        <f t="shared" si="24"/>
        <v>202603</v>
      </c>
      <c r="T568" s="54">
        <f t="shared" si="25"/>
        <v>202603</v>
      </c>
      <c r="U568" s="58" t="str">
        <f t="shared" si="26"/>
        <v/>
      </c>
      <c r="V568" s="58">
        <f>IF(AND($B568&lt;&gt;"",$F568&lt;&gt;"",$F568=项目明细账!$C$2),N(V567)+1,N(V567))</f>
        <v>0</v>
      </c>
      <c r="W568" s="63" t="str">
        <f>IF($H568&lt;&gt;"","项目成本",IFERROR(INDEX(基础资料!$W$4:$W$49,MATCH($I568,基础资料!$V$4:$V$49,0)),""))</f>
        <v>人工社保</v>
      </c>
      <c r="X568" s="63" t="str">
        <f>IFERROR(INDEX(基础资料!$R$4:$R$17,MATCH($G568,基础资料!$Q$4:$Q$17,0)),"")</f>
        <v/>
      </c>
    </row>
    <row r="569" spans="1:24">
      <c r="A569" s="58">
        <f>IF($B569="","",COUNTA($B$5:$B569))</f>
        <v>561</v>
      </c>
      <c r="B569" s="53">
        <v>46098</v>
      </c>
      <c r="C569" s="46" t="s">
        <v>204</v>
      </c>
      <c r="D569" s="63" t="str">
        <f>IFERROR(INDEX(基础资料!$F$4:$F$23,MATCH($C569,基础资料!$E$4:$E$23,0)),IF($C569="","","未匹配账户"))</f>
        <v>财兴通</v>
      </c>
      <c r="E569" s="39"/>
      <c r="F569" s="10"/>
      <c r="G569" s="10"/>
      <c r="H569" s="10"/>
      <c r="I569" s="10" t="s">
        <v>237</v>
      </c>
      <c r="J569" s="69" t="s">
        <v>638</v>
      </c>
      <c r="K569" s="25"/>
      <c r="L569" s="25">
        <v>3714.3</v>
      </c>
      <c r="M569" s="25">
        <f>IFERROR(VLOOKUP($C569,$C$5:$M$24,11,0)+SUMIF($C$25:$C569,$C569,$K$25:$K569)-SUMIF($C$25:$C569,$C569,$L$25:$L569),"")</f>
        <v>28477.37</v>
      </c>
      <c r="N569" s="10"/>
      <c r="O569" s="10"/>
      <c r="P569" s="65"/>
      <c r="Q569" s="10"/>
      <c r="R569" s="10"/>
      <c r="S569" s="54">
        <f t="shared" si="24"/>
        <v>202603</v>
      </c>
      <c r="T569" s="54">
        <f t="shared" si="25"/>
        <v>202603</v>
      </c>
      <c r="U569" s="58" t="str">
        <f t="shared" si="26"/>
        <v/>
      </c>
      <c r="V569" s="58">
        <f>IF(AND($B569&lt;&gt;"",$F569&lt;&gt;"",$F569=项目明细账!$C$2),N(V568)+1,N(V568))</f>
        <v>0</v>
      </c>
      <c r="W569" s="63" t="str">
        <f>IF($H569&lt;&gt;"","项目成本",IFERROR(INDEX(基础资料!$W$4:$W$49,MATCH($I569,基础资料!$V$4:$V$49,0)),""))</f>
        <v>人工社保</v>
      </c>
      <c r="X569" s="63" t="str">
        <f>IFERROR(INDEX(基础资料!$R$4:$R$17,MATCH($G569,基础资料!$Q$4:$Q$17,0)),"")</f>
        <v/>
      </c>
    </row>
    <row r="570" spans="1:24">
      <c r="A570" s="58">
        <f>IF($B570="","",COUNTA($B$5:$B570))</f>
        <v>562</v>
      </c>
      <c r="B570" s="53">
        <v>46098</v>
      </c>
      <c r="C570" s="46" t="s">
        <v>204</v>
      </c>
      <c r="D570" s="63" t="str">
        <f>IFERROR(INDEX(基础资料!$F$4:$F$23,MATCH($C570,基础资料!$E$4:$E$23,0)),IF($C570="","","未匹配账户"))</f>
        <v>财兴通</v>
      </c>
      <c r="E570" s="39"/>
      <c r="F570" s="10"/>
      <c r="G570" s="10"/>
      <c r="H570" s="10"/>
      <c r="I570" s="10" t="s">
        <v>237</v>
      </c>
      <c r="J570" s="71" t="s">
        <v>788</v>
      </c>
      <c r="K570" s="25"/>
      <c r="L570" s="25">
        <v>3500</v>
      </c>
      <c r="M570" s="25">
        <f>IFERROR(VLOOKUP($C570,$C$5:$M$24,11,0)+SUMIF($C$25:$C570,$C570,$K$25:$K570)-SUMIF($C$25:$C570,$C570,$L$25:$L570),"")</f>
        <v>24977.37</v>
      </c>
      <c r="N570" s="10"/>
      <c r="O570" s="10"/>
      <c r="P570" s="65"/>
      <c r="Q570" s="10"/>
      <c r="R570" s="10"/>
      <c r="S570" s="54">
        <f t="shared" si="24"/>
        <v>202603</v>
      </c>
      <c r="T570" s="54">
        <f t="shared" si="25"/>
        <v>202603</v>
      </c>
      <c r="U570" s="58" t="str">
        <f t="shared" si="26"/>
        <v/>
      </c>
      <c r="V570" s="58">
        <f>IF(AND($B570&lt;&gt;"",$F570&lt;&gt;"",$F570=项目明细账!$C$2),N(V569)+1,N(V569))</f>
        <v>0</v>
      </c>
      <c r="W570" s="63" t="str">
        <f>IF($H570&lt;&gt;"","项目成本",IFERROR(INDEX(基础资料!$W$4:$W$49,MATCH($I570,基础资料!$V$4:$V$49,0)),""))</f>
        <v>人工社保</v>
      </c>
      <c r="X570" s="63" t="str">
        <f>IFERROR(INDEX(基础资料!$R$4:$R$17,MATCH($G570,基础资料!$Q$4:$Q$17,0)),"")</f>
        <v/>
      </c>
    </row>
    <row r="571" spans="1:24">
      <c r="A571" s="58">
        <f>IF($B571="","",COUNTA($B$5:$B571))</f>
        <v>563</v>
      </c>
      <c r="B571" s="53">
        <v>46098</v>
      </c>
      <c r="C571" s="46" t="s">
        <v>204</v>
      </c>
      <c r="D571" s="63" t="str">
        <f>IFERROR(INDEX(基础资料!$F$4:$F$23,MATCH($C571,基础资料!$E$4:$E$23,0)),IF($C571="","","未匹配账户"))</f>
        <v>财兴通</v>
      </c>
      <c r="E571" s="39"/>
      <c r="F571" s="10"/>
      <c r="G571" s="10"/>
      <c r="H571" s="10"/>
      <c r="I571" s="10" t="s">
        <v>237</v>
      </c>
      <c r="J571" s="69" t="s">
        <v>644</v>
      </c>
      <c r="K571" s="25"/>
      <c r="L571" s="25">
        <v>6000</v>
      </c>
      <c r="M571" s="25">
        <f>IFERROR(VLOOKUP($C571,$C$5:$M$24,11,0)+SUMIF($C$25:$C571,$C571,$K$25:$K571)-SUMIF($C$25:$C571,$C571,$L$25:$L571),"")</f>
        <v>18977.37</v>
      </c>
      <c r="N571" s="10"/>
      <c r="O571" s="10"/>
      <c r="P571" s="65"/>
      <c r="Q571" s="10"/>
      <c r="R571" s="10"/>
      <c r="S571" s="54">
        <f t="shared" si="24"/>
        <v>202603</v>
      </c>
      <c r="T571" s="54">
        <f t="shared" si="25"/>
        <v>202603</v>
      </c>
      <c r="U571" s="58" t="str">
        <f t="shared" si="26"/>
        <v/>
      </c>
      <c r="V571" s="58">
        <f>IF(AND($B571&lt;&gt;"",$F571&lt;&gt;"",$F571=项目明细账!$C$2),N(V570)+1,N(V570))</f>
        <v>0</v>
      </c>
      <c r="W571" s="63" t="str">
        <f>IF($H571&lt;&gt;"","项目成本",IFERROR(INDEX(基础资料!$W$4:$W$49,MATCH($I571,基础资料!$V$4:$V$49,0)),""))</f>
        <v>人工社保</v>
      </c>
      <c r="X571" s="63" t="str">
        <f>IFERROR(INDEX(基础资料!$R$4:$R$17,MATCH($G571,基础资料!$Q$4:$Q$17,0)),"")</f>
        <v/>
      </c>
    </row>
    <row r="572" spans="1:24">
      <c r="A572" s="58">
        <f>IF($B572="","",COUNTA($B$5:$B572))</f>
        <v>564</v>
      </c>
      <c r="B572" s="53">
        <v>46098</v>
      </c>
      <c r="C572" s="46" t="s">
        <v>204</v>
      </c>
      <c r="D572" s="63" t="str">
        <f>IFERROR(INDEX(基础资料!$F$4:$F$23,MATCH($C572,基础资料!$E$4:$E$23,0)),IF($C572="","","未匹配账户"))</f>
        <v>财兴通</v>
      </c>
      <c r="E572" s="39"/>
      <c r="F572" s="10"/>
      <c r="G572" s="10"/>
      <c r="H572" s="10"/>
      <c r="I572" s="10" t="s">
        <v>237</v>
      </c>
      <c r="J572" s="69" t="s">
        <v>789</v>
      </c>
      <c r="K572" s="25"/>
      <c r="L572" s="25">
        <v>1500</v>
      </c>
      <c r="M572" s="25">
        <f>IFERROR(VLOOKUP($C572,$C$5:$M$24,11,0)+SUMIF($C$25:$C572,$C572,$K$25:$K572)-SUMIF($C$25:$C572,$C572,$L$25:$L572),"")</f>
        <v>17477.37</v>
      </c>
      <c r="N572" s="10"/>
      <c r="O572" s="10"/>
      <c r="P572" s="65"/>
      <c r="Q572" s="10"/>
      <c r="R572" s="10"/>
      <c r="S572" s="54">
        <f t="shared" si="24"/>
        <v>202603</v>
      </c>
      <c r="T572" s="54">
        <f t="shared" si="25"/>
        <v>202603</v>
      </c>
      <c r="U572" s="58" t="str">
        <f t="shared" si="26"/>
        <v/>
      </c>
      <c r="V572" s="58">
        <f>IF(AND($B572&lt;&gt;"",$F572&lt;&gt;"",$F572=项目明细账!$C$2),N(V571)+1,N(V571))</f>
        <v>0</v>
      </c>
      <c r="W572" s="63" t="str">
        <f>IF($H572&lt;&gt;"","项目成本",IFERROR(INDEX(基础资料!$W$4:$W$49,MATCH($I572,基础资料!$V$4:$V$49,0)),""))</f>
        <v>人工社保</v>
      </c>
      <c r="X572" s="63" t="str">
        <f>IFERROR(INDEX(基础资料!$R$4:$R$17,MATCH($G572,基础资料!$Q$4:$Q$17,0)),"")</f>
        <v/>
      </c>
    </row>
    <row r="573" spans="1:24">
      <c r="A573" s="58">
        <f>IF($B573="","",COUNTA($B$5:$B573))</f>
        <v>565</v>
      </c>
      <c r="B573" s="53">
        <v>46127</v>
      </c>
      <c r="C573" s="46" t="s">
        <v>80</v>
      </c>
      <c r="D573" s="63" t="str">
        <f>IFERROR(INDEX(基础资料!$F$4:$F$23,MATCH($C573,基础资料!$E$4:$E$23,0)),IF($C573="","","未匹配账户"))</f>
        <v>双思威</v>
      </c>
      <c r="E573" s="39"/>
      <c r="F573" s="10" t="s">
        <v>367</v>
      </c>
      <c r="G573" s="10" t="s">
        <v>87</v>
      </c>
      <c r="H573" s="10"/>
      <c r="I573" s="10"/>
      <c r="J573" s="69" t="s">
        <v>357</v>
      </c>
      <c r="K573" s="25">
        <v>458890</v>
      </c>
      <c r="L573" s="25"/>
      <c r="M573" s="25">
        <f>IFERROR(VLOOKUP($C573,$C$5:$M$24,11,0)+SUMIF($C$25:$C573,$C573,$K$25:$K573)-SUMIF($C$25:$C573,$C573,$L$25:$L573),"")</f>
        <v>3451722.65</v>
      </c>
      <c r="N573" s="10"/>
      <c r="O573" s="10"/>
      <c r="P573" s="65"/>
      <c r="Q573" s="10"/>
      <c r="R573" s="10"/>
      <c r="S573" s="54">
        <f t="shared" si="24"/>
        <v>202604</v>
      </c>
      <c r="T573" s="54">
        <f t="shared" si="25"/>
        <v>202604</v>
      </c>
      <c r="U573" s="58" t="str">
        <f t="shared" si="26"/>
        <v/>
      </c>
      <c r="V573" s="58">
        <f>IF(AND($B573&lt;&gt;"",$F573&lt;&gt;"",$F573=项目明细账!$C$2),N(V572)+1,N(V572))</f>
        <v>0</v>
      </c>
      <c r="W573" s="63" t="str">
        <f>IF($H573&lt;&gt;"","项目成本",IFERROR(INDEX(基础资料!$W$4:$W$49,MATCH($I573,基础资料!$V$4:$V$49,0)),""))</f>
        <v/>
      </c>
      <c r="X573" s="63" t="str">
        <f>IFERROR(INDEX(基础资料!$R$4:$R$17,MATCH($G573,基础资料!$Q$4:$Q$17,0)),"")</f>
        <v>经营收入</v>
      </c>
    </row>
    <row r="574" spans="1:24">
      <c r="A574" s="58">
        <f>IF($B574="","",COUNTA($B$5:$B574))</f>
        <v>566</v>
      </c>
      <c r="B574" s="53">
        <v>46127</v>
      </c>
      <c r="C574" s="46" t="s">
        <v>80</v>
      </c>
      <c r="D574" s="63" t="str">
        <f>IFERROR(INDEX(基础资料!$F$4:$F$23,MATCH($C574,基础资料!$E$4:$E$23,0)),IF($C574="","","未匹配账户"))</f>
        <v>双思威</v>
      </c>
      <c r="E574" s="39"/>
      <c r="F574" s="10"/>
      <c r="G574" s="10"/>
      <c r="H574" s="10"/>
      <c r="I574" s="10" t="s">
        <v>237</v>
      </c>
      <c r="J574" s="69" t="s">
        <v>491</v>
      </c>
      <c r="K574" s="25"/>
      <c r="L574" s="25">
        <v>8665.16</v>
      </c>
      <c r="M574" s="25">
        <f>IFERROR(VLOOKUP($C574,$C$5:$M$24,11,0)+SUMIF($C$25:$C574,$C574,$K$25:$K574)-SUMIF($C$25:$C574,$C574,$L$25:$L574),"")</f>
        <v>3443057.49</v>
      </c>
      <c r="N574" s="10"/>
      <c r="O574" s="10"/>
      <c r="P574" s="65"/>
      <c r="Q574" s="10"/>
      <c r="R574" s="10"/>
      <c r="S574" s="54">
        <f t="shared" si="24"/>
        <v>202604</v>
      </c>
      <c r="T574" s="54">
        <f t="shared" si="25"/>
        <v>202604</v>
      </c>
      <c r="U574" s="58" t="str">
        <f t="shared" si="26"/>
        <v/>
      </c>
      <c r="V574" s="58">
        <f>IF(AND($B574&lt;&gt;"",$F574&lt;&gt;"",$F574=项目明细账!$C$2),N(V573)+1,N(V573))</f>
        <v>0</v>
      </c>
      <c r="W574" s="63" t="str">
        <f>IF($H574&lt;&gt;"","项目成本",IFERROR(INDEX(基础资料!$W$4:$W$49,MATCH($I574,基础资料!$V$4:$V$49,0)),""))</f>
        <v>人工社保</v>
      </c>
      <c r="X574" s="63" t="str">
        <f>IFERROR(INDEX(基础资料!$R$4:$R$17,MATCH($G574,基础资料!$Q$4:$Q$17,0)),"")</f>
        <v/>
      </c>
    </row>
    <row r="575" spans="1:24">
      <c r="A575" s="58">
        <f>IF($B575="","",COUNTA($B$5:$B575))</f>
        <v>567</v>
      </c>
      <c r="B575" s="53">
        <v>46127</v>
      </c>
      <c r="C575" s="46" t="s">
        <v>80</v>
      </c>
      <c r="D575" s="63" t="str">
        <f>IFERROR(INDEX(基础资料!$F$4:$F$23,MATCH($C575,基础资料!$E$4:$E$23,0)),IF($C575="","","未匹配账户"))</f>
        <v>双思威</v>
      </c>
      <c r="E575" s="39"/>
      <c r="F575" s="10"/>
      <c r="G575" s="10"/>
      <c r="H575" s="10"/>
      <c r="I575" s="10" t="s">
        <v>237</v>
      </c>
      <c r="J575" s="69" t="s">
        <v>492</v>
      </c>
      <c r="K575" s="25"/>
      <c r="L575" s="25">
        <v>3157.61</v>
      </c>
      <c r="M575" s="25">
        <f>IFERROR(VLOOKUP($C575,$C$5:$M$24,11,0)+SUMIF($C$25:$C575,$C575,$K$25:$K575)-SUMIF($C$25:$C575,$C575,$L$25:$L575),"")</f>
        <v>3439899.88</v>
      </c>
      <c r="N575" s="10"/>
      <c r="O575" s="10"/>
      <c r="P575" s="65"/>
      <c r="Q575" s="10"/>
      <c r="R575" s="10"/>
      <c r="S575" s="54">
        <f t="shared" si="24"/>
        <v>202604</v>
      </c>
      <c r="T575" s="54">
        <f t="shared" si="25"/>
        <v>202604</v>
      </c>
      <c r="U575" s="58" t="str">
        <f t="shared" si="26"/>
        <v/>
      </c>
      <c r="V575" s="58">
        <f>IF(AND($B575&lt;&gt;"",$F575&lt;&gt;"",$F575=项目明细账!$C$2),N(V574)+1,N(V574))</f>
        <v>0</v>
      </c>
      <c r="W575" s="63" t="str">
        <f>IF($H575&lt;&gt;"","项目成本",IFERROR(INDEX(基础资料!$W$4:$W$49,MATCH($I575,基础资料!$V$4:$V$49,0)),""))</f>
        <v>人工社保</v>
      </c>
      <c r="X575" s="63" t="str">
        <f>IFERROR(INDEX(基础资料!$R$4:$R$17,MATCH($G575,基础资料!$Q$4:$Q$17,0)),"")</f>
        <v/>
      </c>
    </row>
    <row r="576" spans="1:24">
      <c r="A576" s="58">
        <f>IF($B576="","",COUNTA($B$5:$B576))</f>
        <v>568</v>
      </c>
      <c r="B576" s="53">
        <v>46127</v>
      </c>
      <c r="C576" s="46" t="s">
        <v>80</v>
      </c>
      <c r="D576" s="63" t="str">
        <f>IFERROR(INDEX(基础资料!$F$4:$F$23,MATCH($C576,基础资料!$E$4:$E$23,0)),IF($C576="","","未匹配账户"))</f>
        <v>双思威</v>
      </c>
      <c r="E576" s="39"/>
      <c r="F576" s="10"/>
      <c r="G576" s="10"/>
      <c r="H576" s="10"/>
      <c r="I576" s="10" t="s">
        <v>237</v>
      </c>
      <c r="J576" s="69" t="s">
        <v>493</v>
      </c>
      <c r="K576" s="25"/>
      <c r="L576" s="25">
        <v>3152.48</v>
      </c>
      <c r="M576" s="25">
        <f>IFERROR(VLOOKUP($C576,$C$5:$M$24,11,0)+SUMIF($C$25:$C576,$C576,$K$25:$K576)-SUMIF($C$25:$C576,$C576,$L$25:$L576),"")</f>
        <v>3436747.4</v>
      </c>
      <c r="N576" s="10"/>
      <c r="O576" s="10"/>
      <c r="P576" s="65"/>
      <c r="Q576" s="10"/>
      <c r="R576" s="10"/>
      <c r="S576" s="54">
        <f t="shared" si="24"/>
        <v>202604</v>
      </c>
      <c r="T576" s="54">
        <f t="shared" si="25"/>
        <v>202604</v>
      </c>
      <c r="U576" s="58" t="str">
        <f t="shared" si="26"/>
        <v/>
      </c>
      <c r="V576" s="58">
        <f>IF(AND($B576&lt;&gt;"",$F576&lt;&gt;"",$F576=项目明细账!$C$2),N(V575)+1,N(V575))</f>
        <v>0</v>
      </c>
      <c r="W576" s="63" t="str">
        <f>IF($H576&lt;&gt;"","项目成本",IFERROR(INDEX(基础资料!$W$4:$W$49,MATCH($I576,基础资料!$V$4:$V$49,0)),""))</f>
        <v>人工社保</v>
      </c>
      <c r="X576" s="63" t="str">
        <f>IFERROR(INDEX(基础资料!$R$4:$R$17,MATCH($G576,基础资料!$Q$4:$Q$17,0)),"")</f>
        <v/>
      </c>
    </row>
    <row r="577" spans="1:24">
      <c r="A577" s="58">
        <f>IF($B577="","",COUNTA($B$5:$B577))</f>
        <v>569</v>
      </c>
      <c r="B577" s="53">
        <v>46127</v>
      </c>
      <c r="C577" s="46" t="s">
        <v>80</v>
      </c>
      <c r="D577" s="63" t="str">
        <f>IFERROR(INDEX(基础资料!$F$4:$F$23,MATCH($C577,基础资料!$E$4:$E$23,0)),IF($C577="","","未匹配账户"))</f>
        <v>双思威</v>
      </c>
      <c r="E577" s="39"/>
      <c r="F577" s="10"/>
      <c r="G577" s="10"/>
      <c r="H577" s="10"/>
      <c r="I577" s="10" t="s">
        <v>237</v>
      </c>
      <c r="J577" s="69" t="s">
        <v>494</v>
      </c>
      <c r="K577" s="25"/>
      <c r="L577" s="25">
        <v>6933.06</v>
      </c>
      <c r="M577" s="25">
        <f>IFERROR(VLOOKUP($C577,$C$5:$M$24,11,0)+SUMIF($C$25:$C577,$C577,$K$25:$K577)-SUMIF($C$25:$C577,$C577,$L$25:$L577),"")</f>
        <v>3429814.34</v>
      </c>
      <c r="N577" s="10"/>
      <c r="O577" s="10"/>
      <c r="P577" s="65"/>
      <c r="Q577" s="10"/>
      <c r="R577" s="10"/>
      <c r="S577" s="54">
        <f t="shared" si="24"/>
        <v>202604</v>
      </c>
      <c r="T577" s="54">
        <f t="shared" si="25"/>
        <v>202604</v>
      </c>
      <c r="U577" s="58" t="str">
        <f t="shared" si="26"/>
        <v/>
      </c>
      <c r="V577" s="58">
        <f>IF(AND($B577&lt;&gt;"",$F577&lt;&gt;"",$F577=项目明细账!$C$2),N(V576)+1,N(V576))</f>
        <v>0</v>
      </c>
      <c r="W577" s="63" t="str">
        <f>IF($H577&lt;&gt;"","项目成本",IFERROR(INDEX(基础资料!$W$4:$W$49,MATCH($I577,基础资料!$V$4:$V$49,0)),""))</f>
        <v>人工社保</v>
      </c>
      <c r="X577" s="63" t="str">
        <f>IFERROR(INDEX(基础资料!$R$4:$R$17,MATCH($G577,基础资料!$Q$4:$Q$17,0)),"")</f>
        <v/>
      </c>
    </row>
    <row r="578" spans="1:24">
      <c r="A578" s="58">
        <f>IF($B578="","",COUNTA($B$5:$B578))</f>
        <v>570</v>
      </c>
      <c r="B578" s="53">
        <v>46127</v>
      </c>
      <c r="C578" s="46" t="s">
        <v>80</v>
      </c>
      <c r="D578" s="63" t="str">
        <f>IFERROR(INDEX(基础资料!$F$4:$F$23,MATCH($C578,基础资料!$E$4:$E$23,0)),IF($C578="","","未匹配账户"))</f>
        <v>双思威</v>
      </c>
      <c r="E578" s="39"/>
      <c r="F578" s="10"/>
      <c r="G578" s="10"/>
      <c r="H578" s="10"/>
      <c r="I578" s="10" t="s">
        <v>237</v>
      </c>
      <c r="J578" s="69" t="s">
        <v>495</v>
      </c>
      <c r="K578" s="25"/>
      <c r="L578" s="25">
        <v>2657.61</v>
      </c>
      <c r="M578" s="25">
        <f>IFERROR(VLOOKUP($C578,$C$5:$M$24,11,0)+SUMIF($C$25:$C578,$C578,$K$25:$K578)-SUMIF($C$25:$C578,$C578,$L$25:$L578),"")</f>
        <v>3427156.73</v>
      </c>
      <c r="N578" s="10"/>
      <c r="O578" s="10"/>
      <c r="P578" s="65"/>
      <c r="Q578" s="10"/>
      <c r="R578" s="10"/>
      <c r="S578" s="54">
        <f t="shared" si="24"/>
        <v>202604</v>
      </c>
      <c r="T578" s="54">
        <f t="shared" si="25"/>
        <v>202604</v>
      </c>
      <c r="U578" s="58" t="str">
        <f t="shared" si="26"/>
        <v/>
      </c>
      <c r="V578" s="58">
        <f>IF(AND($B578&lt;&gt;"",$F578&lt;&gt;"",$F578=项目明细账!$C$2),N(V577)+1,N(V577))</f>
        <v>0</v>
      </c>
      <c r="W578" s="63" t="str">
        <f>IF($H578&lt;&gt;"","项目成本",IFERROR(INDEX(基础资料!$W$4:$W$49,MATCH($I578,基础资料!$V$4:$V$49,0)),""))</f>
        <v>人工社保</v>
      </c>
      <c r="X578" s="63" t="str">
        <f>IFERROR(INDEX(基础资料!$R$4:$R$17,MATCH($G578,基础资料!$Q$4:$Q$17,0)),"")</f>
        <v/>
      </c>
    </row>
    <row r="579" spans="1:24">
      <c r="A579" s="58">
        <f>IF($B579="","",COUNTA($B$5:$B579))</f>
        <v>571</v>
      </c>
      <c r="B579" s="53">
        <v>46127</v>
      </c>
      <c r="C579" s="46" t="s">
        <v>80</v>
      </c>
      <c r="D579" s="63" t="str">
        <f>IFERROR(INDEX(基础资料!$F$4:$F$23,MATCH($C579,基础资料!$E$4:$E$23,0)),IF($C579="","","未匹配账户"))</f>
        <v>双思威</v>
      </c>
      <c r="E579" s="39"/>
      <c r="F579" s="10"/>
      <c r="G579" s="10"/>
      <c r="H579" s="10"/>
      <c r="I579" s="10" t="s">
        <v>237</v>
      </c>
      <c r="J579" s="69" t="s">
        <v>496</v>
      </c>
      <c r="K579" s="25"/>
      <c r="L579" s="25">
        <v>2657.61</v>
      </c>
      <c r="M579" s="25">
        <f>IFERROR(VLOOKUP($C579,$C$5:$M$24,11,0)+SUMIF($C$25:$C579,$C579,$K$25:$K579)-SUMIF($C$25:$C579,$C579,$L$25:$L579),"")</f>
        <v>3424499.12</v>
      </c>
      <c r="N579" s="10"/>
      <c r="O579" s="10"/>
      <c r="P579" s="65"/>
      <c r="Q579" s="10"/>
      <c r="R579" s="10"/>
      <c r="S579" s="54">
        <f t="shared" si="24"/>
        <v>202604</v>
      </c>
      <c r="T579" s="54">
        <f t="shared" si="25"/>
        <v>202604</v>
      </c>
      <c r="U579" s="58" t="str">
        <f t="shared" si="26"/>
        <v/>
      </c>
      <c r="V579" s="58">
        <f>IF(AND($B579&lt;&gt;"",$F579&lt;&gt;"",$F579=项目明细账!$C$2),N(V578)+1,N(V578))</f>
        <v>0</v>
      </c>
      <c r="W579" s="63" t="str">
        <f>IF($H579&lt;&gt;"","项目成本",IFERROR(INDEX(基础资料!$W$4:$W$49,MATCH($I579,基础资料!$V$4:$V$49,0)),""))</f>
        <v>人工社保</v>
      </c>
      <c r="X579" s="63" t="str">
        <f>IFERROR(INDEX(基础资料!$R$4:$R$17,MATCH($G579,基础资料!$Q$4:$Q$17,0)),"")</f>
        <v/>
      </c>
    </row>
    <row r="580" spans="1:24">
      <c r="A580" s="58">
        <f>IF($B580="","",COUNTA($B$5:$B580))</f>
        <v>572</v>
      </c>
      <c r="B580" s="53">
        <v>46127</v>
      </c>
      <c r="C580" s="46" t="s">
        <v>80</v>
      </c>
      <c r="D580" s="63" t="str">
        <f>IFERROR(INDEX(基础资料!$F$4:$F$23,MATCH($C580,基础资料!$E$4:$E$23,0)),IF($C580="","","未匹配账户"))</f>
        <v>双思威</v>
      </c>
      <c r="E580" s="39"/>
      <c r="F580" s="10"/>
      <c r="G580" s="10"/>
      <c r="H580" s="10"/>
      <c r="I580" s="10" t="s">
        <v>237</v>
      </c>
      <c r="J580" s="69" t="s">
        <v>497</v>
      </c>
      <c r="K580" s="25"/>
      <c r="L580" s="25">
        <v>2757.61</v>
      </c>
      <c r="M580" s="25">
        <f>IFERROR(VLOOKUP($C580,$C$5:$M$24,11,0)+SUMIF($C$25:$C580,$C580,$K$25:$K580)-SUMIF($C$25:$C580,$C580,$L$25:$L580),"")</f>
        <v>3421741.51</v>
      </c>
      <c r="N580" s="10"/>
      <c r="O580" s="10"/>
      <c r="P580" s="65"/>
      <c r="Q580" s="10"/>
      <c r="R580" s="10"/>
      <c r="S580" s="54">
        <f t="shared" si="24"/>
        <v>202604</v>
      </c>
      <c r="T580" s="54">
        <f t="shared" si="25"/>
        <v>202604</v>
      </c>
      <c r="U580" s="58" t="str">
        <f t="shared" si="26"/>
        <v/>
      </c>
      <c r="V580" s="58">
        <f>IF(AND($B580&lt;&gt;"",$F580&lt;&gt;"",$F580=项目明细账!$C$2),N(V579)+1,N(V579))</f>
        <v>0</v>
      </c>
      <c r="W580" s="63" t="str">
        <f>IF($H580&lt;&gt;"","项目成本",IFERROR(INDEX(基础资料!$W$4:$W$49,MATCH($I580,基础资料!$V$4:$V$49,0)),""))</f>
        <v>人工社保</v>
      </c>
      <c r="X580" s="63" t="str">
        <f>IFERROR(INDEX(基础资料!$R$4:$R$17,MATCH($G580,基础资料!$Q$4:$Q$17,0)),"")</f>
        <v/>
      </c>
    </row>
    <row r="581" spans="1:24">
      <c r="A581" s="58">
        <f>IF($B581="","",COUNTA($B$5:$B581))</f>
        <v>573</v>
      </c>
      <c r="B581" s="53">
        <v>46127</v>
      </c>
      <c r="C581" s="46" t="s">
        <v>80</v>
      </c>
      <c r="D581" s="63" t="str">
        <f>IFERROR(INDEX(基础资料!$F$4:$F$23,MATCH($C581,基础资料!$E$4:$E$23,0)),IF($C581="","","未匹配账户"))</f>
        <v>双思威</v>
      </c>
      <c r="E581" s="39"/>
      <c r="F581" s="10"/>
      <c r="G581" s="10"/>
      <c r="H581" s="10"/>
      <c r="I581" s="10" t="s">
        <v>237</v>
      </c>
      <c r="J581" s="69" t="s">
        <v>655</v>
      </c>
      <c r="K581" s="25"/>
      <c r="L581" s="25">
        <v>2757.61</v>
      </c>
      <c r="M581" s="25">
        <f>IFERROR(VLOOKUP($C581,$C$5:$M$24,11,0)+SUMIF($C$25:$C581,$C581,$K$25:$K581)-SUMIF($C$25:$C581,$C581,$L$25:$L581),"")</f>
        <v>3418983.9</v>
      </c>
      <c r="N581" s="10"/>
      <c r="O581" s="10"/>
      <c r="P581" s="65"/>
      <c r="Q581" s="10"/>
      <c r="R581" s="10"/>
      <c r="S581" s="54">
        <f t="shared" si="24"/>
        <v>202604</v>
      </c>
      <c r="T581" s="54">
        <f t="shared" si="25"/>
        <v>202604</v>
      </c>
      <c r="U581" s="58" t="str">
        <f t="shared" si="26"/>
        <v/>
      </c>
      <c r="V581" s="58">
        <f>IF(AND($B581&lt;&gt;"",$F581&lt;&gt;"",$F581=项目明细账!$C$2),N(V580)+1,N(V580))</f>
        <v>0</v>
      </c>
      <c r="W581" s="63" t="str">
        <f>IF($H581&lt;&gt;"","项目成本",IFERROR(INDEX(基础资料!$W$4:$W$49,MATCH($I581,基础资料!$V$4:$V$49,0)),""))</f>
        <v>人工社保</v>
      </c>
      <c r="X581" s="63" t="str">
        <f>IFERROR(INDEX(基础资料!$R$4:$R$17,MATCH($G581,基础资料!$Q$4:$Q$17,0)),"")</f>
        <v/>
      </c>
    </row>
    <row r="582" spans="1:24">
      <c r="A582" s="58">
        <f>IF($B582="","",COUNTA($B$5:$B582))</f>
        <v>574</v>
      </c>
      <c r="B582" s="53">
        <v>46127</v>
      </c>
      <c r="C582" s="46" t="s">
        <v>80</v>
      </c>
      <c r="D582" s="63" t="str">
        <f>IFERROR(INDEX(基础资料!$F$4:$F$23,MATCH($C582,基础资料!$E$4:$E$23,0)),IF($C582="","","未匹配账户"))</f>
        <v>双思威</v>
      </c>
      <c r="E582" s="39"/>
      <c r="F582" s="10"/>
      <c r="G582" s="10"/>
      <c r="H582" s="10"/>
      <c r="I582" s="10" t="s">
        <v>237</v>
      </c>
      <c r="J582" s="69" t="s">
        <v>498</v>
      </c>
      <c r="K582" s="25"/>
      <c r="L582" s="25">
        <v>1500</v>
      </c>
      <c r="M582" s="25">
        <f>IFERROR(VLOOKUP($C582,$C$5:$M$24,11,0)+SUMIF($C$25:$C582,$C582,$K$25:$K582)-SUMIF($C$25:$C582,$C582,$L$25:$L582),"")</f>
        <v>3417483.9</v>
      </c>
      <c r="N582" s="10"/>
      <c r="O582" s="10"/>
      <c r="P582" s="65"/>
      <c r="Q582" s="10"/>
      <c r="R582" s="10"/>
      <c r="S582" s="54">
        <f t="shared" ref="S582:S603" si="27">IF($B582="","",--TEXT($B582,"yyyymm"))</f>
        <v>202604</v>
      </c>
      <c r="T582" s="54">
        <f t="shared" ref="T582:T603" si="28">IF($B582="","",IF($P582="",$S582,IFERROR($P582*1,$P582)))</f>
        <v>202604</v>
      </c>
      <c r="U582" s="58" t="str">
        <f t="shared" ref="U582:U603" si="29">IF($B582="","",IF($T582=$S582,"","跨期"))</f>
        <v/>
      </c>
      <c r="V582" s="58">
        <f>IF(AND($B582&lt;&gt;"",$F582&lt;&gt;"",$F582=项目明细账!$C$2),N(V581)+1,N(V581))</f>
        <v>0</v>
      </c>
      <c r="W582" s="63" t="str">
        <f>IF($H582&lt;&gt;"","项目成本",IFERROR(INDEX(基础资料!$W$4:$W$49,MATCH($I582,基础资料!$V$4:$V$49,0)),""))</f>
        <v>人工社保</v>
      </c>
      <c r="X582" s="63" t="str">
        <f>IFERROR(INDEX(基础资料!$R$4:$R$17,MATCH($G582,基础资料!$Q$4:$Q$17,0)),"")</f>
        <v/>
      </c>
    </row>
    <row r="583" spans="1:24">
      <c r="A583" s="58">
        <f>IF($B583="","",COUNTA($B$5:$B583))</f>
        <v>575</v>
      </c>
      <c r="B583" s="53">
        <v>46127</v>
      </c>
      <c r="C583" s="46" t="s">
        <v>80</v>
      </c>
      <c r="D583" s="63" t="str">
        <f>IFERROR(INDEX(基础资料!$F$4:$F$23,MATCH($C583,基础资料!$E$4:$E$23,0)),IF($C583="","","未匹配账户"))</f>
        <v>双思威</v>
      </c>
      <c r="E583" s="39"/>
      <c r="F583" s="10"/>
      <c r="G583" s="10"/>
      <c r="H583" s="10"/>
      <c r="I583" s="10" t="s">
        <v>237</v>
      </c>
      <c r="J583" s="69" t="s">
        <v>499</v>
      </c>
      <c r="K583" s="25"/>
      <c r="L583" s="25">
        <v>2457.61</v>
      </c>
      <c r="M583" s="25">
        <f>IFERROR(VLOOKUP($C583,$C$5:$M$24,11,0)+SUMIF($C$25:$C583,$C583,$K$25:$K583)-SUMIF($C$25:$C583,$C583,$L$25:$L583),"")</f>
        <v>3415026.29</v>
      </c>
      <c r="N583" s="10"/>
      <c r="O583" s="10"/>
      <c r="P583" s="65"/>
      <c r="Q583" s="10"/>
      <c r="R583" s="10"/>
      <c r="S583" s="54">
        <f t="shared" si="27"/>
        <v>202604</v>
      </c>
      <c r="T583" s="54">
        <f t="shared" si="28"/>
        <v>202604</v>
      </c>
      <c r="U583" s="58" t="str">
        <f t="shared" si="29"/>
        <v/>
      </c>
      <c r="V583" s="58">
        <f>IF(AND($B583&lt;&gt;"",$F583&lt;&gt;"",$F583=项目明细账!$C$2),N(V582)+1,N(V582))</f>
        <v>0</v>
      </c>
      <c r="W583" s="63" t="str">
        <f>IF($H583&lt;&gt;"","项目成本",IFERROR(INDEX(基础资料!$W$4:$W$49,MATCH($I583,基础资料!$V$4:$V$49,0)),""))</f>
        <v>人工社保</v>
      </c>
      <c r="X583" s="63" t="str">
        <f>IFERROR(INDEX(基础资料!$R$4:$R$17,MATCH($G583,基础资料!$Q$4:$Q$17,0)),"")</f>
        <v/>
      </c>
    </row>
    <row r="584" spans="1:24">
      <c r="A584" s="58">
        <f>IF($B584="","",COUNTA($B$5:$B584))</f>
        <v>576</v>
      </c>
      <c r="B584" s="53">
        <v>46127</v>
      </c>
      <c r="C584" s="46" t="s">
        <v>80</v>
      </c>
      <c r="D584" s="63" t="str">
        <f>IFERROR(INDEX(基础资料!$F$4:$F$23,MATCH($C584,基础资料!$E$4:$E$23,0)),IF($C584="","","未匹配账户"))</f>
        <v>双思威</v>
      </c>
      <c r="E584" s="39"/>
      <c r="F584" s="10"/>
      <c r="G584" s="10"/>
      <c r="H584" s="10"/>
      <c r="I584" s="10" t="s">
        <v>237</v>
      </c>
      <c r="J584" s="69" t="s">
        <v>500</v>
      </c>
      <c r="K584" s="25"/>
      <c r="L584" s="25">
        <v>2857.61</v>
      </c>
      <c r="M584" s="25">
        <f>IFERROR(VLOOKUP($C584,$C$5:$M$24,11,0)+SUMIF($C$25:$C584,$C584,$K$25:$K584)-SUMIF($C$25:$C584,$C584,$L$25:$L584),"")</f>
        <v>3412168.68</v>
      </c>
      <c r="N584" s="10"/>
      <c r="O584" s="10"/>
      <c r="P584" s="65"/>
      <c r="Q584" s="10"/>
      <c r="R584" s="10"/>
      <c r="S584" s="54">
        <f t="shared" si="27"/>
        <v>202604</v>
      </c>
      <c r="T584" s="54">
        <f t="shared" si="28"/>
        <v>202604</v>
      </c>
      <c r="U584" s="58" t="str">
        <f t="shared" si="29"/>
        <v/>
      </c>
      <c r="V584" s="58">
        <f>IF(AND($B584&lt;&gt;"",$F584&lt;&gt;"",$F584=项目明细账!$C$2),N(V583)+1,N(V583))</f>
        <v>0</v>
      </c>
      <c r="W584" s="63" t="str">
        <f>IF($H584&lt;&gt;"","项目成本",IFERROR(INDEX(基础资料!$W$4:$W$49,MATCH($I584,基础资料!$V$4:$V$49,0)),""))</f>
        <v>人工社保</v>
      </c>
      <c r="X584" s="63" t="str">
        <f>IFERROR(INDEX(基础资料!$R$4:$R$17,MATCH($G584,基础资料!$Q$4:$Q$17,0)),"")</f>
        <v/>
      </c>
    </row>
    <row r="585" spans="1:24">
      <c r="A585" s="58">
        <f>IF($B585="","",COUNTA($B$5:$B585))</f>
        <v>577</v>
      </c>
      <c r="B585" s="53">
        <v>46127</v>
      </c>
      <c r="C585" s="46" t="s">
        <v>80</v>
      </c>
      <c r="D585" s="63" t="str">
        <f>IFERROR(INDEX(基础资料!$F$4:$F$23,MATCH($C585,基础资料!$E$4:$E$23,0)),IF($C585="","","未匹配账户"))</f>
        <v>双思威</v>
      </c>
      <c r="E585" s="39"/>
      <c r="F585" s="10"/>
      <c r="G585" s="10"/>
      <c r="H585" s="10"/>
      <c r="I585" s="10" t="s">
        <v>237</v>
      </c>
      <c r="J585" s="69" t="s">
        <v>501</v>
      </c>
      <c r="K585" s="25"/>
      <c r="L585" s="25">
        <v>1437.61</v>
      </c>
      <c r="M585" s="25">
        <f>IFERROR(VLOOKUP($C585,$C$5:$M$24,11,0)+SUMIF($C$25:$C585,$C585,$K$25:$K585)-SUMIF($C$25:$C585,$C585,$L$25:$L585),"")</f>
        <v>3410731.07</v>
      </c>
      <c r="N585" s="10"/>
      <c r="O585" s="10"/>
      <c r="P585" s="65"/>
      <c r="Q585" s="10"/>
      <c r="R585" s="10"/>
      <c r="S585" s="54">
        <f t="shared" si="27"/>
        <v>202604</v>
      </c>
      <c r="T585" s="54">
        <f t="shared" si="28"/>
        <v>202604</v>
      </c>
      <c r="U585" s="58" t="str">
        <f t="shared" si="29"/>
        <v/>
      </c>
      <c r="V585" s="58">
        <f>IF(AND($B585&lt;&gt;"",$F585&lt;&gt;"",$F585=项目明细账!$C$2),N(V584)+1,N(V584))</f>
        <v>0</v>
      </c>
      <c r="W585" s="63" t="str">
        <f>IF($H585&lt;&gt;"","项目成本",IFERROR(INDEX(基础资料!$W$4:$W$49,MATCH($I585,基础资料!$V$4:$V$49,0)),""))</f>
        <v>人工社保</v>
      </c>
      <c r="X585" s="63" t="str">
        <f>IFERROR(INDEX(基础资料!$R$4:$R$17,MATCH($G585,基础资料!$Q$4:$Q$17,0)),"")</f>
        <v/>
      </c>
    </row>
    <row r="586" spans="1:24">
      <c r="A586" s="58">
        <f>IF($B586="","",COUNTA($B$5:$B586))</f>
        <v>578</v>
      </c>
      <c r="B586" s="53">
        <v>46127</v>
      </c>
      <c r="C586" s="46" t="s">
        <v>80</v>
      </c>
      <c r="D586" s="63" t="str">
        <f>IFERROR(INDEX(基础资料!$F$4:$F$23,MATCH($C586,基础资料!$E$4:$E$23,0)),IF($C586="","","未匹配账户"))</f>
        <v>双思威</v>
      </c>
      <c r="E586" s="39"/>
      <c r="F586" s="10"/>
      <c r="G586" s="10"/>
      <c r="H586" s="10"/>
      <c r="I586" s="10" t="s">
        <v>237</v>
      </c>
      <c r="J586" s="69" t="s">
        <v>502</v>
      </c>
      <c r="K586" s="25"/>
      <c r="L586" s="25">
        <v>2633.11</v>
      </c>
      <c r="M586" s="25">
        <f>IFERROR(VLOOKUP($C586,$C$5:$M$24,11,0)+SUMIF($C$25:$C586,$C586,$K$25:$K586)-SUMIF($C$25:$C586,$C586,$L$25:$L586),"")</f>
        <v>3408097.96</v>
      </c>
      <c r="N586" s="10"/>
      <c r="O586" s="10"/>
      <c r="P586" s="65"/>
      <c r="Q586" s="10"/>
      <c r="R586" s="10"/>
      <c r="S586" s="54">
        <f t="shared" si="27"/>
        <v>202604</v>
      </c>
      <c r="T586" s="54">
        <f t="shared" si="28"/>
        <v>202604</v>
      </c>
      <c r="U586" s="58" t="str">
        <f t="shared" si="29"/>
        <v/>
      </c>
      <c r="V586" s="58">
        <f>IF(AND($B586&lt;&gt;"",$F586&lt;&gt;"",$F586=项目明细账!$C$2),N(V585)+1,N(V585))</f>
        <v>0</v>
      </c>
      <c r="W586" s="63" t="str">
        <f>IF($H586&lt;&gt;"","项目成本",IFERROR(INDEX(基础资料!$W$4:$W$49,MATCH($I586,基础资料!$V$4:$V$49,0)),""))</f>
        <v>人工社保</v>
      </c>
      <c r="X586" s="63" t="str">
        <f>IFERROR(INDEX(基础资料!$R$4:$R$17,MATCH($G586,基础资料!$Q$4:$Q$17,0)),"")</f>
        <v/>
      </c>
    </row>
    <row r="587" spans="1:24">
      <c r="A587" s="58">
        <f>IF($B587="","",COUNTA($B$5:$B587))</f>
        <v>579</v>
      </c>
      <c r="B587" s="53">
        <v>46127</v>
      </c>
      <c r="C587" s="46" t="s">
        <v>80</v>
      </c>
      <c r="D587" s="63" t="str">
        <f>IFERROR(INDEX(基础资料!$F$4:$F$23,MATCH($C587,基础资料!$E$4:$E$23,0)),IF($C587="","","未匹配账户"))</f>
        <v>双思威</v>
      </c>
      <c r="E587" s="39"/>
      <c r="F587" s="10"/>
      <c r="G587" s="10"/>
      <c r="H587" s="10"/>
      <c r="I587" s="10" t="s">
        <v>237</v>
      </c>
      <c r="J587" s="69" t="s">
        <v>504</v>
      </c>
      <c r="K587" s="25"/>
      <c r="L587" s="25">
        <v>1000</v>
      </c>
      <c r="M587" s="25">
        <f>IFERROR(VLOOKUP($C587,$C$5:$M$24,11,0)+SUMIF($C$25:$C587,$C587,$K$25:$K587)-SUMIF($C$25:$C587,$C587,$L$25:$L587),"")</f>
        <v>3407097.96</v>
      </c>
      <c r="N587" s="10"/>
      <c r="O587" s="10"/>
      <c r="P587" s="65"/>
      <c r="Q587" s="10"/>
      <c r="R587" s="10"/>
      <c r="S587" s="54">
        <f t="shared" si="27"/>
        <v>202604</v>
      </c>
      <c r="T587" s="54">
        <f t="shared" si="28"/>
        <v>202604</v>
      </c>
      <c r="U587" s="58" t="str">
        <f t="shared" si="29"/>
        <v/>
      </c>
      <c r="V587" s="58">
        <f>IF(AND($B587&lt;&gt;"",$F587&lt;&gt;"",$F587=项目明细账!$C$2),N(V586)+1,N(V586))</f>
        <v>0</v>
      </c>
      <c r="W587" s="63" t="str">
        <f>IF($H587&lt;&gt;"","项目成本",IFERROR(INDEX(基础资料!$W$4:$W$49,MATCH($I587,基础资料!$V$4:$V$49,0)),""))</f>
        <v>人工社保</v>
      </c>
      <c r="X587" s="63" t="str">
        <f>IFERROR(INDEX(基础资料!$R$4:$R$17,MATCH($G587,基础资料!$Q$4:$Q$17,0)),"")</f>
        <v/>
      </c>
    </row>
    <row r="588" spans="1:24">
      <c r="A588" s="58">
        <f>IF($B588="","",COUNTA($B$5:$B588))</f>
        <v>580</v>
      </c>
      <c r="B588" s="53">
        <v>46127</v>
      </c>
      <c r="C588" s="46" t="s">
        <v>80</v>
      </c>
      <c r="D588" s="63" t="str">
        <f>IFERROR(INDEX(基础资料!$F$4:$F$23,MATCH($C588,基础资料!$E$4:$E$23,0)),IF($C588="","","未匹配账户"))</f>
        <v>双思威</v>
      </c>
      <c r="E588" s="39"/>
      <c r="F588" s="10"/>
      <c r="G588" s="10"/>
      <c r="H588" s="10"/>
      <c r="I588" s="10" t="s">
        <v>237</v>
      </c>
      <c r="J588" s="69" t="s">
        <v>505</v>
      </c>
      <c r="K588" s="25"/>
      <c r="L588" s="25">
        <v>800</v>
      </c>
      <c r="M588" s="25">
        <f>IFERROR(VLOOKUP($C588,$C$5:$M$24,11,0)+SUMIF($C$25:$C588,$C588,$K$25:$K588)-SUMIF($C$25:$C588,$C588,$L$25:$L588),"")</f>
        <v>3406297.96</v>
      </c>
      <c r="N588" s="10"/>
      <c r="O588" s="10"/>
      <c r="P588" s="65"/>
      <c r="Q588" s="10"/>
      <c r="R588" s="10"/>
      <c r="S588" s="54">
        <f t="shared" si="27"/>
        <v>202604</v>
      </c>
      <c r="T588" s="54">
        <f t="shared" si="28"/>
        <v>202604</v>
      </c>
      <c r="U588" s="58" t="str">
        <f t="shared" si="29"/>
        <v/>
      </c>
      <c r="V588" s="58">
        <f>IF(AND($B588&lt;&gt;"",$F588&lt;&gt;"",$F588=项目明细账!$C$2),N(V587)+1,N(V587))</f>
        <v>0</v>
      </c>
      <c r="W588" s="63" t="str">
        <f>IF($H588&lt;&gt;"","项目成本",IFERROR(INDEX(基础资料!$W$4:$W$49,MATCH($I588,基础资料!$V$4:$V$49,0)),""))</f>
        <v>人工社保</v>
      </c>
      <c r="X588" s="63" t="str">
        <f>IFERROR(INDEX(基础资料!$R$4:$R$17,MATCH($G588,基础资料!$Q$4:$Q$17,0)),"")</f>
        <v/>
      </c>
    </row>
    <row r="589" spans="1:24">
      <c r="A589" s="58">
        <f>IF($B589="","",COUNTA($B$5:$B589))</f>
        <v>581</v>
      </c>
      <c r="B589" s="53">
        <v>46127</v>
      </c>
      <c r="C589" s="46" t="s">
        <v>80</v>
      </c>
      <c r="D589" s="63" t="str">
        <f>IFERROR(INDEX(基础资料!$F$4:$F$23,MATCH($C589,基础资料!$E$4:$E$23,0)),IF($C589="","","未匹配账户"))</f>
        <v>双思威</v>
      </c>
      <c r="E589" s="39"/>
      <c r="F589" s="10"/>
      <c r="G589" s="10"/>
      <c r="H589" s="10"/>
      <c r="I589" s="10" t="s">
        <v>237</v>
      </c>
      <c r="J589" s="69" t="s">
        <v>506</v>
      </c>
      <c r="K589" s="25"/>
      <c r="L589" s="25">
        <v>1400</v>
      </c>
      <c r="M589" s="25">
        <f>IFERROR(VLOOKUP($C589,$C$5:$M$24,11,0)+SUMIF($C$25:$C589,$C589,$K$25:$K589)-SUMIF($C$25:$C589,$C589,$L$25:$L589),"")</f>
        <v>3404897.96</v>
      </c>
      <c r="N589" s="10"/>
      <c r="O589" s="10"/>
      <c r="P589" s="65"/>
      <c r="Q589" s="10"/>
      <c r="R589" s="10"/>
      <c r="S589" s="54">
        <f t="shared" si="27"/>
        <v>202604</v>
      </c>
      <c r="T589" s="54">
        <f t="shared" si="28"/>
        <v>202604</v>
      </c>
      <c r="U589" s="58" t="str">
        <f t="shared" si="29"/>
        <v/>
      </c>
      <c r="V589" s="58">
        <f>IF(AND($B589&lt;&gt;"",$F589&lt;&gt;"",$F589=项目明细账!$C$2),N(V588)+1,N(V588))</f>
        <v>0</v>
      </c>
      <c r="W589" s="63" t="str">
        <f>IF($H589&lt;&gt;"","项目成本",IFERROR(INDEX(基础资料!$W$4:$W$49,MATCH($I589,基础资料!$V$4:$V$49,0)),""))</f>
        <v>人工社保</v>
      </c>
      <c r="X589" s="63" t="str">
        <f>IFERROR(INDEX(基础资料!$R$4:$R$17,MATCH($G589,基础资料!$Q$4:$Q$17,0)),"")</f>
        <v/>
      </c>
    </row>
    <row r="590" spans="1:24">
      <c r="A590" s="58">
        <f>IF($B590="","",COUNTA($B$5:$B590))</f>
        <v>582</v>
      </c>
      <c r="B590" s="53">
        <v>46127</v>
      </c>
      <c r="C590" s="46" t="s">
        <v>80</v>
      </c>
      <c r="D590" s="63" t="str">
        <f>IFERROR(INDEX(基础资料!$F$4:$F$23,MATCH($C590,基础资料!$E$4:$E$23,0)),IF($C590="","","未匹配账户"))</f>
        <v>双思威</v>
      </c>
      <c r="E590" s="39"/>
      <c r="F590" s="10"/>
      <c r="G590" s="10"/>
      <c r="H590" s="10"/>
      <c r="I590" s="10" t="s">
        <v>237</v>
      </c>
      <c r="J590" s="69" t="s">
        <v>507</v>
      </c>
      <c r="K590" s="25"/>
      <c r="L590" s="25">
        <v>1200</v>
      </c>
      <c r="M590" s="25">
        <f>IFERROR(VLOOKUP($C590,$C$5:$M$24,11,0)+SUMIF($C$25:$C590,$C590,$K$25:$K590)-SUMIF($C$25:$C590,$C590,$L$25:$L590),"")</f>
        <v>3403697.96</v>
      </c>
      <c r="N590" s="10"/>
      <c r="O590" s="10"/>
      <c r="P590" s="65"/>
      <c r="Q590" s="10"/>
      <c r="R590" s="10"/>
      <c r="S590" s="54">
        <f t="shared" si="27"/>
        <v>202604</v>
      </c>
      <c r="T590" s="54">
        <f t="shared" si="28"/>
        <v>202604</v>
      </c>
      <c r="U590" s="58" t="str">
        <f t="shared" si="29"/>
        <v/>
      </c>
      <c r="V590" s="58">
        <f>IF(AND($B590&lt;&gt;"",$F590&lt;&gt;"",$F590=项目明细账!$C$2),N(V589)+1,N(V589))</f>
        <v>0</v>
      </c>
      <c r="W590" s="63" t="str">
        <f>IF($H590&lt;&gt;"","项目成本",IFERROR(INDEX(基础资料!$W$4:$W$49,MATCH($I590,基础资料!$V$4:$V$49,0)),""))</f>
        <v>人工社保</v>
      </c>
      <c r="X590" s="63" t="str">
        <f>IFERROR(INDEX(基础资料!$R$4:$R$17,MATCH($G590,基础资料!$Q$4:$Q$17,0)),"")</f>
        <v/>
      </c>
    </row>
    <row r="591" spans="1:24">
      <c r="A591" s="58">
        <f>IF($B591="","",COUNTA($B$5:$B591))</f>
        <v>583</v>
      </c>
      <c r="B591" s="53">
        <v>46127</v>
      </c>
      <c r="C591" s="46" t="s">
        <v>80</v>
      </c>
      <c r="D591" s="63" t="str">
        <f>IFERROR(INDEX(基础资料!$F$4:$F$23,MATCH($C591,基础资料!$E$4:$E$23,0)),IF($C591="","","未匹配账户"))</f>
        <v>双思威</v>
      </c>
      <c r="E591" s="39"/>
      <c r="F591" s="10"/>
      <c r="G591" s="10"/>
      <c r="H591" s="10"/>
      <c r="I591" s="10" t="s">
        <v>237</v>
      </c>
      <c r="J591" s="69" t="s">
        <v>508</v>
      </c>
      <c r="K591" s="25"/>
      <c r="L591" s="25">
        <v>800</v>
      </c>
      <c r="M591" s="25">
        <f>IFERROR(VLOOKUP($C591,$C$5:$M$24,11,0)+SUMIF($C$25:$C591,$C591,$K$25:$K591)-SUMIF($C$25:$C591,$C591,$L$25:$L591),"")</f>
        <v>3402897.96</v>
      </c>
      <c r="N591" s="10"/>
      <c r="O591" s="10"/>
      <c r="P591" s="65"/>
      <c r="Q591" s="10"/>
      <c r="R591" s="10"/>
      <c r="S591" s="54">
        <f t="shared" si="27"/>
        <v>202604</v>
      </c>
      <c r="T591" s="54">
        <f t="shared" si="28"/>
        <v>202604</v>
      </c>
      <c r="U591" s="58" t="str">
        <f t="shared" si="29"/>
        <v/>
      </c>
      <c r="V591" s="58">
        <f>IF(AND($B591&lt;&gt;"",$F591&lt;&gt;"",$F591=项目明细账!$C$2),N(V590)+1,N(V590))</f>
        <v>0</v>
      </c>
      <c r="W591" s="63" t="str">
        <f>IF($H591&lt;&gt;"","项目成本",IFERROR(INDEX(基础资料!$W$4:$W$49,MATCH($I591,基础资料!$V$4:$V$49,0)),""))</f>
        <v>人工社保</v>
      </c>
      <c r="X591" s="63" t="str">
        <f>IFERROR(INDEX(基础资料!$R$4:$R$17,MATCH($G591,基础资料!$Q$4:$Q$17,0)),"")</f>
        <v/>
      </c>
    </row>
    <row r="592" spans="1:24">
      <c r="A592" s="58">
        <f>IF($B592="","",COUNTA($B$5:$B592))</f>
        <v>584</v>
      </c>
      <c r="B592" s="53">
        <v>46127</v>
      </c>
      <c r="C592" s="46" t="s">
        <v>80</v>
      </c>
      <c r="D592" s="63" t="str">
        <f>IFERROR(INDEX(基础资料!$F$4:$F$23,MATCH($C592,基础资料!$E$4:$E$23,0)),IF($C592="","","未匹配账户"))</f>
        <v>双思威</v>
      </c>
      <c r="E592" s="39"/>
      <c r="F592" s="10"/>
      <c r="G592" s="10"/>
      <c r="H592" s="10"/>
      <c r="I592" s="10" t="s">
        <v>237</v>
      </c>
      <c r="J592" s="69" t="s">
        <v>509</v>
      </c>
      <c r="K592" s="25"/>
      <c r="L592" s="25">
        <v>2800</v>
      </c>
      <c r="M592" s="25">
        <f>IFERROR(VLOOKUP($C592,$C$5:$M$24,11,0)+SUMIF($C$25:$C592,$C592,$K$25:$K592)-SUMIF($C$25:$C592,$C592,$L$25:$L592),"")</f>
        <v>3400097.96</v>
      </c>
      <c r="N592" s="10"/>
      <c r="O592" s="10"/>
      <c r="P592" s="65"/>
      <c r="Q592" s="10"/>
      <c r="R592" s="10"/>
      <c r="S592" s="54">
        <f t="shared" si="27"/>
        <v>202604</v>
      </c>
      <c r="T592" s="54">
        <f t="shared" si="28"/>
        <v>202604</v>
      </c>
      <c r="U592" s="58" t="str">
        <f t="shared" si="29"/>
        <v/>
      </c>
      <c r="V592" s="58">
        <f>IF(AND($B592&lt;&gt;"",$F592&lt;&gt;"",$F592=项目明细账!$C$2),N(V591)+1,N(V591))</f>
        <v>0</v>
      </c>
      <c r="W592" s="63" t="str">
        <f>IF($H592&lt;&gt;"","项目成本",IFERROR(INDEX(基础资料!$W$4:$W$49,MATCH($I592,基础资料!$V$4:$V$49,0)),""))</f>
        <v>人工社保</v>
      </c>
      <c r="X592" s="63" t="str">
        <f>IFERROR(INDEX(基础资料!$R$4:$R$17,MATCH($G592,基础资料!$Q$4:$Q$17,0)),"")</f>
        <v/>
      </c>
    </row>
    <row r="593" spans="1:24">
      <c r="A593" s="58">
        <f>IF($B593="","",COUNTA($B$5:$B593))</f>
        <v>585</v>
      </c>
      <c r="B593" s="53">
        <v>46127</v>
      </c>
      <c r="C593" s="46" t="s">
        <v>80</v>
      </c>
      <c r="D593" s="63" t="str">
        <f>IFERROR(INDEX(基础资料!$F$4:$F$23,MATCH($C593,基础资料!$E$4:$E$23,0)),IF($C593="","","未匹配账户"))</f>
        <v>双思威</v>
      </c>
      <c r="E593" s="39"/>
      <c r="F593" s="10"/>
      <c r="G593" s="10"/>
      <c r="H593" s="10"/>
      <c r="I593" s="10" t="s">
        <v>237</v>
      </c>
      <c r="J593" s="69" t="s">
        <v>510</v>
      </c>
      <c r="K593" s="25"/>
      <c r="L593" s="25">
        <v>1400</v>
      </c>
      <c r="M593" s="25">
        <f>IFERROR(VLOOKUP($C593,$C$5:$M$24,11,0)+SUMIF($C$25:$C593,$C593,$K$25:$K593)-SUMIF($C$25:$C593,$C593,$L$25:$L593),"")</f>
        <v>3398697.96</v>
      </c>
      <c r="N593" s="10"/>
      <c r="O593" s="10"/>
      <c r="P593" s="65"/>
      <c r="Q593" s="10"/>
      <c r="R593" s="10"/>
      <c r="S593" s="54">
        <f t="shared" si="27"/>
        <v>202604</v>
      </c>
      <c r="T593" s="54">
        <f t="shared" si="28"/>
        <v>202604</v>
      </c>
      <c r="U593" s="58" t="str">
        <f t="shared" si="29"/>
        <v/>
      </c>
      <c r="V593" s="58">
        <f>IF(AND($B593&lt;&gt;"",$F593&lt;&gt;"",$F593=项目明细账!$C$2),N(V592)+1,N(V592))</f>
        <v>0</v>
      </c>
      <c r="W593" s="63" t="str">
        <f>IF($H593&lt;&gt;"","项目成本",IFERROR(INDEX(基础资料!$W$4:$W$49,MATCH($I593,基础资料!$V$4:$V$49,0)),""))</f>
        <v>人工社保</v>
      </c>
      <c r="X593" s="63" t="str">
        <f>IFERROR(INDEX(基础资料!$R$4:$R$17,MATCH($G593,基础资料!$Q$4:$Q$17,0)),"")</f>
        <v/>
      </c>
    </row>
    <row r="594" spans="1:24">
      <c r="A594" s="58">
        <f>IF($B594="","",COUNTA($B$5:$B594))</f>
        <v>586</v>
      </c>
      <c r="B594" s="53">
        <v>46127</v>
      </c>
      <c r="C594" s="46" t="s">
        <v>80</v>
      </c>
      <c r="D594" s="63" t="str">
        <f>IFERROR(INDEX(基础资料!$F$4:$F$23,MATCH($C594,基础资料!$E$4:$E$23,0)),IF($C594="","","未匹配账户"))</f>
        <v>双思威</v>
      </c>
      <c r="E594" s="39"/>
      <c r="F594" s="10"/>
      <c r="G594" s="10"/>
      <c r="H594" s="10"/>
      <c r="I594" s="10" t="s">
        <v>237</v>
      </c>
      <c r="J594" s="69" t="s">
        <v>511</v>
      </c>
      <c r="K594" s="25"/>
      <c r="L594" s="25">
        <v>1300</v>
      </c>
      <c r="M594" s="25">
        <f>IFERROR(VLOOKUP($C594,$C$5:$M$24,11,0)+SUMIF($C$25:$C594,$C594,$K$25:$K594)-SUMIF($C$25:$C594,$C594,$L$25:$L594),"")</f>
        <v>3397397.96</v>
      </c>
      <c r="N594" s="10"/>
      <c r="O594" s="10"/>
      <c r="P594" s="65"/>
      <c r="Q594" s="10"/>
      <c r="R594" s="10"/>
      <c r="S594" s="54">
        <f t="shared" si="27"/>
        <v>202604</v>
      </c>
      <c r="T594" s="54">
        <f t="shared" si="28"/>
        <v>202604</v>
      </c>
      <c r="U594" s="58" t="str">
        <f t="shared" si="29"/>
        <v/>
      </c>
      <c r="V594" s="58">
        <f>IF(AND($B594&lt;&gt;"",$F594&lt;&gt;"",$F594=项目明细账!$C$2),N(V593)+1,N(V593))</f>
        <v>0</v>
      </c>
      <c r="W594" s="63" t="str">
        <f>IF($H594&lt;&gt;"","项目成本",IFERROR(INDEX(基础资料!$W$4:$W$49,MATCH($I594,基础资料!$V$4:$V$49,0)),""))</f>
        <v>人工社保</v>
      </c>
      <c r="X594" s="63" t="str">
        <f>IFERROR(INDEX(基础资料!$R$4:$R$17,MATCH($G594,基础资料!$Q$4:$Q$17,0)),"")</f>
        <v/>
      </c>
    </row>
    <row r="595" spans="1:24">
      <c r="A595" s="58">
        <f>IF($B595="","",COUNTA($B$5:$B595))</f>
        <v>587</v>
      </c>
      <c r="B595" s="53">
        <v>46127</v>
      </c>
      <c r="C595" s="46" t="s">
        <v>80</v>
      </c>
      <c r="D595" s="63" t="str">
        <f>IFERROR(INDEX(基础资料!$F$4:$F$23,MATCH($C595,基础资料!$E$4:$E$23,0)),IF($C595="","","未匹配账户"))</f>
        <v>双思威</v>
      </c>
      <c r="E595" s="39"/>
      <c r="F595" s="10"/>
      <c r="G595" s="10"/>
      <c r="H595" s="10"/>
      <c r="I595" s="10" t="s">
        <v>237</v>
      </c>
      <c r="J595" s="69" t="s">
        <v>656</v>
      </c>
      <c r="K595" s="25"/>
      <c r="L595" s="25">
        <v>1700</v>
      </c>
      <c r="M595" s="25">
        <f>IFERROR(VLOOKUP($C595,$C$5:$M$24,11,0)+SUMIF($C$25:$C595,$C595,$K$25:$K595)-SUMIF($C$25:$C595,$C595,$L$25:$L595),"")</f>
        <v>3395697.96</v>
      </c>
      <c r="N595" s="10"/>
      <c r="O595" s="10"/>
      <c r="P595" s="65"/>
      <c r="Q595" s="10"/>
      <c r="R595" s="10"/>
      <c r="S595" s="54">
        <f t="shared" si="27"/>
        <v>202604</v>
      </c>
      <c r="T595" s="54">
        <f t="shared" si="28"/>
        <v>202604</v>
      </c>
      <c r="U595" s="58" t="str">
        <f t="shared" si="29"/>
        <v/>
      </c>
      <c r="V595" s="58">
        <f>IF(AND($B595&lt;&gt;"",$F595&lt;&gt;"",$F595=项目明细账!$C$2),N(V594)+1,N(V594))</f>
        <v>0</v>
      </c>
      <c r="W595" s="63" t="str">
        <f>IF($H595&lt;&gt;"","项目成本",IFERROR(INDEX(基础资料!$W$4:$W$49,MATCH($I595,基础资料!$V$4:$V$49,0)),""))</f>
        <v>人工社保</v>
      </c>
      <c r="X595" s="63" t="str">
        <f>IFERROR(INDEX(基础资料!$R$4:$R$17,MATCH($G595,基础资料!$Q$4:$Q$17,0)),"")</f>
        <v/>
      </c>
    </row>
    <row r="596" spans="1:24">
      <c r="A596" s="58">
        <f>IF($B596="","",COUNTA($B$5:$B596))</f>
        <v>588</v>
      </c>
      <c r="B596" s="53">
        <v>46127</v>
      </c>
      <c r="C596" s="46" t="s">
        <v>80</v>
      </c>
      <c r="D596" s="63" t="str">
        <f>IFERROR(INDEX(基础资料!$F$4:$F$23,MATCH($C596,基础资料!$E$4:$E$23,0)),IF($C596="","","未匹配账户"))</f>
        <v>双思威</v>
      </c>
      <c r="E596" s="39"/>
      <c r="F596" s="10"/>
      <c r="G596" s="10"/>
      <c r="H596" s="10"/>
      <c r="I596" s="10" t="s">
        <v>237</v>
      </c>
      <c r="J596" s="69" t="s">
        <v>512</v>
      </c>
      <c r="K596" s="25"/>
      <c r="L596" s="25">
        <v>1700</v>
      </c>
      <c r="M596" s="25">
        <f>IFERROR(VLOOKUP($C596,$C$5:$M$24,11,0)+SUMIF($C$25:$C596,$C596,$K$25:$K596)-SUMIF($C$25:$C596,$C596,$L$25:$L596),"")</f>
        <v>3393997.96</v>
      </c>
      <c r="N596" s="10"/>
      <c r="O596" s="10"/>
      <c r="P596" s="65"/>
      <c r="Q596" s="10"/>
      <c r="R596" s="10"/>
      <c r="S596" s="54">
        <f t="shared" si="27"/>
        <v>202604</v>
      </c>
      <c r="T596" s="54">
        <f t="shared" si="28"/>
        <v>202604</v>
      </c>
      <c r="U596" s="58" t="str">
        <f t="shared" si="29"/>
        <v/>
      </c>
      <c r="V596" s="58">
        <f>IF(AND($B596&lt;&gt;"",$F596&lt;&gt;"",$F596=项目明细账!$C$2),N(V595)+1,N(V595))</f>
        <v>0</v>
      </c>
      <c r="W596" s="63" t="str">
        <f>IF($H596&lt;&gt;"","项目成本",IFERROR(INDEX(基础资料!$W$4:$W$49,MATCH($I596,基础资料!$V$4:$V$49,0)),""))</f>
        <v>人工社保</v>
      </c>
      <c r="X596" s="63" t="str">
        <f>IFERROR(INDEX(基础资料!$R$4:$R$17,MATCH($G596,基础资料!$Q$4:$Q$17,0)),"")</f>
        <v/>
      </c>
    </row>
    <row r="597" spans="1:24">
      <c r="A597" s="58">
        <f>IF($B597="","",COUNTA($B$5:$B597))</f>
        <v>589</v>
      </c>
      <c r="B597" s="53">
        <v>46127</v>
      </c>
      <c r="C597" s="46" t="s">
        <v>80</v>
      </c>
      <c r="D597" s="63" t="str">
        <f>IFERROR(INDEX(基础资料!$F$4:$F$23,MATCH($C597,基础资料!$E$4:$E$23,0)),IF($C597="","","未匹配账户"))</f>
        <v>双思威</v>
      </c>
      <c r="E597" s="39"/>
      <c r="F597" s="10"/>
      <c r="G597" s="10"/>
      <c r="H597" s="10"/>
      <c r="I597" s="10" t="s">
        <v>237</v>
      </c>
      <c r="J597" s="69" t="s">
        <v>513</v>
      </c>
      <c r="K597" s="25"/>
      <c r="L597" s="25">
        <v>1200</v>
      </c>
      <c r="M597" s="25">
        <f>IFERROR(VLOOKUP($C597,$C$5:$M$24,11,0)+SUMIF($C$25:$C597,$C597,$K$25:$K597)-SUMIF($C$25:$C597,$C597,$L$25:$L597),"")</f>
        <v>3392797.96</v>
      </c>
      <c r="N597" s="10"/>
      <c r="O597" s="10"/>
      <c r="P597" s="65"/>
      <c r="Q597" s="10"/>
      <c r="R597" s="10"/>
      <c r="S597" s="54">
        <f t="shared" si="27"/>
        <v>202604</v>
      </c>
      <c r="T597" s="54">
        <f t="shared" si="28"/>
        <v>202604</v>
      </c>
      <c r="U597" s="58" t="str">
        <f t="shared" si="29"/>
        <v/>
      </c>
      <c r="V597" s="58">
        <f>IF(AND($B597&lt;&gt;"",$F597&lt;&gt;"",$F597=项目明细账!$C$2),N(V596)+1,N(V596))</f>
        <v>0</v>
      </c>
      <c r="W597" s="63" t="str">
        <f>IF($H597&lt;&gt;"","项目成本",IFERROR(INDEX(基础资料!$W$4:$W$49,MATCH($I597,基础资料!$V$4:$V$49,0)),""))</f>
        <v>人工社保</v>
      </c>
      <c r="X597" s="63" t="str">
        <f>IFERROR(INDEX(基础资料!$R$4:$R$17,MATCH($G597,基础资料!$Q$4:$Q$17,0)),"")</f>
        <v/>
      </c>
    </row>
    <row r="598" spans="1:24">
      <c r="A598" s="58">
        <f>IF($B598="","",COUNTA($B$5:$B598))</f>
        <v>590</v>
      </c>
      <c r="B598" s="53">
        <v>46127</v>
      </c>
      <c r="C598" s="46" t="s">
        <v>80</v>
      </c>
      <c r="D598" s="63" t="str">
        <f>IFERROR(INDEX(基础资料!$F$4:$F$23,MATCH($C598,基础资料!$E$4:$E$23,0)),IF($C598="","","未匹配账户"))</f>
        <v>双思威</v>
      </c>
      <c r="E598" s="39"/>
      <c r="F598" s="10"/>
      <c r="G598" s="10"/>
      <c r="H598" s="10"/>
      <c r="I598" s="10" t="s">
        <v>237</v>
      </c>
      <c r="J598" s="69" t="s">
        <v>515</v>
      </c>
      <c r="K598" s="25"/>
      <c r="L598" s="25">
        <v>600</v>
      </c>
      <c r="M598" s="25">
        <f>IFERROR(VLOOKUP($C598,$C$5:$M$24,11,0)+SUMIF($C$25:$C598,$C598,$K$25:$K598)-SUMIF($C$25:$C598,$C598,$L$25:$L598),"")</f>
        <v>3392197.96</v>
      </c>
      <c r="N598" s="10"/>
      <c r="O598" s="10"/>
      <c r="P598" s="65"/>
      <c r="Q598" s="10"/>
      <c r="R598" s="10"/>
      <c r="S598" s="54">
        <f t="shared" si="27"/>
        <v>202604</v>
      </c>
      <c r="T598" s="54">
        <f t="shared" si="28"/>
        <v>202604</v>
      </c>
      <c r="U598" s="58" t="str">
        <f t="shared" si="29"/>
        <v/>
      </c>
      <c r="V598" s="58">
        <f>IF(AND($B598&lt;&gt;"",$F598&lt;&gt;"",$F598=项目明细账!$C$2),N(V597)+1,N(V597))</f>
        <v>0</v>
      </c>
      <c r="W598" s="63" t="str">
        <f>IF($H598&lt;&gt;"","项目成本",IFERROR(INDEX(基础资料!$W$4:$W$49,MATCH($I598,基础资料!$V$4:$V$49,0)),""))</f>
        <v>人工社保</v>
      </c>
      <c r="X598" s="63" t="str">
        <f>IFERROR(INDEX(基础资料!$R$4:$R$17,MATCH($G598,基础资料!$Q$4:$Q$17,0)),"")</f>
        <v/>
      </c>
    </row>
    <row r="599" spans="1:24">
      <c r="A599" s="58">
        <f>IF($B599="","",COUNTA($B$5:$B599))</f>
        <v>591</v>
      </c>
      <c r="B599" s="53">
        <v>46127</v>
      </c>
      <c r="C599" s="46" t="s">
        <v>80</v>
      </c>
      <c r="D599" s="63" t="str">
        <f>IFERROR(INDEX(基础资料!$F$4:$F$23,MATCH($C599,基础资料!$E$4:$E$23,0)),IF($C599="","","未匹配账户"))</f>
        <v>双思威</v>
      </c>
      <c r="E599" s="39"/>
      <c r="F599" s="10"/>
      <c r="G599" s="10"/>
      <c r="H599" s="10"/>
      <c r="I599" s="10" t="s">
        <v>237</v>
      </c>
      <c r="J599" s="69" t="s">
        <v>516</v>
      </c>
      <c r="K599" s="25"/>
      <c r="L599" s="25">
        <v>1179.24</v>
      </c>
      <c r="M599" s="25">
        <f>IFERROR(VLOOKUP($C599,$C$5:$M$24,11,0)+SUMIF($C$25:$C599,$C599,$K$25:$K599)-SUMIF($C$25:$C599,$C599,$L$25:$L599),"")</f>
        <v>3391018.72</v>
      </c>
      <c r="N599" s="10"/>
      <c r="O599" s="10"/>
      <c r="P599" s="65"/>
      <c r="Q599" s="10"/>
      <c r="R599" s="10"/>
      <c r="S599" s="54">
        <f t="shared" si="27"/>
        <v>202604</v>
      </c>
      <c r="T599" s="54">
        <f t="shared" si="28"/>
        <v>202604</v>
      </c>
      <c r="U599" s="58" t="str">
        <f t="shared" si="29"/>
        <v/>
      </c>
      <c r="V599" s="58">
        <f>IF(AND($B599&lt;&gt;"",$F599&lt;&gt;"",$F599=项目明细账!$C$2),N(V598)+1,N(V598))</f>
        <v>0</v>
      </c>
      <c r="W599" s="63" t="str">
        <f>IF($H599&lt;&gt;"","项目成本",IFERROR(INDEX(基础资料!$W$4:$W$49,MATCH($I599,基础资料!$V$4:$V$49,0)),""))</f>
        <v>人工社保</v>
      </c>
      <c r="X599" s="63" t="str">
        <f>IFERROR(INDEX(基础资料!$R$4:$R$17,MATCH($G599,基础资料!$Q$4:$Q$17,0)),"")</f>
        <v/>
      </c>
    </row>
    <row r="600" spans="1:24">
      <c r="A600" s="58">
        <f>IF($B600="","",COUNTA($B$5:$B600))</f>
        <v>592</v>
      </c>
      <c r="B600" s="53">
        <v>46127</v>
      </c>
      <c r="C600" s="46" t="s">
        <v>80</v>
      </c>
      <c r="D600" s="63" t="str">
        <f>IFERROR(INDEX(基础资料!$F$4:$F$23,MATCH($C600,基础资料!$E$4:$E$23,0)),IF($C600="","","未匹配账户"))</f>
        <v>双思威</v>
      </c>
      <c r="E600" s="39"/>
      <c r="F600" s="10"/>
      <c r="G600" s="10"/>
      <c r="H600" s="10"/>
      <c r="I600" s="10" t="s">
        <v>237</v>
      </c>
      <c r="J600" s="69" t="s">
        <v>517</v>
      </c>
      <c r="K600" s="25"/>
      <c r="L600" s="25">
        <v>1000</v>
      </c>
      <c r="M600" s="25">
        <f>IFERROR(VLOOKUP($C600,$C$5:$M$24,11,0)+SUMIF($C$25:$C600,$C600,$K$25:$K600)-SUMIF($C$25:$C600,$C600,$L$25:$L600),"")</f>
        <v>3390018.72</v>
      </c>
      <c r="N600" s="10"/>
      <c r="O600" s="10"/>
      <c r="P600" s="65"/>
      <c r="Q600" s="10"/>
      <c r="R600" s="10"/>
      <c r="S600" s="54">
        <f t="shared" si="27"/>
        <v>202604</v>
      </c>
      <c r="T600" s="54">
        <f t="shared" si="28"/>
        <v>202604</v>
      </c>
      <c r="U600" s="58" t="str">
        <f t="shared" si="29"/>
        <v/>
      </c>
      <c r="V600" s="58">
        <f>IF(AND($B600&lt;&gt;"",$F600&lt;&gt;"",$F600=项目明细账!$C$2),N(V599)+1,N(V599))</f>
        <v>0</v>
      </c>
      <c r="W600" s="63" t="str">
        <f>IF($H600&lt;&gt;"","项目成本",IFERROR(INDEX(基础资料!$W$4:$W$49,MATCH($I600,基础资料!$V$4:$V$49,0)),""))</f>
        <v>人工社保</v>
      </c>
      <c r="X600" s="63" t="str">
        <f>IFERROR(INDEX(基础资料!$R$4:$R$17,MATCH($G600,基础资料!$Q$4:$Q$17,0)),"")</f>
        <v/>
      </c>
    </row>
    <row r="601" spans="1:24">
      <c r="A601" s="58">
        <f>IF($B601="","",COUNTA($B$5:$B601))</f>
        <v>593</v>
      </c>
      <c r="B601" s="53">
        <v>46132</v>
      </c>
      <c r="C601" s="46" t="s">
        <v>80</v>
      </c>
      <c r="D601" s="63" t="str">
        <f>IFERROR(INDEX(基础资料!$F$4:$F$23,MATCH($C601,基础资料!$E$4:$E$23,0)),IF($C601="","","未匹配账户"))</f>
        <v>双思威</v>
      </c>
      <c r="E601" s="39"/>
      <c r="F601" s="10"/>
      <c r="G601" s="10"/>
      <c r="H601" s="10"/>
      <c r="I601" s="10" t="s">
        <v>262</v>
      </c>
      <c r="J601" s="69" t="s">
        <v>522</v>
      </c>
      <c r="K601" s="25"/>
      <c r="L601" s="25">
        <v>18257.71</v>
      </c>
      <c r="M601" s="25">
        <f>IFERROR(VLOOKUP($C601,$C$5:$M$24,11,0)+SUMIF($C$25:$C601,$C601,$K$25:$K601)-SUMIF($C$25:$C601,$C601,$L$25:$L601),"")</f>
        <v>3371761.01</v>
      </c>
      <c r="N601" s="10"/>
      <c r="O601" s="10"/>
      <c r="P601" s="65"/>
      <c r="Q601" s="10"/>
      <c r="R601" s="10"/>
      <c r="S601" s="54">
        <f t="shared" si="27"/>
        <v>202604</v>
      </c>
      <c r="T601" s="54">
        <f t="shared" si="28"/>
        <v>202604</v>
      </c>
      <c r="U601" s="58" t="str">
        <f t="shared" si="29"/>
        <v/>
      </c>
      <c r="V601" s="58">
        <f>IF(AND($B601&lt;&gt;"",$F601&lt;&gt;"",$F601=项目明细账!$C$2),N(V600)+1,N(V600))</f>
        <v>0</v>
      </c>
      <c r="W601" s="63" t="str">
        <f>IF($H601&lt;&gt;"","项目成本",IFERROR(INDEX(基础资料!$W$4:$W$49,MATCH($I601,基础资料!$V$4:$V$49,0)),""))</f>
        <v>税费</v>
      </c>
      <c r="X601" s="63" t="str">
        <f>IFERROR(INDEX(基础资料!$R$4:$R$17,MATCH($G601,基础资料!$Q$4:$Q$17,0)),"")</f>
        <v/>
      </c>
    </row>
    <row r="602" spans="1:24">
      <c r="A602" s="58">
        <f>IF($B602="","",COUNTA($B$5:$B602))</f>
        <v>594</v>
      </c>
      <c r="B602" s="53">
        <v>46132</v>
      </c>
      <c r="C602" s="46" t="s">
        <v>80</v>
      </c>
      <c r="D602" s="63" t="str">
        <f>IFERROR(INDEX(基础资料!$F$4:$F$23,MATCH($C602,基础资料!$E$4:$E$23,0)),IF($C602="","","未匹配账户"))</f>
        <v>双思威</v>
      </c>
      <c r="E602" s="39"/>
      <c r="F602" s="10"/>
      <c r="G602" s="10"/>
      <c r="H602" s="10"/>
      <c r="I602" s="10" t="s">
        <v>267</v>
      </c>
      <c r="J602" s="69" t="s">
        <v>523</v>
      </c>
      <c r="K602" s="25"/>
      <c r="L602" s="25">
        <v>1095.45</v>
      </c>
      <c r="M602" s="25">
        <f>IFERROR(VLOOKUP($C602,$C$5:$M$24,11,0)+SUMIF($C$25:$C602,$C602,$K$25:$K602)-SUMIF($C$25:$C602,$C602,$L$25:$L602),"")</f>
        <v>3370665.56</v>
      </c>
      <c r="N602" s="10"/>
      <c r="O602" s="10"/>
      <c r="P602" s="65"/>
      <c r="Q602" s="10"/>
      <c r="R602" s="10"/>
      <c r="S602" s="54">
        <f t="shared" si="27"/>
        <v>202604</v>
      </c>
      <c r="T602" s="54">
        <f t="shared" si="28"/>
        <v>202604</v>
      </c>
      <c r="U602" s="58" t="str">
        <f t="shared" si="29"/>
        <v/>
      </c>
      <c r="V602" s="58">
        <f>IF(AND($B602&lt;&gt;"",$F602&lt;&gt;"",$F602=项目明细账!$C$2),N(V601)+1,N(V601))</f>
        <v>0</v>
      </c>
      <c r="W602" s="63" t="str">
        <f>IF($H602&lt;&gt;"","项目成本",IFERROR(INDEX(基础资料!$W$4:$W$49,MATCH($I602,基础资料!$V$4:$V$49,0)),""))</f>
        <v>税费</v>
      </c>
      <c r="X602" s="63" t="str">
        <f>IFERROR(INDEX(基础资料!$R$4:$R$17,MATCH($G602,基础资料!$Q$4:$Q$17,0)),"")</f>
        <v/>
      </c>
    </row>
    <row r="603" spans="1:24">
      <c r="A603" s="58">
        <f>IF($B603="","",COUNTA($B$5:$B603))</f>
        <v>595</v>
      </c>
      <c r="B603" s="53">
        <v>46132</v>
      </c>
      <c r="C603" s="46" t="s">
        <v>80</v>
      </c>
      <c r="D603" s="63" t="str">
        <f>IFERROR(INDEX(基础资料!$F$4:$F$23,MATCH($C603,基础资料!$E$4:$E$23,0)),IF($C603="","","未匹配账户"))</f>
        <v>双思威</v>
      </c>
      <c r="E603" s="39"/>
      <c r="F603" s="10"/>
      <c r="G603" s="10"/>
      <c r="H603" s="10"/>
      <c r="I603" s="10" t="s">
        <v>273</v>
      </c>
      <c r="J603" s="69" t="s">
        <v>597</v>
      </c>
      <c r="K603" s="25"/>
      <c r="L603" s="25">
        <v>11081.89</v>
      </c>
      <c r="M603" s="25">
        <f>IFERROR(VLOOKUP($C603,$C$5:$M$24,11,0)+SUMIF($C$25:$C603,$C603,$K$25:$K603)-SUMIF($C$25:$C603,$C603,$L$25:$L603),"")</f>
        <v>3359583.67</v>
      </c>
      <c r="N603" s="10"/>
      <c r="O603" s="10"/>
      <c r="P603" s="65"/>
      <c r="Q603" s="10"/>
      <c r="R603" s="10"/>
      <c r="S603" s="54">
        <f t="shared" si="27"/>
        <v>202604</v>
      </c>
      <c r="T603" s="54">
        <f t="shared" si="28"/>
        <v>202604</v>
      </c>
      <c r="U603" s="58" t="str">
        <f t="shared" si="29"/>
        <v/>
      </c>
      <c r="V603" s="58">
        <f>IF(AND($B603&lt;&gt;"",$F603&lt;&gt;"",$F603=项目明细账!$C$2),N(V602)+1,N(V602))</f>
        <v>0</v>
      </c>
      <c r="W603" s="63" t="str">
        <f>IF($H603&lt;&gt;"","项目成本",IFERROR(INDEX(基础资料!$W$4:$W$49,MATCH($I603,基础资料!$V$4:$V$49,0)),""))</f>
        <v>税费</v>
      </c>
      <c r="X603" s="63" t="str">
        <f>IFERROR(INDEX(基础资料!$R$4:$R$17,MATCH($G603,基础资料!$Q$4:$Q$17,0)),"")</f>
        <v/>
      </c>
    </row>
    <row r="604" spans="1:24">
      <c r="A604" s="58">
        <f>IF($B604="","",COUNTA($B$5:$B604))</f>
        <v>596</v>
      </c>
      <c r="B604" s="53">
        <v>46132</v>
      </c>
      <c r="C604" s="46" t="s">
        <v>80</v>
      </c>
      <c r="D604" s="63" t="str">
        <f>IFERROR(INDEX(基础资料!$F$4:$F$23,MATCH($C604,基础资料!$E$4:$E$23,0)),IF($C604="","","未匹配账户"))</f>
        <v>双思威</v>
      </c>
      <c r="E604" s="39"/>
      <c r="F604" s="10"/>
      <c r="G604" s="10"/>
      <c r="H604" s="10"/>
      <c r="I604" s="10" t="s">
        <v>270</v>
      </c>
      <c r="J604" s="69" t="s">
        <v>524</v>
      </c>
      <c r="K604" s="25"/>
      <c r="L604" s="25">
        <v>1338.13</v>
      </c>
      <c r="M604" s="25">
        <f>IFERROR(VLOOKUP($C604,$C$5:$M$24,11,0)+SUMIF($C$25:$C604,$C604,$K$25:$K604)-SUMIF($C$25:$C604,$C604,$L$25:$L604),"")</f>
        <v>3358245.54</v>
      </c>
      <c r="N604" s="10"/>
      <c r="O604" s="10"/>
      <c r="P604" s="65"/>
      <c r="Q604" s="10"/>
      <c r="R604" s="10"/>
      <c r="S604" s="54">
        <f t="shared" ref="S604:S609" si="30">IF($B604="","",--TEXT($B604,"yyyymm"))</f>
        <v>202604</v>
      </c>
      <c r="T604" s="54">
        <f t="shared" ref="T604:T609" si="31">IF($B604="","",IF($P604="",$S604,IFERROR($P604*1,$P604)))</f>
        <v>202604</v>
      </c>
      <c r="U604" s="58" t="str">
        <f t="shared" ref="U604:U609" si="32">IF($B604="","",IF($T604=$S604,"","跨期"))</f>
        <v/>
      </c>
      <c r="V604" s="58">
        <f>IF(AND($B604&lt;&gt;"",$F604&lt;&gt;"",$F604=项目明细账!$C$2),N(V603)+1,N(V603))</f>
        <v>0</v>
      </c>
      <c r="W604" s="63" t="str">
        <f>IF($H604&lt;&gt;"","项目成本",IFERROR(INDEX(基础资料!$W$4:$W$49,MATCH($I604,基础资料!$V$4:$V$49,0)),""))</f>
        <v>税费</v>
      </c>
      <c r="X604" s="63" t="str">
        <f>IFERROR(INDEX(基础资料!$R$4:$R$17,MATCH($G604,基础资料!$Q$4:$Q$17,0)),"")</f>
        <v/>
      </c>
    </row>
    <row r="605" spans="1:24">
      <c r="A605" s="58">
        <f>IF($B605="","",COUNTA($B$5:$B605))</f>
        <v>597</v>
      </c>
      <c r="B605" s="53">
        <v>46132</v>
      </c>
      <c r="C605" s="46" t="s">
        <v>80</v>
      </c>
      <c r="D605" s="63" t="str">
        <f>IFERROR(INDEX(基础资料!$F$4:$F$23,MATCH($C605,基础资料!$E$4:$E$23,0)),IF($C605="","","未匹配账户"))</f>
        <v>双思威</v>
      </c>
      <c r="E605" s="39"/>
      <c r="F605" s="10"/>
      <c r="G605" s="10"/>
      <c r="H605" s="10"/>
      <c r="I605" s="10"/>
      <c r="J605" s="74" t="s">
        <v>380</v>
      </c>
      <c r="K605" s="25">
        <v>41098.82</v>
      </c>
      <c r="L605" s="25"/>
      <c r="M605" s="25">
        <f>IFERROR(VLOOKUP($C605,$C$5:$M$24,11,0)+SUMIF($C$25:$C605,$C605,$K$25:$K605)-SUMIF($C$25:$C605,$C605,$L$25:$L605),"")</f>
        <v>3399344.36</v>
      </c>
      <c r="N605" s="10"/>
      <c r="O605" s="10"/>
      <c r="P605" s="65"/>
      <c r="Q605" s="10"/>
      <c r="R605" s="10"/>
      <c r="S605" s="54">
        <f t="shared" si="30"/>
        <v>202604</v>
      </c>
      <c r="T605" s="54">
        <f t="shared" si="31"/>
        <v>202604</v>
      </c>
      <c r="U605" s="58" t="str">
        <f t="shared" si="32"/>
        <v/>
      </c>
      <c r="V605" s="58">
        <f>IF(AND($B605&lt;&gt;"",$F605&lt;&gt;"",$F605=项目明细账!$C$2),N(V604)+1,N(V604))</f>
        <v>0</v>
      </c>
      <c r="W605" s="63" t="str">
        <f>IF($H605&lt;&gt;"","项目成本",IFERROR(INDEX(基础资料!$W$4:$W$49,MATCH($I605,基础资料!$V$4:$V$49,0)),""))</f>
        <v/>
      </c>
      <c r="X605" s="63" t="str">
        <f>IFERROR(INDEX(基础资料!$R$4:$R$17,MATCH($G605,基础资料!$Q$4:$Q$17,0)),"")</f>
        <v/>
      </c>
    </row>
    <row r="606" spans="1:24">
      <c r="A606" s="58">
        <f>IF($B606="","",COUNTA($B$5:$B606))</f>
        <v>598</v>
      </c>
      <c r="B606" s="53">
        <v>46132</v>
      </c>
      <c r="C606" s="46" t="s">
        <v>80</v>
      </c>
      <c r="D606" s="63" t="str">
        <f>IFERROR(INDEX(基础资料!$F$4:$F$23,MATCH($C606,基础资料!$E$4:$E$23,0)),IF($C606="","","未匹配账户"))</f>
        <v>双思威</v>
      </c>
      <c r="E606" s="39"/>
      <c r="F606" s="10"/>
      <c r="G606" s="10"/>
      <c r="H606" s="10"/>
      <c r="I606" s="10" t="s">
        <v>246</v>
      </c>
      <c r="J606" s="69" t="s">
        <v>729</v>
      </c>
      <c r="K606" s="25"/>
      <c r="L606" s="25">
        <v>19418.73</v>
      </c>
      <c r="M606" s="25">
        <f>IFERROR(VLOOKUP($C606,$C$5:$M$24,11,0)+SUMIF($C$25:$C606,$C606,$K$25:$K606)-SUMIF($C$25:$C606,$C606,$L$25:$L606),"")</f>
        <v>3379925.63</v>
      </c>
      <c r="N606" s="10"/>
      <c r="O606" s="10"/>
      <c r="P606" s="65"/>
      <c r="Q606" s="10"/>
      <c r="R606" s="10"/>
      <c r="S606" s="54">
        <f t="shared" si="30"/>
        <v>202604</v>
      </c>
      <c r="T606" s="54">
        <f t="shared" si="31"/>
        <v>202604</v>
      </c>
      <c r="U606" s="58" t="str">
        <f t="shared" si="32"/>
        <v/>
      </c>
      <c r="V606" s="58">
        <f>IF(AND($B606&lt;&gt;"",$F606&lt;&gt;"",$F606=项目明细账!$C$2),N(V605)+1,N(V605))</f>
        <v>0</v>
      </c>
      <c r="W606" s="63" t="str">
        <f>IF($H606&lt;&gt;"","项目成本",IFERROR(INDEX(基础资料!$W$4:$W$49,MATCH($I606,基础资料!$V$4:$V$49,0)),""))</f>
        <v>人工社保</v>
      </c>
      <c r="X606" s="63" t="str">
        <f>IFERROR(INDEX(基础资料!$R$4:$R$17,MATCH($G606,基础资料!$Q$4:$Q$17,0)),"")</f>
        <v/>
      </c>
    </row>
    <row r="607" spans="1:24">
      <c r="A607" s="58">
        <f>IF($B607="","",COUNTA($B$5:$B607))</f>
        <v>599</v>
      </c>
      <c r="B607" s="53">
        <v>46132</v>
      </c>
      <c r="C607" s="46" t="s">
        <v>80</v>
      </c>
      <c r="D607" s="63" t="str">
        <f>IFERROR(INDEX(基础资料!$F$4:$F$23,MATCH($C607,基础资料!$E$4:$E$23,0)),IF($C607="","","未匹配账户"))</f>
        <v>双思威</v>
      </c>
      <c r="E607" s="39"/>
      <c r="F607" s="10"/>
      <c r="G607" s="10"/>
      <c r="H607" s="10"/>
      <c r="I607" s="10" t="s">
        <v>248</v>
      </c>
      <c r="J607" s="69" t="s">
        <v>730</v>
      </c>
      <c r="K607" s="25"/>
      <c r="L607" s="25">
        <v>9039.14</v>
      </c>
      <c r="M607" s="25">
        <f>IFERROR(VLOOKUP($C607,$C$5:$M$24,11,0)+SUMIF($C$25:$C607,$C607,$K$25:$K607)-SUMIF($C$25:$C607,$C607,$L$25:$L607),"")</f>
        <v>3370886.49</v>
      </c>
      <c r="N607" s="10"/>
      <c r="O607" s="10"/>
      <c r="P607" s="65"/>
      <c r="Q607" s="10"/>
      <c r="R607" s="10"/>
      <c r="S607" s="54">
        <f t="shared" si="30"/>
        <v>202604</v>
      </c>
      <c r="T607" s="54">
        <f t="shared" si="31"/>
        <v>202604</v>
      </c>
      <c r="U607" s="58" t="str">
        <f t="shared" si="32"/>
        <v/>
      </c>
      <c r="V607" s="58">
        <f>IF(AND($B607&lt;&gt;"",$F607&lt;&gt;"",$F607=项目明细账!$C$2),N(V606)+1,N(V606))</f>
        <v>0</v>
      </c>
      <c r="W607" s="63" t="str">
        <f>IF($H607&lt;&gt;"","项目成本",IFERROR(INDEX(基础资料!$W$4:$W$49,MATCH($I607,基础资料!$V$4:$V$49,0)),""))</f>
        <v>人工社保</v>
      </c>
      <c r="X607" s="63" t="str">
        <f>IFERROR(INDEX(基础资料!$R$4:$R$17,MATCH($G607,基础资料!$Q$4:$Q$17,0)),"")</f>
        <v/>
      </c>
    </row>
    <row r="608" spans="1:24">
      <c r="A608" s="58">
        <f>IF($B608="","",COUNTA($B$5:$B608))</f>
        <v>600</v>
      </c>
      <c r="B608" s="53">
        <v>46139</v>
      </c>
      <c r="C608" s="46" t="s">
        <v>80</v>
      </c>
      <c r="D608" s="63" t="str">
        <f>IFERROR(INDEX(基础资料!$F$4:$F$23,MATCH($C608,基础资料!$E$4:$E$23,0)),IF($C608="","","未匹配账户"))</f>
        <v>双思威</v>
      </c>
      <c r="E608" s="39"/>
      <c r="F608" s="10" t="s">
        <v>382</v>
      </c>
      <c r="G608" s="10" t="s">
        <v>87</v>
      </c>
      <c r="H608" s="10"/>
      <c r="I608" s="10"/>
      <c r="J608" s="10" t="s">
        <v>658</v>
      </c>
      <c r="K608" s="25">
        <v>349800</v>
      </c>
      <c r="L608" s="25"/>
      <c r="M608" s="25">
        <f>IFERROR(VLOOKUP($C608,$C$5:$M$24,11,0)+SUMIF($C$25:$C608,$C608,$K$25:$K608)-SUMIF($C$25:$C608,$C608,$L$25:$L608),"")</f>
        <v>3720686.49</v>
      </c>
      <c r="N608" s="10"/>
      <c r="O608" s="10"/>
      <c r="P608" s="65"/>
      <c r="Q608" s="10"/>
      <c r="R608" s="10"/>
      <c r="S608" s="54">
        <f t="shared" si="30"/>
        <v>202604</v>
      </c>
      <c r="T608" s="54">
        <f t="shared" si="31"/>
        <v>202604</v>
      </c>
      <c r="U608" s="58" t="str">
        <f t="shared" si="32"/>
        <v/>
      </c>
      <c r="V608" s="58">
        <f>IF(AND($B608&lt;&gt;"",$F608&lt;&gt;"",$F608=项目明细账!$C$2),N(V607)+1,N(V607))</f>
        <v>0</v>
      </c>
      <c r="W608" s="63" t="str">
        <f>IF($H608&lt;&gt;"","项目成本",IFERROR(INDEX(基础资料!$W$4:$W$49,MATCH($I608,基础资料!$V$4:$V$49,0)),""))</f>
        <v/>
      </c>
      <c r="X608" s="63" t="str">
        <f>IFERROR(INDEX(基础资料!$R$4:$R$17,MATCH($G608,基础资料!$Q$4:$Q$17,0)),"")</f>
        <v>经营收入</v>
      </c>
    </row>
    <row r="609" spans="1:24">
      <c r="A609" s="58">
        <f>IF($B609="","",COUNTA($B$5:$B609))</f>
        <v>601</v>
      </c>
      <c r="B609" s="53">
        <v>46115</v>
      </c>
      <c r="C609" s="46" t="s">
        <v>99</v>
      </c>
      <c r="D609" s="63" t="str">
        <f>IFERROR(INDEX(基础资料!$F$4:$F$23,MATCH($C609,基础资料!$E$4:$E$23,0)),IF($C609="","","未匹配账户"))</f>
        <v>双思威</v>
      </c>
      <c r="E609" s="39"/>
      <c r="F609" s="10" t="s">
        <v>83</v>
      </c>
      <c r="G609" s="10"/>
      <c r="H609" s="10" t="s">
        <v>530</v>
      </c>
      <c r="I609" s="10"/>
      <c r="J609" s="71" t="s">
        <v>790</v>
      </c>
      <c r="K609" s="25"/>
      <c r="L609" s="25">
        <v>930</v>
      </c>
      <c r="M609" s="25">
        <f>IFERROR(VLOOKUP($C609,$C$5:$M$24,11,0)+SUMIF($C$25:$C609,$C609,$K$25:$K609)-SUMIF($C$25:$C609,$C609,$L$25:$L609),"")</f>
        <v>4634252.04</v>
      </c>
      <c r="N609" s="10"/>
      <c r="O609" s="10"/>
      <c r="P609" s="65"/>
      <c r="Q609" s="10"/>
      <c r="R609" s="10"/>
      <c r="S609" s="54">
        <f t="shared" si="30"/>
        <v>202604</v>
      </c>
      <c r="T609" s="54">
        <f t="shared" si="31"/>
        <v>202604</v>
      </c>
      <c r="U609" s="58" t="str">
        <f t="shared" si="32"/>
        <v/>
      </c>
      <c r="V609" s="58">
        <f>IF(AND($B609&lt;&gt;"",$F609&lt;&gt;"",$F609=项目明细账!$C$2),N(V608)+1,N(V608))</f>
        <v>0</v>
      </c>
      <c r="W609" s="63" t="str">
        <f>IF($H609&lt;&gt;"","项目成本",IFERROR(INDEX(基础资料!$W$4:$W$49,MATCH($I609,基础资料!$V$4:$V$49,0)),""))</f>
        <v>项目成本</v>
      </c>
      <c r="X609" s="63" t="str">
        <f>IFERROR(INDEX(基础资料!$R$4:$R$17,MATCH($G609,基础资料!$Q$4:$Q$17,0)),"")</f>
        <v/>
      </c>
    </row>
    <row r="610" spans="1:24">
      <c r="A610" s="58">
        <f>IF($B610="","",COUNTA($B$5:$B610))</f>
        <v>602</v>
      </c>
      <c r="B610" s="53">
        <v>46115</v>
      </c>
      <c r="C610" s="46" t="s">
        <v>99</v>
      </c>
      <c r="D610" s="63" t="str">
        <f>IFERROR(INDEX(基础资料!$F$4:$F$23,MATCH($C610,基础资料!$E$4:$E$23,0)),IF($C610="","","未匹配账户"))</f>
        <v>双思威</v>
      </c>
      <c r="E610" s="39"/>
      <c r="F610" s="10" t="s">
        <v>287</v>
      </c>
      <c r="G610" s="10"/>
      <c r="H610" s="10" t="s">
        <v>530</v>
      </c>
      <c r="I610" s="10"/>
      <c r="J610" s="71" t="s">
        <v>790</v>
      </c>
      <c r="K610" s="25"/>
      <c r="L610" s="25">
        <v>930</v>
      </c>
      <c r="M610" s="25">
        <f>IFERROR(VLOOKUP($C610,$C$5:$M$24,11,0)+SUMIF($C$25:$C610,$C610,$K$25:$K610)-SUMIF($C$25:$C610,$C610,$L$25:$L610),"")</f>
        <v>4633322.04</v>
      </c>
      <c r="N610" s="10"/>
      <c r="O610" s="10"/>
      <c r="P610" s="65"/>
      <c r="Q610" s="10"/>
      <c r="R610" s="10"/>
      <c r="S610" s="54">
        <f t="shared" ref="S610:S646" si="33">IF($B610="","",--TEXT($B610,"yyyymm"))</f>
        <v>202604</v>
      </c>
      <c r="T610" s="54">
        <f t="shared" ref="T610:T646" si="34">IF($B610="","",IF($P610="",$S610,IFERROR($P610*1,$P610)))</f>
        <v>202604</v>
      </c>
      <c r="U610" s="58" t="str">
        <f t="shared" ref="U610:U646" si="35">IF($B610="","",IF($T610=$S610,"","跨期"))</f>
        <v/>
      </c>
      <c r="V610" s="58">
        <f>IF(AND($B610&lt;&gt;"",$F610&lt;&gt;"",$F610=项目明细账!$C$2),N(V608)+1,N(V608))</f>
        <v>0</v>
      </c>
      <c r="W610" s="63" t="str">
        <f>IF($H610&lt;&gt;"","项目成本",IFERROR(INDEX(基础资料!$W$4:$W$49,MATCH($I610,基础资料!$V$4:$V$49,0)),""))</f>
        <v>项目成本</v>
      </c>
      <c r="X610" s="63" t="str">
        <f>IFERROR(INDEX(基础资料!$R$4:$R$17,MATCH($G610,基础资料!$Q$4:$Q$17,0)),"")</f>
        <v/>
      </c>
    </row>
    <row r="611" spans="1:24">
      <c r="A611" s="58">
        <f>IF($B611="","",COUNTA($B$5:$B611))</f>
        <v>603</v>
      </c>
      <c r="B611" s="53">
        <v>46115</v>
      </c>
      <c r="C611" s="46" t="s">
        <v>99</v>
      </c>
      <c r="D611" s="63" t="str">
        <f>IFERROR(INDEX(基础资料!$F$4:$F$23,MATCH($C611,基础资料!$E$4:$E$23,0)),IF($C611="","","未匹配账户"))</f>
        <v>双思威</v>
      </c>
      <c r="E611" s="39"/>
      <c r="F611" s="10" t="s">
        <v>83</v>
      </c>
      <c r="G611" s="10"/>
      <c r="H611" s="10" t="s">
        <v>530</v>
      </c>
      <c r="I611" s="10"/>
      <c r="J611" s="71" t="s">
        <v>668</v>
      </c>
      <c r="K611" s="25"/>
      <c r="L611" s="25">
        <v>47500</v>
      </c>
      <c r="M611" s="25">
        <f>IFERROR(VLOOKUP($C611,$C$5:$M$24,11,0)+SUMIF($C$25:$C611,$C611,$K$25:$K611)-SUMIF($C$25:$C611,$C611,$L$25:$L611),"")</f>
        <v>4585822.04</v>
      </c>
      <c r="N611" s="10"/>
      <c r="O611" s="10"/>
      <c r="P611" s="65"/>
      <c r="Q611" s="10"/>
      <c r="R611" s="10"/>
      <c r="S611" s="54">
        <f t="shared" si="33"/>
        <v>202604</v>
      </c>
      <c r="T611" s="54">
        <f t="shared" si="34"/>
        <v>202604</v>
      </c>
      <c r="U611" s="58" t="str">
        <f t="shared" si="35"/>
        <v/>
      </c>
      <c r="V611" s="58">
        <f>IF(AND($B611&lt;&gt;"",$F611&lt;&gt;"",$F611=项目明细账!$C$2),N(V610)+1,N(V610))</f>
        <v>0</v>
      </c>
      <c r="W611" s="63" t="str">
        <f>IF($H611&lt;&gt;"","项目成本",IFERROR(INDEX(基础资料!$W$4:$W$49,MATCH($I611,基础资料!$V$4:$V$49,0)),""))</f>
        <v>项目成本</v>
      </c>
      <c r="X611" s="63" t="str">
        <f>IFERROR(INDEX(基础资料!$R$4:$R$17,MATCH($G611,基础资料!$Q$4:$Q$17,0)),"")</f>
        <v/>
      </c>
    </row>
    <row r="612" spans="1:24">
      <c r="A612" s="58">
        <f>IF($B612="","",COUNTA($B$5:$B612))</f>
        <v>604</v>
      </c>
      <c r="B612" s="53">
        <v>46115</v>
      </c>
      <c r="C612" s="46" t="s">
        <v>99</v>
      </c>
      <c r="D612" s="63" t="str">
        <f>IFERROR(INDEX(基础资料!$F$4:$F$23,MATCH($C612,基础资料!$E$4:$E$23,0)),IF($C612="","","未匹配账户"))</f>
        <v>双思威</v>
      </c>
      <c r="E612" s="39"/>
      <c r="F612" s="10" t="s">
        <v>367</v>
      </c>
      <c r="G612" s="10"/>
      <c r="H612" s="10" t="s">
        <v>530</v>
      </c>
      <c r="I612" s="10"/>
      <c r="J612" s="71" t="s">
        <v>791</v>
      </c>
      <c r="K612" s="25"/>
      <c r="L612" s="25">
        <v>138000</v>
      </c>
      <c r="M612" s="25">
        <f>IFERROR(VLOOKUP($C612,$C$5:$M$24,11,0)+SUMIF($C$25:$C612,$C612,$K$25:$K612)-SUMIF($C$25:$C612,$C612,$L$25:$L612),"")</f>
        <v>4447822.04</v>
      </c>
      <c r="N612" s="10"/>
      <c r="O612" s="10"/>
      <c r="P612" s="65"/>
      <c r="Q612" s="10"/>
      <c r="R612" s="10"/>
      <c r="S612" s="54">
        <f t="shared" si="33"/>
        <v>202604</v>
      </c>
      <c r="T612" s="54">
        <f t="shared" si="34"/>
        <v>202604</v>
      </c>
      <c r="U612" s="58" t="str">
        <f t="shared" si="35"/>
        <v/>
      </c>
      <c r="V612" s="58">
        <f>IF(AND($B612&lt;&gt;"",$F612&lt;&gt;"",$F612=项目明细账!$C$2),N(V611)+1,N(V611))</f>
        <v>0</v>
      </c>
      <c r="W612" s="63" t="str">
        <f>IF($H612&lt;&gt;"","项目成本",IFERROR(INDEX(基础资料!$W$4:$W$49,MATCH($I612,基础资料!$V$4:$V$49,0)),""))</f>
        <v>项目成本</v>
      </c>
      <c r="X612" s="63" t="str">
        <f>IFERROR(INDEX(基础资料!$R$4:$R$17,MATCH($G612,基础资料!$Q$4:$Q$17,0)),"")</f>
        <v/>
      </c>
    </row>
    <row r="613" spans="1:24">
      <c r="A613" s="58">
        <f>IF($B613="","",COUNTA($B$5:$B613))</f>
        <v>605</v>
      </c>
      <c r="B613" s="53">
        <v>46115</v>
      </c>
      <c r="C613" s="46" t="s">
        <v>99</v>
      </c>
      <c r="D613" s="63" t="str">
        <f>IFERROR(INDEX(基础资料!$F$4:$F$23,MATCH($C613,基础资料!$E$4:$E$23,0)),IF($C613="","","未匹配账户"))</f>
        <v>双思威</v>
      </c>
      <c r="E613" s="39"/>
      <c r="F613" s="10" t="s">
        <v>384</v>
      </c>
      <c r="G613" s="10"/>
      <c r="H613" s="10" t="s">
        <v>530</v>
      </c>
      <c r="I613" s="10"/>
      <c r="J613" s="70" t="s">
        <v>792</v>
      </c>
      <c r="K613" s="25"/>
      <c r="L613" s="25">
        <v>14968</v>
      </c>
      <c r="M613" s="25">
        <f>IFERROR(VLOOKUP($C613,$C$5:$M$24,11,0)+SUMIF($C$25:$C613,$C613,$K$25:$K613)-SUMIF($C$25:$C613,$C613,$L$25:$L613),"")</f>
        <v>4432854.04</v>
      </c>
      <c r="N613" s="10"/>
      <c r="O613" s="10"/>
      <c r="P613" s="65"/>
      <c r="Q613" s="10"/>
      <c r="R613" s="10"/>
      <c r="S613" s="54">
        <f t="shared" si="33"/>
        <v>202604</v>
      </c>
      <c r="T613" s="54">
        <f t="shared" si="34"/>
        <v>202604</v>
      </c>
      <c r="U613" s="58" t="str">
        <f t="shared" si="35"/>
        <v/>
      </c>
      <c r="V613" s="58">
        <f>IF(AND($B613&lt;&gt;"",$F613&lt;&gt;"",$F613=项目明细账!$C$2),N(V612)+1,N(V612))</f>
        <v>0</v>
      </c>
      <c r="W613" s="63" t="str">
        <f>IF($H613&lt;&gt;"","项目成本",IFERROR(INDEX(基础资料!$W$4:$W$49,MATCH($I613,基础资料!$V$4:$V$49,0)),""))</f>
        <v>项目成本</v>
      </c>
      <c r="X613" s="63" t="str">
        <f>IFERROR(INDEX(基础资料!$R$4:$R$17,MATCH($G613,基础资料!$Q$4:$Q$17,0)),"")</f>
        <v/>
      </c>
    </row>
    <row r="614" spans="1:24">
      <c r="A614" s="58">
        <f>IF($B614="","",COUNTA($B$5:$B614))</f>
        <v>606</v>
      </c>
      <c r="B614" s="53">
        <v>46116</v>
      </c>
      <c r="C614" s="46" t="s">
        <v>99</v>
      </c>
      <c r="D614" s="63" t="str">
        <f>IFERROR(INDEX(基础资料!$F$4:$F$23,MATCH($C614,基础资料!$E$4:$E$23,0)),IF($C614="","","未匹配账户"))</f>
        <v>双思威</v>
      </c>
      <c r="E614" s="39"/>
      <c r="F614" s="10"/>
      <c r="G614" s="10"/>
      <c r="H614" s="10"/>
      <c r="I614" s="10" t="s">
        <v>234</v>
      </c>
      <c r="J614" s="71" t="s">
        <v>692</v>
      </c>
      <c r="K614" s="25"/>
      <c r="L614" s="25">
        <v>1000</v>
      </c>
      <c r="M614" s="25">
        <f>IFERROR(VLOOKUP($C614,$C$5:$M$24,11,0)+SUMIF($C$25:$C614,$C614,$K$25:$K614)-SUMIF($C$25:$C614,$C614,$L$25:$L614),"")</f>
        <v>4431854.04</v>
      </c>
      <c r="N614" s="10"/>
      <c r="O614" s="10"/>
      <c r="P614" s="65"/>
      <c r="Q614" s="10"/>
      <c r="R614" s="10"/>
      <c r="S614" s="54">
        <f t="shared" si="33"/>
        <v>202604</v>
      </c>
      <c r="T614" s="54">
        <f t="shared" si="34"/>
        <v>202604</v>
      </c>
      <c r="U614" s="58" t="str">
        <f t="shared" si="35"/>
        <v/>
      </c>
      <c r="V614" s="58">
        <f>IF(AND($B614&lt;&gt;"",$F614&lt;&gt;"",$F614=项目明细账!$C$2),N(V613)+1,N(V613))</f>
        <v>0</v>
      </c>
      <c r="W614" s="63" t="str">
        <f>IF($H614&lt;&gt;"","项目成本",IFERROR(INDEX(基础资料!$W$4:$W$49,MATCH($I614,基础资料!$V$4:$V$49,0)),""))</f>
        <v>管理费用</v>
      </c>
      <c r="X614" s="63" t="str">
        <f>IFERROR(INDEX(基础资料!$R$4:$R$17,MATCH($G614,基础资料!$Q$4:$Q$17,0)),"")</f>
        <v/>
      </c>
    </row>
    <row r="615" spans="1:24">
      <c r="A615" s="58">
        <f>IF($B615="","",COUNTA($B$5:$B615))</f>
        <v>607</v>
      </c>
      <c r="B615" s="53">
        <v>46119</v>
      </c>
      <c r="C615" s="46" t="s">
        <v>99</v>
      </c>
      <c r="D615" s="63" t="str">
        <f>IFERROR(INDEX(基础资料!$F$4:$F$23,MATCH($C615,基础资料!$E$4:$E$23,0)),IF($C615="","","未匹配账户"))</f>
        <v>双思威</v>
      </c>
      <c r="E615" s="39"/>
      <c r="F615" s="10" t="s">
        <v>367</v>
      </c>
      <c r="G615" s="10"/>
      <c r="H615" s="10" t="s">
        <v>530</v>
      </c>
      <c r="I615" s="10"/>
      <c r="J615" s="71" t="s">
        <v>735</v>
      </c>
      <c r="K615" s="25"/>
      <c r="L615" s="25">
        <v>1200</v>
      </c>
      <c r="M615" s="25">
        <f>IFERROR(VLOOKUP($C615,$C$5:$M$24,11,0)+SUMIF($C$25:$C615,$C615,$K$25:$K615)-SUMIF($C$25:$C615,$C615,$L$25:$L615),"")</f>
        <v>4430654.04</v>
      </c>
      <c r="N615" s="10"/>
      <c r="O615" s="10"/>
      <c r="P615" s="65"/>
      <c r="Q615" s="10"/>
      <c r="R615" s="10"/>
      <c r="S615" s="54">
        <f t="shared" si="33"/>
        <v>202604</v>
      </c>
      <c r="T615" s="54">
        <f t="shared" si="34"/>
        <v>202604</v>
      </c>
      <c r="U615" s="58" t="str">
        <f t="shared" si="35"/>
        <v/>
      </c>
      <c r="V615" s="58">
        <f>IF(AND($B615&lt;&gt;"",$F615&lt;&gt;"",$F615=项目明细账!$C$2),N(V614)+1,N(V614))</f>
        <v>0</v>
      </c>
      <c r="W615" s="63" t="str">
        <f>IF($H615&lt;&gt;"","项目成本",IFERROR(INDEX(基础资料!$W$4:$W$49,MATCH($I615,基础资料!$V$4:$V$49,0)),""))</f>
        <v>项目成本</v>
      </c>
      <c r="X615" s="63" t="str">
        <f>IFERROR(INDEX(基础资料!$R$4:$R$17,MATCH($G615,基础资料!$Q$4:$Q$17,0)),"")</f>
        <v/>
      </c>
    </row>
    <row r="616" spans="1:24">
      <c r="A616" s="58">
        <f>IF($B616="","",COUNTA($B$5:$B616))</f>
        <v>608</v>
      </c>
      <c r="B616" s="53">
        <v>46119</v>
      </c>
      <c r="C616" s="46" t="s">
        <v>99</v>
      </c>
      <c r="D616" s="63" t="str">
        <f>IFERROR(INDEX(基础资料!$F$4:$F$23,MATCH($C616,基础资料!$E$4:$E$23,0)),IF($C616="","","未匹配账户"))</f>
        <v>双思威</v>
      </c>
      <c r="E616" s="39"/>
      <c r="F616" s="10"/>
      <c r="G616" s="10"/>
      <c r="H616" s="10"/>
      <c r="I616" s="10" t="s">
        <v>234</v>
      </c>
      <c r="J616" s="69" t="s">
        <v>536</v>
      </c>
      <c r="K616" s="25"/>
      <c r="L616" s="25">
        <v>2347</v>
      </c>
      <c r="M616" s="25">
        <f>IFERROR(VLOOKUP($C616,$C$5:$M$24,11,0)+SUMIF($C$25:$C616,$C616,$K$25:$K616)-SUMIF($C$25:$C616,$C616,$L$25:$L616),"")</f>
        <v>4428307.04</v>
      </c>
      <c r="N616" s="10"/>
      <c r="O616" s="10"/>
      <c r="P616" s="65"/>
      <c r="Q616" s="10"/>
      <c r="R616" s="10"/>
      <c r="S616" s="54">
        <f t="shared" si="33"/>
        <v>202604</v>
      </c>
      <c r="T616" s="54">
        <f t="shared" si="34"/>
        <v>202604</v>
      </c>
      <c r="U616" s="58" t="str">
        <f t="shared" si="35"/>
        <v/>
      </c>
      <c r="V616" s="58">
        <f>IF(AND($B616&lt;&gt;"",$F616&lt;&gt;"",$F616=项目明细账!$C$2),N(V615)+1,N(V615))</f>
        <v>0</v>
      </c>
      <c r="W616" s="63" t="str">
        <f>IF($H616&lt;&gt;"","项目成本",IFERROR(INDEX(基础资料!$W$4:$W$49,MATCH($I616,基础资料!$V$4:$V$49,0)),""))</f>
        <v>管理费用</v>
      </c>
      <c r="X616" s="63" t="str">
        <f>IFERROR(INDEX(基础资料!$R$4:$R$17,MATCH($G616,基础资料!$Q$4:$Q$17,0)),"")</f>
        <v/>
      </c>
    </row>
    <row r="617" spans="1:24">
      <c r="A617" s="58">
        <f>IF($B617="","",COUNTA($B$5:$B617))</f>
        <v>609</v>
      </c>
      <c r="B617" s="53">
        <v>46119</v>
      </c>
      <c r="C617" s="46" t="s">
        <v>99</v>
      </c>
      <c r="D617" s="63" t="str">
        <f>IFERROR(INDEX(基础资料!$F$4:$F$23,MATCH($C617,基础资料!$E$4:$E$23,0)),IF($C617="","","未匹配账户"))</f>
        <v>双思威</v>
      </c>
      <c r="E617" s="39"/>
      <c r="F617" s="10"/>
      <c r="G617" s="10"/>
      <c r="H617" s="10"/>
      <c r="I617" s="10" t="s">
        <v>234</v>
      </c>
      <c r="J617" s="70" t="s">
        <v>793</v>
      </c>
      <c r="K617" s="25"/>
      <c r="L617" s="25">
        <v>1800</v>
      </c>
      <c r="M617" s="25">
        <f>IFERROR(VLOOKUP($C617,$C$5:$M$24,11,0)+SUMIF($C$25:$C617,$C617,$K$25:$K617)-SUMIF($C$25:$C617,$C617,$L$25:$L617),"")</f>
        <v>4426507.04</v>
      </c>
      <c r="N617" s="10"/>
      <c r="O617" s="10"/>
      <c r="P617" s="65"/>
      <c r="Q617" s="10"/>
      <c r="R617" s="10"/>
      <c r="S617" s="54">
        <f t="shared" si="33"/>
        <v>202604</v>
      </c>
      <c r="T617" s="54">
        <f t="shared" si="34"/>
        <v>202604</v>
      </c>
      <c r="U617" s="58" t="str">
        <f t="shared" si="35"/>
        <v/>
      </c>
      <c r="V617" s="58">
        <f>IF(AND($B617&lt;&gt;"",$F617&lt;&gt;"",$F617=项目明细账!$C$2),N(V616)+1,N(V616))</f>
        <v>0</v>
      </c>
      <c r="W617" s="63" t="str">
        <f>IF($H617&lt;&gt;"","项目成本",IFERROR(INDEX(基础资料!$W$4:$W$49,MATCH($I617,基础资料!$V$4:$V$49,0)),""))</f>
        <v>管理费用</v>
      </c>
      <c r="X617" s="63" t="str">
        <f>IFERROR(INDEX(基础资料!$R$4:$R$17,MATCH($G617,基础资料!$Q$4:$Q$17,0)),"")</f>
        <v/>
      </c>
    </row>
    <row r="618" spans="1:24">
      <c r="A618" s="58">
        <f>IF($B618="","",COUNTA($B$5:$B618))</f>
        <v>610</v>
      </c>
      <c r="B618" s="53">
        <v>46120</v>
      </c>
      <c r="C618" s="46" t="s">
        <v>99</v>
      </c>
      <c r="D618" s="63" t="str">
        <f>IFERROR(INDEX(基础资料!$F$4:$F$23,MATCH($C618,基础资料!$E$4:$E$23,0)),IF($C618="","","未匹配账户"))</f>
        <v>双思威</v>
      </c>
      <c r="E618" s="39"/>
      <c r="F618" s="10" t="s">
        <v>83</v>
      </c>
      <c r="G618" s="10"/>
      <c r="H618" s="10" t="s">
        <v>538</v>
      </c>
      <c r="I618" s="10"/>
      <c r="J618" s="71" t="s">
        <v>567</v>
      </c>
      <c r="K618" s="25"/>
      <c r="L618" s="25">
        <v>1000</v>
      </c>
      <c r="M618" s="25">
        <f>IFERROR(VLOOKUP($C618,$C$5:$M$24,11,0)+SUMIF($C$25:$C618,$C618,$K$25:$K618)-SUMIF($C$25:$C618,$C618,$L$25:$L618),"")</f>
        <v>4425507.04</v>
      </c>
      <c r="N618" s="10"/>
      <c r="O618" s="10"/>
      <c r="P618" s="65"/>
      <c r="Q618" s="10"/>
      <c r="R618" s="10"/>
      <c r="S618" s="54">
        <f t="shared" si="33"/>
        <v>202604</v>
      </c>
      <c r="T618" s="54">
        <f t="shared" si="34"/>
        <v>202604</v>
      </c>
      <c r="U618" s="58" t="str">
        <f t="shared" si="35"/>
        <v/>
      </c>
      <c r="V618" s="58">
        <f>IF(AND($B618&lt;&gt;"",$F618&lt;&gt;"",$F618=项目明细账!$C$2),N(V617)+1,N(V617))</f>
        <v>0</v>
      </c>
      <c r="W618" s="63" t="str">
        <f>IF($H618&lt;&gt;"","项目成本",IFERROR(INDEX(基础资料!$W$4:$W$49,MATCH($I618,基础资料!$V$4:$V$49,0)),""))</f>
        <v>项目成本</v>
      </c>
      <c r="X618" s="63" t="str">
        <f>IFERROR(INDEX(基础资料!$R$4:$R$17,MATCH($G618,基础资料!$Q$4:$Q$17,0)),"")</f>
        <v/>
      </c>
    </row>
    <row r="619" spans="1:24">
      <c r="A619" s="58">
        <f>IF($B619="","",COUNTA($B$5:$B619))</f>
        <v>611</v>
      </c>
      <c r="B619" s="53">
        <v>46120</v>
      </c>
      <c r="C619" s="46" t="s">
        <v>99</v>
      </c>
      <c r="D619" s="63" t="str">
        <f>IFERROR(INDEX(基础资料!$F$4:$F$23,MATCH($C619,基础资料!$E$4:$E$23,0)),IF($C619="","","未匹配账户"))</f>
        <v>双思威</v>
      </c>
      <c r="E619" s="39"/>
      <c r="F619" s="10"/>
      <c r="G619" s="10"/>
      <c r="H619" s="10"/>
      <c r="I619" s="10" t="s">
        <v>234</v>
      </c>
      <c r="J619" s="69" t="s">
        <v>536</v>
      </c>
      <c r="K619" s="25"/>
      <c r="L619" s="25">
        <v>90</v>
      </c>
      <c r="M619" s="25">
        <f>IFERROR(VLOOKUP($C619,$C$5:$M$24,11,0)+SUMIF($C$25:$C619,$C619,$K$25:$K619)-SUMIF($C$25:$C619,$C619,$L$25:$L619),"")</f>
        <v>4425417.04</v>
      </c>
      <c r="N619" s="10"/>
      <c r="O619" s="10"/>
      <c r="P619" s="65"/>
      <c r="Q619" s="10"/>
      <c r="R619" s="10"/>
      <c r="S619" s="54">
        <f t="shared" si="33"/>
        <v>202604</v>
      </c>
      <c r="T619" s="54">
        <f t="shared" si="34"/>
        <v>202604</v>
      </c>
      <c r="U619" s="58" t="str">
        <f t="shared" si="35"/>
        <v/>
      </c>
      <c r="V619" s="58">
        <f>IF(AND($B619&lt;&gt;"",$F619&lt;&gt;"",$F619=项目明细账!$C$2),N(V618)+1,N(V618))</f>
        <v>0</v>
      </c>
      <c r="W619" s="63" t="str">
        <f>IF($H619&lt;&gt;"","项目成本",IFERROR(INDEX(基础资料!$W$4:$W$49,MATCH($I619,基础资料!$V$4:$V$49,0)),""))</f>
        <v>管理费用</v>
      </c>
      <c r="X619" s="63" t="str">
        <f>IFERROR(INDEX(基础资料!$R$4:$R$17,MATCH($G619,基础资料!$Q$4:$Q$17,0)),"")</f>
        <v/>
      </c>
    </row>
    <row r="620" spans="1:24">
      <c r="A620" s="58">
        <f>IF($B620="","",COUNTA($B$5:$B620))</f>
        <v>612</v>
      </c>
      <c r="B620" s="53">
        <v>46121</v>
      </c>
      <c r="C620" s="46" t="s">
        <v>99</v>
      </c>
      <c r="D620" s="63" t="str">
        <f>IFERROR(INDEX(基础资料!$F$4:$F$23,MATCH($C620,基础资料!$E$4:$E$23,0)),IF($C620="","","未匹配账户"))</f>
        <v>双思威</v>
      </c>
      <c r="E620" s="39"/>
      <c r="F620" s="10"/>
      <c r="G620" s="10"/>
      <c r="H620" s="10"/>
      <c r="I620" s="10" t="s">
        <v>234</v>
      </c>
      <c r="J620" s="70" t="s">
        <v>794</v>
      </c>
      <c r="K620" s="25"/>
      <c r="L620" s="25">
        <v>12000</v>
      </c>
      <c r="M620" s="25">
        <f>IFERROR(VLOOKUP($C620,$C$5:$M$24,11,0)+SUMIF($C$25:$C620,$C620,$K$25:$K620)-SUMIF($C$25:$C620,$C620,$L$25:$L620),"")</f>
        <v>4413417.04</v>
      </c>
      <c r="N620" s="10"/>
      <c r="O620" s="10"/>
      <c r="P620" s="65"/>
      <c r="Q620" s="10"/>
      <c r="R620" s="10"/>
      <c r="S620" s="54">
        <f t="shared" si="33"/>
        <v>202604</v>
      </c>
      <c r="T620" s="54">
        <f t="shared" si="34"/>
        <v>202604</v>
      </c>
      <c r="U620" s="58" t="str">
        <f t="shared" si="35"/>
        <v/>
      </c>
      <c r="V620" s="58">
        <f>IF(AND($B620&lt;&gt;"",$F620&lt;&gt;"",$F620=项目明细账!$C$2),N(V619)+1,N(V619))</f>
        <v>0</v>
      </c>
      <c r="W620" s="63" t="str">
        <f>IF($H620&lt;&gt;"","项目成本",IFERROR(INDEX(基础资料!$W$4:$W$49,MATCH($I620,基础资料!$V$4:$V$49,0)),""))</f>
        <v>管理费用</v>
      </c>
      <c r="X620" s="63" t="str">
        <f>IFERROR(INDEX(基础资料!$R$4:$R$17,MATCH($G620,基础资料!$Q$4:$Q$17,0)),"")</f>
        <v/>
      </c>
    </row>
    <row r="621" spans="1:24">
      <c r="A621" s="58">
        <f>IF($B621="","",COUNTA($B$5:$B621))</f>
        <v>613</v>
      </c>
      <c r="B621" s="53">
        <v>46121</v>
      </c>
      <c r="C621" s="46" t="s">
        <v>99</v>
      </c>
      <c r="D621" s="63" t="str">
        <f>IFERROR(INDEX(基础资料!$F$4:$F$23,MATCH($C621,基础资料!$E$4:$E$23,0)),IF($C621="","","未匹配账户"))</f>
        <v>双思威</v>
      </c>
      <c r="E621" s="39"/>
      <c r="F621" s="10"/>
      <c r="G621" s="10"/>
      <c r="H621" s="10"/>
      <c r="I621" s="10" t="s">
        <v>234</v>
      </c>
      <c r="J621" s="70" t="s">
        <v>795</v>
      </c>
      <c r="K621" s="25"/>
      <c r="L621" s="25">
        <v>3000</v>
      </c>
      <c r="M621" s="25">
        <f>IFERROR(VLOOKUP($C621,$C$5:$M$24,11,0)+SUMIF($C$25:$C621,$C621,$K$25:$K621)-SUMIF($C$25:$C621,$C621,$L$25:$L621),"")</f>
        <v>4410417.04</v>
      </c>
      <c r="N621" s="10"/>
      <c r="O621" s="10"/>
      <c r="P621" s="65"/>
      <c r="Q621" s="10"/>
      <c r="R621" s="10"/>
      <c r="S621" s="54">
        <f t="shared" si="33"/>
        <v>202604</v>
      </c>
      <c r="T621" s="54">
        <f t="shared" si="34"/>
        <v>202604</v>
      </c>
      <c r="U621" s="58" t="str">
        <f t="shared" si="35"/>
        <v/>
      </c>
      <c r="V621" s="58">
        <f>IF(AND($B621&lt;&gt;"",$F621&lt;&gt;"",$F621=项目明细账!$C$2),N(V620)+1,N(V620))</f>
        <v>0</v>
      </c>
      <c r="W621" s="63" t="str">
        <f>IF($H621&lt;&gt;"","项目成本",IFERROR(INDEX(基础资料!$W$4:$W$49,MATCH($I621,基础资料!$V$4:$V$49,0)),""))</f>
        <v>管理费用</v>
      </c>
      <c r="X621" s="63" t="str">
        <f>IFERROR(INDEX(基础资料!$R$4:$R$17,MATCH($G621,基础资料!$Q$4:$Q$17,0)),"")</f>
        <v/>
      </c>
    </row>
    <row r="622" spans="1:24">
      <c r="A622" s="58">
        <f>IF($B622="","",COUNTA($B$5:$B622))</f>
        <v>614</v>
      </c>
      <c r="B622" s="53">
        <v>46121</v>
      </c>
      <c r="C622" s="46" t="s">
        <v>99</v>
      </c>
      <c r="D622" s="63" t="str">
        <f>IFERROR(INDEX(基础资料!$F$4:$F$23,MATCH($C622,基础资料!$E$4:$E$23,0)),IF($C622="","","未匹配账户"))</f>
        <v>双思威</v>
      </c>
      <c r="E622" s="39"/>
      <c r="F622" s="10" t="s">
        <v>291</v>
      </c>
      <c r="G622" s="10"/>
      <c r="H622" s="10" t="s">
        <v>530</v>
      </c>
      <c r="I622" s="10"/>
      <c r="J622" s="70" t="s">
        <v>796</v>
      </c>
      <c r="K622" s="25"/>
      <c r="L622" s="25">
        <v>3570</v>
      </c>
      <c r="M622" s="25">
        <f>IFERROR(VLOOKUP($C622,$C$5:$M$24,11,0)+SUMIF($C$25:$C622,$C622,$K$25:$K622)-SUMIF($C$25:$C622,$C622,$L$25:$L622),"")</f>
        <v>4406847.04</v>
      </c>
      <c r="N622" s="10"/>
      <c r="O622" s="10"/>
      <c r="P622" s="65"/>
      <c r="Q622" s="10"/>
      <c r="R622" s="10"/>
      <c r="S622" s="54">
        <f t="shared" si="33"/>
        <v>202604</v>
      </c>
      <c r="T622" s="54">
        <f t="shared" si="34"/>
        <v>202604</v>
      </c>
      <c r="U622" s="58" t="str">
        <f t="shared" si="35"/>
        <v/>
      </c>
      <c r="V622" s="58">
        <f>IF(AND($B622&lt;&gt;"",$F622&lt;&gt;"",$F622=项目明细账!$C$2),N(V621)+1,N(V621))</f>
        <v>0</v>
      </c>
      <c r="W622" s="63" t="str">
        <f>IF($H622&lt;&gt;"","项目成本",IFERROR(INDEX(基础资料!$W$4:$W$49,MATCH($I622,基础资料!$V$4:$V$49,0)),""))</f>
        <v>项目成本</v>
      </c>
      <c r="X622" s="63" t="str">
        <f>IFERROR(INDEX(基础资料!$R$4:$R$17,MATCH($G622,基础资料!$Q$4:$Q$17,0)),"")</f>
        <v/>
      </c>
    </row>
    <row r="623" spans="1:24">
      <c r="A623" s="58">
        <f>IF($B623="","",COUNTA($B$5:$B623))</f>
        <v>615</v>
      </c>
      <c r="B623" s="53">
        <v>46121</v>
      </c>
      <c r="C623" s="46" t="s">
        <v>99</v>
      </c>
      <c r="D623" s="63" t="str">
        <f>IFERROR(INDEX(基础资料!$F$4:$F$23,MATCH($C623,基础资料!$E$4:$E$23,0)),IF($C623="","","未匹配账户"))</f>
        <v>双思威</v>
      </c>
      <c r="E623" s="39"/>
      <c r="F623" s="10" t="s">
        <v>291</v>
      </c>
      <c r="G623" s="10"/>
      <c r="H623" s="10" t="s">
        <v>530</v>
      </c>
      <c r="I623" s="10"/>
      <c r="J623" s="70" t="s">
        <v>797</v>
      </c>
      <c r="K623" s="25"/>
      <c r="L623" s="25">
        <v>15750</v>
      </c>
      <c r="M623" s="25">
        <f>IFERROR(VLOOKUP($C623,$C$5:$M$24,11,0)+SUMIF($C$25:$C623,$C623,$K$25:$K623)-SUMIF($C$25:$C623,$C623,$L$25:$L623),"")</f>
        <v>4391097.04</v>
      </c>
      <c r="N623" s="10"/>
      <c r="O623" s="10"/>
      <c r="P623" s="65"/>
      <c r="Q623" s="10"/>
      <c r="R623" s="10"/>
      <c r="S623" s="54">
        <f t="shared" si="33"/>
        <v>202604</v>
      </c>
      <c r="T623" s="54">
        <f t="shared" si="34"/>
        <v>202604</v>
      </c>
      <c r="U623" s="58" t="str">
        <f t="shared" si="35"/>
        <v/>
      </c>
      <c r="V623" s="58">
        <f>IF(AND($B623&lt;&gt;"",$F623&lt;&gt;"",$F623=项目明细账!$C$2),N(V622)+1,N(V622))</f>
        <v>0</v>
      </c>
      <c r="W623" s="63" t="str">
        <f>IF($H623&lt;&gt;"","项目成本",IFERROR(INDEX(基础资料!$W$4:$W$49,MATCH($I623,基础资料!$V$4:$V$49,0)),""))</f>
        <v>项目成本</v>
      </c>
      <c r="X623" s="63" t="str">
        <f>IFERROR(INDEX(基础资料!$R$4:$R$17,MATCH($G623,基础资料!$Q$4:$Q$17,0)),"")</f>
        <v/>
      </c>
    </row>
    <row r="624" spans="1:24">
      <c r="A624" s="58">
        <f>IF($B624="","",COUNTA($B$5:$B624))</f>
        <v>616</v>
      </c>
      <c r="B624" s="53">
        <v>46122</v>
      </c>
      <c r="C624" s="46" t="s">
        <v>99</v>
      </c>
      <c r="D624" s="63" t="str">
        <f>IFERROR(INDEX(基础资料!$F$4:$F$23,MATCH($C624,基础资料!$E$4:$E$23,0)),IF($C624="","","未匹配账户"))</f>
        <v>双思威</v>
      </c>
      <c r="E624" s="39"/>
      <c r="F624" s="10"/>
      <c r="G624" s="10"/>
      <c r="H624" s="10"/>
      <c r="I624" s="10" t="s">
        <v>234</v>
      </c>
      <c r="J624" s="69" t="s">
        <v>532</v>
      </c>
      <c r="K624" s="25"/>
      <c r="L624" s="25">
        <v>1536.07</v>
      </c>
      <c r="M624" s="25">
        <f>IFERROR(VLOOKUP($C624,$C$5:$M$24,11,0)+SUMIF($C$25:$C624,$C624,$K$25:$K624)-SUMIF($C$25:$C624,$C624,$L$25:$L624),"")</f>
        <v>4389560.97</v>
      </c>
      <c r="N624" s="10"/>
      <c r="O624" s="10"/>
      <c r="P624" s="65"/>
      <c r="Q624" s="10"/>
      <c r="R624" s="10"/>
      <c r="S624" s="54">
        <f t="shared" si="33"/>
        <v>202604</v>
      </c>
      <c r="T624" s="54">
        <f t="shared" si="34"/>
        <v>202604</v>
      </c>
      <c r="U624" s="58" t="str">
        <f t="shared" si="35"/>
        <v/>
      </c>
      <c r="V624" s="58">
        <f>IF(AND($B624&lt;&gt;"",$F624&lt;&gt;"",$F624=项目明细账!$C$2),N(V623)+1,N(V623))</f>
        <v>0</v>
      </c>
      <c r="W624" s="63" t="str">
        <f>IF($H624&lt;&gt;"","项目成本",IFERROR(INDEX(基础资料!$W$4:$W$49,MATCH($I624,基础资料!$V$4:$V$49,0)),""))</f>
        <v>管理费用</v>
      </c>
      <c r="X624" s="63" t="str">
        <f>IFERROR(INDEX(基础资料!$R$4:$R$17,MATCH($G624,基础资料!$Q$4:$Q$17,0)),"")</f>
        <v/>
      </c>
    </row>
    <row r="625" spans="1:24">
      <c r="A625" s="58">
        <f>IF($B625="","",COUNTA($B$5:$B625))</f>
        <v>617</v>
      </c>
      <c r="B625" s="53">
        <v>46122</v>
      </c>
      <c r="C625" s="46" t="s">
        <v>99</v>
      </c>
      <c r="D625" s="63" t="str">
        <f>IFERROR(INDEX(基础资料!$F$4:$F$23,MATCH($C625,基础资料!$E$4:$E$23,0)),IF($C625="","","未匹配账户"))</f>
        <v>双思威</v>
      </c>
      <c r="E625" s="39"/>
      <c r="F625" s="10" t="s">
        <v>128</v>
      </c>
      <c r="G625" s="10"/>
      <c r="H625" s="10" t="s">
        <v>538</v>
      </c>
      <c r="I625" s="10"/>
      <c r="J625" s="71" t="s">
        <v>798</v>
      </c>
      <c r="K625" s="25"/>
      <c r="L625" s="25">
        <v>1300</v>
      </c>
      <c r="M625" s="25">
        <f>IFERROR(VLOOKUP($C625,$C$5:$M$24,11,0)+SUMIF($C$25:$C625,$C625,$K$25:$K625)-SUMIF($C$25:$C625,$C625,$L$25:$L625),"")</f>
        <v>4388260.97</v>
      </c>
      <c r="N625" s="10"/>
      <c r="O625" s="10"/>
      <c r="P625" s="65"/>
      <c r="Q625" s="10"/>
      <c r="R625" s="10"/>
      <c r="S625" s="54">
        <f t="shared" si="33"/>
        <v>202604</v>
      </c>
      <c r="T625" s="54">
        <f t="shared" si="34"/>
        <v>202604</v>
      </c>
      <c r="U625" s="58" t="str">
        <f t="shared" si="35"/>
        <v/>
      </c>
      <c r="V625" s="58">
        <f>IF(AND($B625&lt;&gt;"",$F625&lt;&gt;"",$F625=项目明细账!$C$2),N(V624)+1,N(V624))</f>
        <v>0</v>
      </c>
      <c r="W625" s="63" t="str">
        <f>IF($H625&lt;&gt;"","项目成本",IFERROR(INDEX(基础资料!$W$4:$W$49,MATCH($I625,基础资料!$V$4:$V$49,0)),""))</f>
        <v>项目成本</v>
      </c>
      <c r="X625" s="63" t="str">
        <f>IFERROR(INDEX(基础资料!$R$4:$R$17,MATCH($G625,基础资料!$Q$4:$Q$17,0)),"")</f>
        <v/>
      </c>
    </row>
    <row r="626" spans="1:24">
      <c r="A626" s="58">
        <f>IF($B626="","",COUNTA($B$5:$B626))</f>
        <v>618</v>
      </c>
      <c r="B626" s="53">
        <v>46122</v>
      </c>
      <c r="C626" s="46" t="s">
        <v>99</v>
      </c>
      <c r="D626" s="63" t="str">
        <f>IFERROR(INDEX(基础资料!$F$4:$F$23,MATCH($C626,基础资料!$E$4:$E$23,0)),IF($C626="","","未匹配账户"))</f>
        <v>双思威</v>
      </c>
      <c r="E626" s="39"/>
      <c r="F626" s="10" t="s">
        <v>291</v>
      </c>
      <c r="G626" s="10"/>
      <c r="H626" s="10" t="s">
        <v>530</v>
      </c>
      <c r="I626" s="10"/>
      <c r="J626" s="70" t="s">
        <v>799</v>
      </c>
      <c r="K626" s="25"/>
      <c r="L626" s="25">
        <v>4219</v>
      </c>
      <c r="M626" s="25">
        <f>IFERROR(VLOOKUP($C626,$C$5:$M$24,11,0)+SUMIF($C$25:$C626,$C626,$K$25:$K626)-SUMIF($C$25:$C626,$C626,$L$25:$L626),"")</f>
        <v>4384041.97</v>
      </c>
      <c r="N626" s="10"/>
      <c r="O626" s="10"/>
      <c r="P626" s="65"/>
      <c r="Q626" s="10"/>
      <c r="R626" s="10"/>
      <c r="S626" s="54">
        <f t="shared" si="33"/>
        <v>202604</v>
      </c>
      <c r="T626" s="54">
        <f t="shared" si="34"/>
        <v>202604</v>
      </c>
      <c r="U626" s="58" t="str">
        <f t="shared" si="35"/>
        <v/>
      </c>
      <c r="V626" s="58">
        <f>IF(AND($B626&lt;&gt;"",$F626&lt;&gt;"",$F626=项目明细账!$C$2),N(V625)+1,N(V625))</f>
        <v>0</v>
      </c>
      <c r="W626" s="63" t="str">
        <f>IF($H626&lt;&gt;"","项目成本",IFERROR(INDEX(基础资料!$W$4:$W$49,MATCH($I626,基础资料!$V$4:$V$49,0)),""))</f>
        <v>项目成本</v>
      </c>
      <c r="X626" s="63" t="str">
        <f>IFERROR(INDEX(基础资料!$R$4:$R$17,MATCH($G626,基础资料!$Q$4:$Q$17,0)),"")</f>
        <v/>
      </c>
    </row>
    <row r="627" spans="1:24">
      <c r="A627" s="58">
        <f>IF($B627="","",COUNTA($B$5:$B627))</f>
        <v>619</v>
      </c>
      <c r="B627" s="53">
        <v>46122</v>
      </c>
      <c r="C627" s="46" t="s">
        <v>99</v>
      </c>
      <c r="D627" s="63" t="str">
        <f>IFERROR(INDEX(基础资料!$F$4:$F$23,MATCH($C627,基础资料!$E$4:$E$23,0)),IF($C627="","","未匹配账户"))</f>
        <v>双思威</v>
      </c>
      <c r="E627" s="39"/>
      <c r="F627" s="10"/>
      <c r="G627" s="10"/>
      <c r="H627" s="10"/>
      <c r="I627" s="10" t="s">
        <v>234</v>
      </c>
      <c r="J627" s="70" t="s">
        <v>800</v>
      </c>
      <c r="K627" s="25"/>
      <c r="L627" s="25">
        <v>52</v>
      </c>
      <c r="M627" s="25">
        <f>IFERROR(VLOOKUP($C627,$C$5:$M$24,11,0)+SUMIF($C$25:$C627,$C627,$K$25:$K627)-SUMIF($C$25:$C627,$C627,$L$25:$L627),"")</f>
        <v>4383989.97</v>
      </c>
      <c r="N627" s="10"/>
      <c r="O627" s="10"/>
      <c r="P627" s="65"/>
      <c r="Q627" s="10"/>
      <c r="R627" s="10"/>
      <c r="S627" s="54">
        <f t="shared" si="33"/>
        <v>202604</v>
      </c>
      <c r="T627" s="54">
        <f t="shared" si="34"/>
        <v>202604</v>
      </c>
      <c r="U627" s="58" t="str">
        <f t="shared" si="35"/>
        <v/>
      </c>
      <c r="V627" s="58">
        <f>IF(AND($B627&lt;&gt;"",$F627&lt;&gt;"",$F627=项目明细账!$C$2),N(V626)+1,N(V626))</f>
        <v>0</v>
      </c>
      <c r="W627" s="63" t="str">
        <f>IF($H627&lt;&gt;"","项目成本",IFERROR(INDEX(基础资料!$W$4:$W$49,MATCH($I627,基础资料!$V$4:$V$49,0)),""))</f>
        <v>管理费用</v>
      </c>
      <c r="X627" s="63" t="str">
        <f>IFERROR(INDEX(基础资料!$R$4:$R$17,MATCH($G627,基础资料!$Q$4:$Q$17,0)),"")</f>
        <v/>
      </c>
    </row>
    <row r="628" spans="1:24">
      <c r="A628" s="58">
        <f>IF($B628="","",COUNTA($B$5:$B628))</f>
        <v>620</v>
      </c>
      <c r="B628" s="53">
        <v>46122</v>
      </c>
      <c r="C628" s="46" t="s">
        <v>99</v>
      </c>
      <c r="D628" s="63" t="str">
        <f>IFERROR(INDEX(基础资料!$F$4:$F$23,MATCH($C628,基础资料!$E$4:$E$23,0)),IF($C628="","","未匹配账户"))</f>
        <v>双思威</v>
      </c>
      <c r="E628" s="39"/>
      <c r="F628" s="10" t="s">
        <v>291</v>
      </c>
      <c r="G628" s="10"/>
      <c r="H628" s="10"/>
      <c r="I628" s="10"/>
      <c r="J628" s="71" t="s">
        <v>557</v>
      </c>
      <c r="K628" s="25"/>
      <c r="L628" s="25">
        <v>3200</v>
      </c>
      <c r="M628" s="25">
        <f>IFERROR(VLOOKUP($C628,$C$5:$M$24,11,0)+SUMIF($C$25:$C628,$C628,$K$25:$K628)-SUMIF($C$25:$C628,$C628,$L$25:$L628),"")</f>
        <v>4380789.97</v>
      </c>
      <c r="N628" s="10"/>
      <c r="O628" s="10"/>
      <c r="P628" s="65"/>
      <c r="Q628" s="10"/>
      <c r="R628" s="10"/>
      <c r="S628" s="54">
        <f t="shared" si="33"/>
        <v>202604</v>
      </c>
      <c r="T628" s="54">
        <f t="shared" si="34"/>
        <v>202604</v>
      </c>
      <c r="U628" s="58" t="str">
        <f t="shared" si="35"/>
        <v/>
      </c>
      <c r="V628" s="58">
        <f>IF(AND($B628&lt;&gt;"",$F628&lt;&gt;"",$F628=项目明细账!$C$2),N(V627)+1,N(V627))</f>
        <v>0</v>
      </c>
      <c r="W628" s="63" t="str">
        <f>IF($H628&lt;&gt;"","项目成本",IFERROR(INDEX(基础资料!$W$4:$W$49,MATCH($I628,基础资料!$V$4:$V$49,0)),""))</f>
        <v/>
      </c>
      <c r="X628" s="63" t="str">
        <f>IFERROR(INDEX(基础资料!$R$4:$R$17,MATCH($G628,基础资料!$Q$4:$Q$17,0)),"")</f>
        <v/>
      </c>
    </row>
    <row r="629" spans="1:24">
      <c r="A629" s="58">
        <f>IF($B629="","",COUNTA($B$5:$B629))</f>
        <v>621</v>
      </c>
      <c r="B629" s="53">
        <v>46122</v>
      </c>
      <c r="C629" s="46" t="s">
        <v>99</v>
      </c>
      <c r="D629" s="63" t="str">
        <f>IFERROR(INDEX(基础资料!$F$4:$F$23,MATCH($C629,基础资料!$E$4:$E$23,0)),IF($C629="","","未匹配账户"))</f>
        <v>双思威</v>
      </c>
      <c r="E629" s="39"/>
      <c r="F629" s="10" t="s">
        <v>356</v>
      </c>
      <c r="G629" s="10"/>
      <c r="H629" s="10" t="s">
        <v>538</v>
      </c>
      <c r="I629" s="10"/>
      <c r="J629" s="70" t="s">
        <v>801</v>
      </c>
      <c r="K629" s="25"/>
      <c r="L629" s="25">
        <v>600</v>
      </c>
      <c r="M629" s="25">
        <f>IFERROR(VLOOKUP($C629,$C$5:$M$24,11,0)+SUMIF($C$25:$C629,$C629,$K$25:$K629)-SUMIF($C$25:$C629,$C629,$L$25:$L629),"")</f>
        <v>4380189.97</v>
      </c>
      <c r="N629" s="10"/>
      <c r="O629" s="10"/>
      <c r="P629" s="65"/>
      <c r="Q629" s="10"/>
      <c r="R629" s="10"/>
      <c r="S629" s="54">
        <f t="shared" si="33"/>
        <v>202604</v>
      </c>
      <c r="T629" s="54">
        <f t="shared" si="34"/>
        <v>202604</v>
      </c>
      <c r="U629" s="58" t="str">
        <f t="shared" si="35"/>
        <v/>
      </c>
      <c r="V629" s="58">
        <f>IF(AND($B629&lt;&gt;"",$F629&lt;&gt;"",$F629=项目明细账!$C$2),N(V628)+1,N(V628))</f>
        <v>0</v>
      </c>
      <c r="W629" s="63" t="str">
        <f>IF($H629&lt;&gt;"","项目成本",IFERROR(INDEX(基础资料!$W$4:$W$49,MATCH($I629,基础资料!$V$4:$V$49,0)),""))</f>
        <v>项目成本</v>
      </c>
      <c r="X629" s="63" t="str">
        <f>IFERROR(INDEX(基础资料!$R$4:$R$17,MATCH($G629,基础资料!$Q$4:$Q$17,0)),"")</f>
        <v/>
      </c>
    </row>
    <row r="630" spans="1:24">
      <c r="A630" s="58">
        <f>IF($B630="","",COUNTA($B$5:$B630))</f>
        <v>622</v>
      </c>
      <c r="B630" s="53">
        <v>46125</v>
      </c>
      <c r="C630" s="46" t="s">
        <v>99</v>
      </c>
      <c r="D630" s="63" t="str">
        <f>IFERROR(INDEX(基础资料!$F$4:$F$23,MATCH($C630,基础资料!$E$4:$E$23,0)),IF($C630="","","未匹配账户"))</f>
        <v>双思威</v>
      </c>
      <c r="E630" s="39"/>
      <c r="F630" s="10" t="s">
        <v>385</v>
      </c>
      <c r="G630" s="10"/>
      <c r="H630" s="10" t="s">
        <v>530</v>
      </c>
      <c r="I630" s="10"/>
      <c r="J630" s="70" t="s">
        <v>802</v>
      </c>
      <c r="K630" s="25"/>
      <c r="L630" s="25">
        <v>1000</v>
      </c>
      <c r="M630" s="25">
        <f>IFERROR(VLOOKUP($C630,$C$5:$M$24,11,0)+SUMIF($C$25:$C630,$C630,$K$25:$K630)-SUMIF($C$25:$C630,$C630,$L$25:$L630),"")</f>
        <v>4379189.97</v>
      </c>
      <c r="N630" s="10"/>
      <c r="O630" s="10"/>
      <c r="P630" s="65"/>
      <c r="Q630" s="10"/>
      <c r="R630" s="10"/>
      <c r="S630" s="54">
        <f t="shared" si="33"/>
        <v>202604</v>
      </c>
      <c r="T630" s="54">
        <f t="shared" si="34"/>
        <v>202604</v>
      </c>
      <c r="U630" s="58" t="str">
        <f t="shared" si="35"/>
        <v/>
      </c>
      <c r="V630" s="58">
        <f>IF(AND($B630&lt;&gt;"",$F630&lt;&gt;"",$F630=项目明细账!$C$2),N(V629)+1,N(V629))</f>
        <v>0</v>
      </c>
      <c r="W630" s="63" t="str">
        <f>IF($H630&lt;&gt;"","项目成本",IFERROR(INDEX(基础资料!$W$4:$W$49,MATCH($I630,基础资料!$V$4:$V$49,0)),""))</f>
        <v>项目成本</v>
      </c>
      <c r="X630" s="63" t="str">
        <f>IFERROR(INDEX(基础资料!$R$4:$R$17,MATCH($G630,基础资料!$Q$4:$Q$17,0)),"")</f>
        <v/>
      </c>
    </row>
    <row r="631" spans="1:24">
      <c r="A631" s="58">
        <f>IF($B631="","",COUNTA($B$5:$B631))</f>
        <v>623</v>
      </c>
      <c r="B631" s="53">
        <v>46126</v>
      </c>
      <c r="C631" s="46" t="s">
        <v>99</v>
      </c>
      <c r="D631" s="63" t="str">
        <f>IFERROR(INDEX(基础资料!$F$4:$F$23,MATCH($C631,基础资料!$E$4:$E$23,0)),IF($C631="","","未匹配账户"))</f>
        <v>双思威</v>
      </c>
      <c r="E631" s="39"/>
      <c r="F631" s="10" t="s">
        <v>386</v>
      </c>
      <c r="G631" s="10"/>
      <c r="H631" s="10" t="s">
        <v>530</v>
      </c>
      <c r="I631" s="10"/>
      <c r="J631" s="70" t="s">
        <v>803</v>
      </c>
      <c r="K631" s="25"/>
      <c r="L631" s="25">
        <v>100000</v>
      </c>
      <c r="M631" s="25">
        <f>IFERROR(VLOOKUP($C631,$C$5:$M$24,11,0)+SUMIF($C$25:$C631,$C631,$K$25:$K631)-SUMIF($C$25:$C631,$C631,$L$25:$L631),"")</f>
        <v>4279189.97</v>
      </c>
      <c r="N631" s="10"/>
      <c r="O631" s="10"/>
      <c r="P631" s="65"/>
      <c r="Q631" s="10"/>
      <c r="R631" s="10"/>
      <c r="S631" s="54">
        <f t="shared" si="33"/>
        <v>202604</v>
      </c>
      <c r="T631" s="54">
        <f t="shared" si="34"/>
        <v>202604</v>
      </c>
      <c r="U631" s="58" t="str">
        <f t="shared" si="35"/>
        <v/>
      </c>
      <c r="V631" s="58">
        <f>IF(AND($B631&lt;&gt;"",$F631&lt;&gt;"",$F631=项目明细账!$C$2),N(V630)+1,N(V630))</f>
        <v>0</v>
      </c>
      <c r="W631" s="63" t="str">
        <f>IF($H631&lt;&gt;"","项目成本",IFERROR(INDEX(基础资料!$W$4:$W$49,MATCH($I631,基础资料!$V$4:$V$49,0)),""))</f>
        <v>项目成本</v>
      </c>
      <c r="X631" s="63" t="str">
        <f>IFERROR(INDEX(基础资料!$R$4:$R$17,MATCH($G631,基础资料!$Q$4:$Q$17,0)),"")</f>
        <v/>
      </c>
    </row>
    <row r="632" spans="1:24">
      <c r="A632" s="58">
        <f>IF($B632="","",COUNTA($B$5:$B632))</f>
        <v>624</v>
      </c>
      <c r="B632" s="53">
        <v>46126</v>
      </c>
      <c r="C632" s="46" t="s">
        <v>99</v>
      </c>
      <c r="D632" s="63" t="str">
        <f>IFERROR(INDEX(基础资料!$F$4:$F$23,MATCH($C632,基础资料!$E$4:$E$23,0)),IF($C632="","","未匹配账户"))</f>
        <v>双思威</v>
      </c>
      <c r="E632" s="39"/>
      <c r="F632" s="10"/>
      <c r="G632" s="10"/>
      <c r="H632" s="10"/>
      <c r="I632" s="10" t="s">
        <v>234</v>
      </c>
      <c r="J632" s="70" t="s">
        <v>753</v>
      </c>
      <c r="K632" s="25"/>
      <c r="L632" s="25">
        <v>20000</v>
      </c>
      <c r="M632" s="25">
        <f>IFERROR(VLOOKUP($C632,$C$5:$M$24,11,0)+SUMIF($C$25:$C632,$C632,$K$25:$K632)-SUMIF($C$25:$C632,$C632,$L$25:$L632),"")</f>
        <v>4259189.97</v>
      </c>
      <c r="N632" s="10"/>
      <c r="O632" s="10"/>
      <c r="P632" s="65"/>
      <c r="Q632" s="10"/>
      <c r="R632" s="10"/>
      <c r="S632" s="54">
        <f t="shared" si="33"/>
        <v>202604</v>
      </c>
      <c r="T632" s="54">
        <f t="shared" si="34"/>
        <v>202604</v>
      </c>
      <c r="U632" s="58" t="str">
        <f t="shared" si="35"/>
        <v/>
      </c>
      <c r="V632" s="58">
        <f>IF(AND($B632&lt;&gt;"",$F632&lt;&gt;"",$F632=项目明细账!$C$2),N(V631)+1,N(V631))</f>
        <v>0</v>
      </c>
      <c r="W632" s="63" t="str">
        <f>IF($H632&lt;&gt;"","项目成本",IFERROR(INDEX(基础资料!$W$4:$W$49,MATCH($I632,基础资料!$V$4:$V$49,0)),""))</f>
        <v>管理费用</v>
      </c>
      <c r="X632" s="63" t="str">
        <f>IFERROR(INDEX(基础资料!$R$4:$R$17,MATCH($G632,基础资料!$Q$4:$Q$17,0)),"")</f>
        <v/>
      </c>
    </row>
    <row r="633" spans="1:24">
      <c r="A633" s="58">
        <f>IF($B633="","",COUNTA($B$5:$B633))</f>
        <v>625</v>
      </c>
      <c r="B633" s="53">
        <v>46129</v>
      </c>
      <c r="C633" s="46" t="s">
        <v>99</v>
      </c>
      <c r="D633" s="63" t="str">
        <f>IFERROR(INDEX(基础资料!$F$4:$F$23,MATCH($C633,基础资料!$E$4:$E$23,0)),IF($C633="","","未匹配账户"))</f>
        <v>双思威</v>
      </c>
      <c r="E633" s="39"/>
      <c r="F633" s="10" t="s">
        <v>387</v>
      </c>
      <c r="G633" s="10"/>
      <c r="H633" s="10" t="s">
        <v>184</v>
      </c>
      <c r="I633" s="10" t="s">
        <v>234</v>
      </c>
      <c r="J633" s="70" t="s">
        <v>804</v>
      </c>
      <c r="K633" s="25"/>
      <c r="L633" s="25">
        <v>480</v>
      </c>
      <c r="M633" s="25">
        <f>IFERROR(VLOOKUP($C633,$C$5:$M$24,11,0)+SUMIF($C$25:$C633,$C633,$K$25:$K633)-SUMIF($C$25:$C633,$C633,$L$25:$L633),"")</f>
        <v>4258709.97</v>
      </c>
      <c r="N633" s="10"/>
      <c r="O633" s="10"/>
      <c r="P633" s="65"/>
      <c r="Q633" s="10"/>
      <c r="R633" s="10"/>
      <c r="S633" s="54">
        <f t="shared" si="33"/>
        <v>202604</v>
      </c>
      <c r="T633" s="54">
        <f t="shared" si="34"/>
        <v>202604</v>
      </c>
      <c r="U633" s="58" t="str">
        <f t="shared" si="35"/>
        <v/>
      </c>
      <c r="V633" s="58">
        <f>IF(AND($B633&lt;&gt;"",$F633&lt;&gt;"",$F633=项目明细账!$C$2),N(V632)+1,N(V632))</f>
        <v>0</v>
      </c>
      <c r="W633" s="63" t="str">
        <f>IF($H633&lt;&gt;"","项目成本",IFERROR(INDEX(基础资料!$W$4:$W$49,MATCH($I633,基础资料!$V$4:$V$49,0)),""))</f>
        <v>项目成本</v>
      </c>
      <c r="X633" s="63" t="str">
        <f>IFERROR(INDEX(基础资料!$R$4:$R$17,MATCH($G633,基础资料!$Q$4:$Q$17,0)),"")</f>
        <v/>
      </c>
    </row>
    <row r="634" spans="1:24">
      <c r="A634" s="58">
        <f>IF($B634="","",COUNTA($B$5:$B634))</f>
        <v>626</v>
      </c>
      <c r="B634" s="53">
        <v>46129</v>
      </c>
      <c r="C634" s="46" t="s">
        <v>99</v>
      </c>
      <c r="D634" s="63" t="str">
        <f>IFERROR(INDEX(基础资料!$F$4:$F$23,MATCH($C634,基础资料!$E$4:$E$23,0)),IF($C634="","","未匹配账户"))</f>
        <v>双思威</v>
      </c>
      <c r="E634" s="39"/>
      <c r="F634" s="10" t="s">
        <v>367</v>
      </c>
      <c r="G634" s="10"/>
      <c r="H634" s="10" t="s">
        <v>558</v>
      </c>
      <c r="I634" s="10"/>
      <c r="J634" s="70" t="s">
        <v>805</v>
      </c>
      <c r="K634" s="25"/>
      <c r="L634" s="25">
        <v>1682</v>
      </c>
      <c r="M634" s="25">
        <f>IFERROR(VLOOKUP($C634,$C$5:$M$24,11,0)+SUMIF($C$25:$C634,$C634,$K$25:$K634)-SUMIF($C$25:$C634,$C634,$L$25:$L634),"")</f>
        <v>4257027.97</v>
      </c>
      <c r="N634" s="10"/>
      <c r="O634" s="10"/>
      <c r="P634" s="65"/>
      <c r="Q634" s="10"/>
      <c r="R634" s="10"/>
      <c r="S634" s="54">
        <f t="shared" si="33"/>
        <v>202604</v>
      </c>
      <c r="T634" s="54">
        <f t="shared" si="34"/>
        <v>202604</v>
      </c>
      <c r="U634" s="58" t="str">
        <f t="shared" si="35"/>
        <v/>
      </c>
      <c r="V634" s="58">
        <f>IF(AND($B634&lt;&gt;"",$F634&lt;&gt;"",$F634=项目明细账!$C$2),N(V633)+1,N(V633))</f>
        <v>0</v>
      </c>
      <c r="W634" s="63" t="str">
        <f>IF($H634&lt;&gt;"","项目成本",IFERROR(INDEX(基础资料!$W$4:$W$49,MATCH($I634,基础资料!$V$4:$V$49,0)),""))</f>
        <v>项目成本</v>
      </c>
      <c r="X634" s="63" t="str">
        <f>IFERROR(INDEX(基础资料!$R$4:$R$17,MATCH($G634,基础资料!$Q$4:$Q$17,0)),"")</f>
        <v/>
      </c>
    </row>
    <row r="635" spans="1:24">
      <c r="A635" s="58">
        <f>IF($B635="","",COUNTA($B$5:$B635))</f>
        <v>627</v>
      </c>
      <c r="B635" s="53">
        <v>46132</v>
      </c>
      <c r="C635" s="46" t="s">
        <v>99</v>
      </c>
      <c r="D635" s="63" t="str">
        <f>IFERROR(INDEX(基础资料!$F$4:$F$23,MATCH($C635,基础资料!$E$4:$E$23,0)),IF($C635="","","未匹配账户"))</f>
        <v>双思威</v>
      </c>
      <c r="E635" s="39"/>
      <c r="F635" s="10" t="s">
        <v>382</v>
      </c>
      <c r="G635" s="10"/>
      <c r="H635" s="10" t="s">
        <v>184</v>
      </c>
      <c r="I635" s="10"/>
      <c r="J635" s="70" t="s">
        <v>806</v>
      </c>
      <c r="K635" s="25"/>
      <c r="L635" s="25">
        <v>2772</v>
      </c>
      <c r="M635" s="25">
        <f>IFERROR(VLOOKUP($C635,$C$5:$M$24,11,0)+SUMIF($C$25:$C635,$C635,$K$25:$K635)-SUMIF($C$25:$C635,$C635,$L$25:$L635),"")</f>
        <v>4254255.97</v>
      </c>
      <c r="N635" s="10"/>
      <c r="O635" s="10"/>
      <c r="P635" s="65"/>
      <c r="Q635" s="10"/>
      <c r="R635" s="10"/>
      <c r="S635" s="54">
        <f t="shared" si="33"/>
        <v>202604</v>
      </c>
      <c r="T635" s="54">
        <f t="shared" si="34"/>
        <v>202604</v>
      </c>
      <c r="U635" s="58" t="str">
        <f t="shared" si="35"/>
        <v/>
      </c>
      <c r="V635" s="58">
        <f>IF(AND($B635&lt;&gt;"",$F635&lt;&gt;"",$F635=项目明细账!$C$2),N(V634)+1,N(V634))</f>
        <v>0</v>
      </c>
      <c r="W635" s="63" t="str">
        <f>IF($H635&lt;&gt;"","项目成本",IFERROR(INDEX(基础资料!$W$4:$W$49,MATCH($I635,基础资料!$V$4:$V$49,0)),""))</f>
        <v>项目成本</v>
      </c>
      <c r="X635" s="63" t="str">
        <f>IFERROR(INDEX(基础资料!$R$4:$R$17,MATCH($G635,基础资料!$Q$4:$Q$17,0)),"")</f>
        <v/>
      </c>
    </row>
    <row r="636" spans="1:24">
      <c r="A636" s="58">
        <f>IF($B636="","",COUNTA($B$5:$B636))</f>
        <v>628</v>
      </c>
      <c r="B636" s="53">
        <v>46132</v>
      </c>
      <c r="C636" s="46" t="s">
        <v>99</v>
      </c>
      <c r="D636" s="63" t="str">
        <f>IFERROR(INDEX(基础资料!$F$4:$F$23,MATCH($C636,基础资料!$E$4:$E$23,0)),IF($C636="","","未匹配账户"))</f>
        <v>双思威</v>
      </c>
      <c r="E636" s="39"/>
      <c r="F636" s="10" t="s">
        <v>307</v>
      </c>
      <c r="G636" s="10"/>
      <c r="H636" s="10" t="s">
        <v>530</v>
      </c>
      <c r="I636" s="10"/>
      <c r="J636" s="70" t="s">
        <v>807</v>
      </c>
      <c r="K636" s="25"/>
      <c r="L636" s="25">
        <v>159900</v>
      </c>
      <c r="M636" s="25">
        <f>IFERROR(VLOOKUP($C636,$C$5:$M$24,11,0)+SUMIF($C$25:$C636,$C636,$K$25:$K636)-SUMIF($C$25:$C636,$C636,$L$25:$L636),"")</f>
        <v>4094355.97</v>
      </c>
      <c r="N636" s="10"/>
      <c r="O636" s="10"/>
      <c r="P636" s="65"/>
      <c r="Q636" s="10"/>
      <c r="R636" s="10"/>
      <c r="S636" s="54">
        <f t="shared" si="33"/>
        <v>202604</v>
      </c>
      <c r="T636" s="54">
        <f t="shared" si="34"/>
        <v>202604</v>
      </c>
      <c r="U636" s="58" t="str">
        <f t="shared" si="35"/>
        <v/>
      </c>
      <c r="V636" s="58">
        <f>IF(AND($B636&lt;&gt;"",$F636&lt;&gt;"",$F636=项目明细账!$C$2),N(V635)+1,N(V635))</f>
        <v>0</v>
      </c>
      <c r="W636" s="63" t="str">
        <f>IF($H636&lt;&gt;"","项目成本",IFERROR(INDEX(基础资料!$W$4:$W$49,MATCH($I636,基础资料!$V$4:$V$49,0)),""))</f>
        <v>项目成本</v>
      </c>
      <c r="X636" s="63" t="str">
        <f>IFERROR(INDEX(基础资料!$R$4:$R$17,MATCH($G636,基础资料!$Q$4:$Q$17,0)),"")</f>
        <v/>
      </c>
    </row>
    <row r="637" spans="1:24">
      <c r="A637" s="58">
        <f>IF($B637="","",COUNTA($B$5:$B637))</f>
        <v>629</v>
      </c>
      <c r="B637" s="53">
        <v>46132</v>
      </c>
      <c r="C637" s="46" t="s">
        <v>99</v>
      </c>
      <c r="D637" s="63" t="str">
        <f>IFERROR(INDEX(基础资料!$F$4:$F$23,MATCH($C637,基础资料!$E$4:$E$23,0)),IF($C637="","","未匹配账户"))</f>
        <v>双思威</v>
      </c>
      <c r="E637" s="39"/>
      <c r="F637" s="10" t="s">
        <v>388</v>
      </c>
      <c r="G637" s="10"/>
      <c r="H637" s="10" t="s">
        <v>530</v>
      </c>
      <c r="I637" s="10"/>
      <c r="J637" s="70" t="s">
        <v>808</v>
      </c>
      <c r="K637" s="25"/>
      <c r="L637" s="25">
        <v>6700</v>
      </c>
      <c r="M637" s="25">
        <f>IFERROR(VLOOKUP($C637,$C$5:$M$24,11,0)+SUMIF($C$25:$C637,$C637,$K$25:$K637)-SUMIF($C$25:$C637,$C637,$L$25:$L637),"")</f>
        <v>4087655.97</v>
      </c>
      <c r="N637" s="10"/>
      <c r="O637" s="10"/>
      <c r="P637" s="65"/>
      <c r="Q637" s="10"/>
      <c r="R637" s="10"/>
      <c r="S637" s="54">
        <f t="shared" si="33"/>
        <v>202604</v>
      </c>
      <c r="T637" s="54">
        <f t="shared" si="34"/>
        <v>202604</v>
      </c>
      <c r="U637" s="58" t="str">
        <f t="shared" si="35"/>
        <v/>
      </c>
      <c r="V637" s="58">
        <f>IF(AND($B637&lt;&gt;"",$F637&lt;&gt;"",$F637=项目明细账!$C$2),N(V636)+1,N(V636))</f>
        <v>0</v>
      </c>
      <c r="W637" s="63" t="str">
        <f>IF($H637&lt;&gt;"","项目成本",IFERROR(INDEX(基础资料!$W$4:$W$49,MATCH($I637,基础资料!$V$4:$V$49,0)),""))</f>
        <v>项目成本</v>
      </c>
      <c r="X637" s="63" t="str">
        <f>IFERROR(INDEX(基础资料!$R$4:$R$17,MATCH($G637,基础资料!$Q$4:$Q$17,0)),"")</f>
        <v/>
      </c>
    </row>
    <row r="638" spans="1:24">
      <c r="A638" s="58">
        <f>IF($B638="","",COUNTA($B$5:$B638))</f>
        <v>630</v>
      </c>
      <c r="B638" s="53">
        <v>46135</v>
      </c>
      <c r="C638" s="46" t="s">
        <v>99</v>
      </c>
      <c r="D638" s="63" t="str">
        <f>IFERROR(INDEX(基础资料!$F$4:$F$23,MATCH($C638,基础资料!$E$4:$E$23,0)),IF($C638="","","未匹配账户"))</f>
        <v>双思威</v>
      </c>
      <c r="E638" s="39"/>
      <c r="F638" s="10"/>
      <c r="G638" s="10"/>
      <c r="H638" s="10"/>
      <c r="I638" s="10" t="s">
        <v>234</v>
      </c>
      <c r="J638" s="69" t="s">
        <v>532</v>
      </c>
      <c r="K638" s="25"/>
      <c r="L638" s="25">
        <v>870</v>
      </c>
      <c r="M638" s="25">
        <f>IFERROR(VLOOKUP($C638,$C$5:$M$24,11,0)+SUMIF($C$25:$C638,$C638,$K$25:$K638)-SUMIF($C$25:$C638,$C638,$L$25:$L638),"")</f>
        <v>4086785.97</v>
      </c>
      <c r="N638" s="10"/>
      <c r="O638" s="10"/>
      <c r="P638" s="65"/>
      <c r="Q638" s="10"/>
      <c r="R638" s="10"/>
      <c r="S638" s="54">
        <f t="shared" si="33"/>
        <v>202604</v>
      </c>
      <c r="T638" s="54">
        <f t="shared" si="34"/>
        <v>202604</v>
      </c>
      <c r="U638" s="58" t="str">
        <f t="shared" si="35"/>
        <v/>
      </c>
      <c r="V638" s="58">
        <f>IF(AND($B638&lt;&gt;"",$F638&lt;&gt;"",$F638=项目明细账!$C$2),N(V637)+1,N(V637))</f>
        <v>0</v>
      </c>
      <c r="W638" s="63" t="str">
        <f>IF($H638&lt;&gt;"","项目成本",IFERROR(INDEX(基础资料!$W$4:$W$49,MATCH($I638,基础资料!$V$4:$V$49,0)),""))</f>
        <v>管理费用</v>
      </c>
      <c r="X638" s="63" t="str">
        <f>IFERROR(INDEX(基础资料!$R$4:$R$17,MATCH($G638,基础资料!$Q$4:$Q$17,0)),"")</f>
        <v/>
      </c>
    </row>
    <row r="639" spans="1:24">
      <c r="A639" s="58">
        <f>IF($B639="","",COUNTA($B$5:$B639))</f>
        <v>631</v>
      </c>
      <c r="B639" s="53">
        <v>46135</v>
      </c>
      <c r="C639" s="46" t="s">
        <v>99</v>
      </c>
      <c r="D639" s="63" t="str">
        <f>IFERROR(INDEX(基础资料!$F$4:$F$23,MATCH($C639,基础资料!$E$4:$E$23,0)),IF($C639="","","未匹配账户"))</f>
        <v>双思威</v>
      </c>
      <c r="E639" s="39"/>
      <c r="F639" s="10"/>
      <c r="G639" s="10"/>
      <c r="H639" s="10"/>
      <c r="I639" s="10" t="s">
        <v>234</v>
      </c>
      <c r="J639" s="69" t="s">
        <v>532</v>
      </c>
      <c r="K639" s="25"/>
      <c r="L639" s="25">
        <v>147.78</v>
      </c>
      <c r="M639" s="25">
        <f>IFERROR(VLOOKUP($C639,$C$5:$M$24,11,0)+SUMIF($C$25:$C639,$C639,$K$25:$K639)-SUMIF($C$25:$C639,$C639,$L$25:$L639),"")</f>
        <v>4086638.19</v>
      </c>
      <c r="N639" s="10"/>
      <c r="O639" s="10"/>
      <c r="P639" s="65"/>
      <c r="Q639" s="10"/>
      <c r="R639" s="10"/>
      <c r="S639" s="54">
        <f t="shared" si="33"/>
        <v>202604</v>
      </c>
      <c r="T639" s="54">
        <f t="shared" si="34"/>
        <v>202604</v>
      </c>
      <c r="U639" s="58" t="str">
        <f t="shared" si="35"/>
        <v/>
      </c>
      <c r="V639" s="58">
        <f>IF(AND($B639&lt;&gt;"",$F639&lt;&gt;"",$F639=项目明细账!$C$2),N(V638)+1,N(V638))</f>
        <v>0</v>
      </c>
      <c r="W639" s="63" t="str">
        <f>IF($H639&lt;&gt;"","项目成本",IFERROR(INDEX(基础资料!$W$4:$W$49,MATCH($I639,基础资料!$V$4:$V$49,0)),""))</f>
        <v>管理费用</v>
      </c>
      <c r="X639" s="63" t="str">
        <f>IFERROR(INDEX(基础资料!$R$4:$R$17,MATCH($G639,基础资料!$Q$4:$Q$17,0)),"")</f>
        <v/>
      </c>
    </row>
    <row r="640" spans="1:24">
      <c r="A640" s="58">
        <f>IF($B640="","",COUNTA($B$5:$B640))</f>
        <v>632</v>
      </c>
      <c r="B640" s="53">
        <v>46135</v>
      </c>
      <c r="C640" s="46" t="s">
        <v>99</v>
      </c>
      <c r="D640" s="63" t="str">
        <f>IFERROR(INDEX(基础资料!$F$4:$F$23,MATCH($C640,基础资料!$E$4:$E$23,0)),IF($C640="","","未匹配账户"))</f>
        <v>双思威</v>
      </c>
      <c r="E640" s="39"/>
      <c r="F640" s="10"/>
      <c r="G640" s="10"/>
      <c r="H640" s="10"/>
      <c r="I640" s="10" t="s">
        <v>234</v>
      </c>
      <c r="J640" s="69" t="s">
        <v>532</v>
      </c>
      <c r="K640" s="25"/>
      <c r="L640" s="25">
        <v>1219.8</v>
      </c>
      <c r="M640" s="25">
        <f>IFERROR(VLOOKUP($C640,$C$5:$M$24,11,0)+SUMIF($C$25:$C640,$C640,$K$25:$K640)-SUMIF($C$25:$C640,$C640,$L$25:$L640),"")</f>
        <v>4085418.39</v>
      </c>
      <c r="N640" s="10"/>
      <c r="O640" s="10"/>
      <c r="P640" s="65"/>
      <c r="Q640" s="10"/>
      <c r="R640" s="10"/>
      <c r="S640" s="54">
        <f t="shared" si="33"/>
        <v>202604</v>
      </c>
      <c r="T640" s="54">
        <f t="shared" si="34"/>
        <v>202604</v>
      </c>
      <c r="U640" s="58" t="str">
        <f t="shared" si="35"/>
        <v/>
      </c>
      <c r="V640" s="58">
        <f>IF(AND($B640&lt;&gt;"",$F640&lt;&gt;"",$F640=项目明细账!$C$2),N(V639)+1,N(V639))</f>
        <v>0</v>
      </c>
      <c r="W640" s="63" t="str">
        <f>IF($H640&lt;&gt;"","项目成本",IFERROR(INDEX(基础资料!$W$4:$W$49,MATCH($I640,基础资料!$V$4:$V$49,0)),""))</f>
        <v>管理费用</v>
      </c>
      <c r="X640" s="63" t="str">
        <f>IFERROR(INDEX(基础资料!$R$4:$R$17,MATCH($G640,基础资料!$Q$4:$Q$17,0)),"")</f>
        <v/>
      </c>
    </row>
    <row r="641" spans="1:24">
      <c r="A641" s="58">
        <f>IF($B641="","",COUNTA($B$5:$B641))</f>
        <v>633</v>
      </c>
      <c r="B641" s="53">
        <v>46135</v>
      </c>
      <c r="C641" s="46" t="s">
        <v>99</v>
      </c>
      <c r="D641" s="63" t="str">
        <f>IFERROR(INDEX(基础资料!$F$4:$F$23,MATCH($C641,基础资料!$E$4:$E$23,0)),IF($C641="","","未匹配账户"))</f>
        <v>双思威</v>
      </c>
      <c r="E641" s="39"/>
      <c r="F641" s="10"/>
      <c r="G641" s="10"/>
      <c r="H641" s="10"/>
      <c r="I641" s="10" t="s">
        <v>234</v>
      </c>
      <c r="J641" s="69" t="s">
        <v>532</v>
      </c>
      <c r="K641" s="25"/>
      <c r="L641" s="25">
        <v>1308</v>
      </c>
      <c r="M641" s="25">
        <f>IFERROR(VLOOKUP($C641,$C$5:$M$24,11,0)+SUMIF($C$25:$C641,$C641,$K$25:$K641)-SUMIF($C$25:$C641,$C641,$L$25:$L641),"")</f>
        <v>4084110.39</v>
      </c>
      <c r="N641" s="10"/>
      <c r="O641" s="10"/>
      <c r="P641" s="65"/>
      <c r="Q641" s="10"/>
      <c r="R641" s="10"/>
      <c r="S641" s="54">
        <f t="shared" si="33"/>
        <v>202604</v>
      </c>
      <c r="T641" s="54">
        <f t="shared" si="34"/>
        <v>202604</v>
      </c>
      <c r="U641" s="58" t="str">
        <f t="shared" si="35"/>
        <v/>
      </c>
      <c r="V641" s="58">
        <f>IF(AND($B641&lt;&gt;"",$F641&lt;&gt;"",$F641=项目明细账!$C$2),N(V640)+1,N(V640))</f>
        <v>0</v>
      </c>
      <c r="W641" s="63" t="str">
        <f>IF($H641&lt;&gt;"","项目成本",IFERROR(INDEX(基础资料!$W$4:$W$49,MATCH($I641,基础资料!$V$4:$V$49,0)),""))</f>
        <v>管理费用</v>
      </c>
      <c r="X641" s="63" t="str">
        <f>IFERROR(INDEX(基础资料!$R$4:$R$17,MATCH($G641,基础资料!$Q$4:$Q$17,0)),"")</f>
        <v/>
      </c>
    </row>
    <row r="642" spans="1:24">
      <c r="A642" s="58">
        <f>IF($B642="","",COUNTA($B$5:$B642))</f>
        <v>634</v>
      </c>
      <c r="B642" s="53">
        <v>46135</v>
      </c>
      <c r="C642" s="46" t="s">
        <v>99</v>
      </c>
      <c r="D642" s="63" t="str">
        <f>IFERROR(INDEX(基础资料!$F$4:$F$23,MATCH($C642,基础资料!$E$4:$E$23,0)),IF($C642="","","未匹配账户"))</f>
        <v>双思威</v>
      </c>
      <c r="E642" s="39"/>
      <c r="F642" s="10"/>
      <c r="G642" s="10"/>
      <c r="H642" s="10"/>
      <c r="I642" s="10" t="s">
        <v>234</v>
      </c>
      <c r="J642" s="69" t="s">
        <v>532</v>
      </c>
      <c r="K642" s="25"/>
      <c r="L642" s="25">
        <v>870</v>
      </c>
      <c r="M642" s="25">
        <f>IFERROR(VLOOKUP($C642,$C$5:$M$24,11,0)+SUMIF($C$25:$C642,$C642,$K$25:$K642)-SUMIF($C$25:$C642,$C642,$L$25:$L642),"")</f>
        <v>4083240.39</v>
      </c>
      <c r="N642" s="10"/>
      <c r="O642" s="10"/>
      <c r="P642" s="65"/>
      <c r="Q642" s="10"/>
      <c r="R642" s="10"/>
      <c r="S642" s="54">
        <f t="shared" si="33"/>
        <v>202604</v>
      </c>
      <c r="T642" s="54">
        <f t="shared" si="34"/>
        <v>202604</v>
      </c>
      <c r="U642" s="58" t="str">
        <f t="shared" si="35"/>
        <v/>
      </c>
      <c r="V642" s="58">
        <f>IF(AND($B642&lt;&gt;"",$F642&lt;&gt;"",$F642=项目明细账!$C$2),N(V641)+1,N(V641))</f>
        <v>0</v>
      </c>
      <c r="W642" s="63" t="str">
        <f>IF($H642&lt;&gt;"","项目成本",IFERROR(INDEX(基础资料!$W$4:$W$49,MATCH($I642,基础资料!$V$4:$V$49,0)),""))</f>
        <v>管理费用</v>
      </c>
      <c r="X642" s="63" t="str">
        <f>IFERROR(INDEX(基础资料!$R$4:$R$17,MATCH($G642,基础资料!$Q$4:$Q$17,0)),"")</f>
        <v/>
      </c>
    </row>
    <row r="643" spans="1:24">
      <c r="A643" s="58">
        <f>IF($B643="","",COUNTA($B$5:$B643))</f>
        <v>635</v>
      </c>
      <c r="B643" s="53">
        <v>46139</v>
      </c>
      <c r="C643" s="46" t="s">
        <v>99</v>
      </c>
      <c r="D643" s="63" t="str">
        <f>IFERROR(INDEX(基础资料!$F$4:$F$23,MATCH($C643,基础资料!$E$4:$E$23,0)),IF($C643="","","未匹配账户"))</f>
        <v>双思威</v>
      </c>
      <c r="E643" s="39"/>
      <c r="F643" s="10" t="s">
        <v>128</v>
      </c>
      <c r="G643" s="10"/>
      <c r="H643" s="10" t="s">
        <v>530</v>
      </c>
      <c r="I643" s="10"/>
      <c r="J643" s="70" t="s">
        <v>809</v>
      </c>
      <c r="K643" s="25"/>
      <c r="L643" s="25">
        <v>4260</v>
      </c>
      <c r="M643" s="25">
        <f>IFERROR(VLOOKUP($C643,$C$5:$M$24,11,0)+SUMIF($C$25:$C643,$C643,$K$25:$K643)-SUMIF($C$25:$C643,$C643,$L$25:$L643),"")</f>
        <v>4078980.39</v>
      </c>
      <c r="N643" s="10"/>
      <c r="O643" s="10"/>
      <c r="P643" s="65"/>
      <c r="Q643" s="10"/>
      <c r="R643" s="10"/>
      <c r="S643" s="54">
        <f t="shared" si="33"/>
        <v>202604</v>
      </c>
      <c r="T643" s="54">
        <f t="shared" si="34"/>
        <v>202604</v>
      </c>
      <c r="U643" s="58" t="str">
        <f t="shared" si="35"/>
        <v/>
      </c>
      <c r="V643" s="58">
        <f>IF(AND($B643&lt;&gt;"",$F643&lt;&gt;"",$F643=项目明细账!$C$2),N(V642)+1,N(V642))</f>
        <v>0</v>
      </c>
      <c r="W643" s="63" t="str">
        <f>IF($H643&lt;&gt;"","项目成本",IFERROR(INDEX(基础资料!$W$4:$W$49,MATCH($I643,基础资料!$V$4:$V$49,0)),""))</f>
        <v>项目成本</v>
      </c>
      <c r="X643" s="63" t="str">
        <f>IFERROR(INDEX(基础资料!$R$4:$R$17,MATCH($G643,基础资料!$Q$4:$Q$17,0)),"")</f>
        <v/>
      </c>
    </row>
    <row r="644" spans="1:24">
      <c r="A644" s="58">
        <f>IF($B644="","",COUNTA($B$5:$B644))</f>
        <v>636</v>
      </c>
      <c r="B644" s="53">
        <v>46141</v>
      </c>
      <c r="C644" s="46" t="s">
        <v>99</v>
      </c>
      <c r="D644" s="63" t="str">
        <f>IFERROR(INDEX(基础资料!$F$4:$F$23,MATCH($C644,基础资料!$E$4:$E$23,0)),IF($C644="","","未匹配账户"))</f>
        <v>双思威</v>
      </c>
      <c r="E644" s="39"/>
      <c r="F644" s="10"/>
      <c r="G644" s="10"/>
      <c r="H644" s="10"/>
      <c r="I644" s="10" t="s">
        <v>234</v>
      </c>
      <c r="J644" s="70" t="s">
        <v>810</v>
      </c>
      <c r="K644" s="25"/>
      <c r="L644" s="25">
        <v>7900</v>
      </c>
      <c r="M644" s="25">
        <f>IFERROR(VLOOKUP($C644,$C$5:$M$24,11,0)+SUMIF($C$25:$C644,$C644,$K$25:$K644)-SUMIF($C$25:$C644,$C644,$L$25:$L644),"")</f>
        <v>4071080.39</v>
      </c>
      <c r="N644" s="10"/>
      <c r="O644" s="10"/>
      <c r="P644" s="65"/>
      <c r="Q644" s="10"/>
      <c r="R644" s="10"/>
      <c r="S644" s="54">
        <f t="shared" si="33"/>
        <v>202604</v>
      </c>
      <c r="T644" s="54">
        <f t="shared" si="34"/>
        <v>202604</v>
      </c>
      <c r="U644" s="58" t="str">
        <f t="shared" si="35"/>
        <v/>
      </c>
      <c r="V644" s="58">
        <f>IF(AND($B644&lt;&gt;"",$F644&lt;&gt;"",$F644=项目明细账!$C$2),N(V643)+1,N(V643))</f>
        <v>0</v>
      </c>
      <c r="W644" s="63" t="str">
        <f>IF($H644&lt;&gt;"","项目成本",IFERROR(INDEX(基础资料!$W$4:$W$49,MATCH($I644,基础资料!$V$4:$V$49,0)),""))</f>
        <v>管理费用</v>
      </c>
      <c r="X644" s="63" t="str">
        <f>IFERROR(INDEX(基础资料!$R$4:$R$17,MATCH($G644,基础资料!$Q$4:$Q$17,0)),"")</f>
        <v/>
      </c>
    </row>
    <row r="645" spans="1:24">
      <c r="A645" s="58">
        <f>IF($B645="","",COUNTA($B$5:$B645))</f>
        <v>637</v>
      </c>
      <c r="B645" s="53">
        <v>46141</v>
      </c>
      <c r="C645" s="46" t="s">
        <v>99</v>
      </c>
      <c r="D645" s="63" t="str">
        <f>IFERROR(INDEX(基础资料!$F$4:$F$23,MATCH($C645,基础资料!$E$4:$E$23,0)),IF($C645="","","未匹配账户"))</f>
        <v>双思威</v>
      </c>
      <c r="E645" s="39"/>
      <c r="F645" s="10" t="s">
        <v>128</v>
      </c>
      <c r="G645" s="10"/>
      <c r="H645" s="10" t="s">
        <v>530</v>
      </c>
      <c r="I645" s="10"/>
      <c r="J645" s="70" t="s">
        <v>809</v>
      </c>
      <c r="K645" s="25"/>
      <c r="L645" s="25">
        <v>660</v>
      </c>
      <c r="M645" s="25">
        <f>IFERROR(VLOOKUP($C645,$C$5:$M$24,11,0)+SUMIF($C$25:$C645,$C645,$K$25:$K645)-SUMIF($C$25:$C645,$C645,$L$25:$L645),"")</f>
        <v>4070420.39</v>
      </c>
      <c r="N645" s="10"/>
      <c r="O645" s="10"/>
      <c r="P645" s="65"/>
      <c r="Q645" s="10"/>
      <c r="R645" s="10"/>
      <c r="S645" s="54">
        <f t="shared" si="33"/>
        <v>202604</v>
      </c>
      <c r="T645" s="54">
        <f t="shared" si="34"/>
        <v>202604</v>
      </c>
      <c r="U645" s="58" t="str">
        <f t="shared" si="35"/>
        <v/>
      </c>
      <c r="V645" s="58">
        <f>IF(AND($B645&lt;&gt;"",$F645&lt;&gt;"",$F645=项目明细账!$C$2),N(V644)+1,N(V644))</f>
        <v>0</v>
      </c>
      <c r="W645" s="63" t="str">
        <f>IF($H645&lt;&gt;"","项目成本",IFERROR(INDEX(基础资料!$W$4:$W$49,MATCH($I645,基础资料!$V$4:$V$49,0)),""))</f>
        <v>项目成本</v>
      </c>
      <c r="X645" s="63" t="str">
        <f>IFERROR(INDEX(基础资料!$R$4:$R$17,MATCH($G645,基础资料!$Q$4:$Q$17,0)),"")</f>
        <v/>
      </c>
    </row>
    <row r="646" spans="1:24">
      <c r="A646" s="58">
        <f>IF($B646="","",COUNTA($B$5:$B646))</f>
        <v>638</v>
      </c>
      <c r="B646" s="53">
        <v>46141</v>
      </c>
      <c r="C646" s="46" t="s">
        <v>99</v>
      </c>
      <c r="D646" s="63" t="str">
        <f>IFERROR(INDEX(基础资料!$F$4:$F$23,MATCH($C646,基础资料!$E$4:$E$23,0)),IF($C646="","","未匹配账户"))</f>
        <v>双思威</v>
      </c>
      <c r="E646" s="39"/>
      <c r="F646" s="10"/>
      <c r="G646" s="10"/>
      <c r="H646" s="10"/>
      <c r="I646" s="10" t="s">
        <v>234</v>
      </c>
      <c r="J646" s="69" t="s">
        <v>532</v>
      </c>
      <c r="K646" s="25"/>
      <c r="L646" s="25">
        <v>2172.01</v>
      </c>
      <c r="M646" s="25">
        <f>IFERROR(VLOOKUP($C646,$C$5:$M$24,11,0)+SUMIF($C$25:$C646,$C646,$K$25:$K646)-SUMIF($C$25:$C646,$C646,$L$25:$L646),"")</f>
        <v>4068248.38</v>
      </c>
      <c r="N646" s="10"/>
      <c r="O646" s="10"/>
      <c r="P646" s="65"/>
      <c r="Q646" s="10"/>
      <c r="R646" s="10"/>
      <c r="S646" s="54">
        <f t="shared" si="33"/>
        <v>202604</v>
      </c>
      <c r="T646" s="54">
        <f t="shared" si="34"/>
        <v>202604</v>
      </c>
      <c r="U646" s="58" t="str">
        <f t="shared" si="35"/>
        <v/>
      </c>
      <c r="V646" s="58">
        <f>IF(AND($B646&lt;&gt;"",$F646&lt;&gt;"",$F646=项目明细账!$C$2),N(V645)+1,N(V645))</f>
        <v>0</v>
      </c>
      <c r="W646" s="63" t="str">
        <f>IF($H646&lt;&gt;"","项目成本",IFERROR(INDEX(基础资料!$W$4:$W$49,MATCH($I646,基础资料!$V$4:$V$49,0)),""))</f>
        <v>管理费用</v>
      </c>
      <c r="X646" s="63" t="str">
        <f>IFERROR(INDEX(基础资料!$R$4:$R$17,MATCH($G646,基础资料!$Q$4:$Q$17,0)),"")</f>
        <v/>
      </c>
    </row>
    <row r="647" spans="1:24">
      <c r="A647" s="58">
        <f>IF($B647="","",COUNTA($B$5:$B647))</f>
        <v>639</v>
      </c>
      <c r="B647" s="53">
        <v>46141</v>
      </c>
      <c r="C647" s="46" t="s">
        <v>99</v>
      </c>
      <c r="D647" s="63" t="str">
        <f>IFERROR(INDEX(基础资料!$F$4:$F$23,MATCH($C647,基础资料!$E$4:$E$23,0)),IF($C647="","","未匹配账户"))</f>
        <v>双思威</v>
      </c>
      <c r="E647" s="39"/>
      <c r="F647" s="10"/>
      <c r="G647" s="10"/>
      <c r="H647" s="10"/>
      <c r="I647" s="10" t="s">
        <v>234</v>
      </c>
      <c r="J647" s="69" t="s">
        <v>532</v>
      </c>
      <c r="K647" s="25"/>
      <c r="L647" s="25">
        <v>27</v>
      </c>
      <c r="M647" s="25">
        <f>IFERROR(VLOOKUP($C647,$C$5:$M$24,11,0)+SUMIF($C$25:$C647,$C647,$K$25:$K647)-SUMIF($C$25:$C647,$C647,$L$25:$L647),"")</f>
        <v>4068221.38</v>
      </c>
      <c r="N647" s="10"/>
      <c r="O647" s="10"/>
      <c r="P647" s="65"/>
      <c r="Q647" s="10"/>
      <c r="R647" s="10"/>
      <c r="S647" s="54">
        <f t="shared" ref="S647:S710" si="36">IF($B647="","",--TEXT($B647,"yyyymm"))</f>
        <v>202604</v>
      </c>
      <c r="T647" s="54">
        <f t="shared" ref="T647:T710" si="37">IF($B647="","",IF($P647="",$S647,IFERROR($P647*1,$P647)))</f>
        <v>202604</v>
      </c>
      <c r="U647" s="58" t="str">
        <f t="shared" ref="U647:U710" si="38">IF($B647="","",IF($T647=$S647,"","跨期"))</f>
        <v/>
      </c>
      <c r="V647" s="58">
        <f>IF(AND($B647&lt;&gt;"",$F647&lt;&gt;"",$F647=项目明细账!$C$2),N(V646)+1,N(V646))</f>
        <v>0</v>
      </c>
      <c r="W647" s="63" t="str">
        <f>IF($H647&lt;&gt;"","项目成本",IFERROR(INDEX(基础资料!$W$4:$W$49,MATCH($I647,基础资料!$V$4:$V$49,0)),""))</f>
        <v>管理费用</v>
      </c>
      <c r="X647" s="63" t="str">
        <f>IFERROR(INDEX(基础资料!$R$4:$R$17,MATCH($G647,基础资料!$Q$4:$Q$17,0)),"")</f>
        <v/>
      </c>
    </row>
    <row r="648" spans="1:24">
      <c r="A648" s="58">
        <f>IF($B648="","",COUNTA($B$5:$B648))</f>
        <v>640</v>
      </c>
      <c r="B648" s="53">
        <v>46141</v>
      </c>
      <c r="C648" s="46" t="s">
        <v>99</v>
      </c>
      <c r="D648" s="63" t="str">
        <f>IFERROR(INDEX(基础资料!$F$4:$F$23,MATCH($C648,基础资料!$E$4:$E$23,0)),IF($C648="","","未匹配账户"))</f>
        <v>双思威</v>
      </c>
      <c r="E648" s="39"/>
      <c r="F648" s="10"/>
      <c r="G648" s="10"/>
      <c r="H648" s="10"/>
      <c r="I648" s="10" t="s">
        <v>234</v>
      </c>
      <c r="J648" s="69" t="s">
        <v>532</v>
      </c>
      <c r="K648" s="25"/>
      <c r="L648" s="25">
        <v>938.57</v>
      </c>
      <c r="M648" s="25">
        <f>IFERROR(VLOOKUP($C648,$C$5:$M$24,11,0)+SUMIF($C$25:$C648,$C648,$K$25:$K648)-SUMIF($C$25:$C648,$C648,$L$25:$L648),"")</f>
        <v>4067282.81</v>
      </c>
      <c r="N648" s="10"/>
      <c r="O648" s="10"/>
      <c r="P648" s="65"/>
      <c r="Q648" s="10"/>
      <c r="R648" s="10"/>
      <c r="S648" s="54">
        <f t="shared" si="36"/>
        <v>202604</v>
      </c>
      <c r="T648" s="54">
        <f t="shared" si="37"/>
        <v>202604</v>
      </c>
      <c r="U648" s="58" t="str">
        <f t="shared" si="38"/>
        <v/>
      </c>
      <c r="V648" s="58">
        <f>IF(AND($B648&lt;&gt;"",$F648&lt;&gt;"",$F648=项目明细账!$C$2),N(V647)+1,N(V647))</f>
        <v>0</v>
      </c>
      <c r="W648" s="63" t="str">
        <f>IF($H648&lt;&gt;"","项目成本",IFERROR(INDEX(基础资料!$W$4:$W$49,MATCH($I648,基础资料!$V$4:$V$49,0)),""))</f>
        <v>管理费用</v>
      </c>
      <c r="X648" s="63" t="str">
        <f>IFERROR(INDEX(基础资料!$R$4:$R$17,MATCH($G648,基础资料!$Q$4:$Q$17,0)),"")</f>
        <v/>
      </c>
    </row>
    <row r="649" spans="1:24">
      <c r="A649" s="58">
        <f>IF($B649="","",COUNTA($B$5:$B649))</f>
        <v>641</v>
      </c>
      <c r="B649" s="53">
        <v>46141</v>
      </c>
      <c r="C649" s="46" t="s">
        <v>99</v>
      </c>
      <c r="D649" s="63" t="str">
        <f>IFERROR(INDEX(基础资料!$F$4:$F$23,MATCH($C649,基础资料!$E$4:$E$23,0)),IF($C649="","","未匹配账户"))</f>
        <v>双思威</v>
      </c>
      <c r="E649" s="39"/>
      <c r="F649" s="10"/>
      <c r="G649" s="10"/>
      <c r="H649" s="10"/>
      <c r="I649" s="10" t="s">
        <v>234</v>
      </c>
      <c r="J649" s="69" t="s">
        <v>532</v>
      </c>
      <c r="K649" s="25"/>
      <c r="L649" s="25">
        <v>938.57</v>
      </c>
      <c r="M649" s="25">
        <f>IFERROR(VLOOKUP($C649,$C$5:$M$24,11,0)+SUMIF($C$25:$C649,$C649,$K$25:$K649)-SUMIF($C$25:$C649,$C649,$L$25:$L649),"")</f>
        <v>4066344.24</v>
      </c>
      <c r="N649" s="10"/>
      <c r="O649" s="10"/>
      <c r="P649" s="65"/>
      <c r="Q649" s="10"/>
      <c r="R649" s="10"/>
      <c r="S649" s="54">
        <f t="shared" si="36"/>
        <v>202604</v>
      </c>
      <c r="T649" s="54">
        <f t="shared" si="37"/>
        <v>202604</v>
      </c>
      <c r="U649" s="58" t="str">
        <f t="shared" si="38"/>
        <v/>
      </c>
      <c r="V649" s="58">
        <f>IF(AND($B649&lt;&gt;"",$F649&lt;&gt;"",$F649=项目明细账!$C$2),N(V648)+1,N(V648))</f>
        <v>0</v>
      </c>
      <c r="W649" s="63" t="str">
        <f>IF($H649&lt;&gt;"","项目成本",IFERROR(INDEX(基础资料!$W$4:$W$49,MATCH($I649,基础资料!$V$4:$V$49,0)),""))</f>
        <v>管理费用</v>
      </c>
      <c r="X649" s="63" t="str">
        <f>IFERROR(INDEX(基础资料!$R$4:$R$17,MATCH($G649,基础资料!$Q$4:$Q$17,0)),"")</f>
        <v/>
      </c>
    </row>
    <row r="650" spans="1:24">
      <c r="A650" s="58">
        <f>IF($B650="","",COUNTA($B$5:$B650))</f>
        <v>642</v>
      </c>
      <c r="B650" s="53">
        <v>46141</v>
      </c>
      <c r="C650" s="46" t="s">
        <v>99</v>
      </c>
      <c r="D650" s="63" t="str">
        <f>IFERROR(INDEX(基础资料!$F$4:$F$23,MATCH($C650,基础资料!$E$4:$E$23,0)),IF($C650="","","未匹配账户"))</f>
        <v>双思威</v>
      </c>
      <c r="E650" s="39"/>
      <c r="F650" s="10"/>
      <c r="G650" s="10"/>
      <c r="H650" s="10"/>
      <c r="I650" s="10" t="s">
        <v>234</v>
      </c>
      <c r="J650" s="69" t="s">
        <v>679</v>
      </c>
      <c r="K650" s="25"/>
      <c r="L650" s="25">
        <v>1662.17</v>
      </c>
      <c r="M650" s="25">
        <f>IFERROR(VLOOKUP($C650,$C$5:$M$24,11,0)+SUMIF($C$25:$C650,$C650,$K$25:$K650)-SUMIF($C$25:$C650,$C650,$L$25:$L650),"")</f>
        <v>4064682.07</v>
      </c>
      <c r="N650" s="10"/>
      <c r="O650" s="10"/>
      <c r="P650" s="65"/>
      <c r="Q650" s="10"/>
      <c r="R650" s="10"/>
      <c r="S650" s="54">
        <f t="shared" si="36"/>
        <v>202604</v>
      </c>
      <c r="T650" s="54">
        <f t="shared" si="37"/>
        <v>202604</v>
      </c>
      <c r="U650" s="58" t="str">
        <f t="shared" si="38"/>
        <v/>
      </c>
      <c r="V650" s="58">
        <f>IF(AND($B650&lt;&gt;"",$F650&lt;&gt;"",$F650=项目明细账!$C$2),N(V649)+1,N(V649))</f>
        <v>0</v>
      </c>
      <c r="W650" s="63" t="str">
        <f>IF($H650&lt;&gt;"","项目成本",IFERROR(INDEX(基础资料!$W$4:$W$49,MATCH($I650,基础资料!$V$4:$V$49,0)),""))</f>
        <v>管理费用</v>
      </c>
      <c r="X650" s="63" t="str">
        <f>IFERROR(INDEX(基础资料!$R$4:$R$17,MATCH($G650,基础资料!$Q$4:$Q$17,0)),"")</f>
        <v/>
      </c>
    </row>
    <row r="651" spans="1:24">
      <c r="A651" s="58">
        <f>IF($B651="","",COUNTA($B$5:$B651))</f>
        <v>643</v>
      </c>
      <c r="B651" s="53">
        <v>46141</v>
      </c>
      <c r="C651" s="46" t="s">
        <v>99</v>
      </c>
      <c r="D651" s="63" t="str">
        <f>IFERROR(INDEX(基础资料!$F$4:$F$23,MATCH($C651,基础资料!$E$4:$E$23,0)),IF($C651="","","未匹配账户"))</f>
        <v>双思威</v>
      </c>
      <c r="E651" s="39"/>
      <c r="F651" s="10"/>
      <c r="G651" s="10"/>
      <c r="H651" s="10"/>
      <c r="I651" s="10" t="s">
        <v>234</v>
      </c>
      <c r="J651" s="69" t="s">
        <v>679</v>
      </c>
      <c r="K651" s="25"/>
      <c r="L651" s="25">
        <v>30</v>
      </c>
      <c r="M651" s="25">
        <f>IFERROR(VLOOKUP($C651,$C$5:$M$24,11,0)+SUMIF($C$25:$C651,$C651,$K$25:$K651)-SUMIF($C$25:$C651,$C651,$L$25:$L651),"")</f>
        <v>4064652.07</v>
      </c>
      <c r="N651" s="10"/>
      <c r="O651" s="10"/>
      <c r="P651" s="65"/>
      <c r="Q651" s="10"/>
      <c r="R651" s="10"/>
      <c r="S651" s="54">
        <f t="shared" si="36"/>
        <v>202604</v>
      </c>
      <c r="T651" s="54">
        <f t="shared" si="37"/>
        <v>202604</v>
      </c>
      <c r="U651" s="58" t="str">
        <f t="shared" si="38"/>
        <v/>
      </c>
      <c r="V651" s="58">
        <f>IF(AND($B651&lt;&gt;"",$F651&lt;&gt;"",$F651=项目明细账!$C$2),N(V650)+1,N(V650))</f>
        <v>0</v>
      </c>
      <c r="W651" s="63" t="str">
        <f>IF($H651&lt;&gt;"","项目成本",IFERROR(INDEX(基础资料!$W$4:$W$49,MATCH($I651,基础资料!$V$4:$V$49,0)),""))</f>
        <v>管理费用</v>
      </c>
      <c r="X651" s="63" t="str">
        <f>IFERROR(INDEX(基础资料!$R$4:$R$17,MATCH($G651,基础资料!$Q$4:$Q$17,0)),"")</f>
        <v/>
      </c>
    </row>
    <row r="652" spans="1:24">
      <c r="A652" s="58">
        <f>IF($B652="","",COUNTA($B$5:$B652))</f>
        <v>644</v>
      </c>
      <c r="B652" s="53">
        <v>46141</v>
      </c>
      <c r="C652" s="46" t="s">
        <v>99</v>
      </c>
      <c r="D652" s="63" t="str">
        <f>IFERROR(INDEX(基础资料!$F$4:$F$23,MATCH($C652,基础资料!$E$4:$E$23,0)),IF($C652="","","未匹配账户"))</f>
        <v>双思威</v>
      </c>
      <c r="E652" s="39"/>
      <c r="F652" s="10"/>
      <c r="G652" s="10"/>
      <c r="H652" s="10"/>
      <c r="I652" s="10" t="s">
        <v>234</v>
      </c>
      <c r="J652" s="69" t="s">
        <v>679</v>
      </c>
      <c r="K652" s="25"/>
      <c r="L652" s="25">
        <v>428</v>
      </c>
      <c r="M652" s="25">
        <f>IFERROR(VLOOKUP($C652,$C$5:$M$24,11,0)+SUMIF($C$25:$C652,$C652,$K$25:$K652)-SUMIF($C$25:$C652,$C652,$L$25:$L652),"")</f>
        <v>4064224.07</v>
      </c>
      <c r="N652" s="10"/>
      <c r="O652" s="10"/>
      <c r="P652" s="65"/>
      <c r="Q652" s="10"/>
      <c r="R652" s="10"/>
      <c r="S652" s="54">
        <f t="shared" si="36"/>
        <v>202604</v>
      </c>
      <c r="T652" s="54">
        <f t="shared" si="37"/>
        <v>202604</v>
      </c>
      <c r="U652" s="58" t="str">
        <f t="shared" si="38"/>
        <v/>
      </c>
      <c r="V652" s="58">
        <f>IF(AND($B652&lt;&gt;"",$F652&lt;&gt;"",$F652=项目明细账!$C$2),N(V651)+1,N(V651))</f>
        <v>0</v>
      </c>
      <c r="W652" s="63" t="str">
        <f>IF($H652&lt;&gt;"","项目成本",IFERROR(INDEX(基础资料!$W$4:$W$49,MATCH($I652,基础资料!$V$4:$V$49,0)),""))</f>
        <v>管理费用</v>
      </c>
      <c r="X652" s="63" t="str">
        <f>IFERROR(INDEX(基础资料!$R$4:$R$17,MATCH($G652,基础资料!$Q$4:$Q$17,0)),"")</f>
        <v/>
      </c>
    </row>
    <row r="653" spans="1:24">
      <c r="A653" s="58">
        <f>IF($B653="","",COUNTA($B$5:$B653))</f>
        <v>645</v>
      </c>
      <c r="B653" s="53">
        <v>46141</v>
      </c>
      <c r="C653" s="46" t="s">
        <v>99</v>
      </c>
      <c r="D653" s="63" t="str">
        <f>IFERROR(INDEX(基础资料!$F$4:$F$23,MATCH($C653,基础资料!$E$4:$E$23,0)),IF($C653="","","未匹配账户"))</f>
        <v>双思威</v>
      </c>
      <c r="E653" s="39"/>
      <c r="F653" s="10"/>
      <c r="G653" s="10"/>
      <c r="H653" s="10"/>
      <c r="I653" s="10" t="s">
        <v>234</v>
      </c>
      <c r="J653" s="69" t="s">
        <v>679</v>
      </c>
      <c r="K653" s="25"/>
      <c r="L653" s="25">
        <v>852.02</v>
      </c>
      <c r="M653" s="25">
        <f>IFERROR(VLOOKUP($C653,$C$5:$M$24,11,0)+SUMIF($C$25:$C653,$C653,$K$25:$K653)-SUMIF($C$25:$C653,$C653,$L$25:$L653),"")</f>
        <v>4063372.05</v>
      </c>
      <c r="N653" s="10"/>
      <c r="O653" s="10"/>
      <c r="P653" s="65"/>
      <c r="Q653" s="10"/>
      <c r="R653" s="10"/>
      <c r="S653" s="54">
        <f t="shared" si="36"/>
        <v>202604</v>
      </c>
      <c r="T653" s="54">
        <f t="shared" si="37"/>
        <v>202604</v>
      </c>
      <c r="U653" s="58" t="str">
        <f t="shared" si="38"/>
        <v/>
      </c>
      <c r="V653" s="58">
        <f>IF(AND($B653&lt;&gt;"",$F653&lt;&gt;"",$F653=项目明细账!$C$2),N(V652)+1,N(V652))</f>
        <v>0</v>
      </c>
      <c r="W653" s="63" t="str">
        <f>IF($H653&lt;&gt;"","项目成本",IFERROR(INDEX(基础资料!$W$4:$W$49,MATCH($I653,基础资料!$V$4:$V$49,0)),""))</f>
        <v>管理费用</v>
      </c>
      <c r="X653" s="63" t="str">
        <f>IFERROR(INDEX(基础资料!$R$4:$R$17,MATCH($G653,基础资料!$Q$4:$Q$17,0)),"")</f>
        <v/>
      </c>
    </row>
    <row r="654" spans="1:24">
      <c r="A654" s="58">
        <f>IF($B654="","",COUNTA($B$5:$B654))</f>
        <v>646</v>
      </c>
      <c r="B654" s="53">
        <v>46141</v>
      </c>
      <c r="C654" s="46" t="s">
        <v>99</v>
      </c>
      <c r="D654" s="63" t="str">
        <f>IFERROR(INDEX(基础资料!$F$4:$F$23,MATCH($C654,基础资料!$E$4:$E$23,0)),IF($C654="","","未匹配账户"))</f>
        <v>双思威</v>
      </c>
      <c r="E654" s="39"/>
      <c r="F654" s="10"/>
      <c r="G654" s="10"/>
      <c r="H654" s="10"/>
      <c r="I654" s="10" t="s">
        <v>234</v>
      </c>
      <c r="J654" s="69" t="s">
        <v>811</v>
      </c>
      <c r="K654" s="25"/>
      <c r="L654" s="25">
        <v>9325.16</v>
      </c>
      <c r="M654" s="25">
        <f>IFERROR(VLOOKUP($C654,$C$5:$M$24,11,0)+SUMIF($C$25:$C654,$C654,$K$25:$K654)-SUMIF($C$25:$C654,$C654,$L$25:$L654),"")</f>
        <v>4054046.89</v>
      </c>
      <c r="N654" s="10"/>
      <c r="O654" s="10"/>
      <c r="P654" s="65"/>
      <c r="Q654" s="10"/>
      <c r="R654" s="10"/>
      <c r="S654" s="54">
        <f t="shared" si="36"/>
        <v>202604</v>
      </c>
      <c r="T654" s="54">
        <f t="shared" si="37"/>
        <v>202604</v>
      </c>
      <c r="U654" s="58" t="str">
        <f t="shared" si="38"/>
        <v/>
      </c>
      <c r="V654" s="58">
        <f>IF(AND($B654&lt;&gt;"",$F654&lt;&gt;"",$F654=项目明细账!$C$2),N(V653)+1,N(V653))</f>
        <v>0</v>
      </c>
      <c r="W654" s="63" t="str">
        <f>IF($H654&lt;&gt;"","项目成本",IFERROR(INDEX(基础资料!$W$4:$W$49,MATCH($I654,基础资料!$V$4:$V$49,0)),""))</f>
        <v>管理费用</v>
      </c>
      <c r="X654" s="63" t="str">
        <f>IFERROR(INDEX(基础资料!$R$4:$R$17,MATCH($G654,基础资料!$Q$4:$Q$17,0)),"")</f>
        <v/>
      </c>
    </row>
    <row r="655" spans="1:24">
      <c r="A655" s="58">
        <f>IF($B655="","",COUNTA($B$5:$B655))</f>
        <v>647</v>
      </c>
      <c r="B655" s="53">
        <v>46141</v>
      </c>
      <c r="C655" s="46" t="s">
        <v>99</v>
      </c>
      <c r="D655" s="63" t="str">
        <f>IFERROR(INDEX(基础资料!$F$4:$F$23,MATCH($C655,基础资料!$E$4:$E$23,0)),IF($C655="","","未匹配账户"))</f>
        <v>双思威</v>
      </c>
      <c r="E655" s="39"/>
      <c r="F655" s="10"/>
      <c r="G655" s="10"/>
      <c r="H655" s="10"/>
      <c r="I655" s="10" t="s">
        <v>234</v>
      </c>
      <c r="J655" s="69" t="s">
        <v>536</v>
      </c>
      <c r="K655" s="25"/>
      <c r="L655" s="25">
        <v>5354</v>
      </c>
      <c r="M655" s="25">
        <f>IFERROR(VLOOKUP($C655,$C$5:$M$24,11,0)+SUMIF($C$25:$C655,$C655,$K$25:$K655)-SUMIF($C$25:$C655,$C655,$L$25:$L655),"")</f>
        <v>4048692.89</v>
      </c>
      <c r="N655" s="10"/>
      <c r="O655" s="10"/>
      <c r="P655" s="65"/>
      <c r="Q655" s="10"/>
      <c r="R655" s="10"/>
      <c r="S655" s="54">
        <f t="shared" si="36"/>
        <v>202604</v>
      </c>
      <c r="T655" s="54">
        <f t="shared" si="37"/>
        <v>202604</v>
      </c>
      <c r="U655" s="58" t="str">
        <f t="shared" si="38"/>
        <v/>
      </c>
      <c r="V655" s="58">
        <f>IF(AND($B655&lt;&gt;"",$F655&lt;&gt;"",$F655=项目明细账!$C$2),N(V654)+1,N(V654))</f>
        <v>0</v>
      </c>
      <c r="W655" s="63" t="str">
        <f>IF($H655&lt;&gt;"","项目成本",IFERROR(INDEX(基础资料!$W$4:$W$49,MATCH($I655,基础资料!$V$4:$V$49,0)),""))</f>
        <v>管理费用</v>
      </c>
      <c r="X655" s="63" t="str">
        <f>IFERROR(INDEX(基础资料!$R$4:$R$17,MATCH($G655,基础资料!$Q$4:$Q$17,0)),"")</f>
        <v/>
      </c>
    </row>
    <row r="656" spans="1:24">
      <c r="A656" s="58">
        <f>IF($B656="","",COUNTA($B$5:$B656))</f>
        <v>648</v>
      </c>
      <c r="B656" s="53">
        <v>46141</v>
      </c>
      <c r="C656" s="46" t="s">
        <v>99</v>
      </c>
      <c r="D656" s="63" t="str">
        <f>IFERROR(INDEX(基础资料!$F$4:$F$23,MATCH($C656,基础资料!$E$4:$E$23,0)),IF($C656="","","未匹配账户"))</f>
        <v>双思威</v>
      </c>
      <c r="E656" s="39"/>
      <c r="F656" s="10" t="s">
        <v>212</v>
      </c>
      <c r="G656" s="10"/>
      <c r="H656" s="10" t="s">
        <v>530</v>
      </c>
      <c r="I656" s="10"/>
      <c r="J656" s="69" t="s">
        <v>812</v>
      </c>
      <c r="K656" s="25"/>
      <c r="L656" s="25">
        <v>199</v>
      </c>
      <c r="M656" s="25">
        <f>IFERROR(VLOOKUP($C656,$C$5:$M$24,11,0)+SUMIF($C$25:$C656,$C656,$K$25:$K656)-SUMIF($C$25:$C656,$C656,$L$25:$L656),"")</f>
        <v>4048493.89</v>
      </c>
      <c r="N656" s="10"/>
      <c r="O656" s="10"/>
      <c r="P656" s="65"/>
      <c r="Q656" s="10"/>
      <c r="R656" s="10"/>
      <c r="S656" s="54">
        <f t="shared" si="36"/>
        <v>202604</v>
      </c>
      <c r="T656" s="54">
        <f t="shared" si="37"/>
        <v>202604</v>
      </c>
      <c r="U656" s="58" t="str">
        <f t="shared" si="38"/>
        <v/>
      </c>
      <c r="V656" s="58">
        <f>IF(AND($B656&lt;&gt;"",$F656&lt;&gt;"",$F656=项目明细账!$C$2),N(V655)+1,N(V655))</f>
        <v>0</v>
      </c>
      <c r="W656" s="63" t="str">
        <f>IF($H656&lt;&gt;"","项目成本",IFERROR(INDEX(基础资料!$W$4:$W$49,MATCH($I656,基础资料!$V$4:$V$49,0)),""))</f>
        <v>项目成本</v>
      </c>
      <c r="X656" s="63" t="str">
        <f>IFERROR(INDEX(基础资料!$R$4:$R$17,MATCH($G656,基础资料!$Q$4:$Q$17,0)),"")</f>
        <v/>
      </c>
    </row>
    <row r="657" spans="1:24">
      <c r="A657" s="58">
        <f>IF($B657="","",COUNTA($B$5:$B657))</f>
        <v>649</v>
      </c>
      <c r="B657" s="53">
        <v>46141</v>
      </c>
      <c r="C657" s="46" t="s">
        <v>99</v>
      </c>
      <c r="D657" s="63" t="str">
        <f>IFERROR(INDEX(基础资料!$F$4:$F$23,MATCH($C657,基础资料!$E$4:$E$23,0)),IF($C657="","","未匹配账户"))</f>
        <v>双思威</v>
      </c>
      <c r="E657" s="39"/>
      <c r="F657" s="10" t="s">
        <v>303</v>
      </c>
      <c r="G657" s="10"/>
      <c r="H657" s="10" t="s">
        <v>530</v>
      </c>
      <c r="I657" s="10"/>
      <c r="J657" s="69" t="s">
        <v>813</v>
      </c>
      <c r="K657" s="25"/>
      <c r="L657" s="25">
        <v>170</v>
      </c>
      <c r="M657" s="25">
        <f>IFERROR(VLOOKUP($C657,$C$5:$M$24,11,0)+SUMIF($C$25:$C657,$C657,$K$25:$K657)-SUMIF($C$25:$C657,$C657,$L$25:$L657),"")</f>
        <v>4048323.89</v>
      </c>
      <c r="N657" s="10"/>
      <c r="O657" s="10"/>
      <c r="P657" s="65"/>
      <c r="Q657" s="10"/>
      <c r="R657" s="10"/>
      <c r="S657" s="54">
        <f t="shared" si="36"/>
        <v>202604</v>
      </c>
      <c r="T657" s="54">
        <f t="shared" si="37"/>
        <v>202604</v>
      </c>
      <c r="U657" s="58" t="str">
        <f t="shared" si="38"/>
        <v/>
      </c>
      <c r="V657" s="58">
        <f>IF(AND($B657&lt;&gt;"",$F657&lt;&gt;"",$F657=项目明细账!$C$2),N(V656)+1,N(V656))</f>
        <v>0</v>
      </c>
      <c r="W657" s="63" t="str">
        <f>IF($H657&lt;&gt;"","项目成本",IFERROR(INDEX(基础资料!$W$4:$W$49,MATCH($I657,基础资料!$V$4:$V$49,0)),""))</f>
        <v>项目成本</v>
      </c>
      <c r="X657" s="63" t="str">
        <f>IFERROR(INDEX(基础资料!$R$4:$R$17,MATCH($G657,基础资料!$Q$4:$Q$17,0)),"")</f>
        <v/>
      </c>
    </row>
    <row r="658" spans="1:24">
      <c r="A658" s="58">
        <f>IF($B658="","",COUNTA($B$5:$B658))</f>
        <v>650</v>
      </c>
      <c r="B658" s="53">
        <v>46141</v>
      </c>
      <c r="C658" s="46" t="s">
        <v>99</v>
      </c>
      <c r="D658" s="63" t="str">
        <f>IFERROR(INDEX(基础资料!$F$4:$F$23,MATCH($C658,基础资料!$E$4:$E$23,0)),IF($C658="","","未匹配账户"))</f>
        <v>双思威</v>
      </c>
      <c r="E658" s="39"/>
      <c r="F658" s="10"/>
      <c r="G658" s="10"/>
      <c r="H658" s="10"/>
      <c r="I658" s="10"/>
      <c r="J658" s="85" t="s">
        <v>814</v>
      </c>
      <c r="K658" s="25"/>
      <c r="L658" s="25">
        <v>930</v>
      </c>
      <c r="M658" s="25">
        <f>IFERROR(VLOOKUP($C658,$C$5:$M$24,11,0)+SUMIF($C$25:$C658,$C658,$K$25:$K658)-SUMIF($C$25:$C658,$C658,$L$25:$L658),"")</f>
        <v>4047393.89</v>
      </c>
      <c r="N658" s="10"/>
      <c r="O658" s="10"/>
      <c r="P658" s="65"/>
      <c r="Q658" s="10"/>
      <c r="R658" s="10"/>
      <c r="S658" s="54">
        <f t="shared" si="36"/>
        <v>202604</v>
      </c>
      <c r="T658" s="54">
        <f t="shared" si="37"/>
        <v>202604</v>
      </c>
      <c r="U658" s="58" t="str">
        <f t="shared" si="38"/>
        <v/>
      </c>
      <c r="V658" s="58">
        <f>IF(AND($B658&lt;&gt;"",$F658&lt;&gt;"",$F658=项目明细账!$C$2),N(V657)+1,N(V657))</f>
        <v>0</v>
      </c>
      <c r="W658" s="63" t="str">
        <f>IF($H658&lt;&gt;"","项目成本",IFERROR(INDEX(基础资料!$W$4:$W$49,MATCH($I658,基础资料!$V$4:$V$49,0)),""))</f>
        <v/>
      </c>
      <c r="X658" s="63" t="str">
        <f>IFERROR(INDEX(基础资料!$R$4:$R$17,MATCH($G658,基础资料!$Q$4:$Q$17,0)),"")</f>
        <v/>
      </c>
    </row>
    <row r="659" spans="1:24">
      <c r="A659" s="58">
        <f>IF($B659="","",COUNTA($B$5:$B659))</f>
        <v>651</v>
      </c>
      <c r="B659" s="53">
        <v>46141</v>
      </c>
      <c r="C659" s="46" t="s">
        <v>99</v>
      </c>
      <c r="D659" s="63" t="str">
        <f>IFERROR(INDEX(基础资料!$F$4:$F$23,MATCH($C659,基础资料!$E$4:$E$23,0)),IF($C659="","","未匹配账户"))</f>
        <v>双思威</v>
      </c>
      <c r="E659" s="39"/>
      <c r="F659" s="10" t="s">
        <v>83</v>
      </c>
      <c r="G659" s="10"/>
      <c r="H659" s="10" t="s">
        <v>530</v>
      </c>
      <c r="I659" s="10"/>
      <c r="J659" s="69" t="s">
        <v>815</v>
      </c>
      <c r="K659" s="25"/>
      <c r="L659" s="25">
        <v>413</v>
      </c>
      <c r="M659" s="25">
        <f>IFERROR(VLOOKUP($C659,$C$5:$M$24,11,0)+SUMIF($C$25:$C659,$C659,$K$25:$K659)-SUMIF($C$25:$C659,$C659,$L$25:$L659),"")</f>
        <v>4046980.89</v>
      </c>
      <c r="N659" s="10"/>
      <c r="O659" s="10"/>
      <c r="P659" s="65"/>
      <c r="Q659" s="10"/>
      <c r="R659" s="10"/>
      <c r="S659" s="54">
        <f t="shared" si="36"/>
        <v>202604</v>
      </c>
      <c r="T659" s="54">
        <f t="shared" si="37"/>
        <v>202604</v>
      </c>
      <c r="U659" s="58" t="str">
        <f t="shared" si="38"/>
        <v/>
      </c>
      <c r="V659" s="58">
        <f>IF(AND($B659&lt;&gt;"",$F659&lt;&gt;"",$F659=项目明细账!$C$2),N(V658)+1,N(V658))</f>
        <v>0</v>
      </c>
      <c r="W659" s="63" t="str">
        <f>IF($H659&lt;&gt;"","项目成本",IFERROR(INDEX(基础资料!$W$4:$W$49,MATCH($I659,基础资料!$V$4:$V$49,0)),""))</f>
        <v>项目成本</v>
      </c>
      <c r="X659" s="63" t="str">
        <f>IFERROR(INDEX(基础资料!$R$4:$R$17,MATCH($G659,基础资料!$Q$4:$Q$17,0)),"")</f>
        <v/>
      </c>
    </row>
    <row r="660" spans="1:24">
      <c r="A660" s="58">
        <f>IF($B660="","",COUNTA($B$5:$B660))</f>
        <v>652</v>
      </c>
      <c r="B660" s="53">
        <v>46141</v>
      </c>
      <c r="C660" s="46" t="s">
        <v>99</v>
      </c>
      <c r="D660" s="63" t="str">
        <f>IFERROR(INDEX(基础资料!$F$4:$F$23,MATCH($C660,基础资料!$E$4:$E$23,0)),IF($C660="","","未匹配账户"))</f>
        <v>双思威</v>
      </c>
      <c r="E660" s="39"/>
      <c r="F660" s="10"/>
      <c r="G660" s="10"/>
      <c r="H660" s="10"/>
      <c r="I660" s="10" t="s">
        <v>234</v>
      </c>
      <c r="J660" s="69" t="s">
        <v>816</v>
      </c>
      <c r="K660" s="25"/>
      <c r="L660" s="25">
        <v>485</v>
      </c>
      <c r="M660" s="25">
        <f>IFERROR(VLOOKUP($C660,$C$5:$M$24,11,0)+SUMIF($C$25:$C660,$C660,$K$25:$K660)-SUMIF($C$25:$C660,$C660,$L$25:$L660),"")</f>
        <v>4046495.89</v>
      </c>
      <c r="N660" s="10"/>
      <c r="O660" s="10"/>
      <c r="P660" s="65"/>
      <c r="Q660" s="10"/>
      <c r="R660" s="10"/>
      <c r="S660" s="54">
        <f t="shared" si="36"/>
        <v>202604</v>
      </c>
      <c r="T660" s="54">
        <f t="shared" si="37"/>
        <v>202604</v>
      </c>
      <c r="U660" s="58" t="str">
        <f t="shared" si="38"/>
        <v/>
      </c>
      <c r="V660" s="58">
        <f>IF(AND($B660&lt;&gt;"",$F660&lt;&gt;"",$F660=项目明细账!$C$2),N(V659)+1,N(V659))</f>
        <v>0</v>
      </c>
      <c r="W660" s="63" t="str">
        <f>IF($H660&lt;&gt;"","项目成本",IFERROR(INDEX(基础资料!$W$4:$W$49,MATCH($I660,基础资料!$V$4:$V$49,0)),""))</f>
        <v>管理费用</v>
      </c>
      <c r="X660" s="63" t="str">
        <f>IFERROR(INDEX(基础资料!$R$4:$R$17,MATCH($G660,基础资料!$Q$4:$Q$17,0)),"")</f>
        <v/>
      </c>
    </row>
    <row r="661" spans="1:24">
      <c r="A661" s="58">
        <f>IF($B661="","",COUNTA($B$5:$B661))</f>
        <v>653</v>
      </c>
      <c r="B661" s="53">
        <v>46142</v>
      </c>
      <c r="C661" s="46" t="s">
        <v>99</v>
      </c>
      <c r="D661" s="63" t="str">
        <f>IFERROR(INDEX(基础资料!$F$4:$F$23,MATCH($C661,基础资料!$E$4:$E$23,0)),IF($C661="","","未匹配账户"))</f>
        <v>双思威</v>
      </c>
      <c r="E661" s="39"/>
      <c r="F661" s="10" t="s">
        <v>367</v>
      </c>
      <c r="G661" s="10"/>
      <c r="H661" s="10" t="s">
        <v>558</v>
      </c>
      <c r="I661" s="10"/>
      <c r="J661" s="69" t="s">
        <v>816</v>
      </c>
      <c r="K661" s="25"/>
      <c r="L661" s="25">
        <v>421</v>
      </c>
      <c r="M661" s="25">
        <f>IFERROR(VLOOKUP($C661,$C$5:$M$24,11,0)+SUMIF($C$25:$C661,$C661,$K$25:$K661)-SUMIF($C$25:$C661,$C661,$L$25:$L661),"")</f>
        <v>4046074.89</v>
      </c>
      <c r="N661" s="10"/>
      <c r="O661" s="10"/>
      <c r="P661" s="65"/>
      <c r="Q661" s="10"/>
      <c r="R661" s="10"/>
      <c r="S661" s="54">
        <f t="shared" si="36"/>
        <v>202604</v>
      </c>
      <c r="T661" s="54">
        <f t="shared" si="37"/>
        <v>202604</v>
      </c>
      <c r="U661" s="58" t="str">
        <f t="shared" si="38"/>
        <v/>
      </c>
      <c r="V661" s="58">
        <f>IF(AND($B661&lt;&gt;"",$F661&lt;&gt;"",$F661=项目明细账!$C$2),N(V660)+1,N(V660))</f>
        <v>0</v>
      </c>
      <c r="W661" s="63" t="str">
        <f>IF($H661&lt;&gt;"","项目成本",IFERROR(INDEX(基础资料!$W$4:$W$49,MATCH($I661,基础资料!$V$4:$V$49,0)),""))</f>
        <v>项目成本</v>
      </c>
      <c r="X661" s="63" t="str">
        <f>IFERROR(INDEX(基础资料!$R$4:$R$17,MATCH($G661,基础资料!$Q$4:$Q$17,0)),"")</f>
        <v/>
      </c>
    </row>
    <row r="662" spans="1:24">
      <c r="A662" s="58">
        <f>IF($B662="","",COUNTA($B$5:$B662))</f>
        <v>654</v>
      </c>
      <c r="B662" s="53">
        <v>46142</v>
      </c>
      <c r="C662" s="46" t="s">
        <v>99</v>
      </c>
      <c r="D662" s="63" t="str">
        <f>IFERROR(INDEX(基础资料!$F$4:$F$23,MATCH($C662,基础资料!$E$4:$E$23,0)),IF($C662="","","未匹配账户"))</f>
        <v>双思威</v>
      </c>
      <c r="E662" s="39"/>
      <c r="F662" s="10" t="s">
        <v>367</v>
      </c>
      <c r="G662" s="10"/>
      <c r="H662" s="10" t="s">
        <v>558</v>
      </c>
      <c r="I662" s="10"/>
      <c r="J662" s="70" t="s">
        <v>817</v>
      </c>
      <c r="K662" s="25"/>
      <c r="L662" s="25">
        <v>15950</v>
      </c>
      <c r="M662" s="25">
        <f>IFERROR(VLOOKUP($C662,$C$5:$M$24,11,0)+SUMIF($C$25:$C662,$C662,$K$25:$K662)-SUMIF($C$25:$C662,$C662,$L$25:$L662),"")</f>
        <v>4030124.89</v>
      </c>
      <c r="N662" s="10"/>
      <c r="O662" s="10"/>
      <c r="P662" s="65"/>
      <c r="Q662" s="10"/>
      <c r="R662" s="10"/>
      <c r="S662" s="54">
        <f t="shared" si="36"/>
        <v>202604</v>
      </c>
      <c r="T662" s="54">
        <f t="shared" si="37"/>
        <v>202604</v>
      </c>
      <c r="U662" s="58" t="str">
        <f t="shared" si="38"/>
        <v/>
      </c>
      <c r="V662" s="58">
        <f>IF(AND($B662&lt;&gt;"",$F662&lt;&gt;"",$F662=项目明细账!$C$2),N(V661)+1,N(V661))</f>
        <v>0</v>
      </c>
      <c r="W662" s="63" t="str">
        <f>IF($H662&lt;&gt;"","项目成本",IFERROR(INDEX(基础资料!$W$4:$W$49,MATCH($I662,基础资料!$V$4:$V$49,0)),""))</f>
        <v>项目成本</v>
      </c>
      <c r="X662" s="63" t="str">
        <f>IFERROR(INDEX(基础资料!$R$4:$R$17,MATCH($G662,基础资料!$Q$4:$Q$17,0)),"")</f>
        <v/>
      </c>
    </row>
    <row r="663" spans="1:24">
      <c r="A663" s="58">
        <f>IF($B663="","",COUNTA($B$5:$B663))</f>
        <v>655</v>
      </c>
      <c r="B663" s="53">
        <v>46142</v>
      </c>
      <c r="C663" s="46" t="s">
        <v>99</v>
      </c>
      <c r="D663" s="63" t="str">
        <f>IFERROR(INDEX(基础资料!$F$4:$F$23,MATCH($C663,基础资料!$E$4:$E$23,0)),IF($C663="","","未匹配账户"))</f>
        <v>双思威</v>
      </c>
      <c r="E663" s="39"/>
      <c r="F663" s="10"/>
      <c r="G663" s="10"/>
      <c r="H663" s="10"/>
      <c r="I663" s="10" t="s">
        <v>234</v>
      </c>
      <c r="J663" s="70" t="s">
        <v>818</v>
      </c>
      <c r="K663" s="25"/>
      <c r="L663" s="25">
        <v>2700</v>
      </c>
      <c r="M663" s="25">
        <f>IFERROR(VLOOKUP($C663,$C$5:$M$24,11,0)+SUMIF($C$25:$C663,$C663,$K$25:$K663)-SUMIF($C$25:$C663,$C663,$L$25:$L663),"")</f>
        <v>4027424.89</v>
      </c>
      <c r="N663" s="10"/>
      <c r="O663" s="10"/>
      <c r="P663" s="65"/>
      <c r="Q663" s="10"/>
      <c r="R663" s="10"/>
      <c r="S663" s="54">
        <f t="shared" si="36"/>
        <v>202604</v>
      </c>
      <c r="T663" s="54">
        <f t="shared" si="37"/>
        <v>202604</v>
      </c>
      <c r="U663" s="58" t="str">
        <f t="shared" si="38"/>
        <v/>
      </c>
      <c r="V663" s="58">
        <f>IF(AND($B663&lt;&gt;"",$F663&lt;&gt;"",$F663=项目明细账!$C$2),N(V662)+1,N(V662))</f>
        <v>0</v>
      </c>
      <c r="W663" s="63" t="str">
        <f>IF($H663&lt;&gt;"","项目成本",IFERROR(INDEX(基础资料!$W$4:$W$49,MATCH($I663,基础资料!$V$4:$V$49,0)),""))</f>
        <v>管理费用</v>
      </c>
      <c r="X663" s="63" t="str">
        <f>IFERROR(INDEX(基础资料!$R$4:$R$17,MATCH($G663,基础资料!$Q$4:$Q$17,0)),"")</f>
        <v/>
      </c>
    </row>
    <row r="664" spans="1:24">
      <c r="A664" s="58">
        <f>IF($B664="","",COUNTA($B$5:$B664))</f>
        <v>656</v>
      </c>
      <c r="B664" s="53">
        <v>46127</v>
      </c>
      <c r="C664" s="46" t="s">
        <v>114</v>
      </c>
      <c r="D664" s="63" t="str">
        <f>IFERROR(INDEX(基础资料!$F$4:$F$23,MATCH($C664,基础资料!$E$4:$E$23,0)),IF($C664="","","未匹配账户"))</f>
        <v>晨拓</v>
      </c>
      <c r="E664" s="39"/>
      <c r="F664" s="10"/>
      <c r="G664" s="10"/>
      <c r="H664" s="10"/>
      <c r="I664" s="10" t="s">
        <v>237</v>
      </c>
      <c r="J664" s="69" t="s">
        <v>601</v>
      </c>
      <c r="K664" s="25"/>
      <c r="L664" s="25">
        <v>4955.75</v>
      </c>
      <c r="M664" s="25">
        <f>IFERROR(VLOOKUP($C664,$C$5:$M$24,11,0)+SUMIF($C$25:$C664,$C664,$K$25:$K664)-SUMIF($C$25:$C664,$C664,$L$25:$L664),"")</f>
        <v>1510069.52</v>
      </c>
      <c r="N664" s="10"/>
      <c r="O664" s="10"/>
      <c r="P664" s="65"/>
      <c r="Q664" s="10"/>
      <c r="R664" s="10"/>
      <c r="S664" s="54">
        <f t="shared" si="36"/>
        <v>202604</v>
      </c>
      <c r="T664" s="54">
        <f t="shared" si="37"/>
        <v>202604</v>
      </c>
      <c r="U664" s="58" t="str">
        <f t="shared" si="38"/>
        <v/>
      </c>
      <c r="V664" s="58">
        <f>IF(AND($B664&lt;&gt;"",$F664&lt;&gt;"",$F664=项目明细账!$C$2),N(V663)+1,N(V663))</f>
        <v>0</v>
      </c>
      <c r="W664" s="63" t="str">
        <f>IF($H664&lt;&gt;"","项目成本",IFERROR(INDEX(基础资料!$W$4:$W$49,MATCH($I664,基础资料!$V$4:$V$49,0)),""))</f>
        <v>人工社保</v>
      </c>
      <c r="X664" s="63" t="str">
        <f>IFERROR(INDEX(基础资料!$R$4:$R$17,MATCH($G664,基础资料!$Q$4:$Q$17,0)),"")</f>
        <v/>
      </c>
    </row>
    <row r="665" spans="1:24">
      <c r="A665" s="58">
        <f>IF($B665="","",COUNTA($B$5:$B665))</f>
        <v>657</v>
      </c>
      <c r="B665" s="53">
        <v>46132</v>
      </c>
      <c r="C665" s="46" t="s">
        <v>114</v>
      </c>
      <c r="D665" s="63" t="str">
        <f>IFERROR(INDEX(基础资料!$F$4:$F$23,MATCH($C665,基础资料!$E$4:$E$23,0)),IF($C665="","","未匹配账户"))</f>
        <v>晨拓</v>
      </c>
      <c r="E665" s="39"/>
      <c r="F665" s="10"/>
      <c r="G665" s="10"/>
      <c r="H665" s="10"/>
      <c r="I665" s="10" t="s">
        <v>246</v>
      </c>
      <c r="J665" s="69" t="s">
        <v>598</v>
      </c>
      <c r="K665" s="25"/>
      <c r="L665" s="25">
        <v>1277.4</v>
      </c>
      <c r="M665" s="25">
        <f>IFERROR(VLOOKUP($C665,$C$5:$M$24,11,0)+SUMIF($C$25:$C665,$C665,$K$25:$K665)-SUMIF($C$25:$C665,$C665,$L$25:$L665),"")</f>
        <v>1508792.12</v>
      </c>
      <c r="N665" s="10"/>
      <c r="O665" s="10"/>
      <c r="P665" s="65"/>
      <c r="Q665" s="10"/>
      <c r="R665" s="10"/>
      <c r="S665" s="54">
        <f t="shared" si="36"/>
        <v>202604</v>
      </c>
      <c r="T665" s="54">
        <f t="shared" si="37"/>
        <v>202604</v>
      </c>
      <c r="U665" s="58" t="str">
        <f t="shared" si="38"/>
        <v/>
      </c>
      <c r="V665" s="58">
        <f>IF(AND($B665&lt;&gt;"",$F665&lt;&gt;"",$F665=项目明细账!$C$2),N(V664)+1,N(V664))</f>
        <v>0</v>
      </c>
      <c r="W665" s="63" t="str">
        <f>IF($H665&lt;&gt;"","项目成本",IFERROR(INDEX(基础资料!$W$4:$W$49,MATCH($I665,基础资料!$V$4:$V$49,0)),""))</f>
        <v>人工社保</v>
      </c>
      <c r="X665" s="63" t="str">
        <f>IFERROR(INDEX(基础资料!$R$4:$R$17,MATCH($G665,基础资料!$Q$4:$Q$17,0)),"")</f>
        <v/>
      </c>
    </row>
    <row r="666" spans="1:24">
      <c r="A666" s="58">
        <f>IF($B666="","",COUNTA($B$5:$B666))</f>
        <v>658</v>
      </c>
      <c r="B666" s="53">
        <v>46132</v>
      </c>
      <c r="C666" s="46" t="s">
        <v>114</v>
      </c>
      <c r="D666" s="63" t="str">
        <f>IFERROR(INDEX(基础资料!$F$4:$F$23,MATCH($C666,基础资料!$E$4:$E$23,0)),IF($C666="","","未匹配账户"))</f>
        <v>晨拓</v>
      </c>
      <c r="E666" s="39"/>
      <c r="F666" s="10"/>
      <c r="G666" s="10"/>
      <c r="H666" s="10"/>
      <c r="I666" s="10" t="s">
        <v>248</v>
      </c>
      <c r="J666" s="69" t="s">
        <v>600</v>
      </c>
      <c r="K666" s="25"/>
      <c r="L666" s="25">
        <v>556.25</v>
      </c>
      <c r="M666" s="25">
        <f>IFERROR(VLOOKUP($C666,$C$5:$M$24,11,0)+SUMIF($C$25:$C666,$C666,$K$25:$K666)-SUMIF($C$25:$C666,$C666,$L$25:$L666),"")</f>
        <v>1508235.87</v>
      </c>
      <c r="N666" s="10"/>
      <c r="O666" s="10"/>
      <c r="P666" s="65"/>
      <c r="Q666" s="10"/>
      <c r="R666" s="10"/>
      <c r="S666" s="54">
        <f t="shared" si="36"/>
        <v>202604</v>
      </c>
      <c r="T666" s="54">
        <f t="shared" si="37"/>
        <v>202604</v>
      </c>
      <c r="U666" s="58" t="str">
        <f t="shared" si="38"/>
        <v/>
      </c>
      <c r="V666" s="58">
        <f>IF(AND($B666&lt;&gt;"",$F666&lt;&gt;"",$F666=项目明细账!$C$2),N(V665)+1,N(V665))</f>
        <v>0</v>
      </c>
      <c r="W666" s="63" t="str">
        <f>IF($H666&lt;&gt;"","项目成本",IFERROR(INDEX(基础资料!$W$4:$W$49,MATCH($I666,基础资料!$V$4:$V$49,0)),""))</f>
        <v>人工社保</v>
      </c>
      <c r="X666" s="63" t="str">
        <f>IFERROR(INDEX(基础资料!$R$4:$R$17,MATCH($G666,基础资料!$Q$4:$Q$17,0)),"")</f>
        <v/>
      </c>
    </row>
    <row r="667" spans="1:24">
      <c r="A667" s="58">
        <f>IF($B667="","",COUNTA($B$5:$B667))</f>
        <v>659</v>
      </c>
      <c r="B667" s="53">
        <v>46132</v>
      </c>
      <c r="C667" s="46" t="s">
        <v>114</v>
      </c>
      <c r="D667" s="63" t="str">
        <f>IFERROR(INDEX(基础资料!$F$4:$F$23,MATCH($C667,基础资料!$E$4:$E$23,0)),IF($C667="","","未匹配账户"))</f>
        <v>晨拓</v>
      </c>
      <c r="E667" s="39"/>
      <c r="F667" s="10"/>
      <c r="G667" s="10"/>
      <c r="H667" s="10"/>
      <c r="I667" s="10" t="s">
        <v>270</v>
      </c>
      <c r="J667" s="69" t="s">
        <v>524</v>
      </c>
      <c r="K667" s="25"/>
      <c r="L667" s="25">
        <v>2.01</v>
      </c>
      <c r="M667" s="25">
        <f>IFERROR(VLOOKUP($C667,$C$5:$M$24,11,0)+SUMIF($C$25:$C667,$C667,$K$25:$K667)-SUMIF($C$25:$C667,$C667,$L$25:$L667),"")</f>
        <v>1508233.86</v>
      </c>
      <c r="N667" s="10"/>
      <c r="O667" s="10"/>
      <c r="P667" s="65"/>
      <c r="Q667" s="10"/>
      <c r="R667" s="10"/>
      <c r="S667" s="54">
        <f t="shared" si="36"/>
        <v>202604</v>
      </c>
      <c r="T667" s="54">
        <f t="shared" si="37"/>
        <v>202604</v>
      </c>
      <c r="U667" s="58" t="str">
        <f t="shared" si="38"/>
        <v/>
      </c>
      <c r="V667" s="58">
        <f>IF(AND($B667&lt;&gt;"",$F667&lt;&gt;"",$F667=项目明细账!$C$2),N(V666)+1,N(V666))</f>
        <v>0</v>
      </c>
      <c r="W667" s="63" t="str">
        <f>IF($H667&lt;&gt;"","项目成本",IFERROR(INDEX(基础资料!$W$4:$W$49,MATCH($I667,基础资料!$V$4:$V$49,0)),""))</f>
        <v>税费</v>
      </c>
      <c r="X667" s="63" t="str">
        <f>IFERROR(INDEX(基础资料!$R$4:$R$17,MATCH($G667,基础资料!$Q$4:$Q$17,0)),"")</f>
        <v/>
      </c>
    </row>
    <row r="668" spans="1:24">
      <c r="A668" s="58">
        <f>IF($B668="","",COUNTA($B$5:$B668))</f>
        <v>660</v>
      </c>
      <c r="B668" s="53">
        <v>46139</v>
      </c>
      <c r="C668" s="46" t="s">
        <v>114</v>
      </c>
      <c r="D668" s="63" t="str">
        <f>IFERROR(INDEX(基础资料!$F$4:$F$23,MATCH($C668,基础资料!$E$4:$E$23,0)),IF($C668="","","未匹配账户"))</f>
        <v>晨拓</v>
      </c>
      <c r="E668" s="39"/>
      <c r="F668" s="10"/>
      <c r="G668" s="10"/>
      <c r="H668" s="10"/>
      <c r="I668" s="10"/>
      <c r="J668" s="69" t="s">
        <v>819</v>
      </c>
      <c r="K668" s="25"/>
      <c r="L668" s="25">
        <v>200</v>
      </c>
      <c r="M668" s="25">
        <f>IFERROR(VLOOKUP($C668,$C$5:$M$24,11,0)+SUMIF($C$25:$C668,$C668,$K$25:$K668)-SUMIF($C$25:$C668,$C668,$L$25:$L668),"")</f>
        <v>1508033.86</v>
      </c>
      <c r="N668" s="10"/>
      <c r="O668" s="10"/>
      <c r="P668" s="65"/>
      <c r="Q668" s="10"/>
      <c r="R668" s="10"/>
      <c r="S668" s="54">
        <f t="shared" si="36"/>
        <v>202604</v>
      </c>
      <c r="T668" s="54">
        <f t="shared" si="37"/>
        <v>202604</v>
      </c>
      <c r="U668" s="58" t="str">
        <f t="shared" si="38"/>
        <v/>
      </c>
      <c r="V668" s="58">
        <f>IF(AND($B668&lt;&gt;"",$F668&lt;&gt;"",$F668=项目明细账!$C$2),N(V667)+1,N(V667))</f>
        <v>0</v>
      </c>
      <c r="W668" s="63" t="str">
        <f>IF($H668&lt;&gt;"","项目成本",IFERROR(INDEX(基础资料!$W$4:$W$49,MATCH($I668,基础资料!$V$4:$V$49,0)),""))</f>
        <v/>
      </c>
      <c r="X668" s="63" t="str">
        <f>IFERROR(INDEX(基础资料!$R$4:$R$17,MATCH($G668,基础资料!$Q$4:$Q$17,0)),"")</f>
        <v/>
      </c>
    </row>
    <row r="669" spans="1:24">
      <c r="A669" s="58">
        <f>IF($B669="","",COUNTA($B$5:$B669))</f>
        <v>661</v>
      </c>
      <c r="B669" s="53">
        <v>46141</v>
      </c>
      <c r="C669" s="46" t="s">
        <v>114</v>
      </c>
      <c r="D669" s="63" t="str">
        <f>IFERROR(INDEX(基础资料!$F$4:$F$23,MATCH($C669,基础资料!$E$4:$E$23,0)),IF($C669="","","未匹配账户"))</f>
        <v>晨拓</v>
      </c>
      <c r="E669" s="39"/>
      <c r="F669" s="10"/>
      <c r="G669" s="10"/>
      <c r="H669" s="10"/>
      <c r="I669" s="10" t="s">
        <v>234</v>
      </c>
      <c r="J669" s="70" t="s">
        <v>669</v>
      </c>
      <c r="K669" s="25"/>
      <c r="L669" s="25">
        <v>300</v>
      </c>
      <c r="M669" s="25">
        <f>IFERROR(VLOOKUP($C669,$C$5:$M$24,11,0)+SUMIF($C$25:$C669,$C669,$K$25:$K669)-SUMIF($C$25:$C669,$C669,$L$25:$L669),"")</f>
        <v>1507733.86</v>
      </c>
      <c r="N669" s="10"/>
      <c r="O669" s="10"/>
      <c r="P669" s="65"/>
      <c r="Q669" s="10"/>
      <c r="R669" s="10"/>
      <c r="S669" s="54">
        <f t="shared" si="36"/>
        <v>202604</v>
      </c>
      <c r="T669" s="54">
        <f t="shared" si="37"/>
        <v>202604</v>
      </c>
      <c r="U669" s="58" t="str">
        <f t="shared" si="38"/>
        <v/>
      </c>
      <c r="V669" s="58">
        <f>IF(AND($B669&lt;&gt;"",$F669&lt;&gt;"",$F669=项目明细账!$C$2),N(V668)+1,N(V668))</f>
        <v>0</v>
      </c>
      <c r="W669" s="63" t="str">
        <f>IF($H669&lt;&gt;"","项目成本",IFERROR(INDEX(基础资料!$W$4:$W$49,MATCH($I669,基础资料!$V$4:$V$49,0)),""))</f>
        <v>管理费用</v>
      </c>
      <c r="X669" s="63" t="str">
        <f>IFERROR(INDEX(基础资料!$R$4:$R$17,MATCH($G669,基础资料!$Q$4:$Q$17,0)),"")</f>
        <v/>
      </c>
    </row>
    <row r="670" spans="1:24">
      <c r="A670" s="58">
        <f>IF($B670="","",COUNTA($B$5:$B670))</f>
        <v>662</v>
      </c>
      <c r="B670" s="53">
        <v>46127</v>
      </c>
      <c r="C670" s="46" t="s">
        <v>126</v>
      </c>
      <c r="D670" s="63" t="str">
        <f>IFERROR(INDEX(基础资料!$F$4:$F$23,MATCH($C670,基础资料!$E$4:$E$23,0)),IF($C670="","","未匹配账户"))</f>
        <v>元界极光</v>
      </c>
      <c r="E670" s="39"/>
      <c r="F670" s="10"/>
      <c r="G670" s="10"/>
      <c r="H670" s="10"/>
      <c r="I670" s="10" t="s">
        <v>248</v>
      </c>
      <c r="J670" s="69" t="s">
        <v>600</v>
      </c>
      <c r="K670" s="25"/>
      <c r="L670" s="25">
        <v>1323.02</v>
      </c>
      <c r="M670" s="25">
        <f>IFERROR(VLOOKUP($C670,$C$5:$M$24,11,0)+SUMIF($C$25:$C670,$C670,$K$25:$K670)-SUMIF($C$25:$C670,$C670,$L$25:$L670),"")</f>
        <v>420120.29</v>
      </c>
      <c r="N670" s="10"/>
      <c r="O670" s="10"/>
      <c r="P670" s="65"/>
      <c r="Q670" s="10"/>
      <c r="R670" s="10"/>
      <c r="S670" s="54">
        <f t="shared" si="36"/>
        <v>202604</v>
      </c>
      <c r="T670" s="54">
        <f t="shared" si="37"/>
        <v>202604</v>
      </c>
      <c r="U670" s="58" t="str">
        <f t="shared" si="38"/>
        <v/>
      </c>
      <c r="V670" s="58">
        <f>IF(AND($B670&lt;&gt;"",$F670&lt;&gt;"",$F670=项目明细账!$C$2),N(V669)+1,N(V669))</f>
        <v>0</v>
      </c>
      <c r="W670" s="63" t="str">
        <f>IF($H670&lt;&gt;"","项目成本",IFERROR(INDEX(基础资料!$W$4:$W$49,MATCH($I670,基础资料!$V$4:$V$49,0)),""))</f>
        <v>人工社保</v>
      </c>
      <c r="X670" s="63" t="str">
        <f>IFERROR(INDEX(基础资料!$R$4:$R$17,MATCH($G670,基础资料!$Q$4:$Q$17,0)),"")</f>
        <v/>
      </c>
    </row>
    <row r="671" spans="1:24">
      <c r="A671" s="58">
        <f>IF($B671="","",COUNTA($B$5:$B671))</f>
        <v>663</v>
      </c>
      <c r="B671" s="53">
        <v>46132</v>
      </c>
      <c r="C671" s="46" t="s">
        <v>126</v>
      </c>
      <c r="D671" s="63" t="str">
        <f>IFERROR(INDEX(基础资料!$F$4:$F$23,MATCH($C671,基础资料!$E$4:$E$23,0)),IF($C671="","","未匹配账户"))</f>
        <v>元界极光</v>
      </c>
      <c r="E671" s="39"/>
      <c r="F671" s="10"/>
      <c r="G671" s="10"/>
      <c r="H671" s="10"/>
      <c r="I671" s="10" t="s">
        <v>246</v>
      </c>
      <c r="J671" s="69" t="s">
        <v>598</v>
      </c>
      <c r="K671" s="25"/>
      <c r="L671" s="25">
        <v>623.49</v>
      </c>
      <c r="M671" s="25">
        <f>IFERROR(VLOOKUP($C671,$C$5:$M$24,11,0)+SUMIF($C$25:$C671,$C671,$K$25:$K671)-SUMIF($C$25:$C671,$C671,$L$25:$L671),"")</f>
        <v>419496.8</v>
      </c>
      <c r="N671" s="10"/>
      <c r="O671" s="10"/>
      <c r="P671" s="65"/>
      <c r="Q671" s="10"/>
      <c r="R671" s="10"/>
      <c r="S671" s="54">
        <f t="shared" si="36"/>
        <v>202604</v>
      </c>
      <c r="T671" s="54">
        <f t="shared" si="37"/>
        <v>202604</v>
      </c>
      <c r="U671" s="58" t="str">
        <f t="shared" si="38"/>
        <v/>
      </c>
      <c r="V671" s="58">
        <f>IF(AND($B671&lt;&gt;"",$F671&lt;&gt;"",$F671=项目明细账!$C$2),N(V670)+1,N(V670))</f>
        <v>0</v>
      </c>
      <c r="W671" s="63" t="str">
        <f>IF($H671&lt;&gt;"","项目成本",IFERROR(INDEX(基础资料!$W$4:$W$49,MATCH($I671,基础资料!$V$4:$V$49,0)),""))</f>
        <v>人工社保</v>
      </c>
      <c r="X671" s="63" t="str">
        <f>IFERROR(INDEX(基础资料!$R$4:$R$17,MATCH($G671,基础资料!$Q$4:$Q$17,0)),"")</f>
        <v/>
      </c>
    </row>
    <row r="672" spans="1:24">
      <c r="A672" s="58">
        <f>IF($B672="","",COUNTA($B$5:$B672))</f>
        <v>664</v>
      </c>
      <c r="B672" s="53">
        <v>46132</v>
      </c>
      <c r="C672" s="46" t="s">
        <v>126</v>
      </c>
      <c r="D672" s="63" t="str">
        <f>IFERROR(INDEX(基础资料!$F$4:$F$23,MATCH($C672,基础资料!$E$4:$E$23,0)),IF($C672="","","未匹配账户"))</f>
        <v>元界极光</v>
      </c>
      <c r="E672" s="39"/>
      <c r="F672" s="10"/>
      <c r="G672" s="10"/>
      <c r="H672" s="10"/>
      <c r="I672" s="10" t="s">
        <v>237</v>
      </c>
      <c r="J672" s="69" t="s">
        <v>602</v>
      </c>
      <c r="K672" s="25"/>
      <c r="L672" s="25">
        <v>3942.4</v>
      </c>
      <c r="M672" s="25">
        <f>IFERROR(VLOOKUP($C672,$C$5:$M$24,11,0)+SUMIF($C$25:$C672,$C672,$K$25:$K672)-SUMIF($C$25:$C672,$C672,$L$25:$L672),"")</f>
        <v>415554.4</v>
      </c>
      <c r="N672" s="10"/>
      <c r="O672" s="10"/>
      <c r="P672" s="65"/>
      <c r="Q672" s="10"/>
      <c r="R672" s="10"/>
      <c r="S672" s="54">
        <f t="shared" si="36"/>
        <v>202604</v>
      </c>
      <c r="T672" s="54">
        <f t="shared" si="37"/>
        <v>202604</v>
      </c>
      <c r="U672" s="58" t="str">
        <f t="shared" si="38"/>
        <v/>
      </c>
      <c r="V672" s="58">
        <f>IF(AND($B672&lt;&gt;"",$F672&lt;&gt;"",$F672=项目明细账!$C$2),N(V671)+1,N(V671))</f>
        <v>0</v>
      </c>
      <c r="W672" s="63" t="str">
        <f>IF($H672&lt;&gt;"","项目成本",IFERROR(INDEX(基础资料!$W$4:$W$49,MATCH($I672,基础资料!$V$4:$V$49,0)),""))</f>
        <v>人工社保</v>
      </c>
      <c r="X672" s="63" t="str">
        <f>IFERROR(INDEX(基础资料!$R$4:$R$17,MATCH($G672,基础资料!$Q$4:$Q$17,0)),"")</f>
        <v/>
      </c>
    </row>
    <row r="673" spans="1:24">
      <c r="A673" s="58">
        <f>IF($B673="","",COUNTA($B$5:$B673))</f>
        <v>665</v>
      </c>
      <c r="B673" s="53">
        <v>46141</v>
      </c>
      <c r="C673" s="46" t="s">
        <v>126</v>
      </c>
      <c r="D673" s="63" t="str">
        <f>IFERROR(INDEX(基础资料!$F$4:$F$23,MATCH($C673,基础资料!$E$4:$E$23,0)),IF($C673="","","未匹配账户"))</f>
        <v>元界极光</v>
      </c>
      <c r="E673" s="39"/>
      <c r="F673" s="10" t="s">
        <v>218</v>
      </c>
      <c r="G673" s="10"/>
      <c r="H673" s="10" t="s">
        <v>530</v>
      </c>
      <c r="I673" s="10"/>
      <c r="J673" s="69" t="s">
        <v>820</v>
      </c>
      <c r="K673" s="25"/>
      <c r="L673" s="25">
        <v>419.58</v>
      </c>
      <c r="M673" s="25">
        <f>IFERROR(VLOOKUP($C673,$C$5:$M$24,11,0)+SUMIF($C$25:$C673,$C673,$K$25:$K673)-SUMIF($C$25:$C673,$C673,$L$25:$L673),"")</f>
        <v>415134.82</v>
      </c>
      <c r="N673" s="10"/>
      <c r="O673" s="10"/>
      <c r="P673" s="65"/>
      <c r="Q673" s="10"/>
      <c r="R673" s="10"/>
      <c r="S673" s="54">
        <f t="shared" si="36"/>
        <v>202604</v>
      </c>
      <c r="T673" s="54">
        <f t="shared" si="37"/>
        <v>202604</v>
      </c>
      <c r="U673" s="58" t="str">
        <f t="shared" si="38"/>
        <v/>
      </c>
      <c r="V673" s="58">
        <f>IF(AND($B673&lt;&gt;"",$F673&lt;&gt;"",$F673=项目明细账!$C$2),N(V672)+1,N(V672))</f>
        <v>0</v>
      </c>
      <c r="W673" s="63" t="str">
        <f>IF($H673&lt;&gt;"","项目成本",IFERROR(INDEX(基础资料!$W$4:$W$49,MATCH($I673,基础资料!$V$4:$V$49,0)),""))</f>
        <v>项目成本</v>
      </c>
      <c r="X673" s="63" t="str">
        <f>IFERROR(INDEX(基础资料!$R$4:$R$17,MATCH($G673,基础资料!$Q$4:$Q$17,0)),"")</f>
        <v/>
      </c>
    </row>
    <row r="674" spans="1:24">
      <c r="A674" s="58">
        <f>IF($B674="","",COUNTA($B$5:$B674))</f>
        <v>666</v>
      </c>
      <c r="B674" s="53">
        <v>46119</v>
      </c>
      <c r="C674" s="46" t="s">
        <v>140</v>
      </c>
      <c r="D674" s="63" t="str">
        <f>IFERROR(INDEX(基础资料!$F$4:$F$23,MATCH($C674,基础资料!$E$4:$E$23,0)),IF($C674="","","未匹配账户"))</f>
        <v>元界极光</v>
      </c>
      <c r="E674" s="39"/>
      <c r="F674" s="10"/>
      <c r="G674" s="10"/>
      <c r="H674" s="10"/>
      <c r="I674" s="10" t="s">
        <v>234</v>
      </c>
      <c r="J674" s="71" t="s">
        <v>821</v>
      </c>
      <c r="K674" s="25"/>
      <c r="L674" s="25">
        <v>1248</v>
      </c>
      <c r="M674" s="25">
        <f>IFERROR(VLOOKUP($C674,$C$5:$M$24,11,0)+SUMIF($C$25:$C674,$C674,$K$25:$K674)-SUMIF($C$25:$C674,$C674,$L$25:$L674),"")</f>
        <v>256208.67</v>
      </c>
      <c r="N674" s="10"/>
      <c r="O674" s="10"/>
      <c r="P674" s="65"/>
      <c r="Q674" s="10"/>
      <c r="R674" s="10"/>
      <c r="S674" s="54">
        <f t="shared" si="36"/>
        <v>202604</v>
      </c>
      <c r="T674" s="54">
        <f t="shared" si="37"/>
        <v>202604</v>
      </c>
      <c r="U674" s="58" t="str">
        <f t="shared" si="38"/>
        <v/>
      </c>
      <c r="V674" s="58">
        <f>IF(AND($B674&lt;&gt;"",$F674&lt;&gt;"",$F674=项目明细账!$C$2),N(V673)+1,N(V673))</f>
        <v>0</v>
      </c>
      <c r="W674" s="63" t="str">
        <f>IF($H674&lt;&gt;"","项目成本",IFERROR(INDEX(基础资料!$W$4:$W$49,MATCH($I674,基础资料!$V$4:$V$49,0)),""))</f>
        <v>管理费用</v>
      </c>
      <c r="X674" s="63" t="str">
        <f>IFERROR(INDEX(基础资料!$R$4:$R$17,MATCH($G674,基础资料!$Q$4:$Q$17,0)),"")</f>
        <v/>
      </c>
    </row>
    <row r="675" spans="1:24">
      <c r="A675" s="58">
        <f>IF($B675="","",COUNTA($B$5:$B675))</f>
        <v>667</v>
      </c>
      <c r="B675" s="53">
        <v>46120</v>
      </c>
      <c r="C675" s="46" t="s">
        <v>140</v>
      </c>
      <c r="D675" s="63" t="str">
        <f>IFERROR(INDEX(基础资料!$F$4:$F$23,MATCH($C675,基础资料!$E$4:$E$23,0)),IF($C675="","","未匹配账户"))</f>
        <v>元界极光</v>
      </c>
      <c r="E675" s="39"/>
      <c r="F675" s="10"/>
      <c r="G675" s="10"/>
      <c r="H675" s="10"/>
      <c r="I675" s="10"/>
      <c r="J675" s="70" t="s">
        <v>822</v>
      </c>
      <c r="K675" s="25"/>
      <c r="L675" s="25">
        <v>100</v>
      </c>
      <c r="M675" s="25">
        <f>IFERROR(VLOOKUP($C675,$C$5:$M$24,11,0)+SUMIF($C$25:$C675,$C675,$K$25:$K675)-SUMIF($C$25:$C675,$C675,$L$25:$L675),"")</f>
        <v>256108.67</v>
      </c>
      <c r="N675" s="10"/>
      <c r="O675" s="10"/>
      <c r="P675" s="65"/>
      <c r="Q675" s="10"/>
      <c r="R675" s="10"/>
      <c r="S675" s="54">
        <f t="shared" si="36"/>
        <v>202604</v>
      </c>
      <c r="T675" s="54">
        <f t="shared" si="37"/>
        <v>202604</v>
      </c>
      <c r="U675" s="58" t="str">
        <f t="shared" si="38"/>
        <v/>
      </c>
      <c r="V675" s="58">
        <f>IF(AND($B675&lt;&gt;"",$F675&lt;&gt;"",$F675=项目明细账!$C$2),N(V674)+1,N(V674))</f>
        <v>0</v>
      </c>
      <c r="W675" s="63" t="str">
        <f>IF($H675&lt;&gt;"","项目成本",IFERROR(INDEX(基础资料!$W$4:$W$49,MATCH($I675,基础资料!$V$4:$V$49,0)),""))</f>
        <v/>
      </c>
      <c r="X675" s="63" t="str">
        <f>IFERROR(INDEX(基础资料!$R$4:$R$17,MATCH($G675,基础资料!$Q$4:$Q$17,0)),"")</f>
        <v/>
      </c>
    </row>
    <row r="676" spans="1:24">
      <c r="A676" s="58">
        <f>IF($B676="","",COUNTA($B$5:$B676))</f>
        <v>668</v>
      </c>
      <c r="B676" s="53">
        <v>46127</v>
      </c>
      <c r="C676" s="46" t="s">
        <v>140</v>
      </c>
      <c r="D676" s="63" t="str">
        <f>IFERROR(INDEX(基础资料!$F$4:$F$23,MATCH($C676,基础资料!$E$4:$E$23,0)),IF($C676="","","未匹配账户"))</f>
        <v>元界极光</v>
      </c>
      <c r="E676" s="39"/>
      <c r="F676" s="10"/>
      <c r="G676" s="10"/>
      <c r="H676" s="10"/>
      <c r="I676" s="10"/>
      <c r="J676" s="69" t="s">
        <v>823</v>
      </c>
      <c r="K676" s="25">
        <v>396980</v>
      </c>
      <c r="L676" s="25"/>
      <c r="M676" s="25">
        <f>IFERROR(VLOOKUP($C676,$C$5:$M$24,11,0)+SUMIF($C$25:$C676,$C676,$K$25:$K676)-SUMIF($C$25:$C676,$C676,$L$25:$L676),"")</f>
        <v>653088.67</v>
      </c>
      <c r="N676" s="10"/>
      <c r="O676" s="10"/>
      <c r="P676" s="65"/>
      <c r="Q676" s="10"/>
      <c r="R676" s="10"/>
      <c r="S676" s="54">
        <f t="shared" si="36"/>
        <v>202604</v>
      </c>
      <c r="T676" s="54">
        <f t="shared" si="37"/>
        <v>202604</v>
      </c>
      <c r="U676" s="58" t="str">
        <f t="shared" si="38"/>
        <v/>
      </c>
      <c r="V676" s="58">
        <f>IF(AND($B676&lt;&gt;"",$F676&lt;&gt;"",$F676=项目明细账!$C$2),N(V675)+1,N(V675))</f>
        <v>0</v>
      </c>
      <c r="W676" s="63" t="str">
        <f>IF($H676&lt;&gt;"","项目成本",IFERROR(INDEX(基础资料!$W$4:$W$49,MATCH($I676,基础资料!$V$4:$V$49,0)),""))</f>
        <v/>
      </c>
      <c r="X676" s="63" t="str">
        <f>IFERROR(INDEX(基础资料!$R$4:$R$17,MATCH($G676,基础资料!$Q$4:$Q$17,0)),"")</f>
        <v/>
      </c>
    </row>
    <row r="677" spans="1:24">
      <c r="A677" s="58">
        <f>IF($B677="","",COUNTA($B$5:$B677))</f>
        <v>669</v>
      </c>
      <c r="B677" s="53">
        <v>46129</v>
      </c>
      <c r="C677" s="46" t="s">
        <v>150</v>
      </c>
      <c r="D677" s="63" t="str">
        <f>IFERROR(INDEX(基础资料!$F$4:$F$23,MATCH($C677,基础资料!$E$4:$E$23,0)),IF($C677="","","未匹配账户"))</f>
        <v>瑞盛天</v>
      </c>
      <c r="E677" s="39"/>
      <c r="F677" s="10"/>
      <c r="G677" s="10"/>
      <c r="H677" s="10"/>
      <c r="I677" s="10" t="s">
        <v>262</v>
      </c>
      <c r="J677" s="69" t="s">
        <v>604</v>
      </c>
      <c r="K677" s="25"/>
      <c r="L677" s="25">
        <v>479.99</v>
      </c>
      <c r="M677" s="25">
        <f>IFERROR(VLOOKUP($C677,$C$5:$M$24,11,0)+SUMIF($C$25:$C677,$C677,$K$25:$K677)-SUMIF($C$25:$C677,$C677,$L$25:$L677),"")</f>
        <v>593625.390000001</v>
      </c>
      <c r="N677" s="10"/>
      <c r="O677" s="10"/>
      <c r="P677" s="65"/>
      <c r="Q677" s="10"/>
      <c r="R677" s="10"/>
      <c r="S677" s="54">
        <f t="shared" si="36"/>
        <v>202604</v>
      </c>
      <c r="T677" s="54">
        <f t="shared" si="37"/>
        <v>202604</v>
      </c>
      <c r="U677" s="58" t="str">
        <f t="shared" si="38"/>
        <v/>
      </c>
      <c r="V677" s="58">
        <f>IF(AND($B677&lt;&gt;"",$F677&lt;&gt;"",$F677=项目明细账!$C$2),N(V676)+1,N(V676))</f>
        <v>0</v>
      </c>
      <c r="W677" s="63" t="str">
        <f>IF($H677&lt;&gt;"","项目成本",IFERROR(INDEX(基础资料!$W$4:$W$49,MATCH($I677,基础资料!$V$4:$V$49,0)),""))</f>
        <v>税费</v>
      </c>
      <c r="X677" s="63" t="str">
        <f>IFERROR(INDEX(基础资料!$R$4:$R$17,MATCH($G677,基础资料!$Q$4:$Q$17,0)),"")</f>
        <v/>
      </c>
    </row>
    <row r="678" spans="1:24">
      <c r="A678" s="58">
        <f>IF($B678="","",COUNTA($B$5:$B678))</f>
        <v>670</v>
      </c>
      <c r="B678" s="53">
        <v>46129</v>
      </c>
      <c r="C678" s="46" t="s">
        <v>150</v>
      </c>
      <c r="D678" s="63" t="str">
        <f>IFERROR(INDEX(基础资料!$F$4:$F$23,MATCH($C678,基础资料!$E$4:$E$23,0)),IF($C678="","","未匹配账户"))</f>
        <v>瑞盛天</v>
      </c>
      <c r="E678" s="39"/>
      <c r="F678" s="10"/>
      <c r="G678" s="10"/>
      <c r="H678" s="10"/>
      <c r="I678" s="10" t="s">
        <v>270</v>
      </c>
      <c r="J678" s="69" t="s">
        <v>524</v>
      </c>
      <c r="K678" s="25"/>
      <c r="L678" s="25">
        <v>1158.87</v>
      </c>
      <c r="M678" s="25">
        <f>IFERROR(VLOOKUP($C678,$C$5:$M$24,11,0)+SUMIF($C$25:$C678,$C678,$K$25:$K678)-SUMIF($C$25:$C678,$C678,$L$25:$L678),"")</f>
        <v>592466.52</v>
      </c>
      <c r="N678" s="10"/>
      <c r="O678" s="10"/>
      <c r="P678" s="65"/>
      <c r="Q678" s="10"/>
      <c r="R678" s="10"/>
      <c r="S678" s="54">
        <f t="shared" si="36"/>
        <v>202604</v>
      </c>
      <c r="T678" s="54">
        <f t="shared" si="37"/>
        <v>202604</v>
      </c>
      <c r="U678" s="58" t="str">
        <f t="shared" si="38"/>
        <v/>
      </c>
      <c r="V678" s="58">
        <f>IF(AND($B678&lt;&gt;"",$F678&lt;&gt;"",$F678=项目明细账!$C$2),N(V677)+1,N(V677))</f>
        <v>0</v>
      </c>
      <c r="W678" s="63" t="str">
        <f>IF($H678&lt;&gt;"","项目成本",IFERROR(INDEX(基础资料!$W$4:$W$49,MATCH($I678,基础资料!$V$4:$V$49,0)),""))</f>
        <v>税费</v>
      </c>
      <c r="X678" s="63" t="str">
        <f>IFERROR(INDEX(基础资料!$R$4:$R$17,MATCH($G678,基础资料!$Q$4:$Q$17,0)),"")</f>
        <v/>
      </c>
    </row>
    <row r="679" spans="1:24">
      <c r="A679" s="58">
        <f>IF($B679="","",COUNTA($B$5:$B679))</f>
        <v>671</v>
      </c>
      <c r="B679" s="53">
        <v>46129</v>
      </c>
      <c r="C679" s="46" t="s">
        <v>150</v>
      </c>
      <c r="D679" s="63" t="str">
        <f>IFERROR(INDEX(基础资料!$F$4:$F$23,MATCH($C679,基础资料!$E$4:$E$23,0)),IF($C679="","","未匹配账户"))</f>
        <v>瑞盛天</v>
      </c>
      <c r="E679" s="39"/>
      <c r="F679" s="10"/>
      <c r="G679" s="10"/>
      <c r="H679" s="10"/>
      <c r="I679" s="10" t="s">
        <v>273</v>
      </c>
      <c r="J679" s="69" t="s">
        <v>597</v>
      </c>
      <c r="K679" s="25"/>
      <c r="L679" s="25">
        <v>4519.05</v>
      </c>
      <c r="M679" s="25">
        <f>IFERROR(VLOOKUP($C679,$C$5:$M$24,11,0)+SUMIF($C$25:$C679,$C679,$K$25:$K679)-SUMIF($C$25:$C679,$C679,$L$25:$L679),"")</f>
        <v>587947.470000001</v>
      </c>
      <c r="N679" s="10"/>
      <c r="O679" s="10"/>
      <c r="P679" s="65"/>
      <c r="Q679" s="10"/>
      <c r="R679" s="10"/>
      <c r="S679" s="54">
        <f t="shared" si="36"/>
        <v>202604</v>
      </c>
      <c r="T679" s="54">
        <f t="shared" si="37"/>
        <v>202604</v>
      </c>
      <c r="U679" s="58" t="str">
        <f t="shared" si="38"/>
        <v/>
      </c>
      <c r="V679" s="58">
        <f>IF(AND($B679&lt;&gt;"",$F679&lt;&gt;"",$F679=项目明细账!$C$2),N(V678)+1,N(V678))</f>
        <v>0</v>
      </c>
      <c r="W679" s="63" t="str">
        <f>IF($H679&lt;&gt;"","项目成本",IFERROR(INDEX(基础资料!$W$4:$W$49,MATCH($I679,基础资料!$V$4:$V$49,0)),""))</f>
        <v>税费</v>
      </c>
      <c r="X679" s="63" t="str">
        <f>IFERROR(INDEX(基础资料!$R$4:$R$17,MATCH($G679,基础资料!$Q$4:$Q$17,0)),"")</f>
        <v/>
      </c>
    </row>
    <row r="680" spans="1:24">
      <c r="A680" s="58">
        <f>IF($B680="","",COUNTA($B$5:$B680))</f>
        <v>672</v>
      </c>
      <c r="B680" s="53">
        <v>46134</v>
      </c>
      <c r="C680" s="46" t="s">
        <v>150</v>
      </c>
      <c r="D680" s="63" t="str">
        <f>IFERROR(INDEX(基础资料!$F$4:$F$23,MATCH($C680,基础资料!$E$4:$E$23,0)),IF($C680="","","未匹配账户"))</f>
        <v>瑞盛天</v>
      </c>
      <c r="E680" s="39"/>
      <c r="F680" s="10"/>
      <c r="G680" s="10"/>
      <c r="H680" s="10"/>
      <c r="I680" s="10" t="s">
        <v>246</v>
      </c>
      <c r="J680" s="69" t="s">
        <v>526</v>
      </c>
      <c r="K680" s="25"/>
      <c r="L680" s="25">
        <v>2590.28</v>
      </c>
      <c r="M680" s="25">
        <f>IFERROR(VLOOKUP($C680,$C$5:$M$24,11,0)+SUMIF($C$25:$C680,$C680,$K$25:$K680)-SUMIF($C$25:$C680,$C680,$L$25:$L680),"")</f>
        <v>585357.19</v>
      </c>
      <c r="N680" s="10"/>
      <c r="O680" s="10"/>
      <c r="P680" s="65"/>
      <c r="Q680" s="10"/>
      <c r="R680" s="10"/>
      <c r="S680" s="54">
        <f t="shared" si="36"/>
        <v>202604</v>
      </c>
      <c r="T680" s="54">
        <f t="shared" si="37"/>
        <v>202604</v>
      </c>
      <c r="U680" s="58" t="str">
        <f t="shared" si="38"/>
        <v/>
      </c>
      <c r="V680" s="58">
        <f>IF(AND($B680&lt;&gt;"",$F680&lt;&gt;"",$F680=项目明细账!$C$2),N(V679)+1,N(V679))</f>
        <v>0</v>
      </c>
      <c r="W680" s="63" t="str">
        <f>IF($H680&lt;&gt;"","项目成本",IFERROR(INDEX(基础资料!$W$4:$W$49,MATCH($I680,基础资料!$V$4:$V$49,0)),""))</f>
        <v>人工社保</v>
      </c>
      <c r="X680" s="63" t="str">
        <f>IFERROR(INDEX(基础资料!$R$4:$R$17,MATCH($G680,基础资料!$Q$4:$Q$17,0)),"")</f>
        <v/>
      </c>
    </row>
    <row r="681" spans="1:24">
      <c r="A681" s="58">
        <f>IF($B681="","",COUNTA($B$5:$B681))</f>
        <v>673</v>
      </c>
      <c r="B681" s="53">
        <v>46134</v>
      </c>
      <c r="C681" s="46" t="s">
        <v>150</v>
      </c>
      <c r="D681" s="63" t="str">
        <f>IFERROR(INDEX(基础资料!$F$4:$F$23,MATCH($C681,基础资料!$E$4:$E$23,0)),IF($C681="","","未匹配账户"))</f>
        <v>瑞盛天</v>
      </c>
      <c r="E681" s="39"/>
      <c r="F681" s="10"/>
      <c r="G681" s="10"/>
      <c r="H681" s="10"/>
      <c r="I681" s="10" t="s">
        <v>248</v>
      </c>
      <c r="J681" s="69" t="s">
        <v>527</v>
      </c>
      <c r="K681" s="25"/>
      <c r="L681" s="25">
        <v>1196.3</v>
      </c>
      <c r="M681" s="25">
        <f>IFERROR(VLOOKUP($C681,$C$5:$M$24,11,0)+SUMIF($C$25:$C681,$C681,$K$25:$K681)-SUMIF($C$25:$C681,$C681,$L$25:$L681),"")</f>
        <v>584160.890000001</v>
      </c>
      <c r="N681" s="10"/>
      <c r="O681" s="10"/>
      <c r="P681" s="65"/>
      <c r="Q681" s="10"/>
      <c r="R681" s="10"/>
      <c r="S681" s="54">
        <f t="shared" si="36"/>
        <v>202604</v>
      </c>
      <c r="T681" s="54">
        <f t="shared" si="37"/>
        <v>202604</v>
      </c>
      <c r="U681" s="58" t="str">
        <f t="shared" si="38"/>
        <v/>
      </c>
      <c r="V681" s="58">
        <f>IF(AND($B681&lt;&gt;"",$F681&lt;&gt;"",$F681=项目明细账!$C$2),N(V680)+1,N(V680))</f>
        <v>0</v>
      </c>
      <c r="W681" s="63" t="str">
        <f>IF($H681&lt;&gt;"","项目成本",IFERROR(INDEX(基础资料!$W$4:$W$49,MATCH($I681,基础资料!$V$4:$V$49,0)),""))</f>
        <v>人工社保</v>
      </c>
      <c r="X681" s="63" t="str">
        <f>IFERROR(INDEX(基础资料!$R$4:$R$17,MATCH($G681,基础资料!$Q$4:$Q$17,0)),"")</f>
        <v/>
      </c>
    </row>
    <row r="682" spans="1:24">
      <c r="A682" s="58" t="str">
        <f>IF($B682="","",COUNTA($B$5:$B682))</f>
        <v/>
      </c>
      <c r="B682" s="53"/>
      <c r="C682" s="46"/>
      <c r="D682" s="63" t="str">
        <f>IFERROR(INDEX(基础资料!$F$4:$F$23,MATCH($C682,基础资料!$E$4:$E$23,0)),IF($C682="","","未匹配账户"))</f>
        <v/>
      </c>
      <c r="E682" s="39"/>
      <c r="F682" s="10"/>
      <c r="G682" s="10"/>
      <c r="H682" s="10"/>
      <c r="I682" s="10"/>
      <c r="J682" s="70" t="s">
        <v>824</v>
      </c>
      <c r="K682" s="25"/>
      <c r="L682" s="25">
        <v>4850</v>
      </c>
      <c r="M682" s="25" t="str">
        <f>IFERROR(VLOOKUP($C682,$C$5:$M$24,11,0)+SUMIF($C$25:$C682,$C682,$K$25:$K682)-SUMIF($C$25:$C682,$C682,$L$25:$L682),"")</f>
        <v/>
      </c>
      <c r="N682" s="10"/>
      <c r="O682" s="10"/>
      <c r="P682" s="65"/>
      <c r="Q682" s="10"/>
      <c r="R682" s="10"/>
      <c r="S682" s="54" t="str">
        <f t="shared" si="36"/>
        <v/>
      </c>
      <c r="T682" s="54" t="str">
        <f t="shared" si="37"/>
        <v/>
      </c>
      <c r="U682" s="58" t="str">
        <f t="shared" si="38"/>
        <v/>
      </c>
      <c r="V682" s="58">
        <f>IF(AND($B682&lt;&gt;"",$F682&lt;&gt;"",$F682=项目明细账!$C$2),N(V681)+1,N(V681))</f>
        <v>0</v>
      </c>
      <c r="W682" s="63" t="str">
        <f>IF($H682&lt;&gt;"","项目成本",IFERROR(INDEX(基础资料!$W$4:$W$49,MATCH($I682,基础资料!$V$4:$V$49,0)),""))</f>
        <v/>
      </c>
      <c r="X682" s="63" t="str">
        <f>IFERROR(INDEX(基础资料!$R$4:$R$17,MATCH($G682,基础资料!$Q$4:$Q$17,0)),"")</f>
        <v/>
      </c>
    </row>
    <row r="683" spans="1:24">
      <c r="A683" s="58" t="str">
        <f>IF($B683="","",COUNTA($B$5:$B683))</f>
        <v/>
      </c>
      <c r="B683" s="53"/>
      <c r="C683" s="46"/>
      <c r="D683" s="63" t="str">
        <f>IFERROR(INDEX(基础资料!$F$4:$F$23,MATCH($C683,基础资料!$E$4:$E$23,0)),IF($C683="","","未匹配账户"))</f>
        <v/>
      </c>
      <c r="E683" s="39"/>
      <c r="F683" s="10"/>
      <c r="G683" s="10"/>
      <c r="H683" s="10"/>
      <c r="I683" s="10"/>
      <c r="J683" s="71" t="s">
        <v>825</v>
      </c>
      <c r="K683" s="25"/>
      <c r="L683" s="25">
        <v>2000</v>
      </c>
      <c r="M683" s="25" t="str">
        <f>IFERROR(VLOOKUP($C683,$C$5:$M$24,11,0)+SUMIF($C$25:$C683,$C683,$K$25:$K683)-SUMIF($C$25:$C683,$C683,$L$25:$L683),"")</f>
        <v/>
      </c>
      <c r="N683" s="10"/>
      <c r="O683" s="10"/>
      <c r="P683" s="65"/>
      <c r="Q683" s="10"/>
      <c r="R683" s="10"/>
      <c r="S683" s="54" t="str">
        <f t="shared" si="36"/>
        <v/>
      </c>
      <c r="T683" s="54" t="str">
        <f t="shared" si="37"/>
        <v/>
      </c>
      <c r="U683" s="58" t="str">
        <f t="shared" si="38"/>
        <v/>
      </c>
      <c r="V683" s="58">
        <f>IF(AND($B683&lt;&gt;"",$F683&lt;&gt;"",$F683=项目明细账!$C$2),N(V682)+1,N(V682))</f>
        <v>0</v>
      </c>
      <c r="W683" s="63" t="str">
        <f>IF($H683&lt;&gt;"","项目成本",IFERROR(INDEX(基础资料!$W$4:$W$49,MATCH($I683,基础资料!$V$4:$V$49,0)),""))</f>
        <v/>
      </c>
      <c r="X683" s="63" t="str">
        <f>IFERROR(INDEX(基础资料!$R$4:$R$17,MATCH($G683,基础资料!$Q$4:$Q$17,0)),"")</f>
        <v/>
      </c>
    </row>
    <row r="684" spans="1:24">
      <c r="A684" s="58" t="str">
        <f>IF($B684="","",COUNTA($B$5:$B684))</f>
        <v/>
      </c>
      <c r="B684" s="53"/>
      <c r="C684" s="46"/>
      <c r="D684" s="63" t="str">
        <f>IFERROR(INDEX(基础资料!$F$4:$F$23,MATCH($C684,基础资料!$E$4:$E$23,0)),IF($C684="","","未匹配账户"))</f>
        <v/>
      </c>
      <c r="E684" s="39"/>
      <c r="F684" s="10"/>
      <c r="G684" s="10"/>
      <c r="H684" s="10"/>
      <c r="I684" s="10"/>
      <c r="J684" s="71" t="s">
        <v>620</v>
      </c>
      <c r="K684" s="25"/>
      <c r="L684" s="25">
        <v>2300</v>
      </c>
      <c r="M684" s="25" t="str">
        <f>IFERROR(VLOOKUP($C684,$C$5:$M$24,11,0)+SUMIF($C$25:$C684,$C684,$K$25:$K684)-SUMIF($C$25:$C684,$C684,$L$25:$L684),"")</f>
        <v/>
      </c>
      <c r="N684" s="10"/>
      <c r="O684" s="10"/>
      <c r="P684" s="65"/>
      <c r="Q684" s="10"/>
      <c r="R684" s="10"/>
      <c r="S684" s="54" t="str">
        <f t="shared" si="36"/>
        <v/>
      </c>
      <c r="T684" s="54" t="str">
        <f t="shared" si="37"/>
        <v/>
      </c>
      <c r="U684" s="58" t="str">
        <f t="shared" si="38"/>
        <v/>
      </c>
      <c r="V684" s="58">
        <f>IF(AND($B684&lt;&gt;"",$F684&lt;&gt;"",$F684=项目明细账!$C$2),N(V683)+1,N(V683))</f>
        <v>0</v>
      </c>
      <c r="W684" s="63" t="str">
        <f>IF($H684&lt;&gt;"","项目成本",IFERROR(INDEX(基础资料!$W$4:$W$49,MATCH($I684,基础资料!$V$4:$V$49,0)),""))</f>
        <v/>
      </c>
      <c r="X684" s="63" t="str">
        <f>IFERROR(INDEX(基础资料!$R$4:$R$17,MATCH($G684,基础资料!$Q$4:$Q$17,0)),"")</f>
        <v/>
      </c>
    </row>
    <row r="685" spans="1:24">
      <c r="A685" s="58" t="str">
        <f>IF($B685="","",COUNTA($B$5:$B685))</f>
        <v/>
      </c>
      <c r="B685" s="53"/>
      <c r="C685" s="46"/>
      <c r="D685" s="63" t="str">
        <f>IFERROR(INDEX(基础资料!$F$4:$F$23,MATCH($C685,基础资料!$E$4:$E$23,0)),IF($C685="","","未匹配账户"))</f>
        <v/>
      </c>
      <c r="E685" s="39"/>
      <c r="F685" s="10"/>
      <c r="G685" s="10"/>
      <c r="H685" s="10"/>
      <c r="I685" s="10"/>
      <c r="J685" s="71" t="s">
        <v>621</v>
      </c>
      <c r="K685" s="25"/>
      <c r="L685" s="25">
        <v>3564.33</v>
      </c>
      <c r="M685" s="25" t="str">
        <f>IFERROR(VLOOKUP($C685,$C$5:$M$24,11,0)+SUMIF($C$25:$C685,$C685,$K$25:$K685)-SUMIF($C$25:$C685,$C685,$L$25:$L685),"")</f>
        <v/>
      </c>
      <c r="N685" s="10"/>
      <c r="O685" s="10"/>
      <c r="P685" s="65"/>
      <c r="Q685" s="10"/>
      <c r="R685" s="10"/>
      <c r="S685" s="54" t="str">
        <f t="shared" si="36"/>
        <v/>
      </c>
      <c r="T685" s="54" t="str">
        <f t="shared" si="37"/>
        <v/>
      </c>
      <c r="U685" s="58" t="str">
        <f t="shared" si="38"/>
        <v/>
      </c>
      <c r="V685" s="58">
        <f>IF(AND($B685&lt;&gt;"",$F685&lt;&gt;"",$F685=项目明细账!$C$2),N(V684)+1,N(V684))</f>
        <v>0</v>
      </c>
      <c r="W685" s="63" t="str">
        <f>IF($H685&lt;&gt;"","项目成本",IFERROR(INDEX(基础资料!$W$4:$W$49,MATCH($I685,基础资料!$V$4:$V$49,0)),""))</f>
        <v/>
      </c>
      <c r="X685" s="63" t="str">
        <f>IFERROR(INDEX(基础资料!$R$4:$R$17,MATCH($G685,基础资料!$Q$4:$Q$17,0)),"")</f>
        <v/>
      </c>
    </row>
    <row r="686" spans="1:24">
      <c r="A686" s="58" t="str">
        <f>IF($B686="","",COUNTA($B$5:$B686))</f>
        <v/>
      </c>
      <c r="B686" s="53"/>
      <c r="C686" s="46"/>
      <c r="D686" s="63" t="str">
        <f>IFERROR(INDEX(基础资料!$F$4:$F$23,MATCH($C686,基础资料!$E$4:$E$23,0)),IF($C686="","","未匹配账户"))</f>
        <v/>
      </c>
      <c r="E686" s="39"/>
      <c r="F686" s="10"/>
      <c r="G686" s="10"/>
      <c r="H686" s="10"/>
      <c r="I686" s="10"/>
      <c r="J686" s="69" t="s">
        <v>826</v>
      </c>
      <c r="K686" s="25"/>
      <c r="L686" s="25">
        <v>100000</v>
      </c>
      <c r="M686" s="25" t="str">
        <f>IFERROR(VLOOKUP($C686,$C$5:$M$24,11,0)+SUMIF($C$25:$C686,$C686,$K$25:$K686)-SUMIF($C$25:$C686,$C686,$L$25:$L686),"")</f>
        <v/>
      </c>
      <c r="N686" s="10"/>
      <c r="O686" s="10"/>
      <c r="P686" s="65"/>
      <c r="Q686" s="10"/>
      <c r="R686" s="10"/>
      <c r="S686" s="54" t="str">
        <f t="shared" si="36"/>
        <v/>
      </c>
      <c r="T686" s="54" t="str">
        <f t="shared" si="37"/>
        <v/>
      </c>
      <c r="U686" s="58" t="str">
        <f t="shared" si="38"/>
        <v/>
      </c>
      <c r="V686" s="58">
        <f>IF(AND($B686&lt;&gt;"",$F686&lt;&gt;"",$F686=项目明细账!$C$2),N(V685)+1,N(V685))</f>
        <v>0</v>
      </c>
      <c r="W686" s="63" t="str">
        <f>IF($H686&lt;&gt;"","项目成本",IFERROR(INDEX(基础资料!$W$4:$W$49,MATCH($I686,基础资料!$V$4:$V$49,0)),""))</f>
        <v/>
      </c>
      <c r="X686" s="63" t="str">
        <f>IFERROR(INDEX(基础资料!$R$4:$R$17,MATCH($G686,基础资料!$Q$4:$Q$17,0)),"")</f>
        <v/>
      </c>
    </row>
    <row r="687" spans="1:24">
      <c r="A687" s="58" t="str">
        <f>IF($B687="","",COUNTA($B$5:$B687))</f>
        <v/>
      </c>
      <c r="B687" s="53"/>
      <c r="C687" s="46"/>
      <c r="D687" s="63" t="str">
        <f>IFERROR(INDEX(基础资料!$F$4:$F$23,MATCH($C687,基础资料!$E$4:$E$23,0)),IF($C687="","","未匹配账户"))</f>
        <v/>
      </c>
      <c r="E687" s="39"/>
      <c r="F687" s="10"/>
      <c r="G687" s="10"/>
      <c r="H687" s="10"/>
      <c r="I687" s="10"/>
      <c r="J687" s="69" t="s">
        <v>619</v>
      </c>
      <c r="K687" s="25"/>
      <c r="L687" s="25">
        <v>938.57</v>
      </c>
      <c r="M687" s="25" t="str">
        <f>IFERROR(VLOOKUP($C687,$C$5:$M$24,11,0)+SUMIF($C$25:$C687,$C687,$K$25:$K687)-SUMIF($C$25:$C687,$C687,$L$25:$L687),"")</f>
        <v/>
      </c>
      <c r="N687" s="10"/>
      <c r="O687" s="10"/>
      <c r="P687" s="65"/>
      <c r="Q687" s="10"/>
      <c r="R687" s="10"/>
      <c r="S687" s="54" t="str">
        <f t="shared" si="36"/>
        <v/>
      </c>
      <c r="T687" s="54" t="str">
        <f t="shared" si="37"/>
        <v/>
      </c>
      <c r="U687" s="58" t="str">
        <f t="shared" si="38"/>
        <v/>
      </c>
      <c r="V687" s="58">
        <f>IF(AND($B687&lt;&gt;"",$F687&lt;&gt;"",$F687=项目明细账!$C$2),N(V686)+1,N(V686))</f>
        <v>0</v>
      </c>
      <c r="W687" s="63" t="str">
        <f>IF($H687&lt;&gt;"","项目成本",IFERROR(INDEX(基础资料!$W$4:$W$49,MATCH($I687,基础资料!$V$4:$V$49,0)),""))</f>
        <v/>
      </c>
      <c r="X687" s="63" t="str">
        <f>IFERROR(INDEX(基础资料!$R$4:$R$17,MATCH($G687,基础资料!$Q$4:$Q$17,0)),"")</f>
        <v/>
      </c>
    </row>
    <row r="688" spans="1:24">
      <c r="A688" s="58" t="str">
        <f>IF($B688="","",COUNTA($B$5:$B688))</f>
        <v/>
      </c>
      <c r="B688" s="53"/>
      <c r="C688" s="46"/>
      <c r="D688" s="63" t="str">
        <f>IFERROR(INDEX(基础资料!$F$4:$F$23,MATCH($C688,基础资料!$E$4:$E$23,0)),IF($C688="","","未匹配账户"))</f>
        <v/>
      </c>
      <c r="E688" s="39"/>
      <c r="F688" s="10"/>
      <c r="G688" s="10"/>
      <c r="H688" s="10"/>
      <c r="I688" s="10"/>
      <c r="J688" s="10" t="s">
        <v>827</v>
      </c>
      <c r="K688" s="25"/>
      <c r="L688" s="25">
        <v>4645</v>
      </c>
      <c r="M688" s="25" t="str">
        <f>IFERROR(VLOOKUP($C688,$C$5:$M$24,11,0)+SUMIF($C$25:$C688,$C688,$K$25:$K688)-SUMIF($C$25:$C688,$C688,$L$25:$L688),"")</f>
        <v/>
      </c>
      <c r="N688" s="10"/>
      <c r="O688" s="10"/>
      <c r="P688" s="65"/>
      <c r="Q688" s="10"/>
      <c r="R688" s="10"/>
      <c r="S688" s="54" t="str">
        <f t="shared" si="36"/>
        <v/>
      </c>
      <c r="T688" s="54" t="str">
        <f t="shared" si="37"/>
        <v/>
      </c>
      <c r="U688" s="58" t="str">
        <f t="shared" si="38"/>
        <v/>
      </c>
      <c r="V688" s="58">
        <f>IF(AND($B688&lt;&gt;"",$F688&lt;&gt;"",$F688=项目明细账!$C$2),N(V687)+1,N(V687))</f>
        <v>0</v>
      </c>
      <c r="W688" s="63" t="str">
        <f>IF($H688&lt;&gt;"","项目成本",IFERROR(INDEX(基础资料!$W$4:$W$49,MATCH($I688,基础资料!$V$4:$V$49,0)),""))</f>
        <v/>
      </c>
      <c r="X688" s="63" t="str">
        <f>IFERROR(INDEX(基础资料!$R$4:$R$17,MATCH($G688,基础资料!$Q$4:$Q$17,0)),"")</f>
        <v/>
      </c>
    </row>
    <row r="689" spans="1:24">
      <c r="A689" s="58" t="str">
        <f>IF($B689="","",COUNTA($B$5:$B689))</f>
        <v/>
      </c>
      <c r="B689" s="53"/>
      <c r="C689" s="46"/>
      <c r="D689" s="63" t="str">
        <f>IFERROR(INDEX(基础资料!$F$4:$F$23,MATCH($C689,基础资料!$E$4:$E$23,0)),IF($C689="","","未匹配账户"))</f>
        <v/>
      </c>
      <c r="E689" s="39"/>
      <c r="F689" s="10"/>
      <c r="G689" s="10"/>
      <c r="H689" s="10"/>
      <c r="I689" s="10"/>
      <c r="J689" s="10" t="s">
        <v>619</v>
      </c>
      <c r="K689" s="25"/>
      <c r="L689" s="25">
        <v>1533</v>
      </c>
      <c r="M689" s="25" t="str">
        <f>IFERROR(VLOOKUP($C689,$C$5:$M$24,11,0)+SUMIF($C$25:$C689,$C689,$K$25:$K689)-SUMIF($C$25:$C689,$C689,$L$25:$L689),"")</f>
        <v/>
      </c>
      <c r="N689" s="10"/>
      <c r="O689" s="10"/>
      <c r="P689" s="65"/>
      <c r="Q689" s="10"/>
      <c r="R689" s="10"/>
      <c r="S689" s="54" t="str">
        <f t="shared" si="36"/>
        <v/>
      </c>
      <c r="T689" s="54" t="str">
        <f t="shared" si="37"/>
        <v/>
      </c>
      <c r="U689" s="58" t="str">
        <f t="shared" si="38"/>
        <v/>
      </c>
      <c r="V689" s="58">
        <f>IF(AND($B689&lt;&gt;"",$F689&lt;&gt;"",$F689=项目明细账!$C$2),N(V688)+1,N(V688))</f>
        <v>0</v>
      </c>
      <c r="W689" s="63" t="str">
        <f>IF($H689&lt;&gt;"","项目成本",IFERROR(INDEX(基础资料!$W$4:$W$49,MATCH($I689,基础资料!$V$4:$V$49,0)),""))</f>
        <v/>
      </c>
      <c r="X689" s="63" t="str">
        <f>IFERROR(INDEX(基础资料!$R$4:$R$17,MATCH($G689,基础资料!$Q$4:$Q$17,0)),"")</f>
        <v/>
      </c>
    </row>
    <row r="690" spans="1:24">
      <c r="A690" s="58" t="str">
        <f>IF($B690="","",COUNTA($B$5:$B690))</f>
        <v/>
      </c>
      <c r="B690" s="53"/>
      <c r="C690" s="46"/>
      <c r="D690" s="63" t="str">
        <f>IFERROR(INDEX(基础资料!$F$4:$F$23,MATCH($C690,基础资料!$E$4:$E$23,0)),IF($C690="","","未匹配账户"))</f>
        <v/>
      </c>
      <c r="E690" s="39"/>
      <c r="F690" s="10"/>
      <c r="G690" s="10"/>
      <c r="H690" s="10"/>
      <c r="I690" s="10"/>
      <c r="J690" s="10"/>
      <c r="K690" s="25"/>
      <c r="L690" s="25"/>
      <c r="M690" s="25" t="str">
        <f>IFERROR(VLOOKUP($C690,$C$5:$M$24,11,0)+SUMIF($C$25:$C690,$C690,$K$25:$K690)-SUMIF($C$25:$C690,$C690,$L$25:$L690),"")</f>
        <v/>
      </c>
      <c r="N690" s="10"/>
      <c r="O690" s="10"/>
      <c r="P690" s="65"/>
      <c r="Q690" s="10"/>
      <c r="R690" s="10"/>
      <c r="S690" s="54" t="str">
        <f t="shared" si="36"/>
        <v/>
      </c>
      <c r="T690" s="54" t="str">
        <f t="shared" si="37"/>
        <v/>
      </c>
      <c r="U690" s="58" t="str">
        <f t="shared" si="38"/>
        <v/>
      </c>
      <c r="V690" s="58">
        <f>IF(AND($B690&lt;&gt;"",$F690&lt;&gt;"",$F690=项目明细账!$C$2),N(V689)+1,N(V689))</f>
        <v>0</v>
      </c>
      <c r="W690" s="63" t="str">
        <f>IF($H690&lt;&gt;"","项目成本",IFERROR(INDEX(基础资料!$W$4:$W$49,MATCH($I690,基础资料!$V$4:$V$49,0)),""))</f>
        <v/>
      </c>
      <c r="X690" s="63" t="str">
        <f>IFERROR(INDEX(基础资料!$R$4:$R$17,MATCH($G690,基础资料!$Q$4:$Q$17,0)),"")</f>
        <v/>
      </c>
    </row>
    <row r="691" spans="1:24">
      <c r="A691" s="58" t="str">
        <f>IF($B691="","",COUNTA($B$5:$B691))</f>
        <v/>
      </c>
      <c r="B691" s="53"/>
      <c r="C691" s="46"/>
      <c r="D691" s="63" t="str">
        <f>IFERROR(INDEX(基础资料!$F$4:$F$23,MATCH($C691,基础资料!$E$4:$E$23,0)),IF($C691="","","未匹配账户"))</f>
        <v/>
      </c>
      <c r="E691" s="39"/>
      <c r="F691" s="10"/>
      <c r="G691" s="10"/>
      <c r="H691" s="10"/>
      <c r="I691" s="10"/>
      <c r="J691" s="10"/>
      <c r="K691" s="25"/>
      <c r="L691" s="25"/>
      <c r="M691" s="25" t="str">
        <f>IFERROR(VLOOKUP($C691,$C$5:$M$24,11,0)+SUMIF($C$25:$C691,$C691,$K$25:$K691)-SUMIF($C$25:$C691,$C691,$L$25:$L691),"")</f>
        <v/>
      </c>
      <c r="N691" s="10"/>
      <c r="O691" s="10"/>
      <c r="P691" s="65"/>
      <c r="Q691" s="10"/>
      <c r="R691" s="10"/>
      <c r="S691" s="54" t="str">
        <f t="shared" si="36"/>
        <v/>
      </c>
      <c r="T691" s="54" t="str">
        <f t="shared" si="37"/>
        <v/>
      </c>
      <c r="U691" s="58" t="str">
        <f t="shared" si="38"/>
        <v/>
      </c>
      <c r="V691" s="58">
        <f>IF(AND($B691&lt;&gt;"",$F691&lt;&gt;"",$F691=项目明细账!$C$2),N(V690)+1,N(V690))</f>
        <v>0</v>
      </c>
      <c r="W691" s="63" t="str">
        <f>IF($H691&lt;&gt;"","项目成本",IFERROR(INDEX(基础资料!$W$4:$W$49,MATCH($I691,基础资料!$V$4:$V$49,0)),""))</f>
        <v/>
      </c>
      <c r="X691" s="63" t="str">
        <f>IFERROR(INDEX(基础资料!$R$4:$R$17,MATCH($G691,基础资料!$Q$4:$Q$17,0)),"")</f>
        <v/>
      </c>
    </row>
    <row r="692" spans="1:24">
      <c r="A692" s="58" t="str">
        <f>IF($B692="","",COUNTA($B$5:$B692))</f>
        <v/>
      </c>
      <c r="B692" s="53"/>
      <c r="C692" s="46"/>
      <c r="D692" s="63" t="str">
        <f>IFERROR(INDEX(基础资料!$F$4:$F$23,MATCH($C692,基础资料!$E$4:$E$23,0)),IF($C692="","","未匹配账户"))</f>
        <v/>
      </c>
      <c r="E692" s="39"/>
      <c r="F692" s="10"/>
      <c r="G692" s="10"/>
      <c r="H692" s="10"/>
      <c r="I692" s="10"/>
      <c r="J692" s="10"/>
      <c r="K692" s="25"/>
      <c r="L692" s="25"/>
      <c r="M692" s="25" t="str">
        <f>IFERROR(VLOOKUP($C692,$C$5:$M$24,11,0)+SUMIF($C$25:$C692,$C692,$K$25:$K692)-SUMIF($C$25:$C692,$C692,$L$25:$L692),"")</f>
        <v/>
      </c>
      <c r="N692" s="10"/>
      <c r="O692" s="10"/>
      <c r="P692" s="65"/>
      <c r="Q692" s="10"/>
      <c r="R692" s="10"/>
      <c r="S692" s="54" t="str">
        <f t="shared" si="36"/>
        <v/>
      </c>
      <c r="T692" s="54" t="str">
        <f t="shared" si="37"/>
        <v/>
      </c>
      <c r="U692" s="58" t="str">
        <f t="shared" si="38"/>
        <v/>
      </c>
      <c r="V692" s="58">
        <f>IF(AND($B692&lt;&gt;"",$F692&lt;&gt;"",$F692=项目明细账!$C$2),N(V691)+1,N(V691))</f>
        <v>0</v>
      </c>
      <c r="W692" s="63" t="str">
        <f>IF($H692&lt;&gt;"","项目成本",IFERROR(INDEX(基础资料!$W$4:$W$49,MATCH($I692,基础资料!$V$4:$V$49,0)),""))</f>
        <v/>
      </c>
      <c r="X692" s="63" t="str">
        <f>IFERROR(INDEX(基础资料!$R$4:$R$17,MATCH($G692,基础资料!$Q$4:$Q$17,0)),"")</f>
        <v/>
      </c>
    </row>
    <row r="693" spans="1:24">
      <c r="A693" s="58" t="str">
        <f>IF($B693="","",COUNTA($B$5:$B693))</f>
        <v/>
      </c>
      <c r="B693" s="53"/>
      <c r="C693" s="46"/>
      <c r="D693" s="63" t="str">
        <f>IFERROR(INDEX(基础资料!$F$4:$F$23,MATCH($C693,基础资料!$E$4:$E$23,0)),IF($C693="","","未匹配账户"))</f>
        <v/>
      </c>
      <c r="E693" s="39"/>
      <c r="F693" s="10"/>
      <c r="G693" s="10"/>
      <c r="H693" s="10"/>
      <c r="I693" s="10"/>
      <c r="J693" s="10"/>
      <c r="K693" s="25"/>
      <c r="L693" s="25"/>
      <c r="M693" s="25" t="str">
        <f>IFERROR(VLOOKUP($C693,$C$5:$M$24,11,0)+SUMIF($C$25:$C693,$C693,$K$25:$K693)-SUMIF($C$25:$C693,$C693,$L$25:$L693),"")</f>
        <v/>
      </c>
      <c r="N693" s="10"/>
      <c r="O693" s="10"/>
      <c r="P693" s="65"/>
      <c r="Q693" s="10"/>
      <c r="R693" s="10"/>
      <c r="S693" s="54" t="str">
        <f t="shared" si="36"/>
        <v/>
      </c>
      <c r="T693" s="54" t="str">
        <f t="shared" si="37"/>
        <v/>
      </c>
      <c r="U693" s="58" t="str">
        <f t="shared" si="38"/>
        <v/>
      </c>
      <c r="V693" s="58">
        <f>IF(AND($B693&lt;&gt;"",$F693&lt;&gt;"",$F693=项目明细账!$C$2),N(V692)+1,N(V692))</f>
        <v>0</v>
      </c>
      <c r="W693" s="63" t="str">
        <f>IF($H693&lt;&gt;"","项目成本",IFERROR(INDEX(基础资料!$W$4:$W$49,MATCH($I693,基础资料!$V$4:$V$49,0)),""))</f>
        <v/>
      </c>
      <c r="X693" s="63" t="str">
        <f>IFERROR(INDEX(基础资料!$R$4:$R$17,MATCH($G693,基础资料!$Q$4:$Q$17,0)),"")</f>
        <v/>
      </c>
    </row>
    <row r="694" spans="1:24">
      <c r="A694" s="58" t="str">
        <f>IF($B694="","",COUNTA($B$5:$B694))</f>
        <v/>
      </c>
      <c r="B694" s="53"/>
      <c r="C694" s="46"/>
      <c r="D694" s="63" t="str">
        <f>IFERROR(INDEX(基础资料!$F$4:$F$23,MATCH($C694,基础资料!$E$4:$E$23,0)),IF($C694="","","未匹配账户"))</f>
        <v/>
      </c>
      <c r="E694" s="39"/>
      <c r="F694" s="10"/>
      <c r="G694" s="10"/>
      <c r="H694" s="10"/>
      <c r="I694" s="10"/>
      <c r="J694" s="10"/>
      <c r="K694" s="25"/>
      <c r="L694" s="25"/>
      <c r="M694" s="25" t="str">
        <f>IFERROR(VLOOKUP($C694,$C$5:$M$24,11,0)+SUMIF($C$25:$C694,$C694,$K$25:$K694)-SUMIF($C$25:$C694,$C694,$L$25:$L694),"")</f>
        <v/>
      </c>
      <c r="N694" s="10"/>
      <c r="O694" s="10"/>
      <c r="P694" s="65"/>
      <c r="Q694" s="10"/>
      <c r="R694" s="10"/>
      <c r="S694" s="54" t="str">
        <f t="shared" si="36"/>
        <v/>
      </c>
      <c r="T694" s="54" t="str">
        <f t="shared" si="37"/>
        <v/>
      </c>
      <c r="U694" s="58" t="str">
        <f t="shared" si="38"/>
        <v/>
      </c>
      <c r="V694" s="58">
        <f>IF(AND($B694&lt;&gt;"",$F694&lt;&gt;"",$F694=项目明细账!$C$2),N(V693)+1,N(V693))</f>
        <v>0</v>
      </c>
      <c r="W694" s="63" t="str">
        <f>IF($H694&lt;&gt;"","项目成本",IFERROR(INDEX(基础资料!$W$4:$W$49,MATCH($I694,基础资料!$V$4:$V$49,0)),""))</f>
        <v/>
      </c>
      <c r="X694" s="63" t="str">
        <f>IFERROR(INDEX(基础资料!$R$4:$R$17,MATCH($G694,基础资料!$Q$4:$Q$17,0)),"")</f>
        <v/>
      </c>
    </row>
    <row r="695" spans="1:24">
      <c r="A695" s="58" t="str">
        <f>IF($B695="","",COUNTA($B$5:$B695))</f>
        <v/>
      </c>
      <c r="B695" s="53"/>
      <c r="C695" s="46"/>
      <c r="D695" s="63" t="str">
        <f>IFERROR(INDEX(基础资料!$F$4:$F$23,MATCH($C695,基础资料!$E$4:$E$23,0)),IF($C695="","","未匹配账户"))</f>
        <v/>
      </c>
      <c r="E695" s="39"/>
      <c r="F695" s="10"/>
      <c r="G695" s="10"/>
      <c r="H695" s="10"/>
      <c r="I695" s="10"/>
      <c r="J695" s="10"/>
      <c r="K695" s="25"/>
      <c r="L695" s="25"/>
      <c r="M695" s="25" t="str">
        <f>IFERROR(VLOOKUP($C695,$C$5:$M$24,11,0)+SUMIF($C$25:$C695,$C695,$K$25:$K695)-SUMIF($C$25:$C695,$C695,$L$25:$L695),"")</f>
        <v/>
      </c>
      <c r="N695" s="10"/>
      <c r="O695" s="10"/>
      <c r="P695" s="65"/>
      <c r="Q695" s="10"/>
      <c r="R695" s="10"/>
      <c r="S695" s="54" t="str">
        <f t="shared" si="36"/>
        <v/>
      </c>
      <c r="T695" s="54" t="str">
        <f t="shared" si="37"/>
        <v/>
      </c>
      <c r="U695" s="58" t="str">
        <f t="shared" si="38"/>
        <v/>
      </c>
      <c r="V695" s="58">
        <f>IF(AND($B695&lt;&gt;"",$F695&lt;&gt;"",$F695=项目明细账!$C$2),N(V694)+1,N(V694))</f>
        <v>0</v>
      </c>
      <c r="W695" s="63" t="str">
        <f>IF($H695&lt;&gt;"","项目成本",IFERROR(INDEX(基础资料!$W$4:$W$49,MATCH($I695,基础资料!$V$4:$V$49,0)),""))</f>
        <v/>
      </c>
      <c r="X695" s="63" t="str">
        <f>IFERROR(INDEX(基础资料!$R$4:$R$17,MATCH($G695,基础资料!$Q$4:$Q$17,0)),"")</f>
        <v/>
      </c>
    </row>
    <row r="696" spans="1:24">
      <c r="A696" s="58" t="str">
        <f>IF($B696="","",COUNTA($B$5:$B696))</f>
        <v/>
      </c>
      <c r="B696" s="53"/>
      <c r="C696" s="46"/>
      <c r="D696" s="63" t="str">
        <f>IFERROR(INDEX(基础资料!$F$4:$F$23,MATCH($C696,基础资料!$E$4:$E$23,0)),IF($C696="","","未匹配账户"))</f>
        <v/>
      </c>
      <c r="E696" s="39"/>
      <c r="F696" s="10"/>
      <c r="G696" s="10"/>
      <c r="H696" s="10"/>
      <c r="I696" s="10"/>
      <c r="J696" s="10"/>
      <c r="K696" s="25"/>
      <c r="L696" s="25"/>
      <c r="M696" s="25" t="str">
        <f>IFERROR(VLOOKUP($C696,$C$5:$M$24,11,0)+SUMIF($C$25:$C696,$C696,$K$25:$K696)-SUMIF($C$25:$C696,$C696,$L$25:$L696),"")</f>
        <v/>
      </c>
      <c r="N696" s="10"/>
      <c r="O696" s="10"/>
      <c r="P696" s="65"/>
      <c r="Q696" s="10"/>
      <c r="R696" s="10"/>
      <c r="S696" s="54" t="str">
        <f t="shared" si="36"/>
        <v/>
      </c>
      <c r="T696" s="54" t="str">
        <f t="shared" si="37"/>
        <v/>
      </c>
      <c r="U696" s="58" t="str">
        <f t="shared" si="38"/>
        <v/>
      </c>
      <c r="V696" s="58">
        <f>IF(AND($B696&lt;&gt;"",$F696&lt;&gt;"",$F696=项目明细账!$C$2),N(V695)+1,N(V695))</f>
        <v>0</v>
      </c>
      <c r="W696" s="63" t="str">
        <f>IF($H696&lt;&gt;"","项目成本",IFERROR(INDEX(基础资料!$W$4:$W$49,MATCH($I696,基础资料!$V$4:$V$49,0)),""))</f>
        <v/>
      </c>
      <c r="X696" s="63" t="str">
        <f>IFERROR(INDEX(基础资料!$R$4:$R$17,MATCH($G696,基础资料!$Q$4:$Q$17,0)),"")</f>
        <v/>
      </c>
    </row>
    <row r="697" spans="1:24">
      <c r="A697" s="58" t="str">
        <f>IF($B697="","",COUNTA($B$5:$B697))</f>
        <v/>
      </c>
      <c r="B697" s="53"/>
      <c r="C697" s="46"/>
      <c r="D697" s="63" t="str">
        <f>IFERROR(INDEX(基础资料!$F$4:$F$23,MATCH($C697,基础资料!$E$4:$E$23,0)),IF($C697="","","未匹配账户"))</f>
        <v/>
      </c>
      <c r="E697" s="39"/>
      <c r="F697" s="10"/>
      <c r="G697" s="10"/>
      <c r="H697" s="10"/>
      <c r="I697" s="10"/>
      <c r="J697" s="10"/>
      <c r="K697" s="25"/>
      <c r="L697" s="25"/>
      <c r="M697" s="25" t="str">
        <f>IFERROR(VLOOKUP($C697,$C$5:$M$24,11,0)+SUMIF($C$25:$C697,$C697,$K$25:$K697)-SUMIF($C$25:$C697,$C697,$L$25:$L697),"")</f>
        <v/>
      </c>
      <c r="N697" s="10"/>
      <c r="O697" s="10"/>
      <c r="P697" s="65"/>
      <c r="Q697" s="10"/>
      <c r="R697" s="10"/>
      <c r="S697" s="54" t="str">
        <f t="shared" si="36"/>
        <v/>
      </c>
      <c r="T697" s="54" t="str">
        <f t="shared" si="37"/>
        <v/>
      </c>
      <c r="U697" s="58" t="str">
        <f t="shared" si="38"/>
        <v/>
      </c>
      <c r="V697" s="58">
        <f>IF(AND($B697&lt;&gt;"",$F697&lt;&gt;"",$F697=项目明细账!$C$2),N(V696)+1,N(V696))</f>
        <v>0</v>
      </c>
      <c r="W697" s="63" t="str">
        <f>IF($H697&lt;&gt;"","项目成本",IFERROR(INDEX(基础资料!$W$4:$W$49,MATCH($I697,基础资料!$V$4:$V$49,0)),""))</f>
        <v/>
      </c>
      <c r="X697" s="63" t="str">
        <f>IFERROR(INDEX(基础资料!$R$4:$R$17,MATCH($G697,基础资料!$Q$4:$Q$17,0)),"")</f>
        <v/>
      </c>
    </row>
    <row r="698" spans="1:24">
      <c r="A698" s="58" t="str">
        <f>IF($B698="","",COUNTA($B$5:$B698))</f>
        <v/>
      </c>
      <c r="B698" s="53"/>
      <c r="C698" s="46"/>
      <c r="D698" s="63" t="str">
        <f>IFERROR(INDEX(基础资料!$F$4:$F$23,MATCH($C698,基础资料!$E$4:$E$23,0)),IF($C698="","","未匹配账户"))</f>
        <v/>
      </c>
      <c r="E698" s="39"/>
      <c r="F698" s="10"/>
      <c r="G698" s="10"/>
      <c r="H698" s="10"/>
      <c r="I698" s="10"/>
      <c r="J698" s="10"/>
      <c r="K698" s="25"/>
      <c r="L698" s="25"/>
      <c r="M698" s="25" t="str">
        <f>IFERROR(VLOOKUP($C698,$C$5:$M$24,11,0)+SUMIF($C$25:$C698,$C698,$K$25:$K698)-SUMIF($C$25:$C698,$C698,$L$25:$L698),"")</f>
        <v/>
      </c>
      <c r="N698" s="10"/>
      <c r="O698" s="10"/>
      <c r="P698" s="65"/>
      <c r="Q698" s="10"/>
      <c r="R698" s="10"/>
      <c r="S698" s="54" t="str">
        <f t="shared" si="36"/>
        <v/>
      </c>
      <c r="T698" s="54" t="str">
        <f t="shared" si="37"/>
        <v/>
      </c>
      <c r="U698" s="58" t="str">
        <f t="shared" si="38"/>
        <v/>
      </c>
      <c r="V698" s="58">
        <f>IF(AND($B698&lt;&gt;"",$F698&lt;&gt;"",$F698=项目明细账!$C$2),N(V697)+1,N(V697))</f>
        <v>0</v>
      </c>
      <c r="W698" s="63" t="str">
        <f>IF($H698&lt;&gt;"","项目成本",IFERROR(INDEX(基础资料!$W$4:$W$49,MATCH($I698,基础资料!$V$4:$V$49,0)),""))</f>
        <v/>
      </c>
      <c r="X698" s="63" t="str">
        <f>IFERROR(INDEX(基础资料!$R$4:$R$17,MATCH($G698,基础资料!$Q$4:$Q$17,0)),"")</f>
        <v/>
      </c>
    </row>
    <row r="699" spans="1:24">
      <c r="A699" s="58" t="str">
        <f>IF($B699="","",COUNTA($B$5:$B699))</f>
        <v/>
      </c>
      <c r="B699" s="53"/>
      <c r="C699" s="46"/>
      <c r="D699" s="63" t="str">
        <f>IFERROR(INDEX(基础资料!$F$4:$F$23,MATCH($C699,基础资料!$E$4:$E$23,0)),IF($C699="","","未匹配账户"))</f>
        <v/>
      </c>
      <c r="E699" s="39"/>
      <c r="F699" s="10"/>
      <c r="G699" s="10"/>
      <c r="H699" s="10"/>
      <c r="I699" s="10"/>
      <c r="J699" s="10"/>
      <c r="K699" s="25"/>
      <c r="L699" s="25"/>
      <c r="M699" s="25" t="str">
        <f>IFERROR(VLOOKUP($C699,$C$5:$M$24,11,0)+SUMIF($C$25:$C699,$C699,$K$25:$K699)-SUMIF($C$25:$C699,$C699,$L$25:$L699),"")</f>
        <v/>
      </c>
      <c r="N699" s="10"/>
      <c r="O699" s="10"/>
      <c r="P699" s="65"/>
      <c r="Q699" s="10"/>
      <c r="R699" s="10"/>
      <c r="S699" s="54" t="str">
        <f t="shared" si="36"/>
        <v/>
      </c>
      <c r="T699" s="54" t="str">
        <f t="shared" si="37"/>
        <v/>
      </c>
      <c r="U699" s="58" t="str">
        <f t="shared" si="38"/>
        <v/>
      </c>
      <c r="V699" s="58">
        <f>IF(AND($B699&lt;&gt;"",$F699&lt;&gt;"",$F699=项目明细账!$C$2),N(V698)+1,N(V698))</f>
        <v>0</v>
      </c>
      <c r="W699" s="63" t="str">
        <f>IF($H699&lt;&gt;"","项目成本",IFERROR(INDEX(基础资料!$W$4:$W$49,MATCH($I699,基础资料!$V$4:$V$49,0)),""))</f>
        <v/>
      </c>
      <c r="X699" s="63" t="str">
        <f>IFERROR(INDEX(基础资料!$R$4:$R$17,MATCH($G699,基础资料!$Q$4:$Q$17,0)),"")</f>
        <v/>
      </c>
    </row>
    <row r="700" spans="1:24">
      <c r="A700" s="58" t="str">
        <f>IF($B700="","",COUNTA($B$5:$B700))</f>
        <v/>
      </c>
      <c r="B700" s="53"/>
      <c r="C700" s="46"/>
      <c r="D700" s="63" t="str">
        <f>IFERROR(INDEX(基础资料!$F$4:$F$23,MATCH($C700,基础资料!$E$4:$E$23,0)),IF($C700="","","未匹配账户"))</f>
        <v/>
      </c>
      <c r="E700" s="39"/>
      <c r="F700" s="10"/>
      <c r="G700" s="10"/>
      <c r="H700" s="10"/>
      <c r="I700" s="10"/>
      <c r="J700" s="10"/>
      <c r="K700" s="25"/>
      <c r="L700" s="25"/>
      <c r="M700" s="25" t="str">
        <f>IFERROR(VLOOKUP($C700,$C$5:$M$24,11,0)+SUMIF($C$25:$C700,$C700,$K$25:$K700)-SUMIF($C$25:$C700,$C700,$L$25:$L700),"")</f>
        <v/>
      </c>
      <c r="N700" s="10"/>
      <c r="O700" s="10"/>
      <c r="P700" s="65"/>
      <c r="Q700" s="10"/>
      <c r="R700" s="10"/>
      <c r="S700" s="54" t="str">
        <f t="shared" si="36"/>
        <v/>
      </c>
      <c r="T700" s="54" t="str">
        <f t="shared" si="37"/>
        <v/>
      </c>
      <c r="U700" s="58" t="str">
        <f t="shared" si="38"/>
        <v/>
      </c>
      <c r="V700" s="58">
        <f>IF(AND($B700&lt;&gt;"",$F700&lt;&gt;"",$F700=项目明细账!$C$2),N(V699)+1,N(V699))</f>
        <v>0</v>
      </c>
      <c r="W700" s="63" t="str">
        <f>IF($H700&lt;&gt;"","项目成本",IFERROR(INDEX(基础资料!$W$4:$W$49,MATCH($I700,基础资料!$V$4:$V$49,0)),""))</f>
        <v/>
      </c>
      <c r="X700" s="63" t="str">
        <f>IFERROR(INDEX(基础资料!$R$4:$R$17,MATCH($G700,基础资料!$Q$4:$Q$17,0)),"")</f>
        <v/>
      </c>
    </row>
    <row r="701" spans="1:24">
      <c r="A701" s="58" t="str">
        <f>IF($B701="","",COUNTA($B$5:$B701))</f>
        <v/>
      </c>
      <c r="B701" s="53"/>
      <c r="C701" s="46"/>
      <c r="D701" s="63" t="str">
        <f>IFERROR(INDEX(基础资料!$F$4:$F$23,MATCH($C701,基础资料!$E$4:$E$23,0)),IF($C701="","","未匹配账户"))</f>
        <v/>
      </c>
      <c r="E701" s="39"/>
      <c r="F701" s="10"/>
      <c r="G701" s="10"/>
      <c r="H701" s="10"/>
      <c r="I701" s="10"/>
      <c r="J701" s="10"/>
      <c r="K701" s="25"/>
      <c r="L701" s="25"/>
      <c r="M701" s="25" t="str">
        <f>IFERROR(VLOOKUP($C701,$C$5:$M$24,11,0)+SUMIF($C$25:$C701,$C701,$K$25:$K701)-SUMIF($C$25:$C701,$C701,$L$25:$L701),"")</f>
        <v/>
      </c>
      <c r="N701" s="10"/>
      <c r="O701" s="10"/>
      <c r="P701" s="65"/>
      <c r="Q701" s="10"/>
      <c r="R701" s="10"/>
      <c r="S701" s="54" t="str">
        <f t="shared" si="36"/>
        <v/>
      </c>
      <c r="T701" s="54" t="str">
        <f t="shared" si="37"/>
        <v/>
      </c>
      <c r="U701" s="58" t="str">
        <f t="shared" si="38"/>
        <v/>
      </c>
      <c r="V701" s="58">
        <f>IF(AND($B701&lt;&gt;"",$F701&lt;&gt;"",$F701=项目明细账!$C$2),N(V700)+1,N(V700))</f>
        <v>0</v>
      </c>
      <c r="W701" s="63" t="str">
        <f>IF($H701&lt;&gt;"","项目成本",IFERROR(INDEX(基础资料!$W$4:$W$49,MATCH($I701,基础资料!$V$4:$V$49,0)),""))</f>
        <v/>
      </c>
      <c r="X701" s="63" t="str">
        <f>IFERROR(INDEX(基础资料!$R$4:$R$17,MATCH($G701,基础资料!$Q$4:$Q$17,0)),"")</f>
        <v/>
      </c>
    </row>
    <row r="702" spans="1:24">
      <c r="A702" s="58" t="str">
        <f>IF($B702="","",COUNTA($B$5:$B702))</f>
        <v/>
      </c>
      <c r="B702" s="53"/>
      <c r="C702" s="46"/>
      <c r="D702" s="63" t="str">
        <f>IFERROR(INDEX(基础资料!$F$4:$F$23,MATCH($C702,基础资料!$E$4:$E$23,0)),IF($C702="","","未匹配账户"))</f>
        <v/>
      </c>
      <c r="E702" s="39"/>
      <c r="F702" s="10"/>
      <c r="G702" s="10"/>
      <c r="H702" s="10"/>
      <c r="I702" s="10"/>
      <c r="J702" s="10"/>
      <c r="K702" s="25"/>
      <c r="L702" s="25"/>
      <c r="M702" s="25" t="str">
        <f>IFERROR(VLOOKUP($C702,$C$5:$M$24,11,0)+SUMIF($C$25:$C702,$C702,$K$25:$K702)-SUMIF($C$25:$C702,$C702,$L$25:$L702),"")</f>
        <v/>
      </c>
      <c r="N702" s="10"/>
      <c r="O702" s="10"/>
      <c r="P702" s="65"/>
      <c r="Q702" s="10"/>
      <c r="R702" s="10"/>
      <c r="S702" s="54" t="str">
        <f t="shared" si="36"/>
        <v/>
      </c>
      <c r="T702" s="54" t="str">
        <f t="shared" si="37"/>
        <v/>
      </c>
      <c r="U702" s="58" t="str">
        <f t="shared" si="38"/>
        <v/>
      </c>
      <c r="V702" s="58">
        <f>IF(AND($B702&lt;&gt;"",$F702&lt;&gt;"",$F702=项目明细账!$C$2),N(V701)+1,N(V701))</f>
        <v>0</v>
      </c>
      <c r="W702" s="63" t="str">
        <f>IF($H702&lt;&gt;"","项目成本",IFERROR(INDEX(基础资料!$W$4:$W$49,MATCH($I702,基础资料!$V$4:$V$49,0)),""))</f>
        <v/>
      </c>
      <c r="X702" s="63" t="str">
        <f>IFERROR(INDEX(基础资料!$R$4:$R$17,MATCH($G702,基础资料!$Q$4:$Q$17,0)),"")</f>
        <v/>
      </c>
    </row>
    <row r="703" spans="1:24">
      <c r="A703" s="58" t="str">
        <f>IF($B703="","",COUNTA($B$5:$B703))</f>
        <v/>
      </c>
      <c r="B703" s="53"/>
      <c r="C703" s="46"/>
      <c r="D703" s="63" t="str">
        <f>IFERROR(INDEX(基础资料!$F$4:$F$23,MATCH($C703,基础资料!$E$4:$E$23,0)),IF($C703="","","未匹配账户"))</f>
        <v/>
      </c>
      <c r="E703" s="39"/>
      <c r="F703" s="10"/>
      <c r="G703" s="10"/>
      <c r="H703" s="10"/>
      <c r="I703" s="10"/>
      <c r="J703" s="10"/>
      <c r="K703" s="25"/>
      <c r="L703" s="25"/>
      <c r="M703" s="25" t="str">
        <f>IFERROR(VLOOKUP($C703,$C$5:$M$24,11,0)+SUMIF($C$25:$C703,$C703,$K$25:$K703)-SUMIF($C$25:$C703,$C703,$L$25:$L703),"")</f>
        <v/>
      </c>
      <c r="N703" s="10"/>
      <c r="O703" s="10"/>
      <c r="P703" s="65"/>
      <c r="Q703" s="10"/>
      <c r="R703" s="10"/>
      <c r="S703" s="54" t="str">
        <f t="shared" si="36"/>
        <v/>
      </c>
      <c r="T703" s="54" t="str">
        <f t="shared" si="37"/>
        <v/>
      </c>
      <c r="U703" s="58" t="str">
        <f t="shared" si="38"/>
        <v/>
      </c>
      <c r="V703" s="58">
        <f>IF(AND($B703&lt;&gt;"",$F703&lt;&gt;"",$F703=项目明细账!$C$2),N(V702)+1,N(V702))</f>
        <v>0</v>
      </c>
      <c r="W703" s="63" t="str">
        <f>IF($H703&lt;&gt;"","项目成本",IFERROR(INDEX(基础资料!$W$4:$W$49,MATCH($I703,基础资料!$V$4:$V$49,0)),""))</f>
        <v/>
      </c>
      <c r="X703" s="63" t="str">
        <f>IFERROR(INDEX(基础资料!$R$4:$R$17,MATCH($G703,基础资料!$Q$4:$Q$17,0)),"")</f>
        <v/>
      </c>
    </row>
    <row r="704" spans="1:24">
      <c r="A704" s="58" t="str">
        <f>IF($B704="","",COUNTA($B$5:$B704))</f>
        <v/>
      </c>
      <c r="B704" s="53"/>
      <c r="C704" s="46"/>
      <c r="D704" s="63" t="str">
        <f>IFERROR(INDEX(基础资料!$F$4:$F$23,MATCH($C704,基础资料!$E$4:$E$23,0)),IF($C704="","","未匹配账户"))</f>
        <v/>
      </c>
      <c r="E704" s="39"/>
      <c r="F704" s="10"/>
      <c r="G704" s="10"/>
      <c r="H704" s="10"/>
      <c r="I704" s="10"/>
      <c r="J704" s="10"/>
      <c r="K704" s="25"/>
      <c r="L704" s="25"/>
      <c r="M704" s="25" t="str">
        <f>IFERROR(VLOOKUP($C704,$C$5:$M$24,11,0)+SUMIF($C$25:$C704,$C704,$K$25:$K704)-SUMIF($C$25:$C704,$C704,$L$25:$L704),"")</f>
        <v/>
      </c>
      <c r="N704" s="10"/>
      <c r="O704" s="10"/>
      <c r="P704" s="65"/>
      <c r="Q704" s="10"/>
      <c r="R704" s="10"/>
      <c r="S704" s="54" t="str">
        <f t="shared" si="36"/>
        <v/>
      </c>
      <c r="T704" s="54" t="str">
        <f t="shared" si="37"/>
        <v/>
      </c>
      <c r="U704" s="58" t="str">
        <f t="shared" si="38"/>
        <v/>
      </c>
      <c r="V704" s="58">
        <f>IF(AND($B704&lt;&gt;"",$F704&lt;&gt;"",$F704=项目明细账!$C$2),N(V703)+1,N(V703))</f>
        <v>0</v>
      </c>
      <c r="W704" s="63" t="str">
        <f>IF($H704&lt;&gt;"","项目成本",IFERROR(INDEX(基础资料!$W$4:$W$49,MATCH($I704,基础资料!$V$4:$V$49,0)),""))</f>
        <v/>
      </c>
      <c r="X704" s="63" t="str">
        <f>IFERROR(INDEX(基础资料!$R$4:$R$17,MATCH($G704,基础资料!$Q$4:$Q$17,0)),"")</f>
        <v/>
      </c>
    </row>
    <row r="705" spans="1:24">
      <c r="A705" s="58" t="str">
        <f>IF($B705="","",COUNTA($B$5:$B705))</f>
        <v/>
      </c>
      <c r="B705" s="53"/>
      <c r="C705" s="46"/>
      <c r="D705" s="63" t="str">
        <f>IFERROR(INDEX(基础资料!$F$4:$F$23,MATCH($C705,基础资料!$E$4:$E$23,0)),IF($C705="","","未匹配账户"))</f>
        <v/>
      </c>
      <c r="E705" s="39"/>
      <c r="F705" s="10"/>
      <c r="G705" s="10"/>
      <c r="H705" s="10"/>
      <c r="I705" s="10"/>
      <c r="J705" s="10"/>
      <c r="K705" s="25"/>
      <c r="L705" s="25"/>
      <c r="M705" s="25" t="str">
        <f>IFERROR(VLOOKUP($C705,$C$5:$M$24,11,0)+SUMIF($C$25:$C705,$C705,$K$25:$K705)-SUMIF($C$25:$C705,$C705,$L$25:$L705),"")</f>
        <v/>
      </c>
      <c r="N705" s="10"/>
      <c r="O705" s="10"/>
      <c r="P705" s="65"/>
      <c r="Q705" s="10"/>
      <c r="R705" s="10"/>
      <c r="S705" s="54" t="str">
        <f t="shared" si="36"/>
        <v/>
      </c>
      <c r="T705" s="54" t="str">
        <f t="shared" si="37"/>
        <v/>
      </c>
      <c r="U705" s="58" t="str">
        <f t="shared" si="38"/>
        <v/>
      </c>
      <c r="V705" s="58">
        <f>IF(AND($B705&lt;&gt;"",$F705&lt;&gt;"",$F705=项目明细账!$C$2),N(V704)+1,N(V704))</f>
        <v>0</v>
      </c>
      <c r="W705" s="63" t="str">
        <f>IF($H705&lt;&gt;"","项目成本",IFERROR(INDEX(基础资料!$W$4:$W$49,MATCH($I705,基础资料!$V$4:$V$49,0)),""))</f>
        <v/>
      </c>
      <c r="X705" s="63" t="str">
        <f>IFERROR(INDEX(基础资料!$R$4:$R$17,MATCH($G705,基础资料!$Q$4:$Q$17,0)),"")</f>
        <v/>
      </c>
    </row>
    <row r="706" spans="1:24">
      <c r="A706" s="58" t="str">
        <f>IF($B706="","",COUNTA($B$5:$B706))</f>
        <v/>
      </c>
      <c r="B706" s="53"/>
      <c r="C706" s="46"/>
      <c r="D706" s="63" t="str">
        <f>IFERROR(INDEX(基础资料!$F$4:$F$23,MATCH($C706,基础资料!$E$4:$E$23,0)),IF($C706="","","未匹配账户"))</f>
        <v/>
      </c>
      <c r="E706" s="39"/>
      <c r="F706" s="10"/>
      <c r="G706" s="10"/>
      <c r="H706" s="10"/>
      <c r="I706" s="10"/>
      <c r="J706" s="10"/>
      <c r="K706" s="25"/>
      <c r="L706" s="25"/>
      <c r="M706" s="25" t="str">
        <f>IFERROR(VLOOKUP($C706,$C$5:$M$24,11,0)+SUMIF($C$25:$C706,$C706,$K$25:$K706)-SUMIF($C$25:$C706,$C706,$L$25:$L706),"")</f>
        <v/>
      </c>
      <c r="N706" s="10"/>
      <c r="O706" s="10"/>
      <c r="P706" s="65"/>
      <c r="Q706" s="10"/>
      <c r="R706" s="10"/>
      <c r="S706" s="54" t="str">
        <f t="shared" si="36"/>
        <v/>
      </c>
      <c r="T706" s="54" t="str">
        <f t="shared" si="37"/>
        <v/>
      </c>
      <c r="U706" s="58" t="str">
        <f t="shared" si="38"/>
        <v/>
      </c>
      <c r="V706" s="58">
        <f>IF(AND($B706&lt;&gt;"",$F706&lt;&gt;"",$F706=项目明细账!$C$2),N(V705)+1,N(V705))</f>
        <v>0</v>
      </c>
      <c r="W706" s="63" t="str">
        <f>IF($H706&lt;&gt;"","项目成本",IFERROR(INDEX(基础资料!$W$4:$W$49,MATCH($I706,基础资料!$V$4:$V$49,0)),""))</f>
        <v/>
      </c>
      <c r="X706" s="63" t="str">
        <f>IFERROR(INDEX(基础资料!$R$4:$R$17,MATCH($G706,基础资料!$Q$4:$Q$17,0)),"")</f>
        <v/>
      </c>
    </row>
    <row r="707" spans="1:24">
      <c r="A707" s="58" t="str">
        <f>IF($B707="","",COUNTA($B$5:$B707))</f>
        <v/>
      </c>
      <c r="B707" s="53"/>
      <c r="C707" s="46"/>
      <c r="D707" s="63" t="str">
        <f>IFERROR(INDEX(基础资料!$F$4:$F$23,MATCH($C707,基础资料!$E$4:$E$23,0)),IF($C707="","","未匹配账户"))</f>
        <v/>
      </c>
      <c r="E707" s="39"/>
      <c r="F707" s="10"/>
      <c r="G707" s="10"/>
      <c r="H707" s="10"/>
      <c r="I707" s="10"/>
      <c r="J707" s="10"/>
      <c r="K707" s="25"/>
      <c r="L707" s="25"/>
      <c r="M707" s="25" t="str">
        <f>IFERROR(VLOOKUP($C707,$C$5:$M$24,11,0)+SUMIF($C$25:$C707,$C707,$K$25:$K707)-SUMIF($C$25:$C707,$C707,$L$25:$L707),"")</f>
        <v/>
      </c>
      <c r="N707" s="10"/>
      <c r="O707" s="10"/>
      <c r="P707" s="65"/>
      <c r="Q707" s="10"/>
      <c r="R707" s="10"/>
      <c r="S707" s="54" t="str">
        <f t="shared" si="36"/>
        <v/>
      </c>
      <c r="T707" s="54" t="str">
        <f t="shared" si="37"/>
        <v/>
      </c>
      <c r="U707" s="58" t="str">
        <f t="shared" si="38"/>
        <v/>
      </c>
      <c r="V707" s="58">
        <f>IF(AND($B707&lt;&gt;"",$F707&lt;&gt;"",$F707=项目明细账!$C$2),N(V706)+1,N(V706))</f>
        <v>0</v>
      </c>
      <c r="W707" s="63" t="str">
        <f>IF($H707&lt;&gt;"","项目成本",IFERROR(INDEX(基础资料!$W$4:$W$49,MATCH($I707,基础资料!$V$4:$V$49,0)),""))</f>
        <v/>
      </c>
      <c r="X707" s="63" t="str">
        <f>IFERROR(INDEX(基础资料!$R$4:$R$17,MATCH($G707,基础资料!$Q$4:$Q$17,0)),"")</f>
        <v/>
      </c>
    </row>
    <row r="708" spans="1:24">
      <c r="A708" s="58" t="str">
        <f>IF($B708="","",COUNTA($B$5:$B708))</f>
        <v/>
      </c>
      <c r="B708" s="53"/>
      <c r="C708" s="46"/>
      <c r="D708" s="63" t="str">
        <f>IFERROR(INDEX(基础资料!$F$4:$F$23,MATCH($C708,基础资料!$E$4:$E$23,0)),IF($C708="","","未匹配账户"))</f>
        <v/>
      </c>
      <c r="E708" s="39"/>
      <c r="F708" s="10"/>
      <c r="G708" s="10"/>
      <c r="H708" s="10"/>
      <c r="I708" s="10"/>
      <c r="J708" s="10"/>
      <c r="K708" s="25"/>
      <c r="L708" s="25"/>
      <c r="M708" s="25" t="str">
        <f>IFERROR(VLOOKUP($C708,$C$5:$M$24,11,0)+SUMIF($C$25:$C708,$C708,$K$25:$K708)-SUMIF($C$25:$C708,$C708,$L$25:$L708),"")</f>
        <v/>
      </c>
      <c r="N708" s="10"/>
      <c r="O708" s="10"/>
      <c r="P708" s="65"/>
      <c r="Q708" s="10"/>
      <c r="R708" s="10"/>
      <c r="S708" s="54" t="str">
        <f t="shared" si="36"/>
        <v/>
      </c>
      <c r="T708" s="54" t="str">
        <f t="shared" si="37"/>
        <v/>
      </c>
      <c r="U708" s="58" t="str">
        <f t="shared" si="38"/>
        <v/>
      </c>
      <c r="V708" s="58">
        <f>IF(AND($B708&lt;&gt;"",$F708&lt;&gt;"",$F708=项目明细账!$C$2),N(V707)+1,N(V707))</f>
        <v>0</v>
      </c>
      <c r="W708" s="63" t="str">
        <f>IF($H708&lt;&gt;"","项目成本",IFERROR(INDEX(基础资料!$W$4:$W$49,MATCH($I708,基础资料!$V$4:$V$49,0)),""))</f>
        <v/>
      </c>
      <c r="X708" s="63" t="str">
        <f>IFERROR(INDEX(基础资料!$R$4:$R$17,MATCH($G708,基础资料!$Q$4:$Q$17,0)),"")</f>
        <v/>
      </c>
    </row>
    <row r="709" spans="1:24">
      <c r="A709" s="58" t="str">
        <f>IF($B709="","",COUNTA($B$5:$B709))</f>
        <v/>
      </c>
      <c r="B709" s="53"/>
      <c r="C709" s="46"/>
      <c r="D709" s="63" t="str">
        <f>IFERROR(INDEX(基础资料!$F$4:$F$23,MATCH($C709,基础资料!$E$4:$E$23,0)),IF($C709="","","未匹配账户"))</f>
        <v/>
      </c>
      <c r="E709" s="39"/>
      <c r="F709" s="10"/>
      <c r="G709" s="10"/>
      <c r="H709" s="10"/>
      <c r="I709" s="10"/>
      <c r="J709" s="10"/>
      <c r="K709" s="25"/>
      <c r="L709" s="25"/>
      <c r="M709" s="25" t="str">
        <f>IFERROR(VLOOKUP($C709,$C$5:$M$24,11,0)+SUMIF($C$25:$C709,$C709,$K$25:$K709)-SUMIF($C$25:$C709,$C709,$L$25:$L709),"")</f>
        <v/>
      </c>
      <c r="N709" s="10"/>
      <c r="O709" s="10"/>
      <c r="P709" s="65"/>
      <c r="Q709" s="10"/>
      <c r="R709" s="10"/>
      <c r="S709" s="54" t="str">
        <f t="shared" si="36"/>
        <v/>
      </c>
      <c r="T709" s="54" t="str">
        <f t="shared" si="37"/>
        <v/>
      </c>
      <c r="U709" s="58" t="str">
        <f t="shared" si="38"/>
        <v/>
      </c>
      <c r="V709" s="58">
        <f>IF(AND($B709&lt;&gt;"",$F709&lt;&gt;"",$F709=项目明细账!$C$2),N(V708)+1,N(V708))</f>
        <v>0</v>
      </c>
      <c r="W709" s="63" t="str">
        <f>IF($H709&lt;&gt;"","项目成本",IFERROR(INDEX(基础资料!$W$4:$W$49,MATCH($I709,基础资料!$V$4:$V$49,0)),""))</f>
        <v/>
      </c>
      <c r="X709" s="63" t="str">
        <f>IFERROR(INDEX(基础资料!$R$4:$R$17,MATCH($G709,基础资料!$Q$4:$Q$17,0)),"")</f>
        <v/>
      </c>
    </row>
    <row r="710" spans="1:24">
      <c r="A710" s="58" t="str">
        <f>IF($B710="","",COUNTA($B$5:$B710))</f>
        <v/>
      </c>
      <c r="B710" s="53"/>
      <c r="C710" s="46"/>
      <c r="D710" s="63" t="str">
        <f>IFERROR(INDEX(基础资料!$F$4:$F$23,MATCH($C710,基础资料!$E$4:$E$23,0)),IF($C710="","","未匹配账户"))</f>
        <v/>
      </c>
      <c r="E710" s="39"/>
      <c r="F710" s="10"/>
      <c r="G710" s="10"/>
      <c r="H710" s="10"/>
      <c r="I710" s="10"/>
      <c r="J710" s="10"/>
      <c r="K710" s="25"/>
      <c r="L710" s="25"/>
      <c r="M710" s="25" t="str">
        <f>IFERROR(VLOOKUP($C710,$C$5:$M$24,11,0)+SUMIF($C$25:$C710,$C710,$K$25:$K710)-SUMIF($C$25:$C710,$C710,$L$25:$L710),"")</f>
        <v/>
      </c>
      <c r="N710" s="10"/>
      <c r="O710" s="10"/>
      <c r="P710" s="65"/>
      <c r="Q710" s="10"/>
      <c r="R710" s="10"/>
      <c r="S710" s="54" t="str">
        <f t="shared" si="36"/>
        <v/>
      </c>
      <c r="T710" s="54" t="str">
        <f t="shared" si="37"/>
        <v/>
      </c>
      <c r="U710" s="58" t="str">
        <f t="shared" si="38"/>
        <v/>
      </c>
      <c r="V710" s="58">
        <f>IF(AND($B710&lt;&gt;"",$F710&lt;&gt;"",$F710=项目明细账!$C$2),N(V709)+1,N(V709))</f>
        <v>0</v>
      </c>
      <c r="W710" s="63" t="str">
        <f>IF($H710&lt;&gt;"","项目成本",IFERROR(INDEX(基础资料!$W$4:$W$49,MATCH($I710,基础资料!$V$4:$V$49,0)),""))</f>
        <v/>
      </c>
      <c r="X710" s="63" t="str">
        <f>IFERROR(INDEX(基础资料!$R$4:$R$17,MATCH($G710,基础资料!$Q$4:$Q$17,0)),"")</f>
        <v/>
      </c>
    </row>
    <row r="711" spans="1:24">
      <c r="A711" s="58" t="str">
        <f>IF($B711="","",COUNTA($B$5:$B711))</f>
        <v/>
      </c>
      <c r="B711" s="53"/>
      <c r="C711" s="46"/>
      <c r="D711" s="63" t="str">
        <f>IFERROR(INDEX(基础资料!$F$4:$F$23,MATCH($C711,基础资料!$E$4:$E$23,0)),IF($C711="","","未匹配账户"))</f>
        <v/>
      </c>
      <c r="E711" s="39"/>
      <c r="F711" s="10"/>
      <c r="G711" s="10"/>
      <c r="H711" s="10"/>
      <c r="I711" s="10"/>
      <c r="J711" s="10"/>
      <c r="K711" s="25"/>
      <c r="L711" s="25"/>
      <c r="M711" s="25" t="str">
        <f>IFERROR(VLOOKUP($C711,$C$5:$M$24,11,0)+SUMIF($C$25:$C711,$C711,$K$25:$K711)-SUMIF($C$25:$C711,$C711,$L$25:$L711),"")</f>
        <v/>
      </c>
      <c r="N711" s="10"/>
      <c r="O711" s="10"/>
      <c r="P711" s="65"/>
      <c r="Q711" s="10"/>
      <c r="R711" s="10"/>
      <c r="S711" s="54" t="str">
        <f t="shared" ref="S711:S774" si="39">IF($B711="","",--TEXT($B711,"yyyymm"))</f>
        <v/>
      </c>
      <c r="T711" s="54" t="str">
        <f t="shared" ref="T711:T774" si="40">IF($B711="","",IF($P711="",$S711,IFERROR($P711*1,$P711)))</f>
        <v/>
      </c>
      <c r="U711" s="58" t="str">
        <f t="shared" ref="U711:U774" si="41">IF($B711="","",IF($T711=$S711,"","跨期"))</f>
        <v/>
      </c>
      <c r="V711" s="58">
        <f>IF(AND($B711&lt;&gt;"",$F711&lt;&gt;"",$F711=项目明细账!$C$2),N(V710)+1,N(V710))</f>
        <v>0</v>
      </c>
      <c r="W711" s="63" t="str">
        <f>IF($H711&lt;&gt;"","项目成本",IFERROR(INDEX(基础资料!$W$4:$W$49,MATCH($I711,基础资料!$V$4:$V$49,0)),""))</f>
        <v/>
      </c>
      <c r="X711" s="63" t="str">
        <f>IFERROR(INDEX(基础资料!$R$4:$R$17,MATCH($G711,基础资料!$Q$4:$Q$17,0)),"")</f>
        <v/>
      </c>
    </row>
    <row r="712" spans="1:24">
      <c r="A712" s="58" t="str">
        <f>IF($B712="","",COUNTA($B$5:$B712))</f>
        <v/>
      </c>
      <c r="B712" s="53"/>
      <c r="C712" s="46"/>
      <c r="D712" s="63" t="str">
        <f>IFERROR(INDEX(基础资料!$F$4:$F$23,MATCH($C712,基础资料!$E$4:$E$23,0)),IF($C712="","","未匹配账户"))</f>
        <v/>
      </c>
      <c r="E712" s="39"/>
      <c r="F712" s="10"/>
      <c r="G712" s="10"/>
      <c r="H712" s="10"/>
      <c r="I712" s="10"/>
      <c r="J712" s="10"/>
      <c r="K712" s="25"/>
      <c r="L712" s="25"/>
      <c r="M712" s="25" t="str">
        <f>IFERROR(VLOOKUP($C712,$C$5:$M$24,11,0)+SUMIF($C$25:$C712,$C712,$K$25:$K712)-SUMIF($C$25:$C712,$C712,$L$25:$L712),"")</f>
        <v/>
      </c>
      <c r="N712" s="10"/>
      <c r="O712" s="10"/>
      <c r="P712" s="65"/>
      <c r="Q712" s="10"/>
      <c r="R712" s="10"/>
      <c r="S712" s="54" t="str">
        <f t="shared" si="39"/>
        <v/>
      </c>
      <c r="T712" s="54" t="str">
        <f t="shared" si="40"/>
        <v/>
      </c>
      <c r="U712" s="58" t="str">
        <f t="shared" si="41"/>
        <v/>
      </c>
      <c r="V712" s="58">
        <f>IF(AND($B712&lt;&gt;"",$F712&lt;&gt;"",$F712=项目明细账!$C$2),N(V711)+1,N(V711))</f>
        <v>0</v>
      </c>
      <c r="W712" s="63" t="str">
        <f>IF($H712&lt;&gt;"","项目成本",IFERROR(INDEX(基础资料!$W$4:$W$49,MATCH($I712,基础资料!$V$4:$V$49,0)),""))</f>
        <v/>
      </c>
      <c r="X712" s="63" t="str">
        <f>IFERROR(INDEX(基础资料!$R$4:$R$17,MATCH($G712,基础资料!$Q$4:$Q$17,0)),"")</f>
        <v/>
      </c>
    </row>
    <row r="713" spans="1:24">
      <c r="A713" s="58" t="str">
        <f>IF($B713="","",COUNTA($B$5:$B713))</f>
        <v/>
      </c>
      <c r="B713" s="53"/>
      <c r="C713" s="46"/>
      <c r="D713" s="63" t="str">
        <f>IFERROR(INDEX(基础资料!$F$4:$F$23,MATCH($C713,基础资料!$E$4:$E$23,0)),IF($C713="","","未匹配账户"))</f>
        <v/>
      </c>
      <c r="E713" s="39"/>
      <c r="F713" s="10"/>
      <c r="G713" s="10"/>
      <c r="H713" s="10"/>
      <c r="I713" s="10"/>
      <c r="J713" s="10"/>
      <c r="K713" s="25"/>
      <c r="L713" s="25"/>
      <c r="M713" s="25" t="str">
        <f>IFERROR(VLOOKUP($C713,$C$5:$M$24,11,0)+SUMIF($C$25:$C713,$C713,$K$25:$K713)-SUMIF($C$25:$C713,$C713,$L$25:$L713),"")</f>
        <v/>
      </c>
      <c r="N713" s="10"/>
      <c r="O713" s="10"/>
      <c r="P713" s="65"/>
      <c r="Q713" s="10"/>
      <c r="R713" s="10"/>
      <c r="S713" s="54" t="str">
        <f t="shared" si="39"/>
        <v/>
      </c>
      <c r="T713" s="54" t="str">
        <f t="shared" si="40"/>
        <v/>
      </c>
      <c r="U713" s="58" t="str">
        <f t="shared" si="41"/>
        <v/>
      </c>
      <c r="V713" s="58">
        <f>IF(AND($B713&lt;&gt;"",$F713&lt;&gt;"",$F713=项目明细账!$C$2),N(V712)+1,N(V712))</f>
        <v>0</v>
      </c>
      <c r="W713" s="63" t="str">
        <f>IF($H713&lt;&gt;"","项目成本",IFERROR(INDEX(基础资料!$W$4:$W$49,MATCH($I713,基础资料!$V$4:$V$49,0)),""))</f>
        <v/>
      </c>
      <c r="X713" s="63" t="str">
        <f>IFERROR(INDEX(基础资料!$R$4:$R$17,MATCH($G713,基础资料!$Q$4:$Q$17,0)),"")</f>
        <v/>
      </c>
    </row>
    <row r="714" spans="1:24">
      <c r="A714" s="58" t="str">
        <f>IF($B714="","",COUNTA($B$5:$B714))</f>
        <v/>
      </c>
      <c r="B714" s="53"/>
      <c r="C714" s="46"/>
      <c r="D714" s="63" t="str">
        <f>IFERROR(INDEX(基础资料!$F$4:$F$23,MATCH($C714,基础资料!$E$4:$E$23,0)),IF($C714="","","未匹配账户"))</f>
        <v/>
      </c>
      <c r="E714" s="39"/>
      <c r="F714" s="10"/>
      <c r="G714" s="10"/>
      <c r="H714" s="10"/>
      <c r="I714" s="10"/>
      <c r="J714" s="10"/>
      <c r="K714" s="25"/>
      <c r="L714" s="25"/>
      <c r="M714" s="25" t="str">
        <f>IFERROR(VLOOKUP($C714,$C$5:$M$24,11,0)+SUMIF($C$25:$C714,$C714,$K$25:$K714)-SUMIF($C$25:$C714,$C714,$L$25:$L714),"")</f>
        <v/>
      </c>
      <c r="N714" s="10"/>
      <c r="O714" s="10"/>
      <c r="P714" s="65"/>
      <c r="Q714" s="10"/>
      <c r="R714" s="10"/>
      <c r="S714" s="54" t="str">
        <f t="shared" si="39"/>
        <v/>
      </c>
      <c r="T714" s="54" t="str">
        <f t="shared" si="40"/>
        <v/>
      </c>
      <c r="U714" s="58" t="str">
        <f t="shared" si="41"/>
        <v/>
      </c>
      <c r="V714" s="58">
        <f>IF(AND($B714&lt;&gt;"",$F714&lt;&gt;"",$F714=项目明细账!$C$2),N(V713)+1,N(V713))</f>
        <v>0</v>
      </c>
      <c r="W714" s="63" t="str">
        <f>IF($H714&lt;&gt;"","项目成本",IFERROR(INDEX(基础资料!$W$4:$W$49,MATCH($I714,基础资料!$V$4:$V$49,0)),""))</f>
        <v/>
      </c>
      <c r="X714" s="63" t="str">
        <f>IFERROR(INDEX(基础资料!$R$4:$R$17,MATCH($G714,基础资料!$Q$4:$Q$17,0)),"")</f>
        <v/>
      </c>
    </row>
    <row r="715" spans="1:24">
      <c r="A715" s="58" t="str">
        <f>IF($B715="","",COUNTA($B$5:$B715))</f>
        <v/>
      </c>
      <c r="B715" s="53"/>
      <c r="C715" s="46"/>
      <c r="D715" s="63" t="str">
        <f>IFERROR(INDEX(基础资料!$F$4:$F$23,MATCH($C715,基础资料!$E$4:$E$23,0)),IF($C715="","","未匹配账户"))</f>
        <v/>
      </c>
      <c r="E715" s="39"/>
      <c r="F715" s="10"/>
      <c r="G715" s="10"/>
      <c r="H715" s="10"/>
      <c r="I715" s="10"/>
      <c r="J715" s="10"/>
      <c r="K715" s="25"/>
      <c r="L715" s="25"/>
      <c r="M715" s="25" t="str">
        <f>IFERROR(VLOOKUP($C715,$C$5:$M$24,11,0)+SUMIF($C$25:$C715,$C715,$K$25:$K715)-SUMIF($C$25:$C715,$C715,$L$25:$L715),"")</f>
        <v/>
      </c>
      <c r="N715" s="10"/>
      <c r="O715" s="10"/>
      <c r="P715" s="65"/>
      <c r="Q715" s="10"/>
      <c r="R715" s="10"/>
      <c r="S715" s="54" t="str">
        <f t="shared" si="39"/>
        <v/>
      </c>
      <c r="T715" s="54" t="str">
        <f t="shared" si="40"/>
        <v/>
      </c>
      <c r="U715" s="58" t="str">
        <f t="shared" si="41"/>
        <v/>
      </c>
      <c r="V715" s="58">
        <f>IF(AND($B715&lt;&gt;"",$F715&lt;&gt;"",$F715=项目明细账!$C$2),N(V714)+1,N(V714))</f>
        <v>0</v>
      </c>
      <c r="W715" s="63" t="str">
        <f>IF($H715&lt;&gt;"","项目成本",IFERROR(INDEX(基础资料!$W$4:$W$49,MATCH($I715,基础资料!$V$4:$V$49,0)),""))</f>
        <v/>
      </c>
      <c r="X715" s="63" t="str">
        <f>IFERROR(INDEX(基础资料!$R$4:$R$17,MATCH($G715,基础资料!$Q$4:$Q$17,0)),"")</f>
        <v/>
      </c>
    </row>
    <row r="716" spans="1:24">
      <c r="A716" s="58" t="str">
        <f>IF($B716="","",COUNTA($B$5:$B716))</f>
        <v/>
      </c>
      <c r="B716" s="53"/>
      <c r="C716" s="46"/>
      <c r="D716" s="63" t="str">
        <f>IFERROR(INDEX(基础资料!$F$4:$F$23,MATCH($C716,基础资料!$E$4:$E$23,0)),IF($C716="","","未匹配账户"))</f>
        <v/>
      </c>
      <c r="E716" s="39"/>
      <c r="F716" s="10"/>
      <c r="G716" s="10"/>
      <c r="H716" s="10"/>
      <c r="I716" s="10"/>
      <c r="J716" s="10"/>
      <c r="K716" s="25"/>
      <c r="L716" s="25"/>
      <c r="M716" s="25" t="str">
        <f>IFERROR(VLOOKUP($C716,$C$5:$M$24,11,0)+SUMIF($C$25:$C716,$C716,$K$25:$K716)-SUMIF($C$25:$C716,$C716,$L$25:$L716),"")</f>
        <v/>
      </c>
      <c r="N716" s="10"/>
      <c r="O716" s="10"/>
      <c r="P716" s="65"/>
      <c r="Q716" s="10"/>
      <c r="R716" s="10"/>
      <c r="S716" s="54" t="str">
        <f t="shared" si="39"/>
        <v/>
      </c>
      <c r="T716" s="54" t="str">
        <f t="shared" si="40"/>
        <v/>
      </c>
      <c r="U716" s="58" t="str">
        <f t="shared" si="41"/>
        <v/>
      </c>
      <c r="V716" s="58">
        <f>IF(AND($B716&lt;&gt;"",$F716&lt;&gt;"",$F716=项目明细账!$C$2),N(V715)+1,N(V715))</f>
        <v>0</v>
      </c>
      <c r="W716" s="63" t="str">
        <f>IF($H716&lt;&gt;"","项目成本",IFERROR(INDEX(基础资料!$W$4:$W$49,MATCH($I716,基础资料!$V$4:$V$49,0)),""))</f>
        <v/>
      </c>
      <c r="X716" s="63" t="str">
        <f>IFERROR(INDEX(基础资料!$R$4:$R$17,MATCH($G716,基础资料!$Q$4:$Q$17,0)),"")</f>
        <v/>
      </c>
    </row>
    <row r="717" spans="1:24">
      <c r="A717" s="58" t="str">
        <f>IF($B717="","",COUNTA($B$5:$B717))</f>
        <v/>
      </c>
      <c r="B717" s="53"/>
      <c r="C717" s="46"/>
      <c r="D717" s="63" t="str">
        <f>IFERROR(INDEX(基础资料!$F$4:$F$23,MATCH($C717,基础资料!$E$4:$E$23,0)),IF($C717="","","未匹配账户"))</f>
        <v/>
      </c>
      <c r="E717" s="39"/>
      <c r="F717" s="10"/>
      <c r="G717" s="10"/>
      <c r="H717" s="10"/>
      <c r="I717" s="10"/>
      <c r="J717" s="10"/>
      <c r="K717" s="25"/>
      <c r="L717" s="25"/>
      <c r="M717" s="25" t="str">
        <f>IFERROR(VLOOKUP($C717,$C$5:$M$24,11,0)+SUMIF($C$25:$C717,$C717,$K$25:$K717)-SUMIF($C$25:$C717,$C717,$L$25:$L717),"")</f>
        <v/>
      </c>
      <c r="N717" s="10"/>
      <c r="O717" s="10"/>
      <c r="P717" s="65"/>
      <c r="Q717" s="10"/>
      <c r="R717" s="10"/>
      <c r="S717" s="54" t="str">
        <f t="shared" si="39"/>
        <v/>
      </c>
      <c r="T717" s="54" t="str">
        <f t="shared" si="40"/>
        <v/>
      </c>
      <c r="U717" s="58" t="str">
        <f t="shared" si="41"/>
        <v/>
      </c>
      <c r="V717" s="58">
        <f>IF(AND($B717&lt;&gt;"",$F717&lt;&gt;"",$F717=项目明细账!$C$2),N(V716)+1,N(V716))</f>
        <v>0</v>
      </c>
      <c r="W717" s="63" t="str">
        <f>IF($H717&lt;&gt;"","项目成本",IFERROR(INDEX(基础资料!$W$4:$W$49,MATCH($I717,基础资料!$V$4:$V$49,0)),""))</f>
        <v/>
      </c>
      <c r="X717" s="63" t="str">
        <f>IFERROR(INDEX(基础资料!$R$4:$R$17,MATCH($G717,基础资料!$Q$4:$Q$17,0)),"")</f>
        <v/>
      </c>
    </row>
    <row r="718" spans="1:24">
      <c r="A718" s="58" t="str">
        <f>IF($B718="","",COUNTA($B$5:$B718))</f>
        <v/>
      </c>
      <c r="B718" s="53"/>
      <c r="C718" s="46"/>
      <c r="D718" s="63" t="str">
        <f>IFERROR(INDEX(基础资料!$F$4:$F$23,MATCH($C718,基础资料!$E$4:$E$23,0)),IF($C718="","","未匹配账户"))</f>
        <v/>
      </c>
      <c r="E718" s="39"/>
      <c r="F718" s="10"/>
      <c r="G718" s="10"/>
      <c r="H718" s="10"/>
      <c r="I718" s="10"/>
      <c r="J718" s="10"/>
      <c r="K718" s="25"/>
      <c r="L718" s="25"/>
      <c r="M718" s="25" t="str">
        <f>IFERROR(VLOOKUP($C718,$C$5:$M$24,11,0)+SUMIF($C$25:$C718,$C718,$K$25:$K718)-SUMIF($C$25:$C718,$C718,$L$25:$L718),"")</f>
        <v/>
      </c>
      <c r="N718" s="10"/>
      <c r="O718" s="10"/>
      <c r="P718" s="65"/>
      <c r="Q718" s="10"/>
      <c r="R718" s="10"/>
      <c r="S718" s="54" t="str">
        <f t="shared" si="39"/>
        <v/>
      </c>
      <c r="T718" s="54" t="str">
        <f t="shared" si="40"/>
        <v/>
      </c>
      <c r="U718" s="58" t="str">
        <f t="shared" si="41"/>
        <v/>
      </c>
      <c r="V718" s="58">
        <f>IF(AND($B718&lt;&gt;"",$F718&lt;&gt;"",$F718=项目明细账!$C$2),N(V717)+1,N(V717))</f>
        <v>0</v>
      </c>
      <c r="W718" s="63" t="str">
        <f>IF($H718&lt;&gt;"","项目成本",IFERROR(INDEX(基础资料!$W$4:$W$49,MATCH($I718,基础资料!$V$4:$V$49,0)),""))</f>
        <v/>
      </c>
      <c r="X718" s="63" t="str">
        <f>IFERROR(INDEX(基础资料!$R$4:$R$17,MATCH($G718,基础资料!$Q$4:$Q$17,0)),"")</f>
        <v/>
      </c>
    </row>
    <row r="719" spans="1:24">
      <c r="A719" s="58" t="str">
        <f>IF($B719="","",COUNTA($B$5:$B719))</f>
        <v/>
      </c>
      <c r="B719" s="53"/>
      <c r="C719" s="46"/>
      <c r="D719" s="63" t="str">
        <f>IFERROR(INDEX(基础资料!$F$4:$F$23,MATCH($C719,基础资料!$E$4:$E$23,0)),IF($C719="","","未匹配账户"))</f>
        <v/>
      </c>
      <c r="E719" s="39"/>
      <c r="F719" s="10"/>
      <c r="G719" s="10"/>
      <c r="H719" s="10"/>
      <c r="I719" s="10"/>
      <c r="J719" s="10"/>
      <c r="K719" s="25"/>
      <c r="L719" s="25"/>
      <c r="M719" s="25" t="str">
        <f>IFERROR(VLOOKUP($C719,$C$5:$M$24,11,0)+SUMIF($C$25:$C719,$C719,$K$25:$K719)-SUMIF($C$25:$C719,$C719,$L$25:$L719),"")</f>
        <v/>
      </c>
      <c r="N719" s="10"/>
      <c r="O719" s="10"/>
      <c r="P719" s="65"/>
      <c r="Q719" s="10"/>
      <c r="R719" s="10"/>
      <c r="S719" s="54" t="str">
        <f t="shared" si="39"/>
        <v/>
      </c>
      <c r="T719" s="54" t="str">
        <f t="shared" si="40"/>
        <v/>
      </c>
      <c r="U719" s="58" t="str">
        <f t="shared" si="41"/>
        <v/>
      </c>
      <c r="V719" s="58">
        <f>IF(AND($B719&lt;&gt;"",$F719&lt;&gt;"",$F719=项目明细账!$C$2),N(V718)+1,N(V718))</f>
        <v>0</v>
      </c>
      <c r="W719" s="63" t="str">
        <f>IF($H719&lt;&gt;"","项目成本",IFERROR(INDEX(基础资料!$W$4:$W$49,MATCH($I719,基础资料!$V$4:$V$49,0)),""))</f>
        <v/>
      </c>
      <c r="X719" s="63" t="str">
        <f>IFERROR(INDEX(基础资料!$R$4:$R$17,MATCH($G719,基础资料!$Q$4:$Q$17,0)),"")</f>
        <v/>
      </c>
    </row>
    <row r="720" spans="1:24">
      <c r="A720" s="58" t="str">
        <f>IF($B720="","",COUNTA($B$5:$B720))</f>
        <v/>
      </c>
      <c r="B720" s="53"/>
      <c r="C720" s="46"/>
      <c r="D720" s="63" t="str">
        <f>IFERROR(INDEX(基础资料!$F$4:$F$23,MATCH($C720,基础资料!$E$4:$E$23,0)),IF($C720="","","未匹配账户"))</f>
        <v/>
      </c>
      <c r="E720" s="39"/>
      <c r="F720" s="10"/>
      <c r="G720" s="10"/>
      <c r="H720" s="10"/>
      <c r="I720" s="10"/>
      <c r="J720" s="10"/>
      <c r="K720" s="25"/>
      <c r="L720" s="25"/>
      <c r="M720" s="25" t="str">
        <f>IFERROR(VLOOKUP($C720,$C$5:$M$24,11,0)+SUMIF($C$25:$C720,$C720,$K$25:$K720)-SUMIF($C$25:$C720,$C720,$L$25:$L720),"")</f>
        <v/>
      </c>
      <c r="N720" s="10"/>
      <c r="O720" s="10"/>
      <c r="P720" s="65"/>
      <c r="Q720" s="10"/>
      <c r="R720" s="10"/>
      <c r="S720" s="54" t="str">
        <f t="shared" si="39"/>
        <v/>
      </c>
      <c r="T720" s="54" t="str">
        <f t="shared" si="40"/>
        <v/>
      </c>
      <c r="U720" s="58" t="str">
        <f t="shared" si="41"/>
        <v/>
      </c>
      <c r="V720" s="58">
        <f>IF(AND($B720&lt;&gt;"",$F720&lt;&gt;"",$F720=项目明细账!$C$2),N(V719)+1,N(V719))</f>
        <v>0</v>
      </c>
      <c r="W720" s="63" t="str">
        <f>IF($H720&lt;&gt;"","项目成本",IFERROR(INDEX(基础资料!$W$4:$W$49,MATCH($I720,基础资料!$V$4:$V$49,0)),""))</f>
        <v/>
      </c>
      <c r="X720" s="63" t="str">
        <f>IFERROR(INDEX(基础资料!$R$4:$R$17,MATCH($G720,基础资料!$Q$4:$Q$17,0)),"")</f>
        <v/>
      </c>
    </row>
    <row r="721" spans="1:24">
      <c r="A721" s="58" t="str">
        <f>IF($B721="","",COUNTA($B$5:$B721))</f>
        <v/>
      </c>
      <c r="B721" s="53"/>
      <c r="C721" s="46"/>
      <c r="D721" s="63" t="str">
        <f>IFERROR(INDEX(基础资料!$F$4:$F$23,MATCH($C721,基础资料!$E$4:$E$23,0)),IF($C721="","","未匹配账户"))</f>
        <v/>
      </c>
      <c r="E721" s="39"/>
      <c r="F721" s="10"/>
      <c r="G721" s="10"/>
      <c r="H721" s="10"/>
      <c r="I721" s="10"/>
      <c r="J721" s="10"/>
      <c r="K721" s="25"/>
      <c r="L721" s="25"/>
      <c r="M721" s="25" t="str">
        <f>IFERROR(VLOOKUP($C721,$C$5:$M$24,11,0)+SUMIF($C$25:$C721,$C721,$K$25:$K721)-SUMIF($C$25:$C721,$C721,$L$25:$L721),"")</f>
        <v/>
      </c>
      <c r="N721" s="10"/>
      <c r="O721" s="10"/>
      <c r="P721" s="65"/>
      <c r="Q721" s="10"/>
      <c r="R721" s="10"/>
      <c r="S721" s="54" t="str">
        <f t="shared" si="39"/>
        <v/>
      </c>
      <c r="T721" s="54" t="str">
        <f t="shared" si="40"/>
        <v/>
      </c>
      <c r="U721" s="58" t="str">
        <f t="shared" si="41"/>
        <v/>
      </c>
      <c r="V721" s="58">
        <f>IF(AND($B721&lt;&gt;"",$F721&lt;&gt;"",$F721=项目明细账!$C$2),N(V720)+1,N(V720))</f>
        <v>0</v>
      </c>
      <c r="W721" s="63" t="str">
        <f>IF($H721&lt;&gt;"","项目成本",IFERROR(INDEX(基础资料!$W$4:$W$49,MATCH($I721,基础资料!$V$4:$V$49,0)),""))</f>
        <v/>
      </c>
      <c r="X721" s="63" t="str">
        <f>IFERROR(INDEX(基础资料!$R$4:$R$17,MATCH($G721,基础资料!$Q$4:$Q$17,0)),"")</f>
        <v/>
      </c>
    </row>
    <row r="722" spans="1:24">
      <c r="A722" s="58" t="str">
        <f>IF($B722="","",COUNTA($B$5:$B722))</f>
        <v/>
      </c>
      <c r="B722" s="53"/>
      <c r="C722" s="46"/>
      <c r="D722" s="63" t="str">
        <f>IFERROR(INDEX(基础资料!$F$4:$F$23,MATCH($C722,基础资料!$E$4:$E$23,0)),IF($C722="","","未匹配账户"))</f>
        <v/>
      </c>
      <c r="E722" s="39"/>
      <c r="F722" s="10"/>
      <c r="G722" s="10"/>
      <c r="H722" s="10"/>
      <c r="I722" s="10"/>
      <c r="J722" s="10"/>
      <c r="K722" s="25"/>
      <c r="L722" s="25"/>
      <c r="M722" s="25" t="str">
        <f>IFERROR(VLOOKUP($C722,$C$5:$M$24,11,0)+SUMIF($C$25:$C722,$C722,$K$25:$K722)-SUMIF($C$25:$C722,$C722,$L$25:$L722),"")</f>
        <v/>
      </c>
      <c r="N722" s="10"/>
      <c r="O722" s="10"/>
      <c r="P722" s="65"/>
      <c r="Q722" s="10"/>
      <c r="R722" s="10"/>
      <c r="S722" s="54" t="str">
        <f t="shared" si="39"/>
        <v/>
      </c>
      <c r="T722" s="54" t="str">
        <f t="shared" si="40"/>
        <v/>
      </c>
      <c r="U722" s="58" t="str">
        <f t="shared" si="41"/>
        <v/>
      </c>
      <c r="V722" s="58">
        <f>IF(AND($B722&lt;&gt;"",$F722&lt;&gt;"",$F722=项目明细账!$C$2),N(V721)+1,N(V721))</f>
        <v>0</v>
      </c>
      <c r="W722" s="63" t="str">
        <f>IF($H722&lt;&gt;"","项目成本",IFERROR(INDEX(基础资料!$W$4:$W$49,MATCH($I722,基础资料!$V$4:$V$49,0)),""))</f>
        <v/>
      </c>
      <c r="X722" s="63" t="str">
        <f>IFERROR(INDEX(基础资料!$R$4:$R$17,MATCH($G722,基础资料!$Q$4:$Q$17,0)),"")</f>
        <v/>
      </c>
    </row>
    <row r="723" spans="1:24">
      <c r="A723" s="58" t="str">
        <f>IF($B723="","",COUNTA($B$5:$B723))</f>
        <v/>
      </c>
      <c r="B723" s="53"/>
      <c r="C723" s="46"/>
      <c r="D723" s="63" t="str">
        <f>IFERROR(INDEX(基础资料!$F$4:$F$23,MATCH($C723,基础资料!$E$4:$E$23,0)),IF($C723="","","未匹配账户"))</f>
        <v/>
      </c>
      <c r="E723" s="39"/>
      <c r="F723" s="10"/>
      <c r="G723" s="10"/>
      <c r="H723" s="10"/>
      <c r="I723" s="10"/>
      <c r="J723" s="10"/>
      <c r="K723" s="25"/>
      <c r="L723" s="25"/>
      <c r="M723" s="25" t="str">
        <f>IFERROR(VLOOKUP($C723,$C$5:$M$24,11,0)+SUMIF($C$25:$C723,$C723,$K$25:$K723)-SUMIF($C$25:$C723,$C723,$L$25:$L723),"")</f>
        <v/>
      </c>
      <c r="N723" s="10"/>
      <c r="O723" s="10"/>
      <c r="P723" s="65"/>
      <c r="Q723" s="10"/>
      <c r="R723" s="10"/>
      <c r="S723" s="54" t="str">
        <f t="shared" si="39"/>
        <v/>
      </c>
      <c r="T723" s="54" t="str">
        <f t="shared" si="40"/>
        <v/>
      </c>
      <c r="U723" s="58" t="str">
        <f t="shared" si="41"/>
        <v/>
      </c>
      <c r="V723" s="58">
        <f>IF(AND($B723&lt;&gt;"",$F723&lt;&gt;"",$F723=项目明细账!$C$2),N(V722)+1,N(V722))</f>
        <v>0</v>
      </c>
      <c r="W723" s="63" t="str">
        <f>IF($H723&lt;&gt;"","项目成本",IFERROR(INDEX(基础资料!$W$4:$W$49,MATCH($I723,基础资料!$V$4:$V$49,0)),""))</f>
        <v/>
      </c>
      <c r="X723" s="63" t="str">
        <f>IFERROR(INDEX(基础资料!$R$4:$R$17,MATCH($G723,基础资料!$Q$4:$Q$17,0)),"")</f>
        <v/>
      </c>
    </row>
    <row r="724" spans="1:24">
      <c r="A724" s="58" t="str">
        <f>IF($B724="","",COUNTA($B$5:$B724))</f>
        <v/>
      </c>
      <c r="B724" s="53"/>
      <c r="C724" s="46"/>
      <c r="D724" s="63" t="str">
        <f>IFERROR(INDEX(基础资料!$F$4:$F$23,MATCH($C724,基础资料!$E$4:$E$23,0)),IF($C724="","","未匹配账户"))</f>
        <v/>
      </c>
      <c r="E724" s="39"/>
      <c r="F724" s="10"/>
      <c r="G724" s="10"/>
      <c r="H724" s="10"/>
      <c r="I724" s="10"/>
      <c r="J724" s="10"/>
      <c r="K724" s="25"/>
      <c r="L724" s="25"/>
      <c r="M724" s="25" t="str">
        <f>IFERROR(VLOOKUP($C724,$C$5:$M$24,11,0)+SUMIF($C$25:$C724,$C724,$K$25:$K724)-SUMIF($C$25:$C724,$C724,$L$25:$L724),"")</f>
        <v/>
      </c>
      <c r="N724" s="10"/>
      <c r="O724" s="10"/>
      <c r="P724" s="65"/>
      <c r="Q724" s="10"/>
      <c r="R724" s="10"/>
      <c r="S724" s="54" t="str">
        <f t="shared" si="39"/>
        <v/>
      </c>
      <c r="T724" s="54" t="str">
        <f t="shared" si="40"/>
        <v/>
      </c>
      <c r="U724" s="58" t="str">
        <f t="shared" si="41"/>
        <v/>
      </c>
      <c r="V724" s="58">
        <f>IF(AND($B724&lt;&gt;"",$F724&lt;&gt;"",$F724=项目明细账!$C$2),N(V723)+1,N(V723))</f>
        <v>0</v>
      </c>
      <c r="W724" s="63" t="str">
        <f>IF($H724&lt;&gt;"","项目成本",IFERROR(INDEX(基础资料!$W$4:$W$49,MATCH($I724,基础资料!$V$4:$V$49,0)),""))</f>
        <v/>
      </c>
      <c r="X724" s="63" t="str">
        <f>IFERROR(INDEX(基础资料!$R$4:$R$17,MATCH($G724,基础资料!$Q$4:$Q$17,0)),"")</f>
        <v/>
      </c>
    </row>
    <row r="725" spans="1:24">
      <c r="A725" s="58" t="str">
        <f>IF($B725="","",COUNTA($B$5:$B725))</f>
        <v/>
      </c>
      <c r="B725" s="53"/>
      <c r="C725" s="46"/>
      <c r="D725" s="63" t="str">
        <f>IFERROR(INDEX(基础资料!$F$4:$F$23,MATCH($C725,基础资料!$E$4:$E$23,0)),IF($C725="","","未匹配账户"))</f>
        <v/>
      </c>
      <c r="E725" s="39"/>
      <c r="F725" s="10"/>
      <c r="G725" s="10"/>
      <c r="H725" s="10"/>
      <c r="I725" s="10"/>
      <c r="J725" s="10"/>
      <c r="K725" s="25"/>
      <c r="L725" s="25"/>
      <c r="M725" s="25" t="str">
        <f>IFERROR(VLOOKUP($C725,$C$5:$M$24,11,0)+SUMIF($C$25:$C725,$C725,$K$25:$K725)-SUMIF($C$25:$C725,$C725,$L$25:$L725),"")</f>
        <v/>
      </c>
      <c r="N725" s="10"/>
      <c r="O725" s="10"/>
      <c r="P725" s="65"/>
      <c r="Q725" s="10"/>
      <c r="R725" s="10"/>
      <c r="S725" s="54" t="str">
        <f t="shared" si="39"/>
        <v/>
      </c>
      <c r="T725" s="54" t="str">
        <f t="shared" si="40"/>
        <v/>
      </c>
      <c r="U725" s="58" t="str">
        <f t="shared" si="41"/>
        <v/>
      </c>
      <c r="V725" s="58">
        <f>IF(AND($B725&lt;&gt;"",$F725&lt;&gt;"",$F725=项目明细账!$C$2),N(V724)+1,N(V724))</f>
        <v>0</v>
      </c>
      <c r="W725" s="63" t="str">
        <f>IF($H725&lt;&gt;"","项目成本",IFERROR(INDEX(基础资料!$W$4:$W$49,MATCH($I725,基础资料!$V$4:$V$49,0)),""))</f>
        <v/>
      </c>
      <c r="X725" s="63" t="str">
        <f>IFERROR(INDEX(基础资料!$R$4:$R$17,MATCH($G725,基础资料!$Q$4:$Q$17,0)),"")</f>
        <v/>
      </c>
    </row>
    <row r="726" spans="1:24">
      <c r="A726" s="58" t="str">
        <f>IF($B726="","",COUNTA($B$5:$B726))</f>
        <v/>
      </c>
      <c r="B726" s="53"/>
      <c r="C726" s="46"/>
      <c r="D726" s="63" t="str">
        <f>IFERROR(INDEX(基础资料!$F$4:$F$23,MATCH($C726,基础资料!$E$4:$E$23,0)),IF($C726="","","未匹配账户"))</f>
        <v/>
      </c>
      <c r="E726" s="39"/>
      <c r="F726" s="10"/>
      <c r="G726" s="10"/>
      <c r="H726" s="10"/>
      <c r="I726" s="10"/>
      <c r="J726" s="10"/>
      <c r="K726" s="25"/>
      <c r="L726" s="25"/>
      <c r="M726" s="25" t="str">
        <f>IFERROR(VLOOKUP($C726,$C$5:$M$24,11,0)+SUMIF($C$25:$C726,$C726,$K$25:$K726)-SUMIF($C$25:$C726,$C726,$L$25:$L726),"")</f>
        <v/>
      </c>
      <c r="N726" s="10"/>
      <c r="O726" s="10"/>
      <c r="P726" s="65"/>
      <c r="Q726" s="10"/>
      <c r="R726" s="10"/>
      <c r="S726" s="54" t="str">
        <f t="shared" si="39"/>
        <v/>
      </c>
      <c r="T726" s="54" t="str">
        <f t="shared" si="40"/>
        <v/>
      </c>
      <c r="U726" s="58" t="str">
        <f t="shared" si="41"/>
        <v/>
      </c>
      <c r="V726" s="58">
        <f>IF(AND($B726&lt;&gt;"",$F726&lt;&gt;"",$F726=项目明细账!$C$2),N(V725)+1,N(V725))</f>
        <v>0</v>
      </c>
      <c r="W726" s="63" t="str">
        <f>IF($H726&lt;&gt;"","项目成本",IFERROR(INDEX(基础资料!$W$4:$W$49,MATCH($I726,基础资料!$V$4:$V$49,0)),""))</f>
        <v/>
      </c>
      <c r="X726" s="63" t="str">
        <f>IFERROR(INDEX(基础资料!$R$4:$R$17,MATCH($G726,基础资料!$Q$4:$Q$17,0)),"")</f>
        <v/>
      </c>
    </row>
    <row r="727" spans="1:24">
      <c r="A727" s="58" t="str">
        <f>IF($B727="","",COUNTA($B$5:$B727))</f>
        <v/>
      </c>
      <c r="B727" s="53"/>
      <c r="C727" s="46"/>
      <c r="D727" s="63" t="str">
        <f>IFERROR(INDEX(基础资料!$F$4:$F$23,MATCH($C727,基础资料!$E$4:$E$23,0)),IF($C727="","","未匹配账户"))</f>
        <v/>
      </c>
      <c r="E727" s="39"/>
      <c r="F727" s="10"/>
      <c r="G727" s="10"/>
      <c r="H727" s="10"/>
      <c r="I727" s="10"/>
      <c r="J727" s="10"/>
      <c r="K727" s="25"/>
      <c r="L727" s="25"/>
      <c r="M727" s="25" t="str">
        <f>IFERROR(VLOOKUP($C727,$C$5:$M$24,11,0)+SUMIF($C$25:$C727,$C727,$K$25:$K727)-SUMIF($C$25:$C727,$C727,$L$25:$L727),"")</f>
        <v/>
      </c>
      <c r="N727" s="10"/>
      <c r="O727" s="10"/>
      <c r="P727" s="65"/>
      <c r="Q727" s="10"/>
      <c r="R727" s="10"/>
      <c r="S727" s="54" t="str">
        <f t="shared" si="39"/>
        <v/>
      </c>
      <c r="T727" s="54" t="str">
        <f t="shared" si="40"/>
        <v/>
      </c>
      <c r="U727" s="58" t="str">
        <f t="shared" si="41"/>
        <v/>
      </c>
      <c r="V727" s="58">
        <f>IF(AND($B727&lt;&gt;"",$F727&lt;&gt;"",$F727=项目明细账!$C$2),N(V726)+1,N(V726))</f>
        <v>0</v>
      </c>
      <c r="W727" s="63" t="str">
        <f>IF($H727&lt;&gt;"","项目成本",IFERROR(INDEX(基础资料!$W$4:$W$49,MATCH($I727,基础资料!$V$4:$V$49,0)),""))</f>
        <v/>
      </c>
      <c r="X727" s="63" t="str">
        <f>IFERROR(INDEX(基础资料!$R$4:$R$17,MATCH($G727,基础资料!$Q$4:$Q$17,0)),"")</f>
        <v/>
      </c>
    </row>
    <row r="728" spans="1:24">
      <c r="A728" s="58" t="str">
        <f>IF($B728="","",COUNTA($B$5:$B728))</f>
        <v/>
      </c>
      <c r="B728" s="53"/>
      <c r="C728" s="46"/>
      <c r="D728" s="63" t="str">
        <f>IFERROR(INDEX(基础资料!$F$4:$F$23,MATCH($C728,基础资料!$E$4:$E$23,0)),IF($C728="","","未匹配账户"))</f>
        <v/>
      </c>
      <c r="E728" s="39"/>
      <c r="F728" s="10"/>
      <c r="G728" s="10"/>
      <c r="H728" s="10"/>
      <c r="I728" s="10"/>
      <c r="J728" s="10"/>
      <c r="K728" s="25"/>
      <c r="L728" s="25"/>
      <c r="M728" s="25" t="str">
        <f>IFERROR(VLOOKUP($C728,$C$5:$M$24,11,0)+SUMIF($C$25:$C728,$C728,$K$25:$K728)-SUMIF($C$25:$C728,$C728,$L$25:$L728),"")</f>
        <v/>
      </c>
      <c r="N728" s="10"/>
      <c r="O728" s="10"/>
      <c r="P728" s="65"/>
      <c r="Q728" s="10"/>
      <c r="R728" s="10"/>
      <c r="S728" s="54" t="str">
        <f t="shared" si="39"/>
        <v/>
      </c>
      <c r="T728" s="54" t="str">
        <f t="shared" si="40"/>
        <v/>
      </c>
      <c r="U728" s="58" t="str">
        <f t="shared" si="41"/>
        <v/>
      </c>
      <c r="V728" s="58">
        <f>IF(AND($B728&lt;&gt;"",$F728&lt;&gt;"",$F728=项目明细账!$C$2),N(V727)+1,N(V727))</f>
        <v>0</v>
      </c>
      <c r="W728" s="63" t="str">
        <f>IF($H728&lt;&gt;"","项目成本",IFERROR(INDEX(基础资料!$W$4:$W$49,MATCH($I728,基础资料!$V$4:$V$49,0)),""))</f>
        <v/>
      </c>
      <c r="X728" s="63" t="str">
        <f>IFERROR(INDEX(基础资料!$R$4:$R$17,MATCH($G728,基础资料!$Q$4:$Q$17,0)),"")</f>
        <v/>
      </c>
    </row>
    <row r="729" spans="1:24">
      <c r="A729" s="58" t="str">
        <f>IF($B729="","",COUNTA($B$5:$B729))</f>
        <v/>
      </c>
      <c r="B729" s="53"/>
      <c r="C729" s="46"/>
      <c r="D729" s="63" t="str">
        <f>IFERROR(INDEX(基础资料!$F$4:$F$23,MATCH($C729,基础资料!$E$4:$E$23,0)),IF($C729="","","未匹配账户"))</f>
        <v/>
      </c>
      <c r="E729" s="39"/>
      <c r="F729" s="10"/>
      <c r="G729" s="10"/>
      <c r="H729" s="10"/>
      <c r="I729" s="10"/>
      <c r="J729" s="10"/>
      <c r="K729" s="25"/>
      <c r="L729" s="25"/>
      <c r="M729" s="25" t="str">
        <f>IFERROR(VLOOKUP($C729,$C$5:$M$24,11,0)+SUMIF($C$25:$C729,$C729,$K$25:$K729)-SUMIF($C$25:$C729,$C729,$L$25:$L729),"")</f>
        <v/>
      </c>
      <c r="N729" s="10"/>
      <c r="O729" s="10"/>
      <c r="P729" s="65"/>
      <c r="Q729" s="10"/>
      <c r="R729" s="10"/>
      <c r="S729" s="54" t="str">
        <f t="shared" si="39"/>
        <v/>
      </c>
      <c r="T729" s="54" t="str">
        <f t="shared" si="40"/>
        <v/>
      </c>
      <c r="U729" s="58" t="str">
        <f t="shared" si="41"/>
        <v/>
      </c>
      <c r="V729" s="58">
        <f>IF(AND($B729&lt;&gt;"",$F729&lt;&gt;"",$F729=项目明细账!$C$2),N(V728)+1,N(V728))</f>
        <v>0</v>
      </c>
      <c r="W729" s="63" t="str">
        <f>IF($H729&lt;&gt;"","项目成本",IFERROR(INDEX(基础资料!$W$4:$W$49,MATCH($I729,基础资料!$V$4:$V$49,0)),""))</f>
        <v/>
      </c>
      <c r="X729" s="63" t="str">
        <f>IFERROR(INDEX(基础资料!$R$4:$R$17,MATCH($G729,基础资料!$Q$4:$Q$17,0)),"")</f>
        <v/>
      </c>
    </row>
    <row r="730" spans="1:24">
      <c r="A730" s="58" t="str">
        <f>IF($B730="","",COUNTA($B$5:$B730))</f>
        <v/>
      </c>
      <c r="B730" s="53"/>
      <c r="C730" s="46"/>
      <c r="D730" s="63" t="str">
        <f>IFERROR(INDEX(基础资料!$F$4:$F$23,MATCH($C730,基础资料!$E$4:$E$23,0)),IF($C730="","","未匹配账户"))</f>
        <v/>
      </c>
      <c r="E730" s="39"/>
      <c r="F730" s="10"/>
      <c r="G730" s="10"/>
      <c r="H730" s="10"/>
      <c r="I730" s="10"/>
      <c r="J730" s="10"/>
      <c r="K730" s="25"/>
      <c r="L730" s="25"/>
      <c r="M730" s="25" t="str">
        <f>IFERROR(VLOOKUP($C730,$C$5:$M$24,11,0)+SUMIF($C$25:$C730,$C730,$K$25:$K730)-SUMIF($C$25:$C730,$C730,$L$25:$L730),"")</f>
        <v/>
      </c>
      <c r="N730" s="10"/>
      <c r="O730" s="10"/>
      <c r="P730" s="65"/>
      <c r="Q730" s="10"/>
      <c r="R730" s="10"/>
      <c r="S730" s="54" t="str">
        <f t="shared" si="39"/>
        <v/>
      </c>
      <c r="T730" s="54" t="str">
        <f t="shared" si="40"/>
        <v/>
      </c>
      <c r="U730" s="58" t="str">
        <f t="shared" si="41"/>
        <v/>
      </c>
      <c r="V730" s="58">
        <f>IF(AND($B730&lt;&gt;"",$F730&lt;&gt;"",$F730=项目明细账!$C$2),N(V729)+1,N(V729))</f>
        <v>0</v>
      </c>
      <c r="W730" s="63" t="str">
        <f>IF($H730&lt;&gt;"","项目成本",IFERROR(INDEX(基础资料!$W$4:$W$49,MATCH($I730,基础资料!$V$4:$V$49,0)),""))</f>
        <v/>
      </c>
      <c r="X730" s="63" t="str">
        <f>IFERROR(INDEX(基础资料!$R$4:$R$17,MATCH($G730,基础资料!$Q$4:$Q$17,0)),"")</f>
        <v/>
      </c>
    </row>
    <row r="731" spans="1:24">
      <c r="A731" s="58" t="str">
        <f>IF($B731="","",COUNTA($B$5:$B731))</f>
        <v/>
      </c>
      <c r="B731" s="53"/>
      <c r="C731" s="46"/>
      <c r="D731" s="63" t="str">
        <f>IFERROR(INDEX(基础资料!$F$4:$F$23,MATCH($C731,基础资料!$E$4:$E$23,0)),IF($C731="","","未匹配账户"))</f>
        <v/>
      </c>
      <c r="E731" s="39"/>
      <c r="F731" s="10"/>
      <c r="G731" s="10"/>
      <c r="H731" s="10"/>
      <c r="I731" s="10"/>
      <c r="J731" s="10"/>
      <c r="K731" s="25"/>
      <c r="L731" s="25"/>
      <c r="M731" s="25" t="str">
        <f>IFERROR(VLOOKUP($C731,$C$5:$M$24,11,0)+SUMIF($C$25:$C731,$C731,$K$25:$K731)-SUMIF($C$25:$C731,$C731,$L$25:$L731),"")</f>
        <v/>
      </c>
      <c r="N731" s="10"/>
      <c r="O731" s="10"/>
      <c r="P731" s="65"/>
      <c r="Q731" s="10"/>
      <c r="R731" s="10"/>
      <c r="S731" s="54" t="str">
        <f t="shared" si="39"/>
        <v/>
      </c>
      <c r="T731" s="54" t="str">
        <f t="shared" si="40"/>
        <v/>
      </c>
      <c r="U731" s="58" t="str">
        <f t="shared" si="41"/>
        <v/>
      </c>
      <c r="V731" s="58">
        <f>IF(AND($B731&lt;&gt;"",$F731&lt;&gt;"",$F731=项目明细账!$C$2),N(V730)+1,N(V730))</f>
        <v>0</v>
      </c>
      <c r="W731" s="63" t="str">
        <f>IF($H731&lt;&gt;"","项目成本",IFERROR(INDEX(基础资料!$W$4:$W$49,MATCH($I731,基础资料!$V$4:$V$49,0)),""))</f>
        <v/>
      </c>
      <c r="X731" s="63" t="str">
        <f>IFERROR(INDEX(基础资料!$R$4:$R$17,MATCH($G731,基础资料!$Q$4:$Q$17,0)),"")</f>
        <v/>
      </c>
    </row>
    <row r="732" spans="1:24">
      <c r="A732" s="58" t="str">
        <f>IF($B732="","",COUNTA($B$5:$B732))</f>
        <v/>
      </c>
      <c r="B732" s="53"/>
      <c r="C732" s="46"/>
      <c r="D732" s="63" t="str">
        <f>IFERROR(INDEX(基础资料!$F$4:$F$23,MATCH($C732,基础资料!$E$4:$E$23,0)),IF($C732="","","未匹配账户"))</f>
        <v/>
      </c>
      <c r="E732" s="39"/>
      <c r="F732" s="10"/>
      <c r="G732" s="10"/>
      <c r="H732" s="10"/>
      <c r="I732" s="10"/>
      <c r="J732" s="10"/>
      <c r="K732" s="25"/>
      <c r="L732" s="25"/>
      <c r="M732" s="25" t="str">
        <f>IFERROR(VLOOKUP($C732,$C$5:$M$24,11,0)+SUMIF($C$25:$C732,$C732,$K$25:$K732)-SUMIF($C$25:$C732,$C732,$L$25:$L732),"")</f>
        <v/>
      </c>
      <c r="N732" s="10"/>
      <c r="O732" s="10"/>
      <c r="P732" s="65"/>
      <c r="Q732" s="10"/>
      <c r="R732" s="10"/>
      <c r="S732" s="54" t="str">
        <f t="shared" si="39"/>
        <v/>
      </c>
      <c r="T732" s="54" t="str">
        <f t="shared" si="40"/>
        <v/>
      </c>
      <c r="U732" s="58" t="str">
        <f t="shared" si="41"/>
        <v/>
      </c>
      <c r="V732" s="58">
        <f>IF(AND($B732&lt;&gt;"",$F732&lt;&gt;"",$F732=项目明细账!$C$2),N(V731)+1,N(V731))</f>
        <v>0</v>
      </c>
      <c r="W732" s="63" t="str">
        <f>IF($H732&lt;&gt;"","项目成本",IFERROR(INDEX(基础资料!$W$4:$W$49,MATCH($I732,基础资料!$V$4:$V$49,0)),""))</f>
        <v/>
      </c>
      <c r="X732" s="63" t="str">
        <f>IFERROR(INDEX(基础资料!$R$4:$R$17,MATCH($G732,基础资料!$Q$4:$Q$17,0)),"")</f>
        <v/>
      </c>
    </row>
    <row r="733" spans="1:24">
      <c r="A733" s="58" t="str">
        <f>IF($B733="","",COUNTA($B$5:$B733))</f>
        <v/>
      </c>
      <c r="B733" s="53"/>
      <c r="C733" s="46"/>
      <c r="D733" s="63" t="str">
        <f>IFERROR(INDEX(基础资料!$F$4:$F$23,MATCH($C733,基础资料!$E$4:$E$23,0)),IF($C733="","","未匹配账户"))</f>
        <v/>
      </c>
      <c r="E733" s="39"/>
      <c r="F733" s="10"/>
      <c r="G733" s="10"/>
      <c r="H733" s="10"/>
      <c r="I733" s="10"/>
      <c r="J733" s="10"/>
      <c r="K733" s="25"/>
      <c r="L733" s="25"/>
      <c r="M733" s="25" t="str">
        <f>IFERROR(VLOOKUP($C733,$C$5:$M$24,11,0)+SUMIF($C$25:$C733,$C733,$K$25:$K733)-SUMIF($C$25:$C733,$C733,$L$25:$L733),"")</f>
        <v/>
      </c>
      <c r="N733" s="10"/>
      <c r="O733" s="10"/>
      <c r="P733" s="65"/>
      <c r="Q733" s="10"/>
      <c r="R733" s="10"/>
      <c r="S733" s="54" t="str">
        <f t="shared" si="39"/>
        <v/>
      </c>
      <c r="T733" s="54" t="str">
        <f t="shared" si="40"/>
        <v/>
      </c>
      <c r="U733" s="58" t="str">
        <f t="shared" si="41"/>
        <v/>
      </c>
      <c r="V733" s="58">
        <f>IF(AND($B733&lt;&gt;"",$F733&lt;&gt;"",$F733=项目明细账!$C$2),N(V732)+1,N(V732))</f>
        <v>0</v>
      </c>
      <c r="W733" s="63" t="str">
        <f>IF($H733&lt;&gt;"","项目成本",IFERROR(INDEX(基础资料!$W$4:$W$49,MATCH($I733,基础资料!$V$4:$V$49,0)),""))</f>
        <v/>
      </c>
      <c r="X733" s="63" t="str">
        <f>IFERROR(INDEX(基础资料!$R$4:$R$17,MATCH($G733,基础资料!$Q$4:$Q$17,0)),"")</f>
        <v/>
      </c>
    </row>
    <row r="734" spans="1:24">
      <c r="A734" s="58" t="str">
        <f>IF($B734="","",COUNTA($B$5:$B734))</f>
        <v/>
      </c>
      <c r="B734" s="53"/>
      <c r="C734" s="46"/>
      <c r="D734" s="63" t="str">
        <f>IFERROR(INDEX(基础资料!$F$4:$F$23,MATCH($C734,基础资料!$E$4:$E$23,0)),IF($C734="","","未匹配账户"))</f>
        <v/>
      </c>
      <c r="E734" s="39"/>
      <c r="F734" s="10"/>
      <c r="G734" s="10"/>
      <c r="H734" s="10"/>
      <c r="I734" s="10"/>
      <c r="J734" s="10"/>
      <c r="K734" s="25"/>
      <c r="L734" s="25"/>
      <c r="M734" s="25" t="str">
        <f>IFERROR(VLOOKUP($C734,$C$5:$M$24,11,0)+SUMIF($C$25:$C734,$C734,$K$25:$K734)-SUMIF($C$25:$C734,$C734,$L$25:$L734),"")</f>
        <v/>
      </c>
      <c r="N734" s="10"/>
      <c r="O734" s="10"/>
      <c r="P734" s="65"/>
      <c r="Q734" s="10"/>
      <c r="R734" s="10"/>
      <c r="S734" s="54" t="str">
        <f t="shared" si="39"/>
        <v/>
      </c>
      <c r="T734" s="54" t="str">
        <f t="shared" si="40"/>
        <v/>
      </c>
      <c r="U734" s="58" t="str">
        <f t="shared" si="41"/>
        <v/>
      </c>
      <c r="V734" s="58">
        <f>IF(AND($B734&lt;&gt;"",$F734&lt;&gt;"",$F734=项目明细账!$C$2),N(V733)+1,N(V733))</f>
        <v>0</v>
      </c>
      <c r="W734" s="63" t="str">
        <f>IF($H734&lt;&gt;"","项目成本",IFERROR(INDEX(基础资料!$W$4:$W$49,MATCH($I734,基础资料!$V$4:$V$49,0)),""))</f>
        <v/>
      </c>
      <c r="X734" s="63" t="str">
        <f>IFERROR(INDEX(基础资料!$R$4:$R$17,MATCH($G734,基础资料!$Q$4:$Q$17,0)),"")</f>
        <v/>
      </c>
    </row>
    <row r="735" spans="1:24">
      <c r="A735" s="58" t="str">
        <f>IF($B735="","",COUNTA($B$5:$B735))</f>
        <v/>
      </c>
      <c r="B735" s="53"/>
      <c r="C735" s="46"/>
      <c r="D735" s="63" t="str">
        <f>IFERROR(INDEX(基础资料!$F$4:$F$23,MATCH($C735,基础资料!$E$4:$E$23,0)),IF($C735="","","未匹配账户"))</f>
        <v/>
      </c>
      <c r="E735" s="39"/>
      <c r="F735" s="10"/>
      <c r="G735" s="10"/>
      <c r="H735" s="10"/>
      <c r="I735" s="10"/>
      <c r="J735" s="10"/>
      <c r="K735" s="25"/>
      <c r="L735" s="25"/>
      <c r="M735" s="25" t="str">
        <f>IFERROR(VLOOKUP($C735,$C$5:$M$24,11,0)+SUMIF($C$25:$C735,$C735,$K$25:$K735)-SUMIF($C$25:$C735,$C735,$L$25:$L735),"")</f>
        <v/>
      </c>
      <c r="N735" s="10"/>
      <c r="O735" s="10"/>
      <c r="P735" s="65"/>
      <c r="Q735" s="10"/>
      <c r="R735" s="10"/>
      <c r="S735" s="54" t="str">
        <f t="shared" si="39"/>
        <v/>
      </c>
      <c r="T735" s="54" t="str">
        <f t="shared" si="40"/>
        <v/>
      </c>
      <c r="U735" s="58" t="str">
        <f t="shared" si="41"/>
        <v/>
      </c>
      <c r="V735" s="58">
        <f>IF(AND($B735&lt;&gt;"",$F735&lt;&gt;"",$F735=项目明细账!$C$2),N(V734)+1,N(V734))</f>
        <v>0</v>
      </c>
      <c r="W735" s="63" t="str">
        <f>IF($H735&lt;&gt;"","项目成本",IFERROR(INDEX(基础资料!$W$4:$W$49,MATCH($I735,基础资料!$V$4:$V$49,0)),""))</f>
        <v/>
      </c>
      <c r="X735" s="63" t="str">
        <f>IFERROR(INDEX(基础资料!$R$4:$R$17,MATCH($G735,基础资料!$Q$4:$Q$17,0)),"")</f>
        <v/>
      </c>
    </row>
    <row r="736" spans="1:24">
      <c r="A736" s="58" t="str">
        <f>IF($B736="","",COUNTA($B$5:$B736))</f>
        <v/>
      </c>
      <c r="B736" s="53"/>
      <c r="C736" s="46"/>
      <c r="D736" s="63" t="str">
        <f>IFERROR(INDEX(基础资料!$F$4:$F$23,MATCH($C736,基础资料!$E$4:$E$23,0)),IF($C736="","","未匹配账户"))</f>
        <v/>
      </c>
      <c r="E736" s="39"/>
      <c r="F736" s="10"/>
      <c r="G736" s="10"/>
      <c r="H736" s="10"/>
      <c r="I736" s="10"/>
      <c r="J736" s="10"/>
      <c r="K736" s="25"/>
      <c r="L736" s="25"/>
      <c r="M736" s="25" t="str">
        <f>IFERROR(VLOOKUP($C736,$C$5:$M$24,11,0)+SUMIF($C$25:$C736,$C736,$K$25:$K736)-SUMIF($C$25:$C736,$C736,$L$25:$L736),"")</f>
        <v/>
      </c>
      <c r="N736" s="10"/>
      <c r="O736" s="10"/>
      <c r="P736" s="65"/>
      <c r="Q736" s="10"/>
      <c r="R736" s="10"/>
      <c r="S736" s="54" t="str">
        <f t="shared" si="39"/>
        <v/>
      </c>
      <c r="T736" s="54" t="str">
        <f t="shared" si="40"/>
        <v/>
      </c>
      <c r="U736" s="58" t="str">
        <f t="shared" si="41"/>
        <v/>
      </c>
      <c r="V736" s="58">
        <f>IF(AND($B736&lt;&gt;"",$F736&lt;&gt;"",$F736=项目明细账!$C$2),N(V735)+1,N(V735))</f>
        <v>0</v>
      </c>
      <c r="W736" s="63" t="str">
        <f>IF($H736&lt;&gt;"","项目成本",IFERROR(INDEX(基础资料!$W$4:$W$49,MATCH($I736,基础资料!$V$4:$V$49,0)),""))</f>
        <v/>
      </c>
      <c r="X736" s="63" t="str">
        <f>IFERROR(INDEX(基础资料!$R$4:$R$17,MATCH($G736,基础资料!$Q$4:$Q$17,0)),"")</f>
        <v/>
      </c>
    </row>
    <row r="737" spans="1:24">
      <c r="A737" s="58" t="str">
        <f>IF($B737="","",COUNTA($B$5:$B737))</f>
        <v/>
      </c>
      <c r="B737" s="53"/>
      <c r="C737" s="46"/>
      <c r="D737" s="63" t="str">
        <f>IFERROR(INDEX(基础资料!$F$4:$F$23,MATCH($C737,基础资料!$E$4:$E$23,0)),IF($C737="","","未匹配账户"))</f>
        <v/>
      </c>
      <c r="E737" s="39"/>
      <c r="F737" s="10"/>
      <c r="G737" s="10"/>
      <c r="H737" s="10"/>
      <c r="I737" s="10"/>
      <c r="J737" s="10"/>
      <c r="K737" s="25"/>
      <c r="L737" s="25"/>
      <c r="M737" s="25" t="str">
        <f>IFERROR(VLOOKUP($C737,$C$5:$M$24,11,0)+SUMIF($C$25:$C737,$C737,$K$25:$K737)-SUMIF($C$25:$C737,$C737,$L$25:$L737),"")</f>
        <v/>
      </c>
      <c r="N737" s="10"/>
      <c r="O737" s="10"/>
      <c r="P737" s="65"/>
      <c r="Q737" s="10"/>
      <c r="R737" s="10"/>
      <c r="S737" s="54" t="str">
        <f t="shared" si="39"/>
        <v/>
      </c>
      <c r="T737" s="54" t="str">
        <f t="shared" si="40"/>
        <v/>
      </c>
      <c r="U737" s="58" t="str">
        <f t="shared" si="41"/>
        <v/>
      </c>
      <c r="V737" s="58">
        <f>IF(AND($B737&lt;&gt;"",$F737&lt;&gt;"",$F737=项目明细账!$C$2),N(V736)+1,N(V736))</f>
        <v>0</v>
      </c>
      <c r="W737" s="63" t="str">
        <f>IF($H737&lt;&gt;"","项目成本",IFERROR(INDEX(基础资料!$W$4:$W$49,MATCH($I737,基础资料!$V$4:$V$49,0)),""))</f>
        <v/>
      </c>
      <c r="X737" s="63" t="str">
        <f>IFERROR(INDEX(基础资料!$R$4:$R$17,MATCH($G737,基础资料!$Q$4:$Q$17,0)),"")</f>
        <v/>
      </c>
    </row>
    <row r="738" spans="1:24">
      <c r="A738" s="58" t="str">
        <f>IF($B738="","",COUNTA($B$5:$B738))</f>
        <v/>
      </c>
      <c r="B738" s="53"/>
      <c r="C738" s="46"/>
      <c r="D738" s="63" t="str">
        <f>IFERROR(INDEX(基础资料!$F$4:$F$23,MATCH($C738,基础资料!$E$4:$E$23,0)),IF($C738="","","未匹配账户"))</f>
        <v/>
      </c>
      <c r="E738" s="39"/>
      <c r="F738" s="10"/>
      <c r="G738" s="10"/>
      <c r="H738" s="10"/>
      <c r="I738" s="10"/>
      <c r="J738" s="10"/>
      <c r="K738" s="25"/>
      <c r="L738" s="25"/>
      <c r="M738" s="25" t="str">
        <f>IFERROR(VLOOKUP($C738,$C$5:$M$24,11,0)+SUMIF($C$25:$C738,$C738,$K$25:$K738)-SUMIF($C$25:$C738,$C738,$L$25:$L738),"")</f>
        <v/>
      </c>
      <c r="N738" s="10"/>
      <c r="O738" s="10"/>
      <c r="P738" s="65"/>
      <c r="Q738" s="10"/>
      <c r="R738" s="10"/>
      <c r="S738" s="54" t="str">
        <f t="shared" si="39"/>
        <v/>
      </c>
      <c r="T738" s="54" t="str">
        <f t="shared" si="40"/>
        <v/>
      </c>
      <c r="U738" s="58" t="str">
        <f t="shared" si="41"/>
        <v/>
      </c>
      <c r="V738" s="58">
        <f>IF(AND($B738&lt;&gt;"",$F738&lt;&gt;"",$F738=项目明细账!$C$2),N(V737)+1,N(V737))</f>
        <v>0</v>
      </c>
      <c r="W738" s="63" t="str">
        <f>IF($H738&lt;&gt;"","项目成本",IFERROR(INDEX(基础资料!$W$4:$W$49,MATCH($I738,基础资料!$V$4:$V$49,0)),""))</f>
        <v/>
      </c>
      <c r="X738" s="63" t="str">
        <f>IFERROR(INDEX(基础资料!$R$4:$R$17,MATCH($G738,基础资料!$Q$4:$Q$17,0)),"")</f>
        <v/>
      </c>
    </row>
    <row r="739" spans="1:24">
      <c r="A739" s="58" t="str">
        <f>IF($B739="","",COUNTA($B$5:$B739))</f>
        <v/>
      </c>
      <c r="B739" s="53"/>
      <c r="C739" s="46"/>
      <c r="D739" s="63" t="str">
        <f>IFERROR(INDEX(基础资料!$F$4:$F$23,MATCH($C739,基础资料!$E$4:$E$23,0)),IF($C739="","","未匹配账户"))</f>
        <v/>
      </c>
      <c r="E739" s="39"/>
      <c r="F739" s="10"/>
      <c r="G739" s="10"/>
      <c r="H739" s="10"/>
      <c r="I739" s="10"/>
      <c r="J739" s="10"/>
      <c r="K739" s="25"/>
      <c r="L739" s="25"/>
      <c r="M739" s="25" t="str">
        <f>IFERROR(VLOOKUP($C739,$C$5:$M$24,11,0)+SUMIF($C$25:$C739,$C739,$K$25:$K739)-SUMIF($C$25:$C739,$C739,$L$25:$L739),"")</f>
        <v/>
      </c>
      <c r="N739" s="10"/>
      <c r="O739" s="10"/>
      <c r="P739" s="65"/>
      <c r="Q739" s="10"/>
      <c r="R739" s="10"/>
      <c r="S739" s="54" t="str">
        <f t="shared" si="39"/>
        <v/>
      </c>
      <c r="T739" s="54" t="str">
        <f t="shared" si="40"/>
        <v/>
      </c>
      <c r="U739" s="58" t="str">
        <f t="shared" si="41"/>
        <v/>
      </c>
      <c r="V739" s="58">
        <f>IF(AND($B739&lt;&gt;"",$F739&lt;&gt;"",$F739=项目明细账!$C$2),N(V738)+1,N(V738))</f>
        <v>0</v>
      </c>
      <c r="W739" s="63" t="str">
        <f>IF($H739&lt;&gt;"","项目成本",IFERROR(INDEX(基础资料!$W$4:$W$49,MATCH($I739,基础资料!$V$4:$V$49,0)),""))</f>
        <v/>
      </c>
      <c r="X739" s="63" t="str">
        <f>IFERROR(INDEX(基础资料!$R$4:$R$17,MATCH($G739,基础资料!$Q$4:$Q$17,0)),"")</f>
        <v/>
      </c>
    </row>
    <row r="740" spans="1:24">
      <c r="A740" s="58" t="str">
        <f>IF($B740="","",COUNTA($B$5:$B740))</f>
        <v/>
      </c>
      <c r="B740" s="53"/>
      <c r="C740" s="46"/>
      <c r="D740" s="63" t="str">
        <f>IFERROR(INDEX(基础资料!$F$4:$F$23,MATCH($C740,基础资料!$E$4:$E$23,0)),IF($C740="","","未匹配账户"))</f>
        <v/>
      </c>
      <c r="E740" s="39"/>
      <c r="F740" s="10"/>
      <c r="G740" s="10"/>
      <c r="H740" s="10"/>
      <c r="I740" s="10"/>
      <c r="J740" s="10"/>
      <c r="K740" s="25"/>
      <c r="L740" s="25"/>
      <c r="M740" s="25" t="str">
        <f>IFERROR(VLOOKUP($C740,$C$5:$M$24,11,0)+SUMIF($C$25:$C740,$C740,$K$25:$K740)-SUMIF($C$25:$C740,$C740,$L$25:$L740),"")</f>
        <v/>
      </c>
      <c r="N740" s="10"/>
      <c r="O740" s="10"/>
      <c r="P740" s="65"/>
      <c r="Q740" s="10"/>
      <c r="R740" s="10"/>
      <c r="S740" s="54" t="str">
        <f t="shared" si="39"/>
        <v/>
      </c>
      <c r="T740" s="54" t="str">
        <f t="shared" si="40"/>
        <v/>
      </c>
      <c r="U740" s="58" t="str">
        <f t="shared" si="41"/>
        <v/>
      </c>
      <c r="V740" s="58">
        <f>IF(AND($B740&lt;&gt;"",$F740&lt;&gt;"",$F740=项目明细账!$C$2),N(V739)+1,N(V739))</f>
        <v>0</v>
      </c>
      <c r="W740" s="63" t="str">
        <f>IF($H740&lt;&gt;"","项目成本",IFERROR(INDEX(基础资料!$W$4:$W$49,MATCH($I740,基础资料!$V$4:$V$49,0)),""))</f>
        <v/>
      </c>
      <c r="X740" s="63" t="str">
        <f>IFERROR(INDEX(基础资料!$R$4:$R$17,MATCH($G740,基础资料!$Q$4:$Q$17,0)),"")</f>
        <v/>
      </c>
    </row>
    <row r="741" spans="1:24">
      <c r="A741" s="58" t="str">
        <f>IF($B741="","",COUNTA($B$5:$B741))</f>
        <v/>
      </c>
      <c r="B741" s="53"/>
      <c r="C741" s="46"/>
      <c r="D741" s="63" t="str">
        <f>IFERROR(INDEX(基础资料!$F$4:$F$23,MATCH($C741,基础资料!$E$4:$E$23,0)),IF($C741="","","未匹配账户"))</f>
        <v/>
      </c>
      <c r="E741" s="39"/>
      <c r="F741" s="10"/>
      <c r="G741" s="10"/>
      <c r="H741" s="10"/>
      <c r="I741" s="10"/>
      <c r="J741" s="10"/>
      <c r="K741" s="25"/>
      <c r="L741" s="25"/>
      <c r="M741" s="25" t="str">
        <f>IFERROR(VLOOKUP($C741,$C$5:$M$24,11,0)+SUMIF($C$25:$C741,$C741,$K$25:$K741)-SUMIF($C$25:$C741,$C741,$L$25:$L741),"")</f>
        <v/>
      </c>
      <c r="N741" s="10"/>
      <c r="O741" s="10"/>
      <c r="P741" s="65"/>
      <c r="Q741" s="10"/>
      <c r="R741" s="10"/>
      <c r="S741" s="54" t="str">
        <f t="shared" si="39"/>
        <v/>
      </c>
      <c r="T741" s="54" t="str">
        <f t="shared" si="40"/>
        <v/>
      </c>
      <c r="U741" s="58" t="str">
        <f t="shared" si="41"/>
        <v/>
      </c>
      <c r="V741" s="58">
        <f>IF(AND($B741&lt;&gt;"",$F741&lt;&gt;"",$F741=项目明细账!$C$2),N(V740)+1,N(V740))</f>
        <v>0</v>
      </c>
      <c r="W741" s="63" t="str">
        <f>IF($H741&lt;&gt;"","项目成本",IFERROR(INDEX(基础资料!$W$4:$W$49,MATCH($I741,基础资料!$V$4:$V$49,0)),""))</f>
        <v/>
      </c>
      <c r="X741" s="63" t="str">
        <f>IFERROR(INDEX(基础资料!$R$4:$R$17,MATCH($G741,基础资料!$Q$4:$Q$17,0)),"")</f>
        <v/>
      </c>
    </row>
    <row r="742" spans="1:24">
      <c r="A742" s="58" t="str">
        <f>IF($B742="","",COUNTA($B$5:$B742))</f>
        <v/>
      </c>
      <c r="B742" s="53"/>
      <c r="C742" s="46"/>
      <c r="D742" s="63" t="str">
        <f>IFERROR(INDEX(基础资料!$F$4:$F$23,MATCH($C742,基础资料!$E$4:$E$23,0)),IF($C742="","","未匹配账户"))</f>
        <v/>
      </c>
      <c r="E742" s="39"/>
      <c r="F742" s="10"/>
      <c r="G742" s="10"/>
      <c r="H742" s="10"/>
      <c r="I742" s="10"/>
      <c r="J742" s="10"/>
      <c r="K742" s="25"/>
      <c r="L742" s="25"/>
      <c r="M742" s="25" t="str">
        <f>IFERROR(VLOOKUP($C742,$C$5:$M$24,11,0)+SUMIF($C$25:$C742,$C742,$K$25:$K742)-SUMIF($C$25:$C742,$C742,$L$25:$L742),"")</f>
        <v/>
      </c>
      <c r="N742" s="10"/>
      <c r="O742" s="10"/>
      <c r="P742" s="65"/>
      <c r="Q742" s="10"/>
      <c r="R742" s="10"/>
      <c r="S742" s="54" t="str">
        <f t="shared" si="39"/>
        <v/>
      </c>
      <c r="T742" s="54" t="str">
        <f t="shared" si="40"/>
        <v/>
      </c>
      <c r="U742" s="58" t="str">
        <f t="shared" si="41"/>
        <v/>
      </c>
      <c r="V742" s="58">
        <f>IF(AND($B742&lt;&gt;"",$F742&lt;&gt;"",$F742=项目明细账!$C$2),N(V741)+1,N(V741))</f>
        <v>0</v>
      </c>
      <c r="W742" s="63" t="str">
        <f>IF($H742&lt;&gt;"","项目成本",IFERROR(INDEX(基础资料!$W$4:$W$49,MATCH($I742,基础资料!$V$4:$V$49,0)),""))</f>
        <v/>
      </c>
      <c r="X742" s="63" t="str">
        <f>IFERROR(INDEX(基础资料!$R$4:$R$17,MATCH($G742,基础资料!$Q$4:$Q$17,0)),"")</f>
        <v/>
      </c>
    </row>
    <row r="743" spans="1:24">
      <c r="A743" s="58" t="str">
        <f>IF($B743="","",COUNTA($B$5:$B743))</f>
        <v/>
      </c>
      <c r="B743" s="53"/>
      <c r="C743" s="46"/>
      <c r="D743" s="63" t="str">
        <f>IFERROR(INDEX(基础资料!$F$4:$F$23,MATCH($C743,基础资料!$E$4:$E$23,0)),IF($C743="","","未匹配账户"))</f>
        <v/>
      </c>
      <c r="E743" s="39"/>
      <c r="F743" s="10"/>
      <c r="G743" s="10"/>
      <c r="H743" s="10"/>
      <c r="I743" s="10"/>
      <c r="J743" s="10"/>
      <c r="K743" s="25"/>
      <c r="L743" s="25"/>
      <c r="M743" s="25" t="str">
        <f>IFERROR(VLOOKUP($C743,$C$5:$M$24,11,0)+SUMIF($C$25:$C743,$C743,$K$25:$K743)-SUMIF($C$25:$C743,$C743,$L$25:$L743),"")</f>
        <v/>
      </c>
      <c r="N743" s="10"/>
      <c r="O743" s="10"/>
      <c r="P743" s="65"/>
      <c r="Q743" s="10"/>
      <c r="R743" s="10"/>
      <c r="S743" s="54" t="str">
        <f t="shared" si="39"/>
        <v/>
      </c>
      <c r="T743" s="54" t="str">
        <f t="shared" si="40"/>
        <v/>
      </c>
      <c r="U743" s="58" t="str">
        <f t="shared" si="41"/>
        <v/>
      </c>
      <c r="V743" s="58">
        <f>IF(AND($B743&lt;&gt;"",$F743&lt;&gt;"",$F743=项目明细账!$C$2),N(V742)+1,N(V742))</f>
        <v>0</v>
      </c>
      <c r="W743" s="63" t="str">
        <f>IF($H743&lt;&gt;"","项目成本",IFERROR(INDEX(基础资料!$W$4:$W$49,MATCH($I743,基础资料!$V$4:$V$49,0)),""))</f>
        <v/>
      </c>
      <c r="X743" s="63" t="str">
        <f>IFERROR(INDEX(基础资料!$R$4:$R$17,MATCH($G743,基础资料!$Q$4:$Q$17,0)),"")</f>
        <v/>
      </c>
    </row>
    <row r="744" spans="1:24">
      <c r="A744" s="58" t="str">
        <f>IF($B744="","",COUNTA($B$5:$B744))</f>
        <v/>
      </c>
      <c r="B744" s="53"/>
      <c r="C744" s="46"/>
      <c r="D744" s="63" t="str">
        <f>IFERROR(INDEX(基础资料!$F$4:$F$23,MATCH($C744,基础资料!$E$4:$E$23,0)),IF($C744="","","未匹配账户"))</f>
        <v/>
      </c>
      <c r="E744" s="39"/>
      <c r="F744" s="10"/>
      <c r="G744" s="10"/>
      <c r="H744" s="10"/>
      <c r="I744" s="10"/>
      <c r="J744" s="10"/>
      <c r="K744" s="25"/>
      <c r="L744" s="25"/>
      <c r="M744" s="25" t="str">
        <f>IFERROR(VLOOKUP($C744,$C$5:$M$24,11,0)+SUMIF($C$25:$C744,$C744,$K$25:$K744)-SUMIF($C$25:$C744,$C744,$L$25:$L744),"")</f>
        <v/>
      </c>
      <c r="N744" s="10"/>
      <c r="O744" s="10"/>
      <c r="P744" s="65"/>
      <c r="Q744" s="10"/>
      <c r="R744" s="10"/>
      <c r="S744" s="54" t="str">
        <f t="shared" si="39"/>
        <v/>
      </c>
      <c r="T744" s="54" t="str">
        <f t="shared" si="40"/>
        <v/>
      </c>
      <c r="U744" s="58" t="str">
        <f t="shared" si="41"/>
        <v/>
      </c>
      <c r="V744" s="58">
        <f>IF(AND($B744&lt;&gt;"",$F744&lt;&gt;"",$F744=项目明细账!$C$2),N(V743)+1,N(V743))</f>
        <v>0</v>
      </c>
      <c r="W744" s="63" t="str">
        <f>IF($H744&lt;&gt;"","项目成本",IFERROR(INDEX(基础资料!$W$4:$W$49,MATCH($I744,基础资料!$V$4:$V$49,0)),""))</f>
        <v/>
      </c>
      <c r="X744" s="63" t="str">
        <f>IFERROR(INDEX(基础资料!$R$4:$R$17,MATCH($G744,基础资料!$Q$4:$Q$17,0)),"")</f>
        <v/>
      </c>
    </row>
    <row r="745" spans="1:24">
      <c r="A745" s="58" t="str">
        <f>IF($B745="","",COUNTA($B$5:$B745))</f>
        <v/>
      </c>
      <c r="B745" s="53"/>
      <c r="C745" s="46"/>
      <c r="D745" s="63" t="str">
        <f>IFERROR(INDEX(基础资料!$F$4:$F$23,MATCH($C745,基础资料!$E$4:$E$23,0)),IF($C745="","","未匹配账户"))</f>
        <v/>
      </c>
      <c r="E745" s="39"/>
      <c r="F745" s="10"/>
      <c r="G745" s="10"/>
      <c r="H745" s="10"/>
      <c r="I745" s="10"/>
      <c r="J745" s="10"/>
      <c r="K745" s="25"/>
      <c r="L745" s="25"/>
      <c r="M745" s="25" t="str">
        <f>IFERROR(VLOOKUP($C745,$C$5:$M$24,11,0)+SUMIF($C$25:$C745,$C745,$K$25:$K745)-SUMIF($C$25:$C745,$C745,$L$25:$L745),"")</f>
        <v/>
      </c>
      <c r="N745" s="10"/>
      <c r="O745" s="10"/>
      <c r="P745" s="65"/>
      <c r="Q745" s="10"/>
      <c r="R745" s="10"/>
      <c r="S745" s="54" t="str">
        <f t="shared" si="39"/>
        <v/>
      </c>
      <c r="T745" s="54" t="str">
        <f t="shared" si="40"/>
        <v/>
      </c>
      <c r="U745" s="58" t="str">
        <f t="shared" si="41"/>
        <v/>
      </c>
      <c r="V745" s="58">
        <f>IF(AND($B745&lt;&gt;"",$F745&lt;&gt;"",$F745=项目明细账!$C$2),N(V744)+1,N(V744))</f>
        <v>0</v>
      </c>
      <c r="W745" s="63" t="str">
        <f>IF($H745&lt;&gt;"","项目成本",IFERROR(INDEX(基础资料!$W$4:$W$49,MATCH($I745,基础资料!$V$4:$V$49,0)),""))</f>
        <v/>
      </c>
      <c r="X745" s="63" t="str">
        <f>IFERROR(INDEX(基础资料!$R$4:$R$17,MATCH($G745,基础资料!$Q$4:$Q$17,0)),"")</f>
        <v/>
      </c>
    </row>
    <row r="746" spans="1:24">
      <c r="A746" s="58" t="str">
        <f>IF($B746="","",COUNTA($B$5:$B746))</f>
        <v/>
      </c>
      <c r="B746" s="53"/>
      <c r="C746" s="46"/>
      <c r="D746" s="63" t="str">
        <f>IFERROR(INDEX(基础资料!$F$4:$F$23,MATCH($C746,基础资料!$E$4:$E$23,0)),IF($C746="","","未匹配账户"))</f>
        <v/>
      </c>
      <c r="E746" s="39"/>
      <c r="F746" s="10"/>
      <c r="G746" s="10"/>
      <c r="H746" s="10"/>
      <c r="I746" s="10"/>
      <c r="J746" s="10"/>
      <c r="K746" s="25"/>
      <c r="L746" s="25"/>
      <c r="M746" s="25" t="str">
        <f>IFERROR(VLOOKUP($C746,$C$5:$M$24,11,0)+SUMIF($C$25:$C746,$C746,$K$25:$K746)-SUMIF($C$25:$C746,$C746,$L$25:$L746),"")</f>
        <v/>
      </c>
      <c r="N746" s="10"/>
      <c r="O746" s="10"/>
      <c r="P746" s="65"/>
      <c r="Q746" s="10"/>
      <c r="R746" s="10"/>
      <c r="S746" s="54" t="str">
        <f t="shared" si="39"/>
        <v/>
      </c>
      <c r="T746" s="54" t="str">
        <f t="shared" si="40"/>
        <v/>
      </c>
      <c r="U746" s="58" t="str">
        <f t="shared" si="41"/>
        <v/>
      </c>
      <c r="V746" s="58">
        <f>IF(AND($B746&lt;&gt;"",$F746&lt;&gt;"",$F746=项目明细账!$C$2),N(V745)+1,N(V745))</f>
        <v>0</v>
      </c>
      <c r="W746" s="63" t="str">
        <f>IF($H746&lt;&gt;"","项目成本",IFERROR(INDEX(基础资料!$W$4:$W$49,MATCH($I746,基础资料!$V$4:$V$49,0)),""))</f>
        <v/>
      </c>
      <c r="X746" s="63" t="str">
        <f>IFERROR(INDEX(基础资料!$R$4:$R$17,MATCH($G746,基础资料!$Q$4:$Q$17,0)),"")</f>
        <v/>
      </c>
    </row>
    <row r="747" spans="1:24">
      <c r="A747" s="58" t="str">
        <f>IF($B747="","",COUNTA($B$5:$B747))</f>
        <v/>
      </c>
      <c r="B747" s="53"/>
      <c r="C747" s="46"/>
      <c r="D747" s="63" t="str">
        <f>IFERROR(INDEX(基础资料!$F$4:$F$23,MATCH($C747,基础资料!$E$4:$E$23,0)),IF($C747="","","未匹配账户"))</f>
        <v/>
      </c>
      <c r="E747" s="39"/>
      <c r="F747" s="10"/>
      <c r="G747" s="10"/>
      <c r="H747" s="10"/>
      <c r="I747" s="10"/>
      <c r="J747" s="10"/>
      <c r="K747" s="25"/>
      <c r="L747" s="25"/>
      <c r="M747" s="25" t="str">
        <f>IFERROR(VLOOKUP($C747,$C$5:$M$24,11,0)+SUMIF($C$25:$C747,$C747,$K$25:$K747)-SUMIF($C$25:$C747,$C747,$L$25:$L747),"")</f>
        <v/>
      </c>
      <c r="N747" s="10"/>
      <c r="O747" s="10"/>
      <c r="P747" s="65"/>
      <c r="Q747" s="10"/>
      <c r="R747" s="10"/>
      <c r="S747" s="54" t="str">
        <f t="shared" si="39"/>
        <v/>
      </c>
      <c r="T747" s="54" t="str">
        <f t="shared" si="40"/>
        <v/>
      </c>
      <c r="U747" s="58" t="str">
        <f t="shared" si="41"/>
        <v/>
      </c>
      <c r="V747" s="58">
        <f>IF(AND($B747&lt;&gt;"",$F747&lt;&gt;"",$F747=项目明细账!$C$2),N(V746)+1,N(V746))</f>
        <v>0</v>
      </c>
      <c r="W747" s="63" t="str">
        <f>IF($H747&lt;&gt;"","项目成本",IFERROR(INDEX(基础资料!$W$4:$W$49,MATCH($I747,基础资料!$V$4:$V$49,0)),""))</f>
        <v/>
      </c>
      <c r="X747" s="63" t="str">
        <f>IFERROR(INDEX(基础资料!$R$4:$R$17,MATCH($G747,基础资料!$Q$4:$Q$17,0)),"")</f>
        <v/>
      </c>
    </row>
    <row r="748" spans="1:24">
      <c r="A748" s="58" t="str">
        <f>IF($B748="","",COUNTA($B$5:$B748))</f>
        <v/>
      </c>
      <c r="B748" s="53"/>
      <c r="C748" s="46"/>
      <c r="D748" s="63" t="str">
        <f>IFERROR(INDEX(基础资料!$F$4:$F$23,MATCH($C748,基础资料!$E$4:$E$23,0)),IF($C748="","","未匹配账户"))</f>
        <v/>
      </c>
      <c r="E748" s="39"/>
      <c r="F748" s="10"/>
      <c r="G748" s="10"/>
      <c r="H748" s="10"/>
      <c r="I748" s="10"/>
      <c r="J748" s="10"/>
      <c r="K748" s="25"/>
      <c r="L748" s="25"/>
      <c r="M748" s="25" t="str">
        <f>IFERROR(VLOOKUP($C748,$C$5:$M$24,11,0)+SUMIF($C$25:$C748,$C748,$K$25:$K748)-SUMIF($C$25:$C748,$C748,$L$25:$L748),"")</f>
        <v/>
      </c>
      <c r="N748" s="10"/>
      <c r="O748" s="10"/>
      <c r="P748" s="65"/>
      <c r="Q748" s="10"/>
      <c r="R748" s="10"/>
      <c r="S748" s="54" t="str">
        <f t="shared" si="39"/>
        <v/>
      </c>
      <c r="T748" s="54" t="str">
        <f t="shared" si="40"/>
        <v/>
      </c>
      <c r="U748" s="58" t="str">
        <f t="shared" si="41"/>
        <v/>
      </c>
      <c r="V748" s="58">
        <f>IF(AND($B748&lt;&gt;"",$F748&lt;&gt;"",$F748=项目明细账!$C$2),N(V747)+1,N(V747))</f>
        <v>0</v>
      </c>
      <c r="W748" s="63" t="str">
        <f>IF($H748&lt;&gt;"","项目成本",IFERROR(INDEX(基础资料!$W$4:$W$49,MATCH($I748,基础资料!$V$4:$V$49,0)),""))</f>
        <v/>
      </c>
      <c r="X748" s="63" t="str">
        <f>IFERROR(INDEX(基础资料!$R$4:$R$17,MATCH($G748,基础资料!$Q$4:$Q$17,0)),"")</f>
        <v/>
      </c>
    </row>
    <row r="749" spans="1:24">
      <c r="A749" s="58" t="str">
        <f>IF($B749="","",COUNTA($B$5:$B749))</f>
        <v/>
      </c>
      <c r="B749" s="53"/>
      <c r="C749" s="46"/>
      <c r="D749" s="63" t="str">
        <f>IFERROR(INDEX(基础资料!$F$4:$F$23,MATCH($C749,基础资料!$E$4:$E$23,0)),IF($C749="","","未匹配账户"))</f>
        <v/>
      </c>
      <c r="E749" s="39"/>
      <c r="F749" s="10"/>
      <c r="G749" s="10"/>
      <c r="H749" s="10"/>
      <c r="I749" s="10"/>
      <c r="J749" s="10"/>
      <c r="K749" s="25"/>
      <c r="L749" s="25"/>
      <c r="M749" s="25" t="str">
        <f>IFERROR(VLOOKUP($C749,$C$5:$M$24,11,0)+SUMIF($C$25:$C749,$C749,$K$25:$K749)-SUMIF($C$25:$C749,$C749,$L$25:$L749),"")</f>
        <v/>
      </c>
      <c r="N749" s="10"/>
      <c r="O749" s="10"/>
      <c r="P749" s="65"/>
      <c r="Q749" s="10"/>
      <c r="R749" s="10"/>
      <c r="S749" s="54" t="str">
        <f t="shared" si="39"/>
        <v/>
      </c>
      <c r="T749" s="54" t="str">
        <f t="shared" si="40"/>
        <v/>
      </c>
      <c r="U749" s="58" t="str">
        <f t="shared" si="41"/>
        <v/>
      </c>
      <c r="V749" s="58">
        <f>IF(AND($B749&lt;&gt;"",$F749&lt;&gt;"",$F749=项目明细账!$C$2),N(V748)+1,N(V748))</f>
        <v>0</v>
      </c>
      <c r="W749" s="63" t="str">
        <f>IF($H749&lt;&gt;"","项目成本",IFERROR(INDEX(基础资料!$W$4:$W$49,MATCH($I749,基础资料!$V$4:$V$49,0)),""))</f>
        <v/>
      </c>
      <c r="X749" s="63" t="str">
        <f>IFERROR(INDEX(基础资料!$R$4:$R$17,MATCH($G749,基础资料!$Q$4:$Q$17,0)),"")</f>
        <v/>
      </c>
    </row>
    <row r="750" spans="1:24">
      <c r="A750" s="58" t="str">
        <f>IF($B750="","",COUNTA($B$5:$B750))</f>
        <v/>
      </c>
      <c r="B750" s="53"/>
      <c r="C750" s="46"/>
      <c r="D750" s="63" t="str">
        <f>IFERROR(INDEX(基础资料!$F$4:$F$23,MATCH($C750,基础资料!$E$4:$E$23,0)),IF($C750="","","未匹配账户"))</f>
        <v/>
      </c>
      <c r="E750" s="39"/>
      <c r="F750" s="10"/>
      <c r="G750" s="10"/>
      <c r="H750" s="10"/>
      <c r="I750" s="10"/>
      <c r="J750" s="10"/>
      <c r="K750" s="25"/>
      <c r="L750" s="25"/>
      <c r="M750" s="25" t="str">
        <f>IFERROR(VLOOKUP($C750,$C$5:$M$24,11,0)+SUMIF($C$25:$C750,$C750,$K$25:$K750)-SUMIF($C$25:$C750,$C750,$L$25:$L750),"")</f>
        <v/>
      </c>
      <c r="N750" s="10"/>
      <c r="O750" s="10"/>
      <c r="P750" s="65"/>
      <c r="Q750" s="10"/>
      <c r="R750" s="10"/>
      <c r="S750" s="54" t="str">
        <f t="shared" si="39"/>
        <v/>
      </c>
      <c r="T750" s="54" t="str">
        <f t="shared" si="40"/>
        <v/>
      </c>
      <c r="U750" s="58" t="str">
        <f t="shared" si="41"/>
        <v/>
      </c>
      <c r="V750" s="58">
        <f>IF(AND($B750&lt;&gt;"",$F750&lt;&gt;"",$F750=项目明细账!$C$2),N(V749)+1,N(V749))</f>
        <v>0</v>
      </c>
      <c r="W750" s="63" t="str">
        <f>IF($H750&lt;&gt;"","项目成本",IFERROR(INDEX(基础资料!$W$4:$W$49,MATCH($I750,基础资料!$V$4:$V$49,0)),""))</f>
        <v/>
      </c>
      <c r="X750" s="63" t="str">
        <f>IFERROR(INDEX(基础资料!$R$4:$R$17,MATCH($G750,基础资料!$Q$4:$Q$17,0)),"")</f>
        <v/>
      </c>
    </row>
    <row r="751" spans="1:24">
      <c r="A751" s="58" t="str">
        <f>IF($B751="","",COUNTA($B$5:$B751))</f>
        <v/>
      </c>
      <c r="B751" s="53"/>
      <c r="C751" s="46"/>
      <c r="D751" s="63" t="str">
        <f>IFERROR(INDEX(基础资料!$F$4:$F$23,MATCH($C751,基础资料!$E$4:$E$23,0)),IF($C751="","","未匹配账户"))</f>
        <v/>
      </c>
      <c r="E751" s="39"/>
      <c r="F751" s="10"/>
      <c r="G751" s="10"/>
      <c r="H751" s="10"/>
      <c r="I751" s="10"/>
      <c r="J751" s="10"/>
      <c r="K751" s="25"/>
      <c r="L751" s="25"/>
      <c r="M751" s="25" t="str">
        <f>IFERROR(VLOOKUP($C751,$C$5:$M$24,11,0)+SUMIF($C$25:$C751,$C751,$K$25:$K751)-SUMIF($C$25:$C751,$C751,$L$25:$L751),"")</f>
        <v/>
      </c>
      <c r="N751" s="10"/>
      <c r="O751" s="10"/>
      <c r="P751" s="65"/>
      <c r="Q751" s="10"/>
      <c r="R751" s="10"/>
      <c r="S751" s="54" t="str">
        <f t="shared" si="39"/>
        <v/>
      </c>
      <c r="T751" s="54" t="str">
        <f t="shared" si="40"/>
        <v/>
      </c>
      <c r="U751" s="58" t="str">
        <f t="shared" si="41"/>
        <v/>
      </c>
      <c r="V751" s="58">
        <f>IF(AND($B751&lt;&gt;"",$F751&lt;&gt;"",$F751=项目明细账!$C$2),N(V750)+1,N(V750))</f>
        <v>0</v>
      </c>
      <c r="W751" s="63" t="str">
        <f>IF($H751&lt;&gt;"","项目成本",IFERROR(INDEX(基础资料!$W$4:$W$49,MATCH($I751,基础资料!$V$4:$V$49,0)),""))</f>
        <v/>
      </c>
      <c r="X751" s="63" t="str">
        <f>IFERROR(INDEX(基础资料!$R$4:$R$17,MATCH($G751,基础资料!$Q$4:$Q$17,0)),"")</f>
        <v/>
      </c>
    </row>
    <row r="752" spans="1:24">
      <c r="A752" s="58" t="str">
        <f>IF($B752="","",COUNTA($B$5:$B752))</f>
        <v/>
      </c>
      <c r="B752" s="53"/>
      <c r="C752" s="46"/>
      <c r="D752" s="63" t="str">
        <f>IFERROR(INDEX(基础资料!$F$4:$F$23,MATCH($C752,基础资料!$E$4:$E$23,0)),IF($C752="","","未匹配账户"))</f>
        <v/>
      </c>
      <c r="E752" s="39"/>
      <c r="F752" s="10"/>
      <c r="G752" s="10"/>
      <c r="H752" s="10"/>
      <c r="I752" s="10"/>
      <c r="J752" s="10"/>
      <c r="K752" s="25"/>
      <c r="L752" s="25"/>
      <c r="M752" s="25" t="str">
        <f>IFERROR(VLOOKUP($C752,$C$5:$M$24,11,0)+SUMIF($C$25:$C752,$C752,$K$25:$K752)-SUMIF($C$25:$C752,$C752,$L$25:$L752),"")</f>
        <v/>
      </c>
      <c r="N752" s="10"/>
      <c r="O752" s="10"/>
      <c r="P752" s="65"/>
      <c r="Q752" s="10"/>
      <c r="R752" s="10"/>
      <c r="S752" s="54" t="str">
        <f t="shared" si="39"/>
        <v/>
      </c>
      <c r="T752" s="54" t="str">
        <f t="shared" si="40"/>
        <v/>
      </c>
      <c r="U752" s="58" t="str">
        <f t="shared" si="41"/>
        <v/>
      </c>
      <c r="V752" s="58">
        <f>IF(AND($B752&lt;&gt;"",$F752&lt;&gt;"",$F752=项目明细账!$C$2),N(V751)+1,N(V751))</f>
        <v>0</v>
      </c>
      <c r="W752" s="63" t="str">
        <f>IF($H752&lt;&gt;"","项目成本",IFERROR(INDEX(基础资料!$W$4:$W$49,MATCH($I752,基础资料!$V$4:$V$49,0)),""))</f>
        <v/>
      </c>
      <c r="X752" s="63" t="str">
        <f>IFERROR(INDEX(基础资料!$R$4:$R$17,MATCH($G752,基础资料!$Q$4:$Q$17,0)),"")</f>
        <v/>
      </c>
    </row>
    <row r="753" spans="1:24">
      <c r="A753" s="58" t="str">
        <f>IF($B753="","",COUNTA($B$5:$B753))</f>
        <v/>
      </c>
      <c r="B753" s="53"/>
      <c r="C753" s="46"/>
      <c r="D753" s="63" t="str">
        <f>IFERROR(INDEX(基础资料!$F$4:$F$23,MATCH($C753,基础资料!$E$4:$E$23,0)),IF($C753="","","未匹配账户"))</f>
        <v/>
      </c>
      <c r="E753" s="39"/>
      <c r="F753" s="10"/>
      <c r="G753" s="10"/>
      <c r="H753" s="10"/>
      <c r="I753" s="10"/>
      <c r="J753" s="10"/>
      <c r="K753" s="25"/>
      <c r="L753" s="25"/>
      <c r="M753" s="25" t="str">
        <f>IFERROR(VLOOKUP($C753,$C$5:$M$24,11,0)+SUMIF($C$25:$C753,$C753,$K$25:$K753)-SUMIF($C$25:$C753,$C753,$L$25:$L753),"")</f>
        <v/>
      </c>
      <c r="N753" s="10"/>
      <c r="O753" s="10"/>
      <c r="P753" s="65"/>
      <c r="Q753" s="10"/>
      <c r="R753" s="10"/>
      <c r="S753" s="54" t="str">
        <f t="shared" si="39"/>
        <v/>
      </c>
      <c r="T753" s="54" t="str">
        <f t="shared" si="40"/>
        <v/>
      </c>
      <c r="U753" s="58" t="str">
        <f t="shared" si="41"/>
        <v/>
      </c>
      <c r="V753" s="58">
        <f>IF(AND($B753&lt;&gt;"",$F753&lt;&gt;"",$F753=项目明细账!$C$2),N(V752)+1,N(V752))</f>
        <v>0</v>
      </c>
      <c r="W753" s="63" t="str">
        <f>IF($H753&lt;&gt;"","项目成本",IFERROR(INDEX(基础资料!$W$4:$W$49,MATCH($I753,基础资料!$V$4:$V$49,0)),""))</f>
        <v/>
      </c>
      <c r="X753" s="63" t="str">
        <f>IFERROR(INDEX(基础资料!$R$4:$R$17,MATCH($G753,基础资料!$Q$4:$Q$17,0)),"")</f>
        <v/>
      </c>
    </row>
    <row r="754" spans="1:24">
      <c r="A754" s="58" t="str">
        <f>IF($B754="","",COUNTA($B$5:$B754))</f>
        <v/>
      </c>
      <c r="B754" s="53"/>
      <c r="C754" s="46"/>
      <c r="D754" s="63" t="str">
        <f>IFERROR(INDEX(基础资料!$F$4:$F$23,MATCH($C754,基础资料!$E$4:$E$23,0)),IF($C754="","","未匹配账户"))</f>
        <v/>
      </c>
      <c r="E754" s="39"/>
      <c r="F754" s="10"/>
      <c r="G754" s="10"/>
      <c r="H754" s="10"/>
      <c r="I754" s="10"/>
      <c r="J754" s="10"/>
      <c r="K754" s="25"/>
      <c r="L754" s="25"/>
      <c r="M754" s="25" t="str">
        <f>IFERROR(VLOOKUP($C754,$C$5:$M$24,11,0)+SUMIF($C$25:$C754,$C754,$K$25:$K754)-SUMIF($C$25:$C754,$C754,$L$25:$L754),"")</f>
        <v/>
      </c>
      <c r="N754" s="10"/>
      <c r="O754" s="10"/>
      <c r="P754" s="65"/>
      <c r="Q754" s="10"/>
      <c r="R754" s="10"/>
      <c r="S754" s="54" t="str">
        <f t="shared" si="39"/>
        <v/>
      </c>
      <c r="T754" s="54" t="str">
        <f t="shared" si="40"/>
        <v/>
      </c>
      <c r="U754" s="58" t="str">
        <f t="shared" si="41"/>
        <v/>
      </c>
      <c r="V754" s="58">
        <f>IF(AND($B754&lt;&gt;"",$F754&lt;&gt;"",$F754=项目明细账!$C$2),N(V753)+1,N(V753))</f>
        <v>0</v>
      </c>
      <c r="W754" s="63" t="str">
        <f>IF($H754&lt;&gt;"","项目成本",IFERROR(INDEX(基础资料!$W$4:$W$49,MATCH($I754,基础资料!$V$4:$V$49,0)),""))</f>
        <v/>
      </c>
      <c r="X754" s="63" t="str">
        <f>IFERROR(INDEX(基础资料!$R$4:$R$17,MATCH($G754,基础资料!$Q$4:$Q$17,0)),"")</f>
        <v/>
      </c>
    </row>
    <row r="755" spans="1:24">
      <c r="A755" s="58" t="str">
        <f>IF($B755="","",COUNTA($B$5:$B755))</f>
        <v/>
      </c>
      <c r="B755" s="53"/>
      <c r="C755" s="46"/>
      <c r="D755" s="63" t="str">
        <f>IFERROR(INDEX(基础资料!$F$4:$F$23,MATCH($C755,基础资料!$E$4:$E$23,0)),IF($C755="","","未匹配账户"))</f>
        <v/>
      </c>
      <c r="E755" s="39"/>
      <c r="F755" s="10"/>
      <c r="G755" s="10"/>
      <c r="H755" s="10"/>
      <c r="I755" s="10"/>
      <c r="J755" s="10"/>
      <c r="K755" s="25"/>
      <c r="L755" s="25"/>
      <c r="M755" s="25" t="str">
        <f>IFERROR(VLOOKUP($C755,$C$5:$M$24,11,0)+SUMIF($C$25:$C755,$C755,$K$25:$K755)-SUMIF($C$25:$C755,$C755,$L$25:$L755),"")</f>
        <v/>
      </c>
      <c r="N755" s="10"/>
      <c r="O755" s="10"/>
      <c r="P755" s="65"/>
      <c r="Q755" s="10"/>
      <c r="R755" s="10"/>
      <c r="S755" s="54" t="str">
        <f t="shared" si="39"/>
        <v/>
      </c>
      <c r="T755" s="54" t="str">
        <f t="shared" si="40"/>
        <v/>
      </c>
      <c r="U755" s="58" t="str">
        <f t="shared" si="41"/>
        <v/>
      </c>
      <c r="V755" s="58">
        <f>IF(AND($B755&lt;&gt;"",$F755&lt;&gt;"",$F755=项目明细账!$C$2),N(V754)+1,N(V754))</f>
        <v>0</v>
      </c>
      <c r="W755" s="63" t="str">
        <f>IF($H755&lt;&gt;"","项目成本",IFERROR(INDEX(基础资料!$W$4:$W$49,MATCH($I755,基础资料!$V$4:$V$49,0)),""))</f>
        <v/>
      </c>
      <c r="X755" s="63" t="str">
        <f>IFERROR(INDEX(基础资料!$R$4:$R$17,MATCH($G755,基础资料!$Q$4:$Q$17,0)),"")</f>
        <v/>
      </c>
    </row>
    <row r="756" spans="1:24">
      <c r="A756" s="58" t="str">
        <f>IF($B756="","",COUNTA($B$5:$B756))</f>
        <v/>
      </c>
      <c r="B756" s="53"/>
      <c r="C756" s="46"/>
      <c r="D756" s="63" t="str">
        <f>IFERROR(INDEX(基础资料!$F$4:$F$23,MATCH($C756,基础资料!$E$4:$E$23,0)),IF($C756="","","未匹配账户"))</f>
        <v/>
      </c>
      <c r="E756" s="39"/>
      <c r="F756" s="10"/>
      <c r="G756" s="10"/>
      <c r="H756" s="10"/>
      <c r="I756" s="10"/>
      <c r="J756" s="10"/>
      <c r="K756" s="25"/>
      <c r="L756" s="25"/>
      <c r="M756" s="25" t="str">
        <f>IFERROR(VLOOKUP($C756,$C$5:$M$24,11,0)+SUMIF($C$25:$C756,$C756,$K$25:$K756)-SUMIF($C$25:$C756,$C756,$L$25:$L756),"")</f>
        <v/>
      </c>
      <c r="N756" s="10"/>
      <c r="O756" s="10"/>
      <c r="P756" s="65"/>
      <c r="Q756" s="10"/>
      <c r="R756" s="10"/>
      <c r="S756" s="54" t="str">
        <f t="shared" si="39"/>
        <v/>
      </c>
      <c r="T756" s="54" t="str">
        <f t="shared" si="40"/>
        <v/>
      </c>
      <c r="U756" s="58" t="str">
        <f t="shared" si="41"/>
        <v/>
      </c>
      <c r="V756" s="58">
        <f>IF(AND($B756&lt;&gt;"",$F756&lt;&gt;"",$F756=项目明细账!$C$2),N(V755)+1,N(V755))</f>
        <v>0</v>
      </c>
      <c r="W756" s="63" t="str">
        <f>IF($H756&lt;&gt;"","项目成本",IFERROR(INDEX(基础资料!$W$4:$W$49,MATCH($I756,基础资料!$V$4:$V$49,0)),""))</f>
        <v/>
      </c>
      <c r="X756" s="63" t="str">
        <f>IFERROR(INDEX(基础资料!$R$4:$R$17,MATCH($G756,基础资料!$Q$4:$Q$17,0)),"")</f>
        <v/>
      </c>
    </row>
    <row r="757" spans="1:24">
      <c r="A757" s="58" t="str">
        <f>IF($B757="","",COUNTA($B$5:$B757))</f>
        <v/>
      </c>
      <c r="B757" s="53"/>
      <c r="C757" s="46"/>
      <c r="D757" s="63" t="str">
        <f>IFERROR(INDEX(基础资料!$F$4:$F$23,MATCH($C757,基础资料!$E$4:$E$23,0)),IF($C757="","","未匹配账户"))</f>
        <v/>
      </c>
      <c r="E757" s="39"/>
      <c r="F757" s="10"/>
      <c r="G757" s="10"/>
      <c r="H757" s="10"/>
      <c r="I757" s="10"/>
      <c r="J757" s="10"/>
      <c r="K757" s="25"/>
      <c r="L757" s="25"/>
      <c r="M757" s="25" t="str">
        <f>IFERROR(VLOOKUP($C757,$C$5:$M$24,11,0)+SUMIF($C$25:$C757,$C757,$K$25:$K757)-SUMIF($C$25:$C757,$C757,$L$25:$L757),"")</f>
        <v/>
      </c>
      <c r="N757" s="10"/>
      <c r="O757" s="10"/>
      <c r="P757" s="65"/>
      <c r="Q757" s="10"/>
      <c r="R757" s="10"/>
      <c r="S757" s="54" t="str">
        <f t="shared" si="39"/>
        <v/>
      </c>
      <c r="T757" s="54" t="str">
        <f t="shared" si="40"/>
        <v/>
      </c>
      <c r="U757" s="58" t="str">
        <f t="shared" si="41"/>
        <v/>
      </c>
      <c r="V757" s="58">
        <f>IF(AND($B757&lt;&gt;"",$F757&lt;&gt;"",$F757=项目明细账!$C$2),N(V756)+1,N(V756))</f>
        <v>0</v>
      </c>
      <c r="W757" s="63" t="str">
        <f>IF($H757&lt;&gt;"","项目成本",IFERROR(INDEX(基础资料!$W$4:$W$49,MATCH($I757,基础资料!$V$4:$V$49,0)),""))</f>
        <v/>
      </c>
      <c r="X757" s="63" t="str">
        <f>IFERROR(INDEX(基础资料!$R$4:$R$17,MATCH($G757,基础资料!$Q$4:$Q$17,0)),"")</f>
        <v/>
      </c>
    </row>
    <row r="758" spans="1:24">
      <c r="A758" s="58" t="str">
        <f>IF($B758="","",COUNTA($B$5:$B758))</f>
        <v/>
      </c>
      <c r="B758" s="53"/>
      <c r="C758" s="46"/>
      <c r="D758" s="63" t="str">
        <f>IFERROR(INDEX(基础资料!$F$4:$F$23,MATCH($C758,基础资料!$E$4:$E$23,0)),IF($C758="","","未匹配账户"))</f>
        <v/>
      </c>
      <c r="E758" s="39"/>
      <c r="F758" s="10"/>
      <c r="G758" s="10"/>
      <c r="H758" s="10"/>
      <c r="I758" s="10"/>
      <c r="J758" s="10"/>
      <c r="K758" s="25"/>
      <c r="L758" s="25"/>
      <c r="M758" s="25" t="str">
        <f>IFERROR(VLOOKUP($C758,$C$5:$M$24,11,0)+SUMIF($C$25:$C758,$C758,$K$25:$K758)-SUMIF($C$25:$C758,$C758,$L$25:$L758),"")</f>
        <v/>
      </c>
      <c r="N758" s="10"/>
      <c r="O758" s="10"/>
      <c r="P758" s="65"/>
      <c r="Q758" s="10"/>
      <c r="R758" s="10"/>
      <c r="S758" s="54" t="str">
        <f t="shared" si="39"/>
        <v/>
      </c>
      <c r="T758" s="54" t="str">
        <f t="shared" si="40"/>
        <v/>
      </c>
      <c r="U758" s="58" t="str">
        <f t="shared" si="41"/>
        <v/>
      </c>
      <c r="V758" s="58">
        <f>IF(AND($B758&lt;&gt;"",$F758&lt;&gt;"",$F758=项目明细账!$C$2),N(V757)+1,N(V757))</f>
        <v>0</v>
      </c>
      <c r="W758" s="63" t="str">
        <f>IF($H758&lt;&gt;"","项目成本",IFERROR(INDEX(基础资料!$W$4:$W$49,MATCH($I758,基础资料!$V$4:$V$49,0)),""))</f>
        <v/>
      </c>
      <c r="X758" s="63" t="str">
        <f>IFERROR(INDEX(基础资料!$R$4:$R$17,MATCH($G758,基础资料!$Q$4:$Q$17,0)),"")</f>
        <v/>
      </c>
    </row>
    <row r="759" spans="1:24">
      <c r="A759" s="58" t="str">
        <f>IF($B759="","",COUNTA($B$5:$B759))</f>
        <v/>
      </c>
      <c r="B759" s="53"/>
      <c r="C759" s="46"/>
      <c r="D759" s="63" t="str">
        <f>IFERROR(INDEX(基础资料!$F$4:$F$23,MATCH($C759,基础资料!$E$4:$E$23,0)),IF($C759="","","未匹配账户"))</f>
        <v/>
      </c>
      <c r="E759" s="39"/>
      <c r="F759" s="10"/>
      <c r="G759" s="10"/>
      <c r="H759" s="10"/>
      <c r="I759" s="10"/>
      <c r="J759" s="10"/>
      <c r="K759" s="25"/>
      <c r="L759" s="25"/>
      <c r="M759" s="25" t="str">
        <f>IFERROR(VLOOKUP($C759,$C$5:$M$24,11,0)+SUMIF($C$25:$C759,$C759,$K$25:$K759)-SUMIF($C$25:$C759,$C759,$L$25:$L759),"")</f>
        <v/>
      </c>
      <c r="N759" s="10"/>
      <c r="O759" s="10"/>
      <c r="P759" s="65"/>
      <c r="Q759" s="10"/>
      <c r="R759" s="10"/>
      <c r="S759" s="54" t="str">
        <f t="shared" si="39"/>
        <v/>
      </c>
      <c r="T759" s="54" t="str">
        <f t="shared" si="40"/>
        <v/>
      </c>
      <c r="U759" s="58" t="str">
        <f t="shared" si="41"/>
        <v/>
      </c>
      <c r="V759" s="58">
        <f>IF(AND($B759&lt;&gt;"",$F759&lt;&gt;"",$F759=项目明细账!$C$2),N(V758)+1,N(V758))</f>
        <v>0</v>
      </c>
      <c r="W759" s="63" t="str">
        <f>IF($H759&lt;&gt;"","项目成本",IFERROR(INDEX(基础资料!$W$4:$W$49,MATCH($I759,基础资料!$V$4:$V$49,0)),""))</f>
        <v/>
      </c>
      <c r="X759" s="63" t="str">
        <f>IFERROR(INDEX(基础资料!$R$4:$R$17,MATCH($G759,基础资料!$Q$4:$Q$17,0)),"")</f>
        <v/>
      </c>
    </row>
    <row r="760" spans="1:24">
      <c r="A760" s="58" t="str">
        <f>IF($B760="","",COUNTA($B$5:$B760))</f>
        <v/>
      </c>
      <c r="B760" s="53"/>
      <c r="C760" s="46"/>
      <c r="D760" s="63" t="str">
        <f>IFERROR(INDEX(基础资料!$F$4:$F$23,MATCH($C760,基础资料!$E$4:$E$23,0)),IF($C760="","","未匹配账户"))</f>
        <v/>
      </c>
      <c r="E760" s="39"/>
      <c r="F760" s="10"/>
      <c r="G760" s="10"/>
      <c r="H760" s="10"/>
      <c r="I760" s="10"/>
      <c r="J760" s="10"/>
      <c r="K760" s="25"/>
      <c r="L760" s="25"/>
      <c r="M760" s="25" t="str">
        <f>IFERROR(VLOOKUP($C760,$C$5:$M$24,11,0)+SUMIF($C$25:$C760,$C760,$K$25:$K760)-SUMIF($C$25:$C760,$C760,$L$25:$L760),"")</f>
        <v/>
      </c>
      <c r="N760" s="10"/>
      <c r="O760" s="10"/>
      <c r="P760" s="65"/>
      <c r="Q760" s="10"/>
      <c r="R760" s="10"/>
      <c r="S760" s="54" t="str">
        <f t="shared" si="39"/>
        <v/>
      </c>
      <c r="T760" s="54" t="str">
        <f t="shared" si="40"/>
        <v/>
      </c>
      <c r="U760" s="58" t="str">
        <f t="shared" si="41"/>
        <v/>
      </c>
      <c r="V760" s="58">
        <f>IF(AND($B760&lt;&gt;"",$F760&lt;&gt;"",$F760=项目明细账!$C$2),N(V759)+1,N(V759))</f>
        <v>0</v>
      </c>
      <c r="W760" s="63" t="str">
        <f>IF($H760&lt;&gt;"","项目成本",IFERROR(INDEX(基础资料!$W$4:$W$49,MATCH($I760,基础资料!$V$4:$V$49,0)),""))</f>
        <v/>
      </c>
      <c r="X760" s="63" t="str">
        <f>IFERROR(INDEX(基础资料!$R$4:$R$17,MATCH($G760,基础资料!$Q$4:$Q$17,0)),"")</f>
        <v/>
      </c>
    </row>
    <row r="761" spans="1:24">
      <c r="A761" s="58" t="str">
        <f>IF($B761="","",COUNTA($B$5:$B761))</f>
        <v/>
      </c>
      <c r="B761" s="53"/>
      <c r="C761" s="46"/>
      <c r="D761" s="63" t="str">
        <f>IFERROR(INDEX(基础资料!$F$4:$F$23,MATCH($C761,基础资料!$E$4:$E$23,0)),IF($C761="","","未匹配账户"))</f>
        <v/>
      </c>
      <c r="E761" s="39"/>
      <c r="F761" s="10"/>
      <c r="G761" s="10"/>
      <c r="H761" s="10"/>
      <c r="I761" s="10"/>
      <c r="J761" s="10"/>
      <c r="K761" s="25"/>
      <c r="L761" s="25"/>
      <c r="M761" s="25" t="str">
        <f>IFERROR(VLOOKUP($C761,$C$5:$M$24,11,0)+SUMIF($C$25:$C761,$C761,$K$25:$K761)-SUMIF($C$25:$C761,$C761,$L$25:$L761),"")</f>
        <v/>
      </c>
      <c r="N761" s="10"/>
      <c r="O761" s="10"/>
      <c r="P761" s="65"/>
      <c r="Q761" s="10"/>
      <c r="R761" s="10"/>
      <c r="S761" s="54" t="str">
        <f t="shared" si="39"/>
        <v/>
      </c>
      <c r="T761" s="54" t="str">
        <f t="shared" si="40"/>
        <v/>
      </c>
      <c r="U761" s="58" t="str">
        <f t="shared" si="41"/>
        <v/>
      </c>
      <c r="V761" s="58">
        <f>IF(AND($B761&lt;&gt;"",$F761&lt;&gt;"",$F761=项目明细账!$C$2),N(V760)+1,N(V760))</f>
        <v>0</v>
      </c>
      <c r="W761" s="63" t="str">
        <f>IF($H761&lt;&gt;"","项目成本",IFERROR(INDEX(基础资料!$W$4:$W$49,MATCH($I761,基础资料!$V$4:$V$49,0)),""))</f>
        <v/>
      </c>
      <c r="X761" s="63" t="str">
        <f>IFERROR(INDEX(基础资料!$R$4:$R$17,MATCH($G761,基础资料!$Q$4:$Q$17,0)),"")</f>
        <v/>
      </c>
    </row>
    <row r="762" spans="1:24">
      <c r="A762" s="58" t="str">
        <f>IF($B762="","",COUNTA($B$5:$B762))</f>
        <v/>
      </c>
      <c r="B762" s="53"/>
      <c r="C762" s="46"/>
      <c r="D762" s="63" t="str">
        <f>IFERROR(INDEX(基础资料!$F$4:$F$23,MATCH($C762,基础资料!$E$4:$E$23,0)),IF($C762="","","未匹配账户"))</f>
        <v/>
      </c>
      <c r="E762" s="39"/>
      <c r="F762" s="10"/>
      <c r="G762" s="10"/>
      <c r="H762" s="10"/>
      <c r="I762" s="10"/>
      <c r="J762" s="10"/>
      <c r="K762" s="25"/>
      <c r="L762" s="25"/>
      <c r="M762" s="25" t="str">
        <f>IFERROR(VLOOKUP($C762,$C$5:$M$24,11,0)+SUMIF($C$25:$C762,$C762,$K$25:$K762)-SUMIF($C$25:$C762,$C762,$L$25:$L762),"")</f>
        <v/>
      </c>
      <c r="N762" s="10"/>
      <c r="O762" s="10"/>
      <c r="P762" s="65"/>
      <c r="Q762" s="10"/>
      <c r="R762" s="10"/>
      <c r="S762" s="54" t="str">
        <f t="shared" si="39"/>
        <v/>
      </c>
      <c r="T762" s="54" t="str">
        <f t="shared" si="40"/>
        <v/>
      </c>
      <c r="U762" s="58" t="str">
        <f t="shared" si="41"/>
        <v/>
      </c>
      <c r="V762" s="58">
        <f>IF(AND($B762&lt;&gt;"",$F762&lt;&gt;"",$F762=项目明细账!$C$2),N(V761)+1,N(V761))</f>
        <v>0</v>
      </c>
      <c r="W762" s="63" t="str">
        <f>IF($H762&lt;&gt;"","项目成本",IFERROR(INDEX(基础资料!$W$4:$W$49,MATCH($I762,基础资料!$V$4:$V$49,0)),""))</f>
        <v/>
      </c>
      <c r="X762" s="63" t="str">
        <f>IFERROR(INDEX(基础资料!$R$4:$R$17,MATCH($G762,基础资料!$Q$4:$Q$17,0)),"")</f>
        <v/>
      </c>
    </row>
    <row r="763" spans="1:24">
      <c r="A763" s="58" t="str">
        <f>IF($B763="","",COUNTA($B$5:$B763))</f>
        <v/>
      </c>
      <c r="B763" s="53"/>
      <c r="C763" s="46"/>
      <c r="D763" s="63" t="str">
        <f>IFERROR(INDEX(基础资料!$F$4:$F$23,MATCH($C763,基础资料!$E$4:$E$23,0)),IF($C763="","","未匹配账户"))</f>
        <v/>
      </c>
      <c r="E763" s="39"/>
      <c r="F763" s="10"/>
      <c r="G763" s="10"/>
      <c r="H763" s="10"/>
      <c r="I763" s="10"/>
      <c r="J763" s="10"/>
      <c r="K763" s="25"/>
      <c r="L763" s="25"/>
      <c r="M763" s="25" t="str">
        <f>IFERROR(VLOOKUP($C763,$C$5:$M$24,11,0)+SUMIF($C$25:$C763,$C763,$K$25:$K763)-SUMIF($C$25:$C763,$C763,$L$25:$L763),"")</f>
        <v/>
      </c>
      <c r="N763" s="10"/>
      <c r="O763" s="10"/>
      <c r="P763" s="65"/>
      <c r="Q763" s="10"/>
      <c r="R763" s="10"/>
      <c r="S763" s="54" t="str">
        <f t="shared" si="39"/>
        <v/>
      </c>
      <c r="T763" s="54" t="str">
        <f t="shared" si="40"/>
        <v/>
      </c>
      <c r="U763" s="58" t="str">
        <f t="shared" si="41"/>
        <v/>
      </c>
      <c r="V763" s="58">
        <f>IF(AND($B763&lt;&gt;"",$F763&lt;&gt;"",$F763=项目明细账!$C$2),N(V762)+1,N(V762))</f>
        <v>0</v>
      </c>
      <c r="W763" s="63" t="str">
        <f>IF($H763&lt;&gt;"","项目成本",IFERROR(INDEX(基础资料!$W$4:$W$49,MATCH($I763,基础资料!$V$4:$V$49,0)),""))</f>
        <v/>
      </c>
      <c r="X763" s="63" t="str">
        <f>IFERROR(INDEX(基础资料!$R$4:$R$17,MATCH($G763,基础资料!$Q$4:$Q$17,0)),"")</f>
        <v/>
      </c>
    </row>
    <row r="764" spans="1:24">
      <c r="A764" s="58" t="str">
        <f>IF($B764="","",COUNTA($B$5:$B764))</f>
        <v/>
      </c>
      <c r="B764" s="53"/>
      <c r="C764" s="46"/>
      <c r="D764" s="63" t="str">
        <f>IFERROR(INDEX(基础资料!$F$4:$F$23,MATCH($C764,基础资料!$E$4:$E$23,0)),IF($C764="","","未匹配账户"))</f>
        <v/>
      </c>
      <c r="E764" s="39"/>
      <c r="F764" s="10"/>
      <c r="G764" s="10"/>
      <c r="H764" s="10"/>
      <c r="I764" s="10"/>
      <c r="J764" s="10"/>
      <c r="K764" s="25"/>
      <c r="L764" s="25"/>
      <c r="M764" s="25" t="str">
        <f>IFERROR(VLOOKUP($C764,$C$5:$M$24,11,0)+SUMIF($C$25:$C764,$C764,$K$25:$K764)-SUMIF($C$25:$C764,$C764,$L$25:$L764),"")</f>
        <v/>
      </c>
      <c r="N764" s="10"/>
      <c r="O764" s="10"/>
      <c r="P764" s="65"/>
      <c r="Q764" s="10"/>
      <c r="R764" s="10"/>
      <c r="S764" s="54" t="str">
        <f t="shared" si="39"/>
        <v/>
      </c>
      <c r="T764" s="54" t="str">
        <f t="shared" si="40"/>
        <v/>
      </c>
      <c r="U764" s="58" t="str">
        <f t="shared" si="41"/>
        <v/>
      </c>
      <c r="V764" s="58">
        <f>IF(AND($B764&lt;&gt;"",$F764&lt;&gt;"",$F764=项目明细账!$C$2),N(V763)+1,N(V763))</f>
        <v>0</v>
      </c>
      <c r="W764" s="63" t="str">
        <f>IF($H764&lt;&gt;"","项目成本",IFERROR(INDEX(基础资料!$W$4:$W$49,MATCH($I764,基础资料!$V$4:$V$49,0)),""))</f>
        <v/>
      </c>
      <c r="X764" s="63" t="str">
        <f>IFERROR(INDEX(基础资料!$R$4:$R$17,MATCH($G764,基础资料!$Q$4:$Q$17,0)),"")</f>
        <v/>
      </c>
    </row>
    <row r="765" spans="1:24">
      <c r="A765" s="58" t="str">
        <f>IF($B765="","",COUNTA($B$5:$B765))</f>
        <v/>
      </c>
      <c r="B765" s="53"/>
      <c r="C765" s="46"/>
      <c r="D765" s="63" t="str">
        <f>IFERROR(INDEX(基础资料!$F$4:$F$23,MATCH($C765,基础资料!$E$4:$E$23,0)),IF($C765="","","未匹配账户"))</f>
        <v/>
      </c>
      <c r="E765" s="39"/>
      <c r="F765" s="10"/>
      <c r="G765" s="10"/>
      <c r="H765" s="10"/>
      <c r="I765" s="10"/>
      <c r="J765" s="10"/>
      <c r="K765" s="25"/>
      <c r="L765" s="25"/>
      <c r="M765" s="25" t="str">
        <f>IFERROR(VLOOKUP($C765,$C$5:$M$24,11,0)+SUMIF($C$25:$C765,$C765,$K$25:$K765)-SUMIF($C$25:$C765,$C765,$L$25:$L765),"")</f>
        <v/>
      </c>
      <c r="N765" s="10"/>
      <c r="O765" s="10"/>
      <c r="P765" s="65"/>
      <c r="Q765" s="10"/>
      <c r="R765" s="10"/>
      <c r="S765" s="54" t="str">
        <f t="shared" si="39"/>
        <v/>
      </c>
      <c r="T765" s="54" t="str">
        <f t="shared" si="40"/>
        <v/>
      </c>
      <c r="U765" s="58" t="str">
        <f t="shared" si="41"/>
        <v/>
      </c>
      <c r="V765" s="58">
        <f>IF(AND($B765&lt;&gt;"",$F765&lt;&gt;"",$F765=项目明细账!$C$2),N(V764)+1,N(V764))</f>
        <v>0</v>
      </c>
      <c r="W765" s="63" t="str">
        <f>IF($H765&lt;&gt;"","项目成本",IFERROR(INDEX(基础资料!$W$4:$W$49,MATCH($I765,基础资料!$V$4:$V$49,0)),""))</f>
        <v/>
      </c>
      <c r="X765" s="63" t="str">
        <f>IFERROR(INDEX(基础资料!$R$4:$R$17,MATCH($G765,基础资料!$Q$4:$Q$17,0)),"")</f>
        <v/>
      </c>
    </row>
    <row r="766" spans="1:24">
      <c r="A766" s="58" t="str">
        <f>IF($B766="","",COUNTA($B$5:$B766))</f>
        <v/>
      </c>
      <c r="B766" s="53"/>
      <c r="C766" s="46"/>
      <c r="D766" s="63" t="str">
        <f>IFERROR(INDEX(基础资料!$F$4:$F$23,MATCH($C766,基础资料!$E$4:$E$23,0)),IF($C766="","","未匹配账户"))</f>
        <v/>
      </c>
      <c r="E766" s="39"/>
      <c r="F766" s="10"/>
      <c r="G766" s="10"/>
      <c r="H766" s="10"/>
      <c r="I766" s="10"/>
      <c r="J766" s="10"/>
      <c r="K766" s="25"/>
      <c r="L766" s="25"/>
      <c r="M766" s="25" t="str">
        <f>IFERROR(VLOOKUP($C766,$C$5:$M$24,11,0)+SUMIF($C$25:$C766,$C766,$K$25:$K766)-SUMIF($C$25:$C766,$C766,$L$25:$L766),"")</f>
        <v/>
      </c>
      <c r="N766" s="10"/>
      <c r="O766" s="10"/>
      <c r="P766" s="65"/>
      <c r="Q766" s="10"/>
      <c r="R766" s="10"/>
      <c r="S766" s="54" t="str">
        <f t="shared" si="39"/>
        <v/>
      </c>
      <c r="T766" s="54" t="str">
        <f t="shared" si="40"/>
        <v/>
      </c>
      <c r="U766" s="58" t="str">
        <f t="shared" si="41"/>
        <v/>
      </c>
      <c r="V766" s="58">
        <f>IF(AND($B766&lt;&gt;"",$F766&lt;&gt;"",$F766=项目明细账!$C$2),N(V765)+1,N(V765))</f>
        <v>0</v>
      </c>
      <c r="W766" s="63" t="str">
        <f>IF($H766&lt;&gt;"","项目成本",IFERROR(INDEX(基础资料!$W$4:$W$49,MATCH($I766,基础资料!$V$4:$V$49,0)),""))</f>
        <v/>
      </c>
      <c r="X766" s="63" t="str">
        <f>IFERROR(INDEX(基础资料!$R$4:$R$17,MATCH($G766,基础资料!$Q$4:$Q$17,0)),"")</f>
        <v/>
      </c>
    </row>
    <row r="767" spans="1:24">
      <c r="A767" s="58" t="str">
        <f>IF($B767="","",COUNTA($B$5:$B767))</f>
        <v/>
      </c>
      <c r="B767" s="53"/>
      <c r="C767" s="46"/>
      <c r="D767" s="63" t="str">
        <f>IFERROR(INDEX(基础资料!$F$4:$F$23,MATCH($C767,基础资料!$E$4:$E$23,0)),IF($C767="","","未匹配账户"))</f>
        <v/>
      </c>
      <c r="E767" s="39"/>
      <c r="F767" s="10"/>
      <c r="G767" s="10"/>
      <c r="H767" s="10"/>
      <c r="I767" s="10"/>
      <c r="J767" s="10"/>
      <c r="K767" s="25"/>
      <c r="L767" s="25"/>
      <c r="M767" s="25" t="str">
        <f>IFERROR(VLOOKUP($C767,$C$5:$M$24,11,0)+SUMIF($C$25:$C767,$C767,$K$25:$K767)-SUMIF($C$25:$C767,$C767,$L$25:$L767),"")</f>
        <v/>
      </c>
      <c r="N767" s="10"/>
      <c r="O767" s="10"/>
      <c r="P767" s="65"/>
      <c r="Q767" s="10"/>
      <c r="R767" s="10"/>
      <c r="S767" s="54" t="str">
        <f t="shared" si="39"/>
        <v/>
      </c>
      <c r="T767" s="54" t="str">
        <f t="shared" si="40"/>
        <v/>
      </c>
      <c r="U767" s="58" t="str">
        <f t="shared" si="41"/>
        <v/>
      </c>
      <c r="V767" s="58">
        <f>IF(AND($B767&lt;&gt;"",$F767&lt;&gt;"",$F767=项目明细账!$C$2),N(V766)+1,N(V766))</f>
        <v>0</v>
      </c>
      <c r="W767" s="63" t="str">
        <f>IF($H767&lt;&gt;"","项目成本",IFERROR(INDEX(基础资料!$W$4:$W$49,MATCH($I767,基础资料!$V$4:$V$49,0)),""))</f>
        <v/>
      </c>
      <c r="X767" s="63" t="str">
        <f>IFERROR(INDEX(基础资料!$R$4:$R$17,MATCH($G767,基础资料!$Q$4:$Q$17,0)),"")</f>
        <v/>
      </c>
    </row>
    <row r="768" spans="1:24">
      <c r="A768" s="58" t="str">
        <f>IF($B768="","",COUNTA($B$5:$B768))</f>
        <v/>
      </c>
      <c r="B768" s="53"/>
      <c r="C768" s="46"/>
      <c r="D768" s="63" t="str">
        <f>IFERROR(INDEX(基础资料!$F$4:$F$23,MATCH($C768,基础资料!$E$4:$E$23,0)),IF($C768="","","未匹配账户"))</f>
        <v/>
      </c>
      <c r="E768" s="39"/>
      <c r="F768" s="10"/>
      <c r="G768" s="10"/>
      <c r="H768" s="10"/>
      <c r="I768" s="10"/>
      <c r="J768" s="10"/>
      <c r="K768" s="25"/>
      <c r="L768" s="25"/>
      <c r="M768" s="25" t="str">
        <f>IFERROR(VLOOKUP($C768,$C$5:$M$24,11,0)+SUMIF($C$25:$C768,$C768,$K$25:$K768)-SUMIF($C$25:$C768,$C768,$L$25:$L768),"")</f>
        <v/>
      </c>
      <c r="N768" s="10"/>
      <c r="O768" s="10"/>
      <c r="P768" s="65"/>
      <c r="Q768" s="10"/>
      <c r="R768" s="10"/>
      <c r="S768" s="54" t="str">
        <f t="shared" si="39"/>
        <v/>
      </c>
      <c r="T768" s="54" t="str">
        <f t="shared" si="40"/>
        <v/>
      </c>
      <c r="U768" s="58" t="str">
        <f t="shared" si="41"/>
        <v/>
      </c>
      <c r="V768" s="58">
        <f>IF(AND($B768&lt;&gt;"",$F768&lt;&gt;"",$F768=项目明细账!$C$2),N(V767)+1,N(V767))</f>
        <v>0</v>
      </c>
      <c r="W768" s="63" t="str">
        <f>IF($H768&lt;&gt;"","项目成本",IFERROR(INDEX(基础资料!$W$4:$W$49,MATCH($I768,基础资料!$V$4:$V$49,0)),""))</f>
        <v/>
      </c>
      <c r="X768" s="63" t="str">
        <f>IFERROR(INDEX(基础资料!$R$4:$R$17,MATCH($G768,基础资料!$Q$4:$Q$17,0)),"")</f>
        <v/>
      </c>
    </row>
    <row r="769" spans="1:24">
      <c r="A769" s="58" t="str">
        <f>IF($B769="","",COUNTA($B$5:$B769))</f>
        <v/>
      </c>
      <c r="B769" s="53"/>
      <c r="C769" s="46"/>
      <c r="D769" s="63" t="str">
        <f>IFERROR(INDEX(基础资料!$F$4:$F$23,MATCH($C769,基础资料!$E$4:$E$23,0)),IF($C769="","","未匹配账户"))</f>
        <v/>
      </c>
      <c r="E769" s="39"/>
      <c r="F769" s="10"/>
      <c r="G769" s="10"/>
      <c r="H769" s="10"/>
      <c r="I769" s="10"/>
      <c r="J769" s="10"/>
      <c r="K769" s="25"/>
      <c r="L769" s="25"/>
      <c r="M769" s="25" t="str">
        <f>IFERROR(VLOOKUP($C769,$C$5:$M$24,11,0)+SUMIF($C$25:$C769,$C769,$K$25:$K769)-SUMIF($C$25:$C769,$C769,$L$25:$L769),"")</f>
        <v/>
      </c>
      <c r="N769" s="10"/>
      <c r="O769" s="10"/>
      <c r="P769" s="65"/>
      <c r="Q769" s="10"/>
      <c r="R769" s="10"/>
      <c r="S769" s="54" t="str">
        <f t="shared" si="39"/>
        <v/>
      </c>
      <c r="T769" s="54" t="str">
        <f t="shared" si="40"/>
        <v/>
      </c>
      <c r="U769" s="58" t="str">
        <f t="shared" si="41"/>
        <v/>
      </c>
      <c r="V769" s="58">
        <f>IF(AND($B769&lt;&gt;"",$F769&lt;&gt;"",$F769=项目明细账!$C$2),N(V768)+1,N(V768))</f>
        <v>0</v>
      </c>
      <c r="W769" s="63" t="str">
        <f>IF($H769&lt;&gt;"","项目成本",IFERROR(INDEX(基础资料!$W$4:$W$49,MATCH($I769,基础资料!$V$4:$V$49,0)),""))</f>
        <v/>
      </c>
      <c r="X769" s="63" t="str">
        <f>IFERROR(INDEX(基础资料!$R$4:$R$17,MATCH($G769,基础资料!$Q$4:$Q$17,0)),"")</f>
        <v/>
      </c>
    </row>
    <row r="770" spans="1:24">
      <c r="A770" s="58" t="str">
        <f>IF($B770="","",COUNTA($B$5:$B770))</f>
        <v/>
      </c>
      <c r="B770" s="53"/>
      <c r="C770" s="46"/>
      <c r="D770" s="63" t="str">
        <f>IFERROR(INDEX(基础资料!$F$4:$F$23,MATCH($C770,基础资料!$E$4:$E$23,0)),IF($C770="","","未匹配账户"))</f>
        <v/>
      </c>
      <c r="E770" s="39"/>
      <c r="F770" s="10"/>
      <c r="G770" s="10"/>
      <c r="H770" s="10"/>
      <c r="I770" s="10"/>
      <c r="J770" s="10"/>
      <c r="K770" s="25"/>
      <c r="L770" s="25"/>
      <c r="M770" s="25" t="str">
        <f>IFERROR(VLOOKUP($C770,$C$5:$M$24,11,0)+SUMIF($C$25:$C770,$C770,$K$25:$K770)-SUMIF($C$25:$C770,$C770,$L$25:$L770),"")</f>
        <v/>
      </c>
      <c r="N770" s="10"/>
      <c r="O770" s="10"/>
      <c r="P770" s="65"/>
      <c r="Q770" s="10"/>
      <c r="R770" s="10"/>
      <c r="S770" s="54" t="str">
        <f t="shared" si="39"/>
        <v/>
      </c>
      <c r="T770" s="54" t="str">
        <f t="shared" si="40"/>
        <v/>
      </c>
      <c r="U770" s="58" t="str">
        <f t="shared" si="41"/>
        <v/>
      </c>
      <c r="V770" s="58">
        <f>IF(AND($B770&lt;&gt;"",$F770&lt;&gt;"",$F770=项目明细账!$C$2),N(V769)+1,N(V769))</f>
        <v>0</v>
      </c>
      <c r="W770" s="63" t="str">
        <f>IF($H770&lt;&gt;"","项目成本",IFERROR(INDEX(基础资料!$W$4:$W$49,MATCH($I770,基础资料!$V$4:$V$49,0)),""))</f>
        <v/>
      </c>
      <c r="X770" s="63" t="str">
        <f>IFERROR(INDEX(基础资料!$R$4:$R$17,MATCH($G770,基础资料!$Q$4:$Q$17,0)),"")</f>
        <v/>
      </c>
    </row>
    <row r="771" spans="1:24">
      <c r="A771" s="58" t="str">
        <f>IF($B771="","",COUNTA($B$5:$B771))</f>
        <v/>
      </c>
      <c r="B771" s="53"/>
      <c r="C771" s="46"/>
      <c r="D771" s="63" t="str">
        <f>IFERROR(INDEX(基础资料!$F$4:$F$23,MATCH($C771,基础资料!$E$4:$E$23,0)),IF($C771="","","未匹配账户"))</f>
        <v/>
      </c>
      <c r="E771" s="39"/>
      <c r="F771" s="10"/>
      <c r="G771" s="10"/>
      <c r="H771" s="10"/>
      <c r="I771" s="10"/>
      <c r="J771" s="10"/>
      <c r="K771" s="25"/>
      <c r="L771" s="25"/>
      <c r="M771" s="25" t="str">
        <f>IFERROR(VLOOKUP($C771,$C$5:$M$24,11,0)+SUMIF($C$25:$C771,$C771,$K$25:$K771)-SUMIF($C$25:$C771,$C771,$L$25:$L771),"")</f>
        <v/>
      </c>
      <c r="N771" s="10"/>
      <c r="O771" s="10"/>
      <c r="P771" s="65"/>
      <c r="Q771" s="10"/>
      <c r="R771" s="10"/>
      <c r="S771" s="54" t="str">
        <f t="shared" si="39"/>
        <v/>
      </c>
      <c r="T771" s="54" t="str">
        <f t="shared" si="40"/>
        <v/>
      </c>
      <c r="U771" s="58" t="str">
        <f t="shared" si="41"/>
        <v/>
      </c>
      <c r="V771" s="58">
        <f>IF(AND($B771&lt;&gt;"",$F771&lt;&gt;"",$F771=项目明细账!$C$2),N(V770)+1,N(V770))</f>
        <v>0</v>
      </c>
      <c r="W771" s="63" t="str">
        <f>IF($H771&lt;&gt;"","项目成本",IFERROR(INDEX(基础资料!$W$4:$W$49,MATCH($I771,基础资料!$V$4:$V$49,0)),""))</f>
        <v/>
      </c>
      <c r="X771" s="63" t="str">
        <f>IFERROR(INDEX(基础资料!$R$4:$R$17,MATCH($G771,基础资料!$Q$4:$Q$17,0)),"")</f>
        <v/>
      </c>
    </row>
    <row r="772" spans="1:24">
      <c r="A772" s="58" t="str">
        <f>IF($B772="","",COUNTA($B$5:$B772))</f>
        <v/>
      </c>
      <c r="B772" s="53"/>
      <c r="C772" s="46"/>
      <c r="D772" s="63" t="str">
        <f>IFERROR(INDEX(基础资料!$F$4:$F$23,MATCH($C772,基础资料!$E$4:$E$23,0)),IF($C772="","","未匹配账户"))</f>
        <v/>
      </c>
      <c r="E772" s="39"/>
      <c r="F772" s="10"/>
      <c r="G772" s="10"/>
      <c r="H772" s="10"/>
      <c r="I772" s="10"/>
      <c r="J772" s="10"/>
      <c r="K772" s="25"/>
      <c r="L772" s="25"/>
      <c r="M772" s="25" t="str">
        <f>IFERROR(VLOOKUP($C772,$C$5:$M$24,11,0)+SUMIF($C$25:$C772,$C772,$K$25:$K772)-SUMIF($C$25:$C772,$C772,$L$25:$L772),"")</f>
        <v/>
      </c>
      <c r="N772" s="10"/>
      <c r="O772" s="10"/>
      <c r="P772" s="65"/>
      <c r="Q772" s="10"/>
      <c r="R772" s="10"/>
      <c r="S772" s="54" t="str">
        <f t="shared" si="39"/>
        <v/>
      </c>
      <c r="T772" s="54" t="str">
        <f t="shared" si="40"/>
        <v/>
      </c>
      <c r="U772" s="58" t="str">
        <f t="shared" si="41"/>
        <v/>
      </c>
      <c r="V772" s="58">
        <f>IF(AND($B772&lt;&gt;"",$F772&lt;&gt;"",$F772=项目明细账!$C$2),N(V771)+1,N(V771))</f>
        <v>0</v>
      </c>
      <c r="W772" s="63" t="str">
        <f>IF($H772&lt;&gt;"","项目成本",IFERROR(INDEX(基础资料!$W$4:$W$49,MATCH($I772,基础资料!$V$4:$V$49,0)),""))</f>
        <v/>
      </c>
      <c r="X772" s="63" t="str">
        <f>IFERROR(INDEX(基础资料!$R$4:$R$17,MATCH($G772,基础资料!$Q$4:$Q$17,0)),"")</f>
        <v/>
      </c>
    </row>
    <row r="773" spans="1:24">
      <c r="A773" s="58" t="str">
        <f>IF($B773="","",COUNTA($B$5:$B773))</f>
        <v/>
      </c>
      <c r="B773" s="53"/>
      <c r="C773" s="46"/>
      <c r="D773" s="63" t="str">
        <f>IFERROR(INDEX(基础资料!$F$4:$F$23,MATCH($C773,基础资料!$E$4:$E$23,0)),IF($C773="","","未匹配账户"))</f>
        <v/>
      </c>
      <c r="E773" s="39"/>
      <c r="F773" s="10"/>
      <c r="G773" s="10"/>
      <c r="H773" s="10"/>
      <c r="I773" s="10"/>
      <c r="J773" s="10"/>
      <c r="K773" s="25"/>
      <c r="L773" s="25"/>
      <c r="M773" s="25" t="str">
        <f>IFERROR(VLOOKUP($C773,$C$5:$M$24,11,0)+SUMIF($C$25:$C773,$C773,$K$25:$K773)-SUMIF($C$25:$C773,$C773,$L$25:$L773),"")</f>
        <v/>
      </c>
      <c r="N773" s="10"/>
      <c r="O773" s="10"/>
      <c r="P773" s="65"/>
      <c r="Q773" s="10"/>
      <c r="R773" s="10"/>
      <c r="S773" s="54" t="str">
        <f t="shared" si="39"/>
        <v/>
      </c>
      <c r="T773" s="54" t="str">
        <f t="shared" si="40"/>
        <v/>
      </c>
      <c r="U773" s="58" t="str">
        <f t="shared" si="41"/>
        <v/>
      </c>
      <c r="V773" s="58">
        <f>IF(AND($B773&lt;&gt;"",$F773&lt;&gt;"",$F773=项目明细账!$C$2),N(V772)+1,N(V772))</f>
        <v>0</v>
      </c>
      <c r="W773" s="63" t="str">
        <f>IF($H773&lt;&gt;"","项目成本",IFERROR(INDEX(基础资料!$W$4:$W$49,MATCH($I773,基础资料!$V$4:$V$49,0)),""))</f>
        <v/>
      </c>
      <c r="X773" s="63" t="str">
        <f>IFERROR(INDEX(基础资料!$R$4:$R$17,MATCH($G773,基础资料!$Q$4:$Q$17,0)),"")</f>
        <v/>
      </c>
    </row>
    <row r="774" spans="1:24">
      <c r="A774" s="58" t="str">
        <f>IF($B774="","",COUNTA($B$5:$B774))</f>
        <v/>
      </c>
      <c r="B774" s="53"/>
      <c r="C774" s="46"/>
      <c r="D774" s="63" t="str">
        <f>IFERROR(INDEX(基础资料!$F$4:$F$23,MATCH($C774,基础资料!$E$4:$E$23,0)),IF($C774="","","未匹配账户"))</f>
        <v/>
      </c>
      <c r="E774" s="39"/>
      <c r="F774" s="10"/>
      <c r="G774" s="10"/>
      <c r="H774" s="10"/>
      <c r="I774" s="10"/>
      <c r="J774" s="10"/>
      <c r="K774" s="25"/>
      <c r="L774" s="25"/>
      <c r="M774" s="25" t="str">
        <f>IFERROR(VLOOKUP($C774,$C$5:$M$24,11,0)+SUMIF($C$25:$C774,$C774,$K$25:$K774)-SUMIF($C$25:$C774,$C774,$L$25:$L774),"")</f>
        <v/>
      </c>
      <c r="N774" s="10"/>
      <c r="O774" s="10"/>
      <c r="P774" s="65"/>
      <c r="Q774" s="10"/>
      <c r="R774" s="10"/>
      <c r="S774" s="54" t="str">
        <f t="shared" si="39"/>
        <v/>
      </c>
      <c r="T774" s="54" t="str">
        <f t="shared" si="40"/>
        <v/>
      </c>
      <c r="U774" s="58" t="str">
        <f t="shared" si="41"/>
        <v/>
      </c>
      <c r="V774" s="58">
        <f>IF(AND($B774&lt;&gt;"",$F774&lt;&gt;"",$F774=项目明细账!$C$2),N(V773)+1,N(V773))</f>
        <v>0</v>
      </c>
      <c r="W774" s="63" t="str">
        <f>IF($H774&lt;&gt;"","项目成本",IFERROR(INDEX(基础资料!$W$4:$W$49,MATCH($I774,基础资料!$V$4:$V$49,0)),""))</f>
        <v/>
      </c>
      <c r="X774" s="63" t="str">
        <f>IFERROR(INDEX(基础资料!$R$4:$R$17,MATCH($G774,基础资料!$Q$4:$Q$17,0)),"")</f>
        <v/>
      </c>
    </row>
    <row r="775" spans="1:24">
      <c r="A775" s="58" t="str">
        <f>IF($B775="","",COUNTA($B$5:$B775))</f>
        <v/>
      </c>
      <c r="B775" s="53"/>
      <c r="C775" s="46"/>
      <c r="D775" s="63" t="str">
        <f>IFERROR(INDEX(基础资料!$F$4:$F$23,MATCH($C775,基础资料!$E$4:$E$23,0)),IF($C775="","","未匹配账户"))</f>
        <v/>
      </c>
      <c r="E775" s="39"/>
      <c r="F775" s="10"/>
      <c r="G775" s="10"/>
      <c r="H775" s="10"/>
      <c r="I775" s="10"/>
      <c r="J775" s="10"/>
      <c r="K775" s="25"/>
      <c r="L775" s="25"/>
      <c r="M775" s="25" t="str">
        <f>IFERROR(VLOOKUP($C775,$C$5:$M$24,11,0)+SUMIF($C$25:$C775,$C775,$K$25:$K775)-SUMIF($C$25:$C775,$C775,$L$25:$L775),"")</f>
        <v/>
      </c>
      <c r="N775" s="10"/>
      <c r="O775" s="10"/>
      <c r="P775" s="65"/>
      <c r="Q775" s="10"/>
      <c r="R775" s="10"/>
      <c r="S775" s="54" t="str">
        <f t="shared" ref="S775:S838" si="42">IF($B775="","",--TEXT($B775,"yyyymm"))</f>
        <v/>
      </c>
      <c r="T775" s="54" t="str">
        <f t="shared" ref="T775:T838" si="43">IF($B775="","",IF($P775="",$S775,IFERROR($P775*1,$P775)))</f>
        <v/>
      </c>
      <c r="U775" s="58" t="str">
        <f t="shared" ref="U775:U838" si="44">IF($B775="","",IF($T775=$S775,"","跨期"))</f>
        <v/>
      </c>
      <c r="V775" s="58">
        <f>IF(AND($B775&lt;&gt;"",$F775&lt;&gt;"",$F775=项目明细账!$C$2),N(V774)+1,N(V774))</f>
        <v>0</v>
      </c>
      <c r="W775" s="63" t="str">
        <f>IF($H775&lt;&gt;"","项目成本",IFERROR(INDEX(基础资料!$W$4:$W$49,MATCH($I775,基础资料!$V$4:$V$49,0)),""))</f>
        <v/>
      </c>
      <c r="X775" s="63" t="str">
        <f>IFERROR(INDEX(基础资料!$R$4:$R$17,MATCH($G775,基础资料!$Q$4:$Q$17,0)),"")</f>
        <v/>
      </c>
    </row>
    <row r="776" spans="1:24">
      <c r="A776" s="58" t="str">
        <f>IF($B776="","",COUNTA($B$5:$B776))</f>
        <v/>
      </c>
      <c r="B776" s="53"/>
      <c r="C776" s="46"/>
      <c r="D776" s="63" t="str">
        <f>IFERROR(INDEX(基础资料!$F$4:$F$23,MATCH($C776,基础资料!$E$4:$E$23,0)),IF($C776="","","未匹配账户"))</f>
        <v/>
      </c>
      <c r="E776" s="39"/>
      <c r="F776" s="10"/>
      <c r="G776" s="10"/>
      <c r="H776" s="10"/>
      <c r="I776" s="10"/>
      <c r="J776" s="10"/>
      <c r="K776" s="25"/>
      <c r="L776" s="25"/>
      <c r="M776" s="25" t="str">
        <f>IFERROR(VLOOKUP($C776,$C$5:$M$24,11,0)+SUMIF($C$25:$C776,$C776,$K$25:$K776)-SUMIF($C$25:$C776,$C776,$L$25:$L776),"")</f>
        <v/>
      </c>
      <c r="N776" s="10"/>
      <c r="O776" s="10"/>
      <c r="P776" s="65"/>
      <c r="Q776" s="10"/>
      <c r="R776" s="10"/>
      <c r="S776" s="54" t="str">
        <f t="shared" si="42"/>
        <v/>
      </c>
      <c r="T776" s="54" t="str">
        <f t="shared" si="43"/>
        <v/>
      </c>
      <c r="U776" s="58" t="str">
        <f t="shared" si="44"/>
        <v/>
      </c>
      <c r="V776" s="58">
        <f>IF(AND($B776&lt;&gt;"",$F776&lt;&gt;"",$F776=项目明细账!$C$2),N(V775)+1,N(V775))</f>
        <v>0</v>
      </c>
      <c r="W776" s="63" t="str">
        <f>IF($H776&lt;&gt;"","项目成本",IFERROR(INDEX(基础资料!$W$4:$W$49,MATCH($I776,基础资料!$V$4:$V$49,0)),""))</f>
        <v/>
      </c>
      <c r="X776" s="63" t="str">
        <f>IFERROR(INDEX(基础资料!$R$4:$R$17,MATCH($G776,基础资料!$Q$4:$Q$17,0)),"")</f>
        <v/>
      </c>
    </row>
    <row r="777" spans="1:24">
      <c r="A777" s="58" t="str">
        <f>IF($B777="","",COUNTA($B$5:$B777))</f>
        <v/>
      </c>
      <c r="B777" s="53"/>
      <c r="C777" s="46"/>
      <c r="D777" s="63" t="str">
        <f>IFERROR(INDEX(基础资料!$F$4:$F$23,MATCH($C777,基础资料!$E$4:$E$23,0)),IF($C777="","","未匹配账户"))</f>
        <v/>
      </c>
      <c r="E777" s="39"/>
      <c r="F777" s="10"/>
      <c r="G777" s="10"/>
      <c r="H777" s="10"/>
      <c r="I777" s="10"/>
      <c r="J777" s="10"/>
      <c r="K777" s="25"/>
      <c r="L777" s="25"/>
      <c r="M777" s="25" t="str">
        <f>IFERROR(VLOOKUP($C777,$C$5:$M$24,11,0)+SUMIF($C$25:$C777,$C777,$K$25:$K777)-SUMIF($C$25:$C777,$C777,$L$25:$L777),"")</f>
        <v/>
      </c>
      <c r="N777" s="10"/>
      <c r="O777" s="10"/>
      <c r="P777" s="65"/>
      <c r="Q777" s="10"/>
      <c r="R777" s="10"/>
      <c r="S777" s="54" t="str">
        <f t="shared" si="42"/>
        <v/>
      </c>
      <c r="T777" s="54" t="str">
        <f t="shared" si="43"/>
        <v/>
      </c>
      <c r="U777" s="58" t="str">
        <f t="shared" si="44"/>
        <v/>
      </c>
      <c r="V777" s="58">
        <f>IF(AND($B777&lt;&gt;"",$F777&lt;&gt;"",$F777=项目明细账!$C$2),N(V776)+1,N(V776))</f>
        <v>0</v>
      </c>
      <c r="W777" s="63" t="str">
        <f>IF($H777&lt;&gt;"","项目成本",IFERROR(INDEX(基础资料!$W$4:$W$49,MATCH($I777,基础资料!$V$4:$V$49,0)),""))</f>
        <v/>
      </c>
      <c r="X777" s="63" t="str">
        <f>IFERROR(INDEX(基础资料!$R$4:$R$17,MATCH($G777,基础资料!$Q$4:$Q$17,0)),"")</f>
        <v/>
      </c>
    </row>
    <row r="778" spans="1:24">
      <c r="A778" s="58" t="str">
        <f>IF($B778="","",COUNTA($B$5:$B778))</f>
        <v/>
      </c>
      <c r="B778" s="53"/>
      <c r="C778" s="46"/>
      <c r="D778" s="63" t="str">
        <f>IFERROR(INDEX(基础资料!$F$4:$F$23,MATCH($C778,基础资料!$E$4:$E$23,0)),IF($C778="","","未匹配账户"))</f>
        <v/>
      </c>
      <c r="E778" s="39"/>
      <c r="F778" s="10"/>
      <c r="G778" s="10"/>
      <c r="H778" s="10"/>
      <c r="I778" s="10"/>
      <c r="J778" s="10"/>
      <c r="K778" s="25"/>
      <c r="L778" s="25"/>
      <c r="M778" s="25" t="str">
        <f>IFERROR(VLOOKUP($C778,$C$5:$M$24,11,0)+SUMIF($C$25:$C778,$C778,$K$25:$K778)-SUMIF($C$25:$C778,$C778,$L$25:$L778),"")</f>
        <v/>
      </c>
      <c r="N778" s="10"/>
      <c r="O778" s="10"/>
      <c r="P778" s="65"/>
      <c r="Q778" s="10"/>
      <c r="R778" s="10"/>
      <c r="S778" s="54" t="str">
        <f t="shared" si="42"/>
        <v/>
      </c>
      <c r="T778" s="54" t="str">
        <f t="shared" si="43"/>
        <v/>
      </c>
      <c r="U778" s="58" t="str">
        <f t="shared" si="44"/>
        <v/>
      </c>
      <c r="V778" s="58">
        <f>IF(AND($B778&lt;&gt;"",$F778&lt;&gt;"",$F778=项目明细账!$C$2),N(V777)+1,N(V777))</f>
        <v>0</v>
      </c>
      <c r="W778" s="63" t="str">
        <f>IF($H778&lt;&gt;"","项目成本",IFERROR(INDEX(基础资料!$W$4:$W$49,MATCH($I778,基础资料!$V$4:$V$49,0)),""))</f>
        <v/>
      </c>
      <c r="X778" s="63" t="str">
        <f>IFERROR(INDEX(基础资料!$R$4:$R$17,MATCH($G778,基础资料!$Q$4:$Q$17,0)),"")</f>
        <v/>
      </c>
    </row>
    <row r="779" spans="1:24">
      <c r="A779" s="58" t="str">
        <f>IF($B779="","",COUNTA($B$5:$B779))</f>
        <v/>
      </c>
      <c r="B779" s="53"/>
      <c r="C779" s="46"/>
      <c r="D779" s="63" t="str">
        <f>IFERROR(INDEX(基础资料!$F$4:$F$23,MATCH($C779,基础资料!$E$4:$E$23,0)),IF($C779="","","未匹配账户"))</f>
        <v/>
      </c>
      <c r="E779" s="39"/>
      <c r="F779" s="10"/>
      <c r="G779" s="10"/>
      <c r="H779" s="10"/>
      <c r="I779" s="10"/>
      <c r="J779" s="10"/>
      <c r="K779" s="25"/>
      <c r="L779" s="25"/>
      <c r="M779" s="25" t="str">
        <f>IFERROR(VLOOKUP($C779,$C$5:$M$24,11,0)+SUMIF($C$25:$C779,$C779,$K$25:$K779)-SUMIF($C$25:$C779,$C779,$L$25:$L779),"")</f>
        <v/>
      </c>
      <c r="N779" s="10"/>
      <c r="O779" s="10"/>
      <c r="P779" s="65"/>
      <c r="Q779" s="10"/>
      <c r="R779" s="10"/>
      <c r="S779" s="54" t="str">
        <f t="shared" si="42"/>
        <v/>
      </c>
      <c r="T779" s="54" t="str">
        <f t="shared" si="43"/>
        <v/>
      </c>
      <c r="U779" s="58" t="str">
        <f t="shared" si="44"/>
        <v/>
      </c>
      <c r="V779" s="58">
        <f>IF(AND($B779&lt;&gt;"",$F779&lt;&gt;"",$F779=项目明细账!$C$2),N(V778)+1,N(V778))</f>
        <v>0</v>
      </c>
      <c r="W779" s="63" t="str">
        <f>IF($H779&lt;&gt;"","项目成本",IFERROR(INDEX(基础资料!$W$4:$W$49,MATCH($I779,基础资料!$V$4:$V$49,0)),""))</f>
        <v/>
      </c>
      <c r="X779" s="63" t="str">
        <f>IFERROR(INDEX(基础资料!$R$4:$R$17,MATCH($G779,基础资料!$Q$4:$Q$17,0)),"")</f>
        <v/>
      </c>
    </row>
    <row r="780" spans="1:24">
      <c r="A780" s="58" t="str">
        <f>IF($B780="","",COUNTA($B$5:$B780))</f>
        <v/>
      </c>
      <c r="B780" s="53"/>
      <c r="C780" s="46"/>
      <c r="D780" s="63" t="str">
        <f>IFERROR(INDEX(基础资料!$F$4:$F$23,MATCH($C780,基础资料!$E$4:$E$23,0)),IF($C780="","","未匹配账户"))</f>
        <v/>
      </c>
      <c r="E780" s="39"/>
      <c r="F780" s="10"/>
      <c r="G780" s="10"/>
      <c r="H780" s="10"/>
      <c r="I780" s="10"/>
      <c r="J780" s="10"/>
      <c r="K780" s="25"/>
      <c r="L780" s="25"/>
      <c r="M780" s="25" t="str">
        <f>IFERROR(VLOOKUP($C780,$C$5:$M$24,11,0)+SUMIF($C$25:$C780,$C780,$K$25:$K780)-SUMIF($C$25:$C780,$C780,$L$25:$L780),"")</f>
        <v/>
      </c>
      <c r="N780" s="10"/>
      <c r="O780" s="10"/>
      <c r="P780" s="65"/>
      <c r="Q780" s="10"/>
      <c r="R780" s="10"/>
      <c r="S780" s="54" t="str">
        <f t="shared" si="42"/>
        <v/>
      </c>
      <c r="T780" s="54" t="str">
        <f t="shared" si="43"/>
        <v/>
      </c>
      <c r="U780" s="58" t="str">
        <f t="shared" si="44"/>
        <v/>
      </c>
      <c r="V780" s="58">
        <f>IF(AND($B780&lt;&gt;"",$F780&lt;&gt;"",$F780=项目明细账!$C$2),N(V779)+1,N(V779))</f>
        <v>0</v>
      </c>
      <c r="W780" s="63" t="str">
        <f>IF($H780&lt;&gt;"","项目成本",IFERROR(INDEX(基础资料!$W$4:$W$49,MATCH($I780,基础资料!$V$4:$V$49,0)),""))</f>
        <v/>
      </c>
      <c r="X780" s="63" t="str">
        <f>IFERROR(INDEX(基础资料!$R$4:$R$17,MATCH($G780,基础资料!$Q$4:$Q$17,0)),"")</f>
        <v/>
      </c>
    </row>
    <row r="781" spans="1:24">
      <c r="A781" s="58" t="str">
        <f>IF($B781="","",COUNTA($B$5:$B781))</f>
        <v/>
      </c>
      <c r="B781" s="53"/>
      <c r="C781" s="46"/>
      <c r="D781" s="63" t="str">
        <f>IFERROR(INDEX(基础资料!$F$4:$F$23,MATCH($C781,基础资料!$E$4:$E$23,0)),IF($C781="","","未匹配账户"))</f>
        <v/>
      </c>
      <c r="E781" s="39"/>
      <c r="F781" s="10"/>
      <c r="G781" s="10"/>
      <c r="H781" s="10"/>
      <c r="I781" s="10"/>
      <c r="J781" s="10"/>
      <c r="K781" s="25"/>
      <c r="L781" s="25"/>
      <c r="M781" s="25" t="str">
        <f>IFERROR(VLOOKUP($C781,$C$5:$M$24,11,0)+SUMIF($C$25:$C781,$C781,$K$25:$K781)-SUMIF($C$25:$C781,$C781,$L$25:$L781),"")</f>
        <v/>
      </c>
      <c r="N781" s="10"/>
      <c r="O781" s="10"/>
      <c r="P781" s="65"/>
      <c r="Q781" s="10"/>
      <c r="R781" s="10"/>
      <c r="S781" s="54" t="str">
        <f t="shared" si="42"/>
        <v/>
      </c>
      <c r="T781" s="54" t="str">
        <f t="shared" si="43"/>
        <v/>
      </c>
      <c r="U781" s="58" t="str">
        <f t="shared" si="44"/>
        <v/>
      </c>
      <c r="V781" s="58">
        <f>IF(AND($B781&lt;&gt;"",$F781&lt;&gt;"",$F781=项目明细账!$C$2),N(V780)+1,N(V780))</f>
        <v>0</v>
      </c>
      <c r="W781" s="63" t="str">
        <f>IF($H781&lt;&gt;"","项目成本",IFERROR(INDEX(基础资料!$W$4:$W$49,MATCH($I781,基础资料!$V$4:$V$49,0)),""))</f>
        <v/>
      </c>
      <c r="X781" s="63" t="str">
        <f>IFERROR(INDEX(基础资料!$R$4:$R$17,MATCH($G781,基础资料!$Q$4:$Q$17,0)),"")</f>
        <v/>
      </c>
    </row>
    <row r="782" spans="1:24">
      <c r="A782" s="58" t="str">
        <f>IF($B782="","",COUNTA($B$5:$B782))</f>
        <v/>
      </c>
      <c r="B782" s="53"/>
      <c r="C782" s="46"/>
      <c r="D782" s="63" t="str">
        <f>IFERROR(INDEX(基础资料!$F$4:$F$23,MATCH($C782,基础资料!$E$4:$E$23,0)),IF($C782="","","未匹配账户"))</f>
        <v/>
      </c>
      <c r="E782" s="39"/>
      <c r="F782" s="10"/>
      <c r="G782" s="10"/>
      <c r="H782" s="10"/>
      <c r="I782" s="10"/>
      <c r="J782" s="10"/>
      <c r="K782" s="25"/>
      <c r="L782" s="25"/>
      <c r="M782" s="25" t="str">
        <f>IFERROR(VLOOKUP($C782,$C$5:$M$24,11,0)+SUMIF($C$25:$C782,$C782,$K$25:$K782)-SUMIF($C$25:$C782,$C782,$L$25:$L782),"")</f>
        <v/>
      </c>
      <c r="N782" s="10"/>
      <c r="O782" s="10"/>
      <c r="P782" s="65"/>
      <c r="Q782" s="10"/>
      <c r="R782" s="10"/>
      <c r="S782" s="54" t="str">
        <f t="shared" si="42"/>
        <v/>
      </c>
      <c r="T782" s="54" t="str">
        <f t="shared" si="43"/>
        <v/>
      </c>
      <c r="U782" s="58" t="str">
        <f t="shared" si="44"/>
        <v/>
      </c>
      <c r="V782" s="58">
        <f>IF(AND($B782&lt;&gt;"",$F782&lt;&gt;"",$F782=项目明细账!$C$2),N(V781)+1,N(V781))</f>
        <v>0</v>
      </c>
      <c r="W782" s="63" t="str">
        <f>IF($H782&lt;&gt;"","项目成本",IFERROR(INDEX(基础资料!$W$4:$W$49,MATCH($I782,基础资料!$V$4:$V$49,0)),""))</f>
        <v/>
      </c>
      <c r="X782" s="63" t="str">
        <f>IFERROR(INDEX(基础资料!$R$4:$R$17,MATCH($G782,基础资料!$Q$4:$Q$17,0)),"")</f>
        <v/>
      </c>
    </row>
    <row r="783" spans="1:24">
      <c r="A783" s="58" t="str">
        <f>IF($B783="","",COUNTA($B$5:$B783))</f>
        <v/>
      </c>
      <c r="B783" s="53"/>
      <c r="C783" s="46"/>
      <c r="D783" s="63" t="str">
        <f>IFERROR(INDEX(基础资料!$F$4:$F$23,MATCH($C783,基础资料!$E$4:$E$23,0)),IF($C783="","","未匹配账户"))</f>
        <v/>
      </c>
      <c r="E783" s="39"/>
      <c r="F783" s="10"/>
      <c r="G783" s="10"/>
      <c r="H783" s="10"/>
      <c r="I783" s="10"/>
      <c r="J783" s="10"/>
      <c r="K783" s="25"/>
      <c r="L783" s="25"/>
      <c r="M783" s="25" t="str">
        <f>IFERROR(VLOOKUP($C783,$C$5:$M$24,11,0)+SUMIF($C$25:$C783,$C783,$K$25:$K783)-SUMIF($C$25:$C783,$C783,$L$25:$L783),"")</f>
        <v/>
      </c>
      <c r="N783" s="10"/>
      <c r="O783" s="10"/>
      <c r="P783" s="65"/>
      <c r="Q783" s="10"/>
      <c r="R783" s="10"/>
      <c r="S783" s="54" t="str">
        <f t="shared" si="42"/>
        <v/>
      </c>
      <c r="T783" s="54" t="str">
        <f t="shared" si="43"/>
        <v/>
      </c>
      <c r="U783" s="58" t="str">
        <f t="shared" si="44"/>
        <v/>
      </c>
      <c r="V783" s="58">
        <f>IF(AND($B783&lt;&gt;"",$F783&lt;&gt;"",$F783=项目明细账!$C$2),N(V782)+1,N(V782))</f>
        <v>0</v>
      </c>
      <c r="W783" s="63" t="str">
        <f>IF($H783&lt;&gt;"","项目成本",IFERROR(INDEX(基础资料!$W$4:$W$49,MATCH($I783,基础资料!$V$4:$V$49,0)),""))</f>
        <v/>
      </c>
      <c r="X783" s="63" t="str">
        <f>IFERROR(INDEX(基础资料!$R$4:$R$17,MATCH($G783,基础资料!$Q$4:$Q$17,0)),"")</f>
        <v/>
      </c>
    </row>
    <row r="784" spans="1:24">
      <c r="A784" s="58" t="str">
        <f>IF($B784="","",COUNTA($B$5:$B784))</f>
        <v/>
      </c>
      <c r="B784" s="53"/>
      <c r="C784" s="46"/>
      <c r="D784" s="63" t="str">
        <f>IFERROR(INDEX(基础资料!$F$4:$F$23,MATCH($C784,基础资料!$E$4:$E$23,0)),IF($C784="","","未匹配账户"))</f>
        <v/>
      </c>
      <c r="E784" s="39"/>
      <c r="F784" s="10"/>
      <c r="G784" s="10"/>
      <c r="H784" s="10"/>
      <c r="I784" s="10"/>
      <c r="J784" s="10"/>
      <c r="K784" s="25"/>
      <c r="L784" s="25"/>
      <c r="M784" s="25" t="str">
        <f>IFERROR(VLOOKUP($C784,$C$5:$M$24,11,0)+SUMIF($C$25:$C784,$C784,$K$25:$K784)-SUMIF($C$25:$C784,$C784,$L$25:$L784),"")</f>
        <v/>
      </c>
      <c r="N784" s="10"/>
      <c r="O784" s="10"/>
      <c r="P784" s="65"/>
      <c r="Q784" s="10"/>
      <c r="R784" s="10"/>
      <c r="S784" s="54" t="str">
        <f t="shared" si="42"/>
        <v/>
      </c>
      <c r="T784" s="54" t="str">
        <f t="shared" si="43"/>
        <v/>
      </c>
      <c r="U784" s="58" t="str">
        <f t="shared" si="44"/>
        <v/>
      </c>
      <c r="V784" s="58">
        <f>IF(AND($B784&lt;&gt;"",$F784&lt;&gt;"",$F784=项目明细账!$C$2),N(V783)+1,N(V783))</f>
        <v>0</v>
      </c>
      <c r="W784" s="63" t="str">
        <f>IF($H784&lt;&gt;"","项目成本",IFERROR(INDEX(基础资料!$W$4:$W$49,MATCH($I784,基础资料!$V$4:$V$49,0)),""))</f>
        <v/>
      </c>
      <c r="X784" s="63" t="str">
        <f>IFERROR(INDEX(基础资料!$R$4:$R$17,MATCH($G784,基础资料!$Q$4:$Q$17,0)),"")</f>
        <v/>
      </c>
    </row>
    <row r="785" spans="1:24">
      <c r="A785" s="58" t="str">
        <f>IF($B785="","",COUNTA($B$5:$B785))</f>
        <v/>
      </c>
      <c r="B785" s="53"/>
      <c r="C785" s="46"/>
      <c r="D785" s="63" t="str">
        <f>IFERROR(INDEX(基础资料!$F$4:$F$23,MATCH($C785,基础资料!$E$4:$E$23,0)),IF($C785="","","未匹配账户"))</f>
        <v/>
      </c>
      <c r="E785" s="39"/>
      <c r="F785" s="10"/>
      <c r="G785" s="10"/>
      <c r="H785" s="10"/>
      <c r="I785" s="10"/>
      <c r="J785" s="10"/>
      <c r="K785" s="25"/>
      <c r="L785" s="25"/>
      <c r="M785" s="25" t="str">
        <f>IFERROR(VLOOKUP($C785,$C$5:$M$24,11,0)+SUMIF($C$25:$C785,$C785,$K$25:$K785)-SUMIF($C$25:$C785,$C785,$L$25:$L785),"")</f>
        <v/>
      </c>
      <c r="N785" s="10"/>
      <c r="O785" s="10"/>
      <c r="P785" s="65"/>
      <c r="Q785" s="10"/>
      <c r="R785" s="10"/>
      <c r="S785" s="54" t="str">
        <f t="shared" si="42"/>
        <v/>
      </c>
      <c r="T785" s="54" t="str">
        <f t="shared" si="43"/>
        <v/>
      </c>
      <c r="U785" s="58" t="str">
        <f t="shared" si="44"/>
        <v/>
      </c>
      <c r="V785" s="58">
        <f>IF(AND($B785&lt;&gt;"",$F785&lt;&gt;"",$F785=项目明细账!$C$2),N(V784)+1,N(V784))</f>
        <v>0</v>
      </c>
      <c r="W785" s="63" t="str">
        <f>IF($H785&lt;&gt;"","项目成本",IFERROR(INDEX(基础资料!$W$4:$W$49,MATCH($I785,基础资料!$V$4:$V$49,0)),""))</f>
        <v/>
      </c>
      <c r="X785" s="63" t="str">
        <f>IFERROR(INDEX(基础资料!$R$4:$R$17,MATCH($G785,基础资料!$Q$4:$Q$17,0)),"")</f>
        <v/>
      </c>
    </row>
    <row r="786" spans="1:24">
      <c r="A786" s="58" t="str">
        <f>IF($B786="","",COUNTA($B$5:$B786))</f>
        <v/>
      </c>
      <c r="B786" s="53"/>
      <c r="C786" s="46"/>
      <c r="D786" s="63" t="str">
        <f>IFERROR(INDEX(基础资料!$F$4:$F$23,MATCH($C786,基础资料!$E$4:$E$23,0)),IF($C786="","","未匹配账户"))</f>
        <v/>
      </c>
      <c r="E786" s="39"/>
      <c r="F786" s="10"/>
      <c r="G786" s="10"/>
      <c r="H786" s="10"/>
      <c r="I786" s="10"/>
      <c r="J786" s="10"/>
      <c r="K786" s="25"/>
      <c r="L786" s="25"/>
      <c r="M786" s="25" t="str">
        <f>IFERROR(VLOOKUP($C786,$C$5:$M$24,11,0)+SUMIF($C$25:$C786,$C786,$K$25:$K786)-SUMIF($C$25:$C786,$C786,$L$25:$L786),"")</f>
        <v/>
      </c>
      <c r="N786" s="10"/>
      <c r="O786" s="10"/>
      <c r="P786" s="65"/>
      <c r="Q786" s="10"/>
      <c r="R786" s="10"/>
      <c r="S786" s="54" t="str">
        <f t="shared" si="42"/>
        <v/>
      </c>
      <c r="T786" s="54" t="str">
        <f t="shared" si="43"/>
        <v/>
      </c>
      <c r="U786" s="58" t="str">
        <f t="shared" si="44"/>
        <v/>
      </c>
      <c r="V786" s="58">
        <f>IF(AND($B786&lt;&gt;"",$F786&lt;&gt;"",$F786=项目明细账!$C$2),N(V785)+1,N(V785))</f>
        <v>0</v>
      </c>
      <c r="W786" s="63" t="str">
        <f>IF($H786&lt;&gt;"","项目成本",IFERROR(INDEX(基础资料!$W$4:$W$49,MATCH($I786,基础资料!$V$4:$V$49,0)),""))</f>
        <v/>
      </c>
      <c r="X786" s="63" t="str">
        <f>IFERROR(INDEX(基础资料!$R$4:$R$17,MATCH($G786,基础资料!$Q$4:$Q$17,0)),"")</f>
        <v/>
      </c>
    </row>
    <row r="787" spans="1:24">
      <c r="A787" s="58" t="str">
        <f>IF($B787="","",COUNTA($B$5:$B787))</f>
        <v/>
      </c>
      <c r="B787" s="53"/>
      <c r="C787" s="46"/>
      <c r="D787" s="63" t="str">
        <f>IFERROR(INDEX(基础资料!$F$4:$F$23,MATCH($C787,基础资料!$E$4:$E$23,0)),IF($C787="","","未匹配账户"))</f>
        <v/>
      </c>
      <c r="E787" s="39"/>
      <c r="F787" s="10"/>
      <c r="G787" s="10"/>
      <c r="H787" s="10"/>
      <c r="I787" s="10"/>
      <c r="J787" s="10"/>
      <c r="K787" s="25"/>
      <c r="L787" s="25"/>
      <c r="M787" s="25" t="str">
        <f>IFERROR(VLOOKUP($C787,$C$5:$M$24,11,0)+SUMIF($C$25:$C787,$C787,$K$25:$K787)-SUMIF($C$25:$C787,$C787,$L$25:$L787),"")</f>
        <v/>
      </c>
      <c r="N787" s="10"/>
      <c r="O787" s="10"/>
      <c r="P787" s="65"/>
      <c r="Q787" s="10"/>
      <c r="R787" s="10"/>
      <c r="S787" s="54" t="str">
        <f t="shared" si="42"/>
        <v/>
      </c>
      <c r="T787" s="54" t="str">
        <f t="shared" si="43"/>
        <v/>
      </c>
      <c r="U787" s="58" t="str">
        <f t="shared" si="44"/>
        <v/>
      </c>
      <c r="V787" s="58">
        <f>IF(AND($B787&lt;&gt;"",$F787&lt;&gt;"",$F787=项目明细账!$C$2),N(V786)+1,N(V786))</f>
        <v>0</v>
      </c>
      <c r="W787" s="63" t="str">
        <f>IF($H787&lt;&gt;"","项目成本",IFERROR(INDEX(基础资料!$W$4:$W$49,MATCH($I787,基础资料!$V$4:$V$49,0)),""))</f>
        <v/>
      </c>
      <c r="X787" s="63" t="str">
        <f>IFERROR(INDEX(基础资料!$R$4:$R$17,MATCH($G787,基础资料!$Q$4:$Q$17,0)),"")</f>
        <v/>
      </c>
    </row>
    <row r="788" spans="1:24">
      <c r="A788" s="58" t="str">
        <f>IF($B788="","",COUNTA($B$5:$B788))</f>
        <v/>
      </c>
      <c r="B788" s="53"/>
      <c r="C788" s="46"/>
      <c r="D788" s="63" t="str">
        <f>IFERROR(INDEX(基础资料!$F$4:$F$23,MATCH($C788,基础资料!$E$4:$E$23,0)),IF($C788="","","未匹配账户"))</f>
        <v/>
      </c>
      <c r="E788" s="39"/>
      <c r="F788" s="10"/>
      <c r="G788" s="10"/>
      <c r="H788" s="10"/>
      <c r="I788" s="10"/>
      <c r="J788" s="10"/>
      <c r="K788" s="25"/>
      <c r="L788" s="25"/>
      <c r="M788" s="25" t="str">
        <f>IFERROR(VLOOKUP($C788,$C$5:$M$24,11,0)+SUMIF($C$25:$C788,$C788,$K$25:$K788)-SUMIF($C$25:$C788,$C788,$L$25:$L788),"")</f>
        <v/>
      </c>
      <c r="N788" s="10"/>
      <c r="O788" s="10"/>
      <c r="P788" s="65"/>
      <c r="Q788" s="10"/>
      <c r="R788" s="10"/>
      <c r="S788" s="54" t="str">
        <f t="shared" si="42"/>
        <v/>
      </c>
      <c r="T788" s="54" t="str">
        <f t="shared" si="43"/>
        <v/>
      </c>
      <c r="U788" s="58" t="str">
        <f t="shared" si="44"/>
        <v/>
      </c>
      <c r="V788" s="58">
        <f>IF(AND($B788&lt;&gt;"",$F788&lt;&gt;"",$F788=项目明细账!$C$2),N(V787)+1,N(V787))</f>
        <v>0</v>
      </c>
      <c r="W788" s="63" t="str">
        <f>IF($H788&lt;&gt;"","项目成本",IFERROR(INDEX(基础资料!$W$4:$W$49,MATCH($I788,基础资料!$V$4:$V$49,0)),""))</f>
        <v/>
      </c>
      <c r="X788" s="63" t="str">
        <f>IFERROR(INDEX(基础资料!$R$4:$R$17,MATCH($G788,基础资料!$Q$4:$Q$17,0)),"")</f>
        <v/>
      </c>
    </row>
    <row r="789" spans="1:24">
      <c r="A789" s="58" t="str">
        <f>IF($B789="","",COUNTA($B$5:$B789))</f>
        <v/>
      </c>
      <c r="B789" s="53"/>
      <c r="C789" s="46"/>
      <c r="D789" s="63" t="str">
        <f>IFERROR(INDEX(基础资料!$F$4:$F$23,MATCH($C789,基础资料!$E$4:$E$23,0)),IF($C789="","","未匹配账户"))</f>
        <v/>
      </c>
      <c r="E789" s="39"/>
      <c r="F789" s="10"/>
      <c r="G789" s="10"/>
      <c r="H789" s="10"/>
      <c r="I789" s="10"/>
      <c r="J789" s="10"/>
      <c r="K789" s="25"/>
      <c r="L789" s="25"/>
      <c r="M789" s="25" t="str">
        <f>IFERROR(VLOOKUP($C789,$C$5:$M$24,11,0)+SUMIF($C$25:$C789,$C789,$K$25:$K789)-SUMIF($C$25:$C789,$C789,$L$25:$L789),"")</f>
        <v/>
      </c>
      <c r="N789" s="10"/>
      <c r="O789" s="10"/>
      <c r="P789" s="65"/>
      <c r="Q789" s="10"/>
      <c r="R789" s="10"/>
      <c r="S789" s="54" t="str">
        <f t="shared" si="42"/>
        <v/>
      </c>
      <c r="T789" s="54" t="str">
        <f t="shared" si="43"/>
        <v/>
      </c>
      <c r="U789" s="58" t="str">
        <f t="shared" si="44"/>
        <v/>
      </c>
      <c r="V789" s="58">
        <f>IF(AND($B789&lt;&gt;"",$F789&lt;&gt;"",$F789=项目明细账!$C$2),N(V788)+1,N(V788))</f>
        <v>0</v>
      </c>
      <c r="W789" s="63" t="str">
        <f>IF($H789&lt;&gt;"","项目成本",IFERROR(INDEX(基础资料!$W$4:$W$49,MATCH($I789,基础资料!$V$4:$V$49,0)),""))</f>
        <v/>
      </c>
      <c r="X789" s="63" t="str">
        <f>IFERROR(INDEX(基础资料!$R$4:$R$17,MATCH($G789,基础资料!$Q$4:$Q$17,0)),"")</f>
        <v/>
      </c>
    </row>
    <row r="790" spans="1:24">
      <c r="A790" s="58" t="str">
        <f>IF($B790="","",COUNTA($B$5:$B790))</f>
        <v/>
      </c>
      <c r="B790" s="53"/>
      <c r="C790" s="46"/>
      <c r="D790" s="63" t="str">
        <f>IFERROR(INDEX(基础资料!$F$4:$F$23,MATCH($C790,基础资料!$E$4:$E$23,0)),IF($C790="","","未匹配账户"))</f>
        <v/>
      </c>
      <c r="E790" s="39"/>
      <c r="F790" s="10"/>
      <c r="G790" s="10"/>
      <c r="H790" s="10"/>
      <c r="I790" s="10"/>
      <c r="J790" s="10"/>
      <c r="K790" s="25"/>
      <c r="L790" s="25"/>
      <c r="M790" s="25" t="str">
        <f>IFERROR(VLOOKUP($C790,$C$5:$M$24,11,0)+SUMIF($C$25:$C790,$C790,$K$25:$K790)-SUMIF($C$25:$C790,$C790,$L$25:$L790),"")</f>
        <v/>
      </c>
      <c r="N790" s="10"/>
      <c r="O790" s="10"/>
      <c r="P790" s="65"/>
      <c r="Q790" s="10"/>
      <c r="R790" s="10"/>
      <c r="S790" s="54" t="str">
        <f t="shared" si="42"/>
        <v/>
      </c>
      <c r="T790" s="54" t="str">
        <f t="shared" si="43"/>
        <v/>
      </c>
      <c r="U790" s="58" t="str">
        <f t="shared" si="44"/>
        <v/>
      </c>
      <c r="V790" s="58">
        <f>IF(AND($B790&lt;&gt;"",$F790&lt;&gt;"",$F790=项目明细账!$C$2),N(V789)+1,N(V789))</f>
        <v>0</v>
      </c>
      <c r="W790" s="63" t="str">
        <f>IF($H790&lt;&gt;"","项目成本",IFERROR(INDEX(基础资料!$W$4:$W$49,MATCH($I790,基础资料!$V$4:$V$49,0)),""))</f>
        <v/>
      </c>
      <c r="X790" s="63" t="str">
        <f>IFERROR(INDEX(基础资料!$R$4:$R$17,MATCH($G790,基础资料!$Q$4:$Q$17,0)),"")</f>
        <v/>
      </c>
    </row>
    <row r="791" spans="1:24">
      <c r="A791" s="58" t="str">
        <f>IF($B791="","",COUNTA($B$5:$B791))</f>
        <v/>
      </c>
      <c r="B791" s="53"/>
      <c r="C791" s="46"/>
      <c r="D791" s="63" t="str">
        <f>IFERROR(INDEX(基础资料!$F$4:$F$23,MATCH($C791,基础资料!$E$4:$E$23,0)),IF($C791="","","未匹配账户"))</f>
        <v/>
      </c>
      <c r="E791" s="39"/>
      <c r="F791" s="10"/>
      <c r="G791" s="10"/>
      <c r="H791" s="10"/>
      <c r="I791" s="10"/>
      <c r="J791" s="10"/>
      <c r="K791" s="25"/>
      <c r="L791" s="25"/>
      <c r="M791" s="25" t="str">
        <f>IFERROR(VLOOKUP($C791,$C$5:$M$24,11,0)+SUMIF($C$25:$C791,$C791,$K$25:$K791)-SUMIF($C$25:$C791,$C791,$L$25:$L791),"")</f>
        <v/>
      </c>
      <c r="N791" s="10"/>
      <c r="O791" s="10"/>
      <c r="P791" s="65"/>
      <c r="Q791" s="10"/>
      <c r="R791" s="10"/>
      <c r="S791" s="54" t="str">
        <f t="shared" si="42"/>
        <v/>
      </c>
      <c r="T791" s="54" t="str">
        <f t="shared" si="43"/>
        <v/>
      </c>
      <c r="U791" s="58" t="str">
        <f t="shared" si="44"/>
        <v/>
      </c>
      <c r="V791" s="58">
        <f>IF(AND($B791&lt;&gt;"",$F791&lt;&gt;"",$F791=项目明细账!$C$2),N(V790)+1,N(V790))</f>
        <v>0</v>
      </c>
      <c r="W791" s="63" t="str">
        <f>IF($H791&lt;&gt;"","项目成本",IFERROR(INDEX(基础资料!$W$4:$W$49,MATCH($I791,基础资料!$V$4:$V$49,0)),""))</f>
        <v/>
      </c>
      <c r="X791" s="63" t="str">
        <f>IFERROR(INDEX(基础资料!$R$4:$R$17,MATCH($G791,基础资料!$Q$4:$Q$17,0)),"")</f>
        <v/>
      </c>
    </row>
    <row r="792" spans="1:24">
      <c r="A792" s="58" t="str">
        <f>IF($B792="","",COUNTA($B$5:$B792))</f>
        <v/>
      </c>
      <c r="B792" s="53"/>
      <c r="C792" s="46"/>
      <c r="D792" s="63" t="str">
        <f>IFERROR(INDEX(基础资料!$F$4:$F$23,MATCH($C792,基础资料!$E$4:$E$23,0)),IF($C792="","","未匹配账户"))</f>
        <v/>
      </c>
      <c r="E792" s="39"/>
      <c r="F792" s="10"/>
      <c r="G792" s="10"/>
      <c r="H792" s="10"/>
      <c r="I792" s="10"/>
      <c r="J792" s="10"/>
      <c r="K792" s="25"/>
      <c r="L792" s="25"/>
      <c r="M792" s="25" t="str">
        <f>IFERROR(VLOOKUP($C792,$C$5:$M$24,11,0)+SUMIF($C$25:$C792,$C792,$K$25:$K792)-SUMIF($C$25:$C792,$C792,$L$25:$L792),"")</f>
        <v/>
      </c>
      <c r="N792" s="10"/>
      <c r="O792" s="10"/>
      <c r="P792" s="65"/>
      <c r="Q792" s="10"/>
      <c r="R792" s="10"/>
      <c r="S792" s="54" t="str">
        <f t="shared" si="42"/>
        <v/>
      </c>
      <c r="T792" s="54" t="str">
        <f t="shared" si="43"/>
        <v/>
      </c>
      <c r="U792" s="58" t="str">
        <f t="shared" si="44"/>
        <v/>
      </c>
      <c r="V792" s="58">
        <f>IF(AND($B792&lt;&gt;"",$F792&lt;&gt;"",$F792=项目明细账!$C$2),N(V791)+1,N(V791))</f>
        <v>0</v>
      </c>
      <c r="W792" s="63" t="str">
        <f>IF($H792&lt;&gt;"","项目成本",IFERROR(INDEX(基础资料!$W$4:$W$49,MATCH($I792,基础资料!$V$4:$V$49,0)),""))</f>
        <v/>
      </c>
      <c r="X792" s="63" t="str">
        <f>IFERROR(INDEX(基础资料!$R$4:$R$17,MATCH($G792,基础资料!$Q$4:$Q$17,0)),"")</f>
        <v/>
      </c>
    </row>
    <row r="793" spans="1:24">
      <c r="A793" s="58" t="str">
        <f>IF($B793="","",COUNTA($B$5:$B793))</f>
        <v/>
      </c>
      <c r="B793" s="53"/>
      <c r="C793" s="46"/>
      <c r="D793" s="63" t="str">
        <f>IFERROR(INDEX(基础资料!$F$4:$F$23,MATCH($C793,基础资料!$E$4:$E$23,0)),IF($C793="","","未匹配账户"))</f>
        <v/>
      </c>
      <c r="E793" s="39"/>
      <c r="F793" s="10"/>
      <c r="G793" s="10"/>
      <c r="H793" s="10"/>
      <c r="I793" s="10"/>
      <c r="J793" s="10"/>
      <c r="K793" s="25"/>
      <c r="L793" s="25"/>
      <c r="M793" s="25" t="str">
        <f>IFERROR(VLOOKUP($C793,$C$5:$M$24,11,0)+SUMIF($C$25:$C793,$C793,$K$25:$K793)-SUMIF($C$25:$C793,$C793,$L$25:$L793),"")</f>
        <v/>
      </c>
      <c r="N793" s="10"/>
      <c r="O793" s="10"/>
      <c r="P793" s="65"/>
      <c r="Q793" s="10"/>
      <c r="R793" s="10"/>
      <c r="S793" s="54" t="str">
        <f t="shared" si="42"/>
        <v/>
      </c>
      <c r="T793" s="54" t="str">
        <f t="shared" si="43"/>
        <v/>
      </c>
      <c r="U793" s="58" t="str">
        <f t="shared" si="44"/>
        <v/>
      </c>
      <c r="V793" s="58">
        <f>IF(AND($B793&lt;&gt;"",$F793&lt;&gt;"",$F793=项目明细账!$C$2),N(V792)+1,N(V792))</f>
        <v>0</v>
      </c>
      <c r="W793" s="63" t="str">
        <f>IF($H793&lt;&gt;"","项目成本",IFERROR(INDEX(基础资料!$W$4:$W$49,MATCH($I793,基础资料!$V$4:$V$49,0)),""))</f>
        <v/>
      </c>
      <c r="X793" s="63" t="str">
        <f>IFERROR(INDEX(基础资料!$R$4:$R$17,MATCH($G793,基础资料!$Q$4:$Q$17,0)),"")</f>
        <v/>
      </c>
    </row>
    <row r="794" spans="1:24">
      <c r="A794" s="58" t="str">
        <f>IF($B794="","",COUNTA($B$5:$B794))</f>
        <v/>
      </c>
      <c r="B794" s="53"/>
      <c r="C794" s="46"/>
      <c r="D794" s="63" t="str">
        <f>IFERROR(INDEX(基础资料!$F$4:$F$23,MATCH($C794,基础资料!$E$4:$E$23,0)),IF($C794="","","未匹配账户"))</f>
        <v/>
      </c>
      <c r="E794" s="39"/>
      <c r="F794" s="10"/>
      <c r="G794" s="10"/>
      <c r="H794" s="10"/>
      <c r="I794" s="10"/>
      <c r="J794" s="10"/>
      <c r="K794" s="25"/>
      <c r="L794" s="25"/>
      <c r="M794" s="25" t="str">
        <f>IFERROR(VLOOKUP($C794,$C$5:$M$24,11,0)+SUMIF($C$25:$C794,$C794,$K$25:$K794)-SUMIF($C$25:$C794,$C794,$L$25:$L794),"")</f>
        <v/>
      </c>
      <c r="N794" s="10"/>
      <c r="O794" s="10"/>
      <c r="P794" s="65"/>
      <c r="Q794" s="10"/>
      <c r="R794" s="10"/>
      <c r="S794" s="54" t="str">
        <f t="shared" si="42"/>
        <v/>
      </c>
      <c r="T794" s="54" t="str">
        <f t="shared" si="43"/>
        <v/>
      </c>
      <c r="U794" s="58" t="str">
        <f t="shared" si="44"/>
        <v/>
      </c>
      <c r="V794" s="58">
        <f>IF(AND($B794&lt;&gt;"",$F794&lt;&gt;"",$F794=项目明细账!$C$2),N(V793)+1,N(V793))</f>
        <v>0</v>
      </c>
      <c r="W794" s="63" t="str">
        <f>IF($H794&lt;&gt;"","项目成本",IFERROR(INDEX(基础资料!$W$4:$W$49,MATCH($I794,基础资料!$V$4:$V$49,0)),""))</f>
        <v/>
      </c>
      <c r="X794" s="63" t="str">
        <f>IFERROR(INDEX(基础资料!$R$4:$R$17,MATCH($G794,基础资料!$Q$4:$Q$17,0)),"")</f>
        <v/>
      </c>
    </row>
    <row r="795" spans="1:24">
      <c r="A795" s="58" t="str">
        <f>IF($B795="","",COUNTA($B$5:$B795))</f>
        <v/>
      </c>
      <c r="B795" s="53"/>
      <c r="C795" s="46"/>
      <c r="D795" s="63" t="str">
        <f>IFERROR(INDEX(基础资料!$F$4:$F$23,MATCH($C795,基础资料!$E$4:$E$23,0)),IF($C795="","","未匹配账户"))</f>
        <v/>
      </c>
      <c r="E795" s="39"/>
      <c r="F795" s="10"/>
      <c r="G795" s="10"/>
      <c r="H795" s="10"/>
      <c r="I795" s="10"/>
      <c r="J795" s="10"/>
      <c r="K795" s="25"/>
      <c r="L795" s="25"/>
      <c r="M795" s="25" t="str">
        <f>IFERROR(VLOOKUP($C795,$C$5:$M$24,11,0)+SUMIF($C$25:$C795,$C795,$K$25:$K795)-SUMIF($C$25:$C795,$C795,$L$25:$L795),"")</f>
        <v/>
      </c>
      <c r="N795" s="10"/>
      <c r="O795" s="10"/>
      <c r="P795" s="65"/>
      <c r="Q795" s="10"/>
      <c r="R795" s="10"/>
      <c r="S795" s="54" t="str">
        <f t="shared" si="42"/>
        <v/>
      </c>
      <c r="T795" s="54" t="str">
        <f t="shared" si="43"/>
        <v/>
      </c>
      <c r="U795" s="58" t="str">
        <f t="shared" si="44"/>
        <v/>
      </c>
      <c r="V795" s="58">
        <f>IF(AND($B795&lt;&gt;"",$F795&lt;&gt;"",$F795=项目明细账!$C$2),N(V794)+1,N(V794))</f>
        <v>0</v>
      </c>
      <c r="W795" s="63" t="str">
        <f>IF($H795&lt;&gt;"","项目成本",IFERROR(INDEX(基础资料!$W$4:$W$49,MATCH($I795,基础资料!$V$4:$V$49,0)),""))</f>
        <v/>
      </c>
      <c r="X795" s="63" t="str">
        <f>IFERROR(INDEX(基础资料!$R$4:$R$17,MATCH($G795,基础资料!$Q$4:$Q$17,0)),"")</f>
        <v/>
      </c>
    </row>
    <row r="796" spans="1:24">
      <c r="A796" s="58" t="str">
        <f>IF($B796="","",COUNTA($B$5:$B796))</f>
        <v/>
      </c>
      <c r="B796" s="53"/>
      <c r="C796" s="46"/>
      <c r="D796" s="63" t="str">
        <f>IFERROR(INDEX(基础资料!$F$4:$F$23,MATCH($C796,基础资料!$E$4:$E$23,0)),IF($C796="","","未匹配账户"))</f>
        <v/>
      </c>
      <c r="E796" s="39"/>
      <c r="F796" s="10"/>
      <c r="G796" s="10"/>
      <c r="H796" s="10"/>
      <c r="I796" s="10"/>
      <c r="J796" s="10"/>
      <c r="K796" s="25"/>
      <c r="L796" s="25"/>
      <c r="M796" s="25" t="str">
        <f>IFERROR(VLOOKUP($C796,$C$5:$M$24,11,0)+SUMIF($C$25:$C796,$C796,$K$25:$K796)-SUMIF($C$25:$C796,$C796,$L$25:$L796),"")</f>
        <v/>
      </c>
      <c r="N796" s="10"/>
      <c r="O796" s="10"/>
      <c r="P796" s="65"/>
      <c r="Q796" s="10"/>
      <c r="R796" s="10"/>
      <c r="S796" s="54" t="str">
        <f t="shared" si="42"/>
        <v/>
      </c>
      <c r="T796" s="54" t="str">
        <f t="shared" si="43"/>
        <v/>
      </c>
      <c r="U796" s="58" t="str">
        <f t="shared" si="44"/>
        <v/>
      </c>
      <c r="V796" s="58">
        <f>IF(AND($B796&lt;&gt;"",$F796&lt;&gt;"",$F796=项目明细账!$C$2),N(V795)+1,N(V795))</f>
        <v>0</v>
      </c>
      <c r="W796" s="63" t="str">
        <f>IF($H796&lt;&gt;"","项目成本",IFERROR(INDEX(基础资料!$W$4:$W$49,MATCH($I796,基础资料!$V$4:$V$49,0)),""))</f>
        <v/>
      </c>
      <c r="X796" s="63" t="str">
        <f>IFERROR(INDEX(基础资料!$R$4:$R$17,MATCH($G796,基础资料!$Q$4:$Q$17,0)),"")</f>
        <v/>
      </c>
    </row>
    <row r="797" spans="1:24">
      <c r="A797" s="58" t="str">
        <f>IF($B797="","",COUNTA($B$5:$B797))</f>
        <v/>
      </c>
      <c r="B797" s="53"/>
      <c r="C797" s="46"/>
      <c r="D797" s="63" t="str">
        <f>IFERROR(INDEX(基础资料!$F$4:$F$23,MATCH($C797,基础资料!$E$4:$E$23,0)),IF($C797="","","未匹配账户"))</f>
        <v/>
      </c>
      <c r="E797" s="39"/>
      <c r="F797" s="10"/>
      <c r="G797" s="10"/>
      <c r="H797" s="10"/>
      <c r="I797" s="10"/>
      <c r="J797" s="10"/>
      <c r="K797" s="25"/>
      <c r="L797" s="25"/>
      <c r="M797" s="25" t="str">
        <f>IFERROR(VLOOKUP($C797,$C$5:$M$24,11,0)+SUMIF($C$25:$C797,$C797,$K$25:$K797)-SUMIF($C$25:$C797,$C797,$L$25:$L797),"")</f>
        <v/>
      </c>
      <c r="N797" s="10"/>
      <c r="O797" s="10"/>
      <c r="P797" s="65"/>
      <c r="Q797" s="10"/>
      <c r="R797" s="10"/>
      <c r="S797" s="54" t="str">
        <f t="shared" si="42"/>
        <v/>
      </c>
      <c r="T797" s="54" t="str">
        <f t="shared" si="43"/>
        <v/>
      </c>
      <c r="U797" s="58" t="str">
        <f t="shared" si="44"/>
        <v/>
      </c>
      <c r="V797" s="58">
        <f>IF(AND($B797&lt;&gt;"",$F797&lt;&gt;"",$F797=项目明细账!$C$2),N(V796)+1,N(V796))</f>
        <v>0</v>
      </c>
      <c r="W797" s="63" t="str">
        <f>IF($H797&lt;&gt;"","项目成本",IFERROR(INDEX(基础资料!$W$4:$W$49,MATCH($I797,基础资料!$V$4:$V$49,0)),""))</f>
        <v/>
      </c>
      <c r="X797" s="63" t="str">
        <f>IFERROR(INDEX(基础资料!$R$4:$R$17,MATCH($G797,基础资料!$Q$4:$Q$17,0)),"")</f>
        <v/>
      </c>
    </row>
    <row r="798" spans="1:24">
      <c r="A798" s="58" t="str">
        <f>IF($B798="","",COUNTA($B$5:$B798))</f>
        <v/>
      </c>
      <c r="B798" s="53"/>
      <c r="C798" s="46"/>
      <c r="D798" s="63" t="str">
        <f>IFERROR(INDEX(基础资料!$F$4:$F$23,MATCH($C798,基础资料!$E$4:$E$23,0)),IF($C798="","","未匹配账户"))</f>
        <v/>
      </c>
      <c r="E798" s="39"/>
      <c r="F798" s="10"/>
      <c r="G798" s="10"/>
      <c r="H798" s="10"/>
      <c r="I798" s="10"/>
      <c r="J798" s="10"/>
      <c r="K798" s="25"/>
      <c r="L798" s="25"/>
      <c r="M798" s="25" t="str">
        <f>IFERROR(VLOOKUP($C798,$C$5:$M$24,11,0)+SUMIF($C$25:$C798,$C798,$K$25:$K798)-SUMIF($C$25:$C798,$C798,$L$25:$L798),"")</f>
        <v/>
      </c>
      <c r="N798" s="10"/>
      <c r="O798" s="10"/>
      <c r="P798" s="65"/>
      <c r="Q798" s="10"/>
      <c r="R798" s="10"/>
      <c r="S798" s="54" t="str">
        <f t="shared" si="42"/>
        <v/>
      </c>
      <c r="T798" s="54" t="str">
        <f t="shared" si="43"/>
        <v/>
      </c>
      <c r="U798" s="58" t="str">
        <f t="shared" si="44"/>
        <v/>
      </c>
      <c r="V798" s="58">
        <f>IF(AND($B798&lt;&gt;"",$F798&lt;&gt;"",$F798=项目明细账!$C$2),N(V797)+1,N(V797))</f>
        <v>0</v>
      </c>
      <c r="W798" s="63" t="str">
        <f>IF($H798&lt;&gt;"","项目成本",IFERROR(INDEX(基础资料!$W$4:$W$49,MATCH($I798,基础资料!$V$4:$V$49,0)),""))</f>
        <v/>
      </c>
      <c r="X798" s="63" t="str">
        <f>IFERROR(INDEX(基础资料!$R$4:$R$17,MATCH($G798,基础资料!$Q$4:$Q$17,0)),"")</f>
        <v/>
      </c>
    </row>
    <row r="799" spans="1:24">
      <c r="A799" s="58" t="str">
        <f>IF($B799="","",COUNTA($B$5:$B799))</f>
        <v/>
      </c>
      <c r="B799" s="53"/>
      <c r="C799" s="46"/>
      <c r="D799" s="63" t="str">
        <f>IFERROR(INDEX(基础资料!$F$4:$F$23,MATCH($C799,基础资料!$E$4:$E$23,0)),IF($C799="","","未匹配账户"))</f>
        <v/>
      </c>
      <c r="E799" s="39"/>
      <c r="F799" s="10"/>
      <c r="G799" s="10"/>
      <c r="H799" s="10"/>
      <c r="I799" s="10"/>
      <c r="J799" s="10"/>
      <c r="K799" s="25"/>
      <c r="L799" s="25"/>
      <c r="M799" s="25" t="str">
        <f>IFERROR(VLOOKUP($C799,$C$5:$M$24,11,0)+SUMIF($C$25:$C799,$C799,$K$25:$K799)-SUMIF($C$25:$C799,$C799,$L$25:$L799),"")</f>
        <v/>
      </c>
      <c r="N799" s="10"/>
      <c r="O799" s="10"/>
      <c r="P799" s="65"/>
      <c r="Q799" s="10"/>
      <c r="R799" s="10"/>
      <c r="S799" s="54" t="str">
        <f t="shared" si="42"/>
        <v/>
      </c>
      <c r="T799" s="54" t="str">
        <f t="shared" si="43"/>
        <v/>
      </c>
      <c r="U799" s="58" t="str">
        <f t="shared" si="44"/>
        <v/>
      </c>
      <c r="V799" s="58">
        <f>IF(AND($B799&lt;&gt;"",$F799&lt;&gt;"",$F799=项目明细账!$C$2),N(V798)+1,N(V798))</f>
        <v>0</v>
      </c>
      <c r="W799" s="63" t="str">
        <f>IF($H799&lt;&gt;"","项目成本",IFERROR(INDEX(基础资料!$W$4:$W$49,MATCH($I799,基础资料!$V$4:$V$49,0)),""))</f>
        <v/>
      </c>
      <c r="X799" s="63" t="str">
        <f>IFERROR(INDEX(基础资料!$R$4:$R$17,MATCH($G799,基础资料!$Q$4:$Q$17,0)),"")</f>
        <v/>
      </c>
    </row>
    <row r="800" spans="1:24">
      <c r="A800" s="58" t="str">
        <f>IF($B800="","",COUNTA($B$5:$B800))</f>
        <v/>
      </c>
      <c r="B800" s="53"/>
      <c r="C800" s="46"/>
      <c r="D800" s="63" t="str">
        <f>IFERROR(INDEX(基础资料!$F$4:$F$23,MATCH($C800,基础资料!$E$4:$E$23,0)),IF($C800="","","未匹配账户"))</f>
        <v/>
      </c>
      <c r="E800" s="39"/>
      <c r="F800" s="10"/>
      <c r="G800" s="10"/>
      <c r="H800" s="10"/>
      <c r="I800" s="10"/>
      <c r="J800" s="10"/>
      <c r="K800" s="25"/>
      <c r="L800" s="25"/>
      <c r="M800" s="25" t="str">
        <f>IFERROR(VLOOKUP($C800,$C$5:$M$24,11,0)+SUMIF($C$25:$C800,$C800,$K$25:$K800)-SUMIF($C$25:$C800,$C800,$L$25:$L800),"")</f>
        <v/>
      </c>
      <c r="N800" s="10"/>
      <c r="O800" s="10"/>
      <c r="P800" s="65"/>
      <c r="Q800" s="10"/>
      <c r="R800" s="10"/>
      <c r="S800" s="54" t="str">
        <f t="shared" si="42"/>
        <v/>
      </c>
      <c r="T800" s="54" t="str">
        <f t="shared" si="43"/>
        <v/>
      </c>
      <c r="U800" s="58" t="str">
        <f t="shared" si="44"/>
        <v/>
      </c>
      <c r="V800" s="58">
        <f>IF(AND($B800&lt;&gt;"",$F800&lt;&gt;"",$F800=项目明细账!$C$2),N(V799)+1,N(V799))</f>
        <v>0</v>
      </c>
      <c r="W800" s="63" t="str">
        <f>IF($H800&lt;&gt;"","项目成本",IFERROR(INDEX(基础资料!$W$4:$W$49,MATCH($I800,基础资料!$V$4:$V$49,0)),""))</f>
        <v/>
      </c>
      <c r="X800" s="63" t="str">
        <f>IFERROR(INDEX(基础资料!$R$4:$R$17,MATCH($G800,基础资料!$Q$4:$Q$17,0)),"")</f>
        <v/>
      </c>
    </row>
    <row r="801" spans="1:24">
      <c r="A801" s="58" t="str">
        <f>IF($B801="","",COUNTA($B$5:$B801))</f>
        <v/>
      </c>
      <c r="B801" s="53"/>
      <c r="C801" s="46"/>
      <c r="D801" s="63" t="str">
        <f>IFERROR(INDEX(基础资料!$F$4:$F$23,MATCH($C801,基础资料!$E$4:$E$23,0)),IF($C801="","","未匹配账户"))</f>
        <v/>
      </c>
      <c r="E801" s="39"/>
      <c r="F801" s="10"/>
      <c r="G801" s="10"/>
      <c r="H801" s="10"/>
      <c r="I801" s="10"/>
      <c r="J801" s="10"/>
      <c r="K801" s="25"/>
      <c r="L801" s="25"/>
      <c r="M801" s="25" t="str">
        <f>IFERROR(VLOOKUP($C801,$C$5:$M$24,11,0)+SUMIF($C$25:$C801,$C801,$K$25:$K801)-SUMIF($C$25:$C801,$C801,$L$25:$L801),"")</f>
        <v/>
      </c>
      <c r="N801" s="10"/>
      <c r="O801" s="10"/>
      <c r="P801" s="65"/>
      <c r="Q801" s="10"/>
      <c r="R801" s="10"/>
      <c r="S801" s="54" t="str">
        <f t="shared" si="42"/>
        <v/>
      </c>
      <c r="T801" s="54" t="str">
        <f t="shared" si="43"/>
        <v/>
      </c>
      <c r="U801" s="58" t="str">
        <f t="shared" si="44"/>
        <v/>
      </c>
      <c r="V801" s="58">
        <f>IF(AND($B801&lt;&gt;"",$F801&lt;&gt;"",$F801=项目明细账!$C$2),N(V800)+1,N(V800))</f>
        <v>0</v>
      </c>
      <c r="W801" s="63" t="str">
        <f>IF($H801&lt;&gt;"","项目成本",IFERROR(INDEX(基础资料!$W$4:$W$49,MATCH($I801,基础资料!$V$4:$V$49,0)),""))</f>
        <v/>
      </c>
      <c r="X801" s="63" t="str">
        <f>IFERROR(INDEX(基础资料!$R$4:$R$17,MATCH($G801,基础资料!$Q$4:$Q$17,0)),"")</f>
        <v/>
      </c>
    </row>
    <row r="802" spans="1:24">
      <c r="A802" s="58" t="str">
        <f>IF($B802="","",COUNTA($B$5:$B802))</f>
        <v/>
      </c>
      <c r="B802" s="53"/>
      <c r="C802" s="46"/>
      <c r="D802" s="63" t="str">
        <f>IFERROR(INDEX(基础资料!$F$4:$F$23,MATCH($C802,基础资料!$E$4:$E$23,0)),IF($C802="","","未匹配账户"))</f>
        <v/>
      </c>
      <c r="E802" s="39"/>
      <c r="F802" s="10"/>
      <c r="G802" s="10"/>
      <c r="H802" s="10"/>
      <c r="I802" s="10"/>
      <c r="J802" s="10"/>
      <c r="K802" s="25"/>
      <c r="L802" s="25"/>
      <c r="M802" s="25" t="str">
        <f>IFERROR(VLOOKUP($C802,$C$5:$M$24,11,0)+SUMIF($C$25:$C802,$C802,$K$25:$K802)-SUMIF($C$25:$C802,$C802,$L$25:$L802),"")</f>
        <v/>
      </c>
      <c r="N802" s="10"/>
      <c r="O802" s="10"/>
      <c r="P802" s="65"/>
      <c r="Q802" s="10"/>
      <c r="R802" s="10"/>
      <c r="S802" s="54" t="str">
        <f t="shared" si="42"/>
        <v/>
      </c>
      <c r="T802" s="54" t="str">
        <f t="shared" si="43"/>
        <v/>
      </c>
      <c r="U802" s="58" t="str">
        <f t="shared" si="44"/>
        <v/>
      </c>
      <c r="V802" s="58">
        <f>IF(AND($B802&lt;&gt;"",$F802&lt;&gt;"",$F802=项目明细账!$C$2),N(V801)+1,N(V801))</f>
        <v>0</v>
      </c>
      <c r="W802" s="63" t="str">
        <f>IF($H802&lt;&gt;"","项目成本",IFERROR(INDEX(基础资料!$W$4:$W$49,MATCH($I802,基础资料!$V$4:$V$49,0)),""))</f>
        <v/>
      </c>
      <c r="X802" s="63" t="str">
        <f>IFERROR(INDEX(基础资料!$R$4:$R$17,MATCH($G802,基础资料!$Q$4:$Q$17,0)),"")</f>
        <v/>
      </c>
    </row>
    <row r="803" spans="1:24">
      <c r="A803" s="58" t="str">
        <f>IF($B803="","",COUNTA($B$5:$B803))</f>
        <v/>
      </c>
      <c r="B803" s="53"/>
      <c r="C803" s="46"/>
      <c r="D803" s="63" t="str">
        <f>IFERROR(INDEX(基础资料!$F$4:$F$23,MATCH($C803,基础资料!$E$4:$E$23,0)),IF($C803="","","未匹配账户"))</f>
        <v/>
      </c>
      <c r="E803" s="39"/>
      <c r="F803" s="10"/>
      <c r="G803" s="10"/>
      <c r="H803" s="10"/>
      <c r="I803" s="10"/>
      <c r="J803" s="10"/>
      <c r="K803" s="25"/>
      <c r="L803" s="25"/>
      <c r="M803" s="25" t="str">
        <f>IFERROR(VLOOKUP($C803,$C$5:$M$24,11,0)+SUMIF($C$25:$C803,$C803,$K$25:$K803)-SUMIF($C$25:$C803,$C803,$L$25:$L803),"")</f>
        <v/>
      </c>
      <c r="N803" s="10"/>
      <c r="O803" s="10"/>
      <c r="P803" s="65"/>
      <c r="Q803" s="10"/>
      <c r="R803" s="10"/>
      <c r="S803" s="54" t="str">
        <f t="shared" si="42"/>
        <v/>
      </c>
      <c r="T803" s="54" t="str">
        <f t="shared" si="43"/>
        <v/>
      </c>
      <c r="U803" s="58" t="str">
        <f t="shared" si="44"/>
        <v/>
      </c>
      <c r="V803" s="58">
        <f>IF(AND($B803&lt;&gt;"",$F803&lt;&gt;"",$F803=项目明细账!$C$2),N(V802)+1,N(V802))</f>
        <v>0</v>
      </c>
      <c r="W803" s="63" t="str">
        <f>IF($H803&lt;&gt;"","项目成本",IFERROR(INDEX(基础资料!$W$4:$W$49,MATCH($I803,基础资料!$V$4:$V$49,0)),""))</f>
        <v/>
      </c>
      <c r="X803" s="63" t="str">
        <f>IFERROR(INDEX(基础资料!$R$4:$R$17,MATCH($G803,基础资料!$Q$4:$Q$17,0)),"")</f>
        <v/>
      </c>
    </row>
    <row r="804" spans="1:24">
      <c r="A804" s="58" t="str">
        <f>IF($B804="","",COUNTA($B$5:$B804))</f>
        <v/>
      </c>
      <c r="B804" s="53"/>
      <c r="C804" s="46"/>
      <c r="D804" s="63" t="str">
        <f>IFERROR(INDEX(基础资料!$F$4:$F$23,MATCH($C804,基础资料!$E$4:$E$23,0)),IF($C804="","","未匹配账户"))</f>
        <v/>
      </c>
      <c r="E804" s="39"/>
      <c r="F804" s="10"/>
      <c r="G804" s="10"/>
      <c r="H804" s="10"/>
      <c r="I804" s="10"/>
      <c r="J804" s="10"/>
      <c r="K804" s="25"/>
      <c r="L804" s="25"/>
      <c r="M804" s="25" t="str">
        <f>IFERROR(VLOOKUP($C804,$C$5:$M$24,11,0)+SUMIF($C$25:$C804,$C804,$K$25:$K804)-SUMIF($C$25:$C804,$C804,$L$25:$L804),"")</f>
        <v/>
      </c>
      <c r="N804" s="10"/>
      <c r="O804" s="10"/>
      <c r="P804" s="65"/>
      <c r="Q804" s="10"/>
      <c r="R804" s="10"/>
      <c r="S804" s="54" t="str">
        <f t="shared" si="42"/>
        <v/>
      </c>
      <c r="T804" s="54" t="str">
        <f t="shared" si="43"/>
        <v/>
      </c>
      <c r="U804" s="58" t="str">
        <f t="shared" si="44"/>
        <v/>
      </c>
      <c r="V804" s="58">
        <f>IF(AND($B804&lt;&gt;"",$F804&lt;&gt;"",$F804=项目明细账!$C$2),N(V803)+1,N(V803))</f>
        <v>0</v>
      </c>
      <c r="W804" s="63" t="str">
        <f>IF($H804&lt;&gt;"","项目成本",IFERROR(INDEX(基础资料!$W$4:$W$49,MATCH($I804,基础资料!$V$4:$V$49,0)),""))</f>
        <v/>
      </c>
      <c r="X804" s="63" t="str">
        <f>IFERROR(INDEX(基础资料!$R$4:$R$17,MATCH($G804,基础资料!$Q$4:$Q$17,0)),"")</f>
        <v/>
      </c>
    </row>
    <row r="805" spans="1:24">
      <c r="A805" s="58" t="str">
        <f>IF($B805="","",COUNTA($B$5:$B805))</f>
        <v/>
      </c>
      <c r="B805" s="53"/>
      <c r="C805" s="46"/>
      <c r="D805" s="63" t="str">
        <f>IFERROR(INDEX(基础资料!$F$4:$F$23,MATCH($C805,基础资料!$E$4:$E$23,0)),IF($C805="","","未匹配账户"))</f>
        <v/>
      </c>
      <c r="E805" s="39"/>
      <c r="F805" s="10"/>
      <c r="G805" s="10"/>
      <c r="H805" s="10"/>
      <c r="I805" s="10"/>
      <c r="J805" s="10"/>
      <c r="K805" s="25"/>
      <c r="L805" s="25"/>
      <c r="M805" s="25" t="str">
        <f>IFERROR(VLOOKUP($C805,$C$5:$M$24,11,0)+SUMIF($C$25:$C805,$C805,$K$25:$K805)-SUMIF($C$25:$C805,$C805,$L$25:$L805),"")</f>
        <v/>
      </c>
      <c r="N805" s="10"/>
      <c r="O805" s="10"/>
      <c r="P805" s="65"/>
      <c r="Q805" s="10"/>
      <c r="R805" s="10"/>
      <c r="S805" s="54" t="str">
        <f t="shared" si="42"/>
        <v/>
      </c>
      <c r="T805" s="54" t="str">
        <f t="shared" si="43"/>
        <v/>
      </c>
      <c r="U805" s="58" t="str">
        <f t="shared" si="44"/>
        <v/>
      </c>
      <c r="V805" s="58">
        <f>IF(AND($B805&lt;&gt;"",$F805&lt;&gt;"",$F805=项目明细账!$C$2),N(V804)+1,N(V804))</f>
        <v>0</v>
      </c>
      <c r="W805" s="63" t="str">
        <f>IF($H805&lt;&gt;"","项目成本",IFERROR(INDEX(基础资料!$W$4:$W$49,MATCH($I805,基础资料!$V$4:$V$49,0)),""))</f>
        <v/>
      </c>
      <c r="X805" s="63" t="str">
        <f>IFERROR(INDEX(基础资料!$R$4:$R$17,MATCH($G805,基础资料!$Q$4:$Q$17,0)),"")</f>
        <v/>
      </c>
    </row>
    <row r="806" spans="1:24">
      <c r="A806" s="58" t="str">
        <f>IF($B806="","",COUNTA($B$5:$B806))</f>
        <v/>
      </c>
      <c r="B806" s="53"/>
      <c r="C806" s="46"/>
      <c r="D806" s="63" t="str">
        <f>IFERROR(INDEX(基础资料!$F$4:$F$23,MATCH($C806,基础资料!$E$4:$E$23,0)),IF($C806="","","未匹配账户"))</f>
        <v/>
      </c>
      <c r="E806" s="39"/>
      <c r="F806" s="10"/>
      <c r="G806" s="10"/>
      <c r="H806" s="10"/>
      <c r="I806" s="10"/>
      <c r="J806" s="10"/>
      <c r="K806" s="25"/>
      <c r="L806" s="25"/>
      <c r="M806" s="25" t="str">
        <f>IFERROR(VLOOKUP($C806,$C$5:$M$24,11,0)+SUMIF($C$25:$C806,$C806,$K$25:$K806)-SUMIF($C$25:$C806,$C806,$L$25:$L806),"")</f>
        <v/>
      </c>
      <c r="N806" s="10"/>
      <c r="O806" s="10"/>
      <c r="P806" s="65"/>
      <c r="Q806" s="10"/>
      <c r="R806" s="10"/>
      <c r="S806" s="54" t="str">
        <f t="shared" si="42"/>
        <v/>
      </c>
      <c r="T806" s="54" t="str">
        <f t="shared" si="43"/>
        <v/>
      </c>
      <c r="U806" s="58" t="str">
        <f t="shared" si="44"/>
        <v/>
      </c>
      <c r="V806" s="58">
        <f>IF(AND($B806&lt;&gt;"",$F806&lt;&gt;"",$F806=项目明细账!$C$2),N(V805)+1,N(V805))</f>
        <v>0</v>
      </c>
      <c r="W806" s="63" t="str">
        <f>IF($H806&lt;&gt;"","项目成本",IFERROR(INDEX(基础资料!$W$4:$W$49,MATCH($I806,基础资料!$V$4:$V$49,0)),""))</f>
        <v/>
      </c>
      <c r="X806" s="63" t="str">
        <f>IFERROR(INDEX(基础资料!$R$4:$R$17,MATCH($G806,基础资料!$Q$4:$Q$17,0)),"")</f>
        <v/>
      </c>
    </row>
    <row r="807" spans="1:24">
      <c r="A807" s="58" t="str">
        <f>IF($B807="","",COUNTA($B$5:$B807))</f>
        <v/>
      </c>
      <c r="B807" s="53"/>
      <c r="C807" s="46"/>
      <c r="D807" s="63" t="str">
        <f>IFERROR(INDEX(基础资料!$F$4:$F$23,MATCH($C807,基础资料!$E$4:$E$23,0)),IF($C807="","","未匹配账户"))</f>
        <v/>
      </c>
      <c r="E807" s="39"/>
      <c r="F807" s="10"/>
      <c r="G807" s="10"/>
      <c r="H807" s="10"/>
      <c r="I807" s="10"/>
      <c r="J807" s="10"/>
      <c r="K807" s="25"/>
      <c r="L807" s="25"/>
      <c r="M807" s="25" t="str">
        <f>IFERROR(VLOOKUP($C807,$C$5:$M$24,11,0)+SUMIF($C$25:$C807,$C807,$K$25:$K807)-SUMIF($C$25:$C807,$C807,$L$25:$L807),"")</f>
        <v/>
      </c>
      <c r="N807" s="10"/>
      <c r="O807" s="10"/>
      <c r="P807" s="65"/>
      <c r="Q807" s="10"/>
      <c r="R807" s="10"/>
      <c r="S807" s="54" t="str">
        <f t="shared" si="42"/>
        <v/>
      </c>
      <c r="T807" s="54" t="str">
        <f t="shared" si="43"/>
        <v/>
      </c>
      <c r="U807" s="58" t="str">
        <f t="shared" si="44"/>
        <v/>
      </c>
      <c r="V807" s="58">
        <f>IF(AND($B807&lt;&gt;"",$F807&lt;&gt;"",$F807=项目明细账!$C$2),N(V806)+1,N(V806))</f>
        <v>0</v>
      </c>
      <c r="W807" s="63" t="str">
        <f>IF($H807&lt;&gt;"","项目成本",IFERROR(INDEX(基础资料!$W$4:$W$49,MATCH($I807,基础资料!$V$4:$V$49,0)),""))</f>
        <v/>
      </c>
      <c r="X807" s="63" t="str">
        <f>IFERROR(INDEX(基础资料!$R$4:$R$17,MATCH($G807,基础资料!$Q$4:$Q$17,0)),"")</f>
        <v/>
      </c>
    </row>
    <row r="808" spans="1:24">
      <c r="A808" s="58" t="str">
        <f>IF($B808="","",COUNTA($B$5:$B808))</f>
        <v/>
      </c>
      <c r="B808" s="53"/>
      <c r="C808" s="46"/>
      <c r="D808" s="63" t="str">
        <f>IFERROR(INDEX(基础资料!$F$4:$F$23,MATCH($C808,基础资料!$E$4:$E$23,0)),IF($C808="","","未匹配账户"))</f>
        <v/>
      </c>
      <c r="E808" s="39"/>
      <c r="F808" s="10"/>
      <c r="G808" s="10"/>
      <c r="H808" s="10"/>
      <c r="I808" s="10"/>
      <c r="J808" s="10"/>
      <c r="K808" s="25"/>
      <c r="L808" s="25"/>
      <c r="M808" s="25" t="str">
        <f>IFERROR(VLOOKUP($C808,$C$5:$M$24,11,0)+SUMIF($C$25:$C808,$C808,$K$25:$K808)-SUMIF($C$25:$C808,$C808,$L$25:$L808),"")</f>
        <v/>
      </c>
      <c r="N808" s="10"/>
      <c r="O808" s="10"/>
      <c r="P808" s="65"/>
      <c r="Q808" s="10"/>
      <c r="R808" s="10"/>
      <c r="S808" s="54" t="str">
        <f t="shared" si="42"/>
        <v/>
      </c>
      <c r="T808" s="54" t="str">
        <f t="shared" si="43"/>
        <v/>
      </c>
      <c r="U808" s="58" t="str">
        <f t="shared" si="44"/>
        <v/>
      </c>
      <c r="V808" s="58">
        <f>IF(AND($B808&lt;&gt;"",$F808&lt;&gt;"",$F808=项目明细账!$C$2),N(V807)+1,N(V807))</f>
        <v>0</v>
      </c>
      <c r="W808" s="63" t="str">
        <f>IF($H808&lt;&gt;"","项目成本",IFERROR(INDEX(基础资料!$W$4:$W$49,MATCH($I808,基础资料!$V$4:$V$49,0)),""))</f>
        <v/>
      </c>
      <c r="X808" s="63" t="str">
        <f>IFERROR(INDEX(基础资料!$R$4:$R$17,MATCH($G808,基础资料!$Q$4:$Q$17,0)),"")</f>
        <v/>
      </c>
    </row>
    <row r="809" spans="1:24">
      <c r="A809" s="58" t="str">
        <f>IF($B809="","",COUNTA($B$5:$B809))</f>
        <v/>
      </c>
      <c r="B809" s="53"/>
      <c r="C809" s="46"/>
      <c r="D809" s="63" t="str">
        <f>IFERROR(INDEX(基础资料!$F$4:$F$23,MATCH($C809,基础资料!$E$4:$E$23,0)),IF($C809="","","未匹配账户"))</f>
        <v/>
      </c>
      <c r="E809" s="39"/>
      <c r="F809" s="10"/>
      <c r="G809" s="10"/>
      <c r="H809" s="10"/>
      <c r="I809" s="10"/>
      <c r="J809" s="10"/>
      <c r="K809" s="25"/>
      <c r="L809" s="25"/>
      <c r="M809" s="25" t="str">
        <f>IFERROR(VLOOKUP($C809,$C$5:$M$24,11,0)+SUMIF($C$25:$C809,$C809,$K$25:$K809)-SUMIF($C$25:$C809,$C809,$L$25:$L809),"")</f>
        <v/>
      </c>
      <c r="N809" s="10"/>
      <c r="O809" s="10"/>
      <c r="P809" s="65"/>
      <c r="Q809" s="10"/>
      <c r="R809" s="10"/>
      <c r="S809" s="54" t="str">
        <f t="shared" si="42"/>
        <v/>
      </c>
      <c r="T809" s="54" t="str">
        <f t="shared" si="43"/>
        <v/>
      </c>
      <c r="U809" s="58" t="str">
        <f t="shared" si="44"/>
        <v/>
      </c>
      <c r="V809" s="58">
        <f>IF(AND($B809&lt;&gt;"",$F809&lt;&gt;"",$F809=项目明细账!$C$2),N(V808)+1,N(V808))</f>
        <v>0</v>
      </c>
      <c r="W809" s="63" t="str">
        <f>IF($H809&lt;&gt;"","项目成本",IFERROR(INDEX(基础资料!$W$4:$W$49,MATCH($I809,基础资料!$V$4:$V$49,0)),""))</f>
        <v/>
      </c>
      <c r="X809" s="63" t="str">
        <f>IFERROR(INDEX(基础资料!$R$4:$R$17,MATCH($G809,基础资料!$Q$4:$Q$17,0)),"")</f>
        <v/>
      </c>
    </row>
    <row r="810" spans="1:24">
      <c r="A810" s="58" t="str">
        <f>IF($B810="","",COUNTA($B$5:$B810))</f>
        <v/>
      </c>
      <c r="B810" s="53"/>
      <c r="C810" s="46"/>
      <c r="D810" s="63" t="str">
        <f>IFERROR(INDEX(基础资料!$F$4:$F$23,MATCH($C810,基础资料!$E$4:$E$23,0)),IF($C810="","","未匹配账户"))</f>
        <v/>
      </c>
      <c r="E810" s="39"/>
      <c r="F810" s="10"/>
      <c r="G810" s="10"/>
      <c r="H810" s="10"/>
      <c r="I810" s="10"/>
      <c r="J810" s="10"/>
      <c r="K810" s="25"/>
      <c r="L810" s="25"/>
      <c r="M810" s="25" t="str">
        <f>IFERROR(VLOOKUP($C810,$C$5:$M$24,11,0)+SUMIF($C$25:$C810,$C810,$K$25:$K810)-SUMIF($C$25:$C810,$C810,$L$25:$L810),"")</f>
        <v/>
      </c>
      <c r="N810" s="10"/>
      <c r="O810" s="10"/>
      <c r="P810" s="65"/>
      <c r="Q810" s="10"/>
      <c r="R810" s="10"/>
      <c r="S810" s="54" t="str">
        <f t="shared" si="42"/>
        <v/>
      </c>
      <c r="T810" s="54" t="str">
        <f t="shared" si="43"/>
        <v/>
      </c>
      <c r="U810" s="58" t="str">
        <f t="shared" si="44"/>
        <v/>
      </c>
      <c r="V810" s="58">
        <f>IF(AND($B810&lt;&gt;"",$F810&lt;&gt;"",$F810=项目明细账!$C$2),N(V809)+1,N(V809))</f>
        <v>0</v>
      </c>
      <c r="W810" s="63" t="str">
        <f>IF($H810&lt;&gt;"","项目成本",IFERROR(INDEX(基础资料!$W$4:$W$49,MATCH($I810,基础资料!$V$4:$V$49,0)),""))</f>
        <v/>
      </c>
      <c r="X810" s="63" t="str">
        <f>IFERROR(INDEX(基础资料!$R$4:$R$17,MATCH($G810,基础资料!$Q$4:$Q$17,0)),"")</f>
        <v/>
      </c>
    </row>
    <row r="811" spans="1:24">
      <c r="A811" s="58" t="str">
        <f>IF($B811="","",COUNTA($B$5:$B811))</f>
        <v/>
      </c>
      <c r="B811" s="53"/>
      <c r="C811" s="46"/>
      <c r="D811" s="63" t="str">
        <f>IFERROR(INDEX(基础资料!$F$4:$F$23,MATCH($C811,基础资料!$E$4:$E$23,0)),IF($C811="","","未匹配账户"))</f>
        <v/>
      </c>
      <c r="E811" s="39"/>
      <c r="F811" s="10"/>
      <c r="G811" s="10"/>
      <c r="H811" s="10"/>
      <c r="I811" s="10"/>
      <c r="J811" s="10"/>
      <c r="K811" s="25"/>
      <c r="L811" s="25"/>
      <c r="M811" s="25" t="str">
        <f>IFERROR(VLOOKUP($C811,$C$5:$M$24,11,0)+SUMIF($C$25:$C811,$C811,$K$25:$K811)-SUMIF($C$25:$C811,$C811,$L$25:$L811),"")</f>
        <v/>
      </c>
      <c r="N811" s="10"/>
      <c r="O811" s="10"/>
      <c r="P811" s="65"/>
      <c r="Q811" s="10"/>
      <c r="R811" s="10"/>
      <c r="S811" s="54" t="str">
        <f t="shared" si="42"/>
        <v/>
      </c>
      <c r="T811" s="54" t="str">
        <f t="shared" si="43"/>
        <v/>
      </c>
      <c r="U811" s="58" t="str">
        <f t="shared" si="44"/>
        <v/>
      </c>
      <c r="V811" s="58">
        <f>IF(AND($B811&lt;&gt;"",$F811&lt;&gt;"",$F811=项目明细账!$C$2),N(V810)+1,N(V810))</f>
        <v>0</v>
      </c>
      <c r="W811" s="63" t="str">
        <f>IF($H811&lt;&gt;"","项目成本",IFERROR(INDEX(基础资料!$W$4:$W$49,MATCH($I811,基础资料!$V$4:$V$49,0)),""))</f>
        <v/>
      </c>
      <c r="X811" s="63" t="str">
        <f>IFERROR(INDEX(基础资料!$R$4:$R$17,MATCH($G811,基础资料!$Q$4:$Q$17,0)),"")</f>
        <v/>
      </c>
    </row>
    <row r="812" spans="1:24">
      <c r="A812" s="58" t="str">
        <f>IF($B812="","",COUNTA($B$5:$B812))</f>
        <v/>
      </c>
      <c r="B812" s="53"/>
      <c r="C812" s="46"/>
      <c r="D812" s="63" t="str">
        <f>IFERROR(INDEX(基础资料!$F$4:$F$23,MATCH($C812,基础资料!$E$4:$E$23,0)),IF($C812="","","未匹配账户"))</f>
        <v/>
      </c>
      <c r="E812" s="39"/>
      <c r="F812" s="10"/>
      <c r="G812" s="10"/>
      <c r="H812" s="10"/>
      <c r="I812" s="10"/>
      <c r="J812" s="10"/>
      <c r="K812" s="25"/>
      <c r="L812" s="25"/>
      <c r="M812" s="25" t="str">
        <f>IFERROR(VLOOKUP($C812,$C$5:$M$24,11,0)+SUMIF($C$25:$C812,$C812,$K$25:$K812)-SUMIF($C$25:$C812,$C812,$L$25:$L812),"")</f>
        <v/>
      </c>
      <c r="N812" s="10"/>
      <c r="O812" s="10"/>
      <c r="P812" s="65"/>
      <c r="Q812" s="10"/>
      <c r="R812" s="10"/>
      <c r="S812" s="54" t="str">
        <f t="shared" si="42"/>
        <v/>
      </c>
      <c r="T812" s="54" t="str">
        <f t="shared" si="43"/>
        <v/>
      </c>
      <c r="U812" s="58" t="str">
        <f t="shared" si="44"/>
        <v/>
      </c>
      <c r="V812" s="58">
        <f>IF(AND($B812&lt;&gt;"",$F812&lt;&gt;"",$F812=项目明细账!$C$2),N(V811)+1,N(V811))</f>
        <v>0</v>
      </c>
      <c r="W812" s="63" t="str">
        <f>IF($H812&lt;&gt;"","项目成本",IFERROR(INDEX(基础资料!$W$4:$W$49,MATCH($I812,基础资料!$V$4:$V$49,0)),""))</f>
        <v/>
      </c>
      <c r="X812" s="63" t="str">
        <f>IFERROR(INDEX(基础资料!$R$4:$R$17,MATCH($G812,基础资料!$Q$4:$Q$17,0)),"")</f>
        <v/>
      </c>
    </row>
    <row r="813" spans="1:24">
      <c r="A813" s="58" t="str">
        <f>IF($B813="","",COUNTA($B$5:$B813))</f>
        <v/>
      </c>
      <c r="B813" s="53"/>
      <c r="C813" s="46"/>
      <c r="D813" s="63" t="str">
        <f>IFERROR(INDEX(基础资料!$F$4:$F$23,MATCH($C813,基础资料!$E$4:$E$23,0)),IF($C813="","","未匹配账户"))</f>
        <v/>
      </c>
      <c r="E813" s="39"/>
      <c r="F813" s="10"/>
      <c r="G813" s="10"/>
      <c r="H813" s="10"/>
      <c r="I813" s="10"/>
      <c r="J813" s="10"/>
      <c r="K813" s="25"/>
      <c r="L813" s="25"/>
      <c r="M813" s="25" t="str">
        <f>IFERROR(VLOOKUP($C813,$C$5:$M$24,11,0)+SUMIF($C$25:$C813,$C813,$K$25:$K813)-SUMIF($C$25:$C813,$C813,$L$25:$L813),"")</f>
        <v/>
      </c>
      <c r="N813" s="10"/>
      <c r="O813" s="10"/>
      <c r="P813" s="65"/>
      <c r="Q813" s="10"/>
      <c r="R813" s="10"/>
      <c r="S813" s="54" t="str">
        <f t="shared" si="42"/>
        <v/>
      </c>
      <c r="T813" s="54" t="str">
        <f t="shared" si="43"/>
        <v/>
      </c>
      <c r="U813" s="58" t="str">
        <f t="shared" si="44"/>
        <v/>
      </c>
      <c r="V813" s="58">
        <f>IF(AND($B813&lt;&gt;"",$F813&lt;&gt;"",$F813=项目明细账!$C$2),N(V812)+1,N(V812))</f>
        <v>0</v>
      </c>
      <c r="W813" s="63" t="str">
        <f>IF($H813&lt;&gt;"","项目成本",IFERROR(INDEX(基础资料!$W$4:$W$49,MATCH($I813,基础资料!$V$4:$V$49,0)),""))</f>
        <v/>
      </c>
      <c r="X813" s="63" t="str">
        <f>IFERROR(INDEX(基础资料!$R$4:$R$17,MATCH($G813,基础资料!$Q$4:$Q$17,0)),"")</f>
        <v/>
      </c>
    </row>
    <row r="814" spans="1:24">
      <c r="A814" s="58" t="str">
        <f>IF($B814="","",COUNTA($B$5:$B814))</f>
        <v/>
      </c>
      <c r="B814" s="53"/>
      <c r="C814" s="46"/>
      <c r="D814" s="63" t="str">
        <f>IFERROR(INDEX(基础资料!$F$4:$F$23,MATCH($C814,基础资料!$E$4:$E$23,0)),IF($C814="","","未匹配账户"))</f>
        <v/>
      </c>
      <c r="E814" s="39"/>
      <c r="F814" s="10"/>
      <c r="G814" s="10"/>
      <c r="H814" s="10"/>
      <c r="I814" s="10"/>
      <c r="J814" s="10"/>
      <c r="K814" s="25"/>
      <c r="L814" s="25"/>
      <c r="M814" s="25" t="str">
        <f>IFERROR(VLOOKUP($C814,$C$5:$M$24,11,0)+SUMIF($C$25:$C814,$C814,$K$25:$K814)-SUMIF($C$25:$C814,$C814,$L$25:$L814),"")</f>
        <v/>
      </c>
      <c r="N814" s="10"/>
      <c r="O814" s="10"/>
      <c r="P814" s="65"/>
      <c r="Q814" s="10"/>
      <c r="R814" s="10"/>
      <c r="S814" s="54" t="str">
        <f t="shared" si="42"/>
        <v/>
      </c>
      <c r="T814" s="54" t="str">
        <f t="shared" si="43"/>
        <v/>
      </c>
      <c r="U814" s="58" t="str">
        <f t="shared" si="44"/>
        <v/>
      </c>
      <c r="V814" s="58">
        <f>IF(AND($B814&lt;&gt;"",$F814&lt;&gt;"",$F814=项目明细账!$C$2),N(V813)+1,N(V813))</f>
        <v>0</v>
      </c>
      <c r="W814" s="63" t="str">
        <f>IF($H814&lt;&gt;"","项目成本",IFERROR(INDEX(基础资料!$W$4:$W$49,MATCH($I814,基础资料!$V$4:$V$49,0)),""))</f>
        <v/>
      </c>
      <c r="X814" s="63" t="str">
        <f>IFERROR(INDEX(基础资料!$R$4:$R$17,MATCH($G814,基础资料!$Q$4:$Q$17,0)),"")</f>
        <v/>
      </c>
    </row>
    <row r="815" spans="1:24">
      <c r="A815" s="58" t="str">
        <f>IF($B815="","",COUNTA($B$5:$B815))</f>
        <v/>
      </c>
      <c r="B815" s="53"/>
      <c r="C815" s="46"/>
      <c r="D815" s="63" t="str">
        <f>IFERROR(INDEX(基础资料!$F$4:$F$23,MATCH($C815,基础资料!$E$4:$E$23,0)),IF($C815="","","未匹配账户"))</f>
        <v/>
      </c>
      <c r="E815" s="39"/>
      <c r="F815" s="10"/>
      <c r="G815" s="10"/>
      <c r="H815" s="10"/>
      <c r="I815" s="10"/>
      <c r="J815" s="10"/>
      <c r="K815" s="25"/>
      <c r="L815" s="25"/>
      <c r="M815" s="25" t="str">
        <f>IFERROR(VLOOKUP($C815,$C$5:$M$24,11,0)+SUMIF($C$25:$C815,$C815,$K$25:$K815)-SUMIF($C$25:$C815,$C815,$L$25:$L815),"")</f>
        <v/>
      </c>
      <c r="N815" s="10"/>
      <c r="O815" s="10"/>
      <c r="P815" s="65"/>
      <c r="Q815" s="10"/>
      <c r="R815" s="10"/>
      <c r="S815" s="54" t="str">
        <f t="shared" si="42"/>
        <v/>
      </c>
      <c r="T815" s="54" t="str">
        <f t="shared" si="43"/>
        <v/>
      </c>
      <c r="U815" s="58" t="str">
        <f t="shared" si="44"/>
        <v/>
      </c>
      <c r="V815" s="58">
        <f>IF(AND($B815&lt;&gt;"",$F815&lt;&gt;"",$F815=项目明细账!$C$2),N(V814)+1,N(V814))</f>
        <v>0</v>
      </c>
      <c r="W815" s="63" t="str">
        <f>IF($H815&lt;&gt;"","项目成本",IFERROR(INDEX(基础资料!$W$4:$W$49,MATCH($I815,基础资料!$V$4:$V$49,0)),""))</f>
        <v/>
      </c>
      <c r="X815" s="63" t="str">
        <f>IFERROR(INDEX(基础资料!$R$4:$R$17,MATCH($G815,基础资料!$Q$4:$Q$17,0)),"")</f>
        <v/>
      </c>
    </row>
    <row r="816" spans="1:24">
      <c r="A816" s="58" t="str">
        <f>IF($B816="","",COUNTA($B$5:$B816))</f>
        <v/>
      </c>
      <c r="B816" s="53"/>
      <c r="C816" s="46"/>
      <c r="D816" s="63" t="str">
        <f>IFERROR(INDEX(基础资料!$F$4:$F$23,MATCH($C816,基础资料!$E$4:$E$23,0)),IF($C816="","","未匹配账户"))</f>
        <v/>
      </c>
      <c r="E816" s="39"/>
      <c r="F816" s="10"/>
      <c r="G816" s="10"/>
      <c r="H816" s="10"/>
      <c r="I816" s="10"/>
      <c r="J816" s="10"/>
      <c r="K816" s="25"/>
      <c r="L816" s="25"/>
      <c r="M816" s="25" t="str">
        <f>IFERROR(VLOOKUP($C816,$C$5:$M$24,11,0)+SUMIF($C$25:$C816,$C816,$K$25:$K816)-SUMIF($C$25:$C816,$C816,$L$25:$L816),"")</f>
        <v/>
      </c>
      <c r="N816" s="10"/>
      <c r="O816" s="10"/>
      <c r="P816" s="65"/>
      <c r="Q816" s="10"/>
      <c r="R816" s="10"/>
      <c r="S816" s="54" t="str">
        <f t="shared" si="42"/>
        <v/>
      </c>
      <c r="T816" s="54" t="str">
        <f t="shared" si="43"/>
        <v/>
      </c>
      <c r="U816" s="58" t="str">
        <f t="shared" si="44"/>
        <v/>
      </c>
      <c r="V816" s="58">
        <f>IF(AND($B816&lt;&gt;"",$F816&lt;&gt;"",$F816=项目明细账!$C$2),N(V815)+1,N(V815))</f>
        <v>0</v>
      </c>
      <c r="W816" s="63" t="str">
        <f>IF($H816&lt;&gt;"","项目成本",IFERROR(INDEX(基础资料!$W$4:$W$49,MATCH($I816,基础资料!$V$4:$V$49,0)),""))</f>
        <v/>
      </c>
      <c r="X816" s="63" t="str">
        <f>IFERROR(INDEX(基础资料!$R$4:$R$17,MATCH($G816,基础资料!$Q$4:$Q$17,0)),"")</f>
        <v/>
      </c>
    </row>
    <row r="817" spans="1:24">
      <c r="A817" s="58" t="str">
        <f>IF($B817="","",COUNTA($B$5:$B817))</f>
        <v/>
      </c>
      <c r="B817" s="53"/>
      <c r="C817" s="46"/>
      <c r="D817" s="63" t="str">
        <f>IFERROR(INDEX(基础资料!$F$4:$F$23,MATCH($C817,基础资料!$E$4:$E$23,0)),IF($C817="","","未匹配账户"))</f>
        <v/>
      </c>
      <c r="E817" s="39"/>
      <c r="F817" s="10"/>
      <c r="G817" s="10"/>
      <c r="H817" s="10"/>
      <c r="I817" s="10"/>
      <c r="J817" s="10"/>
      <c r="K817" s="25"/>
      <c r="L817" s="25"/>
      <c r="M817" s="25" t="str">
        <f>IFERROR(VLOOKUP($C817,$C$5:$M$24,11,0)+SUMIF($C$25:$C817,$C817,$K$25:$K817)-SUMIF($C$25:$C817,$C817,$L$25:$L817),"")</f>
        <v/>
      </c>
      <c r="N817" s="10"/>
      <c r="O817" s="10"/>
      <c r="P817" s="65"/>
      <c r="Q817" s="10"/>
      <c r="R817" s="10"/>
      <c r="S817" s="54" t="str">
        <f t="shared" si="42"/>
        <v/>
      </c>
      <c r="T817" s="54" t="str">
        <f t="shared" si="43"/>
        <v/>
      </c>
      <c r="U817" s="58" t="str">
        <f t="shared" si="44"/>
        <v/>
      </c>
      <c r="V817" s="58">
        <f>IF(AND($B817&lt;&gt;"",$F817&lt;&gt;"",$F817=项目明细账!$C$2),N(V816)+1,N(V816))</f>
        <v>0</v>
      </c>
      <c r="W817" s="63" t="str">
        <f>IF($H817&lt;&gt;"","项目成本",IFERROR(INDEX(基础资料!$W$4:$W$49,MATCH($I817,基础资料!$V$4:$V$49,0)),""))</f>
        <v/>
      </c>
      <c r="X817" s="63" t="str">
        <f>IFERROR(INDEX(基础资料!$R$4:$R$17,MATCH($G817,基础资料!$Q$4:$Q$17,0)),"")</f>
        <v/>
      </c>
    </row>
    <row r="818" spans="1:24">
      <c r="A818" s="58" t="str">
        <f>IF($B818="","",COUNTA($B$5:$B818))</f>
        <v/>
      </c>
      <c r="B818" s="53"/>
      <c r="C818" s="46"/>
      <c r="D818" s="63" t="str">
        <f>IFERROR(INDEX(基础资料!$F$4:$F$23,MATCH($C818,基础资料!$E$4:$E$23,0)),IF($C818="","","未匹配账户"))</f>
        <v/>
      </c>
      <c r="E818" s="39"/>
      <c r="F818" s="10"/>
      <c r="G818" s="10"/>
      <c r="H818" s="10"/>
      <c r="I818" s="10"/>
      <c r="J818" s="10"/>
      <c r="K818" s="25"/>
      <c r="L818" s="25"/>
      <c r="M818" s="25" t="str">
        <f>IFERROR(VLOOKUP($C818,$C$5:$M$24,11,0)+SUMIF($C$25:$C818,$C818,$K$25:$K818)-SUMIF($C$25:$C818,$C818,$L$25:$L818),"")</f>
        <v/>
      </c>
      <c r="N818" s="10"/>
      <c r="O818" s="10"/>
      <c r="P818" s="65"/>
      <c r="Q818" s="10"/>
      <c r="R818" s="10"/>
      <c r="S818" s="54" t="str">
        <f t="shared" si="42"/>
        <v/>
      </c>
      <c r="T818" s="54" t="str">
        <f t="shared" si="43"/>
        <v/>
      </c>
      <c r="U818" s="58" t="str">
        <f t="shared" si="44"/>
        <v/>
      </c>
      <c r="V818" s="58">
        <f>IF(AND($B818&lt;&gt;"",$F818&lt;&gt;"",$F818=项目明细账!$C$2),N(V817)+1,N(V817))</f>
        <v>0</v>
      </c>
      <c r="W818" s="63" t="str">
        <f>IF($H818&lt;&gt;"","项目成本",IFERROR(INDEX(基础资料!$W$4:$W$49,MATCH($I818,基础资料!$V$4:$V$49,0)),""))</f>
        <v/>
      </c>
      <c r="X818" s="63" t="str">
        <f>IFERROR(INDEX(基础资料!$R$4:$R$17,MATCH($G818,基础资料!$Q$4:$Q$17,0)),"")</f>
        <v/>
      </c>
    </row>
    <row r="819" spans="1:24">
      <c r="A819" s="58" t="str">
        <f>IF($B819="","",COUNTA($B$5:$B819))</f>
        <v/>
      </c>
      <c r="B819" s="53"/>
      <c r="C819" s="46"/>
      <c r="D819" s="63" t="str">
        <f>IFERROR(INDEX(基础资料!$F$4:$F$23,MATCH($C819,基础资料!$E$4:$E$23,0)),IF($C819="","","未匹配账户"))</f>
        <v/>
      </c>
      <c r="E819" s="39"/>
      <c r="F819" s="10"/>
      <c r="G819" s="10"/>
      <c r="H819" s="10"/>
      <c r="I819" s="10"/>
      <c r="J819" s="10"/>
      <c r="K819" s="25"/>
      <c r="L819" s="25"/>
      <c r="M819" s="25" t="str">
        <f>IFERROR(VLOOKUP($C819,$C$5:$M$24,11,0)+SUMIF($C$25:$C819,$C819,$K$25:$K819)-SUMIF($C$25:$C819,$C819,$L$25:$L819),"")</f>
        <v/>
      </c>
      <c r="N819" s="10"/>
      <c r="O819" s="10"/>
      <c r="P819" s="65"/>
      <c r="Q819" s="10"/>
      <c r="R819" s="10"/>
      <c r="S819" s="54" t="str">
        <f t="shared" si="42"/>
        <v/>
      </c>
      <c r="T819" s="54" t="str">
        <f t="shared" si="43"/>
        <v/>
      </c>
      <c r="U819" s="58" t="str">
        <f t="shared" si="44"/>
        <v/>
      </c>
      <c r="V819" s="58">
        <f>IF(AND($B819&lt;&gt;"",$F819&lt;&gt;"",$F819=项目明细账!$C$2),N(V818)+1,N(V818))</f>
        <v>0</v>
      </c>
      <c r="W819" s="63" t="str">
        <f>IF($H819&lt;&gt;"","项目成本",IFERROR(INDEX(基础资料!$W$4:$W$49,MATCH($I819,基础资料!$V$4:$V$49,0)),""))</f>
        <v/>
      </c>
      <c r="X819" s="63" t="str">
        <f>IFERROR(INDEX(基础资料!$R$4:$R$17,MATCH($G819,基础资料!$Q$4:$Q$17,0)),"")</f>
        <v/>
      </c>
    </row>
    <row r="820" spans="1:24">
      <c r="A820" s="58" t="str">
        <f>IF($B820="","",COUNTA($B$5:$B820))</f>
        <v/>
      </c>
      <c r="B820" s="53"/>
      <c r="C820" s="46"/>
      <c r="D820" s="63" t="str">
        <f>IFERROR(INDEX(基础资料!$F$4:$F$23,MATCH($C820,基础资料!$E$4:$E$23,0)),IF($C820="","","未匹配账户"))</f>
        <v/>
      </c>
      <c r="E820" s="39"/>
      <c r="F820" s="10"/>
      <c r="G820" s="10"/>
      <c r="H820" s="10"/>
      <c r="I820" s="10"/>
      <c r="J820" s="10"/>
      <c r="K820" s="25"/>
      <c r="L820" s="25"/>
      <c r="M820" s="25" t="str">
        <f>IFERROR(VLOOKUP($C820,$C$5:$M$24,11,0)+SUMIF($C$25:$C820,$C820,$K$25:$K820)-SUMIF($C$25:$C820,$C820,$L$25:$L820),"")</f>
        <v/>
      </c>
      <c r="N820" s="10"/>
      <c r="O820" s="10"/>
      <c r="P820" s="65"/>
      <c r="Q820" s="10"/>
      <c r="R820" s="10"/>
      <c r="S820" s="54" t="str">
        <f t="shared" si="42"/>
        <v/>
      </c>
      <c r="T820" s="54" t="str">
        <f t="shared" si="43"/>
        <v/>
      </c>
      <c r="U820" s="58" t="str">
        <f t="shared" si="44"/>
        <v/>
      </c>
      <c r="V820" s="58">
        <f>IF(AND($B820&lt;&gt;"",$F820&lt;&gt;"",$F820=项目明细账!$C$2),N(V819)+1,N(V819))</f>
        <v>0</v>
      </c>
      <c r="W820" s="63" t="str">
        <f>IF($H820&lt;&gt;"","项目成本",IFERROR(INDEX(基础资料!$W$4:$W$49,MATCH($I820,基础资料!$V$4:$V$49,0)),""))</f>
        <v/>
      </c>
      <c r="X820" s="63" t="str">
        <f>IFERROR(INDEX(基础资料!$R$4:$R$17,MATCH($G820,基础资料!$Q$4:$Q$17,0)),"")</f>
        <v/>
      </c>
    </row>
    <row r="821" spans="1:24">
      <c r="A821" s="58" t="str">
        <f>IF($B821="","",COUNTA($B$5:$B821))</f>
        <v/>
      </c>
      <c r="B821" s="53"/>
      <c r="C821" s="46"/>
      <c r="D821" s="63" t="str">
        <f>IFERROR(INDEX(基础资料!$F$4:$F$23,MATCH($C821,基础资料!$E$4:$E$23,0)),IF($C821="","","未匹配账户"))</f>
        <v/>
      </c>
      <c r="E821" s="39"/>
      <c r="F821" s="10"/>
      <c r="G821" s="10"/>
      <c r="H821" s="10"/>
      <c r="I821" s="10"/>
      <c r="J821" s="10"/>
      <c r="K821" s="25"/>
      <c r="L821" s="25"/>
      <c r="M821" s="25" t="str">
        <f>IFERROR(VLOOKUP($C821,$C$5:$M$24,11,0)+SUMIF($C$25:$C821,$C821,$K$25:$K821)-SUMIF($C$25:$C821,$C821,$L$25:$L821),"")</f>
        <v/>
      </c>
      <c r="N821" s="10"/>
      <c r="O821" s="10"/>
      <c r="P821" s="65"/>
      <c r="Q821" s="10"/>
      <c r="R821" s="10"/>
      <c r="S821" s="54" t="str">
        <f t="shared" si="42"/>
        <v/>
      </c>
      <c r="T821" s="54" t="str">
        <f t="shared" si="43"/>
        <v/>
      </c>
      <c r="U821" s="58" t="str">
        <f t="shared" si="44"/>
        <v/>
      </c>
      <c r="V821" s="58">
        <f>IF(AND($B821&lt;&gt;"",$F821&lt;&gt;"",$F821=项目明细账!$C$2),N(V820)+1,N(V820))</f>
        <v>0</v>
      </c>
      <c r="W821" s="63" t="str">
        <f>IF($H821&lt;&gt;"","项目成本",IFERROR(INDEX(基础资料!$W$4:$W$49,MATCH($I821,基础资料!$V$4:$V$49,0)),""))</f>
        <v/>
      </c>
      <c r="X821" s="63" t="str">
        <f>IFERROR(INDEX(基础资料!$R$4:$R$17,MATCH($G821,基础资料!$Q$4:$Q$17,0)),"")</f>
        <v/>
      </c>
    </row>
    <row r="822" spans="1:24">
      <c r="A822" s="58" t="str">
        <f>IF($B822="","",COUNTA($B$5:$B822))</f>
        <v/>
      </c>
      <c r="B822" s="53"/>
      <c r="C822" s="46"/>
      <c r="D822" s="63" t="str">
        <f>IFERROR(INDEX(基础资料!$F$4:$F$23,MATCH($C822,基础资料!$E$4:$E$23,0)),IF($C822="","","未匹配账户"))</f>
        <v/>
      </c>
      <c r="E822" s="39"/>
      <c r="F822" s="10"/>
      <c r="G822" s="10"/>
      <c r="H822" s="10"/>
      <c r="I822" s="10"/>
      <c r="J822" s="10"/>
      <c r="K822" s="25"/>
      <c r="L822" s="25"/>
      <c r="M822" s="25" t="str">
        <f>IFERROR(VLOOKUP($C822,$C$5:$M$24,11,0)+SUMIF($C$25:$C822,$C822,$K$25:$K822)-SUMIF($C$25:$C822,$C822,$L$25:$L822),"")</f>
        <v/>
      </c>
      <c r="N822" s="10"/>
      <c r="O822" s="10"/>
      <c r="P822" s="65"/>
      <c r="Q822" s="10"/>
      <c r="R822" s="10"/>
      <c r="S822" s="54" t="str">
        <f t="shared" si="42"/>
        <v/>
      </c>
      <c r="T822" s="54" t="str">
        <f t="shared" si="43"/>
        <v/>
      </c>
      <c r="U822" s="58" t="str">
        <f t="shared" si="44"/>
        <v/>
      </c>
      <c r="V822" s="58">
        <f>IF(AND($B822&lt;&gt;"",$F822&lt;&gt;"",$F822=项目明细账!$C$2),N(V821)+1,N(V821))</f>
        <v>0</v>
      </c>
      <c r="W822" s="63" t="str">
        <f>IF($H822&lt;&gt;"","项目成本",IFERROR(INDEX(基础资料!$W$4:$W$49,MATCH($I822,基础资料!$V$4:$V$49,0)),""))</f>
        <v/>
      </c>
      <c r="X822" s="63" t="str">
        <f>IFERROR(INDEX(基础资料!$R$4:$R$17,MATCH($G822,基础资料!$Q$4:$Q$17,0)),"")</f>
        <v/>
      </c>
    </row>
    <row r="823" spans="1:24">
      <c r="A823" s="58" t="str">
        <f>IF($B823="","",COUNTA($B$5:$B823))</f>
        <v/>
      </c>
      <c r="B823" s="53"/>
      <c r="C823" s="46"/>
      <c r="D823" s="63" t="str">
        <f>IFERROR(INDEX(基础资料!$F$4:$F$23,MATCH($C823,基础资料!$E$4:$E$23,0)),IF($C823="","","未匹配账户"))</f>
        <v/>
      </c>
      <c r="E823" s="39"/>
      <c r="F823" s="10"/>
      <c r="G823" s="10"/>
      <c r="H823" s="10"/>
      <c r="I823" s="10"/>
      <c r="J823" s="10"/>
      <c r="K823" s="25"/>
      <c r="L823" s="25"/>
      <c r="M823" s="25" t="str">
        <f>IFERROR(VLOOKUP($C823,$C$5:$M$24,11,0)+SUMIF($C$25:$C823,$C823,$K$25:$K823)-SUMIF($C$25:$C823,$C823,$L$25:$L823),"")</f>
        <v/>
      </c>
      <c r="N823" s="10"/>
      <c r="O823" s="10"/>
      <c r="P823" s="65"/>
      <c r="Q823" s="10"/>
      <c r="R823" s="10"/>
      <c r="S823" s="54" t="str">
        <f t="shared" si="42"/>
        <v/>
      </c>
      <c r="T823" s="54" t="str">
        <f t="shared" si="43"/>
        <v/>
      </c>
      <c r="U823" s="58" t="str">
        <f t="shared" si="44"/>
        <v/>
      </c>
      <c r="V823" s="58">
        <f>IF(AND($B823&lt;&gt;"",$F823&lt;&gt;"",$F823=项目明细账!$C$2),N(V822)+1,N(V822))</f>
        <v>0</v>
      </c>
      <c r="W823" s="63" t="str">
        <f>IF($H823&lt;&gt;"","项目成本",IFERROR(INDEX(基础资料!$W$4:$W$49,MATCH($I823,基础资料!$V$4:$V$49,0)),""))</f>
        <v/>
      </c>
      <c r="X823" s="63" t="str">
        <f>IFERROR(INDEX(基础资料!$R$4:$R$17,MATCH($G823,基础资料!$Q$4:$Q$17,0)),"")</f>
        <v/>
      </c>
    </row>
    <row r="824" spans="1:24">
      <c r="A824" s="58" t="str">
        <f>IF($B824="","",COUNTA($B$5:$B824))</f>
        <v/>
      </c>
      <c r="B824" s="53"/>
      <c r="C824" s="46"/>
      <c r="D824" s="63" t="str">
        <f>IFERROR(INDEX(基础资料!$F$4:$F$23,MATCH($C824,基础资料!$E$4:$E$23,0)),IF($C824="","","未匹配账户"))</f>
        <v/>
      </c>
      <c r="E824" s="39"/>
      <c r="F824" s="10"/>
      <c r="G824" s="10"/>
      <c r="H824" s="10"/>
      <c r="I824" s="10"/>
      <c r="J824" s="10"/>
      <c r="K824" s="25"/>
      <c r="L824" s="25"/>
      <c r="M824" s="25" t="str">
        <f>IFERROR(VLOOKUP($C824,$C$5:$M$24,11,0)+SUMIF($C$25:$C824,$C824,$K$25:$K824)-SUMIF($C$25:$C824,$C824,$L$25:$L824),"")</f>
        <v/>
      </c>
      <c r="N824" s="10"/>
      <c r="O824" s="10"/>
      <c r="P824" s="65"/>
      <c r="Q824" s="10"/>
      <c r="R824" s="10"/>
      <c r="S824" s="54" t="str">
        <f t="shared" si="42"/>
        <v/>
      </c>
      <c r="T824" s="54" t="str">
        <f t="shared" si="43"/>
        <v/>
      </c>
      <c r="U824" s="58" t="str">
        <f t="shared" si="44"/>
        <v/>
      </c>
      <c r="V824" s="58">
        <f>IF(AND($B824&lt;&gt;"",$F824&lt;&gt;"",$F824=项目明细账!$C$2),N(V823)+1,N(V823))</f>
        <v>0</v>
      </c>
      <c r="W824" s="63" t="str">
        <f>IF($H824&lt;&gt;"","项目成本",IFERROR(INDEX(基础资料!$W$4:$W$49,MATCH($I824,基础资料!$V$4:$V$49,0)),""))</f>
        <v/>
      </c>
      <c r="X824" s="63" t="str">
        <f>IFERROR(INDEX(基础资料!$R$4:$R$17,MATCH($G824,基础资料!$Q$4:$Q$17,0)),"")</f>
        <v/>
      </c>
    </row>
    <row r="825" spans="1:24">
      <c r="A825" s="58" t="str">
        <f>IF($B825="","",COUNTA($B$5:$B825))</f>
        <v/>
      </c>
      <c r="B825" s="53"/>
      <c r="C825" s="46"/>
      <c r="D825" s="63" t="str">
        <f>IFERROR(INDEX(基础资料!$F$4:$F$23,MATCH($C825,基础资料!$E$4:$E$23,0)),IF($C825="","","未匹配账户"))</f>
        <v/>
      </c>
      <c r="E825" s="39"/>
      <c r="F825" s="10"/>
      <c r="G825" s="10"/>
      <c r="H825" s="10"/>
      <c r="I825" s="10"/>
      <c r="J825" s="10"/>
      <c r="K825" s="25"/>
      <c r="L825" s="25"/>
      <c r="M825" s="25" t="str">
        <f>IFERROR(VLOOKUP($C825,$C$5:$M$24,11,0)+SUMIF($C$25:$C825,$C825,$K$25:$K825)-SUMIF($C$25:$C825,$C825,$L$25:$L825),"")</f>
        <v/>
      </c>
      <c r="N825" s="10"/>
      <c r="O825" s="10"/>
      <c r="P825" s="65"/>
      <c r="Q825" s="10"/>
      <c r="R825" s="10"/>
      <c r="S825" s="54" t="str">
        <f t="shared" si="42"/>
        <v/>
      </c>
      <c r="T825" s="54" t="str">
        <f t="shared" si="43"/>
        <v/>
      </c>
      <c r="U825" s="58" t="str">
        <f t="shared" si="44"/>
        <v/>
      </c>
      <c r="V825" s="58">
        <f>IF(AND($B825&lt;&gt;"",$F825&lt;&gt;"",$F825=项目明细账!$C$2),N(V824)+1,N(V824))</f>
        <v>0</v>
      </c>
      <c r="W825" s="63" t="str">
        <f>IF($H825&lt;&gt;"","项目成本",IFERROR(INDEX(基础资料!$W$4:$W$49,MATCH($I825,基础资料!$V$4:$V$49,0)),""))</f>
        <v/>
      </c>
      <c r="X825" s="63" t="str">
        <f>IFERROR(INDEX(基础资料!$R$4:$R$17,MATCH($G825,基础资料!$Q$4:$Q$17,0)),"")</f>
        <v/>
      </c>
    </row>
    <row r="826" spans="1:24">
      <c r="A826" s="58" t="str">
        <f>IF($B826="","",COUNTA($B$5:$B826))</f>
        <v/>
      </c>
      <c r="B826" s="53"/>
      <c r="C826" s="46"/>
      <c r="D826" s="63" t="str">
        <f>IFERROR(INDEX(基础资料!$F$4:$F$23,MATCH($C826,基础资料!$E$4:$E$23,0)),IF($C826="","","未匹配账户"))</f>
        <v/>
      </c>
      <c r="E826" s="39"/>
      <c r="F826" s="10"/>
      <c r="G826" s="10"/>
      <c r="H826" s="10"/>
      <c r="I826" s="10"/>
      <c r="J826" s="10"/>
      <c r="K826" s="25"/>
      <c r="L826" s="25"/>
      <c r="M826" s="25" t="str">
        <f>IFERROR(VLOOKUP($C826,$C$5:$M$24,11,0)+SUMIF($C$25:$C826,$C826,$K$25:$K826)-SUMIF($C$25:$C826,$C826,$L$25:$L826),"")</f>
        <v/>
      </c>
      <c r="N826" s="10"/>
      <c r="O826" s="10"/>
      <c r="P826" s="65"/>
      <c r="Q826" s="10"/>
      <c r="R826" s="10"/>
      <c r="S826" s="54" t="str">
        <f t="shared" si="42"/>
        <v/>
      </c>
      <c r="T826" s="54" t="str">
        <f t="shared" si="43"/>
        <v/>
      </c>
      <c r="U826" s="58" t="str">
        <f t="shared" si="44"/>
        <v/>
      </c>
      <c r="V826" s="58">
        <f>IF(AND($B826&lt;&gt;"",$F826&lt;&gt;"",$F826=项目明细账!$C$2),N(V825)+1,N(V825))</f>
        <v>0</v>
      </c>
      <c r="W826" s="63" t="str">
        <f>IF($H826&lt;&gt;"","项目成本",IFERROR(INDEX(基础资料!$W$4:$W$49,MATCH($I826,基础资料!$V$4:$V$49,0)),""))</f>
        <v/>
      </c>
      <c r="X826" s="63" t="str">
        <f>IFERROR(INDEX(基础资料!$R$4:$R$17,MATCH($G826,基础资料!$Q$4:$Q$17,0)),"")</f>
        <v/>
      </c>
    </row>
    <row r="827" spans="1:24">
      <c r="A827" s="58" t="str">
        <f>IF($B827="","",COUNTA($B$5:$B827))</f>
        <v/>
      </c>
      <c r="B827" s="53"/>
      <c r="C827" s="46"/>
      <c r="D827" s="63" t="str">
        <f>IFERROR(INDEX(基础资料!$F$4:$F$23,MATCH($C827,基础资料!$E$4:$E$23,0)),IF($C827="","","未匹配账户"))</f>
        <v/>
      </c>
      <c r="E827" s="39"/>
      <c r="F827" s="10"/>
      <c r="G827" s="10"/>
      <c r="H827" s="10"/>
      <c r="I827" s="10"/>
      <c r="J827" s="10"/>
      <c r="K827" s="25"/>
      <c r="L827" s="25"/>
      <c r="M827" s="25" t="str">
        <f>IFERROR(VLOOKUP($C827,$C$5:$M$24,11,0)+SUMIF($C$25:$C827,$C827,$K$25:$K827)-SUMIF($C$25:$C827,$C827,$L$25:$L827),"")</f>
        <v/>
      </c>
      <c r="N827" s="10"/>
      <c r="O827" s="10"/>
      <c r="P827" s="65"/>
      <c r="Q827" s="10"/>
      <c r="R827" s="10"/>
      <c r="S827" s="54" t="str">
        <f t="shared" si="42"/>
        <v/>
      </c>
      <c r="T827" s="54" t="str">
        <f t="shared" si="43"/>
        <v/>
      </c>
      <c r="U827" s="58" t="str">
        <f t="shared" si="44"/>
        <v/>
      </c>
      <c r="V827" s="58">
        <f>IF(AND($B827&lt;&gt;"",$F827&lt;&gt;"",$F827=项目明细账!$C$2),N(V826)+1,N(V826))</f>
        <v>0</v>
      </c>
      <c r="W827" s="63" t="str">
        <f>IF($H827&lt;&gt;"","项目成本",IFERROR(INDEX(基础资料!$W$4:$W$49,MATCH($I827,基础资料!$V$4:$V$49,0)),""))</f>
        <v/>
      </c>
      <c r="X827" s="63" t="str">
        <f>IFERROR(INDEX(基础资料!$R$4:$R$17,MATCH($G827,基础资料!$Q$4:$Q$17,0)),"")</f>
        <v/>
      </c>
    </row>
    <row r="828" spans="1:24">
      <c r="A828" s="58" t="str">
        <f>IF($B828="","",COUNTA($B$5:$B828))</f>
        <v/>
      </c>
      <c r="B828" s="53"/>
      <c r="C828" s="46"/>
      <c r="D828" s="63" t="str">
        <f>IFERROR(INDEX(基础资料!$F$4:$F$23,MATCH($C828,基础资料!$E$4:$E$23,0)),IF($C828="","","未匹配账户"))</f>
        <v/>
      </c>
      <c r="E828" s="39"/>
      <c r="F828" s="10"/>
      <c r="G828" s="10"/>
      <c r="H828" s="10"/>
      <c r="I828" s="10"/>
      <c r="J828" s="10"/>
      <c r="K828" s="25"/>
      <c r="L828" s="25"/>
      <c r="M828" s="25" t="str">
        <f>IFERROR(VLOOKUP($C828,$C$5:$M$24,11,0)+SUMIF($C$25:$C828,$C828,$K$25:$K828)-SUMIF($C$25:$C828,$C828,$L$25:$L828),"")</f>
        <v/>
      </c>
      <c r="N828" s="10"/>
      <c r="O828" s="10"/>
      <c r="P828" s="65"/>
      <c r="Q828" s="10"/>
      <c r="R828" s="10"/>
      <c r="S828" s="54" t="str">
        <f t="shared" si="42"/>
        <v/>
      </c>
      <c r="T828" s="54" t="str">
        <f t="shared" si="43"/>
        <v/>
      </c>
      <c r="U828" s="58" t="str">
        <f t="shared" si="44"/>
        <v/>
      </c>
      <c r="V828" s="58">
        <f>IF(AND($B828&lt;&gt;"",$F828&lt;&gt;"",$F828=项目明细账!$C$2),N(V827)+1,N(V827))</f>
        <v>0</v>
      </c>
      <c r="W828" s="63" t="str">
        <f>IF($H828&lt;&gt;"","项目成本",IFERROR(INDEX(基础资料!$W$4:$W$49,MATCH($I828,基础资料!$V$4:$V$49,0)),""))</f>
        <v/>
      </c>
      <c r="X828" s="63" t="str">
        <f>IFERROR(INDEX(基础资料!$R$4:$R$17,MATCH($G828,基础资料!$Q$4:$Q$17,0)),"")</f>
        <v/>
      </c>
    </row>
    <row r="829" spans="1:24">
      <c r="A829" s="58" t="str">
        <f>IF($B829="","",COUNTA($B$5:$B829))</f>
        <v/>
      </c>
      <c r="B829" s="53"/>
      <c r="C829" s="46"/>
      <c r="D829" s="63" t="str">
        <f>IFERROR(INDEX(基础资料!$F$4:$F$23,MATCH($C829,基础资料!$E$4:$E$23,0)),IF($C829="","","未匹配账户"))</f>
        <v/>
      </c>
      <c r="E829" s="39"/>
      <c r="F829" s="10"/>
      <c r="G829" s="10"/>
      <c r="H829" s="10"/>
      <c r="I829" s="10"/>
      <c r="J829" s="10"/>
      <c r="K829" s="25"/>
      <c r="L829" s="25"/>
      <c r="M829" s="25" t="str">
        <f>IFERROR(VLOOKUP($C829,$C$5:$M$24,11,0)+SUMIF($C$25:$C829,$C829,$K$25:$K829)-SUMIF($C$25:$C829,$C829,$L$25:$L829),"")</f>
        <v/>
      </c>
      <c r="N829" s="10"/>
      <c r="O829" s="10"/>
      <c r="P829" s="65"/>
      <c r="Q829" s="10"/>
      <c r="R829" s="10"/>
      <c r="S829" s="54" t="str">
        <f t="shared" si="42"/>
        <v/>
      </c>
      <c r="T829" s="54" t="str">
        <f t="shared" si="43"/>
        <v/>
      </c>
      <c r="U829" s="58" t="str">
        <f t="shared" si="44"/>
        <v/>
      </c>
      <c r="V829" s="58">
        <f>IF(AND($B829&lt;&gt;"",$F829&lt;&gt;"",$F829=项目明细账!$C$2),N(V828)+1,N(V828))</f>
        <v>0</v>
      </c>
      <c r="W829" s="63" t="str">
        <f>IF($H829&lt;&gt;"","项目成本",IFERROR(INDEX(基础资料!$W$4:$W$49,MATCH($I829,基础资料!$V$4:$V$49,0)),""))</f>
        <v/>
      </c>
      <c r="X829" s="63" t="str">
        <f>IFERROR(INDEX(基础资料!$R$4:$R$17,MATCH($G829,基础资料!$Q$4:$Q$17,0)),"")</f>
        <v/>
      </c>
    </row>
    <row r="830" spans="1:24">
      <c r="A830" s="58" t="str">
        <f>IF($B830="","",COUNTA($B$5:$B830))</f>
        <v/>
      </c>
      <c r="B830" s="53"/>
      <c r="C830" s="46"/>
      <c r="D830" s="63" t="str">
        <f>IFERROR(INDEX(基础资料!$F$4:$F$23,MATCH($C830,基础资料!$E$4:$E$23,0)),IF($C830="","","未匹配账户"))</f>
        <v/>
      </c>
      <c r="E830" s="39"/>
      <c r="F830" s="10"/>
      <c r="G830" s="10"/>
      <c r="H830" s="10"/>
      <c r="I830" s="10"/>
      <c r="J830" s="10"/>
      <c r="K830" s="25"/>
      <c r="L830" s="25"/>
      <c r="M830" s="25" t="str">
        <f>IFERROR(VLOOKUP($C830,$C$5:$M$24,11,0)+SUMIF($C$25:$C830,$C830,$K$25:$K830)-SUMIF($C$25:$C830,$C830,$L$25:$L830),"")</f>
        <v/>
      </c>
      <c r="N830" s="10"/>
      <c r="O830" s="10"/>
      <c r="P830" s="65"/>
      <c r="Q830" s="10"/>
      <c r="R830" s="10"/>
      <c r="S830" s="54" t="str">
        <f t="shared" si="42"/>
        <v/>
      </c>
      <c r="T830" s="54" t="str">
        <f t="shared" si="43"/>
        <v/>
      </c>
      <c r="U830" s="58" t="str">
        <f t="shared" si="44"/>
        <v/>
      </c>
      <c r="V830" s="58">
        <f>IF(AND($B830&lt;&gt;"",$F830&lt;&gt;"",$F830=项目明细账!$C$2),N(V829)+1,N(V829))</f>
        <v>0</v>
      </c>
      <c r="W830" s="63" t="str">
        <f>IF($H830&lt;&gt;"","项目成本",IFERROR(INDEX(基础资料!$W$4:$W$49,MATCH($I830,基础资料!$V$4:$V$49,0)),""))</f>
        <v/>
      </c>
      <c r="X830" s="63" t="str">
        <f>IFERROR(INDEX(基础资料!$R$4:$R$17,MATCH($G830,基础资料!$Q$4:$Q$17,0)),"")</f>
        <v/>
      </c>
    </row>
    <row r="831" spans="1:24">
      <c r="A831" s="58" t="str">
        <f>IF($B831="","",COUNTA($B$5:$B831))</f>
        <v/>
      </c>
      <c r="B831" s="53"/>
      <c r="C831" s="46"/>
      <c r="D831" s="63" t="str">
        <f>IFERROR(INDEX(基础资料!$F$4:$F$23,MATCH($C831,基础资料!$E$4:$E$23,0)),IF($C831="","","未匹配账户"))</f>
        <v/>
      </c>
      <c r="E831" s="39"/>
      <c r="F831" s="10"/>
      <c r="G831" s="10"/>
      <c r="H831" s="10"/>
      <c r="I831" s="10"/>
      <c r="J831" s="10"/>
      <c r="K831" s="25"/>
      <c r="L831" s="25"/>
      <c r="M831" s="25" t="str">
        <f>IFERROR(VLOOKUP($C831,$C$5:$M$24,11,0)+SUMIF($C$25:$C831,$C831,$K$25:$K831)-SUMIF($C$25:$C831,$C831,$L$25:$L831),"")</f>
        <v/>
      </c>
      <c r="N831" s="10"/>
      <c r="O831" s="10"/>
      <c r="P831" s="65"/>
      <c r="Q831" s="10"/>
      <c r="R831" s="10"/>
      <c r="S831" s="54" t="str">
        <f t="shared" si="42"/>
        <v/>
      </c>
      <c r="T831" s="54" t="str">
        <f t="shared" si="43"/>
        <v/>
      </c>
      <c r="U831" s="58" t="str">
        <f t="shared" si="44"/>
        <v/>
      </c>
      <c r="V831" s="58">
        <f>IF(AND($B831&lt;&gt;"",$F831&lt;&gt;"",$F831=项目明细账!$C$2),N(V830)+1,N(V830))</f>
        <v>0</v>
      </c>
      <c r="W831" s="63" t="str">
        <f>IF($H831&lt;&gt;"","项目成本",IFERROR(INDEX(基础资料!$W$4:$W$49,MATCH($I831,基础资料!$V$4:$V$49,0)),""))</f>
        <v/>
      </c>
      <c r="X831" s="63" t="str">
        <f>IFERROR(INDEX(基础资料!$R$4:$R$17,MATCH($G831,基础资料!$Q$4:$Q$17,0)),"")</f>
        <v/>
      </c>
    </row>
    <row r="832" spans="1:24">
      <c r="A832" s="58" t="str">
        <f>IF($B832="","",COUNTA($B$5:$B832))</f>
        <v/>
      </c>
      <c r="B832" s="53"/>
      <c r="C832" s="46"/>
      <c r="D832" s="63" t="str">
        <f>IFERROR(INDEX(基础资料!$F$4:$F$23,MATCH($C832,基础资料!$E$4:$E$23,0)),IF($C832="","","未匹配账户"))</f>
        <v/>
      </c>
      <c r="E832" s="39"/>
      <c r="F832" s="10"/>
      <c r="G832" s="10"/>
      <c r="H832" s="10"/>
      <c r="I832" s="10"/>
      <c r="J832" s="10"/>
      <c r="K832" s="25"/>
      <c r="L832" s="25"/>
      <c r="M832" s="25" t="str">
        <f>IFERROR(VLOOKUP($C832,$C$5:$M$24,11,0)+SUMIF($C$25:$C832,$C832,$K$25:$K832)-SUMIF($C$25:$C832,$C832,$L$25:$L832),"")</f>
        <v/>
      </c>
      <c r="N832" s="10"/>
      <c r="O832" s="10"/>
      <c r="P832" s="65"/>
      <c r="Q832" s="10"/>
      <c r="R832" s="10"/>
      <c r="S832" s="54" t="str">
        <f t="shared" si="42"/>
        <v/>
      </c>
      <c r="T832" s="54" t="str">
        <f t="shared" si="43"/>
        <v/>
      </c>
      <c r="U832" s="58" t="str">
        <f t="shared" si="44"/>
        <v/>
      </c>
      <c r="V832" s="58">
        <f>IF(AND($B832&lt;&gt;"",$F832&lt;&gt;"",$F832=项目明细账!$C$2),N(V831)+1,N(V831))</f>
        <v>0</v>
      </c>
      <c r="W832" s="63" t="str">
        <f>IF($H832&lt;&gt;"","项目成本",IFERROR(INDEX(基础资料!$W$4:$W$49,MATCH($I832,基础资料!$V$4:$V$49,0)),""))</f>
        <v/>
      </c>
      <c r="X832" s="63" t="str">
        <f>IFERROR(INDEX(基础资料!$R$4:$R$17,MATCH($G832,基础资料!$Q$4:$Q$17,0)),"")</f>
        <v/>
      </c>
    </row>
    <row r="833" spans="1:24">
      <c r="A833" s="58" t="str">
        <f>IF($B833="","",COUNTA($B$5:$B833))</f>
        <v/>
      </c>
      <c r="B833" s="53"/>
      <c r="C833" s="46"/>
      <c r="D833" s="63" t="str">
        <f>IFERROR(INDEX(基础资料!$F$4:$F$23,MATCH($C833,基础资料!$E$4:$E$23,0)),IF($C833="","","未匹配账户"))</f>
        <v/>
      </c>
      <c r="E833" s="39"/>
      <c r="F833" s="10"/>
      <c r="G833" s="10"/>
      <c r="H833" s="10"/>
      <c r="I833" s="10"/>
      <c r="J833" s="10"/>
      <c r="K833" s="25"/>
      <c r="L833" s="25"/>
      <c r="M833" s="25" t="str">
        <f>IFERROR(VLOOKUP($C833,$C$5:$M$24,11,0)+SUMIF($C$25:$C833,$C833,$K$25:$K833)-SUMIF($C$25:$C833,$C833,$L$25:$L833),"")</f>
        <v/>
      </c>
      <c r="N833" s="10"/>
      <c r="O833" s="10"/>
      <c r="P833" s="65"/>
      <c r="Q833" s="10"/>
      <c r="R833" s="10"/>
      <c r="S833" s="54" t="str">
        <f t="shared" si="42"/>
        <v/>
      </c>
      <c r="T833" s="54" t="str">
        <f t="shared" si="43"/>
        <v/>
      </c>
      <c r="U833" s="58" t="str">
        <f t="shared" si="44"/>
        <v/>
      </c>
      <c r="V833" s="58">
        <f>IF(AND($B833&lt;&gt;"",$F833&lt;&gt;"",$F833=项目明细账!$C$2),N(V832)+1,N(V832))</f>
        <v>0</v>
      </c>
      <c r="W833" s="63" t="str">
        <f>IF($H833&lt;&gt;"","项目成本",IFERROR(INDEX(基础资料!$W$4:$W$49,MATCH($I833,基础资料!$V$4:$V$49,0)),""))</f>
        <v/>
      </c>
      <c r="X833" s="63" t="str">
        <f>IFERROR(INDEX(基础资料!$R$4:$R$17,MATCH($G833,基础资料!$Q$4:$Q$17,0)),"")</f>
        <v/>
      </c>
    </row>
    <row r="834" spans="1:24">
      <c r="A834" s="58" t="str">
        <f>IF($B834="","",COUNTA($B$5:$B834))</f>
        <v/>
      </c>
      <c r="B834" s="53"/>
      <c r="C834" s="46"/>
      <c r="D834" s="63" t="str">
        <f>IFERROR(INDEX(基础资料!$F$4:$F$23,MATCH($C834,基础资料!$E$4:$E$23,0)),IF($C834="","","未匹配账户"))</f>
        <v/>
      </c>
      <c r="E834" s="39"/>
      <c r="F834" s="10"/>
      <c r="G834" s="10"/>
      <c r="H834" s="10"/>
      <c r="I834" s="10"/>
      <c r="J834" s="10"/>
      <c r="K834" s="25"/>
      <c r="L834" s="25"/>
      <c r="M834" s="25" t="str">
        <f>IFERROR(VLOOKUP($C834,$C$5:$M$24,11,0)+SUMIF($C$25:$C834,$C834,$K$25:$K834)-SUMIF($C$25:$C834,$C834,$L$25:$L834),"")</f>
        <v/>
      </c>
      <c r="N834" s="10"/>
      <c r="O834" s="10"/>
      <c r="P834" s="65"/>
      <c r="Q834" s="10"/>
      <c r="R834" s="10"/>
      <c r="S834" s="54" t="str">
        <f t="shared" si="42"/>
        <v/>
      </c>
      <c r="T834" s="54" t="str">
        <f t="shared" si="43"/>
        <v/>
      </c>
      <c r="U834" s="58" t="str">
        <f t="shared" si="44"/>
        <v/>
      </c>
      <c r="V834" s="58">
        <f>IF(AND($B834&lt;&gt;"",$F834&lt;&gt;"",$F834=项目明细账!$C$2),N(V833)+1,N(V833))</f>
        <v>0</v>
      </c>
      <c r="W834" s="63" t="str">
        <f>IF($H834&lt;&gt;"","项目成本",IFERROR(INDEX(基础资料!$W$4:$W$49,MATCH($I834,基础资料!$V$4:$V$49,0)),""))</f>
        <v/>
      </c>
      <c r="X834" s="63" t="str">
        <f>IFERROR(INDEX(基础资料!$R$4:$R$17,MATCH($G834,基础资料!$Q$4:$Q$17,0)),"")</f>
        <v/>
      </c>
    </row>
    <row r="835" spans="1:24">
      <c r="A835" s="58" t="str">
        <f>IF($B835="","",COUNTA($B$5:$B835))</f>
        <v/>
      </c>
      <c r="B835" s="53"/>
      <c r="C835" s="46"/>
      <c r="D835" s="63" t="str">
        <f>IFERROR(INDEX(基础资料!$F$4:$F$23,MATCH($C835,基础资料!$E$4:$E$23,0)),IF($C835="","","未匹配账户"))</f>
        <v/>
      </c>
      <c r="E835" s="39"/>
      <c r="F835" s="10"/>
      <c r="G835" s="10"/>
      <c r="H835" s="10"/>
      <c r="I835" s="10"/>
      <c r="J835" s="10"/>
      <c r="K835" s="25"/>
      <c r="L835" s="25"/>
      <c r="M835" s="25" t="str">
        <f>IFERROR(VLOOKUP($C835,$C$5:$M$24,11,0)+SUMIF($C$25:$C835,$C835,$K$25:$K835)-SUMIF($C$25:$C835,$C835,$L$25:$L835),"")</f>
        <v/>
      </c>
      <c r="N835" s="10"/>
      <c r="O835" s="10"/>
      <c r="P835" s="65"/>
      <c r="Q835" s="10"/>
      <c r="R835" s="10"/>
      <c r="S835" s="54" t="str">
        <f t="shared" si="42"/>
        <v/>
      </c>
      <c r="T835" s="54" t="str">
        <f t="shared" si="43"/>
        <v/>
      </c>
      <c r="U835" s="58" t="str">
        <f t="shared" si="44"/>
        <v/>
      </c>
      <c r="V835" s="58">
        <f>IF(AND($B835&lt;&gt;"",$F835&lt;&gt;"",$F835=项目明细账!$C$2),N(V834)+1,N(V834))</f>
        <v>0</v>
      </c>
      <c r="W835" s="63" t="str">
        <f>IF($H835&lt;&gt;"","项目成本",IFERROR(INDEX(基础资料!$W$4:$W$49,MATCH($I835,基础资料!$V$4:$V$49,0)),""))</f>
        <v/>
      </c>
      <c r="X835" s="63" t="str">
        <f>IFERROR(INDEX(基础资料!$R$4:$R$17,MATCH($G835,基础资料!$Q$4:$Q$17,0)),"")</f>
        <v/>
      </c>
    </row>
    <row r="836" spans="1:24">
      <c r="A836" s="58" t="str">
        <f>IF($B836="","",COUNTA($B$5:$B836))</f>
        <v/>
      </c>
      <c r="B836" s="53"/>
      <c r="C836" s="46"/>
      <c r="D836" s="63" t="str">
        <f>IFERROR(INDEX(基础资料!$F$4:$F$23,MATCH($C836,基础资料!$E$4:$E$23,0)),IF($C836="","","未匹配账户"))</f>
        <v/>
      </c>
      <c r="E836" s="39"/>
      <c r="F836" s="10"/>
      <c r="G836" s="10"/>
      <c r="H836" s="10"/>
      <c r="I836" s="10"/>
      <c r="J836" s="10"/>
      <c r="K836" s="25"/>
      <c r="L836" s="25"/>
      <c r="M836" s="25" t="str">
        <f>IFERROR(VLOOKUP($C836,$C$5:$M$24,11,0)+SUMIF($C$25:$C836,$C836,$K$25:$K836)-SUMIF($C$25:$C836,$C836,$L$25:$L836),"")</f>
        <v/>
      </c>
      <c r="N836" s="10"/>
      <c r="O836" s="10"/>
      <c r="P836" s="65"/>
      <c r="Q836" s="10"/>
      <c r="R836" s="10"/>
      <c r="S836" s="54" t="str">
        <f t="shared" si="42"/>
        <v/>
      </c>
      <c r="T836" s="54" t="str">
        <f t="shared" si="43"/>
        <v/>
      </c>
      <c r="U836" s="58" t="str">
        <f t="shared" si="44"/>
        <v/>
      </c>
      <c r="V836" s="58">
        <f>IF(AND($B836&lt;&gt;"",$F836&lt;&gt;"",$F836=项目明细账!$C$2),N(V835)+1,N(V835))</f>
        <v>0</v>
      </c>
      <c r="W836" s="63" t="str">
        <f>IF($H836&lt;&gt;"","项目成本",IFERROR(INDEX(基础资料!$W$4:$W$49,MATCH($I836,基础资料!$V$4:$V$49,0)),""))</f>
        <v/>
      </c>
      <c r="X836" s="63" t="str">
        <f>IFERROR(INDEX(基础资料!$R$4:$R$17,MATCH($G836,基础资料!$Q$4:$Q$17,0)),"")</f>
        <v/>
      </c>
    </row>
    <row r="837" spans="1:24">
      <c r="A837" s="58" t="str">
        <f>IF($B837="","",COUNTA($B$5:$B837))</f>
        <v/>
      </c>
      <c r="B837" s="53"/>
      <c r="C837" s="46"/>
      <c r="D837" s="63" t="str">
        <f>IFERROR(INDEX(基础资料!$F$4:$F$23,MATCH($C837,基础资料!$E$4:$E$23,0)),IF($C837="","","未匹配账户"))</f>
        <v/>
      </c>
      <c r="E837" s="39"/>
      <c r="F837" s="10"/>
      <c r="G837" s="10"/>
      <c r="H837" s="10"/>
      <c r="I837" s="10"/>
      <c r="J837" s="10"/>
      <c r="K837" s="25"/>
      <c r="L837" s="25"/>
      <c r="M837" s="25" t="str">
        <f>IFERROR(VLOOKUP($C837,$C$5:$M$24,11,0)+SUMIF($C$25:$C837,$C837,$K$25:$K837)-SUMIF($C$25:$C837,$C837,$L$25:$L837),"")</f>
        <v/>
      </c>
      <c r="N837" s="10"/>
      <c r="O837" s="10"/>
      <c r="P837" s="65"/>
      <c r="Q837" s="10"/>
      <c r="R837" s="10"/>
      <c r="S837" s="54" t="str">
        <f t="shared" si="42"/>
        <v/>
      </c>
      <c r="T837" s="54" t="str">
        <f t="shared" si="43"/>
        <v/>
      </c>
      <c r="U837" s="58" t="str">
        <f t="shared" si="44"/>
        <v/>
      </c>
      <c r="V837" s="58">
        <f>IF(AND($B837&lt;&gt;"",$F837&lt;&gt;"",$F837=项目明细账!$C$2),N(V836)+1,N(V836))</f>
        <v>0</v>
      </c>
      <c r="W837" s="63" t="str">
        <f>IF($H837&lt;&gt;"","项目成本",IFERROR(INDEX(基础资料!$W$4:$W$49,MATCH($I837,基础资料!$V$4:$V$49,0)),""))</f>
        <v/>
      </c>
      <c r="X837" s="63" t="str">
        <f>IFERROR(INDEX(基础资料!$R$4:$R$17,MATCH($G837,基础资料!$Q$4:$Q$17,0)),"")</f>
        <v/>
      </c>
    </row>
    <row r="838" spans="1:24">
      <c r="A838" s="58" t="str">
        <f>IF($B838="","",COUNTA($B$5:$B838))</f>
        <v/>
      </c>
      <c r="B838" s="53"/>
      <c r="C838" s="46"/>
      <c r="D838" s="63" t="str">
        <f>IFERROR(INDEX(基础资料!$F$4:$F$23,MATCH($C838,基础资料!$E$4:$E$23,0)),IF($C838="","","未匹配账户"))</f>
        <v/>
      </c>
      <c r="E838" s="39"/>
      <c r="F838" s="10"/>
      <c r="G838" s="10"/>
      <c r="H838" s="10"/>
      <c r="I838" s="10"/>
      <c r="J838" s="10"/>
      <c r="K838" s="25"/>
      <c r="L838" s="25"/>
      <c r="M838" s="25" t="str">
        <f>IFERROR(VLOOKUP($C838,$C$5:$M$24,11,0)+SUMIF($C$25:$C838,$C838,$K$25:$K838)-SUMIF($C$25:$C838,$C838,$L$25:$L838),"")</f>
        <v/>
      </c>
      <c r="N838" s="10"/>
      <c r="O838" s="10"/>
      <c r="P838" s="65"/>
      <c r="Q838" s="10"/>
      <c r="R838" s="10"/>
      <c r="S838" s="54" t="str">
        <f t="shared" si="42"/>
        <v/>
      </c>
      <c r="T838" s="54" t="str">
        <f t="shared" si="43"/>
        <v/>
      </c>
      <c r="U838" s="58" t="str">
        <f t="shared" si="44"/>
        <v/>
      </c>
      <c r="V838" s="58">
        <f>IF(AND($B838&lt;&gt;"",$F838&lt;&gt;"",$F838=项目明细账!$C$2),N(V837)+1,N(V837))</f>
        <v>0</v>
      </c>
      <c r="W838" s="63" t="str">
        <f>IF($H838&lt;&gt;"","项目成本",IFERROR(INDEX(基础资料!$W$4:$W$49,MATCH($I838,基础资料!$V$4:$V$49,0)),""))</f>
        <v/>
      </c>
      <c r="X838" s="63" t="str">
        <f>IFERROR(INDEX(基础资料!$R$4:$R$17,MATCH($G838,基础资料!$Q$4:$Q$17,0)),"")</f>
        <v/>
      </c>
    </row>
    <row r="839" spans="1:24">
      <c r="A839" s="58" t="str">
        <f>IF($B839="","",COUNTA($B$5:$B839))</f>
        <v/>
      </c>
      <c r="B839" s="53"/>
      <c r="C839" s="46"/>
      <c r="D839" s="63" t="str">
        <f>IFERROR(INDEX(基础资料!$F$4:$F$23,MATCH($C839,基础资料!$E$4:$E$23,0)),IF($C839="","","未匹配账户"))</f>
        <v/>
      </c>
      <c r="E839" s="39"/>
      <c r="F839" s="10"/>
      <c r="G839" s="10"/>
      <c r="H839" s="10"/>
      <c r="I839" s="10"/>
      <c r="J839" s="10"/>
      <c r="K839" s="25"/>
      <c r="L839" s="25"/>
      <c r="M839" s="25" t="str">
        <f>IFERROR(VLOOKUP($C839,$C$5:$M$24,11,0)+SUMIF($C$25:$C839,$C839,$K$25:$K839)-SUMIF($C$25:$C839,$C839,$L$25:$L839),"")</f>
        <v/>
      </c>
      <c r="N839" s="10"/>
      <c r="O839" s="10"/>
      <c r="P839" s="65"/>
      <c r="Q839" s="10"/>
      <c r="R839" s="10"/>
      <c r="S839" s="54" t="str">
        <f t="shared" ref="S839:S902" si="45">IF($B839="","",--TEXT($B839,"yyyymm"))</f>
        <v/>
      </c>
      <c r="T839" s="54" t="str">
        <f t="shared" ref="T839:T902" si="46">IF($B839="","",IF($P839="",$S839,IFERROR($P839*1,$P839)))</f>
        <v/>
      </c>
      <c r="U839" s="58" t="str">
        <f t="shared" ref="U839:U902" si="47">IF($B839="","",IF($T839=$S839,"","跨期"))</f>
        <v/>
      </c>
      <c r="V839" s="58">
        <f>IF(AND($B839&lt;&gt;"",$F839&lt;&gt;"",$F839=项目明细账!$C$2),N(V838)+1,N(V838))</f>
        <v>0</v>
      </c>
      <c r="W839" s="63" t="str">
        <f>IF($H839&lt;&gt;"","项目成本",IFERROR(INDEX(基础资料!$W$4:$W$49,MATCH($I839,基础资料!$V$4:$V$49,0)),""))</f>
        <v/>
      </c>
      <c r="X839" s="63" t="str">
        <f>IFERROR(INDEX(基础资料!$R$4:$R$17,MATCH($G839,基础资料!$Q$4:$Q$17,0)),"")</f>
        <v/>
      </c>
    </row>
    <row r="840" spans="1:24">
      <c r="A840" s="58" t="str">
        <f>IF($B840="","",COUNTA($B$5:$B840))</f>
        <v/>
      </c>
      <c r="B840" s="53"/>
      <c r="C840" s="46"/>
      <c r="D840" s="63" t="str">
        <f>IFERROR(INDEX(基础资料!$F$4:$F$23,MATCH($C840,基础资料!$E$4:$E$23,0)),IF($C840="","","未匹配账户"))</f>
        <v/>
      </c>
      <c r="E840" s="39"/>
      <c r="F840" s="10"/>
      <c r="G840" s="10"/>
      <c r="H840" s="10"/>
      <c r="I840" s="10"/>
      <c r="J840" s="10"/>
      <c r="K840" s="25"/>
      <c r="L840" s="25"/>
      <c r="M840" s="25" t="str">
        <f>IFERROR(VLOOKUP($C840,$C$5:$M$24,11,0)+SUMIF($C$25:$C840,$C840,$K$25:$K840)-SUMIF($C$25:$C840,$C840,$L$25:$L840),"")</f>
        <v/>
      </c>
      <c r="N840" s="10"/>
      <c r="O840" s="10"/>
      <c r="P840" s="65"/>
      <c r="Q840" s="10"/>
      <c r="R840" s="10"/>
      <c r="S840" s="54" t="str">
        <f t="shared" si="45"/>
        <v/>
      </c>
      <c r="T840" s="54" t="str">
        <f t="shared" si="46"/>
        <v/>
      </c>
      <c r="U840" s="58" t="str">
        <f t="shared" si="47"/>
        <v/>
      </c>
      <c r="V840" s="58">
        <f>IF(AND($B840&lt;&gt;"",$F840&lt;&gt;"",$F840=项目明细账!$C$2),N(V839)+1,N(V839))</f>
        <v>0</v>
      </c>
      <c r="W840" s="63" t="str">
        <f>IF($H840&lt;&gt;"","项目成本",IFERROR(INDEX(基础资料!$W$4:$W$49,MATCH($I840,基础资料!$V$4:$V$49,0)),""))</f>
        <v/>
      </c>
      <c r="X840" s="63" t="str">
        <f>IFERROR(INDEX(基础资料!$R$4:$R$17,MATCH($G840,基础资料!$Q$4:$Q$17,0)),"")</f>
        <v/>
      </c>
    </row>
    <row r="841" spans="1:24">
      <c r="A841" s="58" t="str">
        <f>IF($B841="","",COUNTA($B$5:$B841))</f>
        <v/>
      </c>
      <c r="B841" s="53"/>
      <c r="C841" s="46"/>
      <c r="D841" s="63" t="str">
        <f>IFERROR(INDEX(基础资料!$F$4:$F$23,MATCH($C841,基础资料!$E$4:$E$23,0)),IF($C841="","","未匹配账户"))</f>
        <v/>
      </c>
      <c r="E841" s="39"/>
      <c r="F841" s="10"/>
      <c r="G841" s="10"/>
      <c r="H841" s="10"/>
      <c r="I841" s="10"/>
      <c r="J841" s="10"/>
      <c r="K841" s="25"/>
      <c r="L841" s="25"/>
      <c r="M841" s="25" t="str">
        <f>IFERROR(VLOOKUP($C841,$C$5:$M$24,11,0)+SUMIF($C$25:$C841,$C841,$K$25:$K841)-SUMIF($C$25:$C841,$C841,$L$25:$L841),"")</f>
        <v/>
      </c>
      <c r="N841" s="10"/>
      <c r="O841" s="10"/>
      <c r="P841" s="65"/>
      <c r="Q841" s="10"/>
      <c r="R841" s="10"/>
      <c r="S841" s="54" t="str">
        <f t="shared" si="45"/>
        <v/>
      </c>
      <c r="T841" s="54" t="str">
        <f t="shared" si="46"/>
        <v/>
      </c>
      <c r="U841" s="58" t="str">
        <f t="shared" si="47"/>
        <v/>
      </c>
      <c r="V841" s="58">
        <f>IF(AND($B841&lt;&gt;"",$F841&lt;&gt;"",$F841=项目明细账!$C$2),N(V840)+1,N(V840))</f>
        <v>0</v>
      </c>
      <c r="W841" s="63" t="str">
        <f>IF($H841&lt;&gt;"","项目成本",IFERROR(INDEX(基础资料!$W$4:$W$49,MATCH($I841,基础资料!$V$4:$V$49,0)),""))</f>
        <v/>
      </c>
      <c r="X841" s="63" t="str">
        <f>IFERROR(INDEX(基础资料!$R$4:$R$17,MATCH($G841,基础资料!$Q$4:$Q$17,0)),"")</f>
        <v/>
      </c>
    </row>
    <row r="842" spans="1:24">
      <c r="A842" s="58" t="str">
        <f>IF($B842="","",COUNTA($B$5:$B842))</f>
        <v/>
      </c>
      <c r="B842" s="53"/>
      <c r="C842" s="46"/>
      <c r="D842" s="63" t="str">
        <f>IFERROR(INDEX(基础资料!$F$4:$F$23,MATCH($C842,基础资料!$E$4:$E$23,0)),IF($C842="","","未匹配账户"))</f>
        <v/>
      </c>
      <c r="E842" s="39"/>
      <c r="F842" s="10"/>
      <c r="G842" s="10"/>
      <c r="H842" s="10"/>
      <c r="I842" s="10"/>
      <c r="J842" s="10"/>
      <c r="K842" s="25"/>
      <c r="L842" s="25"/>
      <c r="M842" s="25" t="str">
        <f>IFERROR(VLOOKUP($C842,$C$5:$M$24,11,0)+SUMIF($C$25:$C842,$C842,$K$25:$K842)-SUMIF($C$25:$C842,$C842,$L$25:$L842),"")</f>
        <v/>
      </c>
      <c r="N842" s="10"/>
      <c r="O842" s="10"/>
      <c r="P842" s="65"/>
      <c r="Q842" s="10"/>
      <c r="R842" s="10"/>
      <c r="S842" s="54" t="str">
        <f t="shared" si="45"/>
        <v/>
      </c>
      <c r="T842" s="54" t="str">
        <f t="shared" si="46"/>
        <v/>
      </c>
      <c r="U842" s="58" t="str">
        <f t="shared" si="47"/>
        <v/>
      </c>
      <c r="V842" s="58">
        <f>IF(AND($B842&lt;&gt;"",$F842&lt;&gt;"",$F842=项目明细账!$C$2),N(V841)+1,N(V841))</f>
        <v>0</v>
      </c>
      <c r="W842" s="63" t="str">
        <f>IF($H842&lt;&gt;"","项目成本",IFERROR(INDEX(基础资料!$W$4:$W$49,MATCH($I842,基础资料!$V$4:$V$49,0)),""))</f>
        <v/>
      </c>
      <c r="X842" s="63" t="str">
        <f>IFERROR(INDEX(基础资料!$R$4:$R$17,MATCH($G842,基础资料!$Q$4:$Q$17,0)),"")</f>
        <v/>
      </c>
    </row>
    <row r="843" spans="1:24">
      <c r="A843" s="58" t="str">
        <f>IF($B843="","",COUNTA($B$5:$B843))</f>
        <v/>
      </c>
      <c r="B843" s="53"/>
      <c r="C843" s="46"/>
      <c r="D843" s="63" t="str">
        <f>IFERROR(INDEX(基础资料!$F$4:$F$23,MATCH($C843,基础资料!$E$4:$E$23,0)),IF($C843="","","未匹配账户"))</f>
        <v/>
      </c>
      <c r="E843" s="39"/>
      <c r="F843" s="10"/>
      <c r="G843" s="10"/>
      <c r="H843" s="10"/>
      <c r="I843" s="10"/>
      <c r="J843" s="10"/>
      <c r="K843" s="25"/>
      <c r="L843" s="25"/>
      <c r="M843" s="25" t="str">
        <f>IFERROR(VLOOKUP($C843,$C$5:$M$24,11,0)+SUMIF($C$25:$C843,$C843,$K$25:$K843)-SUMIF($C$25:$C843,$C843,$L$25:$L843),"")</f>
        <v/>
      </c>
      <c r="N843" s="10"/>
      <c r="O843" s="10"/>
      <c r="P843" s="65"/>
      <c r="Q843" s="10"/>
      <c r="R843" s="10"/>
      <c r="S843" s="54" t="str">
        <f t="shared" si="45"/>
        <v/>
      </c>
      <c r="T843" s="54" t="str">
        <f t="shared" si="46"/>
        <v/>
      </c>
      <c r="U843" s="58" t="str">
        <f t="shared" si="47"/>
        <v/>
      </c>
      <c r="V843" s="58">
        <f>IF(AND($B843&lt;&gt;"",$F843&lt;&gt;"",$F843=项目明细账!$C$2),N(V842)+1,N(V842))</f>
        <v>0</v>
      </c>
      <c r="W843" s="63" t="str">
        <f>IF($H843&lt;&gt;"","项目成本",IFERROR(INDEX(基础资料!$W$4:$W$49,MATCH($I843,基础资料!$V$4:$V$49,0)),""))</f>
        <v/>
      </c>
      <c r="X843" s="63" t="str">
        <f>IFERROR(INDEX(基础资料!$R$4:$R$17,MATCH($G843,基础资料!$Q$4:$Q$17,0)),"")</f>
        <v/>
      </c>
    </row>
    <row r="844" spans="1:24">
      <c r="A844" s="58" t="str">
        <f>IF($B844="","",COUNTA($B$5:$B844))</f>
        <v/>
      </c>
      <c r="B844" s="53"/>
      <c r="C844" s="46"/>
      <c r="D844" s="63" t="str">
        <f>IFERROR(INDEX(基础资料!$F$4:$F$23,MATCH($C844,基础资料!$E$4:$E$23,0)),IF($C844="","","未匹配账户"))</f>
        <v/>
      </c>
      <c r="E844" s="39"/>
      <c r="F844" s="10"/>
      <c r="G844" s="10"/>
      <c r="H844" s="10"/>
      <c r="I844" s="10"/>
      <c r="J844" s="10"/>
      <c r="K844" s="25"/>
      <c r="L844" s="25"/>
      <c r="M844" s="25" t="str">
        <f>IFERROR(VLOOKUP($C844,$C$5:$M$24,11,0)+SUMIF($C$25:$C844,$C844,$K$25:$K844)-SUMIF($C$25:$C844,$C844,$L$25:$L844),"")</f>
        <v/>
      </c>
      <c r="N844" s="10"/>
      <c r="O844" s="10"/>
      <c r="P844" s="65"/>
      <c r="Q844" s="10"/>
      <c r="R844" s="10"/>
      <c r="S844" s="54" t="str">
        <f t="shared" si="45"/>
        <v/>
      </c>
      <c r="T844" s="54" t="str">
        <f t="shared" si="46"/>
        <v/>
      </c>
      <c r="U844" s="58" t="str">
        <f t="shared" si="47"/>
        <v/>
      </c>
      <c r="V844" s="58">
        <f>IF(AND($B844&lt;&gt;"",$F844&lt;&gt;"",$F844=项目明细账!$C$2),N(V843)+1,N(V843))</f>
        <v>0</v>
      </c>
      <c r="W844" s="63" t="str">
        <f>IF($H844&lt;&gt;"","项目成本",IFERROR(INDEX(基础资料!$W$4:$W$49,MATCH($I844,基础资料!$V$4:$V$49,0)),""))</f>
        <v/>
      </c>
      <c r="X844" s="63" t="str">
        <f>IFERROR(INDEX(基础资料!$R$4:$R$17,MATCH($G844,基础资料!$Q$4:$Q$17,0)),"")</f>
        <v/>
      </c>
    </row>
    <row r="845" spans="1:24">
      <c r="A845" s="58" t="str">
        <f>IF($B845="","",COUNTA($B$5:$B845))</f>
        <v/>
      </c>
      <c r="B845" s="53"/>
      <c r="C845" s="46"/>
      <c r="D845" s="63" t="str">
        <f>IFERROR(INDEX(基础资料!$F$4:$F$23,MATCH($C845,基础资料!$E$4:$E$23,0)),IF($C845="","","未匹配账户"))</f>
        <v/>
      </c>
      <c r="E845" s="39"/>
      <c r="F845" s="10"/>
      <c r="G845" s="10"/>
      <c r="H845" s="10"/>
      <c r="I845" s="10"/>
      <c r="J845" s="10"/>
      <c r="K845" s="25"/>
      <c r="L845" s="25"/>
      <c r="M845" s="25" t="str">
        <f>IFERROR(VLOOKUP($C845,$C$5:$M$24,11,0)+SUMIF($C$25:$C845,$C845,$K$25:$K845)-SUMIF($C$25:$C845,$C845,$L$25:$L845),"")</f>
        <v/>
      </c>
      <c r="N845" s="10"/>
      <c r="O845" s="10"/>
      <c r="P845" s="65"/>
      <c r="Q845" s="10"/>
      <c r="R845" s="10"/>
      <c r="S845" s="54" t="str">
        <f t="shared" si="45"/>
        <v/>
      </c>
      <c r="T845" s="54" t="str">
        <f t="shared" si="46"/>
        <v/>
      </c>
      <c r="U845" s="58" t="str">
        <f t="shared" si="47"/>
        <v/>
      </c>
      <c r="V845" s="58">
        <f>IF(AND($B845&lt;&gt;"",$F845&lt;&gt;"",$F845=项目明细账!$C$2),N(V844)+1,N(V844))</f>
        <v>0</v>
      </c>
      <c r="W845" s="63" t="str">
        <f>IF($H845&lt;&gt;"","项目成本",IFERROR(INDEX(基础资料!$W$4:$W$49,MATCH($I845,基础资料!$V$4:$V$49,0)),""))</f>
        <v/>
      </c>
      <c r="X845" s="63" t="str">
        <f>IFERROR(INDEX(基础资料!$R$4:$R$17,MATCH($G845,基础资料!$Q$4:$Q$17,0)),"")</f>
        <v/>
      </c>
    </row>
    <row r="846" spans="1:24">
      <c r="A846" s="58" t="str">
        <f>IF($B846="","",COUNTA($B$5:$B846))</f>
        <v/>
      </c>
      <c r="B846" s="53"/>
      <c r="C846" s="46"/>
      <c r="D846" s="63" t="str">
        <f>IFERROR(INDEX(基础资料!$F$4:$F$23,MATCH($C846,基础资料!$E$4:$E$23,0)),IF($C846="","","未匹配账户"))</f>
        <v/>
      </c>
      <c r="E846" s="39"/>
      <c r="F846" s="10"/>
      <c r="G846" s="10"/>
      <c r="H846" s="10"/>
      <c r="I846" s="10"/>
      <c r="J846" s="10"/>
      <c r="K846" s="25"/>
      <c r="L846" s="25"/>
      <c r="M846" s="25" t="str">
        <f>IFERROR(VLOOKUP($C846,$C$5:$M$24,11,0)+SUMIF($C$25:$C846,$C846,$K$25:$K846)-SUMIF($C$25:$C846,$C846,$L$25:$L846),"")</f>
        <v/>
      </c>
      <c r="N846" s="10"/>
      <c r="O846" s="10"/>
      <c r="P846" s="65"/>
      <c r="Q846" s="10"/>
      <c r="R846" s="10"/>
      <c r="S846" s="54" t="str">
        <f t="shared" si="45"/>
        <v/>
      </c>
      <c r="T846" s="54" t="str">
        <f t="shared" si="46"/>
        <v/>
      </c>
      <c r="U846" s="58" t="str">
        <f t="shared" si="47"/>
        <v/>
      </c>
      <c r="V846" s="58">
        <f>IF(AND($B846&lt;&gt;"",$F846&lt;&gt;"",$F846=项目明细账!$C$2),N(V845)+1,N(V845))</f>
        <v>0</v>
      </c>
      <c r="W846" s="63" t="str">
        <f>IF($H846&lt;&gt;"","项目成本",IFERROR(INDEX(基础资料!$W$4:$W$49,MATCH($I846,基础资料!$V$4:$V$49,0)),""))</f>
        <v/>
      </c>
      <c r="X846" s="63" t="str">
        <f>IFERROR(INDEX(基础资料!$R$4:$R$17,MATCH($G846,基础资料!$Q$4:$Q$17,0)),"")</f>
        <v/>
      </c>
    </row>
    <row r="847" spans="1:24">
      <c r="A847" s="58" t="str">
        <f>IF($B847="","",COUNTA($B$5:$B847))</f>
        <v/>
      </c>
      <c r="B847" s="53"/>
      <c r="C847" s="46"/>
      <c r="D847" s="63" t="str">
        <f>IFERROR(INDEX(基础资料!$F$4:$F$23,MATCH($C847,基础资料!$E$4:$E$23,0)),IF($C847="","","未匹配账户"))</f>
        <v/>
      </c>
      <c r="E847" s="39"/>
      <c r="F847" s="10"/>
      <c r="G847" s="10"/>
      <c r="H847" s="10"/>
      <c r="I847" s="10"/>
      <c r="J847" s="10"/>
      <c r="K847" s="25"/>
      <c r="L847" s="25"/>
      <c r="M847" s="25" t="str">
        <f>IFERROR(VLOOKUP($C847,$C$5:$M$24,11,0)+SUMIF($C$25:$C847,$C847,$K$25:$K847)-SUMIF($C$25:$C847,$C847,$L$25:$L847),"")</f>
        <v/>
      </c>
      <c r="N847" s="10"/>
      <c r="O847" s="10"/>
      <c r="P847" s="65"/>
      <c r="Q847" s="10"/>
      <c r="R847" s="10"/>
      <c r="S847" s="54" t="str">
        <f t="shared" si="45"/>
        <v/>
      </c>
      <c r="T847" s="54" t="str">
        <f t="shared" si="46"/>
        <v/>
      </c>
      <c r="U847" s="58" t="str">
        <f t="shared" si="47"/>
        <v/>
      </c>
      <c r="V847" s="58">
        <f>IF(AND($B847&lt;&gt;"",$F847&lt;&gt;"",$F847=项目明细账!$C$2),N(V846)+1,N(V846))</f>
        <v>0</v>
      </c>
      <c r="W847" s="63" t="str">
        <f>IF($H847&lt;&gt;"","项目成本",IFERROR(INDEX(基础资料!$W$4:$W$49,MATCH($I847,基础资料!$V$4:$V$49,0)),""))</f>
        <v/>
      </c>
      <c r="X847" s="63" t="str">
        <f>IFERROR(INDEX(基础资料!$R$4:$R$17,MATCH($G847,基础资料!$Q$4:$Q$17,0)),"")</f>
        <v/>
      </c>
    </row>
    <row r="848" spans="1:24">
      <c r="A848" s="58" t="str">
        <f>IF($B848="","",COUNTA($B$5:$B848))</f>
        <v/>
      </c>
      <c r="B848" s="53"/>
      <c r="C848" s="46"/>
      <c r="D848" s="63" t="str">
        <f>IFERROR(INDEX(基础资料!$F$4:$F$23,MATCH($C848,基础资料!$E$4:$E$23,0)),IF($C848="","","未匹配账户"))</f>
        <v/>
      </c>
      <c r="E848" s="39"/>
      <c r="F848" s="10"/>
      <c r="G848" s="10"/>
      <c r="H848" s="10"/>
      <c r="I848" s="10"/>
      <c r="J848" s="10"/>
      <c r="K848" s="25"/>
      <c r="L848" s="25"/>
      <c r="M848" s="25" t="str">
        <f>IFERROR(VLOOKUP($C848,$C$5:$M$24,11,0)+SUMIF($C$25:$C848,$C848,$K$25:$K848)-SUMIF($C$25:$C848,$C848,$L$25:$L848),"")</f>
        <v/>
      </c>
      <c r="N848" s="10"/>
      <c r="O848" s="10"/>
      <c r="P848" s="65"/>
      <c r="Q848" s="10"/>
      <c r="R848" s="10"/>
      <c r="S848" s="54" t="str">
        <f t="shared" si="45"/>
        <v/>
      </c>
      <c r="T848" s="54" t="str">
        <f t="shared" si="46"/>
        <v/>
      </c>
      <c r="U848" s="58" t="str">
        <f t="shared" si="47"/>
        <v/>
      </c>
      <c r="V848" s="58">
        <f>IF(AND($B848&lt;&gt;"",$F848&lt;&gt;"",$F848=项目明细账!$C$2),N(V847)+1,N(V847))</f>
        <v>0</v>
      </c>
      <c r="W848" s="63" t="str">
        <f>IF($H848&lt;&gt;"","项目成本",IFERROR(INDEX(基础资料!$W$4:$W$49,MATCH($I848,基础资料!$V$4:$V$49,0)),""))</f>
        <v/>
      </c>
      <c r="X848" s="63" t="str">
        <f>IFERROR(INDEX(基础资料!$R$4:$R$17,MATCH($G848,基础资料!$Q$4:$Q$17,0)),"")</f>
        <v/>
      </c>
    </row>
    <row r="849" spans="1:24">
      <c r="A849" s="58" t="str">
        <f>IF($B849="","",COUNTA($B$5:$B849))</f>
        <v/>
      </c>
      <c r="B849" s="53"/>
      <c r="C849" s="46"/>
      <c r="D849" s="63" t="str">
        <f>IFERROR(INDEX(基础资料!$F$4:$F$23,MATCH($C849,基础资料!$E$4:$E$23,0)),IF($C849="","","未匹配账户"))</f>
        <v/>
      </c>
      <c r="E849" s="39"/>
      <c r="F849" s="10"/>
      <c r="G849" s="10"/>
      <c r="H849" s="10"/>
      <c r="I849" s="10"/>
      <c r="J849" s="10"/>
      <c r="K849" s="25"/>
      <c r="L849" s="25"/>
      <c r="M849" s="25" t="str">
        <f>IFERROR(VLOOKUP($C849,$C$5:$M$24,11,0)+SUMIF($C$25:$C849,$C849,$K$25:$K849)-SUMIF($C$25:$C849,$C849,$L$25:$L849),"")</f>
        <v/>
      </c>
      <c r="N849" s="10"/>
      <c r="O849" s="10"/>
      <c r="P849" s="65"/>
      <c r="Q849" s="10"/>
      <c r="R849" s="10"/>
      <c r="S849" s="54" t="str">
        <f t="shared" si="45"/>
        <v/>
      </c>
      <c r="T849" s="54" t="str">
        <f t="shared" si="46"/>
        <v/>
      </c>
      <c r="U849" s="58" t="str">
        <f t="shared" si="47"/>
        <v/>
      </c>
      <c r="V849" s="58">
        <f>IF(AND($B849&lt;&gt;"",$F849&lt;&gt;"",$F849=项目明细账!$C$2),N(V848)+1,N(V848))</f>
        <v>0</v>
      </c>
      <c r="W849" s="63" t="str">
        <f>IF($H849&lt;&gt;"","项目成本",IFERROR(INDEX(基础资料!$W$4:$W$49,MATCH($I849,基础资料!$V$4:$V$49,0)),""))</f>
        <v/>
      </c>
      <c r="X849" s="63" t="str">
        <f>IFERROR(INDEX(基础资料!$R$4:$R$17,MATCH($G849,基础资料!$Q$4:$Q$17,0)),"")</f>
        <v/>
      </c>
    </row>
    <row r="850" spans="1:24">
      <c r="A850" s="58" t="str">
        <f>IF($B850="","",COUNTA($B$5:$B850))</f>
        <v/>
      </c>
      <c r="B850" s="53"/>
      <c r="C850" s="46"/>
      <c r="D850" s="63" t="str">
        <f>IFERROR(INDEX(基础资料!$F$4:$F$23,MATCH($C850,基础资料!$E$4:$E$23,0)),IF($C850="","","未匹配账户"))</f>
        <v/>
      </c>
      <c r="E850" s="39"/>
      <c r="F850" s="10"/>
      <c r="G850" s="10"/>
      <c r="H850" s="10"/>
      <c r="I850" s="10"/>
      <c r="J850" s="10"/>
      <c r="K850" s="25"/>
      <c r="L850" s="25"/>
      <c r="M850" s="25" t="str">
        <f>IFERROR(VLOOKUP($C850,$C$5:$M$24,11,0)+SUMIF($C$25:$C850,$C850,$K$25:$K850)-SUMIF($C$25:$C850,$C850,$L$25:$L850),"")</f>
        <v/>
      </c>
      <c r="N850" s="10"/>
      <c r="O850" s="10"/>
      <c r="P850" s="65"/>
      <c r="Q850" s="10"/>
      <c r="R850" s="10"/>
      <c r="S850" s="54" t="str">
        <f t="shared" si="45"/>
        <v/>
      </c>
      <c r="T850" s="54" t="str">
        <f t="shared" si="46"/>
        <v/>
      </c>
      <c r="U850" s="58" t="str">
        <f t="shared" si="47"/>
        <v/>
      </c>
      <c r="V850" s="58">
        <f>IF(AND($B850&lt;&gt;"",$F850&lt;&gt;"",$F850=项目明细账!$C$2),N(V849)+1,N(V849))</f>
        <v>0</v>
      </c>
      <c r="W850" s="63" t="str">
        <f>IF($H850&lt;&gt;"","项目成本",IFERROR(INDEX(基础资料!$W$4:$W$49,MATCH($I850,基础资料!$V$4:$V$49,0)),""))</f>
        <v/>
      </c>
      <c r="X850" s="63" t="str">
        <f>IFERROR(INDEX(基础资料!$R$4:$R$17,MATCH($G850,基础资料!$Q$4:$Q$17,0)),"")</f>
        <v/>
      </c>
    </row>
    <row r="851" spans="1:24">
      <c r="A851" s="58" t="str">
        <f>IF($B851="","",COUNTA($B$5:$B851))</f>
        <v/>
      </c>
      <c r="B851" s="53"/>
      <c r="C851" s="46"/>
      <c r="D851" s="63" t="str">
        <f>IFERROR(INDEX(基础资料!$F$4:$F$23,MATCH($C851,基础资料!$E$4:$E$23,0)),IF($C851="","","未匹配账户"))</f>
        <v/>
      </c>
      <c r="E851" s="39"/>
      <c r="F851" s="10"/>
      <c r="G851" s="10"/>
      <c r="H851" s="10"/>
      <c r="I851" s="10"/>
      <c r="J851" s="10"/>
      <c r="K851" s="25"/>
      <c r="L851" s="25"/>
      <c r="M851" s="25" t="str">
        <f>IFERROR(VLOOKUP($C851,$C$5:$M$24,11,0)+SUMIF($C$25:$C851,$C851,$K$25:$K851)-SUMIF($C$25:$C851,$C851,$L$25:$L851),"")</f>
        <v/>
      </c>
      <c r="N851" s="10"/>
      <c r="O851" s="10"/>
      <c r="P851" s="65"/>
      <c r="Q851" s="10"/>
      <c r="R851" s="10"/>
      <c r="S851" s="54" t="str">
        <f t="shared" si="45"/>
        <v/>
      </c>
      <c r="T851" s="54" t="str">
        <f t="shared" si="46"/>
        <v/>
      </c>
      <c r="U851" s="58" t="str">
        <f t="shared" si="47"/>
        <v/>
      </c>
      <c r="V851" s="58">
        <f>IF(AND($B851&lt;&gt;"",$F851&lt;&gt;"",$F851=项目明细账!$C$2),N(V850)+1,N(V850))</f>
        <v>0</v>
      </c>
      <c r="W851" s="63" t="str">
        <f>IF($H851&lt;&gt;"","项目成本",IFERROR(INDEX(基础资料!$W$4:$W$49,MATCH($I851,基础资料!$V$4:$V$49,0)),""))</f>
        <v/>
      </c>
      <c r="X851" s="63" t="str">
        <f>IFERROR(INDEX(基础资料!$R$4:$R$17,MATCH($G851,基础资料!$Q$4:$Q$17,0)),"")</f>
        <v/>
      </c>
    </row>
    <row r="852" spans="1:24">
      <c r="A852" s="58" t="str">
        <f>IF($B852="","",COUNTA($B$5:$B852))</f>
        <v/>
      </c>
      <c r="B852" s="53"/>
      <c r="C852" s="46"/>
      <c r="D852" s="63" t="str">
        <f>IFERROR(INDEX(基础资料!$F$4:$F$23,MATCH($C852,基础资料!$E$4:$E$23,0)),IF($C852="","","未匹配账户"))</f>
        <v/>
      </c>
      <c r="E852" s="39"/>
      <c r="F852" s="10"/>
      <c r="G852" s="10"/>
      <c r="H852" s="10"/>
      <c r="I852" s="10"/>
      <c r="J852" s="10"/>
      <c r="K852" s="25"/>
      <c r="L852" s="25"/>
      <c r="M852" s="25" t="str">
        <f>IFERROR(VLOOKUP($C852,$C$5:$M$24,11,0)+SUMIF($C$25:$C852,$C852,$K$25:$K852)-SUMIF($C$25:$C852,$C852,$L$25:$L852),"")</f>
        <v/>
      </c>
      <c r="N852" s="10"/>
      <c r="O852" s="10"/>
      <c r="P852" s="65"/>
      <c r="Q852" s="10"/>
      <c r="R852" s="10"/>
      <c r="S852" s="54" t="str">
        <f t="shared" si="45"/>
        <v/>
      </c>
      <c r="T852" s="54" t="str">
        <f t="shared" si="46"/>
        <v/>
      </c>
      <c r="U852" s="58" t="str">
        <f t="shared" si="47"/>
        <v/>
      </c>
      <c r="V852" s="58">
        <f>IF(AND($B852&lt;&gt;"",$F852&lt;&gt;"",$F852=项目明细账!$C$2),N(V851)+1,N(V851))</f>
        <v>0</v>
      </c>
      <c r="W852" s="63" t="str">
        <f>IF($H852&lt;&gt;"","项目成本",IFERROR(INDEX(基础资料!$W$4:$W$49,MATCH($I852,基础资料!$V$4:$V$49,0)),""))</f>
        <v/>
      </c>
      <c r="X852" s="63" t="str">
        <f>IFERROR(INDEX(基础资料!$R$4:$R$17,MATCH($G852,基础资料!$Q$4:$Q$17,0)),"")</f>
        <v/>
      </c>
    </row>
    <row r="853" spans="1:24">
      <c r="A853" s="58" t="str">
        <f>IF($B853="","",COUNTA($B$5:$B853))</f>
        <v/>
      </c>
      <c r="B853" s="53"/>
      <c r="C853" s="46"/>
      <c r="D853" s="63" t="str">
        <f>IFERROR(INDEX(基础资料!$F$4:$F$23,MATCH($C853,基础资料!$E$4:$E$23,0)),IF($C853="","","未匹配账户"))</f>
        <v/>
      </c>
      <c r="E853" s="39"/>
      <c r="F853" s="10"/>
      <c r="G853" s="10"/>
      <c r="H853" s="10"/>
      <c r="I853" s="10"/>
      <c r="J853" s="10"/>
      <c r="K853" s="25"/>
      <c r="L853" s="25"/>
      <c r="M853" s="25" t="str">
        <f>IFERROR(VLOOKUP($C853,$C$5:$M$24,11,0)+SUMIF($C$25:$C853,$C853,$K$25:$K853)-SUMIF($C$25:$C853,$C853,$L$25:$L853),"")</f>
        <v/>
      </c>
      <c r="N853" s="10"/>
      <c r="O853" s="10"/>
      <c r="P853" s="65"/>
      <c r="Q853" s="10"/>
      <c r="R853" s="10"/>
      <c r="S853" s="54" t="str">
        <f t="shared" si="45"/>
        <v/>
      </c>
      <c r="T853" s="54" t="str">
        <f t="shared" si="46"/>
        <v/>
      </c>
      <c r="U853" s="58" t="str">
        <f t="shared" si="47"/>
        <v/>
      </c>
      <c r="V853" s="58">
        <f>IF(AND($B853&lt;&gt;"",$F853&lt;&gt;"",$F853=项目明细账!$C$2),N(V852)+1,N(V852))</f>
        <v>0</v>
      </c>
      <c r="W853" s="63" t="str">
        <f>IF($H853&lt;&gt;"","项目成本",IFERROR(INDEX(基础资料!$W$4:$W$49,MATCH($I853,基础资料!$V$4:$V$49,0)),""))</f>
        <v/>
      </c>
      <c r="X853" s="63" t="str">
        <f>IFERROR(INDEX(基础资料!$R$4:$R$17,MATCH($G853,基础资料!$Q$4:$Q$17,0)),"")</f>
        <v/>
      </c>
    </row>
    <row r="854" spans="1:24">
      <c r="A854" s="58" t="str">
        <f>IF($B854="","",COUNTA($B$5:$B854))</f>
        <v/>
      </c>
      <c r="B854" s="53"/>
      <c r="C854" s="46"/>
      <c r="D854" s="63" t="str">
        <f>IFERROR(INDEX(基础资料!$F$4:$F$23,MATCH($C854,基础资料!$E$4:$E$23,0)),IF($C854="","","未匹配账户"))</f>
        <v/>
      </c>
      <c r="E854" s="39"/>
      <c r="F854" s="10"/>
      <c r="G854" s="10"/>
      <c r="H854" s="10"/>
      <c r="I854" s="10"/>
      <c r="J854" s="10"/>
      <c r="K854" s="25"/>
      <c r="L854" s="25"/>
      <c r="M854" s="25" t="str">
        <f>IFERROR(VLOOKUP($C854,$C$5:$M$24,11,0)+SUMIF($C$25:$C854,$C854,$K$25:$K854)-SUMIF($C$25:$C854,$C854,$L$25:$L854),"")</f>
        <v/>
      </c>
      <c r="N854" s="10"/>
      <c r="O854" s="10"/>
      <c r="P854" s="65"/>
      <c r="Q854" s="10"/>
      <c r="R854" s="10"/>
      <c r="S854" s="54" t="str">
        <f t="shared" si="45"/>
        <v/>
      </c>
      <c r="T854" s="54" t="str">
        <f t="shared" si="46"/>
        <v/>
      </c>
      <c r="U854" s="58" t="str">
        <f t="shared" si="47"/>
        <v/>
      </c>
      <c r="V854" s="58">
        <f>IF(AND($B854&lt;&gt;"",$F854&lt;&gt;"",$F854=项目明细账!$C$2),N(V853)+1,N(V853))</f>
        <v>0</v>
      </c>
      <c r="W854" s="63" t="str">
        <f>IF($H854&lt;&gt;"","项目成本",IFERROR(INDEX(基础资料!$W$4:$W$49,MATCH($I854,基础资料!$V$4:$V$49,0)),""))</f>
        <v/>
      </c>
      <c r="X854" s="63" t="str">
        <f>IFERROR(INDEX(基础资料!$R$4:$R$17,MATCH($G854,基础资料!$Q$4:$Q$17,0)),"")</f>
        <v/>
      </c>
    </row>
    <row r="855" spans="1:24">
      <c r="A855" s="58" t="str">
        <f>IF($B855="","",COUNTA($B$5:$B855))</f>
        <v/>
      </c>
      <c r="B855" s="53"/>
      <c r="C855" s="46"/>
      <c r="D855" s="63" t="str">
        <f>IFERROR(INDEX(基础资料!$F$4:$F$23,MATCH($C855,基础资料!$E$4:$E$23,0)),IF($C855="","","未匹配账户"))</f>
        <v/>
      </c>
      <c r="E855" s="39"/>
      <c r="F855" s="10"/>
      <c r="G855" s="10"/>
      <c r="H855" s="10"/>
      <c r="I855" s="10"/>
      <c r="J855" s="10"/>
      <c r="K855" s="25"/>
      <c r="L855" s="25"/>
      <c r="M855" s="25" t="str">
        <f>IFERROR(VLOOKUP($C855,$C$5:$M$24,11,0)+SUMIF($C$25:$C855,$C855,$K$25:$K855)-SUMIF($C$25:$C855,$C855,$L$25:$L855),"")</f>
        <v/>
      </c>
      <c r="N855" s="10"/>
      <c r="O855" s="10"/>
      <c r="P855" s="65"/>
      <c r="Q855" s="10"/>
      <c r="R855" s="10"/>
      <c r="S855" s="54" t="str">
        <f t="shared" si="45"/>
        <v/>
      </c>
      <c r="T855" s="54" t="str">
        <f t="shared" si="46"/>
        <v/>
      </c>
      <c r="U855" s="58" t="str">
        <f t="shared" si="47"/>
        <v/>
      </c>
      <c r="V855" s="58">
        <f>IF(AND($B855&lt;&gt;"",$F855&lt;&gt;"",$F855=项目明细账!$C$2),N(V854)+1,N(V854))</f>
        <v>0</v>
      </c>
      <c r="W855" s="63" t="str">
        <f>IF($H855&lt;&gt;"","项目成本",IFERROR(INDEX(基础资料!$W$4:$W$49,MATCH($I855,基础资料!$V$4:$V$49,0)),""))</f>
        <v/>
      </c>
      <c r="X855" s="63" t="str">
        <f>IFERROR(INDEX(基础资料!$R$4:$R$17,MATCH($G855,基础资料!$Q$4:$Q$17,0)),"")</f>
        <v/>
      </c>
    </row>
    <row r="856" spans="1:24">
      <c r="A856" s="58" t="str">
        <f>IF($B856="","",COUNTA($B$5:$B856))</f>
        <v/>
      </c>
      <c r="B856" s="53"/>
      <c r="C856" s="46"/>
      <c r="D856" s="63" t="str">
        <f>IFERROR(INDEX(基础资料!$F$4:$F$23,MATCH($C856,基础资料!$E$4:$E$23,0)),IF($C856="","","未匹配账户"))</f>
        <v/>
      </c>
      <c r="E856" s="39"/>
      <c r="F856" s="10"/>
      <c r="G856" s="10"/>
      <c r="H856" s="10"/>
      <c r="I856" s="10"/>
      <c r="J856" s="10"/>
      <c r="K856" s="25"/>
      <c r="L856" s="25"/>
      <c r="M856" s="25" t="str">
        <f>IFERROR(VLOOKUP($C856,$C$5:$M$24,11,0)+SUMIF($C$25:$C856,$C856,$K$25:$K856)-SUMIF($C$25:$C856,$C856,$L$25:$L856),"")</f>
        <v/>
      </c>
      <c r="N856" s="10"/>
      <c r="O856" s="10"/>
      <c r="P856" s="65"/>
      <c r="Q856" s="10"/>
      <c r="R856" s="10"/>
      <c r="S856" s="54" t="str">
        <f t="shared" si="45"/>
        <v/>
      </c>
      <c r="T856" s="54" t="str">
        <f t="shared" si="46"/>
        <v/>
      </c>
      <c r="U856" s="58" t="str">
        <f t="shared" si="47"/>
        <v/>
      </c>
      <c r="V856" s="58">
        <f>IF(AND($B856&lt;&gt;"",$F856&lt;&gt;"",$F856=项目明细账!$C$2),N(V855)+1,N(V855))</f>
        <v>0</v>
      </c>
      <c r="W856" s="63" t="str">
        <f>IF($H856&lt;&gt;"","项目成本",IFERROR(INDEX(基础资料!$W$4:$W$49,MATCH($I856,基础资料!$V$4:$V$49,0)),""))</f>
        <v/>
      </c>
      <c r="X856" s="63" t="str">
        <f>IFERROR(INDEX(基础资料!$R$4:$R$17,MATCH($G856,基础资料!$Q$4:$Q$17,0)),"")</f>
        <v/>
      </c>
    </row>
    <row r="857" spans="1:24">
      <c r="A857" s="58" t="str">
        <f>IF($B857="","",COUNTA($B$5:$B857))</f>
        <v/>
      </c>
      <c r="B857" s="53"/>
      <c r="C857" s="46"/>
      <c r="D857" s="63" t="str">
        <f>IFERROR(INDEX(基础资料!$F$4:$F$23,MATCH($C857,基础资料!$E$4:$E$23,0)),IF($C857="","","未匹配账户"))</f>
        <v/>
      </c>
      <c r="E857" s="39"/>
      <c r="F857" s="10"/>
      <c r="G857" s="10"/>
      <c r="H857" s="10"/>
      <c r="I857" s="10"/>
      <c r="J857" s="10"/>
      <c r="K857" s="25"/>
      <c r="L857" s="25"/>
      <c r="M857" s="25" t="str">
        <f>IFERROR(VLOOKUP($C857,$C$5:$M$24,11,0)+SUMIF($C$25:$C857,$C857,$K$25:$K857)-SUMIF($C$25:$C857,$C857,$L$25:$L857),"")</f>
        <v/>
      </c>
      <c r="N857" s="10"/>
      <c r="O857" s="10"/>
      <c r="P857" s="65"/>
      <c r="Q857" s="10"/>
      <c r="R857" s="10"/>
      <c r="S857" s="54" t="str">
        <f t="shared" si="45"/>
        <v/>
      </c>
      <c r="T857" s="54" t="str">
        <f t="shared" si="46"/>
        <v/>
      </c>
      <c r="U857" s="58" t="str">
        <f t="shared" si="47"/>
        <v/>
      </c>
      <c r="V857" s="58">
        <f>IF(AND($B857&lt;&gt;"",$F857&lt;&gt;"",$F857=项目明细账!$C$2),N(V856)+1,N(V856))</f>
        <v>0</v>
      </c>
      <c r="W857" s="63" t="str">
        <f>IF($H857&lt;&gt;"","项目成本",IFERROR(INDEX(基础资料!$W$4:$W$49,MATCH($I857,基础资料!$V$4:$V$49,0)),""))</f>
        <v/>
      </c>
      <c r="X857" s="63" t="str">
        <f>IFERROR(INDEX(基础资料!$R$4:$R$17,MATCH($G857,基础资料!$Q$4:$Q$17,0)),"")</f>
        <v/>
      </c>
    </row>
    <row r="858" spans="1:24">
      <c r="A858" s="58" t="str">
        <f>IF($B858="","",COUNTA($B$5:$B858))</f>
        <v/>
      </c>
      <c r="B858" s="53"/>
      <c r="C858" s="46"/>
      <c r="D858" s="63" t="str">
        <f>IFERROR(INDEX(基础资料!$F$4:$F$23,MATCH($C858,基础资料!$E$4:$E$23,0)),IF($C858="","","未匹配账户"))</f>
        <v/>
      </c>
      <c r="E858" s="39"/>
      <c r="F858" s="10"/>
      <c r="G858" s="10"/>
      <c r="H858" s="10"/>
      <c r="I858" s="10"/>
      <c r="J858" s="10"/>
      <c r="K858" s="25"/>
      <c r="L858" s="25"/>
      <c r="M858" s="25" t="str">
        <f>IFERROR(VLOOKUP($C858,$C$5:$M$24,11,0)+SUMIF($C$25:$C858,$C858,$K$25:$K858)-SUMIF($C$25:$C858,$C858,$L$25:$L858),"")</f>
        <v/>
      </c>
      <c r="N858" s="10"/>
      <c r="O858" s="10"/>
      <c r="P858" s="65"/>
      <c r="Q858" s="10"/>
      <c r="R858" s="10"/>
      <c r="S858" s="54" t="str">
        <f t="shared" si="45"/>
        <v/>
      </c>
      <c r="T858" s="54" t="str">
        <f t="shared" si="46"/>
        <v/>
      </c>
      <c r="U858" s="58" t="str">
        <f t="shared" si="47"/>
        <v/>
      </c>
      <c r="V858" s="58">
        <f>IF(AND($B858&lt;&gt;"",$F858&lt;&gt;"",$F858=项目明细账!$C$2),N(V857)+1,N(V857))</f>
        <v>0</v>
      </c>
      <c r="W858" s="63" t="str">
        <f>IF($H858&lt;&gt;"","项目成本",IFERROR(INDEX(基础资料!$W$4:$W$49,MATCH($I858,基础资料!$V$4:$V$49,0)),""))</f>
        <v/>
      </c>
      <c r="X858" s="63" t="str">
        <f>IFERROR(INDEX(基础资料!$R$4:$R$17,MATCH($G858,基础资料!$Q$4:$Q$17,0)),"")</f>
        <v/>
      </c>
    </row>
    <row r="859" spans="1:24">
      <c r="A859" s="58" t="str">
        <f>IF($B859="","",COUNTA($B$5:$B859))</f>
        <v/>
      </c>
      <c r="B859" s="53"/>
      <c r="C859" s="46"/>
      <c r="D859" s="63" t="str">
        <f>IFERROR(INDEX(基础资料!$F$4:$F$23,MATCH($C859,基础资料!$E$4:$E$23,0)),IF($C859="","","未匹配账户"))</f>
        <v/>
      </c>
      <c r="E859" s="39"/>
      <c r="F859" s="10"/>
      <c r="G859" s="10"/>
      <c r="H859" s="10"/>
      <c r="I859" s="10"/>
      <c r="J859" s="10"/>
      <c r="K859" s="25"/>
      <c r="L859" s="25"/>
      <c r="M859" s="25" t="str">
        <f>IFERROR(VLOOKUP($C859,$C$5:$M$24,11,0)+SUMIF($C$25:$C859,$C859,$K$25:$K859)-SUMIF($C$25:$C859,$C859,$L$25:$L859),"")</f>
        <v/>
      </c>
      <c r="N859" s="10"/>
      <c r="O859" s="10"/>
      <c r="P859" s="65"/>
      <c r="Q859" s="10"/>
      <c r="R859" s="10"/>
      <c r="S859" s="54" t="str">
        <f t="shared" si="45"/>
        <v/>
      </c>
      <c r="T859" s="54" t="str">
        <f t="shared" si="46"/>
        <v/>
      </c>
      <c r="U859" s="58" t="str">
        <f t="shared" si="47"/>
        <v/>
      </c>
      <c r="V859" s="58">
        <f>IF(AND($B859&lt;&gt;"",$F859&lt;&gt;"",$F859=项目明细账!$C$2),N(V858)+1,N(V858))</f>
        <v>0</v>
      </c>
      <c r="W859" s="63" t="str">
        <f>IF($H859&lt;&gt;"","项目成本",IFERROR(INDEX(基础资料!$W$4:$W$49,MATCH($I859,基础资料!$V$4:$V$49,0)),""))</f>
        <v/>
      </c>
      <c r="X859" s="63" t="str">
        <f>IFERROR(INDEX(基础资料!$R$4:$R$17,MATCH($G859,基础资料!$Q$4:$Q$17,0)),"")</f>
        <v/>
      </c>
    </row>
    <row r="860" spans="1:24">
      <c r="A860" s="58" t="str">
        <f>IF($B860="","",COUNTA($B$5:$B860))</f>
        <v/>
      </c>
      <c r="B860" s="53"/>
      <c r="C860" s="46"/>
      <c r="D860" s="63" t="str">
        <f>IFERROR(INDEX(基础资料!$F$4:$F$23,MATCH($C860,基础资料!$E$4:$E$23,0)),IF($C860="","","未匹配账户"))</f>
        <v/>
      </c>
      <c r="E860" s="39"/>
      <c r="F860" s="10"/>
      <c r="G860" s="10"/>
      <c r="H860" s="10"/>
      <c r="I860" s="10"/>
      <c r="J860" s="10"/>
      <c r="K860" s="25"/>
      <c r="L860" s="25"/>
      <c r="M860" s="25" t="str">
        <f>IFERROR(VLOOKUP($C860,$C$5:$M$24,11,0)+SUMIF($C$25:$C860,$C860,$K$25:$K860)-SUMIF($C$25:$C860,$C860,$L$25:$L860),"")</f>
        <v/>
      </c>
      <c r="N860" s="10"/>
      <c r="O860" s="10"/>
      <c r="P860" s="65"/>
      <c r="Q860" s="10"/>
      <c r="R860" s="10"/>
      <c r="S860" s="54" t="str">
        <f t="shared" si="45"/>
        <v/>
      </c>
      <c r="T860" s="54" t="str">
        <f t="shared" si="46"/>
        <v/>
      </c>
      <c r="U860" s="58" t="str">
        <f t="shared" si="47"/>
        <v/>
      </c>
      <c r="V860" s="58">
        <f>IF(AND($B860&lt;&gt;"",$F860&lt;&gt;"",$F860=项目明细账!$C$2),N(V859)+1,N(V859))</f>
        <v>0</v>
      </c>
      <c r="W860" s="63" t="str">
        <f>IF($H860&lt;&gt;"","项目成本",IFERROR(INDEX(基础资料!$W$4:$W$49,MATCH($I860,基础资料!$V$4:$V$49,0)),""))</f>
        <v/>
      </c>
      <c r="X860" s="63" t="str">
        <f>IFERROR(INDEX(基础资料!$R$4:$R$17,MATCH($G860,基础资料!$Q$4:$Q$17,0)),"")</f>
        <v/>
      </c>
    </row>
    <row r="861" spans="1:24">
      <c r="A861" s="58" t="str">
        <f>IF($B861="","",COUNTA($B$5:$B861))</f>
        <v/>
      </c>
      <c r="B861" s="53"/>
      <c r="C861" s="46"/>
      <c r="D861" s="63" t="str">
        <f>IFERROR(INDEX(基础资料!$F$4:$F$23,MATCH($C861,基础资料!$E$4:$E$23,0)),IF($C861="","","未匹配账户"))</f>
        <v/>
      </c>
      <c r="E861" s="39"/>
      <c r="F861" s="10"/>
      <c r="G861" s="10"/>
      <c r="H861" s="10"/>
      <c r="I861" s="10"/>
      <c r="J861" s="10"/>
      <c r="K861" s="25"/>
      <c r="L861" s="25"/>
      <c r="M861" s="25" t="str">
        <f>IFERROR(VLOOKUP($C861,$C$5:$M$24,11,0)+SUMIF($C$25:$C861,$C861,$K$25:$K861)-SUMIF($C$25:$C861,$C861,$L$25:$L861),"")</f>
        <v/>
      </c>
      <c r="N861" s="10"/>
      <c r="O861" s="10"/>
      <c r="P861" s="65"/>
      <c r="Q861" s="10"/>
      <c r="R861" s="10"/>
      <c r="S861" s="54" t="str">
        <f t="shared" si="45"/>
        <v/>
      </c>
      <c r="T861" s="54" t="str">
        <f t="shared" si="46"/>
        <v/>
      </c>
      <c r="U861" s="58" t="str">
        <f t="shared" si="47"/>
        <v/>
      </c>
      <c r="V861" s="58">
        <f>IF(AND($B861&lt;&gt;"",$F861&lt;&gt;"",$F861=项目明细账!$C$2),N(V860)+1,N(V860))</f>
        <v>0</v>
      </c>
      <c r="W861" s="63" t="str">
        <f>IF($H861&lt;&gt;"","项目成本",IFERROR(INDEX(基础资料!$W$4:$W$49,MATCH($I861,基础资料!$V$4:$V$49,0)),""))</f>
        <v/>
      </c>
      <c r="X861" s="63" t="str">
        <f>IFERROR(INDEX(基础资料!$R$4:$R$17,MATCH($G861,基础资料!$Q$4:$Q$17,0)),"")</f>
        <v/>
      </c>
    </row>
    <row r="862" spans="1:24">
      <c r="A862" s="58" t="str">
        <f>IF($B862="","",COUNTA($B$5:$B862))</f>
        <v/>
      </c>
      <c r="B862" s="53"/>
      <c r="C862" s="46"/>
      <c r="D862" s="63" t="str">
        <f>IFERROR(INDEX(基础资料!$F$4:$F$23,MATCH($C862,基础资料!$E$4:$E$23,0)),IF($C862="","","未匹配账户"))</f>
        <v/>
      </c>
      <c r="E862" s="39"/>
      <c r="F862" s="10"/>
      <c r="G862" s="10"/>
      <c r="H862" s="10"/>
      <c r="I862" s="10"/>
      <c r="J862" s="10"/>
      <c r="K862" s="25"/>
      <c r="L862" s="25"/>
      <c r="M862" s="25" t="str">
        <f>IFERROR(VLOOKUP($C862,$C$5:$M$24,11,0)+SUMIF($C$25:$C862,$C862,$K$25:$K862)-SUMIF($C$25:$C862,$C862,$L$25:$L862),"")</f>
        <v/>
      </c>
      <c r="N862" s="10"/>
      <c r="O862" s="10"/>
      <c r="P862" s="65"/>
      <c r="Q862" s="10"/>
      <c r="R862" s="10"/>
      <c r="S862" s="54" t="str">
        <f t="shared" si="45"/>
        <v/>
      </c>
      <c r="T862" s="54" t="str">
        <f t="shared" si="46"/>
        <v/>
      </c>
      <c r="U862" s="58" t="str">
        <f t="shared" si="47"/>
        <v/>
      </c>
      <c r="V862" s="58">
        <f>IF(AND($B862&lt;&gt;"",$F862&lt;&gt;"",$F862=项目明细账!$C$2),N(V861)+1,N(V861))</f>
        <v>0</v>
      </c>
      <c r="W862" s="63" t="str">
        <f>IF($H862&lt;&gt;"","项目成本",IFERROR(INDEX(基础资料!$W$4:$W$49,MATCH($I862,基础资料!$V$4:$V$49,0)),""))</f>
        <v/>
      </c>
      <c r="X862" s="63" t="str">
        <f>IFERROR(INDEX(基础资料!$R$4:$R$17,MATCH($G862,基础资料!$Q$4:$Q$17,0)),"")</f>
        <v/>
      </c>
    </row>
    <row r="863" spans="1:24">
      <c r="A863" s="58" t="str">
        <f>IF($B863="","",COUNTA($B$5:$B863))</f>
        <v/>
      </c>
      <c r="B863" s="53"/>
      <c r="C863" s="46"/>
      <c r="D863" s="63" t="str">
        <f>IFERROR(INDEX(基础资料!$F$4:$F$23,MATCH($C863,基础资料!$E$4:$E$23,0)),IF($C863="","","未匹配账户"))</f>
        <v/>
      </c>
      <c r="E863" s="39"/>
      <c r="F863" s="10"/>
      <c r="G863" s="10"/>
      <c r="H863" s="10"/>
      <c r="I863" s="10"/>
      <c r="J863" s="10"/>
      <c r="K863" s="25"/>
      <c r="L863" s="25"/>
      <c r="M863" s="25" t="str">
        <f>IFERROR(VLOOKUP($C863,$C$5:$M$24,11,0)+SUMIF($C$25:$C863,$C863,$K$25:$K863)-SUMIF($C$25:$C863,$C863,$L$25:$L863),"")</f>
        <v/>
      </c>
      <c r="N863" s="10"/>
      <c r="O863" s="10"/>
      <c r="P863" s="65"/>
      <c r="Q863" s="10"/>
      <c r="R863" s="10"/>
      <c r="S863" s="54" t="str">
        <f t="shared" si="45"/>
        <v/>
      </c>
      <c r="T863" s="54" t="str">
        <f t="shared" si="46"/>
        <v/>
      </c>
      <c r="U863" s="58" t="str">
        <f t="shared" si="47"/>
        <v/>
      </c>
      <c r="V863" s="58">
        <f>IF(AND($B863&lt;&gt;"",$F863&lt;&gt;"",$F863=项目明细账!$C$2),N(V862)+1,N(V862))</f>
        <v>0</v>
      </c>
      <c r="W863" s="63" t="str">
        <f>IF($H863&lt;&gt;"","项目成本",IFERROR(INDEX(基础资料!$W$4:$W$49,MATCH($I863,基础资料!$V$4:$V$49,0)),""))</f>
        <v/>
      </c>
      <c r="X863" s="63" t="str">
        <f>IFERROR(INDEX(基础资料!$R$4:$R$17,MATCH($G863,基础资料!$Q$4:$Q$17,0)),"")</f>
        <v/>
      </c>
    </row>
    <row r="864" spans="1:24">
      <c r="A864" s="58" t="str">
        <f>IF($B864="","",COUNTA($B$5:$B864))</f>
        <v/>
      </c>
      <c r="B864" s="53"/>
      <c r="C864" s="46"/>
      <c r="D864" s="63" t="str">
        <f>IFERROR(INDEX(基础资料!$F$4:$F$23,MATCH($C864,基础资料!$E$4:$E$23,0)),IF($C864="","","未匹配账户"))</f>
        <v/>
      </c>
      <c r="E864" s="39"/>
      <c r="F864" s="10"/>
      <c r="G864" s="10"/>
      <c r="H864" s="10"/>
      <c r="I864" s="10"/>
      <c r="J864" s="10"/>
      <c r="K864" s="25"/>
      <c r="L864" s="25"/>
      <c r="M864" s="25" t="str">
        <f>IFERROR(VLOOKUP($C864,$C$5:$M$24,11,0)+SUMIF($C$25:$C864,$C864,$K$25:$K864)-SUMIF($C$25:$C864,$C864,$L$25:$L864),"")</f>
        <v/>
      </c>
      <c r="N864" s="10"/>
      <c r="O864" s="10"/>
      <c r="P864" s="65"/>
      <c r="Q864" s="10"/>
      <c r="R864" s="10"/>
      <c r="S864" s="54" t="str">
        <f t="shared" si="45"/>
        <v/>
      </c>
      <c r="T864" s="54" t="str">
        <f t="shared" si="46"/>
        <v/>
      </c>
      <c r="U864" s="58" t="str">
        <f t="shared" si="47"/>
        <v/>
      </c>
      <c r="V864" s="58">
        <f>IF(AND($B864&lt;&gt;"",$F864&lt;&gt;"",$F864=项目明细账!$C$2),N(V863)+1,N(V863))</f>
        <v>0</v>
      </c>
      <c r="W864" s="63" t="str">
        <f>IF($H864&lt;&gt;"","项目成本",IFERROR(INDEX(基础资料!$W$4:$W$49,MATCH($I864,基础资料!$V$4:$V$49,0)),""))</f>
        <v/>
      </c>
      <c r="X864" s="63" t="str">
        <f>IFERROR(INDEX(基础资料!$R$4:$R$17,MATCH($G864,基础资料!$Q$4:$Q$17,0)),"")</f>
        <v/>
      </c>
    </row>
    <row r="865" spans="1:24">
      <c r="A865" s="58" t="str">
        <f>IF($B865="","",COUNTA($B$5:$B865))</f>
        <v/>
      </c>
      <c r="B865" s="53"/>
      <c r="C865" s="46"/>
      <c r="D865" s="63" t="str">
        <f>IFERROR(INDEX(基础资料!$F$4:$F$23,MATCH($C865,基础资料!$E$4:$E$23,0)),IF($C865="","","未匹配账户"))</f>
        <v/>
      </c>
      <c r="E865" s="39"/>
      <c r="F865" s="10"/>
      <c r="G865" s="10"/>
      <c r="H865" s="10"/>
      <c r="I865" s="10"/>
      <c r="J865" s="10"/>
      <c r="K865" s="25"/>
      <c r="L865" s="25"/>
      <c r="M865" s="25" t="str">
        <f>IFERROR(VLOOKUP($C865,$C$5:$M$24,11,0)+SUMIF($C$25:$C865,$C865,$K$25:$K865)-SUMIF($C$25:$C865,$C865,$L$25:$L865),"")</f>
        <v/>
      </c>
      <c r="N865" s="10"/>
      <c r="O865" s="10"/>
      <c r="P865" s="65"/>
      <c r="Q865" s="10"/>
      <c r="R865" s="10"/>
      <c r="S865" s="54" t="str">
        <f t="shared" si="45"/>
        <v/>
      </c>
      <c r="T865" s="54" t="str">
        <f t="shared" si="46"/>
        <v/>
      </c>
      <c r="U865" s="58" t="str">
        <f t="shared" si="47"/>
        <v/>
      </c>
      <c r="V865" s="58">
        <f>IF(AND($B865&lt;&gt;"",$F865&lt;&gt;"",$F865=项目明细账!$C$2),N(V864)+1,N(V864))</f>
        <v>0</v>
      </c>
      <c r="W865" s="63" t="str">
        <f>IF($H865&lt;&gt;"","项目成本",IFERROR(INDEX(基础资料!$W$4:$W$49,MATCH($I865,基础资料!$V$4:$V$49,0)),""))</f>
        <v/>
      </c>
      <c r="X865" s="63" t="str">
        <f>IFERROR(INDEX(基础资料!$R$4:$R$17,MATCH($G865,基础资料!$Q$4:$Q$17,0)),"")</f>
        <v/>
      </c>
    </row>
    <row r="866" spans="1:24">
      <c r="A866" s="58" t="str">
        <f>IF($B866="","",COUNTA($B$5:$B866))</f>
        <v/>
      </c>
      <c r="B866" s="53"/>
      <c r="C866" s="46"/>
      <c r="D866" s="63" t="str">
        <f>IFERROR(INDEX(基础资料!$F$4:$F$23,MATCH($C866,基础资料!$E$4:$E$23,0)),IF($C866="","","未匹配账户"))</f>
        <v/>
      </c>
      <c r="E866" s="39"/>
      <c r="F866" s="10"/>
      <c r="G866" s="10"/>
      <c r="H866" s="10"/>
      <c r="I866" s="10"/>
      <c r="J866" s="10"/>
      <c r="K866" s="25"/>
      <c r="L866" s="25"/>
      <c r="M866" s="25" t="str">
        <f>IFERROR(VLOOKUP($C866,$C$5:$M$24,11,0)+SUMIF($C$25:$C866,$C866,$K$25:$K866)-SUMIF($C$25:$C866,$C866,$L$25:$L866),"")</f>
        <v/>
      </c>
      <c r="N866" s="10"/>
      <c r="O866" s="10"/>
      <c r="P866" s="65"/>
      <c r="Q866" s="10"/>
      <c r="R866" s="10"/>
      <c r="S866" s="54" t="str">
        <f t="shared" si="45"/>
        <v/>
      </c>
      <c r="T866" s="54" t="str">
        <f t="shared" si="46"/>
        <v/>
      </c>
      <c r="U866" s="58" t="str">
        <f t="shared" si="47"/>
        <v/>
      </c>
      <c r="V866" s="58">
        <f>IF(AND($B866&lt;&gt;"",$F866&lt;&gt;"",$F866=项目明细账!$C$2),N(V865)+1,N(V865))</f>
        <v>0</v>
      </c>
      <c r="W866" s="63" t="str">
        <f>IF($H866&lt;&gt;"","项目成本",IFERROR(INDEX(基础资料!$W$4:$W$49,MATCH($I866,基础资料!$V$4:$V$49,0)),""))</f>
        <v/>
      </c>
      <c r="X866" s="63" t="str">
        <f>IFERROR(INDEX(基础资料!$R$4:$R$17,MATCH($G866,基础资料!$Q$4:$Q$17,0)),"")</f>
        <v/>
      </c>
    </row>
    <row r="867" spans="1:24">
      <c r="A867" s="58" t="str">
        <f>IF($B867="","",COUNTA($B$5:$B867))</f>
        <v/>
      </c>
      <c r="B867" s="53"/>
      <c r="C867" s="46"/>
      <c r="D867" s="63" t="str">
        <f>IFERROR(INDEX(基础资料!$F$4:$F$23,MATCH($C867,基础资料!$E$4:$E$23,0)),IF($C867="","","未匹配账户"))</f>
        <v/>
      </c>
      <c r="E867" s="39"/>
      <c r="F867" s="10"/>
      <c r="G867" s="10"/>
      <c r="H867" s="10"/>
      <c r="I867" s="10"/>
      <c r="J867" s="10"/>
      <c r="K867" s="25"/>
      <c r="L867" s="25"/>
      <c r="M867" s="25" t="str">
        <f>IFERROR(VLOOKUP($C867,$C$5:$M$24,11,0)+SUMIF($C$25:$C867,$C867,$K$25:$K867)-SUMIF($C$25:$C867,$C867,$L$25:$L867),"")</f>
        <v/>
      </c>
      <c r="N867" s="10"/>
      <c r="O867" s="10"/>
      <c r="P867" s="65"/>
      <c r="Q867" s="10"/>
      <c r="R867" s="10"/>
      <c r="S867" s="54" t="str">
        <f t="shared" si="45"/>
        <v/>
      </c>
      <c r="T867" s="54" t="str">
        <f t="shared" si="46"/>
        <v/>
      </c>
      <c r="U867" s="58" t="str">
        <f t="shared" si="47"/>
        <v/>
      </c>
      <c r="V867" s="58">
        <f>IF(AND($B867&lt;&gt;"",$F867&lt;&gt;"",$F867=项目明细账!$C$2),N(V866)+1,N(V866))</f>
        <v>0</v>
      </c>
      <c r="W867" s="63" t="str">
        <f>IF($H867&lt;&gt;"","项目成本",IFERROR(INDEX(基础资料!$W$4:$W$49,MATCH($I867,基础资料!$V$4:$V$49,0)),""))</f>
        <v/>
      </c>
      <c r="X867" s="63" t="str">
        <f>IFERROR(INDEX(基础资料!$R$4:$R$17,MATCH($G867,基础资料!$Q$4:$Q$17,0)),"")</f>
        <v/>
      </c>
    </row>
    <row r="868" spans="1:24">
      <c r="A868" s="58" t="str">
        <f>IF($B868="","",COUNTA($B$5:$B868))</f>
        <v/>
      </c>
      <c r="B868" s="53"/>
      <c r="C868" s="46"/>
      <c r="D868" s="63" t="str">
        <f>IFERROR(INDEX(基础资料!$F$4:$F$23,MATCH($C868,基础资料!$E$4:$E$23,0)),IF($C868="","","未匹配账户"))</f>
        <v/>
      </c>
      <c r="E868" s="39"/>
      <c r="F868" s="10"/>
      <c r="G868" s="10"/>
      <c r="H868" s="10"/>
      <c r="I868" s="10"/>
      <c r="J868" s="10"/>
      <c r="K868" s="25"/>
      <c r="L868" s="25"/>
      <c r="M868" s="25" t="str">
        <f>IFERROR(VLOOKUP($C868,$C$5:$M$24,11,0)+SUMIF($C$25:$C868,$C868,$K$25:$K868)-SUMIF($C$25:$C868,$C868,$L$25:$L868),"")</f>
        <v/>
      </c>
      <c r="N868" s="10"/>
      <c r="O868" s="10"/>
      <c r="P868" s="65"/>
      <c r="Q868" s="10"/>
      <c r="R868" s="10"/>
      <c r="S868" s="54" t="str">
        <f t="shared" si="45"/>
        <v/>
      </c>
      <c r="T868" s="54" t="str">
        <f t="shared" si="46"/>
        <v/>
      </c>
      <c r="U868" s="58" t="str">
        <f t="shared" si="47"/>
        <v/>
      </c>
      <c r="V868" s="58">
        <f>IF(AND($B868&lt;&gt;"",$F868&lt;&gt;"",$F868=项目明细账!$C$2),N(V867)+1,N(V867))</f>
        <v>0</v>
      </c>
      <c r="W868" s="63" t="str">
        <f>IF($H868&lt;&gt;"","项目成本",IFERROR(INDEX(基础资料!$W$4:$W$49,MATCH($I868,基础资料!$V$4:$V$49,0)),""))</f>
        <v/>
      </c>
      <c r="X868" s="63" t="str">
        <f>IFERROR(INDEX(基础资料!$R$4:$R$17,MATCH($G868,基础资料!$Q$4:$Q$17,0)),"")</f>
        <v/>
      </c>
    </row>
    <row r="869" spans="1:24">
      <c r="A869" s="58" t="str">
        <f>IF($B869="","",COUNTA($B$5:$B869))</f>
        <v/>
      </c>
      <c r="B869" s="53"/>
      <c r="C869" s="46"/>
      <c r="D869" s="63" t="str">
        <f>IFERROR(INDEX(基础资料!$F$4:$F$23,MATCH($C869,基础资料!$E$4:$E$23,0)),IF($C869="","","未匹配账户"))</f>
        <v/>
      </c>
      <c r="E869" s="39"/>
      <c r="F869" s="10"/>
      <c r="G869" s="10"/>
      <c r="H869" s="10"/>
      <c r="I869" s="10"/>
      <c r="J869" s="10"/>
      <c r="K869" s="25"/>
      <c r="L869" s="25"/>
      <c r="M869" s="25" t="str">
        <f>IFERROR(VLOOKUP($C869,$C$5:$M$24,11,0)+SUMIF($C$25:$C869,$C869,$K$25:$K869)-SUMIF($C$25:$C869,$C869,$L$25:$L869),"")</f>
        <v/>
      </c>
      <c r="N869" s="10"/>
      <c r="O869" s="10"/>
      <c r="P869" s="65"/>
      <c r="Q869" s="10"/>
      <c r="R869" s="10"/>
      <c r="S869" s="54" t="str">
        <f t="shared" si="45"/>
        <v/>
      </c>
      <c r="T869" s="54" t="str">
        <f t="shared" si="46"/>
        <v/>
      </c>
      <c r="U869" s="58" t="str">
        <f t="shared" si="47"/>
        <v/>
      </c>
      <c r="V869" s="58">
        <f>IF(AND($B869&lt;&gt;"",$F869&lt;&gt;"",$F869=项目明细账!$C$2),N(V868)+1,N(V868))</f>
        <v>0</v>
      </c>
      <c r="W869" s="63" t="str">
        <f>IF($H869&lt;&gt;"","项目成本",IFERROR(INDEX(基础资料!$W$4:$W$49,MATCH($I869,基础资料!$V$4:$V$49,0)),""))</f>
        <v/>
      </c>
      <c r="X869" s="63" t="str">
        <f>IFERROR(INDEX(基础资料!$R$4:$R$17,MATCH($G869,基础资料!$Q$4:$Q$17,0)),"")</f>
        <v/>
      </c>
    </row>
    <row r="870" spans="1:24">
      <c r="A870" s="58" t="str">
        <f>IF($B870="","",COUNTA($B$5:$B870))</f>
        <v/>
      </c>
      <c r="B870" s="53"/>
      <c r="C870" s="46"/>
      <c r="D870" s="63" t="str">
        <f>IFERROR(INDEX(基础资料!$F$4:$F$23,MATCH($C870,基础资料!$E$4:$E$23,0)),IF($C870="","","未匹配账户"))</f>
        <v/>
      </c>
      <c r="E870" s="39"/>
      <c r="F870" s="10"/>
      <c r="G870" s="10"/>
      <c r="H870" s="10"/>
      <c r="I870" s="10"/>
      <c r="J870" s="10"/>
      <c r="K870" s="25"/>
      <c r="L870" s="25"/>
      <c r="M870" s="25" t="str">
        <f>IFERROR(VLOOKUP($C870,$C$5:$M$24,11,0)+SUMIF($C$25:$C870,$C870,$K$25:$K870)-SUMIF($C$25:$C870,$C870,$L$25:$L870),"")</f>
        <v/>
      </c>
      <c r="N870" s="10"/>
      <c r="O870" s="10"/>
      <c r="P870" s="65"/>
      <c r="Q870" s="10"/>
      <c r="R870" s="10"/>
      <c r="S870" s="54" t="str">
        <f t="shared" si="45"/>
        <v/>
      </c>
      <c r="T870" s="54" t="str">
        <f t="shared" si="46"/>
        <v/>
      </c>
      <c r="U870" s="58" t="str">
        <f t="shared" si="47"/>
        <v/>
      </c>
      <c r="V870" s="58">
        <f>IF(AND($B870&lt;&gt;"",$F870&lt;&gt;"",$F870=项目明细账!$C$2),N(V869)+1,N(V869))</f>
        <v>0</v>
      </c>
      <c r="W870" s="63" t="str">
        <f>IF($H870&lt;&gt;"","项目成本",IFERROR(INDEX(基础资料!$W$4:$W$49,MATCH($I870,基础资料!$V$4:$V$49,0)),""))</f>
        <v/>
      </c>
      <c r="X870" s="63" t="str">
        <f>IFERROR(INDEX(基础资料!$R$4:$R$17,MATCH($G870,基础资料!$Q$4:$Q$17,0)),"")</f>
        <v/>
      </c>
    </row>
    <row r="871" spans="1:24">
      <c r="A871" s="58" t="str">
        <f>IF($B871="","",COUNTA($B$5:$B871))</f>
        <v/>
      </c>
      <c r="B871" s="53"/>
      <c r="C871" s="46"/>
      <c r="D871" s="63" t="str">
        <f>IFERROR(INDEX(基础资料!$F$4:$F$23,MATCH($C871,基础资料!$E$4:$E$23,0)),IF($C871="","","未匹配账户"))</f>
        <v/>
      </c>
      <c r="E871" s="39"/>
      <c r="F871" s="10"/>
      <c r="G871" s="10"/>
      <c r="H871" s="10"/>
      <c r="I871" s="10"/>
      <c r="J871" s="10"/>
      <c r="K871" s="25"/>
      <c r="L871" s="25"/>
      <c r="M871" s="25" t="str">
        <f>IFERROR(VLOOKUP($C871,$C$5:$M$24,11,0)+SUMIF($C$25:$C871,$C871,$K$25:$K871)-SUMIF($C$25:$C871,$C871,$L$25:$L871),"")</f>
        <v/>
      </c>
      <c r="N871" s="10"/>
      <c r="O871" s="10"/>
      <c r="P871" s="65"/>
      <c r="Q871" s="10"/>
      <c r="R871" s="10"/>
      <c r="S871" s="54" t="str">
        <f t="shared" si="45"/>
        <v/>
      </c>
      <c r="T871" s="54" t="str">
        <f t="shared" si="46"/>
        <v/>
      </c>
      <c r="U871" s="58" t="str">
        <f t="shared" si="47"/>
        <v/>
      </c>
      <c r="V871" s="58">
        <f>IF(AND($B871&lt;&gt;"",$F871&lt;&gt;"",$F871=项目明细账!$C$2),N(V870)+1,N(V870))</f>
        <v>0</v>
      </c>
      <c r="W871" s="63" t="str">
        <f>IF($H871&lt;&gt;"","项目成本",IFERROR(INDEX(基础资料!$W$4:$W$49,MATCH($I871,基础资料!$V$4:$V$49,0)),""))</f>
        <v/>
      </c>
      <c r="X871" s="63" t="str">
        <f>IFERROR(INDEX(基础资料!$R$4:$R$17,MATCH($G871,基础资料!$Q$4:$Q$17,0)),"")</f>
        <v/>
      </c>
    </row>
    <row r="872" spans="1:24">
      <c r="A872" s="58" t="str">
        <f>IF($B872="","",COUNTA($B$5:$B872))</f>
        <v/>
      </c>
      <c r="B872" s="53"/>
      <c r="C872" s="46"/>
      <c r="D872" s="63" t="str">
        <f>IFERROR(INDEX(基础资料!$F$4:$F$23,MATCH($C872,基础资料!$E$4:$E$23,0)),IF($C872="","","未匹配账户"))</f>
        <v/>
      </c>
      <c r="E872" s="39"/>
      <c r="F872" s="10"/>
      <c r="G872" s="10"/>
      <c r="H872" s="10"/>
      <c r="I872" s="10"/>
      <c r="J872" s="10"/>
      <c r="K872" s="25"/>
      <c r="L872" s="25"/>
      <c r="M872" s="25" t="str">
        <f>IFERROR(VLOOKUP($C872,$C$5:$M$24,11,0)+SUMIF($C$25:$C872,$C872,$K$25:$K872)-SUMIF($C$25:$C872,$C872,$L$25:$L872),"")</f>
        <v/>
      </c>
      <c r="N872" s="10"/>
      <c r="O872" s="10"/>
      <c r="P872" s="65"/>
      <c r="Q872" s="10"/>
      <c r="R872" s="10"/>
      <c r="S872" s="54" t="str">
        <f t="shared" si="45"/>
        <v/>
      </c>
      <c r="T872" s="54" t="str">
        <f t="shared" si="46"/>
        <v/>
      </c>
      <c r="U872" s="58" t="str">
        <f t="shared" si="47"/>
        <v/>
      </c>
      <c r="V872" s="58">
        <f>IF(AND($B872&lt;&gt;"",$F872&lt;&gt;"",$F872=项目明细账!$C$2),N(V871)+1,N(V871))</f>
        <v>0</v>
      </c>
      <c r="W872" s="63" t="str">
        <f>IF($H872&lt;&gt;"","项目成本",IFERROR(INDEX(基础资料!$W$4:$W$49,MATCH($I872,基础资料!$V$4:$V$49,0)),""))</f>
        <v/>
      </c>
      <c r="X872" s="63" t="str">
        <f>IFERROR(INDEX(基础资料!$R$4:$R$17,MATCH($G872,基础资料!$Q$4:$Q$17,0)),"")</f>
        <v/>
      </c>
    </row>
    <row r="873" spans="1:24">
      <c r="A873" s="58" t="str">
        <f>IF($B873="","",COUNTA($B$5:$B873))</f>
        <v/>
      </c>
      <c r="B873" s="53"/>
      <c r="C873" s="46"/>
      <c r="D873" s="63" t="str">
        <f>IFERROR(INDEX(基础资料!$F$4:$F$23,MATCH($C873,基础资料!$E$4:$E$23,0)),IF($C873="","","未匹配账户"))</f>
        <v/>
      </c>
      <c r="E873" s="39"/>
      <c r="F873" s="10"/>
      <c r="G873" s="10"/>
      <c r="H873" s="10"/>
      <c r="I873" s="10"/>
      <c r="J873" s="10"/>
      <c r="K873" s="25"/>
      <c r="L873" s="25"/>
      <c r="M873" s="25" t="str">
        <f>IFERROR(VLOOKUP($C873,$C$5:$M$24,11,0)+SUMIF($C$25:$C873,$C873,$K$25:$K873)-SUMIF($C$25:$C873,$C873,$L$25:$L873),"")</f>
        <v/>
      </c>
      <c r="N873" s="10"/>
      <c r="O873" s="10"/>
      <c r="P873" s="65"/>
      <c r="Q873" s="10"/>
      <c r="R873" s="10"/>
      <c r="S873" s="54" t="str">
        <f t="shared" si="45"/>
        <v/>
      </c>
      <c r="T873" s="54" t="str">
        <f t="shared" si="46"/>
        <v/>
      </c>
      <c r="U873" s="58" t="str">
        <f t="shared" si="47"/>
        <v/>
      </c>
      <c r="V873" s="58">
        <f>IF(AND($B873&lt;&gt;"",$F873&lt;&gt;"",$F873=项目明细账!$C$2),N(V872)+1,N(V872))</f>
        <v>0</v>
      </c>
      <c r="W873" s="63" t="str">
        <f>IF($H873&lt;&gt;"","项目成本",IFERROR(INDEX(基础资料!$W$4:$W$49,MATCH($I873,基础资料!$V$4:$V$49,0)),""))</f>
        <v/>
      </c>
      <c r="X873" s="63" t="str">
        <f>IFERROR(INDEX(基础资料!$R$4:$R$17,MATCH($G873,基础资料!$Q$4:$Q$17,0)),"")</f>
        <v/>
      </c>
    </row>
    <row r="874" spans="1:24">
      <c r="A874" s="58" t="str">
        <f>IF($B874="","",COUNTA($B$5:$B874))</f>
        <v/>
      </c>
      <c r="B874" s="53"/>
      <c r="C874" s="46"/>
      <c r="D874" s="63" t="str">
        <f>IFERROR(INDEX(基础资料!$F$4:$F$23,MATCH($C874,基础资料!$E$4:$E$23,0)),IF($C874="","","未匹配账户"))</f>
        <v/>
      </c>
      <c r="E874" s="39"/>
      <c r="F874" s="10"/>
      <c r="G874" s="10"/>
      <c r="H874" s="10"/>
      <c r="I874" s="10"/>
      <c r="J874" s="10"/>
      <c r="K874" s="25"/>
      <c r="L874" s="25"/>
      <c r="M874" s="25" t="str">
        <f>IFERROR(VLOOKUP($C874,$C$5:$M$24,11,0)+SUMIF($C$25:$C874,$C874,$K$25:$K874)-SUMIF($C$25:$C874,$C874,$L$25:$L874),"")</f>
        <v/>
      </c>
      <c r="N874" s="10"/>
      <c r="O874" s="10"/>
      <c r="P874" s="65"/>
      <c r="Q874" s="10"/>
      <c r="R874" s="10"/>
      <c r="S874" s="54" t="str">
        <f t="shared" si="45"/>
        <v/>
      </c>
      <c r="T874" s="54" t="str">
        <f t="shared" si="46"/>
        <v/>
      </c>
      <c r="U874" s="58" t="str">
        <f t="shared" si="47"/>
        <v/>
      </c>
      <c r="V874" s="58">
        <f>IF(AND($B874&lt;&gt;"",$F874&lt;&gt;"",$F874=项目明细账!$C$2),N(V873)+1,N(V873))</f>
        <v>0</v>
      </c>
      <c r="W874" s="63" t="str">
        <f>IF($H874&lt;&gt;"","项目成本",IFERROR(INDEX(基础资料!$W$4:$W$49,MATCH($I874,基础资料!$V$4:$V$49,0)),""))</f>
        <v/>
      </c>
      <c r="X874" s="63" t="str">
        <f>IFERROR(INDEX(基础资料!$R$4:$R$17,MATCH($G874,基础资料!$Q$4:$Q$17,0)),"")</f>
        <v/>
      </c>
    </row>
    <row r="875" spans="1:24">
      <c r="A875" s="58" t="str">
        <f>IF($B875="","",COUNTA($B$5:$B875))</f>
        <v/>
      </c>
      <c r="B875" s="53"/>
      <c r="C875" s="46"/>
      <c r="D875" s="63" t="str">
        <f>IFERROR(INDEX(基础资料!$F$4:$F$23,MATCH($C875,基础资料!$E$4:$E$23,0)),IF($C875="","","未匹配账户"))</f>
        <v/>
      </c>
      <c r="E875" s="39"/>
      <c r="F875" s="10"/>
      <c r="G875" s="10"/>
      <c r="H875" s="10"/>
      <c r="I875" s="10"/>
      <c r="J875" s="10"/>
      <c r="K875" s="25"/>
      <c r="L875" s="25"/>
      <c r="M875" s="25" t="str">
        <f>IFERROR(VLOOKUP($C875,$C$5:$M$24,11,0)+SUMIF($C$25:$C875,$C875,$K$25:$K875)-SUMIF($C$25:$C875,$C875,$L$25:$L875),"")</f>
        <v/>
      </c>
      <c r="N875" s="10"/>
      <c r="O875" s="10"/>
      <c r="P875" s="65"/>
      <c r="Q875" s="10"/>
      <c r="R875" s="10"/>
      <c r="S875" s="54" t="str">
        <f t="shared" si="45"/>
        <v/>
      </c>
      <c r="T875" s="54" t="str">
        <f t="shared" si="46"/>
        <v/>
      </c>
      <c r="U875" s="58" t="str">
        <f t="shared" si="47"/>
        <v/>
      </c>
      <c r="V875" s="58">
        <f>IF(AND($B875&lt;&gt;"",$F875&lt;&gt;"",$F875=项目明细账!$C$2),N(V874)+1,N(V874))</f>
        <v>0</v>
      </c>
      <c r="W875" s="63" t="str">
        <f>IF($H875&lt;&gt;"","项目成本",IFERROR(INDEX(基础资料!$W$4:$W$49,MATCH($I875,基础资料!$V$4:$V$49,0)),""))</f>
        <v/>
      </c>
      <c r="X875" s="63" t="str">
        <f>IFERROR(INDEX(基础资料!$R$4:$R$17,MATCH($G875,基础资料!$Q$4:$Q$17,0)),"")</f>
        <v/>
      </c>
    </row>
    <row r="876" spans="1:24">
      <c r="A876" s="58" t="str">
        <f>IF($B876="","",COUNTA($B$5:$B876))</f>
        <v/>
      </c>
      <c r="B876" s="53"/>
      <c r="C876" s="46"/>
      <c r="D876" s="63" t="str">
        <f>IFERROR(INDEX(基础资料!$F$4:$F$23,MATCH($C876,基础资料!$E$4:$E$23,0)),IF($C876="","","未匹配账户"))</f>
        <v/>
      </c>
      <c r="E876" s="39"/>
      <c r="F876" s="10"/>
      <c r="G876" s="10"/>
      <c r="H876" s="10"/>
      <c r="I876" s="10"/>
      <c r="J876" s="10"/>
      <c r="K876" s="25"/>
      <c r="L876" s="25"/>
      <c r="M876" s="25" t="str">
        <f>IFERROR(VLOOKUP($C876,$C$5:$M$24,11,0)+SUMIF($C$25:$C876,$C876,$K$25:$K876)-SUMIF($C$25:$C876,$C876,$L$25:$L876),"")</f>
        <v/>
      </c>
      <c r="N876" s="10"/>
      <c r="O876" s="10"/>
      <c r="P876" s="65"/>
      <c r="Q876" s="10"/>
      <c r="R876" s="10"/>
      <c r="S876" s="54" t="str">
        <f t="shared" si="45"/>
        <v/>
      </c>
      <c r="T876" s="54" t="str">
        <f t="shared" si="46"/>
        <v/>
      </c>
      <c r="U876" s="58" t="str">
        <f t="shared" si="47"/>
        <v/>
      </c>
      <c r="V876" s="58">
        <f>IF(AND($B876&lt;&gt;"",$F876&lt;&gt;"",$F876=项目明细账!$C$2),N(V875)+1,N(V875))</f>
        <v>0</v>
      </c>
      <c r="W876" s="63" t="str">
        <f>IF($H876&lt;&gt;"","项目成本",IFERROR(INDEX(基础资料!$W$4:$W$49,MATCH($I876,基础资料!$V$4:$V$49,0)),""))</f>
        <v/>
      </c>
      <c r="X876" s="63" t="str">
        <f>IFERROR(INDEX(基础资料!$R$4:$R$17,MATCH($G876,基础资料!$Q$4:$Q$17,0)),"")</f>
        <v/>
      </c>
    </row>
    <row r="877" spans="1:24">
      <c r="A877" s="58" t="str">
        <f>IF($B877="","",COUNTA($B$5:$B877))</f>
        <v/>
      </c>
      <c r="B877" s="53"/>
      <c r="C877" s="46"/>
      <c r="D877" s="63" t="str">
        <f>IFERROR(INDEX(基础资料!$F$4:$F$23,MATCH($C877,基础资料!$E$4:$E$23,0)),IF($C877="","","未匹配账户"))</f>
        <v/>
      </c>
      <c r="E877" s="39"/>
      <c r="F877" s="10"/>
      <c r="G877" s="10"/>
      <c r="H877" s="10"/>
      <c r="I877" s="10"/>
      <c r="J877" s="10"/>
      <c r="K877" s="25"/>
      <c r="L877" s="25"/>
      <c r="M877" s="25" t="str">
        <f>IFERROR(VLOOKUP($C877,$C$5:$M$24,11,0)+SUMIF($C$25:$C877,$C877,$K$25:$K877)-SUMIF($C$25:$C877,$C877,$L$25:$L877),"")</f>
        <v/>
      </c>
      <c r="N877" s="10"/>
      <c r="O877" s="10"/>
      <c r="P877" s="65"/>
      <c r="Q877" s="10"/>
      <c r="R877" s="10"/>
      <c r="S877" s="54" t="str">
        <f t="shared" si="45"/>
        <v/>
      </c>
      <c r="T877" s="54" t="str">
        <f t="shared" si="46"/>
        <v/>
      </c>
      <c r="U877" s="58" t="str">
        <f t="shared" si="47"/>
        <v/>
      </c>
      <c r="V877" s="58">
        <f>IF(AND($B877&lt;&gt;"",$F877&lt;&gt;"",$F877=项目明细账!$C$2),N(V876)+1,N(V876))</f>
        <v>0</v>
      </c>
      <c r="W877" s="63" t="str">
        <f>IF($H877&lt;&gt;"","项目成本",IFERROR(INDEX(基础资料!$W$4:$W$49,MATCH($I877,基础资料!$V$4:$V$49,0)),""))</f>
        <v/>
      </c>
      <c r="X877" s="63" t="str">
        <f>IFERROR(INDEX(基础资料!$R$4:$R$17,MATCH($G877,基础资料!$Q$4:$Q$17,0)),"")</f>
        <v/>
      </c>
    </row>
    <row r="878" spans="1:24">
      <c r="A878" s="58" t="str">
        <f>IF($B878="","",COUNTA($B$5:$B878))</f>
        <v/>
      </c>
      <c r="B878" s="53"/>
      <c r="C878" s="46"/>
      <c r="D878" s="63" t="str">
        <f>IFERROR(INDEX(基础资料!$F$4:$F$23,MATCH($C878,基础资料!$E$4:$E$23,0)),IF($C878="","","未匹配账户"))</f>
        <v/>
      </c>
      <c r="E878" s="39"/>
      <c r="F878" s="10"/>
      <c r="G878" s="10"/>
      <c r="H878" s="10"/>
      <c r="I878" s="10"/>
      <c r="J878" s="10"/>
      <c r="K878" s="25"/>
      <c r="L878" s="25"/>
      <c r="M878" s="25" t="str">
        <f>IFERROR(VLOOKUP($C878,$C$5:$M$24,11,0)+SUMIF($C$25:$C878,$C878,$K$25:$K878)-SUMIF($C$25:$C878,$C878,$L$25:$L878),"")</f>
        <v/>
      </c>
      <c r="N878" s="10"/>
      <c r="O878" s="10"/>
      <c r="P878" s="65"/>
      <c r="Q878" s="10"/>
      <c r="R878" s="10"/>
      <c r="S878" s="54" t="str">
        <f t="shared" si="45"/>
        <v/>
      </c>
      <c r="T878" s="54" t="str">
        <f t="shared" si="46"/>
        <v/>
      </c>
      <c r="U878" s="58" t="str">
        <f t="shared" si="47"/>
        <v/>
      </c>
      <c r="V878" s="58">
        <f>IF(AND($B878&lt;&gt;"",$F878&lt;&gt;"",$F878=项目明细账!$C$2),N(V877)+1,N(V877))</f>
        <v>0</v>
      </c>
      <c r="W878" s="63" t="str">
        <f>IF($H878&lt;&gt;"","项目成本",IFERROR(INDEX(基础资料!$W$4:$W$49,MATCH($I878,基础资料!$V$4:$V$49,0)),""))</f>
        <v/>
      </c>
      <c r="X878" s="63" t="str">
        <f>IFERROR(INDEX(基础资料!$R$4:$R$17,MATCH($G878,基础资料!$Q$4:$Q$17,0)),"")</f>
        <v/>
      </c>
    </row>
    <row r="879" spans="1:24">
      <c r="A879" s="58" t="str">
        <f>IF($B879="","",COUNTA($B$5:$B879))</f>
        <v/>
      </c>
      <c r="B879" s="53"/>
      <c r="C879" s="46"/>
      <c r="D879" s="63" t="str">
        <f>IFERROR(INDEX(基础资料!$F$4:$F$23,MATCH($C879,基础资料!$E$4:$E$23,0)),IF($C879="","","未匹配账户"))</f>
        <v/>
      </c>
      <c r="E879" s="39"/>
      <c r="F879" s="10"/>
      <c r="G879" s="10"/>
      <c r="H879" s="10"/>
      <c r="I879" s="10"/>
      <c r="J879" s="10"/>
      <c r="K879" s="25"/>
      <c r="L879" s="25"/>
      <c r="M879" s="25" t="str">
        <f>IFERROR(VLOOKUP($C879,$C$5:$M$24,11,0)+SUMIF($C$25:$C879,$C879,$K$25:$K879)-SUMIF($C$25:$C879,$C879,$L$25:$L879),"")</f>
        <v/>
      </c>
      <c r="N879" s="10"/>
      <c r="O879" s="10"/>
      <c r="P879" s="65"/>
      <c r="Q879" s="10"/>
      <c r="R879" s="10"/>
      <c r="S879" s="54" t="str">
        <f t="shared" si="45"/>
        <v/>
      </c>
      <c r="T879" s="54" t="str">
        <f t="shared" si="46"/>
        <v/>
      </c>
      <c r="U879" s="58" t="str">
        <f t="shared" si="47"/>
        <v/>
      </c>
      <c r="V879" s="58">
        <f>IF(AND($B879&lt;&gt;"",$F879&lt;&gt;"",$F879=项目明细账!$C$2),N(V878)+1,N(V878))</f>
        <v>0</v>
      </c>
      <c r="W879" s="63" t="str">
        <f>IF($H879&lt;&gt;"","项目成本",IFERROR(INDEX(基础资料!$W$4:$W$49,MATCH($I879,基础资料!$V$4:$V$49,0)),""))</f>
        <v/>
      </c>
      <c r="X879" s="63" t="str">
        <f>IFERROR(INDEX(基础资料!$R$4:$R$17,MATCH($G879,基础资料!$Q$4:$Q$17,0)),"")</f>
        <v/>
      </c>
    </row>
    <row r="880" spans="1:24">
      <c r="A880" s="58" t="str">
        <f>IF($B880="","",COUNTA($B$5:$B880))</f>
        <v/>
      </c>
      <c r="B880" s="53"/>
      <c r="C880" s="46"/>
      <c r="D880" s="63" t="str">
        <f>IFERROR(INDEX(基础资料!$F$4:$F$23,MATCH($C880,基础资料!$E$4:$E$23,0)),IF($C880="","","未匹配账户"))</f>
        <v/>
      </c>
      <c r="E880" s="39"/>
      <c r="F880" s="10"/>
      <c r="G880" s="10"/>
      <c r="H880" s="10"/>
      <c r="I880" s="10"/>
      <c r="J880" s="10"/>
      <c r="K880" s="25"/>
      <c r="L880" s="25"/>
      <c r="M880" s="25" t="str">
        <f>IFERROR(VLOOKUP($C880,$C$5:$M$24,11,0)+SUMIF($C$25:$C880,$C880,$K$25:$K880)-SUMIF($C$25:$C880,$C880,$L$25:$L880),"")</f>
        <v/>
      </c>
      <c r="N880" s="10"/>
      <c r="O880" s="10"/>
      <c r="P880" s="65"/>
      <c r="Q880" s="10"/>
      <c r="R880" s="10"/>
      <c r="S880" s="54" t="str">
        <f t="shared" si="45"/>
        <v/>
      </c>
      <c r="T880" s="54" t="str">
        <f t="shared" si="46"/>
        <v/>
      </c>
      <c r="U880" s="58" t="str">
        <f t="shared" si="47"/>
        <v/>
      </c>
      <c r="V880" s="58">
        <f>IF(AND($B880&lt;&gt;"",$F880&lt;&gt;"",$F880=项目明细账!$C$2),N(V879)+1,N(V879))</f>
        <v>0</v>
      </c>
      <c r="W880" s="63" t="str">
        <f>IF($H880&lt;&gt;"","项目成本",IFERROR(INDEX(基础资料!$W$4:$W$49,MATCH($I880,基础资料!$V$4:$V$49,0)),""))</f>
        <v/>
      </c>
      <c r="X880" s="63" t="str">
        <f>IFERROR(INDEX(基础资料!$R$4:$R$17,MATCH($G880,基础资料!$Q$4:$Q$17,0)),"")</f>
        <v/>
      </c>
    </row>
    <row r="881" spans="1:24">
      <c r="A881" s="58" t="str">
        <f>IF($B881="","",COUNTA($B$5:$B881))</f>
        <v/>
      </c>
      <c r="B881" s="53"/>
      <c r="C881" s="46"/>
      <c r="D881" s="63" t="str">
        <f>IFERROR(INDEX(基础资料!$F$4:$F$23,MATCH($C881,基础资料!$E$4:$E$23,0)),IF($C881="","","未匹配账户"))</f>
        <v/>
      </c>
      <c r="E881" s="39"/>
      <c r="F881" s="10"/>
      <c r="G881" s="10"/>
      <c r="H881" s="10"/>
      <c r="I881" s="10"/>
      <c r="J881" s="10"/>
      <c r="K881" s="25"/>
      <c r="L881" s="25"/>
      <c r="M881" s="25" t="str">
        <f>IFERROR(VLOOKUP($C881,$C$5:$M$24,11,0)+SUMIF($C$25:$C881,$C881,$K$25:$K881)-SUMIF($C$25:$C881,$C881,$L$25:$L881),"")</f>
        <v/>
      </c>
      <c r="N881" s="10"/>
      <c r="O881" s="10"/>
      <c r="P881" s="65"/>
      <c r="Q881" s="10"/>
      <c r="R881" s="10"/>
      <c r="S881" s="54" t="str">
        <f t="shared" si="45"/>
        <v/>
      </c>
      <c r="T881" s="54" t="str">
        <f t="shared" si="46"/>
        <v/>
      </c>
      <c r="U881" s="58" t="str">
        <f t="shared" si="47"/>
        <v/>
      </c>
      <c r="V881" s="58">
        <f>IF(AND($B881&lt;&gt;"",$F881&lt;&gt;"",$F881=项目明细账!$C$2),N(V880)+1,N(V880))</f>
        <v>0</v>
      </c>
      <c r="W881" s="63" t="str">
        <f>IF($H881&lt;&gt;"","项目成本",IFERROR(INDEX(基础资料!$W$4:$W$49,MATCH($I881,基础资料!$V$4:$V$49,0)),""))</f>
        <v/>
      </c>
      <c r="X881" s="63" t="str">
        <f>IFERROR(INDEX(基础资料!$R$4:$R$17,MATCH($G881,基础资料!$Q$4:$Q$17,0)),"")</f>
        <v/>
      </c>
    </row>
    <row r="882" spans="1:24">
      <c r="A882" s="58" t="str">
        <f>IF($B882="","",COUNTA($B$5:$B882))</f>
        <v/>
      </c>
      <c r="B882" s="53"/>
      <c r="C882" s="46"/>
      <c r="D882" s="63" t="str">
        <f>IFERROR(INDEX(基础资料!$F$4:$F$23,MATCH($C882,基础资料!$E$4:$E$23,0)),IF($C882="","","未匹配账户"))</f>
        <v/>
      </c>
      <c r="E882" s="39"/>
      <c r="F882" s="10"/>
      <c r="G882" s="10"/>
      <c r="H882" s="10"/>
      <c r="I882" s="10"/>
      <c r="J882" s="10"/>
      <c r="K882" s="25"/>
      <c r="L882" s="25"/>
      <c r="M882" s="25" t="str">
        <f>IFERROR(VLOOKUP($C882,$C$5:$M$24,11,0)+SUMIF($C$25:$C882,$C882,$K$25:$K882)-SUMIF($C$25:$C882,$C882,$L$25:$L882),"")</f>
        <v/>
      </c>
      <c r="N882" s="10"/>
      <c r="O882" s="10"/>
      <c r="P882" s="65"/>
      <c r="Q882" s="10"/>
      <c r="R882" s="10"/>
      <c r="S882" s="54" t="str">
        <f t="shared" si="45"/>
        <v/>
      </c>
      <c r="T882" s="54" t="str">
        <f t="shared" si="46"/>
        <v/>
      </c>
      <c r="U882" s="58" t="str">
        <f t="shared" si="47"/>
        <v/>
      </c>
      <c r="V882" s="58">
        <f>IF(AND($B882&lt;&gt;"",$F882&lt;&gt;"",$F882=项目明细账!$C$2),N(V881)+1,N(V881))</f>
        <v>0</v>
      </c>
      <c r="W882" s="63" t="str">
        <f>IF($H882&lt;&gt;"","项目成本",IFERROR(INDEX(基础资料!$W$4:$W$49,MATCH($I882,基础资料!$V$4:$V$49,0)),""))</f>
        <v/>
      </c>
      <c r="X882" s="63" t="str">
        <f>IFERROR(INDEX(基础资料!$R$4:$R$17,MATCH($G882,基础资料!$Q$4:$Q$17,0)),"")</f>
        <v/>
      </c>
    </row>
    <row r="883" spans="1:24">
      <c r="A883" s="58" t="str">
        <f>IF($B883="","",COUNTA($B$5:$B883))</f>
        <v/>
      </c>
      <c r="B883" s="53"/>
      <c r="C883" s="46"/>
      <c r="D883" s="63" t="str">
        <f>IFERROR(INDEX(基础资料!$F$4:$F$23,MATCH($C883,基础资料!$E$4:$E$23,0)),IF($C883="","","未匹配账户"))</f>
        <v/>
      </c>
      <c r="E883" s="39"/>
      <c r="F883" s="10"/>
      <c r="G883" s="10"/>
      <c r="H883" s="10"/>
      <c r="I883" s="10"/>
      <c r="J883" s="10"/>
      <c r="K883" s="25"/>
      <c r="L883" s="25"/>
      <c r="M883" s="25" t="str">
        <f>IFERROR(VLOOKUP($C883,$C$5:$M$24,11,0)+SUMIF($C$25:$C883,$C883,$K$25:$K883)-SUMIF($C$25:$C883,$C883,$L$25:$L883),"")</f>
        <v/>
      </c>
      <c r="N883" s="10"/>
      <c r="O883" s="10"/>
      <c r="P883" s="65"/>
      <c r="Q883" s="10"/>
      <c r="R883" s="10"/>
      <c r="S883" s="54" t="str">
        <f t="shared" si="45"/>
        <v/>
      </c>
      <c r="T883" s="54" t="str">
        <f t="shared" si="46"/>
        <v/>
      </c>
      <c r="U883" s="58" t="str">
        <f t="shared" si="47"/>
        <v/>
      </c>
      <c r="V883" s="58">
        <f>IF(AND($B883&lt;&gt;"",$F883&lt;&gt;"",$F883=项目明细账!$C$2),N(V882)+1,N(V882))</f>
        <v>0</v>
      </c>
      <c r="W883" s="63" t="str">
        <f>IF($H883&lt;&gt;"","项目成本",IFERROR(INDEX(基础资料!$W$4:$W$49,MATCH($I883,基础资料!$V$4:$V$49,0)),""))</f>
        <v/>
      </c>
      <c r="X883" s="63" t="str">
        <f>IFERROR(INDEX(基础资料!$R$4:$R$17,MATCH($G883,基础资料!$Q$4:$Q$17,0)),"")</f>
        <v/>
      </c>
    </row>
    <row r="884" spans="1:24">
      <c r="A884" s="58" t="str">
        <f>IF($B884="","",COUNTA($B$5:$B884))</f>
        <v/>
      </c>
      <c r="B884" s="53"/>
      <c r="C884" s="46"/>
      <c r="D884" s="63" t="str">
        <f>IFERROR(INDEX(基础资料!$F$4:$F$23,MATCH($C884,基础资料!$E$4:$E$23,0)),IF($C884="","","未匹配账户"))</f>
        <v/>
      </c>
      <c r="E884" s="39"/>
      <c r="F884" s="10"/>
      <c r="G884" s="10"/>
      <c r="H884" s="10"/>
      <c r="I884" s="10"/>
      <c r="J884" s="10"/>
      <c r="K884" s="25"/>
      <c r="L884" s="25"/>
      <c r="M884" s="25" t="str">
        <f>IFERROR(VLOOKUP($C884,$C$5:$M$24,11,0)+SUMIF($C$25:$C884,$C884,$K$25:$K884)-SUMIF($C$25:$C884,$C884,$L$25:$L884),"")</f>
        <v/>
      </c>
      <c r="N884" s="10"/>
      <c r="O884" s="10"/>
      <c r="P884" s="65"/>
      <c r="Q884" s="10"/>
      <c r="R884" s="10"/>
      <c r="S884" s="54" t="str">
        <f t="shared" si="45"/>
        <v/>
      </c>
      <c r="T884" s="54" t="str">
        <f t="shared" si="46"/>
        <v/>
      </c>
      <c r="U884" s="58" t="str">
        <f t="shared" si="47"/>
        <v/>
      </c>
      <c r="V884" s="58">
        <f>IF(AND($B884&lt;&gt;"",$F884&lt;&gt;"",$F884=项目明细账!$C$2),N(V883)+1,N(V883))</f>
        <v>0</v>
      </c>
      <c r="W884" s="63" t="str">
        <f>IF($H884&lt;&gt;"","项目成本",IFERROR(INDEX(基础资料!$W$4:$W$49,MATCH($I884,基础资料!$V$4:$V$49,0)),""))</f>
        <v/>
      </c>
      <c r="X884" s="63" t="str">
        <f>IFERROR(INDEX(基础资料!$R$4:$R$17,MATCH($G884,基础资料!$Q$4:$Q$17,0)),"")</f>
        <v/>
      </c>
    </row>
    <row r="885" spans="1:24">
      <c r="A885" s="58" t="str">
        <f>IF($B885="","",COUNTA($B$5:$B885))</f>
        <v/>
      </c>
      <c r="B885" s="53"/>
      <c r="C885" s="46"/>
      <c r="D885" s="63" t="str">
        <f>IFERROR(INDEX(基础资料!$F$4:$F$23,MATCH($C885,基础资料!$E$4:$E$23,0)),IF($C885="","","未匹配账户"))</f>
        <v/>
      </c>
      <c r="E885" s="39"/>
      <c r="F885" s="10"/>
      <c r="G885" s="10"/>
      <c r="H885" s="10"/>
      <c r="I885" s="10"/>
      <c r="J885" s="10"/>
      <c r="K885" s="25"/>
      <c r="L885" s="25"/>
      <c r="M885" s="25" t="str">
        <f>IFERROR(VLOOKUP($C885,$C$5:$M$24,11,0)+SUMIF($C$25:$C885,$C885,$K$25:$K885)-SUMIF($C$25:$C885,$C885,$L$25:$L885),"")</f>
        <v/>
      </c>
      <c r="N885" s="10"/>
      <c r="O885" s="10"/>
      <c r="P885" s="65"/>
      <c r="Q885" s="10"/>
      <c r="R885" s="10"/>
      <c r="S885" s="54" t="str">
        <f t="shared" si="45"/>
        <v/>
      </c>
      <c r="T885" s="54" t="str">
        <f t="shared" si="46"/>
        <v/>
      </c>
      <c r="U885" s="58" t="str">
        <f t="shared" si="47"/>
        <v/>
      </c>
      <c r="V885" s="58">
        <f>IF(AND($B885&lt;&gt;"",$F885&lt;&gt;"",$F885=项目明细账!$C$2),N(V884)+1,N(V884))</f>
        <v>0</v>
      </c>
      <c r="W885" s="63" t="str">
        <f>IF($H885&lt;&gt;"","项目成本",IFERROR(INDEX(基础资料!$W$4:$W$49,MATCH($I885,基础资料!$V$4:$V$49,0)),""))</f>
        <v/>
      </c>
      <c r="X885" s="63" t="str">
        <f>IFERROR(INDEX(基础资料!$R$4:$R$17,MATCH($G885,基础资料!$Q$4:$Q$17,0)),"")</f>
        <v/>
      </c>
    </row>
    <row r="886" spans="1:24">
      <c r="A886" s="58" t="str">
        <f>IF($B886="","",COUNTA($B$5:$B886))</f>
        <v/>
      </c>
      <c r="B886" s="53"/>
      <c r="C886" s="46"/>
      <c r="D886" s="63" t="str">
        <f>IFERROR(INDEX(基础资料!$F$4:$F$23,MATCH($C886,基础资料!$E$4:$E$23,0)),IF($C886="","","未匹配账户"))</f>
        <v/>
      </c>
      <c r="E886" s="39"/>
      <c r="F886" s="10"/>
      <c r="G886" s="10"/>
      <c r="H886" s="10"/>
      <c r="I886" s="10"/>
      <c r="J886" s="10"/>
      <c r="K886" s="25"/>
      <c r="L886" s="25"/>
      <c r="M886" s="25" t="str">
        <f>IFERROR(VLOOKUP($C886,$C$5:$M$24,11,0)+SUMIF($C$25:$C886,$C886,$K$25:$K886)-SUMIF($C$25:$C886,$C886,$L$25:$L886),"")</f>
        <v/>
      </c>
      <c r="N886" s="10"/>
      <c r="O886" s="10"/>
      <c r="P886" s="65"/>
      <c r="Q886" s="10"/>
      <c r="R886" s="10"/>
      <c r="S886" s="54" t="str">
        <f t="shared" si="45"/>
        <v/>
      </c>
      <c r="T886" s="54" t="str">
        <f t="shared" si="46"/>
        <v/>
      </c>
      <c r="U886" s="58" t="str">
        <f t="shared" si="47"/>
        <v/>
      </c>
      <c r="V886" s="58">
        <f>IF(AND($B886&lt;&gt;"",$F886&lt;&gt;"",$F886=项目明细账!$C$2),N(V885)+1,N(V885))</f>
        <v>0</v>
      </c>
      <c r="W886" s="63" t="str">
        <f>IF($H886&lt;&gt;"","项目成本",IFERROR(INDEX(基础资料!$W$4:$W$49,MATCH($I886,基础资料!$V$4:$V$49,0)),""))</f>
        <v/>
      </c>
      <c r="X886" s="63" t="str">
        <f>IFERROR(INDEX(基础资料!$R$4:$R$17,MATCH($G886,基础资料!$Q$4:$Q$17,0)),"")</f>
        <v/>
      </c>
    </row>
    <row r="887" spans="1:24">
      <c r="A887" s="58" t="str">
        <f>IF($B887="","",COUNTA($B$5:$B887))</f>
        <v/>
      </c>
      <c r="B887" s="53"/>
      <c r="C887" s="46"/>
      <c r="D887" s="63" t="str">
        <f>IFERROR(INDEX(基础资料!$F$4:$F$23,MATCH($C887,基础资料!$E$4:$E$23,0)),IF($C887="","","未匹配账户"))</f>
        <v/>
      </c>
      <c r="E887" s="39"/>
      <c r="F887" s="10"/>
      <c r="G887" s="10"/>
      <c r="H887" s="10"/>
      <c r="I887" s="10"/>
      <c r="J887" s="10"/>
      <c r="K887" s="25"/>
      <c r="L887" s="25"/>
      <c r="M887" s="25" t="str">
        <f>IFERROR(VLOOKUP($C887,$C$5:$M$24,11,0)+SUMIF($C$25:$C887,$C887,$K$25:$K887)-SUMIF($C$25:$C887,$C887,$L$25:$L887),"")</f>
        <v/>
      </c>
      <c r="N887" s="10"/>
      <c r="O887" s="10"/>
      <c r="P887" s="65"/>
      <c r="Q887" s="10"/>
      <c r="R887" s="10"/>
      <c r="S887" s="54" t="str">
        <f t="shared" si="45"/>
        <v/>
      </c>
      <c r="T887" s="54" t="str">
        <f t="shared" si="46"/>
        <v/>
      </c>
      <c r="U887" s="58" t="str">
        <f t="shared" si="47"/>
        <v/>
      </c>
      <c r="V887" s="58">
        <f>IF(AND($B887&lt;&gt;"",$F887&lt;&gt;"",$F887=项目明细账!$C$2),N(V886)+1,N(V886))</f>
        <v>0</v>
      </c>
      <c r="W887" s="63" t="str">
        <f>IF($H887&lt;&gt;"","项目成本",IFERROR(INDEX(基础资料!$W$4:$W$49,MATCH($I887,基础资料!$V$4:$V$49,0)),""))</f>
        <v/>
      </c>
      <c r="X887" s="63" t="str">
        <f>IFERROR(INDEX(基础资料!$R$4:$R$17,MATCH($G887,基础资料!$Q$4:$Q$17,0)),"")</f>
        <v/>
      </c>
    </row>
    <row r="888" spans="1:24">
      <c r="A888" s="58" t="str">
        <f>IF($B888="","",COUNTA($B$5:$B888))</f>
        <v/>
      </c>
      <c r="B888" s="53"/>
      <c r="C888" s="46"/>
      <c r="D888" s="63" t="str">
        <f>IFERROR(INDEX(基础资料!$F$4:$F$23,MATCH($C888,基础资料!$E$4:$E$23,0)),IF($C888="","","未匹配账户"))</f>
        <v/>
      </c>
      <c r="E888" s="39"/>
      <c r="F888" s="10"/>
      <c r="G888" s="10"/>
      <c r="H888" s="10"/>
      <c r="I888" s="10"/>
      <c r="J888" s="10"/>
      <c r="K888" s="25"/>
      <c r="L888" s="25"/>
      <c r="M888" s="25" t="str">
        <f>IFERROR(VLOOKUP($C888,$C$5:$M$24,11,0)+SUMIF($C$25:$C888,$C888,$K$25:$K888)-SUMIF($C$25:$C888,$C888,$L$25:$L888),"")</f>
        <v/>
      </c>
      <c r="N888" s="10"/>
      <c r="O888" s="10"/>
      <c r="P888" s="65"/>
      <c r="Q888" s="10"/>
      <c r="R888" s="10"/>
      <c r="S888" s="54" t="str">
        <f t="shared" si="45"/>
        <v/>
      </c>
      <c r="T888" s="54" t="str">
        <f t="shared" si="46"/>
        <v/>
      </c>
      <c r="U888" s="58" t="str">
        <f t="shared" si="47"/>
        <v/>
      </c>
      <c r="V888" s="58">
        <f>IF(AND($B888&lt;&gt;"",$F888&lt;&gt;"",$F888=项目明细账!$C$2),N(V887)+1,N(V887))</f>
        <v>0</v>
      </c>
      <c r="W888" s="63" t="str">
        <f>IF($H888&lt;&gt;"","项目成本",IFERROR(INDEX(基础资料!$W$4:$W$49,MATCH($I888,基础资料!$V$4:$V$49,0)),""))</f>
        <v/>
      </c>
      <c r="X888" s="63" t="str">
        <f>IFERROR(INDEX(基础资料!$R$4:$R$17,MATCH($G888,基础资料!$Q$4:$Q$17,0)),"")</f>
        <v/>
      </c>
    </row>
    <row r="889" spans="1:24">
      <c r="A889" s="58" t="str">
        <f>IF($B889="","",COUNTA($B$5:$B889))</f>
        <v/>
      </c>
      <c r="B889" s="53"/>
      <c r="C889" s="46"/>
      <c r="D889" s="63" t="str">
        <f>IFERROR(INDEX(基础资料!$F$4:$F$23,MATCH($C889,基础资料!$E$4:$E$23,0)),IF($C889="","","未匹配账户"))</f>
        <v/>
      </c>
      <c r="E889" s="39"/>
      <c r="F889" s="10"/>
      <c r="G889" s="10"/>
      <c r="H889" s="10"/>
      <c r="I889" s="10"/>
      <c r="J889" s="10"/>
      <c r="K889" s="25"/>
      <c r="L889" s="25"/>
      <c r="M889" s="25" t="str">
        <f>IFERROR(VLOOKUP($C889,$C$5:$M$24,11,0)+SUMIF($C$25:$C889,$C889,$K$25:$K889)-SUMIF($C$25:$C889,$C889,$L$25:$L889),"")</f>
        <v/>
      </c>
      <c r="N889" s="10"/>
      <c r="O889" s="10"/>
      <c r="P889" s="65"/>
      <c r="Q889" s="10"/>
      <c r="R889" s="10"/>
      <c r="S889" s="54" t="str">
        <f t="shared" si="45"/>
        <v/>
      </c>
      <c r="T889" s="54" t="str">
        <f t="shared" si="46"/>
        <v/>
      </c>
      <c r="U889" s="58" t="str">
        <f t="shared" si="47"/>
        <v/>
      </c>
      <c r="V889" s="58">
        <f>IF(AND($B889&lt;&gt;"",$F889&lt;&gt;"",$F889=项目明细账!$C$2),N(V888)+1,N(V888))</f>
        <v>0</v>
      </c>
      <c r="W889" s="63" t="str">
        <f>IF($H889&lt;&gt;"","项目成本",IFERROR(INDEX(基础资料!$W$4:$W$49,MATCH($I889,基础资料!$V$4:$V$49,0)),""))</f>
        <v/>
      </c>
      <c r="X889" s="63" t="str">
        <f>IFERROR(INDEX(基础资料!$R$4:$R$17,MATCH($G889,基础资料!$Q$4:$Q$17,0)),"")</f>
        <v/>
      </c>
    </row>
    <row r="890" spans="1:24">
      <c r="A890" s="58" t="str">
        <f>IF($B890="","",COUNTA($B$5:$B890))</f>
        <v/>
      </c>
      <c r="B890" s="53"/>
      <c r="C890" s="46"/>
      <c r="D890" s="63" t="str">
        <f>IFERROR(INDEX(基础资料!$F$4:$F$23,MATCH($C890,基础资料!$E$4:$E$23,0)),IF($C890="","","未匹配账户"))</f>
        <v/>
      </c>
      <c r="E890" s="39"/>
      <c r="F890" s="10"/>
      <c r="G890" s="10"/>
      <c r="H890" s="10"/>
      <c r="I890" s="10"/>
      <c r="J890" s="10"/>
      <c r="K890" s="25"/>
      <c r="L890" s="25"/>
      <c r="M890" s="25" t="str">
        <f>IFERROR(VLOOKUP($C890,$C$5:$M$24,11,0)+SUMIF($C$25:$C890,$C890,$K$25:$K890)-SUMIF($C$25:$C890,$C890,$L$25:$L890),"")</f>
        <v/>
      </c>
      <c r="N890" s="10"/>
      <c r="O890" s="10"/>
      <c r="P890" s="65"/>
      <c r="Q890" s="10"/>
      <c r="R890" s="10"/>
      <c r="S890" s="54" t="str">
        <f t="shared" si="45"/>
        <v/>
      </c>
      <c r="T890" s="54" t="str">
        <f t="shared" si="46"/>
        <v/>
      </c>
      <c r="U890" s="58" t="str">
        <f t="shared" si="47"/>
        <v/>
      </c>
      <c r="V890" s="58">
        <f>IF(AND($B890&lt;&gt;"",$F890&lt;&gt;"",$F890=项目明细账!$C$2),N(V889)+1,N(V889))</f>
        <v>0</v>
      </c>
      <c r="W890" s="63" t="str">
        <f>IF($H890&lt;&gt;"","项目成本",IFERROR(INDEX(基础资料!$W$4:$W$49,MATCH($I890,基础资料!$V$4:$V$49,0)),""))</f>
        <v/>
      </c>
      <c r="X890" s="63" t="str">
        <f>IFERROR(INDEX(基础资料!$R$4:$R$17,MATCH($G890,基础资料!$Q$4:$Q$17,0)),"")</f>
        <v/>
      </c>
    </row>
    <row r="891" spans="1:24">
      <c r="A891" s="58" t="str">
        <f>IF($B891="","",COUNTA($B$5:$B891))</f>
        <v/>
      </c>
      <c r="B891" s="53"/>
      <c r="C891" s="46"/>
      <c r="D891" s="63" t="str">
        <f>IFERROR(INDEX(基础资料!$F$4:$F$23,MATCH($C891,基础资料!$E$4:$E$23,0)),IF($C891="","","未匹配账户"))</f>
        <v/>
      </c>
      <c r="E891" s="39"/>
      <c r="F891" s="10"/>
      <c r="G891" s="10"/>
      <c r="H891" s="10"/>
      <c r="I891" s="10"/>
      <c r="J891" s="10"/>
      <c r="K891" s="25"/>
      <c r="L891" s="25"/>
      <c r="M891" s="25" t="str">
        <f>IFERROR(VLOOKUP($C891,$C$5:$M$24,11,0)+SUMIF($C$25:$C891,$C891,$K$25:$K891)-SUMIF($C$25:$C891,$C891,$L$25:$L891),"")</f>
        <v/>
      </c>
      <c r="N891" s="10"/>
      <c r="O891" s="10"/>
      <c r="P891" s="65"/>
      <c r="Q891" s="10"/>
      <c r="R891" s="10"/>
      <c r="S891" s="54" t="str">
        <f t="shared" si="45"/>
        <v/>
      </c>
      <c r="T891" s="54" t="str">
        <f t="shared" si="46"/>
        <v/>
      </c>
      <c r="U891" s="58" t="str">
        <f t="shared" si="47"/>
        <v/>
      </c>
      <c r="V891" s="58">
        <f>IF(AND($B891&lt;&gt;"",$F891&lt;&gt;"",$F891=项目明细账!$C$2),N(V890)+1,N(V890))</f>
        <v>0</v>
      </c>
      <c r="W891" s="63" t="str">
        <f>IF($H891&lt;&gt;"","项目成本",IFERROR(INDEX(基础资料!$W$4:$W$49,MATCH($I891,基础资料!$V$4:$V$49,0)),""))</f>
        <v/>
      </c>
      <c r="X891" s="63" t="str">
        <f>IFERROR(INDEX(基础资料!$R$4:$R$17,MATCH($G891,基础资料!$Q$4:$Q$17,0)),"")</f>
        <v/>
      </c>
    </row>
    <row r="892" spans="1:24">
      <c r="A892" s="58" t="str">
        <f>IF($B892="","",COUNTA($B$5:$B892))</f>
        <v/>
      </c>
      <c r="B892" s="53"/>
      <c r="C892" s="46"/>
      <c r="D892" s="63" t="str">
        <f>IFERROR(INDEX(基础资料!$F$4:$F$23,MATCH($C892,基础资料!$E$4:$E$23,0)),IF($C892="","","未匹配账户"))</f>
        <v/>
      </c>
      <c r="E892" s="39"/>
      <c r="F892" s="10"/>
      <c r="G892" s="10"/>
      <c r="H892" s="10"/>
      <c r="I892" s="10"/>
      <c r="J892" s="10"/>
      <c r="K892" s="25"/>
      <c r="L892" s="25"/>
      <c r="M892" s="25" t="str">
        <f>IFERROR(VLOOKUP($C892,$C$5:$M$24,11,0)+SUMIF($C$25:$C892,$C892,$K$25:$K892)-SUMIF($C$25:$C892,$C892,$L$25:$L892),"")</f>
        <v/>
      </c>
      <c r="N892" s="10"/>
      <c r="O892" s="10"/>
      <c r="P892" s="65"/>
      <c r="Q892" s="10"/>
      <c r="R892" s="10"/>
      <c r="S892" s="54" t="str">
        <f t="shared" si="45"/>
        <v/>
      </c>
      <c r="T892" s="54" t="str">
        <f t="shared" si="46"/>
        <v/>
      </c>
      <c r="U892" s="58" t="str">
        <f t="shared" si="47"/>
        <v/>
      </c>
      <c r="V892" s="58">
        <f>IF(AND($B892&lt;&gt;"",$F892&lt;&gt;"",$F892=项目明细账!$C$2),N(V891)+1,N(V891))</f>
        <v>0</v>
      </c>
      <c r="W892" s="63" t="str">
        <f>IF($H892&lt;&gt;"","项目成本",IFERROR(INDEX(基础资料!$W$4:$W$49,MATCH($I892,基础资料!$V$4:$V$49,0)),""))</f>
        <v/>
      </c>
      <c r="X892" s="63" t="str">
        <f>IFERROR(INDEX(基础资料!$R$4:$R$17,MATCH($G892,基础资料!$Q$4:$Q$17,0)),"")</f>
        <v/>
      </c>
    </row>
    <row r="893" spans="1:24">
      <c r="A893" s="58" t="str">
        <f>IF($B893="","",COUNTA($B$5:$B893))</f>
        <v/>
      </c>
      <c r="B893" s="53"/>
      <c r="C893" s="46"/>
      <c r="D893" s="63" t="str">
        <f>IFERROR(INDEX(基础资料!$F$4:$F$23,MATCH($C893,基础资料!$E$4:$E$23,0)),IF($C893="","","未匹配账户"))</f>
        <v/>
      </c>
      <c r="E893" s="39"/>
      <c r="F893" s="10"/>
      <c r="G893" s="10"/>
      <c r="H893" s="10"/>
      <c r="I893" s="10"/>
      <c r="J893" s="10"/>
      <c r="K893" s="25"/>
      <c r="L893" s="25"/>
      <c r="M893" s="25" t="str">
        <f>IFERROR(VLOOKUP($C893,$C$5:$M$24,11,0)+SUMIF($C$25:$C893,$C893,$K$25:$K893)-SUMIF($C$25:$C893,$C893,$L$25:$L893),"")</f>
        <v/>
      </c>
      <c r="N893" s="10"/>
      <c r="O893" s="10"/>
      <c r="P893" s="65"/>
      <c r="Q893" s="10"/>
      <c r="R893" s="10"/>
      <c r="S893" s="54" t="str">
        <f t="shared" si="45"/>
        <v/>
      </c>
      <c r="T893" s="54" t="str">
        <f t="shared" si="46"/>
        <v/>
      </c>
      <c r="U893" s="58" t="str">
        <f t="shared" si="47"/>
        <v/>
      </c>
      <c r="V893" s="58">
        <f>IF(AND($B893&lt;&gt;"",$F893&lt;&gt;"",$F893=项目明细账!$C$2),N(V892)+1,N(V892))</f>
        <v>0</v>
      </c>
      <c r="W893" s="63" t="str">
        <f>IF($H893&lt;&gt;"","项目成本",IFERROR(INDEX(基础资料!$W$4:$W$49,MATCH($I893,基础资料!$V$4:$V$49,0)),""))</f>
        <v/>
      </c>
      <c r="X893" s="63" t="str">
        <f>IFERROR(INDEX(基础资料!$R$4:$R$17,MATCH($G893,基础资料!$Q$4:$Q$17,0)),"")</f>
        <v/>
      </c>
    </row>
    <row r="894" spans="1:24">
      <c r="A894" s="58" t="str">
        <f>IF($B894="","",COUNTA($B$5:$B894))</f>
        <v/>
      </c>
      <c r="B894" s="53"/>
      <c r="C894" s="46"/>
      <c r="D894" s="63" t="str">
        <f>IFERROR(INDEX(基础资料!$F$4:$F$23,MATCH($C894,基础资料!$E$4:$E$23,0)),IF($C894="","","未匹配账户"))</f>
        <v/>
      </c>
      <c r="E894" s="39"/>
      <c r="F894" s="10"/>
      <c r="G894" s="10"/>
      <c r="H894" s="10"/>
      <c r="I894" s="10"/>
      <c r="J894" s="10"/>
      <c r="K894" s="25"/>
      <c r="L894" s="25"/>
      <c r="M894" s="25" t="str">
        <f>IFERROR(VLOOKUP($C894,$C$5:$M$24,11,0)+SUMIF($C$25:$C894,$C894,$K$25:$K894)-SUMIF($C$25:$C894,$C894,$L$25:$L894),"")</f>
        <v/>
      </c>
      <c r="N894" s="10"/>
      <c r="O894" s="10"/>
      <c r="P894" s="65"/>
      <c r="Q894" s="10"/>
      <c r="R894" s="10"/>
      <c r="S894" s="54" t="str">
        <f t="shared" si="45"/>
        <v/>
      </c>
      <c r="T894" s="54" t="str">
        <f t="shared" si="46"/>
        <v/>
      </c>
      <c r="U894" s="58" t="str">
        <f t="shared" si="47"/>
        <v/>
      </c>
      <c r="V894" s="58">
        <f>IF(AND($B894&lt;&gt;"",$F894&lt;&gt;"",$F894=项目明细账!$C$2),N(V893)+1,N(V893))</f>
        <v>0</v>
      </c>
      <c r="W894" s="63" t="str">
        <f>IF($H894&lt;&gt;"","项目成本",IFERROR(INDEX(基础资料!$W$4:$W$49,MATCH($I894,基础资料!$V$4:$V$49,0)),""))</f>
        <v/>
      </c>
      <c r="X894" s="63" t="str">
        <f>IFERROR(INDEX(基础资料!$R$4:$R$17,MATCH($G894,基础资料!$Q$4:$Q$17,0)),"")</f>
        <v/>
      </c>
    </row>
    <row r="895" spans="1:24">
      <c r="A895" s="58" t="str">
        <f>IF($B895="","",COUNTA($B$5:$B895))</f>
        <v/>
      </c>
      <c r="B895" s="53"/>
      <c r="C895" s="46"/>
      <c r="D895" s="63" t="str">
        <f>IFERROR(INDEX(基础资料!$F$4:$F$23,MATCH($C895,基础资料!$E$4:$E$23,0)),IF($C895="","","未匹配账户"))</f>
        <v/>
      </c>
      <c r="E895" s="39"/>
      <c r="F895" s="10"/>
      <c r="G895" s="10"/>
      <c r="H895" s="10"/>
      <c r="I895" s="10"/>
      <c r="J895" s="10"/>
      <c r="K895" s="25"/>
      <c r="L895" s="25"/>
      <c r="M895" s="25" t="str">
        <f>IFERROR(VLOOKUP($C895,$C$5:$M$24,11,0)+SUMIF($C$25:$C895,$C895,$K$25:$K895)-SUMIF($C$25:$C895,$C895,$L$25:$L895),"")</f>
        <v/>
      </c>
      <c r="N895" s="10"/>
      <c r="O895" s="10"/>
      <c r="P895" s="65"/>
      <c r="Q895" s="10"/>
      <c r="R895" s="10"/>
      <c r="S895" s="54" t="str">
        <f t="shared" si="45"/>
        <v/>
      </c>
      <c r="T895" s="54" t="str">
        <f t="shared" si="46"/>
        <v/>
      </c>
      <c r="U895" s="58" t="str">
        <f t="shared" si="47"/>
        <v/>
      </c>
      <c r="V895" s="58">
        <f>IF(AND($B895&lt;&gt;"",$F895&lt;&gt;"",$F895=项目明细账!$C$2),N(V894)+1,N(V894))</f>
        <v>0</v>
      </c>
      <c r="W895" s="63" t="str">
        <f>IF($H895&lt;&gt;"","项目成本",IFERROR(INDEX(基础资料!$W$4:$W$49,MATCH($I895,基础资料!$V$4:$V$49,0)),""))</f>
        <v/>
      </c>
      <c r="X895" s="63" t="str">
        <f>IFERROR(INDEX(基础资料!$R$4:$R$17,MATCH($G895,基础资料!$Q$4:$Q$17,0)),"")</f>
        <v/>
      </c>
    </row>
    <row r="896" spans="1:24">
      <c r="A896" s="58" t="str">
        <f>IF($B896="","",COUNTA($B$5:$B896))</f>
        <v/>
      </c>
      <c r="B896" s="53"/>
      <c r="C896" s="46"/>
      <c r="D896" s="63" t="str">
        <f>IFERROR(INDEX(基础资料!$F$4:$F$23,MATCH($C896,基础资料!$E$4:$E$23,0)),IF($C896="","","未匹配账户"))</f>
        <v/>
      </c>
      <c r="E896" s="39"/>
      <c r="F896" s="10"/>
      <c r="G896" s="10"/>
      <c r="H896" s="10"/>
      <c r="I896" s="10"/>
      <c r="J896" s="10"/>
      <c r="K896" s="25"/>
      <c r="L896" s="25"/>
      <c r="M896" s="25" t="str">
        <f>IFERROR(VLOOKUP($C896,$C$5:$M$24,11,0)+SUMIF($C$25:$C896,$C896,$K$25:$K896)-SUMIF($C$25:$C896,$C896,$L$25:$L896),"")</f>
        <v/>
      </c>
      <c r="N896" s="10"/>
      <c r="O896" s="10"/>
      <c r="P896" s="65"/>
      <c r="Q896" s="10"/>
      <c r="R896" s="10"/>
      <c r="S896" s="54" t="str">
        <f t="shared" si="45"/>
        <v/>
      </c>
      <c r="T896" s="54" t="str">
        <f t="shared" si="46"/>
        <v/>
      </c>
      <c r="U896" s="58" t="str">
        <f t="shared" si="47"/>
        <v/>
      </c>
      <c r="V896" s="58">
        <f>IF(AND($B896&lt;&gt;"",$F896&lt;&gt;"",$F896=项目明细账!$C$2),N(V895)+1,N(V895))</f>
        <v>0</v>
      </c>
      <c r="W896" s="63" t="str">
        <f>IF($H896&lt;&gt;"","项目成本",IFERROR(INDEX(基础资料!$W$4:$W$49,MATCH($I896,基础资料!$V$4:$V$49,0)),""))</f>
        <v/>
      </c>
      <c r="X896" s="63" t="str">
        <f>IFERROR(INDEX(基础资料!$R$4:$R$17,MATCH($G896,基础资料!$Q$4:$Q$17,0)),"")</f>
        <v/>
      </c>
    </row>
    <row r="897" spans="1:24">
      <c r="A897" s="58" t="str">
        <f>IF($B897="","",COUNTA($B$5:$B897))</f>
        <v/>
      </c>
      <c r="B897" s="53"/>
      <c r="C897" s="46"/>
      <c r="D897" s="63" t="str">
        <f>IFERROR(INDEX(基础资料!$F$4:$F$23,MATCH($C897,基础资料!$E$4:$E$23,0)),IF($C897="","","未匹配账户"))</f>
        <v/>
      </c>
      <c r="E897" s="39"/>
      <c r="F897" s="10"/>
      <c r="G897" s="10"/>
      <c r="H897" s="10"/>
      <c r="I897" s="10"/>
      <c r="J897" s="10"/>
      <c r="K897" s="25"/>
      <c r="L897" s="25"/>
      <c r="M897" s="25" t="str">
        <f>IFERROR(VLOOKUP($C897,$C$5:$M$24,11,0)+SUMIF($C$25:$C897,$C897,$K$25:$K897)-SUMIF($C$25:$C897,$C897,$L$25:$L897),"")</f>
        <v/>
      </c>
      <c r="N897" s="10"/>
      <c r="O897" s="10"/>
      <c r="P897" s="65"/>
      <c r="Q897" s="10"/>
      <c r="R897" s="10"/>
      <c r="S897" s="54" t="str">
        <f t="shared" si="45"/>
        <v/>
      </c>
      <c r="T897" s="54" t="str">
        <f t="shared" si="46"/>
        <v/>
      </c>
      <c r="U897" s="58" t="str">
        <f t="shared" si="47"/>
        <v/>
      </c>
      <c r="V897" s="58">
        <f>IF(AND($B897&lt;&gt;"",$F897&lt;&gt;"",$F897=项目明细账!$C$2),N(V896)+1,N(V896))</f>
        <v>0</v>
      </c>
      <c r="W897" s="63" t="str">
        <f>IF($H897&lt;&gt;"","项目成本",IFERROR(INDEX(基础资料!$W$4:$W$49,MATCH($I897,基础资料!$V$4:$V$49,0)),""))</f>
        <v/>
      </c>
      <c r="X897" s="63" t="str">
        <f>IFERROR(INDEX(基础资料!$R$4:$R$17,MATCH($G897,基础资料!$Q$4:$Q$17,0)),"")</f>
        <v/>
      </c>
    </row>
    <row r="898" spans="1:24">
      <c r="A898" s="58" t="str">
        <f>IF($B898="","",COUNTA($B$5:$B898))</f>
        <v/>
      </c>
      <c r="B898" s="53"/>
      <c r="C898" s="46"/>
      <c r="D898" s="63" t="str">
        <f>IFERROR(INDEX(基础资料!$F$4:$F$23,MATCH($C898,基础资料!$E$4:$E$23,0)),IF($C898="","","未匹配账户"))</f>
        <v/>
      </c>
      <c r="E898" s="39"/>
      <c r="F898" s="10"/>
      <c r="G898" s="10"/>
      <c r="H898" s="10"/>
      <c r="I898" s="10"/>
      <c r="J898" s="10"/>
      <c r="K898" s="25"/>
      <c r="L898" s="25"/>
      <c r="M898" s="25" t="str">
        <f>IFERROR(VLOOKUP($C898,$C$5:$M$24,11,0)+SUMIF($C$25:$C898,$C898,$K$25:$K898)-SUMIF($C$25:$C898,$C898,$L$25:$L898),"")</f>
        <v/>
      </c>
      <c r="N898" s="10"/>
      <c r="O898" s="10"/>
      <c r="P898" s="65"/>
      <c r="Q898" s="10"/>
      <c r="R898" s="10"/>
      <c r="S898" s="54" t="str">
        <f t="shared" si="45"/>
        <v/>
      </c>
      <c r="T898" s="54" t="str">
        <f t="shared" si="46"/>
        <v/>
      </c>
      <c r="U898" s="58" t="str">
        <f t="shared" si="47"/>
        <v/>
      </c>
      <c r="V898" s="58">
        <f>IF(AND($B898&lt;&gt;"",$F898&lt;&gt;"",$F898=项目明细账!$C$2),N(V897)+1,N(V897))</f>
        <v>0</v>
      </c>
      <c r="W898" s="63" t="str">
        <f>IF($H898&lt;&gt;"","项目成本",IFERROR(INDEX(基础资料!$W$4:$W$49,MATCH($I898,基础资料!$V$4:$V$49,0)),""))</f>
        <v/>
      </c>
      <c r="X898" s="63" t="str">
        <f>IFERROR(INDEX(基础资料!$R$4:$R$17,MATCH($G898,基础资料!$Q$4:$Q$17,0)),"")</f>
        <v/>
      </c>
    </row>
    <row r="899" spans="1:24">
      <c r="A899" s="58" t="str">
        <f>IF($B899="","",COUNTA($B$5:$B899))</f>
        <v/>
      </c>
      <c r="B899" s="53"/>
      <c r="C899" s="46"/>
      <c r="D899" s="63" t="str">
        <f>IFERROR(INDEX(基础资料!$F$4:$F$23,MATCH($C899,基础资料!$E$4:$E$23,0)),IF($C899="","","未匹配账户"))</f>
        <v/>
      </c>
      <c r="E899" s="39"/>
      <c r="F899" s="10"/>
      <c r="G899" s="10"/>
      <c r="H899" s="10"/>
      <c r="I899" s="10"/>
      <c r="J899" s="10"/>
      <c r="K899" s="25"/>
      <c r="L899" s="25"/>
      <c r="M899" s="25" t="str">
        <f>IFERROR(VLOOKUP($C899,$C$5:$M$24,11,0)+SUMIF($C$25:$C899,$C899,$K$25:$K899)-SUMIF($C$25:$C899,$C899,$L$25:$L899),"")</f>
        <v/>
      </c>
      <c r="N899" s="10"/>
      <c r="O899" s="10"/>
      <c r="P899" s="65"/>
      <c r="Q899" s="10"/>
      <c r="R899" s="10"/>
      <c r="S899" s="54" t="str">
        <f t="shared" si="45"/>
        <v/>
      </c>
      <c r="T899" s="54" t="str">
        <f t="shared" si="46"/>
        <v/>
      </c>
      <c r="U899" s="58" t="str">
        <f t="shared" si="47"/>
        <v/>
      </c>
      <c r="V899" s="58">
        <f>IF(AND($B899&lt;&gt;"",$F899&lt;&gt;"",$F899=项目明细账!$C$2),N(V898)+1,N(V898))</f>
        <v>0</v>
      </c>
      <c r="W899" s="63" t="str">
        <f>IF($H899&lt;&gt;"","项目成本",IFERROR(INDEX(基础资料!$W$4:$W$49,MATCH($I899,基础资料!$V$4:$V$49,0)),""))</f>
        <v/>
      </c>
      <c r="X899" s="63" t="str">
        <f>IFERROR(INDEX(基础资料!$R$4:$R$17,MATCH($G899,基础资料!$Q$4:$Q$17,0)),"")</f>
        <v/>
      </c>
    </row>
    <row r="900" spans="1:24">
      <c r="A900" s="58" t="str">
        <f>IF($B900="","",COUNTA($B$5:$B900))</f>
        <v/>
      </c>
      <c r="B900" s="53"/>
      <c r="C900" s="46"/>
      <c r="D900" s="63" t="str">
        <f>IFERROR(INDEX(基础资料!$F$4:$F$23,MATCH($C900,基础资料!$E$4:$E$23,0)),IF($C900="","","未匹配账户"))</f>
        <v/>
      </c>
      <c r="E900" s="39"/>
      <c r="F900" s="10"/>
      <c r="G900" s="10"/>
      <c r="H900" s="10"/>
      <c r="I900" s="10"/>
      <c r="J900" s="10"/>
      <c r="K900" s="25"/>
      <c r="L900" s="25"/>
      <c r="M900" s="25" t="str">
        <f>IFERROR(VLOOKUP($C900,$C$5:$M$24,11,0)+SUMIF($C$25:$C900,$C900,$K$25:$K900)-SUMIF($C$25:$C900,$C900,$L$25:$L900),"")</f>
        <v/>
      </c>
      <c r="N900" s="10"/>
      <c r="O900" s="10"/>
      <c r="P900" s="65"/>
      <c r="Q900" s="10"/>
      <c r="R900" s="10"/>
      <c r="S900" s="54" t="str">
        <f t="shared" si="45"/>
        <v/>
      </c>
      <c r="T900" s="54" t="str">
        <f t="shared" si="46"/>
        <v/>
      </c>
      <c r="U900" s="58" t="str">
        <f t="shared" si="47"/>
        <v/>
      </c>
      <c r="V900" s="58">
        <f>IF(AND($B900&lt;&gt;"",$F900&lt;&gt;"",$F900=项目明细账!$C$2),N(V899)+1,N(V899))</f>
        <v>0</v>
      </c>
      <c r="W900" s="63" t="str">
        <f>IF($H900&lt;&gt;"","项目成本",IFERROR(INDEX(基础资料!$W$4:$W$49,MATCH($I900,基础资料!$V$4:$V$49,0)),""))</f>
        <v/>
      </c>
      <c r="X900" s="63" t="str">
        <f>IFERROR(INDEX(基础资料!$R$4:$R$17,MATCH($G900,基础资料!$Q$4:$Q$17,0)),"")</f>
        <v/>
      </c>
    </row>
    <row r="901" spans="1:24">
      <c r="A901" s="58" t="str">
        <f>IF($B901="","",COUNTA($B$5:$B901))</f>
        <v/>
      </c>
      <c r="B901" s="53"/>
      <c r="C901" s="46"/>
      <c r="D901" s="63" t="str">
        <f>IFERROR(INDEX(基础资料!$F$4:$F$23,MATCH($C901,基础资料!$E$4:$E$23,0)),IF($C901="","","未匹配账户"))</f>
        <v/>
      </c>
      <c r="E901" s="39"/>
      <c r="F901" s="10"/>
      <c r="G901" s="10"/>
      <c r="H901" s="10"/>
      <c r="I901" s="10"/>
      <c r="J901" s="10"/>
      <c r="K901" s="25"/>
      <c r="L901" s="25"/>
      <c r="M901" s="25" t="str">
        <f>IFERROR(VLOOKUP($C901,$C$5:$M$24,11,0)+SUMIF($C$25:$C901,$C901,$K$25:$K901)-SUMIF($C$25:$C901,$C901,$L$25:$L901),"")</f>
        <v/>
      </c>
      <c r="N901" s="10"/>
      <c r="O901" s="10"/>
      <c r="P901" s="65"/>
      <c r="Q901" s="10"/>
      <c r="R901" s="10"/>
      <c r="S901" s="54" t="str">
        <f t="shared" si="45"/>
        <v/>
      </c>
      <c r="T901" s="54" t="str">
        <f t="shared" si="46"/>
        <v/>
      </c>
      <c r="U901" s="58" t="str">
        <f t="shared" si="47"/>
        <v/>
      </c>
      <c r="V901" s="58">
        <f>IF(AND($B901&lt;&gt;"",$F901&lt;&gt;"",$F901=项目明细账!$C$2),N(V900)+1,N(V900))</f>
        <v>0</v>
      </c>
      <c r="W901" s="63" t="str">
        <f>IF($H901&lt;&gt;"","项目成本",IFERROR(INDEX(基础资料!$W$4:$W$49,MATCH($I901,基础资料!$V$4:$V$49,0)),""))</f>
        <v/>
      </c>
      <c r="X901" s="63" t="str">
        <f>IFERROR(INDEX(基础资料!$R$4:$R$17,MATCH($G901,基础资料!$Q$4:$Q$17,0)),"")</f>
        <v/>
      </c>
    </row>
    <row r="902" spans="1:24">
      <c r="A902" s="58" t="str">
        <f>IF($B902="","",COUNTA($B$5:$B902))</f>
        <v/>
      </c>
      <c r="B902" s="53"/>
      <c r="C902" s="46"/>
      <c r="D902" s="63" t="str">
        <f>IFERROR(INDEX(基础资料!$F$4:$F$23,MATCH($C902,基础资料!$E$4:$E$23,0)),IF($C902="","","未匹配账户"))</f>
        <v/>
      </c>
      <c r="E902" s="39"/>
      <c r="F902" s="10"/>
      <c r="G902" s="10"/>
      <c r="H902" s="10"/>
      <c r="I902" s="10"/>
      <c r="J902" s="10"/>
      <c r="K902" s="25"/>
      <c r="L902" s="25"/>
      <c r="M902" s="25" t="str">
        <f>IFERROR(VLOOKUP($C902,$C$5:$M$24,11,0)+SUMIF($C$25:$C902,$C902,$K$25:$K902)-SUMIF($C$25:$C902,$C902,$L$25:$L902),"")</f>
        <v/>
      </c>
      <c r="N902" s="10"/>
      <c r="O902" s="10"/>
      <c r="P902" s="65"/>
      <c r="Q902" s="10"/>
      <c r="R902" s="10"/>
      <c r="S902" s="54" t="str">
        <f t="shared" si="45"/>
        <v/>
      </c>
      <c r="T902" s="54" t="str">
        <f t="shared" si="46"/>
        <v/>
      </c>
      <c r="U902" s="58" t="str">
        <f t="shared" si="47"/>
        <v/>
      </c>
      <c r="V902" s="58">
        <f>IF(AND($B902&lt;&gt;"",$F902&lt;&gt;"",$F902=项目明细账!$C$2),N(V901)+1,N(V901))</f>
        <v>0</v>
      </c>
      <c r="W902" s="63" t="str">
        <f>IF($H902&lt;&gt;"","项目成本",IFERROR(INDEX(基础资料!$W$4:$W$49,MATCH($I902,基础资料!$V$4:$V$49,0)),""))</f>
        <v/>
      </c>
      <c r="X902" s="63" t="str">
        <f>IFERROR(INDEX(基础资料!$R$4:$R$17,MATCH($G902,基础资料!$Q$4:$Q$17,0)),"")</f>
        <v/>
      </c>
    </row>
    <row r="903" spans="1:24">
      <c r="A903" s="58" t="str">
        <f>IF($B903="","",COUNTA($B$5:$B903))</f>
        <v/>
      </c>
      <c r="B903" s="53"/>
      <c r="C903" s="46"/>
      <c r="D903" s="63" t="str">
        <f>IFERROR(INDEX(基础资料!$F$4:$F$23,MATCH($C903,基础资料!$E$4:$E$23,0)),IF($C903="","","未匹配账户"))</f>
        <v/>
      </c>
      <c r="E903" s="39"/>
      <c r="F903" s="10"/>
      <c r="G903" s="10"/>
      <c r="H903" s="10"/>
      <c r="I903" s="10"/>
      <c r="J903" s="10"/>
      <c r="K903" s="25"/>
      <c r="L903" s="25"/>
      <c r="M903" s="25" t="str">
        <f>IFERROR(VLOOKUP($C903,$C$5:$M$24,11,0)+SUMIF($C$25:$C903,$C903,$K$25:$K903)-SUMIF($C$25:$C903,$C903,$L$25:$L903),"")</f>
        <v/>
      </c>
      <c r="N903" s="10"/>
      <c r="O903" s="10"/>
      <c r="P903" s="65"/>
      <c r="Q903" s="10"/>
      <c r="R903" s="10"/>
      <c r="S903" s="54" t="str">
        <f t="shared" ref="S903:S966" si="48">IF($B903="","",--TEXT($B903,"yyyymm"))</f>
        <v/>
      </c>
      <c r="T903" s="54" t="str">
        <f t="shared" ref="T903:T966" si="49">IF($B903="","",IF($P903="",$S903,IFERROR($P903*1,$P903)))</f>
        <v/>
      </c>
      <c r="U903" s="58" t="str">
        <f t="shared" ref="U903:U966" si="50">IF($B903="","",IF($T903=$S903,"","跨期"))</f>
        <v/>
      </c>
      <c r="V903" s="58">
        <f>IF(AND($B903&lt;&gt;"",$F903&lt;&gt;"",$F903=项目明细账!$C$2),N(V902)+1,N(V902))</f>
        <v>0</v>
      </c>
      <c r="W903" s="63" t="str">
        <f>IF($H903&lt;&gt;"","项目成本",IFERROR(INDEX(基础资料!$W$4:$W$49,MATCH($I903,基础资料!$V$4:$V$49,0)),""))</f>
        <v/>
      </c>
      <c r="X903" s="63" t="str">
        <f>IFERROR(INDEX(基础资料!$R$4:$R$17,MATCH($G903,基础资料!$Q$4:$Q$17,0)),"")</f>
        <v/>
      </c>
    </row>
    <row r="904" spans="1:24">
      <c r="A904" s="58" t="str">
        <f>IF($B904="","",COUNTA($B$5:$B904))</f>
        <v/>
      </c>
      <c r="B904" s="53"/>
      <c r="C904" s="46"/>
      <c r="D904" s="63" t="str">
        <f>IFERROR(INDEX(基础资料!$F$4:$F$23,MATCH($C904,基础资料!$E$4:$E$23,0)),IF($C904="","","未匹配账户"))</f>
        <v/>
      </c>
      <c r="E904" s="39"/>
      <c r="F904" s="10"/>
      <c r="G904" s="10"/>
      <c r="H904" s="10"/>
      <c r="I904" s="10"/>
      <c r="J904" s="10"/>
      <c r="K904" s="25"/>
      <c r="L904" s="25"/>
      <c r="M904" s="25" t="str">
        <f>IFERROR(VLOOKUP($C904,$C$5:$M$24,11,0)+SUMIF($C$25:$C904,$C904,$K$25:$K904)-SUMIF($C$25:$C904,$C904,$L$25:$L904),"")</f>
        <v/>
      </c>
      <c r="N904" s="10"/>
      <c r="O904" s="10"/>
      <c r="P904" s="65"/>
      <c r="Q904" s="10"/>
      <c r="R904" s="10"/>
      <c r="S904" s="54" t="str">
        <f t="shared" si="48"/>
        <v/>
      </c>
      <c r="T904" s="54" t="str">
        <f t="shared" si="49"/>
        <v/>
      </c>
      <c r="U904" s="58" t="str">
        <f t="shared" si="50"/>
        <v/>
      </c>
      <c r="V904" s="58">
        <f>IF(AND($B904&lt;&gt;"",$F904&lt;&gt;"",$F904=项目明细账!$C$2),N(V903)+1,N(V903))</f>
        <v>0</v>
      </c>
      <c r="W904" s="63" t="str">
        <f>IF($H904&lt;&gt;"","项目成本",IFERROR(INDEX(基础资料!$W$4:$W$49,MATCH($I904,基础资料!$V$4:$V$49,0)),""))</f>
        <v/>
      </c>
      <c r="X904" s="63" t="str">
        <f>IFERROR(INDEX(基础资料!$R$4:$R$17,MATCH($G904,基础资料!$Q$4:$Q$17,0)),"")</f>
        <v/>
      </c>
    </row>
    <row r="905" spans="1:24">
      <c r="A905" s="58" t="str">
        <f>IF($B905="","",COUNTA($B$5:$B905))</f>
        <v/>
      </c>
      <c r="B905" s="53"/>
      <c r="C905" s="46"/>
      <c r="D905" s="63" t="str">
        <f>IFERROR(INDEX(基础资料!$F$4:$F$23,MATCH($C905,基础资料!$E$4:$E$23,0)),IF($C905="","","未匹配账户"))</f>
        <v/>
      </c>
      <c r="E905" s="39"/>
      <c r="F905" s="10"/>
      <c r="G905" s="10"/>
      <c r="H905" s="10"/>
      <c r="I905" s="10"/>
      <c r="J905" s="10"/>
      <c r="K905" s="25"/>
      <c r="L905" s="25"/>
      <c r="M905" s="25" t="str">
        <f>IFERROR(VLOOKUP($C905,$C$5:$M$24,11,0)+SUMIF($C$25:$C905,$C905,$K$25:$K905)-SUMIF($C$25:$C905,$C905,$L$25:$L905),"")</f>
        <v/>
      </c>
      <c r="N905" s="10"/>
      <c r="O905" s="10"/>
      <c r="P905" s="65"/>
      <c r="Q905" s="10"/>
      <c r="R905" s="10"/>
      <c r="S905" s="54" t="str">
        <f t="shared" si="48"/>
        <v/>
      </c>
      <c r="T905" s="54" t="str">
        <f t="shared" si="49"/>
        <v/>
      </c>
      <c r="U905" s="58" t="str">
        <f t="shared" si="50"/>
        <v/>
      </c>
      <c r="V905" s="58">
        <f>IF(AND($B905&lt;&gt;"",$F905&lt;&gt;"",$F905=项目明细账!$C$2),N(V904)+1,N(V904))</f>
        <v>0</v>
      </c>
      <c r="W905" s="63" t="str">
        <f>IF($H905&lt;&gt;"","项目成本",IFERROR(INDEX(基础资料!$W$4:$W$49,MATCH($I905,基础资料!$V$4:$V$49,0)),""))</f>
        <v/>
      </c>
      <c r="X905" s="63" t="str">
        <f>IFERROR(INDEX(基础资料!$R$4:$R$17,MATCH($G905,基础资料!$Q$4:$Q$17,0)),"")</f>
        <v/>
      </c>
    </row>
    <row r="906" spans="1:24">
      <c r="A906" s="58" t="str">
        <f>IF($B906="","",COUNTA($B$5:$B906))</f>
        <v/>
      </c>
      <c r="B906" s="53"/>
      <c r="C906" s="46"/>
      <c r="D906" s="63" t="str">
        <f>IFERROR(INDEX(基础资料!$F$4:$F$23,MATCH($C906,基础资料!$E$4:$E$23,0)),IF($C906="","","未匹配账户"))</f>
        <v/>
      </c>
      <c r="E906" s="39"/>
      <c r="F906" s="10"/>
      <c r="G906" s="10"/>
      <c r="H906" s="10"/>
      <c r="I906" s="10"/>
      <c r="J906" s="10"/>
      <c r="K906" s="25"/>
      <c r="L906" s="25"/>
      <c r="M906" s="25" t="str">
        <f>IFERROR(VLOOKUP($C906,$C$5:$M$24,11,0)+SUMIF($C$25:$C906,$C906,$K$25:$K906)-SUMIF($C$25:$C906,$C906,$L$25:$L906),"")</f>
        <v/>
      </c>
      <c r="N906" s="10"/>
      <c r="O906" s="10"/>
      <c r="P906" s="65"/>
      <c r="Q906" s="10"/>
      <c r="R906" s="10"/>
      <c r="S906" s="54" t="str">
        <f t="shared" si="48"/>
        <v/>
      </c>
      <c r="T906" s="54" t="str">
        <f t="shared" si="49"/>
        <v/>
      </c>
      <c r="U906" s="58" t="str">
        <f t="shared" si="50"/>
        <v/>
      </c>
      <c r="V906" s="58">
        <f>IF(AND($B906&lt;&gt;"",$F906&lt;&gt;"",$F906=项目明细账!$C$2),N(V905)+1,N(V905))</f>
        <v>0</v>
      </c>
      <c r="W906" s="63" t="str">
        <f>IF($H906&lt;&gt;"","项目成本",IFERROR(INDEX(基础资料!$W$4:$W$49,MATCH($I906,基础资料!$V$4:$V$49,0)),""))</f>
        <v/>
      </c>
      <c r="X906" s="63" t="str">
        <f>IFERROR(INDEX(基础资料!$R$4:$R$17,MATCH($G906,基础资料!$Q$4:$Q$17,0)),"")</f>
        <v/>
      </c>
    </row>
    <row r="907" spans="1:24">
      <c r="A907" s="58" t="str">
        <f>IF($B907="","",COUNTA($B$5:$B907))</f>
        <v/>
      </c>
      <c r="B907" s="53"/>
      <c r="C907" s="46"/>
      <c r="D907" s="63" t="str">
        <f>IFERROR(INDEX(基础资料!$F$4:$F$23,MATCH($C907,基础资料!$E$4:$E$23,0)),IF($C907="","","未匹配账户"))</f>
        <v/>
      </c>
      <c r="E907" s="39"/>
      <c r="F907" s="10"/>
      <c r="G907" s="10"/>
      <c r="H907" s="10"/>
      <c r="I907" s="10"/>
      <c r="J907" s="10"/>
      <c r="K907" s="25"/>
      <c r="L907" s="25"/>
      <c r="M907" s="25" t="str">
        <f>IFERROR(VLOOKUP($C907,$C$5:$M$24,11,0)+SUMIF($C$25:$C907,$C907,$K$25:$K907)-SUMIF($C$25:$C907,$C907,$L$25:$L907),"")</f>
        <v/>
      </c>
      <c r="N907" s="10"/>
      <c r="O907" s="10"/>
      <c r="P907" s="65"/>
      <c r="Q907" s="10"/>
      <c r="R907" s="10"/>
      <c r="S907" s="54" t="str">
        <f t="shared" si="48"/>
        <v/>
      </c>
      <c r="T907" s="54" t="str">
        <f t="shared" si="49"/>
        <v/>
      </c>
      <c r="U907" s="58" t="str">
        <f t="shared" si="50"/>
        <v/>
      </c>
      <c r="V907" s="58">
        <f>IF(AND($B907&lt;&gt;"",$F907&lt;&gt;"",$F907=项目明细账!$C$2),N(V906)+1,N(V906))</f>
        <v>0</v>
      </c>
      <c r="W907" s="63" t="str">
        <f>IF($H907&lt;&gt;"","项目成本",IFERROR(INDEX(基础资料!$W$4:$W$49,MATCH($I907,基础资料!$V$4:$V$49,0)),""))</f>
        <v/>
      </c>
      <c r="X907" s="63" t="str">
        <f>IFERROR(INDEX(基础资料!$R$4:$R$17,MATCH($G907,基础资料!$Q$4:$Q$17,0)),"")</f>
        <v/>
      </c>
    </row>
    <row r="908" spans="1:24">
      <c r="A908" s="58" t="str">
        <f>IF($B908="","",COUNTA($B$5:$B908))</f>
        <v/>
      </c>
      <c r="B908" s="53"/>
      <c r="C908" s="46"/>
      <c r="D908" s="63" t="str">
        <f>IFERROR(INDEX(基础资料!$F$4:$F$23,MATCH($C908,基础资料!$E$4:$E$23,0)),IF($C908="","","未匹配账户"))</f>
        <v/>
      </c>
      <c r="E908" s="39"/>
      <c r="F908" s="10"/>
      <c r="G908" s="10"/>
      <c r="H908" s="10"/>
      <c r="I908" s="10"/>
      <c r="J908" s="10"/>
      <c r="K908" s="25"/>
      <c r="L908" s="25"/>
      <c r="M908" s="25" t="str">
        <f>IFERROR(VLOOKUP($C908,$C$5:$M$24,11,0)+SUMIF($C$25:$C908,$C908,$K$25:$K908)-SUMIF($C$25:$C908,$C908,$L$25:$L908),"")</f>
        <v/>
      </c>
      <c r="N908" s="10"/>
      <c r="O908" s="10"/>
      <c r="P908" s="65"/>
      <c r="Q908" s="10"/>
      <c r="R908" s="10"/>
      <c r="S908" s="54" t="str">
        <f t="shared" si="48"/>
        <v/>
      </c>
      <c r="T908" s="54" t="str">
        <f t="shared" si="49"/>
        <v/>
      </c>
      <c r="U908" s="58" t="str">
        <f t="shared" si="50"/>
        <v/>
      </c>
      <c r="V908" s="58">
        <f>IF(AND($B908&lt;&gt;"",$F908&lt;&gt;"",$F908=项目明细账!$C$2),N(V907)+1,N(V907))</f>
        <v>0</v>
      </c>
      <c r="W908" s="63" t="str">
        <f>IF($H908&lt;&gt;"","项目成本",IFERROR(INDEX(基础资料!$W$4:$W$49,MATCH($I908,基础资料!$V$4:$V$49,0)),""))</f>
        <v/>
      </c>
      <c r="X908" s="63" t="str">
        <f>IFERROR(INDEX(基础资料!$R$4:$R$17,MATCH($G908,基础资料!$Q$4:$Q$17,0)),"")</f>
        <v/>
      </c>
    </row>
    <row r="909" spans="1:24">
      <c r="A909" s="58" t="str">
        <f>IF($B909="","",COUNTA($B$5:$B909))</f>
        <v/>
      </c>
      <c r="B909" s="53"/>
      <c r="C909" s="46"/>
      <c r="D909" s="63" t="str">
        <f>IFERROR(INDEX(基础资料!$F$4:$F$23,MATCH($C909,基础资料!$E$4:$E$23,0)),IF($C909="","","未匹配账户"))</f>
        <v/>
      </c>
      <c r="E909" s="39"/>
      <c r="F909" s="10"/>
      <c r="G909" s="10"/>
      <c r="H909" s="10"/>
      <c r="I909" s="10"/>
      <c r="J909" s="10"/>
      <c r="K909" s="25"/>
      <c r="L909" s="25"/>
      <c r="M909" s="25" t="str">
        <f>IFERROR(VLOOKUP($C909,$C$5:$M$24,11,0)+SUMIF($C$25:$C909,$C909,$K$25:$K909)-SUMIF($C$25:$C909,$C909,$L$25:$L909),"")</f>
        <v/>
      </c>
      <c r="N909" s="10"/>
      <c r="O909" s="10"/>
      <c r="P909" s="65"/>
      <c r="Q909" s="10"/>
      <c r="R909" s="10"/>
      <c r="S909" s="54" t="str">
        <f t="shared" si="48"/>
        <v/>
      </c>
      <c r="T909" s="54" t="str">
        <f t="shared" si="49"/>
        <v/>
      </c>
      <c r="U909" s="58" t="str">
        <f t="shared" si="50"/>
        <v/>
      </c>
      <c r="V909" s="58">
        <f>IF(AND($B909&lt;&gt;"",$F909&lt;&gt;"",$F909=项目明细账!$C$2),N(V908)+1,N(V908))</f>
        <v>0</v>
      </c>
      <c r="W909" s="63" t="str">
        <f>IF($H909&lt;&gt;"","项目成本",IFERROR(INDEX(基础资料!$W$4:$W$49,MATCH($I909,基础资料!$V$4:$V$49,0)),""))</f>
        <v/>
      </c>
      <c r="X909" s="63" t="str">
        <f>IFERROR(INDEX(基础资料!$R$4:$R$17,MATCH($G909,基础资料!$Q$4:$Q$17,0)),"")</f>
        <v/>
      </c>
    </row>
    <row r="910" spans="1:24">
      <c r="A910" s="58" t="str">
        <f>IF($B910="","",COUNTA($B$5:$B910))</f>
        <v/>
      </c>
      <c r="B910" s="53"/>
      <c r="C910" s="46"/>
      <c r="D910" s="63" t="str">
        <f>IFERROR(INDEX(基础资料!$F$4:$F$23,MATCH($C910,基础资料!$E$4:$E$23,0)),IF($C910="","","未匹配账户"))</f>
        <v/>
      </c>
      <c r="E910" s="39"/>
      <c r="F910" s="10"/>
      <c r="G910" s="10"/>
      <c r="H910" s="10"/>
      <c r="I910" s="10"/>
      <c r="J910" s="10"/>
      <c r="K910" s="25"/>
      <c r="L910" s="25"/>
      <c r="M910" s="25" t="str">
        <f>IFERROR(VLOOKUP($C910,$C$5:$M$24,11,0)+SUMIF($C$25:$C910,$C910,$K$25:$K910)-SUMIF($C$25:$C910,$C910,$L$25:$L910),"")</f>
        <v/>
      </c>
      <c r="N910" s="10"/>
      <c r="O910" s="10"/>
      <c r="P910" s="65"/>
      <c r="Q910" s="10"/>
      <c r="R910" s="10"/>
      <c r="S910" s="54" t="str">
        <f t="shared" si="48"/>
        <v/>
      </c>
      <c r="T910" s="54" t="str">
        <f t="shared" si="49"/>
        <v/>
      </c>
      <c r="U910" s="58" t="str">
        <f t="shared" si="50"/>
        <v/>
      </c>
      <c r="V910" s="58">
        <f>IF(AND($B910&lt;&gt;"",$F910&lt;&gt;"",$F910=项目明细账!$C$2),N(V909)+1,N(V909))</f>
        <v>0</v>
      </c>
      <c r="W910" s="63" t="str">
        <f>IF($H910&lt;&gt;"","项目成本",IFERROR(INDEX(基础资料!$W$4:$W$49,MATCH($I910,基础资料!$V$4:$V$49,0)),""))</f>
        <v/>
      </c>
      <c r="X910" s="63" t="str">
        <f>IFERROR(INDEX(基础资料!$R$4:$R$17,MATCH($G910,基础资料!$Q$4:$Q$17,0)),"")</f>
        <v/>
      </c>
    </row>
    <row r="911" spans="1:24">
      <c r="A911" s="58" t="str">
        <f>IF($B911="","",COUNTA($B$5:$B911))</f>
        <v/>
      </c>
      <c r="B911" s="53"/>
      <c r="C911" s="46"/>
      <c r="D911" s="63" t="str">
        <f>IFERROR(INDEX(基础资料!$F$4:$F$23,MATCH($C911,基础资料!$E$4:$E$23,0)),IF($C911="","","未匹配账户"))</f>
        <v/>
      </c>
      <c r="E911" s="39"/>
      <c r="F911" s="10"/>
      <c r="G911" s="10"/>
      <c r="H911" s="10"/>
      <c r="I911" s="10"/>
      <c r="J911" s="10"/>
      <c r="K911" s="25"/>
      <c r="L911" s="25"/>
      <c r="M911" s="25" t="str">
        <f>IFERROR(VLOOKUP($C911,$C$5:$M$24,11,0)+SUMIF($C$25:$C911,$C911,$K$25:$K911)-SUMIF($C$25:$C911,$C911,$L$25:$L911),"")</f>
        <v/>
      </c>
      <c r="N911" s="10"/>
      <c r="O911" s="10"/>
      <c r="P911" s="65"/>
      <c r="Q911" s="10"/>
      <c r="R911" s="10"/>
      <c r="S911" s="54" t="str">
        <f t="shared" si="48"/>
        <v/>
      </c>
      <c r="T911" s="54" t="str">
        <f t="shared" si="49"/>
        <v/>
      </c>
      <c r="U911" s="58" t="str">
        <f t="shared" si="50"/>
        <v/>
      </c>
      <c r="V911" s="58">
        <f>IF(AND($B911&lt;&gt;"",$F911&lt;&gt;"",$F911=项目明细账!$C$2),N(V910)+1,N(V910))</f>
        <v>0</v>
      </c>
      <c r="W911" s="63" t="str">
        <f>IF($H911&lt;&gt;"","项目成本",IFERROR(INDEX(基础资料!$W$4:$W$49,MATCH($I911,基础资料!$V$4:$V$49,0)),""))</f>
        <v/>
      </c>
      <c r="X911" s="63" t="str">
        <f>IFERROR(INDEX(基础资料!$R$4:$R$17,MATCH($G911,基础资料!$Q$4:$Q$17,0)),"")</f>
        <v/>
      </c>
    </row>
    <row r="912" spans="1:24">
      <c r="A912" s="58" t="str">
        <f>IF($B912="","",COUNTA($B$5:$B912))</f>
        <v/>
      </c>
      <c r="B912" s="53"/>
      <c r="C912" s="46"/>
      <c r="D912" s="63" t="str">
        <f>IFERROR(INDEX(基础资料!$F$4:$F$23,MATCH($C912,基础资料!$E$4:$E$23,0)),IF($C912="","","未匹配账户"))</f>
        <v/>
      </c>
      <c r="E912" s="39"/>
      <c r="F912" s="10"/>
      <c r="G912" s="10"/>
      <c r="H912" s="10"/>
      <c r="I912" s="10"/>
      <c r="J912" s="10"/>
      <c r="K912" s="25"/>
      <c r="L912" s="25"/>
      <c r="M912" s="25" t="str">
        <f>IFERROR(VLOOKUP($C912,$C$5:$M$24,11,0)+SUMIF($C$25:$C912,$C912,$K$25:$K912)-SUMIF($C$25:$C912,$C912,$L$25:$L912),"")</f>
        <v/>
      </c>
      <c r="N912" s="10"/>
      <c r="O912" s="10"/>
      <c r="P912" s="65"/>
      <c r="Q912" s="10"/>
      <c r="R912" s="10"/>
      <c r="S912" s="54" t="str">
        <f t="shared" si="48"/>
        <v/>
      </c>
      <c r="T912" s="54" t="str">
        <f t="shared" si="49"/>
        <v/>
      </c>
      <c r="U912" s="58" t="str">
        <f t="shared" si="50"/>
        <v/>
      </c>
      <c r="V912" s="58">
        <f>IF(AND($B912&lt;&gt;"",$F912&lt;&gt;"",$F912=项目明细账!$C$2),N(V911)+1,N(V911))</f>
        <v>0</v>
      </c>
      <c r="W912" s="63" t="str">
        <f>IF($H912&lt;&gt;"","项目成本",IFERROR(INDEX(基础资料!$W$4:$W$49,MATCH($I912,基础资料!$V$4:$V$49,0)),""))</f>
        <v/>
      </c>
      <c r="X912" s="63" t="str">
        <f>IFERROR(INDEX(基础资料!$R$4:$R$17,MATCH($G912,基础资料!$Q$4:$Q$17,0)),"")</f>
        <v/>
      </c>
    </row>
    <row r="913" spans="1:24">
      <c r="A913" s="58" t="str">
        <f>IF($B913="","",COUNTA($B$5:$B913))</f>
        <v/>
      </c>
      <c r="B913" s="53"/>
      <c r="C913" s="46"/>
      <c r="D913" s="63" t="str">
        <f>IFERROR(INDEX(基础资料!$F$4:$F$23,MATCH($C913,基础资料!$E$4:$E$23,0)),IF($C913="","","未匹配账户"))</f>
        <v/>
      </c>
      <c r="E913" s="39"/>
      <c r="F913" s="10"/>
      <c r="G913" s="10"/>
      <c r="H913" s="10"/>
      <c r="I913" s="10"/>
      <c r="J913" s="10"/>
      <c r="K913" s="25"/>
      <c r="L913" s="25"/>
      <c r="M913" s="25" t="str">
        <f>IFERROR(VLOOKUP($C913,$C$5:$M$24,11,0)+SUMIF($C$25:$C913,$C913,$K$25:$K913)-SUMIF($C$25:$C913,$C913,$L$25:$L913),"")</f>
        <v/>
      </c>
      <c r="N913" s="10"/>
      <c r="O913" s="10"/>
      <c r="P913" s="65"/>
      <c r="Q913" s="10"/>
      <c r="R913" s="10"/>
      <c r="S913" s="54" t="str">
        <f t="shared" si="48"/>
        <v/>
      </c>
      <c r="T913" s="54" t="str">
        <f t="shared" si="49"/>
        <v/>
      </c>
      <c r="U913" s="58" t="str">
        <f t="shared" si="50"/>
        <v/>
      </c>
      <c r="V913" s="58">
        <f>IF(AND($B913&lt;&gt;"",$F913&lt;&gt;"",$F913=项目明细账!$C$2),N(V912)+1,N(V912))</f>
        <v>0</v>
      </c>
      <c r="W913" s="63" t="str">
        <f>IF($H913&lt;&gt;"","项目成本",IFERROR(INDEX(基础资料!$W$4:$W$49,MATCH($I913,基础资料!$V$4:$V$49,0)),""))</f>
        <v/>
      </c>
      <c r="X913" s="63" t="str">
        <f>IFERROR(INDEX(基础资料!$R$4:$R$17,MATCH($G913,基础资料!$Q$4:$Q$17,0)),"")</f>
        <v/>
      </c>
    </row>
    <row r="914" spans="1:24">
      <c r="A914" s="58" t="str">
        <f>IF($B914="","",COUNTA($B$5:$B914))</f>
        <v/>
      </c>
      <c r="B914" s="53"/>
      <c r="C914" s="46"/>
      <c r="D914" s="63" t="str">
        <f>IFERROR(INDEX(基础资料!$F$4:$F$23,MATCH($C914,基础资料!$E$4:$E$23,0)),IF($C914="","","未匹配账户"))</f>
        <v/>
      </c>
      <c r="E914" s="39"/>
      <c r="F914" s="10"/>
      <c r="G914" s="10"/>
      <c r="H914" s="10"/>
      <c r="I914" s="10"/>
      <c r="J914" s="10"/>
      <c r="K914" s="25"/>
      <c r="L914" s="25"/>
      <c r="M914" s="25" t="str">
        <f>IFERROR(VLOOKUP($C914,$C$5:$M$24,11,0)+SUMIF($C$25:$C914,$C914,$K$25:$K914)-SUMIF($C$25:$C914,$C914,$L$25:$L914),"")</f>
        <v/>
      </c>
      <c r="N914" s="10"/>
      <c r="O914" s="10"/>
      <c r="P914" s="65"/>
      <c r="Q914" s="10"/>
      <c r="R914" s="10"/>
      <c r="S914" s="54" t="str">
        <f t="shared" si="48"/>
        <v/>
      </c>
      <c r="T914" s="54" t="str">
        <f t="shared" si="49"/>
        <v/>
      </c>
      <c r="U914" s="58" t="str">
        <f t="shared" si="50"/>
        <v/>
      </c>
      <c r="V914" s="58">
        <f>IF(AND($B914&lt;&gt;"",$F914&lt;&gt;"",$F914=项目明细账!$C$2),N(V913)+1,N(V913))</f>
        <v>0</v>
      </c>
      <c r="W914" s="63" t="str">
        <f>IF($H914&lt;&gt;"","项目成本",IFERROR(INDEX(基础资料!$W$4:$W$49,MATCH($I914,基础资料!$V$4:$V$49,0)),""))</f>
        <v/>
      </c>
      <c r="X914" s="63" t="str">
        <f>IFERROR(INDEX(基础资料!$R$4:$R$17,MATCH($G914,基础资料!$Q$4:$Q$17,0)),"")</f>
        <v/>
      </c>
    </row>
    <row r="915" spans="1:24">
      <c r="A915" s="58" t="str">
        <f>IF($B915="","",COUNTA($B$5:$B915))</f>
        <v/>
      </c>
      <c r="B915" s="53"/>
      <c r="C915" s="46"/>
      <c r="D915" s="63" t="str">
        <f>IFERROR(INDEX(基础资料!$F$4:$F$23,MATCH($C915,基础资料!$E$4:$E$23,0)),IF($C915="","","未匹配账户"))</f>
        <v/>
      </c>
      <c r="E915" s="39"/>
      <c r="F915" s="10"/>
      <c r="G915" s="10"/>
      <c r="H915" s="10"/>
      <c r="I915" s="10"/>
      <c r="J915" s="10"/>
      <c r="K915" s="25"/>
      <c r="L915" s="25"/>
      <c r="M915" s="25" t="str">
        <f>IFERROR(VLOOKUP($C915,$C$5:$M$24,11,0)+SUMIF($C$25:$C915,$C915,$K$25:$K915)-SUMIF($C$25:$C915,$C915,$L$25:$L915),"")</f>
        <v/>
      </c>
      <c r="N915" s="10"/>
      <c r="O915" s="10"/>
      <c r="P915" s="65"/>
      <c r="Q915" s="10"/>
      <c r="R915" s="10"/>
      <c r="S915" s="54" t="str">
        <f t="shared" si="48"/>
        <v/>
      </c>
      <c r="T915" s="54" t="str">
        <f t="shared" si="49"/>
        <v/>
      </c>
      <c r="U915" s="58" t="str">
        <f t="shared" si="50"/>
        <v/>
      </c>
      <c r="V915" s="58">
        <f>IF(AND($B915&lt;&gt;"",$F915&lt;&gt;"",$F915=项目明细账!$C$2),N(V914)+1,N(V914))</f>
        <v>0</v>
      </c>
      <c r="W915" s="63" t="str">
        <f>IF($H915&lt;&gt;"","项目成本",IFERROR(INDEX(基础资料!$W$4:$W$49,MATCH($I915,基础资料!$V$4:$V$49,0)),""))</f>
        <v/>
      </c>
      <c r="X915" s="63" t="str">
        <f>IFERROR(INDEX(基础资料!$R$4:$R$17,MATCH($G915,基础资料!$Q$4:$Q$17,0)),"")</f>
        <v/>
      </c>
    </row>
    <row r="916" spans="1:24">
      <c r="A916" s="58" t="str">
        <f>IF($B916="","",COUNTA($B$5:$B916))</f>
        <v/>
      </c>
      <c r="B916" s="53"/>
      <c r="C916" s="46"/>
      <c r="D916" s="63" t="str">
        <f>IFERROR(INDEX(基础资料!$F$4:$F$23,MATCH($C916,基础资料!$E$4:$E$23,0)),IF($C916="","","未匹配账户"))</f>
        <v/>
      </c>
      <c r="E916" s="39"/>
      <c r="F916" s="10"/>
      <c r="G916" s="10"/>
      <c r="H916" s="10"/>
      <c r="I916" s="10"/>
      <c r="J916" s="10"/>
      <c r="K916" s="25"/>
      <c r="L916" s="25"/>
      <c r="M916" s="25" t="str">
        <f>IFERROR(VLOOKUP($C916,$C$5:$M$24,11,0)+SUMIF($C$25:$C916,$C916,$K$25:$K916)-SUMIF($C$25:$C916,$C916,$L$25:$L916),"")</f>
        <v/>
      </c>
      <c r="N916" s="10"/>
      <c r="O916" s="10"/>
      <c r="P916" s="65"/>
      <c r="Q916" s="10"/>
      <c r="R916" s="10"/>
      <c r="S916" s="54" t="str">
        <f t="shared" si="48"/>
        <v/>
      </c>
      <c r="T916" s="54" t="str">
        <f t="shared" si="49"/>
        <v/>
      </c>
      <c r="U916" s="58" t="str">
        <f t="shared" si="50"/>
        <v/>
      </c>
      <c r="V916" s="58">
        <f>IF(AND($B916&lt;&gt;"",$F916&lt;&gt;"",$F916=项目明细账!$C$2),N(V915)+1,N(V915))</f>
        <v>0</v>
      </c>
      <c r="W916" s="63" t="str">
        <f>IF($H916&lt;&gt;"","项目成本",IFERROR(INDEX(基础资料!$W$4:$W$49,MATCH($I916,基础资料!$V$4:$V$49,0)),""))</f>
        <v/>
      </c>
      <c r="X916" s="63" t="str">
        <f>IFERROR(INDEX(基础资料!$R$4:$R$17,MATCH($G916,基础资料!$Q$4:$Q$17,0)),"")</f>
        <v/>
      </c>
    </row>
    <row r="917" spans="1:24">
      <c r="A917" s="58" t="str">
        <f>IF($B917="","",COUNTA($B$5:$B917))</f>
        <v/>
      </c>
      <c r="B917" s="53"/>
      <c r="C917" s="46"/>
      <c r="D917" s="63" t="str">
        <f>IFERROR(INDEX(基础资料!$F$4:$F$23,MATCH($C917,基础资料!$E$4:$E$23,0)),IF($C917="","","未匹配账户"))</f>
        <v/>
      </c>
      <c r="E917" s="39"/>
      <c r="F917" s="10"/>
      <c r="G917" s="10"/>
      <c r="H917" s="10"/>
      <c r="I917" s="10"/>
      <c r="J917" s="10"/>
      <c r="K917" s="25"/>
      <c r="L917" s="25"/>
      <c r="M917" s="25" t="str">
        <f>IFERROR(VLOOKUP($C917,$C$5:$M$24,11,0)+SUMIF($C$25:$C917,$C917,$K$25:$K917)-SUMIF($C$25:$C917,$C917,$L$25:$L917),"")</f>
        <v/>
      </c>
      <c r="N917" s="10"/>
      <c r="O917" s="10"/>
      <c r="P917" s="65"/>
      <c r="Q917" s="10"/>
      <c r="R917" s="10"/>
      <c r="S917" s="54" t="str">
        <f t="shared" si="48"/>
        <v/>
      </c>
      <c r="T917" s="54" t="str">
        <f t="shared" si="49"/>
        <v/>
      </c>
      <c r="U917" s="58" t="str">
        <f t="shared" si="50"/>
        <v/>
      </c>
      <c r="V917" s="58">
        <f>IF(AND($B917&lt;&gt;"",$F917&lt;&gt;"",$F917=项目明细账!$C$2),N(V916)+1,N(V916))</f>
        <v>0</v>
      </c>
      <c r="W917" s="63" t="str">
        <f>IF($H917&lt;&gt;"","项目成本",IFERROR(INDEX(基础资料!$W$4:$W$49,MATCH($I917,基础资料!$V$4:$V$49,0)),""))</f>
        <v/>
      </c>
      <c r="X917" s="63" t="str">
        <f>IFERROR(INDEX(基础资料!$R$4:$R$17,MATCH($G917,基础资料!$Q$4:$Q$17,0)),"")</f>
        <v/>
      </c>
    </row>
    <row r="918" spans="1:24">
      <c r="A918" s="58" t="str">
        <f>IF($B918="","",COUNTA($B$5:$B918))</f>
        <v/>
      </c>
      <c r="B918" s="53"/>
      <c r="C918" s="46"/>
      <c r="D918" s="63" t="str">
        <f>IFERROR(INDEX(基础资料!$F$4:$F$23,MATCH($C918,基础资料!$E$4:$E$23,0)),IF($C918="","","未匹配账户"))</f>
        <v/>
      </c>
      <c r="E918" s="39"/>
      <c r="F918" s="10"/>
      <c r="G918" s="10"/>
      <c r="H918" s="10"/>
      <c r="I918" s="10"/>
      <c r="J918" s="10"/>
      <c r="K918" s="25"/>
      <c r="L918" s="25"/>
      <c r="M918" s="25" t="str">
        <f>IFERROR(VLOOKUP($C918,$C$5:$M$24,11,0)+SUMIF($C$25:$C918,$C918,$K$25:$K918)-SUMIF($C$25:$C918,$C918,$L$25:$L918),"")</f>
        <v/>
      </c>
      <c r="N918" s="10"/>
      <c r="O918" s="10"/>
      <c r="P918" s="65"/>
      <c r="Q918" s="10"/>
      <c r="R918" s="10"/>
      <c r="S918" s="54" t="str">
        <f t="shared" si="48"/>
        <v/>
      </c>
      <c r="T918" s="54" t="str">
        <f t="shared" si="49"/>
        <v/>
      </c>
      <c r="U918" s="58" t="str">
        <f t="shared" si="50"/>
        <v/>
      </c>
      <c r="V918" s="58">
        <f>IF(AND($B918&lt;&gt;"",$F918&lt;&gt;"",$F918=项目明细账!$C$2),N(V917)+1,N(V917))</f>
        <v>0</v>
      </c>
      <c r="W918" s="63" t="str">
        <f>IF($H918&lt;&gt;"","项目成本",IFERROR(INDEX(基础资料!$W$4:$W$49,MATCH($I918,基础资料!$V$4:$V$49,0)),""))</f>
        <v/>
      </c>
      <c r="X918" s="63" t="str">
        <f>IFERROR(INDEX(基础资料!$R$4:$R$17,MATCH($G918,基础资料!$Q$4:$Q$17,0)),"")</f>
        <v/>
      </c>
    </row>
    <row r="919" spans="1:24">
      <c r="A919" s="58" t="str">
        <f>IF($B919="","",COUNTA($B$5:$B919))</f>
        <v/>
      </c>
      <c r="B919" s="53"/>
      <c r="C919" s="46"/>
      <c r="D919" s="63" t="str">
        <f>IFERROR(INDEX(基础资料!$F$4:$F$23,MATCH($C919,基础资料!$E$4:$E$23,0)),IF($C919="","","未匹配账户"))</f>
        <v/>
      </c>
      <c r="E919" s="39"/>
      <c r="F919" s="10"/>
      <c r="G919" s="10"/>
      <c r="H919" s="10"/>
      <c r="I919" s="10"/>
      <c r="J919" s="10"/>
      <c r="K919" s="25"/>
      <c r="L919" s="25"/>
      <c r="M919" s="25" t="str">
        <f>IFERROR(VLOOKUP($C919,$C$5:$M$24,11,0)+SUMIF($C$25:$C919,$C919,$K$25:$K919)-SUMIF($C$25:$C919,$C919,$L$25:$L919),"")</f>
        <v/>
      </c>
      <c r="N919" s="10"/>
      <c r="O919" s="10"/>
      <c r="P919" s="65"/>
      <c r="Q919" s="10"/>
      <c r="R919" s="10"/>
      <c r="S919" s="54" t="str">
        <f t="shared" si="48"/>
        <v/>
      </c>
      <c r="T919" s="54" t="str">
        <f t="shared" si="49"/>
        <v/>
      </c>
      <c r="U919" s="58" t="str">
        <f t="shared" si="50"/>
        <v/>
      </c>
      <c r="V919" s="58">
        <f>IF(AND($B919&lt;&gt;"",$F919&lt;&gt;"",$F919=项目明细账!$C$2),N(V918)+1,N(V918))</f>
        <v>0</v>
      </c>
      <c r="W919" s="63" t="str">
        <f>IF($H919&lt;&gt;"","项目成本",IFERROR(INDEX(基础资料!$W$4:$W$49,MATCH($I919,基础资料!$V$4:$V$49,0)),""))</f>
        <v/>
      </c>
      <c r="X919" s="63" t="str">
        <f>IFERROR(INDEX(基础资料!$R$4:$R$17,MATCH($G919,基础资料!$Q$4:$Q$17,0)),"")</f>
        <v/>
      </c>
    </row>
    <row r="920" spans="1:24">
      <c r="A920" s="58" t="str">
        <f>IF($B920="","",COUNTA($B$5:$B920))</f>
        <v/>
      </c>
      <c r="B920" s="53"/>
      <c r="C920" s="46"/>
      <c r="D920" s="63" t="str">
        <f>IFERROR(INDEX(基础资料!$F$4:$F$23,MATCH($C920,基础资料!$E$4:$E$23,0)),IF($C920="","","未匹配账户"))</f>
        <v/>
      </c>
      <c r="E920" s="39"/>
      <c r="F920" s="10"/>
      <c r="G920" s="10"/>
      <c r="H920" s="10"/>
      <c r="I920" s="10"/>
      <c r="J920" s="10"/>
      <c r="K920" s="25"/>
      <c r="L920" s="25"/>
      <c r="M920" s="25" t="str">
        <f>IFERROR(VLOOKUP($C920,$C$5:$M$24,11,0)+SUMIF($C$25:$C920,$C920,$K$25:$K920)-SUMIF($C$25:$C920,$C920,$L$25:$L920),"")</f>
        <v/>
      </c>
      <c r="N920" s="10"/>
      <c r="O920" s="10"/>
      <c r="P920" s="65"/>
      <c r="Q920" s="10"/>
      <c r="R920" s="10"/>
      <c r="S920" s="54" t="str">
        <f t="shared" si="48"/>
        <v/>
      </c>
      <c r="T920" s="54" t="str">
        <f t="shared" si="49"/>
        <v/>
      </c>
      <c r="U920" s="58" t="str">
        <f t="shared" si="50"/>
        <v/>
      </c>
      <c r="V920" s="58">
        <f>IF(AND($B920&lt;&gt;"",$F920&lt;&gt;"",$F920=项目明细账!$C$2),N(V919)+1,N(V919))</f>
        <v>0</v>
      </c>
      <c r="W920" s="63" t="str">
        <f>IF($H920&lt;&gt;"","项目成本",IFERROR(INDEX(基础资料!$W$4:$W$49,MATCH($I920,基础资料!$V$4:$V$49,0)),""))</f>
        <v/>
      </c>
      <c r="X920" s="63" t="str">
        <f>IFERROR(INDEX(基础资料!$R$4:$R$17,MATCH($G920,基础资料!$Q$4:$Q$17,0)),"")</f>
        <v/>
      </c>
    </row>
    <row r="921" spans="1:24">
      <c r="A921" s="58" t="str">
        <f>IF($B921="","",COUNTA($B$5:$B921))</f>
        <v/>
      </c>
      <c r="B921" s="53"/>
      <c r="C921" s="46"/>
      <c r="D921" s="63" t="str">
        <f>IFERROR(INDEX(基础资料!$F$4:$F$23,MATCH($C921,基础资料!$E$4:$E$23,0)),IF($C921="","","未匹配账户"))</f>
        <v/>
      </c>
      <c r="E921" s="39"/>
      <c r="F921" s="10"/>
      <c r="G921" s="10"/>
      <c r="H921" s="10"/>
      <c r="I921" s="10"/>
      <c r="J921" s="10"/>
      <c r="K921" s="25"/>
      <c r="L921" s="25"/>
      <c r="M921" s="25" t="str">
        <f>IFERROR(VLOOKUP($C921,$C$5:$M$24,11,0)+SUMIF($C$25:$C921,$C921,$K$25:$K921)-SUMIF($C$25:$C921,$C921,$L$25:$L921),"")</f>
        <v/>
      </c>
      <c r="N921" s="10"/>
      <c r="O921" s="10"/>
      <c r="P921" s="65"/>
      <c r="Q921" s="10"/>
      <c r="R921" s="10"/>
      <c r="S921" s="54" t="str">
        <f t="shared" si="48"/>
        <v/>
      </c>
      <c r="T921" s="54" t="str">
        <f t="shared" si="49"/>
        <v/>
      </c>
      <c r="U921" s="58" t="str">
        <f t="shared" si="50"/>
        <v/>
      </c>
      <c r="V921" s="58">
        <f>IF(AND($B921&lt;&gt;"",$F921&lt;&gt;"",$F921=项目明细账!$C$2),N(V920)+1,N(V920))</f>
        <v>0</v>
      </c>
      <c r="W921" s="63" t="str">
        <f>IF($H921&lt;&gt;"","项目成本",IFERROR(INDEX(基础资料!$W$4:$W$49,MATCH($I921,基础资料!$V$4:$V$49,0)),""))</f>
        <v/>
      </c>
      <c r="X921" s="63" t="str">
        <f>IFERROR(INDEX(基础资料!$R$4:$R$17,MATCH($G921,基础资料!$Q$4:$Q$17,0)),"")</f>
        <v/>
      </c>
    </row>
    <row r="922" spans="1:24">
      <c r="A922" s="58" t="str">
        <f>IF($B922="","",COUNTA($B$5:$B922))</f>
        <v/>
      </c>
      <c r="B922" s="53"/>
      <c r="C922" s="46"/>
      <c r="D922" s="63" t="str">
        <f>IFERROR(INDEX(基础资料!$F$4:$F$23,MATCH($C922,基础资料!$E$4:$E$23,0)),IF($C922="","","未匹配账户"))</f>
        <v/>
      </c>
      <c r="E922" s="39"/>
      <c r="F922" s="10"/>
      <c r="G922" s="10"/>
      <c r="H922" s="10"/>
      <c r="I922" s="10"/>
      <c r="J922" s="10"/>
      <c r="K922" s="25"/>
      <c r="L922" s="25"/>
      <c r="M922" s="25" t="str">
        <f>IFERROR(VLOOKUP($C922,$C$5:$M$24,11,0)+SUMIF($C$25:$C922,$C922,$K$25:$K922)-SUMIF($C$25:$C922,$C922,$L$25:$L922),"")</f>
        <v/>
      </c>
      <c r="N922" s="10"/>
      <c r="O922" s="10"/>
      <c r="P922" s="65"/>
      <c r="Q922" s="10"/>
      <c r="R922" s="10"/>
      <c r="S922" s="54" t="str">
        <f t="shared" si="48"/>
        <v/>
      </c>
      <c r="T922" s="54" t="str">
        <f t="shared" si="49"/>
        <v/>
      </c>
      <c r="U922" s="58" t="str">
        <f t="shared" si="50"/>
        <v/>
      </c>
      <c r="V922" s="58">
        <f>IF(AND($B922&lt;&gt;"",$F922&lt;&gt;"",$F922=项目明细账!$C$2),N(V921)+1,N(V921))</f>
        <v>0</v>
      </c>
      <c r="W922" s="63" t="str">
        <f>IF($H922&lt;&gt;"","项目成本",IFERROR(INDEX(基础资料!$W$4:$W$49,MATCH($I922,基础资料!$V$4:$V$49,0)),""))</f>
        <v/>
      </c>
      <c r="X922" s="63" t="str">
        <f>IFERROR(INDEX(基础资料!$R$4:$R$17,MATCH($G922,基础资料!$Q$4:$Q$17,0)),"")</f>
        <v/>
      </c>
    </row>
    <row r="923" spans="1:24">
      <c r="A923" s="58" t="str">
        <f>IF($B923="","",COUNTA($B$5:$B923))</f>
        <v/>
      </c>
      <c r="B923" s="53"/>
      <c r="C923" s="46"/>
      <c r="D923" s="63" t="str">
        <f>IFERROR(INDEX(基础资料!$F$4:$F$23,MATCH($C923,基础资料!$E$4:$E$23,0)),IF($C923="","","未匹配账户"))</f>
        <v/>
      </c>
      <c r="E923" s="39"/>
      <c r="F923" s="10"/>
      <c r="G923" s="10"/>
      <c r="H923" s="10"/>
      <c r="I923" s="10"/>
      <c r="J923" s="10"/>
      <c r="K923" s="25"/>
      <c r="L923" s="25"/>
      <c r="M923" s="25" t="str">
        <f>IFERROR(VLOOKUP($C923,$C$5:$M$24,11,0)+SUMIF($C$25:$C923,$C923,$K$25:$K923)-SUMIF($C$25:$C923,$C923,$L$25:$L923),"")</f>
        <v/>
      </c>
      <c r="N923" s="10"/>
      <c r="O923" s="10"/>
      <c r="P923" s="65"/>
      <c r="Q923" s="10"/>
      <c r="R923" s="10"/>
      <c r="S923" s="54" t="str">
        <f t="shared" si="48"/>
        <v/>
      </c>
      <c r="T923" s="54" t="str">
        <f t="shared" si="49"/>
        <v/>
      </c>
      <c r="U923" s="58" t="str">
        <f t="shared" si="50"/>
        <v/>
      </c>
      <c r="V923" s="58">
        <f>IF(AND($B923&lt;&gt;"",$F923&lt;&gt;"",$F923=项目明细账!$C$2),N(V922)+1,N(V922))</f>
        <v>0</v>
      </c>
      <c r="W923" s="63" t="str">
        <f>IF($H923&lt;&gt;"","项目成本",IFERROR(INDEX(基础资料!$W$4:$W$49,MATCH($I923,基础资料!$V$4:$V$49,0)),""))</f>
        <v/>
      </c>
      <c r="X923" s="63" t="str">
        <f>IFERROR(INDEX(基础资料!$R$4:$R$17,MATCH($G923,基础资料!$Q$4:$Q$17,0)),"")</f>
        <v/>
      </c>
    </row>
    <row r="924" spans="1:24">
      <c r="A924" s="58" t="str">
        <f>IF($B924="","",COUNTA($B$5:$B924))</f>
        <v/>
      </c>
      <c r="B924" s="53"/>
      <c r="C924" s="46"/>
      <c r="D924" s="63" t="str">
        <f>IFERROR(INDEX(基础资料!$F$4:$F$23,MATCH($C924,基础资料!$E$4:$E$23,0)),IF($C924="","","未匹配账户"))</f>
        <v/>
      </c>
      <c r="E924" s="39"/>
      <c r="F924" s="10"/>
      <c r="G924" s="10"/>
      <c r="H924" s="10"/>
      <c r="I924" s="10"/>
      <c r="J924" s="10"/>
      <c r="K924" s="25"/>
      <c r="L924" s="25"/>
      <c r="M924" s="25" t="str">
        <f>IFERROR(VLOOKUP($C924,$C$5:$M$24,11,0)+SUMIF($C$25:$C924,$C924,$K$25:$K924)-SUMIF($C$25:$C924,$C924,$L$25:$L924),"")</f>
        <v/>
      </c>
      <c r="N924" s="10"/>
      <c r="O924" s="10"/>
      <c r="P924" s="65"/>
      <c r="Q924" s="10"/>
      <c r="R924" s="10"/>
      <c r="S924" s="54" t="str">
        <f t="shared" si="48"/>
        <v/>
      </c>
      <c r="T924" s="54" t="str">
        <f t="shared" si="49"/>
        <v/>
      </c>
      <c r="U924" s="58" t="str">
        <f t="shared" si="50"/>
        <v/>
      </c>
      <c r="V924" s="58">
        <f>IF(AND($B924&lt;&gt;"",$F924&lt;&gt;"",$F924=项目明细账!$C$2),N(V923)+1,N(V923))</f>
        <v>0</v>
      </c>
      <c r="W924" s="63" t="str">
        <f>IF($H924&lt;&gt;"","项目成本",IFERROR(INDEX(基础资料!$W$4:$W$49,MATCH($I924,基础资料!$V$4:$V$49,0)),""))</f>
        <v/>
      </c>
      <c r="X924" s="63" t="str">
        <f>IFERROR(INDEX(基础资料!$R$4:$R$17,MATCH($G924,基础资料!$Q$4:$Q$17,0)),"")</f>
        <v/>
      </c>
    </row>
    <row r="925" spans="1:24">
      <c r="A925" s="58" t="str">
        <f>IF($B925="","",COUNTA($B$5:$B925))</f>
        <v/>
      </c>
      <c r="B925" s="53"/>
      <c r="C925" s="46"/>
      <c r="D925" s="63" t="str">
        <f>IFERROR(INDEX(基础资料!$F$4:$F$23,MATCH($C925,基础资料!$E$4:$E$23,0)),IF($C925="","","未匹配账户"))</f>
        <v/>
      </c>
      <c r="E925" s="39"/>
      <c r="F925" s="10"/>
      <c r="G925" s="10"/>
      <c r="H925" s="10"/>
      <c r="I925" s="10"/>
      <c r="J925" s="10"/>
      <c r="K925" s="25"/>
      <c r="L925" s="25"/>
      <c r="M925" s="25" t="str">
        <f>IFERROR(VLOOKUP($C925,$C$5:$M$24,11,0)+SUMIF($C$25:$C925,$C925,$K$25:$K925)-SUMIF($C$25:$C925,$C925,$L$25:$L925),"")</f>
        <v/>
      </c>
      <c r="N925" s="10"/>
      <c r="O925" s="10"/>
      <c r="P925" s="65"/>
      <c r="Q925" s="10"/>
      <c r="R925" s="10"/>
      <c r="S925" s="54" t="str">
        <f t="shared" si="48"/>
        <v/>
      </c>
      <c r="T925" s="54" t="str">
        <f t="shared" si="49"/>
        <v/>
      </c>
      <c r="U925" s="58" t="str">
        <f t="shared" si="50"/>
        <v/>
      </c>
      <c r="V925" s="58">
        <f>IF(AND($B925&lt;&gt;"",$F925&lt;&gt;"",$F925=项目明细账!$C$2),N(V924)+1,N(V924))</f>
        <v>0</v>
      </c>
      <c r="W925" s="63" t="str">
        <f>IF($H925&lt;&gt;"","项目成本",IFERROR(INDEX(基础资料!$W$4:$W$49,MATCH($I925,基础资料!$V$4:$V$49,0)),""))</f>
        <v/>
      </c>
      <c r="X925" s="63" t="str">
        <f>IFERROR(INDEX(基础资料!$R$4:$R$17,MATCH($G925,基础资料!$Q$4:$Q$17,0)),"")</f>
        <v/>
      </c>
    </row>
    <row r="926" spans="1:24">
      <c r="A926" s="58" t="str">
        <f>IF($B926="","",COUNTA($B$5:$B926))</f>
        <v/>
      </c>
      <c r="B926" s="53"/>
      <c r="C926" s="46"/>
      <c r="D926" s="63" t="str">
        <f>IFERROR(INDEX(基础资料!$F$4:$F$23,MATCH($C926,基础资料!$E$4:$E$23,0)),IF($C926="","","未匹配账户"))</f>
        <v/>
      </c>
      <c r="E926" s="39"/>
      <c r="F926" s="10"/>
      <c r="G926" s="10"/>
      <c r="H926" s="10"/>
      <c r="I926" s="10"/>
      <c r="J926" s="10"/>
      <c r="K926" s="25"/>
      <c r="L926" s="25"/>
      <c r="M926" s="25" t="str">
        <f>IFERROR(VLOOKUP($C926,$C$5:$M$24,11,0)+SUMIF($C$25:$C926,$C926,$K$25:$K926)-SUMIF($C$25:$C926,$C926,$L$25:$L926),"")</f>
        <v/>
      </c>
      <c r="N926" s="10"/>
      <c r="O926" s="10"/>
      <c r="P926" s="65"/>
      <c r="Q926" s="10"/>
      <c r="R926" s="10"/>
      <c r="S926" s="54" t="str">
        <f t="shared" si="48"/>
        <v/>
      </c>
      <c r="T926" s="54" t="str">
        <f t="shared" si="49"/>
        <v/>
      </c>
      <c r="U926" s="58" t="str">
        <f t="shared" si="50"/>
        <v/>
      </c>
      <c r="V926" s="58">
        <f>IF(AND($B926&lt;&gt;"",$F926&lt;&gt;"",$F926=项目明细账!$C$2),N(V925)+1,N(V925))</f>
        <v>0</v>
      </c>
      <c r="W926" s="63" t="str">
        <f>IF($H926&lt;&gt;"","项目成本",IFERROR(INDEX(基础资料!$W$4:$W$49,MATCH($I926,基础资料!$V$4:$V$49,0)),""))</f>
        <v/>
      </c>
      <c r="X926" s="63" t="str">
        <f>IFERROR(INDEX(基础资料!$R$4:$R$17,MATCH($G926,基础资料!$Q$4:$Q$17,0)),"")</f>
        <v/>
      </c>
    </row>
    <row r="927" spans="1:24">
      <c r="A927" s="58" t="str">
        <f>IF($B927="","",COUNTA($B$5:$B927))</f>
        <v/>
      </c>
      <c r="B927" s="53"/>
      <c r="C927" s="46"/>
      <c r="D927" s="63" t="str">
        <f>IFERROR(INDEX(基础资料!$F$4:$F$23,MATCH($C927,基础资料!$E$4:$E$23,0)),IF($C927="","","未匹配账户"))</f>
        <v/>
      </c>
      <c r="E927" s="39"/>
      <c r="F927" s="10"/>
      <c r="G927" s="10"/>
      <c r="H927" s="10"/>
      <c r="I927" s="10"/>
      <c r="J927" s="10"/>
      <c r="K927" s="25"/>
      <c r="L927" s="25"/>
      <c r="M927" s="25" t="str">
        <f>IFERROR(VLOOKUP($C927,$C$5:$M$24,11,0)+SUMIF($C$25:$C927,$C927,$K$25:$K927)-SUMIF($C$25:$C927,$C927,$L$25:$L927),"")</f>
        <v/>
      </c>
      <c r="N927" s="10"/>
      <c r="O927" s="10"/>
      <c r="P927" s="65"/>
      <c r="Q927" s="10"/>
      <c r="R927" s="10"/>
      <c r="S927" s="54" t="str">
        <f t="shared" si="48"/>
        <v/>
      </c>
      <c r="T927" s="54" t="str">
        <f t="shared" si="49"/>
        <v/>
      </c>
      <c r="U927" s="58" t="str">
        <f t="shared" si="50"/>
        <v/>
      </c>
      <c r="V927" s="58">
        <f>IF(AND($B927&lt;&gt;"",$F927&lt;&gt;"",$F927=项目明细账!$C$2),N(V926)+1,N(V926))</f>
        <v>0</v>
      </c>
      <c r="W927" s="63" t="str">
        <f>IF($H927&lt;&gt;"","项目成本",IFERROR(INDEX(基础资料!$W$4:$W$49,MATCH($I927,基础资料!$V$4:$V$49,0)),""))</f>
        <v/>
      </c>
      <c r="X927" s="63" t="str">
        <f>IFERROR(INDEX(基础资料!$R$4:$R$17,MATCH($G927,基础资料!$Q$4:$Q$17,0)),"")</f>
        <v/>
      </c>
    </row>
    <row r="928" spans="1:24">
      <c r="A928" s="58" t="str">
        <f>IF($B928="","",COUNTA($B$5:$B928))</f>
        <v/>
      </c>
      <c r="B928" s="53"/>
      <c r="C928" s="46"/>
      <c r="D928" s="63" t="str">
        <f>IFERROR(INDEX(基础资料!$F$4:$F$23,MATCH($C928,基础资料!$E$4:$E$23,0)),IF($C928="","","未匹配账户"))</f>
        <v/>
      </c>
      <c r="E928" s="39"/>
      <c r="F928" s="10"/>
      <c r="G928" s="10"/>
      <c r="H928" s="10"/>
      <c r="I928" s="10"/>
      <c r="J928" s="10"/>
      <c r="K928" s="25"/>
      <c r="L928" s="25"/>
      <c r="M928" s="25" t="str">
        <f>IFERROR(VLOOKUP($C928,$C$5:$M$24,11,0)+SUMIF($C$25:$C928,$C928,$K$25:$K928)-SUMIF($C$25:$C928,$C928,$L$25:$L928),"")</f>
        <v/>
      </c>
      <c r="N928" s="10"/>
      <c r="O928" s="10"/>
      <c r="P928" s="65"/>
      <c r="Q928" s="10"/>
      <c r="R928" s="10"/>
      <c r="S928" s="54" t="str">
        <f t="shared" si="48"/>
        <v/>
      </c>
      <c r="T928" s="54" t="str">
        <f t="shared" si="49"/>
        <v/>
      </c>
      <c r="U928" s="58" t="str">
        <f t="shared" si="50"/>
        <v/>
      </c>
      <c r="V928" s="58">
        <f>IF(AND($B928&lt;&gt;"",$F928&lt;&gt;"",$F928=项目明细账!$C$2),N(V927)+1,N(V927))</f>
        <v>0</v>
      </c>
      <c r="W928" s="63" t="str">
        <f>IF($H928&lt;&gt;"","项目成本",IFERROR(INDEX(基础资料!$W$4:$W$49,MATCH($I928,基础资料!$V$4:$V$49,0)),""))</f>
        <v/>
      </c>
      <c r="X928" s="63" t="str">
        <f>IFERROR(INDEX(基础资料!$R$4:$R$17,MATCH($G928,基础资料!$Q$4:$Q$17,0)),"")</f>
        <v/>
      </c>
    </row>
    <row r="929" spans="1:24">
      <c r="A929" s="58" t="str">
        <f>IF($B929="","",COUNTA($B$5:$B929))</f>
        <v/>
      </c>
      <c r="B929" s="53"/>
      <c r="C929" s="46"/>
      <c r="D929" s="63" t="str">
        <f>IFERROR(INDEX(基础资料!$F$4:$F$23,MATCH($C929,基础资料!$E$4:$E$23,0)),IF($C929="","","未匹配账户"))</f>
        <v/>
      </c>
      <c r="E929" s="39"/>
      <c r="F929" s="10"/>
      <c r="G929" s="10"/>
      <c r="H929" s="10"/>
      <c r="I929" s="10"/>
      <c r="J929" s="10"/>
      <c r="K929" s="25"/>
      <c r="L929" s="25"/>
      <c r="M929" s="25" t="str">
        <f>IFERROR(VLOOKUP($C929,$C$5:$M$24,11,0)+SUMIF($C$25:$C929,$C929,$K$25:$K929)-SUMIF($C$25:$C929,$C929,$L$25:$L929),"")</f>
        <v/>
      </c>
      <c r="N929" s="10"/>
      <c r="O929" s="10"/>
      <c r="P929" s="65"/>
      <c r="Q929" s="10"/>
      <c r="R929" s="10"/>
      <c r="S929" s="54" t="str">
        <f t="shared" si="48"/>
        <v/>
      </c>
      <c r="T929" s="54" t="str">
        <f t="shared" si="49"/>
        <v/>
      </c>
      <c r="U929" s="58" t="str">
        <f t="shared" si="50"/>
        <v/>
      </c>
      <c r="V929" s="58">
        <f>IF(AND($B929&lt;&gt;"",$F929&lt;&gt;"",$F929=项目明细账!$C$2),N(V928)+1,N(V928))</f>
        <v>0</v>
      </c>
      <c r="W929" s="63" t="str">
        <f>IF($H929&lt;&gt;"","项目成本",IFERROR(INDEX(基础资料!$W$4:$W$49,MATCH($I929,基础资料!$V$4:$V$49,0)),""))</f>
        <v/>
      </c>
      <c r="X929" s="63" t="str">
        <f>IFERROR(INDEX(基础资料!$R$4:$R$17,MATCH($G929,基础资料!$Q$4:$Q$17,0)),"")</f>
        <v/>
      </c>
    </row>
    <row r="930" spans="1:24">
      <c r="A930" s="58" t="str">
        <f>IF($B930="","",COUNTA($B$5:$B930))</f>
        <v/>
      </c>
      <c r="B930" s="53"/>
      <c r="C930" s="46"/>
      <c r="D930" s="63" t="str">
        <f>IFERROR(INDEX(基础资料!$F$4:$F$23,MATCH($C930,基础资料!$E$4:$E$23,0)),IF($C930="","","未匹配账户"))</f>
        <v/>
      </c>
      <c r="E930" s="39"/>
      <c r="F930" s="10"/>
      <c r="G930" s="10"/>
      <c r="H930" s="10"/>
      <c r="I930" s="10"/>
      <c r="J930" s="10"/>
      <c r="K930" s="25"/>
      <c r="L930" s="25"/>
      <c r="M930" s="25" t="str">
        <f>IFERROR(VLOOKUP($C930,$C$5:$M$24,11,0)+SUMIF($C$25:$C930,$C930,$K$25:$K930)-SUMIF($C$25:$C930,$C930,$L$25:$L930),"")</f>
        <v/>
      </c>
      <c r="N930" s="10"/>
      <c r="O930" s="10"/>
      <c r="P930" s="65"/>
      <c r="Q930" s="10"/>
      <c r="R930" s="10"/>
      <c r="S930" s="54" t="str">
        <f t="shared" si="48"/>
        <v/>
      </c>
      <c r="T930" s="54" t="str">
        <f t="shared" si="49"/>
        <v/>
      </c>
      <c r="U930" s="58" t="str">
        <f t="shared" si="50"/>
        <v/>
      </c>
      <c r="V930" s="58">
        <f>IF(AND($B930&lt;&gt;"",$F930&lt;&gt;"",$F930=项目明细账!$C$2),N(V929)+1,N(V929))</f>
        <v>0</v>
      </c>
      <c r="W930" s="63" t="str">
        <f>IF($H930&lt;&gt;"","项目成本",IFERROR(INDEX(基础资料!$W$4:$W$49,MATCH($I930,基础资料!$V$4:$V$49,0)),""))</f>
        <v/>
      </c>
      <c r="X930" s="63" t="str">
        <f>IFERROR(INDEX(基础资料!$R$4:$R$17,MATCH($G930,基础资料!$Q$4:$Q$17,0)),"")</f>
        <v/>
      </c>
    </row>
    <row r="931" spans="1:24">
      <c r="A931" s="58" t="str">
        <f>IF($B931="","",COUNTA($B$5:$B931))</f>
        <v/>
      </c>
      <c r="B931" s="53"/>
      <c r="C931" s="46"/>
      <c r="D931" s="63" t="str">
        <f>IFERROR(INDEX(基础资料!$F$4:$F$23,MATCH($C931,基础资料!$E$4:$E$23,0)),IF($C931="","","未匹配账户"))</f>
        <v/>
      </c>
      <c r="E931" s="39"/>
      <c r="F931" s="10"/>
      <c r="G931" s="10"/>
      <c r="H931" s="10"/>
      <c r="I931" s="10"/>
      <c r="J931" s="10"/>
      <c r="K931" s="25"/>
      <c r="L931" s="25"/>
      <c r="M931" s="25" t="str">
        <f>IFERROR(VLOOKUP($C931,$C$5:$M$24,11,0)+SUMIF($C$25:$C931,$C931,$K$25:$K931)-SUMIF($C$25:$C931,$C931,$L$25:$L931),"")</f>
        <v/>
      </c>
      <c r="N931" s="10"/>
      <c r="O931" s="10"/>
      <c r="P931" s="65"/>
      <c r="Q931" s="10"/>
      <c r="R931" s="10"/>
      <c r="S931" s="54" t="str">
        <f t="shared" si="48"/>
        <v/>
      </c>
      <c r="T931" s="54" t="str">
        <f t="shared" si="49"/>
        <v/>
      </c>
      <c r="U931" s="58" t="str">
        <f t="shared" si="50"/>
        <v/>
      </c>
      <c r="V931" s="58">
        <f>IF(AND($B931&lt;&gt;"",$F931&lt;&gt;"",$F931=项目明细账!$C$2),N(V930)+1,N(V930))</f>
        <v>0</v>
      </c>
      <c r="W931" s="63" t="str">
        <f>IF($H931&lt;&gt;"","项目成本",IFERROR(INDEX(基础资料!$W$4:$W$49,MATCH($I931,基础资料!$V$4:$V$49,0)),""))</f>
        <v/>
      </c>
      <c r="X931" s="63" t="str">
        <f>IFERROR(INDEX(基础资料!$R$4:$R$17,MATCH($G931,基础资料!$Q$4:$Q$17,0)),"")</f>
        <v/>
      </c>
    </row>
    <row r="932" spans="1:24">
      <c r="A932" s="58" t="str">
        <f>IF($B932="","",COUNTA($B$5:$B932))</f>
        <v/>
      </c>
      <c r="B932" s="53"/>
      <c r="C932" s="46"/>
      <c r="D932" s="63" t="str">
        <f>IFERROR(INDEX(基础资料!$F$4:$F$23,MATCH($C932,基础资料!$E$4:$E$23,0)),IF($C932="","","未匹配账户"))</f>
        <v/>
      </c>
      <c r="E932" s="39"/>
      <c r="F932" s="10"/>
      <c r="G932" s="10"/>
      <c r="H932" s="10"/>
      <c r="I932" s="10"/>
      <c r="J932" s="10"/>
      <c r="K932" s="25"/>
      <c r="L932" s="25"/>
      <c r="M932" s="25" t="str">
        <f>IFERROR(VLOOKUP($C932,$C$5:$M$24,11,0)+SUMIF($C$25:$C932,$C932,$K$25:$K932)-SUMIF($C$25:$C932,$C932,$L$25:$L932),"")</f>
        <v/>
      </c>
      <c r="N932" s="10"/>
      <c r="O932" s="10"/>
      <c r="P932" s="65"/>
      <c r="Q932" s="10"/>
      <c r="R932" s="10"/>
      <c r="S932" s="54" t="str">
        <f t="shared" si="48"/>
        <v/>
      </c>
      <c r="T932" s="54" t="str">
        <f t="shared" si="49"/>
        <v/>
      </c>
      <c r="U932" s="58" t="str">
        <f t="shared" si="50"/>
        <v/>
      </c>
      <c r="V932" s="58">
        <f>IF(AND($B932&lt;&gt;"",$F932&lt;&gt;"",$F932=项目明细账!$C$2),N(V931)+1,N(V931))</f>
        <v>0</v>
      </c>
      <c r="W932" s="63" t="str">
        <f>IF($H932&lt;&gt;"","项目成本",IFERROR(INDEX(基础资料!$W$4:$W$49,MATCH($I932,基础资料!$V$4:$V$49,0)),""))</f>
        <v/>
      </c>
      <c r="X932" s="63" t="str">
        <f>IFERROR(INDEX(基础资料!$R$4:$R$17,MATCH($G932,基础资料!$Q$4:$Q$17,0)),"")</f>
        <v/>
      </c>
    </row>
    <row r="933" spans="1:24">
      <c r="A933" s="58" t="str">
        <f>IF($B933="","",COUNTA($B$5:$B933))</f>
        <v/>
      </c>
      <c r="B933" s="53"/>
      <c r="C933" s="46"/>
      <c r="D933" s="63" t="str">
        <f>IFERROR(INDEX(基础资料!$F$4:$F$23,MATCH($C933,基础资料!$E$4:$E$23,0)),IF($C933="","","未匹配账户"))</f>
        <v/>
      </c>
      <c r="E933" s="39"/>
      <c r="F933" s="10"/>
      <c r="G933" s="10"/>
      <c r="H933" s="10"/>
      <c r="I933" s="10"/>
      <c r="J933" s="10"/>
      <c r="K933" s="25"/>
      <c r="L933" s="25"/>
      <c r="M933" s="25" t="str">
        <f>IFERROR(VLOOKUP($C933,$C$5:$M$24,11,0)+SUMIF($C$25:$C933,$C933,$K$25:$K933)-SUMIF($C$25:$C933,$C933,$L$25:$L933),"")</f>
        <v/>
      </c>
      <c r="N933" s="10"/>
      <c r="O933" s="10"/>
      <c r="P933" s="65"/>
      <c r="Q933" s="10"/>
      <c r="R933" s="10"/>
      <c r="S933" s="54" t="str">
        <f t="shared" si="48"/>
        <v/>
      </c>
      <c r="T933" s="54" t="str">
        <f t="shared" si="49"/>
        <v/>
      </c>
      <c r="U933" s="58" t="str">
        <f t="shared" si="50"/>
        <v/>
      </c>
      <c r="V933" s="58">
        <f>IF(AND($B933&lt;&gt;"",$F933&lt;&gt;"",$F933=项目明细账!$C$2),N(V932)+1,N(V932))</f>
        <v>0</v>
      </c>
      <c r="W933" s="63" t="str">
        <f>IF($H933&lt;&gt;"","项目成本",IFERROR(INDEX(基础资料!$W$4:$W$49,MATCH($I933,基础资料!$V$4:$V$49,0)),""))</f>
        <v/>
      </c>
      <c r="X933" s="63" t="str">
        <f>IFERROR(INDEX(基础资料!$R$4:$R$17,MATCH($G933,基础资料!$Q$4:$Q$17,0)),"")</f>
        <v/>
      </c>
    </row>
    <row r="934" spans="1:24">
      <c r="A934" s="58" t="str">
        <f>IF($B934="","",COUNTA($B$5:$B934))</f>
        <v/>
      </c>
      <c r="B934" s="53"/>
      <c r="C934" s="46"/>
      <c r="D934" s="63" t="str">
        <f>IFERROR(INDEX(基础资料!$F$4:$F$23,MATCH($C934,基础资料!$E$4:$E$23,0)),IF($C934="","","未匹配账户"))</f>
        <v/>
      </c>
      <c r="E934" s="39"/>
      <c r="F934" s="10"/>
      <c r="G934" s="10"/>
      <c r="H934" s="10"/>
      <c r="I934" s="10"/>
      <c r="J934" s="10"/>
      <c r="K934" s="25"/>
      <c r="L934" s="25"/>
      <c r="M934" s="25" t="str">
        <f>IFERROR(VLOOKUP($C934,$C$5:$M$24,11,0)+SUMIF($C$25:$C934,$C934,$K$25:$K934)-SUMIF($C$25:$C934,$C934,$L$25:$L934),"")</f>
        <v/>
      </c>
      <c r="N934" s="10"/>
      <c r="O934" s="10"/>
      <c r="P934" s="65"/>
      <c r="Q934" s="10"/>
      <c r="R934" s="10"/>
      <c r="S934" s="54" t="str">
        <f t="shared" si="48"/>
        <v/>
      </c>
      <c r="T934" s="54" t="str">
        <f t="shared" si="49"/>
        <v/>
      </c>
      <c r="U934" s="58" t="str">
        <f t="shared" si="50"/>
        <v/>
      </c>
      <c r="V934" s="58">
        <f>IF(AND($B934&lt;&gt;"",$F934&lt;&gt;"",$F934=项目明细账!$C$2),N(V933)+1,N(V933))</f>
        <v>0</v>
      </c>
      <c r="W934" s="63" t="str">
        <f>IF($H934&lt;&gt;"","项目成本",IFERROR(INDEX(基础资料!$W$4:$W$49,MATCH($I934,基础资料!$V$4:$V$49,0)),""))</f>
        <v/>
      </c>
      <c r="X934" s="63" t="str">
        <f>IFERROR(INDEX(基础资料!$R$4:$R$17,MATCH($G934,基础资料!$Q$4:$Q$17,0)),"")</f>
        <v/>
      </c>
    </row>
    <row r="935" spans="1:24">
      <c r="A935" s="58" t="str">
        <f>IF($B935="","",COUNTA($B$5:$B935))</f>
        <v/>
      </c>
      <c r="B935" s="53"/>
      <c r="C935" s="46"/>
      <c r="D935" s="63" t="str">
        <f>IFERROR(INDEX(基础资料!$F$4:$F$23,MATCH($C935,基础资料!$E$4:$E$23,0)),IF($C935="","","未匹配账户"))</f>
        <v/>
      </c>
      <c r="E935" s="39"/>
      <c r="F935" s="10"/>
      <c r="G935" s="10"/>
      <c r="H935" s="10"/>
      <c r="I935" s="10"/>
      <c r="J935" s="10"/>
      <c r="K935" s="25"/>
      <c r="L935" s="25"/>
      <c r="M935" s="25" t="str">
        <f>IFERROR(VLOOKUP($C935,$C$5:$M$24,11,0)+SUMIF($C$25:$C935,$C935,$K$25:$K935)-SUMIF($C$25:$C935,$C935,$L$25:$L935),"")</f>
        <v/>
      </c>
      <c r="N935" s="10"/>
      <c r="O935" s="10"/>
      <c r="P935" s="65"/>
      <c r="Q935" s="10"/>
      <c r="R935" s="10"/>
      <c r="S935" s="54" t="str">
        <f t="shared" si="48"/>
        <v/>
      </c>
      <c r="T935" s="54" t="str">
        <f t="shared" si="49"/>
        <v/>
      </c>
      <c r="U935" s="58" t="str">
        <f t="shared" si="50"/>
        <v/>
      </c>
      <c r="V935" s="58">
        <f>IF(AND($B935&lt;&gt;"",$F935&lt;&gt;"",$F935=项目明细账!$C$2),N(V934)+1,N(V934))</f>
        <v>0</v>
      </c>
      <c r="W935" s="63" t="str">
        <f>IF($H935&lt;&gt;"","项目成本",IFERROR(INDEX(基础资料!$W$4:$W$49,MATCH($I935,基础资料!$V$4:$V$49,0)),""))</f>
        <v/>
      </c>
      <c r="X935" s="63" t="str">
        <f>IFERROR(INDEX(基础资料!$R$4:$R$17,MATCH($G935,基础资料!$Q$4:$Q$17,0)),"")</f>
        <v/>
      </c>
    </row>
    <row r="936" spans="1:24">
      <c r="A936" s="58" t="str">
        <f>IF($B936="","",COUNTA($B$5:$B936))</f>
        <v/>
      </c>
      <c r="B936" s="53"/>
      <c r="C936" s="46"/>
      <c r="D936" s="63" t="str">
        <f>IFERROR(INDEX(基础资料!$F$4:$F$23,MATCH($C936,基础资料!$E$4:$E$23,0)),IF($C936="","","未匹配账户"))</f>
        <v/>
      </c>
      <c r="E936" s="39"/>
      <c r="F936" s="10"/>
      <c r="G936" s="10"/>
      <c r="H936" s="10"/>
      <c r="I936" s="10"/>
      <c r="J936" s="10"/>
      <c r="K936" s="25"/>
      <c r="L936" s="25"/>
      <c r="M936" s="25" t="str">
        <f>IFERROR(VLOOKUP($C936,$C$5:$M$24,11,0)+SUMIF($C$25:$C936,$C936,$K$25:$K936)-SUMIF($C$25:$C936,$C936,$L$25:$L936),"")</f>
        <v/>
      </c>
      <c r="N936" s="10"/>
      <c r="O936" s="10"/>
      <c r="P936" s="65"/>
      <c r="Q936" s="10"/>
      <c r="R936" s="10"/>
      <c r="S936" s="54" t="str">
        <f t="shared" si="48"/>
        <v/>
      </c>
      <c r="T936" s="54" t="str">
        <f t="shared" si="49"/>
        <v/>
      </c>
      <c r="U936" s="58" t="str">
        <f t="shared" si="50"/>
        <v/>
      </c>
      <c r="V936" s="58">
        <f>IF(AND($B936&lt;&gt;"",$F936&lt;&gt;"",$F936=项目明细账!$C$2),N(V935)+1,N(V935))</f>
        <v>0</v>
      </c>
      <c r="W936" s="63" t="str">
        <f>IF($H936&lt;&gt;"","项目成本",IFERROR(INDEX(基础资料!$W$4:$W$49,MATCH($I936,基础资料!$V$4:$V$49,0)),""))</f>
        <v/>
      </c>
      <c r="X936" s="63" t="str">
        <f>IFERROR(INDEX(基础资料!$R$4:$R$17,MATCH($G936,基础资料!$Q$4:$Q$17,0)),"")</f>
        <v/>
      </c>
    </row>
    <row r="937" spans="1:24">
      <c r="A937" s="58" t="str">
        <f>IF($B937="","",COUNTA($B$5:$B937))</f>
        <v/>
      </c>
      <c r="B937" s="53"/>
      <c r="C937" s="46"/>
      <c r="D937" s="63" t="str">
        <f>IFERROR(INDEX(基础资料!$F$4:$F$23,MATCH($C937,基础资料!$E$4:$E$23,0)),IF($C937="","","未匹配账户"))</f>
        <v/>
      </c>
      <c r="E937" s="39"/>
      <c r="F937" s="10"/>
      <c r="G937" s="10"/>
      <c r="H937" s="10"/>
      <c r="I937" s="10"/>
      <c r="J937" s="10"/>
      <c r="K937" s="25"/>
      <c r="L937" s="25"/>
      <c r="M937" s="25" t="str">
        <f>IFERROR(VLOOKUP($C937,$C$5:$M$24,11,0)+SUMIF($C$25:$C937,$C937,$K$25:$K937)-SUMIF($C$25:$C937,$C937,$L$25:$L937),"")</f>
        <v/>
      </c>
      <c r="N937" s="10"/>
      <c r="O937" s="10"/>
      <c r="P937" s="65"/>
      <c r="Q937" s="10"/>
      <c r="R937" s="10"/>
      <c r="S937" s="54" t="str">
        <f t="shared" si="48"/>
        <v/>
      </c>
      <c r="T937" s="54" t="str">
        <f t="shared" si="49"/>
        <v/>
      </c>
      <c r="U937" s="58" t="str">
        <f t="shared" si="50"/>
        <v/>
      </c>
      <c r="V937" s="58">
        <f>IF(AND($B937&lt;&gt;"",$F937&lt;&gt;"",$F937=项目明细账!$C$2),N(V936)+1,N(V936))</f>
        <v>0</v>
      </c>
      <c r="W937" s="63" t="str">
        <f>IF($H937&lt;&gt;"","项目成本",IFERROR(INDEX(基础资料!$W$4:$W$49,MATCH($I937,基础资料!$V$4:$V$49,0)),""))</f>
        <v/>
      </c>
      <c r="X937" s="63" t="str">
        <f>IFERROR(INDEX(基础资料!$R$4:$R$17,MATCH($G937,基础资料!$Q$4:$Q$17,0)),"")</f>
        <v/>
      </c>
    </row>
    <row r="938" spans="1:24">
      <c r="A938" s="58" t="str">
        <f>IF($B938="","",COUNTA($B$5:$B938))</f>
        <v/>
      </c>
      <c r="B938" s="53"/>
      <c r="C938" s="46"/>
      <c r="D938" s="63" t="str">
        <f>IFERROR(INDEX(基础资料!$F$4:$F$23,MATCH($C938,基础资料!$E$4:$E$23,0)),IF($C938="","","未匹配账户"))</f>
        <v/>
      </c>
      <c r="E938" s="39"/>
      <c r="F938" s="10"/>
      <c r="G938" s="10"/>
      <c r="H938" s="10"/>
      <c r="I938" s="10"/>
      <c r="J938" s="10"/>
      <c r="K938" s="25"/>
      <c r="L938" s="25"/>
      <c r="M938" s="25" t="str">
        <f>IFERROR(VLOOKUP($C938,$C$5:$M$24,11,0)+SUMIF($C$25:$C938,$C938,$K$25:$K938)-SUMIF($C$25:$C938,$C938,$L$25:$L938),"")</f>
        <v/>
      </c>
      <c r="N938" s="10"/>
      <c r="O938" s="10"/>
      <c r="P938" s="65"/>
      <c r="Q938" s="10"/>
      <c r="R938" s="10"/>
      <c r="S938" s="54" t="str">
        <f t="shared" si="48"/>
        <v/>
      </c>
      <c r="T938" s="54" t="str">
        <f t="shared" si="49"/>
        <v/>
      </c>
      <c r="U938" s="58" t="str">
        <f t="shared" si="50"/>
        <v/>
      </c>
      <c r="V938" s="58">
        <f>IF(AND($B938&lt;&gt;"",$F938&lt;&gt;"",$F938=项目明细账!$C$2),N(V937)+1,N(V937))</f>
        <v>0</v>
      </c>
      <c r="W938" s="63" t="str">
        <f>IF($H938&lt;&gt;"","项目成本",IFERROR(INDEX(基础资料!$W$4:$W$49,MATCH($I938,基础资料!$V$4:$V$49,0)),""))</f>
        <v/>
      </c>
      <c r="X938" s="63" t="str">
        <f>IFERROR(INDEX(基础资料!$R$4:$R$17,MATCH($G938,基础资料!$Q$4:$Q$17,0)),"")</f>
        <v/>
      </c>
    </row>
    <row r="939" spans="1:24">
      <c r="A939" s="58" t="str">
        <f>IF($B939="","",COUNTA($B$5:$B939))</f>
        <v/>
      </c>
      <c r="B939" s="53"/>
      <c r="C939" s="46"/>
      <c r="D939" s="63" t="str">
        <f>IFERROR(INDEX(基础资料!$F$4:$F$23,MATCH($C939,基础资料!$E$4:$E$23,0)),IF($C939="","","未匹配账户"))</f>
        <v/>
      </c>
      <c r="E939" s="39"/>
      <c r="F939" s="10"/>
      <c r="G939" s="10"/>
      <c r="H939" s="10"/>
      <c r="I939" s="10"/>
      <c r="J939" s="10"/>
      <c r="K939" s="25"/>
      <c r="L939" s="25"/>
      <c r="M939" s="25" t="str">
        <f>IFERROR(VLOOKUP($C939,$C$5:$M$24,11,0)+SUMIF($C$25:$C939,$C939,$K$25:$K939)-SUMIF($C$25:$C939,$C939,$L$25:$L939),"")</f>
        <v/>
      </c>
      <c r="N939" s="10"/>
      <c r="O939" s="10"/>
      <c r="P939" s="65"/>
      <c r="Q939" s="10"/>
      <c r="R939" s="10"/>
      <c r="S939" s="54" t="str">
        <f t="shared" si="48"/>
        <v/>
      </c>
      <c r="T939" s="54" t="str">
        <f t="shared" si="49"/>
        <v/>
      </c>
      <c r="U939" s="58" t="str">
        <f t="shared" si="50"/>
        <v/>
      </c>
      <c r="V939" s="58">
        <f>IF(AND($B939&lt;&gt;"",$F939&lt;&gt;"",$F939=项目明细账!$C$2),N(V938)+1,N(V938))</f>
        <v>0</v>
      </c>
      <c r="W939" s="63" t="str">
        <f>IF($H939&lt;&gt;"","项目成本",IFERROR(INDEX(基础资料!$W$4:$W$49,MATCH($I939,基础资料!$V$4:$V$49,0)),""))</f>
        <v/>
      </c>
      <c r="X939" s="63" t="str">
        <f>IFERROR(INDEX(基础资料!$R$4:$R$17,MATCH($G939,基础资料!$Q$4:$Q$17,0)),"")</f>
        <v/>
      </c>
    </row>
    <row r="940" spans="1:24">
      <c r="A940" s="58" t="str">
        <f>IF($B940="","",COUNTA($B$5:$B940))</f>
        <v/>
      </c>
      <c r="B940" s="53"/>
      <c r="C940" s="46"/>
      <c r="D940" s="63" t="str">
        <f>IFERROR(INDEX(基础资料!$F$4:$F$23,MATCH($C940,基础资料!$E$4:$E$23,0)),IF($C940="","","未匹配账户"))</f>
        <v/>
      </c>
      <c r="E940" s="39"/>
      <c r="F940" s="10"/>
      <c r="G940" s="10"/>
      <c r="H940" s="10"/>
      <c r="I940" s="10"/>
      <c r="J940" s="10"/>
      <c r="K940" s="25"/>
      <c r="L940" s="25"/>
      <c r="M940" s="25" t="str">
        <f>IFERROR(VLOOKUP($C940,$C$5:$M$24,11,0)+SUMIF($C$25:$C940,$C940,$K$25:$K940)-SUMIF($C$25:$C940,$C940,$L$25:$L940),"")</f>
        <v/>
      </c>
      <c r="N940" s="10"/>
      <c r="O940" s="10"/>
      <c r="P940" s="65"/>
      <c r="Q940" s="10"/>
      <c r="R940" s="10"/>
      <c r="S940" s="54" t="str">
        <f t="shared" si="48"/>
        <v/>
      </c>
      <c r="T940" s="54" t="str">
        <f t="shared" si="49"/>
        <v/>
      </c>
      <c r="U940" s="58" t="str">
        <f t="shared" si="50"/>
        <v/>
      </c>
      <c r="V940" s="58">
        <f>IF(AND($B940&lt;&gt;"",$F940&lt;&gt;"",$F940=项目明细账!$C$2),N(V939)+1,N(V939))</f>
        <v>0</v>
      </c>
      <c r="W940" s="63" t="str">
        <f>IF($H940&lt;&gt;"","项目成本",IFERROR(INDEX(基础资料!$W$4:$W$49,MATCH($I940,基础资料!$V$4:$V$49,0)),""))</f>
        <v/>
      </c>
      <c r="X940" s="63" t="str">
        <f>IFERROR(INDEX(基础资料!$R$4:$R$17,MATCH($G940,基础资料!$Q$4:$Q$17,0)),"")</f>
        <v/>
      </c>
    </row>
    <row r="941" spans="1:24">
      <c r="A941" s="58" t="str">
        <f>IF($B941="","",COUNTA($B$5:$B941))</f>
        <v/>
      </c>
      <c r="B941" s="53"/>
      <c r="C941" s="46"/>
      <c r="D941" s="63" t="str">
        <f>IFERROR(INDEX(基础资料!$F$4:$F$23,MATCH($C941,基础资料!$E$4:$E$23,0)),IF($C941="","","未匹配账户"))</f>
        <v/>
      </c>
      <c r="E941" s="39"/>
      <c r="F941" s="10"/>
      <c r="G941" s="10"/>
      <c r="H941" s="10"/>
      <c r="I941" s="10"/>
      <c r="J941" s="10"/>
      <c r="K941" s="25"/>
      <c r="L941" s="25"/>
      <c r="M941" s="25" t="str">
        <f>IFERROR(VLOOKUP($C941,$C$5:$M$24,11,0)+SUMIF($C$25:$C941,$C941,$K$25:$K941)-SUMIF($C$25:$C941,$C941,$L$25:$L941),"")</f>
        <v/>
      </c>
      <c r="N941" s="10"/>
      <c r="O941" s="10"/>
      <c r="P941" s="65"/>
      <c r="Q941" s="10"/>
      <c r="R941" s="10"/>
      <c r="S941" s="54" t="str">
        <f t="shared" si="48"/>
        <v/>
      </c>
      <c r="T941" s="54" t="str">
        <f t="shared" si="49"/>
        <v/>
      </c>
      <c r="U941" s="58" t="str">
        <f t="shared" si="50"/>
        <v/>
      </c>
      <c r="V941" s="58">
        <f>IF(AND($B941&lt;&gt;"",$F941&lt;&gt;"",$F941=项目明细账!$C$2),N(V940)+1,N(V940))</f>
        <v>0</v>
      </c>
      <c r="W941" s="63" t="str">
        <f>IF($H941&lt;&gt;"","项目成本",IFERROR(INDEX(基础资料!$W$4:$W$49,MATCH($I941,基础资料!$V$4:$V$49,0)),""))</f>
        <v/>
      </c>
      <c r="X941" s="63" t="str">
        <f>IFERROR(INDEX(基础资料!$R$4:$R$17,MATCH($G941,基础资料!$Q$4:$Q$17,0)),"")</f>
        <v/>
      </c>
    </row>
    <row r="942" spans="1:24">
      <c r="A942" s="58" t="str">
        <f>IF($B942="","",COUNTA($B$5:$B942))</f>
        <v/>
      </c>
      <c r="B942" s="53"/>
      <c r="C942" s="46"/>
      <c r="D942" s="63" t="str">
        <f>IFERROR(INDEX(基础资料!$F$4:$F$23,MATCH($C942,基础资料!$E$4:$E$23,0)),IF($C942="","","未匹配账户"))</f>
        <v/>
      </c>
      <c r="E942" s="39"/>
      <c r="F942" s="10"/>
      <c r="G942" s="10"/>
      <c r="H942" s="10"/>
      <c r="I942" s="10"/>
      <c r="J942" s="10"/>
      <c r="K942" s="25"/>
      <c r="L942" s="25"/>
      <c r="M942" s="25" t="str">
        <f>IFERROR(VLOOKUP($C942,$C$5:$M$24,11,0)+SUMIF($C$25:$C942,$C942,$K$25:$K942)-SUMIF($C$25:$C942,$C942,$L$25:$L942),"")</f>
        <v/>
      </c>
      <c r="N942" s="10"/>
      <c r="O942" s="10"/>
      <c r="P942" s="65"/>
      <c r="Q942" s="10"/>
      <c r="R942" s="10"/>
      <c r="S942" s="54" t="str">
        <f t="shared" si="48"/>
        <v/>
      </c>
      <c r="T942" s="54" t="str">
        <f t="shared" si="49"/>
        <v/>
      </c>
      <c r="U942" s="58" t="str">
        <f t="shared" si="50"/>
        <v/>
      </c>
      <c r="V942" s="58">
        <f>IF(AND($B942&lt;&gt;"",$F942&lt;&gt;"",$F942=项目明细账!$C$2),N(V941)+1,N(V941))</f>
        <v>0</v>
      </c>
      <c r="W942" s="63" t="str">
        <f>IF($H942&lt;&gt;"","项目成本",IFERROR(INDEX(基础资料!$W$4:$W$49,MATCH($I942,基础资料!$V$4:$V$49,0)),""))</f>
        <v/>
      </c>
      <c r="X942" s="63" t="str">
        <f>IFERROR(INDEX(基础资料!$R$4:$R$17,MATCH($G942,基础资料!$Q$4:$Q$17,0)),"")</f>
        <v/>
      </c>
    </row>
    <row r="943" spans="1:24">
      <c r="A943" s="58" t="str">
        <f>IF($B943="","",COUNTA($B$5:$B943))</f>
        <v/>
      </c>
      <c r="B943" s="53"/>
      <c r="C943" s="46"/>
      <c r="D943" s="63" t="str">
        <f>IFERROR(INDEX(基础资料!$F$4:$F$23,MATCH($C943,基础资料!$E$4:$E$23,0)),IF($C943="","","未匹配账户"))</f>
        <v/>
      </c>
      <c r="E943" s="39"/>
      <c r="F943" s="10"/>
      <c r="G943" s="10"/>
      <c r="H943" s="10"/>
      <c r="I943" s="10"/>
      <c r="J943" s="10"/>
      <c r="K943" s="25"/>
      <c r="L943" s="25"/>
      <c r="M943" s="25" t="str">
        <f>IFERROR(VLOOKUP($C943,$C$5:$M$24,11,0)+SUMIF($C$25:$C943,$C943,$K$25:$K943)-SUMIF($C$25:$C943,$C943,$L$25:$L943),"")</f>
        <v/>
      </c>
      <c r="N943" s="10"/>
      <c r="O943" s="10"/>
      <c r="P943" s="65"/>
      <c r="Q943" s="10"/>
      <c r="R943" s="10"/>
      <c r="S943" s="54" t="str">
        <f t="shared" si="48"/>
        <v/>
      </c>
      <c r="T943" s="54" t="str">
        <f t="shared" si="49"/>
        <v/>
      </c>
      <c r="U943" s="58" t="str">
        <f t="shared" si="50"/>
        <v/>
      </c>
      <c r="V943" s="58">
        <f>IF(AND($B943&lt;&gt;"",$F943&lt;&gt;"",$F943=项目明细账!$C$2),N(V942)+1,N(V942))</f>
        <v>0</v>
      </c>
      <c r="W943" s="63" t="str">
        <f>IF($H943&lt;&gt;"","项目成本",IFERROR(INDEX(基础资料!$W$4:$W$49,MATCH($I943,基础资料!$V$4:$V$49,0)),""))</f>
        <v/>
      </c>
      <c r="X943" s="63" t="str">
        <f>IFERROR(INDEX(基础资料!$R$4:$R$17,MATCH($G943,基础资料!$Q$4:$Q$17,0)),"")</f>
        <v/>
      </c>
    </row>
    <row r="944" spans="1:24">
      <c r="A944" s="58" t="str">
        <f>IF($B944="","",COUNTA($B$5:$B944))</f>
        <v/>
      </c>
      <c r="B944" s="53"/>
      <c r="C944" s="46"/>
      <c r="D944" s="63" t="str">
        <f>IFERROR(INDEX(基础资料!$F$4:$F$23,MATCH($C944,基础资料!$E$4:$E$23,0)),IF($C944="","","未匹配账户"))</f>
        <v/>
      </c>
      <c r="E944" s="39"/>
      <c r="F944" s="10"/>
      <c r="G944" s="10"/>
      <c r="H944" s="10"/>
      <c r="I944" s="10"/>
      <c r="J944" s="10"/>
      <c r="K944" s="25"/>
      <c r="L944" s="25"/>
      <c r="M944" s="25" t="str">
        <f>IFERROR(VLOOKUP($C944,$C$5:$M$24,11,0)+SUMIF($C$25:$C944,$C944,$K$25:$K944)-SUMIF($C$25:$C944,$C944,$L$25:$L944),"")</f>
        <v/>
      </c>
      <c r="N944" s="10"/>
      <c r="O944" s="10"/>
      <c r="P944" s="65"/>
      <c r="Q944" s="10"/>
      <c r="R944" s="10"/>
      <c r="S944" s="54" t="str">
        <f t="shared" si="48"/>
        <v/>
      </c>
      <c r="T944" s="54" t="str">
        <f t="shared" si="49"/>
        <v/>
      </c>
      <c r="U944" s="58" t="str">
        <f t="shared" si="50"/>
        <v/>
      </c>
      <c r="V944" s="58">
        <f>IF(AND($B944&lt;&gt;"",$F944&lt;&gt;"",$F944=项目明细账!$C$2),N(V943)+1,N(V943))</f>
        <v>0</v>
      </c>
      <c r="W944" s="63" t="str">
        <f>IF($H944&lt;&gt;"","项目成本",IFERROR(INDEX(基础资料!$W$4:$W$49,MATCH($I944,基础资料!$V$4:$V$49,0)),""))</f>
        <v/>
      </c>
      <c r="X944" s="63" t="str">
        <f>IFERROR(INDEX(基础资料!$R$4:$R$17,MATCH($G944,基础资料!$Q$4:$Q$17,0)),"")</f>
        <v/>
      </c>
    </row>
    <row r="945" spans="1:24">
      <c r="A945" s="58" t="str">
        <f>IF($B945="","",COUNTA($B$5:$B945))</f>
        <v/>
      </c>
      <c r="B945" s="53"/>
      <c r="C945" s="46"/>
      <c r="D945" s="63" t="str">
        <f>IFERROR(INDEX(基础资料!$F$4:$F$23,MATCH($C945,基础资料!$E$4:$E$23,0)),IF($C945="","","未匹配账户"))</f>
        <v/>
      </c>
      <c r="E945" s="39"/>
      <c r="F945" s="10"/>
      <c r="G945" s="10"/>
      <c r="H945" s="10"/>
      <c r="I945" s="10"/>
      <c r="J945" s="10"/>
      <c r="K945" s="25"/>
      <c r="L945" s="25"/>
      <c r="M945" s="25" t="str">
        <f>IFERROR(VLOOKUP($C945,$C$5:$M$24,11,0)+SUMIF($C$25:$C945,$C945,$K$25:$K945)-SUMIF($C$25:$C945,$C945,$L$25:$L945),"")</f>
        <v/>
      </c>
      <c r="N945" s="10"/>
      <c r="O945" s="10"/>
      <c r="P945" s="65"/>
      <c r="Q945" s="10"/>
      <c r="R945" s="10"/>
      <c r="S945" s="54" t="str">
        <f t="shared" si="48"/>
        <v/>
      </c>
      <c r="T945" s="54" t="str">
        <f t="shared" si="49"/>
        <v/>
      </c>
      <c r="U945" s="58" t="str">
        <f t="shared" si="50"/>
        <v/>
      </c>
      <c r="V945" s="58">
        <f>IF(AND($B945&lt;&gt;"",$F945&lt;&gt;"",$F945=项目明细账!$C$2),N(V944)+1,N(V944))</f>
        <v>0</v>
      </c>
      <c r="W945" s="63" t="str">
        <f>IF($H945&lt;&gt;"","项目成本",IFERROR(INDEX(基础资料!$W$4:$W$49,MATCH($I945,基础资料!$V$4:$V$49,0)),""))</f>
        <v/>
      </c>
      <c r="X945" s="63" t="str">
        <f>IFERROR(INDEX(基础资料!$R$4:$R$17,MATCH($G945,基础资料!$Q$4:$Q$17,0)),"")</f>
        <v/>
      </c>
    </row>
    <row r="946" spans="1:24">
      <c r="A946" s="58" t="str">
        <f>IF($B946="","",COUNTA($B$5:$B946))</f>
        <v/>
      </c>
      <c r="B946" s="53"/>
      <c r="C946" s="46"/>
      <c r="D946" s="63" t="str">
        <f>IFERROR(INDEX(基础资料!$F$4:$F$23,MATCH($C946,基础资料!$E$4:$E$23,0)),IF($C946="","","未匹配账户"))</f>
        <v/>
      </c>
      <c r="E946" s="39"/>
      <c r="F946" s="10"/>
      <c r="G946" s="10"/>
      <c r="H946" s="10"/>
      <c r="I946" s="10"/>
      <c r="J946" s="10"/>
      <c r="K946" s="25"/>
      <c r="L946" s="25"/>
      <c r="M946" s="25" t="str">
        <f>IFERROR(VLOOKUP($C946,$C$5:$M$24,11,0)+SUMIF($C$25:$C946,$C946,$K$25:$K946)-SUMIF($C$25:$C946,$C946,$L$25:$L946),"")</f>
        <v/>
      </c>
      <c r="N946" s="10"/>
      <c r="O946" s="10"/>
      <c r="P946" s="65"/>
      <c r="Q946" s="10"/>
      <c r="R946" s="10"/>
      <c r="S946" s="54" t="str">
        <f t="shared" si="48"/>
        <v/>
      </c>
      <c r="T946" s="54" t="str">
        <f t="shared" si="49"/>
        <v/>
      </c>
      <c r="U946" s="58" t="str">
        <f t="shared" si="50"/>
        <v/>
      </c>
      <c r="V946" s="58">
        <f>IF(AND($B946&lt;&gt;"",$F946&lt;&gt;"",$F946=项目明细账!$C$2),N(V945)+1,N(V945))</f>
        <v>0</v>
      </c>
      <c r="W946" s="63" t="str">
        <f>IF($H946&lt;&gt;"","项目成本",IFERROR(INDEX(基础资料!$W$4:$W$49,MATCH($I946,基础资料!$V$4:$V$49,0)),""))</f>
        <v/>
      </c>
      <c r="X946" s="63" t="str">
        <f>IFERROR(INDEX(基础资料!$R$4:$R$17,MATCH($G946,基础资料!$Q$4:$Q$17,0)),"")</f>
        <v/>
      </c>
    </row>
    <row r="947" spans="1:24">
      <c r="A947" s="58" t="str">
        <f>IF($B947="","",COUNTA($B$5:$B947))</f>
        <v/>
      </c>
      <c r="B947" s="53"/>
      <c r="C947" s="46"/>
      <c r="D947" s="63" t="str">
        <f>IFERROR(INDEX(基础资料!$F$4:$F$23,MATCH($C947,基础资料!$E$4:$E$23,0)),IF($C947="","","未匹配账户"))</f>
        <v/>
      </c>
      <c r="E947" s="39"/>
      <c r="F947" s="10"/>
      <c r="G947" s="10"/>
      <c r="H947" s="10"/>
      <c r="I947" s="10"/>
      <c r="J947" s="10"/>
      <c r="K947" s="25"/>
      <c r="L947" s="25"/>
      <c r="M947" s="25" t="str">
        <f>IFERROR(VLOOKUP($C947,$C$5:$M$24,11,0)+SUMIF($C$25:$C947,$C947,$K$25:$K947)-SUMIF($C$25:$C947,$C947,$L$25:$L947),"")</f>
        <v/>
      </c>
      <c r="N947" s="10"/>
      <c r="O947" s="10"/>
      <c r="P947" s="65"/>
      <c r="Q947" s="10"/>
      <c r="R947" s="10"/>
      <c r="S947" s="54" t="str">
        <f t="shared" si="48"/>
        <v/>
      </c>
      <c r="T947" s="54" t="str">
        <f t="shared" si="49"/>
        <v/>
      </c>
      <c r="U947" s="58" t="str">
        <f t="shared" si="50"/>
        <v/>
      </c>
      <c r="V947" s="58">
        <f>IF(AND($B947&lt;&gt;"",$F947&lt;&gt;"",$F947=项目明细账!$C$2),N(V946)+1,N(V946))</f>
        <v>0</v>
      </c>
      <c r="W947" s="63" t="str">
        <f>IF($H947&lt;&gt;"","项目成本",IFERROR(INDEX(基础资料!$W$4:$W$49,MATCH($I947,基础资料!$V$4:$V$49,0)),""))</f>
        <v/>
      </c>
      <c r="X947" s="63" t="str">
        <f>IFERROR(INDEX(基础资料!$R$4:$R$17,MATCH($G947,基础资料!$Q$4:$Q$17,0)),"")</f>
        <v/>
      </c>
    </row>
    <row r="948" spans="1:24">
      <c r="A948" s="58" t="str">
        <f>IF($B948="","",COUNTA($B$5:$B948))</f>
        <v/>
      </c>
      <c r="B948" s="53"/>
      <c r="C948" s="46"/>
      <c r="D948" s="63" t="str">
        <f>IFERROR(INDEX(基础资料!$F$4:$F$23,MATCH($C948,基础资料!$E$4:$E$23,0)),IF($C948="","","未匹配账户"))</f>
        <v/>
      </c>
      <c r="E948" s="39"/>
      <c r="F948" s="10"/>
      <c r="G948" s="10"/>
      <c r="H948" s="10"/>
      <c r="I948" s="10"/>
      <c r="J948" s="10"/>
      <c r="K948" s="25"/>
      <c r="L948" s="25"/>
      <c r="M948" s="25" t="str">
        <f>IFERROR(VLOOKUP($C948,$C$5:$M$24,11,0)+SUMIF($C$25:$C948,$C948,$K$25:$K948)-SUMIF($C$25:$C948,$C948,$L$25:$L948),"")</f>
        <v/>
      </c>
      <c r="N948" s="10"/>
      <c r="O948" s="10"/>
      <c r="P948" s="65"/>
      <c r="Q948" s="10"/>
      <c r="R948" s="10"/>
      <c r="S948" s="54" t="str">
        <f t="shared" si="48"/>
        <v/>
      </c>
      <c r="T948" s="54" t="str">
        <f t="shared" si="49"/>
        <v/>
      </c>
      <c r="U948" s="58" t="str">
        <f t="shared" si="50"/>
        <v/>
      </c>
      <c r="V948" s="58">
        <f>IF(AND($B948&lt;&gt;"",$F948&lt;&gt;"",$F948=项目明细账!$C$2),N(V947)+1,N(V947))</f>
        <v>0</v>
      </c>
      <c r="W948" s="63" t="str">
        <f>IF($H948&lt;&gt;"","项目成本",IFERROR(INDEX(基础资料!$W$4:$W$49,MATCH($I948,基础资料!$V$4:$V$49,0)),""))</f>
        <v/>
      </c>
      <c r="X948" s="63" t="str">
        <f>IFERROR(INDEX(基础资料!$R$4:$R$17,MATCH($G948,基础资料!$Q$4:$Q$17,0)),"")</f>
        <v/>
      </c>
    </row>
    <row r="949" spans="1:24">
      <c r="A949" s="58" t="str">
        <f>IF($B949="","",COUNTA($B$5:$B949))</f>
        <v/>
      </c>
      <c r="B949" s="53"/>
      <c r="C949" s="46"/>
      <c r="D949" s="63" t="str">
        <f>IFERROR(INDEX(基础资料!$F$4:$F$23,MATCH($C949,基础资料!$E$4:$E$23,0)),IF($C949="","","未匹配账户"))</f>
        <v/>
      </c>
      <c r="E949" s="39"/>
      <c r="F949" s="10"/>
      <c r="G949" s="10"/>
      <c r="H949" s="10"/>
      <c r="I949" s="10"/>
      <c r="J949" s="10"/>
      <c r="K949" s="25"/>
      <c r="L949" s="25"/>
      <c r="M949" s="25" t="str">
        <f>IFERROR(VLOOKUP($C949,$C$5:$M$24,11,0)+SUMIF($C$25:$C949,$C949,$K$25:$K949)-SUMIF($C$25:$C949,$C949,$L$25:$L949),"")</f>
        <v/>
      </c>
      <c r="N949" s="10"/>
      <c r="O949" s="10"/>
      <c r="P949" s="65"/>
      <c r="Q949" s="10"/>
      <c r="R949" s="10"/>
      <c r="S949" s="54" t="str">
        <f t="shared" si="48"/>
        <v/>
      </c>
      <c r="T949" s="54" t="str">
        <f t="shared" si="49"/>
        <v/>
      </c>
      <c r="U949" s="58" t="str">
        <f t="shared" si="50"/>
        <v/>
      </c>
      <c r="V949" s="58">
        <f>IF(AND($B949&lt;&gt;"",$F949&lt;&gt;"",$F949=项目明细账!$C$2),N(V948)+1,N(V948))</f>
        <v>0</v>
      </c>
      <c r="W949" s="63" t="str">
        <f>IF($H949&lt;&gt;"","项目成本",IFERROR(INDEX(基础资料!$W$4:$W$49,MATCH($I949,基础资料!$V$4:$V$49,0)),""))</f>
        <v/>
      </c>
      <c r="X949" s="63" t="str">
        <f>IFERROR(INDEX(基础资料!$R$4:$R$17,MATCH($G949,基础资料!$Q$4:$Q$17,0)),"")</f>
        <v/>
      </c>
    </row>
    <row r="950" spans="1:24">
      <c r="A950" s="58" t="str">
        <f>IF($B950="","",COUNTA($B$5:$B950))</f>
        <v/>
      </c>
      <c r="B950" s="53"/>
      <c r="C950" s="46"/>
      <c r="D950" s="63" t="str">
        <f>IFERROR(INDEX(基础资料!$F$4:$F$23,MATCH($C950,基础资料!$E$4:$E$23,0)),IF($C950="","","未匹配账户"))</f>
        <v/>
      </c>
      <c r="E950" s="39"/>
      <c r="F950" s="10"/>
      <c r="G950" s="10"/>
      <c r="H950" s="10"/>
      <c r="I950" s="10"/>
      <c r="J950" s="10"/>
      <c r="K950" s="25"/>
      <c r="L950" s="25"/>
      <c r="M950" s="25" t="str">
        <f>IFERROR(VLOOKUP($C950,$C$5:$M$24,11,0)+SUMIF($C$25:$C950,$C950,$K$25:$K950)-SUMIF($C$25:$C950,$C950,$L$25:$L950),"")</f>
        <v/>
      </c>
      <c r="N950" s="10"/>
      <c r="O950" s="10"/>
      <c r="P950" s="65"/>
      <c r="Q950" s="10"/>
      <c r="R950" s="10"/>
      <c r="S950" s="54" t="str">
        <f t="shared" si="48"/>
        <v/>
      </c>
      <c r="T950" s="54" t="str">
        <f t="shared" si="49"/>
        <v/>
      </c>
      <c r="U950" s="58" t="str">
        <f t="shared" si="50"/>
        <v/>
      </c>
      <c r="V950" s="58">
        <f>IF(AND($B950&lt;&gt;"",$F950&lt;&gt;"",$F950=项目明细账!$C$2),N(V949)+1,N(V949))</f>
        <v>0</v>
      </c>
      <c r="W950" s="63" t="str">
        <f>IF($H950&lt;&gt;"","项目成本",IFERROR(INDEX(基础资料!$W$4:$W$49,MATCH($I950,基础资料!$V$4:$V$49,0)),""))</f>
        <v/>
      </c>
      <c r="X950" s="63" t="str">
        <f>IFERROR(INDEX(基础资料!$R$4:$R$17,MATCH($G950,基础资料!$Q$4:$Q$17,0)),"")</f>
        <v/>
      </c>
    </row>
    <row r="951" spans="1:24">
      <c r="A951" s="58" t="str">
        <f>IF($B951="","",COUNTA($B$5:$B951))</f>
        <v/>
      </c>
      <c r="B951" s="53"/>
      <c r="C951" s="46"/>
      <c r="D951" s="63" t="str">
        <f>IFERROR(INDEX(基础资料!$F$4:$F$23,MATCH($C951,基础资料!$E$4:$E$23,0)),IF($C951="","","未匹配账户"))</f>
        <v/>
      </c>
      <c r="E951" s="39"/>
      <c r="F951" s="10"/>
      <c r="G951" s="10"/>
      <c r="H951" s="10"/>
      <c r="I951" s="10"/>
      <c r="J951" s="10"/>
      <c r="K951" s="25"/>
      <c r="L951" s="25"/>
      <c r="M951" s="25" t="str">
        <f>IFERROR(VLOOKUP($C951,$C$5:$M$24,11,0)+SUMIF($C$25:$C951,$C951,$K$25:$K951)-SUMIF($C$25:$C951,$C951,$L$25:$L951),"")</f>
        <v/>
      </c>
      <c r="N951" s="10"/>
      <c r="O951" s="10"/>
      <c r="P951" s="65"/>
      <c r="Q951" s="10"/>
      <c r="R951" s="10"/>
      <c r="S951" s="54" t="str">
        <f t="shared" si="48"/>
        <v/>
      </c>
      <c r="T951" s="54" t="str">
        <f t="shared" si="49"/>
        <v/>
      </c>
      <c r="U951" s="58" t="str">
        <f t="shared" si="50"/>
        <v/>
      </c>
      <c r="V951" s="58">
        <f>IF(AND($B951&lt;&gt;"",$F951&lt;&gt;"",$F951=项目明细账!$C$2),N(V950)+1,N(V950))</f>
        <v>0</v>
      </c>
      <c r="W951" s="63" t="str">
        <f>IF($H951&lt;&gt;"","项目成本",IFERROR(INDEX(基础资料!$W$4:$W$49,MATCH($I951,基础资料!$V$4:$V$49,0)),""))</f>
        <v/>
      </c>
      <c r="X951" s="63" t="str">
        <f>IFERROR(INDEX(基础资料!$R$4:$R$17,MATCH($G951,基础资料!$Q$4:$Q$17,0)),"")</f>
        <v/>
      </c>
    </row>
    <row r="952" spans="1:24">
      <c r="A952" s="58" t="str">
        <f>IF($B952="","",COUNTA($B$5:$B952))</f>
        <v/>
      </c>
      <c r="B952" s="53"/>
      <c r="C952" s="46"/>
      <c r="D952" s="63" t="str">
        <f>IFERROR(INDEX(基础资料!$F$4:$F$23,MATCH($C952,基础资料!$E$4:$E$23,0)),IF($C952="","","未匹配账户"))</f>
        <v/>
      </c>
      <c r="E952" s="39"/>
      <c r="F952" s="10"/>
      <c r="G952" s="10"/>
      <c r="H952" s="10"/>
      <c r="I952" s="10"/>
      <c r="J952" s="10"/>
      <c r="K952" s="25"/>
      <c r="L952" s="25"/>
      <c r="M952" s="25" t="str">
        <f>IFERROR(VLOOKUP($C952,$C$5:$M$24,11,0)+SUMIF($C$25:$C952,$C952,$K$25:$K952)-SUMIF($C$25:$C952,$C952,$L$25:$L952),"")</f>
        <v/>
      </c>
      <c r="N952" s="10"/>
      <c r="O952" s="10"/>
      <c r="P952" s="65"/>
      <c r="Q952" s="10"/>
      <c r="R952" s="10"/>
      <c r="S952" s="54" t="str">
        <f t="shared" si="48"/>
        <v/>
      </c>
      <c r="T952" s="54" t="str">
        <f t="shared" si="49"/>
        <v/>
      </c>
      <c r="U952" s="58" t="str">
        <f t="shared" si="50"/>
        <v/>
      </c>
      <c r="V952" s="58">
        <f>IF(AND($B952&lt;&gt;"",$F952&lt;&gt;"",$F952=项目明细账!$C$2),N(V951)+1,N(V951))</f>
        <v>0</v>
      </c>
      <c r="W952" s="63" t="str">
        <f>IF($H952&lt;&gt;"","项目成本",IFERROR(INDEX(基础资料!$W$4:$W$49,MATCH($I952,基础资料!$V$4:$V$49,0)),""))</f>
        <v/>
      </c>
      <c r="X952" s="63" t="str">
        <f>IFERROR(INDEX(基础资料!$R$4:$R$17,MATCH($G952,基础资料!$Q$4:$Q$17,0)),"")</f>
        <v/>
      </c>
    </row>
    <row r="953" spans="1:24">
      <c r="A953" s="58" t="str">
        <f>IF($B953="","",COUNTA($B$5:$B953))</f>
        <v/>
      </c>
      <c r="B953" s="53"/>
      <c r="C953" s="46"/>
      <c r="D953" s="63" t="str">
        <f>IFERROR(INDEX(基础资料!$F$4:$F$23,MATCH($C953,基础资料!$E$4:$E$23,0)),IF($C953="","","未匹配账户"))</f>
        <v/>
      </c>
      <c r="E953" s="39"/>
      <c r="F953" s="10"/>
      <c r="G953" s="10"/>
      <c r="H953" s="10"/>
      <c r="I953" s="10"/>
      <c r="J953" s="10"/>
      <c r="K953" s="25"/>
      <c r="L953" s="25"/>
      <c r="M953" s="25" t="str">
        <f>IFERROR(VLOOKUP($C953,$C$5:$M$24,11,0)+SUMIF($C$25:$C953,$C953,$K$25:$K953)-SUMIF($C$25:$C953,$C953,$L$25:$L953),"")</f>
        <v/>
      </c>
      <c r="N953" s="10"/>
      <c r="O953" s="10"/>
      <c r="P953" s="65"/>
      <c r="Q953" s="10"/>
      <c r="R953" s="10"/>
      <c r="S953" s="54" t="str">
        <f t="shared" si="48"/>
        <v/>
      </c>
      <c r="T953" s="54" t="str">
        <f t="shared" si="49"/>
        <v/>
      </c>
      <c r="U953" s="58" t="str">
        <f t="shared" si="50"/>
        <v/>
      </c>
      <c r="V953" s="58">
        <f>IF(AND($B953&lt;&gt;"",$F953&lt;&gt;"",$F953=项目明细账!$C$2),N(V952)+1,N(V952))</f>
        <v>0</v>
      </c>
      <c r="W953" s="63" t="str">
        <f>IF($H953&lt;&gt;"","项目成本",IFERROR(INDEX(基础资料!$W$4:$W$49,MATCH($I953,基础资料!$V$4:$V$49,0)),""))</f>
        <v/>
      </c>
      <c r="X953" s="63" t="str">
        <f>IFERROR(INDEX(基础资料!$R$4:$R$17,MATCH($G953,基础资料!$Q$4:$Q$17,0)),"")</f>
        <v/>
      </c>
    </row>
    <row r="954" spans="1:24">
      <c r="A954" s="58" t="str">
        <f>IF($B954="","",COUNTA($B$5:$B954))</f>
        <v/>
      </c>
      <c r="B954" s="53"/>
      <c r="C954" s="46"/>
      <c r="D954" s="63" t="str">
        <f>IFERROR(INDEX(基础资料!$F$4:$F$23,MATCH($C954,基础资料!$E$4:$E$23,0)),IF($C954="","","未匹配账户"))</f>
        <v/>
      </c>
      <c r="E954" s="39"/>
      <c r="F954" s="10"/>
      <c r="G954" s="10"/>
      <c r="H954" s="10"/>
      <c r="I954" s="10"/>
      <c r="J954" s="10"/>
      <c r="K954" s="25"/>
      <c r="L954" s="25"/>
      <c r="M954" s="25" t="str">
        <f>IFERROR(VLOOKUP($C954,$C$5:$M$24,11,0)+SUMIF($C$25:$C954,$C954,$K$25:$K954)-SUMIF($C$25:$C954,$C954,$L$25:$L954),"")</f>
        <v/>
      </c>
      <c r="N954" s="10"/>
      <c r="O954" s="10"/>
      <c r="P954" s="65"/>
      <c r="Q954" s="10"/>
      <c r="R954" s="10"/>
      <c r="S954" s="54" t="str">
        <f t="shared" si="48"/>
        <v/>
      </c>
      <c r="T954" s="54" t="str">
        <f t="shared" si="49"/>
        <v/>
      </c>
      <c r="U954" s="58" t="str">
        <f t="shared" si="50"/>
        <v/>
      </c>
      <c r="V954" s="58">
        <f>IF(AND($B954&lt;&gt;"",$F954&lt;&gt;"",$F954=项目明细账!$C$2),N(V953)+1,N(V953))</f>
        <v>0</v>
      </c>
      <c r="W954" s="63" t="str">
        <f>IF($H954&lt;&gt;"","项目成本",IFERROR(INDEX(基础资料!$W$4:$W$49,MATCH($I954,基础资料!$V$4:$V$49,0)),""))</f>
        <v/>
      </c>
      <c r="X954" s="63" t="str">
        <f>IFERROR(INDEX(基础资料!$R$4:$R$17,MATCH($G954,基础资料!$Q$4:$Q$17,0)),"")</f>
        <v/>
      </c>
    </row>
    <row r="955" spans="1:24">
      <c r="A955" s="58" t="str">
        <f>IF($B955="","",COUNTA($B$5:$B955))</f>
        <v/>
      </c>
      <c r="B955" s="53"/>
      <c r="C955" s="46"/>
      <c r="D955" s="63" t="str">
        <f>IFERROR(INDEX(基础资料!$F$4:$F$23,MATCH($C955,基础资料!$E$4:$E$23,0)),IF($C955="","","未匹配账户"))</f>
        <v/>
      </c>
      <c r="E955" s="39"/>
      <c r="F955" s="10"/>
      <c r="G955" s="10"/>
      <c r="H955" s="10"/>
      <c r="I955" s="10"/>
      <c r="J955" s="10"/>
      <c r="K955" s="25"/>
      <c r="L955" s="25"/>
      <c r="M955" s="25" t="str">
        <f>IFERROR(VLOOKUP($C955,$C$5:$M$24,11,0)+SUMIF($C$25:$C955,$C955,$K$25:$K955)-SUMIF($C$25:$C955,$C955,$L$25:$L955),"")</f>
        <v/>
      </c>
      <c r="N955" s="10"/>
      <c r="O955" s="10"/>
      <c r="P955" s="65"/>
      <c r="Q955" s="10"/>
      <c r="R955" s="10"/>
      <c r="S955" s="54" t="str">
        <f t="shared" si="48"/>
        <v/>
      </c>
      <c r="T955" s="54" t="str">
        <f t="shared" si="49"/>
        <v/>
      </c>
      <c r="U955" s="58" t="str">
        <f t="shared" si="50"/>
        <v/>
      </c>
      <c r="V955" s="58">
        <f>IF(AND($B955&lt;&gt;"",$F955&lt;&gt;"",$F955=项目明细账!$C$2),N(V954)+1,N(V954))</f>
        <v>0</v>
      </c>
      <c r="W955" s="63" t="str">
        <f>IF($H955&lt;&gt;"","项目成本",IFERROR(INDEX(基础资料!$W$4:$W$49,MATCH($I955,基础资料!$V$4:$V$49,0)),""))</f>
        <v/>
      </c>
      <c r="X955" s="63" t="str">
        <f>IFERROR(INDEX(基础资料!$R$4:$R$17,MATCH($G955,基础资料!$Q$4:$Q$17,0)),"")</f>
        <v/>
      </c>
    </row>
    <row r="956" spans="1:24">
      <c r="A956" s="58" t="str">
        <f>IF($B956="","",COUNTA($B$5:$B956))</f>
        <v/>
      </c>
      <c r="B956" s="53"/>
      <c r="C956" s="46"/>
      <c r="D956" s="63" t="str">
        <f>IFERROR(INDEX(基础资料!$F$4:$F$23,MATCH($C956,基础资料!$E$4:$E$23,0)),IF($C956="","","未匹配账户"))</f>
        <v/>
      </c>
      <c r="E956" s="39"/>
      <c r="F956" s="10"/>
      <c r="G956" s="10"/>
      <c r="H956" s="10"/>
      <c r="I956" s="10"/>
      <c r="J956" s="10"/>
      <c r="K956" s="25"/>
      <c r="L956" s="25"/>
      <c r="M956" s="25" t="str">
        <f>IFERROR(VLOOKUP($C956,$C$5:$M$24,11,0)+SUMIF($C$25:$C956,$C956,$K$25:$K956)-SUMIF($C$25:$C956,$C956,$L$25:$L956),"")</f>
        <v/>
      </c>
      <c r="N956" s="10"/>
      <c r="O956" s="10"/>
      <c r="P956" s="65"/>
      <c r="Q956" s="10"/>
      <c r="R956" s="10"/>
      <c r="S956" s="54" t="str">
        <f t="shared" si="48"/>
        <v/>
      </c>
      <c r="T956" s="54" t="str">
        <f t="shared" si="49"/>
        <v/>
      </c>
      <c r="U956" s="58" t="str">
        <f t="shared" si="50"/>
        <v/>
      </c>
      <c r="V956" s="58">
        <f>IF(AND($B956&lt;&gt;"",$F956&lt;&gt;"",$F956=项目明细账!$C$2),N(V955)+1,N(V955))</f>
        <v>0</v>
      </c>
      <c r="W956" s="63" t="str">
        <f>IF($H956&lt;&gt;"","项目成本",IFERROR(INDEX(基础资料!$W$4:$W$49,MATCH($I956,基础资料!$V$4:$V$49,0)),""))</f>
        <v/>
      </c>
      <c r="X956" s="63" t="str">
        <f>IFERROR(INDEX(基础资料!$R$4:$R$17,MATCH($G956,基础资料!$Q$4:$Q$17,0)),"")</f>
        <v/>
      </c>
    </row>
    <row r="957" spans="1:24">
      <c r="A957" s="58" t="str">
        <f>IF($B957="","",COUNTA($B$5:$B957))</f>
        <v/>
      </c>
      <c r="B957" s="53"/>
      <c r="C957" s="46"/>
      <c r="D957" s="63" t="str">
        <f>IFERROR(INDEX(基础资料!$F$4:$F$23,MATCH($C957,基础资料!$E$4:$E$23,0)),IF($C957="","","未匹配账户"))</f>
        <v/>
      </c>
      <c r="E957" s="39"/>
      <c r="F957" s="10"/>
      <c r="G957" s="10"/>
      <c r="H957" s="10"/>
      <c r="I957" s="10"/>
      <c r="J957" s="10"/>
      <c r="K957" s="25"/>
      <c r="L957" s="25"/>
      <c r="M957" s="25" t="str">
        <f>IFERROR(VLOOKUP($C957,$C$5:$M$24,11,0)+SUMIF($C$25:$C957,$C957,$K$25:$K957)-SUMIF($C$25:$C957,$C957,$L$25:$L957),"")</f>
        <v/>
      </c>
      <c r="N957" s="10"/>
      <c r="O957" s="10"/>
      <c r="P957" s="65"/>
      <c r="Q957" s="10"/>
      <c r="R957" s="10"/>
      <c r="S957" s="54" t="str">
        <f t="shared" si="48"/>
        <v/>
      </c>
      <c r="T957" s="54" t="str">
        <f t="shared" si="49"/>
        <v/>
      </c>
      <c r="U957" s="58" t="str">
        <f t="shared" si="50"/>
        <v/>
      </c>
      <c r="V957" s="58">
        <f>IF(AND($B957&lt;&gt;"",$F957&lt;&gt;"",$F957=项目明细账!$C$2),N(V956)+1,N(V956))</f>
        <v>0</v>
      </c>
      <c r="W957" s="63" t="str">
        <f>IF($H957&lt;&gt;"","项目成本",IFERROR(INDEX(基础资料!$W$4:$W$49,MATCH($I957,基础资料!$V$4:$V$49,0)),""))</f>
        <v/>
      </c>
      <c r="X957" s="63" t="str">
        <f>IFERROR(INDEX(基础资料!$R$4:$R$17,MATCH($G957,基础资料!$Q$4:$Q$17,0)),"")</f>
        <v/>
      </c>
    </row>
    <row r="958" spans="1:24">
      <c r="A958" s="58" t="str">
        <f>IF($B958="","",COUNTA($B$5:$B958))</f>
        <v/>
      </c>
      <c r="B958" s="53"/>
      <c r="C958" s="46"/>
      <c r="D958" s="63" t="str">
        <f>IFERROR(INDEX(基础资料!$F$4:$F$23,MATCH($C958,基础资料!$E$4:$E$23,0)),IF($C958="","","未匹配账户"))</f>
        <v/>
      </c>
      <c r="E958" s="39"/>
      <c r="F958" s="10"/>
      <c r="G958" s="10"/>
      <c r="H958" s="10"/>
      <c r="I958" s="10"/>
      <c r="J958" s="10"/>
      <c r="K958" s="25"/>
      <c r="L958" s="25"/>
      <c r="M958" s="25" t="str">
        <f>IFERROR(VLOOKUP($C958,$C$5:$M$24,11,0)+SUMIF($C$25:$C958,$C958,$K$25:$K958)-SUMIF($C$25:$C958,$C958,$L$25:$L958),"")</f>
        <v/>
      </c>
      <c r="N958" s="10"/>
      <c r="O958" s="10"/>
      <c r="P958" s="65"/>
      <c r="Q958" s="10"/>
      <c r="R958" s="10"/>
      <c r="S958" s="54" t="str">
        <f t="shared" si="48"/>
        <v/>
      </c>
      <c r="T958" s="54" t="str">
        <f t="shared" si="49"/>
        <v/>
      </c>
      <c r="U958" s="58" t="str">
        <f t="shared" si="50"/>
        <v/>
      </c>
      <c r="V958" s="58">
        <f>IF(AND($B958&lt;&gt;"",$F958&lt;&gt;"",$F958=项目明细账!$C$2),N(V957)+1,N(V957))</f>
        <v>0</v>
      </c>
      <c r="W958" s="63" t="str">
        <f>IF($H958&lt;&gt;"","项目成本",IFERROR(INDEX(基础资料!$W$4:$W$49,MATCH($I958,基础资料!$V$4:$V$49,0)),""))</f>
        <v/>
      </c>
      <c r="X958" s="63" t="str">
        <f>IFERROR(INDEX(基础资料!$R$4:$R$17,MATCH($G958,基础资料!$Q$4:$Q$17,0)),"")</f>
        <v/>
      </c>
    </row>
    <row r="959" spans="1:24">
      <c r="A959" s="58" t="str">
        <f>IF($B959="","",COUNTA($B$5:$B959))</f>
        <v/>
      </c>
      <c r="B959" s="53"/>
      <c r="C959" s="46"/>
      <c r="D959" s="63" t="str">
        <f>IFERROR(INDEX(基础资料!$F$4:$F$23,MATCH($C959,基础资料!$E$4:$E$23,0)),IF($C959="","","未匹配账户"))</f>
        <v/>
      </c>
      <c r="E959" s="39"/>
      <c r="F959" s="10"/>
      <c r="G959" s="10"/>
      <c r="H959" s="10"/>
      <c r="I959" s="10"/>
      <c r="J959" s="10"/>
      <c r="K959" s="25"/>
      <c r="L959" s="25"/>
      <c r="M959" s="25" t="str">
        <f>IFERROR(VLOOKUP($C959,$C$5:$M$24,11,0)+SUMIF($C$25:$C959,$C959,$K$25:$K959)-SUMIF($C$25:$C959,$C959,$L$25:$L959),"")</f>
        <v/>
      </c>
      <c r="N959" s="10"/>
      <c r="O959" s="10"/>
      <c r="P959" s="65"/>
      <c r="Q959" s="10"/>
      <c r="R959" s="10"/>
      <c r="S959" s="54" t="str">
        <f t="shared" si="48"/>
        <v/>
      </c>
      <c r="T959" s="54" t="str">
        <f t="shared" si="49"/>
        <v/>
      </c>
      <c r="U959" s="58" t="str">
        <f t="shared" si="50"/>
        <v/>
      </c>
      <c r="V959" s="58">
        <f>IF(AND($B959&lt;&gt;"",$F959&lt;&gt;"",$F959=项目明细账!$C$2),N(V958)+1,N(V958))</f>
        <v>0</v>
      </c>
      <c r="W959" s="63" t="str">
        <f>IF($H959&lt;&gt;"","项目成本",IFERROR(INDEX(基础资料!$W$4:$W$49,MATCH($I959,基础资料!$V$4:$V$49,0)),""))</f>
        <v/>
      </c>
      <c r="X959" s="63" t="str">
        <f>IFERROR(INDEX(基础资料!$R$4:$R$17,MATCH($G959,基础资料!$Q$4:$Q$17,0)),"")</f>
        <v/>
      </c>
    </row>
    <row r="960" spans="1:24">
      <c r="A960" s="58" t="str">
        <f>IF($B960="","",COUNTA($B$5:$B960))</f>
        <v/>
      </c>
      <c r="B960" s="53"/>
      <c r="C960" s="46"/>
      <c r="D960" s="63" t="str">
        <f>IFERROR(INDEX(基础资料!$F$4:$F$23,MATCH($C960,基础资料!$E$4:$E$23,0)),IF($C960="","","未匹配账户"))</f>
        <v/>
      </c>
      <c r="E960" s="39"/>
      <c r="F960" s="10"/>
      <c r="G960" s="10"/>
      <c r="H960" s="10"/>
      <c r="I960" s="10"/>
      <c r="J960" s="10"/>
      <c r="K960" s="25"/>
      <c r="L960" s="25"/>
      <c r="M960" s="25" t="str">
        <f>IFERROR(VLOOKUP($C960,$C$5:$M$24,11,0)+SUMIF($C$25:$C960,$C960,$K$25:$K960)-SUMIF($C$25:$C960,$C960,$L$25:$L960),"")</f>
        <v/>
      </c>
      <c r="N960" s="10"/>
      <c r="O960" s="10"/>
      <c r="P960" s="65"/>
      <c r="Q960" s="10"/>
      <c r="R960" s="10"/>
      <c r="S960" s="54" t="str">
        <f t="shared" si="48"/>
        <v/>
      </c>
      <c r="T960" s="54" t="str">
        <f t="shared" si="49"/>
        <v/>
      </c>
      <c r="U960" s="58" t="str">
        <f t="shared" si="50"/>
        <v/>
      </c>
      <c r="V960" s="58">
        <f>IF(AND($B960&lt;&gt;"",$F960&lt;&gt;"",$F960=项目明细账!$C$2),N(V959)+1,N(V959))</f>
        <v>0</v>
      </c>
      <c r="W960" s="63" t="str">
        <f>IF($H960&lt;&gt;"","项目成本",IFERROR(INDEX(基础资料!$W$4:$W$49,MATCH($I960,基础资料!$V$4:$V$49,0)),""))</f>
        <v/>
      </c>
      <c r="X960" s="63" t="str">
        <f>IFERROR(INDEX(基础资料!$R$4:$R$17,MATCH($G960,基础资料!$Q$4:$Q$17,0)),"")</f>
        <v/>
      </c>
    </row>
    <row r="961" spans="1:24">
      <c r="A961" s="58" t="str">
        <f>IF($B961="","",COUNTA($B$5:$B961))</f>
        <v/>
      </c>
      <c r="B961" s="53"/>
      <c r="C961" s="46"/>
      <c r="D961" s="63" t="str">
        <f>IFERROR(INDEX(基础资料!$F$4:$F$23,MATCH($C961,基础资料!$E$4:$E$23,0)),IF($C961="","","未匹配账户"))</f>
        <v/>
      </c>
      <c r="E961" s="39"/>
      <c r="F961" s="10"/>
      <c r="G961" s="10"/>
      <c r="H961" s="10"/>
      <c r="I961" s="10"/>
      <c r="J961" s="10"/>
      <c r="K961" s="25"/>
      <c r="L961" s="25"/>
      <c r="M961" s="25" t="str">
        <f>IFERROR(VLOOKUP($C961,$C$5:$M$24,11,0)+SUMIF($C$25:$C961,$C961,$K$25:$K961)-SUMIF($C$25:$C961,$C961,$L$25:$L961),"")</f>
        <v/>
      </c>
      <c r="N961" s="10"/>
      <c r="O961" s="10"/>
      <c r="P961" s="65"/>
      <c r="Q961" s="10"/>
      <c r="R961" s="10"/>
      <c r="S961" s="54" t="str">
        <f t="shared" si="48"/>
        <v/>
      </c>
      <c r="T961" s="54" t="str">
        <f t="shared" si="49"/>
        <v/>
      </c>
      <c r="U961" s="58" t="str">
        <f t="shared" si="50"/>
        <v/>
      </c>
      <c r="V961" s="58">
        <f>IF(AND($B961&lt;&gt;"",$F961&lt;&gt;"",$F961=项目明细账!$C$2),N(V960)+1,N(V960))</f>
        <v>0</v>
      </c>
      <c r="W961" s="63" t="str">
        <f>IF($H961&lt;&gt;"","项目成本",IFERROR(INDEX(基础资料!$W$4:$W$49,MATCH($I961,基础资料!$V$4:$V$49,0)),""))</f>
        <v/>
      </c>
      <c r="X961" s="63" t="str">
        <f>IFERROR(INDEX(基础资料!$R$4:$R$17,MATCH($G961,基础资料!$Q$4:$Q$17,0)),"")</f>
        <v/>
      </c>
    </row>
    <row r="962" spans="1:24">
      <c r="A962" s="58" t="str">
        <f>IF($B962="","",COUNTA($B$5:$B962))</f>
        <v/>
      </c>
      <c r="B962" s="53"/>
      <c r="C962" s="46"/>
      <c r="D962" s="63" t="str">
        <f>IFERROR(INDEX(基础资料!$F$4:$F$23,MATCH($C962,基础资料!$E$4:$E$23,0)),IF($C962="","","未匹配账户"))</f>
        <v/>
      </c>
      <c r="E962" s="39"/>
      <c r="F962" s="10"/>
      <c r="G962" s="10"/>
      <c r="H962" s="10"/>
      <c r="I962" s="10"/>
      <c r="J962" s="10"/>
      <c r="K962" s="25"/>
      <c r="L962" s="25"/>
      <c r="M962" s="25" t="str">
        <f>IFERROR(VLOOKUP($C962,$C$5:$M$24,11,0)+SUMIF($C$25:$C962,$C962,$K$25:$K962)-SUMIF($C$25:$C962,$C962,$L$25:$L962),"")</f>
        <v/>
      </c>
      <c r="N962" s="10"/>
      <c r="O962" s="10"/>
      <c r="P962" s="65"/>
      <c r="Q962" s="10"/>
      <c r="R962" s="10"/>
      <c r="S962" s="54" t="str">
        <f t="shared" si="48"/>
        <v/>
      </c>
      <c r="T962" s="54" t="str">
        <f t="shared" si="49"/>
        <v/>
      </c>
      <c r="U962" s="58" t="str">
        <f t="shared" si="50"/>
        <v/>
      </c>
      <c r="V962" s="58">
        <f>IF(AND($B962&lt;&gt;"",$F962&lt;&gt;"",$F962=项目明细账!$C$2),N(V961)+1,N(V961))</f>
        <v>0</v>
      </c>
      <c r="W962" s="63" t="str">
        <f>IF($H962&lt;&gt;"","项目成本",IFERROR(INDEX(基础资料!$W$4:$W$49,MATCH($I962,基础资料!$V$4:$V$49,0)),""))</f>
        <v/>
      </c>
      <c r="X962" s="63" t="str">
        <f>IFERROR(INDEX(基础资料!$R$4:$R$17,MATCH($G962,基础资料!$Q$4:$Q$17,0)),"")</f>
        <v/>
      </c>
    </row>
    <row r="963" spans="1:24">
      <c r="A963" s="58" t="str">
        <f>IF($B963="","",COUNTA($B$5:$B963))</f>
        <v/>
      </c>
      <c r="B963" s="53"/>
      <c r="C963" s="46"/>
      <c r="D963" s="63" t="str">
        <f>IFERROR(INDEX(基础资料!$F$4:$F$23,MATCH($C963,基础资料!$E$4:$E$23,0)),IF($C963="","","未匹配账户"))</f>
        <v/>
      </c>
      <c r="E963" s="39"/>
      <c r="F963" s="10"/>
      <c r="G963" s="10"/>
      <c r="H963" s="10"/>
      <c r="I963" s="10"/>
      <c r="J963" s="10"/>
      <c r="K963" s="25"/>
      <c r="L963" s="25"/>
      <c r="M963" s="25" t="str">
        <f>IFERROR(VLOOKUP($C963,$C$5:$M$24,11,0)+SUMIF($C$25:$C963,$C963,$K$25:$K963)-SUMIF($C$25:$C963,$C963,$L$25:$L963),"")</f>
        <v/>
      </c>
      <c r="N963" s="10"/>
      <c r="O963" s="10"/>
      <c r="P963" s="65"/>
      <c r="Q963" s="10"/>
      <c r="R963" s="10"/>
      <c r="S963" s="54" t="str">
        <f t="shared" si="48"/>
        <v/>
      </c>
      <c r="T963" s="54" t="str">
        <f t="shared" si="49"/>
        <v/>
      </c>
      <c r="U963" s="58" t="str">
        <f t="shared" si="50"/>
        <v/>
      </c>
      <c r="V963" s="58">
        <f>IF(AND($B963&lt;&gt;"",$F963&lt;&gt;"",$F963=项目明细账!$C$2),N(V962)+1,N(V962))</f>
        <v>0</v>
      </c>
      <c r="W963" s="63" t="str">
        <f>IF($H963&lt;&gt;"","项目成本",IFERROR(INDEX(基础资料!$W$4:$W$49,MATCH($I963,基础资料!$V$4:$V$49,0)),""))</f>
        <v/>
      </c>
      <c r="X963" s="63" t="str">
        <f>IFERROR(INDEX(基础资料!$R$4:$R$17,MATCH($G963,基础资料!$Q$4:$Q$17,0)),"")</f>
        <v/>
      </c>
    </row>
    <row r="964" spans="1:24">
      <c r="A964" s="58" t="str">
        <f>IF($B964="","",COUNTA($B$5:$B964))</f>
        <v/>
      </c>
      <c r="B964" s="53"/>
      <c r="C964" s="46"/>
      <c r="D964" s="63" t="str">
        <f>IFERROR(INDEX(基础资料!$F$4:$F$23,MATCH($C964,基础资料!$E$4:$E$23,0)),IF($C964="","","未匹配账户"))</f>
        <v/>
      </c>
      <c r="E964" s="39"/>
      <c r="F964" s="10"/>
      <c r="G964" s="10"/>
      <c r="H964" s="10"/>
      <c r="I964" s="10"/>
      <c r="J964" s="10"/>
      <c r="K964" s="25"/>
      <c r="L964" s="25"/>
      <c r="M964" s="25" t="str">
        <f>IFERROR(VLOOKUP($C964,$C$5:$M$24,11,0)+SUMIF($C$25:$C964,$C964,$K$25:$K964)-SUMIF($C$25:$C964,$C964,$L$25:$L964),"")</f>
        <v/>
      </c>
      <c r="N964" s="10"/>
      <c r="O964" s="10"/>
      <c r="P964" s="65"/>
      <c r="Q964" s="10"/>
      <c r="R964" s="10"/>
      <c r="S964" s="54" t="str">
        <f t="shared" si="48"/>
        <v/>
      </c>
      <c r="T964" s="54" t="str">
        <f t="shared" si="49"/>
        <v/>
      </c>
      <c r="U964" s="58" t="str">
        <f t="shared" si="50"/>
        <v/>
      </c>
      <c r="V964" s="58">
        <f>IF(AND($B964&lt;&gt;"",$F964&lt;&gt;"",$F964=项目明细账!$C$2),N(V963)+1,N(V963))</f>
        <v>0</v>
      </c>
      <c r="W964" s="63" t="str">
        <f>IF($H964&lt;&gt;"","项目成本",IFERROR(INDEX(基础资料!$W$4:$W$49,MATCH($I964,基础资料!$V$4:$V$49,0)),""))</f>
        <v/>
      </c>
      <c r="X964" s="63" t="str">
        <f>IFERROR(INDEX(基础资料!$R$4:$R$17,MATCH($G964,基础资料!$Q$4:$Q$17,0)),"")</f>
        <v/>
      </c>
    </row>
    <row r="965" spans="1:24">
      <c r="A965" s="58" t="str">
        <f>IF($B965="","",COUNTA($B$5:$B965))</f>
        <v/>
      </c>
      <c r="B965" s="53"/>
      <c r="C965" s="46"/>
      <c r="D965" s="63" t="str">
        <f>IFERROR(INDEX(基础资料!$F$4:$F$23,MATCH($C965,基础资料!$E$4:$E$23,0)),IF($C965="","","未匹配账户"))</f>
        <v/>
      </c>
      <c r="E965" s="39"/>
      <c r="F965" s="10"/>
      <c r="G965" s="10"/>
      <c r="H965" s="10"/>
      <c r="I965" s="10"/>
      <c r="J965" s="10"/>
      <c r="K965" s="25"/>
      <c r="L965" s="25"/>
      <c r="M965" s="25" t="str">
        <f>IFERROR(VLOOKUP($C965,$C$5:$M$24,11,0)+SUMIF($C$25:$C965,$C965,$K$25:$K965)-SUMIF($C$25:$C965,$C965,$L$25:$L965),"")</f>
        <v/>
      </c>
      <c r="N965" s="10"/>
      <c r="O965" s="10"/>
      <c r="P965" s="65"/>
      <c r="Q965" s="10"/>
      <c r="R965" s="10"/>
      <c r="S965" s="54" t="str">
        <f t="shared" si="48"/>
        <v/>
      </c>
      <c r="T965" s="54" t="str">
        <f t="shared" si="49"/>
        <v/>
      </c>
      <c r="U965" s="58" t="str">
        <f t="shared" si="50"/>
        <v/>
      </c>
      <c r="V965" s="58">
        <f>IF(AND($B965&lt;&gt;"",$F965&lt;&gt;"",$F965=项目明细账!$C$2),N(V964)+1,N(V964))</f>
        <v>0</v>
      </c>
      <c r="W965" s="63" t="str">
        <f>IF($H965&lt;&gt;"","项目成本",IFERROR(INDEX(基础资料!$W$4:$W$49,MATCH($I965,基础资料!$V$4:$V$49,0)),""))</f>
        <v/>
      </c>
      <c r="X965" s="63" t="str">
        <f>IFERROR(INDEX(基础资料!$R$4:$R$17,MATCH($G965,基础资料!$Q$4:$Q$17,0)),"")</f>
        <v/>
      </c>
    </row>
    <row r="966" spans="1:24">
      <c r="A966" s="58" t="str">
        <f>IF($B966="","",COUNTA($B$5:$B966))</f>
        <v/>
      </c>
      <c r="B966" s="53"/>
      <c r="C966" s="46"/>
      <c r="D966" s="63" t="str">
        <f>IFERROR(INDEX(基础资料!$F$4:$F$23,MATCH($C966,基础资料!$E$4:$E$23,0)),IF($C966="","","未匹配账户"))</f>
        <v/>
      </c>
      <c r="E966" s="39"/>
      <c r="F966" s="10"/>
      <c r="G966" s="10"/>
      <c r="H966" s="10"/>
      <c r="I966" s="10"/>
      <c r="J966" s="10"/>
      <c r="K966" s="25"/>
      <c r="L966" s="25"/>
      <c r="M966" s="25" t="str">
        <f>IFERROR(VLOOKUP($C966,$C$5:$M$24,11,0)+SUMIF($C$25:$C966,$C966,$K$25:$K966)-SUMIF($C$25:$C966,$C966,$L$25:$L966),"")</f>
        <v/>
      </c>
      <c r="N966" s="10"/>
      <c r="O966" s="10"/>
      <c r="P966" s="65"/>
      <c r="Q966" s="10"/>
      <c r="R966" s="10"/>
      <c r="S966" s="54" t="str">
        <f t="shared" si="48"/>
        <v/>
      </c>
      <c r="T966" s="54" t="str">
        <f t="shared" si="49"/>
        <v/>
      </c>
      <c r="U966" s="58" t="str">
        <f t="shared" si="50"/>
        <v/>
      </c>
      <c r="V966" s="58">
        <f>IF(AND($B966&lt;&gt;"",$F966&lt;&gt;"",$F966=项目明细账!$C$2),N(V965)+1,N(V965))</f>
        <v>0</v>
      </c>
      <c r="W966" s="63" t="str">
        <f>IF($H966&lt;&gt;"","项目成本",IFERROR(INDEX(基础资料!$W$4:$W$49,MATCH($I966,基础资料!$V$4:$V$49,0)),""))</f>
        <v/>
      </c>
      <c r="X966" s="63" t="str">
        <f>IFERROR(INDEX(基础资料!$R$4:$R$17,MATCH($G966,基础资料!$Q$4:$Q$17,0)),"")</f>
        <v/>
      </c>
    </row>
    <row r="967" spans="1:24">
      <c r="A967" s="58" t="str">
        <f>IF($B967="","",COUNTA($B$5:$B967))</f>
        <v/>
      </c>
      <c r="B967" s="53"/>
      <c r="C967" s="46"/>
      <c r="D967" s="63" t="str">
        <f>IFERROR(INDEX(基础资料!$F$4:$F$23,MATCH($C967,基础资料!$E$4:$E$23,0)),IF($C967="","","未匹配账户"))</f>
        <v/>
      </c>
      <c r="E967" s="39"/>
      <c r="F967" s="10"/>
      <c r="G967" s="10"/>
      <c r="H967" s="10"/>
      <c r="I967" s="10"/>
      <c r="J967" s="10"/>
      <c r="K967" s="25"/>
      <c r="L967" s="25"/>
      <c r="M967" s="25" t="str">
        <f>IFERROR(VLOOKUP($C967,$C$5:$M$24,11,0)+SUMIF($C$25:$C967,$C967,$K$25:$K967)-SUMIF($C$25:$C967,$C967,$L$25:$L967),"")</f>
        <v/>
      </c>
      <c r="N967" s="10"/>
      <c r="O967" s="10"/>
      <c r="P967" s="65"/>
      <c r="Q967" s="10"/>
      <c r="R967" s="10"/>
      <c r="S967" s="54" t="str">
        <f t="shared" ref="S967:S1030" si="51">IF($B967="","",--TEXT($B967,"yyyymm"))</f>
        <v/>
      </c>
      <c r="T967" s="54" t="str">
        <f t="shared" ref="T967:T1030" si="52">IF($B967="","",IF($P967="",$S967,IFERROR($P967*1,$P967)))</f>
        <v/>
      </c>
      <c r="U967" s="58" t="str">
        <f t="shared" ref="U967:U1030" si="53">IF($B967="","",IF($T967=$S967,"","跨期"))</f>
        <v/>
      </c>
      <c r="V967" s="58">
        <f>IF(AND($B967&lt;&gt;"",$F967&lt;&gt;"",$F967=项目明细账!$C$2),N(V966)+1,N(V966))</f>
        <v>0</v>
      </c>
      <c r="W967" s="63" t="str">
        <f>IF($H967&lt;&gt;"","项目成本",IFERROR(INDEX(基础资料!$W$4:$W$49,MATCH($I967,基础资料!$V$4:$V$49,0)),""))</f>
        <v/>
      </c>
      <c r="X967" s="63" t="str">
        <f>IFERROR(INDEX(基础资料!$R$4:$R$17,MATCH($G967,基础资料!$Q$4:$Q$17,0)),"")</f>
        <v/>
      </c>
    </row>
    <row r="968" spans="1:24">
      <c r="A968" s="58" t="str">
        <f>IF($B968="","",COUNTA($B$5:$B968))</f>
        <v/>
      </c>
      <c r="B968" s="53"/>
      <c r="C968" s="46"/>
      <c r="D968" s="63" t="str">
        <f>IFERROR(INDEX(基础资料!$F$4:$F$23,MATCH($C968,基础资料!$E$4:$E$23,0)),IF($C968="","","未匹配账户"))</f>
        <v/>
      </c>
      <c r="E968" s="39"/>
      <c r="F968" s="10"/>
      <c r="G968" s="10"/>
      <c r="H968" s="10"/>
      <c r="I968" s="10"/>
      <c r="J968" s="10"/>
      <c r="K968" s="25"/>
      <c r="L968" s="25"/>
      <c r="M968" s="25" t="str">
        <f>IFERROR(VLOOKUP($C968,$C$5:$M$24,11,0)+SUMIF($C$25:$C968,$C968,$K$25:$K968)-SUMIF($C$25:$C968,$C968,$L$25:$L968),"")</f>
        <v/>
      </c>
      <c r="N968" s="10"/>
      <c r="O968" s="10"/>
      <c r="P968" s="65"/>
      <c r="Q968" s="10"/>
      <c r="R968" s="10"/>
      <c r="S968" s="54" t="str">
        <f t="shared" si="51"/>
        <v/>
      </c>
      <c r="T968" s="54" t="str">
        <f t="shared" si="52"/>
        <v/>
      </c>
      <c r="U968" s="58" t="str">
        <f t="shared" si="53"/>
        <v/>
      </c>
      <c r="V968" s="58">
        <f>IF(AND($B968&lt;&gt;"",$F968&lt;&gt;"",$F968=项目明细账!$C$2),N(V967)+1,N(V967))</f>
        <v>0</v>
      </c>
      <c r="W968" s="63" t="str">
        <f>IF($H968&lt;&gt;"","项目成本",IFERROR(INDEX(基础资料!$W$4:$W$49,MATCH($I968,基础资料!$V$4:$V$49,0)),""))</f>
        <v/>
      </c>
      <c r="X968" s="63" t="str">
        <f>IFERROR(INDEX(基础资料!$R$4:$R$17,MATCH($G968,基础资料!$Q$4:$Q$17,0)),"")</f>
        <v/>
      </c>
    </row>
    <row r="969" spans="1:24">
      <c r="A969" s="58" t="str">
        <f>IF($B969="","",COUNTA($B$5:$B969))</f>
        <v/>
      </c>
      <c r="B969" s="53"/>
      <c r="C969" s="46"/>
      <c r="D969" s="63" t="str">
        <f>IFERROR(INDEX(基础资料!$F$4:$F$23,MATCH($C969,基础资料!$E$4:$E$23,0)),IF($C969="","","未匹配账户"))</f>
        <v/>
      </c>
      <c r="E969" s="39"/>
      <c r="F969" s="10"/>
      <c r="G969" s="10"/>
      <c r="H969" s="10"/>
      <c r="I969" s="10"/>
      <c r="J969" s="10"/>
      <c r="K969" s="25"/>
      <c r="L969" s="25"/>
      <c r="M969" s="25" t="str">
        <f>IFERROR(VLOOKUP($C969,$C$5:$M$24,11,0)+SUMIF($C$25:$C969,$C969,$K$25:$K969)-SUMIF($C$25:$C969,$C969,$L$25:$L969),"")</f>
        <v/>
      </c>
      <c r="N969" s="10"/>
      <c r="O969" s="10"/>
      <c r="P969" s="65"/>
      <c r="Q969" s="10"/>
      <c r="R969" s="10"/>
      <c r="S969" s="54" t="str">
        <f t="shared" si="51"/>
        <v/>
      </c>
      <c r="T969" s="54" t="str">
        <f t="shared" si="52"/>
        <v/>
      </c>
      <c r="U969" s="58" t="str">
        <f t="shared" si="53"/>
        <v/>
      </c>
      <c r="V969" s="58">
        <f>IF(AND($B969&lt;&gt;"",$F969&lt;&gt;"",$F969=项目明细账!$C$2),N(V968)+1,N(V968))</f>
        <v>0</v>
      </c>
      <c r="W969" s="63" t="str">
        <f>IF($H969&lt;&gt;"","项目成本",IFERROR(INDEX(基础资料!$W$4:$W$49,MATCH($I969,基础资料!$V$4:$V$49,0)),""))</f>
        <v/>
      </c>
      <c r="X969" s="63" t="str">
        <f>IFERROR(INDEX(基础资料!$R$4:$R$17,MATCH($G969,基础资料!$Q$4:$Q$17,0)),"")</f>
        <v/>
      </c>
    </row>
    <row r="970" spans="1:24">
      <c r="A970" s="58" t="str">
        <f>IF($B970="","",COUNTA($B$5:$B970))</f>
        <v/>
      </c>
      <c r="B970" s="53"/>
      <c r="C970" s="46"/>
      <c r="D970" s="63" t="str">
        <f>IFERROR(INDEX(基础资料!$F$4:$F$23,MATCH($C970,基础资料!$E$4:$E$23,0)),IF($C970="","","未匹配账户"))</f>
        <v/>
      </c>
      <c r="E970" s="39"/>
      <c r="F970" s="10"/>
      <c r="G970" s="10"/>
      <c r="H970" s="10"/>
      <c r="I970" s="10"/>
      <c r="J970" s="10"/>
      <c r="K970" s="25"/>
      <c r="L970" s="25"/>
      <c r="M970" s="25" t="str">
        <f>IFERROR(VLOOKUP($C970,$C$5:$M$24,11,0)+SUMIF($C$25:$C970,$C970,$K$25:$K970)-SUMIF($C$25:$C970,$C970,$L$25:$L970),"")</f>
        <v/>
      </c>
      <c r="N970" s="10"/>
      <c r="O970" s="10"/>
      <c r="P970" s="65"/>
      <c r="Q970" s="10"/>
      <c r="R970" s="10"/>
      <c r="S970" s="54" t="str">
        <f t="shared" si="51"/>
        <v/>
      </c>
      <c r="T970" s="54" t="str">
        <f t="shared" si="52"/>
        <v/>
      </c>
      <c r="U970" s="58" t="str">
        <f t="shared" si="53"/>
        <v/>
      </c>
      <c r="V970" s="58">
        <f>IF(AND($B970&lt;&gt;"",$F970&lt;&gt;"",$F970=项目明细账!$C$2),N(V969)+1,N(V969))</f>
        <v>0</v>
      </c>
      <c r="W970" s="63" t="str">
        <f>IF($H970&lt;&gt;"","项目成本",IFERROR(INDEX(基础资料!$W$4:$W$49,MATCH($I970,基础资料!$V$4:$V$49,0)),""))</f>
        <v/>
      </c>
      <c r="X970" s="63" t="str">
        <f>IFERROR(INDEX(基础资料!$R$4:$R$17,MATCH($G970,基础资料!$Q$4:$Q$17,0)),"")</f>
        <v/>
      </c>
    </row>
    <row r="971" spans="1:24">
      <c r="A971" s="58" t="str">
        <f>IF($B971="","",COUNTA($B$5:$B971))</f>
        <v/>
      </c>
      <c r="B971" s="53"/>
      <c r="C971" s="46"/>
      <c r="D971" s="63" t="str">
        <f>IFERROR(INDEX(基础资料!$F$4:$F$23,MATCH($C971,基础资料!$E$4:$E$23,0)),IF($C971="","","未匹配账户"))</f>
        <v/>
      </c>
      <c r="E971" s="39"/>
      <c r="F971" s="10"/>
      <c r="G971" s="10"/>
      <c r="H971" s="10"/>
      <c r="I971" s="10"/>
      <c r="J971" s="10"/>
      <c r="K971" s="25"/>
      <c r="L971" s="25"/>
      <c r="M971" s="25" t="str">
        <f>IFERROR(VLOOKUP($C971,$C$5:$M$24,11,0)+SUMIF($C$25:$C971,$C971,$K$25:$K971)-SUMIF($C$25:$C971,$C971,$L$25:$L971),"")</f>
        <v/>
      </c>
      <c r="N971" s="10"/>
      <c r="O971" s="10"/>
      <c r="P971" s="65"/>
      <c r="Q971" s="10"/>
      <c r="R971" s="10"/>
      <c r="S971" s="54" t="str">
        <f t="shared" si="51"/>
        <v/>
      </c>
      <c r="T971" s="54" t="str">
        <f t="shared" si="52"/>
        <v/>
      </c>
      <c r="U971" s="58" t="str">
        <f t="shared" si="53"/>
        <v/>
      </c>
      <c r="V971" s="58">
        <f>IF(AND($B971&lt;&gt;"",$F971&lt;&gt;"",$F971=项目明细账!$C$2),N(V970)+1,N(V970))</f>
        <v>0</v>
      </c>
      <c r="W971" s="63" t="str">
        <f>IF($H971&lt;&gt;"","项目成本",IFERROR(INDEX(基础资料!$W$4:$W$49,MATCH($I971,基础资料!$V$4:$V$49,0)),""))</f>
        <v/>
      </c>
      <c r="X971" s="63" t="str">
        <f>IFERROR(INDEX(基础资料!$R$4:$R$17,MATCH($G971,基础资料!$Q$4:$Q$17,0)),"")</f>
        <v/>
      </c>
    </row>
    <row r="972" spans="1:24">
      <c r="A972" s="58" t="str">
        <f>IF($B972="","",COUNTA($B$5:$B972))</f>
        <v/>
      </c>
      <c r="B972" s="53"/>
      <c r="C972" s="46"/>
      <c r="D972" s="63" t="str">
        <f>IFERROR(INDEX(基础资料!$F$4:$F$23,MATCH($C972,基础资料!$E$4:$E$23,0)),IF($C972="","","未匹配账户"))</f>
        <v/>
      </c>
      <c r="E972" s="39"/>
      <c r="F972" s="10"/>
      <c r="G972" s="10"/>
      <c r="H972" s="10"/>
      <c r="I972" s="10"/>
      <c r="J972" s="10"/>
      <c r="K972" s="25"/>
      <c r="L972" s="25"/>
      <c r="M972" s="25" t="str">
        <f>IFERROR(VLOOKUP($C972,$C$5:$M$24,11,0)+SUMIF($C$25:$C972,$C972,$K$25:$K972)-SUMIF($C$25:$C972,$C972,$L$25:$L972),"")</f>
        <v/>
      </c>
      <c r="N972" s="10"/>
      <c r="O972" s="10"/>
      <c r="P972" s="65"/>
      <c r="Q972" s="10"/>
      <c r="R972" s="10"/>
      <c r="S972" s="54" t="str">
        <f t="shared" si="51"/>
        <v/>
      </c>
      <c r="T972" s="54" t="str">
        <f t="shared" si="52"/>
        <v/>
      </c>
      <c r="U972" s="58" t="str">
        <f t="shared" si="53"/>
        <v/>
      </c>
      <c r="V972" s="58">
        <f>IF(AND($B972&lt;&gt;"",$F972&lt;&gt;"",$F972=项目明细账!$C$2),N(V971)+1,N(V971))</f>
        <v>0</v>
      </c>
      <c r="W972" s="63" t="str">
        <f>IF($H972&lt;&gt;"","项目成本",IFERROR(INDEX(基础资料!$W$4:$W$49,MATCH($I972,基础资料!$V$4:$V$49,0)),""))</f>
        <v/>
      </c>
      <c r="X972" s="63" t="str">
        <f>IFERROR(INDEX(基础资料!$R$4:$R$17,MATCH($G972,基础资料!$Q$4:$Q$17,0)),"")</f>
        <v/>
      </c>
    </row>
    <row r="973" spans="1:24">
      <c r="A973" s="58" t="str">
        <f>IF($B973="","",COUNTA($B$5:$B973))</f>
        <v/>
      </c>
      <c r="B973" s="53"/>
      <c r="C973" s="46"/>
      <c r="D973" s="63" t="str">
        <f>IFERROR(INDEX(基础资料!$F$4:$F$23,MATCH($C973,基础资料!$E$4:$E$23,0)),IF($C973="","","未匹配账户"))</f>
        <v/>
      </c>
      <c r="E973" s="39"/>
      <c r="F973" s="10"/>
      <c r="G973" s="10"/>
      <c r="H973" s="10"/>
      <c r="I973" s="10"/>
      <c r="J973" s="10"/>
      <c r="K973" s="25"/>
      <c r="L973" s="25"/>
      <c r="M973" s="25" t="str">
        <f>IFERROR(VLOOKUP($C973,$C$5:$M$24,11,0)+SUMIF($C$25:$C973,$C973,$K$25:$K973)-SUMIF($C$25:$C973,$C973,$L$25:$L973),"")</f>
        <v/>
      </c>
      <c r="N973" s="10"/>
      <c r="O973" s="10"/>
      <c r="P973" s="65"/>
      <c r="Q973" s="10"/>
      <c r="R973" s="10"/>
      <c r="S973" s="54" t="str">
        <f t="shared" si="51"/>
        <v/>
      </c>
      <c r="T973" s="54" t="str">
        <f t="shared" si="52"/>
        <v/>
      </c>
      <c r="U973" s="58" t="str">
        <f t="shared" si="53"/>
        <v/>
      </c>
      <c r="V973" s="58">
        <f>IF(AND($B973&lt;&gt;"",$F973&lt;&gt;"",$F973=项目明细账!$C$2),N(V972)+1,N(V972))</f>
        <v>0</v>
      </c>
      <c r="W973" s="63" t="str">
        <f>IF($H973&lt;&gt;"","项目成本",IFERROR(INDEX(基础资料!$W$4:$W$49,MATCH($I973,基础资料!$V$4:$V$49,0)),""))</f>
        <v/>
      </c>
      <c r="X973" s="63" t="str">
        <f>IFERROR(INDEX(基础资料!$R$4:$R$17,MATCH($G973,基础资料!$Q$4:$Q$17,0)),"")</f>
        <v/>
      </c>
    </row>
    <row r="974" spans="1:24">
      <c r="A974" s="58" t="str">
        <f>IF($B974="","",COUNTA($B$5:$B974))</f>
        <v/>
      </c>
      <c r="B974" s="53"/>
      <c r="C974" s="46"/>
      <c r="D974" s="63" t="str">
        <f>IFERROR(INDEX(基础资料!$F$4:$F$23,MATCH($C974,基础资料!$E$4:$E$23,0)),IF($C974="","","未匹配账户"))</f>
        <v/>
      </c>
      <c r="E974" s="39"/>
      <c r="F974" s="10"/>
      <c r="G974" s="10"/>
      <c r="H974" s="10"/>
      <c r="I974" s="10"/>
      <c r="J974" s="10"/>
      <c r="K974" s="25"/>
      <c r="L974" s="25"/>
      <c r="M974" s="25" t="str">
        <f>IFERROR(VLOOKUP($C974,$C$5:$M$24,11,0)+SUMIF($C$25:$C974,$C974,$K$25:$K974)-SUMIF($C$25:$C974,$C974,$L$25:$L974),"")</f>
        <v/>
      </c>
      <c r="N974" s="10"/>
      <c r="O974" s="10"/>
      <c r="P974" s="65"/>
      <c r="Q974" s="10"/>
      <c r="R974" s="10"/>
      <c r="S974" s="54" t="str">
        <f t="shared" si="51"/>
        <v/>
      </c>
      <c r="T974" s="54" t="str">
        <f t="shared" si="52"/>
        <v/>
      </c>
      <c r="U974" s="58" t="str">
        <f t="shared" si="53"/>
        <v/>
      </c>
      <c r="V974" s="58">
        <f>IF(AND($B974&lt;&gt;"",$F974&lt;&gt;"",$F974=项目明细账!$C$2),N(V973)+1,N(V973))</f>
        <v>0</v>
      </c>
      <c r="W974" s="63" t="str">
        <f>IF($H974&lt;&gt;"","项目成本",IFERROR(INDEX(基础资料!$W$4:$W$49,MATCH($I974,基础资料!$V$4:$V$49,0)),""))</f>
        <v/>
      </c>
      <c r="X974" s="63" t="str">
        <f>IFERROR(INDEX(基础资料!$R$4:$R$17,MATCH($G974,基础资料!$Q$4:$Q$17,0)),"")</f>
        <v/>
      </c>
    </row>
    <row r="975" spans="1:24">
      <c r="A975" s="58" t="str">
        <f>IF($B975="","",COUNTA($B$5:$B975))</f>
        <v/>
      </c>
      <c r="B975" s="53"/>
      <c r="C975" s="46"/>
      <c r="D975" s="63" t="str">
        <f>IFERROR(INDEX(基础资料!$F$4:$F$23,MATCH($C975,基础资料!$E$4:$E$23,0)),IF($C975="","","未匹配账户"))</f>
        <v/>
      </c>
      <c r="E975" s="39"/>
      <c r="F975" s="10"/>
      <c r="G975" s="10"/>
      <c r="H975" s="10"/>
      <c r="I975" s="10"/>
      <c r="J975" s="10"/>
      <c r="K975" s="25"/>
      <c r="L975" s="25"/>
      <c r="M975" s="25" t="str">
        <f>IFERROR(VLOOKUP($C975,$C$5:$M$24,11,0)+SUMIF($C$25:$C975,$C975,$K$25:$K975)-SUMIF($C$25:$C975,$C975,$L$25:$L975),"")</f>
        <v/>
      </c>
      <c r="N975" s="10"/>
      <c r="O975" s="10"/>
      <c r="P975" s="65"/>
      <c r="Q975" s="10"/>
      <c r="R975" s="10"/>
      <c r="S975" s="54" t="str">
        <f t="shared" si="51"/>
        <v/>
      </c>
      <c r="T975" s="54" t="str">
        <f t="shared" si="52"/>
        <v/>
      </c>
      <c r="U975" s="58" t="str">
        <f t="shared" si="53"/>
        <v/>
      </c>
      <c r="V975" s="58">
        <f>IF(AND($B975&lt;&gt;"",$F975&lt;&gt;"",$F975=项目明细账!$C$2),N(V974)+1,N(V974))</f>
        <v>0</v>
      </c>
      <c r="W975" s="63" t="str">
        <f>IF($H975&lt;&gt;"","项目成本",IFERROR(INDEX(基础资料!$W$4:$W$49,MATCH($I975,基础资料!$V$4:$V$49,0)),""))</f>
        <v/>
      </c>
      <c r="X975" s="63" t="str">
        <f>IFERROR(INDEX(基础资料!$R$4:$R$17,MATCH($G975,基础资料!$Q$4:$Q$17,0)),"")</f>
        <v/>
      </c>
    </row>
    <row r="976" spans="1:24">
      <c r="A976" s="58" t="str">
        <f>IF($B976="","",COUNTA($B$5:$B976))</f>
        <v/>
      </c>
      <c r="B976" s="53"/>
      <c r="C976" s="46"/>
      <c r="D976" s="63" t="str">
        <f>IFERROR(INDEX(基础资料!$F$4:$F$23,MATCH($C976,基础资料!$E$4:$E$23,0)),IF($C976="","","未匹配账户"))</f>
        <v/>
      </c>
      <c r="E976" s="39"/>
      <c r="F976" s="10"/>
      <c r="G976" s="10"/>
      <c r="H976" s="10"/>
      <c r="I976" s="10"/>
      <c r="J976" s="10"/>
      <c r="K976" s="25"/>
      <c r="L976" s="25"/>
      <c r="M976" s="25" t="str">
        <f>IFERROR(VLOOKUP($C976,$C$5:$M$24,11,0)+SUMIF($C$25:$C976,$C976,$K$25:$K976)-SUMIF($C$25:$C976,$C976,$L$25:$L976),"")</f>
        <v/>
      </c>
      <c r="N976" s="10"/>
      <c r="O976" s="10"/>
      <c r="P976" s="65"/>
      <c r="Q976" s="10"/>
      <c r="R976" s="10"/>
      <c r="S976" s="54" t="str">
        <f t="shared" si="51"/>
        <v/>
      </c>
      <c r="T976" s="54" t="str">
        <f t="shared" si="52"/>
        <v/>
      </c>
      <c r="U976" s="58" t="str">
        <f t="shared" si="53"/>
        <v/>
      </c>
      <c r="V976" s="58">
        <f>IF(AND($B976&lt;&gt;"",$F976&lt;&gt;"",$F976=项目明细账!$C$2),N(V975)+1,N(V975))</f>
        <v>0</v>
      </c>
      <c r="W976" s="63" t="str">
        <f>IF($H976&lt;&gt;"","项目成本",IFERROR(INDEX(基础资料!$W$4:$W$49,MATCH($I976,基础资料!$V$4:$V$49,0)),""))</f>
        <v/>
      </c>
      <c r="X976" s="63" t="str">
        <f>IFERROR(INDEX(基础资料!$R$4:$R$17,MATCH($G976,基础资料!$Q$4:$Q$17,0)),"")</f>
        <v/>
      </c>
    </row>
    <row r="977" spans="1:24">
      <c r="A977" s="58" t="str">
        <f>IF($B977="","",COUNTA($B$5:$B977))</f>
        <v/>
      </c>
      <c r="B977" s="53"/>
      <c r="C977" s="46"/>
      <c r="D977" s="63" t="str">
        <f>IFERROR(INDEX(基础资料!$F$4:$F$23,MATCH($C977,基础资料!$E$4:$E$23,0)),IF($C977="","","未匹配账户"))</f>
        <v/>
      </c>
      <c r="E977" s="39"/>
      <c r="F977" s="10"/>
      <c r="G977" s="10"/>
      <c r="H977" s="10"/>
      <c r="I977" s="10"/>
      <c r="J977" s="10"/>
      <c r="K977" s="25"/>
      <c r="L977" s="25"/>
      <c r="M977" s="25" t="str">
        <f>IFERROR(VLOOKUP($C977,$C$5:$M$24,11,0)+SUMIF($C$25:$C977,$C977,$K$25:$K977)-SUMIF($C$25:$C977,$C977,$L$25:$L977),"")</f>
        <v/>
      </c>
      <c r="N977" s="10"/>
      <c r="O977" s="10"/>
      <c r="P977" s="65"/>
      <c r="Q977" s="10"/>
      <c r="R977" s="10"/>
      <c r="S977" s="54" t="str">
        <f t="shared" si="51"/>
        <v/>
      </c>
      <c r="T977" s="54" t="str">
        <f t="shared" si="52"/>
        <v/>
      </c>
      <c r="U977" s="58" t="str">
        <f t="shared" si="53"/>
        <v/>
      </c>
      <c r="V977" s="58">
        <f>IF(AND($B977&lt;&gt;"",$F977&lt;&gt;"",$F977=项目明细账!$C$2),N(V976)+1,N(V976))</f>
        <v>0</v>
      </c>
      <c r="W977" s="63" t="str">
        <f>IF($H977&lt;&gt;"","项目成本",IFERROR(INDEX(基础资料!$W$4:$W$49,MATCH($I977,基础资料!$V$4:$V$49,0)),""))</f>
        <v/>
      </c>
      <c r="X977" s="63" t="str">
        <f>IFERROR(INDEX(基础资料!$R$4:$R$17,MATCH($G977,基础资料!$Q$4:$Q$17,0)),"")</f>
        <v/>
      </c>
    </row>
    <row r="978" spans="1:24">
      <c r="A978" s="58" t="str">
        <f>IF($B978="","",COUNTA($B$5:$B978))</f>
        <v/>
      </c>
      <c r="B978" s="53"/>
      <c r="C978" s="46"/>
      <c r="D978" s="63" t="str">
        <f>IFERROR(INDEX(基础资料!$F$4:$F$23,MATCH($C978,基础资料!$E$4:$E$23,0)),IF($C978="","","未匹配账户"))</f>
        <v/>
      </c>
      <c r="E978" s="39"/>
      <c r="F978" s="10"/>
      <c r="G978" s="10"/>
      <c r="H978" s="10"/>
      <c r="I978" s="10"/>
      <c r="J978" s="10"/>
      <c r="K978" s="25"/>
      <c r="L978" s="25"/>
      <c r="M978" s="25" t="str">
        <f>IFERROR(VLOOKUP($C978,$C$5:$M$24,11,0)+SUMIF($C$25:$C978,$C978,$K$25:$K978)-SUMIF($C$25:$C978,$C978,$L$25:$L978),"")</f>
        <v/>
      </c>
      <c r="N978" s="10"/>
      <c r="O978" s="10"/>
      <c r="P978" s="65"/>
      <c r="Q978" s="10"/>
      <c r="R978" s="10"/>
      <c r="S978" s="54" t="str">
        <f t="shared" si="51"/>
        <v/>
      </c>
      <c r="T978" s="54" t="str">
        <f t="shared" si="52"/>
        <v/>
      </c>
      <c r="U978" s="58" t="str">
        <f t="shared" si="53"/>
        <v/>
      </c>
      <c r="V978" s="58">
        <f>IF(AND($B978&lt;&gt;"",$F978&lt;&gt;"",$F978=项目明细账!$C$2),N(V977)+1,N(V977))</f>
        <v>0</v>
      </c>
      <c r="W978" s="63" t="str">
        <f>IF($H978&lt;&gt;"","项目成本",IFERROR(INDEX(基础资料!$W$4:$W$49,MATCH($I978,基础资料!$V$4:$V$49,0)),""))</f>
        <v/>
      </c>
      <c r="X978" s="63" t="str">
        <f>IFERROR(INDEX(基础资料!$R$4:$R$17,MATCH($G978,基础资料!$Q$4:$Q$17,0)),"")</f>
        <v/>
      </c>
    </row>
    <row r="979" spans="1:24">
      <c r="A979" s="58" t="str">
        <f>IF($B979="","",COUNTA($B$5:$B979))</f>
        <v/>
      </c>
      <c r="B979" s="53"/>
      <c r="C979" s="46"/>
      <c r="D979" s="63" t="str">
        <f>IFERROR(INDEX(基础资料!$F$4:$F$23,MATCH($C979,基础资料!$E$4:$E$23,0)),IF($C979="","","未匹配账户"))</f>
        <v/>
      </c>
      <c r="E979" s="39"/>
      <c r="F979" s="10"/>
      <c r="G979" s="10"/>
      <c r="H979" s="10"/>
      <c r="I979" s="10"/>
      <c r="J979" s="10"/>
      <c r="K979" s="25"/>
      <c r="L979" s="25"/>
      <c r="M979" s="25" t="str">
        <f>IFERROR(VLOOKUP($C979,$C$5:$M$24,11,0)+SUMIF($C$25:$C979,$C979,$K$25:$K979)-SUMIF($C$25:$C979,$C979,$L$25:$L979),"")</f>
        <v/>
      </c>
      <c r="N979" s="10"/>
      <c r="O979" s="10"/>
      <c r="P979" s="65"/>
      <c r="Q979" s="10"/>
      <c r="R979" s="10"/>
      <c r="S979" s="54" t="str">
        <f t="shared" si="51"/>
        <v/>
      </c>
      <c r="T979" s="54" t="str">
        <f t="shared" si="52"/>
        <v/>
      </c>
      <c r="U979" s="58" t="str">
        <f t="shared" si="53"/>
        <v/>
      </c>
      <c r="V979" s="58">
        <f>IF(AND($B979&lt;&gt;"",$F979&lt;&gt;"",$F979=项目明细账!$C$2),N(V978)+1,N(V978))</f>
        <v>0</v>
      </c>
      <c r="W979" s="63" t="str">
        <f>IF($H979&lt;&gt;"","项目成本",IFERROR(INDEX(基础资料!$W$4:$W$49,MATCH($I979,基础资料!$V$4:$V$49,0)),""))</f>
        <v/>
      </c>
      <c r="X979" s="63" t="str">
        <f>IFERROR(INDEX(基础资料!$R$4:$R$17,MATCH($G979,基础资料!$Q$4:$Q$17,0)),"")</f>
        <v/>
      </c>
    </row>
    <row r="980" spans="1:24">
      <c r="A980" s="58" t="str">
        <f>IF($B980="","",COUNTA($B$5:$B980))</f>
        <v/>
      </c>
      <c r="B980" s="53"/>
      <c r="C980" s="46"/>
      <c r="D980" s="63" t="str">
        <f>IFERROR(INDEX(基础资料!$F$4:$F$23,MATCH($C980,基础资料!$E$4:$E$23,0)),IF($C980="","","未匹配账户"))</f>
        <v/>
      </c>
      <c r="E980" s="39"/>
      <c r="F980" s="10"/>
      <c r="G980" s="10"/>
      <c r="H980" s="10"/>
      <c r="I980" s="10"/>
      <c r="J980" s="10"/>
      <c r="K980" s="25"/>
      <c r="L980" s="25"/>
      <c r="M980" s="25" t="str">
        <f>IFERROR(VLOOKUP($C980,$C$5:$M$24,11,0)+SUMIF($C$25:$C980,$C980,$K$25:$K980)-SUMIF($C$25:$C980,$C980,$L$25:$L980),"")</f>
        <v/>
      </c>
      <c r="N980" s="10"/>
      <c r="O980" s="10"/>
      <c r="P980" s="65"/>
      <c r="Q980" s="10"/>
      <c r="R980" s="10"/>
      <c r="S980" s="54" t="str">
        <f t="shared" si="51"/>
        <v/>
      </c>
      <c r="T980" s="54" t="str">
        <f t="shared" si="52"/>
        <v/>
      </c>
      <c r="U980" s="58" t="str">
        <f t="shared" si="53"/>
        <v/>
      </c>
      <c r="V980" s="58">
        <f>IF(AND($B980&lt;&gt;"",$F980&lt;&gt;"",$F980=项目明细账!$C$2),N(V979)+1,N(V979))</f>
        <v>0</v>
      </c>
      <c r="W980" s="63" t="str">
        <f>IF($H980&lt;&gt;"","项目成本",IFERROR(INDEX(基础资料!$W$4:$W$49,MATCH($I980,基础资料!$V$4:$V$49,0)),""))</f>
        <v/>
      </c>
      <c r="X980" s="63" t="str">
        <f>IFERROR(INDEX(基础资料!$R$4:$R$17,MATCH($G980,基础资料!$Q$4:$Q$17,0)),"")</f>
        <v/>
      </c>
    </row>
    <row r="981" spans="1:24">
      <c r="A981" s="58" t="str">
        <f>IF($B981="","",COUNTA($B$5:$B981))</f>
        <v/>
      </c>
      <c r="B981" s="53"/>
      <c r="C981" s="46"/>
      <c r="D981" s="63" t="str">
        <f>IFERROR(INDEX(基础资料!$F$4:$F$23,MATCH($C981,基础资料!$E$4:$E$23,0)),IF($C981="","","未匹配账户"))</f>
        <v/>
      </c>
      <c r="E981" s="39"/>
      <c r="F981" s="10"/>
      <c r="G981" s="10"/>
      <c r="H981" s="10"/>
      <c r="I981" s="10"/>
      <c r="J981" s="10"/>
      <c r="K981" s="25"/>
      <c r="L981" s="25"/>
      <c r="M981" s="25" t="str">
        <f>IFERROR(VLOOKUP($C981,$C$5:$M$24,11,0)+SUMIF($C$25:$C981,$C981,$K$25:$K981)-SUMIF($C$25:$C981,$C981,$L$25:$L981),"")</f>
        <v/>
      </c>
      <c r="N981" s="10"/>
      <c r="O981" s="10"/>
      <c r="P981" s="65"/>
      <c r="Q981" s="10"/>
      <c r="R981" s="10"/>
      <c r="S981" s="54" t="str">
        <f t="shared" si="51"/>
        <v/>
      </c>
      <c r="T981" s="54" t="str">
        <f t="shared" si="52"/>
        <v/>
      </c>
      <c r="U981" s="58" t="str">
        <f t="shared" si="53"/>
        <v/>
      </c>
      <c r="V981" s="58">
        <f>IF(AND($B981&lt;&gt;"",$F981&lt;&gt;"",$F981=项目明细账!$C$2),N(V980)+1,N(V980))</f>
        <v>0</v>
      </c>
      <c r="W981" s="63" t="str">
        <f>IF($H981&lt;&gt;"","项目成本",IFERROR(INDEX(基础资料!$W$4:$W$49,MATCH($I981,基础资料!$V$4:$V$49,0)),""))</f>
        <v/>
      </c>
      <c r="X981" s="63" t="str">
        <f>IFERROR(INDEX(基础资料!$R$4:$R$17,MATCH($G981,基础资料!$Q$4:$Q$17,0)),"")</f>
        <v/>
      </c>
    </row>
    <row r="982" spans="1:24">
      <c r="A982" s="58" t="str">
        <f>IF($B982="","",COUNTA($B$5:$B982))</f>
        <v/>
      </c>
      <c r="B982" s="53"/>
      <c r="C982" s="46"/>
      <c r="D982" s="63" t="str">
        <f>IFERROR(INDEX(基础资料!$F$4:$F$23,MATCH($C982,基础资料!$E$4:$E$23,0)),IF($C982="","","未匹配账户"))</f>
        <v/>
      </c>
      <c r="E982" s="39"/>
      <c r="F982" s="10"/>
      <c r="G982" s="10"/>
      <c r="H982" s="10"/>
      <c r="I982" s="10"/>
      <c r="J982" s="10"/>
      <c r="K982" s="25"/>
      <c r="L982" s="25"/>
      <c r="M982" s="25" t="str">
        <f>IFERROR(VLOOKUP($C982,$C$5:$M$24,11,0)+SUMIF($C$25:$C982,$C982,$K$25:$K982)-SUMIF($C$25:$C982,$C982,$L$25:$L982),"")</f>
        <v/>
      </c>
      <c r="N982" s="10"/>
      <c r="O982" s="10"/>
      <c r="P982" s="65"/>
      <c r="Q982" s="10"/>
      <c r="R982" s="10"/>
      <c r="S982" s="54" t="str">
        <f t="shared" si="51"/>
        <v/>
      </c>
      <c r="T982" s="54" t="str">
        <f t="shared" si="52"/>
        <v/>
      </c>
      <c r="U982" s="58" t="str">
        <f t="shared" si="53"/>
        <v/>
      </c>
      <c r="V982" s="58">
        <f>IF(AND($B982&lt;&gt;"",$F982&lt;&gt;"",$F982=项目明细账!$C$2),N(V981)+1,N(V981))</f>
        <v>0</v>
      </c>
      <c r="W982" s="63" t="str">
        <f>IF($H982&lt;&gt;"","项目成本",IFERROR(INDEX(基础资料!$W$4:$W$49,MATCH($I982,基础资料!$V$4:$V$49,0)),""))</f>
        <v/>
      </c>
      <c r="X982" s="63" t="str">
        <f>IFERROR(INDEX(基础资料!$R$4:$R$17,MATCH($G982,基础资料!$Q$4:$Q$17,0)),"")</f>
        <v/>
      </c>
    </row>
    <row r="983" spans="1:24">
      <c r="A983" s="58" t="str">
        <f>IF($B983="","",COUNTA($B$5:$B983))</f>
        <v/>
      </c>
      <c r="B983" s="53"/>
      <c r="C983" s="46"/>
      <c r="D983" s="63" t="str">
        <f>IFERROR(INDEX(基础资料!$F$4:$F$23,MATCH($C983,基础资料!$E$4:$E$23,0)),IF($C983="","","未匹配账户"))</f>
        <v/>
      </c>
      <c r="E983" s="39"/>
      <c r="F983" s="10"/>
      <c r="G983" s="10"/>
      <c r="H983" s="10"/>
      <c r="I983" s="10"/>
      <c r="J983" s="10"/>
      <c r="K983" s="25"/>
      <c r="L983" s="25"/>
      <c r="M983" s="25" t="str">
        <f>IFERROR(VLOOKUP($C983,$C$5:$M$24,11,0)+SUMIF($C$25:$C983,$C983,$K$25:$K983)-SUMIF($C$25:$C983,$C983,$L$25:$L983),"")</f>
        <v/>
      </c>
      <c r="N983" s="10"/>
      <c r="O983" s="10"/>
      <c r="P983" s="65"/>
      <c r="Q983" s="10"/>
      <c r="R983" s="10"/>
      <c r="S983" s="54" t="str">
        <f t="shared" si="51"/>
        <v/>
      </c>
      <c r="T983" s="54" t="str">
        <f t="shared" si="52"/>
        <v/>
      </c>
      <c r="U983" s="58" t="str">
        <f t="shared" si="53"/>
        <v/>
      </c>
      <c r="V983" s="58">
        <f>IF(AND($B983&lt;&gt;"",$F983&lt;&gt;"",$F983=项目明细账!$C$2),N(V982)+1,N(V982))</f>
        <v>0</v>
      </c>
      <c r="W983" s="63" t="str">
        <f>IF($H983&lt;&gt;"","项目成本",IFERROR(INDEX(基础资料!$W$4:$W$49,MATCH($I983,基础资料!$V$4:$V$49,0)),""))</f>
        <v/>
      </c>
      <c r="X983" s="63" t="str">
        <f>IFERROR(INDEX(基础资料!$R$4:$R$17,MATCH($G983,基础资料!$Q$4:$Q$17,0)),"")</f>
        <v/>
      </c>
    </row>
    <row r="984" spans="1:24">
      <c r="A984" s="58" t="str">
        <f>IF($B984="","",COUNTA($B$5:$B984))</f>
        <v/>
      </c>
      <c r="B984" s="53"/>
      <c r="C984" s="46"/>
      <c r="D984" s="63" t="str">
        <f>IFERROR(INDEX(基础资料!$F$4:$F$23,MATCH($C984,基础资料!$E$4:$E$23,0)),IF($C984="","","未匹配账户"))</f>
        <v/>
      </c>
      <c r="E984" s="39"/>
      <c r="F984" s="10"/>
      <c r="G984" s="10"/>
      <c r="H984" s="10"/>
      <c r="I984" s="10"/>
      <c r="J984" s="10"/>
      <c r="K984" s="25"/>
      <c r="L984" s="25"/>
      <c r="M984" s="25" t="str">
        <f>IFERROR(VLOOKUP($C984,$C$5:$M$24,11,0)+SUMIF($C$25:$C984,$C984,$K$25:$K984)-SUMIF($C$25:$C984,$C984,$L$25:$L984),"")</f>
        <v/>
      </c>
      <c r="N984" s="10"/>
      <c r="O984" s="10"/>
      <c r="P984" s="65"/>
      <c r="Q984" s="10"/>
      <c r="R984" s="10"/>
      <c r="S984" s="54" t="str">
        <f t="shared" si="51"/>
        <v/>
      </c>
      <c r="T984" s="54" t="str">
        <f t="shared" si="52"/>
        <v/>
      </c>
      <c r="U984" s="58" t="str">
        <f t="shared" si="53"/>
        <v/>
      </c>
      <c r="V984" s="58">
        <f>IF(AND($B984&lt;&gt;"",$F984&lt;&gt;"",$F984=项目明细账!$C$2),N(V983)+1,N(V983))</f>
        <v>0</v>
      </c>
      <c r="W984" s="63" t="str">
        <f>IF($H984&lt;&gt;"","项目成本",IFERROR(INDEX(基础资料!$W$4:$W$49,MATCH($I984,基础资料!$V$4:$V$49,0)),""))</f>
        <v/>
      </c>
      <c r="X984" s="63" t="str">
        <f>IFERROR(INDEX(基础资料!$R$4:$R$17,MATCH($G984,基础资料!$Q$4:$Q$17,0)),"")</f>
        <v/>
      </c>
    </row>
    <row r="985" spans="1:24">
      <c r="A985" s="58" t="str">
        <f>IF($B985="","",COUNTA($B$5:$B985))</f>
        <v/>
      </c>
      <c r="B985" s="53"/>
      <c r="C985" s="46"/>
      <c r="D985" s="63" t="str">
        <f>IFERROR(INDEX(基础资料!$F$4:$F$23,MATCH($C985,基础资料!$E$4:$E$23,0)),IF($C985="","","未匹配账户"))</f>
        <v/>
      </c>
      <c r="E985" s="39"/>
      <c r="F985" s="10"/>
      <c r="G985" s="10"/>
      <c r="H985" s="10"/>
      <c r="I985" s="10"/>
      <c r="J985" s="10"/>
      <c r="K985" s="25"/>
      <c r="L985" s="25"/>
      <c r="M985" s="25" t="str">
        <f>IFERROR(VLOOKUP($C985,$C$5:$M$24,11,0)+SUMIF($C$25:$C985,$C985,$K$25:$K985)-SUMIF($C$25:$C985,$C985,$L$25:$L985),"")</f>
        <v/>
      </c>
      <c r="N985" s="10"/>
      <c r="O985" s="10"/>
      <c r="P985" s="65"/>
      <c r="Q985" s="10"/>
      <c r="R985" s="10"/>
      <c r="S985" s="54" t="str">
        <f t="shared" si="51"/>
        <v/>
      </c>
      <c r="T985" s="54" t="str">
        <f t="shared" si="52"/>
        <v/>
      </c>
      <c r="U985" s="58" t="str">
        <f t="shared" si="53"/>
        <v/>
      </c>
      <c r="V985" s="58">
        <f>IF(AND($B985&lt;&gt;"",$F985&lt;&gt;"",$F985=项目明细账!$C$2),N(V984)+1,N(V984))</f>
        <v>0</v>
      </c>
      <c r="W985" s="63" t="str">
        <f>IF($H985&lt;&gt;"","项目成本",IFERROR(INDEX(基础资料!$W$4:$W$49,MATCH($I985,基础资料!$V$4:$V$49,0)),""))</f>
        <v/>
      </c>
      <c r="X985" s="63" t="str">
        <f>IFERROR(INDEX(基础资料!$R$4:$R$17,MATCH($G985,基础资料!$Q$4:$Q$17,0)),"")</f>
        <v/>
      </c>
    </row>
    <row r="986" spans="1:24">
      <c r="A986" s="58" t="str">
        <f>IF($B986="","",COUNTA($B$5:$B986))</f>
        <v/>
      </c>
      <c r="B986" s="53"/>
      <c r="C986" s="46"/>
      <c r="D986" s="63" t="str">
        <f>IFERROR(INDEX(基础资料!$F$4:$F$23,MATCH($C986,基础资料!$E$4:$E$23,0)),IF($C986="","","未匹配账户"))</f>
        <v/>
      </c>
      <c r="E986" s="39"/>
      <c r="F986" s="10"/>
      <c r="G986" s="10"/>
      <c r="H986" s="10"/>
      <c r="I986" s="10"/>
      <c r="J986" s="10"/>
      <c r="K986" s="25"/>
      <c r="L986" s="25"/>
      <c r="M986" s="25" t="str">
        <f>IFERROR(VLOOKUP($C986,$C$5:$M$24,11,0)+SUMIF($C$25:$C986,$C986,$K$25:$K986)-SUMIF($C$25:$C986,$C986,$L$25:$L986),"")</f>
        <v/>
      </c>
      <c r="N986" s="10"/>
      <c r="O986" s="10"/>
      <c r="P986" s="65"/>
      <c r="Q986" s="10"/>
      <c r="R986" s="10"/>
      <c r="S986" s="54" t="str">
        <f t="shared" si="51"/>
        <v/>
      </c>
      <c r="T986" s="54" t="str">
        <f t="shared" si="52"/>
        <v/>
      </c>
      <c r="U986" s="58" t="str">
        <f t="shared" si="53"/>
        <v/>
      </c>
      <c r="V986" s="58">
        <f>IF(AND($B986&lt;&gt;"",$F986&lt;&gt;"",$F986=项目明细账!$C$2),N(V985)+1,N(V985))</f>
        <v>0</v>
      </c>
      <c r="W986" s="63" t="str">
        <f>IF($H986&lt;&gt;"","项目成本",IFERROR(INDEX(基础资料!$W$4:$W$49,MATCH($I986,基础资料!$V$4:$V$49,0)),""))</f>
        <v/>
      </c>
      <c r="X986" s="63" t="str">
        <f>IFERROR(INDEX(基础资料!$R$4:$R$17,MATCH($G986,基础资料!$Q$4:$Q$17,0)),"")</f>
        <v/>
      </c>
    </row>
    <row r="987" spans="1:24">
      <c r="A987" s="58" t="str">
        <f>IF($B987="","",COUNTA($B$5:$B987))</f>
        <v/>
      </c>
      <c r="B987" s="53"/>
      <c r="C987" s="46"/>
      <c r="D987" s="63" t="str">
        <f>IFERROR(INDEX(基础资料!$F$4:$F$23,MATCH($C987,基础资料!$E$4:$E$23,0)),IF($C987="","","未匹配账户"))</f>
        <v/>
      </c>
      <c r="E987" s="39"/>
      <c r="F987" s="10"/>
      <c r="G987" s="10"/>
      <c r="H987" s="10"/>
      <c r="I987" s="10"/>
      <c r="J987" s="10"/>
      <c r="K987" s="25"/>
      <c r="L987" s="25"/>
      <c r="M987" s="25" t="str">
        <f>IFERROR(VLOOKUP($C987,$C$5:$M$24,11,0)+SUMIF($C$25:$C987,$C987,$K$25:$K987)-SUMIF($C$25:$C987,$C987,$L$25:$L987),"")</f>
        <v/>
      </c>
      <c r="N987" s="10"/>
      <c r="O987" s="10"/>
      <c r="P987" s="65"/>
      <c r="Q987" s="10"/>
      <c r="R987" s="10"/>
      <c r="S987" s="54" t="str">
        <f t="shared" si="51"/>
        <v/>
      </c>
      <c r="T987" s="54" t="str">
        <f t="shared" si="52"/>
        <v/>
      </c>
      <c r="U987" s="58" t="str">
        <f t="shared" si="53"/>
        <v/>
      </c>
      <c r="V987" s="58">
        <f>IF(AND($B987&lt;&gt;"",$F987&lt;&gt;"",$F987=项目明细账!$C$2),N(V986)+1,N(V986))</f>
        <v>0</v>
      </c>
      <c r="W987" s="63" t="str">
        <f>IF($H987&lt;&gt;"","项目成本",IFERROR(INDEX(基础资料!$W$4:$W$49,MATCH($I987,基础资料!$V$4:$V$49,0)),""))</f>
        <v/>
      </c>
      <c r="X987" s="63" t="str">
        <f>IFERROR(INDEX(基础资料!$R$4:$R$17,MATCH($G987,基础资料!$Q$4:$Q$17,0)),"")</f>
        <v/>
      </c>
    </row>
    <row r="988" spans="1:24">
      <c r="A988" s="58" t="str">
        <f>IF($B988="","",COUNTA($B$5:$B988))</f>
        <v/>
      </c>
      <c r="B988" s="53"/>
      <c r="C988" s="46"/>
      <c r="D988" s="63" t="str">
        <f>IFERROR(INDEX(基础资料!$F$4:$F$23,MATCH($C988,基础资料!$E$4:$E$23,0)),IF($C988="","","未匹配账户"))</f>
        <v/>
      </c>
      <c r="E988" s="39"/>
      <c r="F988" s="10"/>
      <c r="G988" s="10"/>
      <c r="H988" s="10"/>
      <c r="I988" s="10"/>
      <c r="J988" s="10"/>
      <c r="K988" s="25"/>
      <c r="L988" s="25"/>
      <c r="M988" s="25" t="str">
        <f>IFERROR(VLOOKUP($C988,$C$5:$M$24,11,0)+SUMIF($C$25:$C988,$C988,$K$25:$K988)-SUMIF($C$25:$C988,$C988,$L$25:$L988),"")</f>
        <v/>
      </c>
      <c r="N988" s="10"/>
      <c r="O988" s="10"/>
      <c r="P988" s="65"/>
      <c r="Q988" s="10"/>
      <c r="R988" s="10"/>
      <c r="S988" s="54" t="str">
        <f t="shared" si="51"/>
        <v/>
      </c>
      <c r="T988" s="54" t="str">
        <f t="shared" si="52"/>
        <v/>
      </c>
      <c r="U988" s="58" t="str">
        <f t="shared" si="53"/>
        <v/>
      </c>
      <c r="V988" s="58">
        <f>IF(AND($B988&lt;&gt;"",$F988&lt;&gt;"",$F988=项目明细账!$C$2),N(V987)+1,N(V987))</f>
        <v>0</v>
      </c>
      <c r="W988" s="63" t="str">
        <f>IF($H988&lt;&gt;"","项目成本",IFERROR(INDEX(基础资料!$W$4:$W$49,MATCH($I988,基础资料!$V$4:$V$49,0)),""))</f>
        <v/>
      </c>
      <c r="X988" s="63" t="str">
        <f>IFERROR(INDEX(基础资料!$R$4:$R$17,MATCH($G988,基础资料!$Q$4:$Q$17,0)),"")</f>
        <v/>
      </c>
    </row>
    <row r="989" spans="1:24">
      <c r="A989" s="58" t="str">
        <f>IF($B989="","",COUNTA($B$5:$B989))</f>
        <v/>
      </c>
      <c r="B989" s="53"/>
      <c r="C989" s="46"/>
      <c r="D989" s="63" t="str">
        <f>IFERROR(INDEX(基础资料!$F$4:$F$23,MATCH($C989,基础资料!$E$4:$E$23,0)),IF($C989="","","未匹配账户"))</f>
        <v/>
      </c>
      <c r="E989" s="39"/>
      <c r="F989" s="10"/>
      <c r="G989" s="10"/>
      <c r="H989" s="10"/>
      <c r="I989" s="10"/>
      <c r="J989" s="10"/>
      <c r="K989" s="25"/>
      <c r="L989" s="25"/>
      <c r="M989" s="25" t="str">
        <f>IFERROR(VLOOKUP($C989,$C$5:$M$24,11,0)+SUMIF($C$25:$C989,$C989,$K$25:$K989)-SUMIF($C$25:$C989,$C989,$L$25:$L989),"")</f>
        <v/>
      </c>
      <c r="N989" s="10"/>
      <c r="O989" s="10"/>
      <c r="P989" s="65"/>
      <c r="Q989" s="10"/>
      <c r="R989" s="10"/>
      <c r="S989" s="54" t="str">
        <f t="shared" si="51"/>
        <v/>
      </c>
      <c r="T989" s="54" t="str">
        <f t="shared" si="52"/>
        <v/>
      </c>
      <c r="U989" s="58" t="str">
        <f t="shared" si="53"/>
        <v/>
      </c>
      <c r="V989" s="58">
        <f>IF(AND($B989&lt;&gt;"",$F989&lt;&gt;"",$F989=项目明细账!$C$2),N(V988)+1,N(V988))</f>
        <v>0</v>
      </c>
      <c r="W989" s="63" t="str">
        <f>IF($H989&lt;&gt;"","项目成本",IFERROR(INDEX(基础资料!$W$4:$W$49,MATCH($I989,基础资料!$V$4:$V$49,0)),""))</f>
        <v/>
      </c>
      <c r="X989" s="63" t="str">
        <f>IFERROR(INDEX(基础资料!$R$4:$R$17,MATCH($G989,基础资料!$Q$4:$Q$17,0)),"")</f>
        <v/>
      </c>
    </row>
    <row r="990" spans="1:24">
      <c r="A990" s="58" t="str">
        <f>IF($B990="","",COUNTA($B$5:$B990))</f>
        <v/>
      </c>
      <c r="B990" s="53"/>
      <c r="C990" s="46"/>
      <c r="D990" s="63" t="str">
        <f>IFERROR(INDEX(基础资料!$F$4:$F$23,MATCH($C990,基础资料!$E$4:$E$23,0)),IF($C990="","","未匹配账户"))</f>
        <v/>
      </c>
      <c r="E990" s="39"/>
      <c r="F990" s="10"/>
      <c r="G990" s="10"/>
      <c r="H990" s="10"/>
      <c r="I990" s="10"/>
      <c r="J990" s="10"/>
      <c r="K990" s="25"/>
      <c r="L990" s="25"/>
      <c r="M990" s="25" t="str">
        <f>IFERROR(VLOOKUP($C990,$C$5:$M$24,11,0)+SUMIF($C$25:$C990,$C990,$K$25:$K990)-SUMIF($C$25:$C990,$C990,$L$25:$L990),"")</f>
        <v/>
      </c>
      <c r="N990" s="10"/>
      <c r="O990" s="10"/>
      <c r="P990" s="65"/>
      <c r="Q990" s="10"/>
      <c r="R990" s="10"/>
      <c r="S990" s="54" t="str">
        <f t="shared" si="51"/>
        <v/>
      </c>
      <c r="T990" s="54" t="str">
        <f t="shared" si="52"/>
        <v/>
      </c>
      <c r="U990" s="58" t="str">
        <f t="shared" si="53"/>
        <v/>
      </c>
      <c r="V990" s="58">
        <f>IF(AND($B990&lt;&gt;"",$F990&lt;&gt;"",$F990=项目明细账!$C$2),N(V989)+1,N(V989))</f>
        <v>0</v>
      </c>
      <c r="W990" s="63" t="str">
        <f>IF($H990&lt;&gt;"","项目成本",IFERROR(INDEX(基础资料!$W$4:$W$49,MATCH($I990,基础资料!$V$4:$V$49,0)),""))</f>
        <v/>
      </c>
      <c r="X990" s="63" t="str">
        <f>IFERROR(INDEX(基础资料!$R$4:$R$17,MATCH($G990,基础资料!$Q$4:$Q$17,0)),"")</f>
        <v/>
      </c>
    </row>
    <row r="991" spans="1:24">
      <c r="A991" s="58" t="str">
        <f>IF($B991="","",COUNTA($B$5:$B991))</f>
        <v/>
      </c>
      <c r="B991" s="53"/>
      <c r="C991" s="46"/>
      <c r="D991" s="63" t="str">
        <f>IFERROR(INDEX(基础资料!$F$4:$F$23,MATCH($C991,基础资料!$E$4:$E$23,0)),IF($C991="","","未匹配账户"))</f>
        <v/>
      </c>
      <c r="E991" s="39"/>
      <c r="F991" s="10"/>
      <c r="G991" s="10"/>
      <c r="H991" s="10"/>
      <c r="I991" s="10"/>
      <c r="J991" s="10"/>
      <c r="K991" s="25"/>
      <c r="L991" s="25"/>
      <c r="M991" s="25" t="str">
        <f>IFERROR(VLOOKUP($C991,$C$5:$M$24,11,0)+SUMIF($C$25:$C991,$C991,$K$25:$K991)-SUMIF($C$25:$C991,$C991,$L$25:$L991),"")</f>
        <v/>
      </c>
      <c r="N991" s="10"/>
      <c r="O991" s="10"/>
      <c r="P991" s="65"/>
      <c r="Q991" s="10"/>
      <c r="R991" s="10"/>
      <c r="S991" s="54" t="str">
        <f t="shared" si="51"/>
        <v/>
      </c>
      <c r="T991" s="54" t="str">
        <f t="shared" si="52"/>
        <v/>
      </c>
      <c r="U991" s="58" t="str">
        <f t="shared" si="53"/>
        <v/>
      </c>
      <c r="V991" s="58">
        <f>IF(AND($B991&lt;&gt;"",$F991&lt;&gt;"",$F991=项目明细账!$C$2),N(V990)+1,N(V990))</f>
        <v>0</v>
      </c>
      <c r="W991" s="63" t="str">
        <f>IF($H991&lt;&gt;"","项目成本",IFERROR(INDEX(基础资料!$W$4:$W$49,MATCH($I991,基础资料!$V$4:$V$49,0)),""))</f>
        <v/>
      </c>
      <c r="X991" s="63" t="str">
        <f>IFERROR(INDEX(基础资料!$R$4:$R$17,MATCH($G991,基础资料!$Q$4:$Q$17,0)),"")</f>
        <v/>
      </c>
    </row>
    <row r="992" spans="1:24">
      <c r="A992" s="58" t="str">
        <f>IF($B992="","",COUNTA($B$5:$B992))</f>
        <v/>
      </c>
      <c r="B992" s="53"/>
      <c r="C992" s="46"/>
      <c r="D992" s="63" t="str">
        <f>IFERROR(INDEX(基础资料!$F$4:$F$23,MATCH($C992,基础资料!$E$4:$E$23,0)),IF($C992="","","未匹配账户"))</f>
        <v/>
      </c>
      <c r="E992" s="39"/>
      <c r="F992" s="10"/>
      <c r="G992" s="10"/>
      <c r="H992" s="10"/>
      <c r="I992" s="10"/>
      <c r="J992" s="10"/>
      <c r="K992" s="25"/>
      <c r="L992" s="25"/>
      <c r="M992" s="25" t="str">
        <f>IFERROR(VLOOKUP($C992,$C$5:$M$24,11,0)+SUMIF($C$25:$C992,$C992,$K$25:$K992)-SUMIF($C$25:$C992,$C992,$L$25:$L992),"")</f>
        <v/>
      </c>
      <c r="N992" s="10"/>
      <c r="O992" s="10"/>
      <c r="P992" s="65"/>
      <c r="Q992" s="10"/>
      <c r="R992" s="10"/>
      <c r="S992" s="54" t="str">
        <f t="shared" si="51"/>
        <v/>
      </c>
      <c r="T992" s="54" t="str">
        <f t="shared" si="52"/>
        <v/>
      </c>
      <c r="U992" s="58" t="str">
        <f t="shared" si="53"/>
        <v/>
      </c>
      <c r="V992" s="58">
        <f>IF(AND($B992&lt;&gt;"",$F992&lt;&gt;"",$F992=项目明细账!$C$2),N(V991)+1,N(V991))</f>
        <v>0</v>
      </c>
      <c r="W992" s="63" t="str">
        <f>IF($H992&lt;&gt;"","项目成本",IFERROR(INDEX(基础资料!$W$4:$W$49,MATCH($I992,基础资料!$V$4:$V$49,0)),""))</f>
        <v/>
      </c>
      <c r="X992" s="63" t="str">
        <f>IFERROR(INDEX(基础资料!$R$4:$R$17,MATCH($G992,基础资料!$Q$4:$Q$17,0)),"")</f>
        <v/>
      </c>
    </row>
    <row r="993" spans="1:24">
      <c r="A993" s="58" t="str">
        <f>IF($B993="","",COUNTA($B$5:$B993))</f>
        <v/>
      </c>
      <c r="B993" s="53"/>
      <c r="C993" s="46"/>
      <c r="D993" s="63" t="str">
        <f>IFERROR(INDEX(基础资料!$F$4:$F$23,MATCH($C993,基础资料!$E$4:$E$23,0)),IF($C993="","","未匹配账户"))</f>
        <v/>
      </c>
      <c r="E993" s="39"/>
      <c r="F993" s="10"/>
      <c r="G993" s="10"/>
      <c r="H993" s="10"/>
      <c r="I993" s="10"/>
      <c r="J993" s="10"/>
      <c r="K993" s="25"/>
      <c r="L993" s="25"/>
      <c r="M993" s="25" t="str">
        <f>IFERROR(VLOOKUP($C993,$C$5:$M$24,11,0)+SUMIF($C$25:$C993,$C993,$K$25:$K993)-SUMIF($C$25:$C993,$C993,$L$25:$L993),"")</f>
        <v/>
      </c>
      <c r="N993" s="10"/>
      <c r="O993" s="10"/>
      <c r="P993" s="65"/>
      <c r="Q993" s="10"/>
      <c r="R993" s="10"/>
      <c r="S993" s="54" t="str">
        <f t="shared" si="51"/>
        <v/>
      </c>
      <c r="T993" s="54" t="str">
        <f t="shared" si="52"/>
        <v/>
      </c>
      <c r="U993" s="58" t="str">
        <f t="shared" si="53"/>
        <v/>
      </c>
      <c r="V993" s="58">
        <f>IF(AND($B993&lt;&gt;"",$F993&lt;&gt;"",$F993=项目明细账!$C$2),N(V992)+1,N(V992))</f>
        <v>0</v>
      </c>
      <c r="W993" s="63" t="str">
        <f>IF($H993&lt;&gt;"","项目成本",IFERROR(INDEX(基础资料!$W$4:$W$49,MATCH($I993,基础资料!$V$4:$V$49,0)),""))</f>
        <v/>
      </c>
      <c r="X993" s="63" t="str">
        <f>IFERROR(INDEX(基础资料!$R$4:$R$17,MATCH($G993,基础资料!$Q$4:$Q$17,0)),"")</f>
        <v/>
      </c>
    </row>
    <row r="994" spans="1:24">
      <c r="A994" s="58" t="str">
        <f>IF($B994="","",COUNTA($B$5:$B994))</f>
        <v/>
      </c>
      <c r="B994" s="53"/>
      <c r="C994" s="46"/>
      <c r="D994" s="63" t="str">
        <f>IFERROR(INDEX(基础资料!$F$4:$F$23,MATCH($C994,基础资料!$E$4:$E$23,0)),IF($C994="","","未匹配账户"))</f>
        <v/>
      </c>
      <c r="E994" s="39"/>
      <c r="F994" s="10"/>
      <c r="G994" s="10"/>
      <c r="H994" s="10"/>
      <c r="I994" s="10"/>
      <c r="J994" s="10"/>
      <c r="K994" s="25"/>
      <c r="L994" s="25"/>
      <c r="M994" s="25" t="str">
        <f>IFERROR(VLOOKUP($C994,$C$5:$M$24,11,0)+SUMIF($C$25:$C994,$C994,$K$25:$K994)-SUMIF($C$25:$C994,$C994,$L$25:$L994),"")</f>
        <v/>
      </c>
      <c r="N994" s="10"/>
      <c r="O994" s="10"/>
      <c r="P994" s="65"/>
      <c r="Q994" s="10"/>
      <c r="R994" s="10"/>
      <c r="S994" s="54" t="str">
        <f t="shared" si="51"/>
        <v/>
      </c>
      <c r="T994" s="54" t="str">
        <f t="shared" si="52"/>
        <v/>
      </c>
      <c r="U994" s="58" t="str">
        <f t="shared" si="53"/>
        <v/>
      </c>
      <c r="V994" s="58">
        <f>IF(AND($B994&lt;&gt;"",$F994&lt;&gt;"",$F994=项目明细账!$C$2),N(V993)+1,N(V993))</f>
        <v>0</v>
      </c>
      <c r="W994" s="63" t="str">
        <f>IF($H994&lt;&gt;"","项目成本",IFERROR(INDEX(基础资料!$W$4:$W$49,MATCH($I994,基础资料!$V$4:$V$49,0)),""))</f>
        <v/>
      </c>
      <c r="X994" s="63" t="str">
        <f>IFERROR(INDEX(基础资料!$R$4:$R$17,MATCH($G994,基础资料!$Q$4:$Q$17,0)),"")</f>
        <v/>
      </c>
    </row>
    <row r="995" spans="1:24">
      <c r="A995" s="58" t="str">
        <f>IF($B995="","",COUNTA($B$5:$B995))</f>
        <v/>
      </c>
      <c r="B995" s="53"/>
      <c r="C995" s="46"/>
      <c r="D995" s="63" t="str">
        <f>IFERROR(INDEX(基础资料!$F$4:$F$23,MATCH($C995,基础资料!$E$4:$E$23,0)),IF($C995="","","未匹配账户"))</f>
        <v/>
      </c>
      <c r="E995" s="39"/>
      <c r="F995" s="10"/>
      <c r="G995" s="10"/>
      <c r="H995" s="10"/>
      <c r="I995" s="10"/>
      <c r="J995" s="10"/>
      <c r="K995" s="25"/>
      <c r="L995" s="25"/>
      <c r="M995" s="25" t="str">
        <f>IFERROR(VLOOKUP($C995,$C$5:$M$24,11,0)+SUMIF($C$25:$C995,$C995,$K$25:$K995)-SUMIF($C$25:$C995,$C995,$L$25:$L995),"")</f>
        <v/>
      </c>
      <c r="N995" s="10"/>
      <c r="O995" s="10"/>
      <c r="P995" s="65"/>
      <c r="Q995" s="10"/>
      <c r="R995" s="10"/>
      <c r="S995" s="54" t="str">
        <f t="shared" si="51"/>
        <v/>
      </c>
      <c r="T995" s="54" t="str">
        <f t="shared" si="52"/>
        <v/>
      </c>
      <c r="U995" s="58" t="str">
        <f t="shared" si="53"/>
        <v/>
      </c>
      <c r="V995" s="58">
        <f>IF(AND($B995&lt;&gt;"",$F995&lt;&gt;"",$F995=项目明细账!$C$2),N(V994)+1,N(V994))</f>
        <v>0</v>
      </c>
      <c r="W995" s="63" t="str">
        <f>IF($H995&lt;&gt;"","项目成本",IFERROR(INDEX(基础资料!$W$4:$W$49,MATCH($I995,基础资料!$V$4:$V$49,0)),""))</f>
        <v/>
      </c>
      <c r="X995" s="63" t="str">
        <f>IFERROR(INDEX(基础资料!$R$4:$R$17,MATCH($G995,基础资料!$Q$4:$Q$17,0)),"")</f>
        <v/>
      </c>
    </row>
    <row r="996" spans="1:24">
      <c r="A996" s="58" t="str">
        <f>IF($B996="","",COUNTA($B$5:$B996))</f>
        <v/>
      </c>
      <c r="B996" s="53"/>
      <c r="C996" s="46"/>
      <c r="D996" s="63" t="str">
        <f>IFERROR(INDEX(基础资料!$F$4:$F$23,MATCH($C996,基础资料!$E$4:$E$23,0)),IF($C996="","","未匹配账户"))</f>
        <v/>
      </c>
      <c r="E996" s="39"/>
      <c r="F996" s="10"/>
      <c r="G996" s="10"/>
      <c r="H996" s="10"/>
      <c r="I996" s="10"/>
      <c r="J996" s="10"/>
      <c r="K996" s="25"/>
      <c r="L996" s="25"/>
      <c r="M996" s="25" t="str">
        <f>IFERROR(VLOOKUP($C996,$C$5:$M$24,11,0)+SUMIF($C$25:$C996,$C996,$K$25:$K996)-SUMIF($C$25:$C996,$C996,$L$25:$L996),"")</f>
        <v/>
      </c>
      <c r="N996" s="10"/>
      <c r="O996" s="10"/>
      <c r="P996" s="65"/>
      <c r="Q996" s="10"/>
      <c r="R996" s="10"/>
      <c r="S996" s="54" t="str">
        <f t="shared" si="51"/>
        <v/>
      </c>
      <c r="T996" s="54" t="str">
        <f t="shared" si="52"/>
        <v/>
      </c>
      <c r="U996" s="58" t="str">
        <f t="shared" si="53"/>
        <v/>
      </c>
      <c r="V996" s="58">
        <f>IF(AND($B996&lt;&gt;"",$F996&lt;&gt;"",$F996=项目明细账!$C$2),N(V995)+1,N(V995))</f>
        <v>0</v>
      </c>
      <c r="W996" s="63" t="str">
        <f>IF($H996&lt;&gt;"","项目成本",IFERROR(INDEX(基础资料!$W$4:$W$49,MATCH($I996,基础资料!$V$4:$V$49,0)),""))</f>
        <v/>
      </c>
      <c r="X996" s="63" t="str">
        <f>IFERROR(INDEX(基础资料!$R$4:$R$17,MATCH($G996,基础资料!$Q$4:$Q$17,0)),"")</f>
        <v/>
      </c>
    </row>
    <row r="997" spans="1:24">
      <c r="A997" s="58" t="str">
        <f>IF($B997="","",COUNTA($B$5:$B997))</f>
        <v/>
      </c>
      <c r="B997" s="53"/>
      <c r="C997" s="46"/>
      <c r="D997" s="63" t="str">
        <f>IFERROR(INDEX(基础资料!$F$4:$F$23,MATCH($C997,基础资料!$E$4:$E$23,0)),IF($C997="","","未匹配账户"))</f>
        <v/>
      </c>
      <c r="E997" s="39"/>
      <c r="F997" s="10"/>
      <c r="G997" s="10"/>
      <c r="H997" s="10"/>
      <c r="I997" s="10"/>
      <c r="J997" s="10"/>
      <c r="K997" s="25"/>
      <c r="L997" s="25"/>
      <c r="M997" s="25" t="str">
        <f>IFERROR(VLOOKUP($C997,$C$5:$M$24,11,0)+SUMIF($C$25:$C997,$C997,$K$25:$K997)-SUMIF($C$25:$C997,$C997,$L$25:$L997),"")</f>
        <v/>
      </c>
      <c r="N997" s="10"/>
      <c r="O997" s="10"/>
      <c r="P997" s="65"/>
      <c r="Q997" s="10"/>
      <c r="R997" s="10"/>
      <c r="S997" s="54" t="str">
        <f t="shared" si="51"/>
        <v/>
      </c>
      <c r="T997" s="54" t="str">
        <f t="shared" si="52"/>
        <v/>
      </c>
      <c r="U997" s="58" t="str">
        <f t="shared" si="53"/>
        <v/>
      </c>
      <c r="V997" s="58">
        <f>IF(AND($B997&lt;&gt;"",$F997&lt;&gt;"",$F997=项目明细账!$C$2),N(V996)+1,N(V996))</f>
        <v>0</v>
      </c>
      <c r="W997" s="63" t="str">
        <f>IF($H997&lt;&gt;"","项目成本",IFERROR(INDEX(基础资料!$W$4:$W$49,MATCH($I997,基础资料!$V$4:$V$49,0)),""))</f>
        <v/>
      </c>
      <c r="X997" s="63" t="str">
        <f>IFERROR(INDEX(基础资料!$R$4:$R$17,MATCH($G997,基础资料!$Q$4:$Q$17,0)),"")</f>
        <v/>
      </c>
    </row>
    <row r="998" spans="1:24">
      <c r="A998" s="58" t="str">
        <f>IF($B998="","",COUNTA($B$5:$B998))</f>
        <v/>
      </c>
      <c r="B998" s="53"/>
      <c r="C998" s="46"/>
      <c r="D998" s="63" t="str">
        <f>IFERROR(INDEX(基础资料!$F$4:$F$23,MATCH($C998,基础资料!$E$4:$E$23,0)),IF($C998="","","未匹配账户"))</f>
        <v/>
      </c>
      <c r="E998" s="39"/>
      <c r="F998" s="10"/>
      <c r="G998" s="10"/>
      <c r="H998" s="10"/>
      <c r="I998" s="10"/>
      <c r="J998" s="10"/>
      <c r="K998" s="25"/>
      <c r="L998" s="25"/>
      <c r="M998" s="25" t="str">
        <f>IFERROR(VLOOKUP($C998,$C$5:$M$24,11,0)+SUMIF($C$25:$C998,$C998,$K$25:$K998)-SUMIF($C$25:$C998,$C998,$L$25:$L998),"")</f>
        <v/>
      </c>
      <c r="N998" s="10"/>
      <c r="O998" s="10"/>
      <c r="P998" s="65"/>
      <c r="Q998" s="10"/>
      <c r="R998" s="10"/>
      <c r="S998" s="54" t="str">
        <f t="shared" si="51"/>
        <v/>
      </c>
      <c r="T998" s="54" t="str">
        <f t="shared" si="52"/>
        <v/>
      </c>
      <c r="U998" s="58" t="str">
        <f t="shared" si="53"/>
        <v/>
      </c>
      <c r="V998" s="58">
        <f>IF(AND($B998&lt;&gt;"",$F998&lt;&gt;"",$F998=项目明细账!$C$2),N(V997)+1,N(V997))</f>
        <v>0</v>
      </c>
      <c r="W998" s="63" t="str">
        <f>IF($H998&lt;&gt;"","项目成本",IFERROR(INDEX(基础资料!$W$4:$W$49,MATCH($I998,基础资料!$V$4:$V$49,0)),""))</f>
        <v/>
      </c>
      <c r="X998" s="63" t="str">
        <f>IFERROR(INDEX(基础资料!$R$4:$R$17,MATCH($G998,基础资料!$Q$4:$Q$17,0)),"")</f>
        <v/>
      </c>
    </row>
    <row r="999" spans="1:24">
      <c r="A999" s="58" t="str">
        <f>IF($B999="","",COUNTA($B$5:$B999))</f>
        <v/>
      </c>
      <c r="B999" s="53"/>
      <c r="C999" s="46"/>
      <c r="D999" s="63" t="str">
        <f>IFERROR(INDEX(基础资料!$F$4:$F$23,MATCH($C999,基础资料!$E$4:$E$23,0)),IF($C999="","","未匹配账户"))</f>
        <v/>
      </c>
      <c r="E999" s="39"/>
      <c r="F999" s="10"/>
      <c r="G999" s="10"/>
      <c r="H999" s="10"/>
      <c r="I999" s="10"/>
      <c r="J999" s="10"/>
      <c r="K999" s="25"/>
      <c r="L999" s="25"/>
      <c r="M999" s="25" t="str">
        <f>IFERROR(VLOOKUP($C999,$C$5:$M$24,11,0)+SUMIF($C$25:$C999,$C999,$K$25:$K999)-SUMIF($C$25:$C999,$C999,$L$25:$L999),"")</f>
        <v/>
      </c>
      <c r="N999" s="10"/>
      <c r="O999" s="10"/>
      <c r="P999" s="65"/>
      <c r="Q999" s="10"/>
      <c r="R999" s="10"/>
      <c r="S999" s="54" t="str">
        <f t="shared" si="51"/>
        <v/>
      </c>
      <c r="T999" s="54" t="str">
        <f t="shared" si="52"/>
        <v/>
      </c>
      <c r="U999" s="58" t="str">
        <f t="shared" si="53"/>
        <v/>
      </c>
      <c r="V999" s="58">
        <f>IF(AND($B999&lt;&gt;"",$F999&lt;&gt;"",$F999=项目明细账!$C$2),N(V998)+1,N(V998))</f>
        <v>0</v>
      </c>
      <c r="W999" s="63" t="str">
        <f>IF($H999&lt;&gt;"","项目成本",IFERROR(INDEX(基础资料!$W$4:$W$49,MATCH($I999,基础资料!$V$4:$V$49,0)),""))</f>
        <v/>
      </c>
      <c r="X999" s="63" t="str">
        <f>IFERROR(INDEX(基础资料!$R$4:$R$17,MATCH($G999,基础资料!$Q$4:$Q$17,0)),"")</f>
        <v/>
      </c>
    </row>
    <row r="1000" spans="1:24">
      <c r="A1000" s="58" t="str">
        <f>IF($B1000="","",COUNTA($B$5:$B1000))</f>
        <v/>
      </c>
      <c r="B1000" s="53"/>
      <c r="C1000" s="46"/>
      <c r="D1000" s="63" t="str">
        <f>IFERROR(INDEX(基础资料!$F$4:$F$23,MATCH($C1000,基础资料!$E$4:$E$23,0)),IF($C1000="","","未匹配账户"))</f>
        <v/>
      </c>
      <c r="E1000" s="39"/>
      <c r="F1000" s="10"/>
      <c r="G1000" s="10"/>
      <c r="H1000" s="10"/>
      <c r="I1000" s="10"/>
      <c r="J1000" s="10"/>
      <c r="K1000" s="25"/>
      <c r="L1000" s="25"/>
      <c r="M1000" s="25" t="str">
        <f>IFERROR(VLOOKUP($C1000,$C$5:$M$24,11,0)+SUMIF($C$25:$C1000,$C1000,$K$25:$K1000)-SUMIF($C$25:$C1000,$C1000,$L$25:$L1000),"")</f>
        <v/>
      </c>
      <c r="N1000" s="10"/>
      <c r="O1000" s="10"/>
      <c r="P1000" s="65"/>
      <c r="Q1000" s="10"/>
      <c r="R1000" s="10"/>
      <c r="S1000" s="54" t="str">
        <f t="shared" si="51"/>
        <v/>
      </c>
      <c r="T1000" s="54" t="str">
        <f t="shared" si="52"/>
        <v/>
      </c>
      <c r="U1000" s="58" t="str">
        <f t="shared" si="53"/>
        <v/>
      </c>
      <c r="V1000" s="58">
        <f>IF(AND($B1000&lt;&gt;"",$F1000&lt;&gt;"",$F1000=项目明细账!$C$2),N(V999)+1,N(V999))</f>
        <v>0</v>
      </c>
      <c r="W1000" s="63" t="str">
        <f>IF($H1000&lt;&gt;"","项目成本",IFERROR(INDEX(基础资料!$W$4:$W$49,MATCH($I1000,基础资料!$V$4:$V$49,0)),""))</f>
        <v/>
      </c>
      <c r="X1000" s="63" t="str">
        <f>IFERROR(INDEX(基础资料!$R$4:$R$17,MATCH($G1000,基础资料!$Q$4:$Q$17,0)),"")</f>
        <v/>
      </c>
    </row>
    <row r="1001" spans="1:24">
      <c r="A1001" s="58" t="str">
        <f>IF($B1001="","",COUNTA($B$5:$B1001))</f>
        <v/>
      </c>
      <c r="B1001" s="53"/>
      <c r="C1001" s="46"/>
      <c r="D1001" s="63" t="str">
        <f>IFERROR(INDEX(基础资料!$F$4:$F$23,MATCH($C1001,基础资料!$E$4:$E$23,0)),IF($C1001="","","未匹配账户"))</f>
        <v/>
      </c>
      <c r="E1001" s="39"/>
      <c r="F1001" s="10"/>
      <c r="G1001" s="10"/>
      <c r="H1001" s="10"/>
      <c r="I1001" s="10"/>
      <c r="J1001" s="10"/>
      <c r="K1001" s="25"/>
      <c r="L1001" s="25"/>
      <c r="M1001" s="25" t="str">
        <f>IFERROR(VLOOKUP($C1001,$C$5:$M$24,11,0)+SUMIF($C$25:$C1001,$C1001,$K$25:$K1001)-SUMIF($C$25:$C1001,$C1001,$L$25:$L1001),"")</f>
        <v/>
      </c>
      <c r="N1001" s="10"/>
      <c r="O1001" s="10"/>
      <c r="P1001" s="65"/>
      <c r="Q1001" s="10"/>
      <c r="R1001" s="10"/>
      <c r="S1001" s="54" t="str">
        <f t="shared" si="51"/>
        <v/>
      </c>
      <c r="T1001" s="54" t="str">
        <f t="shared" si="52"/>
        <v/>
      </c>
      <c r="U1001" s="58" t="str">
        <f t="shared" si="53"/>
        <v/>
      </c>
      <c r="V1001" s="58">
        <f>IF(AND($B1001&lt;&gt;"",$F1001&lt;&gt;"",$F1001=项目明细账!$C$2),N(V1000)+1,N(V1000))</f>
        <v>0</v>
      </c>
      <c r="W1001" s="63" t="str">
        <f>IF($H1001&lt;&gt;"","项目成本",IFERROR(INDEX(基础资料!$W$4:$W$49,MATCH($I1001,基础资料!$V$4:$V$49,0)),""))</f>
        <v/>
      </c>
      <c r="X1001" s="63" t="str">
        <f>IFERROR(INDEX(基础资料!$R$4:$R$17,MATCH($G1001,基础资料!$Q$4:$Q$17,0)),"")</f>
        <v/>
      </c>
    </row>
    <row r="1002" spans="1:24">
      <c r="A1002" s="58" t="str">
        <f>IF($B1002="","",COUNTA($B$5:$B1002))</f>
        <v/>
      </c>
      <c r="B1002" s="53"/>
      <c r="C1002" s="46"/>
      <c r="D1002" s="63" t="str">
        <f>IFERROR(INDEX(基础资料!$F$4:$F$23,MATCH($C1002,基础资料!$E$4:$E$23,0)),IF($C1002="","","未匹配账户"))</f>
        <v/>
      </c>
      <c r="E1002" s="39"/>
      <c r="F1002" s="10"/>
      <c r="G1002" s="10"/>
      <c r="H1002" s="10"/>
      <c r="I1002" s="10"/>
      <c r="J1002" s="10"/>
      <c r="K1002" s="25"/>
      <c r="L1002" s="25"/>
      <c r="M1002" s="25" t="str">
        <f>IFERROR(VLOOKUP($C1002,$C$5:$M$24,11,0)+SUMIF($C$25:$C1002,$C1002,$K$25:$K1002)-SUMIF($C$25:$C1002,$C1002,$L$25:$L1002),"")</f>
        <v/>
      </c>
      <c r="N1002" s="10"/>
      <c r="O1002" s="10"/>
      <c r="P1002" s="65"/>
      <c r="Q1002" s="10"/>
      <c r="R1002" s="10"/>
      <c r="S1002" s="54" t="str">
        <f t="shared" si="51"/>
        <v/>
      </c>
      <c r="T1002" s="54" t="str">
        <f t="shared" si="52"/>
        <v/>
      </c>
      <c r="U1002" s="58" t="str">
        <f t="shared" si="53"/>
        <v/>
      </c>
      <c r="V1002" s="58">
        <f>IF(AND($B1002&lt;&gt;"",$F1002&lt;&gt;"",$F1002=项目明细账!$C$2),N(V1001)+1,N(V1001))</f>
        <v>0</v>
      </c>
      <c r="W1002" s="63" t="str">
        <f>IF($H1002&lt;&gt;"","项目成本",IFERROR(INDEX(基础资料!$W$4:$W$49,MATCH($I1002,基础资料!$V$4:$V$49,0)),""))</f>
        <v/>
      </c>
      <c r="X1002" s="63" t="str">
        <f>IFERROR(INDEX(基础资料!$R$4:$R$17,MATCH($G1002,基础资料!$Q$4:$Q$17,0)),"")</f>
        <v/>
      </c>
    </row>
    <row r="1003" spans="1:24">
      <c r="A1003" s="58" t="str">
        <f>IF($B1003="","",COUNTA($B$5:$B1003))</f>
        <v/>
      </c>
      <c r="B1003" s="53"/>
      <c r="C1003" s="46"/>
      <c r="D1003" s="63" t="str">
        <f>IFERROR(INDEX(基础资料!$F$4:$F$23,MATCH($C1003,基础资料!$E$4:$E$23,0)),IF($C1003="","","未匹配账户"))</f>
        <v/>
      </c>
      <c r="E1003" s="39"/>
      <c r="F1003" s="10"/>
      <c r="G1003" s="10"/>
      <c r="H1003" s="10"/>
      <c r="I1003" s="10"/>
      <c r="J1003" s="10"/>
      <c r="K1003" s="25"/>
      <c r="L1003" s="25"/>
      <c r="M1003" s="25" t="str">
        <f>IFERROR(VLOOKUP($C1003,$C$5:$M$24,11,0)+SUMIF($C$25:$C1003,$C1003,$K$25:$K1003)-SUMIF($C$25:$C1003,$C1003,$L$25:$L1003),"")</f>
        <v/>
      </c>
      <c r="N1003" s="10"/>
      <c r="O1003" s="10"/>
      <c r="P1003" s="65"/>
      <c r="Q1003" s="10"/>
      <c r="R1003" s="10"/>
      <c r="S1003" s="54" t="str">
        <f t="shared" si="51"/>
        <v/>
      </c>
      <c r="T1003" s="54" t="str">
        <f t="shared" si="52"/>
        <v/>
      </c>
      <c r="U1003" s="58" t="str">
        <f t="shared" si="53"/>
        <v/>
      </c>
      <c r="V1003" s="58">
        <f>IF(AND($B1003&lt;&gt;"",$F1003&lt;&gt;"",$F1003=项目明细账!$C$2),N(V1002)+1,N(V1002))</f>
        <v>0</v>
      </c>
      <c r="W1003" s="63" t="str">
        <f>IF($H1003&lt;&gt;"","项目成本",IFERROR(INDEX(基础资料!$W$4:$W$49,MATCH($I1003,基础资料!$V$4:$V$49,0)),""))</f>
        <v/>
      </c>
      <c r="X1003" s="63" t="str">
        <f>IFERROR(INDEX(基础资料!$R$4:$R$17,MATCH($G1003,基础资料!$Q$4:$Q$17,0)),"")</f>
        <v/>
      </c>
    </row>
    <row r="1004" spans="1:24">
      <c r="A1004" s="58" t="str">
        <f>IF($B1004="","",COUNTA($B$5:$B1004))</f>
        <v/>
      </c>
      <c r="B1004" s="53"/>
      <c r="C1004" s="46"/>
      <c r="D1004" s="63" t="str">
        <f>IFERROR(INDEX(基础资料!$F$4:$F$23,MATCH($C1004,基础资料!$E$4:$E$23,0)),IF($C1004="","","未匹配账户"))</f>
        <v/>
      </c>
      <c r="E1004" s="39"/>
      <c r="F1004" s="10"/>
      <c r="G1004" s="10"/>
      <c r="H1004" s="10"/>
      <c r="I1004" s="10"/>
      <c r="J1004" s="10"/>
      <c r="K1004" s="25"/>
      <c r="L1004" s="25"/>
      <c r="M1004" s="25" t="str">
        <f>IFERROR(VLOOKUP($C1004,$C$5:$M$24,11,0)+SUMIF($C$25:$C1004,$C1004,$K$25:$K1004)-SUMIF($C$25:$C1004,$C1004,$L$25:$L1004),"")</f>
        <v/>
      </c>
      <c r="N1004" s="10"/>
      <c r="O1004" s="10"/>
      <c r="P1004" s="65"/>
      <c r="Q1004" s="10"/>
      <c r="R1004" s="10"/>
      <c r="S1004" s="54" t="str">
        <f t="shared" si="51"/>
        <v/>
      </c>
      <c r="T1004" s="54" t="str">
        <f t="shared" si="52"/>
        <v/>
      </c>
      <c r="U1004" s="58" t="str">
        <f t="shared" si="53"/>
        <v/>
      </c>
      <c r="V1004" s="58">
        <f>IF(AND($B1004&lt;&gt;"",$F1004&lt;&gt;"",$F1004=项目明细账!$C$2),N(V1003)+1,N(V1003))</f>
        <v>0</v>
      </c>
      <c r="W1004" s="63" t="str">
        <f>IF($H1004&lt;&gt;"","项目成本",IFERROR(INDEX(基础资料!$W$4:$W$49,MATCH($I1004,基础资料!$V$4:$V$49,0)),""))</f>
        <v/>
      </c>
      <c r="X1004" s="63" t="str">
        <f>IFERROR(INDEX(基础资料!$R$4:$R$17,MATCH($G1004,基础资料!$Q$4:$Q$17,0)),"")</f>
        <v/>
      </c>
    </row>
    <row r="1005" spans="1:24">
      <c r="A1005" s="58" t="str">
        <f>IF($B1005="","",COUNTA($B$5:$B1005))</f>
        <v/>
      </c>
      <c r="B1005" s="53"/>
      <c r="C1005" s="46"/>
      <c r="D1005" s="63" t="str">
        <f>IFERROR(INDEX(基础资料!$F$4:$F$23,MATCH($C1005,基础资料!$E$4:$E$23,0)),IF($C1005="","","未匹配账户"))</f>
        <v/>
      </c>
      <c r="E1005" s="39"/>
      <c r="F1005" s="10"/>
      <c r="G1005" s="10"/>
      <c r="H1005" s="10"/>
      <c r="I1005" s="10"/>
      <c r="J1005" s="10"/>
      <c r="K1005" s="25"/>
      <c r="L1005" s="25"/>
      <c r="M1005" s="25" t="str">
        <f>IFERROR(VLOOKUP($C1005,$C$5:$M$24,11,0)+SUMIF($C$25:$C1005,$C1005,$K$25:$K1005)-SUMIF($C$25:$C1005,$C1005,$L$25:$L1005),"")</f>
        <v/>
      </c>
      <c r="N1005" s="10"/>
      <c r="O1005" s="10"/>
      <c r="P1005" s="65"/>
      <c r="Q1005" s="10"/>
      <c r="R1005" s="10"/>
      <c r="S1005" s="54" t="str">
        <f t="shared" si="51"/>
        <v/>
      </c>
      <c r="T1005" s="54" t="str">
        <f t="shared" si="52"/>
        <v/>
      </c>
      <c r="U1005" s="58" t="str">
        <f t="shared" si="53"/>
        <v/>
      </c>
      <c r="V1005" s="58">
        <f>IF(AND($B1005&lt;&gt;"",$F1005&lt;&gt;"",$F1005=项目明细账!$C$2),N(V1004)+1,N(V1004))</f>
        <v>0</v>
      </c>
      <c r="W1005" s="63" t="str">
        <f>IF($H1005&lt;&gt;"","项目成本",IFERROR(INDEX(基础资料!$W$4:$W$49,MATCH($I1005,基础资料!$V$4:$V$49,0)),""))</f>
        <v/>
      </c>
      <c r="X1005" s="63" t="str">
        <f>IFERROR(INDEX(基础资料!$R$4:$R$17,MATCH($G1005,基础资料!$Q$4:$Q$17,0)),"")</f>
        <v/>
      </c>
    </row>
    <row r="1006" spans="1:24">
      <c r="A1006" s="58" t="str">
        <f>IF($B1006="","",COUNTA($B$5:$B1006))</f>
        <v/>
      </c>
      <c r="B1006" s="53"/>
      <c r="C1006" s="46"/>
      <c r="D1006" s="63" t="str">
        <f>IFERROR(INDEX(基础资料!$F$4:$F$23,MATCH($C1006,基础资料!$E$4:$E$23,0)),IF($C1006="","","未匹配账户"))</f>
        <v/>
      </c>
      <c r="E1006" s="39"/>
      <c r="F1006" s="10"/>
      <c r="G1006" s="10"/>
      <c r="H1006" s="10"/>
      <c r="I1006" s="10"/>
      <c r="J1006" s="10"/>
      <c r="K1006" s="25"/>
      <c r="L1006" s="25"/>
      <c r="M1006" s="25" t="str">
        <f>IFERROR(VLOOKUP($C1006,$C$5:$M$24,11,0)+SUMIF($C$25:$C1006,$C1006,$K$25:$K1006)-SUMIF($C$25:$C1006,$C1006,$L$25:$L1006),"")</f>
        <v/>
      </c>
      <c r="N1006" s="10"/>
      <c r="O1006" s="10"/>
      <c r="P1006" s="65"/>
      <c r="Q1006" s="10"/>
      <c r="R1006" s="10"/>
      <c r="S1006" s="54" t="str">
        <f t="shared" si="51"/>
        <v/>
      </c>
      <c r="T1006" s="54" t="str">
        <f t="shared" si="52"/>
        <v/>
      </c>
      <c r="U1006" s="58" t="str">
        <f t="shared" si="53"/>
        <v/>
      </c>
      <c r="V1006" s="58">
        <f>IF(AND($B1006&lt;&gt;"",$F1006&lt;&gt;"",$F1006=项目明细账!$C$2),N(V1005)+1,N(V1005))</f>
        <v>0</v>
      </c>
      <c r="W1006" s="63" t="str">
        <f>IF($H1006&lt;&gt;"","项目成本",IFERROR(INDEX(基础资料!$W$4:$W$49,MATCH($I1006,基础资料!$V$4:$V$49,0)),""))</f>
        <v/>
      </c>
      <c r="X1006" s="63" t="str">
        <f>IFERROR(INDEX(基础资料!$R$4:$R$17,MATCH($G1006,基础资料!$Q$4:$Q$17,0)),"")</f>
        <v/>
      </c>
    </row>
    <row r="1007" spans="1:24">
      <c r="A1007" s="58" t="str">
        <f>IF($B1007="","",COUNTA($B$5:$B1007))</f>
        <v/>
      </c>
      <c r="B1007" s="53"/>
      <c r="C1007" s="46"/>
      <c r="D1007" s="63" t="str">
        <f>IFERROR(INDEX(基础资料!$F$4:$F$23,MATCH($C1007,基础资料!$E$4:$E$23,0)),IF($C1007="","","未匹配账户"))</f>
        <v/>
      </c>
      <c r="E1007" s="39"/>
      <c r="F1007" s="10"/>
      <c r="G1007" s="10"/>
      <c r="H1007" s="10"/>
      <c r="I1007" s="10"/>
      <c r="J1007" s="10"/>
      <c r="K1007" s="25"/>
      <c r="L1007" s="25"/>
      <c r="M1007" s="25" t="str">
        <f>IFERROR(VLOOKUP($C1007,$C$5:$M$24,11,0)+SUMIF($C$25:$C1007,$C1007,$K$25:$K1007)-SUMIF($C$25:$C1007,$C1007,$L$25:$L1007),"")</f>
        <v/>
      </c>
      <c r="N1007" s="10"/>
      <c r="O1007" s="10"/>
      <c r="P1007" s="65"/>
      <c r="Q1007" s="10"/>
      <c r="R1007" s="10"/>
      <c r="S1007" s="54" t="str">
        <f t="shared" si="51"/>
        <v/>
      </c>
      <c r="T1007" s="54" t="str">
        <f t="shared" si="52"/>
        <v/>
      </c>
      <c r="U1007" s="58" t="str">
        <f t="shared" si="53"/>
        <v/>
      </c>
      <c r="V1007" s="58">
        <f>IF(AND($B1007&lt;&gt;"",$F1007&lt;&gt;"",$F1007=项目明细账!$C$2),N(V1006)+1,N(V1006))</f>
        <v>0</v>
      </c>
      <c r="W1007" s="63" t="str">
        <f>IF($H1007&lt;&gt;"","项目成本",IFERROR(INDEX(基础资料!$W$4:$W$49,MATCH($I1007,基础资料!$V$4:$V$49,0)),""))</f>
        <v/>
      </c>
      <c r="X1007" s="63" t="str">
        <f>IFERROR(INDEX(基础资料!$R$4:$R$17,MATCH($G1007,基础资料!$Q$4:$Q$17,0)),"")</f>
        <v/>
      </c>
    </row>
    <row r="1008" spans="1:24">
      <c r="A1008" s="58" t="str">
        <f>IF($B1008="","",COUNTA($B$5:$B1008))</f>
        <v/>
      </c>
      <c r="B1008" s="53"/>
      <c r="C1008" s="46"/>
      <c r="D1008" s="63" t="str">
        <f>IFERROR(INDEX(基础资料!$F$4:$F$23,MATCH($C1008,基础资料!$E$4:$E$23,0)),IF($C1008="","","未匹配账户"))</f>
        <v/>
      </c>
      <c r="E1008" s="39"/>
      <c r="F1008" s="10"/>
      <c r="G1008" s="10"/>
      <c r="H1008" s="10"/>
      <c r="I1008" s="10"/>
      <c r="J1008" s="10"/>
      <c r="K1008" s="25"/>
      <c r="L1008" s="25"/>
      <c r="M1008" s="25" t="str">
        <f>IFERROR(VLOOKUP($C1008,$C$5:$M$24,11,0)+SUMIF($C$25:$C1008,$C1008,$K$25:$K1008)-SUMIF($C$25:$C1008,$C1008,$L$25:$L1008),"")</f>
        <v/>
      </c>
      <c r="N1008" s="10"/>
      <c r="O1008" s="10"/>
      <c r="P1008" s="65"/>
      <c r="Q1008" s="10"/>
      <c r="R1008" s="10"/>
      <c r="S1008" s="54" t="str">
        <f t="shared" si="51"/>
        <v/>
      </c>
      <c r="T1008" s="54" t="str">
        <f t="shared" si="52"/>
        <v/>
      </c>
      <c r="U1008" s="58" t="str">
        <f t="shared" si="53"/>
        <v/>
      </c>
      <c r="V1008" s="58">
        <f>IF(AND($B1008&lt;&gt;"",$F1008&lt;&gt;"",$F1008=项目明细账!$C$2),N(V1007)+1,N(V1007))</f>
        <v>0</v>
      </c>
      <c r="W1008" s="63" t="str">
        <f>IF($H1008&lt;&gt;"","项目成本",IFERROR(INDEX(基础资料!$W$4:$W$49,MATCH($I1008,基础资料!$V$4:$V$49,0)),""))</f>
        <v/>
      </c>
      <c r="X1008" s="63" t="str">
        <f>IFERROR(INDEX(基础资料!$R$4:$R$17,MATCH($G1008,基础资料!$Q$4:$Q$17,0)),"")</f>
        <v/>
      </c>
    </row>
    <row r="1009" spans="1:24">
      <c r="A1009" s="58" t="str">
        <f>IF($B1009="","",COUNTA($B$5:$B1009))</f>
        <v/>
      </c>
      <c r="B1009" s="53"/>
      <c r="C1009" s="46"/>
      <c r="D1009" s="63" t="str">
        <f>IFERROR(INDEX(基础资料!$F$4:$F$23,MATCH($C1009,基础资料!$E$4:$E$23,0)),IF($C1009="","","未匹配账户"))</f>
        <v/>
      </c>
      <c r="E1009" s="39"/>
      <c r="F1009" s="10"/>
      <c r="G1009" s="10"/>
      <c r="H1009" s="10"/>
      <c r="I1009" s="10"/>
      <c r="J1009" s="10"/>
      <c r="K1009" s="25"/>
      <c r="L1009" s="25"/>
      <c r="M1009" s="25" t="str">
        <f>IFERROR(VLOOKUP($C1009,$C$5:$M$24,11,0)+SUMIF($C$25:$C1009,$C1009,$K$25:$K1009)-SUMIF($C$25:$C1009,$C1009,$L$25:$L1009),"")</f>
        <v/>
      </c>
      <c r="N1009" s="10"/>
      <c r="O1009" s="10"/>
      <c r="P1009" s="65"/>
      <c r="Q1009" s="10"/>
      <c r="R1009" s="10"/>
      <c r="S1009" s="54" t="str">
        <f t="shared" si="51"/>
        <v/>
      </c>
      <c r="T1009" s="54" t="str">
        <f t="shared" si="52"/>
        <v/>
      </c>
      <c r="U1009" s="58" t="str">
        <f t="shared" si="53"/>
        <v/>
      </c>
      <c r="V1009" s="58">
        <f>IF(AND($B1009&lt;&gt;"",$F1009&lt;&gt;"",$F1009=项目明细账!$C$2),N(V1008)+1,N(V1008))</f>
        <v>0</v>
      </c>
      <c r="W1009" s="63" t="str">
        <f>IF($H1009&lt;&gt;"","项目成本",IFERROR(INDEX(基础资料!$W$4:$W$49,MATCH($I1009,基础资料!$V$4:$V$49,0)),""))</f>
        <v/>
      </c>
      <c r="X1009" s="63" t="str">
        <f>IFERROR(INDEX(基础资料!$R$4:$R$17,MATCH($G1009,基础资料!$Q$4:$Q$17,0)),"")</f>
        <v/>
      </c>
    </row>
    <row r="1010" spans="1:24">
      <c r="A1010" s="58" t="str">
        <f>IF($B1010="","",COUNTA($B$5:$B1010))</f>
        <v/>
      </c>
      <c r="B1010" s="53"/>
      <c r="C1010" s="46"/>
      <c r="D1010" s="63" t="str">
        <f>IFERROR(INDEX(基础资料!$F$4:$F$23,MATCH($C1010,基础资料!$E$4:$E$23,0)),IF($C1010="","","未匹配账户"))</f>
        <v/>
      </c>
      <c r="E1010" s="39"/>
      <c r="F1010" s="10"/>
      <c r="G1010" s="10"/>
      <c r="H1010" s="10"/>
      <c r="I1010" s="10"/>
      <c r="J1010" s="10"/>
      <c r="K1010" s="25"/>
      <c r="L1010" s="25"/>
      <c r="M1010" s="25" t="str">
        <f>IFERROR(VLOOKUP($C1010,$C$5:$M$24,11,0)+SUMIF($C$25:$C1010,$C1010,$K$25:$K1010)-SUMIF($C$25:$C1010,$C1010,$L$25:$L1010),"")</f>
        <v/>
      </c>
      <c r="N1010" s="10"/>
      <c r="O1010" s="10"/>
      <c r="P1010" s="65"/>
      <c r="Q1010" s="10"/>
      <c r="R1010" s="10"/>
      <c r="S1010" s="54" t="str">
        <f t="shared" si="51"/>
        <v/>
      </c>
      <c r="T1010" s="54" t="str">
        <f t="shared" si="52"/>
        <v/>
      </c>
      <c r="U1010" s="58" t="str">
        <f t="shared" si="53"/>
        <v/>
      </c>
      <c r="V1010" s="58">
        <f>IF(AND($B1010&lt;&gt;"",$F1010&lt;&gt;"",$F1010=项目明细账!$C$2),N(V1009)+1,N(V1009))</f>
        <v>0</v>
      </c>
      <c r="W1010" s="63" t="str">
        <f>IF($H1010&lt;&gt;"","项目成本",IFERROR(INDEX(基础资料!$W$4:$W$49,MATCH($I1010,基础资料!$V$4:$V$49,0)),""))</f>
        <v/>
      </c>
      <c r="X1010" s="63" t="str">
        <f>IFERROR(INDEX(基础资料!$R$4:$R$17,MATCH($G1010,基础资料!$Q$4:$Q$17,0)),"")</f>
        <v/>
      </c>
    </row>
    <row r="1011" spans="1:24">
      <c r="A1011" s="58" t="str">
        <f>IF($B1011="","",COUNTA($B$5:$B1011))</f>
        <v/>
      </c>
      <c r="B1011" s="53"/>
      <c r="C1011" s="46"/>
      <c r="D1011" s="63" t="str">
        <f>IFERROR(INDEX(基础资料!$F$4:$F$23,MATCH($C1011,基础资料!$E$4:$E$23,0)),IF($C1011="","","未匹配账户"))</f>
        <v/>
      </c>
      <c r="E1011" s="39"/>
      <c r="F1011" s="10"/>
      <c r="G1011" s="10"/>
      <c r="H1011" s="10"/>
      <c r="I1011" s="10"/>
      <c r="J1011" s="10"/>
      <c r="K1011" s="25"/>
      <c r="L1011" s="25"/>
      <c r="M1011" s="25" t="str">
        <f>IFERROR(VLOOKUP($C1011,$C$5:$M$24,11,0)+SUMIF($C$25:$C1011,$C1011,$K$25:$K1011)-SUMIF($C$25:$C1011,$C1011,$L$25:$L1011),"")</f>
        <v/>
      </c>
      <c r="N1011" s="10"/>
      <c r="O1011" s="10"/>
      <c r="P1011" s="65"/>
      <c r="Q1011" s="10"/>
      <c r="R1011" s="10"/>
      <c r="S1011" s="54" t="str">
        <f t="shared" si="51"/>
        <v/>
      </c>
      <c r="T1011" s="54" t="str">
        <f t="shared" si="52"/>
        <v/>
      </c>
      <c r="U1011" s="58" t="str">
        <f t="shared" si="53"/>
        <v/>
      </c>
      <c r="V1011" s="58">
        <f>IF(AND($B1011&lt;&gt;"",$F1011&lt;&gt;"",$F1011=项目明细账!$C$2),N(V1010)+1,N(V1010))</f>
        <v>0</v>
      </c>
      <c r="W1011" s="63" t="str">
        <f>IF($H1011&lt;&gt;"","项目成本",IFERROR(INDEX(基础资料!$W$4:$W$49,MATCH($I1011,基础资料!$V$4:$V$49,0)),""))</f>
        <v/>
      </c>
      <c r="X1011" s="63" t="str">
        <f>IFERROR(INDEX(基础资料!$R$4:$R$17,MATCH($G1011,基础资料!$Q$4:$Q$17,0)),"")</f>
        <v/>
      </c>
    </row>
    <row r="1012" spans="1:24">
      <c r="A1012" s="58" t="str">
        <f>IF($B1012="","",COUNTA($B$5:$B1012))</f>
        <v/>
      </c>
      <c r="B1012" s="53"/>
      <c r="C1012" s="46"/>
      <c r="D1012" s="63" t="str">
        <f>IFERROR(INDEX(基础资料!$F$4:$F$23,MATCH($C1012,基础资料!$E$4:$E$23,0)),IF($C1012="","","未匹配账户"))</f>
        <v/>
      </c>
      <c r="E1012" s="39"/>
      <c r="F1012" s="10"/>
      <c r="G1012" s="10"/>
      <c r="H1012" s="10"/>
      <c r="I1012" s="10"/>
      <c r="J1012" s="10"/>
      <c r="K1012" s="25"/>
      <c r="L1012" s="25"/>
      <c r="M1012" s="25" t="str">
        <f>IFERROR(VLOOKUP($C1012,$C$5:$M$24,11,0)+SUMIF($C$25:$C1012,$C1012,$K$25:$K1012)-SUMIF($C$25:$C1012,$C1012,$L$25:$L1012),"")</f>
        <v/>
      </c>
      <c r="N1012" s="10"/>
      <c r="O1012" s="10"/>
      <c r="P1012" s="65"/>
      <c r="Q1012" s="10"/>
      <c r="R1012" s="10"/>
      <c r="S1012" s="54" t="str">
        <f t="shared" si="51"/>
        <v/>
      </c>
      <c r="T1012" s="54" t="str">
        <f t="shared" si="52"/>
        <v/>
      </c>
      <c r="U1012" s="58" t="str">
        <f t="shared" si="53"/>
        <v/>
      </c>
      <c r="V1012" s="58">
        <f>IF(AND($B1012&lt;&gt;"",$F1012&lt;&gt;"",$F1012=项目明细账!$C$2),N(V1011)+1,N(V1011))</f>
        <v>0</v>
      </c>
      <c r="W1012" s="63" t="str">
        <f>IF($H1012&lt;&gt;"","项目成本",IFERROR(INDEX(基础资料!$W$4:$W$49,MATCH($I1012,基础资料!$V$4:$V$49,0)),""))</f>
        <v/>
      </c>
      <c r="X1012" s="63" t="str">
        <f>IFERROR(INDEX(基础资料!$R$4:$R$17,MATCH($G1012,基础资料!$Q$4:$Q$17,0)),"")</f>
        <v/>
      </c>
    </row>
    <row r="1013" spans="1:24">
      <c r="A1013" s="58" t="str">
        <f>IF($B1013="","",COUNTA($B$5:$B1013))</f>
        <v/>
      </c>
      <c r="B1013" s="53"/>
      <c r="C1013" s="46"/>
      <c r="D1013" s="63" t="str">
        <f>IFERROR(INDEX(基础资料!$F$4:$F$23,MATCH($C1013,基础资料!$E$4:$E$23,0)),IF($C1013="","","未匹配账户"))</f>
        <v/>
      </c>
      <c r="E1013" s="39"/>
      <c r="F1013" s="10"/>
      <c r="G1013" s="10"/>
      <c r="H1013" s="10"/>
      <c r="I1013" s="10"/>
      <c r="J1013" s="10"/>
      <c r="K1013" s="25"/>
      <c r="L1013" s="25"/>
      <c r="M1013" s="25" t="str">
        <f>IFERROR(VLOOKUP($C1013,$C$5:$M$24,11,0)+SUMIF($C$25:$C1013,$C1013,$K$25:$K1013)-SUMIF($C$25:$C1013,$C1013,$L$25:$L1013),"")</f>
        <v/>
      </c>
      <c r="N1013" s="10"/>
      <c r="O1013" s="10"/>
      <c r="P1013" s="65"/>
      <c r="Q1013" s="10"/>
      <c r="R1013" s="10"/>
      <c r="S1013" s="54" t="str">
        <f t="shared" si="51"/>
        <v/>
      </c>
      <c r="T1013" s="54" t="str">
        <f t="shared" si="52"/>
        <v/>
      </c>
      <c r="U1013" s="58" t="str">
        <f t="shared" si="53"/>
        <v/>
      </c>
      <c r="V1013" s="58">
        <f>IF(AND($B1013&lt;&gt;"",$F1013&lt;&gt;"",$F1013=项目明细账!$C$2),N(V1012)+1,N(V1012))</f>
        <v>0</v>
      </c>
      <c r="W1013" s="63" t="str">
        <f>IF($H1013&lt;&gt;"","项目成本",IFERROR(INDEX(基础资料!$W$4:$W$49,MATCH($I1013,基础资料!$V$4:$V$49,0)),""))</f>
        <v/>
      </c>
      <c r="X1013" s="63" t="str">
        <f>IFERROR(INDEX(基础资料!$R$4:$R$17,MATCH($G1013,基础资料!$Q$4:$Q$17,0)),"")</f>
        <v/>
      </c>
    </row>
    <row r="1014" spans="1:24">
      <c r="A1014" s="58" t="str">
        <f>IF($B1014="","",COUNTA($B$5:$B1014))</f>
        <v/>
      </c>
      <c r="B1014" s="53"/>
      <c r="C1014" s="46"/>
      <c r="D1014" s="63" t="str">
        <f>IFERROR(INDEX(基础资料!$F$4:$F$23,MATCH($C1014,基础资料!$E$4:$E$23,0)),IF($C1014="","","未匹配账户"))</f>
        <v/>
      </c>
      <c r="E1014" s="39"/>
      <c r="F1014" s="10"/>
      <c r="G1014" s="10"/>
      <c r="H1014" s="10"/>
      <c r="I1014" s="10"/>
      <c r="J1014" s="10"/>
      <c r="K1014" s="25"/>
      <c r="L1014" s="25"/>
      <c r="M1014" s="25" t="str">
        <f>IFERROR(VLOOKUP($C1014,$C$5:$M$24,11,0)+SUMIF($C$25:$C1014,$C1014,$K$25:$K1014)-SUMIF($C$25:$C1014,$C1014,$L$25:$L1014),"")</f>
        <v/>
      </c>
      <c r="N1014" s="10"/>
      <c r="O1014" s="10"/>
      <c r="P1014" s="65"/>
      <c r="Q1014" s="10"/>
      <c r="R1014" s="10"/>
      <c r="S1014" s="54" t="str">
        <f t="shared" si="51"/>
        <v/>
      </c>
      <c r="T1014" s="54" t="str">
        <f t="shared" si="52"/>
        <v/>
      </c>
      <c r="U1014" s="58" t="str">
        <f t="shared" si="53"/>
        <v/>
      </c>
      <c r="V1014" s="58">
        <f>IF(AND($B1014&lt;&gt;"",$F1014&lt;&gt;"",$F1014=项目明细账!$C$2),N(V1013)+1,N(V1013))</f>
        <v>0</v>
      </c>
      <c r="W1014" s="63" t="str">
        <f>IF($H1014&lt;&gt;"","项目成本",IFERROR(INDEX(基础资料!$W$4:$W$49,MATCH($I1014,基础资料!$V$4:$V$49,0)),""))</f>
        <v/>
      </c>
      <c r="X1014" s="63" t="str">
        <f>IFERROR(INDEX(基础资料!$R$4:$R$17,MATCH($G1014,基础资料!$Q$4:$Q$17,0)),"")</f>
        <v/>
      </c>
    </row>
    <row r="1015" spans="1:24">
      <c r="A1015" s="58" t="str">
        <f>IF($B1015="","",COUNTA($B$5:$B1015))</f>
        <v/>
      </c>
      <c r="B1015" s="53"/>
      <c r="C1015" s="46"/>
      <c r="D1015" s="63" t="str">
        <f>IFERROR(INDEX(基础资料!$F$4:$F$23,MATCH($C1015,基础资料!$E$4:$E$23,0)),IF($C1015="","","未匹配账户"))</f>
        <v/>
      </c>
      <c r="E1015" s="39"/>
      <c r="F1015" s="10"/>
      <c r="G1015" s="10"/>
      <c r="H1015" s="10"/>
      <c r="I1015" s="10"/>
      <c r="J1015" s="10"/>
      <c r="K1015" s="25"/>
      <c r="L1015" s="25"/>
      <c r="M1015" s="25" t="str">
        <f>IFERROR(VLOOKUP($C1015,$C$5:$M$24,11,0)+SUMIF($C$25:$C1015,$C1015,$K$25:$K1015)-SUMIF($C$25:$C1015,$C1015,$L$25:$L1015),"")</f>
        <v/>
      </c>
      <c r="N1015" s="10"/>
      <c r="O1015" s="10"/>
      <c r="P1015" s="65"/>
      <c r="Q1015" s="10"/>
      <c r="R1015" s="10"/>
      <c r="S1015" s="54" t="str">
        <f t="shared" si="51"/>
        <v/>
      </c>
      <c r="T1015" s="54" t="str">
        <f t="shared" si="52"/>
        <v/>
      </c>
      <c r="U1015" s="58" t="str">
        <f t="shared" si="53"/>
        <v/>
      </c>
      <c r="V1015" s="58">
        <f>IF(AND($B1015&lt;&gt;"",$F1015&lt;&gt;"",$F1015=项目明细账!$C$2),N(V1014)+1,N(V1014))</f>
        <v>0</v>
      </c>
      <c r="W1015" s="63" t="str">
        <f>IF($H1015&lt;&gt;"","项目成本",IFERROR(INDEX(基础资料!$W$4:$W$49,MATCH($I1015,基础资料!$V$4:$V$49,0)),""))</f>
        <v/>
      </c>
      <c r="X1015" s="63" t="str">
        <f>IFERROR(INDEX(基础资料!$R$4:$R$17,MATCH($G1015,基础资料!$Q$4:$Q$17,0)),"")</f>
        <v/>
      </c>
    </row>
    <row r="1016" spans="1:24">
      <c r="A1016" s="58" t="str">
        <f>IF($B1016="","",COUNTA($B$5:$B1016))</f>
        <v/>
      </c>
      <c r="B1016" s="53"/>
      <c r="C1016" s="46"/>
      <c r="D1016" s="63" t="str">
        <f>IFERROR(INDEX(基础资料!$F$4:$F$23,MATCH($C1016,基础资料!$E$4:$E$23,0)),IF($C1016="","","未匹配账户"))</f>
        <v/>
      </c>
      <c r="E1016" s="39"/>
      <c r="F1016" s="10"/>
      <c r="G1016" s="10"/>
      <c r="H1016" s="10"/>
      <c r="I1016" s="10"/>
      <c r="J1016" s="10"/>
      <c r="K1016" s="25"/>
      <c r="L1016" s="25"/>
      <c r="M1016" s="25" t="str">
        <f>IFERROR(VLOOKUP($C1016,$C$5:$M$24,11,0)+SUMIF($C$25:$C1016,$C1016,$K$25:$K1016)-SUMIF($C$25:$C1016,$C1016,$L$25:$L1016),"")</f>
        <v/>
      </c>
      <c r="N1016" s="10"/>
      <c r="O1016" s="10"/>
      <c r="P1016" s="65"/>
      <c r="Q1016" s="10"/>
      <c r="R1016" s="10"/>
      <c r="S1016" s="54" t="str">
        <f t="shared" si="51"/>
        <v/>
      </c>
      <c r="T1016" s="54" t="str">
        <f t="shared" si="52"/>
        <v/>
      </c>
      <c r="U1016" s="58" t="str">
        <f t="shared" si="53"/>
        <v/>
      </c>
      <c r="V1016" s="58">
        <f>IF(AND($B1016&lt;&gt;"",$F1016&lt;&gt;"",$F1016=项目明细账!$C$2),N(V1015)+1,N(V1015))</f>
        <v>0</v>
      </c>
      <c r="W1016" s="63" t="str">
        <f>IF($H1016&lt;&gt;"","项目成本",IFERROR(INDEX(基础资料!$W$4:$W$49,MATCH($I1016,基础资料!$V$4:$V$49,0)),""))</f>
        <v/>
      </c>
      <c r="X1016" s="63" t="str">
        <f>IFERROR(INDEX(基础资料!$R$4:$R$17,MATCH($G1016,基础资料!$Q$4:$Q$17,0)),"")</f>
        <v/>
      </c>
    </row>
    <row r="1017" spans="1:24">
      <c r="A1017" s="58" t="str">
        <f>IF($B1017="","",COUNTA($B$5:$B1017))</f>
        <v/>
      </c>
      <c r="B1017" s="53"/>
      <c r="C1017" s="46"/>
      <c r="D1017" s="63" t="str">
        <f>IFERROR(INDEX(基础资料!$F$4:$F$23,MATCH($C1017,基础资料!$E$4:$E$23,0)),IF($C1017="","","未匹配账户"))</f>
        <v/>
      </c>
      <c r="E1017" s="39"/>
      <c r="F1017" s="10"/>
      <c r="G1017" s="10"/>
      <c r="H1017" s="10"/>
      <c r="I1017" s="10"/>
      <c r="J1017" s="10"/>
      <c r="K1017" s="25"/>
      <c r="L1017" s="25"/>
      <c r="M1017" s="25" t="str">
        <f>IFERROR(VLOOKUP($C1017,$C$5:$M$24,11,0)+SUMIF($C$25:$C1017,$C1017,$K$25:$K1017)-SUMIF($C$25:$C1017,$C1017,$L$25:$L1017),"")</f>
        <v/>
      </c>
      <c r="N1017" s="10"/>
      <c r="O1017" s="10"/>
      <c r="P1017" s="65"/>
      <c r="Q1017" s="10"/>
      <c r="R1017" s="10"/>
      <c r="S1017" s="54" t="str">
        <f t="shared" si="51"/>
        <v/>
      </c>
      <c r="T1017" s="54" t="str">
        <f t="shared" si="52"/>
        <v/>
      </c>
      <c r="U1017" s="58" t="str">
        <f t="shared" si="53"/>
        <v/>
      </c>
      <c r="V1017" s="58">
        <f>IF(AND($B1017&lt;&gt;"",$F1017&lt;&gt;"",$F1017=项目明细账!$C$2),N(V1016)+1,N(V1016))</f>
        <v>0</v>
      </c>
      <c r="W1017" s="63" t="str">
        <f>IF($H1017&lt;&gt;"","项目成本",IFERROR(INDEX(基础资料!$W$4:$W$49,MATCH($I1017,基础资料!$V$4:$V$49,0)),""))</f>
        <v/>
      </c>
      <c r="X1017" s="63" t="str">
        <f>IFERROR(INDEX(基础资料!$R$4:$R$17,MATCH($G1017,基础资料!$Q$4:$Q$17,0)),"")</f>
        <v/>
      </c>
    </row>
    <row r="1018" spans="1:24">
      <c r="A1018" s="58" t="str">
        <f>IF($B1018="","",COUNTA($B$5:$B1018))</f>
        <v/>
      </c>
      <c r="B1018" s="53"/>
      <c r="C1018" s="46"/>
      <c r="D1018" s="63" t="str">
        <f>IFERROR(INDEX(基础资料!$F$4:$F$23,MATCH($C1018,基础资料!$E$4:$E$23,0)),IF($C1018="","","未匹配账户"))</f>
        <v/>
      </c>
      <c r="E1018" s="39"/>
      <c r="F1018" s="10"/>
      <c r="G1018" s="10"/>
      <c r="H1018" s="10"/>
      <c r="I1018" s="10"/>
      <c r="J1018" s="10"/>
      <c r="K1018" s="25"/>
      <c r="L1018" s="25"/>
      <c r="M1018" s="25" t="str">
        <f>IFERROR(VLOOKUP($C1018,$C$5:$M$24,11,0)+SUMIF($C$25:$C1018,$C1018,$K$25:$K1018)-SUMIF($C$25:$C1018,$C1018,$L$25:$L1018),"")</f>
        <v/>
      </c>
      <c r="N1018" s="10"/>
      <c r="O1018" s="10"/>
      <c r="P1018" s="65"/>
      <c r="Q1018" s="10"/>
      <c r="R1018" s="10"/>
      <c r="S1018" s="54" t="str">
        <f t="shared" si="51"/>
        <v/>
      </c>
      <c r="T1018" s="54" t="str">
        <f t="shared" si="52"/>
        <v/>
      </c>
      <c r="U1018" s="58" t="str">
        <f t="shared" si="53"/>
        <v/>
      </c>
      <c r="V1018" s="58">
        <f>IF(AND($B1018&lt;&gt;"",$F1018&lt;&gt;"",$F1018=项目明细账!$C$2),N(V1017)+1,N(V1017))</f>
        <v>0</v>
      </c>
      <c r="W1018" s="63" t="str">
        <f>IF($H1018&lt;&gt;"","项目成本",IFERROR(INDEX(基础资料!$W$4:$W$49,MATCH($I1018,基础资料!$V$4:$V$49,0)),""))</f>
        <v/>
      </c>
      <c r="X1018" s="63" t="str">
        <f>IFERROR(INDEX(基础资料!$R$4:$R$17,MATCH($G1018,基础资料!$Q$4:$Q$17,0)),"")</f>
        <v/>
      </c>
    </row>
    <row r="1019" spans="1:24">
      <c r="A1019" s="58" t="str">
        <f>IF($B1019="","",COUNTA($B$5:$B1019))</f>
        <v/>
      </c>
      <c r="B1019" s="53"/>
      <c r="C1019" s="46"/>
      <c r="D1019" s="63" t="str">
        <f>IFERROR(INDEX(基础资料!$F$4:$F$23,MATCH($C1019,基础资料!$E$4:$E$23,0)),IF($C1019="","","未匹配账户"))</f>
        <v/>
      </c>
      <c r="E1019" s="39"/>
      <c r="F1019" s="10"/>
      <c r="G1019" s="10"/>
      <c r="H1019" s="10"/>
      <c r="I1019" s="10"/>
      <c r="J1019" s="10"/>
      <c r="K1019" s="25"/>
      <c r="L1019" s="25"/>
      <c r="M1019" s="25" t="str">
        <f>IFERROR(VLOOKUP($C1019,$C$5:$M$24,11,0)+SUMIF($C$25:$C1019,$C1019,$K$25:$K1019)-SUMIF($C$25:$C1019,$C1019,$L$25:$L1019),"")</f>
        <v/>
      </c>
      <c r="N1019" s="10"/>
      <c r="O1019" s="10"/>
      <c r="P1019" s="65"/>
      <c r="Q1019" s="10"/>
      <c r="R1019" s="10"/>
      <c r="S1019" s="54" t="str">
        <f t="shared" si="51"/>
        <v/>
      </c>
      <c r="T1019" s="54" t="str">
        <f t="shared" si="52"/>
        <v/>
      </c>
      <c r="U1019" s="58" t="str">
        <f t="shared" si="53"/>
        <v/>
      </c>
      <c r="V1019" s="58">
        <f>IF(AND($B1019&lt;&gt;"",$F1019&lt;&gt;"",$F1019=项目明细账!$C$2),N(V1018)+1,N(V1018))</f>
        <v>0</v>
      </c>
      <c r="W1019" s="63" t="str">
        <f>IF($H1019&lt;&gt;"","项目成本",IFERROR(INDEX(基础资料!$W$4:$W$49,MATCH($I1019,基础资料!$V$4:$V$49,0)),""))</f>
        <v/>
      </c>
      <c r="X1019" s="63" t="str">
        <f>IFERROR(INDEX(基础资料!$R$4:$R$17,MATCH($G1019,基础资料!$Q$4:$Q$17,0)),"")</f>
        <v/>
      </c>
    </row>
    <row r="1020" spans="1:24">
      <c r="A1020" s="58" t="str">
        <f>IF($B1020="","",COUNTA($B$5:$B1020))</f>
        <v/>
      </c>
      <c r="B1020" s="53"/>
      <c r="C1020" s="46"/>
      <c r="D1020" s="63" t="str">
        <f>IFERROR(INDEX(基础资料!$F$4:$F$23,MATCH($C1020,基础资料!$E$4:$E$23,0)),IF($C1020="","","未匹配账户"))</f>
        <v/>
      </c>
      <c r="E1020" s="39"/>
      <c r="F1020" s="10"/>
      <c r="G1020" s="10"/>
      <c r="H1020" s="10"/>
      <c r="I1020" s="10"/>
      <c r="J1020" s="10"/>
      <c r="K1020" s="25"/>
      <c r="L1020" s="25"/>
      <c r="M1020" s="25" t="str">
        <f>IFERROR(VLOOKUP($C1020,$C$5:$M$24,11,0)+SUMIF($C$25:$C1020,$C1020,$K$25:$K1020)-SUMIF($C$25:$C1020,$C1020,$L$25:$L1020),"")</f>
        <v/>
      </c>
      <c r="N1020" s="10"/>
      <c r="O1020" s="10"/>
      <c r="P1020" s="65"/>
      <c r="Q1020" s="10"/>
      <c r="R1020" s="10"/>
      <c r="S1020" s="54" t="str">
        <f t="shared" si="51"/>
        <v/>
      </c>
      <c r="T1020" s="54" t="str">
        <f t="shared" si="52"/>
        <v/>
      </c>
      <c r="U1020" s="58" t="str">
        <f t="shared" si="53"/>
        <v/>
      </c>
      <c r="V1020" s="58">
        <f>IF(AND($B1020&lt;&gt;"",$F1020&lt;&gt;"",$F1020=项目明细账!$C$2),N(V1019)+1,N(V1019))</f>
        <v>0</v>
      </c>
      <c r="W1020" s="63" t="str">
        <f>IF($H1020&lt;&gt;"","项目成本",IFERROR(INDEX(基础资料!$W$4:$W$49,MATCH($I1020,基础资料!$V$4:$V$49,0)),""))</f>
        <v/>
      </c>
      <c r="X1020" s="63" t="str">
        <f>IFERROR(INDEX(基础资料!$R$4:$R$17,MATCH($G1020,基础资料!$Q$4:$Q$17,0)),"")</f>
        <v/>
      </c>
    </row>
    <row r="1021" spans="1:24">
      <c r="A1021" s="58" t="str">
        <f>IF($B1021="","",COUNTA($B$5:$B1021))</f>
        <v/>
      </c>
      <c r="B1021" s="53"/>
      <c r="C1021" s="46"/>
      <c r="D1021" s="63" t="str">
        <f>IFERROR(INDEX(基础资料!$F$4:$F$23,MATCH($C1021,基础资料!$E$4:$E$23,0)),IF($C1021="","","未匹配账户"))</f>
        <v/>
      </c>
      <c r="E1021" s="39"/>
      <c r="F1021" s="10"/>
      <c r="G1021" s="10"/>
      <c r="H1021" s="10"/>
      <c r="I1021" s="10"/>
      <c r="J1021" s="10"/>
      <c r="K1021" s="25"/>
      <c r="L1021" s="25"/>
      <c r="M1021" s="25" t="str">
        <f>IFERROR(VLOOKUP($C1021,$C$5:$M$24,11,0)+SUMIF($C$25:$C1021,$C1021,$K$25:$K1021)-SUMIF($C$25:$C1021,$C1021,$L$25:$L1021),"")</f>
        <v/>
      </c>
      <c r="N1021" s="10"/>
      <c r="O1021" s="10"/>
      <c r="P1021" s="65"/>
      <c r="Q1021" s="10"/>
      <c r="R1021" s="10"/>
      <c r="S1021" s="54" t="str">
        <f t="shared" si="51"/>
        <v/>
      </c>
      <c r="T1021" s="54" t="str">
        <f t="shared" si="52"/>
        <v/>
      </c>
      <c r="U1021" s="58" t="str">
        <f t="shared" si="53"/>
        <v/>
      </c>
      <c r="V1021" s="58">
        <f>IF(AND($B1021&lt;&gt;"",$F1021&lt;&gt;"",$F1021=项目明细账!$C$2),N(V1020)+1,N(V1020))</f>
        <v>0</v>
      </c>
      <c r="W1021" s="63" t="str">
        <f>IF($H1021&lt;&gt;"","项目成本",IFERROR(INDEX(基础资料!$W$4:$W$49,MATCH($I1021,基础资料!$V$4:$V$49,0)),""))</f>
        <v/>
      </c>
      <c r="X1021" s="63" t="str">
        <f>IFERROR(INDEX(基础资料!$R$4:$R$17,MATCH($G1021,基础资料!$Q$4:$Q$17,0)),"")</f>
        <v/>
      </c>
    </row>
    <row r="1022" spans="1:24">
      <c r="A1022" s="58" t="str">
        <f>IF($B1022="","",COUNTA($B$5:$B1022))</f>
        <v/>
      </c>
      <c r="B1022" s="53"/>
      <c r="C1022" s="46"/>
      <c r="D1022" s="63" t="str">
        <f>IFERROR(INDEX(基础资料!$F$4:$F$23,MATCH($C1022,基础资料!$E$4:$E$23,0)),IF($C1022="","","未匹配账户"))</f>
        <v/>
      </c>
      <c r="E1022" s="39"/>
      <c r="F1022" s="10"/>
      <c r="G1022" s="10"/>
      <c r="H1022" s="10"/>
      <c r="I1022" s="10"/>
      <c r="J1022" s="10"/>
      <c r="K1022" s="25"/>
      <c r="L1022" s="25"/>
      <c r="M1022" s="25" t="str">
        <f>IFERROR(VLOOKUP($C1022,$C$5:$M$24,11,0)+SUMIF($C$25:$C1022,$C1022,$K$25:$K1022)-SUMIF($C$25:$C1022,$C1022,$L$25:$L1022),"")</f>
        <v/>
      </c>
      <c r="N1022" s="10"/>
      <c r="O1022" s="10"/>
      <c r="P1022" s="65"/>
      <c r="Q1022" s="10"/>
      <c r="R1022" s="10"/>
      <c r="S1022" s="54" t="str">
        <f t="shared" si="51"/>
        <v/>
      </c>
      <c r="T1022" s="54" t="str">
        <f t="shared" si="52"/>
        <v/>
      </c>
      <c r="U1022" s="58" t="str">
        <f t="shared" si="53"/>
        <v/>
      </c>
      <c r="V1022" s="58">
        <f>IF(AND($B1022&lt;&gt;"",$F1022&lt;&gt;"",$F1022=项目明细账!$C$2),N(V1021)+1,N(V1021))</f>
        <v>0</v>
      </c>
      <c r="W1022" s="63" t="str">
        <f>IF($H1022&lt;&gt;"","项目成本",IFERROR(INDEX(基础资料!$W$4:$W$49,MATCH($I1022,基础资料!$V$4:$V$49,0)),""))</f>
        <v/>
      </c>
      <c r="X1022" s="63" t="str">
        <f>IFERROR(INDEX(基础资料!$R$4:$R$17,MATCH($G1022,基础资料!$Q$4:$Q$17,0)),"")</f>
        <v/>
      </c>
    </row>
    <row r="1023" spans="1:24">
      <c r="A1023" s="58" t="str">
        <f>IF($B1023="","",COUNTA($B$5:$B1023))</f>
        <v/>
      </c>
      <c r="B1023" s="53"/>
      <c r="C1023" s="46"/>
      <c r="D1023" s="63" t="str">
        <f>IFERROR(INDEX(基础资料!$F$4:$F$23,MATCH($C1023,基础资料!$E$4:$E$23,0)),IF($C1023="","","未匹配账户"))</f>
        <v/>
      </c>
      <c r="E1023" s="39"/>
      <c r="F1023" s="10"/>
      <c r="G1023" s="10"/>
      <c r="H1023" s="10"/>
      <c r="I1023" s="10"/>
      <c r="J1023" s="10"/>
      <c r="K1023" s="25"/>
      <c r="L1023" s="25"/>
      <c r="M1023" s="25" t="str">
        <f>IFERROR(VLOOKUP($C1023,$C$5:$M$24,11,0)+SUMIF($C$25:$C1023,$C1023,$K$25:$K1023)-SUMIF($C$25:$C1023,$C1023,$L$25:$L1023),"")</f>
        <v/>
      </c>
      <c r="N1023" s="10"/>
      <c r="O1023" s="10"/>
      <c r="P1023" s="65"/>
      <c r="Q1023" s="10"/>
      <c r="R1023" s="10"/>
      <c r="S1023" s="54" t="str">
        <f t="shared" si="51"/>
        <v/>
      </c>
      <c r="T1023" s="54" t="str">
        <f t="shared" si="52"/>
        <v/>
      </c>
      <c r="U1023" s="58" t="str">
        <f t="shared" si="53"/>
        <v/>
      </c>
      <c r="V1023" s="58">
        <f>IF(AND($B1023&lt;&gt;"",$F1023&lt;&gt;"",$F1023=项目明细账!$C$2),N(V1022)+1,N(V1022))</f>
        <v>0</v>
      </c>
      <c r="W1023" s="63" t="str">
        <f>IF($H1023&lt;&gt;"","项目成本",IFERROR(INDEX(基础资料!$W$4:$W$49,MATCH($I1023,基础资料!$V$4:$V$49,0)),""))</f>
        <v/>
      </c>
      <c r="X1023" s="63" t="str">
        <f>IFERROR(INDEX(基础资料!$R$4:$R$17,MATCH($G1023,基础资料!$Q$4:$Q$17,0)),"")</f>
        <v/>
      </c>
    </row>
    <row r="1024" spans="1:24">
      <c r="A1024" s="58" t="str">
        <f>IF($B1024="","",COUNTA($B$5:$B1024))</f>
        <v/>
      </c>
      <c r="B1024" s="53"/>
      <c r="C1024" s="46"/>
      <c r="D1024" s="63" t="str">
        <f>IFERROR(INDEX(基础资料!$F$4:$F$23,MATCH($C1024,基础资料!$E$4:$E$23,0)),IF($C1024="","","未匹配账户"))</f>
        <v/>
      </c>
      <c r="E1024" s="39"/>
      <c r="F1024" s="10"/>
      <c r="G1024" s="10"/>
      <c r="H1024" s="10"/>
      <c r="I1024" s="10"/>
      <c r="J1024" s="10"/>
      <c r="K1024" s="25"/>
      <c r="L1024" s="25"/>
      <c r="M1024" s="25" t="str">
        <f>IFERROR(VLOOKUP($C1024,$C$5:$M$24,11,0)+SUMIF($C$25:$C1024,$C1024,$K$25:$K1024)-SUMIF($C$25:$C1024,$C1024,$L$25:$L1024),"")</f>
        <v/>
      </c>
      <c r="N1024" s="10"/>
      <c r="O1024" s="10"/>
      <c r="P1024" s="65"/>
      <c r="Q1024" s="10"/>
      <c r="R1024" s="10"/>
      <c r="S1024" s="54" t="str">
        <f t="shared" si="51"/>
        <v/>
      </c>
      <c r="T1024" s="54" t="str">
        <f t="shared" si="52"/>
        <v/>
      </c>
      <c r="U1024" s="58" t="str">
        <f t="shared" si="53"/>
        <v/>
      </c>
      <c r="V1024" s="58">
        <f>IF(AND($B1024&lt;&gt;"",$F1024&lt;&gt;"",$F1024=项目明细账!$C$2),N(V1023)+1,N(V1023))</f>
        <v>0</v>
      </c>
      <c r="W1024" s="63" t="str">
        <f>IF($H1024&lt;&gt;"","项目成本",IFERROR(INDEX(基础资料!$W$4:$W$49,MATCH($I1024,基础资料!$V$4:$V$49,0)),""))</f>
        <v/>
      </c>
      <c r="X1024" s="63" t="str">
        <f>IFERROR(INDEX(基础资料!$R$4:$R$17,MATCH($G1024,基础资料!$Q$4:$Q$17,0)),"")</f>
        <v/>
      </c>
    </row>
    <row r="1025" spans="1:24">
      <c r="A1025" s="58" t="str">
        <f>IF($B1025="","",COUNTA($B$5:$B1025))</f>
        <v/>
      </c>
      <c r="B1025" s="53"/>
      <c r="C1025" s="46"/>
      <c r="D1025" s="63" t="str">
        <f>IFERROR(INDEX(基础资料!$F$4:$F$23,MATCH($C1025,基础资料!$E$4:$E$23,0)),IF($C1025="","","未匹配账户"))</f>
        <v/>
      </c>
      <c r="E1025" s="39"/>
      <c r="F1025" s="10"/>
      <c r="G1025" s="10"/>
      <c r="H1025" s="10"/>
      <c r="I1025" s="10"/>
      <c r="J1025" s="10"/>
      <c r="K1025" s="25"/>
      <c r="L1025" s="25"/>
      <c r="M1025" s="25" t="str">
        <f>IFERROR(VLOOKUP($C1025,$C$5:$M$24,11,0)+SUMIF($C$25:$C1025,$C1025,$K$25:$K1025)-SUMIF($C$25:$C1025,$C1025,$L$25:$L1025),"")</f>
        <v/>
      </c>
      <c r="N1025" s="10"/>
      <c r="O1025" s="10"/>
      <c r="P1025" s="65"/>
      <c r="Q1025" s="10"/>
      <c r="R1025" s="10"/>
      <c r="S1025" s="54" t="str">
        <f t="shared" si="51"/>
        <v/>
      </c>
      <c r="T1025" s="54" t="str">
        <f t="shared" si="52"/>
        <v/>
      </c>
      <c r="U1025" s="58" t="str">
        <f t="shared" si="53"/>
        <v/>
      </c>
      <c r="V1025" s="58">
        <f>IF(AND($B1025&lt;&gt;"",$F1025&lt;&gt;"",$F1025=项目明细账!$C$2),N(V1024)+1,N(V1024))</f>
        <v>0</v>
      </c>
      <c r="W1025" s="63" t="str">
        <f>IF($H1025&lt;&gt;"","项目成本",IFERROR(INDEX(基础资料!$W$4:$W$49,MATCH($I1025,基础资料!$V$4:$V$49,0)),""))</f>
        <v/>
      </c>
      <c r="X1025" s="63" t="str">
        <f>IFERROR(INDEX(基础资料!$R$4:$R$17,MATCH($G1025,基础资料!$Q$4:$Q$17,0)),"")</f>
        <v/>
      </c>
    </row>
    <row r="1026" spans="1:24">
      <c r="A1026" s="58" t="str">
        <f>IF($B1026="","",COUNTA($B$5:$B1026))</f>
        <v/>
      </c>
      <c r="B1026" s="53"/>
      <c r="C1026" s="46"/>
      <c r="D1026" s="63" t="str">
        <f>IFERROR(INDEX(基础资料!$F$4:$F$23,MATCH($C1026,基础资料!$E$4:$E$23,0)),IF($C1026="","","未匹配账户"))</f>
        <v/>
      </c>
      <c r="E1026" s="39"/>
      <c r="F1026" s="10"/>
      <c r="G1026" s="10"/>
      <c r="H1026" s="10"/>
      <c r="I1026" s="10"/>
      <c r="J1026" s="10"/>
      <c r="K1026" s="25"/>
      <c r="L1026" s="25"/>
      <c r="M1026" s="25" t="str">
        <f>IFERROR(VLOOKUP($C1026,$C$5:$M$24,11,0)+SUMIF($C$25:$C1026,$C1026,$K$25:$K1026)-SUMIF($C$25:$C1026,$C1026,$L$25:$L1026),"")</f>
        <v/>
      </c>
      <c r="N1026" s="10"/>
      <c r="O1026" s="10"/>
      <c r="P1026" s="65"/>
      <c r="Q1026" s="10"/>
      <c r="R1026" s="10"/>
      <c r="S1026" s="54" t="str">
        <f t="shared" si="51"/>
        <v/>
      </c>
      <c r="T1026" s="54" t="str">
        <f t="shared" si="52"/>
        <v/>
      </c>
      <c r="U1026" s="58" t="str">
        <f t="shared" si="53"/>
        <v/>
      </c>
      <c r="V1026" s="58">
        <f>IF(AND($B1026&lt;&gt;"",$F1026&lt;&gt;"",$F1026=项目明细账!$C$2),N(V1025)+1,N(V1025))</f>
        <v>0</v>
      </c>
      <c r="W1026" s="63" t="str">
        <f>IF($H1026&lt;&gt;"","项目成本",IFERROR(INDEX(基础资料!$W$4:$W$49,MATCH($I1026,基础资料!$V$4:$V$49,0)),""))</f>
        <v/>
      </c>
      <c r="X1026" s="63" t="str">
        <f>IFERROR(INDEX(基础资料!$R$4:$R$17,MATCH($G1026,基础资料!$Q$4:$Q$17,0)),"")</f>
        <v/>
      </c>
    </row>
    <row r="1027" spans="1:24">
      <c r="A1027" s="58" t="str">
        <f>IF($B1027="","",COUNTA($B$5:$B1027))</f>
        <v/>
      </c>
      <c r="B1027" s="53"/>
      <c r="C1027" s="46"/>
      <c r="D1027" s="63" t="str">
        <f>IFERROR(INDEX(基础资料!$F$4:$F$23,MATCH($C1027,基础资料!$E$4:$E$23,0)),IF($C1027="","","未匹配账户"))</f>
        <v/>
      </c>
      <c r="E1027" s="39"/>
      <c r="F1027" s="10"/>
      <c r="G1027" s="10"/>
      <c r="H1027" s="10"/>
      <c r="I1027" s="10"/>
      <c r="J1027" s="10"/>
      <c r="K1027" s="25"/>
      <c r="L1027" s="25"/>
      <c r="M1027" s="25" t="str">
        <f>IFERROR(VLOOKUP($C1027,$C$5:$M$24,11,0)+SUMIF($C$25:$C1027,$C1027,$K$25:$K1027)-SUMIF($C$25:$C1027,$C1027,$L$25:$L1027),"")</f>
        <v/>
      </c>
      <c r="N1027" s="10"/>
      <c r="O1027" s="10"/>
      <c r="P1027" s="65"/>
      <c r="Q1027" s="10"/>
      <c r="R1027" s="10"/>
      <c r="S1027" s="54" t="str">
        <f t="shared" si="51"/>
        <v/>
      </c>
      <c r="T1027" s="54" t="str">
        <f t="shared" si="52"/>
        <v/>
      </c>
      <c r="U1027" s="58" t="str">
        <f t="shared" si="53"/>
        <v/>
      </c>
      <c r="V1027" s="58">
        <f>IF(AND($B1027&lt;&gt;"",$F1027&lt;&gt;"",$F1027=项目明细账!$C$2),N(V1026)+1,N(V1026))</f>
        <v>0</v>
      </c>
      <c r="W1027" s="63" t="str">
        <f>IF($H1027&lt;&gt;"","项目成本",IFERROR(INDEX(基础资料!$W$4:$W$49,MATCH($I1027,基础资料!$V$4:$V$49,0)),""))</f>
        <v/>
      </c>
      <c r="X1027" s="63" t="str">
        <f>IFERROR(INDEX(基础资料!$R$4:$R$17,MATCH($G1027,基础资料!$Q$4:$Q$17,0)),"")</f>
        <v/>
      </c>
    </row>
    <row r="1028" spans="1:24">
      <c r="A1028" s="58" t="str">
        <f>IF($B1028="","",COUNTA($B$5:$B1028))</f>
        <v/>
      </c>
      <c r="B1028" s="53"/>
      <c r="C1028" s="46"/>
      <c r="D1028" s="63" t="str">
        <f>IFERROR(INDEX(基础资料!$F$4:$F$23,MATCH($C1028,基础资料!$E$4:$E$23,0)),IF($C1028="","","未匹配账户"))</f>
        <v/>
      </c>
      <c r="E1028" s="39"/>
      <c r="F1028" s="10"/>
      <c r="G1028" s="10"/>
      <c r="H1028" s="10"/>
      <c r="I1028" s="10"/>
      <c r="J1028" s="10"/>
      <c r="K1028" s="25"/>
      <c r="L1028" s="25"/>
      <c r="M1028" s="25" t="str">
        <f>IFERROR(VLOOKUP($C1028,$C$5:$M$24,11,0)+SUMIF($C$25:$C1028,$C1028,$K$25:$K1028)-SUMIF($C$25:$C1028,$C1028,$L$25:$L1028),"")</f>
        <v/>
      </c>
      <c r="N1028" s="10"/>
      <c r="O1028" s="10"/>
      <c r="P1028" s="65"/>
      <c r="Q1028" s="10"/>
      <c r="R1028" s="10"/>
      <c r="S1028" s="54" t="str">
        <f t="shared" si="51"/>
        <v/>
      </c>
      <c r="T1028" s="54" t="str">
        <f t="shared" si="52"/>
        <v/>
      </c>
      <c r="U1028" s="58" t="str">
        <f t="shared" si="53"/>
        <v/>
      </c>
      <c r="V1028" s="58">
        <f>IF(AND($B1028&lt;&gt;"",$F1028&lt;&gt;"",$F1028=项目明细账!$C$2),N(V1027)+1,N(V1027))</f>
        <v>0</v>
      </c>
      <c r="W1028" s="63" t="str">
        <f>IF($H1028&lt;&gt;"","项目成本",IFERROR(INDEX(基础资料!$W$4:$W$49,MATCH($I1028,基础资料!$V$4:$V$49,0)),""))</f>
        <v/>
      </c>
      <c r="X1028" s="63" t="str">
        <f>IFERROR(INDEX(基础资料!$R$4:$R$17,MATCH($G1028,基础资料!$Q$4:$Q$17,0)),"")</f>
        <v/>
      </c>
    </row>
    <row r="1029" spans="1:24">
      <c r="A1029" s="58" t="str">
        <f>IF($B1029="","",COUNTA($B$5:$B1029))</f>
        <v/>
      </c>
      <c r="B1029" s="53"/>
      <c r="C1029" s="46"/>
      <c r="D1029" s="63" t="str">
        <f>IFERROR(INDEX(基础资料!$F$4:$F$23,MATCH($C1029,基础资料!$E$4:$E$23,0)),IF($C1029="","","未匹配账户"))</f>
        <v/>
      </c>
      <c r="E1029" s="39"/>
      <c r="F1029" s="10"/>
      <c r="G1029" s="10"/>
      <c r="H1029" s="10"/>
      <c r="I1029" s="10"/>
      <c r="J1029" s="10"/>
      <c r="K1029" s="25"/>
      <c r="L1029" s="25"/>
      <c r="M1029" s="25" t="str">
        <f>IFERROR(VLOOKUP($C1029,$C$5:$M$24,11,0)+SUMIF($C$25:$C1029,$C1029,$K$25:$K1029)-SUMIF($C$25:$C1029,$C1029,$L$25:$L1029),"")</f>
        <v/>
      </c>
      <c r="N1029" s="10"/>
      <c r="O1029" s="10"/>
      <c r="P1029" s="65"/>
      <c r="Q1029" s="10"/>
      <c r="R1029" s="10"/>
      <c r="S1029" s="54" t="str">
        <f t="shared" si="51"/>
        <v/>
      </c>
      <c r="T1029" s="54" t="str">
        <f t="shared" si="52"/>
        <v/>
      </c>
      <c r="U1029" s="58" t="str">
        <f t="shared" si="53"/>
        <v/>
      </c>
      <c r="V1029" s="58">
        <f>IF(AND($B1029&lt;&gt;"",$F1029&lt;&gt;"",$F1029=项目明细账!$C$2),N(V1028)+1,N(V1028))</f>
        <v>0</v>
      </c>
      <c r="W1029" s="63" t="str">
        <f>IF($H1029&lt;&gt;"","项目成本",IFERROR(INDEX(基础资料!$W$4:$W$49,MATCH($I1029,基础资料!$V$4:$V$49,0)),""))</f>
        <v/>
      </c>
      <c r="X1029" s="63" t="str">
        <f>IFERROR(INDEX(基础资料!$R$4:$R$17,MATCH($G1029,基础资料!$Q$4:$Q$17,0)),"")</f>
        <v/>
      </c>
    </row>
    <row r="1030" spans="1:24">
      <c r="A1030" s="58" t="str">
        <f>IF($B1030="","",COUNTA($B$5:$B1030))</f>
        <v/>
      </c>
      <c r="B1030" s="53"/>
      <c r="C1030" s="46"/>
      <c r="D1030" s="63" t="str">
        <f>IFERROR(INDEX(基础资料!$F$4:$F$23,MATCH($C1030,基础资料!$E$4:$E$23,0)),IF($C1030="","","未匹配账户"))</f>
        <v/>
      </c>
      <c r="E1030" s="39"/>
      <c r="F1030" s="10"/>
      <c r="G1030" s="10"/>
      <c r="H1030" s="10"/>
      <c r="I1030" s="10"/>
      <c r="J1030" s="10"/>
      <c r="K1030" s="25"/>
      <c r="L1030" s="25"/>
      <c r="M1030" s="25" t="str">
        <f>IFERROR(VLOOKUP($C1030,$C$5:$M$24,11,0)+SUMIF($C$25:$C1030,$C1030,$K$25:$K1030)-SUMIF($C$25:$C1030,$C1030,$L$25:$L1030),"")</f>
        <v/>
      </c>
      <c r="N1030" s="10"/>
      <c r="O1030" s="10"/>
      <c r="P1030" s="65"/>
      <c r="Q1030" s="10"/>
      <c r="R1030" s="10"/>
      <c r="S1030" s="54" t="str">
        <f t="shared" si="51"/>
        <v/>
      </c>
      <c r="T1030" s="54" t="str">
        <f t="shared" si="52"/>
        <v/>
      </c>
      <c r="U1030" s="58" t="str">
        <f t="shared" si="53"/>
        <v/>
      </c>
      <c r="V1030" s="58">
        <f>IF(AND($B1030&lt;&gt;"",$F1030&lt;&gt;"",$F1030=项目明细账!$C$2),N(V1029)+1,N(V1029))</f>
        <v>0</v>
      </c>
      <c r="W1030" s="63" t="str">
        <f>IF($H1030&lt;&gt;"","项目成本",IFERROR(INDEX(基础资料!$W$4:$W$49,MATCH($I1030,基础资料!$V$4:$V$49,0)),""))</f>
        <v/>
      </c>
      <c r="X1030" s="63" t="str">
        <f>IFERROR(INDEX(基础资料!$R$4:$R$17,MATCH($G1030,基础资料!$Q$4:$Q$17,0)),"")</f>
        <v/>
      </c>
    </row>
    <row r="1031" spans="1:24">
      <c r="A1031" s="58" t="str">
        <f>IF($B1031="","",COUNTA($B$5:$B1031))</f>
        <v/>
      </c>
      <c r="B1031" s="53"/>
      <c r="C1031" s="46"/>
      <c r="D1031" s="63" t="str">
        <f>IFERROR(INDEX(基础资料!$F$4:$F$23,MATCH($C1031,基础资料!$E$4:$E$23,0)),IF($C1031="","","未匹配账户"))</f>
        <v/>
      </c>
      <c r="E1031" s="39"/>
      <c r="F1031" s="10"/>
      <c r="G1031" s="10"/>
      <c r="H1031" s="10"/>
      <c r="I1031" s="10"/>
      <c r="J1031" s="10"/>
      <c r="K1031" s="25"/>
      <c r="L1031" s="25"/>
      <c r="M1031" s="25" t="str">
        <f>IFERROR(VLOOKUP($C1031,$C$5:$M$24,11,0)+SUMIF($C$25:$C1031,$C1031,$K$25:$K1031)-SUMIF($C$25:$C1031,$C1031,$L$25:$L1031),"")</f>
        <v/>
      </c>
      <c r="N1031" s="10"/>
      <c r="O1031" s="10"/>
      <c r="P1031" s="65"/>
      <c r="Q1031" s="10"/>
      <c r="R1031" s="10"/>
      <c r="S1031" s="54" t="str">
        <f t="shared" ref="S1031:S1094" si="54">IF($B1031="","",--TEXT($B1031,"yyyymm"))</f>
        <v/>
      </c>
      <c r="T1031" s="54" t="str">
        <f t="shared" ref="T1031:T1094" si="55">IF($B1031="","",IF($P1031="",$S1031,IFERROR($P1031*1,$P1031)))</f>
        <v/>
      </c>
      <c r="U1031" s="58" t="str">
        <f t="shared" ref="U1031:U1094" si="56">IF($B1031="","",IF($T1031=$S1031,"","跨期"))</f>
        <v/>
      </c>
      <c r="V1031" s="58">
        <f>IF(AND($B1031&lt;&gt;"",$F1031&lt;&gt;"",$F1031=项目明细账!$C$2),N(V1030)+1,N(V1030))</f>
        <v>0</v>
      </c>
      <c r="W1031" s="63" t="str">
        <f>IF($H1031&lt;&gt;"","项目成本",IFERROR(INDEX(基础资料!$W$4:$W$49,MATCH($I1031,基础资料!$V$4:$V$49,0)),""))</f>
        <v/>
      </c>
      <c r="X1031" s="63" t="str">
        <f>IFERROR(INDEX(基础资料!$R$4:$R$17,MATCH($G1031,基础资料!$Q$4:$Q$17,0)),"")</f>
        <v/>
      </c>
    </row>
    <row r="1032" spans="1:24">
      <c r="A1032" s="58" t="str">
        <f>IF($B1032="","",COUNTA($B$5:$B1032))</f>
        <v/>
      </c>
      <c r="B1032" s="53"/>
      <c r="C1032" s="46"/>
      <c r="D1032" s="63" t="str">
        <f>IFERROR(INDEX(基础资料!$F$4:$F$23,MATCH($C1032,基础资料!$E$4:$E$23,0)),IF($C1032="","","未匹配账户"))</f>
        <v/>
      </c>
      <c r="E1032" s="39"/>
      <c r="F1032" s="10"/>
      <c r="G1032" s="10"/>
      <c r="H1032" s="10"/>
      <c r="I1032" s="10"/>
      <c r="J1032" s="10"/>
      <c r="K1032" s="25"/>
      <c r="L1032" s="25"/>
      <c r="M1032" s="25" t="str">
        <f>IFERROR(VLOOKUP($C1032,$C$5:$M$24,11,0)+SUMIF($C$25:$C1032,$C1032,$K$25:$K1032)-SUMIF($C$25:$C1032,$C1032,$L$25:$L1032),"")</f>
        <v/>
      </c>
      <c r="N1032" s="10"/>
      <c r="O1032" s="10"/>
      <c r="P1032" s="65"/>
      <c r="Q1032" s="10"/>
      <c r="R1032" s="10"/>
      <c r="S1032" s="54" t="str">
        <f t="shared" si="54"/>
        <v/>
      </c>
      <c r="T1032" s="54" t="str">
        <f t="shared" si="55"/>
        <v/>
      </c>
      <c r="U1032" s="58" t="str">
        <f t="shared" si="56"/>
        <v/>
      </c>
      <c r="V1032" s="58">
        <f>IF(AND($B1032&lt;&gt;"",$F1032&lt;&gt;"",$F1032=项目明细账!$C$2),N(V1031)+1,N(V1031))</f>
        <v>0</v>
      </c>
      <c r="W1032" s="63" t="str">
        <f>IF($H1032&lt;&gt;"","项目成本",IFERROR(INDEX(基础资料!$W$4:$W$49,MATCH($I1032,基础资料!$V$4:$V$49,0)),""))</f>
        <v/>
      </c>
      <c r="X1032" s="63" t="str">
        <f>IFERROR(INDEX(基础资料!$R$4:$R$17,MATCH($G1032,基础资料!$Q$4:$Q$17,0)),"")</f>
        <v/>
      </c>
    </row>
    <row r="1033" spans="1:24">
      <c r="A1033" s="58" t="str">
        <f>IF($B1033="","",COUNTA($B$5:$B1033))</f>
        <v/>
      </c>
      <c r="B1033" s="53"/>
      <c r="C1033" s="46"/>
      <c r="D1033" s="63" t="str">
        <f>IFERROR(INDEX(基础资料!$F$4:$F$23,MATCH($C1033,基础资料!$E$4:$E$23,0)),IF($C1033="","","未匹配账户"))</f>
        <v/>
      </c>
      <c r="E1033" s="39"/>
      <c r="F1033" s="10"/>
      <c r="G1033" s="10"/>
      <c r="H1033" s="10"/>
      <c r="I1033" s="10"/>
      <c r="J1033" s="10"/>
      <c r="K1033" s="25"/>
      <c r="L1033" s="25"/>
      <c r="M1033" s="25" t="str">
        <f>IFERROR(VLOOKUP($C1033,$C$5:$M$24,11,0)+SUMIF($C$25:$C1033,$C1033,$K$25:$K1033)-SUMIF($C$25:$C1033,$C1033,$L$25:$L1033),"")</f>
        <v/>
      </c>
      <c r="N1033" s="10"/>
      <c r="O1033" s="10"/>
      <c r="P1033" s="65"/>
      <c r="Q1033" s="10"/>
      <c r="R1033" s="10"/>
      <c r="S1033" s="54" t="str">
        <f t="shared" si="54"/>
        <v/>
      </c>
      <c r="T1033" s="54" t="str">
        <f t="shared" si="55"/>
        <v/>
      </c>
      <c r="U1033" s="58" t="str">
        <f t="shared" si="56"/>
        <v/>
      </c>
      <c r="V1033" s="58">
        <f>IF(AND($B1033&lt;&gt;"",$F1033&lt;&gt;"",$F1033=项目明细账!$C$2),N(V1032)+1,N(V1032))</f>
        <v>0</v>
      </c>
      <c r="W1033" s="63" t="str">
        <f>IF($H1033&lt;&gt;"","项目成本",IFERROR(INDEX(基础资料!$W$4:$W$49,MATCH($I1033,基础资料!$V$4:$V$49,0)),""))</f>
        <v/>
      </c>
      <c r="X1033" s="63" t="str">
        <f>IFERROR(INDEX(基础资料!$R$4:$R$17,MATCH($G1033,基础资料!$Q$4:$Q$17,0)),"")</f>
        <v/>
      </c>
    </row>
    <row r="1034" spans="1:24">
      <c r="A1034" s="58" t="str">
        <f>IF($B1034="","",COUNTA($B$5:$B1034))</f>
        <v/>
      </c>
      <c r="B1034" s="53"/>
      <c r="C1034" s="46"/>
      <c r="D1034" s="63" t="str">
        <f>IFERROR(INDEX(基础资料!$F$4:$F$23,MATCH($C1034,基础资料!$E$4:$E$23,0)),IF($C1034="","","未匹配账户"))</f>
        <v/>
      </c>
      <c r="E1034" s="39"/>
      <c r="F1034" s="10"/>
      <c r="G1034" s="10"/>
      <c r="H1034" s="10"/>
      <c r="I1034" s="10"/>
      <c r="J1034" s="10"/>
      <c r="K1034" s="25"/>
      <c r="L1034" s="25"/>
      <c r="M1034" s="25" t="str">
        <f>IFERROR(VLOOKUP($C1034,$C$5:$M$24,11,0)+SUMIF($C$25:$C1034,$C1034,$K$25:$K1034)-SUMIF($C$25:$C1034,$C1034,$L$25:$L1034),"")</f>
        <v/>
      </c>
      <c r="N1034" s="10"/>
      <c r="O1034" s="10"/>
      <c r="P1034" s="65"/>
      <c r="Q1034" s="10"/>
      <c r="R1034" s="10"/>
      <c r="S1034" s="54" t="str">
        <f t="shared" si="54"/>
        <v/>
      </c>
      <c r="T1034" s="54" t="str">
        <f t="shared" si="55"/>
        <v/>
      </c>
      <c r="U1034" s="58" t="str">
        <f t="shared" si="56"/>
        <v/>
      </c>
      <c r="V1034" s="58">
        <f>IF(AND($B1034&lt;&gt;"",$F1034&lt;&gt;"",$F1034=项目明细账!$C$2),N(V1033)+1,N(V1033))</f>
        <v>0</v>
      </c>
      <c r="W1034" s="63" t="str">
        <f>IF($H1034&lt;&gt;"","项目成本",IFERROR(INDEX(基础资料!$W$4:$W$49,MATCH($I1034,基础资料!$V$4:$V$49,0)),""))</f>
        <v/>
      </c>
      <c r="X1034" s="63" t="str">
        <f>IFERROR(INDEX(基础资料!$R$4:$R$17,MATCH($G1034,基础资料!$Q$4:$Q$17,0)),"")</f>
        <v/>
      </c>
    </row>
    <row r="1035" spans="1:24">
      <c r="A1035" s="58" t="str">
        <f>IF($B1035="","",COUNTA($B$5:$B1035))</f>
        <v/>
      </c>
      <c r="B1035" s="53"/>
      <c r="C1035" s="46"/>
      <c r="D1035" s="63" t="str">
        <f>IFERROR(INDEX(基础资料!$F$4:$F$23,MATCH($C1035,基础资料!$E$4:$E$23,0)),IF($C1035="","","未匹配账户"))</f>
        <v/>
      </c>
      <c r="E1035" s="39"/>
      <c r="F1035" s="10"/>
      <c r="G1035" s="10"/>
      <c r="H1035" s="10"/>
      <c r="I1035" s="10"/>
      <c r="J1035" s="10"/>
      <c r="K1035" s="25"/>
      <c r="L1035" s="25"/>
      <c r="M1035" s="25" t="str">
        <f>IFERROR(VLOOKUP($C1035,$C$5:$M$24,11,0)+SUMIF($C$25:$C1035,$C1035,$K$25:$K1035)-SUMIF($C$25:$C1035,$C1035,$L$25:$L1035),"")</f>
        <v/>
      </c>
      <c r="N1035" s="10"/>
      <c r="O1035" s="10"/>
      <c r="P1035" s="65"/>
      <c r="Q1035" s="10"/>
      <c r="R1035" s="10"/>
      <c r="S1035" s="54" t="str">
        <f t="shared" si="54"/>
        <v/>
      </c>
      <c r="T1035" s="54" t="str">
        <f t="shared" si="55"/>
        <v/>
      </c>
      <c r="U1035" s="58" t="str">
        <f t="shared" si="56"/>
        <v/>
      </c>
      <c r="V1035" s="58">
        <f>IF(AND($B1035&lt;&gt;"",$F1035&lt;&gt;"",$F1035=项目明细账!$C$2),N(V1034)+1,N(V1034))</f>
        <v>0</v>
      </c>
      <c r="W1035" s="63" t="str">
        <f>IF($H1035&lt;&gt;"","项目成本",IFERROR(INDEX(基础资料!$W$4:$W$49,MATCH($I1035,基础资料!$V$4:$V$49,0)),""))</f>
        <v/>
      </c>
      <c r="X1035" s="63" t="str">
        <f>IFERROR(INDEX(基础资料!$R$4:$R$17,MATCH($G1035,基础资料!$Q$4:$Q$17,0)),"")</f>
        <v/>
      </c>
    </row>
    <row r="1036" spans="1:24">
      <c r="A1036" s="58" t="str">
        <f>IF($B1036="","",COUNTA($B$5:$B1036))</f>
        <v/>
      </c>
      <c r="B1036" s="53"/>
      <c r="C1036" s="46"/>
      <c r="D1036" s="63" t="str">
        <f>IFERROR(INDEX(基础资料!$F$4:$F$23,MATCH($C1036,基础资料!$E$4:$E$23,0)),IF($C1036="","","未匹配账户"))</f>
        <v/>
      </c>
      <c r="E1036" s="39"/>
      <c r="F1036" s="10"/>
      <c r="G1036" s="10"/>
      <c r="H1036" s="10"/>
      <c r="I1036" s="10"/>
      <c r="J1036" s="10"/>
      <c r="K1036" s="25"/>
      <c r="L1036" s="25"/>
      <c r="M1036" s="25" t="str">
        <f>IFERROR(VLOOKUP($C1036,$C$5:$M$24,11,0)+SUMIF($C$25:$C1036,$C1036,$K$25:$K1036)-SUMIF($C$25:$C1036,$C1036,$L$25:$L1036),"")</f>
        <v/>
      </c>
      <c r="N1036" s="10"/>
      <c r="O1036" s="10"/>
      <c r="P1036" s="65"/>
      <c r="Q1036" s="10"/>
      <c r="R1036" s="10"/>
      <c r="S1036" s="54" t="str">
        <f t="shared" si="54"/>
        <v/>
      </c>
      <c r="T1036" s="54" t="str">
        <f t="shared" si="55"/>
        <v/>
      </c>
      <c r="U1036" s="58" t="str">
        <f t="shared" si="56"/>
        <v/>
      </c>
      <c r="V1036" s="58">
        <f>IF(AND($B1036&lt;&gt;"",$F1036&lt;&gt;"",$F1036=项目明细账!$C$2),N(V1035)+1,N(V1035))</f>
        <v>0</v>
      </c>
      <c r="W1036" s="63" t="str">
        <f>IF($H1036&lt;&gt;"","项目成本",IFERROR(INDEX(基础资料!$W$4:$W$49,MATCH($I1036,基础资料!$V$4:$V$49,0)),""))</f>
        <v/>
      </c>
      <c r="X1036" s="63" t="str">
        <f>IFERROR(INDEX(基础资料!$R$4:$R$17,MATCH($G1036,基础资料!$Q$4:$Q$17,0)),"")</f>
        <v/>
      </c>
    </row>
    <row r="1037" spans="1:24">
      <c r="A1037" s="58" t="str">
        <f>IF($B1037="","",COUNTA($B$5:$B1037))</f>
        <v/>
      </c>
      <c r="B1037" s="53"/>
      <c r="C1037" s="46"/>
      <c r="D1037" s="63" t="str">
        <f>IFERROR(INDEX(基础资料!$F$4:$F$23,MATCH($C1037,基础资料!$E$4:$E$23,0)),IF($C1037="","","未匹配账户"))</f>
        <v/>
      </c>
      <c r="E1037" s="39"/>
      <c r="F1037" s="10"/>
      <c r="G1037" s="10"/>
      <c r="H1037" s="10"/>
      <c r="I1037" s="10"/>
      <c r="J1037" s="10"/>
      <c r="K1037" s="25"/>
      <c r="L1037" s="25"/>
      <c r="M1037" s="25" t="str">
        <f>IFERROR(VLOOKUP($C1037,$C$5:$M$24,11,0)+SUMIF($C$25:$C1037,$C1037,$K$25:$K1037)-SUMIF($C$25:$C1037,$C1037,$L$25:$L1037),"")</f>
        <v/>
      </c>
      <c r="N1037" s="10"/>
      <c r="O1037" s="10"/>
      <c r="P1037" s="65"/>
      <c r="Q1037" s="10"/>
      <c r="R1037" s="10"/>
      <c r="S1037" s="54" t="str">
        <f t="shared" si="54"/>
        <v/>
      </c>
      <c r="T1037" s="54" t="str">
        <f t="shared" si="55"/>
        <v/>
      </c>
      <c r="U1037" s="58" t="str">
        <f t="shared" si="56"/>
        <v/>
      </c>
      <c r="V1037" s="58">
        <f>IF(AND($B1037&lt;&gt;"",$F1037&lt;&gt;"",$F1037=项目明细账!$C$2),N(V1036)+1,N(V1036))</f>
        <v>0</v>
      </c>
      <c r="W1037" s="63" t="str">
        <f>IF($H1037&lt;&gt;"","项目成本",IFERROR(INDEX(基础资料!$W$4:$W$49,MATCH($I1037,基础资料!$V$4:$V$49,0)),""))</f>
        <v/>
      </c>
      <c r="X1037" s="63" t="str">
        <f>IFERROR(INDEX(基础资料!$R$4:$R$17,MATCH($G1037,基础资料!$Q$4:$Q$17,0)),"")</f>
        <v/>
      </c>
    </row>
    <row r="1038" spans="1:24">
      <c r="A1038" s="58" t="str">
        <f>IF($B1038="","",COUNTA($B$5:$B1038))</f>
        <v/>
      </c>
      <c r="B1038" s="53"/>
      <c r="C1038" s="46"/>
      <c r="D1038" s="63" t="str">
        <f>IFERROR(INDEX(基础资料!$F$4:$F$23,MATCH($C1038,基础资料!$E$4:$E$23,0)),IF($C1038="","","未匹配账户"))</f>
        <v/>
      </c>
      <c r="E1038" s="39"/>
      <c r="F1038" s="10"/>
      <c r="G1038" s="10"/>
      <c r="H1038" s="10"/>
      <c r="I1038" s="10"/>
      <c r="J1038" s="10"/>
      <c r="K1038" s="25"/>
      <c r="L1038" s="25"/>
      <c r="M1038" s="25" t="str">
        <f>IFERROR(VLOOKUP($C1038,$C$5:$M$24,11,0)+SUMIF($C$25:$C1038,$C1038,$K$25:$K1038)-SUMIF($C$25:$C1038,$C1038,$L$25:$L1038),"")</f>
        <v/>
      </c>
      <c r="N1038" s="10"/>
      <c r="O1038" s="10"/>
      <c r="P1038" s="65"/>
      <c r="Q1038" s="10"/>
      <c r="R1038" s="10"/>
      <c r="S1038" s="54" t="str">
        <f t="shared" si="54"/>
        <v/>
      </c>
      <c r="T1038" s="54" t="str">
        <f t="shared" si="55"/>
        <v/>
      </c>
      <c r="U1038" s="58" t="str">
        <f t="shared" si="56"/>
        <v/>
      </c>
      <c r="V1038" s="58">
        <f>IF(AND($B1038&lt;&gt;"",$F1038&lt;&gt;"",$F1038=项目明细账!$C$2),N(V1037)+1,N(V1037))</f>
        <v>0</v>
      </c>
      <c r="W1038" s="63" t="str">
        <f>IF($H1038&lt;&gt;"","项目成本",IFERROR(INDEX(基础资料!$W$4:$W$49,MATCH($I1038,基础资料!$V$4:$V$49,0)),""))</f>
        <v/>
      </c>
      <c r="X1038" s="63" t="str">
        <f>IFERROR(INDEX(基础资料!$R$4:$R$17,MATCH($G1038,基础资料!$Q$4:$Q$17,0)),"")</f>
        <v/>
      </c>
    </row>
    <row r="1039" spans="1:24">
      <c r="A1039" s="58" t="str">
        <f>IF($B1039="","",COUNTA($B$5:$B1039))</f>
        <v/>
      </c>
      <c r="B1039" s="53"/>
      <c r="C1039" s="46"/>
      <c r="D1039" s="63" t="str">
        <f>IFERROR(INDEX(基础资料!$F$4:$F$23,MATCH($C1039,基础资料!$E$4:$E$23,0)),IF($C1039="","","未匹配账户"))</f>
        <v/>
      </c>
      <c r="E1039" s="39"/>
      <c r="F1039" s="10"/>
      <c r="G1039" s="10"/>
      <c r="H1039" s="10"/>
      <c r="I1039" s="10"/>
      <c r="J1039" s="10"/>
      <c r="K1039" s="25"/>
      <c r="L1039" s="25"/>
      <c r="M1039" s="25" t="str">
        <f>IFERROR(VLOOKUP($C1039,$C$5:$M$24,11,0)+SUMIF($C$25:$C1039,$C1039,$K$25:$K1039)-SUMIF($C$25:$C1039,$C1039,$L$25:$L1039),"")</f>
        <v/>
      </c>
      <c r="N1039" s="10"/>
      <c r="O1039" s="10"/>
      <c r="P1039" s="65"/>
      <c r="Q1039" s="10"/>
      <c r="R1039" s="10"/>
      <c r="S1039" s="54" t="str">
        <f t="shared" si="54"/>
        <v/>
      </c>
      <c r="T1039" s="54" t="str">
        <f t="shared" si="55"/>
        <v/>
      </c>
      <c r="U1039" s="58" t="str">
        <f t="shared" si="56"/>
        <v/>
      </c>
      <c r="V1039" s="58">
        <f>IF(AND($B1039&lt;&gt;"",$F1039&lt;&gt;"",$F1039=项目明细账!$C$2),N(V1038)+1,N(V1038))</f>
        <v>0</v>
      </c>
      <c r="W1039" s="63" t="str">
        <f>IF($H1039&lt;&gt;"","项目成本",IFERROR(INDEX(基础资料!$W$4:$W$49,MATCH($I1039,基础资料!$V$4:$V$49,0)),""))</f>
        <v/>
      </c>
      <c r="X1039" s="63" t="str">
        <f>IFERROR(INDEX(基础资料!$R$4:$R$17,MATCH($G1039,基础资料!$Q$4:$Q$17,0)),"")</f>
        <v/>
      </c>
    </row>
    <row r="1040" spans="1:24">
      <c r="A1040" s="58" t="str">
        <f>IF($B1040="","",COUNTA($B$5:$B1040))</f>
        <v/>
      </c>
      <c r="B1040" s="53"/>
      <c r="C1040" s="46"/>
      <c r="D1040" s="63" t="str">
        <f>IFERROR(INDEX(基础资料!$F$4:$F$23,MATCH($C1040,基础资料!$E$4:$E$23,0)),IF($C1040="","","未匹配账户"))</f>
        <v/>
      </c>
      <c r="E1040" s="39"/>
      <c r="F1040" s="10"/>
      <c r="G1040" s="10"/>
      <c r="H1040" s="10"/>
      <c r="I1040" s="10"/>
      <c r="J1040" s="10"/>
      <c r="K1040" s="25"/>
      <c r="L1040" s="25"/>
      <c r="M1040" s="25" t="str">
        <f>IFERROR(VLOOKUP($C1040,$C$5:$M$24,11,0)+SUMIF($C$25:$C1040,$C1040,$K$25:$K1040)-SUMIF($C$25:$C1040,$C1040,$L$25:$L1040),"")</f>
        <v/>
      </c>
      <c r="N1040" s="10"/>
      <c r="O1040" s="10"/>
      <c r="P1040" s="65"/>
      <c r="Q1040" s="10"/>
      <c r="R1040" s="10"/>
      <c r="S1040" s="54" t="str">
        <f t="shared" si="54"/>
        <v/>
      </c>
      <c r="T1040" s="54" t="str">
        <f t="shared" si="55"/>
        <v/>
      </c>
      <c r="U1040" s="58" t="str">
        <f t="shared" si="56"/>
        <v/>
      </c>
      <c r="V1040" s="58">
        <f>IF(AND($B1040&lt;&gt;"",$F1040&lt;&gt;"",$F1040=项目明细账!$C$2),N(V1039)+1,N(V1039))</f>
        <v>0</v>
      </c>
      <c r="W1040" s="63" t="str">
        <f>IF($H1040&lt;&gt;"","项目成本",IFERROR(INDEX(基础资料!$W$4:$W$49,MATCH($I1040,基础资料!$V$4:$V$49,0)),""))</f>
        <v/>
      </c>
      <c r="X1040" s="63" t="str">
        <f>IFERROR(INDEX(基础资料!$R$4:$R$17,MATCH($G1040,基础资料!$Q$4:$Q$17,0)),"")</f>
        <v/>
      </c>
    </row>
    <row r="1041" spans="1:24">
      <c r="A1041" s="58" t="str">
        <f>IF($B1041="","",COUNTA($B$5:$B1041))</f>
        <v/>
      </c>
      <c r="B1041" s="53"/>
      <c r="C1041" s="46"/>
      <c r="D1041" s="63" t="str">
        <f>IFERROR(INDEX(基础资料!$F$4:$F$23,MATCH($C1041,基础资料!$E$4:$E$23,0)),IF($C1041="","","未匹配账户"))</f>
        <v/>
      </c>
      <c r="E1041" s="39"/>
      <c r="F1041" s="10"/>
      <c r="G1041" s="10"/>
      <c r="H1041" s="10"/>
      <c r="I1041" s="10"/>
      <c r="J1041" s="10"/>
      <c r="K1041" s="25"/>
      <c r="L1041" s="25"/>
      <c r="M1041" s="25" t="str">
        <f>IFERROR(VLOOKUP($C1041,$C$5:$M$24,11,0)+SUMIF($C$25:$C1041,$C1041,$K$25:$K1041)-SUMIF($C$25:$C1041,$C1041,$L$25:$L1041),"")</f>
        <v/>
      </c>
      <c r="N1041" s="10"/>
      <c r="O1041" s="10"/>
      <c r="P1041" s="65"/>
      <c r="Q1041" s="10"/>
      <c r="R1041" s="10"/>
      <c r="S1041" s="54" t="str">
        <f t="shared" si="54"/>
        <v/>
      </c>
      <c r="T1041" s="54" t="str">
        <f t="shared" si="55"/>
        <v/>
      </c>
      <c r="U1041" s="58" t="str">
        <f t="shared" si="56"/>
        <v/>
      </c>
      <c r="V1041" s="58">
        <f>IF(AND($B1041&lt;&gt;"",$F1041&lt;&gt;"",$F1041=项目明细账!$C$2),N(V1040)+1,N(V1040))</f>
        <v>0</v>
      </c>
      <c r="W1041" s="63" t="str">
        <f>IF($H1041&lt;&gt;"","项目成本",IFERROR(INDEX(基础资料!$W$4:$W$49,MATCH($I1041,基础资料!$V$4:$V$49,0)),""))</f>
        <v/>
      </c>
      <c r="X1041" s="63" t="str">
        <f>IFERROR(INDEX(基础资料!$R$4:$R$17,MATCH($G1041,基础资料!$Q$4:$Q$17,0)),"")</f>
        <v/>
      </c>
    </row>
    <row r="1042" spans="1:24">
      <c r="A1042" s="58" t="str">
        <f>IF($B1042="","",COUNTA($B$5:$B1042))</f>
        <v/>
      </c>
      <c r="B1042" s="53"/>
      <c r="C1042" s="46"/>
      <c r="D1042" s="63" t="str">
        <f>IFERROR(INDEX(基础资料!$F$4:$F$23,MATCH($C1042,基础资料!$E$4:$E$23,0)),IF($C1042="","","未匹配账户"))</f>
        <v/>
      </c>
      <c r="E1042" s="39"/>
      <c r="F1042" s="10"/>
      <c r="G1042" s="10"/>
      <c r="H1042" s="10"/>
      <c r="I1042" s="10"/>
      <c r="J1042" s="10"/>
      <c r="K1042" s="25"/>
      <c r="L1042" s="25"/>
      <c r="M1042" s="25" t="str">
        <f>IFERROR(VLOOKUP($C1042,$C$5:$M$24,11,0)+SUMIF($C$25:$C1042,$C1042,$K$25:$K1042)-SUMIF($C$25:$C1042,$C1042,$L$25:$L1042),"")</f>
        <v/>
      </c>
      <c r="N1042" s="10"/>
      <c r="O1042" s="10"/>
      <c r="P1042" s="65"/>
      <c r="Q1042" s="10"/>
      <c r="R1042" s="10"/>
      <c r="S1042" s="54" t="str">
        <f t="shared" si="54"/>
        <v/>
      </c>
      <c r="T1042" s="54" t="str">
        <f t="shared" si="55"/>
        <v/>
      </c>
      <c r="U1042" s="58" t="str">
        <f t="shared" si="56"/>
        <v/>
      </c>
      <c r="V1042" s="58">
        <f>IF(AND($B1042&lt;&gt;"",$F1042&lt;&gt;"",$F1042=项目明细账!$C$2),N(V1041)+1,N(V1041))</f>
        <v>0</v>
      </c>
      <c r="W1042" s="63" t="str">
        <f>IF($H1042&lt;&gt;"","项目成本",IFERROR(INDEX(基础资料!$W$4:$W$49,MATCH($I1042,基础资料!$V$4:$V$49,0)),""))</f>
        <v/>
      </c>
      <c r="X1042" s="63" t="str">
        <f>IFERROR(INDEX(基础资料!$R$4:$R$17,MATCH($G1042,基础资料!$Q$4:$Q$17,0)),"")</f>
        <v/>
      </c>
    </row>
    <row r="1043" spans="1:24">
      <c r="A1043" s="58" t="str">
        <f>IF($B1043="","",COUNTA($B$5:$B1043))</f>
        <v/>
      </c>
      <c r="B1043" s="53"/>
      <c r="C1043" s="46"/>
      <c r="D1043" s="63" t="str">
        <f>IFERROR(INDEX(基础资料!$F$4:$F$23,MATCH($C1043,基础资料!$E$4:$E$23,0)),IF($C1043="","","未匹配账户"))</f>
        <v/>
      </c>
      <c r="E1043" s="39"/>
      <c r="F1043" s="10"/>
      <c r="G1043" s="10"/>
      <c r="H1043" s="10"/>
      <c r="I1043" s="10"/>
      <c r="J1043" s="10"/>
      <c r="K1043" s="25"/>
      <c r="L1043" s="25"/>
      <c r="M1043" s="25" t="str">
        <f>IFERROR(VLOOKUP($C1043,$C$5:$M$24,11,0)+SUMIF($C$25:$C1043,$C1043,$K$25:$K1043)-SUMIF($C$25:$C1043,$C1043,$L$25:$L1043),"")</f>
        <v/>
      </c>
      <c r="N1043" s="10"/>
      <c r="O1043" s="10"/>
      <c r="P1043" s="65"/>
      <c r="Q1043" s="10"/>
      <c r="R1043" s="10"/>
      <c r="S1043" s="54" t="str">
        <f t="shared" si="54"/>
        <v/>
      </c>
      <c r="T1043" s="54" t="str">
        <f t="shared" si="55"/>
        <v/>
      </c>
      <c r="U1043" s="58" t="str">
        <f t="shared" si="56"/>
        <v/>
      </c>
      <c r="V1043" s="58">
        <f>IF(AND($B1043&lt;&gt;"",$F1043&lt;&gt;"",$F1043=项目明细账!$C$2),N(V1042)+1,N(V1042))</f>
        <v>0</v>
      </c>
      <c r="W1043" s="63" t="str">
        <f>IF($H1043&lt;&gt;"","项目成本",IFERROR(INDEX(基础资料!$W$4:$W$49,MATCH($I1043,基础资料!$V$4:$V$49,0)),""))</f>
        <v/>
      </c>
      <c r="X1043" s="63" t="str">
        <f>IFERROR(INDEX(基础资料!$R$4:$R$17,MATCH($G1043,基础资料!$Q$4:$Q$17,0)),"")</f>
        <v/>
      </c>
    </row>
    <row r="1044" spans="1:24">
      <c r="A1044" s="58" t="str">
        <f>IF($B1044="","",COUNTA($B$5:$B1044))</f>
        <v/>
      </c>
      <c r="B1044" s="53"/>
      <c r="C1044" s="46"/>
      <c r="D1044" s="63" t="str">
        <f>IFERROR(INDEX(基础资料!$F$4:$F$23,MATCH($C1044,基础资料!$E$4:$E$23,0)),IF($C1044="","","未匹配账户"))</f>
        <v/>
      </c>
      <c r="E1044" s="39"/>
      <c r="F1044" s="10"/>
      <c r="G1044" s="10"/>
      <c r="H1044" s="10"/>
      <c r="I1044" s="10"/>
      <c r="J1044" s="10"/>
      <c r="K1044" s="25"/>
      <c r="L1044" s="25"/>
      <c r="M1044" s="25" t="str">
        <f>IFERROR(VLOOKUP($C1044,$C$5:$M$24,11,0)+SUMIF($C$25:$C1044,$C1044,$K$25:$K1044)-SUMIF($C$25:$C1044,$C1044,$L$25:$L1044),"")</f>
        <v/>
      </c>
      <c r="N1044" s="10"/>
      <c r="O1044" s="10"/>
      <c r="P1044" s="65"/>
      <c r="Q1044" s="10"/>
      <c r="R1044" s="10"/>
      <c r="S1044" s="54" t="str">
        <f t="shared" si="54"/>
        <v/>
      </c>
      <c r="T1044" s="54" t="str">
        <f t="shared" si="55"/>
        <v/>
      </c>
      <c r="U1044" s="58" t="str">
        <f t="shared" si="56"/>
        <v/>
      </c>
      <c r="V1044" s="58">
        <f>IF(AND($B1044&lt;&gt;"",$F1044&lt;&gt;"",$F1044=项目明细账!$C$2),N(V1043)+1,N(V1043))</f>
        <v>0</v>
      </c>
      <c r="W1044" s="63" t="str">
        <f>IF($H1044&lt;&gt;"","项目成本",IFERROR(INDEX(基础资料!$W$4:$W$49,MATCH($I1044,基础资料!$V$4:$V$49,0)),""))</f>
        <v/>
      </c>
      <c r="X1044" s="63" t="str">
        <f>IFERROR(INDEX(基础资料!$R$4:$R$17,MATCH($G1044,基础资料!$Q$4:$Q$17,0)),"")</f>
        <v/>
      </c>
    </row>
    <row r="1045" spans="1:24">
      <c r="A1045" s="58" t="str">
        <f>IF($B1045="","",COUNTA($B$5:$B1045))</f>
        <v/>
      </c>
      <c r="B1045" s="53"/>
      <c r="C1045" s="46"/>
      <c r="D1045" s="63" t="str">
        <f>IFERROR(INDEX(基础资料!$F$4:$F$23,MATCH($C1045,基础资料!$E$4:$E$23,0)),IF($C1045="","","未匹配账户"))</f>
        <v/>
      </c>
      <c r="E1045" s="39"/>
      <c r="F1045" s="10"/>
      <c r="G1045" s="10"/>
      <c r="H1045" s="10"/>
      <c r="I1045" s="10"/>
      <c r="J1045" s="10"/>
      <c r="K1045" s="25"/>
      <c r="L1045" s="25"/>
      <c r="M1045" s="25" t="str">
        <f>IFERROR(VLOOKUP($C1045,$C$5:$M$24,11,0)+SUMIF($C$25:$C1045,$C1045,$K$25:$K1045)-SUMIF($C$25:$C1045,$C1045,$L$25:$L1045),"")</f>
        <v/>
      </c>
      <c r="N1045" s="10"/>
      <c r="O1045" s="10"/>
      <c r="P1045" s="65"/>
      <c r="Q1045" s="10"/>
      <c r="R1045" s="10"/>
      <c r="S1045" s="54" t="str">
        <f t="shared" si="54"/>
        <v/>
      </c>
      <c r="T1045" s="54" t="str">
        <f t="shared" si="55"/>
        <v/>
      </c>
      <c r="U1045" s="58" t="str">
        <f t="shared" si="56"/>
        <v/>
      </c>
      <c r="V1045" s="58">
        <f>IF(AND($B1045&lt;&gt;"",$F1045&lt;&gt;"",$F1045=项目明细账!$C$2),N(V1044)+1,N(V1044))</f>
        <v>0</v>
      </c>
      <c r="W1045" s="63" t="str">
        <f>IF($H1045&lt;&gt;"","项目成本",IFERROR(INDEX(基础资料!$W$4:$W$49,MATCH($I1045,基础资料!$V$4:$V$49,0)),""))</f>
        <v/>
      </c>
      <c r="X1045" s="63" t="str">
        <f>IFERROR(INDEX(基础资料!$R$4:$R$17,MATCH($G1045,基础资料!$Q$4:$Q$17,0)),"")</f>
        <v/>
      </c>
    </row>
    <row r="1046" spans="1:24">
      <c r="A1046" s="58" t="str">
        <f>IF($B1046="","",COUNTA($B$5:$B1046))</f>
        <v/>
      </c>
      <c r="B1046" s="53"/>
      <c r="C1046" s="46"/>
      <c r="D1046" s="63" t="str">
        <f>IFERROR(INDEX(基础资料!$F$4:$F$23,MATCH($C1046,基础资料!$E$4:$E$23,0)),IF($C1046="","","未匹配账户"))</f>
        <v/>
      </c>
      <c r="E1046" s="39"/>
      <c r="F1046" s="10"/>
      <c r="G1046" s="10"/>
      <c r="H1046" s="10"/>
      <c r="I1046" s="10"/>
      <c r="J1046" s="10"/>
      <c r="K1046" s="25"/>
      <c r="L1046" s="25"/>
      <c r="M1046" s="25" t="str">
        <f>IFERROR(VLOOKUP($C1046,$C$5:$M$24,11,0)+SUMIF($C$25:$C1046,$C1046,$K$25:$K1046)-SUMIF($C$25:$C1046,$C1046,$L$25:$L1046),"")</f>
        <v/>
      </c>
      <c r="N1046" s="10"/>
      <c r="O1046" s="10"/>
      <c r="P1046" s="65"/>
      <c r="Q1046" s="10"/>
      <c r="R1046" s="10"/>
      <c r="S1046" s="54" t="str">
        <f t="shared" si="54"/>
        <v/>
      </c>
      <c r="T1046" s="54" t="str">
        <f t="shared" si="55"/>
        <v/>
      </c>
      <c r="U1046" s="58" t="str">
        <f t="shared" si="56"/>
        <v/>
      </c>
      <c r="V1046" s="58">
        <f>IF(AND($B1046&lt;&gt;"",$F1046&lt;&gt;"",$F1046=项目明细账!$C$2),N(V1045)+1,N(V1045))</f>
        <v>0</v>
      </c>
      <c r="W1046" s="63" t="str">
        <f>IF($H1046&lt;&gt;"","项目成本",IFERROR(INDEX(基础资料!$W$4:$W$49,MATCH($I1046,基础资料!$V$4:$V$49,0)),""))</f>
        <v/>
      </c>
      <c r="X1046" s="63" t="str">
        <f>IFERROR(INDEX(基础资料!$R$4:$R$17,MATCH($G1046,基础资料!$Q$4:$Q$17,0)),"")</f>
        <v/>
      </c>
    </row>
    <row r="1047" spans="1:24">
      <c r="A1047" s="58" t="str">
        <f>IF($B1047="","",COUNTA($B$5:$B1047))</f>
        <v/>
      </c>
      <c r="B1047" s="53"/>
      <c r="C1047" s="46"/>
      <c r="D1047" s="63" t="str">
        <f>IFERROR(INDEX(基础资料!$F$4:$F$23,MATCH($C1047,基础资料!$E$4:$E$23,0)),IF($C1047="","","未匹配账户"))</f>
        <v/>
      </c>
      <c r="E1047" s="39"/>
      <c r="F1047" s="10"/>
      <c r="G1047" s="10"/>
      <c r="H1047" s="10"/>
      <c r="I1047" s="10"/>
      <c r="J1047" s="10"/>
      <c r="K1047" s="25"/>
      <c r="L1047" s="25"/>
      <c r="M1047" s="25" t="str">
        <f>IFERROR(VLOOKUP($C1047,$C$5:$M$24,11,0)+SUMIF($C$25:$C1047,$C1047,$K$25:$K1047)-SUMIF($C$25:$C1047,$C1047,$L$25:$L1047),"")</f>
        <v/>
      </c>
      <c r="N1047" s="10"/>
      <c r="O1047" s="10"/>
      <c r="P1047" s="65"/>
      <c r="Q1047" s="10"/>
      <c r="R1047" s="10"/>
      <c r="S1047" s="54" t="str">
        <f t="shared" si="54"/>
        <v/>
      </c>
      <c r="T1047" s="54" t="str">
        <f t="shared" si="55"/>
        <v/>
      </c>
      <c r="U1047" s="58" t="str">
        <f t="shared" si="56"/>
        <v/>
      </c>
      <c r="V1047" s="58">
        <f>IF(AND($B1047&lt;&gt;"",$F1047&lt;&gt;"",$F1047=项目明细账!$C$2),N(V1046)+1,N(V1046))</f>
        <v>0</v>
      </c>
      <c r="W1047" s="63" t="str">
        <f>IF($H1047&lt;&gt;"","项目成本",IFERROR(INDEX(基础资料!$W$4:$W$49,MATCH($I1047,基础资料!$V$4:$V$49,0)),""))</f>
        <v/>
      </c>
      <c r="X1047" s="63" t="str">
        <f>IFERROR(INDEX(基础资料!$R$4:$R$17,MATCH($G1047,基础资料!$Q$4:$Q$17,0)),"")</f>
        <v/>
      </c>
    </row>
    <row r="1048" spans="1:24">
      <c r="A1048" s="58" t="str">
        <f>IF($B1048="","",COUNTA($B$5:$B1048))</f>
        <v/>
      </c>
      <c r="B1048" s="53"/>
      <c r="C1048" s="46"/>
      <c r="D1048" s="63" t="str">
        <f>IFERROR(INDEX(基础资料!$F$4:$F$23,MATCH($C1048,基础资料!$E$4:$E$23,0)),IF($C1048="","","未匹配账户"))</f>
        <v/>
      </c>
      <c r="E1048" s="39"/>
      <c r="F1048" s="10"/>
      <c r="G1048" s="10"/>
      <c r="H1048" s="10"/>
      <c r="I1048" s="10"/>
      <c r="J1048" s="10"/>
      <c r="K1048" s="25"/>
      <c r="L1048" s="25"/>
      <c r="M1048" s="25" t="str">
        <f>IFERROR(VLOOKUP($C1048,$C$5:$M$24,11,0)+SUMIF($C$25:$C1048,$C1048,$K$25:$K1048)-SUMIF($C$25:$C1048,$C1048,$L$25:$L1048),"")</f>
        <v/>
      </c>
      <c r="N1048" s="10"/>
      <c r="O1048" s="10"/>
      <c r="P1048" s="65"/>
      <c r="Q1048" s="10"/>
      <c r="R1048" s="10"/>
      <c r="S1048" s="54" t="str">
        <f t="shared" si="54"/>
        <v/>
      </c>
      <c r="T1048" s="54" t="str">
        <f t="shared" si="55"/>
        <v/>
      </c>
      <c r="U1048" s="58" t="str">
        <f t="shared" si="56"/>
        <v/>
      </c>
      <c r="V1048" s="58">
        <f>IF(AND($B1048&lt;&gt;"",$F1048&lt;&gt;"",$F1048=项目明细账!$C$2),N(V1047)+1,N(V1047))</f>
        <v>0</v>
      </c>
      <c r="W1048" s="63" t="str">
        <f>IF($H1048&lt;&gt;"","项目成本",IFERROR(INDEX(基础资料!$W$4:$W$49,MATCH($I1048,基础资料!$V$4:$V$49,0)),""))</f>
        <v/>
      </c>
      <c r="X1048" s="63" t="str">
        <f>IFERROR(INDEX(基础资料!$R$4:$R$17,MATCH($G1048,基础资料!$Q$4:$Q$17,0)),"")</f>
        <v/>
      </c>
    </row>
    <row r="1049" spans="1:24">
      <c r="A1049" s="58" t="str">
        <f>IF($B1049="","",COUNTA($B$5:$B1049))</f>
        <v/>
      </c>
      <c r="B1049" s="53"/>
      <c r="C1049" s="46"/>
      <c r="D1049" s="63" t="str">
        <f>IFERROR(INDEX(基础资料!$F$4:$F$23,MATCH($C1049,基础资料!$E$4:$E$23,0)),IF($C1049="","","未匹配账户"))</f>
        <v/>
      </c>
      <c r="E1049" s="39"/>
      <c r="F1049" s="10"/>
      <c r="G1049" s="10"/>
      <c r="H1049" s="10"/>
      <c r="I1049" s="10"/>
      <c r="J1049" s="10"/>
      <c r="K1049" s="25"/>
      <c r="L1049" s="25"/>
      <c r="M1049" s="25" t="str">
        <f>IFERROR(VLOOKUP($C1049,$C$5:$M$24,11,0)+SUMIF($C$25:$C1049,$C1049,$K$25:$K1049)-SUMIF($C$25:$C1049,$C1049,$L$25:$L1049),"")</f>
        <v/>
      </c>
      <c r="N1049" s="10"/>
      <c r="O1049" s="10"/>
      <c r="P1049" s="65"/>
      <c r="Q1049" s="10"/>
      <c r="R1049" s="10"/>
      <c r="S1049" s="54" t="str">
        <f t="shared" si="54"/>
        <v/>
      </c>
      <c r="T1049" s="54" t="str">
        <f t="shared" si="55"/>
        <v/>
      </c>
      <c r="U1049" s="58" t="str">
        <f t="shared" si="56"/>
        <v/>
      </c>
      <c r="V1049" s="58">
        <f>IF(AND($B1049&lt;&gt;"",$F1049&lt;&gt;"",$F1049=项目明细账!$C$2),N(V1048)+1,N(V1048))</f>
        <v>0</v>
      </c>
      <c r="W1049" s="63" t="str">
        <f>IF($H1049&lt;&gt;"","项目成本",IFERROR(INDEX(基础资料!$W$4:$W$49,MATCH($I1049,基础资料!$V$4:$V$49,0)),""))</f>
        <v/>
      </c>
      <c r="X1049" s="63" t="str">
        <f>IFERROR(INDEX(基础资料!$R$4:$R$17,MATCH($G1049,基础资料!$Q$4:$Q$17,0)),"")</f>
        <v/>
      </c>
    </row>
    <row r="1050" spans="1:24">
      <c r="A1050" s="58" t="str">
        <f>IF($B1050="","",COUNTA($B$5:$B1050))</f>
        <v/>
      </c>
      <c r="B1050" s="53"/>
      <c r="C1050" s="46"/>
      <c r="D1050" s="63" t="str">
        <f>IFERROR(INDEX(基础资料!$F$4:$F$23,MATCH($C1050,基础资料!$E$4:$E$23,0)),IF($C1050="","","未匹配账户"))</f>
        <v/>
      </c>
      <c r="E1050" s="39"/>
      <c r="F1050" s="10"/>
      <c r="G1050" s="10"/>
      <c r="H1050" s="10"/>
      <c r="I1050" s="10"/>
      <c r="J1050" s="10"/>
      <c r="K1050" s="25"/>
      <c r="L1050" s="25"/>
      <c r="M1050" s="25" t="str">
        <f>IFERROR(VLOOKUP($C1050,$C$5:$M$24,11,0)+SUMIF($C$25:$C1050,$C1050,$K$25:$K1050)-SUMIF($C$25:$C1050,$C1050,$L$25:$L1050),"")</f>
        <v/>
      </c>
      <c r="N1050" s="10"/>
      <c r="O1050" s="10"/>
      <c r="P1050" s="65"/>
      <c r="Q1050" s="10"/>
      <c r="R1050" s="10"/>
      <c r="S1050" s="54" t="str">
        <f t="shared" si="54"/>
        <v/>
      </c>
      <c r="T1050" s="54" t="str">
        <f t="shared" si="55"/>
        <v/>
      </c>
      <c r="U1050" s="58" t="str">
        <f t="shared" si="56"/>
        <v/>
      </c>
      <c r="V1050" s="58">
        <f>IF(AND($B1050&lt;&gt;"",$F1050&lt;&gt;"",$F1050=项目明细账!$C$2),N(V1049)+1,N(V1049))</f>
        <v>0</v>
      </c>
      <c r="W1050" s="63" t="str">
        <f>IF($H1050&lt;&gt;"","项目成本",IFERROR(INDEX(基础资料!$W$4:$W$49,MATCH($I1050,基础资料!$V$4:$V$49,0)),""))</f>
        <v/>
      </c>
      <c r="X1050" s="63" t="str">
        <f>IFERROR(INDEX(基础资料!$R$4:$R$17,MATCH($G1050,基础资料!$Q$4:$Q$17,0)),"")</f>
        <v/>
      </c>
    </row>
    <row r="1051" spans="1:24">
      <c r="A1051" s="58" t="str">
        <f>IF($B1051="","",COUNTA($B$5:$B1051))</f>
        <v/>
      </c>
      <c r="B1051" s="53"/>
      <c r="C1051" s="46"/>
      <c r="D1051" s="63" t="str">
        <f>IFERROR(INDEX(基础资料!$F$4:$F$23,MATCH($C1051,基础资料!$E$4:$E$23,0)),IF($C1051="","","未匹配账户"))</f>
        <v/>
      </c>
      <c r="E1051" s="39"/>
      <c r="F1051" s="10"/>
      <c r="G1051" s="10"/>
      <c r="H1051" s="10"/>
      <c r="I1051" s="10"/>
      <c r="J1051" s="10"/>
      <c r="K1051" s="25"/>
      <c r="L1051" s="25"/>
      <c r="M1051" s="25" t="str">
        <f>IFERROR(VLOOKUP($C1051,$C$5:$M$24,11,0)+SUMIF($C$25:$C1051,$C1051,$K$25:$K1051)-SUMIF($C$25:$C1051,$C1051,$L$25:$L1051),"")</f>
        <v/>
      </c>
      <c r="N1051" s="10"/>
      <c r="O1051" s="10"/>
      <c r="P1051" s="65"/>
      <c r="Q1051" s="10"/>
      <c r="R1051" s="10"/>
      <c r="S1051" s="54" t="str">
        <f t="shared" si="54"/>
        <v/>
      </c>
      <c r="T1051" s="54" t="str">
        <f t="shared" si="55"/>
        <v/>
      </c>
      <c r="U1051" s="58" t="str">
        <f t="shared" si="56"/>
        <v/>
      </c>
      <c r="V1051" s="58">
        <f>IF(AND($B1051&lt;&gt;"",$F1051&lt;&gt;"",$F1051=项目明细账!$C$2),N(V1050)+1,N(V1050))</f>
        <v>0</v>
      </c>
      <c r="W1051" s="63" t="str">
        <f>IF($H1051&lt;&gt;"","项目成本",IFERROR(INDEX(基础资料!$W$4:$W$49,MATCH($I1051,基础资料!$V$4:$V$49,0)),""))</f>
        <v/>
      </c>
      <c r="X1051" s="63" t="str">
        <f>IFERROR(INDEX(基础资料!$R$4:$R$17,MATCH($G1051,基础资料!$Q$4:$Q$17,0)),"")</f>
        <v/>
      </c>
    </row>
    <row r="1052" spans="1:24">
      <c r="A1052" s="58" t="str">
        <f>IF($B1052="","",COUNTA($B$5:$B1052))</f>
        <v/>
      </c>
      <c r="B1052" s="53"/>
      <c r="C1052" s="46"/>
      <c r="D1052" s="63" t="str">
        <f>IFERROR(INDEX(基础资料!$F$4:$F$23,MATCH($C1052,基础资料!$E$4:$E$23,0)),IF($C1052="","","未匹配账户"))</f>
        <v/>
      </c>
      <c r="E1052" s="39"/>
      <c r="F1052" s="10"/>
      <c r="G1052" s="10"/>
      <c r="H1052" s="10"/>
      <c r="I1052" s="10"/>
      <c r="J1052" s="10"/>
      <c r="K1052" s="25"/>
      <c r="L1052" s="25"/>
      <c r="M1052" s="25" t="str">
        <f>IFERROR(VLOOKUP($C1052,$C$5:$M$24,11,0)+SUMIF($C$25:$C1052,$C1052,$K$25:$K1052)-SUMIF($C$25:$C1052,$C1052,$L$25:$L1052),"")</f>
        <v/>
      </c>
      <c r="N1052" s="10"/>
      <c r="O1052" s="10"/>
      <c r="P1052" s="65"/>
      <c r="Q1052" s="10"/>
      <c r="R1052" s="10"/>
      <c r="S1052" s="54" t="str">
        <f t="shared" si="54"/>
        <v/>
      </c>
      <c r="T1052" s="54" t="str">
        <f t="shared" si="55"/>
        <v/>
      </c>
      <c r="U1052" s="58" t="str">
        <f t="shared" si="56"/>
        <v/>
      </c>
      <c r="V1052" s="58">
        <f>IF(AND($B1052&lt;&gt;"",$F1052&lt;&gt;"",$F1052=项目明细账!$C$2),N(V1051)+1,N(V1051))</f>
        <v>0</v>
      </c>
      <c r="W1052" s="63" t="str">
        <f>IF($H1052&lt;&gt;"","项目成本",IFERROR(INDEX(基础资料!$W$4:$W$49,MATCH($I1052,基础资料!$V$4:$V$49,0)),""))</f>
        <v/>
      </c>
      <c r="X1052" s="63" t="str">
        <f>IFERROR(INDEX(基础资料!$R$4:$R$17,MATCH($G1052,基础资料!$Q$4:$Q$17,0)),"")</f>
        <v/>
      </c>
    </row>
    <row r="1053" spans="1:24">
      <c r="A1053" s="58" t="str">
        <f>IF($B1053="","",COUNTA($B$5:$B1053))</f>
        <v/>
      </c>
      <c r="B1053" s="53"/>
      <c r="C1053" s="46"/>
      <c r="D1053" s="63" t="str">
        <f>IFERROR(INDEX(基础资料!$F$4:$F$23,MATCH($C1053,基础资料!$E$4:$E$23,0)),IF($C1053="","","未匹配账户"))</f>
        <v/>
      </c>
      <c r="E1053" s="39"/>
      <c r="F1053" s="10"/>
      <c r="G1053" s="10"/>
      <c r="H1053" s="10"/>
      <c r="I1053" s="10"/>
      <c r="J1053" s="10"/>
      <c r="K1053" s="25"/>
      <c r="L1053" s="25"/>
      <c r="M1053" s="25" t="str">
        <f>IFERROR(VLOOKUP($C1053,$C$5:$M$24,11,0)+SUMIF($C$25:$C1053,$C1053,$K$25:$K1053)-SUMIF($C$25:$C1053,$C1053,$L$25:$L1053),"")</f>
        <v/>
      </c>
      <c r="N1053" s="10"/>
      <c r="O1053" s="10"/>
      <c r="P1053" s="65"/>
      <c r="Q1053" s="10"/>
      <c r="R1053" s="10"/>
      <c r="S1053" s="54" t="str">
        <f t="shared" si="54"/>
        <v/>
      </c>
      <c r="T1053" s="54" t="str">
        <f t="shared" si="55"/>
        <v/>
      </c>
      <c r="U1053" s="58" t="str">
        <f t="shared" si="56"/>
        <v/>
      </c>
      <c r="V1053" s="58">
        <f>IF(AND($B1053&lt;&gt;"",$F1053&lt;&gt;"",$F1053=项目明细账!$C$2),N(V1052)+1,N(V1052))</f>
        <v>0</v>
      </c>
      <c r="W1053" s="63" t="str">
        <f>IF($H1053&lt;&gt;"","项目成本",IFERROR(INDEX(基础资料!$W$4:$W$49,MATCH($I1053,基础资料!$V$4:$V$49,0)),""))</f>
        <v/>
      </c>
      <c r="X1053" s="63" t="str">
        <f>IFERROR(INDEX(基础资料!$R$4:$R$17,MATCH($G1053,基础资料!$Q$4:$Q$17,0)),"")</f>
        <v/>
      </c>
    </row>
    <row r="1054" spans="1:24">
      <c r="A1054" s="58" t="str">
        <f>IF($B1054="","",COUNTA($B$5:$B1054))</f>
        <v/>
      </c>
      <c r="B1054" s="53"/>
      <c r="C1054" s="46"/>
      <c r="D1054" s="63" t="str">
        <f>IFERROR(INDEX(基础资料!$F$4:$F$23,MATCH($C1054,基础资料!$E$4:$E$23,0)),IF($C1054="","","未匹配账户"))</f>
        <v/>
      </c>
      <c r="E1054" s="39"/>
      <c r="F1054" s="10"/>
      <c r="G1054" s="10"/>
      <c r="H1054" s="10"/>
      <c r="I1054" s="10"/>
      <c r="J1054" s="10"/>
      <c r="K1054" s="25"/>
      <c r="L1054" s="25"/>
      <c r="M1054" s="25" t="str">
        <f>IFERROR(VLOOKUP($C1054,$C$5:$M$24,11,0)+SUMIF($C$25:$C1054,$C1054,$K$25:$K1054)-SUMIF($C$25:$C1054,$C1054,$L$25:$L1054),"")</f>
        <v/>
      </c>
      <c r="N1054" s="10"/>
      <c r="O1054" s="10"/>
      <c r="P1054" s="65"/>
      <c r="Q1054" s="10"/>
      <c r="R1054" s="10"/>
      <c r="S1054" s="54" t="str">
        <f t="shared" si="54"/>
        <v/>
      </c>
      <c r="T1054" s="54" t="str">
        <f t="shared" si="55"/>
        <v/>
      </c>
      <c r="U1054" s="58" t="str">
        <f t="shared" si="56"/>
        <v/>
      </c>
      <c r="V1054" s="58">
        <f>IF(AND($B1054&lt;&gt;"",$F1054&lt;&gt;"",$F1054=项目明细账!$C$2),N(V1053)+1,N(V1053))</f>
        <v>0</v>
      </c>
      <c r="W1054" s="63" t="str">
        <f>IF($H1054&lt;&gt;"","项目成本",IFERROR(INDEX(基础资料!$W$4:$W$49,MATCH($I1054,基础资料!$V$4:$V$49,0)),""))</f>
        <v/>
      </c>
      <c r="X1054" s="63" t="str">
        <f>IFERROR(INDEX(基础资料!$R$4:$R$17,MATCH($G1054,基础资料!$Q$4:$Q$17,0)),"")</f>
        <v/>
      </c>
    </row>
    <row r="1055" spans="1:24">
      <c r="A1055" s="58" t="str">
        <f>IF($B1055="","",COUNTA($B$5:$B1055))</f>
        <v/>
      </c>
      <c r="B1055" s="53"/>
      <c r="C1055" s="46"/>
      <c r="D1055" s="63" t="str">
        <f>IFERROR(INDEX(基础资料!$F$4:$F$23,MATCH($C1055,基础资料!$E$4:$E$23,0)),IF($C1055="","","未匹配账户"))</f>
        <v/>
      </c>
      <c r="E1055" s="39"/>
      <c r="F1055" s="10"/>
      <c r="G1055" s="10"/>
      <c r="H1055" s="10"/>
      <c r="I1055" s="10"/>
      <c r="J1055" s="10"/>
      <c r="K1055" s="25"/>
      <c r="L1055" s="25"/>
      <c r="M1055" s="25" t="str">
        <f>IFERROR(VLOOKUP($C1055,$C$5:$M$24,11,0)+SUMIF($C$25:$C1055,$C1055,$K$25:$K1055)-SUMIF($C$25:$C1055,$C1055,$L$25:$L1055),"")</f>
        <v/>
      </c>
      <c r="N1055" s="10"/>
      <c r="O1055" s="10"/>
      <c r="P1055" s="65"/>
      <c r="Q1055" s="10"/>
      <c r="R1055" s="10"/>
      <c r="S1055" s="54" t="str">
        <f t="shared" si="54"/>
        <v/>
      </c>
      <c r="T1055" s="54" t="str">
        <f t="shared" si="55"/>
        <v/>
      </c>
      <c r="U1055" s="58" t="str">
        <f t="shared" si="56"/>
        <v/>
      </c>
      <c r="V1055" s="58">
        <f>IF(AND($B1055&lt;&gt;"",$F1055&lt;&gt;"",$F1055=项目明细账!$C$2),N(V1054)+1,N(V1054))</f>
        <v>0</v>
      </c>
      <c r="W1055" s="63" t="str">
        <f>IF($H1055&lt;&gt;"","项目成本",IFERROR(INDEX(基础资料!$W$4:$W$49,MATCH($I1055,基础资料!$V$4:$V$49,0)),""))</f>
        <v/>
      </c>
      <c r="X1055" s="63" t="str">
        <f>IFERROR(INDEX(基础资料!$R$4:$R$17,MATCH($G1055,基础资料!$Q$4:$Q$17,0)),"")</f>
        <v/>
      </c>
    </row>
    <row r="1056" spans="1:24">
      <c r="A1056" s="58" t="str">
        <f>IF($B1056="","",COUNTA($B$5:$B1056))</f>
        <v/>
      </c>
      <c r="B1056" s="53"/>
      <c r="C1056" s="46"/>
      <c r="D1056" s="63" t="str">
        <f>IFERROR(INDEX(基础资料!$F$4:$F$23,MATCH($C1056,基础资料!$E$4:$E$23,0)),IF($C1056="","","未匹配账户"))</f>
        <v/>
      </c>
      <c r="E1056" s="39"/>
      <c r="F1056" s="10"/>
      <c r="G1056" s="10"/>
      <c r="H1056" s="10"/>
      <c r="I1056" s="10"/>
      <c r="J1056" s="10"/>
      <c r="K1056" s="25"/>
      <c r="L1056" s="25"/>
      <c r="M1056" s="25" t="str">
        <f>IFERROR(VLOOKUP($C1056,$C$5:$M$24,11,0)+SUMIF($C$25:$C1056,$C1056,$K$25:$K1056)-SUMIF($C$25:$C1056,$C1056,$L$25:$L1056),"")</f>
        <v/>
      </c>
      <c r="N1056" s="10"/>
      <c r="O1056" s="10"/>
      <c r="P1056" s="65"/>
      <c r="Q1056" s="10"/>
      <c r="R1056" s="10"/>
      <c r="S1056" s="54" t="str">
        <f t="shared" si="54"/>
        <v/>
      </c>
      <c r="T1056" s="54" t="str">
        <f t="shared" si="55"/>
        <v/>
      </c>
      <c r="U1056" s="58" t="str">
        <f t="shared" si="56"/>
        <v/>
      </c>
      <c r="V1056" s="58">
        <f>IF(AND($B1056&lt;&gt;"",$F1056&lt;&gt;"",$F1056=项目明细账!$C$2),N(V1055)+1,N(V1055))</f>
        <v>0</v>
      </c>
      <c r="W1056" s="63" t="str">
        <f>IF($H1056&lt;&gt;"","项目成本",IFERROR(INDEX(基础资料!$W$4:$W$49,MATCH($I1056,基础资料!$V$4:$V$49,0)),""))</f>
        <v/>
      </c>
      <c r="X1056" s="63" t="str">
        <f>IFERROR(INDEX(基础资料!$R$4:$R$17,MATCH($G1056,基础资料!$Q$4:$Q$17,0)),"")</f>
        <v/>
      </c>
    </row>
    <row r="1057" spans="1:24">
      <c r="A1057" s="58" t="str">
        <f>IF($B1057="","",COUNTA($B$5:$B1057))</f>
        <v/>
      </c>
      <c r="B1057" s="53"/>
      <c r="C1057" s="46"/>
      <c r="D1057" s="63" t="str">
        <f>IFERROR(INDEX(基础资料!$F$4:$F$23,MATCH($C1057,基础资料!$E$4:$E$23,0)),IF($C1057="","","未匹配账户"))</f>
        <v/>
      </c>
      <c r="E1057" s="39"/>
      <c r="F1057" s="10"/>
      <c r="G1057" s="10"/>
      <c r="H1057" s="10"/>
      <c r="I1057" s="10"/>
      <c r="J1057" s="10"/>
      <c r="K1057" s="25"/>
      <c r="L1057" s="25"/>
      <c r="M1057" s="25" t="str">
        <f>IFERROR(VLOOKUP($C1057,$C$5:$M$24,11,0)+SUMIF($C$25:$C1057,$C1057,$K$25:$K1057)-SUMIF($C$25:$C1057,$C1057,$L$25:$L1057),"")</f>
        <v/>
      </c>
      <c r="N1057" s="10"/>
      <c r="O1057" s="10"/>
      <c r="P1057" s="65"/>
      <c r="Q1057" s="10"/>
      <c r="R1057" s="10"/>
      <c r="S1057" s="54" t="str">
        <f t="shared" si="54"/>
        <v/>
      </c>
      <c r="T1057" s="54" t="str">
        <f t="shared" si="55"/>
        <v/>
      </c>
      <c r="U1057" s="58" t="str">
        <f t="shared" si="56"/>
        <v/>
      </c>
      <c r="V1057" s="58">
        <f>IF(AND($B1057&lt;&gt;"",$F1057&lt;&gt;"",$F1057=项目明细账!$C$2),N(V1056)+1,N(V1056))</f>
        <v>0</v>
      </c>
      <c r="W1057" s="63" t="str">
        <f>IF($H1057&lt;&gt;"","项目成本",IFERROR(INDEX(基础资料!$W$4:$W$49,MATCH($I1057,基础资料!$V$4:$V$49,0)),""))</f>
        <v/>
      </c>
      <c r="X1057" s="63" t="str">
        <f>IFERROR(INDEX(基础资料!$R$4:$R$17,MATCH($G1057,基础资料!$Q$4:$Q$17,0)),"")</f>
        <v/>
      </c>
    </row>
    <row r="1058" spans="1:24">
      <c r="A1058" s="58" t="str">
        <f>IF($B1058="","",COUNTA($B$5:$B1058))</f>
        <v/>
      </c>
      <c r="B1058" s="53"/>
      <c r="C1058" s="46"/>
      <c r="D1058" s="63" t="str">
        <f>IFERROR(INDEX(基础资料!$F$4:$F$23,MATCH($C1058,基础资料!$E$4:$E$23,0)),IF($C1058="","","未匹配账户"))</f>
        <v/>
      </c>
      <c r="E1058" s="39"/>
      <c r="F1058" s="10"/>
      <c r="G1058" s="10"/>
      <c r="H1058" s="10"/>
      <c r="I1058" s="10"/>
      <c r="J1058" s="10"/>
      <c r="K1058" s="25"/>
      <c r="L1058" s="25"/>
      <c r="M1058" s="25" t="str">
        <f>IFERROR(VLOOKUP($C1058,$C$5:$M$24,11,0)+SUMIF($C$25:$C1058,$C1058,$K$25:$K1058)-SUMIF($C$25:$C1058,$C1058,$L$25:$L1058),"")</f>
        <v/>
      </c>
      <c r="N1058" s="10"/>
      <c r="O1058" s="10"/>
      <c r="P1058" s="65"/>
      <c r="Q1058" s="10"/>
      <c r="R1058" s="10"/>
      <c r="S1058" s="54" t="str">
        <f t="shared" si="54"/>
        <v/>
      </c>
      <c r="T1058" s="54" t="str">
        <f t="shared" si="55"/>
        <v/>
      </c>
      <c r="U1058" s="58" t="str">
        <f t="shared" si="56"/>
        <v/>
      </c>
      <c r="V1058" s="58">
        <f>IF(AND($B1058&lt;&gt;"",$F1058&lt;&gt;"",$F1058=项目明细账!$C$2),N(V1057)+1,N(V1057))</f>
        <v>0</v>
      </c>
      <c r="W1058" s="63" t="str">
        <f>IF($H1058&lt;&gt;"","项目成本",IFERROR(INDEX(基础资料!$W$4:$W$49,MATCH($I1058,基础资料!$V$4:$V$49,0)),""))</f>
        <v/>
      </c>
      <c r="X1058" s="63" t="str">
        <f>IFERROR(INDEX(基础资料!$R$4:$R$17,MATCH($G1058,基础资料!$Q$4:$Q$17,0)),"")</f>
        <v/>
      </c>
    </row>
    <row r="1059" spans="1:24">
      <c r="A1059" s="58" t="str">
        <f>IF($B1059="","",COUNTA($B$5:$B1059))</f>
        <v/>
      </c>
      <c r="B1059" s="53"/>
      <c r="C1059" s="46"/>
      <c r="D1059" s="63" t="str">
        <f>IFERROR(INDEX(基础资料!$F$4:$F$23,MATCH($C1059,基础资料!$E$4:$E$23,0)),IF($C1059="","","未匹配账户"))</f>
        <v/>
      </c>
      <c r="E1059" s="39"/>
      <c r="F1059" s="10"/>
      <c r="G1059" s="10"/>
      <c r="H1059" s="10"/>
      <c r="I1059" s="10"/>
      <c r="J1059" s="10"/>
      <c r="K1059" s="25"/>
      <c r="L1059" s="25"/>
      <c r="M1059" s="25" t="str">
        <f>IFERROR(VLOOKUP($C1059,$C$5:$M$24,11,0)+SUMIF($C$25:$C1059,$C1059,$K$25:$K1059)-SUMIF($C$25:$C1059,$C1059,$L$25:$L1059),"")</f>
        <v/>
      </c>
      <c r="N1059" s="10"/>
      <c r="O1059" s="10"/>
      <c r="P1059" s="65"/>
      <c r="Q1059" s="10"/>
      <c r="R1059" s="10"/>
      <c r="S1059" s="54" t="str">
        <f t="shared" si="54"/>
        <v/>
      </c>
      <c r="T1059" s="54" t="str">
        <f t="shared" si="55"/>
        <v/>
      </c>
      <c r="U1059" s="58" t="str">
        <f t="shared" si="56"/>
        <v/>
      </c>
      <c r="V1059" s="58">
        <f>IF(AND($B1059&lt;&gt;"",$F1059&lt;&gt;"",$F1059=项目明细账!$C$2),N(V1058)+1,N(V1058))</f>
        <v>0</v>
      </c>
      <c r="W1059" s="63" t="str">
        <f>IF($H1059&lt;&gt;"","项目成本",IFERROR(INDEX(基础资料!$W$4:$W$49,MATCH($I1059,基础资料!$V$4:$V$49,0)),""))</f>
        <v/>
      </c>
      <c r="X1059" s="63" t="str">
        <f>IFERROR(INDEX(基础资料!$R$4:$R$17,MATCH($G1059,基础资料!$Q$4:$Q$17,0)),"")</f>
        <v/>
      </c>
    </row>
    <row r="1060" spans="1:24">
      <c r="A1060" s="58" t="str">
        <f>IF($B1060="","",COUNTA($B$5:$B1060))</f>
        <v/>
      </c>
      <c r="B1060" s="53"/>
      <c r="C1060" s="46"/>
      <c r="D1060" s="63" t="str">
        <f>IFERROR(INDEX(基础资料!$F$4:$F$23,MATCH($C1060,基础资料!$E$4:$E$23,0)),IF($C1060="","","未匹配账户"))</f>
        <v/>
      </c>
      <c r="E1060" s="39"/>
      <c r="F1060" s="10"/>
      <c r="G1060" s="10"/>
      <c r="H1060" s="10"/>
      <c r="I1060" s="10"/>
      <c r="J1060" s="10"/>
      <c r="K1060" s="25"/>
      <c r="L1060" s="25"/>
      <c r="M1060" s="25" t="str">
        <f>IFERROR(VLOOKUP($C1060,$C$5:$M$24,11,0)+SUMIF($C$25:$C1060,$C1060,$K$25:$K1060)-SUMIF($C$25:$C1060,$C1060,$L$25:$L1060),"")</f>
        <v/>
      </c>
      <c r="N1060" s="10"/>
      <c r="O1060" s="10"/>
      <c r="P1060" s="65"/>
      <c r="Q1060" s="10"/>
      <c r="R1060" s="10"/>
      <c r="S1060" s="54" t="str">
        <f t="shared" si="54"/>
        <v/>
      </c>
      <c r="T1060" s="54" t="str">
        <f t="shared" si="55"/>
        <v/>
      </c>
      <c r="U1060" s="58" t="str">
        <f t="shared" si="56"/>
        <v/>
      </c>
      <c r="V1060" s="58">
        <f>IF(AND($B1060&lt;&gt;"",$F1060&lt;&gt;"",$F1060=项目明细账!$C$2),N(V1059)+1,N(V1059))</f>
        <v>0</v>
      </c>
      <c r="W1060" s="63" t="str">
        <f>IF($H1060&lt;&gt;"","项目成本",IFERROR(INDEX(基础资料!$W$4:$W$49,MATCH($I1060,基础资料!$V$4:$V$49,0)),""))</f>
        <v/>
      </c>
      <c r="X1060" s="63" t="str">
        <f>IFERROR(INDEX(基础资料!$R$4:$R$17,MATCH($G1060,基础资料!$Q$4:$Q$17,0)),"")</f>
        <v/>
      </c>
    </row>
    <row r="1061" spans="1:24">
      <c r="A1061" s="58" t="str">
        <f>IF($B1061="","",COUNTA($B$5:$B1061))</f>
        <v/>
      </c>
      <c r="B1061" s="53"/>
      <c r="C1061" s="46"/>
      <c r="D1061" s="63" t="str">
        <f>IFERROR(INDEX(基础资料!$F$4:$F$23,MATCH($C1061,基础资料!$E$4:$E$23,0)),IF($C1061="","","未匹配账户"))</f>
        <v/>
      </c>
      <c r="E1061" s="39"/>
      <c r="F1061" s="10"/>
      <c r="G1061" s="10"/>
      <c r="H1061" s="10"/>
      <c r="I1061" s="10"/>
      <c r="J1061" s="10"/>
      <c r="K1061" s="25"/>
      <c r="L1061" s="25"/>
      <c r="M1061" s="25" t="str">
        <f>IFERROR(VLOOKUP($C1061,$C$5:$M$24,11,0)+SUMIF($C$25:$C1061,$C1061,$K$25:$K1061)-SUMIF($C$25:$C1061,$C1061,$L$25:$L1061),"")</f>
        <v/>
      </c>
      <c r="N1061" s="10"/>
      <c r="O1061" s="10"/>
      <c r="P1061" s="65"/>
      <c r="Q1061" s="10"/>
      <c r="R1061" s="10"/>
      <c r="S1061" s="54" t="str">
        <f t="shared" si="54"/>
        <v/>
      </c>
      <c r="T1061" s="54" t="str">
        <f t="shared" si="55"/>
        <v/>
      </c>
      <c r="U1061" s="58" t="str">
        <f t="shared" si="56"/>
        <v/>
      </c>
      <c r="V1061" s="58">
        <f>IF(AND($B1061&lt;&gt;"",$F1061&lt;&gt;"",$F1061=项目明细账!$C$2),N(V1060)+1,N(V1060))</f>
        <v>0</v>
      </c>
      <c r="W1061" s="63" t="str">
        <f>IF($H1061&lt;&gt;"","项目成本",IFERROR(INDEX(基础资料!$W$4:$W$49,MATCH($I1061,基础资料!$V$4:$V$49,0)),""))</f>
        <v/>
      </c>
      <c r="X1061" s="63" t="str">
        <f>IFERROR(INDEX(基础资料!$R$4:$R$17,MATCH($G1061,基础资料!$Q$4:$Q$17,0)),"")</f>
        <v/>
      </c>
    </row>
    <row r="1062" spans="1:24">
      <c r="A1062" s="58" t="str">
        <f>IF($B1062="","",COUNTA($B$5:$B1062))</f>
        <v/>
      </c>
      <c r="B1062" s="53"/>
      <c r="C1062" s="46"/>
      <c r="D1062" s="63" t="str">
        <f>IFERROR(INDEX(基础资料!$F$4:$F$23,MATCH($C1062,基础资料!$E$4:$E$23,0)),IF($C1062="","","未匹配账户"))</f>
        <v/>
      </c>
      <c r="E1062" s="39"/>
      <c r="F1062" s="10"/>
      <c r="G1062" s="10"/>
      <c r="H1062" s="10"/>
      <c r="I1062" s="10"/>
      <c r="J1062" s="10"/>
      <c r="K1062" s="25"/>
      <c r="L1062" s="25"/>
      <c r="M1062" s="25" t="str">
        <f>IFERROR(VLOOKUP($C1062,$C$5:$M$24,11,0)+SUMIF($C$25:$C1062,$C1062,$K$25:$K1062)-SUMIF($C$25:$C1062,$C1062,$L$25:$L1062),"")</f>
        <v/>
      </c>
      <c r="N1062" s="10"/>
      <c r="O1062" s="10"/>
      <c r="P1062" s="65"/>
      <c r="Q1062" s="10"/>
      <c r="R1062" s="10"/>
      <c r="S1062" s="54" t="str">
        <f t="shared" si="54"/>
        <v/>
      </c>
      <c r="T1062" s="54" t="str">
        <f t="shared" si="55"/>
        <v/>
      </c>
      <c r="U1062" s="58" t="str">
        <f t="shared" si="56"/>
        <v/>
      </c>
      <c r="V1062" s="58">
        <f>IF(AND($B1062&lt;&gt;"",$F1062&lt;&gt;"",$F1062=项目明细账!$C$2),N(V1061)+1,N(V1061))</f>
        <v>0</v>
      </c>
      <c r="W1062" s="63" t="str">
        <f>IF($H1062&lt;&gt;"","项目成本",IFERROR(INDEX(基础资料!$W$4:$W$49,MATCH($I1062,基础资料!$V$4:$V$49,0)),""))</f>
        <v/>
      </c>
      <c r="X1062" s="63" t="str">
        <f>IFERROR(INDEX(基础资料!$R$4:$R$17,MATCH($G1062,基础资料!$Q$4:$Q$17,0)),"")</f>
        <v/>
      </c>
    </row>
    <row r="1063" spans="1:24">
      <c r="A1063" s="58" t="str">
        <f>IF($B1063="","",COUNTA($B$5:$B1063))</f>
        <v/>
      </c>
      <c r="B1063" s="53"/>
      <c r="C1063" s="46"/>
      <c r="D1063" s="63" t="str">
        <f>IFERROR(INDEX(基础资料!$F$4:$F$23,MATCH($C1063,基础资料!$E$4:$E$23,0)),IF($C1063="","","未匹配账户"))</f>
        <v/>
      </c>
      <c r="E1063" s="39"/>
      <c r="F1063" s="10"/>
      <c r="G1063" s="10"/>
      <c r="H1063" s="10"/>
      <c r="I1063" s="10"/>
      <c r="J1063" s="10"/>
      <c r="K1063" s="25"/>
      <c r="L1063" s="25"/>
      <c r="M1063" s="25" t="str">
        <f>IFERROR(VLOOKUP($C1063,$C$5:$M$24,11,0)+SUMIF($C$25:$C1063,$C1063,$K$25:$K1063)-SUMIF($C$25:$C1063,$C1063,$L$25:$L1063),"")</f>
        <v/>
      </c>
      <c r="N1063" s="10"/>
      <c r="O1063" s="10"/>
      <c r="P1063" s="65"/>
      <c r="Q1063" s="10"/>
      <c r="R1063" s="10"/>
      <c r="S1063" s="54" t="str">
        <f t="shared" si="54"/>
        <v/>
      </c>
      <c r="T1063" s="54" t="str">
        <f t="shared" si="55"/>
        <v/>
      </c>
      <c r="U1063" s="58" t="str">
        <f t="shared" si="56"/>
        <v/>
      </c>
      <c r="V1063" s="58">
        <f>IF(AND($B1063&lt;&gt;"",$F1063&lt;&gt;"",$F1063=项目明细账!$C$2),N(V1062)+1,N(V1062))</f>
        <v>0</v>
      </c>
      <c r="W1063" s="63" t="str">
        <f>IF($H1063&lt;&gt;"","项目成本",IFERROR(INDEX(基础资料!$W$4:$W$49,MATCH($I1063,基础资料!$V$4:$V$49,0)),""))</f>
        <v/>
      </c>
      <c r="X1063" s="63" t="str">
        <f>IFERROR(INDEX(基础资料!$R$4:$R$17,MATCH($G1063,基础资料!$Q$4:$Q$17,0)),"")</f>
        <v/>
      </c>
    </row>
    <row r="1064" spans="1:24">
      <c r="A1064" s="58" t="str">
        <f>IF($B1064="","",COUNTA($B$5:$B1064))</f>
        <v/>
      </c>
      <c r="B1064" s="53"/>
      <c r="C1064" s="46"/>
      <c r="D1064" s="63" t="str">
        <f>IFERROR(INDEX(基础资料!$F$4:$F$23,MATCH($C1064,基础资料!$E$4:$E$23,0)),IF($C1064="","","未匹配账户"))</f>
        <v/>
      </c>
      <c r="E1064" s="39"/>
      <c r="F1064" s="10"/>
      <c r="G1064" s="10"/>
      <c r="H1064" s="10"/>
      <c r="I1064" s="10"/>
      <c r="J1064" s="10"/>
      <c r="K1064" s="25"/>
      <c r="L1064" s="25"/>
      <c r="M1064" s="25" t="str">
        <f>IFERROR(VLOOKUP($C1064,$C$5:$M$24,11,0)+SUMIF($C$25:$C1064,$C1064,$K$25:$K1064)-SUMIF($C$25:$C1064,$C1064,$L$25:$L1064),"")</f>
        <v/>
      </c>
      <c r="N1064" s="10"/>
      <c r="O1064" s="10"/>
      <c r="P1064" s="65"/>
      <c r="Q1064" s="10"/>
      <c r="R1064" s="10"/>
      <c r="S1064" s="54" t="str">
        <f t="shared" si="54"/>
        <v/>
      </c>
      <c r="T1064" s="54" t="str">
        <f t="shared" si="55"/>
        <v/>
      </c>
      <c r="U1064" s="58" t="str">
        <f t="shared" si="56"/>
        <v/>
      </c>
      <c r="V1064" s="58">
        <f>IF(AND($B1064&lt;&gt;"",$F1064&lt;&gt;"",$F1064=项目明细账!$C$2),N(V1063)+1,N(V1063))</f>
        <v>0</v>
      </c>
      <c r="W1064" s="63" t="str">
        <f>IF($H1064&lt;&gt;"","项目成本",IFERROR(INDEX(基础资料!$W$4:$W$49,MATCH($I1064,基础资料!$V$4:$V$49,0)),""))</f>
        <v/>
      </c>
      <c r="X1064" s="63" t="str">
        <f>IFERROR(INDEX(基础资料!$R$4:$R$17,MATCH($G1064,基础资料!$Q$4:$Q$17,0)),"")</f>
        <v/>
      </c>
    </row>
    <row r="1065" spans="1:24">
      <c r="A1065" s="58" t="str">
        <f>IF($B1065="","",COUNTA($B$5:$B1065))</f>
        <v/>
      </c>
      <c r="B1065" s="53"/>
      <c r="C1065" s="46"/>
      <c r="D1065" s="63" t="str">
        <f>IFERROR(INDEX(基础资料!$F$4:$F$23,MATCH($C1065,基础资料!$E$4:$E$23,0)),IF($C1065="","","未匹配账户"))</f>
        <v/>
      </c>
      <c r="E1065" s="39"/>
      <c r="F1065" s="10"/>
      <c r="G1065" s="10"/>
      <c r="H1065" s="10"/>
      <c r="I1065" s="10"/>
      <c r="J1065" s="10"/>
      <c r="K1065" s="25"/>
      <c r="L1065" s="25"/>
      <c r="M1065" s="25" t="str">
        <f>IFERROR(VLOOKUP($C1065,$C$5:$M$24,11,0)+SUMIF($C$25:$C1065,$C1065,$K$25:$K1065)-SUMIF($C$25:$C1065,$C1065,$L$25:$L1065),"")</f>
        <v/>
      </c>
      <c r="N1065" s="10"/>
      <c r="O1065" s="10"/>
      <c r="P1065" s="65"/>
      <c r="Q1065" s="10"/>
      <c r="R1065" s="10"/>
      <c r="S1065" s="54" t="str">
        <f t="shared" si="54"/>
        <v/>
      </c>
      <c r="T1065" s="54" t="str">
        <f t="shared" si="55"/>
        <v/>
      </c>
      <c r="U1065" s="58" t="str">
        <f t="shared" si="56"/>
        <v/>
      </c>
      <c r="V1065" s="58">
        <f>IF(AND($B1065&lt;&gt;"",$F1065&lt;&gt;"",$F1065=项目明细账!$C$2),N(V1064)+1,N(V1064))</f>
        <v>0</v>
      </c>
      <c r="W1065" s="63" t="str">
        <f>IF($H1065&lt;&gt;"","项目成本",IFERROR(INDEX(基础资料!$W$4:$W$49,MATCH($I1065,基础资料!$V$4:$V$49,0)),""))</f>
        <v/>
      </c>
      <c r="X1065" s="63" t="str">
        <f>IFERROR(INDEX(基础资料!$R$4:$R$17,MATCH($G1065,基础资料!$Q$4:$Q$17,0)),"")</f>
        <v/>
      </c>
    </row>
    <row r="1066" spans="1:24">
      <c r="A1066" s="58" t="str">
        <f>IF($B1066="","",COUNTA($B$5:$B1066))</f>
        <v/>
      </c>
      <c r="B1066" s="53"/>
      <c r="C1066" s="46"/>
      <c r="D1066" s="63" t="str">
        <f>IFERROR(INDEX(基础资料!$F$4:$F$23,MATCH($C1066,基础资料!$E$4:$E$23,0)),IF($C1066="","","未匹配账户"))</f>
        <v/>
      </c>
      <c r="E1066" s="39"/>
      <c r="F1066" s="10"/>
      <c r="G1066" s="10"/>
      <c r="H1066" s="10"/>
      <c r="I1066" s="10"/>
      <c r="J1066" s="10"/>
      <c r="K1066" s="25"/>
      <c r="L1066" s="25"/>
      <c r="M1066" s="25" t="str">
        <f>IFERROR(VLOOKUP($C1066,$C$5:$M$24,11,0)+SUMIF($C$25:$C1066,$C1066,$K$25:$K1066)-SUMIF($C$25:$C1066,$C1066,$L$25:$L1066),"")</f>
        <v/>
      </c>
      <c r="N1066" s="10"/>
      <c r="O1066" s="10"/>
      <c r="P1066" s="65"/>
      <c r="Q1066" s="10"/>
      <c r="R1066" s="10"/>
      <c r="S1066" s="54" t="str">
        <f t="shared" si="54"/>
        <v/>
      </c>
      <c r="T1066" s="54" t="str">
        <f t="shared" si="55"/>
        <v/>
      </c>
      <c r="U1066" s="58" t="str">
        <f t="shared" si="56"/>
        <v/>
      </c>
      <c r="V1066" s="58">
        <f>IF(AND($B1066&lt;&gt;"",$F1066&lt;&gt;"",$F1066=项目明细账!$C$2),N(V1065)+1,N(V1065))</f>
        <v>0</v>
      </c>
      <c r="W1066" s="63" t="str">
        <f>IF($H1066&lt;&gt;"","项目成本",IFERROR(INDEX(基础资料!$W$4:$W$49,MATCH($I1066,基础资料!$V$4:$V$49,0)),""))</f>
        <v/>
      </c>
      <c r="X1066" s="63" t="str">
        <f>IFERROR(INDEX(基础资料!$R$4:$R$17,MATCH($G1066,基础资料!$Q$4:$Q$17,0)),"")</f>
        <v/>
      </c>
    </row>
    <row r="1067" spans="1:24">
      <c r="A1067" s="58" t="str">
        <f>IF($B1067="","",COUNTA($B$5:$B1067))</f>
        <v/>
      </c>
      <c r="B1067" s="53"/>
      <c r="C1067" s="46"/>
      <c r="D1067" s="63" t="str">
        <f>IFERROR(INDEX(基础资料!$F$4:$F$23,MATCH($C1067,基础资料!$E$4:$E$23,0)),IF($C1067="","","未匹配账户"))</f>
        <v/>
      </c>
      <c r="E1067" s="39"/>
      <c r="F1067" s="10"/>
      <c r="G1067" s="10"/>
      <c r="H1067" s="10"/>
      <c r="I1067" s="10"/>
      <c r="J1067" s="10"/>
      <c r="K1067" s="25"/>
      <c r="L1067" s="25"/>
      <c r="M1067" s="25" t="str">
        <f>IFERROR(VLOOKUP($C1067,$C$5:$M$24,11,0)+SUMIF($C$25:$C1067,$C1067,$K$25:$K1067)-SUMIF($C$25:$C1067,$C1067,$L$25:$L1067),"")</f>
        <v/>
      </c>
      <c r="N1067" s="10"/>
      <c r="O1067" s="10"/>
      <c r="P1067" s="65"/>
      <c r="Q1067" s="10"/>
      <c r="R1067" s="10"/>
      <c r="S1067" s="54" t="str">
        <f t="shared" si="54"/>
        <v/>
      </c>
      <c r="T1067" s="54" t="str">
        <f t="shared" si="55"/>
        <v/>
      </c>
      <c r="U1067" s="58" t="str">
        <f t="shared" si="56"/>
        <v/>
      </c>
      <c r="V1067" s="58">
        <f>IF(AND($B1067&lt;&gt;"",$F1067&lt;&gt;"",$F1067=项目明细账!$C$2),N(V1066)+1,N(V1066))</f>
        <v>0</v>
      </c>
      <c r="W1067" s="63" t="str">
        <f>IF($H1067&lt;&gt;"","项目成本",IFERROR(INDEX(基础资料!$W$4:$W$49,MATCH($I1067,基础资料!$V$4:$V$49,0)),""))</f>
        <v/>
      </c>
      <c r="X1067" s="63" t="str">
        <f>IFERROR(INDEX(基础资料!$R$4:$R$17,MATCH($G1067,基础资料!$Q$4:$Q$17,0)),"")</f>
        <v/>
      </c>
    </row>
    <row r="1068" spans="1:24">
      <c r="A1068" s="58" t="str">
        <f>IF($B1068="","",COUNTA($B$5:$B1068))</f>
        <v/>
      </c>
      <c r="B1068" s="53"/>
      <c r="C1068" s="46"/>
      <c r="D1068" s="63" t="str">
        <f>IFERROR(INDEX(基础资料!$F$4:$F$23,MATCH($C1068,基础资料!$E$4:$E$23,0)),IF($C1068="","","未匹配账户"))</f>
        <v/>
      </c>
      <c r="E1068" s="39"/>
      <c r="F1068" s="10"/>
      <c r="G1068" s="10"/>
      <c r="H1068" s="10"/>
      <c r="I1068" s="10"/>
      <c r="J1068" s="10"/>
      <c r="K1068" s="25"/>
      <c r="L1068" s="25"/>
      <c r="M1068" s="25" t="str">
        <f>IFERROR(VLOOKUP($C1068,$C$5:$M$24,11,0)+SUMIF($C$25:$C1068,$C1068,$K$25:$K1068)-SUMIF($C$25:$C1068,$C1068,$L$25:$L1068),"")</f>
        <v/>
      </c>
      <c r="N1068" s="10"/>
      <c r="O1068" s="10"/>
      <c r="P1068" s="65"/>
      <c r="Q1068" s="10"/>
      <c r="R1068" s="10"/>
      <c r="S1068" s="54" t="str">
        <f t="shared" si="54"/>
        <v/>
      </c>
      <c r="T1068" s="54" t="str">
        <f t="shared" si="55"/>
        <v/>
      </c>
      <c r="U1068" s="58" t="str">
        <f t="shared" si="56"/>
        <v/>
      </c>
      <c r="V1068" s="58">
        <f>IF(AND($B1068&lt;&gt;"",$F1068&lt;&gt;"",$F1068=项目明细账!$C$2),N(V1067)+1,N(V1067))</f>
        <v>0</v>
      </c>
      <c r="W1068" s="63" t="str">
        <f>IF($H1068&lt;&gt;"","项目成本",IFERROR(INDEX(基础资料!$W$4:$W$49,MATCH($I1068,基础资料!$V$4:$V$49,0)),""))</f>
        <v/>
      </c>
      <c r="X1068" s="63" t="str">
        <f>IFERROR(INDEX(基础资料!$R$4:$R$17,MATCH($G1068,基础资料!$Q$4:$Q$17,0)),"")</f>
        <v/>
      </c>
    </row>
    <row r="1069" spans="1:24">
      <c r="A1069" s="58" t="str">
        <f>IF($B1069="","",COUNTA($B$5:$B1069))</f>
        <v/>
      </c>
      <c r="B1069" s="53"/>
      <c r="C1069" s="46"/>
      <c r="D1069" s="63" t="str">
        <f>IFERROR(INDEX(基础资料!$F$4:$F$23,MATCH($C1069,基础资料!$E$4:$E$23,0)),IF($C1069="","","未匹配账户"))</f>
        <v/>
      </c>
      <c r="E1069" s="39"/>
      <c r="F1069" s="10"/>
      <c r="G1069" s="10"/>
      <c r="H1069" s="10"/>
      <c r="I1069" s="10"/>
      <c r="J1069" s="10"/>
      <c r="K1069" s="25"/>
      <c r="L1069" s="25"/>
      <c r="M1069" s="25" t="str">
        <f>IFERROR(VLOOKUP($C1069,$C$5:$M$24,11,0)+SUMIF($C$25:$C1069,$C1069,$K$25:$K1069)-SUMIF($C$25:$C1069,$C1069,$L$25:$L1069),"")</f>
        <v/>
      </c>
      <c r="N1069" s="10"/>
      <c r="O1069" s="10"/>
      <c r="P1069" s="65"/>
      <c r="Q1069" s="10"/>
      <c r="R1069" s="10"/>
      <c r="S1069" s="54" t="str">
        <f t="shared" si="54"/>
        <v/>
      </c>
      <c r="T1069" s="54" t="str">
        <f t="shared" si="55"/>
        <v/>
      </c>
      <c r="U1069" s="58" t="str">
        <f t="shared" si="56"/>
        <v/>
      </c>
      <c r="V1069" s="58">
        <f>IF(AND($B1069&lt;&gt;"",$F1069&lt;&gt;"",$F1069=项目明细账!$C$2),N(V1068)+1,N(V1068))</f>
        <v>0</v>
      </c>
      <c r="W1069" s="63" t="str">
        <f>IF($H1069&lt;&gt;"","项目成本",IFERROR(INDEX(基础资料!$W$4:$W$49,MATCH($I1069,基础资料!$V$4:$V$49,0)),""))</f>
        <v/>
      </c>
      <c r="X1069" s="63" t="str">
        <f>IFERROR(INDEX(基础资料!$R$4:$R$17,MATCH($G1069,基础资料!$Q$4:$Q$17,0)),"")</f>
        <v/>
      </c>
    </row>
    <row r="1070" spans="1:24">
      <c r="A1070" s="58" t="str">
        <f>IF($B1070="","",COUNTA($B$5:$B1070))</f>
        <v/>
      </c>
      <c r="B1070" s="53"/>
      <c r="C1070" s="46"/>
      <c r="D1070" s="63" t="str">
        <f>IFERROR(INDEX(基础资料!$F$4:$F$23,MATCH($C1070,基础资料!$E$4:$E$23,0)),IF($C1070="","","未匹配账户"))</f>
        <v/>
      </c>
      <c r="E1070" s="39"/>
      <c r="F1070" s="10"/>
      <c r="G1070" s="10"/>
      <c r="H1070" s="10"/>
      <c r="I1070" s="10"/>
      <c r="J1070" s="10"/>
      <c r="K1070" s="25"/>
      <c r="L1070" s="25"/>
      <c r="M1070" s="25" t="str">
        <f>IFERROR(VLOOKUP($C1070,$C$5:$M$24,11,0)+SUMIF($C$25:$C1070,$C1070,$K$25:$K1070)-SUMIF($C$25:$C1070,$C1070,$L$25:$L1070),"")</f>
        <v/>
      </c>
      <c r="N1070" s="10"/>
      <c r="O1070" s="10"/>
      <c r="P1070" s="65"/>
      <c r="Q1070" s="10"/>
      <c r="R1070" s="10"/>
      <c r="S1070" s="54" t="str">
        <f t="shared" si="54"/>
        <v/>
      </c>
      <c r="T1070" s="54" t="str">
        <f t="shared" si="55"/>
        <v/>
      </c>
      <c r="U1070" s="58" t="str">
        <f t="shared" si="56"/>
        <v/>
      </c>
      <c r="V1070" s="58">
        <f>IF(AND($B1070&lt;&gt;"",$F1070&lt;&gt;"",$F1070=项目明细账!$C$2),N(V1069)+1,N(V1069))</f>
        <v>0</v>
      </c>
      <c r="W1070" s="63" t="str">
        <f>IF($H1070&lt;&gt;"","项目成本",IFERROR(INDEX(基础资料!$W$4:$W$49,MATCH($I1070,基础资料!$V$4:$V$49,0)),""))</f>
        <v/>
      </c>
      <c r="X1070" s="63" t="str">
        <f>IFERROR(INDEX(基础资料!$R$4:$R$17,MATCH($G1070,基础资料!$Q$4:$Q$17,0)),"")</f>
        <v/>
      </c>
    </row>
    <row r="1071" spans="1:24">
      <c r="A1071" s="58" t="str">
        <f>IF($B1071="","",COUNTA($B$5:$B1071))</f>
        <v/>
      </c>
      <c r="B1071" s="53"/>
      <c r="C1071" s="46"/>
      <c r="D1071" s="63" t="str">
        <f>IFERROR(INDEX(基础资料!$F$4:$F$23,MATCH($C1071,基础资料!$E$4:$E$23,0)),IF($C1071="","","未匹配账户"))</f>
        <v/>
      </c>
      <c r="E1071" s="39"/>
      <c r="F1071" s="10"/>
      <c r="G1071" s="10"/>
      <c r="H1071" s="10"/>
      <c r="I1071" s="10"/>
      <c r="J1071" s="10"/>
      <c r="K1071" s="25"/>
      <c r="L1071" s="25"/>
      <c r="M1071" s="25" t="str">
        <f>IFERROR(VLOOKUP($C1071,$C$5:$M$24,11,0)+SUMIF($C$25:$C1071,$C1071,$K$25:$K1071)-SUMIF($C$25:$C1071,$C1071,$L$25:$L1071),"")</f>
        <v/>
      </c>
      <c r="N1071" s="10"/>
      <c r="O1071" s="10"/>
      <c r="P1071" s="65"/>
      <c r="Q1071" s="10"/>
      <c r="R1071" s="10"/>
      <c r="S1071" s="54" t="str">
        <f t="shared" si="54"/>
        <v/>
      </c>
      <c r="T1071" s="54" t="str">
        <f t="shared" si="55"/>
        <v/>
      </c>
      <c r="U1071" s="58" t="str">
        <f t="shared" si="56"/>
        <v/>
      </c>
      <c r="V1071" s="58">
        <f>IF(AND($B1071&lt;&gt;"",$F1071&lt;&gt;"",$F1071=项目明细账!$C$2),N(V1070)+1,N(V1070))</f>
        <v>0</v>
      </c>
      <c r="W1071" s="63" t="str">
        <f>IF($H1071&lt;&gt;"","项目成本",IFERROR(INDEX(基础资料!$W$4:$W$49,MATCH($I1071,基础资料!$V$4:$V$49,0)),""))</f>
        <v/>
      </c>
      <c r="X1071" s="63" t="str">
        <f>IFERROR(INDEX(基础资料!$R$4:$R$17,MATCH($G1071,基础资料!$Q$4:$Q$17,0)),"")</f>
        <v/>
      </c>
    </row>
    <row r="1072" spans="1:24">
      <c r="A1072" s="58" t="str">
        <f>IF($B1072="","",COUNTA($B$5:$B1072))</f>
        <v/>
      </c>
      <c r="B1072" s="53"/>
      <c r="C1072" s="46"/>
      <c r="D1072" s="63" t="str">
        <f>IFERROR(INDEX(基础资料!$F$4:$F$23,MATCH($C1072,基础资料!$E$4:$E$23,0)),IF($C1072="","","未匹配账户"))</f>
        <v/>
      </c>
      <c r="E1072" s="39"/>
      <c r="F1072" s="10"/>
      <c r="G1072" s="10"/>
      <c r="H1072" s="10"/>
      <c r="I1072" s="10"/>
      <c r="J1072" s="10"/>
      <c r="K1072" s="25"/>
      <c r="L1072" s="25"/>
      <c r="M1072" s="25" t="str">
        <f>IFERROR(VLOOKUP($C1072,$C$5:$M$24,11,0)+SUMIF($C$25:$C1072,$C1072,$K$25:$K1072)-SUMIF($C$25:$C1072,$C1072,$L$25:$L1072),"")</f>
        <v/>
      </c>
      <c r="N1072" s="10"/>
      <c r="O1072" s="10"/>
      <c r="P1072" s="65"/>
      <c r="Q1072" s="10"/>
      <c r="R1072" s="10"/>
      <c r="S1072" s="54" t="str">
        <f t="shared" si="54"/>
        <v/>
      </c>
      <c r="T1072" s="54" t="str">
        <f t="shared" si="55"/>
        <v/>
      </c>
      <c r="U1072" s="58" t="str">
        <f t="shared" si="56"/>
        <v/>
      </c>
      <c r="V1072" s="58">
        <f>IF(AND($B1072&lt;&gt;"",$F1072&lt;&gt;"",$F1072=项目明细账!$C$2),N(V1071)+1,N(V1071))</f>
        <v>0</v>
      </c>
      <c r="W1072" s="63" t="str">
        <f>IF($H1072&lt;&gt;"","项目成本",IFERROR(INDEX(基础资料!$W$4:$W$49,MATCH($I1072,基础资料!$V$4:$V$49,0)),""))</f>
        <v/>
      </c>
      <c r="X1072" s="63" t="str">
        <f>IFERROR(INDEX(基础资料!$R$4:$R$17,MATCH($G1072,基础资料!$Q$4:$Q$17,0)),"")</f>
        <v/>
      </c>
    </row>
    <row r="1073" spans="1:24">
      <c r="A1073" s="58" t="str">
        <f>IF($B1073="","",COUNTA($B$5:$B1073))</f>
        <v/>
      </c>
      <c r="B1073" s="53"/>
      <c r="C1073" s="46"/>
      <c r="D1073" s="63" t="str">
        <f>IFERROR(INDEX(基础资料!$F$4:$F$23,MATCH($C1073,基础资料!$E$4:$E$23,0)),IF($C1073="","","未匹配账户"))</f>
        <v/>
      </c>
      <c r="E1073" s="39"/>
      <c r="F1073" s="10"/>
      <c r="G1073" s="10"/>
      <c r="H1073" s="10"/>
      <c r="I1073" s="10"/>
      <c r="J1073" s="10"/>
      <c r="K1073" s="25"/>
      <c r="L1073" s="25"/>
      <c r="M1073" s="25" t="str">
        <f>IFERROR(VLOOKUP($C1073,$C$5:$M$24,11,0)+SUMIF($C$25:$C1073,$C1073,$K$25:$K1073)-SUMIF($C$25:$C1073,$C1073,$L$25:$L1073),"")</f>
        <v/>
      </c>
      <c r="N1073" s="10"/>
      <c r="O1073" s="10"/>
      <c r="P1073" s="65"/>
      <c r="Q1073" s="10"/>
      <c r="R1073" s="10"/>
      <c r="S1073" s="54" t="str">
        <f t="shared" si="54"/>
        <v/>
      </c>
      <c r="T1073" s="54" t="str">
        <f t="shared" si="55"/>
        <v/>
      </c>
      <c r="U1073" s="58" t="str">
        <f t="shared" si="56"/>
        <v/>
      </c>
      <c r="V1073" s="58">
        <f>IF(AND($B1073&lt;&gt;"",$F1073&lt;&gt;"",$F1073=项目明细账!$C$2),N(V1072)+1,N(V1072))</f>
        <v>0</v>
      </c>
      <c r="W1073" s="63" t="str">
        <f>IF($H1073&lt;&gt;"","项目成本",IFERROR(INDEX(基础资料!$W$4:$W$49,MATCH($I1073,基础资料!$V$4:$V$49,0)),""))</f>
        <v/>
      </c>
      <c r="X1073" s="63" t="str">
        <f>IFERROR(INDEX(基础资料!$R$4:$R$17,MATCH($G1073,基础资料!$Q$4:$Q$17,0)),"")</f>
        <v/>
      </c>
    </row>
    <row r="1074" spans="1:24">
      <c r="A1074" s="58" t="str">
        <f>IF($B1074="","",COUNTA($B$5:$B1074))</f>
        <v/>
      </c>
      <c r="B1074" s="53"/>
      <c r="C1074" s="46"/>
      <c r="D1074" s="63" t="str">
        <f>IFERROR(INDEX(基础资料!$F$4:$F$23,MATCH($C1074,基础资料!$E$4:$E$23,0)),IF($C1074="","","未匹配账户"))</f>
        <v/>
      </c>
      <c r="E1074" s="39"/>
      <c r="F1074" s="10"/>
      <c r="G1074" s="10"/>
      <c r="H1074" s="10"/>
      <c r="I1074" s="10"/>
      <c r="J1074" s="10"/>
      <c r="K1074" s="25"/>
      <c r="L1074" s="25"/>
      <c r="M1074" s="25" t="str">
        <f>IFERROR(VLOOKUP($C1074,$C$5:$M$24,11,0)+SUMIF($C$25:$C1074,$C1074,$K$25:$K1074)-SUMIF($C$25:$C1074,$C1074,$L$25:$L1074),"")</f>
        <v/>
      </c>
      <c r="N1074" s="10"/>
      <c r="O1074" s="10"/>
      <c r="P1074" s="65"/>
      <c r="Q1074" s="10"/>
      <c r="R1074" s="10"/>
      <c r="S1074" s="54" t="str">
        <f t="shared" si="54"/>
        <v/>
      </c>
      <c r="T1074" s="54" t="str">
        <f t="shared" si="55"/>
        <v/>
      </c>
      <c r="U1074" s="58" t="str">
        <f t="shared" si="56"/>
        <v/>
      </c>
      <c r="V1074" s="58">
        <f>IF(AND($B1074&lt;&gt;"",$F1074&lt;&gt;"",$F1074=项目明细账!$C$2),N(V1073)+1,N(V1073))</f>
        <v>0</v>
      </c>
      <c r="W1074" s="63" t="str">
        <f>IF($H1074&lt;&gt;"","项目成本",IFERROR(INDEX(基础资料!$W$4:$W$49,MATCH($I1074,基础资料!$V$4:$V$49,0)),""))</f>
        <v/>
      </c>
      <c r="X1074" s="63" t="str">
        <f>IFERROR(INDEX(基础资料!$R$4:$R$17,MATCH($G1074,基础资料!$Q$4:$Q$17,0)),"")</f>
        <v/>
      </c>
    </row>
    <row r="1075" spans="1:24">
      <c r="A1075" s="58" t="str">
        <f>IF($B1075="","",COUNTA($B$5:$B1075))</f>
        <v/>
      </c>
      <c r="B1075" s="53"/>
      <c r="C1075" s="46"/>
      <c r="D1075" s="63" t="str">
        <f>IFERROR(INDEX(基础资料!$F$4:$F$23,MATCH($C1075,基础资料!$E$4:$E$23,0)),IF($C1075="","","未匹配账户"))</f>
        <v/>
      </c>
      <c r="E1075" s="39"/>
      <c r="F1075" s="10"/>
      <c r="G1075" s="10"/>
      <c r="H1075" s="10"/>
      <c r="I1075" s="10"/>
      <c r="J1075" s="10"/>
      <c r="K1075" s="25"/>
      <c r="L1075" s="25"/>
      <c r="M1075" s="25" t="str">
        <f>IFERROR(VLOOKUP($C1075,$C$5:$M$24,11,0)+SUMIF($C$25:$C1075,$C1075,$K$25:$K1075)-SUMIF($C$25:$C1075,$C1075,$L$25:$L1075),"")</f>
        <v/>
      </c>
      <c r="N1075" s="10"/>
      <c r="O1075" s="10"/>
      <c r="P1075" s="65"/>
      <c r="Q1075" s="10"/>
      <c r="R1075" s="10"/>
      <c r="S1075" s="54" t="str">
        <f t="shared" si="54"/>
        <v/>
      </c>
      <c r="T1075" s="54" t="str">
        <f t="shared" si="55"/>
        <v/>
      </c>
      <c r="U1075" s="58" t="str">
        <f t="shared" si="56"/>
        <v/>
      </c>
      <c r="V1075" s="58">
        <f>IF(AND($B1075&lt;&gt;"",$F1075&lt;&gt;"",$F1075=项目明细账!$C$2),N(V1074)+1,N(V1074))</f>
        <v>0</v>
      </c>
      <c r="W1075" s="63" t="str">
        <f>IF($H1075&lt;&gt;"","项目成本",IFERROR(INDEX(基础资料!$W$4:$W$49,MATCH($I1075,基础资料!$V$4:$V$49,0)),""))</f>
        <v/>
      </c>
      <c r="X1075" s="63" t="str">
        <f>IFERROR(INDEX(基础资料!$R$4:$R$17,MATCH($G1075,基础资料!$Q$4:$Q$17,0)),"")</f>
        <v/>
      </c>
    </row>
    <row r="1076" spans="1:24">
      <c r="A1076" s="58" t="str">
        <f>IF($B1076="","",COUNTA($B$5:$B1076))</f>
        <v/>
      </c>
      <c r="B1076" s="53"/>
      <c r="C1076" s="46"/>
      <c r="D1076" s="63" t="str">
        <f>IFERROR(INDEX(基础资料!$F$4:$F$23,MATCH($C1076,基础资料!$E$4:$E$23,0)),IF($C1076="","","未匹配账户"))</f>
        <v/>
      </c>
      <c r="E1076" s="39"/>
      <c r="F1076" s="10"/>
      <c r="G1076" s="10"/>
      <c r="H1076" s="10"/>
      <c r="I1076" s="10"/>
      <c r="J1076" s="10"/>
      <c r="K1076" s="25"/>
      <c r="L1076" s="25"/>
      <c r="M1076" s="25" t="str">
        <f>IFERROR(VLOOKUP($C1076,$C$5:$M$24,11,0)+SUMIF($C$25:$C1076,$C1076,$K$25:$K1076)-SUMIF($C$25:$C1076,$C1076,$L$25:$L1076),"")</f>
        <v/>
      </c>
      <c r="N1076" s="10"/>
      <c r="O1076" s="10"/>
      <c r="P1076" s="65"/>
      <c r="Q1076" s="10"/>
      <c r="R1076" s="10"/>
      <c r="S1076" s="54" t="str">
        <f t="shared" si="54"/>
        <v/>
      </c>
      <c r="T1076" s="54" t="str">
        <f t="shared" si="55"/>
        <v/>
      </c>
      <c r="U1076" s="58" t="str">
        <f t="shared" si="56"/>
        <v/>
      </c>
      <c r="V1076" s="58">
        <f>IF(AND($B1076&lt;&gt;"",$F1076&lt;&gt;"",$F1076=项目明细账!$C$2),N(V1075)+1,N(V1075))</f>
        <v>0</v>
      </c>
      <c r="W1076" s="63" t="str">
        <f>IF($H1076&lt;&gt;"","项目成本",IFERROR(INDEX(基础资料!$W$4:$W$49,MATCH($I1076,基础资料!$V$4:$V$49,0)),""))</f>
        <v/>
      </c>
      <c r="X1076" s="63" t="str">
        <f>IFERROR(INDEX(基础资料!$R$4:$R$17,MATCH($G1076,基础资料!$Q$4:$Q$17,0)),"")</f>
        <v/>
      </c>
    </row>
    <row r="1077" spans="1:24">
      <c r="A1077" s="58" t="str">
        <f>IF($B1077="","",COUNTA($B$5:$B1077))</f>
        <v/>
      </c>
      <c r="B1077" s="53"/>
      <c r="C1077" s="46"/>
      <c r="D1077" s="63" t="str">
        <f>IFERROR(INDEX(基础资料!$F$4:$F$23,MATCH($C1077,基础资料!$E$4:$E$23,0)),IF($C1077="","","未匹配账户"))</f>
        <v/>
      </c>
      <c r="E1077" s="39"/>
      <c r="F1077" s="10"/>
      <c r="G1077" s="10"/>
      <c r="H1077" s="10"/>
      <c r="I1077" s="10"/>
      <c r="J1077" s="10"/>
      <c r="K1077" s="25"/>
      <c r="L1077" s="25"/>
      <c r="M1077" s="25" t="str">
        <f>IFERROR(VLOOKUP($C1077,$C$5:$M$24,11,0)+SUMIF($C$25:$C1077,$C1077,$K$25:$K1077)-SUMIF($C$25:$C1077,$C1077,$L$25:$L1077),"")</f>
        <v/>
      </c>
      <c r="N1077" s="10"/>
      <c r="O1077" s="10"/>
      <c r="P1077" s="65"/>
      <c r="Q1077" s="10"/>
      <c r="R1077" s="10"/>
      <c r="S1077" s="54" t="str">
        <f t="shared" si="54"/>
        <v/>
      </c>
      <c r="T1077" s="54" t="str">
        <f t="shared" si="55"/>
        <v/>
      </c>
      <c r="U1077" s="58" t="str">
        <f t="shared" si="56"/>
        <v/>
      </c>
      <c r="V1077" s="58">
        <f>IF(AND($B1077&lt;&gt;"",$F1077&lt;&gt;"",$F1077=项目明细账!$C$2),N(V1076)+1,N(V1076))</f>
        <v>0</v>
      </c>
      <c r="W1077" s="63" t="str">
        <f>IF($H1077&lt;&gt;"","项目成本",IFERROR(INDEX(基础资料!$W$4:$W$49,MATCH($I1077,基础资料!$V$4:$V$49,0)),""))</f>
        <v/>
      </c>
      <c r="X1077" s="63" t="str">
        <f>IFERROR(INDEX(基础资料!$R$4:$R$17,MATCH($G1077,基础资料!$Q$4:$Q$17,0)),"")</f>
        <v/>
      </c>
    </row>
    <row r="1078" spans="1:24">
      <c r="A1078" s="58" t="str">
        <f>IF($B1078="","",COUNTA($B$5:$B1078))</f>
        <v/>
      </c>
      <c r="B1078" s="53"/>
      <c r="C1078" s="46"/>
      <c r="D1078" s="63" t="str">
        <f>IFERROR(INDEX(基础资料!$F$4:$F$23,MATCH($C1078,基础资料!$E$4:$E$23,0)),IF($C1078="","","未匹配账户"))</f>
        <v/>
      </c>
      <c r="E1078" s="39"/>
      <c r="F1078" s="10"/>
      <c r="G1078" s="10"/>
      <c r="H1078" s="10"/>
      <c r="I1078" s="10"/>
      <c r="J1078" s="10"/>
      <c r="K1078" s="25"/>
      <c r="L1078" s="25"/>
      <c r="M1078" s="25" t="str">
        <f>IFERROR(VLOOKUP($C1078,$C$5:$M$24,11,0)+SUMIF($C$25:$C1078,$C1078,$K$25:$K1078)-SUMIF($C$25:$C1078,$C1078,$L$25:$L1078),"")</f>
        <v/>
      </c>
      <c r="N1078" s="10"/>
      <c r="O1078" s="10"/>
      <c r="P1078" s="65"/>
      <c r="Q1078" s="10"/>
      <c r="R1078" s="10"/>
      <c r="S1078" s="54" t="str">
        <f t="shared" si="54"/>
        <v/>
      </c>
      <c r="T1078" s="54" t="str">
        <f t="shared" si="55"/>
        <v/>
      </c>
      <c r="U1078" s="58" t="str">
        <f t="shared" si="56"/>
        <v/>
      </c>
      <c r="V1078" s="58">
        <f>IF(AND($B1078&lt;&gt;"",$F1078&lt;&gt;"",$F1078=项目明细账!$C$2),N(V1077)+1,N(V1077))</f>
        <v>0</v>
      </c>
      <c r="W1078" s="63" t="str">
        <f>IF($H1078&lt;&gt;"","项目成本",IFERROR(INDEX(基础资料!$W$4:$W$49,MATCH($I1078,基础资料!$V$4:$V$49,0)),""))</f>
        <v/>
      </c>
      <c r="X1078" s="63" t="str">
        <f>IFERROR(INDEX(基础资料!$R$4:$R$17,MATCH($G1078,基础资料!$Q$4:$Q$17,0)),"")</f>
        <v/>
      </c>
    </row>
    <row r="1079" spans="1:24">
      <c r="A1079" s="58" t="str">
        <f>IF($B1079="","",COUNTA($B$5:$B1079))</f>
        <v/>
      </c>
      <c r="B1079" s="53"/>
      <c r="C1079" s="46"/>
      <c r="D1079" s="63" t="str">
        <f>IFERROR(INDEX(基础资料!$F$4:$F$23,MATCH($C1079,基础资料!$E$4:$E$23,0)),IF($C1079="","","未匹配账户"))</f>
        <v/>
      </c>
      <c r="E1079" s="39"/>
      <c r="F1079" s="10"/>
      <c r="G1079" s="10"/>
      <c r="H1079" s="10"/>
      <c r="I1079" s="10"/>
      <c r="J1079" s="10"/>
      <c r="K1079" s="25"/>
      <c r="L1079" s="25"/>
      <c r="M1079" s="25" t="str">
        <f>IFERROR(VLOOKUP($C1079,$C$5:$M$24,11,0)+SUMIF($C$25:$C1079,$C1079,$K$25:$K1079)-SUMIF($C$25:$C1079,$C1079,$L$25:$L1079),"")</f>
        <v/>
      </c>
      <c r="N1079" s="10"/>
      <c r="O1079" s="10"/>
      <c r="P1079" s="65"/>
      <c r="Q1079" s="10"/>
      <c r="R1079" s="10"/>
      <c r="S1079" s="54" t="str">
        <f t="shared" si="54"/>
        <v/>
      </c>
      <c r="T1079" s="54" t="str">
        <f t="shared" si="55"/>
        <v/>
      </c>
      <c r="U1079" s="58" t="str">
        <f t="shared" si="56"/>
        <v/>
      </c>
      <c r="V1079" s="58">
        <f>IF(AND($B1079&lt;&gt;"",$F1079&lt;&gt;"",$F1079=项目明细账!$C$2),N(V1078)+1,N(V1078))</f>
        <v>0</v>
      </c>
      <c r="W1079" s="63" t="str">
        <f>IF($H1079&lt;&gt;"","项目成本",IFERROR(INDEX(基础资料!$W$4:$W$49,MATCH($I1079,基础资料!$V$4:$V$49,0)),""))</f>
        <v/>
      </c>
      <c r="X1079" s="63" t="str">
        <f>IFERROR(INDEX(基础资料!$R$4:$R$17,MATCH($G1079,基础资料!$Q$4:$Q$17,0)),"")</f>
        <v/>
      </c>
    </row>
    <row r="1080" spans="1:24">
      <c r="A1080" s="58" t="str">
        <f>IF($B1080="","",COUNTA($B$5:$B1080))</f>
        <v/>
      </c>
      <c r="B1080" s="53"/>
      <c r="C1080" s="46"/>
      <c r="D1080" s="63" t="str">
        <f>IFERROR(INDEX(基础资料!$F$4:$F$23,MATCH($C1080,基础资料!$E$4:$E$23,0)),IF($C1080="","","未匹配账户"))</f>
        <v/>
      </c>
      <c r="E1080" s="39"/>
      <c r="F1080" s="10"/>
      <c r="G1080" s="10"/>
      <c r="H1080" s="10"/>
      <c r="I1080" s="10"/>
      <c r="J1080" s="10"/>
      <c r="K1080" s="25"/>
      <c r="L1080" s="25"/>
      <c r="M1080" s="25" t="str">
        <f>IFERROR(VLOOKUP($C1080,$C$5:$M$24,11,0)+SUMIF($C$25:$C1080,$C1080,$K$25:$K1080)-SUMIF($C$25:$C1080,$C1080,$L$25:$L1080),"")</f>
        <v/>
      </c>
      <c r="N1080" s="10"/>
      <c r="O1080" s="10"/>
      <c r="P1080" s="65"/>
      <c r="Q1080" s="10"/>
      <c r="R1080" s="10"/>
      <c r="S1080" s="54" t="str">
        <f t="shared" si="54"/>
        <v/>
      </c>
      <c r="T1080" s="54" t="str">
        <f t="shared" si="55"/>
        <v/>
      </c>
      <c r="U1080" s="58" t="str">
        <f t="shared" si="56"/>
        <v/>
      </c>
      <c r="V1080" s="58">
        <f>IF(AND($B1080&lt;&gt;"",$F1080&lt;&gt;"",$F1080=项目明细账!$C$2),N(V1079)+1,N(V1079))</f>
        <v>0</v>
      </c>
      <c r="W1080" s="63" t="str">
        <f>IF($H1080&lt;&gt;"","项目成本",IFERROR(INDEX(基础资料!$W$4:$W$49,MATCH($I1080,基础资料!$V$4:$V$49,0)),""))</f>
        <v/>
      </c>
      <c r="X1080" s="63" t="str">
        <f>IFERROR(INDEX(基础资料!$R$4:$R$17,MATCH($G1080,基础资料!$Q$4:$Q$17,0)),"")</f>
        <v/>
      </c>
    </row>
    <row r="1081" spans="1:24">
      <c r="A1081" s="58" t="str">
        <f>IF($B1081="","",COUNTA($B$5:$B1081))</f>
        <v/>
      </c>
      <c r="B1081" s="53"/>
      <c r="C1081" s="46"/>
      <c r="D1081" s="63" t="str">
        <f>IFERROR(INDEX(基础资料!$F$4:$F$23,MATCH($C1081,基础资料!$E$4:$E$23,0)),IF($C1081="","","未匹配账户"))</f>
        <v/>
      </c>
      <c r="E1081" s="39"/>
      <c r="F1081" s="10"/>
      <c r="G1081" s="10"/>
      <c r="H1081" s="10"/>
      <c r="I1081" s="10"/>
      <c r="J1081" s="10"/>
      <c r="K1081" s="25"/>
      <c r="L1081" s="25"/>
      <c r="M1081" s="25" t="str">
        <f>IFERROR(VLOOKUP($C1081,$C$5:$M$24,11,0)+SUMIF($C$25:$C1081,$C1081,$K$25:$K1081)-SUMIF($C$25:$C1081,$C1081,$L$25:$L1081),"")</f>
        <v/>
      </c>
      <c r="N1081" s="10"/>
      <c r="O1081" s="10"/>
      <c r="P1081" s="65"/>
      <c r="Q1081" s="10"/>
      <c r="R1081" s="10"/>
      <c r="S1081" s="54" t="str">
        <f t="shared" si="54"/>
        <v/>
      </c>
      <c r="T1081" s="54" t="str">
        <f t="shared" si="55"/>
        <v/>
      </c>
      <c r="U1081" s="58" t="str">
        <f t="shared" si="56"/>
        <v/>
      </c>
      <c r="V1081" s="58">
        <f>IF(AND($B1081&lt;&gt;"",$F1081&lt;&gt;"",$F1081=项目明细账!$C$2),N(V1080)+1,N(V1080))</f>
        <v>0</v>
      </c>
      <c r="W1081" s="63" t="str">
        <f>IF($H1081&lt;&gt;"","项目成本",IFERROR(INDEX(基础资料!$W$4:$W$49,MATCH($I1081,基础资料!$V$4:$V$49,0)),""))</f>
        <v/>
      </c>
      <c r="X1081" s="63" t="str">
        <f>IFERROR(INDEX(基础资料!$R$4:$R$17,MATCH($G1081,基础资料!$Q$4:$Q$17,0)),"")</f>
        <v/>
      </c>
    </row>
    <row r="1082" spans="1:24">
      <c r="A1082" s="58" t="str">
        <f>IF($B1082="","",COUNTA($B$5:$B1082))</f>
        <v/>
      </c>
      <c r="B1082" s="53"/>
      <c r="C1082" s="46"/>
      <c r="D1082" s="63" t="str">
        <f>IFERROR(INDEX(基础资料!$F$4:$F$23,MATCH($C1082,基础资料!$E$4:$E$23,0)),IF($C1082="","","未匹配账户"))</f>
        <v/>
      </c>
      <c r="E1082" s="39"/>
      <c r="F1082" s="10"/>
      <c r="G1082" s="10"/>
      <c r="H1082" s="10"/>
      <c r="I1082" s="10"/>
      <c r="J1082" s="10"/>
      <c r="K1082" s="25"/>
      <c r="L1082" s="25"/>
      <c r="M1082" s="25" t="str">
        <f>IFERROR(VLOOKUP($C1082,$C$5:$M$24,11,0)+SUMIF($C$25:$C1082,$C1082,$K$25:$K1082)-SUMIF($C$25:$C1082,$C1082,$L$25:$L1082),"")</f>
        <v/>
      </c>
      <c r="N1082" s="10"/>
      <c r="O1082" s="10"/>
      <c r="P1082" s="65"/>
      <c r="Q1082" s="10"/>
      <c r="R1082" s="10"/>
      <c r="S1082" s="54" t="str">
        <f t="shared" si="54"/>
        <v/>
      </c>
      <c r="T1082" s="54" t="str">
        <f t="shared" si="55"/>
        <v/>
      </c>
      <c r="U1082" s="58" t="str">
        <f t="shared" si="56"/>
        <v/>
      </c>
      <c r="V1082" s="58">
        <f>IF(AND($B1082&lt;&gt;"",$F1082&lt;&gt;"",$F1082=项目明细账!$C$2),N(V1081)+1,N(V1081))</f>
        <v>0</v>
      </c>
      <c r="W1082" s="63" t="str">
        <f>IF($H1082&lt;&gt;"","项目成本",IFERROR(INDEX(基础资料!$W$4:$W$49,MATCH($I1082,基础资料!$V$4:$V$49,0)),""))</f>
        <v/>
      </c>
      <c r="X1082" s="63" t="str">
        <f>IFERROR(INDEX(基础资料!$R$4:$R$17,MATCH($G1082,基础资料!$Q$4:$Q$17,0)),"")</f>
        <v/>
      </c>
    </row>
    <row r="1083" spans="1:24">
      <c r="A1083" s="58" t="str">
        <f>IF($B1083="","",COUNTA($B$5:$B1083))</f>
        <v/>
      </c>
      <c r="B1083" s="53"/>
      <c r="C1083" s="46"/>
      <c r="D1083" s="63" t="str">
        <f>IFERROR(INDEX(基础资料!$F$4:$F$23,MATCH($C1083,基础资料!$E$4:$E$23,0)),IF($C1083="","","未匹配账户"))</f>
        <v/>
      </c>
      <c r="E1083" s="39"/>
      <c r="F1083" s="10"/>
      <c r="G1083" s="10"/>
      <c r="H1083" s="10"/>
      <c r="I1083" s="10"/>
      <c r="J1083" s="10"/>
      <c r="K1083" s="25"/>
      <c r="L1083" s="25"/>
      <c r="M1083" s="25" t="str">
        <f>IFERROR(VLOOKUP($C1083,$C$5:$M$24,11,0)+SUMIF($C$25:$C1083,$C1083,$K$25:$K1083)-SUMIF($C$25:$C1083,$C1083,$L$25:$L1083),"")</f>
        <v/>
      </c>
      <c r="N1083" s="10"/>
      <c r="O1083" s="10"/>
      <c r="P1083" s="65"/>
      <c r="Q1083" s="10"/>
      <c r="R1083" s="10"/>
      <c r="S1083" s="54" t="str">
        <f t="shared" si="54"/>
        <v/>
      </c>
      <c r="T1083" s="54" t="str">
        <f t="shared" si="55"/>
        <v/>
      </c>
      <c r="U1083" s="58" t="str">
        <f t="shared" si="56"/>
        <v/>
      </c>
      <c r="V1083" s="58">
        <f>IF(AND($B1083&lt;&gt;"",$F1083&lt;&gt;"",$F1083=项目明细账!$C$2),N(V1082)+1,N(V1082))</f>
        <v>0</v>
      </c>
      <c r="W1083" s="63" t="str">
        <f>IF($H1083&lt;&gt;"","项目成本",IFERROR(INDEX(基础资料!$W$4:$W$49,MATCH($I1083,基础资料!$V$4:$V$49,0)),""))</f>
        <v/>
      </c>
      <c r="X1083" s="63" t="str">
        <f>IFERROR(INDEX(基础资料!$R$4:$R$17,MATCH($G1083,基础资料!$Q$4:$Q$17,0)),"")</f>
        <v/>
      </c>
    </row>
    <row r="1084" spans="1:24">
      <c r="A1084" s="58" t="str">
        <f>IF($B1084="","",COUNTA($B$5:$B1084))</f>
        <v/>
      </c>
      <c r="B1084" s="53"/>
      <c r="C1084" s="46"/>
      <c r="D1084" s="63" t="str">
        <f>IFERROR(INDEX(基础资料!$F$4:$F$23,MATCH($C1084,基础资料!$E$4:$E$23,0)),IF($C1084="","","未匹配账户"))</f>
        <v/>
      </c>
      <c r="E1084" s="39"/>
      <c r="F1084" s="10"/>
      <c r="G1084" s="10"/>
      <c r="H1084" s="10"/>
      <c r="I1084" s="10"/>
      <c r="J1084" s="10"/>
      <c r="K1084" s="25"/>
      <c r="L1084" s="25"/>
      <c r="M1084" s="25" t="str">
        <f>IFERROR(VLOOKUP($C1084,$C$5:$M$24,11,0)+SUMIF($C$25:$C1084,$C1084,$K$25:$K1084)-SUMIF($C$25:$C1084,$C1084,$L$25:$L1084),"")</f>
        <v/>
      </c>
      <c r="N1084" s="10"/>
      <c r="O1084" s="10"/>
      <c r="P1084" s="65"/>
      <c r="Q1084" s="10"/>
      <c r="R1084" s="10"/>
      <c r="S1084" s="54" t="str">
        <f t="shared" si="54"/>
        <v/>
      </c>
      <c r="T1084" s="54" t="str">
        <f t="shared" si="55"/>
        <v/>
      </c>
      <c r="U1084" s="58" t="str">
        <f t="shared" si="56"/>
        <v/>
      </c>
      <c r="V1084" s="58">
        <f>IF(AND($B1084&lt;&gt;"",$F1084&lt;&gt;"",$F1084=项目明细账!$C$2),N(V1083)+1,N(V1083))</f>
        <v>0</v>
      </c>
      <c r="W1084" s="63" t="str">
        <f>IF($H1084&lt;&gt;"","项目成本",IFERROR(INDEX(基础资料!$W$4:$W$49,MATCH($I1084,基础资料!$V$4:$V$49,0)),""))</f>
        <v/>
      </c>
      <c r="X1084" s="63" t="str">
        <f>IFERROR(INDEX(基础资料!$R$4:$R$17,MATCH($G1084,基础资料!$Q$4:$Q$17,0)),"")</f>
        <v/>
      </c>
    </row>
    <row r="1085" spans="1:24">
      <c r="A1085" s="58" t="str">
        <f>IF($B1085="","",COUNTA($B$5:$B1085))</f>
        <v/>
      </c>
      <c r="B1085" s="53"/>
      <c r="C1085" s="46"/>
      <c r="D1085" s="63" t="str">
        <f>IFERROR(INDEX(基础资料!$F$4:$F$23,MATCH($C1085,基础资料!$E$4:$E$23,0)),IF($C1085="","","未匹配账户"))</f>
        <v/>
      </c>
      <c r="E1085" s="39"/>
      <c r="F1085" s="10"/>
      <c r="G1085" s="10"/>
      <c r="H1085" s="10"/>
      <c r="I1085" s="10"/>
      <c r="J1085" s="10"/>
      <c r="K1085" s="25"/>
      <c r="L1085" s="25"/>
      <c r="M1085" s="25" t="str">
        <f>IFERROR(VLOOKUP($C1085,$C$5:$M$24,11,0)+SUMIF($C$25:$C1085,$C1085,$K$25:$K1085)-SUMIF($C$25:$C1085,$C1085,$L$25:$L1085),"")</f>
        <v/>
      </c>
      <c r="N1085" s="10"/>
      <c r="O1085" s="10"/>
      <c r="P1085" s="65"/>
      <c r="Q1085" s="10"/>
      <c r="R1085" s="10"/>
      <c r="S1085" s="54" t="str">
        <f t="shared" si="54"/>
        <v/>
      </c>
      <c r="T1085" s="54" t="str">
        <f t="shared" si="55"/>
        <v/>
      </c>
      <c r="U1085" s="58" t="str">
        <f t="shared" si="56"/>
        <v/>
      </c>
      <c r="V1085" s="58">
        <f>IF(AND($B1085&lt;&gt;"",$F1085&lt;&gt;"",$F1085=项目明细账!$C$2),N(V1084)+1,N(V1084))</f>
        <v>0</v>
      </c>
      <c r="W1085" s="63" t="str">
        <f>IF($H1085&lt;&gt;"","项目成本",IFERROR(INDEX(基础资料!$W$4:$W$49,MATCH($I1085,基础资料!$V$4:$V$49,0)),""))</f>
        <v/>
      </c>
      <c r="X1085" s="63" t="str">
        <f>IFERROR(INDEX(基础资料!$R$4:$R$17,MATCH($G1085,基础资料!$Q$4:$Q$17,0)),"")</f>
        <v/>
      </c>
    </row>
    <row r="1086" spans="1:24">
      <c r="A1086" s="58" t="str">
        <f>IF($B1086="","",COUNTA($B$5:$B1086))</f>
        <v/>
      </c>
      <c r="B1086" s="53"/>
      <c r="C1086" s="46"/>
      <c r="D1086" s="63" t="str">
        <f>IFERROR(INDEX(基础资料!$F$4:$F$23,MATCH($C1086,基础资料!$E$4:$E$23,0)),IF($C1086="","","未匹配账户"))</f>
        <v/>
      </c>
      <c r="E1086" s="39"/>
      <c r="F1086" s="10"/>
      <c r="G1086" s="10"/>
      <c r="H1086" s="10"/>
      <c r="I1086" s="10"/>
      <c r="J1086" s="10"/>
      <c r="K1086" s="25"/>
      <c r="L1086" s="25"/>
      <c r="M1086" s="25" t="str">
        <f>IFERROR(VLOOKUP($C1086,$C$5:$M$24,11,0)+SUMIF($C$25:$C1086,$C1086,$K$25:$K1086)-SUMIF($C$25:$C1086,$C1086,$L$25:$L1086),"")</f>
        <v/>
      </c>
      <c r="N1086" s="10"/>
      <c r="O1086" s="10"/>
      <c r="P1086" s="65"/>
      <c r="Q1086" s="10"/>
      <c r="R1086" s="10"/>
      <c r="S1086" s="54" t="str">
        <f t="shared" si="54"/>
        <v/>
      </c>
      <c r="T1086" s="54" t="str">
        <f t="shared" si="55"/>
        <v/>
      </c>
      <c r="U1086" s="58" t="str">
        <f t="shared" si="56"/>
        <v/>
      </c>
      <c r="V1086" s="58">
        <f>IF(AND($B1086&lt;&gt;"",$F1086&lt;&gt;"",$F1086=项目明细账!$C$2),N(V1085)+1,N(V1085))</f>
        <v>0</v>
      </c>
      <c r="W1086" s="63" t="str">
        <f>IF($H1086&lt;&gt;"","项目成本",IFERROR(INDEX(基础资料!$W$4:$W$49,MATCH($I1086,基础资料!$V$4:$V$49,0)),""))</f>
        <v/>
      </c>
      <c r="X1086" s="63" t="str">
        <f>IFERROR(INDEX(基础资料!$R$4:$R$17,MATCH($G1086,基础资料!$Q$4:$Q$17,0)),"")</f>
        <v/>
      </c>
    </row>
    <row r="1087" spans="1:24">
      <c r="A1087" s="58" t="str">
        <f>IF($B1087="","",COUNTA($B$5:$B1087))</f>
        <v/>
      </c>
      <c r="B1087" s="53"/>
      <c r="C1087" s="46"/>
      <c r="D1087" s="63" t="str">
        <f>IFERROR(INDEX(基础资料!$F$4:$F$23,MATCH($C1087,基础资料!$E$4:$E$23,0)),IF($C1087="","","未匹配账户"))</f>
        <v/>
      </c>
      <c r="E1087" s="39"/>
      <c r="F1087" s="10"/>
      <c r="G1087" s="10"/>
      <c r="H1087" s="10"/>
      <c r="I1087" s="10"/>
      <c r="J1087" s="10"/>
      <c r="K1087" s="25"/>
      <c r="L1087" s="25"/>
      <c r="M1087" s="25" t="str">
        <f>IFERROR(VLOOKUP($C1087,$C$5:$M$24,11,0)+SUMIF($C$25:$C1087,$C1087,$K$25:$K1087)-SUMIF($C$25:$C1087,$C1087,$L$25:$L1087),"")</f>
        <v/>
      </c>
      <c r="N1087" s="10"/>
      <c r="O1087" s="10"/>
      <c r="P1087" s="65"/>
      <c r="Q1087" s="10"/>
      <c r="R1087" s="10"/>
      <c r="S1087" s="54" t="str">
        <f t="shared" si="54"/>
        <v/>
      </c>
      <c r="T1087" s="54" t="str">
        <f t="shared" si="55"/>
        <v/>
      </c>
      <c r="U1087" s="58" t="str">
        <f t="shared" si="56"/>
        <v/>
      </c>
      <c r="V1087" s="58">
        <f>IF(AND($B1087&lt;&gt;"",$F1087&lt;&gt;"",$F1087=项目明细账!$C$2),N(V1086)+1,N(V1086))</f>
        <v>0</v>
      </c>
      <c r="W1087" s="63" t="str">
        <f>IF($H1087&lt;&gt;"","项目成本",IFERROR(INDEX(基础资料!$W$4:$W$49,MATCH($I1087,基础资料!$V$4:$V$49,0)),""))</f>
        <v/>
      </c>
      <c r="X1087" s="63" t="str">
        <f>IFERROR(INDEX(基础资料!$R$4:$R$17,MATCH($G1087,基础资料!$Q$4:$Q$17,0)),"")</f>
        <v/>
      </c>
    </row>
    <row r="1088" spans="1:24">
      <c r="A1088" s="58" t="str">
        <f>IF($B1088="","",COUNTA($B$5:$B1088))</f>
        <v/>
      </c>
      <c r="B1088" s="53"/>
      <c r="C1088" s="46"/>
      <c r="D1088" s="63" t="str">
        <f>IFERROR(INDEX(基础资料!$F$4:$F$23,MATCH($C1088,基础资料!$E$4:$E$23,0)),IF($C1088="","","未匹配账户"))</f>
        <v/>
      </c>
      <c r="E1088" s="39"/>
      <c r="F1088" s="10"/>
      <c r="G1088" s="10"/>
      <c r="H1088" s="10"/>
      <c r="I1088" s="10"/>
      <c r="J1088" s="10"/>
      <c r="K1088" s="25"/>
      <c r="L1088" s="25"/>
      <c r="M1088" s="25" t="str">
        <f>IFERROR(VLOOKUP($C1088,$C$5:$M$24,11,0)+SUMIF($C$25:$C1088,$C1088,$K$25:$K1088)-SUMIF($C$25:$C1088,$C1088,$L$25:$L1088),"")</f>
        <v/>
      </c>
      <c r="N1088" s="10"/>
      <c r="O1088" s="10"/>
      <c r="P1088" s="65"/>
      <c r="Q1088" s="10"/>
      <c r="R1088" s="10"/>
      <c r="S1088" s="54" t="str">
        <f t="shared" si="54"/>
        <v/>
      </c>
      <c r="T1088" s="54" t="str">
        <f t="shared" si="55"/>
        <v/>
      </c>
      <c r="U1088" s="58" t="str">
        <f t="shared" si="56"/>
        <v/>
      </c>
      <c r="V1088" s="58">
        <f>IF(AND($B1088&lt;&gt;"",$F1088&lt;&gt;"",$F1088=项目明细账!$C$2),N(V1087)+1,N(V1087))</f>
        <v>0</v>
      </c>
      <c r="W1088" s="63" t="str">
        <f>IF($H1088&lt;&gt;"","项目成本",IFERROR(INDEX(基础资料!$W$4:$W$49,MATCH($I1088,基础资料!$V$4:$V$49,0)),""))</f>
        <v/>
      </c>
      <c r="X1088" s="63" t="str">
        <f>IFERROR(INDEX(基础资料!$R$4:$R$17,MATCH($G1088,基础资料!$Q$4:$Q$17,0)),"")</f>
        <v/>
      </c>
    </row>
    <row r="1089" spans="1:24">
      <c r="A1089" s="58" t="str">
        <f>IF($B1089="","",COUNTA($B$5:$B1089))</f>
        <v/>
      </c>
      <c r="B1089" s="53"/>
      <c r="C1089" s="46"/>
      <c r="D1089" s="63" t="str">
        <f>IFERROR(INDEX(基础资料!$F$4:$F$23,MATCH($C1089,基础资料!$E$4:$E$23,0)),IF($C1089="","","未匹配账户"))</f>
        <v/>
      </c>
      <c r="E1089" s="39"/>
      <c r="F1089" s="10"/>
      <c r="G1089" s="10"/>
      <c r="H1089" s="10"/>
      <c r="I1089" s="10"/>
      <c r="J1089" s="10"/>
      <c r="K1089" s="25"/>
      <c r="L1089" s="25"/>
      <c r="M1089" s="25" t="str">
        <f>IFERROR(VLOOKUP($C1089,$C$5:$M$24,11,0)+SUMIF($C$25:$C1089,$C1089,$K$25:$K1089)-SUMIF($C$25:$C1089,$C1089,$L$25:$L1089),"")</f>
        <v/>
      </c>
      <c r="N1089" s="10"/>
      <c r="O1089" s="10"/>
      <c r="P1089" s="65"/>
      <c r="Q1089" s="10"/>
      <c r="R1089" s="10"/>
      <c r="S1089" s="54" t="str">
        <f t="shared" si="54"/>
        <v/>
      </c>
      <c r="T1089" s="54" t="str">
        <f t="shared" si="55"/>
        <v/>
      </c>
      <c r="U1089" s="58" t="str">
        <f t="shared" si="56"/>
        <v/>
      </c>
      <c r="V1089" s="58">
        <f>IF(AND($B1089&lt;&gt;"",$F1089&lt;&gt;"",$F1089=项目明细账!$C$2),N(V1088)+1,N(V1088))</f>
        <v>0</v>
      </c>
      <c r="W1089" s="63" t="str">
        <f>IF($H1089&lt;&gt;"","项目成本",IFERROR(INDEX(基础资料!$W$4:$W$49,MATCH($I1089,基础资料!$V$4:$V$49,0)),""))</f>
        <v/>
      </c>
      <c r="X1089" s="63" t="str">
        <f>IFERROR(INDEX(基础资料!$R$4:$R$17,MATCH($G1089,基础资料!$Q$4:$Q$17,0)),"")</f>
        <v/>
      </c>
    </row>
    <row r="1090" spans="1:24">
      <c r="A1090" s="58" t="str">
        <f>IF($B1090="","",COUNTA($B$5:$B1090))</f>
        <v/>
      </c>
      <c r="B1090" s="53"/>
      <c r="C1090" s="46"/>
      <c r="D1090" s="63" t="str">
        <f>IFERROR(INDEX(基础资料!$F$4:$F$23,MATCH($C1090,基础资料!$E$4:$E$23,0)),IF($C1090="","","未匹配账户"))</f>
        <v/>
      </c>
      <c r="E1090" s="39"/>
      <c r="F1090" s="10"/>
      <c r="G1090" s="10"/>
      <c r="H1090" s="10"/>
      <c r="I1090" s="10"/>
      <c r="J1090" s="10"/>
      <c r="K1090" s="25"/>
      <c r="L1090" s="25"/>
      <c r="M1090" s="25" t="str">
        <f>IFERROR(VLOOKUP($C1090,$C$5:$M$24,11,0)+SUMIF($C$25:$C1090,$C1090,$K$25:$K1090)-SUMIF($C$25:$C1090,$C1090,$L$25:$L1090),"")</f>
        <v/>
      </c>
      <c r="N1090" s="10"/>
      <c r="O1090" s="10"/>
      <c r="P1090" s="65"/>
      <c r="Q1090" s="10"/>
      <c r="R1090" s="10"/>
      <c r="S1090" s="54" t="str">
        <f t="shared" si="54"/>
        <v/>
      </c>
      <c r="T1090" s="54" t="str">
        <f t="shared" si="55"/>
        <v/>
      </c>
      <c r="U1090" s="58" t="str">
        <f t="shared" si="56"/>
        <v/>
      </c>
      <c r="V1090" s="58">
        <f>IF(AND($B1090&lt;&gt;"",$F1090&lt;&gt;"",$F1090=项目明细账!$C$2),N(V1089)+1,N(V1089))</f>
        <v>0</v>
      </c>
      <c r="W1090" s="63" t="str">
        <f>IF($H1090&lt;&gt;"","项目成本",IFERROR(INDEX(基础资料!$W$4:$W$49,MATCH($I1090,基础资料!$V$4:$V$49,0)),""))</f>
        <v/>
      </c>
      <c r="X1090" s="63" t="str">
        <f>IFERROR(INDEX(基础资料!$R$4:$R$17,MATCH($G1090,基础资料!$Q$4:$Q$17,0)),"")</f>
        <v/>
      </c>
    </row>
    <row r="1091" spans="1:24">
      <c r="A1091" s="58" t="str">
        <f>IF($B1091="","",COUNTA($B$5:$B1091))</f>
        <v/>
      </c>
      <c r="B1091" s="53"/>
      <c r="C1091" s="46"/>
      <c r="D1091" s="63" t="str">
        <f>IFERROR(INDEX(基础资料!$F$4:$F$23,MATCH($C1091,基础资料!$E$4:$E$23,0)),IF($C1091="","","未匹配账户"))</f>
        <v/>
      </c>
      <c r="E1091" s="39"/>
      <c r="F1091" s="10"/>
      <c r="G1091" s="10"/>
      <c r="H1091" s="10"/>
      <c r="I1091" s="10"/>
      <c r="J1091" s="10"/>
      <c r="K1091" s="25"/>
      <c r="L1091" s="25"/>
      <c r="M1091" s="25" t="str">
        <f>IFERROR(VLOOKUP($C1091,$C$5:$M$24,11,0)+SUMIF($C$25:$C1091,$C1091,$K$25:$K1091)-SUMIF($C$25:$C1091,$C1091,$L$25:$L1091),"")</f>
        <v/>
      </c>
      <c r="N1091" s="10"/>
      <c r="O1091" s="10"/>
      <c r="P1091" s="65"/>
      <c r="Q1091" s="10"/>
      <c r="R1091" s="10"/>
      <c r="S1091" s="54" t="str">
        <f t="shared" si="54"/>
        <v/>
      </c>
      <c r="T1091" s="54" t="str">
        <f t="shared" si="55"/>
        <v/>
      </c>
      <c r="U1091" s="58" t="str">
        <f t="shared" si="56"/>
        <v/>
      </c>
      <c r="V1091" s="58">
        <f>IF(AND($B1091&lt;&gt;"",$F1091&lt;&gt;"",$F1091=项目明细账!$C$2),N(V1090)+1,N(V1090))</f>
        <v>0</v>
      </c>
      <c r="W1091" s="63" t="str">
        <f>IF($H1091&lt;&gt;"","项目成本",IFERROR(INDEX(基础资料!$W$4:$W$49,MATCH($I1091,基础资料!$V$4:$V$49,0)),""))</f>
        <v/>
      </c>
      <c r="X1091" s="63" t="str">
        <f>IFERROR(INDEX(基础资料!$R$4:$R$17,MATCH($G1091,基础资料!$Q$4:$Q$17,0)),"")</f>
        <v/>
      </c>
    </row>
    <row r="1092" spans="1:24">
      <c r="A1092" s="58" t="str">
        <f>IF($B1092="","",COUNTA($B$5:$B1092))</f>
        <v/>
      </c>
      <c r="B1092" s="53"/>
      <c r="C1092" s="46"/>
      <c r="D1092" s="63" t="str">
        <f>IFERROR(INDEX(基础资料!$F$4:$F$23,MATCH($C1092,基础资料!$E$4:$E$23,0)),IF($C1092="","","未匹配账户"))</f>
        <v/>
      </c>
      <c r="E1092" s="39"/>
      <c r="F1092" s="10"/>
      <c r="G1092" s="10"/>
      <c r="H1092" s="10"/>
      <c r="I1092" s="10"/>
      <c r="J1092" s="10"/>
      <c r="K1092" s="25"/>
      <c r="L1092" s="25"/>
      <c r="M1092" s="25" t="str">
        <f>IFERROR(VLOOKUP($C1092,$C$5:$M$24,11,0)+SUMIF($C$25:$C1092,$C1092,$K$25:$K1092)-SUMIF($C$25:$C1092,$C1092,$L$25:$L1092),"")</f>
        <v/>
      </c>
      <c r="N1092" s="10"/>
      <c r="O1092" s="10"/>
      <c r="P1092" s="65"/>
      <c r="Q1092" s="10"/>
      <c r="R1092" s="10"/>
      <c r="S1092" s="54" t="str">
        <f t="shared" si="54"/>
        <v/>
      </c>
      <c r="T1092" s="54" t="str">
        <f t="shared" si="55"/>
        <v/>
      </c>
      <c r="U1092" s="58" t="str">
        <f t="shared" si="56"/>
        <v/>
      </c>
      <c r="V1092" s="58">
        <f>IF(AND($B1092&lt;&gt;"",$F1092&lt;&gt;"",$F1092=项目明细账!$C$2),N(V1091)+1,N(V1091))</f>
        <v>0</v>
      </c>
      <c r="W1092" s="63" t="str">
        <f>IF($H1092&lt;&gt;"","项目成本",IFERROR(INDEX(基础资料!$W$4:$W$49,MATCH($I1092,基础资料!$V$4:$V$49,0)),""))</f>
        <v/>
      </c>
      <c r="X1092" s="63" t="str">
        <f>IFERROR(INDEX(基础资料!$R$4:$R$17,MATCH($G1092,基础资料!$Q$4:$Q$17,0)),"")</f>
        <v/>
      </c>
    </row>
    <row r="1093" spans="1:24">
      <c r="A1093" s="58" t="str">
        <f>IF($B1093="","",COUNTA($B$5:$B1093))</f>
        <v/>
      </c>
      <c r="B1093" s="53"/>
      <c r="C1093" s="46"/>
      <c r="D1093" s="63" t="str">
        <f>IFERROR(INDEX(基础资料!$F$4:$F$23,MATCH($C1093,基础资料!$E$4:$E$23,0)),IF($C1093="","","未匹配账户"))</f>
        <v/>
      </c>
      <c r="E1093" s="39"/>
      <c r="F1093" s="10"/>
      <c r="G1093" s="10"/>
      <c r="H1093" s="10"/>
      <c r="I1093" s="10"/>
      <c r="J1093" s="10"/>
      <c r="K1093" s="25"/>
      <c r="L1093" s="25"/>
      <c r="M1093" s="25" t="str">
        <f>IFERROR(VLOOKUP($C1093,$C$5:$M$24,11,0)+SUMIF($C$25:$C1093,$C1093,$K$25:$K1093)-SUMIF($C$25:$C1093,$C1093,$L$25:$L1093),"")</f>
        <v/>
      </c>
      <c r="N1093" s="10"/>
      <c r="O1093" s="10"/>
      <c r="P1093" s="65"/>
      <c r="Q1093" s="10"/>
      <c r="R1093" s="10"/>
      <c r="S1093" s="54" t="str">
        <f t="shared" si="54"/>
        <v/>
      </c>
      <c r="T1093" s="54" t="str">
        <f t="shared" si="55"/>
        <v/>
      </c>
      <c r="U1093" s="58" t="str">
        <f t="shared" si="56"/>
        <v/>
      </c>
      <c r="V1093" s="58">
        <f>IF(AND($B1093&lt;&gt;"",$F1093&lt;&gt;"",$F1093=项目明细账!$C$2),N(V1092)+1,N(V1092))</f>
        <v>0</v>
      </c>
      <c r="W1093" s="63" t="str">
        <f>IF($H1093&lt;&gt;"","项目成本",IFERROR(INDEX(基础资料!$W$4:$W$49,MATCH($I1093,基础资料!$V$4:$V$49,0)),""))</f>
        <v/>
      </c>
      <c r="X1093" s="63" t="str">
        <f>IFERROR(INDEX(基础资料!$R$4:$R$17,MATCH($G1093,基础资料!$Q$4:$Q$17,0)),"")</f>
        <v/>
      </c>
    </row>
    <row r="1094" spans="1:24">
      <c r="A1094" s="58" t="str">
        <f>IF($B1094="","",COUNTA($B$5:$B1094))</f>
        <v/>
      </c>
      <c r="B1094" s="53"/>
      <c r="C1094" s="46"/>
      <c r="D1094" s="63" t="str">
        <f>IFERROR(INDEX(基础资料!$F$4:$F$23,MATCH($C1094,基础资料!$E$4:$E$23,0)),IF($C1094="","","未匹配账户"))</f>
        <v/>
      </c>
      <c r="E1094" s="39"/>
      <c r="F1094" s="10"/>
      <c r="G1094" s="10"/>
      <c r="H1094" s="10"/>
      <c r="I1094" s="10"/>
      <c r="J1094" s="10"/>
      <c r="K1094" s="25"/>
      <c r="L1094" s="25"/>
      <c r="M1094" s="25" t="str">
        <f>IFERROR(VLOOKUP($C1094,$C$5:$M$24,11,0)+SUMIF($C$25:$C1094,$C1094,$K$25:$K1094)-SUMIF($C$25:$C1094,$C1094,$L$25:$L1094),"")</f>
        <v/>
      </c>
      <c r="N1094" s="10"/>
      <c r="O1094" s="10"/>
      <c r="P1094" s="65"/>
      <c r="Q1094" s="10"/>
      <c r="R1094" s="10"/>
      <c r="S1094" s="54" t="str">
        <f t="shared" si="54"/>
        <v/>
      </c>
      <c r="T1094" s="54" t="str">
        <f t="shared" si="55"/>
        <v/>
      </c>
      <c r="U1094" s="58" t="str">
        <f t="shared" si="56"/>
        <v/>
      </c>
      <c r="V1094" s="58">
        <f>IF(AND($B1094&lt;&gt;"",$F1094&lt;&gt;"",$F1094=项目明细账!$C$2),N(V1093)+1,N(V1093))</f>
        <v>0</v>
      </c>
      <c r="W1094" s="63" t="str">
        <f>IF($H1094&lt;&gt;"","项目成本",IFERROR(INDEX(基础资料!$W$4:$W$49,MATCH($I1094,基础资料!$V$4:$V$49,0)),""))</f>
        <v/>
      </c>
      <c r="X1094" s="63" t="str">
        <f>IFERROR(INDEX(基础资料!$R$4:$R$17,MATCH($G1094,基础资料!$Q$4:$Q$17,0)),"")</f>
        <v/>
      </c>
    </row>
    <row r="1095" spans="1:24">
      <c r="A1095" s="58" t="str">
        <f>IF($B1095="","",COUNTA($B$5:$B1095))</f>
        <v/>
      </c>
      <c r="B1095" s="53"/>
      <c r="C1095" s="46"/>
      <c r="D1095" s="63" t="str">
        <f>IFERROR(INDEX(基础资料!$F$4:$F$23,MATCH($C1095,基础资料!$E$4:$E$23,0)),IF($C1095="","","未匹配账户"))</f>
        <v/>
      </c>
      <c r="E1095" s="39"/>
      <c r="F1095" s="10"/>
      <c r="G1095" s="10"/>
      <c r="H1095" s="10"/>
      <c r="I1095" s="10"/>
      <c r="J1095" s="10"/>
      <c r="K1095" s="25"/>
      <c r="L1095" s="25"/>
      <c r="M1095" s="25" t="str">
        <f>IFERROR(VLOOKUP($C1095,$C$5:$M$24,11,0)+SUMIF($C$25:$C1095,$C1095,$K$25:$K1095)-SUMIF($C$25:$C1095,$C1095,$L$25:$L1095),"")</f>
        <v/>
      </c>
      <c r="N1095" s="10"/>
      <c r="O1095" s="10"/>
      <c r="P1095" s="65"/>
      <c r="Q1095" s="10"/>
      <c r="R1095" s="10"/>
      <c r="S1095" s="54" t="str">
        <f t="shared" ref="S1095:S1158" si="57">IF($B1095="","",--TEXT($B1095,"yyyymm"))</f>
        <v/>
      </c>
      <c r="T1095" s="54" t="str">
        <f t="shared" ref="T1095:T1158" si="58">IF($B1095="","",IF($P1095="",$S1095,IFERROR($P1095*1,$P1095)))</f>
        <v/>
      </c>
      <c r="U1095" s="58" t="str">
        <f t="shared" ref="U1095:U1158" si="59">IF($B1095="","",IF($T1095=$S1095,"","跨期"))</f>
        <v/>
      </c>
      <c r="V1095" s="58">
        <f>IF(AND($B1095&lt;&gt;"",$F1095&lt;&gt;"",$F1095=项目明细账!$C$2),N(V1094)+1,N(V1094))</f>
        <v>0</v>
      </c>
      <c r="W1095" s="63" t="str">
        <f>IF($H1095&lt;&gt;"","项目成本",IFERROR(INDEX(基础资料!$W$4:$W$49,MATCH($I1095,基础资料!$V$4:$V$49,0)),""))</f>
        <v/>
      </c>
      <c r="X1095" s="63" t="str">
        <f>IFERROR(INDEX(基础资料!$R$4:$R$17,MATCH($G1095,基础资料!$Q$4:$Q$17,0)),"")</f>
        <v/>
      </c>
    </row>
    <row r="1096" spans="1:24">
      <c r="A1096" s="58" t="str">
        <f>IF($B1096="","",COUNTA($B$5:$B1096))</f>
        <v/>
      </c>
      <c r="B1096" s="53"/>
      <c r="C1096" s="46"/>
      <c r="D1096" s="63" t="str">
        <f>IFERROR(INDEX(基础资料!$F$4:$F$23,MATCH($C1096,基础资料!$E$4:$E$23,0)),IF($C1096="","","未匹配账户"))</f>
        <v/>
      </c>
      <c r="E1096" s="39"/>
      <c r="F1096" s="10"/>
      <c r="G1096" s="10"/>
      <c r="H1096" s="10"/>
      <c r="I1096" s="10"/>
      <c r="J1096" s="10"/>
      <c r="K1096" s="25"/>
      <c r="L1096" s="25"/>
      <c r="M1096" s="25" t="str">
        <f>IFERROR(VLOOKUP($C1096,$C$5:$M$24,11,0)+SUMIF($C$25:$C1096,$C1096,$K$25:$K1096)-SUMIF($C$25:$C1096,$C1096,$L$25:$L1096),"")</f>
        <v/>
      </c>
      <c r="N1096" s="10"/>
      <c r="O1096" s="10"/>
      <c r="P1096" s="65"/>
      <c r="Q1096" s="10"/>
      <c r="R1096" s="10"/>
      <c r="S1096" s="54" t="str">
        <f t="shared" si="57"/>
        <v/>
      </c>
      <c r="T1096" s="54" t="str">
        <f t="shared" si="58"/>
        <v/>
      </c>
      <c r="U1096" s="58" t="str">
        <f t="shared" si="59"/>
        <v/>
      </c>
      <c r="V1096" s="58">
        <f>IF(AND($B1096&lt;&gt;"",$F1096&lt;&gt;"",$F1096=项目明细账!$C$2),N(V1095)+1,N(V1095))</f>
        <v>0</v>
      </c>
      <c r="W1096" s="63" t="str">
        <f>IF($H1096&lt;&gt;"","项目成本",IFERROR(INDEX(基础资料!$W$4:$W$49,MATCH($I1096,基础资料!$V$4:$V$49,0)),""))</f>
        <v/>
      </c>
      <c r="X1096" s="63" t="str">
        <f>IFERROR(INDEX(基础资料!$R$4:$R$17,MATCH($G1096,基础资料!$Q$4:$Q$17,0)),"")</f>
        <v/>
      </c>
    </row>
    <row r="1097" spans="1:24">
      <c r="A1097" s="58" t="str">
        <f>IF($B1097="","",COUNTA($B$5:$B1097))</f>
        <v/>
      </c>
      <c r="B1097" s="53"/>
      <c r="C1097" s="46"/>
      <c r="D1097" s="63" t="str">
        <f>IFERROR(INDEX(基础资料!$F$4:$F$23,MATCH($C1097,基础资料!$E$4:$E$23,0)),IF($C1097="","","未匹配账户"))</f>
        <v/>
      </c>
      <c r="E1097" s="39"/>
      <c r="F1097" s="10"/>
      <c r="G1097" s="10"/>
      <c r="H1097" s="10"/>
      <c r="I1097" s="10"/>
      <c r="J1097" s="10"/>
      <c r="K1097" s="25"/>
      <c r="L1097" s="25"/>
      <c r="M1097" s="25" t="str">
        <f>IFERROR(VLOOKUP($C1097,$C$5:$M$24,11,0)+SUMIF($C$25:$C1097,$C1097,$K$25:$K1097)-SUMIF($C$25:$C1097,$C1097,$L$25:$L1097),"")</f>
        <v/>
      </c>
      <c r="N1097" s="10"/>
      <c r="O1097" s="10"/>
      <c r="P1097" s="65"/>
      <c r="Q1097" s="10"/>
      <c r="R1097" s="10"/>
      <c r="S1097" s="54" t="str">
        <f t="shared" si="57"/>
        <v/>
      </c>
      <c r="T1097" s="54" t="str">
        <f t="shared" si="58"/>
        <v/>
      </c>
      <c r="U1097" s="58" t="str">
        <f t="shared" si="59"/>
        <v/>
      </c>
      <c r="V1097" s="58">
        <f>IF(AND($B1097&lt;&gt;"",$F1097&lt;&gt;"",$F1097=项目明细账!$C$2),N(V1096)+1,N(V1096))</f>
        <v>0</v>
      </c>
      <c r="W1097" s="63" t="str">
        <f>IF($H1097&lt;&gt;"","项目成本",IFERROR(INDEX(基础资料!$W$4:$W$49,MATCH($I1097,基础资料!$V$4:$V$49,0)),""))</f>
        <v/>
      </c>
      <c r="X1097" s="63" t="str">
        <f>IFERROR(INDEX(基础资料!$R$4:$R$17,MATCH($G1097,基础资料!$Q$4:$Q$17,0)),"")</f>
        <v/>
      </c>
    </row>
    <row r="1098" spans="1:24">
      <c r="A1098" s="58" t="str">
        <f>IF($B1098="","",COUNTA($B$5:$B1098))</f>
        <v/>
      </c>
      <c r="B1098" s="53"/>
      <c r="C1098" s="46"/>
      <c r="D1098" s="63" t="str">
        <f>IFERROR(INDEX(基础资料!$F$4:$F$23,MATCH($C1098,基础资料!$E$4:$E$23,0)),IF($C1098="","","未匹配账户"))</f>
        <v/>
      </c>
      <c r="E1098" s="39"/>
      <c r="F1098" s="10"/>
      <c r="G1098" s="10"/>
      <c r="H1098" s="10"/>
      <c r="I1098" s="10"/>
      <c r="J1098" s="10"/>
      <c r="K1098" s="25"/>
      <c r="L1098" s="25"/>
      <c r="M1098" s="25" t="str">
        <f>IFERROR(VLOOKUP($C1098,$C$5:$M$24,11,0)+SUMIF($C$25:$C1098,$C1098,$K$25:$K1098)-SUMIF($C$25:$C1098,$C1098,$L$25:$L1098),"")</f>
        <v/>
      </c>
      <c r="N1098" s="10"/>
      <c r="O1098" s="10"/>
      <c r="P1098" s="65"/>
      <c r="Q1098" s="10"/>
      <c r="R1098" s="10"/>
      <c r="S1098" s="54" t="str">
        <f t="shared" si="57"/>
        <v/>
      </c>
      <c r="T1098" s="54" t="str">
        <f t="shared" si="58"/>
        <v/>
      </c>
      <c r="U1098" s="58" t="str">
        <f t="shared" si="59"/>
        <v/>
      </c>
      <c r="V1098" s="58">
        <f>IF(AND($B1098&lt;&gt;"",$F1098&lt;&gt;"",$F1098=项目明细账!$C$2),N(V1097)+1,N(V1097))</f>
        <v>0</v>
      </c>
      <c r="W1098" s="63" t="str">
        <f>IF($H1098&lt;&gt;"","项目成本",IFERROR(INDEX(基础资料!$W$4:$W$49,MATCH($I1098,基础资料!$V$4:$V$49,0)),""))</f>
        <v/>
      </c>
      <c r="X1098" s="63" t="str">
        <f>IFERROR(INDEX(基础资料!$R$4:$R$17,MATCH($G1098,基础资料!$Q$4:$Q$17,0)),"")</f>
        <v/>
      </c>
    </row>
    <row r="1099" spans="1:24">
      <c r="A1099" s="58" t="str">
        <f>IF($B1099="","",COUNTA($B$5:$B1099))</f>
        <v/>
      </c>
      <c r="B1099" s="53"/>
      <c r="C1099" s="46"/>
      <c r="D1099" s="63" t="str">
        <f>IFERROR(INDEX(基础资料!$F$4:$F$23,MATCH($C1099,基础资料!$E$4:$E$23,0)),IF($C1099="","","未匹配账户"))</f>
        <v/>
      </c>
      <c r="E1099" s="39"/>
      <c r="F1099" s="10"/>
      <c r="G1099" s="10"/>
      <c r="H1099" s="10"/>
      <c r="I1099" s="10"/>
      <c r="J1099" s="10"/>
      <c r="K1099" s="25"/>
      <c r="L1099" s="25"/>
      <c r="M1099" s="25" t="str">
        <f>IFERROR(VLOOKUP($C1099,$C$5:$M$24,11,0)+SUMIF($C$25:$C1099,$C1099,$K$25:$K1099)-SUMIF($C$25:$C1099,$C1099,$L$25:$L1099),"")</f>
        <v/>
      </c>
      <c r="N1099" s="10"/>
      <c r="O1099" s="10"/>
      <c r="P1099" s="65"/>
      <c r="Q1099" s="10"/>
      <c r="R1099" s="10"/>
      <c r="S1099" s="54" t="str">
        <f t="shared" si="57"/>
        <v/>
      </c>
      <c r="T1099" s="54" t="str">
        <f t="shared" si="58"/>
        <v/>
      </c>
      <c r="U1099" s="58" t="str">
        <f t="shared" si="59"/>
        <v/>
      </c>
      <c r="V1099" s="58">
        <f>IF(AND($B1099&lt;&gt;"",$F1099&lt;&gt;"",$F1099=项目明细账!$C$2),N(V1098)+1,N(V1098))</f>
        <v>0</v>
      </c>
      <c r="W1099" s="63" t="str">
        <f>IF($H1099&lt;&gt;"","项目成本",IFERROR(INDEX(基础资料!$W$4:$W$49,MATCH($I1099,基础资料!$V$4:$V$49,0)),""))</f>
        <v/>
      </c>
      <c r="X1099" s="63" t="str">
        <f>IFERROR(INDEX(基础资料!$R$4:$R$17,MATCH($G1099,基础资料!$Q$4:$Q$17,0)),"")</f>
        <v/>
      </c>
    </row>
    <row r="1100" spans="1:24">
      <c r="A1100" s="58" t="str">
        <f>IF($B1100="","",COUNTA($B$5:$B1100))</f>
        <v/>
      </c>
      <c r="B1100" s="53"/>
      <c r="C1100" s="46"/>
      <c r="D1100" s="63" t="str">
        <f>IFERROR(INDEX(基础资料!$F$4:$F$23,MATCH($C1100,基础资料!$E$4:$E$23,0)),IF($C1100="","","未匹配账户"))</f>
        <v/>
      </c>
      <c r="E1100" s="39"/>
      <c r="F1100" s="10"/>
      <c r="G1100" s="10"/>
      <c r="H1100" s="10"/>
      <c r="I1100" s="10"/>
      <c r="J1100" s="10"/>
      <c r="K1100" s="25"/>
      <c r="L1100" s="25"/>
      <c r="M1100" s="25" t="str">
        <f>IFERROR(VLOOKUP($C1100,$C$5:$M$24,11,0)+SUMIF($C$25:$C1100,$C1100,$K$25:$K1100)-SUMIF($C$25:$C1100,$C1100,$L$25:$L1100),"")</f>
        <v/>
      </c>
      <c r="N1100" s="10"/>
      <c r="O1100" s="10"/>
      <c r="P1100" s="65"/>
      <c r="Q1100" s="10"/>
      <c r="R1100" s="10"/>
      <c r="S1100" s="54" t="str">
        <f t="shared" si="57"/>
        <v/>
      </c>
      <c r="T1100" s="54" t="str">
        <f t="shared" si="58"/>
        <v/>
      </c>
      <c r="U1100" s="58" t="str">
        <f t="shared" si="59"/>
        <v/>
      </c>
      <c r="V1100" s="58">
        <f>IF(AND($B1100&lt;&gt;"",$F1100&lt;&gt;"",$F1100=项目明细账!$C$2),N(V1099)+1,N(V1099))</f>
        <v>0</v>
      </c>
      <c r="W1100" s="63" t="str">
        <f>IF($H1100&lt;&gt;"","项目成本",IFERROR(INDEX(基础资料!$W$4:$W$49,MATCH($I1100,基础资料!$V$4:$V$49,0)),""))</f>
        <v/>
      </c>
      <c r="X1100" s="63" t="str">
        <f>IFERROR(INDEX(基础资料!$R$4:$R$17,MATCH($G1100,基础资料!$Q$4:$Q$17,0)),"")</f>
        <v/>
      </c>
    </row>
    <row r="1101" spans="1:24">
      <c r="A1101" s="58" t="str">
        <f>IF($B1101="","",COUNTA($B$5:$B1101))</f>
        <v/>
      </c>
      <c r="B1101" s="53"/>
      <c r="C1101" s="46"/>
      <c r="D1101" s="63" t="str">
        <f>IFERROR(INDEX(基础资料!$F$4:$F$23,MATCH($C1101,基础资料!$E$4:$E$23,0)),IF($C1101="","","未匹配账户"))</f>
        <v/>
      </c>
      <c r="E1101" s="39"/>
      <c r="F1101" s="10"/>
      <c r="G1101" s="10"/>
      <c r="H1101" s="10"/>
      <c r="I1101" s="10"/>
      <c r="J1101" s="10"/>
      <c r="K1101" s="25"/>
      <c r="L1101" s="25"/>
      <c r="M1101" s="25" t="str">
        <f>IFERROR(VLOOKUP($C1101,$C$5:$M$24,11,0)+SUMIF($C$25:$C1101,$C1101,$K$25:$K1101)-SUMIF($C$25:$C1101,$C1101,$L$25:$L1101),"")</f>
        <v/>
      </c>
      <c r="N1101" s="10"/>
      <c r="O1101" s="10"/>
      <c r="P1101" s="65"/>
      <c r="Q1101" s="10"/>
      <c r="R1101" s="10"/>
      <c r="S1101" s="54" t="str">
        <f t="shared" si="57"/>
        <v/>
      </c>
      <c r="T1101" s="54" t="str">
        <f t="shared" si="58"/>
        <v/>
      </c>
      <c r="U1101" s="58" t="str">
        <f t="shared" si="59"/>
        <v/>
      </c>
      <c r="V1101" s="58">
        <f>IF(AND($B1101&lt;&gt;"",$F1101&lt;&gt;"",$F1101=项目明细账!$C$2),N(V1100)+1,N(V1100))</f>
        <v>0</v>
      </c>
      <c r="W1101" s="63" t="str">
        <f>IF($H1101&lt;&gt;"","项目成本",IFERROR(INDEX(基础资料!$W$4:$W$49,MATCH($I1101,基础资料!$V$4:$V$49,0)),""))</f>
        <v/>
      </c>
      <c r="X1101" s="63" t="str">
        <f>IFERROR(INDEX(基础资料!$R$4:$R$17,MATCH($G1101,基础资料!$Q$4:$Q$17,0)),"")</f>
        <v/>
      </c>
    </row>
    <row r="1102" spans="1:24">
      <c r="A1102" s="58" t="str">
        <f>IF($B1102="","",COUNTA($B$5:$B1102))</f>
        <v/>
      </c>
      <c r="B1102" s="53"/>
      <c r="C1102" s="46"/>
      <c r="D1102" s="63" t="str">
        <f>IFERROR(INDEX(基础资料!$F$4:$F$23,MATCH($C1102,基础资料!$E$4:$E$23,0)),IF($C1102="","","未匹配账户"))</f>
        <v/>
      </c>
      <c r="E1102" s="39"/>
      <c r="F1102" s="10"/>
      <c r="G1102" s="10"/>
      <c r="H1102" s="10"/>
      <c r="I1102" s="10"/>
      <c r="J1102" s="10"/>
      <c r="K1102" s="25"/>
      <c r="L1102" s="25"/>
      <c r="M1102" s="25" t="str">
        <f>IFERROR(VLOOKUP($C1102,$C$5:$M$24,11,0)+SUMIF($C$25:$C1102,$C1102,$K$25:$K1102)-SUMIF($C$25:$C1102,$C1102,$L$25:$L1102),"")</f>
        <v/>
      </c>
      <c r="N1102" s="10"/>
      <c r="O1102" s="10"/>
      <c r="P1102" s="65"/>
      <c r="Q1102" s="10"/>
      <c r="R1102" s="10"/>
      <c r="S1102" s="54" t="str">
        <f t="shared" si="57"/>
        <v/>
      </c>
      <c r="T1102" s="54" t="str">
        <f t="shared" si="58"/>
        <v/>
      </c>
      <c r="U1102" s="58" t="str">
        <f t="shared" si="59"/>
        <v/>
      </c>
      <c r="V1102" s="58">
        <f>IF(AND($B1102&lt;&gt;"",$F1102&lt;&gt;"",$F1102=项目明细账!$C$2),N(V1101)+1,N(V1101))</f>
        <v>0</v>
      </c>
      <c r="W1102" s="63" t="str">
        <f>IF($H1102&lt;&gt;"","项目成本",IFERROR(INDEX(基础资料!$W$4:$W$49,MATCH($I1102,基础资料!$V$4:$V$49,0)),""))</f>
        <v/>
      </c>
      <c r="X1102" s="63" t="str">
        <f>IFERROR(INDEX(基础资料!$R$4:$R$17,MATCH($G1102,基础资料!$Q$4:$Q$17,0)),"")</f>
        <v/>
      </c>
    </row>
    <row r="1103" spans="1:24">
      <c r="A1103" s="58" t="str">
        <f>IF($B1103="","",COUNTA($B$5:$B1103))</f>
        <v/>
      </c>
      <c r="B1103" s="53"/>
      <c r="C1103" s="46"/>
      <c r="D1103" s="63" t="str">
        <f>IFERROR(INDEX(基础资料!$F$4:$F$23,MATCH($C1103,基础资料!$E$4:$E$23,0)),IF($C1103="","","未匹配账户"))</f>
        <v/>
      </c>
      <c r="E1103" s="39"/>
      <c r="F1103" s="10"/>
      <c r="G1103" s="10"/>
      <c r="H1103" s="10"/>
      <c r="I1103" s="10"/>
      <c r="J1103" s="10"/>
      <c r="K1103" s="25"/>
      <c r="L1103" s="25"/>
      <c r="M1103" s="25" t="str">
        <f>IFERROR(VLOOKUP($C1103,$C$5:$M$24,11,0)+SUMIF($C$25:$C1103,$C1103,$K$25:$K1103)-SUMIF($C$25:$C1103,$C1103,$L$25:$L1103),"")</f>
        <v/>
      </c>
      <c r="N1103" s="10"/>
      <c r="O1103" s="10"/>
      <c r="P1103" s="65"/>
      <c r="Q1103" s="10"/>
      <c r="R1103" s="10"/>
      <c r="S1103" s="54" t="str">
        <f t="shared" si="57"/>
        <v/>
      </c>
      <c r="T1103" s="54" t="str">
        <f t="shared" si="58"/>
        <v/>
      </c>
      <c r="U1103" s="58" t="str">
        <f t="shared" si="59"/>
        <v/>
      </c>
      <c r="V1103" s="58">
        <f>IF(AND($B1103&lt;&gt;"",$F1103&lt;&gt;"",$F1103=项目明细账!$C$2),N(V1102)+1,N(V1102))</f>
        <v>0</v>
      </c>
      <c r="W1103" s="63" t="str">
        <f>IF($H1103&lt;&gt;"","项目成本",IFERROR(INDEX(基础资料!$W$4:$W$49,MATCH($I1103,基础资料!$V$4:$V$49,0)),""))</f>
        <v/>
      </c>
      <c r="X1103" s="63" t="str">
        <f>IFERROR(INDEX(基础资料!$R$4:$R$17,MATCH($G1103,基础资料!$Q$4:$Q$17,0)),"")</f>
        <v/>
      </c>
    </row>
    <row r="1104" spans="1:24">
      <c r="A1104" s="58" t="str">
        <f>IF($B1104="","",COUNTA($B$5:$B1104))</f>
        <v/>
      </c>
      <c r="B1104" s="53"/>
      <c r="C1104" s="46"/>
      <c r="D1104" s="63" t="str">
        <f>IFERROR(INDEX(基础资料!$F$4:$F$23,MATCH($C1104,基础资料!$E$4:$E$23,0)),IF($C1104="","","未匹配账户"))</f>
        <v/>
      </c>
      <c r="E1104" s="39"/>
      <c r="F1104" s="10"/>
      <c r="G1104" s="10"/>
      <c r="H1104" s="10"/>
      <c r="I1104" s="10"/>
      <c r="J1104" s="10"/>
      <c r="K1104" s="25"/>
      <c r="L1104" s="25"/>
      <c r="M1104" s="25" t="str">
        <f>IFERROR(VLOOKUP($C1104,$C$5:$M$24,11,0)+SUMIF($C$25:$C1104,$C1104,$K$25:$K1104)-SUMIF($C$25:$C1104,$C1104,$L$25:$L1104),"")</f>
        <v/>
      </c>
      <c r="N1104" s="10"/>
      <c r="O1104" s="10"/>
      <c r="P1104" s="65"/>
      <c r="Q1104" s="10"/>
      <c r="R1104" s="10"/>
      <c r="S1104" s="54" t="str">
        <f t="shared" si="57"/>
        <v/>
      </c>
      <c r="T1104" s="54" t="str">
        <f t="shared" si="58"/>
        <v/>
      </c>
      <c r="U1104" s="58" t="str">
        <f t="shared" si="59"/>
        <v/>
      </c>
      <c r="V1104" s="58">
        <f>IF(AND($B1104&lt;&gt;"",$F1104&lt;&gt;"",$F1104=项目明细账!$C$2),N(V1103)+1,N(V1103))</f>
        <v>0</v>
      </c>
      <c r="W1104" s="63" t="str">
        <f>IF($H1104&lt;&gt;"","项目成本",IFERROR(INDEX(基础资料!$W$4:$W$49,MATCH($I1104,基础资料!$V$4:$V$49,0)),""))</f>
        <v/>
      </c>
      <c r="X1104" s="63" t="str">
        <f>IFERROR(INDEX(基础资料!$R$4:$R$17,MATCH($G1104,基础资料!$Q$4:$Q$17,0)),"")</f>
        <v/>
      </c>
    </row>
    <row r="1105" spans="1:24">
      <c r="A1105" s="58" t="str">
        <f>IF($B1105="","",COUNTA($B$5:$B1105))</f>
        <v/>
      </c>
      <c r="B1105" s="53"/>
      <c r="C1105" s="46"/>
      <c r="D1105" s="63" t="str">
        <f>IFERROR(INDEX(基础资料!$F$4:$F$23,MATCH($C1105,基础资料!$E$4:$E$23,0)),IF($C1105="","","未匹配账户"))</f>
        <v/>
      </c>
      <c r="E1105" s="39"/>
      <c r="F1105" s="10"/>
      <c r="G1105" s="10"/>
      <c r="H1105" s="10"/>
      <c r="I1105" s="10"/>
      <c r="J1105" s="10"/>
      <c r="K1105" s="25"/>
      <c r="L1105" s="25"/>
      <c r="M1105" s="25" t="str">
        <f>IFERROR(VLOOKUP($C1105,$C$5:$M$24,11,0)+SUMIF($C$25:$C1105,$C1105,$K$25:$K1105)-SUMIF($C$25:$C1105,$C1105,$L$25:$L1105),"")</f>
        <v/>
      </c>
      <c r="N1105" s="10"/>
      <c r="O1105" s="10"/>
      <c r="P1105" s="65"/>
      <c r="Q1105" s="10"/>
      <c r="R1105" s="10"/>
      <c r="S1105" s="54" t="str">
        <f t="shared" si="57"/>
        <v/>
      </c>
      <c r="T1105" s="54" t="str">
        <f t="shared" si="58"/>
        <v/>
      </c>
      <c r="U1105" s="58" t="str">
        <f t="shared" si="59"/>
        <v/>
      </c>
      <c r="V1105" s="58">
        <f>IF(AND($B1105&lt;&gt;"",$F1105&lt;&gt;"",$F1105=项目明细账!$C$2),N(V1104)+1,N(V1104))</f>
        <v>0</v>
      </c>
      <c r="W1105" s="63" t="str">
        <f>IF($H1105&lt;&gt;"","项目成本",IFERROR(INDEX(基础资料!$W$4:$W$49,MATCH($I1105,基础资料!$V$4:$V$49,0)),""))</f>
        <v/>
      </c>
      <c r="X1105" s="63" t="str">
        <f>IFERROR(INDEX(基础资料!$R$4:$R$17,MATCH($G1105,基础资料!$Q$4:$Q$17,0)),"")</f>
        <v/>
      </c>
    </row>
    <row r="1106" spans="1:24">
      <c r="A1106" s="58" t="str">
        <f>IF($B1106="","",COUNTA($B$5:$B1106))</f>
        <v/>
      </c>
      <c r="B1106" s="53"/>
      <c r="C1106" s="46"/>
      <c r="D1106" s="63" t="str">
        <f>IFERROR(INDEX(基础资料!$F$4:$F$23,MATCH($C1106,基础资料!$E$4:$E$23,0)),IF($C1106="","","未匹配账户"))</f>
        <v/>
      </c>
      <c r="E1106" s="39"/>
      <c r="F1106" s="10"/>
      <c r="G1106" s="10"/>
      <c r="H1106" s="10"/>
      <c r="I1106" s="10"/>
      <c r="J1106" s="10"/>
      <c r="K1106" s="25"/>
      <c r="L1106" s="25"/>
      <c r="M1106" s="25" t="str">
        <f>IFERROR(VLOOKUP($C1106,$C$5:$M$24,11,0)+SUMIF($C$25:$C1106,$C1106,$K$25:$K1106)-SUMIF($C$25:$C1106,$C1106,$L$25:$L1106),"")</f>
        <v/>
      </c>
      <c r="N1106" s="10"/>
      <c r="O1106" s="10"/>
      <c r="P1106" s="65"/>
      <c r="Q1106" s="10"/>
      <c r="R1106" s="10"/>
      <c r="S1106" s="54" t="str">
        <f t="shared" si="57"/>
        <v/>
      </c>
      <c r="T1106" s="54" t="str">
        <f t="shared" si="58"/>
        <v/>
      </c>
      <c r="U1106" s="58" t="str">
        <f t="shared" si="59"/>
        <v/>
      </c>
      <c r="V1106" s="58">
        <f>IF(AND($B1106&lt;&gt;"",$F1106&lt;&gt;"",$F1106=项目明细账!$C$2),N(V1105)+1,N(V1105))</f>
        <v>0</v>
      </c>
      <c r="W1106" s="63" t="str">
        <f>IF($H1106&lt;&gt;"","项目成本",IFERROR(INDEX(基础资料!$W$4:$W$49,MATCH($I1106,基础资料!$V$4:$V$49,0)),""))</f>
        <v/>
      </c>
      <c r="X1106" s="63" t="str">
        <f>IFERROR(INDEX(基础资料!$R$4:$R$17,MATCH($G1106,基础资料!$Q$4:$Q$17,0)),"")</f>
        <v/>
      </c>
    </row>
    <row r="1107" spans="1:24">
      <c r="A1107" s="58" t="str">
        <f>IF($B1107="","",COUNTA($B$5:$B1107))</f>
        <v/>
      </c>
      <c r="B1107" s="53"/>
      <c r="C1107" s="46"/>
      <c r="D1107" s="63" t="str">
        <f>IFERROR(INDEX(基础资料!$F$4:$F$23,MATCH($C1107,基础资料!$E$4:$E$23,0)),IF($C1107="","","未匹配账户"))</f>
        <v/>
      </c>
      <c r="E1107" s="39"/>
      <c r="F1107" s="10"/>
      <c r="G1107" s="10"/>
      <c r="H1107" s="10"/>
      <c r="I1107" s="10"/>
      <c r="J1107" s="10"/>
      <c r="K1107" s="25"/>
      <c r="L1107" s="25"/>
      <c r="M1107" s="25" t="str">
        <f>IFERROR(VLOOKUP($C1107,$C$5:$M$24,11,0)+SUMIF($C$25:$C1107,$C1107,$K$25:$K1107)-SUMIF($C$25:$C1107,$C1107,$L$25:$L1107),"")</f>
        <v/>
      </c>
      <c r="N1107" s="10"/>
      <c r="O1107" s="10"/>
      <c r="P1107" s="65"/>
      <c r="Q1107" s="10"/>
      <c r="R1107" s="10"/>
      <c r="S1107" s="54" t="str">
        <f t="shared" si="57"/>
        <v/>
      </c>
      <c r="T1107" s="54" t="str">
        <f t="shared" si="58"/>
        <v/>
      </c>
      <c r="U1107" s="58" t="str">
        <f t="shared" si="59"/>
        <v/>
      </c>
      <c r="V1107" s="58">
        <f>IF(AND($B1107&lt;&gt;"",$F1107&lt;&gt;"",$F1107=项目明细账!$C$2),N(V1106)+1,N(V1106))</f>
        <v>0</v>
      </c>
      <c r="W1107" s="63" t="str">
        <f>IF($H1107&lt;&gt;"","项目成本",IFERROR(INDEX(基础资料!$W$4:$W$49,MATCH($I1107,基础资料!$V$4:$V$49,0)),""))</f>
        <v/>
      </c>
      <c r="X1107" s="63" t="str">
        <f>IFERROR(INDEX(基础资料!$R$4:$R$17,MATCH($G1107,基础资料!$Q$4:$Q$17,0)),"")</f>
        <v/>
      </c>
    </row>
    <row r="1108" spans="1:24">
      <c r="A1108" s="58" t="str">
        <f>IF($B1108="","",COUNTA($B$5:$B1108))</f>
        <v/>
      </c>
      <c r="B1108" s="53"/>
      <c r="C1108" s="46"/>
      <c r="D1108" s="63" t="str">
        <f>IFERROR(INDEX(基础资料!$F$4:$F$23,MATCH($C1108,基础资料!$E$4:$E$23,0)),IF($C1108="","","未匹配账户"))</f>
        <v/>
      </c>
      <c r="E1108" s="39"/>
      <c r="F1108" s="10"/>
      <c r="G1108" s="10"/>
      <c r="H1108" s="10"/>
      <c r="I1108" s="10"/>
      <c r="J1108" s="10"/>
      <c r="K1108" s="25"/>
      <c r="L1108" s="25"/>
      <c r="M1108" s="25" t="str">
        <f>IFERROR(VLOOKUP($C1108,$C$5:$M$24,11,0)+SUMIF($C$25:$C1108,$C1108,$K$25:$K1108)-SUMIF($C$25:$C1108,$C1108,$L$25:$L1108),"")</f>
        <v/>
      </c>
      <c r="N1108" s="10"/>
      <c r="O1108" s="10"/>
      <c r="P1108" s="65"/>
      <c r="Q1108" s="10"/>
      <c r="R1108" s="10"/>
      <c r="S1108" s="54" t="str">
        <f t="shared" si="57"/>
        <v/>
      </c>
      <c r="T1108" s="54" t="str">
        <f t="shared" si="58"/>
        <v/>
      </c>
      <c r="U1108" s="58" t="str">
        <f t="shared" si="59"/>
        <v/>
      </c>
      <c r="V1108" s="58">
        <f>IF(AND($B1108&lt;&gt;"",$F1108&lt;&gt;"",$F1108=项目明细账!$C$2),N(V1107)+1,N(V1107))</f>
        <v>0</v>
      </c>
      <c r="W1108" s="63" t="str">
        <f>IF($H1108&lt;&gt;"","项目成本",IFERROR(INDEX(基础资料!$W$4:$W$49,MATCH($I1108,基础资料!$V$4:$V$49,0)),""))</f>
        <v/>
      </c>
      <c r="X1108" s="63" t="str">
        <f>IFERROR(INDEX(基础资料!$R$4:$R$17,MATCH($G1108,基础资料!$Q$4:$Q$17,0)),"")</f>
        <v/>
      </c>
    </row>
    <row r="1109" spans="1:24">
      <c r="A1109" s="58" t="str">
        <f>IF($B1109="","",COUNTA($B$5:$B1109))</f>
        <v/>
      </c>
      <c r="B1109" s="53"/>
      <c r="C1109" s="46"/>
      <c r="D1109" s="63" t="str">
        <f>IFERROR(INDEX(基础资料!$F$4:$F$23,MATCH($C1109,基础资料!$E$4:$E$23,0)),IF($C1109="","","未匹配账户"))</f>
        <v/>
      </c>
      <c r="E1109" s="39"/>
      <c r="F1109" s="10"/>
      <c r="G1109" s="10"/>
      <c r="H1109" s="10"/>
      <c r="I1109" s="10"/>
      <c r="J1109" s="10"/>
      <c r="K1109" s="25"/>
      <c r="L1109" s="25"/>
      <c r="M1109" s="25" t="str">
        <f>IFERROR(VLOOKUP($C1109,$C$5:$M$24,11,0)+SUMIF($C$25:$C1109,$C1109,$K$25:$K1109)-SUMIF($C$25:$C1109,$C1109,$L$25:$L1109),"")</f>
        <v/>
      </c>
      <c r="N1109" s="10"/>
      <c r="O1109" s="10"/>
      <c r="P1109" s="65"/>
      <c r="Q1109" s="10"/>
      <c r="R1109" s="10"/>
      <c r="S1109" s="54" t="str">
        <f t="shared" si="57"/>
        <v/>
      </c>
      <c r="T1109" s="54" t="str">
        <f t="shared" si="58"/>
        <v/>
      </c>
      <c r="U1109" s="58" t="str">
        <f t="shared" si="59"/>
        <v/>
      </c>
      <c r="V1109" s="58">
        <f>IF(AND($B1109&lt;&gt;"",$F1109&lt;&gt;"",$F1109=项目明细账!$C$2),N(V1108)+1,N(V1108))</f>
        <v>0</v>
      </c>
      <c r="W1109" s="63" t="str">
        <f>IF($H1109&lt;&gt;"","项目成本",IFERROR(INDEX(基础资料!$W$4:$W$49,MATCH($I1109,基础资料!$V$4:$V$49,0)),""))</f>
        <v/>
      </c>
      <c r="X1109" s="63" t="str">
        <f>IFERROR(INDEX(基础资料!$R$4:$R$17,MATCH($G1109,基础资料!$Q$4:$Q$17,0)),"")</f>
        <v/>
      </c>
    </row>
    <row r="1110" spans="1:24">
      <c r="A1110" s="58" t="str">
        <f>IF($B1110="","",COUNTA($B$5:$B1110))</f>
        <v/>
      </c>
      <c r="B1110" s="53"/>
      <c r="C1110" s="46"/>
      <c r="D1110" s="63" t="str">
        <f>IFERROR(INDEX(基础资料!$F$4:$F$23,MATCH($C1110,基础资料!$E$4:$E$23,0)),IF($C1110="","","未匹配账户"))</f>
        <v/>
      </c>
      <c r="E1110" s="39"/>
      <c r="F1110" s="10"/>
      <c r="G1110" s="10"/>
      <c r="H1110" s="10"/>
      <c r="I1110" s="10"/>
      <c r="J1110" s="10"/>
      <c r="K1110" s="25"/>
      <c r="L1110" s="25"/>
      <c r="M1110" s="25" t="str">
        <f>IFERROR(VLOOKUP($C1110,$C$5:$M$24,11,0)+SUMIF($C$25:$C1110,$C1110,$K$25:$K1110)-SUMIF($C$25:$C1110,$C1110,$L$25:$L1110),"")</f>
        <v/>
      </c>
      <c r="N1110" s="10"/>
      <c r="O1110" s="10"/>
      <c r="P1110" s="65"/>
      <c r="Q1110" s="10"/>
      <c r="R1110" s="10"/>
      <c r="S1110" s="54" t="str">
        <f t="shared" si="57"/>
        <v/>
      </c>
      <c r="T1110" s="54" t="str">
        <f t="shared" si="58"/>
        <v/>
      </c>
      <c r="U1110" s="58" t="str">
        <f t="shared" si="59"/>
        <v/>
      </c>
      <c r="V1110" s="58">
        <f>IF(AND($B1110&lt;&gt;"",$F1110&lt;&gt;"",$F1110=项目明细账!$C$2),N(V1109)+1,N(V1109))</f>
        <v>0</v>
      </c>
      <c r="W1110" s="63" t="str">
        <f>IF($H1110&lt;&gt;"","项目成本",IFERROR(INDEX(基础资料!$W$4:$W$49,MATCH($I1110,基础资料!$V$4:$V$49,0)),""))</f>
        <v/>
      </c>
      <c r="X1110" s="63" t="str">
        <f>IFERROR(INDEX(基础资料!$R$4:$R$17,MATCH($G1110,基础资料!$Q$4:$Q$17,0)),"")</f>
        <v/>
      </c>
    </row>
    <row r="1111" spans="1:24">
      <c r="A1111" s="58" t="str">
        <f>IF($B1111="","",COUNTA($B$5:$B1111))</f>
        <v/>
      </c>
      <c r="B1111" s="53"/>
      <c r="C1111" s="46"/>
      <c r="D1111" s="63" t="str">
        <f>IFERROR(INDEX(基础资料!$F$4:$F$23,MATCH($C1111,基础资料!$E$4:$E$23,0)),IF($C1111="","","未匹配账户"))</f>
        <v/>
      </c>
      <c r="E1111" s="39"/>
      <c r="F1111" s="10"/>
      <c r="G1111" s="10"/>
      <c r="H1111" s="10"/>
      <c r="I1111" s="10"/>
      <c r="J1111" s="10"/>
      <c r="K1111" s="25"/>
      <c r="L1111" s="25"/>
      <c r="M1111" s="25" t="str">
        <f>IFERROR(VLOOKUP($C1111,$C$5:$M$24,11,0)+SUMIF($C$25:$C1111,$C1111,$K$25:$K1111)-SUMIF($C$25:$C1111,$C1111,$L$25:$L1111),"")</f>
        <v/>
      </c>
      <c r="N1111" s="10"/>
      <c r="O1111" s="10"/>
      <c r="P1111" s="65"/>
      <c r="Q1111" s="10"/>
      <c r="R1111" s="10"/>
      <c r="S1111" s="54" t="str">
        <f t="shared" si="57"/>
        <v/>
      </c>
      <c r="T1111" s="54" t="str">
        <f t="shared" si="58"/>
        <v/>
      </c>
      <c r="U1111" s="58" t="str">
        <f t="shared" si="59"/>
        <v/>
      </c>
      <c r="V1111" s="58">
        <f>IF(AND($B1111&lt;&gt;"",$F1111&lt;&gt;"",$F1111=项目明细账!$C$2),N(V1110)+1,N(V1110))</f>
        <v>0</v>
      </c>
      <c r="W1111" s="63" t="str">
        <f>IF($H1111&lt;&gt;"","项目成本",IFERROR(INDEX(基础资料!$W$4:$W$49,MATCH($I1111,基础资料!$V$4:$V$49,0)),""))</f>
        <v/>
      </c>
      <c r="X1111" s="63" t="str">
        <f>IFERROR(INDEX(基础资料!$R$4:$R$17,MATCH($G1111,基础资料!$Q$4:$Q$17,0)),"")</f>
        <v/>
      </c>
    </row>
    <row r="1112" spans="1:24">
      <c r="A1112" s="58" t="str">
        <f>IF($B1112="","",COUNTA($B$5:$B1112))</f>
        <v/>
      </c>
      <c r="B1112" s="53"/>
      <c r="C1112" s="46"/>
      <c r="D1112" s="63" t="str">
        <f>IFERROR(INDEX(基础资料!$F$4:$F$23,MATCH($C1112,基础资料!$E$4:$E$23,0)),IF($C1112="","","未匹配账户"))</f>
        <v/>
      </c>
      <c r="E1112" s="39"/>
      <c r="F1112" s="10"/>
      <c r="G1112" s="10"/>
      <c r="H1112" s="10"/>
      <c r="I1112" s="10"/>
      <c r="J1112" s="10"/>
      <c r="K1112" s="25"/>
      <c r="L1112" s="25"/>
      <c r="M1112" s="25" t="str">
        <f>IFERROR(VLOOKUP($C1112,$C$5:$M$24,11,0)+SUMIF($C$25:$C1112,$C1112,$K$25:$K1112)-SUMIF($C$25:$C1112,$C1112,$L$25:$L1112),"")</f>
        <v/>
      </c>
      <c r="N1112" s="10"/>
      <c r="O1112" s="10"/>
      <c r="P1112" s="65"/>
      <c r="Q1112" s="10"/>
      <c r="R1112" s="10"/>
      <c r="S1112" s="54" t="str">
        <f t="shared" si="57"/>
        <v/>
      </c>
      <c r="T1112" s="54" t="str">
        <f t="shared" si="58"/>
        <v/>
      </c>
      <c r="U1112" s="58" t="str">
        <f t="shared" si="59"/>
        <v/>
      </c>
      <c r="V1112" s="58">
        <f>IF(AND($B1112&lt;&gt;"",$F1112&lt;&gt;"",$F1112=项目明细账!$C$2),N(V1111)+1,N(V1111))</f>
        <v>0</v>
      </c>
      <c r="W1112" s="63" t="str">
        <f>IF($H1112&lt;&gt;"","项目成本",IFERROR(INDEX(基础资料!$W$4:$W$49,MATCH($I1112,基础资料!$V$4:$V$49,0)),""))</f>
        <v/>
      </c>
      <c r="X1112" s="63" t="str">
        <f>IFERROR(INDEX(基础资料!$R$4:$R$17,MATCH($G1112,基础资料!$Q$4:$Q$17,0)),"")</f>
        <v/>
      </c>
    </row>
    <row r="1113" spans="1:24">
      <c r="A1113" s="58" t="str">
        <f>IF($B1113="","",COUNTA($B$5:$B1113))</f>
        <v/>
      </c>
      <c r="B1113" s="53"/>
      <c r="C1113" s="46"/>
      <c r="D1113" s="63" t="str">
        <f>IFERROR(INDEX(基础资料!$F$4:$F$23,MATCH($C1113,基础资料!$E$4:$E$23,0)),IF($C1113="","","未匹配账户"))</f>
        <v/>
      </c>
      <c r="E1113" s="39"/>
      <c r="F1113" s="10"/>
      <c r="G1113" s="10"/>
      <c r="H1113" s="10"/>
      <c r="I1113" s="10"/>
      <c r="J1113" s="10"/>
      <c r="K1113" s="25"/>
      <c r="L1113" s="25"/>
      <c r="M1113" s="25" t="str">
        <f>IFERROR(VLOOKUP($C1113,$C$5:$M$24,11,0)+SUMIF($C$25:$C1113,$C1113,$K$25:$K1113)-SUMIF($C$25:$C1113,$C1113,$L$25:$L1113),"")</f>
        <v/>
      </c>
      <c r="N1113" s="10"/>
      <c r="O1113" s="10"/>
      <c r="P1113" s="65"/>
      <c r="Q1113" s="10"/>
      <c r="R1113" s="10"/>
      <c r="S1113" s="54" t="str">
        <f t="shared" si="57"/>
        <v/>
      </c>
      <c r="T1113" s="54" t="str">
        <f t="shared" si="58"/>
        <v/>
      </c>
      <c r="U1113" s="58" t="str">
        <f t="shared" si="59"/>
        <v/>
      </c>
      <c r="V1113" s="58">
        <f>IF(AND($B1113&lt;&gt;"",$F1113&lt;&gt;"",$F1113=项目明细账!$C$2),N(V1112)+1,N(V1112))</f>
        <v>0</v>
      </c>
      <c r="W1113" s="63" t="str">
        <f>IF($H1113&lt;&gt;"","项目成本",IFERROR(INDEX(基础资料!$W$4:$W$49,MATCH($I1113,基础资料!$V$4:$V$49,0)),""))</f>
        <v/>
      </c>
      <c r="X1113" s="63" t="str">
        <f>IFERROR(INDEX(基础资料!$R$4:$R$17,MATCH($G1113,基础资料!$Q$4:$Q$17,0)),"")</f>
        <v/>
      </c>
    </row>
    <row r="1114" spans="1:24">
      <c r="A1114" s="58" t="str">
        <f>IF($B1114="","",COUNTA($B$5:$B1114))</f>
        <v/>
      </c>
      <c r="B1114" s="53"/>
      <c r="C1114" s="46"/>
      <c r="D1114" s="63" t="str">
        <f>IFERROR(INDEX(基础资料!$F$4:$F$23,MATCH($C1114,基础资料!$E$4:$E$23,0)),IF($C1114="","","未匹配账户"))</f>
        <v/>
      </c>
      <c r="E1114" s="39"/>
      <c r="F1114" s="10"/>
      <c r="G1114" s="10"/>
      <c r="H1114" s="10"/>
      <c r="I1114" s="10"/>
      <c r="J1114" s="10"/>
      <c r="K1114" s="25"/>
      <c r="L1114" s="25"/>
      <c r="M1114" s="25" t="str">
        <f>IFERROR(VLOOKUP($C1114,$C$5:$M$24,11,0)+SUMIF($C$25:$C1114,$C1114,$K$25:$K1114)-SUMIF($C$25:$C1114,$C1114,$L$25:$L1114),"")</f>
        <v/>
      </c>
      <c r="N1114" s="10"/>
      <c r="O1114" s="10"/>
      <c r="P1114" s="65"/>
      <c r="Q1114" s="10"/>
      <c r="R1114" s="10"/>
      <c r="S1114" s="54" t="str">
        <f t="shared" si="57"/>
        <v/>
      </c>
      <c r="T1114" s="54" t="str">
        <f t="shared" si="58"/>
        <v/>
      </c>
      <c r="U1114" s="58" t="str">
        <f t="shared" si="59"/>
        <v/>
      </c>
      <c r="V1114" s="58">
        <f>IF(AND($B1114&lt;&gt;"",$F1114&lt;&gt;"",$F1114=项目明细账!$C$2),N(V1113)+1,N(V1113))</f>
        <v>0</v>
      </c>
      <c r="W1114" s="63" t="str">
        <f>IF($H1114&lt;&gt;"","项目成本",IFERROR(INDEX(基础资料!$W$4:$W$49,MATCH($I1114,基础资料!$V$4:$V$49,0)),""))</f>
        <v/>
      </c>
      <c r="X1114" s="63" t="str">
        <f>IFERROR(INDEX(基础资料!$R$4:$R$17,MATCH($G1114,基础资料!$Q$4:$Q$17,0)),"")</f>
        <v/>
      </c>
    </row>
    <row r="1115" spans="1:24">
      <c r="A1115" s="58" t="str">
        <f>IF($B1115="","",COUNTA($B$5:$B1115))</f>
        <v/>
      </c>
      <c r="B1115" s="53"/>
      <c r="C1115" s="46"/>
      <c r="D1115" s="63" t="str">
        <f>IFERROR(INDEX(基础资料!$F$4:$F$23,MATCH($C1115,基础资料!$E$4:$E$23,0)),IF($C1115="","","未匹配账户"))</f>
        <v/>
      </c>
      <c r="E1115" s="39"/>
      <c r="F1115" s="10"/>
      <c r="G1115" s="10"/>
      <c r="H1115" s="10"/>
      <c r="I1115" s="10"/>
      <c r="J1115" s="10"/>
      <c r="K1115" s="25"/>
      <c r="L1115" s="25"/>
      <c r="M1115" s="25" t="str">
        <f>IFERROR(VLOOKUP($C1115,$C$5:$M$24,11,0)+SUMIF($C$25:$C1115,$C1115,$K$25:$K1115)-SUMIF($C$25:$C1115,$C1115,$L$25:$L1115),"")</f>
        <v/>
      </c>
      <c r="N1115" s="10"/>
      <c r="O1115" s="10"/>
      <c r="P1115" s="65"/>
      <c r="Q1115" s="10"/>
      <c r="R1115" s="10"/>
      <c r="S1115" s="54" t="str">
        <f t="shared" si="57"/>
        <v/>
      </c>
      <c r="T1115" s="54" t="str">
        <f t="shared" si="58"/>
        <v/>
      </c>
      <c r="U1115" s="58" t="str">
        <f t="shared" si="59"/>
        <v/>
      </c>
      <c r="V1115" s="58">
        <f>IF(AND($B1115&lt;&gt;"",$F1115&lt;&gt;"",$F1115=项目明细账!$C$2),N(V1114)+1,N(V1114))</f>
        <v>0</v>
      </c>
      <c r="W1115" s="63" t="str">
        <f>IF($H1115&lt;&gt;"","项目成本",IFERROR(INDEX(基础资料!$W$4:$W$49,MATCH($I1115,基础资料!$V$4:$V$49,0)),""))</f>
        <v/>
      </c>
      <c r="X1115" s="63" t="str">
        <f>IFERROR(INDEX(基础资料!$R$4:$R$17,MATCH($G1115,基础资料!$Q$4:$Q$17,0)),"")</f>
        <v/>
      </c>
    </row>
    <row r="1116" spans="1:24">
      <c r="A1116" s="58" t="str">
        <f>IF($B1116="","",COUNTA($B$5:$B1116))</f>
        <v/>
      </c>
      <c r="B1116" s="53"/>
      <c r="C1116" s="46"/>
      <c r="D1116" s="63" t="str">
        <f>IFERROR(INDEX(基础资料!$F$4:$F$23,MATCH($C1116,基础资料!$E$4:$E$23,0)),IF($C1116="","","未匹配账户"))</f>
        <v/>
      </c>
      <c r="E1116" s="39"/>
      <c r="F1116" s="10"/>
      <c r="G1116" s="10"/>
      <c r="H1116" s="10"/>
      <c r="I1116" s="10"/>
      <c r="J1116" s="10"/>
      <c r="K1116" s="25"/>
      <c r="L1116" s="25"/>
      <c r="M1116" s="25" t="str">
        <f>IFERROR(VLOOKUP($C1116,$C$5:$M$24,11,0)+SUMIF($C$25:$C1116,$C1116,$K$25:$K1116)-SUMIF($C$25:$C1116,$C1116,$L$25:$L1116),"")</f>
        <v/>
      </c>
      <c r="N1116" s="10"/>
      <c r="O1116" s="10"/>
      <c r="P1116" s="65"/>
      <c r="Q1116" s="10"/>
      <c r="R1116" s="10"/>
      <c r="S1116" s="54" t="str">
        <f t="shared" si="57"/>
        <v/>
      </c>
      <c r="T1116" s="54" t="str">
        <f t="shared" si="58"/>
        <v/>
      </c>
      <c r="U1116" s="58" t="str">
        <f t="shared" si="59"/>
        <v/>
      </c>
      <c r="V1116" s="58">
        <f>IF(AND($B1116&lt;&gt;"",$F1116&lt;&gt;"",$F1116=项目明细账!$C$2),N(V1115)+1,N(V1115))</f>
        <v>0</v>
      </c>
      <c r="W1116" s="63" t="str">
        <f>IF($H1116&lt;&gt;"","项目成本",IFERROR(INDEX(基础资料!$W$4:$W$49,MATCH($I1116,基础资料!$V$4:$V$49,0)),""))</f>
        <v/>
      </c>
      <c r="X1116" s="63" t="str">
        <f>IFERROR(INDEX(基础资料!$R$4:$R$17,MATCH($G1116,基础资料!$Q$4:$Q$17,0)),"")</f>
        <v/>
      </c>
    </row>
    <row r="1117" spans="1:24">
      <c r="A1117" s="58" t="str">
        <f>IF($B1117="","",COUNTA($B$5:$B1117))</f>
        <v/>
      </c>
      <c r="B1117" s="53"/>
      <c r="C1117" s="46"/>
      <c r="D1117" s="63" t="str">
        <f>IFERROR(INDEX(基础资料!$F$4:$F$23,MATCH($C1117,基础资料!$E$4:$E$23,0)),IF($C1117="","","未匹配账户"))</f>
        <v/>
      </c>
      <c r="E1117" s="39"/>
      <c r="F1117" s="10"/>
      <c r="G1117" s="10"/>
      <c r="H1117" s="10"/>
      <c r="I1117" s="10"/>
      <c r="J1117" s="10"/>
      <c r="K1117" s="25"/>
      <c r="L1117" s="25"/>
      <c r="M1117" s="25" t="str">
        <f>IFERROR(VLOOKUP($C1117,$C$5:$M$24,11,0)+SUMIF($C$25:$C1117,$C1117,$K$25:$K1117)-SUMIF($C$25:$C1117,$C1117,$L$25:$L1117),"")</f>
        <v/>
      </c>
      <c r="N1117" s="10"/>
      <c r="O1117" s="10"/>
      <c r="P1117" s="65"/>
      <c r="Q1117" s="10"/>
      <c r="R1117" s="10"/>
      <c r="S1117" s="54" t="str">
        <f t="shared" si="57"/>
        <v/>
      </c>
      <c r="T1117" s="54" t="str">
        <f t="shared" si="58"/>
        <v/>
      </c>
      <c r="U1117" s="58" t="str">
        <f t="shared" si="59"/>
        <v/>
      </c>
      <c r="V1117" s="58">
        <f>IF(AND($B1117&lt;&gt;"",$F1117&lt;&gt;"",$F1117=项目明细账!$C$2),N(V1116)+1,N(V1116))</f>
        <v>0</v>
      </c>
      <c r="W1117" s="63" t="str">
        <f>IF($H1117&lt;&gt;"","项目成本",IFERROR(INDEX(基础资料!$W$4:$W$49,MATCH($I1117,基础资料!$V$4:$V$49,0)),""))</f>
        <v/>
      </c>
      <c r="X1117" s="63" t="str">
        <f>IFERROR(INDEX(基础资料!$R$4:$R$17,MATCH($G1117,基础资料!$Q$4:$Q$17,0)),"")</f>
        <v/>
      </c>
    </row>
    <row r="1118" spans="1:24">
      <c r="A1118" s="58" t="str">
        <f>IF($B1118="","",COUNTA($B$5:$B1118))</f>
        <v/>
      </c>
      <c r="B1118" s="53"/>
      <c r="C1118" s="46"/>
      <c r="D1118" s="63" t="str">
        <f>IFERROR(INDEX(基础资料!$F$4:$F$23,MATCH($C1118,基础资料!$E$4:$E$23,0)),IF($C1118="","","未匹配账户"))</f>
        <v/>
      </c>
      <c r="E1118" s="39"/>
      <c r="F1118" s="10"/>
      <c r="G1118" s="10"/>
      <c r="H1118" s="10"/>
      <c r="I1118" s="10"/>
      <c r="J1118" s="10"/>
      <c r="K1118" s="25"/>
      <c r="L1118" s="25"/>
      <c r="M1118" s="25" t="str">
        <f>IFERROR(VLOOKUP($C1118,$C$5:$M$24,11,0)+SUMIF($C$25:$C1118,$C1118,$K$25:$K1118)-SUMIF($C$25:$C1118,$C1118,$L$25:$L1118),"")</f>
        <v/>
      </c>
      <c r="N1118" s="10"/>
      <c r="O1118" s="10"/>
      <c r="P1118" s="65"/>
      <c r="Q1118" s="10"/>
      <c r="R1118" s="10"/>
      <c r="S1118" s="54" t="str">
        <f t="shared" si="57"/>
        <v/>
      </c>
      <c r="T1118" s="54" t="str">
        <f t="shared" si="58"/>
        <v/>
      </c>
      <c r="U1118" s="58" t="str">
        <f t="shared" si="59"/>
        <v/>
      </c>
      <c r="V1118" s="58">
        <f>IF(AND($B1118&lt;&gt;"",$F1118&lt;&gt;"",$F1118=项目明细账!$C$2),N(V1117)+1,N(V1117))</f>
        <v>0</v>
      </c>
      <c r="W1118" s="63" t="str">
        <f>IF($H1118&lt;&gt;"","项目成本",IFERROR(INDEX(基础资料!$W$4:$W$49,MATCH($I1118,基础资料!$V$4:$V$49,0)),""))</f>
        <v/>
      </c>
      <c r="X1118" s="63" t="str">
        <f>IFERROR(INDEX(基础资料!$R$4:$R$17,MATCH($G1118,基础资料!$Q$4:$Q$17,0)),"")</f>
        <v/>
      </c>
    </row>
    <row r="1119" spans="1:24">
      <c r="A1119" s="58" t="str">
        <f>IF($B1119="","",COUNTA($B$5:$B1119))</f>
        <v/>
      </c>
      <c r="B1119" s="53"/>
      <c r="C1119" s="46"/>
      <c r="D1119" s="63" t="str">
        <f>IFERROR(INDEX(基础资料!$F$4:$F$23,MATCH($C1119,基础资料!$E$4:$E$23,0)),IF($C1119="","","未匹配账户"))</f>
        <v/>
      </c>
      <c r="E1119" s="39"/>
      <c r="F1119" s="10"/>
      <c r="G1119" s="10"/>
      <c r="H1119" s="10"/>
      <c r="I1119" s="10"/>
      <c r="J1119" s="10"/>
      <c r="K1119" s="25"/>
      <c r="L1119" s="25"/>
      <c r="M1119" s="25" t="str">
        <f>IFERROR(VLOOKUP($C1119,$C$5:$M$24,11,0)+SUMIF($C$25:$C1119,$C1119,$K$25:$K1119)-SUMIF($C$25:$C1119,$C1119,$L$25:$L1119),"")</f>
        <v/>
      </c>
      <c r="N1119" s="10"/>
      <c r="O1119" s="10"/>
      <c r="P1119" s="65"/>
      <c r="Q1119" s="10"/>
      <c r="R1119" s="10"/>
      <c r="S1119" s="54" t="str">
        <f t="shared" si="57"/>
        <v/>
      </c>
      <c r="T1119" s="54" t="str">
        <f t="shared" si="58"/>
        <v/>
      </c>
      <c r="U1119" s="58" t="str">
        <f t="shared" si="59"/>
        <v/>
      </c>
      <c r="V1119" s="58">
        <f>IF(AND($B1119&lt;&gt;"",$F1119&lt;&gt;"",$F1119=项目明细账!$C$2),N(V1118)+1,N(V1118))</f>
        <v>0</v>
      </c>
      <c r="W1119" s="63" t="str">
        <f>IF($H1119&lt;&gt;"","项目成本",IFERROR(INDEX(基础资料!$W$4:$W$49,MATCH($I1119,基础资料!$V$4:$V$49,0)),""))</f>
        <v/>
      </c>
      <c r="X1119" s="63" t="str">
        <f>IFERROR(INDEX(基础资料!$R$4:$R$17,MATCH($G1119,基础资料!$Q$4:$Q$17,0)),"")</f>
        <v/>
      </c>
    </row>
    <row r="1120" spans="1:24">
      <c r="A1120" s="58" t="str">
        <f>IF($B1120="","",COUNTA($B$5:$B1120))</f>
        <v/>
      </c>
      <c r="B1120" s="53"/>
      <c r="C1120" s="46"/>
      <c r="D1120" s="63" t="str">
        <f>IFERROR(INDEX(基础资料!$F$4:$F$23,MATCH($C1120,基础资料!$E$4:$E$23,0)),IF($C1120="","","未匹配账户"))</f>
        <v/>
      </c>
      <c r="E1120" s="39"/>
      <c r="F1120" s="10"/>
      <c r="G1120" s="10"/>
      <c r="H1120" s="10"/>
      <c r="I1120" s="10"/>
      <c r="J1120" s="10"/>
      <c r="K1120" s="25"/>
      <c r="L1120" s="25"/>
      <c r="M1120" s="25" t="str">
        <f>IFERROR(VLOOKUP($C1120,$C$5:$M$24,11,0)+SUMIF($C$25:$C1120,$C1120,$K$25:$K1120)-SUMIF($C$25:$C1120,$C1120,$L$25:$L1120),"")</f>
        <v/>
      </c>
      <c r="N1120" s="10"/>
      <c r="O1120" s="10"/>
      <c r="P1120" s="65"/>
      <c r="Q1120" s="10"/>
      <c r="R1120" s="10"/>
      <c r="S1120" s="54" t="str">
        <f t="shared" si="57"/>
        <v/>
      </c>
      <c r="T1120" s="54" t="str">
        <f t="shared" si="58"/>
        <v/>
      </c>
      <c r="U1120" s="58" t="str">
        <f t="shared" si="59"/>
        <v/>
      </c>
      <c r="V1120" s="58">
        <f>IF(AND($B1120&lt;&gt;"",$F1120&lt;&gt;"",$F1120=项目明细账!$C$2),N(V1119)+1,N(V1119))</f>
        <v>0</v>
      </c>
      <c r="W1120" s="63" t="str">
        <f>IF($H1120&lt;&gt;"","项目成本",IFERROR(INDEX(基础资料!$W$4:$W$49,MATCH($I1120,基础资料!$V$4:$V$49,0)),""))</f>
        <v/>
      </c>
      <c r="X1120" s="63" t="str">
        <f>IFERROR(INDEX(基础资料!$R$4:$R$17,MATCH($G1120,基础资料!$Q$4:$Q$17,0)),"")</f>
        <v/>
      </c>
    </row>
    <row r="1121" spans="1:24">
      <c r="A1121" s="58" t="str">
        <f>IF($B1121="","",COUNTA($B$5:$B1121))</f>
        <v/>
      </c>
      <c r="B1121" s="53"/>
      <c r="C1121" s="46"/>
      <c r="D1121" s="63" t="str">
        <f>IFERROR(INDEX(基础资料!$F$4:$F$23,MATCH($C1121,基础资料!$E$4:$E$23,0)),IF($C1121="","","未匹配账户"))</f>
        <v/>
      </c>
      <c r="E1121" s="39"/>
      <c r="F1121" s="10"/>
      <c r="G1121" s="10"/>
      <c r="H1121" s="10"/>
      <c r="I1121" s="10"/>
      <c r="J1121" s="10"/>
      <c r="K1121" s="25"/>
      <c r="L1121" s="25"/>
      <c r="M1121" s="25" t="str">
        <f>IFERROR(VLOOKUP($C1121,$C$5:$M$24,11,0)+SUMIF($C$25:$C1121,$C1121,$K$25:$K1121)-SUMIF($C$25:$C1121,$C1121,$L$25:$L1121),"")</f>
        <v/>
      </c>
      <c r="N1121" s="10"/>
      <c r="O1121" s="10"/>
      <c r="P1121" s="65"/>
      <c r="Q1121" s="10"/>
      <c r="R1121" s="10"/>
      <c r="S1121" s="54" t="str">
        <f t="shared" si="57"/>
        <v/>
      </c>
      <c r="T1121" s="54" t="str">
        <f t="shared" si="58"/>
        <v/>
      </c>
      <c r="U1121" s="58" t="str">
        <f t="shared" si="59"/>
        <v/>
      </c>
      <c r="V1121" s="58">
        <f>IF(AND($B1121&lt;&gt;"",$F1121&lt;&gt;"",$F1121=项目明细账!$C$2),N(V1120)+1,N(V1120))</f>
        <v>0</v>
      </c>
      <c r="W1121" s="63" t="str">
        <f>IF($H1121&lt;&gt;"","项目成本",IFERROR(INDEX(基础资料!$W$4:$W$49,MATCH($I1121,基础资料!$V$4:$V$49,0)),""))</f>
        <v/>
      </c>
      <c r="X1121" s="63" t="str">
        <f>IFERROR(INDEX(基础资料!$R$4:$R$17,MATCH($G1121,基础资料!$Q$4:$Q$17,0)),"")</f>
        <v/>
      </c>
    </row>
    <row r="1122" spans="1:24">
      <c r="A1122" s="58" t="str">
        <f>IF($B1122="","",COUNTA($B$5:$B1122))</f>
        <v/>
      </c>
      <c r="B1122" s="53"/>
      <c r="C1122" s="46"/>
      <c r="D1122" s="63" t="str">
        <f>IFERROR(INDEX(基础资料!$F$4:$F$23,MATCH($C1122,基础资料!$E$4:$E$23,0)),IF($C1122="","","未匹配账户"))</f>
        <v/>
      </c>
      <c r="E1122" s="39"/>
      <c r="F1122" s="10"/>
      <c r="G1122" s="10"/>
      <c r="H1122" s="10"/>
      <c r="I1122" s="10"/>
      <c r="J1122" s="10"/>
      <c r="K1122" s="25"/>
      <c r="L1122" s="25"/>
      <c r="M1122" s="25" t="str">
        <f>IFERROR(VLOOKUP($C1122,$C$5:$M$24,11,0)+SUMIF($C$25:$C1122,$C1122,$K$25:$K1122)-SUMIF($C$25:$C1122,$C1122,$L$25:$L1122),"")</f>
        <v/>
      </c>
      <c r="N1122" s="10"/>
      <c r="O1122" s="10"/>
      <c r="P1122" s="65"/>
      <c r="Q1122" s="10"/>
      <c r="R1122" s="10"/>
      <c r="S1122" s="54" t="str">
        <f t="shared" si="57"/>
        <v/>
      </c>
      <c r="T1122" s="54" t="str">
        <f t="shared" si="58"/>
        <v/>
      </c>
      <c r="U1122" s="58" t="str">
        <f t="shared" si="59"/>
        <v/>
      </c>
      <c r="V1122" s="58">
        <f>IF(AND($B1122&lt;&gt;"",$F1122&lt;&gt;"",$F1122=项目明细账!$C$2),N(V1121)+1,N(V1121))</f>
        <v>0</v>
      </c>
      <c r="W1122" s="63" t="str">
        <f>IF($H1122&lt;&gt;"","项目成本",IFERROR(INDEX(基础资料!$W$4:$W$49,MATCH($I1122,基础资料!$V$4:$V$49,0)),""))</f>
        <v/>
      </c>
      <c r="X1122" s="63" t="str">
        <f>IFERROR(INDEX(基础资料!$R$4:$R$17,MATCH($G1122,基础资料!$Q$4:$Q$17,0)),"")</f>
        <v/>
      </c>
    </row>
    <row r="1123" spans="1:24">
      <c r="A1123" s="58" t="str">
        <f>IF($B1123="","",COUNTA($B$5:$B1123))</f>
        <v/>
      </c>
      <c r="B1123" s="53"/>
      <c r="C1123" s="46"/>
      <c r="D1123" s="63" t="str">
        <f>IFERROR(INDEX(基础资料!$F$4:$F$23,MATCH($C1123,基础资料!$E$4:$E$23,0)),IF($C1123="","","未匹配账户"))</f>
        <v/>
      </c>
      <c r="E1123" s="39"/>
      <c r="F1123" s="10"/>
      <c r="G1123" s="10"/>
      <c r="H1123" s="10"/>
      <c r="I1123" s="10"/>
      <c r="J1123" s="10"/>
      <c r="K1123" s="25"/>
      <c r="L1123" s="25"/>
      <c r="M1123" s="25" t="str">
        <f>IFERROR(VLOOKUP($C1123,$C$5:$M$24,11,0)+SUMIF($C$25:$C1123,$C1123,$K$25:$K1123)-SUMIF($C$25:$C1123,$C1123,$L$25:$L1123),"")</f>
        <v/>
      </c>
      <c r="N1123" s="10"/>
      <c r="O1123" s="10"/>
      <c r="P1123" s="65"/>
      <c r="Q1123" s="10"/>
      <c r="R1123" s="10"/>
      <c r="S1123" s="54" t="str">
        <f t="shared" si="57"/>
        <v/>
      </c>
      <c r="T1123" s="54" t="str">
        <f t="shared" si="58"/>
        <v/>
      </c>
      <c r="U1123" s="58" t="str">
        <f t="shared" si="59"/>
        <v/>
      </c>
      <c r="V1123" s="58">
        <f>IF(AND($B1123&lt;&gt;"",$F1123&lt;&gt;"",$F1123=项目明细账!$C$2),N(V1122)+1,N(V1122))</f>
        <v>0</v>
      </c>
      <c r="W1123" s="63" t="str">
        <f>IF($H1123&lt;&gt;"","项目成本",IFERROR(INDEX(基础资料!$W$4:$W$49,MATCH($I1123,基础资料!$V$4:$V$49,0)),""))</f>
        <v/>
      </c>
      <c r="X1123" s="63" t="str">
        <f>IFERROR(INDEX(基础资料!$R$4:$R$17,MATCH($G1123,基础资料!$Q$4:$Q$17,0)),"")</f>
        <v/>
      </c>
    </row>
    <row r="1124" spans="1:24">
      <c r="A1124" s="58" t="str">
        <f>IF($B1124="","",COUNTA($B$5:$B1124))</f>
        <v/>
      </c>
      <c r="B1124" s="53"/>
      <c r="C1124" s="46"/>
      <c r="D1124" s="63" t="str">
        <f>IFERROR(INDEX(基础资料!$F$4:$F$23,MATCH($C1124,基础资料!$E$4:$E$23,0)),IF($C1124="","","未匹配账户"))</f>
        <v/>
      </c>
      <c r="E1124" s="39"/>
      <c r="F1124" s="10"/>
      <c r="G1124" s="10"/>
      <c r="H1124" s="10"/>
      <c r="I1124" s="10"/>
      <c r="J1124" s="10"/>
      <c r="K1124" s="25"/>
      <c r="L1124" s="25"/>
      <c r="M1124" s="25" t="str">
        <f>IFERROR(VLOOKUP($C1124,$C$5:$M$24,11,0)+SUMIF($C$25:$C1124,$C1124,$K$25:$K1124)-SUMIF($C$25:$C1124,$C1124,$L$25:$L1124),"")</f>
        <v/>
      </c>
      <c r="N1124" s="10"/>
      <c r="O1124" s="10"/>
      <c r="P1124" s="65"/>
      <c r="Q1124" s="10"/>
      <c r="R1124" s="10"/>
      <c r="S1124" s="54" t="str">
        <f t="shared" si="57"/>
        <v/>
      </c>
      <c r="T1124" s="54" t="str">
        <f t="shared" si="58"/>
        <v/>
      </c>
      <c r="U1124" s="58" t="str">
        <f t="shared" si="59"/>
        <v/>
      </c>
      <c r="V1124" s="58">
        <f>IF(AND($B1124&lt;&gt;"",$F1124&lt;&gt;"",$F1124=项目明细账!$C$2),N(V1123)+1,N(V1123))</f>
        <v>0</v>
      </c>
      <c r="W1124" s="63" t="str">
        <f>IF($H1124&lt;&gt;"","项目成本",IFERROR(INDEX(基础资料!$W$4:$W$49,MATCH($I1124,基础资料!$V$4:$V$49,0)),""))</f>
        <v/>
      </c>
      <c r="X1124" s="63" t="str">
        <f>IFERROR(INDEX(基础资料!$R$4:$R$17,MATCH($G1124,基础资料!$Q$4:$Q$17,0)),"")</f>
        <v/>
      </c>
    </row>
    <row r="1125" spans="1:24">
      <c r="A1125" s="58" t="str">
        <f>IF($B1125="","",COUNTA($B$5:$B1125))</f>
        <v/>
      </c>
      <c r="B1125" s="53"/>
      <c r="C1125" s="46"/>
      <c r="D1125" s="63" t="str">
        <f>IFERROR(INDEX(基础资料!$F$4:$F$23,MATCH($C1125,基础资料!$E$4:$E$23,0)),IF($C1125="","","未匹配账户"))</f>
        <v/>
      </c>
      <c r="E1125" s="39"/>
      <c r="F1125" s="10"/>
      <c r="G1125" s="10"/>
      <c r="H1125" s="10"/>
      <c r="I1125" s="10"/>
      <c r="J1125" s="10"/>
      <c r="K1125" s="25"/>
      <c r="L1125" s="25"/>
      <c r="M1125" s="25" t="str">
        <f>IFERROR(VLOOKUP($C1125,$C$5:$M$24,11,0)+SUMIF($C$25:$C1125,$C1125,$K$25:$K1125)-SUMIF($C$25:$C1125,$C1125,$L$25:$L1125),"")</f>
        <v/>
      </c>
      <c r="N1125" s="10"/>
      <c r="O1125" s="10"/>
      <c r="P1125" s="65"/>
      <c r="Q1125" s="10"/>
      <c r="R1125" s="10"/>
      <c r="S1125" s="54" t="str">
        <f t="shared" si="57"/>
        <v/>
      </c>
      <c r="T1125" s="54" t="str">
        <f t="shared" si="58"/>
        <v/>
      </c>
      <c r="U1125" s="58" t="str">
        <f t="shared" si="59"/>
        <v/>
      </c>
      <c r="V1125" s="58">
        <f>IF(AND($B1125&lt;&gt;"",$F1125&lt;&gt;"",$F1125=项目明细账!$C$2),N(V1124)+1,N(V1124))</f>
        <v>0</v>
      </c>
      <c r="W1125" s="63" t="str">
        <f>IF($H1125&lt;&gt;"","项目成本",IFERROR(INDEX(基础资料!$W$4:$W$49,MATCH($I1125,基础资料!$V$4:$V$49,0)),""))</f>
        <v/>
      </c>
      <c r="X1125" s="63" t="str">
        <f>IFERROR(INDEX(基础资料!$R$4:$R$17,MATCH($G1125,基础资料!$Q$4:$Q$17,0)),"")</f>
        <v/>
      </c>
    </row>
    <row r="1126" spans="1:24">
      <c r="A1126" s="58" t="str">
        <f>IF($B1126="","",COUNTA($B$5:$B1126))</f>
        <v/>
      </c>
      <c r="B1126" s="53"/>
      <c r="C1126" s="46"/>
      <c r="D1126" s="63" t="str">
        <f>IFERROR(INDEX(基础资料!$F$4:$F$23,MATCH($C1126,基础资料!$E$4:$E$23,0)),IF($C1126="","","未匹配账户"))</f>
        <v/>
      </c>
      <c r="E1126" s="39"/>
      <c r="F1126" s="10"/>
      <c r="G1126" s="10"/>
      <c r="H1126" s="10"/>
      <c r="I1126" s="10"/>
      <c r="J1126" s="10"/>
      <c r="K1126" s="25"/>
      <c r="L1126" s="25"/>
      <c r="M1126" s="25" t="str">
        <f>IFERROR(VLOOKUP($C1126,$C$5:$M$24,11,0)+SUMIF($C$25:$C1126,$C1126,$K$25:$K1126)-SUMIF($C$25:$C1126,$C1126,$L$25:$L1126),"")</f>
        <v/>
      </c>
      <c r="N1126" s="10"/>
      <c r="O1126" s="10"/>
      <c r="P1126" s="65"/>
      <c r="Q1126" s="10"/>
      <c r="R1126" s="10"/>
      <c r="S1126" s="54" t="str">
        <f t="shared" si="57"/>
        <v/>
      </c>
      <c r="T1126" s="54" t="str">
        <f t="shared" si="58"/>
        <v/>
      </c>
      <c r="U1126" s="58" t="str">
        <f t="shared" si="59"/>
        <v/>
      </c>
      <c r="V1126" s="58">
        <f>IF(AND($B1126&lt;&gt;"",$F1126&lt;&gt;"",$F1126=项目明细账!$C$2),N(V1125)+1,N(V1125))</f>
        <v>0</v>
      </c>
      <c r="W1126" s="63" t="str">
        <f>IF($H1126&lt;&gt;"","项目成本",IFERROR(INDEX(基础资料!$W$4:$W$49,MATCH($I1126,基础资料!$V$4:$V$49,0)),""))</f>
        <v/>
      </c>
      <c r="X1126" s="63" t="str">
        <f>IFERROR(INDEX(基础资料!$R$4:$R$17,MATCH($G1126,基础资料!$Q$4:$Q$17,0)),"")</f>
        <v/>
      </c>
    </row>
    <row r="1127" spans="1:24">
      <c r="A1127" s="58" t="str">
        <f>IF($B1127="","",COUNTA($B$5:$B1127))</f>
        <v/>
      </c>
      <c r="B1127" s="53"/>
      <c r="C1127" s="46"/>
      <c r="D1127" s="63" t="str">
        <f>IFERROR(INDEX(基础资料!$F$4:$F$23,MATCH($C1127,基础资料!$E$4:$E$23,0)),IF($C1127="","","未匹配账户"))</f>
        <v/>
      </c>
      <c r="E1127" s="39"/>
      <c r="F1127" s="10"/>
      <c r="G1127" s="10"/>
      <c r="H1127" s="10"/>
      <c r="I1127" s="10"/>
      <c r="J1127" s="10"/>
      <c r="K1127" s="25"/>
      <c r="L1127" s="25"/>
      <c r="M1127" s="25" t="str">
        <f>IFERROR(VLOOKUP($C1127,$C$5:$M$24,11,0)+SUMIF($C$25:$C1127,$C1127,$K$25:$K1127)-SUMIF($C$25:$C1127,$C1127,$L$25:$L1127),"")</f>
        <v/>
      </c>
      <c r="N1127" s="10"/>
      <c r="O1127" s="10"/>
      <c r="P1127" s="65"/>
      <c r="Q1127" s="10"/>
      <c r="R1127" s="10"/>
      <c r="S1127" s="54" t="str">
        <f t="shared" si="57"/>
        <v/>
      </c>
      <c r="T1127" s="54" t="str">
        <f t="shared" si="58"/>
        <v/>
      </c>
      <c r="U1127" s="58" t="str">
        <f t="shared" si="59"/>
        <v/>
      </c>
      <c r="V1127" s="58">
        <f>IF(AND($B1127&lt;&gt;"",$F1127&lt;&gt;"",$F1127=项目明细账!$C$2),N(V1126)+1,N(V1126))</f>
        <v>0</v>
      </c>
      <c r="W1127" s="63" t="str">
        <f>IF($H1127&lt;&gt;"","项目成本",IFERROR(INDEX(基础资料!$W$4:$W$49,MATCH($I1127,基础资料!$V$4:$V$49,0)),""))</f>
        <v/>
      </c>
      <c r="X1127" s="63" t="str">
        <f>IFERROR(INDEX(基础资料!$R$4:$R$17,MATCH($G1127,基础资料!$Q$4:$Q$17,0)),"")</f>
        <v/>
      </c>
    </row>
    <row r="1128" spans="1:24">
      <c r="A1128" s="58" t="str">
        <f>IF($B1128="","",COUNTA($B$5:$B1128))</f>
        <v/>
      </c>
      <c r="B1128" s="53"/>
      <c r="C1128" s="46"/>
      <c r="D1128" s="63" t="str">
        <f>IFERROR(INDEX(基础资料!$F$4:$F$23,MATCH($C1128,基础资料!$E$4:$E$23,0)),IF($C1128="","","未匹配账户"))</f>
        <v/>
      </c>
      <c r="E1128" s="39"/>
      <c r="F1128" s="10"/>
      <c r="G1128" s="10"/>
      <c r="H1128" s="10"/>
      <c r="I1128" s="10"/>
      <c r="J1128" s="10"/>
      <c r="K1128" s="25"/>
      <c r="L1128" s="25"/>
      <c r="M1128" s="25" t="str">
        <f>IFERROR(VLOOKUP($C1128,$C$5:$M$24,11,0)+SUMIF($C$25:$C1128,$C1128,$K$25:$K1128)-SUMIF($C$25:$C1128,$C1128,$L$25:$L1128),"")</f>
        <v/>
      </c>
      <c r="N1128" s="10"/>
      <c r="O1128" s="10"/>
      <c r="P1128" s="65"/>
      <c r="Q1128" s="10"/>
      <c r="R1128" s="10"/>
      <c r="S1128" s="54" t="str">
        <f t="shared" si="57"/>
        <v/>
      </c>
      <c r="T1128" s="54" t="str">
        <f t="shared" si="58"/>
        <v/>
      </c>
      <c r="U1128" s="58" t="str">
        <f t="shared" si="59"/>
        <v/>
      </c>
      <c r="V1128" s="58">
        <f>IF(AND($B1128&lt;&gt;"",$F1128&lt;&gt;"",$F1128=项目明细账!$C$2),N(V1127)+1,N(V1127))</f>
        <v>0</v>
      </c>
      <c r="W1128" s="63" t="str">
        <f>IF($H1128&lt;&gt;"","项目成本",IFERROR(INDEX(基础资料!$W$4:$W$49,MATCH($I1128,基础资料!$V$4:$V$49,0)),""))</f>
        <v/>
      </c>
      <c r="X1128" s="63" t="str">
        <f>IFERROR(INDEX(基础资料!$R$4:$R$17,MATCH($G1128,基础资料!$Q$4:$Q$17,0)),"")</f>
        <v/>
      </c>
    </row>
    <row r="1129" spans="1:24">
      <c r="A1129" s="58" t="str">
        <f>IF($B1129="","",COUNTA($B$5:$B1129))</f>
        <v/>
      </c>
      <c r="B1129" s="53"/>
      <c r="C1129" s="46"/>
      <c r="D1129" s="63" t="str">
        <f>IFERROR(INDEX(基础资料!$F$4:$F$23,MATCH($C1129,基础资料!$E$4:$E$23,0)),IF($C1129="","","未匹配账户"))</f>
        <v/>
      </c>
      <c r="E1129" s="39"/>
      <c r="F1129" s="10"/>
      <c r="G1129" s="10"/>
      <c r="H1129" s="10"/>
      <c r="I1129" s="10"/>
      <c r="J1129" s="10"/>
      <c r="K1129" s="25"/>
      <c r="L1129" s="25"/>
      <c r="M1129" s="25" t="str">
        <f>IFERROR(VLOOKUP($C1129,$C$5:$M$24,11,0)+SUMIF($C$25:$C1129,$C1129,$K$25:$K1129)-SUMIF($C$25:$C1129,$C1129,$L$25:$L1129),"")</f>
        <v/>
      </c>
      <c r="N1129" s="10"/>
      <c r="O1129" s="10"/>
      <c r="P1129" s="65"/>
      <c r="Q1129" s="10"/>
      <c r="R1129" s="10"/>
      <c r="S1129" s="54" t="str">
        <f t="shared" si="57"/>
        <v/>
      </c>
      <c r="T1129" s="54" t="str">
        <f t="shared" si="58"/>
        <v/>
      </c>
      <c r="U1129" s="58" t="str">
        <f t="shared" si="59"/>
        <v/>
      </c>
      <c r="V1129" s="58">
        <f>IF(AND($B1129&lt;&gt;"",$F1129&lt;&gt;"",$F1129=项目明细账!$C$2),N(V1128)+1,N(V1128))</f>
        <v>0</v>
      </c>
      <c r="W1129" s="63" t="str">
        <f>IF($H1129&lt;&gt;"","项目成本",IFERROR(INDEX(基础资料!$W$4:$W$49,MATCH($I1129,基础资料!$V$4:$V$49,0)),""))</f>
        <v/>
      </c>
      <c r="X1129" s="63" t="str">
        <f>IFERROR(INDEX(基础资料!$R$4:$R$17,MATCH($G1129,基础资料!$Q$4:$Q$17,0)),"")</f>
        <v/>
      </c>
    </row>
    <row r="1130" spans="1:24">
      <c r="A1130" s="58" t="str">
        <f>IF($B1130="","",COUNTA($B$5:$B1130))</f>
        <v/>
      </c>
      <c r="B1130" s="53"/>
      <c r="C1130" s="46"/>
      <c r="D1130" s="63" t="str">
        <f>IFERROR(INDEX(基础资料!$F$4:$F$23,MATCH($C1130,基础资料!$E$4:$E$23,0)),IF($C1130="","","未匹配账户"))</f>
        <v/>
      </c>
      <c r="E1130" s="39"/>
      <c r="F1130" s="10"/>
      <c r="G1130" s="10"/>
      <c r="H1130" s="10"/>
      <c r="I1130" s="10"/>
      <c r="J1130" s="10"/>
      <c r="K1130" s="25"/>
      <c r="L1130" s="25"/>
      <c r="M1130" s="25" t="str">
        <f>IFERROR(VLOOKUP($C1130,$C$5:$M$24,11,0)+SUMIF($C$25:$C1130,$C1130,$K$25:$K1130)-SUMIF($C$25:$C1130,$C1130,$L$25:$L1130),"")</f>
        <v/>
      </c>
      <c r="N1130" s="10"/>
      <c r="O1130" s="10"/>
      <c r="P1130" s="65"/>
      <c r="Q1130" s="10"/>
      <c r="R1130" s="10"/>
      <c r="S1130" s="54" t="str">
        <f t="shared" si="57"/>
        <v/>
      </c>
      <c r="T1130" s="54" t="str">
        <f t="shared" si="58"/>
        <v/>
      </c>
      <c r="U1130" s="58" t="str">
        <f t="shared" si="59"/>
        <v/>
      </c>
      <c r="V1130" s="58">
        <f>IF(AND($B1130&lt;&gt;"",$F1130&lt;&gt;"",$F1130=项目明细账!$C$2),N(V1129)+1,N(V1129))</f>
        <v>0</v>
      </c>
      <c r="W1130" s="63" t="str">
        <f>IF($H1130&lt;&gt;"","项目成本",IFERROR(INDEX(基础资料!$W$4:$W$49,MATCH($I1130,基础资料!$V$4:$V$49,0)),""))</f>
        <v/>
      </c>
      <c r="X1130" s="63" t="str">
        <f>IFERROR(INDEX(基础资料!$R$4:$R$17,MATCH($G1130,基础资料!$Q$4:$Q$17,0)),"")</f>
        <v/>
      </c>
    </row>
    <row r="1131" spans="1:24">
      <c r="A1131" s="58" t="str">
        <f>IF($B1131="","",COUNTA($B$5:$B1131))</f>
        <v/>
      </c>
      <c r="B1131" s="53"/>
      <c r="C1131" s="46"/>
      <c r="D1131" s="63" t="str">
        <f>IFERROR(INDEX(基础资料!$F$4:$F$23,MATCH($C1131,基础资料!$E$4:$E$23,0)),IF($C1131="","","未匹配账户"))</f>
        <v/>
      </c>
      <c r="E1131" s="39"/>
      <c r="F1131" s="10"/>
      <c r="G1131" s="10"/>
      <c r="H1131" s="10"/>
      <c r="I1131" s="10"/>
      <c r="J1131" s="10"/>
      <c r="K1131" s="25"/>
      <c r="L1131" s="25"/>
      <c r="M1131" s="25" t="str">
        <f>IFERROR(VLOOKUP($C1131,$C$5:$M$24,11,0)+SUMIF($C$25:$C1131,$C1131,$K$25:$K1131)-SUMIF($C$25:$C1131,$C1131,$L$25:$L1131),"")</f>
        <v/>
      </c>
      <c r="N1131" s="10"/>
      <c r="O1131" s="10"/>
      <c r="P1131" s="65"/>
      <c r="Q1131" s="10"/>
      <c r="R1131" s="10"/>
      <c r="S1131" s="54" t="str">
        <f t="shared" si="57"/>
        <v/>
      </c>
      <c r="T1131" s="54" t="str">
        <f t="shared" si="58"/>
        <v/>
      </c>
      <c r="U1131" s="58" t="str">
        <f t="shared" si="59"/>
        <v/>
      </c>
      <c r="V1131" s="58">
        <f>IF(AND($B1131&lt;&gt;"",$F1131&lt;&gt;"",$F1131=项目明细账!$C$2),N(V1130)+1,N(V1130))</f>
        <v>0</v>
      </c>
      <c r="W1131" s="63" t="str">
        <f>IF($H1131&lt;&gt;"","项目成本",IFERROR(INDEX(基础资料!$W$4:$W$49,MATCH($I1131,基础资料!$V$4:$V$49,0)),""))</f>
        <v/>
      </c>
      <c r="X1131" s="63" t="str">
        <f>IFERROR(INDEX(基础资料!$R$4:$R$17,MATCH($G1131,基础资料!$Q$4:$Q$17,0)),"")</f>
        <v/>
      </c>
    </row>
    <row r="1132" spans="1:24">
      <c r="A1132" s="58" t="str">
        <f>IF($B1132="","",COUNTA($B$5:$B1132))</f>
        <v/>
      </c>
      <c r="B1132" s="53"/>
      <c r="C1132" s="46"/>
      <c r="D1132" s="63" t="str">
        <f>IFERROR(INDEX(基础资料!$F$4:$F$23,MATCH($C1132,基础资料!$E$4:$E$23,0)),IF($C1132="","","未匹配账户"))</f>
        <v/>
      </c>
      <c r="E1132" s="39"/>
      <c r="F1132" s="10"/>
      <c r="G1132" s="10"/>
      <c r="H1132" s="10"/>
      <c r="I1132" s="10"/>
      <c r="J1132" s="10"/>
      <c r="K1132" s="25"/>
      <c r="L1132" s="25"/>
      <c r="M1132" s="25" t="str">
        <f>IFERROR(VLOOKUP($C1132,$C$5:$M$24,11,0)+SUMIF($C$25:$C1132,$C1132,$K$25:$K1132)-SUMIF($C$25:$C1132,$C1132,$L$25:$L1132),"")</f>
        <v/>
      </c>
      <c r="N1132" s="10"/>
      <c r="O1132" s="10"/>
      <c r="P1132" s="65"/>
      <c r="Q1132" s="10"/>
      <c r="R1132" s="10"/>
      <c r="S1132" s="54" t="str">
        <f t="shared" si="57"/>
        <v/>
      </c>
      <c r="T1132" s="54" t="str">
        <f t="shared" si="58"/>
        <v/>
      </c>
      <c r="U1132" s="58" t="str">
        <f t="shared" si="59"/>
        <v/>
      </c>
      <c r="V1132" s="58">
        <f>IF(AND($B1132&lt;&gt;"",$F1132&lt;&gt;"",$F1132=项目明细账!$C$2),N(V1131)+1,N(V1131))</f>
        <v>0</v>
      </c>
      <c r="W1132" s="63" t="str">
        <f>IF($H1132&lt;&gt;"","项目成本",IFERROR(INDEX(基础资料!$W$4:$W$49,MATCH($I1132,基础资料!$V$4:$V$49,0)),""))</f>
        <v/>
      </c>
      <c r="X1132" s="63" t="str">
        <f>IFERROR(INDEX(基础资料!$R$4:$R$17,MATCH($G1132,基础资料!$Q$4:$Q$17,0)),"")</f>
        <v/>
      </c>
    </row>
    <row r="1133" spans="1:24">
      <c r="A1133" s="58" t="str">
        <f>IF($B1133="","",COUNTA($B$5:$B1133))</f>
        <v/>
      </c>
      <c r="B1133" s="53"/>
      <c r="C1133" s="46"/>
      <c r="D1133" s="63" t="str">
        <f>IFERROR(INDEX(基础资料!$F$4:$F$23,MATCH($C1133,基础资料!$E$4:$E$23,0)),IF($C1133="","","未匹配账户"))</f>
        <v/>
      </c>
      <c r="E1133" s="39"/>
      <c r="F1133" s="10"/>
      <c r="G1133" s="10"/>
      <c r="H1133" s="10"/>
      <c r="I1133" s="10"/>
      <c r="J1133" s="10"/>
      <c r="K1133" s="25"/>
      <c r="L1133" s="25"/>
      <c r="M1133" s="25" t="str">
        <f>IFERROR(VLOOKUP($C1133,$C$5:$M$24,11,0)+SUMIF($C$25:$C1133,$C1133,$K$25:$K1133)-SUMIF($C$25:$C1133,$C1133,$L$25:$L1133),"")</f>
        <v/>
      </c>
      <c r="N1133" s="10"/>
      <c r="O1133" s="10"/>
      <c r="P1133" s="65"/>
      <c r="Q1133" s="10"/>
      <c r="R1133" s="10"/>
      <c r="S1133" s="54" t="str">
        <f t="shared" si="57"/>
        <v/>
      </c>
      <c r="T1133" s="54" t="str">
        <f t="shared" si="58"/>
        <v/>
      </c>
      <c r="U1133" s="58" t="str">
        <f t="shared" si="59"/>
        <v/>
      </c>
      <c r="V1133" s="58">
        <f>IF(AND($B1133&lt;&gt;"",$F1133&lt;&gt;"",$F1133=项目明细账!$C$2),N(V1132)+1,N(V1132))</f>
        <v>0</v>
      </c>
      <c r="W1133" s="63" t="str">
        <f>IF($H1133&lt;&gt;"","项目成本",IFERROR(INDEX(基础资料!$W$4:$W$49,MATCH($I1133,基础资料!$V$4:$V$49,0)),""))</f>
        <v/>
      </c>
      <c r="X1133" s="63" t="str">
        <f>IFERROR(INDEX(基础资料!$R$4:$R$17,MATCH($G1133,基础资料!$Q$4:$Q$17,0)),"")</f>
        <v/>
      </c>
    </row>
    <row r="1134" spans="1:24">
      <c r="A1134" s="58" t="str">
        <f>IF($B1134="","",COUNTA($B$5:$B1134))</f>
        <v/>
      </c>
      <c r="B1134" s="53"/>
      <c r="C1134" s="46"/>
      <c r="D1134" s="63" t="str">
        <f>IFERROR(INDEX(基础资料!$F$4:$F$23,MATCH($C1134,基础资料!$E$4:$E$23,0)),IF($C1134="","","未匹配账户"))</f>
        <v/>
      </c>
      <c r="E1134" s="39"/>
      <c r="F1134" s="10"/>
      <c r="G1134" s="10"/>
      <c r="H1134" s="10"/>
      <c r="I1134" s="10"/>
      <c r="J1134" s="10"/>
      <c r="K1134" s="25"/>
      <c r="L1134" s="25"/>
      <c r="M1134" s="25" t="str">
        <f>IFERROR(VLOOKUP($C1134,$C$5:$M$24,11,0)+SUMIF($C$25:$C1134,$C1134,$K$25:$K1134)-SUMIF($C$25:$C1134,$C1134,$L$25:$L1134),"")</f>
        <v/>
      </c>
      <c r="N1134" s="10"/>
      <c r="O1134" s="10"/>
      <c r="P1134" s="65"/>
      <c r="Q1134" s="10"/>
      <c r="R1134" s="10"/>
      <c r="S1134" s="54" t="str">
        <f t="shared" si="57"/>
        <v/>
      </c>
      <c r="T1134" s="54" t="str">
        <f t="shared" si="58"/>
        <v/>
      </c>
      <c r="U1134" s="58" t="str">
        <f t="shared" si="59"/>
        <v/>
      </c>
      <c r="V1134" s="58">
        <f>IF(AND($B1134&lt;&gt;"",$F1134&lt;&gt;"",$F1134=项目明细账!$C$2),N(V1133)+1,N(V1133))</f>
        <v>0</v>
      </c>
      <c r="W1134" s="63" t="str">
        <f>IF($H1134&lt;&gt;"","项目成本",IFERROR(INDEX(基础资料!$W$4:$W$49,MATCH($I1134,基础资料!$V$4:$V$49,0)),""))</f>
        <v/>
      </c>
      <c r="X1134" s="63" t="str">
        <f>IFERROR(INDEX(基础资料!$R$4:$R$17,MATCH($G1134,基础资料!$Q$4:$Q$17,0)),"")</f>
        <v/>
      </c>
    </row>
    <row r="1135" spans="1:24">
      <c r="A1135" s="58" t="str">
        <f>IF($B1135="","",COUNTA($B$5:$B1135))</f>
        <v/>
      </c>
      <c r="B1135" s="53"/>
      <c r="C1135" s="46"/>
      <c r="D1135" s="63" t="str">
        <f>IFERROR(INDEX(基础资料!$F$4:$F$23,MATCH($C1135,基础资料!$E$4:$E$23,0)),IF($C1135="","","未匹配账户"))</f>
        <v/>
      </c>
      <c r="E1135" s="39"/>
      <c r="F1135" s="10"/>
      <c r="G1135" s="10"/>
      <c r="H1135" s="10"/>
      <c r="I1135" s="10"/>
      <c r="J1135" s="10"/>
      <c r="K1135" s="25"/>
      <c r="L1135" s="25"/>
      <c r="M1135" s="25" t="str">
        <f>IFERROR(VLOOKUP($C1135,$C$5:$M$24,11,0)+SUMIF($C$25:$C1135,$C1135,$K$25:$K1135)-SUMIF($C$25:$C1135,$C1135,$L$25:$L1135),"")</f>
        <v/>
      </c>
      <c r="N1135" s="10"/>
      <c r="O1135" s="10"/>
      <c r="P1135" s="65"/>
      <c r="Q1135" s="10"/>
      <c r="R1135" s="10"/>
      <c r="S1135" s="54" t="str">
        <f t="shared" si="57"/>
        <v/>
      </c>
      <c r="T1135" s="54" t="str">
        <f t="shared" si="58"/>
        <v/>
      </c>
      <c r="U1135" s="58" t="str">
        <f t="shared" si="59"/>
        <v/>
      </c>
      <c r="V1135" s="58">
        <f>IF(AND($B1135&lt;&gt;"",$F1135&lt;&gt;"",$F1135=项目明细账!$C$2),N(V1134)+1,N(V1134))</f>
        <v>0</v>
      </c>
      <c r="W1135" s="63" t="str">
        <f>IF($H1135&lt;&gt;"","项目成本",IFERROR(INDEX(基础资料!$W$4:$W$49,MATCH($I1135,基础资料!$V$4:$V$49,0)),""))</f>
        <v/>
      </c>
      <c r="X1135" s="63" t="str">
        <f>IFERROR(INDEX(基础资料!$R$4:$R$17,MATCH($G1135,基础资料!$Q$4:$Q$17,0)),"")</f>
        <v/>
      </c>
    </row>
    <row r="1136" spans="1:24">
      <c r="A1136" s="58" t="str">
        <f>IF($B1136="","",COUNTA($B$5:$B1136))</f>
        <v/>
      </c>
      <c r="B1136" s="53"/>
      <c r="C1136" s="46"/>
      <c r="D1136" s="63" t="str">
        <f>IFERROR(INDEX(基础资料!$F$4:$F$23,MATCH($C1136,基础资料!$E$4:$E$23,0)),IF($C1136="","","未匹配账户"))</f>
        <v/>
      </c>
      <c r="E1136" s="39"/>
      <c r="F1136" s="10"/>
      <c r="G1136" s="10"/>
      <c r="H1136" s="10"/>
      <c r="I1136" s="10"/>
      <c r="J1136" s="10"/>
      <c r="K1136" s="25"/>
      <c r="L1136" s="25"/>
      <c r="M1136" s="25" t="str">
        <f>IFERROR(VLOOKUP($C1136,$C$5:$M$24,11,0)+SUMIF($C$25:$C1136,$C1136,$K$25:$K1136)-SUMIF($C$25:$C1136,$C1136,$L$25:$L1136),"")</f>
        <v/>
      </c>
      <c r="N1136" s="10"/>
      <c r="O1136" s="10"/>
      <c r="P1136" s="65"/>
      <c r="Q1136" s="10"/>
      <c r="R1136" s="10"/>
      <c r="S1136" s="54" t="str">
        <f t="shared" si="57"/>
        <v/>
      </c>
      <c r="T1136" s="54" t="str">
        <f t="shared" si="58"/>
        <v/>
      </c>
      <c r="U1136" s="58" t="str">
        <f t="shared" si="59"/>
        <v/>
      </c>
      <c r="V1136" s="58">
        <f>IF(AND($B1136&lt;&gt;"",$F1136&lt;&gt;"",$F1136=项目明细账!$C$2),N(V1135)+1,N(V1135))</f>
        <v>0</v>
      </c>
      <c r="W1136" s="63" t="str">
        <f>IF($H1136&lt;&gt;"","项目成本",IFERROR(INDEX(基础资料!$W$4:$W$49,MATCH($I1136,基础资料!$V$4:$V$49,0)),""))</f>
        <v/>
      </c>
      <c r="X1136" s="63" t="str">
        <f>IFERROR(INDEX(基础资料!$R$4:$R$17,MATCH($G1136,基础资料!$Q$4:$Q$17,0)),"")</f>
        <v/>
      </c>
    </row>
    <row r="1137" spans="1:24">
      <c r="A1137" s="58" t="str">
        <f>IF($B1137="","",COUNTA($B$5:$B1137))</f>
        <v/>
      </c>
      <c r="B1137" s="53"/>
      <c r="C1137" s="46"/>
      <c r="D1137" s="63" t="str">
        <f>IFERROR(INDEX(基础资料!$F$4:$F$23,MATCH($C1137,基础资料!$E$4:$E$23,0)),IF($C1137="","","未匹配账户"))</f>
        <v/>
      </c>
      <c r="E1137" s="39"/>
      <c r="F1137" s="10"/>
      <c r="G1137" s="10"/>
      <c r="H1137" s="10"/>
      <c r="I1137" s="10"/>
      <c r="J1137" s="10"/>
      <c r="K1137" s="25"/>
      <c r="L1137" s="25"/>
      <c r="M1137" s="25" t="str">
        <f>IFERROR(VLOOKUP($C1137,$C$5:$M$24,11,0)+SUMIF($C$25:$C1137,$C1137,$K$25:$K1137)-SUMIF($C$25:$C1137,$C1137,$L$25:$L1137),"")</f>
        <v/>
      </c>
      <c r="N1137" s="10"/>
      <c r="O1137" s="10"/>
      <c r="P1137" s="65"/>
      <c r="Q1137" s="10"/>
      <c r="R1137" s="10"/>
      <c r="S1137" s="54" t="str">
        <f t="shared" si="57"/>
        <v/>
      </c>
      <c r="T1137" s="54" t="str">
        <f t="shared" si="58"/>
        <v/>
      </c>
      <c r="U1137" s="58" t="str">
        <f t="shared" si="59"/>
        <v/>
      </c>
      <c r="V1137" s="58">
        <f>IF(AND($B1137&lt;&gt;"",$F1137&lt;&gt;"",$F1137=项目明细账!$C$2),N(V1136)+1,N(V1136))</f>
        <v>0</v>
      </c>
      <c r="W1137" s="63" t="str">
        <f>IF($H1137&lt;&gt;"","项目成本",IFERROR(INDEX(基础资料!$W$4:$W$49,MATCH($I1137,基础资料!$V$4:$V$49,0)),""))</f>
        <v/>
      </c>
      <c r="X1137" s="63" t="str">
        <f>IFERROR(INDEX(基础资料!$R$4:$R$17,MATCH($G1137,基础资料!$Q$4:$Q$17,0)),"")</f>
        <v/>
      </c>
    </row>
    <row r="1138" spans="1:24">
      <c r="A1138" s="58" t="str">
        <f>IF($B1138="","",COUNTA($B$5:$B1138))</f>
        <v/>
      </c>
      <c r="B1138" s="53"/>
      <c r="C1138" s="46"/>
      <c r="D1138" s="63" t="str">
        <f>IFERROR(INDEX(基础资料!$F$4:$F$23,MATCH($C1138,基础资料!$E$4:$E$23,0)),IF($C1138="","","未匹配账户"))</f>
        <v/>
      </c>
      <c r="E1138" s="39"/>
      <c r="F1138" s="10"/>
      <c r="G1138" s="10"/>
      <c r="H1138" s="10"/>
      <c r="I1138" s="10"/>
      <c r="J1138" s="10"/>
      <c r="K1138" s="25"/>
      <c r="L1138" s="25"/>
      <c r="M1138" s="25" t="str">
        <f>IFERROR(VLOOKUP($C1138,$C$5:$M$24,11,0)+SUMIF($C$25:$C1138,$C1138,$K$25:$K1138)-SUMIF($C$25:$C1138,$C1138,$L$25:$L1138),"")</f>
        <v/>
      </c>
      <c r="N1138" s="10"/>
      <c r="O1138" s="10"/>
      <c r="P1138" s="65"/>
      <c r="Q1138" s="10"/>
      <c r="R1138" s="10"/>
      <c r="S1138" s="54" t="str">
        <f t="shared" si="57"/>
        <v/>
      </c>
      <c r="T1138" s="54" t="str">
        <f t="shared" si="58"/>
        <v/>
      </c>
      <c r="U1138" s="58" t="str">
        <f t="shared" si="59"/>
        <v/>
      </c>
      <c r="V1138" s="58">
        <f>IF(AND($B1138&lt;&gt;"",$F1138&lt;&gt;"",$F1138=项目明细账!$C$2),N(V1137)+1,N(V1137))</f>
        <v>0</v>
      </c>
      <c r="W1138" s="63" t="str">
        <f>IF($H1138&lt;&gt;"","项目成本",IFERROR(INDEX(基础资料!$W$4:$W$49,MATCH($I1138,基础资料!$V$4:$V$49,0)),""))</f>
        <v/>
      </c>
      <c r="X1138" s="63" t="str">
        <f>IFERROR(INDEX(基础资料!$R$4:$R$17,MATCH($G1138,基础资料!$Q$4:$Q$17,0)),"")</f>
        <v/>
      </c>
    </row>
    <row r="1139" spans="1:24">
      <c r="A1139" s="58" t="str">
        <f>IF($B1139="","",COUNTA($B$5:$B1139))</f>
        <v/>
      </c>
      <c r="B1139" s="53"/>
      <c r="C1139" s="46"/>
      <c r="D1139" s="63" t="str">
        <f>IFERROR(INDEX(基础资料!$F$4:$F$23,MATCH($C1139,基础资料!$E$4:$E$23,0)),IF($C1139="","","未匹配账户"))</f>
        <v/>
      </c>
      <c r="E1139" s="39"/>
      <c r="F1139" s="10"/>
      <c r="G1139" s="10"/>
      <c r="H1139" s="10"/>
      <c r="I1139" s="10"/>
      <c r="J1139" s="10"/>
      <c r="K1139" s="25"/>
      <c r="L1139" s="25"/>
      <c r="M1139" s="25" t="str">
        <f>IFERROR(VLOOKUP($C1139,$C$5:$M$24,11,0)+SUMIF($C$25:$C1139,$C1139,$K$25:$K1139)-SUMIF($C$25:$C1139,$C1139,$L$25:$L1139),"")</f>
        <v/>
      </c>
      <c r="N1139" s="10"/>
      <c r="O1139" s="10"/>
      <c r="P1139" s="65"/>
      <c r="Q1139" s="10"/>
      <c r="R1139" s="10"/>
      <c r="S1139" s="54" t="str">
        <f t="shared" si="57"/>
        <v/>
      </c>
      <c r="T1139" s="54" t="str">
        <f t="shared" si="58"/>
        <v/>
      </c>
      <c r="U1139" s="58" t="str">
        <f t="shared" si="59"/>
        <v/>
      </c>
      <c r="V1139" s="58">
        <f>IF(AND($B1139&lt;&gt;"",$F1139&lt;&gt;"",$F1139=项目明细账!$C$2),N(V1138)+1,N(V1138))</f>
        <v>0</v>
      </c>
      <c r="W1139" s="63" t="str">
        <f>IF($H1139&lt;&gt;"","项目成本",IFERROR(INDEX(基础资料!$W$4:$W$49,MATCH($I1139,基础资料!$V$4:$V$49,0)),""))</f>
        <v/>
      </c>
      <c r="X1139" s="63" t="str">
        <f>IFERROR(INDEX(基础资料!$R$4:$R$17,MATCH($G1139,基础资料!$Q$4:$Q$17,0)),"")</f>
        <v/>
      </c>
    </row>
    <row r="1140" spans="1:24">
      <c r="A1140" s="58" t="str">
        <f>IF($B1140="","",COUNTA($B$5:$B1140))</f>
        <v/>
      </c>
      <c r="B1140" s="53"/>
      <c r="C1140" s="46"/>
      <c r="D1140" s="63" t="str">
        <f>IFERROR(INDEX(基础资料!$F$4:$F$23,MATCH($C1140,基础资料!$E$4:$E$23,0)),IF($C1140="","","未匹配账户"))</f>
        <v/>
      </c>
      <c r="E1140" s="39"/>
      <c r="F1140" s="10"/>
      <c r="G1140" s="10"/>
      <c r="H1140" s="10"/>
      <c r="I1140" s="10"/>
      <c r="J1140" s="10"/>
      <c r="K1140" s="25"/>
      <c r="L1140" s="25"/>
      <c r="M1140" s="25" t="str">
        <f>IFERROR(VLOOKUP($C1140,$C$5:$M$24,11,0)+SUMIF($C$25:$C1140,$C1140,$K$25:$K1140)-SUMIF($C$25:$C1140,$C1140,$L$25:$L1140),"")</f>
        <v/>
      </c>
      <c r="N1140" s="10"/>
      <c r="O1140" s="10"/>
      <c r="P1140" s="65"/>
      <c r="Q1140" s="10"/>
      <c r="R1140" s="10"/>
      <c r="S1140" s="54" t="str">
        <f t="shared" si="57"/>
        <v/>
      </c>
      <c r="T1140" s="54" t="str">
        <f t="shared" si="58"/>
        <v/>
      </c>
      <c r="U1140" s="58" t="str">
        <f t="shared" si="59"/>
        <v/>
      </c>
      <c r="V1140" s="58">
        <f>IF(AND($B1140&lt;&gt;"",$F1140&lt;&gt;"",$F1140=项目明细账!$C$2),N(V1139)+1,N(V1139))</f>
        <v>0</v>
      </c>
      <c r="W1140" s="63" t="str">
        <f>IF($H1140&lt;&gt;"","项目成本",IFERROR(INDEX(基础资料!$W$4:$W$49,MATCH($I1140,基础资料!$V$4:$V$49,0)),""))</f>
        <v/>
      </c>
      <c r="X1140" s="63" t="str">
        <f>IFERROR(INDEX(基础资料!$R$4:$R$17,MATCH($G1140,基础资料!$Q$4:$Q$17,0)),"")</f>
        <v/>
      </c>
    </row>
    <row r="1141" spans="1:24">
      <c r="A1141" s="58" t="str">
        <f>IF($B1141="","",COUNTA($B$5:$B1141))</f>
        <v/>
      </c>
      <c r="B1141" s="53"/>
      <c r="C1141" s="46"/>
      <c r="D1141" s="63" t="str">
        <f>IFERROR(INDEX(基础资料!$F$4:$F$23,MATCH($C1141,基础资料!$E$4:$E$23,0)),IF($C1141="","","未匹配账户"))</f>
        <v/>
      </c>
      <c r="E1141" s="39"/>
      <c r="F1141" s="10"/>
      <c r="G1141" s="10"/>
      <c r="H1141" s="10"/>
      <c r="I1141" s="10"/>
      <c r="J1141" s="10"/>
      <c r="K1141" s="25"/>
      <c r="L1141" s="25"/>
      <c r="M1141" s="25" t="str">
        <f>IFERROR(VLOOKUP($C1141,$C$5:$M$24,11,0)+SUMIF($C$25:$C1141,$C1141,$K$25:$K1141)-SUMIF($C$25:$C1141,$C1141,$L$25:$L1141),"")</f>
        <v/>
      </c>
      <c r="N1141" s="10"/>
      <c r="O1141" s="10"/>
      <c r="P1141" s="65"/>
      <c r="Q1141" s="10"/>
      <c r="R1141" s="10"/>
      <c r="S1141" s="54" t="str">
        <f t="shared" si="57"/>
        <v/>
      </c>
      <c r="T1141" s="54" t="str">
        <f t="shared" si="58"/>
        <v/>
      </c>
      <c r="U1141" s="58" t="str">
        <f t="shared" si="59"/>
        <v/>
      </c>
      <c r="V1141" s="58">
        <f>IF(AND($B1141&lt;&gt;"",$F1141&lt;&gt;"",$F1141=项目明细账!$C$2),N(V1140)+1,N(V1140))</f>
        <v>0</v>
      </c>
      <c r="W1141" s="63" t="str">
        <f>IF($H1141&lt;&gt;"","项目成本",IFERROR(INDEX(基础资料!$W$4:$W$49,MATCH($I1141,基础资料!$V$4:$V$49,0)),""))</f>
        <v/>
      </c>
      <c r="X1141" s="63" t="str">
        <f>IFERROR(INDEX(基础资料!$R$4:$R$17,MATCH($G1141,基础资料!$Q$4:$Q$17,0)),"")</f>
        <v/>
      </c>
    </row>
    <row r="1142" spans="1:24">
      <c r="A1142" s="58" t="str">
        <f>IF($B1142="","",COUNTA($B$5:$B1142))</f>
        <v/>
      </c>
      <c r="B1142" s="53"/>
      <c r="C1142" s="46"/>
      <c r="D1142" s="63" t="str">
        <f>IFERROR(INDEX(基础资料!$F$4:$F$23,MATCH($C1142,基础资料!$E$4:$E$23,0)),IF($C1142="","","未匹配账户"))</f>
        <v/>
      </c>
      <c r="E1142" s="39"/>
      <c r="F1142" s="10"/>
      <c r="G1142" s="10"/>
      <c r="H1142" s="10"/>
      <c r="I1142" s="10"/>
      <c r="J1142" s="10"/>
      <c r="K1142" s="25"/>
      <c r="L1142" s="25"/>
      <c r="M1142" s="25" t="str">
        <f>IFERROR(VLOOKUP($C1142,$C$5:$M$24,11,0)+SUMIF($C$25:$C1142,$C1142,$K$25:$K1142)-SUMIF($C$25:$C1142,$C1142,$L$25:$L1142),"")</f>
        <v/>
      </c>
      <c r="N1142" s="10"/>
      <c r="O1142" s="10"/>
      <c r="P1142" s="65"/>
      <c r="Q1142" s="10"/>
      <c r="R1142" s="10"/>
      <c r="S1142" s="54" t="str">
        <f t="shared" si="57"/>
        <v/>
      </c>
      <c r="T1142" s="54" t="str">
        <f t="shared" si="58"/>
        <v/>
      </c>
      <c r="U1142" s="58" t="str">
        <f t="shared" si="59"/>
        <v/>
      </c>
      <c r="V1142" s="58">
        <f>IF(AND($B1142&lt;&gt;"",$F1142&lt;&gt;"",$F1142=项目明细账!$C$2),N(V1141)+1,N(V1141))</f>
        <v>0</v>
      </c>
      <c r="W1142" s="63" t="str">
        <f>IF($H1142&lt;&gt;"","项目成本",IFERROR(INDEX(基础资料!$W$4:$W$49,MATCH($I1142,基础资料!$V$4:$V$49,0)),""))</f>
        <v/>
      </c>
      <c r="X1142" s="63" t="str">
        <f>IFERROR(INDEX(基础资料!$R$4:$R$17,MATCH($G1142,基础资料!$Q$4:$Q$17,0)),"")</f>
        <v/>
      </c>
    </row>
    <row r="1143" spans="1:24">
      <c r="A1143" s="58" t="str">
        <f>IF($B1143="","",COUNTA($B$5:$B1143))</f>
        <v/>
      </c>
      <c r="B1143" s="53"/>
      <c r="C1143" s="46"/>
      <c r="D1143" s="63" t="str">
        <f>IFERROR(INDEX(基础资料!$F$4:$F$23,MATCH($C1143,基础资料!$E$4:$E$23,0)),IF($C1143="","","未匹配账户"))</f>
        <v/>
      </c>
      <c r="E1143" s="39"/>
      <c r="F1143" s="10"/>
      <c r="G1143" s="10"/>
      <c r="H1143" s="10"/>
      <c r="I1143" s="10"/>
      <c r="J1143" s="10"/>
      <c r="K1143" s="25"/>
      <c r="L1143" s="25"/>
      <c r="M1143" s="25" t="str">
        <f>IFERROR(VLOOKUP($C1143,$C$5:$M$24,11,0)+SUMIF($C$25:$C1143,$C1143,$K$25:$K1143)-SUMIF($C$25:$C1143,$C1143,$L$25:$L1143),"")</f>
        <v/>
      </c>
      <c r="N1143" s="10"/>
      <c r="O1143" s="10"/>
      <c r="P1143" s="65"/>
      <c r="Q1143" s="10"/>
      <c r="R1143" s="10"/>
      <c r="S1143" s="54" t="str">
        <f t="shared" si="57"/>
        <v/>
      </c>
      <c r="T1143" s="54" t="str">
        <f t="shared" si="58"/>
        <v/>
      </c>
      <c r="U1143" s="58" t="str">
        <f t="shared" si="59"/>
        <v/>
      </c>
      <c r="V1143" s="58">
        <f>IF(AND($B1143&lt;&gt;"",$F1143&lt;&gt;"",$F1143=项目明细账!$C$2),N(V1142)+1,N(V1142))</f>
        <v>0</v>
      </c>
      <c r="W1143" s="63" t="str">
        <f>IF($H1143&lt;&gt;"","项目成本",IFERROR(INDEX(基础资料!$W$4:$W$49,MATCH($I1143,基础资料!$V$4:$V$49,0)),""))</f>
        <v/>
      </c>
      <c r="X1143" s="63" t="str">
        <f>IFERROR(INDEX(基础资料!$R$4:$R$17,MATCH($G1143,基础资料!$Q$4:$Q$17,0)),"")</f>
        <v/>
      </c>
    </row>
    <row r="1144" spans="1:24">
      <c r="A1144" s="58" t="str">
        <f>IF($B1144="","",COUNTA($B$5:$B1144))</f>
        <v/>
      </c>
      <c r="B1144" s="53"/>
      <c r="C1144" s="46"/>
      <c r="D1144" s="63" t="str">
        <f>IFERROR(INDEX(基础资料!$F$4:$F$23,MATCH($C1144,基础资料!$E$4:$E$23,0)),IF($C1144="","","未匹配账户"))</f>
        <v/>
      </c>
      <c r="E1144" s="39"/>
      <c r="F1144" s="10"/>
      <c r="G1144" s="10"/>
      <c r="H1144" s="10"/>
      <c r="I1144" s="10"/>
      <c r="J1144" s="10"/>
      <c r="K1144" s="25"/>
      <c r="L1144" s="25"/>
      <c r="M1144" s="25" t="str">
        <f>IFERROR(VLOOKUP($C1144,$C$5:$M$24,11,0)+SUMIF($C$25:$C1144,$C1144,$K$25:$K1144)-SUMIF($C$25:$C1144,$C1144,$L$25:$L1144),"")</f>
        <v/>
      </c>
      <c r="N1144" s="10"/>
      <c r="O1144" s="10"/>
      <c r="P1144" s="65"/>
      <c r="Q1144" s="10"/>
      <c r="R1144" s="10"/>
      <c r="S1144" s="54" t="str">
        <f t="shared" si="57"/>
        <v/>
      </c>
      <c r="T1144" s="54" t="str">
        <f t="shared" si="58"/>
        <v/>
      </c>
      <c r="U1144" s="58" t="str">
        <f t="shared" si="59"/>
        <v/>
      </c>
      <c r="V1144" s="58">
        <f>IF(AND($B1144&lt;&gt;"",$F1144&lt;&gt;"",$F1144=项目明细账!$C$2),N(V1143)+1,N(V1143))</f>
        <v>0</v>
      </c>
      <c r="W1144" s="63" t="str">
        <f>IF($H1144&lt;&gt;"","项目成本",IFERROR(INDEX(基础资料!$W$4:$W$49,MATCH($I1144,基础资料!$V$4:$V$49,0)),""))</f>
        <v/>
      </c>
      <c r="X1144" s="63" t="str">
        <f>IFERROR(INDEX(基础资料!$R$4:$R$17,MATCH($G1144,基础资料!$Q$4:$Q$17,0)),"")</f>
        <v/>
      </c>
    </row>
    <row r="1145" spans="1:24">
      <c r="A1145" s="58" t="str">
        <f>IF($B1145="","",COUNTA($B$5:$B1145))</f>
        <v/>
      </c>
      <c r="B1145" s="53"/>
      <c r="C1145" s="46"/>
      <c r="D1145" s="63" t="str">
        <f>IFERROR(INDEX(基础资料!$F$4:$F$23,MATCH($C1145,基础资料!$E$4:$E$23,0)),IF($C1145="","","未匹配账户"))</f>
        <v/>
      </c>
      <c r="E1145" s="39"/>
      <c r="F1145" s="10"/>
      <c r="G1145" s="10"/>
      <c r="H1145" s="10"/>
      <c r="I1145" s="10"/>
      <c r="J1145" s="10"/>
      <c r="K1145" s="25"/>
      <c r="L1145" s="25"/>
      <c r="M1145" s="25" t="str">
        <f>IFERROR(VLOOKUP($C1145,$C$5:$M$24,11,0)+SUMIF($C$25:$C1145,$C1145,$K$25:$K1145)-SUMIF($C$25:$C1145,$C1145,$L$25:$L1145),"")</f>
        <v/>
      </c>
      <c r="N1145" s="10"/>
      <c r="O1145" s="10"/>
      <c r="P1145" s="65"/>
      <c r="Q1145" s="10"/>
      <c r="R1145" s="10"/>
      <c r="S1145" s="54" t="str">
        <f t="shared" si="57"/>
        <v/>
      </c>
      <c r="T1145" s="54" t="str">
        <f t="shared" si="58"/>
        <v/>
      </c>
      <c r="U1145" s="58" t="str">
        <f t="shared" si="59"/>
        <v/>
      </c>
      <c r="V1145" s="58">
        <f>IF(AND($B1145&lt;&gt;"",$F1145&lt;&gt;"",$F1145=项目明细账!$C$2),N(V1144)+1,N(V1144))</f>
        <v>0</v>
      </c>
      <c r="W1145" s="63" t="str">
        <f>IF($H1145&lt;&gt;"","项目成本",IFERROR(INDEX(基础资料!$W$4:$W$49,MATCH($I1145,基础资料!$V$4:$V$49,0)),""))</f>
        <v/>
      </c>
      <c r="X1145" s="63" t="str">
        <f>IFERROR(INDEX(基础资料!$R$4:$R$17,MATCH($G1145,基础资料!$Q$4:$Q$17,0)),"")</f>
        <v/>
      </c>
    </row>
    <row r="1146" spans="1:24">
      <c r="A1146" s="58" t="str">
        <f>IF($B1146="","",COUNTA($B$5:$B1146))</f>
        <v/>
      </c>
      <c r="B1146" s="53"/>
      <c r="C1146" s="46"/>
      <c r="D1146" s="63" t="str">
        <f>IFERROR(INDEX(基础资料!$F$4:$F$23,MATCH($C1146,基础资料!$E$4:$E$23,0)),IF($C1146="","","未匹配账户"))</f>
        <v/>
      </c>
      <c r="E1146" s="39"/>
      <c r="F1146" s="10"/>
      <c r="G1146" s="10"/>
      <c r="H1146" s="10"/>
      <c r="I1146" s="10"/>
      <c r="J1146" s="10"/>
      <c r="K1146" s="25"/>
      <c r="L1146" s="25"/>
      <c r="M1146" s="25" t="str">
        <f>IFERROR(VLOOKUP($C1146,$C$5:$M$24,11,0)+SUMIF($C$25:$C1146,$C1146,$K$25:$K1146)-SUMIF($C$25:$C1146,$C1146,$L$25:$L1146),"")</f>
        <v/>
      </c>
      <c r="N1146" s="10"/>
      <c r="O1146" s="10"/>
      <c r="P1146" s="65"/>
      <c r="Q1146" s="10"/>
      <c r="R1146" s="10"/>
      <c r="S1146" s="54" t="str">
        <f t="shared" si="57"/>
        <v/>
      </c>
      <c r="T1146" s="54" t="str">
        <f t="shared" si="58"/>
        <v/>
      </c>
      <c r="U1146" s="58" t="str">
        <f t="shared" si="59"/>
        <v/>
      </c>
      <c r="V1146" s="58">
        <f>IF(AND($B1146&lt;&gt;"",$F1146&lt;&gt;"",$F1146=项目明细账!$C$2),N(V1145)+1,N(V1145))</f>
        <v>0</v>
      </c>
      <c r="W1146" s="63" t="str">
        <f>IF($H1146&lt;&gt;"","项目成本",IFERROR(INDEX(基础资料!$W$4:$W$49,MATCH($I1146,基础资料!$V$4:$V$49,0)),""))</f>
        <v/>
      </c>
      <c r="X1146" s="63" t="str">
        <f>IFERROR(INDEX(基础资料!$R$4:$R$17,MATCH($G1146,基础资料!$Q$4:$Q$17,0)),"")</f>
        <v/>
      </c>
    </row>
    <row r="1147" spans="1:24">
      <c r="A1147" s="58" t="str">
        <f>IF($B1147="","",COUNTA($B$5:$B1147))</f>
        <v/>
      </c>
      <c r="B1147" s="53"/>
      <c r="C1147" s="46"/>
      <c r="D1147" s="63" t="str">
        <f>IFERROR(INDEX(基础资料!$F$4:$F$23,MATCH($C1147,基础资料!$E$4:$E$23,0)),IF($C1147="","","未匹配账户"))</f>
        <v/>
      </c>
      <c r="E1147" s="39"/>
      <c r="F1147" s="10"/>
      <c r="G1147" s="10"/>
      <c r="H1147" s="10"/>
      <c r="I1147" s="10"/>
      <c r="J1147" s="10"/>
      <c r="K1147" s="25"/>
      <c r="L1147" s="25"/>
      <c r="M1147" s="25" t="str">
        <f>IFERROR(VLOOKUP($C1147,$C$5:$M$24,11,0)+SUMIF($C$25:$C1147,$C1147,$K$25:$K1147)-SUMIF($C$25:$C1147,$C1147,$L$25:$L1147),"")</f>
        <v/>
      </c>
      <c r="N1147" s="10"/>
      <c r="O1147" s="10"/>
      <c r="P1147" s="65"/>
      <c r="Q1147" s="10"/>
      <c r="R1147" s="10"/>
      <c r="S1147" s="54" t="str">
        <f t="shared" si="57"/>
        <v/>
      </c>
      <c r="T1147" s="54" t="str">
        <f t="shared" si="58"/>
        <v/>
      </c>
      <c r="U1147" s="58" t="str">
        <f t="shared" si="59"/>
        <v/>
      </c>
      <c r="V1147" s="58">
        <f>IF(AND($B1147&lt;&gt;"",$F1147&lt;&gt;"",$F1147=项目明细账!$C$2),N(V1146)+1,N(V1146))</f>
        <v>0</v>
      </c>
      <c r="W1147" s="63" t="str">
        <f>IF($H1147&lt;&gt;"","项目成本",IFERROR(INDEX(基础资料!$W$4:$W$49,MATCH($I1147,基础资料!$V$4:$V$49,0)),""))</f>
        <v/>
      </c>
      <c r="X1147" s="63" t="str">
        <f>IFERROR(INDEX(基础资料!$R$4:$R$17,MATCH($G1147,基础资料!$Q$4:$Q$17,0)),"")</f>
        <v/>
      </c>
    </row>
    <row r="1148" spans="1:24">
      <c r="A1148" s="58" t="str">
        <f>IF($B1148="","",COUNTA($B$5:$B1148))</f>
        <v/>
      </c>
      <c r="B1148" s="53"/>
      <c r="C1148" s="46"/>
      <c r="D1148" s="63" t="str">
        <f>IFERROR(INDEX(基础资料!$F$4:$F$23,MATCH($C1148,基础资料!$E$4:$E$23,0)),IF($C1148="","","未匹配账户"))</f>
        <v/>
      </c>
      <c r="E1148" s="39"/>
      <c r="F1148" s="10"/>
      <c r="G1148" s="10"/>
      <c r="H1148" s="10"/>
      <c r="I1148" s="10"/>
      <c r="J1148" s="10"/>
      <c r="K1148" s="25"/>
      <c r="L1148" s="25"/>
      <c r="M1148" s="25" t="str">
        <f>IFERROR(VLOOKUP($C1148,$C$5:$M$24,11,0)+SUMIF($C$25:$C1148,$C1148,$K$25:$K1148)-SUMIF($C$25:$C1148,$C1148,$L$25:$L1148),"")</f>
        <v/>
      </c>
      <c r="N1148" s="10"/>
      <c r="O1148" s="10"/>
      <c r="P1148" s="65"/>
      <c r="Q1148" s="10"/>
      <c r="R1148" s="10"/>
      <c r="S1148" s="54" t="str">
        <f t="shared" si="57"/>
        <v/>
      </c>
      <c r="T1148" s="54" t="str">
        <f t="shared" si="58"/>
        <v/>
      </c>
      <c r="U1148" s="58" t="str">
        <f t="shared" si="59"/>
        <v/>
      </c>
      <c r="V1148" s="58">
        <f>IF(AND($B1148&lt;&gt;"",$F1148&lt;&gt;"",$F1148=项目明细账!$C$2),N(V1147)+1,N(V1147))</f>
        <v>0</v>
      </c>
      <c r="W1148" s="63" t="str">
        <f>IF($H1148&lt;&gt;"","项目成本",IFERROR(INDEX(基础资料!$W$4:$W$49,MATCH($I1148,基础资料!$V$4:$V$49,0)),""))</f>
        <v/>
      </c>
      <c r="X1148" s="63" t="str">
        <f>IFERROR(INDEX(基础资料!$R$4:$R$17,MATCH($G1148,基础资料!$Q$4:$Q$17,0)),"")</f>
        <v/>
      </c>
    </row>
    <row r="1149" spans="1:24">
      <c r="A1149" s="58" t="str">
        <f>IF($B1149="","",COUNTA($B$5:$B1149))</f>
        <v/>
      </c>
      <c r="B1149" s="53"/>
      <c r="C1149" s="46"/>
      <c r="D1149" s="63" t="str">
        <f>IFERROR(INDEX(基础资料!$F$4:$F$23,MATCH($C1149,基础资料!$E$4:$E$23,0)),IF($C1149="","","未匹配账户"))</f>
        <v/>
      </c>
      <c r="E1149" s="39"/>
      <c r="F1149" s="10"/>
      <c r="G1149" s="10"/>
      <c r="H1149" s="10"/>
      <c r="I1149" s="10"/>
      <c r="J1149" s="10"/>
      <c r="K1149" s="25"/>
      <c r="L1149" s="25"/>
      <c r="M1149" s="25" t="str">
        <f>IFERROR(VLOOKUP($C1149,$C$5:$M$24,11,0)+SUMIF($C$25:$C1149,$C1149,$K$25:$K1149)-SUMIF($C$25:$C1149,$C1149,$L$25:$L1149),"")</f>
        <v/>
      </c>
      <c r="N1149" s="10"/>
      <c r="O1149" s="10"/>
      <c r="P1149" s="65"/>
      <c r="Q1149" s="10"/>
      <c r="R1149" s="10"/>
      <c r="S1149" s="54" t="str">
        <f t="shared" si="57"/>
        <v/>
      </c>
      <c r="T1149" s="54" t="str">
        <f t="shared" si="58"/>
        <v/>
      </c>
      <c r="U1149" s="58" t="str">
        <f t="shared" si="59"/>
        <v/>
      </c>
      <c r="V1149" s="58">
        <f>IF(AND($B1149&lt;&gt;"",$F1149&lt;&gt;"",$F1149=项目明细账!$C$2),N(V1148)+1,N(V1148))</f>
        <v>0</v>
      </c>
      <c r="W1149" s="63" t="str">
        <f>IF($H1149&lt;&gt;"","项目成本",IFERROR(INDEX(基础资料!$W$4:$W$49,MATCH($I1149,基础资料!$V$4:$V$49,0)),""))</f>
        <v/>
      </c>
      <c r="X1149" s="63" t="str">
        <f>IFERROR(INDEX(基础资料!$R$4:$R$17,MATCH($G1149,基础资料!$Q$4:$Q$17,0)),"")</f>
        <v/>
      </c>
    </row>
    <row r="1150" spans="1:24">
      <c r="A1150" s="58" t="str">
        <f>IF($B1150="","",COUNTA($B$5:$B1150))</f>
        <v/>
      </c>
      <c r="B1150" s="53"/>
      <c r="C1150" s="46"/>
      <c r="D1150" s="63" t="str">
        <f>IFERROR(INDEX(基础资料!$F$4:$F$23,MATCH($C1150,基础资料!$E$4:$E$23,0)),IF($C1150="","","未匹配账户"))</f>
        <v/>
      </c>
      <c r="E1150" s="39"/>
      <c r="F1150" s="10"/>
      <c r="G1150" s="10"/>
      <c r="H1150" s="10"/>
      <c r="I1150" s="10"/>
      <c r="J1150" s="10"/>
      <c r="K1150" s="25"/>
      <c r="L1150" s="25"/>
      <c r="M1150" s="25" t="str">
        <f>IFERROR(VLOOKUP($C1150,$C$5:$M$24,11,0)+SUMIF($C$25:$C1150,$C1150,$K$25:$K1150)-SUMIF($C$25:$C1150,$C1150,$L$25:$L1150),"")</f>
        <v/>
      </c>
      <c r="N1150" s="10"/>
      <c r="O1150" s="10"/>
      <c r="P1150" s="65"/>
      <c r="Q1150" s="10"/>
      <c r="R1150" s="10"/>
      <c r="S1150" s="54" t="str">
        <f t="shared" si="57"/>
        <v/>
      </c>
      <c r="T1150" s="54" t="str">
        <f t="shared" si="58"/>
        <v/>
      </c>
      <c r="U1150" s="58" t="str">
        <f t="shared" si="59"/>
        <v/>
      </c>
      <c r="V1150" s="58">
        <f>IF(AND($B1150&lt;&gt;"",$F1150&lt;&gt;"",$F1150=项目明细账!$C$2),N(V1149)+1,N(V1149))</f>
        <v>0</v>
      </c>
      <c r="W1150" s="63" t="str">
        <f>IF($H1150&lt;&gt;"","项目成本",IFERROR(INDEX(基础资料!$W$4:$W$49,MATCH($I1150,基础资料!$V$4:$V$49,0)),""))</f>
        <v/>
      </c>
      <c r="X1150" s="63" t="str">
        <f>IFERROR(INDEX(基础资料!$R$4:$R$17,MATCH($G1150,基础资料!$Q$4:$Q$17,0)),"")</f>
        <v/>
      </c>
    </row>
    <row r="1151" spans="1:24">
      <c r="A1151" s="58" t="str">
        <f>IF($B1151="","",COUNTA($B$5:$B1151))</f>
        <v/>
      </c>
      <c r="B1151" s="53"/>
      <c r="C1151" s="46"/>
      <c r="D1151" s="63" t="str">
        <f>IFERROR(INDEX(基础资料!$F$4:$F$23,MATCH($C1151,基础资料!$E$4:$E$23,0)),IF($C1151="","","未匹配账户"))</f>
        <v/>
      </c>
      <c r="E1151" s="39"/>
      <c r="F1151" s="10"/>
      <c r="G1151" s="10"/>
      <c r="H1151" s="10"/>
      <c r="I1151" s="10"/>
      <c r="J1151" s="10"/>
      <c r="K1151" s="25"/>
      <c r="L1151" s="25"/>
      <c r="M1151" s="25" t="str">
        <f>IFERROR(VLOOKUP($C1151,$C$5:$M$24,11,0)+SUMIF($C$25:$C1151,$C1151,$K$25:$K1151)-SUMIF($C$25:$C1151,$C1151,$L$25:$L1151),"")</f>
        <v/>
      </c>
      <c r="N1151" s="10"/>
      <c r="O1151" s="10"/>
      <c r="P1151" s="65"/>
      <c r="Q1151" s="10"/>
      <c r="R1151" s="10"/>
      <c r="S1151" s="54" t="str">
        <f t="shared" si="57"/>
        <v/>
      </c>
      <c r="T1151" s="54" t="str">
        <f t="shared" si="58"/>
        <v/>
      </c>
      <c r="U1151" s="58" t="str">
        <f t="shared" si="59"/>
        <v/>
      </c>
      <c r="V1151" s="58">
        <f>IF(AND($B1151&lt;&gt;"",$F1151&lt;&gt;"",$F1151=项目明细账!$C$2),N(V1150)+1,N(V1150))</f>
        <v>0</v>
      </c>
      <c r="W1151" s="63" t="str">
        <f>IF($H1151&lt;&gt;"","项目成本",IFERROR(INDEX(基础资料!$W$4:$W$49,MATCH($I1151,基础资料!$V$4:$V$49,0)),""))</f>
        <v/>
      </c>
      <c r="X1151" s="63" t="str">
        <f>IFERROR(INDEX(基础资料!$R$4:$R$17,MATCH($G1151,基础资料!$Q$4:$Q$17,0)),"")</f>
        <v/>
      </c>
    </row>
    <row r="1152" spans="1:24">
      <c r="A1152" s="58" t="str">
        <f>IF($B1152="","",COUNTA($B$5:$B1152))</f>
        <v/>
      </c>
      <c r="B1152" s="53"/>
      <c r="C1152" s="46"/>
      <c r="D1152" s="63" t="str">
        <f>IFERROR(INDEX(基础资料!$F$4:$F$23,MATCH($C1152,基础资料!$E$4:$E$23,0)),IF($C1152="","","未匹配账户"))</f>
        <v/>
      </c>
      <c r="E1152" s="39"/>
      <c r="F1152" s="10"/>
      <c r="G1152" s="10"/>
      <c r="H1152" s="10"/>
      <c r="I1152" s="10"/>
      <c r="J1152" s="10"/>
      <c r="K1152" s="25"/>
      <c r="L1152" s="25"/>
      <c r="M1152" s="25" t="str">
        <f>IFERROR(VLOOKUP($C1152,$C$5:$M$24,11,0)+SUMIF($C$25:$C1152,$C1152,$K$25:$K1152)-SUMIF($C$25:$C1152,$C1152,$L$25:$L1152),"")</f>
        <v/>
      </c>
      <c r="N1152" s="10"/>
      <c r="O1152" s="10"/>
      <c r="P1152" s="65"/>
      <c r="Q1152" s="10"/>
      <c r="R1152" s="10"/>
      <c r="S1152" s="54" t="str">
        <f t="shared" si="57"/>
        <v/>
      </c>
      <c r="T1152" s="54" t="str">
        <f t="shared" si="58"/>
        <v/>
      </c>
      <c r="U1152" s="58" t="str">
        <f t="shared" si="59"/>
        <v/>
      </c>
      <c r="V1152" s="58">
        <f>IF(AND($B1152&lt;&gt;"",$F1152&lt;&gt;"",$F1152=项目明细账!$C$2),N(V1151)+1,N(V1151))</f>
        <v>0</v>
      </c>
      <c r="W1152" s="63" t="str">
        <f>IF($H1152&lt;&gt;"","项目成本",IFERROR(INDEX(基础资料!$W$4:$W$49,MATCH($I1152,基础资料!$V$4:$V$49,0)),""))</f>
        <v/>
      </c>
      <c r="X1152" s="63" t="str">
        <f>IFERROR(INDEX(基础资料!$R$4:$R$17,MATCH($G1152,基础资料!$Q$4:$Q$17,0)),"")</f>
        <v/>
      </c>
    </row>
    <row r="1153" spans="1:24">
      <c r="A1153" s="58" t="str">
        <f>IF($B1153="","",COUNTA($B$5:$B1153))</f>
        <v/>
      </c>
      <c r="B1153" s="53"/>
      <c r="C1153" s="46"/>
      <c r="D1153" s="63" t="str">
        <f>IFERROR(INDEX(基础资料!$F$4:$F$23,MATCH($C1153,基础资料!$E$4:$E$23,0)),IF($C1153="","","未匹配账户"))</f>
        <v/>
      </c>
      <c r="E1153" s="39"/>
      <c r="F1153" s="10"/>
      <c r="G1153" s="10"/>
      <c r="H1153" s="10"/>
      <c r="I1153" s="10"/>
      <c r="J1153" s="10"/>
      <c r="K1153" s="25"/>
      <c r="L1153" s="25"/>
      <c r="M1153" s="25" t="str">
        <f>IFERROR(VLOOKUP($C1153,$C$5:$M$24,11,0)+SUMIF($C$25:$C1153,$C1153,$K$25:$K1153)-SUMIF($C$25:$C1153,$C1153,$L$25:$L1153),"")</f>
        <v/>
      </c>
      <c r="N1153" s="10"/>
      <c r="O1153" s="10"/>
      <c r="P1153" s="65"/>
      <c r="Q1153" s="10"/>
      <c r="R1153" s="10"/>
      <c r="S1153" s="54" t="str">
        <f t="shared" si="57"/>
        <v/>
      </c>
      <c r="T1153" s="54" t="str">
        <f t="shared" si="58"/>
        <v/>
      </c>
      <c r="U1153" s="58" t="str">
        <f t="shared" si="59"/>
        <v/>
      </c>
      <c r="V1153" s="58">
        <f>IF(AND($B1153&lt;&gt;"",$F1153&lt;&gt;"",$F1153=项目明细账!$C$2),N(V1152)+1,N(V1152))</f>
        <v>0</v>
      </c>
      <c r="W1153" s="63" t="str">
        <f>IF($H1153&lt;&gt;"","项目成本",IFERROR(INDEX(基础资料!$W$4:$W$49,MATCH($I1153,基础资料!$V$4:$V$49,0)),""))</f>
        <v/>
      </c>
      <c r="X1153" s="63" t="str">
        <f>IFERROR(INDEX(基础资料!$R$4:$R$17,MATCH($G1153,基础资料!$Q$4:$Q$17,0)),"")</f>
        <v/>
      </c>
    </row>
    <row r="1154" spans="1:24">
      <c r="A1154" s="58" t="str">
        <f>IF($B1154="","",COUNTA($B$5:$B1154))</f>
        <v/>
      </c>
      <c r="B1154" s="53"/>
      <c r="C1154" s="46"/>
      <c r="D1154" s="63" t="str">
        <f>IFERROR(INDEX(基础资料!$F$4:$F$23,MATCH($C1154,基础资料!$E$4:$E$23,0)),IF($C1154="","","未匹配账户"))</f>
        <v/>
      </c>
      <c r="E1154" s="39"/>
      <c r="F1154" s="10"/>
      <c r="G1154" s="10"/>
      <c r="H1154" s="10"/>
      <c r="I1154" s="10"/>
      <c r="J1154" s="10"/>
      <c r="K1154" s="25"/>
      <c r="L1154" s="25"/>
      <c r="M1154" s="25" t="str">
        <f>IFERROR(VLOOKUP($C1154,$C$5:$M$24,11,0)+SUMIF($C$25:$C1154,$C1154,$K$25:$K1154)-SUMIF($C$25:$C1154,$C1154,$L$25:$L1154),"")</f>
        <v/>
      </c>
      <c r="N1154" s="10"/>
      <c r="O1154" s="10"/>
      <c r="P1154" s="65"/>
      <c r="Q1154" s="10"/>
      <c r="R1154" s="10"/>
      <c r="S1154" s="54" t="str">
        <f t="shared" si="57"/>
        <v/>
      </c>
      <c r="T1154" s="54" t="str">
        <f t="shared" si="58"/>
        <v/>
      </c>
      <c r="U1154" s="58" t="str">
        <f t="shared" si="59"/>
        <v/>
      </c>
      <c r="V1154" s="58">
        <f>IF(AND($B1154&lt;&gt;"",$F1154&lt;&gt;"",$F1154=项目明细账!$C$2),N(V1153)+1,N(V1153))</f>
        <v>0</v>
      </c>
      <c r="W1154" s="63" t="str">
        <f>IF($H1154&lt;&gt;"","项目成本",IFERROR(INDEX(基础资料!$W$4:$W$49,MATCH($I1154,基础资料!$V$4:$V$49,0)),""))</f>
        <v/>
      </c>
      <c r="X1154" s="63" t="str">
        <f>IFERROR(INDEX(基础资料!$R$4:$R$17,MATCH($G1154,基础资料!$Q$4:$Q$17,0)),"")</f>
        <v/>
      </c>
    </row>
    <row r="1155" spans="1:24">
      <c r="A1155" s="58" t="str">
        <f>IF($B1155="","",COUNTA($B$5:$B1155))</f>
        <v/>
      </c>
      <c r="B1155" s="53"/>
      <c r="C1155" s="46"/>
      <c r="D1155" s="63" t="str">
        <f>IFERROR(INDEX(基础资料!$F$4:$F$23,MATCH($C1155,基础资料!$E$4:$E$23,0)),IF($C1155="","","未匹配账户"))</f>
        <v/>
      </c>
      <c r="E1155" s="39"/>
      <c r="F1155" s="10"/>
      <c r="G1155" s="10"/>
      <c r="H1155" s="10"/>
      <c r="I1155" s="10"/>
      <c r="J1155" s="10"/>
      <c r="K1155" s="25"/>
      <c r="L1155" s="25"/>
      <c r="M1155" s="25" t="str">
        <f>IFERROR(VLOOKUP($C1155,$C$5:$M$24,11,0)+SUMIF($C$25:$C1155,$C1155,$K$25:$K1155)-SUMIF($C$25:$C1155,$C1155,$L$25:$L1155),"")</f>
        <v/>
      </c>
      <c r="N1155" s="10"/>
      <c r="O1155" s="10"/>
      <c r="P1155" s="65"/>
      <c r="Q1155" s="10"/>
      <c r="R1155" s="10"/>
      <c r="S1155" s="54" t="str">
        <f t="shared" si="57"/>
        <v/>
      </c>
      <c r="T1155" s="54" t="str">
        <f t="shared" si="58"/>
        <v/>
      </c>
      <c r="U1155" s="58" t="str">
        <f t="shared" si="59"/>
        <v/>
      </c>
      <c r="V1155" s="58">
        <f>IF(AND($B1155&lt;&gt;"",$F1155&lt;&gt;"",$F1155=项目明细账!$C$2),N(V1154)+1,N(V1154))</f>
        <v>0</v>
      </c>
      <c r="W1155" s="63" t="str">
        <f>IF($H1155&lt;&gt;"","项目成本",IFERROR(INDEX(基础资料!$W$4:$W$49,MATCH($I1155,基础资料!$V$4:$V$49,0)),""))</f>
        <v/>
      </c>
      <c r="X1155" s="63" t="str">
        <f>IFERROR(INDEX(基础资料!$R$4:$R$17,MATCH($G1155,基础资料!$Q$4:$Q$17,0)),"")</f>
        <v/>
      </c>
    </row>
    <row r="1156" spans="1:24">
      <c r="A1156" s="58" t="str">
        <f>IF($B1156="","",COUNTA($B$5:$B1156))</f>
        <v/>
      </c>
      <c r="B1156" s="53"/>
      <c r="C1156" s="46"/>
      <c r="D1156" s="63" t="str">
        <f>IFERROR(INDEX(基础资料!$F$4:$F$23,MATCH($C1156,基础资料!$E$4:$E$23,0)),IF($C1156="","","未匹配账户"))</f>
        <v/>
      </c>
      <c r="E1156" s="39"/>
      <c r="F1156" s="10"/>
      <c r="G1156" s="10"/>
      <c r="H1156" s="10"/>
      <c r="I1156" s="10"/>
      <c r="J1156" s="10"/>
      <c r="K1156" s="25"/>
      <c r="L1156" s="25"/>
      <c r="M1156" s="25" t="str">
        <f>IFERROR(VLOOKUP($C1156,$C$5:$M$24,11,0)+SUMIF($C$25:$C1156,$C1156,$K$25:$K1156)-SUMIF($C$25:$C1156,$C1156,$L$25:$L1156),"")</f>
        <v/>
      </c>
      <c r="N1156" s="10"/>
      <c r="O1156" s="10"/>
      <c r="P1156" s="65"/>
      <c r="Q1156" s="10"/>
      <c r="R1156" s="10"/>
      <c r="S1156" s="54" t="str">
        <f t="shared" si="57"/>
        <v/>
      </c>
      <c r="T1156" s="54" t="str">
        <f t="shared" si="58"/>
        <v/>
      </c>
      <c r="U1156" s="58" t="str">
        <f t="shared" si="59"/>
        <v/>
      </c>
      <c r="V1156" s="58">
        <f>IF(AND($B1156&lt;&gt;"",$F1156&lt;&gt;"",$F1156=项目明细账!$C$2),N(V1155)+1,N(V1155))</f>
        <v>0</v>
      </c>
      <c r="W1156" s="63" t="str">
        <f>IF($H1156&lt;&gt;"","项目成本",IFERROR(INDEX(基础资料!$W$4:$W$49,MATCH($I1156,基础资料!$V$4:$V$49,0)),""))</f>
        <v/>
      </c>
      <c r="X1156" s="63" t="str">
        <f>IFERROR(INDEX(基础资料!$R$4:$R$17,MATCH($G1156,基础资料!$Q$4:$Q$17,0)),"")</f>
        <v/>
      </c>
    </row>
    <row r="1157" spans="1:24">
      <c r="A1157" s="58" t="str">
        <f>IF($B1157="","",COUNTA($B$5:$B1157))</f>
        <v/>
      </c>
      <c r="B1157" s="53"/>
      <c r="C1157" s="46"/>
      <c r="D1157" s="63" t="str">
        <f>IFERROR(INDEX(基础资料!$F$4:$F$23,MATCH($C1157,基础资料!$E$4:$E$23,0)),IF($C1157="","","未匹配账户"))</f>
        <v/>
      </c>
      <c r="E1157" s="39"/>
      <c r="F1157" s="10"/>
      <c r="G1157" s="10"/>
      <c r="H1157" s="10"/>
      <c r="I1157" s="10"/>
      <c r="J1157" s="10"/>
      <c r="K1157" s="25"/>
      <c r="L1157" s="25"/>
      <c r="M1157" s="25" t="str">
        <f>IFERROR(VLOOKUP($C1157,$C$5:$M$24,11,0)+SUMIF($C$25:$C1157,$C1157,$K$25:$K1157)-SUMIF($C$25:$C1157,$C1157,$L$25:$L1157),"")</f>
        <v/>
      </c>
      <c r="N1157" s="10"/>
      <c r="O1157" s="10"/>
      <c r="P1157" s="65"/>
      <c r="Q1157" s="10"/>
      <c r="R1157" s="10"/>
      <c r="S1157" s="54" t="str">
        <f t="shared" si="57"/>
        <v/>
      </c>
      <c r="T1157" s="54" t="str">
        <f t="shared" si="58"/>
        <v/>
      </c>
      <c r="U1157" s="58" t="str">
        <f t="shared" si="59"/>
        <v/>
      </c>
      <c r="V1157" s="58">
        <f>IF(AND($B1157&lt;&gt;"",$F1157&lt;&gt;"",$F1157=项目明细账!$C$2),N(V1156)+1,N(V1156))</f>
        <v>0</v>
      </c>
      <c r="W1157" s="63" t="str">
        <f>IF($H1157&lt;&gt;"","项目成本",IFERROR(INDEX(基础资料!$W$4:$W$49,MATCH($I1157,基础资料!$V$4:$V$49,0)),""))</f>
        <v/>
      </c>
      <c r="X1157" s="63" t="str">
        <f>IFERROR(INDEX(基础资料!$R$4:$R$17,MATCH($G1157,基础资料!$Q$4:$Q$17,0)),"")</f>
        <v/>
      </c>
    </row>
    <row r="1158" spans="1:24">
      <c r="A1158" s="58" t="str">
        <f>IF($B1158="","",COUNTA($B$5:$B1158))</f>
        <v/>
      </c>
      <c r="B1158" s="53"/>
      <c r="C1158" s="46"/>
      <c r="D1158" s="63" t="str">
        <f>IFERROR(INDEX(基础资料!$F$4:$F$23,MATCH($C1158,基础资料!$E$4:$E$23,0)),IF($C1158="","","未匹配账户"))</f>
        <v/>
      </c>
      <c r="E1158" s="39"/>
      <c r="F1158" s="10"/>
      <c r="G1158" s="10"/>
      <c r="H1158" s="10"/>
      <c r="I1158" s="10"/>
      <c r="J1158" s="10"/>
      <c r="K1158" s="25"/>
      <c r="L1158" s="25"/>
      <c r="M1158" s="25" t="str">
        <f>IFERROR(VLOOKUP($C1158,$C$5:$M$24,11,0)+SUMIF($C$25:$C1158,$C1158,$K$25:$K1158)-SUMIF($C$25:$C1158,$C1158,$L$25:$L1158),"")</f>
        <v/>
      </c>
      <c r="N1158" s="10"/>
      <c r="O1158" s="10"/>
      <c r="P1158" s="65"/>
      <c r="Q1158" s="10"/>
      <c r="R1158" s="10"/>
      <c r="S1158" s="54" t="str">
        <f t="shared" si="57"/>
        <v/>
      </c>
      <c r="T1158" s="54" t="str">
        <f t="shared" si="58"/>
        <v/>
      </c>
      <c r="U1158" s="58" t="str">
        <f t="shared" si="59"/>
        <v/>
      </c>
      <c r="V1158" s="58">
        <f>IF(AND($B1158&lt;&gt;"",$F1158&lt;&gt;"",$F1158=项目明细账!$C$2),N(V1157)+1,N(V1157))</f>
        <v>0</v>
      </c>
      <c r="W1158" s="63" t="str">
        <f>IF($H1158&lt;&gt;"","项目成本",IFERROR(INDEX(基础资料!$W$4:$W$49,MATCH($I1158,基础资料!$V$4:$V$49,0)),""))</f>
        <v/>
      </c>
      <c r="X1158" s="63" t="str">
        <f>IFERROR(INDEX(基础资料!$R$4:$R$17,MATCH($G1158,基础资料!$Q$4:$Q$17,0)),"")</f>
        <v/>
      </c>
    </row>
    <row r="1159" spans="1:24">
      <c r="A1159" s="58" t="str">
        <f>IF($B1159="","",COUNTA($B$5:$B1159))</f>
        <v/>
      </c>
      <c r="B1159" s="53"/>
      <c r="C1159" s="46"/>
      <c r="D1159" s="63" t="str">
        <f>IFERROR(INDEX(基础资料!$F$4:$F$23,MATCH($C1159,基础资料!$E$4:$E$23,0)),IF($C1159="","","未匹配账户"))</f>
        <v/>
      </c>
      <c r="E1159" s="39"/>
      <c r="F1159" s="10"/>
      <c r="G1159" s="10"/>
      <c r="H1159" s="10"/>
      <c r="I1159" s="10"/>
      <c r="J1159" s="10"/>
      <c r="K1159" s="25"/>
      <c r="L1159" s="25"/>
      <c r="M1159" s="25" t="str">
        <f>IFERROR(VLOOKUP($C1159,$C$5:$M$24,11,0)+SUMIF($C$25:$C1159,$C1159,$K$25:$K1159)-SUMIF($C$25:$C1159,$C1159,$L$25:$L1159),"")</f>
        <v/>
      </c>
      <c r="N1159" s="10"/>
      <c r="O1159" s="10"/>
      <c r="P1159" s="65"/>
      <c r="Q1159" s="10"/>
      <c r="R1159" s="10"/>
      <c r="S1159" s="54" t="str">
        <f t="shared" ref="S1159:S1222" si="60">IF($B1159="","",--TEXT($B1159,"yyyymm"))</f>
        <v/>
      </c>
      <c r="T1159" s="54" t="str">
        <f t="shared" ref="T1159:T1222" si="61">IF($B1159="","",IF($P1159="",$S1159,IFERROR($P1159*1,$P1159)))</f>
        <v/>
      </c>
      <c r="U1159" s="58" t="str">
        <f t="shared" ref="U1159:U1222" si="62">IF($B1159="","",IF($T1159=$S1159,"","跨期"))</f>
        <v/>
      </c>
      <c r="V1159" s="58">
        <f>IF(AND($B1159&lt;&gt;"",$F1159&lt;&gt;"",$F1159=项目明细账!$C$2),N(V1158)+1,N(V1158))</f>
        <v>0</v>
      </c>
      <c r="W1159" s="63" t="str">
        <f>IF($H1159&lt;&gt;"","项目成本",IFERROR(INDEX(基础资料!$W$4:$W$49,MATCH($I1159,基础资料!$V$4:$V$49,0)),""))</f>
        <v/>
      </c>
      <c r="X1159" s="63" t="str">
        <f>IFERROR(INDEX(基础资料!$R$4:$R$17,MATCH($G1159,基础资料!$Q$4:$Q$17,0)),"")</f>
        <v/>
      </c>
    </row>
    <row r="1160" spans="1:24">
      <c r="A1160" s="58" t="str">
        <f>IF($B1160="","",COUNTA($B$5:$B1160))</f>
        <v/>
      </c>
      <c r="B1160" s="53"/>
      <c r="C1160" s="46"/>
      <c r="D1160" s="63" t="str">
        <f>IFERROR(INDEX(基础资料!$F$4:$F$23,MATCH($C1160,基础资料!$E$4:$E$23,0)),IF($C1160="","","未匹配账户"))</f>
        <v/>
      </c>
      <c r="E1160" s="39"/>
      <c r="F1160" s="10"/>
      <c r="G1160" s="10"/>
      <c r="H1160" s="10"/>
      <c r="I1160" s="10"/>
      <c r="J1160" s="10"/>
      <c r="K1160" s="25"/>
      <c r="L1160" s="25"/>
      <c r="M1160" s="25" t="str">
        <f>IFERROR(VLOOKUP($C1160,$C$5:$M$24,11,0)+SUMIF($C$25:$C1160,$C1160,$K$25:$K1160)-SUMIF($C$25:$C1160,$C1160,$L$25:$L1160),"")</f>
        <v/>
      </c>
      <c r="N1160" s="10"/>
      <c r="O1160" s="10"/>
      <c r="P1160" s="65"/>
      <c r="Q1160" s="10"/>
      <c r="R1160" s="10"/>
      <c r="S1160" s="54" t="str">
        <f t="shared" si="60"/>
        <v/>
      </c>
      <c r="T1160" s="54" t="str">
        <f t="shared" si="61"/>
        <v/>
      </c>
      <c r="U1160" s="58" t="str">
        <f t="shared" si="62"/>
        <v/>
      </c>
      <c r="V1160" s="58">
        <f>IF(AND($B1160&lt;&gt;"",$F1160&lt;&gt;"",$F1160=项目明细账!$C$2),N(V1159)+1,N(V1159))</f>
        <v>0</v>
      </c>
      <c r="W1160" s="63" t="str">
        <f>IF($H1160&lt;&gt;"","项目成本",IFERROR(INDEX(基础资料!$W$4:$W$49,MATCH($I1160,基础资料!$V$4:$V$49,0)),""))</f>
        <v/>
      </c>
      <c r="X1160" s="63" t="str">
        <f>IFERROR(INDEX(基础资料!$R$4:$R$17,MATCH($G1160,基础资料!$Q$4:$Q$17,0)),"")</f>
        <v/>
      </c>
    </row>
    <row r="1161" spans="1:24">
      <c r="A1161" s="58" t="str">
        <f>IF($B1161="","",COUNTA($B$5:$B1161))</f>
        <v/>
      </c>
      <c r="B1161" s="53"/>
      <c r="C1161" s="46"/>
      <c r="D1161" s="63" t="str">
        <f>IFERROR(INDEX(基础资料!$F$4:$F$23,MATCH($C1161,基础资料!$E$4:$E$23,0)),IF($C1161="","","未匹配账户"))</f>
        <v/>
      </c>
      <c r="E1161" s="39"/>
      <c r="F1161" s="10"/>
      <c r="G1161" s="10"/>
      <c r="H1161" s="10"/>
      <c r="I1161" s="10"/>
      <c r="J1161" s="10"/>
      <c r="K1161" s="25"/>
      <c r="L1161" s="25"/>
      <c r="M1161" s="25" t="str">
        <f>IFERROR(VLOOKUP($C1161,$C$5:$M$24,11,0)+SUMIF($C$25:$C1161,$C1161,$K$25:$K1161)-SUMIF($C$25:$C1161,$C1161,$L$25:$L1161),"")</f>
        <v/>
      </c>
      <c r="N1161" s="10"/>
      <c r="O1161" s="10"/>
      <c r="P1161" s="65"/>
      <c r="Q1161" s="10"/>
      <c r="R1161" s="10"/>
      <c r="S1161" s="54" t="str">
        <f t="shared" si="60"/>
        <v/>
      </c>
      <c r="T1161" s="54" t="str">
        <f t="shared" si="61"/>
        <v/>
      </c>
      <c r="U1161" s="58" t="str">
        <f t="shared" si="62"/>
        <v/>
      </c>
      <c r="V1161" s="58">
        <f>IF(AND($B1161&lt;&gt;"",$F1161&lt;&gt;"",$F1161=项目明细账!$C$2),N(V1160)+1,N(V1160))</f>
        <v>0</v>
      </c>
      <c r="W1161" s="63" t="str">
        <f>IF($H1161&lt;&gt;"","项目成本",IFERROR(INDEX(基础资料!$W$4:$W$49,MATCH($I1161,基础资料!$V$4:$V$49,0)),""))</f>
        <v/>
      </c>
      <c r="X1161" s="63" t="str">
        <f>IFERROR(INDEX(基础资料!$R$4:$R$17,MATCH($G1161,基础资料!$Q$4:$Q$17,0)),"")</f>
        <v/>
      </c>
    </row>
    <row r="1162" spans="1:24">
      <c r="A1162" s="58" t="str">
        <f>IF($B1162="","",COUNTA($B$5:$B1162))</f>
        <v/>
      </c>
      <c r="B1162" s="53"/>
      <c r="C1162" s="46"/>
      <c r="D1162" s="63" t="str">
        <f>IFERROR(INDEX(基础资料!$F$4:$F$23,MATCH($C1162,基础资料!$E$4:$E$23,0)),IF($C1162="","","未匹配账户"))</f>
        <v/>
      </c>
      <c r="E1162" s="39"/>
      <c r="F1162" s="10"/>
      <c r="G1162" s="10"/>
      <c r="H1162" s="10"/>
      <c r="I1162" s="10"/>
      <c r="J1162" s="10"/>
      <c r="K1162" s="25"/>
      <c r="L1162" s="25"/>
      <c r="M1162" s="25" t="str">
        <f>IFERROR(VLOOKUP($C1162,$C$5:$M$24,11,0)+SUMIF($C$25:$C1162,$C1162,$K$25:$K1162)-SUMIF($C$25:$C1162,$C1162,$L$25:$L1162),"")</f>
        <v/>
      </c>
      <c r="N1162" s="10"/>
      <c r="O1162" s="10"/>
      <c r="P1162" s="65"/>
      <c r="Q1162" s="10"/>
      <c r="R1162" s="10"/>
      <c r="S1162" s="54" t="str">
        <f t="shared" si="60"/>
        <v/>
      </c>
      <c r="T1162" s="54" t="str">
        <f t="shared" si="61"/>
        <v/>
      </c>
      <c r="U1162" s="58" t="str">
        <f t="shared" si="62"/>
        <v/>
      </c>
      <c r="V1162" s="58">
        <f>IF(AND($B1162&lt;&gt;"",$F1162&lt;&gt;"",$F1162=项目明细账!$C$2),N(V1161)+1,N(V1161))</f>
        <v>0</v>
      </c>
      <c r="W1162" s="63" t="str">
        <f>IF($H1162&lt;&gt;"","项目成本",IFERROR(INDEX(基础资料!$W$4:$W$49,MATCH($I1162,基础资料!$V$4:$V$49,0)),""))</f>
        <v/>
      </c>
      <c r="X1162" s="63" t="str">
        <f>IFERROR(INDEX(基础资料!$R$4:$R$17,MATCH($G1162,基础资料!$Q$4:$Q$17,0)),"")</f>
        <v/>
      </c>
    </row>
    <row r="1163" spans="1:24">
      <c r="A1163" s="58" t="str">
        <f>IF($B1163="","",COUNTA($B$5:$B1163))</f>
        <v/>
      </c>
      <c r="B1163" s="53"/>
      <c r="C1163" s="46"/>
      <c r="D1163" s="63" t="str">
        <f>IFERROR(INDEX(基础资料!$F$4:$F$23,MATCH($C1163,基础资料!$E$4:$E$23,0)),IF($C1163="","","未匹配账户"))</f>
        <v/>
      </c>
      <c r="E1163" s="39"/>
      <c r="F1163" s="10"/>
      <c r="G1163" s="10"/>
      <c r="H1163" s="10"/>
      <c r="I1163" s="10"/>
      <c r="J1163" s="10"/>
      <c r="K1163" s="25"/>
      <c r="L1163" s="25"/>
      <c r="M1163" s="25" t="str">
        <f>IFERROR(VLOOKUP($C1163,$C$5:$M$24,11,0)+SUMIF($C$25:$C1163,$C1163,$K$25:$K1163)-SUMIF($C$25:$C1163,$C1163,$L$25:$L1163),"")</f>
        <v/>
      </c>
      <c r="N1163" s="10"/>
      <c r="O1163" s="10"/>
      <c r="P1163" s="65"/>
      <c r="Q1163" s="10"/>
      <c r="R1163" s="10"/>
      <c r="S1163" s="54" t="str">
        <f t="shared" si="60"/>
        <v/>
      </c>
      <c r="T1163" s="54" t="str">
        <f t="shared" si="61"/>
        <v/>
      </c>
      <c r="U1163" s="58" t="str">
        <f t="shared" si="62"/>
        <v/>
      </c>
      <c r="V1163" s="58">
        <f>IF(AND($B1163&lt;&gt;"",$F1163&lt;&gt;"",$F1163=项目明细账!$C$2),N(V1162)+1,N(V1162))</f>
        <v>0</v>
      </c>
      <c r="W1163" s="63" t="str">
        <f>IF($H1163&lt;&gt;"","项目成本",IFERROR(INDEX(基础资料!$W$4:$W$49,MATCH($I1163,基础资料!$V$4:$V$49,0)),""))</f>
        <v/>
      </c>
      <c r="X1163" s="63" t="str">
        <f>IFERROR(INDEX(基础资料!$R$4:$R$17,MATCH($G1163,基础资料!$Q$4:$Q$17,0)),"")</f>
        <v/>
      </c>
    </row>
    <row r="1164" spans="1:24">
      <c r="A1164" s="58" t="str">
        <f>IF($B1164="","",COUNTA($B$5:$B1164))</f>
        <v/>
      </c>
      <c r="B1164" s="53"/>
      <c r="C1164" s="46"/>
      <c r="D1164" s="63" t="str">
        <f>IFERROR(INDEX(基础资料!$F$4:$F$23,MATCH($C1164,基础资料!$E$4:$E$23,0)),IF($C1164="","","未匹配账户"))</f>
        <v/>
      </c>
      <c r="E1164" s="39"/>
      <c r="F1164" s="10"/>
      <c r="G1164" s="10"/>
      <c r="H1164" s="10"/>
      <c r="I1164" s="10"/>
      <c r="J1164" s="10"/>
      <c r="K1164" s="25"/>
      <c r="L1164" s="25"/>
      <c r="M1164" s="25" t="str">
        <f>IFERROR(VLOOKUP($C1164,$C$5:$M$24,11,0)+SUMIF($C$25:$C1164,$C1164,$K$25:$K1164)-SUMIF($C$25:$C1164,$C1164,$L$25:$L1164),"")</f>
        <v/>
      </c>
      <c r="N1164" s="10"/>
      <c r="O1164" s="10"/>
      <c r="P1164" s="65"/>
      <c r="Q1164" s="10"/>
      <c r="R1164" s="10"/>
      <c r="S1164" s="54" t="str">
        <f t="shared" si="60"/>
        <v/>
      </c>
      <c r="T1164" s="54" t="str">
        <f t="shared" si="61"/>
        <v/>
      </c>
      <c r="U1164" s="58" t="str">
        <f t="shared" si="62"/>
        <v/>
      </c>
      <c r="V1164" s="58">
        <f>IF(AND($B1164&lt;&gt;"",$F1164&lt;&gt;"",$F1164=项目明细账!$C$2),N(V1163)+1,N(V1163))</f>
        <v>0</v>
      </c>
      <c r="W1164" s="63" t="str">
        <f>IF($H1164&lt;&gt;"","项目成本",IFERROR(INDEX(基础资料!$W$4:$W$49,MATCH($I1164,基础资料!$V$4:$V$49,0)),""))</f>
        <v/>
      </c>
      <c r="X1164" s="63" t="str">
        <f>IFERROR(INDEX(基础资料!$R$4:$R$17,MATCH($G1164,基础资料!$Q$4:$Q$17,0)),"")</f>
        <v/>
      </c>
    </row>
    <row r="1165" spans="1:24">
      <c r="A1165" s="58" t="str">
        <f>IF($B1165="","",COUNTA($B$5:$B1165))</f>
        <v/>
      </c>
      <c r="B1165" s="53"/>
      <c r="C1165" s="46"/>
      <c r="D1165" s="63" t="str">
        <f>IFERROR(INDEX(基础资料!$F$4:$F$23,MATCH($C1165,基础资料!$E$4:$E$23,0)),IF($C1165="","","未匹配账户"))</f>
        <v/>
      </c>
      <c r="E1165" s="39"/>
      <c r="F1165" s="10"/>
      <c r="G1165" s="10"/>
      <c r="H1165" s="10"/>
      <c r="I1165" s="10"/>
      <c r="J1165" s="10"/>
      <c r="K1165" s="25"/>
      <c r="L1165" s="25"/>
      <c r="M1165" s="25" t="str">
        <f>IFERROR(VLOOKUP($C1165,$C$5:$M$24,11,0)+SUMIF($C$25:$C1165,$C1165,$K$25:$K1165)-SUMIF($C$25:$C1165,$C1165,$L$25:$L1165),"")</f>
        <v/>
      </c>
      <c r="N1165" s="10"/>
      <c r="O1165" s="10"/>
      <c r="P1165" s="65"/>
      <c r="Q1165" s="10"/>
      <c r="R1165" s="10"/>
      <c r="S1165" s="54" t="str">
        <f t="shared" si="60"/>
        <v/>
      </c>
      <c r="T1165" s="54" t="str">
        <f t="shared" si="61"/>
        <v/>
      </c>
      <c r="U1165" s="58" t="str">
        <f t="shared" si="62"/>
        <v/>
      </c>
      <c r="V1165" s="58">
        <f>IF(AND($B1165&lt;&gt;"",$F1165&lt;&gt;"",$F1165=项目明细账!$C$2),N(V1164)+1,N(V1164))</f>
        <v>0</v>
      </c>
      <c r="W1165" s="63" t="str">
        <f>IF($H1165&lt;&gt;"","项目成本",IFERROR(INDEX(基础资料!$W$4:$W$49,MATCH($I1165,基础资料!$V$4:$V$49,0)),""))</f>
        <v/>
      </c>
      <c r="X1165" s="63" t="str">
        <f>IFERROR(INDEX(基础资料!$R$4:$R$17,MATCH($G1165,基础资料!$Q$4:$Q$17,0)),"")</f>
        <v/>
      </c>
    </row>
    <row r="1166" spans="1:24">
      <c r="A1166" s="58" t="str">
        <f>IF($B1166="","",COUNTA($B$5:$B1166))</f>
        <v/>
      </c>
      <c r="B1166" s="53"/>
      <c r="C1166" s="46"/>
      <c r="D1166" s="63" t="str">
        <f>IFERROR(INDEX(基础资料!$F$4:$F$23,MATCH($C1166,基础资料!$E$4:$E$23,0)),IF($C1166="","","未匹配账户"))</f>
        <v/>
      </c>
      <c r="E1166" s="39"/>
      <c r="F1166" s="10"/>
      <c r="G1166" s="10"/>
      <c r="H1166" s="10"/>
      <c r="I1166" s="10"/>
      <c r="J1166" s="10"/>
      <c r="K1166" s="25"/>
      <c r="L1166" s="25"/>
      <c r="M1166" s="25" t="str">
        <f>IFERROR(VLOOKUP($C1166,$C$5:$M$24,11,0)+SUMIF($C$25:$C1166,$C1166,$K$25:$K1166)-SUMIF($C$25:$C1166,$C1166,$L$25:$L1166),"")</f>
        <v/>
      </c>
      <c r="N1166" s="10"/>
      <c r="O1166" s="10"/>
      <c r="P1166" s="65"/>
      <c r="Q1166" s="10"/>
      <c r="R1166" s="10"/>
      <c r="S1166" s="54" t="str">
        <f t="shared" si="60"/>
        <v/>
      </c>
      <c r="T1166" s="54" t="str">
        <f t="shared" si="61"/>
        <v/>
      </c>
      <c r="U1166" s="58" t="str">
        <f t="shared" si="62"/>
        <v/>
      </c>
      <c r="V1166" s="58">
        <f>IF(AND($B1166&lt;&gt;"",$F1166&lt;&gt;"",$F1166=项目明细账!$C$2),N(V1165)+1,N(V1165))</f>
        <v>0</v>
      </c>
      <c r="W1166" s="63" t="str">
        <f>IF($H1166&lt;&gt;"","项目成本",IFERROR(INDEX(基础资料!$W$4:$W$49,MATCH($I1166,基础资料!$V$4:$V$49,0)),""))</f>
        <v/>
      </c>
      <c r="X1166" s="63" t="str">
        <f>IFERROR(INDEX(基础资料!$R$4:$R$17,MATCH($G1166,基础资料!$Q$4:$Q$17,0)),"")</f>
        <v/>
      </c>
    </row>
    <row r="1167" spans="1:24">
      <c r="A1167" s="58" t="str">
        <f>IF($B1167="","",COUNTA($B$5:$B1167))</f>
        <v/>
      </c>
      <c r="B1167" s="53"/>
      <c r="C1167" s="46"/>
      <c r="D1167" s="63" t="str">
        <f>IFERROR(INDEX(基础资料!$F$4:$F$23,MATCH($C1167,基础资料!$E$4:$E$23,0)),IF($C1167="","","未匹配账户"))</f>
        <v/>
      </c>
      <c r="E1167" s="39"/>
      <c r="F1167" s="10"/>
      <c r="G1167" s="10"/>
      <c r="H1167" s="10"/>
      <c r="I1167" s="10"/>
      <c r="J1167" s="10"/>
      <c r="K1167" s="25"/>
      <c r="L1167" s="25"/>
      <c r="M1167" s="25" t="str">
        <f>IFERROR(VLOOKUP($C1167,$C$5:$M$24,11,0)+SUMIF($C$25:$C1167,$C1167,$K$25:$K1167)-SUMIF($C$25:$C1167,$C1167,$L$25:$L1167),"")</f>
        <v/>
      </c>
      <c r="N1167" s="10"/>
      <c r="O1167" s="10"/>
      <c r="P1167" s="65"/>
      <c r="Q1167" s="10"/>
      <c r="R1167" s="10"/>
      <c r="S1167" s="54" t="str">
        <f t="shared" si="60"/>
        <v/>
      </c>
      <c r="T1167" s="54" t="str">
        <f t="shared" si="61"/>
        <v/>
      </c>
      <c r="U1167" s="58" t="str">
        <f t="shared" si="62"/>
        <v/>
      </c>
      <c r="V1167" s="58">
        <f>IF(AND($B1167&lt;&gt;"",$F1167&lt;&gt;"",$F1167=项目明细账!$C$2),N(V1166)+1,N(V1166))</f>
        <v>0</v>
      </c>
      <c r="W1167" s="63" t="str">
        <f>IF($H1167&lt;&gt;"","项目成本",IFERROR(INDEX(基础资料!$W$4:$W$49,MATCH($I1167,基础资料!$V$4:$V$49,0)),""))</f>
        <v/>
      </c>
      <c r="X1167" s="63" t="str">
        <f>IFERROR(INDEX(基础资料!$R$4:$R$17,MATCH($G1167,基础资料!$Q$4:$Q$17,0)),"")</f>
        <v/>
      </c>
    </row>
    <row r="1168" spans="1:24">
      <c r="A1168" s="58" t="str">
        <f>IF($B1168="","",COUNTA($B$5:$B1168))</f>
        <v/>
      </c>
      <c r="B1168" s="53"/>
      <c r="C1168" s="46"/>
      <c r="D1168" s="63" t="str">
        <f>IFERROR(INDEX(基础资料!$F$4:$F$23,MATCH($C1168,基础资料!$E$4:$E$23,0)),IF($C1168="","","未匹配账户"))</f>
        <v/>
      </c>
      <c r="E1168" s="39"/>
      <c r="F1168" s="10"/>
      <c r="G1168" s="10"/>
      <c r="H1168" s="10"/>
      <c r="I1168" s="10"/>
      <c r="J1168" s="10"/>
      <c r="K1168" s="25"/>
      <c r="L1168" s="25"/>
      <c r="M1168" s="25" t="str">
        <f>IFERROR(VLOOKUP($C1168,$C$5:$M$24,11,0)+SUMIF($C$25:$C1168,$C1168,$K$25:$K1168)-SUMIF($C$25:$C1168,$C1168,$L$25:$L1168),"")</f>
        <v/>
      </c>
      <c r="N1168" s="10"/>
      <c r="O1168" s="10"/>
      <c r="P1168" s="65"/>
      <c r="Q1168" s="10"/>
      <c r="R1168" s="10"/>
      <c r="S1168" s="54" t="str">
        <f t="shared" si="60"/>
        <v/>
      </c>
      <c r="T1168" s="54" t="str">
        <f t="shared" si="61"/>
        <v/>
      </c>
      <c r="U1168" s="58" t="str">
        <f t="shared" si="62"/>
        <v/>
      </c>
      <c r="V1168" s="58">
        <f>IF(AND($B1168&lt;&gt;"",$F1168&lt;&gt;"",$F1168=项目明细账!$C$2),N(V1167)+1,N(V1167))</f>
        <v>0</v>
      </c>
      <c r="W1168" s="63" t="str">
        <f>IF($H1168&lt;&gt;"","项目成本",IFERROR(INDEX(基础资料!$W$4:$W$49,MATCH($I1168,基础资料!$V$4:$V$49,0)),""))</f>
        <v/>
      </c>
      <c r="X1168" s="63" t="str">
        <f>IFERROR(INDEX(基础资料!$R$4:$R$17,MATCH($G1168,基础资料!$Q$4:$Q$17,0)),"")</f>
        <v/>
      </c>
    </row>
    <row r="1169" spans="1:24">
      <c r="A1169" s="58" t="str">
        <f>IF($B1169="","",COUNTA($B$5:$B1169))</f>
        <v/>
      </c>
      <c r="B1169" s="53"/>
      <c r="C1169" s="46"/>
      <c r="D1169" s="63" t="str">
        <f>IFERROR(INDEX(基础资料!$F$4:$F$23,MATCH($C1169,基础资料!$E$4:$E$23,0)),IF($C1169="","","未匹配账户"))</f>
        <v/>
      </c>
      <c r="E1169" s="39"/>
      <c r="F1169" s="10"/>
      <c r="G1169" s="10"/>
      <c r="H1169" s="10"/>
      <c r="I1169" s="10"/>
      <c r="J1169" s="10"/>
      <c r="K1169" s="25"/>
      <c r="L1169" s="25"/>
      <c r="M1169" s="25" t="str">
        <f>IFERROR(VLOOKUP($C1169,$C$5:$M$24,11,0)+SUMIF($C$25:$C1169,$C1169,$K$25:$K1169)-SUMIF($C$25:$C1169,$C1169,$L$25:$L1169),"")</f>
        <v/>
      </c>
      <c r="N1169" s="10"/>
      <c r="O1169" s="10"/>
      <c r="P1169" s="65"/>
      <c r="Q1169" s="10"/>
      <c r="R1169" s="10"/>
      <c r="S1169" s="54" t="str">
        <f t="shared" si="60"/>
        <v/>
      </c>
      <c r="T1169" s="54" t="str">
        <f t="shared" si="61"/>
        <v/>
      </c>
      <c r="U1169" s="58" t="str">
        <f t="shared" si="62"/>
        <v/>
      </c>
      <c r="V1169" s="58">
        <f>IF(AND($B1169&lt;&gt;"",$F1169&lt;&gt;"",$F1169=项目明细账!$C$2),N(V1168)+1,N(V1168))</f>
        <v>0</v>
      </c>
      <c r="W1169" s="63" t="str">
        <f>IF($H1169&lt;&gt;"","项目成本",IFERROR(INDEX(基础资料!$W$4:$W$49,MATCH($I1169,基础资料!$V$4:$V$49,0)),""))</f>
        <v/>
      </c>
      <c r="X1169" s="63" t="str">
        <f>IFERROR(INDEX(基础资料!$R$4:$R$17,MATCH($G1169,基础资料!$Q$4:$Q$17,0)),"")</f>
        <v/>
      </c>
    </row>
    <row r="1170" spans="1:24">
      <c r="A1170" s="58" t="str">
        <f>IF($B1170="","",COUNTA($B$5:$B1170))</f>
        <v/>
      </c>
      <c r="B1170" s="53"/>
      <c r="C1170" s="46"/>
      <c r="D1170" s="63" t="str">
        <f>IFERROR(INDEX(基础资料!$F$4:$F$23,MATCH($C1170,基础资料!$E$4:$E$23,0)),IF($C1170="","","未匹配账户"))</f>
        <v/>
      </c>
      <c r="E1170" s="39"/>
      <c r="F1170" s="10"/>
      <c r="G1170" s="10"/>
      <c r="H1170" s="10"/>
      <c r="I1170" s="10"/>
      <c r="J1170" s="10"/>
      <c r="K1170" s="25"/>
      <c r="L1170" s="25"/>
      <c r="M1170" s="25" t="str">
        <f>IFERROR(VLOOKUP($C1170,$C$5:$M$24,11,0)+SUMIF($C$25:$C1170,$C1170,$K$25:$K1170)-SUMIF($C$25:$C1170,$C1170,$L$25:$L1170),"")</f>
        <v/>
      </c>
      <c r="N1170" s="10"/>
      <c r="O1170" s="10"/>
      <c r="P1170" s="65"/>
      <c r="Q1170" s="10"/>
      <c r="R1170" s="10"/>
      <c r="S1170" s="54" t="str">
        <f t="shared" si="60"/>
        <v/>
      </c>
      <c r="T1170" s="54" t="str">
        <f t="shared" si="61"/>
        <v/>
      </c>
      <c r="U1170" s="58" t="str">
        <f t="shared" si="62"/>
        <v/>
      </c>
      <c r="V1170" s="58">
        <f>IF(AND($B1170&lt;&gt;"",$F1170&lt;&gt;"",$F1170=项目明细账!$C$2),N(V1169)+1,N(V1169))</f>
        <v>0</v>
      </c>
      <c r="W1170" s="63" t="str">
        <f>IF($H1170&lt;&gt;"","项目成本",IFERROR(INDEX(基础资料!$W$4:$W$49,MATCH($I1170,基础资料!$V$4:$V$49,0)),""))</f>
        <v/>
      </c>
      <c r="X1170" s="63" t="str">
        <f>IFERROR(INDEX(基础资料!$R$4:$R$17,MATCH($G1170,基础资料!$Q$4:$Q$17,0)),"")</f>
        <v/>
      </c>
    </row>
    <row r="1171" spans="1:24">
      <c r="A1171" s="58" t="str">
        <f>IF($B1171="","",COUNTA($B$5:$B1171))</f>
        <v/>
      </c>
      <c r="B1171" s="53"/>
      <c r="C1171" s="46"/>
      <c r="D1171" s="63" t="str">
        <f>IFERROR(INDEX(基础资料!$F$4:$F$23,MATCH($C1171,基础资料!$E$4:$E$23,0)),IF($C1171="","","未匹配账户"))</f>
        <v/>
      </c>
      <c r="E1171" s="39"/>
      <c r="F1171" s="10"/>
      <c r="G1171" s="10"/>
      <c r="H1171" s="10"/>
      <c r="I1171" s="10"/>
      <c r="J1171" s="10"/>
      <c r="K1171" s="25"/>
      <c r="L1171" s="25"/>
      <c r="M1171" s="25" t="str">
        <f>IFERROR(VLOOKUP($C1171,$C$5:$M$24,11,0)+SUMIF($C$25:$C1171,$C1171,$K$25:$K1171)-SUMIF($C$25:$C1171,$C1171,$L$25:$L1171),"")</f>
        <v/>
      </c>
      <c r="N1171" s="10"/>
      <c r="O1171" s="10"/>
      <c r="P1171" s="65"/>
      <c r="Q1171" s="10"/>
      <c r="R1171" s="10"/>
      <c r="S1171" s="54" t="str">
        <f t="shared" si="60"/>
        <v/>
      </c>
      <c r="T1171" s="54" t="str">
        <f t="shared" si="61"/>
        <v/>
      </c>
      <c r="U1171" s="58" t="str">
        <f t="shared" si="62"/>
        <v/>
      </c>
      <c r="V1171" s="58">
        <f>IF(AND($B1171&lt;&gt;"",$F1171&lt;&gt;"",$F1171=项目明细账!$C$2),N(V1170)+1,N(V1170))</f>
        <v>0</v>
      </c>
      <c r="W1171" s="63" t="str">
        <f>IF($H1171&lt;&gt;"","项目成本",IFERROR(INDEX(基础资料!$W$4:$W$49,MATCH($I1171,基础资料!$V$4:$V$49,0)),""))</f>
        <v/>
      </c>
      <c r="X1171" s="63" t="str">
        <f>IFERROR(INDEX(基础资料!$R$4:$R$17,MATCH($G1171,基础资料!$Q$4:$Q$17,0)),"")</f>
        <v/>
      </c>
    </row>
    <row r="1172" spans="1:24">
      <c r="A1172" s="58" t="str">
        <f>IF($B1172="","",COUNTA($B$5:$B1172))</f>
        <v/>
      </c>
      <c r="B1172" s="53"/>
      <c r="C1172" s="46"/>
      <c r="D1172" s="63" t="str">
        <f>IFERROR(INDEX(基础资料!$F$4:$F$23,MATCH($C1172,基础资料!$E$4:$E$23,0)),IF($C1172="","","未匹配账户"))</f>
        <v/>
      </c>
      <c r="E1172" s="39"/>
      <c r="F1172" s="10"/>
      <c r="G1172" s="10"/>
      <c r="H1172" s="10"/>
      <c r="I1172" s="10"/>
      <c r="J1172" s="10"/>
      <c r="K1172" s="25"/>
      <c r="L1172" s="25"/>
      <c r="M1172" s="25" t="str">
        <f>IFERROR(VLOOKUP($C1172,$C$5:$M$24,11,0)+SUMIF($C$25:$C1172,$C1172,$K$25:$K1172)-SUMIF($C$25:$C1172,$C1172,$L$25:$L1172),"")</f>
        <v/>
      </c>
      <c r="N1172" s="10"/>
      <c r="O1172" s="10"/>
      <c r="P1172" s="65"/>
      <c r="Q1172" s="10"/>
      <c r="R1172" s="10"/>
      <c r="S1172" s="54" t="str">
        <f t="shared" si="60"/>
        <v/>
      </c>
      <c r="T1172" s="54" t="str">
        <f t="shared" si="61"/>
        <v/>
      </c>
      <c r="U1172" s="58" t="str">
        <f t="shared" si="62"/>
        <v/>
      </c>
      <c r="V1172" s="58">
        <f>IF(AND($B1172&lt;&gt;"",$F1172&lt;&gt;"",$F1172=项目明细账!$C$2),N(V1171)+1,N(V1171))</f>
        <v>0</v>
      </c>
      <c r="W1172" s="63" t="str">
        <f>IF($H1172&lt;&gt;"","项目成本",IFERROR(INDEX(基础资料!$W$4:$W$49,MATCH($I1172,基础资料!$V$4:$V$49,0)),""))</f>
        <v/>
      </c>
      <c r="X1172" s="63" t="str">
        <f>IFERROR(INDEX(基础资料!$R$4:$R$17,MATCH($G1172,基础资料!$Q$4:$Q$17,0)),"")</f>
        <v/>
      </c>
    </row>
    <row r="1173" spans="1:24">
      <c r="A1173" s="58" t="str">
        <f>IF($B1173="","",COUNTA($B$5:$B1173))</f>
        <v/>
      </c>
      <c r="B1173" s="53"/>
      <c r="C1173" s="46"/>
      <c r="D1173" s="63" t="str">
        <f>IFERROR(INDEX(基础资料!$F$4:$F$23,MATCH($C1173,基础资料!$E$4:$E$23,0)),IF($C1173="","","未匹配账户"))</f>
        <v/>
      </c>
      <c r="E1173" s="39"/>
      <c r="F1173" s="10"/>
      <c r="G1173" s="10"/>
      <c r="H1173" s="10"/>
      <c r="I1173" s="10"/>
      <c r="J1173" s="10"/>
      <c r="K1173" s="25"/>
      <c r="L1173" s="25"/>
      <c r="M1173" s="25" t="str">
        <f>IFERROR(VLOOKUP($C1173,$C$5:$M$24,11,0)+SUMIF($C$25:$C1173,$C1173,$K$25:$K1173)-SUMIF($C$25:$C1173,$C1173,$L$25:$L1173),"")</f>
        <v/>
      </c>
      <c r="N1173" s="10"/>
      <c r="O1173" s="10"/>
      <c r="P1173" s="65"/>
      <c r="Q1173" s="10"/>
      <c r="R1173" s="10"/>
      <c r="S1173" s="54" t="str">
        <f t="shared" si="60"/>
        <v/>
      </c>
      <c r="T1173" s="54" t="str">
        <f t="shared" si="61"/>
        <v/>
      </c>
      <c r="U1173" s="58" t="str">
        <f t="shared" si="62"/>
        <v/>
      </c>
      <c r="V1173" s="58">
        <f>IF(AND($B1173&lt;&gt;"",$F1173&lt;&gt;"",$F1173=项目明细账!$C$2),N(V1172)+1,N(V1172))</f>
        <v>0</v>
      </c>
      <c r="W1173" s="63" t="str">
        <f>IF($H1173&lt;&gt;"","项目成本",IFERROR(INDEX(基础资料!$W$4:$W$49,MATCH($I1173,基础资料!$V$4:$V$49,0)),""))</f>
        <v/>
      </c>
      <c r="X1173" s="63" t="str">
        <f>IFERROR(INDEX(基础资料!$R$4:$R$17,MATCH($G1173,基础资料!$Q$4:$Q$17,0)),"")</f>
        <v/>
      </c>
    </row>
    <row r="1174" spans="1:24">
      <c r="A1174" s="58" t="str">
        <f>IF($B1174="","",COUNTA($B$5:$B1174))</f>
        <v/>
      </c>
      <c r="B1174" s="53"/>
      <c r="C1174" s="46"/>
      <c r="D1174" s="63" t="str">
        <f>IFERROR(INDEX(基础资料!$F$4:$F$23,MATCH($C1174,基础资料!$E$4:$E$23,0)),IF($C1174="","","未匹配账户"))</f>
        <v/>
      </c>
      <c r="E1174" s="39"/>
      <c r="F1174" s="10"/>
      <c r="G1174" s="10"/>
      <c r="H1174" s="10"/>
      <c r="I1174" s="10"/>
      <c r="J1174" s="10"/>
      <c r="K1174" s="25"/>
      <c r="L1174" s="25"/>
      <c r="M1174" s="25" t="str">
        <f>IFERROR(VLOOKUP($C1174,$C$5:$M$24,11,0)+SUMIF($C$25:$C1174,$C1174,$K$25:$K1174)-SUMIF($C$25:$C1174,$C1174,$L$25:$L1174),"")</f>
        <v/>
      </c>
      <c r="N1174" s="10"/>
      <c r="O1174" s="10"/>
      <c r="P1174" s="65"/>
      <c r="Q1174" s="10"/>
      <c r="R1174" s="10"/>
      <c r="S1174" s="54" t="str">
        <f t="shared" si="60"/>
        <v/>
      </c>
      <c r="T1174" s="54" t="str">
        <f t="shared" si="61"/>
        <v/>
      </c>
      <c r="U1174" s="58" t="str">
        <f t="shared" si="62"/>
        <v/>
      </c>
      <c r="V1174" s="58">
        <f>IF(AND($B1174&lt;&gt;"",$F1174&lt;&gt;"",$F1174=项目明细账!$C$2),N(V1173)+1,N(V1173))</f>
        <v>0</v>
      </c>
      <c r="W1174" s="63" t="str">
        <f>IF($H1174&lt;&gt;"","项目成本",IFERROR(INDEX(基础资料!$W$4:$W$49,MATCH($I1174,基础资料!$V$4:$V$49,0)),""))</f>
        <v/>
      </c>
      <c r="X1174" s="63" t="str">
        <f>IFERROR(INDEX(基础资料!$R$4:$R$17,MATCH($G1174,基础资料!$Q$4:$Q$17,0)),"")</f>
        <v/>
      </c>
    </row>
    <row r="1175" spans="1:24">
      <c r="A1175" s="58" t="str">
        <f>IF($B1175="","",COUNTA($B$5:$B1175))</f>
        <v/>
      </c>
      <c r="B1175" s="53"/>
      <c r="C1175" s="46"/>
      <c r="D1175" s="63" t="str">
        <f>IFERROR(INDEX(基础资料!$F$4:$F$23,MATCH($C1175,基础资料!$E$4:$E$23,0)),IF($C1175="","","未匹配账户"))</f>
        <v/>
      </c>
      <c r="E1175" s="39"/>
      <c r="F1175" s="10"/>
      <c r="G1175" s="10"/>
      <c r="H1175" s="10"/>
      <c r="I1175" s="10"/>
      <c r="J1175" s="10"/>
      <c r="K1175" s="25"/>
      <c r="L1175" s="25"/>
      <c r="M1175" s="25" t="str">
        <f>IFERROR(VLOOKUP($C1175,$C$5:$M$24,11,0)+SUMIF($C$25:$C1175,$C1175,$K$25:$K1175)-SUMIF($C$25:$C1175,$C1175,$L$25:$L1175),"")</f>
        <v/>
      </c>
      <c r="N1175" s="10"/>
      <c r="O1175" s="10"/>
      <c r="P1175" s="65"/>
      <c r="Q1175" s="10"/>
      <c r="R1175" s="10"/>
      <c r="S1175" s="54" t="str">
        <f t="shared" si="60"/>
        <v/>
      </c>
      <c r="T1175" s="54" t="str">
        <f t="shared" si="61"/>
        <v/>
      </c>
      <c r="U1175" s="58" t="str">
        <f t="shared" si="62"/>
        <v/>
      </c>
      <c r="V1175" s="58">
        <f>IF(AND($B1175&lt;&gt;"",$F1175&lt;&gt;"",$F1175=项目明细账!$C$2),N(V1174)+1,N(V1174))</f>
        <v>0</v>
      </c>
      <c r="W1175" s="63" t="str">
        <f>IF($H1175&lt;&gt;"","项目成本",IFERROR(INDEX(基础资料!$W$4:$W$49,MATCH($I1175,基础资料!$V$4:$V$49,0)),""))</f>
        <v/>
      </c>
      <c r="X1175" s="63" t="str">
        <f>IFERROR(INDEX(基础资料!$R$4:$R$17,MATCH($G1175,基础资料!$Q$4:$Q$17,0)),"")</f>
        <v/>
      </c>
    </row>
    <row r="1176" spans="1:24">
      <c r="A1176" s="58" t="str">
        <f>IF($B1176="","",COUNTA($B$5:$B1176))</f>
        <v/>
      </c>
      <c r="B1176" s="53"/>
      <c r="C1176" s="46"/>
      <c r="D1176" s="63" t="str">
        <f>IFERROR(INDEX(基础资料!$F$4:$F$23,MATCH($C1176,基础资料!$E$4:$E$23,0)),IF($C1176="","","未匹配账户"))</f>
        <v/>
      </c>
      <c r="E1176" s="39"/>
      <c r="F1176" s="10"/>
      <c r="G1176" s="10"/>
      <c r="H1176" s="10"/>
      <c r="I1176" s="10"/>
      <c r="J1176" s="10"/>
      <c r="K1176" s="25"/>
      <c r="L1176" s="25"/>
      <c r="M1176" s="25" t="str">
        <f>IFERROR(VLOOKUP($C1176,$C$5:$M$24,11,0)+SUMIF($C$25:$C1176,$C1176,$K$25:$K1176)-SUMIF($C$25:$C1176,$C1176,$L$25:$L1176),"")</f>
        <v/>
      </c>
      <c r="N1176" s="10"/>
      <c r="O1176" s="10"/>
      <c r="P1176" s="65"/>
      <c r="Q1176" s="10"/>
      <c r="R1176" s="10"/>
      <c r="S1176" s="54" t="str">
        <f t="shared" si="60"/>
        <v/>
      </c>
      <c r="T1176" s="54" t="str">
        <f t="shared" si="61"/>
        <v/>
      </c>
      <c r="U1176" s="58" t="str">
        <f t="shared" si="62"/>
        <v/>
      </c>
      <c r="V1176" s="58">
        <f>IF(AND($B1176&lt;&gt;"",$F1176&lt;&gt;"",$F1176=项目明细账!$C$2),N(V1175)+1,N(V1175))</f>
        <v>0</v>
      </c>
      <c r="W1176" s="63" t="str">
        <f>IF($H1176&lt;&gt;"","项目成本",IFERROR(INDEX(基础资料!$W$4:$W$49,MATCH($I1176,基础资料!$V$4:$V$49,0)),""))</f>
        <v/>
      </c>
      <c r="X1176" s="63" t="str">
        <f>IFERROR(INDEX(基础资料!$R$4:$R$17,MATCH($G1176,基础资料!$Q$4:$Q$17,0)),"")</f>
        <v/>
      </c>
    </row>
    <row r="1177" spans="1:24">
      <c r="A1177" s="58" t="str">
        <f>IF($B1177="","",COUNTA($B$5:$B1177))</f>
        <v/>
      </c>
      <c r="B1177" s="53"/>
      <c r="C1177" s="46"/>
      <c r="D1177" s="63" t="str">
        <f>IFERROR(INDEX(基础资料!$F$4:$F$23,MATCH($C1177,基础资料!$E$4:$E$23,0)),IF($C1177="","","未匹配账户"))</f>
        <v/>
      </c>
      <c r="E1177" s="39"/>
      <c r="F1177" s="10"/>
      <c r="G1177" s="10"/>
      <c r="H1177" s="10"/>
      <c r="I1177" s="10"/>
      <c r="J1177" s="10"/>
      <c r="K1177" s="25"/>
      <c r="L1177" s="25"/>
      <c r="M1177" s="25" t="str">
        <f>IFERROR(VLOOKUP($C1177,$C$5:$M$24,11,0)+SUMIF($C$25:$C1177,$C1177,$K$25:$K1177)-SUMIF($C$25:$C1177,$C1177,$L$25:$L1177),"")</f>
        <v/>
      </c>
      <c r="N1177" s="10"/>
      <c r="O1177" s="10"/>
      <c r="P1177" s="65"/>
      <c r="Q1177" s="10"/>
      <c r="R1177" s="10"/>
      <c r="S1177" s="54" t="str">
        <f t="shared" si="60"/>
        <v/>
      </c>
      <c r="T1177" s="54" t="str">
        <f t="shared" si="61"/>
        <v/>
      </c>
      <c r="U1177" s="58" t="str">
        <f t="shared" si="62"/>
        <v/>
      </c>
      <c r="V1177" s="58">
        <f>IF(AND($B1177&lt;&gt;"",$F1177&lt;&gt;"",$F1177=项目明细账!$C$2),N(V1176)+1,N(V1176))</f>
        <v>0</v>
      </c>
      <c r="W1177" s="63" t="str">
        <f>IF($H1177&lt;&gt;"","项目成本",IFERROR(INDEX(基础资料!$W$4:$W$49,MATCH($I1177,基础资料!$V$4:$V$49,0)),""))</f>
        <v/>
      </c>
      <c r="X1177" s="63" t="str">
        <f>IFERROR(INDEX(基础资料!$R$4:$R$17,MATCH($G1177,基础资料!$Q$4:$Q$17,0)),"")</f>
        <v/>
      </c>
    </row>
    <row r="1178" spans="1:24">
      <c r="A1178" s="58" t="str">
        <f>IF($B1178="","",COUNTA($B$5:$B1178))</f>
        <v/>
      </c>
      <c r="B1178" s="53"/>
      <c r="C1178" s="46"/>
      <c r="D1178" s="63" t="str">
        <f>IFERROR(INDEX(基础资料!$F$4:$F$23,MATCH($C1178,基础资料!$E$4:$E$23,0)),IF($C1178="","","未匹配账户"))</f>
        <v/>
      </c>
      <c r="E1178" s="39"/>
      <c r="F1178" s="10"/>
      <c r="G1178" s="10"/>
      <c r="H1178" s="10"/>
      <c r="I1178" s="10"/>
      <c r="J1178" s="10"/>
      <c r="K1178" s="25"/>
      <c r="L1178" s="25"/>
      <c r="M1178" s="25" t="str">
        <f>IFERROR(VLOOKUP($C1178,$C$5:$M$24,11,0)+SUMIF($C$25:$C1178,$C1178,$K$25:$K1178)-SUMIF($C$25:$C1178,$C1178,$L$25:$L1178),"")</f>
        <v/>
      </c>
      <c r="N1178" s="10"/>
      <c r="O1178" s="10"/>
      <c r="P1178" s="65"/>
      <c r="Q1178" s="10"/>
      <c r="R1178" s="10"/>
      <c r="S1178" s="54" t="str">
        <f t="shared" si="60"/>
        <v/>
      </c>
      <c r="T1178" s="54" t="str">
        <f t="shared" si="61"/>
        <v/>
      </c>
      <c r="U1178" s="58" t="str">
        <f t="shared" si="62"/>
        <v/>
      </c>
      <c r="V1178" s="58">
        <f>IF(AND($B1178&lt;&gt;"",$F1178&lt;&gt;"",$F1178=项目明细账!$C$2),N(V1177)+1,N(V1177))</f>
        <v>0</v>
      </c>
      <c r="W1178" s="63" t="str">
        <f>IF($H1178&lt;&gt;"","项目成本",IFERROR(INDEX(基础资料!$W$4:$W$49,MATCH($I1178,基础资料!$V$4:$V$49,0)),""))</f>
        <v/>
      </c>
      <c r="X1178" s="63" t="str">
        <f>IFERROR(INDEX(基础资料!$R$4:$R$17,MATCH($G1178,基础资料!$Q$4:$Q$17,0)),"")</f>
        <v/>
      </c>
    </row>
    <row r="1179" spans="1:24">
      <c r="A1179" s="58" t="str">
        <f>IF($B1179="","",COUNTA($B$5:$B1179))</f>
        <v/>
      </c>
      <c r="B1179" s="53"/>
      <c r="C1179" s="46"/>
      <c r="D1179" s="63" t="str">
        <f>IFERROR(INDEX(基础资料!$F$4:$F$23,MATCH($C1179,基础资料!$E$4:$E$23,0)),IF($C1179="","","未匹配账户"))</f>
        <v/>
      </c>
      <c r="E1179" s="39"/>
      <c r="F1179" s="10"/>
      <c r="G1179" s="10"/>
      <c r="H1179" s="10"/>
      <c r="I1179" s="10"/>
      <c r="J1179" s="10"/>
      <c r="K1179" s="25"/>
      <c r="L1179" s="25"/>
      <c r="M1179" s="25" t="str">
        <f>IFERROR(VLOOKUP($C1179,$C$5:$M$24,11,0)+SUMIF($C$25:$C1179,$C1179,$K$25:$K1179)-SUMIF($C$25:$C1179,$C1179,$L$25:$L1179),"")</f>
        <v/>
      </c>
      <c r="N1179" s="10"/>
      <c r="O1179" s="10"/>
      <c r="P1179" s="65"/>
      <c r="Q1179" s="10"/>
      <c r="R1179" s="10"/>
      <c r="S1179" s="54" t="str">
        <f t="shared" si="60"/>
        <v/>
      </c>
      <c r="T1179" s="54" t="str">
        <f t="shared" si="61"/>
        <v/>
      </c>
      <c r="U1179" s="58" t="str">
        <f t="shared" si="62"/>
        <v/>
      </c>
      <c r="V1179" s="58">
        <f>IF(AND($B1179&lt;&gt;"",$F1179&lt;&gt;"",$F1179=项目明细账!$C$2),N(V1178)+1,N(V1178))</f>
        <v>0</v>
      </c>
      <c r="W1179" s="63" t="str">
        <f>IF($H1179&lt;&gt;"","项目成本",IFERROR(INDEX(基础资料!$W$4:$W$49,MATCH($I1179,基础资料!$V$4:$V$49,0)),""))</f>
        <v/>
      </c>
      <c r="X1179" s="63" t="str">
        <f>IFERROR(INDEX(基础资料!$R$4:$R$17,MATCH($G1179,基础资料!$Q$4:$Q$17,0)),"")</f>
        <v/>
      </c>
    </row>
    <row r="1180" spans="1:24">
      <c r="A1180" s="58" t="str">
        <f>IF($B1180="","",COUNTA($B$5:$B1180))</f>
        <v/>
      </c>
      <c r="B1180" s="53"/>
      <c r="C1180" s="46"/>
      <c r="D1180" s="63" t="str">
        <f>IFERROR(INDEX(基础资料!$F$4:$F$23,MATCH($C1180,基础资料!$E$4:$E$23,0)),IF($C1180="","","未匹配账户"))</f>
        <v/>
      </c>
      <c r="E1180" s="39"/>
      <c r="F1180" s="10"/>
      <c r="G1180" s="10"/>
      <c r="H1180" s="10"/>
      <c r="I1180" s="10"/>
      <c r="J1180" s="10"/>
      <c r="K1180" s="25"/>
      <c r="L1180" s="25"/>
      <c r="M1180" s="25" t="str">
        <f>IFERROR(VLOOKUP($C1180,$C$5:$M$24,11,0)+SUMIF($C$25:$C1180,$C1180,$K$25:$K1180)-SUMIF($C$25:$C1180,$C1180,$L$25:$L1180),"")</f>
        <v/>
      </c>
      <c r="N1180" s="10"/>
      <c r="O1180" s="10"/>
      <c r="P1180" s="65"/>
      <c r="Q1180" s="10"/>
      <c r="R1180" s="10"/>
      <c r="S1180" s="54" t="str">
        <f t="shared" si="60"/>
        <v/>
      </c>
      <c r="T1180" s="54" t="str">
        <f t="shared" si="61"/>
        <v/>
      </c>
      <c r="U1180" s="58" t="str">
        <f t="shared" si="62"/>
        <v/>
      </c>
      <c r="V1180" s="58">
        <f>IF(AND($B1180&lt;&gt;"",$F1180&lt;&gt;"",$F1180=项目明细账!$C$2),N(V1179)+1,N(V1179))</f>
        <v>0</v>
      </c>
      <c r="W1180" s="63" t="str">
        <f>IF($H1180&lt;&gt;"","项目成本",IFERROR(INDEX(基础资料!$W$4:$W$49,MATCH($I1180,基础资料!$V$4:$V$49,0)),""))</f>
        <v/>
      </c>
      <c r="X1180" s="63" t="str">
        <f>IFERROR(INDEX(基础资料!$R$4:$R$17,MATCH($G1180,基础资料!$Q$4:$Q$17,0)),"")</f>
        <v/>
      </c>
    </row>
    <row r="1181" spans="1:24">
      <c r="A1181" s="58" t="str">
        <f>IF($B1181="","",COUNTA($B$5:$B1181))</f>
        <v/>
      </c>
      <c r="B1181" s="53"/>
      <c r="C1181" s="46"/>
      <c r="D1181" s="63" t="str">
        <f>IFERROR(INDEX(基础资料!$F$4:$F$23,MATCH($C1181,基础资料!$E$4:$E$23,0)),IF($C1181="","","未匹配账户"))</f>
        <v/>
      </c>
      <c r="E1181" s="39"/>
      <c r="F1181" s="10"/>
      <c r="G1181" s="10"/>
      <c r="H1181" s="10"/>
      <c r="I1181" s="10"/>
      <c r="J1181" s="10"/>
      <c r="K1181" s="25"/>
      <c r="L1181" s="25"/>
      <c r="M1181" s="25" t="str">
        <f>IFERROR(VLOOKUP($C1181,$C$5:$M$24,11,0)+SUMIF($C$25:$C1181,$C1181,$K$25:$K1181)-SUMIF($C$25:$C1181,$C1181,$L$25:$L1181),"")</f>
        <v/>
      </c>
      <c r="N1181" s="10"/>
      <c r="O1181" s="10"/>
      <c r="P1181" s="65"/>
      <c r="Q1181" s="10"/>
      <c r="R1181" s="10"/>
      <c r="S1181" s="54" t="str">
        <f t="shared" si="60"/>
        <v/>
      </c>
      <c r="T1181" s="54" t="str">
        <f t="shared" si="61"/>
        <v/>
      </c>
      <c r="U1181" s="58" t="str">
        <f t="shared" si="62"/>
        <v/>
      </c>
      <c r="V1181" s="58">
        <f>IF(AND($B1181&lt;&gt;"",$F1181&lt;&gt;"",$F1181=项目明细账!$C$2),N(V1180)+1,N(V1180))</f>
        <v>0</v>
      </c>
      <c r="W1181" s="63" t="str">
        <f>IF($H1181&lt;&gt;"","项目成本",IFERROR(INDEX(基础资料!$W$4:$W$49,MATCH($I1181,基础资料!$V$4:$V$49,0)),""))</f>
        <v/>
      </c>
      <c r="X1181" s="63" t="str">
        <f>IFERROR(INDEX(基础资料!$R$4:$R$17,MATCH($G1181,基础资料!$Q$4:$Q$17,0)),"")</f>
        <v/>
      </c>
    </row>
    <row r="1182" spans="1:24">
      <c r="A1182" s="58" t="str">
        <f>IF($B1182="","",COUNTA($B$5:$B1182))</f>
        <v/>
      </c>
      <c r="B1182" s="53"/>
      <c r="C1182" s="46"/>
      <c r="D1182" s="63" t="str">
        <f>IFERROR(INDEX(基础资料!$F$4:$F$23,MATCH($C1182,基础资料!$E$4:$E$23,0)),IF($C1182="","","未匹配账户"))</f>
        <v/>
      </c>
      <c r="E1182" s="39"/>
      <c r="F1182" s="10"/>
      <c r="G1182" s="10"/>
      <c r="H1182" s="10"/>
      <c r="I1182" s="10"/>
      <c r="J1182" s="10"/>
      <c r="K1182" s="25"/>
      <c r="L1182" s="25"/>
      <c r="M1182" s="25" t="str">
        <f>IFERROR(VLOOKUP($C1182,$C$5:$M$24,11,0)+SUMIF($C$25:$C1182,$C1182,$K$25:$K1182)-SUMIF($C$25:$C1182,$C1182,$L$25:$L1182),"")</f>
        <v/>
      </c>
      <c r="N1182" s="10"/>
      <c r="O1182" s="10"/>
      <c r="P1182" s="65"/>
      <c r="Q1182" s="10"/>
      <c r="R1182" s="10"/>
      <c r="S1182" s="54" t="str">
        <f t="shared" si="60"/>
        <v/>
      </c>
      <c r="T1182" s="54" t="str">
        <f t="shared" si="61"/>
        <v/>
      </c>
      <c r="U1182" s="58" t="str">
        <f t="shared" si="62"/>
        <v/>
      </c>
      <c r="V1182" s="58">
        <f>IF(AND($B1182&lt;&gt;"",$F1182&lt;&gt;"",$F1182=项目明细账!$C$2),N(V1181)+1,N(V1181))</f>
        <v>0</v>
      </c>
      <c r="W1182" s="63" t="str">
        <f>IF($H1182&lt;&gt;"","项目成本",IFERROR(INDEX(基础资料!$W$4:$W$49,MATCH($I1182,基础资料!$V$4:$V$49,0)),""))</f>
        <v/>
      </c>
      <c r="X1182" s="63" t="str">
        <f>IFERROR(INDEX(基础资料!$R$4:$R$17,MATCH($G1182,基础资料!$Q$4:$Q$17,0)),"")</f>
        <v/>
      </c>
    </row>
    <row r="1183" spans="1:24">
      <c r="A1183" s="58" t="str">
        <f>IF($B1183="","",COUNTA($B$5:$B1183))</f>
        <v/>
      </c>
      <c r="B1183" s="53"/>
      <c r="C1183" s="46"/>
      <c r="D1183" s="63" t="str">
        <f>IFERROR(INDEX(基础资料!$F$4:$F$23,MATCH($C1183,基础资料!$E$4:$E$23,0)),IF($C1183="","","未匹配账户"))</f>
        <v/>
      </c>
      <c r="E1183" s="39"/>
      <c r="F1183" s="10"/>
      <c r="G1183" s="10"/>
      <c r="H1183" s="10"/>
      <c r="I1183" s="10"/>
      <c r="J1183" s="10"/>
      <c r="K1183" s="25"/>
      <c r="L1183" s="25"/>
      <c r="M1183" s="25" t="str">
        <f>IFERROR(VLOOKUP($C1183,$C$5:$M$24,11,0)+SUMIF($C$25:$C1183,$C1183,$K$25:$K1183)-SUMIF($C$25:$C1183,$C1183,$L$25:$L1183),"")</f>
        <v/>
      </c>
      <c r="N1183" s="10"/>
      <c r="O1183" s="10"/>
      <c r="P1183" s="65"/>
      <c r="Q1183" s="10"/>
      <c r="R1183" s="10"/>
      <c r="S1183" s="54" t="str">
        <f t="shared" si="60"/>
        <v/>
      </c>
      <c r="T1183" s="54" t="str">
        <f t="shared" si="61"/>
        <v/>
      </c>
      <c r="U1183" s="58" t="str">
        <f t="shared" si="62"/>
        <v/>
      </c>
      <c r="V1183" s="58">
        <f>IF(AND($B1183&lt;&gt;"",$F1183&lt;&gt;"",$F1183=项目明细账!$C$2),N(V1182)+1,N(V1182))</f>
        <v>0</v>
      </c>
      <c r="W1183" s="63" t="str">
        <f>IF($H1183&lt;&gt;"","项目成本",IFERROR(INDEX(基础资料!$W$4:$W$49,MATCH($I1183,基础资料!$V$4:$V$49,0)),""))</f>
        <v/>
      </c>
      <c r="X1183" s="63" t="str">
        <f>IFERROR(INDEX(基础资料!$R$4:$R$17,MATCH($G1183,基础资料!$Q$4:$Q$17,0)),"")</f>
        <v/>
      </c>
    </row>
    <row r="1184" spans="1:24">
      <c r="A1184" s="58" t="str">
        <f>IF($B1184="","",COUNTA($B$5:$B1184))</f>
        <v/>
      </c>
      <c r="B1184" s="53"/>
      <c r="C1184" s="46"/>
      <c r="D1184" s="63" t="str">
        <f>IFERROR(INDEX(基础资料!$F$4:$F$23,MATCH($C1184,基础资料!$E$4:$E$23,0)),IF($C1184="","","未匹配账户"))</f>
        <v/>
      </c>
      <c r="E1184" s="39"/>
      <c r="F1184" s="10"/>
      <c r="G1184" s="10"/>
      <c r="H1184" s="10"/>
      <c r="I1184" s="10"/>
      <c r="J1184" s="10"/>
      <c r="K1184" s="25"/>
      <c r="L1184" s="25"/>
      <c r="M1184" s="25" t="str">
        <f>IFERROR(VLOOKUP($C1184,$C$5:$M$24,11,0)+SUMIF($C$25:$C1184,$C1184,$K$25:$K1184)-SUMIF($C$25:$C1184,$C1184,$L$25:$L1184),"")</f>
        <v/>
      </c>
      <c r="N1184" s="10"/>
      <c r="O1184" s="10"/>
      <c r="P1184" s="65"/>
      <c r="Q1184" s="10"/>
      <c r="R1184" s="10"/>
      <c r="S1184" s="54" t="str">
        <f t="shared" si="60"/>
        <v/>
      </c>
      <c r="T1184" s="54" t="str">
        <f t="shared" si="61"/>
        <v/>
      </c>
      <c r="U1184" s="58" t="str">
        <f t="shared" si="62"/>
        <v/>
      </c>
      <c r="V1184" s="58">
        <f>IF(AND($B1184&lt;&gt;"",$F1184&lt;&gt;"",$F1184=项目明细账!$C$2),N(V1183)+1,N(V1183))</f>
        <v>0</v>
      </c>
      <c r="W1184" s="63" t="str">
        <f>IF($H1184&lt;&gt;"","项目成本",IFERROR(INDEX(基础资料!$W$4:$W$49,MATCH($I1184,基础资料!$V$4:$V$49,0)),""))</f>
        <v/>
      </c>
      <c r="X1184" s="63" t="str">
        <f>IFERROR(INDEX(基础资料!$R$4:$R$17,MATCH($G1184,基础资料!$Q$4:$Q$17,0)),"")</f>
        <v/>
      </c>
    </row>
    <row r="1185" spans="1:24">
      <c r="A1185" s="58" t="str">
        <f>IF($B1185="","",COUNTA($B$5:$B1185))</f>
        <v/>
      </c>
      <c r="B1185" s="53"/>
      <c r="C1185" s="46"/>
      <c r="D1185" s="63" t="str">
        <f>IFERROR(INDEX(基础资料!$F$4:$F$23,MATCH($C1185,基础资料!$E$4:$E$23,0)),IF($C1185="","","未匹配账户"))</f>
        <v/>
      </c>
      <c r="E1185" s="39"/>
      <c r="F1185" s="10"/>
      <c r="G1185" s="10"/>
      <c r="H1185" s="10"/>
      <c r="I1185" s="10"/>
      <c r="J1185" s="10"/>
      <c r="K1185" s="25"/>
      <c r="L1185" s="25"/>
      <c r="M1185" s="25" t="str">
        <f>IFERROR(VLOOKUP($C1185,$C$5:$M$24,11,0)+SUMIF($C$25:$C1185,$C1185,$K$25:$K1185)-SUMIF($C$25:$C1185,$C1185,$L$25:$L1185),"")</f>
        <v/>
      </c>
      <c r="N1185" s="10"/>
      <c r="O1185" s="10"/>
      <c r="P1185" s="65"/>
      <c r="Q1185" s="10"/>
      <c r="R1185" s="10"/>
      <c r="S1185" s="54" t="str">
        <f t="shared" si="60"/>
        <v/>
      </c>
      <c r="T1185" s="54" t="str">
        <f t="shared" si="61"/>
        <v/>
      </c>
      <c r="U1185" s="58" t="str">
        <f t="shared" si="62"/>
        <v/>
      </c>
      <c r="V1185" s="58">
        <f>IF(AND($B1185&lt;&gt;"",$F1185&lt;&gt;"",$F1185=项目明细账!$C$2),N(V1184)+1,N(V1184))</f>
        <v>0</v>
      </c>
      <c r="W1185" s="63" t="str">
        <f>IF($H1185&lt;&gt;"","项目成本",IFERROR(INDEX(基础资料!$W$4:$W$49,MATCH($I1185,基础资料!$V$4:$V$49,0)),""))</f>
        <v/>
      </c>
      <c r="X1185" s="63" t="str">
        <f>IFERROR(INDEX(基础资料!$R$4:$R$17,MATCH($G1185,基础资料!$Q$4:$Q$17,0)),"")</f>
        <v/>
      </c>
    </row>
    <row r="1186" spans="1:24">
      <c r="A1186" s="58" t="str">
        <f>IF($B1186="","",COUNTA($B$5:$B1186))</f>
        <v/>
      </c>
      <c r="B1186" s="53"/>
      <c r="C1186" s="46"/>
      <c r="D1186" s="63" t="str">
        <f>IFERROR(INDEX(基础资料!$F$4:$F$23,MATCH($C1186,基础资料!$E$4:$E$23,0)),IF($C1186="","","未匹配账户"))</f>
        <v/>
      </c>
      <c r="E1186" s="39"/>
      <c r="F1186" s="10"/>
      <c r="G1186" s="10"/>
      <c r="H1186" s="10"/>
      <c r="I1186" s="10"/>
      <c r="J1186" s="10"/>
      <c r="K1186" s="25"/>
      <c r="L1186" s="25"/>
      <c r="M1186" s="25" t="str">
        <f>IFERROR(VLOOKUP($C1186,$C$5:$M$24,11,0)+SUMIF($C$25:$C1186,$C1186,$K$25:$K1186)-SUMIF($C$25:$C1186,$C1186,$L$25:$L1186),"")</f>
        <v/>
      </c>
      <c r="N1186" s="10"/>
      <c r="O1186" s="10"/>
      <c r="P1186" s="65"/>
      <c r="Q1186" s="10"/>
      <c r="R1186" s="10"/>
      <c r="S1186" s="54" t="str">
        <f t="shared" si="60"/>
        <v/>
      </c>
      <c r="T1186" s="54" t="str">
        <f t="shared" si="61"/>
        <v/>
      </c>
      <c r="U1186" s="58" t="str">
        <f t="shared" si="62"/>
        <v/>
      </c>
      <c r="V1186" s="58">
        <f>IF(AND($B1186&lt;&gt;"",$F1186&lt;&gt;"",$F1186=项目明细账!$C$2),N(V1185)+1,N(V1185))</f>
        <v>0</v>
      </c>
      <c r="W1186" s="63" t="str">
        <f>IF($H1186&lt;&gt;"","项目成本",IFERROR(INDEX(基础资料!$W$4:$W$49,MATCH($I1186,基础资料!$V$4:$V$49,0)),""))</f>
        <v/>
      </c>
      <c r="X1186" s="63" t="str">
        <f>IFERROR(INDEX(基础资料!$R$4:$R$17,MATCH($G1186,基础资料!$Q$4:$Q$17,0)),"")</f>
        <v/>
      </c>
    </row>
    <row r="1187" spans="1:24">
      <c r="A1187" s="58" t="str">
        <f>IF($B1187="","",COUNTA($B$5:$B1187))</f>
        <v/>
      </c>
      <c r="B1187" s="53"/>
      <c r="C1187" s="46"/>
      <c r="D1187" s="63" t="str">
        <f>IFERROR(INDEX(基础资料!$F$4:$F$23,MATCH($C1187,基础资料!$E$4:$E$23,0)),IF($C1187="","","未匹配账户"))</f>
        <v/>
      </c>
      <c r="E1187" s="39"/>
      <c r="F1187" s="10"/>
      <c r="G1187" s="10"/>
      <c r="H1187" s="10"/>
      <c r="I1187" s="10"/>
      <c r="J1187" s="10"/>
      <c r="K1187" s="25"/>
      <c r="L1187" s="25"/>
      <c r="M1187" s="25" t="str">
        <f>IFERROR(VLOOKUP($C1187,$C$5:$M$24,11,0)+SUMIF($C$25:$C1187,$C1187,$K$25:$K1187)-SUMIF($C$25:$C1187,$C1187,$L$25:$L1187),"")</f>
        <v/>
      </c>
      <c r="N1187" s="10"/>
      <c r="O1187" s="10"/>
      <c r="P1187" s="65"/>
      <c r="Q1187" s="10"/>
      <c r="R1187" s="10"/>
      <c r="S1187" s="54" t="str">
        <f t="shared" si="60"/>
        <v/>
      </c>
      <c r="T1187" s="54" t="str">
        <f t="shared" si="61"/>
        <v/>
      </c>
      <c r="U1187" s="58" t="str">
        <f t="shared" si="62"/>
        <v/>
      </c>
      <c r="V1187" s="58">
        <f>IF(AND($B1187&lt;&gt;"",$F1187&lt;&gt;"",$F1187=项目明细账!$C$2),N(V1186)+1,N(V1186))</f>
        <v>0</v>
      </c>
      <c r="W1187" s="63" t="str">
        <f>IF($H1187&lt;&gt;"","项目成本",IFERROR(INDEX(基础资料!$W$4:$W$49,MATCH($I1187,基础资料!$V$4:$V$49,0)),""))</f>
        <v/>
      </c>
      <c r="X1187" s="63" t="str">
        <f>IFERROR(INDEX(基础资料!$R$4:$R$17,MATCH($G1187,基础资料!$Q$4:$Q$17,0)),"")</f>
        <v/>
      </c>
    </row>
    <row r="1188" spans="1:24">
      <c r="A1188" s="58" t="str">
        <f>IF($B1188="","",COUNTA($B$5:$B1188))</f>
        <v/>
      </c>
      <c r="B1188" s="53"/>
      <c r="C1188" s="46"/>
      <c r="D1188" s="63" t="str">
        <f>IFERROR(INDEX(基础资料!$F$4:$F$23,MATCH($C1188,基础资料!$E$4:$E$23,0)),IF($C1188="","","未匹配账户"))</f>
        <v/>
      </c>
      <c r="E1188" s="39"/>
      <c r="F1188" s="10"/>
      <c r="G1188" s="10"/>
      <c r="H1188" s="10"/>
      <c r="I1188" s="10"/>
      <c r="J1188" s="10"/>
      <c r="K1188" s="25"/>
      <c r="L1188" s="25"/>
      <c r="M1188" s="25" t="str">
        <f>IFERROR(VLOOKUP($C1188,$C$5:$M$24,11,0)+SUMIF($C$25:$C1188,$C1188,$K$25:$K1188)-SUMIF($C$25:$C1188,$C1188,$L$25:$L1188),"")</f>
        <v/>
      </c>
      <c r="N1188" s="10"/>
      <c r="O1188" s="10"/>
      <c r="P1188" s="65"/>
      <c r="Q1188" s="10"/>
      <c r="R1188" s="10"/>
      <c r="S1188" s="54" t="str">
        <f t="shared" si="60"/>
        <v/>
      </c>
      <c r="T1188" s="54" t="str">
        <f t="shared" si="61"/>
        <v/>
      </c>
      <c r="U1188" s="58" t="str">
        <f t="shared" si="62"/>
        <v/>
      </c>
      <c r="V1188" s="58">
        <f>IF(AND($B1188&lt;&gt;"",$F1188&lt;&gt;"",$F1188=项目明细账!$C$2),N(V1187)+1,N(V1187))</f>
        <v>0</v>
      </c>
      <c r="W1188" s="63" t="str">
        <f>IF($H1188&lt;&gt;"","项目成本",IFERROR(INDEX(基础资料!$W$4:$W$49,MATCH($I1188,基础资料!$V$4:$V$49,0)),""))</f>
        <v/>
      </c>
      <c r="X1188" s="63" t="str">
        <f>IFERROR(INDEX(基础资料!$R$4:$R$17,MATCH($G1188,基础资料!$Q$4:$Q$17,0)),"")</f>
        <v/>
      </c>
    </row>
    <row r="1189" spans="1:24">
      <c r="A1189" s="58" t="str">
        <f>IF($B1189="","",COUNTA($B$5:$B1189))</f>
        <v/>
      </c>
      <c r="B1189" s="53"/>
      <c r="C1189" s="46"/>
      <c r="D1189" s="63" t="str">
        <f>IFERROR(INDEX(基础资料!$F$4:$F$23,MATCH($C1189,基础资料!$E$4:$E$23,0)),IF($C1189="","","未匹配账户"))</f>
        <v/>
      </c>
      <c r="E1189" s="39"/>
      <c r="F1189" s="10"/>
      <c r="G1189" s="10"/>
      <c r="H1189" s="10"/>
      <c r="I1189" s="10"/>
      <c r="J1189" s="10"/>
      <c r="K1189" s="25"/>
      <c r="L1189" s="25"/>
      <c r="M1189" s="25" t="str">
        <f>IFERROR(VLOOKUP($C1189,$C$5:$M$24,11,0)+SUMIF($C$25:$C1189,$C1189,$K$25:$K1189)-SUMIF($C$25:$C1189,$C1189,$L$25:$L1189),"")</f>
        <v/>
      </c>
      <c r="N1189" s="10"/>
      <c r="O1189" s="10"/>
      <c r="P1189" s="65"/>
      <c r="Q1189" s="10"/>
      <c r="R1189" s="10"/>
      <c r="S1189" s="54" t="str">
        <f t="shared" si="60"/>
        <v/>
      </c>
      <c r="T1189" s="54" t="str">
        <f t="shared" si="61"/>
        <v/>
      </c>
      <c r="U1189" s="58" t="str">
        <f t="shared" si="62"/>
        <v/>
      </c>
      <c r="V1189" s="58">
        <f>IF(AND($B1189&lt;&gt;"",$F1189&lt;&gt;"",$F1189=项目明细账!$C$2),N(V1188)+1,N(V1188))</f>
        <v>0</v>
      </c>
      <c r="W1189" s="63" t="str">
        <f>IF($H1189&lt;&gt;"","项目成本",IFERROR(INDEX(基础资料!$W$4:$W$49,MATCH($I1189,基础资料!$V$4:$V$49,0)),""))</f>
        <v/>
      </c>
      <c r="X1189" s="63" t="str">
        <f>IFERROR(INDEX(基础资料!$R$4:$R$17,MATCH($G1189,基础资料!$Q$4:$Q$17,0)),"")</f>
        <v/>
      </c>
    </row>
    <row r="1190" spans="1:24">
      <c r="A1190" s="58" t="str">
        <f>IF($B1190="","",COUNTA($B$5:$B1190))</f>
        <v/>
      </c>
      <c r="B1190" s="53"/>
      <c r="C1190" s="46"/>
      <c r="D1190" s="63" t="str">
        <f>IFERROR(INDEX(基础资料!$F$4:$F$23,MATCH($C1190,基础资料!$E$4:$E$23,0)),IF($C1190="","","未匹配账户"))</f>
        <v/>
      </c>
      <c r="E1190" s="39"/>
      <c r="F1190" s="10"/>
      <c r="G1190" s="10"/>
      <c r="H1190" s="10"/>
      <c r="I1190" s="10"/>
      <c r="J1190" s="10"/>
      <c r="K1190" s="25"/>
      <c r="L1190" s="25"/>
      <c r="M1190" s="25" t="str">
        <f>IFERROR(VLOOKUP($C1190,$C$5:$M$24,11,0)+SUMIF($C$25:$C1190,$C1190,$K$25:$K1190)-SUMIF($C$25:$C1190,$C1190,$L$25:$L1190),"")</f>
        <v/>
      </c>
      <c r="N1190" s="10"/>
      <c r="O1190" s="10"/>
      <c r="P1190" s="65"/>
      <c r="Q1190" s="10"/>
      <c r="R1190" s="10"/>
      <c r="S1190" s="54" t="str">
        <f t="shared" si="60"/>
        <v/>
      </c>
      <c r="T1190" s="54" t="str">
        <f t="shared" si="61"/>
        <v/>
      </c>
      <c r="U1190" s="58" t="str">
        <f t="shared" si="62"/>
        <v/>
      </c>
      <c r="V1190" s="58">
        <f>IF(AND($B1190&lt;&gt;"",$F1190&lt;&gt;"",$F1190=项目明细账!$C$2),N(V1189)+1,N(V1189))</f>
        <v>0</v>
      </c>
      <c r="W1190" s="63" t="str">
        <f>IF($H1190&lt;&gt;"","项目成本",IFERROR(INDEX(基础资料!$W$4:$W$49,MATCH($I1190,基础资料!$V$4:$V$49,0)),""))</f>
        <v/>
      </c>
      <c r="X1190" s="63" t="str">
        <f>IFERROR(INDEX(基础资料!$R$4:$R$17,MATCH($G1190,基础资料!$Q$4:$Q$17,0)),"")</f>
        <v/>
      </c>
    </row>
    <row r="1191" spans="1:24">
      <c r="A1191" s="58" t="str">
        <f>IF($B1191="","",COUNTA($B$5:$B1191))</f>
        <v/>
      </c>
      <c r="B1191" s="53"/>
      <c r="C1191" s="46"/>
      <c r="D1191" s="63" t="str">
        <f>IFERROR(INDEX(基础资料!$F$4:$F$23,MATCH($C1191,基础资料!$E$4:$E$23,0)),IF($C1191="","","未匹配账户"))</f>
        <v/>
      </c>
      <c r="E1191" s="39"/>
      <c r="F1191" s="10"/>
      <c r="G1191" s="10"/>
      <c r="H1191" s="10"/>
      <c r="I1191" s="10"/>
      <c r="J1191" s="10"/>
      <c r="K1191" s="25"/>
      <c r="L1191" s="25"/>
      <c r="M1191" s="25" t="str">
        <f>IFERROR(VLOOKUP($C1191,$C$5:$M$24,11,0)+SUMIF($C$25:$C1191,$C1191,$K$25:$K1191)-SUMIF($C$25:$C1191,$C1191,$L$25:$L1191),"")</f>
        <v/>
      </c>
      <c r="N1191" s="10"/>
      <c r="O1191" s="10"/>
      <c r="P1191" s="65"/>
      <c r="Q1191" s="10"/>
      <c r="R1191" s="10"/>
      <c r="S1191" s="54" t="str">
        <f t="shared" si="60"/>
        <v/>
      </c>
      <c r="T1191" s="54" t="str">
        <f t="shared" si="61"/>
        <v/>
      </c>
      <c r="U1191" s="58" t="str">
        <f t="shared" si="62"/>
        <v/>
      </c>
      <c r="V1191" s="58">
        <f>IF(AND($B1191&lt;&gt;"",$F1191&lt;&gt;"",$F1191=项目明细账!$C$2),N(V1190)+1,N(V1190))</f>
        <v>0</v>
      </c>
      <c r="W1191" s="63" t="str">
        <f>IF($H1191&lt;&gt;"","项目成本",IFERROR(INDEX(基础资料!$W$4:$W$49,MATCH($I1191,基础资料!$V$4:$V$49,0)),""))</f>
        <v/>
      </c>
      <c r="X1191" s="63" t="str">
        <f>IFERROR(INDEX(基础资料!$R$4:$R$17,MATCH($G1191,基础资料!$Q$4:$Q$17,0)),"")</f>
        <v/>
      </c>
    </row>
    <row r="1192" spans="1:24">
      <c r="A1192" s="58" t="str">
        <f>IF($B1192="","",COUNTA($B$5:$B1192))</f>
        <v/>
      </c>
      <c r="B1192" s="53"/>
      <c r="C1192" s="46"/>
      <c r="D1192" s="63" t="str">
        <f>IFERROR(INDEX(基础资料!$F$4:$F$23,MATCH($C1192,基础资料!$E$4:$E$23,0)),IF($C1192="","","未匹配账户"))</f>
        <v/>
      </c>
      <c r="E1192" s="39"/>
      <c r="F1192" s="10"/>
      <c r="G1192" s="10"/>
      <c r="H1192" s="10"/>
      <c r="I1192" s="10"/>
      <c r="J1192" s="10"/>
      <c r="K1192" s="25"/>
      <c r="L1192" s="25"/>
      <c r="M1192" s="25" t="str">
        <f>IFERROR(VLOOKUP($C1192,$C$5:$M$24,11,0)+SUMIF($C$25:$C1192,$C1192,$K$25:$K1192)-SUMIF($C$25:$C1192,$C1192,$L$25:$L1192),"")</f>
        <v/>
      </c>
      <c r="N1192" s="10"/>
      <c r="O1192" s="10"/>
      <c r="P1192" s="65"/>
      <c r="Q1192" s="10"/>
      <c r="R1192" s="10"/>
      <c r="S1192" s="54" t="str">
        <f t="shared" si="60"/>
        <v/>
      </c>
      <c r="T1192" s="54" t="str">
        <f t="shared" si="61"/>
        <v/>
      </c>
      <c r="U1192" s="58" t="str">
        <f t="shared" si="62"/>
        <v/>
      </c>
      <c r="V1192" s="58">
        <f>IF(AND($B1192&lt;&gt;"",$F1192&lt;&gt;"",$F1192=项目明细账!$C$2),N(V1191)+1,N(V1191))</f>
        <v>0</v>
      </c>
      <c r="W1192" s="63" t="str">
        <f>IF($H1192&lt;&gt;"","项目成本",IFERROR(INDEX(基础资料!$W$4:$W$49,MATCH($I1192,基础资料!$V$4:$V$49,0)),""))</f>
        <v/>
      </c>
      <c r="X1192" s="63" t="str">
        <f>IFERROR(INDEX(基础资料!$R$4:$R$17,MATCH($G1192,基础资料!$Q$4:$Q$17,0)),"")</f>
        <v/>
      </c>
    </row>
    <row r="1193" spans="1:24">
      <c r="A1193" s="58" t="str">
        <f>IF($B1193="","",COUNTA($B$5:$B1193))</f>
        <v/>
      </c>
      <c r="B1193" s="53"/>
      <c r="C1193" s="46"/>
      <c r="D1193" s="63" t="str">
        <f>IFERROR(INDEX(基础资料!$F$4:$F$23,MATCH($C1193,基础资料!$E$4:$E$23,0)),IF($C1193="","","未匹配账户"))</f>
        <v/>
      </c>
      <c r="E1193" s="39"/>
      <c r="F1193" s="10"/>
      <c r="G1193" s="10"/>
      <c r="H1193" s="10"/>
      <c r="I1193" s="10"/>
      <c r="J1193" s="10"/>
      <c r="K1193" s="25"/>
      <c r="L1193" s="25"/>
      <c r="M1193" s="25" t="str">
        <f>IFERROR(VLOOKUP($C1193,$C$5:$M$24,11,0)+SUMIF($C$25:$C1193,$C1193,$K$25:$K1193)-SUMIF($C$25:$C1193,$C1193,$L$25:$L1193),"")</f>
        <v/>
      </c>
      <c r="N1193" s="10"/>
      <c r="O1193" s="10"/>
      <c r="P1193" s="65"/>
      <c r="Q1193" s="10"/>
      <c r="R1193" s="10"/>
      <c r="S1193" s="54" t="str">
        <f t="shared" si="60"/>
        <v/>
      </c>
      <c r="T1193" s="54" t="str">
        <f t="shared" si="61"/>
        <v/>
      </c>
      <c r="U1193" s="58" t="str">
        <f t="shared" si="62"/>
        <v/>
      </c>
      <c r="V1193" s="58">
        <f>IF(AND($B1193&lt;&gt;"",$F1193&lt;&gt;"",$F1193=项目明细账!$C$2),N(V1192)+1,N(V1192))</f>
        <v>0</v>
      </c>
      <c r="W1193" s="63" t="str">
        <f>IF($H1193&lt;&gt;"","项目成本",IFERROR(INDEX(基础资料!$W$4:$W$49,MATCH($I1193,基础资料!$V$4:$V$49,0)),""))</f>
        <v/>
      </c>
      <c r="X1193" s="63" t="str">
        <f>IFERROR(INDEX(基础资料!$R$4:$R$17,MATCH($G1193,基础资料!$Q$4:$Q$17,0)),"")</f>
        <v/>
      </c>
    </row>
    <row r="1194" spans="1:24">
      <c r="A1194" s="58" t="str">
        <f>IF($B1194="","",COUNTA($B$5:$B1194))</f>
        <v/>
      </c>
      <c r="B1194" s="53"/>
      <c r="C1194" s="46"/>
      <c r="D1194" s="63" t="str">
        <f>IFERROR(INDEX(基础资料!$F$4:$F$23,MATCH($C1194,基础资料!$E$4:$E$23,0)),IF($C1194="","","未匹配账户"))</f>
        <v/>
      </c>
      <c r="E1194" s="39"/>
      <c r="F1194" s="10"/>
      <c r="G1194" s="10"/>
      <c r="H1194" s="10"/>
      <c r="I1194" s="10"/>
      <c r="J1194" s="10"/>
      <c r="K1194" s="25"/>
      <c r="L1194" s="25"/>
      <c r="M1194" s="25" t="str">
        <f>IFERROR(VLOOKUP($C1194,$C$5:$M$24,11,0)+SUMIF($C$25:$C1194,$C1194,$K$25:$K1194)-SUMIF($C$25:$C1194,$C1194,$L$25:$L1194),"")</f>
        <v/>
      </c>
      <c r="N1194" s="10"/>
      <c r="O1194" s="10"/>
      <c r="P1194" s="65"/>
      <c r="Q1194" s="10"/>
      <c r="R1194" s="10"/>
      <c r="S1194" s="54" t="str">
        <f t="shared" si="60"/>
        <v/>
      </c>
      <c r="T1194" s="54" t="str">
        <f t="shared" si="61"/>
        <v/>
      </c>
      <c r="U1194" s="58" t="str">
        <f t="shared" si="62"/>
        <v/>
      </c>
      <c r="V1194" s="58">
        <f>IF(AND($B1194&lt;&gt;"",$F1194&lt;&gt;"",$F1194=项目明细账!$C$2),N(V1193)+1,N(V1193))</f>
        <v>0</v>
      </c>
      <c r="W1194" s="63" t="str">
        <f>IF($H1194&lt;&gt;"","项目成本",IFERROR(INDEX(基础资料!$W$4:$W$49,MATCH($I1194,基础资料!$V$4:$V$49,0)),""))</f>
        <v/>
      </c>
      <c r="X1194" s="63" t="str">
        <f>IFERROR(INDEX(基础资料!$R$4:$R$17,MATCH($G1194,基础资料!$Q$4:$Q$17,0)),"")</f>
        <v/>
      </c>
    </row>
    <row r="1195" spans="1:24">
      <c r="A1195" s="58" t="str">
        <f>IF($B1195="","",COUNTA($B$5:$B1195))</f>
        <v/>
      </c>
      <c r="B1195" s="53"/>
      <c r="C1195" s="46"/>
      <c r="D1195" s="63" t="str">
        <f>IFERROR(INDEX(基础资料!$F$4:$F$23,MATCH($C1195,基础资料!$E$4:$E$23,0)),IF($C1195="","","未匹配账户"))</f>
        <v/>
      </c>
      <c r="E1195" s="39"/>
      <c r="F1195" s="10"/>
      <c r="G1195" s="10"/>
      <c r="H1195" s="10"/>
      <c r="I1195" s="10"/>
      <c r="J1195" s="10"/>
      <c r="K1195" s="25"/>
      <c r="L1195" s="25"/>
      <c r="M1195" s="25" t="str">
        <f>IFERROR(VLOOKUP($C1195,$C$5:$M$24,11,0)+SUMIF($C$25:$C1195,$C1195,$K$25:$K1195)-SUMIF($C$25:$C1195,$C1195,$L$25:$L1195),"")</f>
        <v/>
      </c>
      <c r="N1195" s="10"/>
      <c r="O1195" s="10"/>
      <c r="P1195" s="65"/>
      <c r="Q1195" s="10"/>
      <c r="R1195" s="10"/>
      <c r="S1195" s="54" t="str">
        <f t="shared" si="60"/>
        <v/>
      </c>
      <c r="T1195" s="54" t="str">
        <f t="shared" si="61"/>
        <v/>
      </c>
      <c r="U1195" s="58" t="str">
        <f t="shared" si="62"/>
        <v/>
      </c>
      <c r="V1195" s="58">
        <f>IF(AND($B1195&lt;&gt;"",$F1195&lt;&gt;"",$F1195=项目明细账!$C$2),N(V1194)+1,N(V1194))</f>
        <v>0</v>
      </c>
      <c r="W1195" s="63" t="str">
        <f>IF($H1195&lt;&gt;"","项目成本",IFERROR(INDEX(基础资料!$W$4:$W$49,MATCH($I1195,基础资料!$V$4:$V$49,0)),""))</f>
        <v/>
      </c>
      <c r="X1195" s="63" t="str">
        <f>IFERROR(INDEX(基础资料!$R$4:$R$17,MATCH($G1195,基础资料!$Q$4:$Q$17,0)),"")</f>
        <v/>
      </c>
    </row>
    <row r="1196" spans="1:24">
      <c r="A1196" s="58" t="str">
        <f>IF($B1196="","",COUNTA($B$5:$B1196))</f>
        <v/>
      </c>
      <c r="B1196" s="53"/>
      <c r="C1196" s="46"/>
      <c r="D1196" s="63" t="str">
        <f>IFERROR(INDEX(基础资料!$F$4:$F$23,MATCH($C1196,基础资料!$E$4:$E$23,0)),IF($C1196="","","未匹配账户"))</f>
        <v/>
      </c>
      <c r="E1196" s="39"/>
      <c r="F1196" s="10"/>
      <c r="G1196" s="10"/>
      <c r="H1196" s="10"/>
      <c r="I1196" s="10"/>
      <c r="J1196" s="10"/>
      <c r="K1196" s="25"/>
      <c r="L1196" s="25"/>
      <c r="M1196" s="25" t="str">
        <f>IFERROR(VLOOKUP($C1196,$C$5:$M$24,11,0)+SUMIF($C$25:$C1196,$C1196,$K$25:$K1196)-SUMIF($C$25:$C1196,$C1196,$L$25:$L1196),"")</f>
        <v/>
      </c>
      <c r="N1196" s="10"/>
      <c r="O1196" s="10"/>
      <c r="P1196" s="65"/>
      <c r="Q1196" s="10"/>
      <c r="R1196" s="10"/>
      <c r="S1196" s="54" t="str">
        <f t="shared" si="60"/>
        <v/>
      </c>
      <c r="T1196" s="54" t="str">
        <f t="shared" si="61"/>
        <v/>
      </c>
      <c r="U1196" s="58" t="str">
        <f t="shared" si="62"/>
        <v/>
      </c>
      <c r="V1196" s="58">
        <f>IF(AND($B1196&lt;&gt;"",$F1196&lt;&gt;"",$F1196=项目明细账!$C$2),N(V1195)+1,N(V1195))</f>
        <v>0</v>
      </c>
      <c r="W1196" s="63" t="str">
        <f>IF($H1196&lt;&gt;"","项目成本",IFERROR(INDEX(基础资料!$W$4:$W$49,MATCH($I1196,基础资料!$V$4:$V$49,0)),""))</f>
        <v/>
      </c>
      <c r="X1196" s="63" t="str">
        <f>IFERROR(INDEX(基础资料!$R$4:$R$17,MATCH($G1196,基础资料!$Q$4:$Q$17,0)),"")</f>
        <v/>
      </c>
    </row>
    <row r="1197" spans="1:24">
      <c r="A1197" s="58" t="str">
        <f>IF($B1197="","",COUNTA($B$5:$B1197))</f>
        <v/>
      </c>
      <c r="B1197" s="53"/>
      <c r="C1197" s="46"/>
      <c r="D1197" s="63" t="str">
        <f>IFERROR(INDEX(基础资料!$F$4:$F$23,MATCH($C1197,基础资料!$E$4:$E$23,0)),IF($C1197="","","未匹配账户"))</f>
        <v/>
      </c>
      <c r="E1197" s="39"/>
      <c r="F1197" s="10"/>
      <c r="G1197" s="10"/>
      <c r="H1197" s="10"/>
      <c r="I1197" s="10"/>
      <c r="J1197" s="10"/>
      <c r="K1197" s="25"/>
      <c r="L1197" s="25"/>
      <c r="M1197" s="25" t="str">
        <f>IFERROR(VLOOKUP($C1197,$C$5:$M$24,11,0)+SUMIF($C$25:$C1197,$C1197,$K$25:$K1197)-SUMIF($C$25:$C1197,$C1197,$L$25:$L1197),"")</f>
        <v/>
      </c>
      <c r="N1197" s="10"/>
      <c r="O1197" s="10"/>
      <c r="P1197" s="65"/>
      <c r="Q1197" s="10"/>
      <c r="R1197" s="10"/>
      <c r="S1197" s="54" t="str">
        <f t="shared" si="60"/>
        <v/>
      </c>
      <c r="T1197" s="54" t="str">
        <f t="shared" si="61"/>
        <v/>
      </c>
      <c r="U1197" s="58" t="str">
        <f t="shared" si="62"/>
        <v/>
      </c>
      <c r="V1197" s="58">
        <f>IF(AND($B1197&lt;&gt;"",$F1197&lt;&gt;"",$F1197=项目明细账!$C$2),N(V1196)+1,N(V1196))</f>
        <v>0</v>
      </c>
      <c r="W1197" s="63" t="str">
        <f>IF($H1197&lt;&gt;"","项目成本",IFERROR(INDEX(基础资料!$W$4:$W$49,MATCH($I1197,基础资料!$V$4:$V$49,0)),""))</f>
        <v/>
      </c>
      <c r="X1197" s="63" t="str">
        <f>IFERROR(INDEX(基础资料!$R$4:$R$17,MATCH($G1197,基础资料!$Q$4:$Q$17,0)),"")</f>
        <v/>
      </c>
    </row>
    <row r="1198" spans="1:24">
      <c r="A1198" s="58" t="str">
        <f>IF($B1198="","",COUNTA($B$5:$B1198))</f>
        <v/>
      </c>
      <c r="B1198" s="53"/>
      <c r="C1198" s="46"/>
      <c r="D1198" s="63" t="str">
        <f>IFERROR(INDEX(基础资料!$F$4:$F$23,MATCH($C1198,基础资料!$E$4:$E$23,0)),IF($C1198="","","未匹配账户"))</f>
        <v/>
      </c>
      <c r="E1198" s="39"/>
      <c r="F1198" s="10"/>
      <c r="G1198" s="10"/>
      <c r="H1198" s="10"/>
      <c r="I1198" s="10"/>
      <c r="J1198" s="10"/>
      <c r="K1198" s="25"/>
      <c r="L1198" s="25"/>
      <c r="M1198" s="25" t="str">
        <f>IFERROR(VLOOKUP($C1198,$C$5:$M$24,11,0)+SUMIF($C$25:$C1198,$C1198,$K$25:$K1198)-SUMIF($C$25:$C1198,$C1198,$L$25:$L1198),"")</f>
        <v/>
      </c>
      <c r="N1198" s="10"/>
      <c r="O1198" s="10"/>
      <c r="P1198" s="65"/>
      <c r="Q1198" s="10"/>
      <c r="R1198" s="10"/>
      <c r="S1198" s="54" t="str">
        <f t="shared" si="60"/>
        <v/>
      </c>
      <c r="T1198" s="54" t="str">
        <f t="shared" si="61"/>
        <v/>
      </c>
      <c r="U1198" s="58" t="str">
        <f t="shared" si="62"/>
        <v/>
      </c>
      <c r="V1198" s="58">
        <f>IF(AND($B1198&lt;&gt;"",$F1198&lt;&gt;"",$F1198=项目明细账!$C$2),N(V1197)+1,N(V1197))</f>
        <v>0</v>
      </c>
      <c r="W1198" s="63" t="str">
        <f>IF($H1198&lt;&gt;"","项目成本",IFERROR(INDEX(基础资料!$W$4:$W$49,MATCH($I1198,基础资料!$V$4:$V$49,0)),""))</f>
        <v/>
      </c>
      <c r="X1198" s="63" t="str">
        <f>IFERROR(INDEX(基础资料!$R$4:$R$17,MATCH($G1198,基础资料!$Q$4:$Q$17,0)),"")</f>
        <v/>
      </c>
    </row>
    <row r="1199" spans="1:24">
      <c r="A1199" s="58" t="str">
        <f>IF($B1199="","",COUNTA($B$5:$B1199))</f>
        <v/>
      </c>
      <c r="B1199" s="53"/>
      <c r="C1199" s="46"/>
      <c r="D1199" s="63" t="str">
        <f>IFERROR(INDEX(基础资料!$F$4:$F$23,MATCH($C1199,基础资料!$E$4:$E$23,0)),IF($C1199="","","未匹配账户"))</f>
        <v/>
      </c>
      <c r="E1199" s="39"/>
      <c r="F1199" s="10"/>
      <c r="G1199" s="10"/>
      <c r="H1199" s="10"/>
      <c r="I1199" s="10"/>
      <c r="J1199" s="10"/>
      <c r="K1199" s="25"/>
      <c r="L1199" s="25"/>
      <c r="M1199" s="25" t="str">
        <f>IFERROR(VLOOKUP($C1199,$C$5:$M$24,11,0)+SUMIF($C$25:$C1199,$C1199,$K$25:$K1199)-SUMIF($C$25:$C1199,$C1199,$L$25:$L1199),"")</f>
        <v/>
      </c>
      <c r="N1199" s="10"/>
      <c r="O1199" s="10"/>
      <c r="P1199" s="65"/>
      <c r="Q1199" s="10"/>
      <c r="R1199" s="10"/>
      <c r="S1199" s="54" t="str">
        <f t="shared" si="60"/>
        <v/>
      </c>
      <c r="T1199" s="54" t="str">
        <f t="shared" si="61"/>
        <v/>
      </c>
      <c r="U1199" s="58" t="str">
        <f t="shared" si="62"/>
        <v/>
      </c>
      <c r="V1199" s="58">
        <f>IF(AND($B1199&lt;&gt;"",$F1199&lt;&gt;"",$F1199=项目明细账!$C$2),N(V1198)+1,N(V1198))</f>
        <v>0</v>
      </c>
      <c r="W1199" s="63" t="str">
        <f>IF($H1199&lt;&gt;"","项目成本",IFERROR(INDEX(基础资料!$W$4:$W$49,MATCH($I1199,基础资料!$V$4:$V$49,0)),""))</f>
        <v/>
      </c>
      <c r="X1199" s="63" t="str">
        <f>IFERROR(INDEX(基础资料!$R$4:$R$17,MATCH($G1199,基础资料!$Q$4:$Q$17,0)),"")</f>
        <v/>
      </c>
    </row>
    <row r="1200" spans="1:24">
      <c r="A1200" s="58" t="str">
        <f>IF($B1200="","",COUNTA($B$5:$B1200))</f>
        <v/>
      </c>
      <c r="B1200" s="53"/>
      <c r="C1200" s="46"/>
      <c r="D1200" s="63" t="str">
        <f>IFERROR(INDEX(基础资料!$F$4:$F$23,MATCH($C1200,基础资料!$E$4:$E$23,0)),IF($C1200="","","未匹配账户"))</f>
        <v/>
      </c>
      <c r="E1200" s="39"/>
      <c r="F1200" s="10"/>
      <c r="G1200" s="10"/>
      <c r="H1200" s="10"/>
      <c r="I1200" s="10"/>
      <c r="J1200" s="10"/>
      <c r="K1200" s="25"/>
      <c r="L1200" s="25"/>
      <c r="M1200" s="25" t="str">
        <f>IFERROR(VLOOKUP($C1200,$C$5:$M$24,11,0)+SUMIF($C$25:$C1200,$C1200,$K$25:$K1200)-SUMIF($C$25:$C1200,$C1200,$L$25:$L1200),"")</f>
        <v/>
      </c>
      <c r="N1200" s="10"/>
      <c r="O1200" s="10"/>
      <c r="P1200" s="65"/>
      <c r="Q1200" s="10"/>
      <c r="R1200" s="10"/>
      <c r="S1200" s="54" t="str">
        <f t="shared" si="60"/>
        <v/>
      </c>
      <c r="T1200" s="54" t="str">
        <f t="shared" si="61"/>
        <v/>
      </c>
      <c r="U1200" s="58" t="str">
        <f t="shared" si="62"/>
        <v/>
      </c>
      <c r="V1200" s="58">
        <f>IF(AND($B1200&lt;&gt;"",$F1200&lt;&gt;"",$F1200=项目明细账!$C$2),N(V1199)+1,N(V1199))</f>
        <v>0</v>
      </c>
      <c r="W1200" s="63" t="str">
        <f>IF($H1200&lt;&gt;"","项目成本",IFERROR(INDEX(基础资料!$W$4:$W$49,MATCH($I1200,基础资料!$V$4:$V$49,0)),""))</f>
        <v/>
      </c>
      <c r="X1200" s="63" t="str">
        <f>IFERROR(INDEX(基础资料!$R$4:$R$17,MATCH($G1200,基础资料!$Q$4:$Q$17,0)),"")</f>
        <v/>
      </c>
    </row>
    <row r="1201" spans="1:24">
      <c r="A1201" s="58" t="str">
        <f>IF($B1201="","",COUNTA($B$5:$B1201))</f>
        <v/>
      </c>
      <c r="B1201" s="53"/>
      <c r="C1201" s="46"/>
      <c r="D1201" s="63" t="str">
        <f>IFERROR(INDEX(基础资料!$F$4:$F$23,MATCH($C1201,基础资料!$E$4:$E$23,0)),IF($C1201="","","未匹配账户"))</f>
        <v/>
      </c>
      <c r="E1201" s="39"/>
      <c r="F1201" s="10"/>
      <c r="G1201" s="10"/>
      <c r="H1201" s="10"/>
      <c r="I1201" s="10"/>
      <c r="J1201" s="10"/>
      <c r="K1201" s="25"/>
      <c r="L1201" s="25"/>
      <c r="M1201" s="25" t="str">
        <f>IFERROR(VLOOKUP($C1201,$C$5:$M$24,11,0)+SUMIF($C$25:$C1201,$C1201,$K$25:$K1201)-SUMIF($C$25:$C1201,$C1201,$L$25:$L1201),"")</f>
        <v/>
      </c>
      <c r="N1201" s="10"/>
      <c r="O1201" s="10"/>
      <c r="P1201" s="65"/>
      <c r="Q1201" s="10"/>
      <c r="R1201" s="10"/>
      <c r="S1201" s="54" t="str">
        <f t="shared" si="60"/>
        <v/>
      </c>
      <c r="T1201" s="54" t="str">
        <f t="shared" si="61"/>
        <v/>
      </c>
      <c r="U1201" s="58" t="str">
        <f t="shared" si="62"/>
        <v/>
      </c>
      <c r="V1201" s="58">
        <f>IF(AND($B1201&lt;&gt;"",$F1201&lt;&gt;"",$F1201=项目明细账!$C$2),N(V1200)+1,N(V1200))</f>
        <v>0</v>
      </c>
      <c r="W1201" s="63" t="str">
        <f>IF($H1201&lt;&gt;"","项目成本",IFERROR(INDEX(基础资料!$W$4:$W$49,MATCH($I1201,基础资料!$V$4:$V$49,0)),""))</f>
        <v/>
      </c>
      <c r="X1201" s="63" t="str">
        <f>IFERROR(INDEX(基础资料!$R$4:$R$17,MATCH($G1201,基础资料!$Q$4:$Q$17,0)),"")</f>
        <v/>
      </c>
    </row>
    <row r="1202" spans="1:24">
      <c r="A1202" s="58" t="str">
        <f>IF($B1202="","",COUNTA($B$5:$B1202))</f>
        <v/>
      </c>
      <c r="B1202" s="53"/>
      <c r="C1202" s="46"/>
      <c r="D1202" s="63" t="str">
        <f>IFERROR(INDEX(基础资料!$F$4:$F$23,MATCH($C1202,基础资料!$E$4:$E$23,0)),IF($C1202="","","未匹配账户"))</f>
        <v/>
      </c>
      <c r="E1202" s="39"/>
      <c r="F1202" s="10"/>
      <c r="G1202" s="10"/>
      <c r="H1202" s="10"/>
      <c r="I1202" s="10"/>
      <c r="J1202" s="10"/>
      <c r="K1202" s="25"/>
      <c r="L1202" s="25"/>
      <c r="M1202" s="25" t="str">
        <f>IFERROR(VLOOKUP($C1202,$C$5:$M$24,11,0)+SUMIF($C$25:$C1202,$C1202,$K$25:$K1202)-SUMIF($C$25:$C1202,$C1202,$L$25:$L1202),"")</f>
        <v/>
      </c>
      <c r="N1202" s="10"/>
      <c r="O1202" s="10"/>
      <c r="P1202" s="65"/>
      <c r="Q1202" s="10"/>
      <c r="R1202" s="10"/>
      <c r="S1202" s="54" t="str">
        <f t="shared" si="60"/>
        <v/>
      </c>
      <c r="T1202" s="54" t="str">
        <f t="shared" si="61"/>
        <v/>
      </c>
      <c r="U1202" s="58" t="str">
        <f t="shared" si="62"/>
        <v/>
      </c>
      <c r="V1202" s="58">
        <f>IF(AND($B1202&lt;&gt;"",$F1202&lt;&gt;"",$F1202=项目明细账!$C$2),N(V1201)+1,N(V1201))</f>
        <v>0</v>
      </c>
      <c r="W1202" s="63" t="str">
        <f>IF($H1202&lt;&gt;"","项目成本",IFERROR(INDEX(基础资料!$W$4:$W$49,MATCH($I1202,基础资料!$V$4:$V$49,0)),""))</f>
        <v/>
      </c>
      <c r="X1202" s="63" t="str">
        <f>IFERROR(INDEX(基础资料!$R$4:$R$17,MATCH($G1202,基础资料!$Q$4:$Q$17,0)),"")</f>
        <v/>
      </c>
    </row>
    <row r="1203" spans="1:24">
      <c r="A1203" s="58" t="str">
        <f>IF($B1203="","",COUNTA($B$5:$B1203))</f>
        <v/>
      </c>
      <c r="B1203" s="53"/>
      <c r="C1203" s="46"/>
      <c r="D1203" s="63" t="str">
        <f>IFERROR(INDEX(基础资料!$F$4:$F$23,MATCH($C1203,基础资料!$E$4:$E$23,0)),IF($C1203="","","未匹配账户"))</f>
        <v/>
      </c>
      <c r="E1203" s="39"/>
      <c r="F1203" s="10"/>
      <c r="G1203" s="10"/>
      <c r="H1203" s="10"/>
      <c r="I1203" s="10"/>
      <c r="J1203" s="10"/>
      <c r="K1203" s="25"/>
      <c r="L1203" s="25"/>
      <c r="M1203" s="25" t="str">
        <f>IFERROR(VLOOKUP($C1203,$C$5:$M$24,11,0)+SUMIF($C$25:$C1203,$C1203,$K$25:$K1203)-SUMIF($C$25:$C1203,$C1203,$L$25:$L1203),"")</f>
        <v/>
      </c>
      <c r="N1203" s="10"/>
      <c r="O1203" s="10"/>
      <c r="P1203" s="65"/>
      <c r="Q1203" s="10"/>
      <c r="R1203" s="10"/>
      <c r="S1203" s="54" t="str">
        <f t="shared" si="60"/>
        <v/>
      </c>
      <c r="T1203" s="54" t="str">
        <f t="shared" si="61"/>
        <v/>
      </c>
      <c r="U1203" s="58" t="str">
        <f t="shared" si="62"/>
        <v/>
      </c>
      <c r="V1203" s="58">
        <f>IF(AND($B1203&lt;&gt;"",$F1203&lt;&gt;"",$F1203=项目明细账!$C$2),N(V1202)+1,N(V1202))</f>
        <v>0</v>
      </c>
      <c r="W1203" s="63" t="str">
        <f>IF($H1203&lt;&gt;"","项目成本",IFERROR(INDEX(基础资料!$W$4:$W$49,MATCH($I1203,基础资料!$V$4:$V$49,0)),""))</f>
        <v/>
      </c>
      <c r="X1203" s="63" t="str">
        <f>IFERROR(INDEX(基础资料!$R$4:$R$17,MATCH($G1203,基础资料!$Q$4:$Q$17,0)),"")</f>
        <v/>
      </c>
    </row>
    <row r="1204" spans="1:24">
      <c r="A1204" s="58" t="str">
        <f>IF($B1204="","",COUNTA($B$5:$B1204))</f>
        <v/>
      </c>
      <c r="B1204" s="53"/>
      <c r="C1204" s="46"/>
      <c r="D1204" s="63" t="str">
        <f>IFERROR(INDEX(基础资料!$F$4:$F$23,MATCH($C1204,基础资料!$E$4:$E$23,0)),IF($C1204="","","未匹配账户"))</f>
        <v/>
      </c>
      <c r="E1204" s="39"/>
      <c r="F1204" s="10"/>
      <c r="G1204" s="10"/>
      <c r="H1204" s="10"/>
      <c r="I1204" s="10"/>
      <c r="J1204" s="10"/>
      <c r="K1204" s="25"/>
      <c r="L1204" s="25"/>
      <c r="M1204" s="25" t="str">
        <f>IFERROR(VLOOKUP($C1204,$C$5:$M$24,11,0)+SUMIF($C$25:$C1204,$C1204,$K$25:$K1204)-SUMIF($C$25:$C1204,$C1204,$L$25:$L1204),"")</f>
        <v/>
      </c>
      <c r="N1204" s="10"/>
      <c r="O1204" s="10"/>
      <c r="P1204" s="65"/>
      <c r="Q1204" s="10"/>
      <c r="R1204" s="10"/>
      <c r="S1204" s="54" t="str">
        <f t="shared" si="60"/>
        <v/>
      </c>
      <c r="T1204" s="54" t="str">
        <f t="shared" si="61"/>
        <v/>
      </c>
      <c r="U1204" s="58" t="str">
        <f t="shared" si="62"/>
        <v/>
      </c>
      <c r="V1204" s="58">
        <f>IF(AND($B1204&lt;&gt;"",$F1204&lt;&gt;"",$F1204=项目明细账!$C$2),N(V1203)+1,N(V1203))</f>
        <v>0</v>
      </c>
      <c r="W1204" s="63" t="str">
        <f>IF($H1204&lt;&gt;"","项目成本",IFERROR(INDEX(基础资料!$W$4:$W$49,MATCH($I1204,基础资料!$V$4:$V$49,0)),""))</f>
        <v/>
      </c>
      <c r="X1204" s="63" t="str">
        <f>IFERROR(INDEX(基础资料!$R$4:$R$17,MATCH($G1204,基础资料!$Q$4:$Q$17,0)),"")</f>
        <v/>
      </c>
    </row>
    <row r="1205" spans="1:24">
      <c r="A1205" s="58" t="str">
        <f>IF($B1205="","",COUNTA($B$5:$B1205))</f>
        <v/>
      </c>
      <c r="B1205" s="53"/>
      <c r="C1205" s="46"/>
      <c r="D1205" s="63" t="str">
        <f>IFERROR(INDEX(基础资料!$F$4:$F$23,MATCH($C1205,基础资料!$E$4:$E$23,0)),IF($C1205="","","未匹配账户"))</f>
        <v/>
      </c>
      <c r="E1205" s="39"/>
      <c r="F1205" s="10"/>
      <c r="G1205" s="10"/>
      <c r="H1205" s="10"/>
      <c r="I1205" s="10"/>
      <c r="J1205" s="10"/>
      <c r="K1205" s="25"/>
      <c r="L1205" s="25"/>
      <c r="M1205" s="25" t="str">
        <f>IFERROR(VLOOKUP($C1205,$C$5:$M$24,11,0)+SUMIF($C$25:$C1205,$C1205,$K$25:$K1205)-SUMIF($C$25:$C1205,$C1205,$L$25:$L1205),"")</f>
        <v/>
      </c>
      <c r="N1205" s="10"/>
      <c r="O1205" s="10"/>
      <c r="P1205" s="65"/>
      <c r="Q1205" s="10"/>
      <c r="R1205" s="10"/>
      <c r="S1205" s="54" t="str">
        <f t="shared" si="60"/>
        <v/>
      </c>
      <c r="T1205" s="54" t="str">
        <f t="shared" si="61"/>
        <v/>
      </c>
      <c r="U1205" s="58" t="str">
        <f t="shared" si="62"/>
        <v/>
      </c>
      <c r="V1205" s="58">
        <f>IF(AND($B1205&lt;&gt;"",$F1205&lt;&gt;"",$F1205=项目明细账!$C$2),N(V1204)+1,N(V1204))</f>
        <v>0</v>
      </c>
      <c r="W1205" s="63" t="str">
        <f>IF($H1205&lt;&gt;"","项目成本",IFERROR(INDEX(基础资料!$W$4:$W$49,MATCH($I1205,基础资料!$V$4:$V$49,0)),""))</f>
        <v/>
      </c>
      <c r="X1205" s="63" t="str">
        <f>IFERROR(INDEX(基础资料!$R$4:$R$17,MATCH($G1205,基础资料!$Q$4:$Q$17,0)),"")</f>
        <v/>
      </c>
    </row>
    <row r="1206" spans="1:24">
      <c r="A1206" s="58" t="str">
        <f>IF($B1206="","",COUNTA($B$5:$B1206))</f>
        <v/>
      </c>
      <c r="B1206" s="53"/>
      <c r="C1206" s="46"/>
      <c r="D1206" s="63" t="str">
        <f>IFERROR(INDEX(基础资料!$F$4:$F$23,MATCH($C1206,基础资料!$E$4:$E$23,0)),IF($C1206="","","未匹配账户"))</f>
        <v/>
      </c>
      <c r="E1206" s="39"/>
      <c r="F1206" s="10"/>
      <c r="G1206" s="10"/>
      <c r="H1206" s="10"/>
      <c r="I1206" s="10"/>
      <c r="J1206" s="10"/>
      <c r="K1206" s="25"/>
      <c r="L1206" s="25"/>
      <c r="M1206" s="25" t="str">
        <f>IFERROR(VLOOKUP($C1206,$C$5:$M$24,11,0)+SUMIF($C$25:$C1206,$C1206,$K$25:$K1206)-SUMIF($C$25:$C1206,$C1206,$L$25:$L1206),"")</f>
        <v/>
      </c>
      <c r="N1206" s="10"/>
      <c r="O1206" s="10"/>
      <c r="P1206" s="65"/>
      <c r="Q1206" s="10"/>
      <c r="R1206" s="10"/>
      <c r="S1206" s="54" t="str">
        <f t="shared" si="60"/>
        <v/>
      </c>
      <c r="T1206" s="54" t="str">
        <f t="shared" si="61"/>
        <v/>
      </c>
      <c r="U1206" s="58" t="str">
        <f t="shared" si="62"/>
        <v/>
      </c>
      <c r="V1206" s="58">
        <f>IF(AND($B1206&lt;&gt;"",$F1206&lt;&gt;"",$F1206=项目明细账!$C$2),N(V1205)+1,N(V1205))</f>
        <v>0</v>
      </c>
      <c r="W1206" s="63" t="str">
        <f>IF($H1206&lt;&gt;"","项目成本",IFERROR(INDEX(基础资料!$W$4:$W$49,MATCH($I1206,基础资料!$V$4:$V$49,0)),""))</f>
        <v/>
      </c>
      <c r="X1206" s="63" t="str">
        <f>IFERROR(INDEX(基础资料!$R$4:$R$17,MATCH($G1206,基础资料!$Q$4:$Q$17,0)),"")</f>
        <v/>
      </c>
    </row>
    <row r="1207" spans="1:24">
      <c r="A1207" s="58" t="str">
        <f>IF($B1207="","",COUNTA($B$5:$B1207))</f>
        <v/>
      </c>
      <c r="B1207" s="53"/>
      <c r="C1207" s="46"/>
      <c r="D1207" s="63" t="str">
        <f>IFERROR(INDEX(基础资料!$F$4:$F$23,MATCH($C1207,基础资料!$E$4:$E$23,0)),IF($C1207="","","未匹配账户"))</f>
        <v/>
      </c>
      <c r="E1207" s="39"/>
      <c r="F1207" s="10"/>
      <c r="G1207" s="10"/>
      <c r="H1207" s="10"/>
      <c r="I1207" s="10"/>
      <c r="J1207" s="10"/>
      <c r="K1207" s="25"/>
      <c r="L1207" s="25"/>
      <c r="M1207" s="25" t="str">
        <f>IFERROR(VLOOKUP($C1207,$C$5:$M$24,11,0)+SUMIF($C$25:$C1207,$C1207,$K$25:$K1207)-SUMIF($C$25:$C1207,$C1207,$L$25:$L1207),"")</f>
        <v/>
      </c>
      <c r="N1207" s="10"/>
      <c r="O1207" s="10"/>
      <c r="P1207" s="65"/>
      <c r="Q1207" s="10"/>
      <c r="R1207" s="10"/>
      <c r="S1207" s="54" t="str">
        <f t="shared" si="60"/>
        <v/>
      </c>
      <c r="T1207" s="54" t="str">
        <f t="shared" si="61"/>
        <v/>
      </c>
      <c r="U1207" s="58" t="str">
        <f t="shared" si="62"/>
        <v/>
      </c>
      <c r="V1207" s="58">
        <f>IF(AND($B1207&lt;&gt;"",$F1207&lt;&gt;"",$F1207=项目明细账!$C$2),N(V1206)+1,N(V1206))</f>
        <v>0</v>
      </c>
      <c r="W1207" s="63" t="str">
        <f>IF($H1207&lt;&gt;"","项目成本",IFERROR(INDEX(基础资料!$W$4:$W$49,MATCH($I1207,基础资料!$V$4:$V$49,0)),""))</f>
        <v/>
      </c>
      <c r="X1207" s="63" t="str">
        <f>IFERROR(INDEX(基础资料!$R$4:$R$17,MATCH($G1207,基础资料!$Q$4:$Q$17,0)),"")</f>
        <v/>
      </c>
    </row>
    <row r="1208" spans="1:24">
      <c r="A1208" s="58" t="str">
        <f>IF($B1208="","",COUNTA($B$5:$B1208))</f>
        <v/>
      </c>
      <c r="B1208" s="53"/>
      <c r="C1208" s="46"/>
      <c r="D1208" s="63" t="str">
        <f>IFERROR(INDEX(基础资料!$F$4:$F$23,MATCH($C1208,基础资料!$E$4:$E$23,0)),IF($C1208="","","未匹配账户"))</f>
        <v/>
      </c>
      <c r="E1208" s="39"/>
      <c r="F1208" s="10"/>
      <c r="G1208" s="10"/>
      <c r="H1208" s="10"/>
      <c r="I1208" s="10"/>
      <c r="J1208" s="10"/>
      <c r="K1208" s="25"/>
      <c r="L1208" s="25"/>
      <c r="M1208" s="25" t="str">
        <f>IFERROR(VLOOKUP($C1208,$C$5:$M$24,11,0)+SUMIF($C$25:$C1208,$C1208,$K$25:$K1208)-SUMIF($C$25:$C1208,$C1208,$L$25:$L1208),"")</f>
        <v/>
      </c>
      <c r="N1208" s="10"/>
      <c r="O1208" s="10"/>
      <c r="P1208" s="65"/>
      <c r="Q1208" s="10"/>
      <c r="R1208" s="10"/>
      <c r="S1208" s="54" t="str">
        <f t="shared" si="60"/>
        <v/>
      </c>
      <c r="T1208" s="54" t="str">
        <f t="shared" si="61"/>
        <v/>
      </c>
      <c r="U1208" s="58" t="str">
        <f t="shared" si="62"/>
        <v/>
      </c>
      <c r="V1208" s="58">
        <f>IF(AND($B1208&lt;&gt;"",$F1208&lt;&gt;"",$F1208=项目明细账!$C$2),N(V1207)+1,N(V1207))</f>
        <v>0</v>
      </c>
      <c r="W1208" s="63" t="str">
        <f>IF($H1208&lt;&gt;"","项目成本",IFERROR(INDEX(基础资料!$W$4:$W$49,MATCH($I1208,基础资料!$V$4:$V$49,0)),""))</f>
        <v/>
      </c>
      <c r="X1208" s="63" t="str">
        <f>IFERROR(INDEX(基础资料!$R$4:$R$17,MATCH($G1208,基础资料!$Q$4:$Q$17,0)),"")</f>
        <v/>
      </c>
    </row>
    <row r="1209" spans="1:24">
      <c r="A1209" s="58" t="str">
        <f>IF($B1209="","",COUNTA($B$5:$B1209))</f>
        <v/>
      </c>
      <c r="B1209" s="53"/>
      <c r="C1209" s="46"/>
      <c r="D1209" s="63" t="str">
        <f>IFERROR(INDEX(基础资料!$F$4:$F$23,MATCH($C1209,基础资料!$E$4:$E$23,0)),IF($C1209="","","未匹配账户"))</f>
        <v/>
      </c>
      <c r="E1209" s="39"/>
      <c r="F1209" s="10"/>
      <c r="G1209" s="10"/>
      <c r="H1209" s="10"/>
      <c r="I1209" s="10"/>
      <c r="J1209" s="10"/>
      <c r="K1209" s="25"/>
      <c r="L1209" s="25"/>
      <c r="M1209" s="25" t="str">
        <f>IFERROR(VLOOKUP($C1209,$C$5:$M$24,11,0)+SUMIF($C$25:$C1209,$C1209,$K$25:$K1209)-SUMIF($C$25:$C1209,$C1209,$L$25:$L1209),"")</f>
        <v/>
      </c>
      <c r="N1209" s="10"/>
      <c r="O1209" s="10"/>
      <c r="P1209" s="65"/>
      <c r="Q1209" s="10"/>
      <c r="R1209" s="10"/>
      <c r="S1209" s="54" t="str">
        <f t="shared" si="60"/>
        <v/>
      </c>
      <c r="T1209" s="54" t="str">
        <f t="shared" si="61"/>
        <v/>
      </c>
      <c r="U1209" s="58" t="str">
        <f t="shared" si="62"/>
        <v/>
      </c>
      <c r="V1209" s="58">
        <f>IF(AND($B1209&lt;&gt;"",$F1209&lt;&gt;"",$F1209=项目明细账!$C$2),N(V1208)+1,N(V1208))</f>
        <v>0</v>
      </c>
      <c r="W1209" s="63" t="str">
        <f>IF($H1209&lt;&gt;"","项目成本",IFERROR(INDEX(基础资料!$W$4:$W$49,MATCH($I1209,基础资料!$V$4:$V$49,0)),""))</f>
        <v/>
      </c>
      <c r="X1209" s="63" t="str">
        <f>IFERROR(INDEX(基础资料!$R$4:$R$17,MATCH($G1209,基础资料!$Q$4:$Q$17,0)),"")</f>
        <v/>
      </c>
    </row>
    <row r="1210" spans="1:24">
      <c r="A1210" s="58" t="str">
        <f>IF($B1210="","",COUNTA($B$5:$B1210))</f>
        <v/>
      </c>
      <c r="B1210" s="53"/>
      <c r="C1210" s="46"/>
      <c r="D1210" s="63" t="str">
        <f>IFERROR(INDEX(基础资料!$F$4:$F$23,MATCH($C1210,基础资料!$E$4:$E$23,0)),IF($C1210="","","未匹配账户"))</f>
        <v/>
      </c>
      <c r="E1210" s="39"/>
      <c r="F1210" s="10"/>
      <c r="G1210" s="10"/>
      <c r="H1210" s="10"/>
      <c r="I1210" s="10"/>
      <c r="J1210" s="10"/>
      <c r="K1210" s="25"/>
      <c r="L1210" s="25"/>
      <c r="M1210" s="25" t="str">
        <f>IFERROR(VLOOKUP($C1210,$C$5:$M$24,11,0)+SUMIF($C$25:$C1210,$C1210,$K$25:$K1210)-SUMIF($C$25:$C1210,$C1210,$L$25:$L1210),"")</f>
        <v/>
      </c>
      <c r="N1210" s="10"/>
      <c r="O1210" s="10"/>
      <c r="P1210" s="65"/>
      <c r="Q1210" s="10"/>
      <c r="R1210" s="10"/>
      <c r="S1210" s="54" t="str">
        <f t="shared" si="60"/>
        <v/>
      </c>
      <c r="T1210" s="54" t="str">
        <f t="shared" si="61"/>
        <v/>
      </c>
      <c r="U1210" s="58" t="str">
        <f t="shared" si="62"/>
        <v/>
      </c>
      <c r="V1210" s="58">
        <f>IF(AND($B1210&lt;&gt;"",$F1210&lt;&gt;"",$F1210=项目明细账!$C$2),N(V1209)+1,N(V1209))</f>
        <v>0</v>
      </c>
      <c r="W1210" s="63" t="str">
        <f>IF($H1210&lt;&gt;"","项目成本",IFERROR(INDEX(基础资料!$W$4:$W$49,MATCH($I1210,基础资料!$V$4:$V$49,0)),""))</f>
        <v/>
      </c>
      <c r="X1210" s="63" t="str">
        <f>IFERROR(INDEX(基础资料!$R$4:$R$17,MATCH($G1210,基础资料!$Q$4:$Q$17,0)),"")</f>
        <v/>
      </c>
    </row>
    <row r="1211" spans="1:24">
      <c r="A1211" s="58" t="str">
        <f>IF($B1211="","",COUNTA($B$5:$B1211))</f>
        <v/>
      </c>
      <c r="B1211" s="53"/>
      <c r="C1211" s="46"/>
      <c r="D1211" s="63" t="str">
        <f>IFERROR(INDEX(基础资料!$F$4:$F$23,MATCH($C1211,基础资料!$E$4:$E$23,0)),IF($C1211="","","未匹配账户"))</f>
        <v/>
      </c>
      <c r="E1211" s="39"/>
      <c r="F1211" s="10"/>
      <c r="G1211" s="10"/>
      <c r="H1211" s="10"/>
      <c r="I1211" s="10"/>
      <c r="J1211" s="10"/>
      <c r="K1211" s="25"/>
      <c r="L1211" s="25"/>
      <c r="M1211" s="25" t="str">
        <f>IFERROR(VLOOKUP($C1211,$C$5:$M$24,11,0)+SUMIF($C$25:$C1211,$C1211,$K$25:$K1211)-SUMIF($C$25:$C1211,$C1211,$L$25:$L1211),"")</f>
        <v/>
      </c>
      <c r="N1211" s="10"/>
      <c r="O1211" s="10"/>
      <c r="P1211" s="65"/>
      <c r="Q1211" s="10"/>
      <c r="R1211" s="10"/>
      <c r="S1211" s="54" t="str">
        <f t="shared" si="60"/>
        <v/>
      </c>
      <c r="T1211" s="54" t="str">
        <f t="shared" si="61"/>
        <v/>
      </c>
      <c r="U1211" s="58" t="str">
        <f t="shared" si="62"/>
        <v/>
      </c>
      <c r="V1211" s="58">
        <f>IF(AND($B1211&lt;&gt;"",$F1211&lt;&gt;"",$F1211=项目明细账!$C$2),N(V1210)+1,N(V1210))</f>
        <v>0</v>
      </c>
      <c r="W1211" s="63" t="str">
        <f>IF($H1211&lt;&gt;"","项目成本",IFERROR(INDEX(基础资料!$W$4:$W$49,MATCH($I1211,基础资料!$V$4:$V$49,0)),""))</f>
        <v/>
      </c>
      <c r="X1211" s="63" t="str">
        <f>IFERROR(INDEX(基础资料!$R$4:$R$17,MATCH($G1211,基础资料!$Q$4:$Q$17,0)),"")</f>
        <v/>
      </c>
    </row>
    <row r="1212" spans="1:24">
      <c r="A1212" s="58" t="str">
        <f>IF($B1212="","",COUNTA($B$5:$B1212))</f>
        <v/>
      </c>
      <c r="B1212" s="53"/>
      <c r="C1212" s="46"/>
      <c r="D1212" s="63" t="str">
        <f>IFERROR(INDEX(基础资料!$F$4:$F$23,MATCH($C1212,基础资料!$E$4:$E$23,0)),IF($C1212="","","未匹配账户"))</f>
        <v/>
      </c>
      <c r="E1212" s="39"/>
      <c r="F1212" s="10"/>
      <c r="G1212" s="10"/>
      <c r="H1212" s="10"/>
      <c r="I1212" s="10"/>
      <c r="J1212" s="10"/>
      <c r="K1212" s="25"/>
      <c r="L1212" s="25"/>
      <c r="M1212" s="25" t="str">
        <f>IFERROR(VLOOKUP($C1212,$C$5:$M$24,11,0)+SUMIF($C$25:$C1212,$C1212,$K$25:$K1212)-SUMIF($C$25:$C1212,$C1212,$L$25:$L1212),"")</f>
        <v/>
      </c>
      <c r="N1212" s="10"/>
      <c r="O1212" s="10"/>
      <c r="P1212" s="65"/>
      <c r="Q1212" s="10"/>
      <c r="R1212" s="10"/>
      <c r="S1212" s="54" t="str">
        <f t="shared" si="60"/>
        <v/>
      </c>
      <c r="T1212" s="54" t="str">
        <f t="shared" si="61"/>
        <v/>
      </c>
      <c r="U1212" s="58" t="str">
        <f t="shared" si="62"/>
        <v/>
      </c>
      <c r="V1212" s="58">
        <f>IF(AND($B1212&lt;&gt;"",$F1212&lt;&gt;"",$F1212=项目明细账!$C$2),N(V1211)+1,N(V1211))</f>
        <v>0</v>
      </c>
      <c r="W1212" s="63" t="str">
        <f>IF($H1212&lt;&gt;"","项目成本",IFERROR(INDEX(基础资料!$W$4:$W$49,MATCH($I1212,基础资料!$V$4:$V$49,0)),""))</f>
        <v/>
      </c>
      <c r="X1212" s="63" t="str">
        <f>IFERROR(INDEX(基础资料!$R$4:$R$17,MATCH($G1212,基础资料!$Q$4:$Q$17,0)),"")</f>
        <v/>
      </c>
    </row>
    <row r="1213" spans="1:24">
      <c r="A1213" s="58" t="str">
        <f>IF($B1213="","",COUNTA($B$5:$B1213))</f>
        <v/>
      </c>
      <c r="B1213" s="53"/>
      <c r="C1213" s="46"/>
      <c r="D1213" s="63" t="str">
        <f>IFERROR(INDEX(基础资料!$F$4:$F$23,MATCH($C1213,基础资料!$E$4:$E$23,0)),IF($C1213="","","未匹配账户"))</f>
        <v/>
      </c>
      <c r="E1213" s="39"/>
      <c r="F1213" s="10"/>
      <c r="G1213" s="10"/>
      <c r="H1213" s="10"/>
      <c r="I1213" s="10"/>
      <c r="J1213" s="10"/>
      <c r="K1213" s="25"/>
      <c r="L1213" s="25"/>
      <c r="M1213" s="25" t="str">
        <f>IFERROR(VLOOKUP($C1213,$C$5:$M$24,11,0)+SUMIF($C$25:$C1213,$C1213,$K$25:$K1213)-SUMIF($C$25:$C1213,$C1213,$L$25:$L1213),"")</f>
        <v/>
      </c>
      <c r="N1213" s="10"/>
      <c r="O1213" s="10"/>
      <c r="P1213" s="65"/>
      <c r="Q1213" s="10"/>
      <c r="R1213" s="10"/>
      <c r="S1213" s="54" t="str">
        <f t="shared" si="60"/>
        <v/>
      </c>
      <c r="T1213" s="54" t="str">
        <f t="shared" si="61"/>
        <v/>
      </c>
      <c r="U1213" s="58" t="str">
        <f t="shared" si="62"/>
        <v/>
      </c>
      <c r="V1213" s="58">
        <f>IF(AND($B1213&lt;&gt;"",$F1213&lt;&gt;"",$F1213=项目明细账!$C$2),N(V1212)+1,N(V1212))</f>
        <v>0</v>
      </c>
      <c r="W1213" s="63" t="str">
        <f>IF($H1213&lt;&gt;"","项目成本",IFERROR(INDEX(基础资料!$W$4:$W$49,MATCH($I1213,基础资料!$V$4:$V$49,0)),""))</f>
        <v/>
      </c>
      <c r="X1213" s="63" t="str">
        <f>IFERROR(INDEX(基础资料!$R$4:$R$17,MATCH($G1213,基础资料!$Q$4:$Q$17,0)),"")</f>
        <v/>
      </c>
    </row>
    <row r="1214" spans="1:24">
      <c r="A1214" s="58" t="str">
        <f>IF($B1214="","",COUNTA($B$5:$B1214))</f>
        <v/>
      </c>
      <c r="B1214" s="53"/>
      <c r="C1214" s="46"/>
      <c r="D1214" s="63" t="str">
        <f>IFERROR(INDEX(基础资料!$F$4:$F$23,MATCH($C1214,基础资料!$E$4:$E$23,0)),IF($C1214="","","未匹配账户"))</f>
        <v/>
      </c>
      <c r="E1214" s="39"/>
      <c r="F1214" s="10"/>
      <c r="G1214" s="10"/>
      <c r="H1214" s="10"/>
      <c r="I1214" s="10"/>
      <c r="J1214" s="10"/>
      <c r="K1214" s="25"/>
      <c r="L1214" s="25"/>
      <c r="M1214" s="25" t="str">
        <f>IFERROR(VLOOKUP($C1214,$C$5:$M$24,11,0)+SUMIF($C$25:$C1214,$C1214,$K$25:$K1214)-SUMIF($C$25:$C1214,$C1214,$L$25:$L1214),"")</f>
        <v/>
      </c>
      <c r="N1214" s="10"/>
      <c r="O1214" s="10"/>
      <c r="P1214" s="65"/>
      <c r="Q1214" s="10"/>
      <c r="R1214" s="10"/>
      <c r="S1214" s="54" t="str">
        <f t="shared" si="60"/>
        <v/>
      </c>
      <c r="T1214" s="54" t="str">
        <f t="shared" si="61"/>
        <v/>
      </c>
      <c r="U1214" s="58" t="str">
        <f t="shared" si="62"/>
        <v/>
      </c>
      <c r="V1214" s="58">
        <f>IF(AND($B1214&lt;&gt;"",$F1214&lt;&gt;"",$F1214=项目明细账!$C$2),N(V1213)+1,N(V1213))</f>
        <v>0</v>
      </c>
      <c r="W1214" s="63" t="str">
        <f>IF($H1214&lt;&gt;"","项目成本",IFERROR(INDEX(基础资料!$W$4:$W$49,MATCH($I1214,基础资料!$V$4:$V$49,0)),""))</f>
        <v/>
      </c>
      <c r="X1214" s="63" t="str">
        <f>IFERROR(INDEX(基础资料!$R$4:$R$17,MATCH($G1214,基础资料!$Q$4:$Q$17,0)),"")</f>
        <v/>
      </c>
    </row>
    <row r="1215" spans="1:24">
      <c r="A1215" s="58" t="str">
        <f>IF($B1215="","",COUNTA($B$5:$B1215))</f>
        <v/>
      </c>
      <c r="B1215" s="53"/>
      <c r="C1215" s="46"/>
      <c r="D1215" s="63" t="str">
        <f>IFERROR(INDEX(基础资料!$F$4:$F$23,MATCH($C1215,基础资料!$E$4:$E$23,0)),IF($C1215="","","未匹配账户"))</f>
        <v/>
      </c>
      <c r="E1215" s="39"/>
      <c r="F1215" s="10"/>
      <c r="G1215" s="10"/>
      <c r="H1215" s="10"/>
      <c r="I1215" s="10"/>
      <c r="J1215" s="10"/>
      <c r="K1215" s="25"/>
      <c r="L1215" s="25"/>
      <c r="M1215" s="25" t="str">
        <f>IFERROR(VLOOKUP($C1215,$C$5:$M$24,11,0)+SUMIF($C$25:$C1215,$C1215,$K$25:$K1215)-SUMIF($C$25:$C1215,$C1215,$L$25:$L1215),"")</f>
        <v/>
      </c>
      <c r="N1215" s="10"/>
      <c r="O1215" s="10"/>
      <c r="P1215" s="65"/>
      <c r="Q1215" s="10"/>
      <c r="R1215" s="10"/>
      <c r="S1215" s="54" t="str">
        <f t="shared" si="60"/>
        <v/>
      </c>
      <c r="T1215" s="54" t="str">
        <f t="shared" si="61"/>
        <v/>
      </c>
      <c r="U1215" s="58" t="str">
        <f t="shared" si="62"/>
        <v/>
      </c>
      <c r="V1215" s="58">
        <f>IF(AND($B1215&lt;&gt;"",$F1215&lt;&gt;"",$F1215=项目明细账!$C$2),N(V1214)+1,N(V1214))</f>
        <v>0</v>
      </c>
      <c r="W1215" s="63" t="str">
        <f>IF($H1215&lt;&gt;"","项目成本",IFERROR(INDEX(基础资料!$W$4:$W$49,MATCH($I1215,基础资料!$V$4:$V$49,0)),""))</f>
        <v/>
      </c>
      <c r="X1215" s="63" t="str">
        <f>IFERROR(INDEX(基础资料!$R$4:$R$17,MATCH($G1215,基础资料!$Q$4:$Q$17,0)),"")</f>
        <v/>
      </c>
    </row>
    <row r="1216" spans="1:24">
      <c r="A1216" s="58" t="str">
        <f>IF($B1216="","",COUNTA($B$5:$B1216))</f>
        <v/>
      </c>
      <c r="B1216" s="53"/>
      <c r="C1216" s="46"/>
      <c r="D1216" s="63" t="str">
        <f>IFERROR(INDEX(基础资料!$F$4:$F$23,MATCH($C1216,基础资料!$E$4:$E$23,0)),IF($C1216="","","未匹配账户"))</f>
        <v/>
      </c>
      <c r="E1216" s="39"/>
      <c r="F1216" s="10"/>
      <c r="G1216" s="10"/>
      <c r="H1216" s="10"/>
      <c r="I1216" s="10"/>
      <c r="J1216" s="10"/>
      <c r="K1216" s="25"/>
      <c r="L1216" s="25"/>
      <c r="M1216" s="25" t="str">
        <f>IFERROR(VLOOKUP($C1216,$C$5:$M$24,11,0)+SUMIF($C$25:$C1216,$C1216,$K$25:$K1216)-SUMIF($C$25:$C1216,$C1216,$L$25:$L1216),"")</f>
        <v/>
      </c>
      <c r="N1216" s="10"/>
      <c r="O1216" s="10"/>
      <c r="P1216" s="65"/>
      <c r="Q1216" s="10"/>
      <c r="R1216" s="10"/>
      <c r="S1216" s="54" t="str">
        <f t="shared" si="60"/>
        <v/>
      </c>
      <c r="T1216" s="54" t="str">
        <f t="shared" si="61"/>
        <v/>
      </c>
      <c r="U1216" s="58" t="str">
        <f t="shared" si="62"/>
        <v/>
      </c>
      <c r="V1216" s="58">
        <f>IF(AND($B1216&lt;&gt;"",$F1216&lt;&gt;"",$F1216=项目明细账!$C$2),N(V1215)+1,N(V1215))</f>
        <v>0</v>
      </c>
      <c r="W1216" s="63" t="str">
        <f>IF($H1216&lt;&gt;"","项目成本",IFERROR(INDEX(基础资料!$W$4:$W$49,MATCH($I1216,基础资料!$V$4:$V$49,0)),""))</f>
        <v/>
      </c>
      <c r="X1216" s="63" t="str">
        <f>IFERROR(INDEX(基础资料!$R$4:$R$17,MATCH($G1216,基础资料!$Q$4:$Q$17,0)),"")</f>
        <v/>
      </c>
    </row>
    <row r="1217" spans="1:24">
      <c r="A1217" s="58" t="str">
        <f>IF($B1217="","",COUNTA($B$5:$B1217))</f>
        <v/>
      </c>
      <c r="B1217" s="53"/>
      <c r="C1217" s="46"/>
      <c r="D1217" s="63" t="str">
        <f>IFERROR(INDEX(基础资料!$F$4:$F$23,MATCH($C1217,基础资料!$E$4:$E$23,0)),IF($C1217="","","未匹配账户"))</f>
        <v/>
      </c>
      <c r="E1217" s="39"/>
      <c r="F1217" s="10"/>
      <c r="G1217" s="10"/>
      <c r="H1217" s="10"/>
      <c r="I1217" s="10"/>
      <c r="J1217" s="10"/>
      <c r="K1217" s="25"/>
      <c r="L1217" s="25"/>
      <c r="M1217" s="25" t="str">
        <f>IFERROR(VLOOKUP($C1217,$C$5:$M$24,11,0)+SUMIF($C$25:$C1217,$C1217,$K$25:$K1217)-SUMIF($C$25:$C1217,$C1217,$L$25:$L1217),"")</f>
        <v/>
      </c>
      <c r="N1217" s="10"/>
      <c r="O1217" s="10"/>
      <c r="P1217" s="65"/>
      <c r="Q1217" s="10"/>
      <c r="R1217" s="10"/>
      <c r="S1217" s="54" t="str">
        <f t="shared" si="60"/>
        <v/>
      </c>
      <c r="T1217" s="54" t="str">
        <f t="shared" si="61"/>
        <v/>
      </c>
      <c r="U1217" s="58" t="str">
        <f t="shared" si="62"/>
        <v/>
      </c>
      <c r="V1217" s="58">
        <f>IF(AND($B1217&lt;&gt;"",$F1217&lt;&gt;"",$F1217=项目明细账!$C$2),N(V1216)+1,N(V1216))</f>
        <v>0</v>
      </c>
      <c r="W1217" s="63" t="str">
        <f>IF($H1217&lt;&gt;"","项目成本",IFERROR(INDEX(基础资料!$W$4:$W$49,MATCH($I1217,基础资料!$V$4:$V$49,0)),""))</f>
        <v/>
      </c>
      <c r="X1217" s="63" t="str">
        <f>IFERROR(INDEX(基础资料!$R$4:$R$17,MATCH($G1217,基础资料!$Q$4:$Q$17,0)),"")</f>
        <v/>
      </c>
    </row>
    <row r="1218" spans="1:24">
      <c r="A1218" s="58" t="str">
        <f>IF($B1218="","",COUNTA($B$5:$B1218))</f>
        <v/>
      </c>
      <c r="B1218" s="53"/>
      <c r="C1218" s="46"/>
      <c r="D1218" s="63" t="str">
        <f>IFERROR(INDEX(基础资料!$F$4:$F$23,MATCH($C1218,基础资料!$E$4:$E$23,0)),IF($C1218="","","未匹配账户"))</f>
        <v/>
      </c>
      <c r="E1218" s="39"/>
      <c r="F1218" s="10"/>
      <c r="G1218" s="10"/>
      <c r="H1218" s="10"/>
      <c r="I1218" s="10"/>
      <c r="J1218" s="10"/>
      <c r="K1218" s="25"/>
      <c r="L1218" s="25"/>
      <c r="M1218" s="25" t="str">
        <f>IFERROR(VLOOKUP($C1218,$C$5:$M$24,11,0)+SUMIF($C$25:$C1218,$C1218,$K$25:$K1218)-SUMIF($C$25:$C1218,$C1218,$L$25:$L1218),"")</f>
        <v/>
      </c>
      <c r="N1218" s="10"/>
      <c r="O1218" s="10"/>
      <c r="P1218" s="65"/>
      <c r="Q1218" s="10"/>
      <c r="R1218" s="10"/>
      <c r="S1218" s="54" t="str">
        <f t="shared" si="60"/>
        <v/>
      </c>
      <c r="T1218" s="54" t="str">
        <f t="shared" si="61"/>
        <v/>
      </c>
      <c r="U1218" s="58" t="str">
        <f t="shared" si="62"/>
        <v/>
      </c>
      <c r="V1218" s="58">
        <f>IF(AND($B1218&lt;&gt;"",$F1218&lt;&gt;"",$F1218=项目明细账!$C$2),N(V1217)+1,N(V1217))</f>
        <v>0</v>
      </c>
      <c r="W1218" s="63" t="str">
        <f>IF($H1218&lt;&gt;"","项目成本",IFERROR(INDEX(基础资料!$W$4:$W$49,MATCH($I1218,基础资料!$V$4:$V$49,0)),""))</f>
        <v/>
      </c>
      <c r="X1218" s="63" t="str">
        <f>IFERROR(INDEX(基础资料!$R$4:$R$17,MATCH($G1218,基础资料!$Q$4:$Q$17,0)),"")</f>
        <v/>
      </c>
    </row>
    <row r="1219" spans="1:24">
      <c r="A1219" s="58" t="str">
        <f>IF($B1219="","",COUNTA($B$5:$B1219))</f>
        <v/>
      </c>
      <c r="B1219" s="53"/>
      <c r="C1219" s="46"/>
      <c r="D1219" s="63" t="str">
        <f>IFERROR(INDEX(基础资料!$F$4:$F$23,MATCH($C1219,基础资料!$E$4:$E$23,0)),IF($C1219="","","未匹配账户"))</f>
        <v/>
      </c>
      <c r="E1219" s="39"/>
      <c r="F1219" s="10"/>
      <c r="G1219" s="10"/>
      <c r="H1219" s="10"/>
      <c r="I1219" s="10"/>
      <c r="J1219" s="10"/>
      <c r="K1219" s="25"/>
      <c r="L1219" s="25"/>
      <c r="M1219" s="25" t="str">
        <f>IFERROR(VLOOKUP($C1219,$C$5:$M$24,11,0)+SUMIF($C$25:$C1219,$C1219,$K$25:$K1219)-SUMIF($C$25:$C1219,$C1219,$L$25:$L1219),"")</f>
        <v/>
      </c>
      <c r="N1219" s="10"/>
      <c r="O1219" s="10"/>
      <c r="P1219" s="65"/>
      <c r="Q1219" s="10"/>
      <c r="R1219" s="10"/>
      <c r="S1219" s="54" t="str">
        <f t="shared" si="60"/>
        <v/>
      </c>
      <c r="T1219" s="54" t="str">
        <f t="shared" si="61"/>
        <v/>
      </c>
      <c r="U1219" s="58" t="str">
        <f t="shared" si="62"/>
        <v/>
      </c>
      <c r="V1219" s="58">
        <f>IF(AND($B1219&lt;&gt;"",$F1219&lt;&gt;"",$F1219=项目明细账!$C$2),N(V1218)+1,N(V1218))</f>
        <v>0</v>
      </c>
      <c r="W1219" s="63" t="str">
        <f>IF($H1219&lt;&gt;"","项目成本",IFERROR(INDEX(基础资料!$W$4:$W$49,MATCH($I1219,基础资料!$V$4:$V$49,0)),""))</f>
        <v/>
      </c>
      <c r="X1219" s="63" t="str">
        <f>IFERROR(INDEX(基础资料!$R$4:$R$17,MATCH($G1219,基础资料!$Q$4:$Q$17,0)),"")</f>
        <v/>
      </c>
    </row>
    <row r="1220" spans="1:24">
      <c r="A1220" s="58" t="str">
        <f>IF($B1220="","",COUNTA($B$5:$B1220))</f>
        <v/>
      </c>
      <c r="B1220" s="53"/>
      <c r="C1220" s="46"/>
      <c r="D1220" s="63" t="str">
        <f>IFERROR(INDEX(基础资料!$F$4:$F$23,MATCH($C1220,基础资料!$E$4:$E$23,0)),IF($C1220="","","未匹配账户"))</f>
        <v/>
      </c>
      <c r="E1220" s="39"/>
      <c r="F1220" s="10"/>
      <c r="G1220" s="10"/>
      <c r="H1220" s="10"/>
      <c r="I1220" s="10"/>
      <c r="J1220" s="10"/>
      <c r="K1220" s="25"/>
      <c r="L1220" s="25"/>
      <c r="M1220" s="25" t="str">
        <f>IFERROR(VLOOKUP($C1220,$C$5:$M$24,11,0)+SUMIF($C$25:$C1220,$C1220,$K$25:$K1220)-SUMIF($C$25:$C1220,$C1220,$L$25:$L1220),"")</f>
        <v/>
      </c>
      <c r="N1220" s="10"/>
      <c r="O1220" s="10"/>
      <c r="P1220" s="65"/>
      <c r="Q1220" s="10"/>
      <c r="R1220" s="10"/>
      <c r="S1220" s="54" t="str">
        <f t="shared" si="60"/>
        <v/>
      </c>
      <c r="T1220" s="54" t="str">
        <f t="shared" si="61"/>
        <v/>
      </c>
      <c r="U1220" s="58" t="str">
        <f t="shared" si="62"/>
        <v/>
      </c>
      <c r="V1220" s="58">
        <f>IF(AND($B1220&lt;&gt;"",$F1220&lt;&gt;"",$F1220=项目明细账!$C$2),N(V1219)+1,N(V1219))</f>
        <v>0</v>
      </c>
      <c r="W1220" s="63" t="str">
        <f>IF($H1220&lt;&gt;"","项目成本",IFERROR(INDEX(基础资料!$W$4:$W$49,MATCH($I1220,基础资料!$V$4:$V$49,0)),""))</f>
        <v/>
      </c>
      <c r="X1220" s="63" t="str">
        <f>IFERROR(INDEX(基础资料!$R$4:$R$17,MATCH($G1220,基础资料!$Q$4:$Q$17,0)),"")</f>
        <v/>
      </c>
    </row>
    <row r="1221" spans="1:24">
      <c r="A1221" s="58" t="str">
        <f>IF($B1221="","",COUNTA($B$5:$B1221))</f>
        <v/>
      </c>
      <c r="B1221" s="53"/>
      <c r="C1221" s="46"/>
      <c r="D1221" s="63" t="str">
        <f>IFERROR(INDEX(基础资料!$F$4:$F$23,MATCH($C1221,基础资料!$E$4:$E$23,0)),IF($C1221="","","未匹配账户"))</f>
        <v/>
      </c>
      <c r="E1221" s="39"/>
      <c r="F1221" s="10"/>
      <c r="G1221" s="10"/>
      <c r="H1221" s="10"/>
      <c r="I1221" s="10"/>
      <c r="J1221" s="10"/>
      <c r="K1221" s="25"/>
      <c r="L1221" s="25"/>
      <c r="M1221" s="25" t="str">
        <f>IFERROR(VLOOKUP($C1221,$C$5:$M$24,11,0)+SUMIF($C$25:$C1221,$C1221,$K$25:$K1221)-SUMIF($C$25:$C1221,$C1221,$L$25:$L1221),"")</f>
        <v/>
      </c>
      <c r="N1221" s="10"/>
      <c r="O1221" s="10"/>
      <c r="P1221" s="65"/>
      <c r="Q1221" s="10"/>
      <c r="R1221" s="10"/>
      <c r="S1221" s="54" t="str">
        <f t="shared" si="60"/>
        <v/>
      </c>
      <c r="T1221" s="54" t="str">
        <f t="shared" si="61"/>
        <v/>
      </c>
      <c r="U1221" s="58" t="str">
        <f t="shared" si="62"/>
        <v/>
      </c>
      <c r="V1221" s="58">
        <f>IF(AND($B1221&lt;&gt;"",$F1221&lt;&gt;"",$F1221=项目明细账!$C$2),N(V1220)+1,N(V1220))</f>
        <v>0</v>
      </c>
      <c r="W1221" s="63" t="str">
        <f>IF($H1221&lt;&gt;"","项目成本",IFERROR(INDEX(基础资料!$W$4:$W$49,MATCH($I1221,基础资料!$V$4:$V$49,0)),""))</f>
        <v/>
      </c>
      <c r="X1221" s="63" t="str">
        <f>IFERROR(INDEX(基础资料!$R$4:$R$17,MATCH($G1221,基础资料!$Q$4:$Q$17,0)),"")</f>
        <v/>
      </c>
    </row>
    <row r="1222" spans="1:24">
      <c r="A1222" s="58" t="str">
        <f>IF($B1222="","",COUNTA($B$5:$B1222))</f>
        <v/>
      </c>
      <c r="B1222" s="53"/>
      <c r="C1222" s="46"/>
      <c r="D1222" s="63" t="str">
        <f>IFERROR(INDEX(基础资料!$F$4:$F$23,MATCH($C1222,基础资料!$E$4:$E$23,0)),IF($C1222="","","未匹配账户"))</f>
        <v/>
      </c>
      <c r="E1222" s="39"/>
      <c r="F1222" s="10"/>
      <c r="G1222" s="10"/>
      <c r="H1222" s="10"/>
      <c r="I1222" s="10"/>
      <c r="J1222" s="10"/>
      <c r="K1222" s="25"/>
      <c r="L1222" s="25"/>
      <c r="M1222" s="25" t="str">
        <f>IFERROR(VLOOKUP($C1222,$C$5:$M$24,11,0)+SUMIF($C$25:$C1222,$C1222,$K$25:$K1222)-SUMIF($C$25:$C1222,$C1222,$L$25:$L1222),"")</f>
        <v/>
      </c>
      <c r="N1222" s="10"/>
      <c r="O1222" s="10"/>
      <c r="P1222" s="65"/>
      <c r="Q1222" s="10"/>
      <c r="R1222" s="10"/>
      <c r="S1222" s="54" t="str">
        <f t="shared" si="60"/>
        <v/>
      </c>
      <c r="T1222" s="54" t="str">
        <f t="shared" si="61"/>
        <v/>
      </c>
      <c r="U1222" s="58" t="str">
        <f t="shared" si="62"/>
        <v/>
      </c>
      <c r="V1222" s="58">
        <f>IF(AND($B1222&lt;&gt;"",$F1222&lt;&gt;"",$F1222=项目明细账!$C$2),N(V1221)+1,N(V1221))</f>
        <v>0</v>
      </c>
      <c r="W1222" s="63" t="str">
        <f>IF($H1222&lt;&gt;"","项目成本",IFERROR(INDEX(基础资料!$W$4:$W$49,MATCH($I1222,基础资料!$V$4:$V$49,0)),""))</f>
        <v/>
      </c>
      <c r="X1222" s="63" t="str">
        <f>IFERROR(INDEX(基础资料!$R$4:$R$17,MATCH($G1222,基础资料!$Q$4:$Q$17,0)),"")</f>
        <v/>
      </c>
    </row>
    <row r="1223" spans="1:24">
      <c r="A1223" s="58" t="str">
        <f>IF($B1223="","",COUNTA($B$5:$B1223))</f>
        <v/>
      </c>
      <c r="B1223" s="53"/>
      <c r="C1223" s="46"/>
      <c r="D1223" s="63" t="str">
        <f>IFERROR(INDEX(基础资料!$F$4:$F$23,MATCH($C1223,基础资料!$E$4:$E$23,0)),IF($C1223="","","未匹配账户"))</f>
        <v/>
      </c>
      <c r="E1223" s="39"/>
      <c r="F1223" s="10"/>
      <c r="G1223" s="10"/>
      <c r="H1223" s="10"/>
      <c r="I1223" s="10"/>
      <c r="J1223" s="10"/>
      <c r="K1223" s="25"/>
      <c r="L1223" s="25"/>
      <c r="M1223" s="25" t="str">
        <f>IFERROR(VLOOKUP($C1223,$C$5:$M$24,11,0)+SUMIF($C$25:$C1223,$C1223,$K$25:$K1223)-SUMIF($C$25:$C1223,$C1223,$L$25:$L1223),"")</f>
        <v/>
      </c>
      <c r="N1223" s="10"/>
      <c r="O1223" s="10"/>
      <c r="P1223" s="65"/>
      <c r="Q1223" s="10"/>
      <c r="R1223" s="10"/>
      <c r="S1223" s="54" t="str">
        <f t="shared" ref="S1223:S1286" si="63">IF($B1223="","",--TEXT($B1223,"yyyymm"))</f>
        <v/>
      </c>
      <c r="T1223" s="54" t="str">
        <f t="shared" ref="T1223:T1286" si="64">IF($B1223="","",IF($P1223="",$S1223,IFERROR($P1223*1,$P1223)))</f>
        <v/>
      </c>
      <c r="U1223" s="58" t="str">
        <f t="shared" ref="U1223:U1286" si="65">IF($B1223="","",IF($T1223=$S1223,"","跨期"))</f>
        <v/>
      </c>
      <c r="V1223" s="58">
        <f>IF(AND($B1223&lt;&gt;"",$F1223&lt;&gt;"",$F1223=项目明细账!$C$2),N(V1222)+1,N(V1222))</f>
        <v>0</v>
      </c>
      <c r="W1223" s="63" t="str">
        <f>IF($H1223&lt;&gt;"","项目成本",IFERROR(INDEX(基础资料!$W$4:$W$49,MATCH($I1223,基础资料!$V$4:$V$49,0)),""))</f>
        <v/>
      </c>
      <c r="X1223" s="63" t="str">
        <f>IFERROR(INDEX(基础资料!$R$4:$R$17,MATCH($G1223,基础资料!$Q$4:$Q$17,0)),"")</f>
        <v/>
      </c>
    </row>
    <row r="1224" spans="1:24">
      <c r="A1224" s="58" t="str">
        <f>IF($B1224="","",COUNTA($B$5:$B1224))</f>
        <v/>
      </c>
      <c r="B1224" s="53"/>
      <c r="C1224" s="46"/>
      <c r="D1224" s="63" t="str">
        <f>IFERROR(INDEX(基础资料!$F$4:$F$23,MATCH($C1224,基础资料!$E$4:$E$23,0)),IF($C1224="","","未匹配账户"))</f>
        <v/>
      </c>
      <c r="E1224" s="39"/>
      <c r="F1224" s="10"/>
      <c r="G1224" s="10"/>
      <c r="H1224" s="10"/>
      <c r="I1224" s="10"/>
      <c r="J1224" s="10"/>
      <c r="K1224" s="25"/>
      <c r="L1224" s="25"/>
      <c r="M1224" s="25" t="str">
        <f>IFERROR(VLOOKUP($C1224,$C$5:$M$24,11,0)+SUMIF($C$25:$C1224,$C1224,$K$25:$K1224)-SUMIF($C$25:$C1224,$C1224,$L$25:$L1224),"")</f>
        <v/>
      </c>
      <c r="N1224" s="10"/>
      <c r="O1224" s="10"/>
      <c r="P1224" s="65"/>
      <c r="Q1224" s="10"/>
      <c r="R1224" s="10"/>
      <c r="S1224" s="54" t="str">
        <f t="shared" si="63"/>
        <v/>
      </c>
      <c r="T1224" s="54" t="str">
        <f t="shared" si="64"/>
        <v/>
      </c>
      <c r="U1224" s="58" t="str">
        <f t="shared" si="65"/>
        <v/>
      </c>
      <c r="V1224" s="58">
        <f>IF(AND($B1224&lt;&gt;"",$F1224&lt;&gt;"",$F1224=项目明细账!$C$2),N(V1223)+1,N(V1223))</f>
        <v>0</v>
      </c>
      <c r="W1224" s="63" t="str">
        <f>IF($H1224&lt;&gt;"","项目成本",IFERROR(INDEX(基础资料!$W$4:$W$49,MATCH($I1224,基础资料!$V$4:$V$49,0)),""))</f>
        <v/>
      </c>
      <c r="X1224" s="63" t="str">
        <f>IFERROR(INDEX(基础资料!$R$4:$R$17,MATCH($G1224,基础资料!$Q$4:$Q$17,0)),"")</f>
        <v/>
      </c>
    </row>
    <row r="1225" spans="1:24">
      <c r="A1225" s="58" t="str">
        <f>IF($B1225="","",COUNTA($B$5:$B1225))</f>
        <v/>
      </c>
      <c r="B1225" s="53"/>
      <c r="C1225" s="46"/>
      <c r="D1225" s="63" t="str">
        <f>IFERROR(INDEX(基础资料!$F$4:$F$23,MATCH($C1225,基础资料!$E$4:$E$23,0)),IF($C1225="","","未匹配账户"))</f>
        <v/>
      </c>
      <c r="E1225" s="39"/>
      <c r="F1225" s="10"/>
      <c r="G1225" s="10"/>
      <c r="H1225" s="10"/>
      <c r="I1225" s="10"/>
      <c r="J1225" s="10"/>
      <c r="K1225" s="25"/>
      <c r="L1225" s="25"/>
      <c r="M1225" s="25" t="str">
        <f>IFERROR(VLOOKUP($C1225,$C$5:$M$24,11,0)+SUMIF($C$25:$C1225,$C1225,$K$25:$K1225)-SUMIF($C$25:$C1225,$C1225,$L$25:$L1225),"")</f>
        <v/>
      </c>
      <c r="N1225" s="10"/>
      <c r="O1225" s="10"/>
      <c r="P1225" s="65"/>
      <c r="Q1225" s="10"/>
      <c r="R1225" s="10"/>
      <c r="S1225" s="54" t="str">
        <f t="shared" si="63"/>
        <v/>
      </c>
      <c r="T1225" s="54" t="str">
        <f t="shared" si="64"/>
        <v/>
      </c>
      <c r="U1225" s="58" t="str">
        <f t="shared" si="65"/>
        <v/>
      </c>
      <c r="V1225" s="58">
        <f>IF(AND($B1225&lt;&gt;"",$F1225&lt;&gt;"",$F1225=项目明细账!$C$2),N(V1224)+1,N(V1224))</f>
        <v>0</v>
      </c>
      <c r="W1225" s="63" t="str">
        <f>IF($H1225&lt;&gt;"","项目成本",IFERROR(INDEX(基础资料!$W$4:$W$49,MATCH($I1225,基础资料!$V$4:$V$49,0)),""))</f>
        <v/>
      </c>
      <c r="X1225" s="63" t="str">
        <f>IFERROR(INDEX(基础资料!$R$4:$R$17,MATCH($G1225,基础资料!$Q$4:$Q$17,0)),"")</f>
        <v/>
      </c>
    </row>
    <row r="1226" spans="1:24">
      <c r="A1226" s="58" t="str">
        <f>IF($B1226="","",COUNTA($B$5:$B1226))</f>
        <v/>
      </c>
      <c r="B1226" s="53"/>
      <c r="C1226" s="46"/>
      <c r="D1226" s="63" t="str">
        <f>IFERROR(INDEX(基础资料!$F$4:$F$23,MATCH($C1226,基础资料!$E$4:$E$23,0)),IF($C1226="","","未匹配账户"))</f>
        <v/>
      </c>
      <c r="E1226" s="39"/>
      <c r="F1226" s="10"/>
      <c r="G1226" s="10"/>
      <c r="H1226" s="10"/>
      <c r="I1226" s="10"/>
      <c r="J1226" s="10"/>
      <c r="K1226" s="25"/>
      <c r="L1226" s="25"/>
      <c r="M1226" s="25" t="str">
        <f>IFERROR(VLOOKUP($C1226,$C$5:$M$24,11,0)+SUMIF($C$25:$C1226,$C1226,$K$25:$K1226)-SUMIF($C$25:$C1226,$C1226,$L$25:$L1226),"")</f>
        <v/>
      </c>
      <c r="N1226" s="10"/>
      <c r="O1226" s="10"/>
      <c r="P1226" s="65"/>
      <c r="Q1226" s="10"/>
      <c r="R1226" s="10"/>
      <c r="S1226" s="54" t="str">
        <f t="shared" si="63"/>
        <v/>
      </c>
      <c r="T1226" s="54" t="str">
        <f t="shared" si="64"/>
        <v/>
      </c>
      <c r="U1226" s="58" t="str">
        <f t="shared" si="65"/>
        <v/>
      </c>
      <c r="V1226" s="58">
        <f>IF(AND($B1226&lt;&gt;"",$F1226&lt;&gt;"",$F1226=项目明细账!$C$2),N(V1225)+1,N(V1225))</f>
        <v>0</v>
      </c>
      <c r="W1226" s="63" t="str">
        <f>IF($H1226&lt;&gt;"","项目成本",IFERROR(INDEX(基础资料!$W$4:$W$49,MATCH($I1226,基础资料!$V$4:$V$49,0)),""))</f>
        <v/>
      </c>
      <c r="X1226" s="63" t="str">
        <f>IFERROR(INDEX(基础资料!$R$4:$R$17,MATCH($G1226,基础资料!$Q$4:$Q$17,0)),"")</f>
        <v/>
      </c>
    </row>
    <row r="1227" spans="1:24">
      <c r="A1227" s="58" t="str">
        <f>IF($B1227="","",COUNTA($B$5:$B1227))</f>
        <v/>
      </c>
      <c r="B1227" s="53"/>
      <c r="C1227" s="46"/>
      <c r="D1227" s="63" t="str">
        <f>IFERROR(INDEX(基础资料!$F$4:$F$23,MATCH($C1227,基础资料!$E$4:$E$23,0)),IF($C1227="","","未匹配账户"))</f>
        <v/>
      </c>
      <c r="E1227" s="39"/>
      <c r="F1227" s="10"/>
      <c r="G1227" s="10"/>
      <c r="H1227" s="10"/>
      <c r="I1227" s="10"/>
      <c r="J1227" s="10"/>
      <c r="K1227" s="25"/>
      <c r="L1227" s="25"/>
      <c r="M1227" s="25" t="str">
        <f>IFERROR(VLOOKUP($C1227,$C$5:$M$24,11,0)+SUMIF($C$25:$C1227,$C1227,$K$25:$K1227)-SUMIF($C$25:$C1227,$C1227,$L$25:$L1227),"")</f>
        <v/>
      </c>
      <c r="N1227" s="10"/>
      <c r="O1227" s="10"/>
      <c r="P1227" s="65"/>
      <c r="Q1227" s="10"/>
      <c r="R1227" s="10"/>
      <c r="S1227" s="54" t="str">
        <f t="shared" si="63"/>
        <v/>
      </c>
      <c r="T1227" s="54" t="str">
        <f t="shared" si="64"/>
        <v/>
      </c>
      <c r="U1227" s="58" t="str">
        <f t="shared" si="65"/>
        <v/>
      </c>
      <c r="V1227" s="58">
        <f>IF(AND($B1227&lt;&gt;"",$F1227&lt;&gt;"",$F1227=项目明细账!$C$2),N(V1226)+1,N(V1226))</f>
        <v>0</v>
      </c>
      <c r="W1227" s="63" t="str">
        <f>IF($H1227&lt;&gt;"","项目成本",IFERROR(INDEX(基础资料!$W$4:$W$49,MATCH($I1227,基础资料!$V$4:$V$49,0)),""))</f>
        <v/>
      </c>
      <c r="X1227" s="63" t="str">
        <f>IFERROR(INDEX(基础资料!$R$4:$R$17,MATCH($G1227,基础资料!$Q$4:$Q$17,0)),"")</f>
        <v/>
      </c>
    </row>
    <row r="1228" spans="1:24">
      <c r="A1228" s="58" t="str">
        <f>IF($B1228="","",COUNTA($B$5:$B1228))</f>
        <v/>
      </c>
      <c r="B1228" s="53"/>
      <c r="C1228" s="46"/>
      <c r="D1228" s="63" t="str">
        <f>IFERROR(INDEX(基础资料!$F$4:$F$23,MATCH($C1228,基础资料!$E$4:$E$23,0)),IF($C1228="","","未匹配账户"))</f>
        <v/>
      </c>
      <c r="E1228" s="39"/>
      <c r="F1228" s="10"/>
      <c r="G1228" s="10"/>
      <c r="H1228" s="10"/>
      <c r="I1228" s="10"/>
      <c r="J1228" s="10"/>
      <c r="K1228" s="25"/>
      <c r="L1228" s="25"/>
      <c r="M1228" s="25" t="str">
        <f>IFERROR(VLOOKUP($C1228,$C$5:$M$24,11,0)+SUMIF($C$25:$C1228,$C1228,$K$25:$K1228)-SUMIF($C$25:$C1228,$C1228,$L$25:$L1228),"")</f>
        <v/>
      </c>
      <c r="N1228" s="10"/>
      <c r="O1228" s="10"/>
      <c r="P1228" s="65"/>
      <c r="Q1228" s="10"/>
      <c r="R1228" s="10"/>
      <c r="S1228" s="54" t="str">
        <f t="shared" si="63"/>
        <v/>
      </c>
      <c r="T1228" s="54" t="str">
        <f t="shared" si="64"/>
        <v/>
      </c>
      <c r="U1228" s="58" t="str">
        <f t="shared" si="65"/>
        <v/>
      </c>
      <c r="V1228" s="58">
        <f>IF(AND($B1228&lt;&gt;"",$F1228&lt;&gt;"",$F1228=项目明细账!$C$2),N(V1227)+1,N(V1227))</f>
        <v>0</v>
      </c>
      <c r="W1228" s="63" t="str">
        <f>IF($H1228&lt;&gt;"","项目成本",IFERROR(INDEX(基础资料!$W$4:$W$49,MATCH($I1228,基础资料!$V$4:$V$49,0)),""))</f>
        <v/>
      </c>
      <c r="X1228" s="63" t="str">
        <f>IFERROR(INDEX(基础资料!$R$4:$R$17,MATCH($G1228,基础资料!$Q$4:$Q$17,0)),"")</f>
        <v/>
      </c>
    </row>
    <row r="1229" spans="1:24">
      <c r="A1229" s="58" t="str">
        <f>IF($B1229="","",COUNTA($B$5:$B1229))</f>
        <v/>
      </c>
      <c r="B1229" s="53"/>
      <c r="C1229" s="46"/>
      <c r="D1229" s="63" t="str">
        <f>IFERROR(INDEX(基础资料!$F$4:$F$23,MATCH($C1229,基础资料!$E$4:$E$23,0)),IF($C1229="","","未匹配账户"))</f>
        <v/>
      </c>
      <c r="E1229" s="39"/>
      <c r="F1229" s="10"/>
      <c r="G1229" s="10"/>
      <c r="H1229" s="10"/>
      <c r="I1229" s="10"/>
      <c r="J1229" s="10"/>
      <c r="K1229" s="25"/>
      <c r="L1229" s="25"/>
      <c r="M1229" s="25" t="str">
        <f>IFERROR(VLOOKUP($C1229,$C$5:$M$24,11,0)+SUMIF($C$25:$C1229,$C1229,$K$25:$K1229)-SUMIF($C$25:$C1229,$C1229,$L$25:$L1229),"")</f>
        <v/>
      </c>
      <c r="N1229" s="10"/>
      <c r="O1229" s="10"/>
      <c r="P1229" s="65"/>
      <c r="Q1229" s="10"/>
      <c r="R1229" s="10"/>
      <c r="S1229" s="54" t="str">
        <f t="shared" si="63"/>
        <v/>
      </c>
      <c r="T1229" s="54" t="str">
        <f t="shared" si="64"/>
        <v/>
      </c>
      <c r="U1229" s="58" t="str">
        <f t="shared" si="65"/>
        <v/>
      </c>
      <c r="V1229" s="58">
        <f>IF(AND($B1229&lt;&gt;"",$F1229&lt;&gt;"",$F1229=项目明细账!$C$2),N(V1228)+1,N(V1228))</f>
        <v>0</v>
      </c>
      <c r="W1229" s="63" t="str">
        <f>IF($H1229&lt;&gt;"","项目成本",IFERROR(INDEX(基础资料!$W$4:$W$49,MATCH($I1229,基础资料!$V$4:$V$49,0)),""))</f>
        <v/>
      </c>
      <c r="X1229" s="63" t="str">
        <f>IFERROR(INDEX(基础资料!$R$4:$R$17,MATCH($G1229,基础资料!$Q$4:$Q$17,0)),"")</f>
        <v/>
      </c>
    </row>
    <row r="1230" spans="1:24">
      <c r="A1230" s="58" t="str">
        <f>IF($B1230="","",COUNTA($B$5:$B1230))</f>
        <v/>
      </c>
      <c r="B1230" s="53"/>
      <c r="C1230" s="46"/>
      <c r="D1230" s="63" t="str">
        <f>IFERROR(INDEX(基础资料!$F$4:$F$23,MATCH($C1230,基础资料!$E$4:$E$23,0)),IF($C1230="","","未匹配账户"))</f>
        <v/>
      </c>
      <c r="E1230" s="39"/>
      <c r="F1230" s="10"/>
      <c r="G1230" s="10"/>
      <c r="H1230" s="10"/>
      <c r="I1230" s="10"/>
      <c r="J1230" s="10"/>
      <c r="K1230" s="25"/>
      <c r="L1230" s="25"/>
      <c r="M1230" s="25" t="str">
        <f>IFERROR(VLOOKUP($C1230,$C$5:$M$24,11,0)+SUMIF($C$25:$C1230,$C1230,$K$25:$K1230)-SUMIF($C$25:$C1230,$C1230,$L$25:$L1230),"")</f>
        <v/>
      </c>
      <c r="N1230" s="10"/>
      <c r="O1230" s="10"/>
      <c r="P1230" s="65"/>
      <c r="Q1230" s="10"/>
      <c r="R1230" s="10"/>
      <c r="S1230" s="54" t="str">
        <f t="shared" si="63"/>
        <v/>
      </c>
      <c r="T1230" s="54" t="str">
        <f t="shared" si="64"/>
        <v/>
      </c>
      <c r="U1230" s="58" t="str">
        <f t="shared" si="65"/>
        <v/>
      </c>
      <c r="V1230" s="58">
        <f>IF(AND($B1230&lt;&gt;"",$F1230&lt;&gt;"",$F1230=项目明细账!$C$2),N(V1229)+1,N(V1229))</f>
        <v>0</v>
      </c>
      <c r="W1230" s="63" t="str">
        <f>IF($H1230&lt;&gt;"","项目成本",IFERROR(INDEX(基础资料!$W$4:$W$49,MATCH($I1230,基础资料!$V$4:$V$49,0)),""))</f>
        <v/>
      </c>
      <c r="X1230" s="63" t="str">
        <f>IFERROR(INDEX(基础资料!$R$4:$R$17,MATCH($G1230,基础资料!$Q$4:$Q$17,0)),"")</f>
        <v/>
      </c>
    </row>
    <row r="1231" spans="1:24">
      <c r="A1231" s="58" t="str">
        <f>IF($B1231="","",COUNTA($B$5:$B1231))</f>
        <v/>
      </c>
      <c r="B1231" s="53"/>
      <c r="C1231" s="46"/>
      <c r="D1231" s="63" t="str">
        <f>IFERROR(INDEX(基础资料!$F$4:$F$23,MATCH($C1231,基础资料!$E$4:$E$23,0)),IF($C1231="","","未匹配账户"))</f>
        <v/>
      </c>
      <c r="E1231" s="39"/>
      <c r="F1231" s="10"/>
      <c r="G1231" s="10"/>
      <c r="H1231" s="10"/>
      <c r="I1231" s="10"/>
      <c r="J1231" s="10"/>
      <c r="K1231" s="25"/>
      <c r="L1231" s="25"/>
      <c r="M1231" s="25" t="str">
        <f>IFERROR(VLOOKUP($C1231,$C$5:$M$24,11,0)+SUMIF($C$25:$C1231,$C1231,$K$25:$K1231)-SUMIF($C$25:$C1231,$C1231,$L$25:$L1231),"")</f>
        <v/>
      </c>
      <c r="N1231" s="10"/>
      <c r="O1231" s="10"/>
      <c r="P1231" s="65"/>
      <c r="Q1231" s="10"/>
      <c r="R1231" s="10"/>
      <c r="S1231" s="54" t="str">
        <f t="shared" si="63"/>
        <v/>
      </c>
      <c r="T1231" s="54" t="str">
        <f t="shared" si="64"/>
        <v/>
      </c>
      <c r="U1231" s="58" t="str">
        <f t="shared" si="65"/>
        <v/>
      </c>
      <c r="V1231" s="58">
        <f>IF(AND($B1231&lt;&gt;"",$F1231&lt;&gt;"",$F1231=项目明细账!$C$2),N(V1230)+1,N(V1230))</f>
        <v>0</v>
      </c>
      <c r="W1231" s="63" t="str">
        <f>IF($H1231&lt;&gt;"","项目成本",IFERROR(INDEX(基础资料!$W$4:$W$49,MATCH($I1231,基础资料!$V$4:$V$49,0)),""))</f>
        <v/>
      </c>
      <c r="X1231" s="63" t="str">
        <f>IFERROR(INDEX(基础资料!$R$4:$R$17,MATCH($G1231,基础资料!$Q$4:$Q$17,0)),"")</f>
        <v/>
      </c>
    </row>
    <row r="1232" spans="1:24">
      <c r="A1232" s="58" t="str">
        <f>IF($B1232="","",COUNTA($B$5:$B1232))</f>
        <v/>
      </c>
      <c r="B1232" s="53"/>
      <c r="C1232" s="46"/>
      <c r="D1232" s="63" t="str">
        <f>IFERROR(INDEX(基础资料!$F$4:$F$23,MATCH($C1232,基础资料!$E$4:$E$23,0)),IF($C1232="","","未匹配账户"))</f>
        <v/>
      </c>
      <c r="E1232" s="39"/>
      <c r="F1232" s="10"/>
      <c r="G1232" s="10"/>
      <c r="H1232" s="10"/>
      <c r="I1232" s="10"/>
      <c r="J1232" s="10"/>
      <c r="K1232" s="25"/>
      <c r="L1232" s="25"/>
      <c r="M1232" s="25" t="str">
        <f>IFERROR(VLOOKUP($C1232,$C$5:$M$24,11,0)+SUMIF($C$25:$C1232,$C1232,$K$25:$K1232)-SUMIF($C$25:$C1232,$C1232,$L$25:$L1232),"")</f>
        <v/>
      </c>
      <c r="N1232" s="10"/>
      <c r="O1232" s="10"/>
      <c r="P1232" s="65"/>
      <c r="Q1232" s="10"/>
      <c r="R1232" s="10"/>
      <c r="S1232" s="54" t="str">
        <f t="shared" si="63"/>
        <v/>
      </c>
      <c r="T1232" s="54" t="str">
        <f t="shared" si="64"/>
        <v/>
      </c>
      <c r="U1232" s="58" t="str">
        <f t="shared" si="65"/>
        <v/>
      </c>
      <c r="V1232" s="58">
        <f>IF(AND($B1232&lt;&gt;"",$F1232&lt;&gt;"",$F1232=项目明细账!$C$2),N(V1231)+1,N(V1231))</f>
        <v>0</v>
      </c>
      <c r="W1232" s="63" t="str">
        <f>IF($H1232&lt;&gt;"","项目成本",IFERROR(INDEX(基础资料!$W$4:$W$49,MATCH($I1232,基础资料!$V$4:$V$49,0)),""))</f>
        <v/>
      </c>
      <c r="X1232" s="63" t="str">
        <f>IFERROR(INDEX(基础资料!$R$4:$R$17,MATCH($G1232,基础资料!$Q$4:$Q$17,0)),"")</f>
        <v/>
      </c>
    </row>
    <row r="1233" spans="1:24">
      <c r="A1233" s="58" t="str">
        <f>IF($B1233="","",COUNTA($B$5:$B1233))</f>
        <v/>
      </c>
      <c r="B1233" s="53"/>
      <c r="C1233" s="46"/>
      <c r="D1233" s="63" t="str">
        <f>IFERROR(INDEX(基础资料!$F$4:$F$23,MATCH($C1233,基础资料!$E$4:$E$23,0)),IF($C1233="","","未匹配账户"))</f>
        <v/>
      </c>
      <c r="E1233" s="39"/>
      <c r="F1233" s="10"/>
      <c r="G1233" s="10"/>
      <c r="H1233" s="10"/>
      <c r="I1233" s="10"/>
      <c r="J1233" s="10"/>
      <c r="K1233" s="25"/>
      <c r="L1233" s="25"/>
      <c r="M1233" s="25" t="str">
        <f>IFERROR(VLOOKUP($C1233,$C$5:$M$24,11,0)+SUMIF($C$25:$C1233,$C1233,$K$25:$K1233)-SUMIF($C$25:$C1233,$C1233,$L$25:$L1233),"")</f>
        <v/>
      </c>
      <c r="N1233" s="10"/>
      <c r="O1233" s="10"/>
      <c r="P1233" s="65"/>
      <c r="Q1233" s="10"/>
      <c r="R1233" s="10"/>
      <c r="S1233" s="54" t="str">
        <f t="shared" si="63"/>
        <v/>
      </c>
      <c r="T1233" s="54" t="str">
        <f t="shared" si="64"/>
        <v/>
      </c>
      <c r="U1233" s="58" t="str">
        <f t="shared" si="65"/>
        <v/>
      </c>
      <c r="V1233" s="58">
        <f>IF(AND($B1233&lt;&gt;"",$F1233&lt;&gt;"",$F1233=项目明细账!$C$2),N(V1232)+1,N(V1232))</f>
        <v>0</v>
      </c>
      <c r="W1233" s="63" t="str">
        <f>IF($H1233&lt;&gt;"","项目成本",IFERROR(INDEX(基础资料!$W$4:$W$49,MATCH($I1233,基础资料!$V$4:$V$49,0)),""))</f>
        <v/>
      </c>
      <c r="X1233" s="63" t="str">
        <f>IFERROR(INDEX(基础资料!$R$4:$R$17,MATCH($G1233,基础资料!$Q$4:$Q$17,0)),"")</f>
        <v/>
      </c>
    </row>
    <row r="1234" spans="1:24">
      <c r="A1234" s="58" t="str">
        <f>IF($B1234="","",COUNTA($B$5:$B1234))</f>
        <v/>
      </c>
      <c r="B1234" s="53"/>
      <c r="C1234" s="46"/>
      <c r="D1234" s="63" t="str">
        <f>IFERROR(INDEX(基础资料!$F$4:$F$23,MATCH($C1234,基础资料!$E$4:$E$23,0)),IF($C1234="","","未匹配账户"))</f>
        <v/>
      </c>
      <c r="E1234" s="39"/>
      <c r="F1234" s="10"/>
      <c r="G1234" s="10"/>
      <c r="H1234" s="10"/>
      <c r="I1234" s="10"/>
      <c r="J1234" s="10"/>
      <c r="K1234" s="25"/>
      <c r="L1234" s="25"/>
      <c r="M1234" s="25" t="str">
        <f>IFERROR(VLOOKUP($C1234,$C$5:$M$24,11,0)+SUMIF($C$25:$C1234,$C1234,$K$25:$K1234)-SUMIF($C$25:$C1234,$C1234,$L$25:$L1234),"")</f>
        <v/>
      </c>
      <c r="N1234" s="10"/>
      <c r="O1234" s="10"/>
      <c r="P1234" s="65"/>
      <c r="Q1234" s="10"/>
      <c r="R1234" s="10"/>
      <c r="S1234" s="54" t="str">
        <f t="shared" si="63"/>
        <v/>
      </c>
      <c r="T1234" s="54" t="str">
        <f t="shared" si="64"/>
        <v/>
      </c>
      <c r="U1234" s="58" t="str">
        <f t="shared" si="65"/>
        <v/>
      </c>
      <c r="V1234" s="58">
        <f>IF(AND($B1234&lt;&gt;"",$F1234&lt;&gt;"",$F1234=项目明细账!$C$2),N(V1233)+1,N(V1233))</f>
        <v>0</v>
      </c>
      <c r="W1234" s="63" t="str">
        <f>IF($H1234&lt;&gt;"","项目成本",IFERROR(INDEX(基础资料!$W$4:$W$49,MATCH($I1234,基础资料!$V$4:$V$49,0)),""))</f>
        <v/>
      </c>
      <c r="X1234" s="63" t="str">
        <f>IFERROR(INDEX(基础资料!$R$4:$R$17,MATCH($G1234,基础资料!$Q$4:$Q$17,0)),"")</f>
        <v/>
      </c>
    </row>
    <row r="1235" spans="1:24">
      <c r="A1235" s="58" t="str">
        <f>IF($B1235="","",COUNTA($B$5:$B1235))</f>
        <v/>
      </c>
      <c r="B1235" s="53"/>
      <c r="C1235" s="46"/>
      <c r="D1235" s="63" t="str">
        <f>IFERROR(INDEX(基础资料!$F$4:$F$23,MATCH($C1235,基础资料!$E$4:$E$23,0)),IF($C1235="","","未匹配账户"))</f>
        <v/>
      </c>
      <c r="E1235" s="39"/>
      <c r="F1235" s="10"/>
      <c r="G1235" s="10"/>
      <c r="H1235" s="10"/>
      <c r="I1235" s="10"/>
      <c r="J1235" s="10"/>
      <c r="K1235" s="25"/>
      <c r="L1235" s="25"/>
      <c r="M1235" s="25" t="str">
        <f>IFERROR(VLOOKUP($C1235,$C$5:$M$24,11,0)+SUMIF($C$25:$C1235,$C1235,$K$25:$K1235)-SUMIF($C$25:$C1235,$C1235,$L$25:$L1235),"")</f>
        <v/>
      </c>
      <c r="N1235" s="10"/>
      <c r="O1235" s="10"/>
      <c r="P1235" s="65"/>
      <c r="Q1235" s="10"/>
      <c r="R1235" s="10"/>
      <c r="S1235" s="54" t="str">
        <f t="shared" si="63"/>
        <v/>
      </c>
      <c r="T1235" s="54" t="str">
        <f t="shared" si="64"/>
        <v/>
      </c>
      <c r="U1235" s="58" t="str">
        <f t="shared" si="65"/>
        <v/>
      </c>
      <c r="V1235" s="58">
        <f>IF(AND($B1235&lt;&gt;"",$F1235&lt;&gt;"",$F1235=项目明细账!$C$2),N(V1234)+1,N(V1234))</f>
        <v>0</v>
      </c>
      <c r="W1235" s="63" t="str">
        <f>IF($H1235&lt;&gt;"","项目成本",IFERROR(INDEX(基础资料!$W$4:$W$49,MATCH($I1235,基础资料!$V$4:$V$49,0)),""))</f>
        <v/>
      </c>
      <c r="X1235" s="63" t="str">
        <f>IFERROR(INDEX(基础资料!$R$4:$R$17,MATCH($G1235,基础资料!$Q$4:$Q$17,0)),"")</f>
        <v/>
      </c>
    </row>
    <row r="1236" spans="1:24">
      <c r="A1236" s="58" t="str">
        <f>IF($B1236="","",COUNTA($B$5:$B1236))</f>
        <v/>
      </c>
      <c r="B1236" s="53"/>
      <c r="C1236" s="46"/>
      <c r="D1236" s="63" t="str">
        <f>IFERROR(INDEX(基础资料!$F$4:$F$23,MATCH($C1236,基础资料!$E$4:$E$23,0)),IF($C1236="","","未匹配账户"))</f>
        <v/>
      </c>
      <c r="E1236" s="39"/>
      <c r="F1236" s="10"/>
      <c r="G1236" s="10"/>
      <c r="H1236" s="10"/>
      <c r="I1236" s="10"/>
      <c r="J1236" s="10"/>
      <c r="K1236" s="25"/>
      <c r="L1236" s="25"/>
      <c r="M1236" s="25" t="str">
        <f>IFERROR(VLOOKUP($C1236,$C$5:$M$24,11,0)+SUMIF($C$25:$C1236,$C1236,$K$25:$K1236)-SUMIF($C$25:$C1236,$C1236,$L$25:$L1236),"")</f>
        <v/>
      </c>
      <c r="N1236" s="10"/>
      <c r="O1236" s="10"/>
      <c r="P1236" s="65"/>
      <c r="Q1236" s="10"/>
      <c r="R1236" s="10"/>
      <c r="S1236" s="54" t="str">
        <f t="shared" si="63"/>
        <v/>
      </c>
      <c r="T1236" s="54" t="str">
        <f t="shared" si="64"/>
        <v/>
      </c>
      <c r="U1236" s="58" t="str">
        <f t="shared" si="65"/>
        <v/>
      </c>
      <c r="V1236" s="58">
        <f>IF(AND($B1236&lt;&gt;"",$F1236&lt;&gt;"",$F1236=项目明细账!$C$2),N(V1235)+1,N(V1235))</f>
        <v>0</v>
      </c>
      <c r="W1236" s="63" t="str">
        <f>IF($H1236&lt;&gt;"","项目成本",IFERROR(INDEX(基础资料!$W$4:$W$49,MATCH($I1236,基础资料!$V$4:$V$49,0)),""))</f>
        <v/>
      </c>
      <c r="X1236" s="63" t="str">
        <f>IFERROR(INDEX(基础资料!$R$4:$R$17,MATCH($G1236,基础资料!$Q$4:$Q$17,0)),"")</f>
        <v/>
      </c>
    </row>
    <row r="1237" spans="1:24">
      <c r="A1237" s="58" t="str">
        <f>IF($B1237="","",COUNTA($B$5:$B1237))</f>
        <v/>
      </c>
      <c r="B1237" s="53"/>
      <c r="C1237" s="46"/>
      <c r="D1237" s="63" t="str">
        <f>IFERROR(INDEX(基础资料!$F$4:$F$23,MATCH($C1237,基础资料!$E$4:$E$23,0)),IF($C1237="","","未匹配账户"))</f>
        <v/>
      </c>
      <c r="E1237" s="39"/>
      <c r="F1237" s="10"/>
      <c r="G1237" s="10"/>
      <c r="H1237" s="10"/>
      <c r="I1237" s="10"/>
      <c r="J1237" s="10"/>
      <c r="K1237" s="25"/>
      <c r="L1237" s="25"/>
      <c r="M1237" s="25" t="str">
        <f>IFERROR(VLOOKUP($C1237,$C$5:$M$24,11,0)+SUMIF($C$25:$C1237,$C1237,$K$25:$K1237)-SUMIF($C$25:$C1237,$C1237,$L$25:$L1237),"")</f>
        <v/>
      </c>
      <c r="N1237" s="10"/>
      <c r="O1237" s="10"/>
      <c r="P1237" s="65"/>
      <c r="Q1237" s="10"/>
      <c r="R1237" s="10"/>
      <c r="S1237" s="54" t="str">
        <f t="shared" si="63"/>
        <v/>
      </c>
      <c r="T1237" s="54" t="str">
        <f t="shared" si="64"/>
        <v/>
      </c>
      <c r="U1237" s="58" t="str">
        <f t="shared" si="65"/>
        <v/>
      </c>
      <c r="V1237" s="58">
        <f>IF(AND($B1237&lt;&gt;"",$F1237&lt;&gt;"",$F1237=项目明细账!$C$2),N(V1236)+1,N(V1236))</f>
        <v>0</v>
      </c>
      <c r="W1237" s="63" t="str">
        <f>IF($H1237&lt;&gt;"","项目成本",IFERROR(INDEX(基础资料!$W$4:$W$49,MATCH($I1237,基础资料!$V$4:$V$49,0)),""))</f>
        <v/>
      </c>
      <c r="X1237" s="63" t="str">
        <f>IFERROR(INDEX(基础资料!$R$4:$R$17,MATCH($G1237,基础资料!$Q$4:$Q$17,0)),"")</f>
        <v/>
      </c>
    </row>
    <row r="1238" spans="1:24">
      <c r="A1238" s="58" t="str">
        <f>IF($B1238="","",COUNTA($B$5:$B1238))</f>
        <v/>
      </c>
      <c r="B1238" s="53"/>
      <c r="C1238" s="46"/>
      <c r="D1238" s="63" t="str">
        <f>IFERROR(INDEX(基础资料!$F$4:$F$23,MATCH($C1238,基础资料!$E$4:$E$23,0)),IF($C1238="","","未匹配账户"))</f>
        <v/>
      </c>
      <c r="E1238" s="39"/>
      <c r="F1238" s="10"/>
      <c r="G1238" s="10"/>
      <c r="H1238" s="10"/>
      <c r="I1238" s="10"/>
      <c r="J1238" s="10"/>
      <c r="K1238" s="25"/>
      <c r="L1238" s="25"/>
      <c r="M1238" s="25" t="str">
        <f>IFERROR(VLOOKUP($C1238,$C$5:$M$24,11,0)+SUMIF($C$25:$C1238,$C1238,$K$25:$K1238)-SUMIF($C$25:$C1238,$C1238,$L$25:$L1238),"")</f>
        <v/>
      </c>
      <c r="N1238" s="10"/>
      <c r="O1238" s="10"/>
      <c r="P1238" s="65"/>
      <c r="Q1238" s="10"/>
      <c r="R1238" s="10"/>
      <c r="S1238" s="54" t="str">
        <f t="shared" si="63"/>
        <v/>
      </c>
      <c r="T1238" s="54" t="str">
        <f t="shared" si="64"/>
        <v/>
      </c>
      <c r="U1238" s="58" t="str">
        <f t="shared" si="65"/>
        <v/>
      </c>
      <c r="V1238" s="58">
        <f>IF(AND($B1238&lt;&gt;"",$F1238&lt;&gt;"",$F1238=项目明细账!$C$2),N(V1237)+1,N(V1237))</f>
        <v>0</v>
      </c>
      <c r="W1238" s="63" t="str">
        <f>IF($H1238&lt;&gt;"","项目成本",IFERROR(INDEX(基础资料!$W$4:$W$49,MATCH($I1238,基础资料!$V$4:$V$49,0)),""))</f>
        <v/>
      </c>
      <c r="X1238" s="63" t="str">
        <f>IFERROR(INDEX(基础资料!$R$4:$R$17,MATCH($G1238,基础资料!$Q$4:$Q$17,0)),"")</f>
        <v/>
      </c>
    </row>
    <row r="1239" spans="1:24">
      <c r="A1239" s="58" t="str">
        <f>IF($B1239="","",COUNTA($B$5:$B1239))</f>
        <v/>
      </c>
      <c r="B1239" s="53"/>
      <c r="C1239" s="46"/>
      <c r="D1239" s="63" t="str">
        <f>IFERROR(INDEX(基础资料!$F$4:$F$23,MATCH($C1239,基础资料!$E$4:$E$23,0)),IF($C1239="","","未匹配账户"))</f>
        <v/>
      </c>
      <c r="E1239" s="39"/>
      <c r="F1239" s="10"/>
      <c r="G1239" s="10"/>
      <c r="H1239" s="10"/>
      <c r="I1239" s="10"/>
      <c r="J1239" s="10"/>
      <c r="K1239" s="25"/>
      <c r="L1239" s="25"/>
      <c r="M1239" s="25" t="str">
        <f>IFERROR(VLOOKUP($C1239,$C$5:$M$24,11,0)+SUMIF($C$25:$C1239,$C1239,$K$25:$K1239)-SUMIF($C$25:$C1239,$C1239,$L$25:$L1239),"")</f>
        <v/>
      </c>
      <c r="N1239" s="10"/>
      <c r="O1239" s="10"/>
      <c r="P1239" s="65"/>
      <c r="Q1239" s="10"/>
      <c r="R1239" s="10"/>
      <c r="S1239" s="54" t="str">
        <f t="shared" si="63"/>
        <v/>
      </c>
      <c r="T1239" s="54" t="str">
        <f t="shared" si="64"/>
        <v/>
      </c>
      <c r="U1239" s="58" t="str">
        <f t="shared" si="65"/>
        <v/>
      </c>
      <c r="V1239" s="58">
        <f>IF(AND($B1239&lt;&gt;"",$F1239&lt;&gt;"",$F1239=项目明细账!$C$2),N(V1238)+1,N(V1238))</f>
        <v>0</v>
      </c>
      <c r="W1239" s="63" t="str">
        <f>IF($H1239&lt;&gt;"","项目成本",IFERROR(INDEX(基础资料!$W$4:$W$49,MATCH($I1239,基础资料!$V$4:$V$49,0)),""))</f>
        <v/>
      </c>
      <c r="X1239" s="63" t="str">
        <f>IFERROR(INDEX(基础资料!$R$4:$R$17,MATCH($G1239,基础资料!$Q$4:$Q$17,0)),"")</f>
        <v/>
      </c>
    </row>
    <row r="1240" spans="1:24">
      <c r="A1240" s="58" t="str">
        <f>IF($B1240="","",COUNTA($B$5:$B1240))</f>
        <v/>
      </c>
      <c r="B1240" s="53"/>
      <c r="C1240" s="46"/>
      <c r="D1240" s="63" t="str">
        <f>IFERROR(INDEX(基础资料!$F$4:$F$23,MATCH($C1240,基础资料!$E$4:$E$23,0)),IF($C1240="","","未匹配账户"))</f>
        <v/>
      </c>
      <c r="E1240" s="39"/>
      <c r="F1240" s="10"/>
      <c r="G1240" s="10"/>
      <c r="H1240" s="10"/>
      <c r="I1240" s="10"/>
      <c r="J1240" s="10"/>
      <c r="K1240" s="25"/>
      <c r="L1240" s="25"/>
      <c r="M1240" s="25" t="str">
        <f>IFERROR(VLOOKUP($C1240,$C$5:$M$24,11,0)+SUMIF($C$25:$C1240,$C1240,$K$25:$K1240)-SUMIF($C$25:$C1240,$C1240,$L$25:$L1240),"")</f>
        <v/>
      </c>
      <c r="N1240" s="10"/>
      <c r="O1240" s="10"/>
      <c r="P1240" s="65"/>
      <c r="Q1240" s="10"/>
      <c r="R1240" s="10"/>
      <c r="S1240" s="54" t="str">
        <f t="shared" si="63"/>
        <v/>
      </c>
      <c r="T1240" s="54" t="str">
        <f t="shared" si="64"/>
        <v/>
      </c>
      <c r="U1240" s="58" t="str">
        <f t="shared" si="65"/>
        <v/>
      </c>
      <c r="V1240" s="58">
        <f>IF(AND($B1240&lt;&gt;"",$F1240&lt;&gt;"",$F1240=项目明细账!$C$2),N(V1239)+1,N(V1239))</f>
        <v>0</v>
      </c>
      <c r="W1240" s="63" t="str">
        <f>IF($H1240&lt;&gt;"","项目成本",IFERROR(INDEX(基础资料!$W$4:$W$49,MATCH($I1240,基础资料!$V$4:$V$49,0)),""))</f>
        <v/>
      </c>
      <c r="X1240" s="63" t="str">
        <f>IFERROR(INDEX(基础资料!$R$4:$R$17,MATCH($G1240,基础资料!$Q$4:$Q$17,0)),"")</f>
        <v/>
      </c>
    </row>
    <row r="1241" spans="1:24">
      <c r="A1241" s="58" t="str">
        <f>IF($B1241="","",COUNTA($B$5:$B1241))</f>
        <v/>
      </c>
      <c r="B1241" s="53"/>
      <c r="C1241" s="46"/>
      <c r="D1241" s="63" t="str">
        <f>IFERROR(INDEX(基础资料!$F$4:$F$23,MATCH($C1241,基础资料!$E$4:$E$23,0)),IF($C1241="","","未匹配账户"))</f>
        <v/>
      </c>
      <c r="E1241" s="39"/>
      <c r="F1241" s="10"/>
      <c r="G1241" s="10"/>
      <c r="H1241" s="10"/>
      <c r="I1241" s="10"/>
      <c r="J1241" s="10"/>
      <c r="K1241" s="25"/>
      <c r="L1241" s="25"/>
      <c r="M1241" s="25" t="str">
        <f>IFERROR(VLOOKUP($C1241,$C$5:$M$24,11,0)+SUMIF($C$25:$C1241,$C1241,$K$25:$K1241)-SUMIF($C$25:$C1241,$C1241,$L$25:$L1241),"")</f>
        <v/>
      </c>
      <c r="N1241" s="10"/>
      <c r="O1241" s="10"/>
      <c r="P1241" s="65"/>
      <c r="Q1241" s="10"/>
      <c r="R1241" s="10"/>
      <c r="S1241" s="54" t="str">
        <f t="shared" si="63"/>
        <v/>
      </c>
      <c r="T1241" s="54" t="str">
        <f t="shared" si="64"/>
        <v/>
      </c>
      <c r="U1241" s="58" t="str">
        <f t="shared" si="65"/>
        <v/>
      </c>
      <c r="V1241" s="58">
        <f>IF(AND($B1241&lt;&gt;"",$F1241&lt;&gt;"",$F1241=项目明细账!$C$2),N(V1240)+1,N(V1240))</f>
        <v>0</v>
      </c>
      <c r="W1241" s="63" t="str">
        <f>IF($H1241&lt;&gt;"","项目成本",IFERROR(INDEX(基础资料!$W$4:$W$49,MATCH($I1241,基础资料!$V$4:$V$49,0)),""))</f>
        <v/>
      </c>
      <c r="X1241" s="63" t="str">
        <f>IFERROR(INDEX(基础资料!$R$4:$R$17,MATCH($G1241,基础资料!$Q$4:$Q$17,0)),"")</f>
        <v/>
      </c>
    </row>
    <row r="1242" spans="1:24">
      <c r="A1242" s="58" t="str">
        <f>IF($B1242="","",COUNTA($B$5:$B1242))</f>
        <v/>
      </c>
      <c r="B1242" s="53"/>
      <c r="C1242" s="46"/>
      <c r="D1242" s="63" t="str">
        <f>IFERROR(INDEX(基础资料!$F$4:$F$23,MATCH($C1242,基础资料!$E$4:$E$23,0)),IF($C1242="","","未匹配账户"))</f>
        <v/>
      </c>
      <c r="E1242" s="39"/>
      <c r="F1242" s="10"/>
      <c r="G1242" s="10"/>
      <c r="H1242" s="10"/>
      <c r="I1242" s="10"/>
      <c r="J1242" s="10"/>
      <c r="K1242" s="25"/>
      <c r="L1242" s="25"/>
      <c r="M1242" s="25" t="str">
        <f>IFERROR(VLOOKUP($C1242,$C$5:$M$24,11,0)+SUMIF($C$25:$C1242,$C1242,$K$25:$K1242)-SUMIF($C$25:$C1242,$C1242,$L$25:$L1242),"")</f>
        <v/>
      </c>
      <c r="N1242" s="10"/>
      <c r="O1242" s="10"/>
      <c r="P1242" s="65"/>
      <c r="Q1242" s="10"/>
      <c r="R1242" s="10"/>
      <c r="S1242" s="54" t="str">
        <f t="shared" si="63"/>
        <v/>
      </c>
      <c r="T1242" s="54" t="str">
        <f t="shared" si="64"/>
        <v/>
      </c>
      <c r="U1242" s="58" t="str">
        <f t="shared" si="65"/>
        <v/>
      </c>
      <c r="V1242" s="58">
        <f>IF(AND($B1242&lt;&gt;"",$F1242&lt;&gt;"",$F1242=项目明细账!$C$2),N(V1241)+1,N(V1241))</f>
        <v>0</v>
      </c>
      <c r="W1242" s="63" t="str">
        <f>IF($H1242&lt;&gt;"","项目成本",IFERROR(INDEX(基础资料!$W$4:$W$49,MATCH($I1242,基础资料!$V$4:$V$49,0)),""))</f>
        <v/>
      </c>
      <c r="X1242" s="63" t="str">
        <f>IFERROR(INDEX(基础资料!$R$4:$R$17,MATCH($G1242,基础资料!$Q$4:$Q$17,0)),"")</f>
        <v/>
      </c>
    </row>
    <row r="1243" spans="1:24">
      <c r="A1243" s="58" t="str">
        <f>IF($B1243="","",COUNTA($B$5:$B1243))</f>
        <v/>
      </c>
      <c r="B1243" s="53"/>
      <c r="C1243" s="46"/>
      <c r="D1243" s="63" t="str">
        <f>IFERROR(INDEX(基础资料!$F$4:$F$23,MATCH($C1243,基础资料!$E$4:$E$23,0)),IF($C1243="","","未匹配账户"))</f>
        <v/>
      </c>
      <c r="E1243" s="39"/>
      <c r="F1243" s="10"/>
      <c r="G1243" s="10"/>
      <c r="H1243" s="10"/>
      <c r="I1243" s="10"/>
      <c r="J1243" s="10"/>
      <c r="K1243" s="25"/>
      <c r="L1243" s="25"/>
      <c r="M1243" s="25" t="str">
        <f>IFERROR(VLOOKUP($C1243,$C$5:$M$24,11,0)+SUMIF($C$25:$C1243,$C1243,$K$25:$K1243)-SUMIF($C$25:$C1243,$C1243,$L$25:$L1243),"")</f>
        <v/>
      </c>
      <c r="N1243" s="10"/>
      <c r="O1243" s="10"/>
      <c r="P1243" s="65"/>
      <c r="Q1243" s="10"/>
      <c r="R1243" s="10"/>
      <c r="S1243" s="54" t="str">
        <f t="shared" si="63"/>
        <v/>
      </c>
      <c r="T1243" s="54" t="str">
        <f t="shared" si="64"/>
        <v/>
      </c>
      <c r="U1243" s="58" t="str">
        <f t="shared" si="65"/>
        <v/>
      </c>
      <c r="V1243" s="58">
        <f>IF(AND($B1243&lt;&gt;"",$F1243&lt;&gt;"",$F1243=项目明细账!$C$2),N(V1242)+1,N(V1242))</f>
        <v>0</v>
      </c>
      <c r="W1243" s="63" t="str">
        <f>IF($H1243&lt;&gt;"","项目成本",IFERROR(INDEX(基础资料!$W$4:$W$49,MATCH($I1243,基础资料!$V$4:$V$49,0)),""))</f>
        <v/>
      </c>
      <c r="X1243" s="63" t="str">
        <f>IFERROR(INDEX(基础资料!$R$4:$R$17,MATCH($G1243,基础资料!$Q$4:$Q$17,0)),"")</f>
        <v/>
      </c>
    </row>
    <row r="1244" spans="1:24">
      <c r="A1244" s="58" t="str">
        <f>IF($B1244="","",COUNTA($B$5:$B1244))</f>
        <v/>
      </c>
      <c r="B1244" s="53"/>
      <c r="C1244" s="46"/>
      <c r="D1244" s="63" t="str">
        <f>IFERROR(INDEX(基础资料!$F$4:$F$23,MATCH($C1244,基础资料!$E$4:$E$23,0)),IF($C1244="","","未匹配账户"))</f>
        <v/>
      </c>
      <c r="E1244" s="39"/>
      <c r="F1244" s="10"/>
      <c r="G1244" s="10"/>
      <c r="H1244" s="10"/>
      <c r="I1244" s="10"/>
      <c r="J1244" s="10"/>
      <c r="K1244" s="25"/>
      <c r="L1244" s="25"/>
      <c r="M1244" s="25" t="str">
        <f>IFERROR(VLOOKUP($C1244,$C$5:$M$24,11,0)+SUMIF($C$25:$C1244,$C1244,$K$25:$K1244)-SUMIF($C$25:$C1244,$C1244,$L$25:$L1244),"")</f>
        <v/>
      </c>
      <c r="N1244" s="10"/>
      <c r="O1244" s="10"/>
      <c r="P1244" s="65"/>
      <c r="Q1244" s="10"/>
      <c r="R1244" s="10"/>
      <c r="S1244" s="54" t="str">
        <f t="shared" si="63"/>
        <v/>
      </c>
      <c r="T1244" s="54" t="str">
        <f t="shared" si="64"/>
        <v/>
      </c>
      <c r="U1244" s="58" t="str">
        <f t="shared" si="65"/>
        <v/>
      </c>
      <c r="V1244" s="58">
        <f>IF(AND($B1244&lt;&gt;"",$F1244&lt;&gt;"",$F1244=项目明细账!$C$2),N(V1243)+1,N(V1243))</f>
        <v>0</v>
      </c>
      <c r="W1244" s="63" t="str">
        <f>IF($H1244&lt;&gt;"","项目成本",IFERROR(INDEX(基础资料!$W$4:$W$49,MATCH($I1244,基础资料!$V$4:$V$49,0)),""))</f>
        <v/>
      </c>
      <c r="X1244" s="63" t="str">
        <f>IFERROR(INDEX(基础资料!$R$4:$R$17,MATCH($G1244,基础资料!$Q$4:$Q$17,0)),"")</f>
        <v/>
      </c>
    </row>
    <row r="1245" spans="1:24">
      <c r="A1245" s="58" t="str">
        <f>IF($B1245="","",COUNTA($B$5:$B1245))</f>
        <v/>
      </c>
      <c r="B1245" s="53"/>
      <c r="C1245" s="46"/>
      <c r="D1245" s="63" t="str">
        <f>IFERROR(INDEX(基础资料!$F$4:$F$23,MATCH($C1245,基础资料!$E$4:$E$23,0)),IF($C1245="","","未匹配账户"))</f>
        <v/>
      </c>
      <c r="E1245" s="39"/>
      <c r="F1245" s="10"/>
      <c r="G1245" s="10"/>
      <c r="H1245" s="10"/>
      <c r="I1245" s="10"/>
      <c r="J1245" s="10"/>
      <c r="K1245" s="25"/>
      <c r="L1245" s="25"/>
      <c r="M1245" s="25" t="str">
        <f>IFERROR(VLOOKUP($C1245,$C$5:$M$24,11,0)+SUMIF($C$25:$C1245,$C1245,$K$25:$K1245)-SUMIF($C$25:$C1245,$C1245,$L$25:$L1245),"")</f>
        <v/>
      </c>
      <c r="N1245" s="10"/>
      <c r="O1245" s="10"/>
      <c r="P1245" s="65"/>
      <c r="Q1245" s="10"/>
      <c r="R1245" s="10"/>
      <c r="S1245" s="54" t="str">
        <f t="shared" si="63"/>
        <v/>
      </c>
      <c r="T1245" s="54" t="str">
        <f t="shared" si="64"/>
        <v/>
      </c>
      <c r="U1245" s="58" t="str">
        <f t="shared" si="65"/>
        <v/>
      </c>
      <c r="V1245" s="58">
        <f>IF(AND($B1245&lt;&gt;"",$F1245&lt;&gt;"",$F1245=项目明细账!$C$2),N(V1244)+1,N(V1244))</f>
        <v>0</v>
      </c>
      <c r="W1245" s="63" t="str">
        <f>IF($H1245&lt;&gt;"","项目成本",IFERROR(INDEX(基础资料!$W$4:$W$49,MATCH($I1245,基础资料!$V$4:$V$49,0)),""))</f>
        <v/>
      </c>
      <c r="X1245" s="63" t="str">
        <f>IFERROR(INDEX(基础资料!$R$4:$R$17,MATCH($G1245,基础资料!$Q$4:$Q$17,0)),"")</f>
        <v/>
      </c>
    </row>
    <row r="1246" spans="1:24">
      <c r="A1246" s="58" t="str">
        <f>IF($B1246="","",COUNTA($B$5:$B1246))</f>
        <v/>
      </c>
      <c r="B1246" s="53"/>
      <c r="C1246" s="46"/>
      <c r="D1246" s="63" t="str">
        <f>IFERROR(INDEX(基础资料!$F$4:$F$23,MATCH($C1246,基础资料!$E$4:$E$23,0)),IF($C1246="","","未匹配账户"))</f>
        <v/>
      </c>
      <c r="E1246" s="39"/>
      <c r="F1246" s="10"/>
      <c r="G1246" s="10"/>
      <c r="H1246" s="10"/>
      <c r="I1246" s="10"/>
      <c r="J1246" s="10"/>
      <c r="K1246" s="25"/>
      <c r="L1246" s="25"/>
      <c r="M1246" s="25" t="str">
        <f>IFERROR(VLOOKUP($C1246,$C$5:$M$24,11,0)+SUMIF($C$25:$C1246,$C1246,$K$25:$K1246)-SUMIF($C$25:$C1246,$C1246,$L$25:$L1246),"")</f>
        <v/>
      </c>
      <c r="N1246" s="10"/>
      <c r="O1246" s="10"/>
      <c r="P1246" s="65"/>
      <c r="Q1246" s="10"/>
      <c r="R1246" s="10"/>
      <c r="S1246" s="54" t="str">
        <f t="shared" si="63"/>
        <v/>
      </c>
      <c r="T1246" s="54" t="str">
        <f t="shared" si="64"/>
        <v/>
      </c>
      <c r="U1246" s="58" t="str">
        <f t="shared" si="65"/>
        <v/>
      </c>
      <c r="V1246" s="58">
        <f>IF(AND($B1246&lt;&gt;"",$F1246&lt;&gt;"",$F1246=项目明细账!$C$2),N(V1245)+1,N(V1245))</f>
        <v>0</v>
      </c>
      <c r="W1246" s="63" t="str">
        <f>IF($H1246&lt;&gt;"","项目成本",IFERROR(INDEX(基础资料!$W$4:$W$49,MATCH($I1246,基础资料!$V$4:$V$49,0)),""))</f>
        <v/>
      </c>
      <c r="X1246" s="63" t="str">
        <f>IFERROR(INDEX(基础资料!$R$4:$R$17,MATCH($G1246,基础资料!$Q$4:$Q$17,0)),"")</f>
        <v/>
      </c>
    </row>
    <row r="1247" spans="1:24">
      <c r="A1247" s="58" t="str">
        <f>IF($B1247="","",COUNTA($B$5:$B1247))</f>
        <v/>
      </c>
      <c r="B1247" s="53"/>
      <c r="C1247" s="46"/>
      <c r="D1247" s="63" t="str">
        <f>IFERROR(INDEX(基础资料!$F$4:$F$23,MATCH($C1247,基础资料!$E$4:$E$23,0)),IF($C1247="","","未匹配账户"))</f>
        <v/>
      </c>
      <c r="E1247" s="39"/>
      <c r="F1247" s="10"/>
      <c r="G1247" s="10"/>
      <c r="H1247" s="10"/>
      <c r="I1247" s="10"/>
      <c r="J1247" s="10"/>
      <c r="K1247" s="25"/>
      <c r="L1247" s="25"/>
      <c r="M1247" s="25" t="str">
        <f>IFERROR(VLOOKUP($C1247,$C$5:$M$24,11,0)+SUMIF($C$25:$C1247,$C1247,$K$25:$K1247)-SUMIF($C$25:$C1247,$C1247,$L$25:$L1247),"")</f>
        <v/>
      </c>
      <c r="N1247" s="10"/>
      <c r="O1247" s="10"/>
      <c r="P1247" s="65"/>
      <c r="Q1247" s="10"/>
      <c r="R1247" s="10"/>
      <c r="S1247" s="54" t="str">
        <f t="shared" si="63"/>
        <v/>
      </c>
      <c r="T1247" s="54" t="str">
        <f t="shared" si="64"/>
        <v/>
      </c>
      <c r="U1247" s="58" t="str">
        <f t="shared" si="65"/>
        <v/>
      </c>
      <c r="V1247" s="58">
        <f>IF(AND($B1247&lt;&gt;"",$F1247&lt;&gt;"",$F1247=项目明细账!$C$2),N(V1246)+1,N(V1246))</f>
        <v>0</v>
      </c>
      <c r="W1247" s="63" t="str">
        <f>IF($H1247&lt;&gt;"","项目成本",IFERROR(INDEX(基础资料!$W$4:$W$49,MATCH($I1247,基础资料!$V$4:$V$49,0)),""))</f>
        <v/>
      </c>
      <c r="X1247" s="63" t="str">
        <f>IFERROR(INDEX(基础资料!$R$4:$R$17,MATCH($G1247,基础资料!$Q$4:$Q$17,0)),"")</f>
        <v/>
      </c>
    </row>
    <row r="1248" spans="1:24">
      <c r="A1248" s="58" t="str">
        <f>IF($B1248="","",COUNTA($B$5:$B1248))</f>
        <v/>
      </c>
      <c r="B1248" s="53"/>
      <c r="C1248" s="46"/>
      <c r="D1248" s="63" t="str">
        <f>IFERROR(INDEX(基础资料!$F$4:$F$23,MATCH($C1248,基础资料!$E$4:$E$23,0)),IF($C1248="","","未匹配账户"))</f>
        <v/>
      </c>
      <c r="E1248" s="39"/>
      <c r="F1248" s="10"/>
      <c r="G1248" s="10"/>
      <c r="H1248" s="10"/>
      <c r="I1248" s="10"/>
      <c r="J1248" s="10"/>
      <c r="K1248" s="25"/>
      <c r="L1248" s="25"/>
      <c r="M1248" s="25" t="str">
        <f>IFERROR(VLOOKUP($C1248,$C$5:$M$24,11,0)+SUMIF($C$25:$C1248,$C1248,$K$25:$K1248)-SUMIF($C$25:$C1248,$C1248,$L$25:$L1248),"")</f>
        <v/>
      </c>
      <c r="N1248" s="10"/>
      <c r="O1248" s="10"/>
      <c r="P1248" s="65"/>
      <c r="Q1248" s="10"/>
      <c r="R1248" s="10"/>
      <c r="S1248" s="54" t="str">
        <f t="shared" si="63"/>
        <v/>
      </c>
      <c r="T1248" s="54" t="str">
        <f t="shared" si="64"/>
        <v/>
      </c>
      <c r="U1248" s="58" t="str">
        <f t="shared" si="65"/>
        <v/>
      </c>
      <c r="V1248" s="58">
        <f>IF(AND($B1248&lt;&gt;"",$F1248&lt;&gt;"",$F1248=项目明细账!$C$2),N(V1247)+1,N(V1247))</f>
        <v>0</v>
      </c>
      <c r="W1248" s="63" t="str">
        <f>IF($H1248&lt;&gt;"","项目成本",IFERROR(INDEX(基础资料!$W$4:$W$49,MATCH($I1248,基础资料!$V$4:$V$49,0)),""))</f>
        <v/>
      </c>
      <c r="X1248" s="63" t="str">
        <f>IFERROR(INDEX(基础资料!$R$4:$R$17,MATCH($G1248,基础资料!$Q$4:$Q$17,0)),"")</f>
        <v/>
      </c>
    </row>
    <row r="1249" spans="1:24">
      <c r="A1249" s="58" t="str">
        <f>IF($B1249="","",COUNTA($B$5:$B1249))</f>
        <v/>
      </c>
      <c r="B1249" s="53"/>
      <c r="C1249" s="46"/>
      <c r="D1249" s="63" t="str">
        <f>IFERROR(INDEX(基础资料!$F$4:$F$23,MATCH($C1249,基础资料!$E$4:$E$23,0)),IF($C1249="","","未匹配账户"))</f>
        <v/>
      </c>
      <c r="E1249" s="39"/>
      <c r="F1249" s="10"/>
      <c r="G1249" s="10"/>
      <c r="H1249" s="10"/>
      <c r="I1249" s="10"/>
      <c r="J1249" s="10"/>
      <c r="K1249" s="25"/>
      <c r="L1249" s="25"/>
      <c r="M1249" s="25" t="str">
        <f>IFERROR(VLOOKUP($C1249,$C$5:$M$24,11,0)+SUMIF($C$25:$C1249,$C1249,$K$25:$K1249)-SUMIF($C$25:$C1249,$C1249,$L$25:$L1249),"")</f>
        <v/>
      </c>
      <c r="N1249" s="10"/>
      <c r="O1249" s="10"/>
      <c r="P1249" s="65"/>
      <c r="Q1249" s="10"/>
      <c r="R1249" s="10"/>
      <c r="S1249" s="54" t="str">
        <f t="shared" si="63"/>
        <v/>
      </c>
      <c r="T1249" s="54" t="str">
        <f t="shared" si="64"/>
        <v/>
      </c>
      <c r="U1249" s="58" t="str">
        <f t="shared" si="65"/>
        <v/>
      </c>
      <c r="V1249" s="58">
        <f>IF(AND($B1249&lt;&gt;"",$F1249&lt;&gt;"",$F1249=项目明细账!$C$2),N(V1248)+1,N(V1248))</f>
        <v>0</v>
      </c>
      <c r="W1249" s="63" t="str">
        <f>IF($H1249&lt;&gt;"","项目成本",IFERROR(INDEX(基础资料!$W$4:$W$49,MATCH($I1249,基础资料!$V$4:$V$49,0)),""))</f>
        <v/>
      </c>
      <c r="X1249" s="63" t="str">
        <f>IFERROR(INDEX(基础资料!$R$4:$R$17,MATCH($G1249,基础资料!$Q$4:$Q$17,0)),"")</f>
        <v/>
      </c>
    </row>
    <row r="1250" spans="1:24">
      <c r="A1250" s="58" t="str">
        <f>IF($B1250="","",COUNTA($B$5:$B1250))</f>
        <v/>
      </c>
      <c r="B1250" s="53"/>
      <c r="C1250" s="46"/>
      <c r="D1250" s="63" t="str">
        <f>IFERROR(INDEX(基础资料!$F$4:$F$23,MATCH($C1250,基础资料!$E$4:$E$23,0)),IF($C1250="","","未匹配账户"))</f>
        <v/>
      </c>
      <c r="E1250" s="39"/>
      <c r="F1250" s="10"/>
      <c r="G1250" s="10"/>
      <c r="H1250" s="10"/>
      <c r="I1250" s="10"/>
      <c r="J1250" s="10"/>
      <c r="K1250" s="25"/>
      <c r="L1250" s="25"/>
      <c r="M1250" s="25" t="str">
        <f>IFERROR(VLOOKUP($C1250,$C$5:$M$24,11,0)+SUMIF($C$25:$C1250,$C1250,$K$25:$K1250)-SUMIF($C$25:$C1250,$C1250,$L$25:$L1250),"")</f>
        <v/>
      </c>
      <c r="N1250" s="10"/>
      <c r="O1250" s="10"/>
      <c r="P1250" s="65"/>
      <c r="Q1250" s="10"/>
      <c r="R1250" s="10"/>
      <c r="S1250" s="54" t="str">
        <f t="shared" si="63"/>
        <v/>
      </c>
      <c r="T1250" s="54" t="str">
        <f t="shared" si="64"/>
        <v/>
      </c>
      <c r="U1250" s="58" t="str">
        <f t="shared" si="65"/>
        <v/>
      </c>
      <c r="V1250" s="58">
        <f>IF(AND($B1250&lt;&gt;"",$F1250&lt;&gt;"",$F1250=项目明细账!$C$2),N(V1249)+1,N(V1249))</f>
        <v>0</v>
      </c>
      <c r="W1250" s="63" t="str">
        <f>IF($H1250&lt;&gt;"","项目成本",IFERROR(INDEX(基础资料!$W$4:$W$49,MATCH($I1250,基础资料!$V$4:$V$49,0)),""))</f>
        <v/>
      </c>
      <c r="X1250" s="63" t="str">
        <f>IFERROR(INDEX(基础资料!$R$4:$R$17,MATCH($G1250,基础资料!$Q$4:$Q$17,0)),"")</f>
        <v/>
      </c>
    </row>
    <row r="1251" spans="1:24">
      <c r="A1251" s="58" t="str">
        <f>IF($B1251="","",COUNTA($B$5:$B1251))</f>
        <v/>
      </c>
      <c r="B1251" s="53"/>
      <c r="C1251" s="46"/>
      <c r="D1251" s="63" t="str">
        <f>IFERROR(INDEX(基础资料!$F$4:$F$23,MATCH($C1251,基础资料!$E$4:$E$23,0)),IF($C1251="","","未匹配账户"))</f>
        <v/>
      </c>
      <c r="E1251" s="39"/>
      <c r="F1251" s="10"/>
      <c r="G1251" s="10"/>
      <c r="H1251" s="10"/>
      <c r="I1251" s="10"/>
      <c r="J1251" s="10"/>
      <c r="K1251" s="25"/>
      <c r="L1251" s="25"/>
      <c r="M1251" s="25" t="str">
        <f>IFERROR(VLOOKUP($C1251,$C$5:$M$24,11,0)+SUMIF($C$25:$C1251,$C1251,$K$25:$K1251)-SUMIF($C$25:$C1251,$C1251,$L$25:$L1251),"")</f>
        <v/>
      </c>
      <c r="N1251" s="10"/>
      <c r="O1251" s="10"/>
      <c r="P1251" s="65"/>
      <c r="Q1251" s="10"/>
      <c r="R1251" s="10"/>
      <c r="S1251" s="54" t="str">
        <f t="shared" si="63"/>
        <v/>
      </c>
      <c r="T1251" s="54" t="str">
        <f t="shared" si="64"/>
        <v/>
      </c>
      <c r="U1251" s="58" t="str">
        <f t="shared" si="65"/>
        <v/>
      </c>
      <c r="V1251" s="58">
        <f>IF(AND($B1251&lt;&gt;"",$F1251&lt;&gt;"",$F1251=项目明细账!$C$2),N(V1250)+1,N(V1250))</f>
        <v>0</v>
      </c>
      <c r="W1251" s="63" t="str">
        <f>IF($H1251&lt;&gt;"","项目成本",IFERROR(INDEX(基础资料!$W$4:$W$49,MATCH($I1251,基础资料!$V$4:$V$49,0)),""))</f>
        <v/>
      </c>
      <c r="X1251" s="63" t="str">
        <f>IFERROR(INDEX(基础资料!$R$4:$R$17,MATCH($G1251,基础资料!$Q$4:$Q$17,0)),"")</f>
        <v/>
      </c>
    </row>
    <row r="1252" spans="1:24">
      <c r="A1252" s="58" t="str">
        <f>IF($B1252="","",COUNTA($B$5:$B1252))</f>
        <v/>
      </c>
      <c r="B1252" s="53"/>
      <c r="C1252" s="46"/>
      <c r="D1252" s="63" t="str">
        <f>IFERROR(INDEX(基础资料!$F$4:$F$23,MATCH($C1252,基础资料!$E$4:$E$23,0)),IF($C1252="","","未匹配账户"))</f>
        <v/>
      </c>
      <c r="E1252" s="39"/>
      <c r="F1252" s="10"/>
      <c r="G1252" s="10"/>
      <c r="H1252" s="10"/>
      <c r="I1252" s="10"/>
      <c r="J1252" s="10"/>
      <c r="K1252" s="25"/>
      <c r="L1252" s="25"/>
      <c r="M1252" s="25" t="str">
        <f>IFERROR(VLOOKUP($C1252,$C$5:$M$24,11,0)+SUMIF($C$25:$C1252,$C1252,$K$25:$K1252)-SUMIF($C$25:$C1252,$C1252,$L$25:$L1252),"")</f>
        <v/>
      </c>
      <c r="N1252" s="10"/>
      <c r="O1252" s="10"/>
      <c r="P1252" s="65"/>
      <c r="Q1252" s="10"/>
      <c r="R1252" s="10"/>
      <c r="S1252" s="54" t="str">
        <f t="shared" si="63"/>
        <v/>
      </c>
      <c r="T1252" s="54" t="str">
        <f t="shared" si="64"/>
        <v/>
      </c>
      <c r="U1252" s="58" t="str">
        <f t="shared" si="65"/>
        <v/>
      </c>
      <c r="V1252" s="58">
        <f>IF(AND($B1252&lt;&gt;"",$F1252&lt;&gt;"",$F1252=项目明细账!$C$2),N(V1251)+1,N(V1251))</f>
        <v>0</v>
      </c>
      <c r="W1252" s="63" t="str">
        <f>IF($H1252&lt;&gt;"","项目成本",IFERROR(INDEX(基础资料!$W$4:$W$49,MATCH($I1252,基础资料!$V$4:$V$49,0)),""))</f>
        <v/>
      </c>
      <c r="X1252" s="63" t="str">
        <f>IFERROR(INDEX(基础资料!$R$4:$R$17,MATCH($G1252,基础资料!$Q$4:$Q$17,0)),"")</f>
        <v/>
      </c>
    </row>
    <row r="1253" spans="1:24">
      <c r="A1253" s="58" t="str">
        <f>IF($B1253="","",COUNTA($B$5:$B1253))</f>
        <v/>
      </c>
      <c r="B1253" s="53"/>
      <c r="C1253" s="46"/>
      <c r="D1253" s="63" t="str">
        <f>IFERROR(INDEX(基础资料!$F$4:$F$23,MATCH($C1253,基础资料!$E$4:$E$23,0)),IF($C1253="","","未匹配账户"))</f>
        <v/>
      </c>
      <c r="E1253" s="39"/>
      <c r="F1253" s="10"/>
      <c r="G1253" s="10"/>
      <c r="H1253" s="10"/>
      <c r="I1253" s="10"/>
      <c r="J1253" s="10"/>
      <c r="K1253" s="25"/>
      <c r="L1253" s="25"/>
      <c r="M1253" s="25" t="str">
        <f>IFERROR(VLOOKUP($C1253,$C$5:$M$24,11,0)+SUMIF($C$25:$C1253,$C1253,$K$25:$K1253)-SUMIF($C$25:$C1253,$C1253,$L$25:$L1253),"")</f>
        <v/>
      </c>
      <c r="N1253" s="10"/>
      <c r="O1253" s="10"/>
      <c r="P1253" s="65"/>
      <c r="Q1253" s="10"/>
      <c r="R1253" s="10"/>
      <c r="S1253" s="54" t="str">
        <f t="shared" si="63"/>
        <v/>
      </c>
      <c r="T1253" s="54" t="str">
        <f t="shared" si="64"/>
        <v/>
      </c>
      <c r="U1253" s="58" t="str">
        <f t="shared" si="65"/>
        <v/>
      </c>
      <c r="V1253" s="58">
        <f>IF(AND($B1253&lt;&gt;"",$F1253&lt;&gt;"",$F1253=项目明细账!$C$2),N(V1252)+1,N(V1252))</f>
        <v>0</v>
      </c>
      <c r="W1253" s="63" t="str">
        <f>IF($H1253&lt;&gt;"","项目成本",IFERROR(INDEX(基础资料!$W$4:$W$49,MATCH($I1253,基础资料!$V$4:$V$49,0)),""))</f>
        <v/>
      </c>
      <c r="X1253" s="63" t="str">
        <f>IFERROR(INDEX(基础资料!$R$4:$R$17,MATCH($G1253,基础资料!$Q$4:$Q$17,0)),"")</f>
        <v/>
      </c>
    </row>
    <row r="1254" spans="1:24">
      <c r="A1254" s="58" t="str">
        <f>IF($B1254="","",COUNTA($B$5:$B1254))</f>
        <v/>
      </c>
      <c r="B1254" s="53"/>
      <c r="C1254" s="46"/>
      <c r="D1254" s="63" t="str">
        <f>IFERROR(INDEX(基础资料!$F$4:$F$23,MATCH($C1254,基础资料!$E$4:$E$23,0)),IF($C1254="","","未匹配账户"))</f>
        <v/>
      </c>
      <c r="E1254" s="39"/>
      <c r="F1254" s="10"/>
      <c r="G1254" s="10"/>
      <c r="H1254" s="10"/>
      <c r="I1254" s="10"/>
      <c r="J1254" s="10"/>
      <c r="K1254" s="25"/>
      <c r="L1254" s="25"/>
      <c r="M1254" s="25" t="str">
        <f>IFERROR(VLOOKUP($C1254,$C$5:$M$24,11,0)+SUMIF($C$25:$C1254,$C1254,$K$25:$K1254)-SUMIF($C$25:$C1254,$C1254,$L$25:$L1254),"")</f>
        <v/>
      </c>
      <c r="N1254" s="10"/>
      <c r="O1254" s="10"/>
      <c r="P1254" s="65"/>
      <c r="Q1254" s="10"/>
      <c r="R1254" s="10"/>
      <c r="S1254" s="54" t="str">
        <f t="shared" si="63"/>
        <v/>
      </c>
      <c r="T1254" s="54" t="str">
        <f t="shared" si="64"/>
        <v/>
      </c>
      <c r="U1254" s="58" t="str">
        <f t="shared" si="65"/>
        <v/>
      </c>
      <c r="V1254" s="58">
        <f>IF(AND($B1254&lt;&gt;"",$F1254&lt;&gt;"",$F1254=项目明细账!$C$2),N(V1253)+1,N(V1253))</f>
        <v>0</v>
      </c>
      <c r="W1254" s="63" t="str">
        <f>IF($H1254&lt;&gt;"","项目成本",IFERROR(INDEX(基础资料!$W$4:$W$49,MATCH($I1254,基础资料!$V$4:$V$49,0)),""))</f>
        <v/>
      </c>
      <c r="X1254" s="63" t="str">
        <f>IFERROR(INDEX(基础资料!$R$4:$R$17,MATCH($G1254,基础资料!$Q$4:$Q$17,0)),"")</f>
        <v/>
      </c>
    </row>
    <row r="1255" spans="1:24">
      <c r="A1255" s="58" t="str">
        <f>IF($B1255="","",COUNTA($B$5:$B1255))</f>
        <v/>
      </c>
      <c r="B1255" s="53"/>
      <c r="C1255" s="46"/>
      <c r="D1255" s="63" t="str">
        <f>IFERROR(INDEX(基础资料!$F$4:$F$23,MATCH($C1255,基础资料!$E$4:$E$23,0)),IF($C1255="","","未匹配账户"))</f>
        <v/>
      </c>
      <c r="E1255" s="39"/>
      <c r="F1255" s="10"/>
      <c r="G1255" s="10"/>
      <c r="H1255" s="10"/>
      <c r="I1255" s="10"/>
      <c r="J1255" s="10"/>
      <c r="K1255" s="25"/>
      <c r="L1255" s="25"/>
      <c r="M1255" s="25" t="str">
        <f>IFERROR(VLOOKUP($C1255,$C$5:$M$24,11,0)+SUMIF($C$25:$C1255,$C1255,$K$25:$K1255)-SUMIF($C$25:$C1255,$C1255,$L$25:$L1255),"")</f>
        <v/>
      </c>
      <c r="N1255" s="10"/>
      <c r="O1255" s="10"/>
      <c r="P1255" s="65"/>
      <c r="Q1255" s="10"/>
      <c r="R1255" s="10"/>
      <c r="S1255" s="54" t="str">
        <f t="shared" si="63"/>
        <v/>
      </c>
      <c r="T1255" s="54" t="str">
        <f t="shared" si="64"/>
        <v/>
      </c>
      <c r="U1255" s="58" t="str">
        <f t="shared" si="65"/>
        <v/>
      </c>
      <c r="V1255" s="58">
        <f>IF(AND($B1255&lt;&gt;"",$F1255&lt;&gt;"",$F1255=项目明细账!$C$2),N(V1254)+1,N(V1254))</f>
        <v>0</v>
      </c>
      <c r="W1255" s="63" t="str">
        <f>IF($H1255&lt;&gt;"","项目成本",IFERROR(INDEX(基础资料!$W$4:$W$49,MATCH($I1255,基础资料!$V$4:$V$49,0)),""))</f>
        <v/>
      </c>
      <c r="X1255" s="63" t="str">
        <f>IFERROR(INDEX(基础资料!$R$4:$R$17,MATCH($G1255,基础资料!$Q$4:$Q$17,0)),"")</f>
        <v/>
      </c>
    </row>
    <row r="1256" spans="1:24">
      <c r="A1256" s="58" t="str">
        <f>IF($B1256="","",COUNTA($B$5:$B1256))</f>
        <v/>
      </c>
      <c r="B1256" s="53"/>
      <c r="C1256" s="46"/>
      <c r="D1256" s="63" t="str">
        <f>IFERROR(INDEX(基础资料!$F$4:$F$23,MATCH($C1256,基础资料!$E$4:$E$23,0)),IF($C1256="","","未匹配账户"))</f>
        <v/>
      </c>
      <c r="E1256" s="39"/>
      <c r="F1256" s="10"/>
      <c r="G1256" s="10"/>
      <c r="H1256" s="10"/>
      <c r="I1256" s="10"/>
      <c r="J1256" s="10"/>
      <c r="K1256" s="25"/>
      <c r="L1256" s="25"/>
      <c r="M1256" s="25" t="str">
        <f>IFERROR(VLOOKUP($C1256,$C$5:$M$24,11,0)+SUMIF($C$25:$C1256,$C1256,$K$25:$K1256)-SUMIF($C$25:$C1256,$C1256,$L$25:$L1256),"")</f>
        <v/>
      </c>
      <c r="N1256" s="10"/>
      <c r="O1256" s="10"/>
      <c r="P1256" s="65"/>
      <c r="Q1256" s="10"/>
      <c r="R1256" s="10"/>
      <c r="S1256" s="54" t="str">
        <f t="shared" si="63"/>
        <v/>
      </c>
      <c r="T1256" s="54" t="str">
        <f t="shared" si="64"/>
        <v/>
      </c>
      <c r="U1256" s="58" t="str">
        <f t="shared" si="65"/>
        <v/>
      </c>
      <c r="V1256" s="58">
        <f>IF(AND($B1256&lt;&gt;"",$F1256&lt;&gt;"",$F1256=项目明细账!$C$2),N(V1255)+1,N(V1255))</f>
        <v>0</v>
      </c>
      <c r="W1256" s="63" t="str">
        <f>IF($H1256&lt;&gt;"","项目成本",IFERROR(INDEX(基础资料!$W$4:$W$49,MATCH($I1256,基础资料!$V$4:$V$49,0)),""))</f>
        <v/>
      </c>
      <c r="X1256" s="63" t="str">
        <f>IFERROR(INDEX(基础资料!$R$4:$R$17,MATCH($G1256,基础资料!$Q$4:$Q$17,0)),"")</f>
        <v/>
      </c>
    </row>
    <row r="1257" spans="1:24">
      <c r="A1257" s="58" t="str">
        <f>IF($B1257="","",COUNTA($B$5:$B1257))</f>
        <v/>
      </c>
      <c r="B1257" s="53"/>
      <c r="C1257" s="46"/>
      <c r="D1257" s="63" t="str">
        <f>IFERROR(INDEX(基础资料!$F$4:$F$23,MATCH($C1257,基础资料!$E$4:$E$23,0)),IF($C1257="","","未匹配账户"))</f>
        <v/>
      </c>
      <c r="E1257" s="39"/>
      <c r="F1257" s="10"/>
      <c r="G1257" s="10"/>
      <c r="H1257" s="10"/>
      <c r="I1257" s="10"/>
      <c r="J1257" s="10"/>
      <c r="K1257" s="25"/>
      <c r="L1257" s="25"/>
      <c r="M1257" s="25" t="str">
        <f>IFERROR(VLOOKUP($C1257,$C$5:$M$24,11,0)+SUMIF($C$25:$C1257,$C1257,$K$25:$K1257)-SUMIF($C$25:$C1257,$C1257,$L$25:$L1257),"")</f>
        <v/>
      </c>
      <c r="N1257" s="10"/>
      <c r="O1257" s="10"/>
      <c r="P1257" s="65"/>
      <c r="Q1257" s="10"/>
      <c r="R1257" s="10"/>
      <c r="S1257" s="54" t="str">
        <f t="shared" si="63"/>
        <v/>
      </c>
      <c r="T1257" s="54" t="str">
        <f t="shared" si="64"/>
        <v/>
      </c>
      <c r="U1257" s="58" t="str">
        <f t="shared" si="65"/>
        <v/>
      </c>
      <c r="V1257" s="58">
        <f>IF(AND($B1257&lt;&gt;"",$F1257&lt;&gt;"",$F1257=项目明细账!$C$2),N(V1256)+1,N(V1256))</f>
        <v>0</v>
      </c>
      <c r="W1257" s="63" t="str">
        <f>IF($H1257&lt;&gt;"","项目成本",IFERROR(INDEX(基础资料!$W$4:$W$49,MATCH($I1257,基础资料!$V$4:$V$49,0)),""))</f>
        <v/>
      </c>
      <c r="X1257" s="63" t="str">
        <f>IFERROR(INDEX(基础资料!$R$4:$R$17,MATCH($G1257,基础资料!$Q$4:$Q$17,0)),"")</f>
        <v/>
      </c>
    </row>
    <row r="1258" spans="1:24">
      <c r="A1258" s="58" t="str">
        <f>IF($B1258="","",COUNTA($B$5:$B1258))</f>
        <v/>
      </c>
      <c r="B1258" s="53"/>
      <c r="C1258" s="46"/>
      <c r="D1258" s="63" t="str">
        <f>IFERROR(INDEX(基础资料!$F$4:$F$23,MATCH($C1258,基础资料!$E$4:$E$23,0)),IF($C1258="","","未匹配账户"))</f>
        <v/>
      </c>
      <c r="E1258" s="39"/>
      <c r="F1258" s="10"/>
      <c r="G1258" s="10"/>
      <c r="H1258" s="10"/>
      <c r="I1258" s="10"/>
      <c r="J1258" s="10"/>
      <c r="K1258" s="25"/>
      <c r="L1258" s="25"/>
      <c r="M1258" s="25" t="str">
        <f>IFERROR(VLOOKUP($C1258,$C$5:$M$24,11,0)+SUMIF($C$25:$C1258,$C1258,$K$25:$K1258)-SUMIF($C$25:$C1258,$C1258,$L$25:$L1258),"")</f>
        <v/>
      </c>
      <c r="N1258" s="10"/>
      <c r="O1258" s="10"/>
      <c r="P1258" s="65"/>
      <c r="Q1258" s="10"/>
      <c r="R1258" s="10"/>
      <c r="S1258" s="54" t="str">
        <f t="shared" si="63"/>
        <v/>
      </c>
      <c r="T1258" s="54" t="str">
        <f t="shared" si="64"/>
        <v/>
      </c>
      <c r="U1258" s="58" t="str">
        <f t="shared" si="65"/>
        <v/>
      </c>
      <c r="V1258" s="58">
        <f>IF(AND($B1258&lt;&gt;"",$F1258&lt;&gt;"",$F1258=项目明细账!$C$2),N(V1257)+1,N(V1257))</f>
        <v>0</v>
      </c>
      <c r="W1258" s="63" t="str">
        <f>IF($H1258&lt;&gt;"","项目成本",IFERROR(INDEX(基础资料!$W$4:$W$49,MATCH($I1258,基础资料!$V$4:$V$49,0)),""))</f>
        <v/>
      </c>
      <c r="X1258" s="63" t="str">
        <f>IFERROR(INDEX(基础资料!$R$4:$R$17,MATCH($G1258,基础资料!$Q$4:$Q$17,0)),"")</f>
        <v/>
      </c>
    </row>
    <row r="1259" spans="1:24">
      <c r="A1259" s="58" t="str">
        <f>IF($B1259="","",COUNTA($B$5:$B1259))</f>
        <v/>
      </c>
      <c r="B1259" s="53"/>
      <c r="C1259" s="46"/>
      <c r="D1259" s="63" t="str">
        <f>IFERROR(INDEX(基础资料!$F$4:$F$23,MATCH($C1259,基础资料!$E$4:$E$23,0)),IF($C1259="","","未匹配账户"))</f>
        <v/>
      </c>
      <c r="E1259" s="39"/>
      <c r="F1259" s="10"/>
      <c r="G1259" s="10"/>
      <c r="H1259" s="10"/>
      <c r="I1259" s="10"/>
      <c r="J1259" s="10"/>
      <c r="K1259" s="25"/>
      <c r="L1259" s="25"/>
      <c r="M1259" s="25" t="str">
        <f>IFERROR(VLOOKUP($C1259,$C$5:$M$24,11,0)+SUMIF($C$25:$C1259,$C1259,$K$25:$K1259)-SUMIF($C$25:$C1259,$C1259,$L$25:$L1259),"")</f>
        <v/>
      </c>
      <c r="N1259" s="10"/>
      <c r="O1259" s="10"/>
      <c r="P1259" s="65"/>
      <c r="Q1259" s="10"/>
      <c r="R1259" s="10"/>
      <c r="S1259" s="54" t="str">
        <f t="shared" si="63"/>
        <v/>
      </c>
      <c r="T1259" s="54" t="str">
        <f t="shared" si="64"/>
        <v/>
      </c>
      <c r="U1259" s="58" t="str">
        <f t="shared" si="65"/>
        <v/>
      </c>
      <c r="V1259" s="58">
        <f>IF(AND($B1259&lt;&gt;"",$F1259&lt;&gt;"",$F1259=项目明细账!$C$2),N(V1258)+1,N(V1258))</f>
        <v>0</v>
      </c>
      <c r="W1259" s="63" t="str">
        <f>IF($H1259&lt;&gt;"","项目成本",IFERROR(INDEX(基础资料!$W$4:$W$49,MATCH($I1259,基础资料!$V$4:$V$49,0)),""))</f>
        <v/>
      </c>
      <c r="X1259" s="63" t="str">
        <f>IFERROR(INDEX(基础资料!$R$4:$R$17,MATCH($G1259,基础资料!$Q$4:$Q$17,0)),"")</f>
        <v/>
      </c>
    </row>
    <row r="1260" spans="1:24">
      <c r="A1260" s="58" t="str">
        <f>IF($B1260="","",COUNTA($B$5:$B1260))</f>
        <v/>
      </c>
      <c r="B1260" s="53"/>
      <c r="C1260" s="46"/>
      <c r="D1260" s="63" t="str">
        <f>IFERROR(INDEX(基础资料!$F$4:$F$23,MATCH($C1260,基础资料!$E$4:$E$23,0)),IF($C1260="","","未匹配账户"))</f>
        <v/>
      </c>
      <c r="E1260" s="39"/>
      <c r="F1260" s="10"/>
      <c r="G1260" s="10"/>
      <c r="H1260" s="10"/>
      <c r="I1260" s="10"/>
      <c r="J1260" s="10"/>
      <c r="K1260" s="25"/>
      <c r="L1260" s="25"/>
      <c r="M1260" s="25" t="str">
        <f>IFERROR(VLOOKUP($C1260,$C$5:$M$24,11,0)+SUMIF($C$25:$C1260,$C1260,$K$25:$K1260)-SUMIF($C$25:$C1260,$C1260,$L$25:$L1260),"")</f>
        <v/>
      </c>
      <c r="N1260" s="10"/>
      <c r="O1260" s="10"/>
      <c r="P1260" s="65"/>
      <c r="Q1260" s="10"/>
      <c r="R1260" s="10"/>
      <c r="S1260" s="54" t="str">
        <f t="shared" si="63"/>
        <v/>
      </c>
      <c r="T1260" s="54" t="str">
        <f t="shared" si="64"/>
        <v/>
      </c>
      <c r="U1260" s="58" t="str">
        <f t="shared" si="65"/>
        <v/>
      </c>
      <c r="V1260" s="58">
        <f>IF(AND($B1260&lt;&gt;"",$F1260&lt;&gt;"",$F1260=项目明细账!$C$2),N(V1259)+1,N(V1259))</f>
        <v>0</v>
      </c>
      <c r="W1260" s="63" t="str">
        <f>IF($H1260&lt;&gt;"","项目成本",IFERROR(INDEX(基础资料!$W$4:$W$49,MATCH($I1260,基础资料!$V$4:$V$49,0)),""))</f>
        <v/>
      </c>
      <c r="X1260" s="63" t="str">
        <f>IFERROR(INDEX(基础资料!$R$4:$R$17,MATCH($G1260,基础资料!$Q$4:$Q$17,0)),"")</f>
        <v/>
      </c>
    </row>
    <row r="1261" spans="1:24">
      <c r="A1261" s="58" t="str">
        <f>IF($B1261="","",COUNTA($B$5:$B1261))</f>
        <v/>
      </c>
      <c r="B1261" s="53"/>
      <c r="C1261" s="46"/>
      <c r="D1261" s="63" t="str">
        <f>IFERROR(INDEX(基础资料!$F$4:$F$23,MATCH($C1261,基础资料!$E$4:$E$23,0)),IF($C1261="","","未匹配账户"))</f>
        <v/>
      </c>
      <c r="E1261" s="39"/>
      <c r="F1261" s="10"/>
      <c r="G1261" s="10"/>
      <c r="H1261" s="10"/>
      <c r="I1261" s="10"/>
      <c r="J1261" s="10"/>
      <c r="K1261" s="25"/>
      <c r="L1261" s="25"/>
      <c r="M1261" s="25" t="str">
        <f>IFERROR(VLOOKUP($C1261,$C$5:$M$24,11,0)+SUMIF($C$25:$C1261,$C1261,$K$25:$K1261)-SUMIF($C$25:$C1261,$C1261,$L$25:$L1261),"")</f>
        <v/>
      </c>
      <c r="N1261" s="10"/>
      <c r="O1261" s="10"/>
      <c r="P1261" s="65"/>
      <c r="Q1261" s="10"/>
      <c r="R1261" s="10"/>
      <c r="S1261" s="54" t="str">
        <f t="shared" si="63"/>
        <v/>
      </c>
      <c r="T1261" s="54" t="str">
        <f t="shared" si="64"/>
        <v/>
      </c>
      <c r="U1261" s="58" t="str">
        <f t="shared" si="65"/>
        <v/>
      </c>
      <c r="V1261" s="58">
        <f>IF(AND($B1261&lt;&gt;"",$F1261&lt;&gt;"",$F1261=项目明细账!$C$2),N(V1260)+1,N(V1260))</f>
        <v>0</v>
      </c>
      <c r="W1261" s="63" t="str">
        <f>IF($H1261&lt;&gt;"","项目成本",IFERROR(INDEX(基础资料!$W$4:$W$49,MATCH($I1261,基础资料!$V$4:$V$49,0)),""))</f>
        <v/>
      </c>
      <c r="X1261" s="63" t="str">
        <f>IFERROR(INDEX(基础资料!$R$4:$R$17,MATCH($G1261,基础资料!$Q$4:$Q$17,0)),"")</f>
        <v/>
      </c>
    </row>
    <row r="1262" spans="1:24">
      <c r="A1262" s="58" t="str">
        <f>IF($B1262="","",COUNTA($B$5:$B1262))</f>
        <v/>
      </c>
      <c r="B1262" s="53"/>
      <c r="C1262" s="46"/>
      <c r="D1262" s="63" t="str">
        <f>IFERROR(INDEX(基础资料!$F$4:$F$23,MATCH($C1262,基础资料!$E$4:$E$23,0)),IF($C1262="","","未匹配账户"))</f>
        <v/>
      </c>
      <c r="E1262" s="39"/>
      <c r="F1262" s="10"/>
      <c r="G1262" s="10"/>
      <c r="H1262" s="10"/>
      <c r="I1262" s="10"/>
      <c r="J1262" s="10"/>
      <c r="K1262" s="25"/>
      <c r="L1262" s="25"/>
      <c r="M1262" s="25" t="str">
        <f>IFERROR(VLOOKUP($C1262,$C$5:$M$24,11,0)+SUMIF($C$25:$C1262,$C1262,$K$25:$K1262)-SUMIF($C$25:$C1262,$C1262,$L$25:$L1262),"")</f>
        <v/>
      </c>
      <c r="N1262" s="10"/>
      <c r="O1262" s="10"/>
      <c r="P1262" s="65"/>
      <c r="Q1262" s="10"/>
      <c r="R1262" s="10"/>
      <c r="S1262" s="54" t="str">
        <f t="shared" si="63"/>
        <v/>
      </c>
      <c r="T1262" s="54" t="str">
        <f t="shared" si="64"/>
        <v/>
      </c>
      <c r="U1262" s="58" t="str">
        <f t="shared" si="65"/>
        <v/>
      </c>
      <c r="V1262" s="58">
        <f>IF(AND($B1262&lt;&gt;"",$F1262&lt;&gt;"",$F1262=项目明细账!$C$2),N(V1261)+1,N(V1261))</f>
        <v>0</v>
      </c>
      <c r="W1262" s="63" t="str">
        <f>IF($H1262&lt;&gt;"","项目成本",IFERROR(INDEX(基础资料!$W$4:$W$49,MATCH($I1262,基础资料!$V$4:$V$49,0)),""))</f>
        <v/>
      </c>
      <c r="X1262" s="63" t="str">
        <f>IFERROR(INDEX(基础资料!$R$4:$R$17,MATCH($G1262,基础资料!$Q$4:$Q$17,0)),"")</f>
        <v/>
      </c>
    </row>
    <row r="1263" spans="1:24">
      <c r="A1263" s="58" t="str">
        <f>IF($B1263="","",COUNTA($B$5:$B1263))</f>
        <v/>
      </c>
      <c r="B1263" s="53"/>
      <c r="C1263" s="46"/>
      <c r="D1263" s="63" t="str">
        <f>IFERROR(INDEX(基础资料!$F$4:$F$23,MATCH($C1263,基础资料!$E$4:$E$23,0)),IF($C1263="","","未匹配账户"))</f>
        <v/>
      </c>
      <c r="E1263" s="39"/>
      <c r="F1263" s="10"/>
      <c r="G1263" s="10"/>
      <c r="H1263" s="10"/>
      <c r="I1263" s="10"/>
      <c r="J1263" s="10"/>
      <c r="K1263" s="25"/>
      <c r="L1263" s="25"/>
      <c r="M1263" s="25" t="str">
        <f>IFERROR(VLOOKUP($C1263,$C$5:$M$24,11,0)+SUMIF($C$25:$C1263,$C1263,$K$25:$K1263)-SUMIF($C$25:$C1263,$C1263,$L$25:$L1263),"")</f>
        <v/>
      </c>
      <c r="N1263" s="10"/>
      <c r="O1263" s="10"/>
      <c r="P1263" s="65"/>
      <c r="Q1263" s="10"/>
      <c r="R1263" s="10"/>
      <c r="S1263" s="54" t="str">
        <f t="shared" si="63"/>
        <v/>
      </c>
      <c r="T1263" s="54" t="str">
        <f t="shared" si="64"/>
        <v/>
      </c>
      <c r="U1263" s="58" t="str">
        <f t="shared" si="65"/>
        <v/>
      </c>
      <c r="V1263" s="58">
        <f>IF(AND($B1263&lt;&gt;"",$F1263&lt;&gt;"",$F1263=项目明细账!$C$2),N(V1262)+1,N(V1262))</f>
        <v>0</v>
      </c>
      <c r="W1263" s="63" t="str">
        <f>IF($H1263&lt;&gt;"","项目成本",IFERROR(INDEX(基础资料!$W$4:$W$49,MATCH($I1263,基础资料!$V$4:$V$49,0)),""))</f>
        <v/>
      </c>
      <c r="X1263" s="63" t="str">
        <f>IFERROR(INDEX(基础资料!$R$4:$R$17,MATCH($G1263,基础资料!$Q$4:$Q$17,0)),"")</f>
        <v/>
      </c>
    </row>
    <row r="1264" spans="1:24">
      <c r="A1264" s="58" t="str">
        <f>IF($B1264="","",COUNTA($B$5:$B1264))</f>
        <v/>
      </c>
      <c r="B1264" s="53"/>
      <c r="C1264" s="46"/>
      <c r="D1264" s="63" t="str">
        <f>IFERROR(INDEX(基础资料!$F$4:$F$23,MATCH($C1264,基础资料!$E$4:$E$23,0)),IF($C1264="","","未匹配账户"))</f>
        <v/>
      </c>
      <c r="E1264" s="39"/>
      <c r="F1264" s="10"/>
      <c r="G1264" s="10"/>
      <c r="H1264" s="10"/>
      <c r="I1264" s="10"/>
      <c r="J1264" s="10"/>
      <c r="K1264" s="25"/>
      <c r="L1264" s="25"/>
      <c r="M1264" s="25" t="str">
        <f>IFERROR(VLOOKUP($C1264,$C$5:$M$24,11,0)+SUMIF($C$25:$C1264,$C1264,$K$25:$K1264)-SUMIF($C$25:$C1264,$C1264,$L$25:$L1264),"")</f>
        <v/>
      </c>
      <c r="N1264" s="10"/>
      <c r="O1264" s="10"/>
      <c r="P1264" s="65"/>
      <c r="Q1264" s="10"/>
      <c r="R1264" s="10"/>
      <c r="S1264" s="54" t="str">
        <f t="shared" si="63"/>
        <v/>
      </c>
      <c r="T1264" s="54" t="str">
        <f t="shared" si="64"/>
        <v/>
      </c>
      <c r="U1264" s="58" t="str">
        <f t="shared" si="65"/>
        <v/>
      </c>
      <c r="V1264" s="58">
        <f>IF(AND($B1264&lt;&gt;"",$F1264&lt;&gt;"",$F1264=项目明细账!$C$2),N(V1263)+1,N(V1263))</f>
        <v>0</v>
      </c>
      <c r="W1264" s="63" t="str">
        <f>IF($H1264&lt;&gt;"","项目成本",IFERROR(INDEX(基础资料!$W$4:$W$49,MATCH($I1264,基础资料!$V$4:$V$49,0)),""))</f>
        <v/>
      </c>
      <c r="X1264" s="63" t="str">
        <f>IFERROR(INDEX(基础资料!$R$4:$R$17,MATCH($G1264,基础资料!$Q$4:$Q$17,0)),"")</f>
        <v/>
      </c>
    </row>
    <row r="1265" spans="1:24">
      <c r="A1265" s="58" t="str">
        <f>IF($B1265="","",COUNTA($B$5:$B1265))</f>
        <v/>
      </c>
      <c r="B1265" s="53"/>
      <c r="C1265" s="46"/>
      <c r="D1265" s="63" t="str">
        <f>IFERROR(INDEX(基础资料!$F$4:$F$23,MATCH($C1265,基础资料!$E$4:$E$23,0)),IF($C1265="","","未匹配账户"))</f>
        <v/>
      </c>
      <c r="E1265" s="39"/>
      <c r="F1265" s="10"/>
      <c r="G1265" s="10"/>
      <c r="H1265" s="10"/>
      <c r="I1265" s="10"/>
      <c r="J1265" s="10"/>
      <c r="K1265" s="25"/>
      <c r="L1265" s="25"/>
      <c r="M1265" s="25" t="str">
        <f>IFERROR(VLOOKUP($C1265,$C$5:$M$24,11,0)+SUMIF($C$25:$C1265,$C1265,$K$25:$K1265)-SUMIF($C$25:$C1265,$C1265,$L$25:$L1265),"")</f>
        <v/>
      </c>
      <c r="N1265" s="10"/>
      <c r="O1265" s="10"/>
      <c r="P1265" s="65"/>
      <c r="Q1265" s="10"/>
      <c r="R1265" s="10"/>
      <c r="S1265" s="54" t="str">
        <f t="shared" si="63"/>
        <v/>
      </c>
      <c r="T1265" s="54" t="str">
        <f t="shared" si="64"/>
        <v/>
      </c>
      <c r="U1265" s="58" t="str">
        <f t="shared" si="65"/>
        <v/>
      </c>
      <c r="V1265" s="58">
        <f>IF(AND($B1265&lt;&gt;"",$F1265&lt;&gt;"",$F1265=项目明细账!$C$2),N(V1264)+1,N(V1264))</f>
        <v>0</v>
      </c>
      <c r="W1265" s="63" t="str">
        <f>IF($H1265&lt;&gt;"","项目成本",IFERROR(INDEX(基础资料!$W$4:$W$49,MATCH($I1265,基础资料!$V$4:$V$49,0)),""))</f>
        <v/>
      </c>
      <c r="X1265" s="63" t="str">
        <f>IFERROR(INDEX(基础资料!$R$4:$R$17,MATCH($G1265,基础资料!$Q$4:$Q$17,0)),"")</f>
        <v/>
      </c>
    </row>
    <row r="1266" spans="1:24">
      <c r="A1266" s="58" t="str">
        <f>IF($B1266="","",COUNTA($B$5:$B1266))</f>
        <v/>
      </c>
      <c r="B1266" s="53"/>
      <c r="C1266" s="46"/>
      <c r="D1266" s="63" t="str">
        <f>IFERROR(INDEX(基础资料!$F$4:$F$23,MATCH($C1266,基础资料!$E$4:$E$23,0)),IF($C1266="","","未匹配账户"))</f>
        <v/>
      </c>
      <c r="E1266" s="39"/>
      <c r="F1266" s="10"/>
      <c r="G1266" s="10"/>
      <c r="H1266" s="10"/>
      <c r="I1266" s="10"/>
      <c r="J1266" s="10"/>
      <c r="K1266" s="25"/>
      <c r="L1266" s="25"/>
      <c r="M1266" s="25" t="str">
        <f>IFERROR(VLOOKUP($C1266,$C$5:$M$24,11,0)+SUMIF($C$25:$C1266,$C1266,$K$25:$K1266)-SUMIF($C$25:$C1266,$C1266,$L$25:$L1266),"")</f>
        <v/>
      </c>
      <c r="N1266" s="10"/>
      <c r="O1266" s="10"/>
      <c r="P1266" s="65"/>
      <c r="Q1266" s="10"/>
      <c r="R1266" s="10"/>
      <c r="S1266" s="54" t="str">
        <f t="shared" si="63"/>
        <v/>
      </c>
      <c r="T1266" s="54" t="str">
        <f t="shared" si="64"/>
        <v/>
      </c>
      <c r="U1266" s="58" t="str">
        <f t="shared" si="65"/>
        <v/>
      </c>
      <c r="V1266" s="58">
        <f>IF(AND($B1266&lt;&gt;"",$F1266&lt;&gt;"",$F1266=项目明细账!$C$2),N(V1265)+1,N(V1265))</f>
        <v>0</v>
      </c>
      <c r="W1266" s="63" t="str">
        <f>IF($H1266&lt;&gt;"","项目成本",IFERROR(INDEX(基础资料!$W$4:$W$49,MATCH($I1266,基础资料!$V$4:$V$49,0)),""))</f>
        <v/>
      </c>
      <c r="X1266" s="63" t="str">
        <f>IFERROR(INDEX(基础资料!$R$4:$R$17,MATCH($G1266,基础资料!$Q$4:$Q$17,0)),"")</f>
        <v/>
      </c>
    </row>
    <row r="1267" spans="1:24">
      <c r="A1267" s="58" t="str">
        <f>IF($B1267="","",COUNTA($B$5:$B1267))</f>
        <v/>
      </c>
      <c r="B1267" s="53"/>
      <c r="C1267" s="46"/>
      <c r="D1267" s="63" t="str">
        <f>IFERROR(INDEX(基础资料!$F$4:$F$23,MATCH($C1267,基础资料!$E$4:$E$23,0)),IF($C1267="","","未匹配账户"))</f>
        <v/>
      </c>
      <c r="E1267" s="39"/>
      <c r="F1267" s="10"/>
      <c r="G1267" s="10"/>
      <c r="H1267" s="10"/>
      <c r="I1267" s="10"/>
      <c r="J1267" s="10"/>
      <c r="K1267" s="25"/>
      <c r="L1267" s="25"/>
      <c r="M1267" s="25" t="str">
        <f>IFERROR(VLOOKUP($C1267,$C$5:$M$24,11,0)+SUMIF($C$25:$C1267,$C1267,$K$25:$K1267)-SUMIF($C$25:$C1267,$C1267,$L$25:$L1267),"")</f>
        <v/>
      </c>
      <c r="N1267" s="10"/>
      <c r="O1267" s="10"/>
      <c r="P1267" s="65"/>
      <c r="Q1267" s="10"/>
      <c r="R1267" s="10"/>
      <c r="S1267" s="54" t="str">
        <f t="shared" si="63"/>
        <v/>
      </c>
      <c r="T1267" s="54" t="str">
        <f t="shared" si="64"/>
        <v/>
      </c>
      <c r="U1267" s="58" t="str">
        <f t="shared" si="65"/>
        <v/>
      </c>
      <c r="V1267" s="58">
        <f>IF(AND($B1267&lt;&gt;"",$F1267&lt;&gt;"",$F1267=项目明细账!$C$2),N(V1266)+1,N(V1266))</f>
        <v>0</v>
      </c>
      <c r="W1267" s="63" t="str">
        <f>IF($H1267&lt;&gt;"","项目成本",IFERROR(INDEX(基础资料!$W$4:$W$49,MATCH($I1267,基础资料!$V$4:$V$49,0)),""))</f>
        <v/>
      </c>
      <c r="X1267" s="63" t="str">
        <f>IFERROR(INDEX(基础资料!$R$4:$R$17,MATCH($G1267,基础资料!$Q$4:$Q$17,0)),"")</f>
        <v/>
      </c>
    </row>
    <row r="1268" spans="1:24">
      <c r="A1268" s="58" t="str">
        <f>IF($B1268="","",COUNTA($B$5:$B1268))</f>
        <v/>
      </c>
      <c r="B1268" s="53"/>
      <c r="C1268" s="46"/>
      <c r="D1268" s="63" t="str">
        <f>IFERROR(INDEX(基础资料!$F$4:$F$23,MATCH($C1268,基础资料!$E$4:$E$23,0)),IF($C1268="","","未匹配账户"))</f>
        <v/>
      </c>
      <c r="E1268" s="39"/>
      <c r="F1268" s="10"/>
      <c r="G1268" s="10"/>
      <c r="H1268" s="10"/>
      <c r="I1268" s="10"/>
      <c r="J1268" s="10"/>
      <c r="K1268" s="25"/>
      <c r="L1268" s="25"/>
      <c r="M1268" s="25" t="str">
        <f>IFERROR(VLOOKUP($C1268,$C$5:$M$24,11,0)+SUMIF($C$25:$C1268,$C1268,$K$25:$K1268)-SUMIF($C$25:$C1268,$C1268,$L$25:$L1268),"")</f>
        <v/>
      </c>
      <c r="N1268" s="10"/>
      <c r="O1268" s="10"/>
      <c r="P1268" s="65"/>
      <c r="Q1268" s="10"/>
      <c r="R1268" s="10"/>
      <c r="S1268" s="54" t="str">
        <f t="shared" si="63"/>
        <v/>
      </c>
      <c r="T1268" s="54" t="str">
        <f t="shared" si="64"/>
        <v/>
      </c>
      <c r="U1268" s="58" t="str">
        <f t="shared" si="65"/>
        <v/>
      </c>
      <c r="V1268" s="58">
        <f>IF(AND($B1268&lt;&gt;"",$F1268&lt;&gt;"",$F1268=项目明细账!$C$2),N(V1267)+1,N(V1267))</f>
        <v>0</v>
      </c>
      <c r="W1268" s="63" t="str">
        <f>IF($H1268&lt;&gt;"","项目成本",IFERROR(INDEX(基础资料!$W$4:$W$49,MATCH($I1268,基础资料!$V$4:$V$49,0)),""))</f>
        <v/>
      </c>
      <c r="X1268" s="63" t="str">
        <f>IFERROR(INDEX(基础资料!$R$4:$R$17,MATCH($G1268,基础资料!$Q$4:$Q$17,0)),"")</f>
        <v/>
      </c>
    </row>
    <row r="1269" spans="1:24">
      <c r="A1269" s="58" t="str">
        <f>IF($B1269="","",COUNTA($B$5:$B1269))</f>
        <v/>
      </c>
      <c r="B1269" s="53"/>
      <c r="C1269" s="46"/>
      <c r="D1269" s="63" t="str">
        <f>IFERROR(INDEX(基础资料!$F$4:$F$23,MATCH($C1269,基础资料!$E$4:$E$23,0)),IF($C1269="","","未匹配账户"))</f>
        <v/>
      </c>
      <c r="E1269" s="39"/>
      <c r="F1269" s="10"/>
      <c r="G1269" s="10"/>
      <c r="H1269" s="10"/>
      <c r="I1269" s="10"/>
      <c r="J1269" s="10"/>
      <c r="K1269" s="25"/>
      <c r="L1269" s="25"/>
      <c r="M1269" s="25" t="str">
        <f>IFERROR(VLOOKUP($C1269,$C$5:$M$24,11,0)+SUMIF($C$25:$C1269,$C1269,$K$25:$K1269)-SUMIF($C$25:$C1269,$C1269,$L$25:$L1269),"")</f>
        <v/>
      </c>
      <c r="N1269" s="10"/>
      <c r="O1269" s="10"/>
      <c r="P1269" s="65"/>
      <c r="Q1269" s="10"/>
      <c r="R1269" s="10"/>
      <c r="S1269" s="54" t="str">
        <f t="shared" si="63"/>
        <v/>
      </c>
      <c r="T1269" s="54" t="str">
        <f t="shared" si="64"/>
        <v/>
      </c>
      <c r="U1269" s="58" t="str">
        <f t="shared" si="65"/>
        <v/>
      </c>
      <c r="V1269" s="58">
        <f>IF(AND($B1269&lt;&gt;"",$F1269&lt;&gt;"",$F1269=项目明细账!$C$2),N(V1268)+1,N(V1268))</f>
        <v>0</v>
      </c>
      <c r="W1269" s="63" t="str">
        <f>IF($H1269&lt;&gt;"","项目成本",IFERROR(INDEX(基础资料!$W$4:$W$49,MATCH($I1269,基础资料!$V$4:$V$49,0)),""))</f>
        <v/>
      </c>
      <c r="X1269" s="63" t="str">
        <f>IFERROR(INDEX(基础资料!$R$4:$R$17,MATCH($G1269,基础资料!$Q$4:$Q$17,0)),"")</f>
        <v/>
      </c>
    </row>
    <row r="1270" spans="1:24">
      <c r="A1270" s="58" t="str">
        <f>IF($B1270="","",COUNTA($B$5:$B1270))</f>
        <v/>
      </c>
      <c r="B1270" s="53"/>
      <c r="C1270" s="46"/>
      <c r="D1270" s="63" t="str">
        <f>IFERROR(INDEX(基础资料!$F$4:$F$23,MATCH($C1270,基础资料!$E$4:$E$23,0)),IF($C1270="","","未匹配账户"))</f>
        <v/>
      </c>
      <c r="E1270" s="39"/>
      <c r="F1270" s="10"/>
      <c r="G1270" s="10"/>
      <c r="H1270" s="10"/>
      <c r="I1270" s="10"/>
      <c r="J1270" s="10"/>
      <c r="K1270" s="25"/>
      <c r="L1270" s="25"/>
      <c r="M1270" s="25" t="str">
        <f>IFERROR(VLOOKUP($C1270,$C$5:$M$24,11,0)+SUMIF($C$25:$C1270,$C1270,$K$25:$K1270)-SUMIF($C$25:$C1270,$C1270,$L$25:$L1270),"")</f>
        <v/>
      </c>
      <c r="N1270" s="10"/>
      <c r="O1270" s="10"/>
      <c r="P1270" s="65"/>
      <c r="Q1270" s="10"/>
      <c r="R1270" s="10"/>
      <c r="S1270" s="54" t="str">
        <f t="shared" si="63"/>
        <v/>
      </c>
      <c r="T1270" s="54" t="str">
        <f t="shared" si="64"/>
        <v/>
      </c>
      <c r="U1270" s="58" t="str">
        <f t="shared" si="65"/>
        <v/>
      </c>
      <c r="V1270" s="58">
        <f>IF(AND($B1270&lt;&gt;"",$F1270&lt;&gt;"",$F1270=项目明细账!$C$2),N(V1269)+1,N(V1269))</f>
        <v>0</v>
      </c>
      <c r="W1270" s="63" t="str">
        <f>IF($H1270&lt;&gt;"","项目成本",IFERROR(INDEX(基础资料!$W$4:$W$49,MATCH($I1270,基础资料!$V$4:$V$49,0)),""))</f>
        <v/>
      </c>
      <c r="X1270" s="63" t="str">
        <f>IFERROR(INDEX(基础资料!$R$4:$R$17,MATCH($G1270,基础资料!$Q$4:$Q$17,0)),"")</f>
        <v/>
      </c>
    </row>
    <row r="1271" spans="1:24">
      <c r="A1271" s="58" t="str">
        <f>IF($B1271="","",COUNTA($B$5:$B1271))</f>
        <v/>
      </c>
      <c r="B1271" s="53"/>
      <c r="C1271" s="46"/>
      <c r="D1271" s="63" t="str">
        <f>IFERROR(INDEX(基础资料!$F$4:$F$23,MATCH($C1271,基础资料!$E$4:$E$23,0)),IF($C1271="","","未匹配账户"))</f>
        <v/>
      </c>
      <c r="E1271" s="39"/>
      <c r="F1271" s="10"/>
      <c r="G1271" s="10"/>
      <c r="H1271" s="10"/>
      <c r="I1271" s="10"/>
      <c r="J1271" s="10"/>
      <c r="K1271" s="25"/>
      <c r="L1271" s="25"/>
      <c r="M1271" s="25" t="str">
        <f>IFERROR(VLOOKUP($C1271,$C$5:$M$24,11,0)+SUMIF($C$25:$C1271,$C1271,$K$25:$K1271)-SUMIF($C$25:$C1271,$C1271,$L$25:$L1271),"")</f>
        <v/>
      </c>
      <c r="N1271" s="10"/>
      <c r="O1271" s="10"/>
      <c r="P1271" s="65"/>
      <c r="Q1271" s="10"/>
      <c r="R1271" s="10"/>
      <c r="S1271" s="54" t="str">
        <f t="shared" si="63"/>
        <v/>
      </c>
      <c r="T1271" s="54" t="str">
        <f t="shared" si="64"/>
        <v/>
      </c>
      <c r="U1271" s="58" t="str">
        <f t="shared" si="65"/>
        <v/>
      </c>
      <c r="V1271" s="58">
        <f>IF(AND($B1271&lt;&gt;"",$F1271&lt;&gt;"",$F1271=项目明细账!$C$2),N(V1270)+1,N(V1270))</f>
        <v>0</v>
      </c>
      <c r="W1271" s="63" t="str">
        <f>IF($H1271&lt;&gt;"","项目成本",IFERROR(INDEX(基础资料!$W$4:$W$49,MATCH($I1271,基础资料!$V$4:$V$49,0)),""))</f>
        <v/>
      </c>
      <c r="X1271" s="63" t="str">
        <f>IFERROR(INDEX(基础资料!$R$4:$R$17,MATCH($G1271,基础资料!$Q$4:$Q$17,0)),"")</f>
        <v/>
      </c>
    </row>
    <row r="1272" spans="1:24">
      <c r="A1272" s="58" t="str">
        <f>IF($B1272="","",COUNTA($B$5:$B1272))</f>
        <v/>
      </c>
      <c r="B1272" s="53"/>
      <c r="C1272" s="46"/>
      <c r="D1272" s="63" t="str">
        <f>IFERROR(INDEX(基础资料!$F$4:$F$23,MATCH($C1272,基础资料!$E$4:$E$23,0)),IF($C1272="","","未匹配账户"))</f>
        <v/>
      </c>
      <c r="E1272" s="39"/>
      <c r="F1272" s="10"/>
      <c r="G1272" s="10"/>
      <c r="H1272" s="10"/>
      <c r="I1272" s="10"/>
      <c r="J1272" s="10"/>
      <c r="K1272" s="25"/>
      <c r="L1272" s="25"/>
      <c r="M1272" s="25" t="str">
        <f>IFERROR(VLOOKUP($C1272,$C$5:$M$24,11,0)+SUMIF($C$25:$C1272,$C1272,$K$25:$K1272)-SUMIF($C$25:$C1272,$C1272,$L$25:$L1272),"")</f>
        <v/>
      </c>
      <c r="N1272" s="10"/>
      <c r="O1272" s="10"/>
      <c r="P1272" s="65"/>
      <c r="Q1272" s="10"/>
      <c r="R1272" s="10"/>
      <c r="S1272" s="54" t="str">
        <f t="shared" si="63"/>
        <v/>
      </c>
      <c r="T1272" s="54" t="str">
        <f t="shared" si="64"/>
        <v/>
      </c>
      <c r="U1272" s="58" t="str">
        <f t="shared" si="65"/>
        <v/>
      </c>
      <c r="V1272" s="58">
        <f>IF(AND($B1272&lt;&gt;"",$F1272&lt;&gt;"",$F1272=项目明细账!$C$2),N(V1271)+1,N(V1271))</f>
        <v>0</v>
      </c>
      <c r="W1272" s="63" t="str">
        <f>IF($H1272&lt;&gt;"","项目成本",IFERROR(INDEX(基础资料!$W$4:$W$49,MATCH($I1272,基础资料!$V$4:$V$49,0)),""))</f>
        <v/>
      </c>
      <c r="X1272" s="63" t="str">
        <f>IFERROR(INDEX(基础资料!$R$4:$R$17,MATCH($G1272,基础资料!$Q$4:$Q$17,0)),"")</f>
        <v/>
      </c>
    </row>
    <row r="1273" spans="1:24">
      <c r="A1273" s="58" t="str">
        <f>IF($B1273="","",COUNTA($B$5:$B1273))</f>
        <v/>
      </c>
      <c r="B1273" s="53"/>
      <c r="C1273" s="46"/>
      <c r="D1273" s="63" t="str">
        <f>IFERROR(INDEX(基础资料!$F$4:$F$23,MATCH($C1273,基础资料!$E$4:$E$23,0)),IF($C1273="","","未匹配账户"))</f>
        <v/>
      </c>
      <c r="E1273" s="39"/>
      <c r="F1273" s="10"/>
      <c r="G1273" s="10"/>
      <c r="H1273" s="10"/>
      <c r="I1273" s="10"/>
      <c r="J1273" s="10"/>
      <c r="K1273" s="25"/>
      <c r="L1273" s="25"/>
      <c r="M1273" s="25" t="str">
        <f>IFERROR(VLOOKUP($C1273,$C$5:$M$24,11,0)+SUMIF($C$25:$C1273,$C1273,$K$25:$K1273)-SUMIF($C$25:$C1273,$C1273,$L$25:$L1273),"")</f>
        <v/>
      </c>
      <c r="N1273" s="10"/>
      <c r="O1273" s="10"/>
      <c r="P1273" s="65"/>
      <c r="Q1273" s="10"/>
      <c r="R1273" s="10"/>
      <c r="S1273" s="54" t="str">
        <f t="shared" si="63"/>
        <v/>
      </c>
      <c r="T1273" s="54" t="str">
        <f t="shared" si="64"/>
        <v/>
      </c>
      <c r="U1273" s="58" t="str">
        <f t="shared" si="65"/>
        <v/>
      </c>
      <c r="V1273" s="58">
        <f>IF(AND($B1273&lt;&gt;"",$F1273&lt;&gt;"",$F1273=项目明细账!$C$2),N(V1272)+1,N(V1272))</f>
        <v>0</v>
      </c>
      <c r="W1273" s="63" t="str">
        <f>IF($H1273&lt;&gt;"","项目成本",IFERROR(INDEX(基础资料!$W$4:$W$49,MATCH($I1273,基础资料!$V$4:$V$49,0)),""))</f>
        <v/>
      </c>
      <c r="X1273" s="63" t="str">
        <f>IFERROR(INDEX(基础资料!$R$4:$R$17,MATCH($G1273,基础资料!$Q$4:$Q$17,0)),"")</f>
        <v/>
      </c>
    </row>
    <row r="1274" spans="1:24">
      <c r="A1274" s="58" t="str">
        <f>IF($B1274="","",COUNTA($B$5:$B1274))</f>
        <v/>
      </c>
      <c r="B1274" s="53"/>
      <c r="C1274" s="46"/>
      <c r="D1274" s="63" t="str">
        <f>IFERROR(INDEX(基础资料!$F$4:$F$23,MATCH($C1274,基础资料!$E$4:$E$23,0)),IF($C1274="","","未匹配账户"))</f>
        <v/>
      </c>
      <c r="E1274" s="39"/>
      <c r="F1274" s="10"/>
      <c r="G1274" s="10"/>
      <c r="H1274" s="10"/>
      <c r="I1274" s="10"/>
      <c r="J1274" s="10"/>
      <c r="K1274" s="25"/>
      <c r="L1274" s="25"/>
      <c r="M1274" s="25" t="str">
        <f>IFERROR(VLOOKUP($C1274,$C$5:$M$24,11,0)+SUMIF($C$25:$C1274,$C1274,$K$25:$K1274)-SUMIF($C$25:$C1274,$C1274,$L$25:$L1274),"")</f>
        <v/>
      </c>
      <c r="N1274" s="10"/>
      <c r="O1274" s="10"/>
      <c r="P1274" s="65"/>
      <c r="Q1274" s="10"/>
      <c r="R1274" s="10"/>
      <c r="S1274" s="54" t="str">
        <f t="shared" si="63"/>
        <v/>
      </c>
      <c r="T1274" s="54" t="str">
        <f t="shared" si="64"/>
        <v/>
      </c>
      <c r="U1274" s="58" t="str">
        <f t="shared" si="65"/>
        <v/>
      </c>
      <c r="V1274" s="58">
        <f>IF(AND($B1274&lt;&gt;"",$F1274&lt;&gt;"",$F1274=项目明细账!$C$2),N(V1273)+1,N(V1273))</f>
        <v>0</v>
      </c>
      <c r="W1274" s="63" t="str">
        <f>IF($H1274&lt;&gt;"","项目成本",IFERROR(INDEX(基础资料!$W$4:$W$49,MATCH($I1274,基础资料!$V$4:$V$49,0)),""))</f>
        <v/>
      </c>
      <c r="X1274" s="63" t="str">
        <f>IFERROR(INDEX(基础资料!$R$4:$R$17,MATCH($G1274,基础资料!$Q$4:$Q$17,0)),"")</f>
        <v/>
      </c>
    </row>
    <row r="1275" spans="1:24">
      <c r="A1275" s="58" t="str">
        <f>IF($B1275="","",COUNTA($B$5:$B1275))</f>
        <v/>
      </c>
      <c r="B1275" s="53"/>
      <c r="C1275" s="46"/>
      <c r="D1275" s="63" t="str">
        <f>IFERROR(INDEX(基础资料!$F$4:$F$23,MATCH($C1275,基础资料!$E$4:$E$23,0)),IF($C1275="","","未匹配账户"))</f>
        <v/>
      </c>
      <c r="E1275" s="39"/>
      <c r="F1275" s="10"/>
      <c r="G1275" s="10"/>
      <c r="H1275" s="10"/>
      <c r="I1275" s="10"/>
      <c r="J1275" s="10"/>
      <c r="K1275" s="25"/>
      <c r="L1275" s="25"/>
      <c r="M1275" s="25" t="str">
        <f>IFERROR(VLOOKUP($C1275,$C$5:$M$24,11,0)+SUMIF($C$25:$C1275,$C1275,$K$25:$K1275)-SUMIF($C$25:$C1275,$C1275,$L$25:$L1275),"")</f>
        <v/>
      </c>
      <c r="N1275" s="10"/>
      <c r="O1275" s="10"/>
      <c r="P1275" s="65"/>
      <c r="Q1275" s="10"/>
      <c r="R1275" s="10"/>
      <c r="S1275" s="54" t="str">
        <f t="shared" si="63"/>
        <v/>
      </c>
      <c r="T1275" s="54" t="str">
        <f t="shared" si="64"/>
        <v/>
      </c>
      <c r="U1275" s="58" t="str">
        <f t="shared" si="65"/>
        <v/>
      </c>
      <c r="V1275" s="58">
        <f>IF(AND($B1275&lt;&gt;"",$F1275&lt;&gt;"",$F1275=项目明细账!$C$2),N(V1274)+1,N(V1274))</f>
        <v>0</v>
      </c>
      <c r="W1275" s="63" t="str">
        <f>IF($H1275&lt;&gt;"","项目成本",IFERROR(INDEX(基础资料!$W$4:$W$49,MATCH($I1275,基础资料!$V$4:$V$49,0)),""))</f>
        <v/>
      </c>
      <c r="X1275" s="63" t="str">
        <f>IFERROR(INDEX(基础资料!$R$4:$R$17,MATCH($G1275,基础资料!$Q$4:$Q$17,0)),"")</f>
        <v/>
      </c>
    </row>
    <row r="1276" spans="1:24">
      <c r="A1276" s="58" t="str">
        <f>IF($B1276="","",COUNTA($B$5:$B1276))</f>
        <v/>
      </c>
      <c r="B1276" s="53"/>
      <c r="C1276" s="46"/>
      <c r="D1276" s="63" t="str">
        <f>IFERROR(INDEX(基础资料!$F$4:$F$23,MATCH($C1276,基础资料!$E$4:$E$23,0)),IF($C1276="","","未匹配账户"))</f>
        <v/>
      </c>
      <c r="E1276" s="39"/>
      <c r="F1276" s="10"/>
      <c r="G1276" s="10"/>
      <c r="H1276" s="10"/>
      <c r="I1276" s="10"/>
      <c r="J1276" s="10"/>
      <c r="K1276" s="25"/>
      <c r="L1276" s="25"/>
      <c r="M1276" s="25" t="str">
        <f>IFERROR(VLOOKUP($C1276,$C$5:$M$24,11,0)+SUMIF($C$25:$C1276,$C1276,$K$25:$K1276)-SUMIF($C$25:$C1276,$C1276,$L$25:$L1276),"")</f>
        <v/>
      </c>
      <c r="N1276" s="10"/>
      <c r="O1276" s="10"/>
      <c r="P1276" s="65"/>
      <c r="Q1276" s="10"/>
      <c r="R1276" s="10"/>
      <c r="S1276" s="54" t="str">
        <f t="shared" si="63"/>
        <v/>
      </c>
      <c r="T1276" s="54" t="str">
        <f t="shared" si="64"/>
        <v/>
      </c>
      <c r="U1276" s="58" t="str">
        <f t="shared" si="65"/>
        <v/>
      </c>
      <c r="V1276" s="58">
        <f>IF(AND($B1276&lt;&gt;"",$F1276&lt;&gt;"",$F1276=项目明细账!$C$2),N(V1275)+1,N(V1275))</f>
        <v>0</v>
      </c>
      <c r="W1276" s="63" t="str">
        <f>IF($H1276&lt;&gt;"","项目成本",IFERROR(INDEX(基础资料!$W$4:$W$49,MATCH($I1276,基础资料!$V$4:$V$49,0)),""))</f>
        <v/>
      </c>
      <c r="X1276" s="63" t="str">
        <f>IFERROR(INDEX(基础资料!$R$4:$R$17,MATCH($G1276,基础资料!$Q$4:$Q$17,0)),"")</f>
        <v/>
      </c>
    </row>
    <row r="1277" spans="1:24">
      <c r="A1277" s="58" t="str">
        <f>IF($B1277="","",COUNTA($B$5:$B1277))</f>
        <v/>
      </c>
      <c r="B1277" s="53"/>
      <c r="C1277" s="46"/>
      <c r="D1277" s="63" t="str">
        <f>IFERROR(INDEX(基础资料!$F$4:$F$23,MATCH($C1277,基础资料!$E$4:$E$23,0)),IF($C1277="","","未匹配账户"))</f>
        <v/>
      </c>
      <c r="E1277" s="39"/>
      <c r="F1277" s="10"/>
      <c r="G1277" s="10"/>
      <c r="H1277" s="10"/>
      <c r="I1277" s="10"/>
      <c r="J1277" s="10"/>
      <c r="K1277" s="25"/>
      <c r="L1277" s="25"/>
      <c r="M1277" s="25" t="str">
        <f>IFERROR(VLOOKUP($C1277,$C$5:$M$24,11,0)+SUMIF($C$25:$C1277,$C1277,$K$25:$K1277)-SUMIF($C$25:$C1277,$C1277,$L$25:$L1277),"")</f>
        <v/>
      </c>
      <c r="N1277" s="10"/>
      <c r="O1277" s="10"/>
      <c r="P1277" s="65"/>
      <c r="Q1277" s="10"/>
      <c r="R1277" s="10"/>
      <c r="S1277" s="54" t="str">
        <f t="shared" si="63"/>
        <v/>
      </c>
      <c r="T1277" s="54" t="str">
        <f t="shared" si="64"/>
        <v/>
      </c>
      <c r="U1277" s="58" t="str">
        <f t="shared" si="65"/>
        <v/>
      </c>
      <c r="V1277" s="58">
        <f>IF(AND($B1277&lt;&gt;"",$F1277&lt;&gt;"",$F1277=项目明细账!$C$2),N(V1276)+1,N(V1276))</f>
        <v>0</v>
      </c>
      <c r="W1277" s="63" t="str">
        <f>IF($H1277&lt;&gt;"","项目成本",IFERROR(INDEX(基础资料!$W$4:$W$49,MATCH($I1277,基础资料!$V$4:$V$49,0)),""))</f>
        <v/>
      </c>
      <c r="X1277" s="63" t="str">
        <f>IFERROR(INDEX(基础资料!$R$4:$R$17,MATCH($G1277,基础资料!$Q$4:$Q$17,0)),"")</f>
        <v/>
      </c>
    </row>
    <row r="1278" spans="1:24">
      <c r="A1278" s="58" t="str">
        <f>IF($B1278="","",COUNTA($B$5:$B1278))</f>
        <v/>
      </c>
      <c r="B1278" s="53"/>
      <c r="C1278" s="46"/>
      <c r="D1278" s="63" t="str">
        <f>IFERROR(INDEX(基础资料!$F$4:$F$23,MATCH($C1278,基础资料!$E$4:$E$23,0)),IF($C1278="","","未匹配账户"))</f>
        <v/>
      </c>
      <c r="E1278" s="39"/>
      <c r="F1278" s="10"/>
      <c r="G1278" s="10"/>
      <c r="H1278" s="10"/>
      <c r="I1278" s="10"/>
      <c r="J1278" s="10"/>
      <c r="K1278" s="25"/>
      <c r="L1278" s="25"/>
      <c r="M1278" s="25" t="str">
        <f>IFERROR(VLOOKUP($C1278,$C$5:$M$24,11,0)+SUMIF($C$25:$C1278,$C1278,$K$25:$K1278)-SUMIF($C$25:$C1278,$C1278,$L$25:$L1278),"")</f>
        <v/>
      </c>
      <c r="N1278" s="10"/>
      <c r="O1278" s="10"/>
      <c r="P1278" s="65"/>
      <c r="Q1278" s="10"/>
      <c r="R1278" s="10"/>
      <c r="S1278" s="54" t="str">
        <f t="shared" si="63"/>
        <v/>
      </c>
      <c r="T1278" s="54" t="str">
        <f t="shared" si="64"/>
        <v/>
      </c>
      <c r="U1278" s="58" t="str">
        <f t="shared" si="65"/>
        <v/>
      </c>
      <c r="V1278" s="58">
        <f>IF(AND($B1278&lt;&gt;"",$F1278&lt;&gt;"",$F1278=项目明细账!$C$2),N(V1277)+1,N(V1277))</f>
        <v>0</v>
      </c>
      <c r="W1278" s="63" t="str">
        <f>IF($H1278&lt;&gt;"","项目成本",IFERROR(INDEX(基础资料!$W$4:$W$49,MATCH($I1278,基础资料!$V$4:$V$49,0)),""))</f>
        <v/>
      </c>
      <c r="X1278" s="63" t="str">
        <f>IFERROR(INDEX(基础资料!$R$4:$R$17,MATCH($G1278,基础资料!$Q$4:$Q$17,0)),"")</f>
        <v/>
      </c>
    </row>
    <row r="1279" spans="1:24">
      <c r="A1279" s="58" t="str">
        <f>IF($B1279="","",COUNTA($B$5:$B1279))</f>
        <v/>
      </c>
      <c r="B1279" s="53"/>
      <c r="C1279" s="46"/>
      <c r="D1279" s="63" t="str">
        <f>IFERROR(INDEX(基础资料!$F$4:$F$23,MATCH($C1279,基础资料!$E$4:$E$23,0)),IF($C1279="","","未匹配账户"))</f>
        <v/>
      </c>
      <c r="E1279" s="39"/>
      <c r="F1279" s="10"/>
      <c r="G1279" s="10"/>
      <c r="H1279" s="10"/>
      <c r="I1279" s="10"/>
      <c r="J1279" s="10"/>
      <c r="K1279" s="25"/>
      <c r="L1279" s="25"/>
      <c r="M1279" s="25" t="str">
        <f>IFERROR(VLOOKUP($C1279,$C$5:$M$24,11,0)+SUMIF($C$25:$C1279,$C1279,$K$25:$K1279)-SUMIF($C$25:$C1279,$C1279,$L$25:$L1279),"")</f>
        <v/>
      </c>
      <c r="N1279" s="10"/>
      <c r="O1279" s="10"/>
      <c r="P1279" s="65"/>
      <c r="Q1279" s="10"/>
      <c r="R1279" s="10"/>
      <c r="S1279" s="54" t="str">
        <f t="shared" si="63"/>
        <v/>
      </c>
      <c r="T1279" s="54" t="str">
        <f t="shared" si="64"/>
        <v/>
      </c>
      <c r="U1279" s="58" t="str">
        <f t="shared" si="65"/>
        <v/>
      </c>
      <c r="V1279" s="58">
        <f>IF(AND($B1279&lt;&gt;"",$F1279&lt;&gt;"",$F1279=项目明细账!$C$2),N(V1278)+1,N(V1278))</f>
        <v>0</v>
      </c>
      <c r="W1279" s="63" t="str">
        <f>IF($H1279&lt;&gt;"","项目成本",IFERROR(INDEX(基础资料!$W$4:$W$49,MATCH($I1279,基础资料!$V$4:$V$49,0)),""))</f>
        <v/>
      </c>
      <c r="X1279" s="63" t="str">
        <f>IFERROR(INDEX(基础资料!$R$4:$R$17,MATCH($G1279,基础资料!$Q$4:$Q$17,0)),"")</f>
        <v/>
      </c>
    </row>
    <row r="1280" spans="1:24">
      <c r="A1280" s="58" t="str">
        <f>IF($B1280="","",COUNTA($B$5:$B1280))</f>
        <v/>
      </c>
      <c r="B1280" s="53"/>
      <c r="C1280" s="46"/>
      <c r="D1280" s="63" t="str">
        <f>IFERROR(INDEX(基础资料!$F$4:$F$23,MATCH($C1280,基础资料!$E$4:$E$23,0)),IF($C1280="","","未匹配账户"))</f>
        <v/>
      </c>
      <c r="E1280" s="39"/>
      <c r="F1280" s="10"/>
      <c r="G1280" s="10"/>
      <c r="H1280" s="10"/>
      <c r="I1280" s="10"/>
      <c r="J1280" s="10"/>
      <c r="K1280" s="25"/>
      <c r="L1280" s="25"/>
      <c r="M1280" s="25" t="str">
        <f>IFERROR(VLOOKUP($C1280,$C$5:$M$24,11,0)+SUMIF($C$25:$C1280,$C1280,$K$25:$K1280)-SUMIF($C$25:$C1280,$C1280,$L$25:$L1280),"")</f>
        <v/>
      </c>
      <c r="N1280" s="10"/>
      <c r="O1280" s="10"/>
      <c r="P1280" s="65"/>
      <c r="Q1280" s="10"/>
      <c r="R1280" s="10"/>
      <c r="S1280" s="54" t="str">
        <f t="shared" si="63"/>
        <v/>
      </c>
      <c r="T1280" s="54" t="str">
        <f t="shared" si="64"/>
        <v/>
      </c>
      <c r="U1280" s="58" t="str">
        <f t="shared" si="65"/>
        <v/>
      </c>
      <c r="V1280" s="58">
        <f>IF(AND($B1280&lt;&gt;"",$F1280&lt;&gt;"",$F1280=项目明细账!$C$2),N(V1279)+1,N(V1279))</f>
        <v>0</v>
      </c>
      <c r="W1280" s="63" t="str">
        <f>IF($H1280&lt;&gt;"","项目成本",IFERROR(INDEX(基础资料!$W$4:$W$49,MATCH($I1280,基础资料!$V$4:$V$49,0)),""))</f>
        <v/>
      </c>
      <c r="X1280" s="63" t="str">
        <f>IFERROR(INDEX(基础资料!$R$4:$R$17,MATCH($G1280,基础资料!$Q$4:$Q$17,0)),"")</f>
        <v/>
      </c>
    </row>
    <row r="1281" spans="1:24">
      <c r="A1281" s="58" t="str">
        <f>IF($B1281="","",COUNTA($B$5:$B1281))</f>
        <v/>
      </c>
      <c r="B1281" s="53"/>
      <c r="C1281" s="46"/>
      <c r="D1281" s="63" t="str">
        <f>IFERROR(INDEX(基础资料!$F$4:$F$23,MATCH($C1281,基础资料!$E$4:$E$23,0)),IF($C1281="","","未匹配账户"))</f>
        <v/>
      </c>
      <c r="E1281" s="39"/>
      <c r="F1281" s="10"/>
      <c r="G1281" s="10"/>
      <c r="H1281" s="10"/>
      <c r="I1281" s="10"/>
      <c r="J1281" s="10"/>
      <c r="K1281" s="25"/>
      <c r="L1281" s="25"/>
      <c r="M1281" s="25" t="str">
        <f>IFERROR(VLOOKUP($C1281,$C$5:$M$24,11,0)+SUMIF($C$25:$C1281,$C1281,$K$25:$K1281)-SUMIF($C$25:$C1281,$C1281,$L$25:$L1281),"")</f>
        <v/>
      </c>
      <c r="N1281" s="10"/>
      <c r="O1281" s="10"/>
      <c r="P1281" s="65"/>
      <c r="Q1281" s="10"/>
      <c r="R1281" s="10"/>
      <c r="S1281" s="54" t="str">
        <f t="shared" si="63"/>
        <v/>
      </c>
      <c r="T1281" s="54" t="str">
        <f t="shared" si="64"/>
        <v/>
      </c>
      <c r="U1281" s="58" t="str">
        <f t="shared" si="65"/>
        <v/>
      </c>
      <c r="V1281" s="58">
        <f>IF(AND($B1281&lt;&gt;"",$F1281&lt;&gt;"",$F1281=项目明细账!$C$2),N(V1280)+1,N(V1280))</f>
        <v>0</v>
      </c>
      <c r="W1281" s="63" t="str">
        <f>IF($H1281&lt;&gt;"","项目成本",IFERROR(INDEX(基础资料!$W$4:$W$49,MATCH($I1281,基础资料!$V$4:$V$49,0)),""))</f>
        <v/>
      </c>
      <c r="X1281" s="63" t="str">
        <f>IFERROR(INDEX(基础资料!$R$4:$R$17,MATCH($G1281,基础资料!$Q$4:$Q$17,0)),"")</f>
        <v/>
      </c>
    </row>
    <row r="1282" spans="1:24">
      <c r="A1282" s="58" t="str">
        <f>IF($B1282="","",COUNTA($B$5:$B1282))</f>
        <v/>
      </c>
      <c r="B1282" s="53"/>
      <c r="C1282" s="46"/>
      <c r="D1282" s="63" t="str">
        <f>IFERROR(INDEX(基础资料!$F$4:$F$23,MATCH($C1282,基础资料!$E$4:$E$23,0)),IF($C1282="","","未匹配账户"))</f>
        <v/>
      </c>
      <c r="E1282" s="39"/>
      <c r="F1282" s="10"/>
      <c r="G1282" s="10"/>
      <c r="H1282" s="10"/>
      <c r="I1282" s="10"/>
      <c r="J1282" s="10"/>
      <c r="K1282" s="25"/>
      <c r="L1282" s="25"/>
      <c r="M1282" s="25" t="str">
        <f>IFERROR(VLOOKUP($C1282,$C$5:$M$24,11,0)+SUMIF($C$25:$C1282,$C1282,$K$25:$K1282)-SUMIF($C$25:$C1282,$C1282,$L$25:$L1282),"")</f>
        <v/>
      </c>
      <c r="N1282" s="10"/>
      <c r="O1282" s="10"/>
      <c r="P1282" s="65"/>
      <c r="Q1282" s="10"/>
      <c r="R1282" s="10"/>
      <c r="S1282" s="54" t="str">
        <f t="shared" si="63"/>
        <v/>
      </c>
      <c r="T1282" s="54" t="str">
        <f t="shared" si="64"/>
        <v/>
      </c>
      <c r="U1282" s="58" t="str">
        <f t="shared" si="65"/>
        <v/>
      </c>
      <c r="V1282" s="58">
        <f>IF(AND($B1282&lt;&gt;"",$F1282&lt;&gt;"",$F1282=项目明细账!$C$2),N(V1281)+1,N(V1281))</f>
        <v>0</v>
      </c>
      <c r="W1282" s="63" t="str">
        <f>IF($H1282&lt;&gt;"","项目成本",IFERROR(INDEX(基础资料!$W$4:$W$49,MATCH($I1282,基础资料!$V$4:$V$49,0)),""))</f>
        <v/>
      </c>
      <c r="X1282" s="63" t="str">
        <f>IFERROR(INDEX(基础资料!$R$4:$R$17,MATCH($G1282,基础资料!$Q$4:$Q$17,0)),"")</f>
        <v/>
      </c>
    </row>
    <row r="1283" spans="1:24">
      <c r="A1283" s="58" t="str">
        <f>IF($B1283="","",COUNTA($B$5:$B1283))</f>
        <v/>
      </c>
      <c r="B1283" s="53"/>
      <c r="C1283" s="46"/>
      <c r="D1283" s="63" t="str">
        <f>IFERROR(INDEX(基础资料!$F$4:$F$23,MATCH($C1283,基础资料!$E$4:$E$23,0)),IF($C1283="","","未匹配账户"))</f>
        <v/>
      </c>
      <c r="E1283" s="39"/>
      <c r="F1283" s="10"/>
      <c r="G1283" s="10"/>
      <c r="H1283" s="10"/>
      <c r="I1283" s="10"/>
      <c r="J1283" s="10"/>
      <c r="K1283" s="25"/>
      <c r="L1283" s="25"/>
      <c r="M1283" s="25" t="str">
        <f>IFERROR(VLOOKUP($C1283,$C$5:$M$24,11,0)+SUMIF($C$25:$C1283,$C1283,$K$25:$K1283)-SUMIF($C$25:$C1283,$C1283,$L$25:$L1283),"")</f>
        <v/>
      </c>
      <c r="N1283" s="10"/>
      <c r="O1283" s="10"/>
      <c r="P1283" s="65"/>
      <c r="Q1283" s="10"/>
      <c r="R1283" s="10"/>
      <c r="S1283" s="54" t="str">
        <f t="shared" si="63"/>
        <v/>
      </c>
      <c r="T1283" s="54" t="str">
        <f t="shared" si="64"/>
        <v/>
      </c>
      <c r="U1283" s="58" t="str">
        <f t="shared" si="65"/>
        <v/>
      </c>
      <c r="V1283" s="58">
        <f>IF(AND($B1283&lt;&gt;"",$F1283&lt;&gt;"",$F1283=项目明细账!$C$2),N(V1282)+1,N(V1282))</f>
        <v>0</v>
      </c>
      <c r="W1283" s="63" t="str">
        <f>IF($H1283&lt;&gt;"","项目成本",IFERROR(INDEX(基础资料!$W$4:$W$49,MATCH($I1283,基础资料!$V$4:$V$49,0)),""))</f>
        <v/>
      </c>
      <c r="X1283" s="63" t="str">
        <f>IFERROR(INDEX(基础资料!$R$4:$R$17,MATCH($G1283,基础资料!$Q$4:$Q$17,0)),"")</f>
        <v/>
      </c>
    </row>
    <row r="1284" spans="1:24">
      <c r="A1284" s="58" t="str">
        <f>IF($B1284="","",COUNTA($B$5:$B1284))</f>
        <v/>
      </c>
      <c r="B1284" s="53"/>
      <c r="C1284" s="46"/>
      <c r="D1284" s="63" t="str">
        <f>IFERROR(INDEX(基础资料!$F$4:$F$23,MATCH($C1284,基础资料!$E$4:$E$23,0)),IF($C1284="","","未匹配账户"))</f>
        <v/>
      </c>
      <c r="E1284" s="39"/>
      <c r="F1284" s="10"/>
      <c r="G1284" s="10"/>
      <c r="H1284" s="10"/>
      <c r="I1284" s="10"/>
      <c r="J1284" s="10"/>
      <c r="K1284" s="25"/>
      <c r="L1284" s="25"/>
      <c r="M1284" s="25" t="str">
        <f>IFERROR(VLOOKUP($C1284,$C$5:$M$24,11,0)+SUMIF($C$25:$C1284,$C1284,$K$25:$K1284)-SUMIF($C$25:$C1284,$C1284,$L$25:$L1284),"")</f>
        <v/>
      </c>
      <c r="N1284" s="10"/>
      <c r="O1284" s="10"/>
      <c r="P1284" s="65"/>
      <c r="Q1284" s="10"/>
      <c r="R1284" s="10"/>
      <c r="S1284" s="54" t="str">
        <f t="shared" si="63"/>
        <v/>
      </c>
      <c r="T1284" s="54" t="str">
        <f t="shared" si="64"/>
        <v/>
      </c>
      <c r="U1284" s="58" t="str">
        <f t="shared" si="65"/>
        <v/>
      </c>
      <c r="V1284" s="58">
        <f>IF(AND($B1284&lt;&gt;"",$F1284&lt;&gt;"",$F1284=项目明细账!$C$2),N(V1283)+1,N(V1283))</f>
        <v>0</v>
      </c>
      <c r="W1284" s="63" t="str">
        <f>IF($H1284&lt;&gt;"","项目成本",IFERROR(INDEX(基础资料!$W$4:$W$49,MATCH($I1284,基础资料!$V$4:$V$49,0)),""))</f>
        <v/>
      </c>
      <c r="X1284" s="63" t="str">
        <f>IFERROR(INDEX(基础资料!$R$4:$R$17,MATCH($G1284,基础资料!$Q$4:$Q$17,0)),"")</f>
        <v/>
      </c>
    </row>
    <row r="1285" spans="1:24">
      <c r="A1285" s="58" t="str">
        <f>IF($B1285="","",COUNTA($B$5:$B1285))</f>
        <v/>
      </c>
      <c r="B1285" s="53"/>
      <c r="C1285" s="46"/>
      <c r="D1285" s="63" t="str">
        <f>IFERROR(INDEX(基础资料!$F$4:$F$23,MATCH($C1285,基础资料!$E$4:$E$23,0)),IF($C1285="","","未匹配账户"))</f>
        <v/>
      </c>
      <c r="E1285" s="39"/>
      <c r="F1285" s="10"/>
      <c r="G1285" s="10"/>
      <c r="H1285" s="10"/>
      <c r="I1285" s="10"/>
      <c r="J1285" s="10"/>
      <c r="K1285" s="25"/>
      <c r="L1285" s="25"/>
      <c r="M1285" s="25" t="str">
        <f>IFERROR(VLOOKUP($C1285,$C$5:$M$24,11,0)+SUMIF($C$25:$C1285,$C1285,$K$25:$K1285)-SUMIF($C$25:$C1285,$C1285,$L$25:$L1285),"")</f>
        <v/>
      </c>
      <c r="N1285" s="10"/>
      <c r="O1285" s="10"/>
      <c r="P1285" s="65"/>
      <c r="Q1285" s="10"/>
      <c r="R1285" s="10"/>
      <c r="S1285" s="54" t="str">
        <f t="shared" si="63"/>
        <v/>
      </c>
      <c r="T1285" s="54" t="str">
        <f t="shared" si="64"/>
        <v/>
      </c>
      <c r="U1285" s="58" t="str">
        <f t="shared" si="65"/>
        <v/>
      </c>
      <c r="V1285" s="58">
        <f>IF(AND($B1285&lt;&gt;"",$F1285&lt;&gt;"",$F1285=项目明细账!$C$2),N(V1284)+1,N(V1284))</f>
        <v>0</v>
      </c>
      <c r="W1285" s="63" t="str">
        <f>IF($H1285&lt;&gt;"","项目成本",IFERROR(INDEX(基础资料!$W$4:$W$49,MATCH($I1285,基础资料!$V$4:$V$49,0)),""))</f>
        <v/>
      </c>
      <c r="X1285" s="63" t="str">
        <f>IFERROR(INDEX(基础资料!$R$4:$R$17,MATCH($G1285,基础资料!$Q$4:$Q$17,0)),"")</f>
        <v/>
      </c>
    </row>
    <row r="1286" spans="1:24">
      <c r="A1286" s="58" t="str">
        <f>IF($B1286="","",COUNTA($B$5:$B1286))</f>
        <v/>
      </c>
      <c r="B1286" s="53"/>
      <c r="C1286" s="46"/>
      <c r="D1286" s="63" t="str">
        <f>IFERROR(INDEX(基础资料!$F$4:$F$23,MATCH($C1286,基础资料!$E$4:$E$23,0)),IF($C1286="","","未匹配账户"))</f>
        <v/>
      </c>
      <c r="E1286" s="39"/>
      <c r="F1286" s="10"/>
      <c r="G1286" s="10"/>
      <c r="H1286" s="10"/>
      <c r="I1286" s="10"/>
      <c r="J1286" s="10"/>
      <c r="K1286" s="25"/>
      <c r="L1286" s="25"/>
      <c r="M1286" s="25" t="str">
        <f>IFERROR(VLOOKUP($C1286,$C$5:$M$24,11,0)+SUMIF($C$25:$C1286,$C1286,$K$25:$K1286)-SUMIF($C$25:$C1286,$C1286,$L$25:$L1286),"")</f>
        <v/>
      </c>
      <c r="N1286" s="10"/>
      <c r="O1286" s="10"/>
      <c r="P1286" s="65"/>
      <c r="Q1286" s="10"/>
      <c r="R1286" s="10"/>
      <c r="S1286" s="54" t="str">
        <f t="shared" si="63"/>
        <v/>
      </c>
      <c r="T1286" s="54" t="str">
        <f t="shared" si="64"/>
        <v/>
      </c>
      <c r="U1286" s="58" t="str">
        <f t="shared" si="65"/>
        <v/>
      </c>
      <c r="V1286" s="58">
        <f>IF(AND($B1286&lt;&gt;"",$F1286&lt;&gt;"",$F1286=项目明细账!$C$2),N(V1285)+1,N(V1285))</f>
        <v>0</v>
      </c>
      <c r="W1286" s="63" t="str">
        <f>IF($H1286&lt;&gt;"","项目成本",IFERROR(INDEX(基础资料!$W$4:$W$49,MATCH($I1286,基础资料!$V$4:$V$49,0)),""))</f>
        <v/>
      </c>
      <c r="X1286" s="63" t="str">
        <f>IFERROR(INDEX(基础资料!$R$4:$R$17,MATCH($G1286,基础资料!$Q$4:$Q$17,0)),"")</f>
        <v/>
      </c>
    </row>
    <row r="1287" spans="1:24">
      <c r="A1287" s="58" t="str">
        <f>IF($B1287="","",COUNTA($B$5:$B1287))</f>
        <v/>
      </c>
      <c r="B1287" s="53"/>
      <c r="C1287" s="46"/>
      <c r="D1287" s="63" t="str">
        <f>IFERROR(INDEX(基础资料!$F$4:$F$23,MATCH($C1287,基础资料!$E$4:$E$23,0)),IF($C1287="","","未匹配账户"))</f>
        <v/>
      </c>
      <c r="E1287" s="39"/>
      <c r="F1287" s="10"/>
      <c r="G1287" s="10"/>
      <c r="H1287" s="10"/>
      <c r="I1287" s="10"/>
      <c r="J1287" s="10"/>
      <c r="K1287" s="25"/>
      <c r="L1287" s="25"/>
      <c r="M1287" s="25" t="str">
        <f>IFERROR(VLOOKUP($C1287,$C$5:$M$24,11,0)+SUMIF($C$25:$C1287,$C1287,$K$25:$K1287)-SUMIF($C$25:$C1287,$C1287,$L$25:$L1287),"")</f>
        <v/>
      </c>
      <c r="N1287" s="10"/>
      <c r="O1287" s="10"/>
      <c r="P1287" s="65"/>
      <c r="Q1287" s="10"/>
      <c r="R1287" s="10"/>
      <c r="S1287" s="54" t="str">
        <f t="shared" ref="S1287:S1350" si="66">IF($B1287="","",--TEXT($B1287,"yyyymm"))</f>
        <v/>
      </c>
      <c r="T1287" s="54" t="str">
        <f t="shared" ref="T1287:T1350" si="67">IF($B1287="","",IF($P1287="",$S1287,IFERROR($P1287*1,$P1287)))</f>
        <v/>
      </c>
      <c r="U1287" s="58" t="str">
        <f t="shared" ref="U1287:U1350" si="68">IF($B1287="","",IF($T1287=$S1287,"","跨期"))</f>
        <v/>
      </c>
      <c r="V1287" s="58">
        <f>IF(AND($B1287&lt;&gt;"",$F1287&lt;&gt;"",$F1287=项目明细账!$C$2),N(V1286)+1,N(V1286))</f>
        <v>0</v>
      </c>
      <c r="W1287" s="63" t="str">
        <f>IF($H1287&lt;&gt;"","项目成本",IFERROR(INDEX(基础资料!$W$4:$W$49,MATCH($I1287,基础资料!$V$4:$V$49,0)),""))</f>
        <v/>
      </c>
      <c r="X1287" s="63" t="str">
        <f>IFERROR(INDEX(基础资料!$R$4:$R$17,MATCH($G1287,基础资料!$Q$4:$Q$17,0)),"")</f>
        <v/>
      </c>
    </row>
    <row r="1288" spans="1:24">
      <c r="A1288" s="58" t="str">
        <f>IF($B1288="","",COUNTA($B$5:$B1288))</f>
        <v/>
      </c>
      <c r="B1288" s="53"/>
      <c r="C1288" s="46"/>
      <c r="D1288" s="63" t="str">
        <f>IFERROR(INDEX(基础资料!$F$4:$F$23,MATCH($C1288,基础资料!$E$4:$E$23,0)),IF($C1288="","","未匹配账户"))</f>
        <v/>
      </c>
      <c r="E1288" s="39"/>
      <c r="F1288" s="10"/>
      <c r="G1288" s="10"/>
      <c r="H1288" s="10"/>
      <c r="I1288" s="10"/>
      <c r="J1288" s="10"/>
      <c r="K1288" s="25"/>
      <c r="L1288" s="25"/>
      <c r="M1288" s="25" t="str">
        <f>IFERROR(VLOOKUP($C1288,$C$5:$M$24,11,0)+SUMIF($C$25:$C1288,$C1288,$K$25:$K1288)-SUMIF($C$25:$C1288,$C1288,$L$25:$L1288),"")</f>
        <v/>
      </c>
      <c r="N1288" s="10"/>
      <c r="O1288" s="10"/>
      <c r="P1288" s="65"/>
      <c r="Q1288" s="10"/>
      <c r="R1288" s="10"/>
      <c r="S1288" s="54" t="str">
        <f t="shared" si="66"/>
        <v/>
      </c>
      <c r="T1288" s="54" t="str">
        <f t="shared" si="67"/>
        <v/>
      </c>
      <c r="U1288" s="58" t="str">
        <f t="shared" si="68"/>
        <v/>
      </c>
      <c r="V1288" s="58">
        <f>IF(AND($B1288&lt;&gt;"",$F1288&lt;&gt;"",$F1288=项目明细账!$C$2),N(V1287)+1,N(V1287))</f>
        <v>0</v>
      </c>
      <c r="W1288" s="63" t="str">
        <f>IF($H1288&lt;&gt;"","项目成本",IFERROR(INDEX(基础资料!$W$4:$W$49,MATCH($I1288,基础资料!$V$4:$V$49,0)),""))</f>
        <v/>
      </c>
      <c r="X1288" s="63" t="str">
        <f>IFERROR(INDEX(基础资料!$R$4:$R$17,MATCH($G1288,基础资料!$Q$4:$Q$17,0)),"")</f>
        <v/>
      </c>
    </row>
    <row r="1289" spans="1:24">
      <c r="A1289" s="58" t="str">
        <f>IF($B1289="","",COUNTA($B$5:$B1289))</f>
        <v/>
      </c>
      <c r="B1289" s="53"/>
      <c r="C1289" s="46"/>
      <c r="D1289" s="63" t="str">
        <f>IFERROR(INDEX(基础资料!$F$4:$F$23,MATCH($C1289,基础资料!$E$4:$E$23,0)),IF($C1289="","","未匹配账户"))</f>
        <v/>
      </c>
      <c r="E1289" s="39"/>
      <c r="F1289" s="10"/>
      <c r="G1289" s="10"/>
      <c r="H1289" s="10"/>
      <c r="I1289" s="10"/>
      <c r="J1289" s="10"/>
      <c r="K1289" s="25"/>
      <c r="L1289" s="25"/>
      <c r="M1289" s="25" t="str">
        <f>IFERROR(VLOOKUP($C1289,$C$5:$M$24,11,0)+SUMIF($C$25:$C1289,$C1289,$K$25:$K1289)-SUMIF($C$25:$C1289,$C1289,$L$25:$L1289),"")</f>
        <v/>
      </c>
      <c r="N1289" s="10"/>
      <c r="O1289" s="10"/>
      <c r="P1289" s="65"/>
      <c r="Q1289" s="10"/>
      <c r="R1289" s="10"/>
      <c r="S1289" s="54" t="str">
        <f t="shared" si="66"/>
        <v/>
      </c>
      <c r="T1289" s="54" t="str">
        <f t="shared" si="67"/>
        <v/>
      </c>
      <c r="U1289" s="58" t="str">
        <f t="shared" si="68"/>
        <v/>
      </c>
      <c r="V1289" s="58">
        <f>IF(AND($B1289&lt;&gt;"",$F1289&lt;&gt;"",$F1289=项目明细账!$C$2),N(V1288)+1,N(V1288))</f>
        <v>0</v>
      </c>
      <c r="W1289" s="63" t="str">
        <f>IF($H1289&lt;&gt;"","项目成本",IFERROR(INDEX(基础资料!$W$4:$W$49,MATCH($I1289,基础资料!$V$4:$V$49,0)),""))</f>
        <v/>
      </c>
      <c r="X1289" s="63" t="str">
        <f>IFERROR(INDEX(基础资料!$R$4:$R$17,MATCH($G1289,基础资料!$Q$4:$Q$17,0)),"")</f>
        <v/>
      </c>
    </row>
    <row r="1290" spans="1:24">
      <c r="A1290" s="58" t="str">
        <f>IF($B1290="","",COUNTA($B$5:$B1290))</f>
        <v/>
      </c>
      <c r="B1290" s="53"/>
      <c r="C1290" s="46"/>
      <c r="D1290" s="63" t="str">
        <f>IFERROR(INDEX(基础资料!$F$4:$F$23,MATCH($C1290,基础资料!$E$4:$E$23,0)),IF($C1290="","","未匹配账户"))</f>
        <v/>
      </c>
      <c r="E1290" s="39"/>
      <c r="F1290" s="10"/>
      <c r="G1290" s="10"/>
      <c r="H1290" s="10"/>
      <c r="I1290" s="10"/>
      <c r="J1290" s="10"/>
      <c r="K1290" s="25"/>
      <c r="L1290" s="25"/>
      <c r="M1290" s="25" t="str">
        <f>IFERROR(VLOOKUP($C1290,$C$5:$M$24,11,0)+SUMIF($C$25:$C1290,$C1290,$K$25:$K1290)-SUMIF($C$25:$C1290,$C1290,$L$25:$L1290),"")</f>
        <v/>
      </c>
      <c r="N1290" s="10"/>
      <c r="O1290" s="10"/>
      <c r="P1290" s="65"/>
      <c r="Q1290" s="10"/>
      <c r="R1290" s="10"/>
      <c r="S1290" s="54" t="str">
        <f t="shared" si="66"/>
        <v/>
      </c>
      <c r="T1290" s="54" t="str">
        <f t="shared" si="67"/>
        <v/>
      </c>
      <c r="U1290" s="58" t="str">
        <f t="shared" si="68"/>
        <v/>
      </c>
      <c r="V1290" s="58">
        <f>IF(AND($B1290&lt;&gt;"",$F1290&lt;&gt;"",$F1290=项目明细账!$C$2),N(V1289)+1,N(V1289))</f>
        <v>0</v>
      </c>
      <c r="W1290" s="63" t="str">
        <f>IF($H1290&lt;&gt;"","项目成本",IFERROR(INDEX(基础资料!$W$4:$W$49,MATCH($I1290,基础资料!$V$4:$V$49,0)),""))</f>
        <v/>
      </c>
      <c r="X1290" s="63" t="str">
        <f>IFERROR(INDEX(基础资料!$R$4:$R$17,MATCH($G1290,基础资料!$Q$4:$Q$17,0)),"")</f>
        <v/>
      </c>
    </row>
    <row r="1291" spans="1:24">
      <c r="A1291" s="58" t="str">
        <f>IF($B1291="","",COUNTA($B$5:$B1291))</f>
        <v/>
      </c>
      <c r="B1291" s="53"/>
      <c r="C1291" s="46"/>
      <c r="D1291" s="63" t="str">
        <f>IFERROR(INDEX(基础资料!$F$4:$F$23,MATCH($C1291,基础资料!$E$4:$E$23,0)),IF($C1291="","","未匹配账户"))</f>
        <v/>
      </c>
      <c r="E1291" s="39"/>
      <c r="F1291" s="10"/>
      <c r="G1291" s="10"/>
      <c r="H1291" s="10"/>
      <c r="I1291" s="10"/>
      <c r="J1291" s="10"/>
      <c r="K1291" s="25"/>
      <c r="L1291" s="25"/>
      <c r="M1291" s="25" t="str">
        <f>IFERROR(VLOOKUP($C1291,$C$5:$M$24,11,0)+SUMIF($C$25:$C1291,$C1291,$K$25:$K1291)-SUMIF($C$25:$C1291,$C1291,$L$25:$L1291),"")</f>
        <v/>
      </c>
      <c r="N1291" s="10"/>
      <c r="O1291" s="10"/>
      <c r="P1291" s="65"/>
      <c r="Q1291" s="10"/>
      <c r="R1291" s="10"/>
      <c r="S1291" s="54" t="str">
        <f t="shared" si="66"/>
        <v/>
      </c>
      <c r="T1291" s="54" t="str">
        <f t="shared" si="67"/>
        <v/>
      </c>
      <c r="U1291" s="58" t="str">
        <f t="shared" si="68"/>
        <v/>
      </c>
      <c r="V1291" s="58">
        <f>IF(AND($B1291&lt;&gt;"",$F1291&lt;&gt;"",$F1291=项目明细账!$C$2),N(V1290)+1,N(V1290))</f>
        <v>0</v>
      </c>
      <c r="W1291" s="63" t="str">
        <f>IF($H1291&lt;&gt;"","项目成本",IFERROR(INDEX(基础资料!$W$4:$W$49,MATCH($I1291,基础资料!$V$4:$V$49,0)),""))</f>
        <v/>
      </c>
      <c r="X1291" s="63" t="str">
        <f>IFERROR(INDEX(基础资料!$R$4:$R$17,MATCH($G1291,基础资料!$Q$4:$Q$17,0)),"")</f>
        <v/>
      </c>
    </row>
    <row r="1292" spans="1:24">
      <c r="A1292" s="58" t="str">
        <f>IF($B1292="","",COUNTA($B$5:$B1292))</f>
        <v/>
      </c>
      <c r="B1292" s="53"/>
      <c r="C1292" s="46"/>
      <c r="D1292" s="63" t="str">
        <f>IFERROR(INDEX(基础资料!$F$4:$F$23,MATCH($C1292,基础资料!$E$4:$E$23,0)),IF($C1292="","","未匹配账户"))</f>
        <v/>
      </c>
      <c r="E1292" s="39"/>
      <c r="F1292" s="10"/>
      <c r="G1292" s="10"/>
      <c r="H1292" s="10"/>
      <c r="I1292" s="10"/>
      <c r="J1292" s="10"/>
      <c r="K1292" s="25"/>
      <c r="L1292" s="25"/>
      <c r="M1292" s="25" t="str">
        <f>IFERROR(VLOOKUP($C1292,$C$5:$M$24,11,0)+SUMIF($C$25:$C1292,$C1292,$K$25:$K1292)-SUMIF($C$25:$C1292,$C1292,$L$25:$L1292),"")</f>
        <v/>
      </c>
      <c r="N1292" s="10"/>
      <c r="O1292" s="10"/>
      <c r="P1292" s="65"/>
      <c r="Q1292" s="10"/>
      <c r="R1292" s="10"/>
      <c r="S1292" s="54" t="str">
        <f t="shared" si="66"/>
        <v/>
      </c>
      <c r="T1292" s="54" t="str">
        <f t="shared" si="67"/>
        <v/>
      </c>
      <c r="U1292" s="58" t="str">
        <f t="shared" si="68"/>
        <v/>
      </c>
      <c r="V1292" s="58">
        <f>IF(AND($B1292&lt;&gt;"",$F1292&lt;&gt;"",$F1292=项目明细账!$C$2),N(V1291)+1,N(V1291))</f>
        <v>0</v>
      </c>
      <c r="W1292" s="63" t="str">
        <f>IF($H1292&lt;&gt;"","项目成本",IFERROR(INDEX(基础资料!$W$4:$W$49,MATCH($I1292,基础资料!$V$4:$V$49,0)),""))</f>
        <v/>
      </c>
      <c r="X1292" s="63" t="str">
        <f>IFERROR(INDEX(基础资料!$R$4:$R$17,MATCH($G1292,基础资料!$Q$4:$Q$17,0)),"")</f>
        <v/>
      </c>
    </row>
    <row r="1293" spans="1:24">
      <c r="A1293" s="58" t="str">
        <f>IF($B1293="","",COUNTA($B$5:$B1293))</f>
        <v/>
      </c>
      <c r="B1293" s="53"/>
      <c r="C1293" s="46"/>
      <c r="D1293" s="63" t="str">
        <f>IFERROR(INDEX(基础资料!$F$4:$F$23,MATCH($C1293,基础资料!$E$4:$E$23,0)),IF($C1293="","","未匹配账户"))</f>
        <v/>
      </c>
      <c r="E1293" s="39"/>
      <c r="F1293" s="10"/>
      <c r="G1293" s="10"/>
      <c r="H1293" s="10"/>
      <c r="I1293" s="10"/>
      <c r="J1293" s="10"/>
      <c r="K1293" s="25"/>
      <c r="L1293" s="25"/>
      <c r="M1293" s="25" t="str">
        <f>IFERROR(VLOOKUP($C1293,$C$5:$M$24,11,0)+SUMIF($C$25:$C1293,$C1293,$K$25:$K1293)-SUMIF($C$25:$C1293,$C1293,$L$25:$L1293),"")</f>
        <v/>
      </c>
      <c r="N1293" s="10"/>
      <c r="O1293" s="10"/>
      <c r="P1293" s="65"/>
      <c r="Q1293" s="10"/>
      <c r="R1293" s="10"/>
      <c r="S1293" s="54" t="str">
        <f t="shared" si="66"/>
        <v/>
      </c>
      <c r="T1293" s="54" t="str">
        <f t="shared" si="67"/>
        <v/>
      </c>
      <c r="U1293" s="58" t="str">
        <f t="shared" si="68"/>
        <v/>
      </c>
      <c r="V1293" s="58">
        <f>IF(AND($B1293&lt;&gt;"",$F1293&lt;&gt;"",$F1293=项目明细账!$C$2),N(V1292)+1,N(V1292))</f>
        <v>0</v>
      </c>
      <c r="W1293" s="63" t="str">
        <f>IF($H1293&lt;&gt;"","项目成本",IFERROR(INDEX(基础资料!$W$4:$W$49,MATCH($I1293,基础资料!$V$4:$V$49,0)),""))</f>
        <v/>
      </c>
      <c r="X1293" s="63" t="str">
        <f>IFERROR(INDEX(基础资料!$R$4:$R$17,MATCH($G1293,基础资料!$Q$4:$Q$17,0)),"")</f>
        <v/>
      </c>
    </row>
    <row r="1294" spans="1:24">
      <c r="A1294" s="58" t="str">
        <f>IF($B1294="","",COUNTA($B$5:$B1294))</f>
        <v/>
      </c>
      <c r="B1294" s="53"/>
      <c r="C1294" s="46"/>
      <c r="D1294" s="63" t="str">
        <f>IFERROR(INDEX(基础资料!$F$4:$F$23,MATCH($C1294,基础资料!$E$4:$E$23,0)),IF($C1294="","","未匹配账户"))</f>
        <v/>
      </c>
      <c r="E1294" s="39"/>
      <c r="F1294" s="10"/>
      <c r="G1294" s="10"/>
      <c r="H1294" s="10"/>
      <c r="I1294" s="10"/>
      <c r="J1294" s="10"/>
      <c r="K1294" s="25"/>
      <c r="L1294" s="25"/>
      <c r="M1294" s="25" t="str">
        <f>IFERROR(VLOOKUP($C1294,$C$5:$M$24,11,0)+SUMIF($C$25:$C1294,$C1294,$K$25:$K1294)-SUMIF($C$25:$C1294,$C1294,$L$25:$L1294),"")</f>
        <v/>
      </c>
      <c r="N1294" s="10"/>
      <c r="O1294" s="10"/>
      <c r="P1294" s="65"/>
      <c r="Q1294" s="10"/>
      <c r="R1294" s="10"/>
      <c r="S1294" s="54" t="str">
        <f t="shared" si="66"/>
        <v/>
      </c>
      <c r="T1294" s="54" t="str">
        <f t="shared" si="67"/>
        <v/>
      </c>
      <c r="U1294" s="58" t="str">
        <f t="shared" si="68"/>
        <v/>
      </c>
      <c r="V1294" s="58">
        <f>IF(AND($B1294&lt;&gt;"",$F1294&lt;&gt;"",$F1294=项目明细账!$C$2),N(V1293)+1,N(V1293))</f>
        <v>0</v>
      </c>
      <c r="W1294" s="63" t="str">
        <f>IF($H1294&lt;&gt;"","项目成本",IFERROR(INDEX(基础资料!$W$4:$W$49,MATCH($I1294,基础资料!$V$4:$V$49,0)),""))</f>
        <v/>
      </c>
      <c r="X1294" s="63" t="str">
        <f>IFERROR(INDEX(基础资料!$R$4:$R$17,MATCH($G1294,基础资料!$Q$4:$Q$17,0)),"")</f>
        <v/>
      </c>
    </row>
    <row r="1295" spans="1:24">
      <c r="A1295" s="58" t="str">
        <f>IF($B1295="","",COUNTA($B$5:$B1295))</f>
        <v/>
      </c>
      <c r="B1295" s="53"/>
      <c r="C1295" s="46"/>
      <c r="D1295" s="63" t="str">
        <f>IFERROR(INDEX(基础资料!$F$4:$F$23,MATCH($C1295,基础资料!$E$4:$E$23,0)),IF($C1295="","","未匹配账户"))</f>
        <v/>
      </c>
      <c r="E1295" s="39"/>
      <c r="F1295" s="10"/>
      <c r="G1295" s="10"/>
      <c r="H1295" s="10"/>
      <c r="I1295" s="10"/>
      <c r="J1295" s="10"/>
      <c r="K1295" s="25"/>
      <c r="L1295" s="25"/>
      <c r="M1295" s="25" t="str">
        <f>IFERROR(VLOOKUP($C1295,$C$5:$M$24,11,0)+SUMIF($C$25:$C1295,$C1295,$K$25:$K1295)-SUMIF($C$25:$C1295,$C1295,$L$25:$L1295),"")</f>
        <v/>
      </c>
      <c r="N1295" s="10"/>
      <c r="O1295" s="10"/>
      <c r="P1295" s="65"/>
      <c r="Q1295" s="10"/>
      <c r="R1295" s="10"/>
      <c r="S1295" s="54" t="str">
        <f t="shared" si="66"/>
        <v/>
      </c>
      <c r="T1295" s="54" t="str">
        <f t="shared" si="67"/>
        <v/>
      </c>
      <c r="U1295" s="58" t="str">
        <f t="shared" si="68"/>
        <v/>
      </c>
      <c r="V1295" s="58">
        <f>IF(AND($B1295&lt;&gt;"",$F1295&lt;&gt;"",$F1295=项目明细账!$C$2),N(V1294)+1,N(V1294))</f>
        <v>0</v>
      </c>
      <c r="W1295" s="63" t="str">
        <f>IF($H1295&lt;&gt;"","项目成本",IFERROR(INDEX(基础资料!$W$4:$W$49,MATCH($I1295,基础资料!$V$4:$V$49,0)),""))</f>
        <v/>
      </c>
      <c r="X1295" s="63" t="str">
        <f>IFERROR(INDEX(基础资料!$R$4:$R$17,MATCH($G1295,基础资料!$Q$4:$Q$17,0)),"")</f>
        <v/>
      </c>
    </row>
    <row r="1296" spans="1:24">
      <c r="A1296" s="58" t="str">
        <f>IF($B1296="","",COUNTA($B$5:$B1296))</f>
        <v/>
      </c>
      <c r="B1296" s="53"/>
      <c r="C1296" s="46"/>
      <c r="D1296" s="63" t="str">
        <f>IFERROR(INDEX(基础资料!$F$4:$F$23,MATCH($C1296,基础资料!$E$4:$E$23,0)),IF($C1296="","","未匹配账户"))</f>
        <v/>
      </c>
      <c r="E1296" s="39"/>
      <c r="F1296" s="10"/>
      <c r="G1296" s="10"/>
      <c r="H1296" s="10"/>
      <c r="I1296" s="10"/>
      <c r="J1296" s="10"/>
      <c r="K1296" s="25"/>
      <c r="L1296" s="25"/>
      <c r="M1296" s="25" t="str">
        <f>IFERROR(VLOOKUP($C1296,$C$5:$M$24,11,0)+SUMIF($C$25:$C1296,$C1296,$K$25:$K1296)-SUMIF($C$25:$C1296,$C1296,$L$25:$L1296),"")</f>
        <v/>
      </c>
      <c r="N1296" s="10"/>
      <c r="O1296" s="10"/>
      <c r="P1296" s="65"/>
      <c r="Q1296" s="10"/>
      <c r="R1296" s="10"/>
      <c r="S1296" s="54" t="str">
        <f t="shared" si="66"/>
        <v/>
      </c>
      <c r="T1296" s="54" t="str">
        <f t="shared" si="67"/>
        <v/>
      </c>
      <c r="U1296" s="58" t="str">
        <f t="shared" si="68"/>
        <v/>
      </c>
      <c r="V1296" s="58">
        <f>IF(AND($B1296&lt;&gt;"",$F1296&lt;&gt;"",$F1296=项目明细账!$C$2),N(V1295)+1,N(V1295))</f>
        <v>0</v>
      </c>
      <c r="W1296" s="63" t="str">
        <f>IF($H1296&lt;&gt;"","项目成本",IFERROR(INDEX(基础资料!$W$4:$W$49,MATCH($I1296,基础资料!$V$4:$V$49,0)),""))</f>
        <v/>
      </c>
      <c r="X1296" s="63" t="str">
        <f>IFERROR(INDEX(基础资料!$R$4:$R$17,MATCH($G1296,基础资料!$Q$4:$Q$17,0)),"")</f>
        <v/>
      </c>
    </row>
    <row r="1297" spans="1:24">
      <c r="A1297" s="58" t="str">
        <f>IF($B1297="","",COUNTA($B$5:$B1297))</f>
        <v/>
      </c>
      <c r="B1297" s="53"/>
      <c r="C1297" s="46"/>
      <c r="D1297" s="63" t="str">
        <f>IFERROR(INDEX(基础资料!$F$4:$F$23,MATCH($C1297,基础资料!$E$4:$E$23,0)),IF($C1297="","","未匹配账户"))</f>
        <v/>
      </c>
      <c r="E1297" s="39"/>
      <c r="F1297" s="10"/>
      <c r="G1297" s="10"/>
      <c r="H1297" s="10"/>
      <c r="I1297" s="10"/>
      <c r="J1297" s="10"/>
      <c r="K1297" s="25"/>
      <c r="L1297" s="25"/>
      <c r="M1297" s="25" t="str">
        <f>IFERROR(VLOOKUP($C1297,$C$5:$M$24,11,0)+SUMIF($C$25:$C1297,$C1297,$K$25:$K1297)-SUMIF($C$25:$C1297,$C1297,$L$25:$L1297),"")</f>
        <v/>
      </c>
      <c r="N1297" s="10"/>
      <c r="O1297" s="10"/>
      <c r="P1297" s="65"/>
      <c r="Q1297" s="10"/>
      <c r="R1297" s="10"/>
      <c r="S1297" s="54" t="str">
        <f t="shared" si="66"/>
        <v/>
      </c>
      <c r="T1297" s="54" t="str">
        <f t="shared" si="67"/>
        <v/>
      </c>
      <c r="U1297" s="58" t="str">
        <f t="shared" si="68"/>
        <v/>
      </c>
      <c r="V1297" s="58">
        <f>IF(AND($B1297&lt;&gt;"",$F1297&lt;&gt;"",$F1297=项目明细账!$C$2),N(V1296)+1,N(V1296))</f>
        <v>0</v>
      </c>
      <c r="W1297" s="63" t="str">
        <f>IF($H1297&lt;&gt;"","项目成本",IFERROR(INDEX(基础资料!$W$4:$W$49,MATCH($I1297,基础资料!$V$4:$V$49,0)),""))</f>
        <v/>
      </c>
      <c r="X1297" s="63" t="str">
        <f>IFERROR(INDEX(基础资料!$R$4:$R$17,MATCH($G1297,基础资料!$Q$4:$Q$17,0)),"")</f>
        <v/>
      </c>
    </row>
    <row r="1298" spans="1:24">
      <c r="A1298" s="58" t="str">
        <f>IF($B1298="","",COUNTA($B$5:$B1298))</f>
        <v/>
      </c>
      <c r="B1298" s="53"/>
      <c r="C1298" s="46"/>
      <c r="D1298" s="63" t="str">
        <f>IFERROR(INDEX(基础资料!$F$4:$F$23,MATCH($C1298,基础资料!$E$4:$E$23,0)),IF($C1298="","","未匹配账户"))</f>
        <v/>
      </c>
      <c r="E1298" s="39"/>
      <c r="F1298" s="10"/>
      <c r="G1298" s="10"/>
      <c r="H1298" s="10"/>
      <c r="I1298" s="10"/>
      <c r="J1298" s="10"/>
      <c r="K1298" s="25"/>
      <c r="L1298" s="25"/>
      <c r="M1298" s="25" t="str">
        <f>IFERROR(VLOOKUP($C1298,$C$5:$M$24,11,0)+SUMIF($C$25:$C1298,$C1298,$K$25:$K1298)-SUMIF($C$25:$C1298,$C1298,$L$25:$L1298),"")</f>
        <v/>
      </c>
      <c r="N1298" s="10"/>
      <c r="O1298" s="10"/>
      <c r="P1298" s="65"/>
      <c r="Q1298" s="10"/>
      <c r="R1298" s="10"/>
      <c r="S1298" s="54" t="str">
        <f t="shared" si="66"/>
        <v/>
      </c>
      <c r="T1298" s="54" t="str">
        <f t="shared" si="67"/>
        <v/>
      </c>
      <c r="U1298" s="58" t="str">
        <f t="shared" si="68"/>
        <v/>
      </c>
      <c r="V1298" s="58">
        <f>IF(AND($B1298&lt;&gt;"",$F1298&lt;&gt;"",$F1298=项目明细账!$C$2),N(V1297)+1,N(V1297))</f>
        <v>0</v>
      </c>
      <c r="W1298" s="63" t="str">
        <f>IF($H1298&lt;&gt;"","项目成本",IFERROR(INDEX(基础资料!$W$4:$W$49,MATCH($I1298,基础资料!$V$4:$V$49,0)),""))</f>
        <v/>
      </c>
      <c r="X1298" s="63" t="str">
        <f>IFERROR(INDEX(基础资料!$R$4:$R$17,MATCH($G1298,基础资料!$Q$4:$Q$17,0)),"")</f>
        <v/>
      </c>
    </row>
    <row r="1299" spans="1:24">
      <c r="A1299" s="58" t="str">
        <f>IF($B1299="","",COUNTA($B$5:$B1299))</f>
        <v/>
      </c>
      <c r="B1299" s="53"/>
      <c r="C1299" s="46"/>
      <c r="D1299" s="63" t="str">
        <f>IFERROR(INDEX(基础资料!$F$4:$F$23,MATCH($C1299,基础资料!$E$4:$E$23,0)),IF($C1299="","","未匹配账户"))</f>
        <v/>
      </c>
      <c r="E1299" s="39"/>
      <c r="F1299" s="10"/>
      <c r="G1299" s="10"/>
      <c r="H1299" s="10"/>
      <c r="I1299" s="10"/>
      <c r="J1299" s="10"/>
      <c r="K1299" s="25"/>
      <c r="L1299" s="25"/>
      <c r="M1299" s="25" t="str">
        <f>IFERROR(VLOOKUP($C1299,$C$5:$M$24,11,0)+SUMIF($C$25:$C1299,$C1299,$K$25:$K1299)-SUMIF($C$25:$C1299,$C1299,$L$25:$L1299),"")</f>
        <v/>
      </c>
      <c r="N1299" s="10"/>
      <c r="O1299" s="10"/>
      <c r="P1299" s="65"/>
      <c r="Q1299" s="10"/>
      <c r="R1299" s="10"/>
      <c r="S1299" s="54" t="str">
        <f t="shared" si="66"/>
        <v/>
      </c>
      <c r="T1299" s="54" t="str">
        <f t="shared" si="67"/>
        <v/>
      </c>
      <c r="U1299" s="58" t="str">
        <f t="shared" si="68"/>
        <v/>
      </c>
      <c r="V1299" s="58">
        <f>IF(AND($B1299&lt;&gt;"",$F1299&lt;&gt;"",$F1299=项目明细账!$C$2),N(V1298)+1,N(V1298))</f>
        <v>0</v>
      </c>
      <c r="W1299" s="63" t="str">
        <f>IF($H1299&lt;&gt;"","项目成本",IFERROR(INDEX(基础资料!$W$4:$W$49,MATCH($I1299,基础资料!$V$4:$V$49,0)),""))</f>
        <v/>
      </c>
      <c r="X1299" s="63" t="str">
        <f>IFERROR(INDEX(基础资料!$R$4:$R$17,MATCH($G1299,基础资料!$Q$4:$Q$17,0)),"")</f>
        <v/>
      </c>
    </row>
    <row r="1300" spans="1:24">
      <c r="A1300" s="58" t="str">
        <f>IF($B1300="","",COUNTA($B$5:$B1300))</f>
        <v/>
      </c>
      <c r="B1300" s="53"/>
      <c r="C1300" s="46"/>
      <c r="D1300" s="63" t="str">
        <f>IFERROR(INDEX(基础资料!$F$4:$F$23,MATCH($C1300,基础资料!$E$4:$E$23,0)),IF($C1300="","","未匹配账户"))</f>
        <v/>
      </c>
      <c r="E1300" s="39"/>
      <c r="F1300" s="10"/>
      <c r="G1300" s="10"/>
      <c r="H1300" s="10"/>
      <c r="I1300" s="10"/>
      <c r="J1300" s="10"/>
      <c r="K1300" s="25"/>
      <c r="L1300" s="25"/>
      <c r="M1300" s="25" t="str">
        <f>IFERROR(VLOOKUP($C1300,$C$5:$M$24,11,0)+SUMIF($C$25:$C1300,$C1300,$K$25:$K1300)-SUMIF($C$25:$C1300,$C1300,$L$25:$L1300),"")</f>
        <v/>
      </c>
      <c r="N1300" s="10"/>
      <c r="O1300" s="10"/>
      <c r="P1300" s="65"/>
      <c r="Q1300" s="10"/>
      <c r="R1300" s="10"/>
      <c r="S1300" s="54" t="str">
        <f t="shared" si="66"/>
        <v/>
      </c>
      <c r="T1300" s="54" t="str">
        <f t="shared" si="67"/>
        <v/>
      </c>
      <c r="U1300" s="58" t="str">
        <f t="shared" si="68"/>
        <v/>
      </c>
      <c r="V1300" s="58">
        <f>IF(AND($B1300&lt;&gt;"",$F1300&lt;&gt;"",$F1300=项目明细账!$C$2),N(V1299)+1,N(V1299))</f>
        <v>0</v>
      </c>
      <c r="W1300" s="63" t="str">
        <f>IF($H1300&lt;&gt;"","项目成本",IFERROR(INDEX(基础资料!$W$4:$W$49,MATCH($I1300,基础资料!$V$4:$V$49,0)),""))</f>
        <v/>
      </c>
      <c r="X1300" s="63" t="str">
        <f>IFERROR(INDEX(基础资料!$R$4:$R$17,MATCH($G1300,基础资料!$Q$4:$Q$17,0)),"")</f>
        <v/>
      </c>
    </row>
    <row r="1301" spans="1:24">
      <c r="A1301" s="58" t="str">
        <f>IF($B1301="","",COUNTA($B$5:$B1301))</f>
        <v/>
      </c>
      <c r="B1301" s="53"/>
      <c r="C1301" s="46"/>
      <c r="D1301" s="63" t="str">
        <f>IFERROR(INDEX(基础资料!$F$4:$F$23,MATCH($C1301,基础资料!$E$4:$E$23,0)),IF($C1301="","","未匹配账户"))</f>
        <v/>
      </c>
      <c r="E1301" s="39"/>
      <c r="F1301" s="10"/>
      <c r="G1301" s="10"/>
      <c r="H1301" s="10"/>
      <c r="I1301" s="10"/>
      <c r="J1301" s="10"/>
      <c r="K1301" s="25"/>
      <c r="L1301" s="25"/>
      <c r="M1301" s="25" t="str">
        <f>IFERROR(VLOOKUP($C1301,$C$5:$M$24,11,0)+SUMIF($C$25:$C1301,$C1301,$K$25:$K1301)-SUMIF($C$25:$C1301,$C1301,$L$25:$L1301),"")</f>
        <v/>
      </c>
      <c r="N1301" s="10"/>
      <c r="O1301" s="10"/>
      <c r="P1301" s="65"/>
      <c r="Q1301" s="10"/>
      <c r="R1301" s="10"/>
      <c r="S1301" s="54" t="str">
        <f t="shared" si="66"/>
        <v/>
      </c>
      <c r="T1301" s="54" t="str">
        <f t="shared" si="67"/>
        <v/>
      </c>
      <c r="U1301" s="58" t="str">
        <f t="shared" si="68"/>
        <v/>
      </c>
      <c r="V1301" s="58">
        <f>IF(AND($B1301&lt;&gt;"",$F1301&lt;&gt;"",$F1301=项目明细账!$C$2),N(V1300)+1,N(V1300))</f>
        <v>0</v>
      </c>
      <c r="W1301" s="63" t="str">
        <f>IF($H1301&lt;&gt;"","项目成本",IFERROR(INDEX(基础资料!$W$4:$W$49,MATCH($I1301,基础资料!$V$4:$V$49,0)),""))</f>
        <v/>
      </c>
      <c r="X1301" s="63" t="str">
        <f>IFERROR(INDEX(基础资料!$R$4:$R$17,MATCH($G1301,基础资料!$Q$4:$Q$17,0)),"")</f>
        <v/>
      </c>
    </row>
    <row r="1302" spans="1:24">
      <c r="A1302" s="58" t="str">
        <f>IF($B1302="","",COUNTA($B$5:$B1302))</f>
        <v/>
      </c>
      <c r="B1302" s="53"/>
      <c r="C1302" s="46"/>
      <c r="D1302" s="63" t="str">
        <f>IFERROR(INDEX(基础资料!$F$4:$F$23,MATCH($C1302,基础资料!$E$4:$E$23,0)),IF($C1302="","","未匹配账户"))</f>
        <v/>
      </c>
      <c r="E1302" s="39"/>
      <c r="F1302" s="10"/>
      <c r="G1302" s="10"/>
      <c r="H1302" s="10"/>
      <c r="I1302" s="10"/>
      <c r="J1302" s="10"/>
      <c r="K1302" s="25"/>
      <c r="L1302" s="25"/>
      <c r="M1302" s="25" t="str">
        <f>IFERROR(VLOOKUP($C1302,$C$5:$M$24,11,0)+SUMIF($C$25:$C1302,$C1302,$K$25:$K1302)-SUMIF($C$25:$C1302,$C1302,$L$25:$L1302),"")</f>
        <v/>
      </c>
      <c r="N1302" s="10"/>
      <c r="O1302" s="10"/>
      <c r="P1302" s="65"/>
      <c r="Q1302" s="10"/>
      <c r="R1302" s="10"/>
      <c r="S1302" s="54" t="str">
        <f t="shared" si="66"/>
        <v/>
      </c>
      <c r="T1302" s="54" t="str">
        <f t="shared" si="67"/>
        <v/>
      </c>
      <c r="U1302" s="58" t="str">
        <f t="shared" si="68"/>
        <v/>
      </c>
      <c r="V1302" s="58">
        <f>IF(AND($B1302&lt;&gt;"",$F1302&lt;&gt;"",$F1302=项目明细账!$C$2),N(V1301)+1,N(V1301))</f>
        <v>0</v>
      </c>
      <c r="W1302" s="63" t="str">
        <f>IF($H1302&lt;&gt;"","项目成本",IFERROR(INDEX(基础资料!$W$4:$W$49,MATCH($I1302,基础资料!$V$4:$V$49,0)),""))</f>
        <v/>
      </c>
      <c r="X1302" s="63" t="str">
        <f>IFERROR(INDEX(基础资料!$R$4:$R$17,MATCH($G1302,基础资料!$Q$4:$Q$17,0)),"")</f>
        <v/>
      </c>
    </row>
    <row r="1303" spans="1:24">
      <c r="A1303" s="58" t="str">
        <f>IF($B1303="","",COUNTA($B$5:$B1303))</f>
        <v/>
      </c>
      <c r="B1303" s="53"/>
      <c r="C1303" s="46"/>
      <c r="D1303" s="63" t="str">
        <f>IFERROR(INDEX(基础资料!$F$4:$F$23,MATCH($C1303,基础资料!$E$4:$E$23,0)),IF($C1303="","","未匹配账户"))</f>
        <v/>
      </c>
      <c r="E1303" s="39"/>
      <c r="F1303" s="10"/>
      <c r="G1303" s="10"/>
      <c r="H1303" s="10"/>
      <c r="I1303" s="10"/>
      <c r="J1303" s="10"/>
      <c r="K1303" s="25"/>
      <c r="L1303" s="25"/>
      <c r="M1303" s="25" t="str">
        <f>IFERROR(VLOOKUP($C1303,$C$5:$M$24,11,0)+SUMIF($C$25:$C1303,$C1303,$K$25:$K1303)-SUMIF($C$25:$C1303,$C1303,$L$25:$L1303),"")</f>
        <v/>
      </c>
      <c r="N1303" s="10"/>
      <c r="O1303" s="10"/>
      <c r="P1303" s="65"/>
      <c r="Q1303" s="10"/>
      <c r="R1303" s="10"/>
      <c r="S1303" s="54" t="str">
        <f t="shared" si="66"/>
        <v/>
      </c>
      <c r="T1303" s="54" t="str">
        <f t="shared" si="67"/>
        <v/>
      </c>
      <c r="U1303" s="58" t="str">
        <f t="shared" si="68"/>
        <v/>
      </c>
      <c r="V1303" s="58">
        <f>IF(AND($B1303&lt;&gt;"",$F1303&lt;&gt;"",$F1303=项目明细账!$C$2),N(V1302)+1,N(V1302))</f>
        <v>0</v>
      </c>
      <c r="W1303" s="63" t="str">
        <f>IF($H1303&lt;&gt;"","项目成本",IFERROR(INDEX(基础资料!$W$4:$W$49,MATCH($I1303,基础资料!$V$4:$V$49,0)),""))</f>
        <v/>
      </c>
      <c r="X1303" s="63" t="str">
        <f>IFERROR(INDEX(基础资料!$R$4:$R$17,MATCH($G1303,基础资料!$Q$4:$Q$17,0)),"")</f>
        <v/>
      </c>
    </row>
    <row r="1304" spans="1:24">
      <c r="A1304" s="58" t="str">
        <f>IF($B1304="","",COUNTA($B$5:$B1304))</f>
        <v/>
      </c>
      <c r="B1304" s="53"/>
      <c r="C1304" s="46"/>
      <c r="D1304" s="63" t="str">
        <f>IFERROR(INDEX(基础资料!$F$4:$F$23,MATCH($C1304,基础资料!$E$4:$E$23,0)),IF($C1304="","","未匹配账户"))</f>
        <v/>
      </c>
      <c r="E1304" s="39"/>
      <c r="F1304" s="10"/>
      <c r="G1304" s="10"/>
      <c r="H1304" s="10"/>
      <c r="I1304" s="10"/>
      <c r="J1304" s="10"/>
      <c r="K1304" s="25"/>
      <c r="L1304" s="25"/>
      <c r="M1304" s="25" t="str">
        <f>IFERROR(VLOOKUP($C1304,$C$5:$M$24,11,0)+SUMIF($C$25:$C1304,$C1304,$K$25:$K1304)-SUMIF($C$25:$C1304,$C1304,$L$25:$L1304),"")</f>
        <v/>
      </c>
      <c r="N1304" s="10"/>
      <c r="O1304" s="10"/>
      <c r="P1304" s="65"/>
      <c r="Q1304" s="10"/>
      <c r="R1304" s="10"/>
      <c r="S1304" s="54" t="str">
        <f t="shared" si="66"/>
        <v/>
      </c>
      <c r="T1304" s="54" t="str">
        <f t="shared" si="67"/>
        <v/>
      </c>
      <c r="U1304" s="58" t="str">
        <f t="shared" si="68"/>
        <v/>
      </c>
      <c r="V1304" s="58">
        <f>IF(AND($B1304&lt;&gt;"",$F1304&lt;&gt;"",$F1304=项目明细账!$C$2),N(V1303)+1,N(V1303))</f>
        <v>0</v>
      </c>
      <c r="W1304" s="63" t="str">
        <f>IF($H1304&lt;&gt;"","项目成本",IFERROR(INDEX(基础资料!$W$4:$W$49,MATCH($I1304,基础资料!$V$4:$V$49,0)),""))</f>
        <v/>
      </c>
      <c r="X1304" s="63" t="str">
        <f>IFERROR(INDEX(基础资料!$R$4:$R$17,MATCH($G1304,基础资料!$Q$4:$Q$17,0)),"")</f>
        <v/>
      </c>
    </row>
    <row r="1305" spans="1:24">
      <c r="A1305" s="58" t="str">
        <f>IF($B1305="","",COUNTA($B$5:$B1305))</f>
        <v/>
      </c>
      <c r="B1305" s="53"/>
      <c r="C1305" s="46"/>
      <c r="D1305" s="63" t="str">
        <f>IFERROR(INDEX(基础资料!$F$4:$F$23,MATCH($C1305,基础资料!$E$4:$E$23,0)),IF($C1305="","","未匹配账户"))</f>
        <v/>
      </c>
      <c r="E1305" s="39"/>
      <c r="F1305" s="10"/>
      <c r="G1305" s="10"/>
      <c r="H1305" s="10"/>
      <c r="I1305" s="10"/>
      <c r="J1305" s="10"/>
      <c r="K1305" s="25"/>
      <c r="L1305" s="25"/>
      <c r="M1305" s="25" t="str">
        <f>IFERROR(VLOOKUP($C1305,$C$5:$M$24,11,0)+SUMIF($C$25:$C1305,$C1305,$K$25:$K1305)-SUMIF($C$25:$C1305,$C1305,$L$25:$L1305),"")</f>
        <v/>
      </c>
      <c r="N1305" s="10"/>
      <c r="O1305" s="10"/>
      <c r="P1305" s="65"/>
      <c r="Q1305" s="10"/>
      <c r="R1305" s="10"/>
      <c r="S1305" s="54" t="str">
        <f t="shared" si="66"/>
        <v/>
      </c>
      <c r="T1305" s="54" t="str">
        <f t="shared" si="67"/>
        <v/>
      </c>
      <c r="U1305" s="58" t="str">
        <f t="shared" si="68"/>
        <v/>
      </c>
      <c r="V1305" s="58">
        <f>IF(AND($B1305&lt;&gt;"",$F1305&lt;&gt;"",$F1305=项目明细账!$C$2),N(V1304)+1,N(V1304))</f>
        <v>0</v>
      </c>
      <c r="W1305" s="63" t="str">
        <f>IF($H1305&lt;&gt;"","项目成本",IFERROR(INDEX(基础资料!$W$4:$W$49,MATCH($I1305,基础资料!$V$4:$V$49,0)),""))</f>
        <v/>
      </c>
      <c r="X1305" s="63" t="str">
        <f>IFERROR(INDEX(基础资料!$R$4:$R$17,MATCH($G1305,基础资料!$Q$4:$Q$17,0)),"")</f>
        <v/>
      </c>
    </row>
    <row r="1306" spans="1:24">
      <c r="A1306" s="58" t="str">
        <f>IF($B1306="","",COUNTA($B$5:$B1306))</f>
        <v/>
      </c>
      <c r="B1306" s="53"/>
      <c r="C1306" s="46"/>
      <c r="D1306" s="63" t="str">
        <f>IFERROR(INDEX(基础资料!$F$4:$F$23,MATCH($C1306,基础资料!$E$4:$E$23,0)),IF($C1306="","","未匹配账户"))</f>
        <v/>
      </c>
      <c r="E1306" s="39"/>
      <c r="F1306" s="10"/>
      <c r="G1306" s="10"/>
      <c r="H1306" s="10"/>
      <c r="I1306" s="10"/>
      <c r="J1306" s="10"/>
      <c r="K1306" s="25"/>
      <c r="L1306" s="25"/>
      <c r="M1306" s="25" t="str">
        <f>IFERROR(VLOOKUP($C1306,$C$5:$M$24,11,0)+SUMIF($C$25:$C1306,$C1306,$K$25:$K1306)-SUMIF($C$25:$C1306,$C1306,$L$25:$L1306),"")</f>
        <v/>
      </c>
      <c r="N1306" s="10"/>
      <c r="O1306" s="10"/>
      <c r="P1306" s="65"/>
      <c r="Q1306" s="10"/>
      <c r="R1306" s="10"/>
      <c r="S1306" s="54" t="str">
        <f t="shared" si="66"/>
        <v/>
      </c>
      <c r="T1306" s="54" t="str">
        <f t="shared" si="67"/>
        <v/>
      </c>
      <c r="U1306" s="58" t="str">
        <f t="shared" si="68"/>
        <v/>
      </c>
      <c r="V1306" s="58">
        <f>IF(AND($B1306&lt;&gt;"",$F1306&lt;&gt;"",$F1306=项目明细账!$C$2),N(V1305)+1,N(V1305))</f>
        <v>0</v>
      </c>
      <c r="W1306" s="63" t="str">
        <f>IF($H1306&lt;&gt;"","项目成本",IFERROR(INDEX(基础资料!$W$4:$W$49,MATCH($I1306,基础资料!$V$4:$V$49,0)),""))</f>
        <v/>
      </c>
      <c r="X1306" s="63" t="str">
        <f>IFERROR(INDEX(基础资料!$R$4:$R$17,MATCH($G1306,基础资料!$Q$4:$Q$17,0)),"")</f>
        <v/>
      </c>
    </row>
    <row r="1307" spans="1:24">
      <c r="A1307" s="58" t="str">
        <f>IF($B1307="","",COUNTA($B$5:$B1307))</f>
        <v/>
      </c>
      <c r="B1307" s="53"/>
      <c r="C1307" s="46"/>
      <c r="D1307" s="63" t="str">
        <f>IFERROR(INDEX(基础资料!$F$4:$F$23,MATCH($C1307,基础资料!$E$4:$E$23,0)),IF($C1307="","","未匹配账户"))</f>
        <v/>
      </c>
      <c r="E1307" s="39"/>
      <c r="F1307" s="10"/>
      <c r="G1307" s="10"/>
      <c r="H1307" s="10"/>
      <c r="I1307" s="10"/>
      <c r="J1307" s="10"/>
      <c r="K1307" s="25"/>
      <c r="L1307" s="25"/>
      <c r="M1307" s="25" t="str">
        <f>IFERROR(VLOOKUP($C1307,$C$5:$M$24,11,0)+SUMIF($C$25:$C1307,$C1307,$K$25:$K1307)-SUMIF($C$25:$C1307,$C1307,$L$25:$L1307),"")</f>
        <v/>
      </c>
      <c r="N1307" s="10"/>
      <c r="O1307" s="10"/>
      <c r="P1307" s="65"/>
      <c r="Q1307" s="10"/>
      <c r="R1307" s="10"/>
      <c r="S1307" s="54" t="str">
        <f t="shared" si="66"/>
        <v/>
      </c>
      <c r="T1307" s="54" t="str">
        <f t="shared" si="67"/>
        <v/>
      </c>
      <c r="U1307" s="58" t="str">
        <f t="shared" si="68"/>
        <v/>
      </c>
      <c r="V1307" s="58">
        <f>IF(AND($B1307&lt;&gt;"",$F1307&lt;&gt;"",$F1307=项目明细账!$C$2),N(V1306)+1,N(V1306))</f>
        <v>0</v>
      </c>
      <c r="W1307" s="63" t="str">
        <f>IF($H1307&lt;&gt;"","项目成本",IFERROR(INDEX(基础资料!$W$4:$W$49,MATCH($I1307,基础资料!$V$4:$V$49,0)),""))</f>
        <v/>
      </c>
      <c r="X1307" s="63" t="str">
        <f>IFERROR(INDEX(基础资料!$R$4:$R$17,MATCH($G1307,基础资料!$Q$4:$Q$17,0)),"")</f>
        <v/>
      </c>
    </row>
    <row r="1308" spans="1:24">
      <c r="A1308" s="58" t="str">
        <f>IF($B1308="","",COUNTA($B$5:$B1308))</f>
        <v/>
      </c>
      <c r="B1308" s="53"/>
      <c r="C1308" s="46"/>
      <c r="D1308" s="63" t="str">
        <f>IFERROR(INDEX(基础资料!$F$4:$F$23,MATCH($C1308,基础资料!$E$4:$E$23,0)),IF($C1308="","","未匹配账户"))</f>
        <v/>
      </c>
      <c r="E1308" s="39"/>
      <c r="F1308" s="10"/>
      <c r="G1308" s="10"/>
      <c r="H1308" s="10"/>
      <c r="I1308" s="10"/>
      <c r="J1308" s="10"/>
      <c r="K1308" s="25"/>
      <c r="L1308" s="25"/>
      <c r="M1308" s="25" t="str">
        <f>IFERROR(VLOOKUP($C1308,$C$5:$M$24,11,0)+SUMIF($C$25:$C1308,$C1308,$K$25:$K1308)-SUMIF($C$25:$C1308,$C1308,$L$25:$L1308),"")</f>
        <v/>
      </c>
      <c r="N1308" s="10"/>
      <c r="O1308" s="10"/>
      <c r="P1308" s="65"/>
      <c r="Q1308" s="10"/>
      <c r="R1308" s="10"/>
      <c r="S1308" s="54" t="str">
        <f t="shared" si="66"/>
        <v/>
      </c>
      <c r="T1308" s="54" t="str">
        <f t="shared" si="67"/>
        <v/>
      </c>
      <c r="U1308" s="58" t="str">
        <f t="shared" si="68"/>
        <v/>
      </c>
      <c r="V1308" s="58">
        <f>IF(AND($B1308&lt;&gt;"",$F1308&lt;&gt;"",$F1308=项目明细账!$C$2),N(V1307)+1,N(V1307))</f>
        <v>0</v>
      </c>
      <c r="W1308" s="63" t="str">
        <f>IF($H1308&lt;&gt;"","项目成本",IFERROR(INDEX(基础资料!$W$4:$W$49,MATCH($I1308,基础资料!$V$4:$V$49,0)),""))</f>
        <v/>
      </c>
      <c r="X1308" s="63" t="str">
        <f>IFERROR(INDEX(基础资料!$R$4:$R$17,MATCH($G1308,基础资料!$Q$4:$Q$17,0)),"")</f>
        <v/>
      </c>
    </row>
    <row r="1309" spans="1:24">
      <c r="A1309" s="58" t="str">
        <f>IF($B1309="","",COUNTA($B$5:$B1309))</f>
        <v/>
      </c>
      <c r="B1309" s="53"/>
      <c r="C1309" s="46"/>
      <c r="D1309" s="63" t="str">
        <f>IFERROR(INDEX(基础资料!$F$4:$F$23,MATCH($C1309,基础资料!$E$4:$E$23,0)),IF($C1309="","","未匹配账户"))</f>
        <v/>
      </c>
      <c r="E1309" s="39"/>
      <c r="F1309" s="10"/>
      <c r="G1309" s="10"/>
      <c r="H1309" s="10"/>
      <c r="I1309" s="10"/>
      <c r="J1309" s="10"/>
      <c r="K1309" s="25"/>
      <c r="L1309" s="25"/>
      <c r="M1309" s="25" t="str">
        <f>IFERROR(VLOOKUP($C1309,$C$5:$M$24,11,0)+SUMIF($C$25:$C1309,$C1309,$K$25:$K1309)-SUMIF($C$25:$C1309,$C1309,$L$25:$L1309),"")</f>
        <v/>
      </c>
      <c r="N1309" s="10"/>
      <c r="O1309" s="10"/>
      <c r="P1309" s="65"/>
      <c r="Q1309" s="10"/>
      <c r="R1309" s="10"/>
      <c r="S1309" s="54" t="str">
        <f t="shared" si="66"/>
        <v/>
      </c>
      <c r="T1309" s="54" t="str">
        <f t="shared" si="67"/>
        <v/>
      </c>
      <c r="U1309" s="58" t="str">
        <f t="shared" si="68"/>
        <v/>
      </c>
      <c r="V1309" s="58">
        <f>IF(AND($B1309&lt;&gt;"",$F1309&lt;&gt;"",$F1309=项目明细账!$C$2),N(V1308)+1,N(V1308))</f>
        <v>0</v>
      </c>
      <c r="W1309" s="63" t="str">
        <f>IF($H1309&lt;&gt;"","项目成本",IFERROR(INDEX(基础资料!$W$4:$W$49,MATCH($I1309,基础资料!$V$4:$V$49,0)),""))</f>
        <v/>
      </c>
      <c r="X1309" s="63" t="str">
        <f>IFERROR(INDEX(基础资料!$R$4:$R$17,MATCH($G1309,基础资料!$Q$4:$Q$17,0)),"")</f>
        <v/>
      </c>
    </row>
    <row r="1310" spans="1:24">
      <c r="A1310" s="58" t="str">
        <f>IF($B1310="","",COUNTA($B$5:$B1310))</f>
        <v/>
      </c>
      <c r="B1310" s="53"/>
      <c r="C1310" s="46"/>
      <c r="D1310" s="63" t="str">
        <f>IFERROR(INDEX(基础资料!$F$4:$F$23,MATCH($C1310,基础资料!$E$4:$E$23,0)),IF($C1310="","","未匹配账户"))</f>
        <v/>
      </c>
      <c r="E1310" s="39"/>
      <c r="F1310" s="10"/>
      <c r="G1310" s="10"/>
      <c r="H1310" s="10"/>
      <c r="I1310" s="10"/>
      <c r="J1310" s="10"/>
      <c r="K1310" s="25"/>
      <c r="L1310" s="25"/>
      <c r="M1310" s="25" t="str">
        <f>IFERROR(VLOOKUP($C1310,$C$5:$M$24,11,0)+SUMIF($C$25:$C1310,$C1310,$K$25:$K1310)-SUMIF($C$25:$C1310,$C1310,$L$25:$L1310),"")</f>
        <v/>
      </c>
      <c r="N1310" s="10"/>
      <c r="O1310" s="10"/>
      <c r="P1310" s="65"/>
      <c r="Q1310" s="10"/>
      <c r="R1310" s="10"/>
      <c r="S1310" s="54" t="str">
        <f t="shared" si="66"/>
        <v/>
      </c>
      <c r="T1310" s="54" t="str">
        <f t="shared" si="67"/>
        <v/>
      </c>
      <c r="U1310" s="58" t="str">
        <f t="shared" si="68"/>
        <v/>
      </c>
      <c r="V1310" s="58">
        <f>IF(AND($B1310&lt;&gt;"",$F1310&lt;&gt;"",$F1310=项目明细账!$C$2),N(V1309)+1,N(V1309))</f>
        <v>0</v>
      </c>
      <c r="W1310" s="63" t="str">
        <f>IF($H1310&lt;&gt;"","项目成本",IFERROR(INDEX(基础资料!$W$4:$W$49,MATCH($I1310,基础资料!$V$4:$V$49,0)),""))</f>
        <v/>
      </c>
      <c r="X1310" s="63" t="str">
        <f>IFERROR(INDEX(基础资料!$R$4:$R$17,MATCH($G1310,基础资料!$Q$4:$Q$17,0)),"")</f>
        <v/>
      </c>
    </row>
    <row r="1311" spans="1:24">
      <c r="A1311" s="58" t="str">
        <f>IF($B1311="","",COUNTA($B$5:$B1311))</f>
        <v/>
      </c>
      <c r="B1311" s="53"/>
      <c r="C1311" s="46"/>
      <c r="D1311" s="63" t="str">
        <f>IFERROR(INDEX(基础资料!$F$4:$F$23,MATCH($C1311,基础资料!$E$4:$E$23,0)),IF($C1311="","","未匹配账户"))</f>
        <v/>
      </c>
      <c r="E1311" s="39"/>
      <c r="F1311" s="10"/>
      <c r="G1311" s="10"/>
      <c r="H1311" s="10"/>
      <c r="I1311" s="10"/>
      <c r="J1311" s="10"/>
      <c r="K1311" s="25"/>
      <c r="L1311" s="25"/>
      <c r="M1311" s="25" t="str">
        <f>IFERROR(VLOOKUP($C1311,$C$5:$M$24,11,0)+SUMIF($C$25:$C1311,$C1311,$K$25:$K1311)-SUMIF($C$25:$C1311,$C1311,$L$25:$L1311),"")</f>
        <v/>
      </c>
      <c r="N1311" s="10"/>
      <c r="O1311" s="10"/>
      <c r="P1311" s="65"/>
      <c r="Q1311" s="10"/>
      <c r="R1311" s="10"/>
      <c r="S1311" s="54" t="str">
        <f t="shared" si="66"/>
        <v/>
      </c>
      <c r="T1311" s="54" t="str">
        <f t="shared" si="67"/>
        <v/>
      </c>
      <c r="U1311" s="58" t="str">
        <f t="shared" si="68"/>
        <v/>
      </c>
      <c r="V1311" s="58">
        <f>IF(AND($B1311&lt;&gt;"",$F1311&lt;&gt;"",$F1311=项目明细账!$C$2),N(V1310)+1,N(V1310))</f>
        <v>0</v>
      </c>
      <c r="W1311" s="63" t="str">
        <f>IF($H1311&lt;&gt;"","项目成本",IFERROR(INDEX(基础资料!$W$4:$W$49,MATCH($I1311,基础资料!$V$4:$V$49,0)),""))</f>
        <v/>
      </c>
      <c r="X1311" s="63" t="str">
        <f>IFERROR(INDEX(基础资料!$R$4:$R$17,MATCH($G1311,基础资料!$Q$4:$Q$17,0)),"")</f>
        <v/>
      </c>
    </row>
    <row r="1312" spans="1:24">
      <c r="A1312" s="58" t="str">
        <f>IF($B1312="","",COUNTA($B$5:$B1312))</f>
        <v/>
      </c>
      <c r="B1312" s="53"/>
      <c r="C1312" s="46"/>
      <c r="D1312" s="63" t="str">
        <f>IFERROR(INDEX(基础资料!$F$4:$F$23,MATCH($C1312,基础资料!$E$4:$E$23,0)),IF($C1312="","","未匹配账户"))</f>
        <v/>
      </c>
      <c r="E1312" s="39"/>
      <c r="F1312" s="10"/>
      <c r="G1312" s="10"/>
      <c r="H1312" s="10"/>
      <c r="I1312" s="10"/>
      <c r="J1312" s="10"/>
      <c r="K1312" s="25"/>
      <c r="L1312" s="25"/>
      <c r="M1312" s="25" t="str">
        <f>IFERROR(VLOOKUP($C1312,$C$5:$M$24,11,0)+SUMIF($C$25:$C1312,$C1312,$K$25:$K1312)-SUMIF($C$25:$C1312,$C1312,$L$25:$L1312),"")</f>
        <v/>
      </c>
      <c r="N1312" s="10"/>
      <c r="O1312" s="10"/>
      <c r="P1312" s="65"/>
      <c r="Q1312" s="10"/>
      <c r="R1312" s="10"/>
      <c r="S1312" s="54" t="str">
        <f t="shared" si="66"/>
        <v/>
      </c>
      <c r="T1312" s="54" t="str">
        <f t="shared" si="67"/>
        <v/>
      </c>
      <c r="U1312" s="58" t="str">
        <f t="shared" si="68"/>
        <v/>
      </c>
      <c r="V1312" s="58">
        <f>IF(AND($B1312&lt;&gt;"",$F1312&lt;&gt;"",$F1312=项目明细账!$C$2),N(V1311)+1,N(V1311))</f>
        <v>0</v>
      </c>
      <c r="W1312" s="63" t="str">
        <f>IF($H1312&lt;&gt;"","项目成本",IFERROR(INDEX(基础资料!$W$4:$W$49,MATCH($I1312,基础资料!$V$4:$V$49,0)),""))</f>
        <v/>
      </c>
      <c r="X1312" s="63" t="str">
        <f>IFERROR(INDEX(基础资料!$R$4:$R$17,MATCH($G1312,基础资料!$Q$4:$Q$17,0)),"")</f>
        <v/>
      </c>
    </row>
    <row r="1313" spans="1:24">
      <c r="A1313" s="58" t="str">
        <f>IF($B1313="","",COUNTA($B$5:$B1313))</f>
        <v/>
      </c>
      <c r="B1313" s="53"/>
      <c r="C1313" s="46"/>
      <c r="D1313" s="63" t="str">
        <f>IFERROR(INDEX(基础资料!$F$4:$F$23,MATCH($C1313,基础资料!$E$4:$E$23,0)),IF($C1313="","","未匹配账户"))</f>
        <v/>
      </c>
      <c r="E1313" s="39"/>
      <c r="F1313" s="10"/>
      <c r="G1313" s="10"/>
      <c r="H1313" s="10"/>
      <c r="I1313" s="10"/>
      <c r="J1313" s="10"/>
      <c r="K1313" s="25"/>
      <c r="L1313" s="25"/>
      <c r="M1313" s="25" t="str">
        <f>IFERROR(VLOOKUP($C1313,$C$5:$M$24,11,0)+SUMIF($C$25:$C1313,$C1313,$K$25:$K1313)-SUMIF($C$25:$C1313,$C1313,$L$25:$L1313),"")</f>
        <v/>
      </c>
      <c r="N1313" s="10"/>
      <c r="O1313" s="10"/>
      <c r="P1313" s="65"/>
      <c r="Q1313" s="10"/>
      <c r="R1313" s="10"/>
      <c r="S1313" s="54" t="str">
        <f t="shared" si="66"/>
        <v/>
      </c>
      <c r="T1313" s="54" t="str">
        <f t="shared" si="67"/>
        <v/>
      </c>
      <c r="U1313" s="58" t="str">
        <f t="shared" si="68"/>
        <v/>
      </c>
      <c r="V1313" s="58">
        <f>IF(AND($B1313&lt;&gt;"",$F1313&lt;&gt;"",$F1313=项目明细账!$C$2),N(V1312)+1,N(V1312))</f>
        <v>0</v>
      </c>
      <c r="W1313" s="63" t="str">
        <f>IF($H1313&lt;&gt;"","项目成本",IFERROR(INDEX(基础资料!$W$4:$W$49,MATCH($I1313,基础资料!$V$4:$V$49,0)),""))</f>
        <v/>
      </c>
      <c r="X1313" s="63" t="str">
        <f>IFERROR(INDEX(基础资料!$R$4:$R$17,MATCH($G1313,基础资料!$Q$4:$Q$17,0)),"")</f>
        <v/>
      </c>
    </row>
    <row r="1314" spans="1:24">
      <c r="A1314" s="58" t="str">
        <f>IF($B1314="","",COUNTA($B$5:$B1314))</f>
        <v/>
      </c>
      <c r="B1314" s="53"/>
      <c r="C1314" s="46"/>
      <c r="D1314" s="63" t="str">
        <f>IFERROR(INDEX(基础资料!$F$4:$F$23,MATCH($C1314,基础资料!$E$4:$E$23,0)),IF($C1314="","","未匹配账户"))</f>
        <v/>
      </c>
      <c r="E1314" s="39"/>
      <c r="F1314" s="10"/>
      <c r="G1314" s="10"/>
      <c r="H1314" s="10"/>
      <c r="I1314" s="10"/>
      <c r="J1314" s="10"/>
      <c r="K1314" s="25"/>
      <c r="L1314" s="25"/>
      <c r="M1314" s="25" t="str">
        <f>IFERROR(VLOOKUP($C1314,$C$5:$M$24,11,0)+SUMIF($C$25:$C1314,$C1314,$K$25:$K1314)-SUMIF($C$25:$C1314,$C1314,$L$25:$L1314),"")</f>
        <v/>
      </c>
      <c r="N1314" s="10"/>
      <c r="O1314" s="10"/>
      <c r="P1314" s="65"/>
      <c r="Q1314" s="10"/>
      <c r="R1314" s="10"/>
      <c r="S1314" s="54" t="str">
        <f t="shared" si="66"/>
        <v/>
      </c>
      <c r="T1314" s="54" t="str">
        <f t="shared" si="67"/>
        <v/>
      </c>
      <c r="U1314" s="58" t="str">
        <f t="shared" si="68"/>
        <v/>
      </c>
      <c r="V1314" s="58">
        <f>IF(AND($B1314&lt;&gt;"",$F1314&lt;&gt;"",$F1314=项目明细账!$C$2),N(V1313)+1,N(V1313))</f>
        <v>0</v>
      </c>
      <c r="W1314" s="63" t="str">
        <f>IF($H1314&lt;&gt;"","项目成本",IFERROR(INDEX(基础资料!$W$4:$W$49,MATCH($I1314,基础资料!$V$4:$V$49,0)),""))</f>
        <v/>
      </c>
      <c r="X1314" s="63" t="str">
        <f>IFERROR(INDEX(基础资料!$R$4:$R$17,MATCH($G1314,基础资料!$Q$4:$Q$17,0)),"")</f>
        <v/>
      </c>
    </row>
    <row r="1315" spans="1:24">
      <c r="A1315" s="58" t="str">
        <f>IF($B1315="","",COUNTA($B$5:$B1315))</f>
        <v/>
      </c>
      <c r="B1315" s="53"/>
      <c r="C1315" s="46"/>
      <c r="D1315" s="63" t="str">
        <f>IFERROR(INDEX(基础资料!$F$4:$F$23,MATCH($C1315,基础资料!$E$4:$E$23,0)),IF($C1315="","","未匹配账户"))</f>
        <v/>
      </c>
      <c r="E1315" s="39"/>
      <c r="F1315" s="10"/>
      <c r="G1315" s="10"/>
      <c r="H1315" s="10"/>
      <c r="I1315" s="10"/>
      <c r="J1315" s="10"/>
      <c r="K1315" s="25"/>
      <c r="L1315" s="25"/>
      <c r="M1315" s="25" t="str">
        <f>IFERROR(VLOOKUP($C1315,$C$5:$M$24,11,0)+SUMIF($C$25:$C1315,$C1315,$K$25:$K1315)-SUMIF($C$25:$C1315,$C1315,$L$25:$L1315),"")</f>
        <v/>
      </c>
      <c r="N1315" s="10"/>
      <c r="O1315" s="10"/>
      <c r="P1315" s="65"/>
      <c r="Q1315" s="10"/>
      <c r="R1315" s="10"/>
      <c r="S1315" s="54" t="str">
        <f t="shared" si="66"/>
        <v/>
      </c>
      <c r="T1315" s="54" t="str">
        <f t="shared" si="67"/>
        <v/>
      </c>
      <c r="U1315" s="58" t="str">
        <f t="shared" si="68"/>
        <v/>
      </c>
      <c r="V1315" s="58">
        <f>IF(AND($B1315&lt;&gt;"",$F1315&lt;&gt;"",$F1315=项目明细账!$C$2),N(V1314)+1,N(V1314))</f>
        <v>0</v>
      </c>
      <c r="W1315" s="63" t="str">
        <f>IF($H1315&lt;&gt;"","项目成本",IFERROR(INDEX(基础资料!$W$4:$W$49,MATCH($I1315,基础资料!$V$4:$V$49,0)),""))</f>
        <v/>
      </c>
      <c r="X1315" s="63" t="str">
        <f>IFERROR(INDEX(基础资料!$R$4:$R$17,MATCH($G1315,基础资料!$Q$4:$Q$17,0)),"")</f>
        <v/>
      </c>
    </row>
    <row r="1316" spans="1:24">
      <c r="A1316" s="58" t="str">
        <f>IF($B1316="","",COUNTA($B$5:$B1316))</f>
        <v/>
      </c>
      <c r="B1316" s="53"/>
      <c r="C1316" s="46"/>
      <c r="D1316" s="63" t="str">
        <f>IFERROR(INDEX(基础资料!$F$4:$F$23,MATCH($C1316,基础资料!$E$4:$E$23,0)),IF($C1316="","","未匹配账户"))</f>
        <v/>
      </c>
      <c r="E1316" s="39"/>
      <c r="F1316" s="10"/>
      <c r="G1316" s="10"/>
      <c r="H1316" s="10"/>
      <c r="I1316" s="10"/>
      <c r="J1316" s="10"/>
      <c r="K1316" s="25"/>
      <c r="L1316" s="25"/>
      <c r="M1316" s="25" t="str">
        <f>IFERROR(VLOOKUP($C1316,$C$5:$M$24,11,0)+SUMIF($C$25:$C1316,$C1316,$K$25:$K1316)-SUMIF($C$25:$C1316,$C1316,$L$25:$L1316),"")</f>
        <v/>
      </c>
      <c r="N1316" s="10"/>
      <c r="O1316" s="10"/>
      <c r="P1316" s="65"/>
      <c r="Q1316" s="10"/>
      <c r="R1316" s="10"/>
      <c r="S1316" s="54" t="str">
        <f t="shared" si="66"/>
        <v/>
      </c>
      <c r="T1316" s="54" t="str">
        <f t="shared" si="67"/>
        <v/>
      </c>
      <c r="U1316" s="58" t="str">
        <f t="shared" si="68"/>
        <v/>
      </c>
      <c r="V1316" s="58">
        <f>IF(AND($B1316&lt;&gt;"",$F1316&lt;&gt;"",$F1316=项目明细账!$C$2),N(V1315)+1,N(V1315))</f>
        <v>0</v>
      </c>
      <c r="W1316" s="63" t="str">
        <f>IF($H1316&lt;&gt;"","项目成本",IFERROR(INDEX(基础资料!$W$4:$W$49,MATCH($I1316,基础资料!$V$4:$V$49,0)),""))</f>
        <v/>
      </c>
      <c r="X1316" s="63" t="str">
        <f>IFERROR(INDEX(基础资料!$R$4:$R$17,MATCH($G1316,基础资料!$Q$4:$Q$17,0)),"")</f>
        <v/>
      </c>
    </row>
    <row r="1317" spans="1:24">
      <c r="A1317" s="58" t="str">
        <f>IF($B1317="","",COUNTA($B$5:$B1317))</f>
        <v/>
      </c>
      <c r="B1317" s="53"/>
      <c r="C1317" s="46"/>
      <c r="D1317" s="63" t="str">
        <f>IFERROR(INDEX(基础资料!$F$4:$F$23,MATCH($C1317,基础资料!$E$4:$E$23,0)),IF($C1317="","","未匹配账户"))</f>
        <v/>
      </c>
      <c r="E1317" s="39"/>
      <c r="F1317" s="10"/>
      <c r="G1317" s="10"/>
      <c r="H1317" s="10"/>
      <c r="I1317" s="10"/>
      <c r="J1317" s="10"/>
      <c r="K1317" s="25"/>
      <c r="L1317" s="25"/>
      <c r="M1317" s="25" t="str">
        <f>IFERROR(VLOOKUP($C1317,$C$5:$M$24,11,0)+SUMIF($C$25:$C1317,$C1317,$K$25:$K1317)-SUMIF($C$25:$C1317,$C1317,$L$25:$L1317),"")</f>
        <v/>
      </c>
      <c r="N1317" s="10"/>
      <c r="O1317" s="10"/>
      <c r="P1317" s="65"/>
      <c r="Q1317" s="10"/>
      <c r="R1317" s="10"/>
      <c r="S1317" s="54" t="str">
        <f t="shared" si="66"/>
        <v/>
      </c>
      <c r="T1317" s="54" t="str">
        <f t="shared" si="67"/>
        <v/>
      </c>
      <c r="U1317" s="58" t="str">
        <f t="shared" si="68"/>
        <v/>
      </c>
      <c r="V1317" s="58">
        <f>IF(AND($B1317&lt;&gt;"",$F1317&lt;&gt;"",$F1317=项目明细账!$C$2),N(V1316)+1,N(V1316))</f>
        <v>0</v>
      </c>
      <c r="W1317" s="63" t="str">
        <f>IF($H1317&lt;&gt;"","项目成本",IFERROR(INDEX(基础资料!$W$4:$W$49,MATCH($I1317,基础资料!$V$4:$V$49,0)),""))</f>
        <v/>
      </c>
      <c r="X1317" s="63" t="str">
        <f>IFERROR(INDEX(基础资料!$R$4:$R$17,MATCH($G1317,基础资料!$Q$4:$Q$17,0)),"")</f>
        <v/>
      </c>
    </row>
    <row r="1318" spans="1:24">
      <c r="A1318" s="58" t="str">
        <f>IF($B1318="","",COUNTA($B$5:$B1318))</f>
        <v/>
      </c>
      <c r="B1318" s="53"/>
      <c r="C1318" s="46"/>
      <c r="D1318" s="63" t="str">
        <f>IFERROR(INDEX(基础资料!$F$4:$F$23,MATCH($C1318,基础资料!$E$4:$E$23,0)),IF($C1318="","","未匹配账户"))</f>
        <v/>
      </c>
      <c r="E1318" s="39"/>
      <c r="F1318" s="10"/>
      <c r="G1318" s="10"/>
      <c r="H1318" s="10"/>
      <c r="I1318" s="10"/>
      <c r="J1318" s="10"/>
      <c r="K1318" s="25"/>
      <c r="L1318" s="25"/>
      <c r="M1318" s="25" t="str">
        <f>IFERROR(VLOOKUP($C1318,$C$5:$M$24,11,0)+SUMIF($C$25:$C1318,$C1318,$K$25:$K1318)-SUMIF($C$25:$C1318,$C1318,$L$25:$L1318),"")</f>
        <v/>
      </c>
      <c r="N1318" s="10"/>
      <c r="O1318" s="10"/>
      <c r="P1318" s="65"/>
      <c r="Q1318" s="10"/>
      <c r="R1318" s="10"/>
      <c r="S1318" s="54" t="str">
        <f t="shared" si="66"/>
        <v/>
      </c>
      <c r="T1318" s="54" t="str">
        <f t="shared" si="67"/>
        <v/>
      </c>
      <c r="U1318" s="58" t="str">
        <f t="shared" si="68"/>
        <v/>
      </c>
      <c r="V1318" s="58">
        <f>IF(AND($B1318&lt;&gt;"",$F1318&lt;&gt;"",$F1318=项目明细账!$C$2),N(V1317)+1,N(V1317))</f>
        <v>0</v>
      </c>
      <c r="W1318" s="63" t="str">
        <f>IF($H1318&lt;&gt;"","项目成本",IFERROR(INDEX(基础资料!$W$4:$W$49,MATCH($I1318,基础资料!$V$4:$V$49,0)),""))</f>
        <v/>
      </c>
      <c r="X1318" s="63" t="str">
        <f>IFERROR(INDEX(基础资料!$R$4:$R$17,MATCH($G1318,基础资料!$Q$4:$Q$17,0)),"")</f>
        <v/>
      </c>
    </row>
    <row r="1319" spans="1:24">
      <c r="A1319" s="58" t="str">
        <f>IF($B1319="","",COUNTA($B$5:$B1319))</f>
        <v/>
      </c>
      <c r="B1319" s="53"/>
      <c r="C1319" s="46"/>
      <c r="D1319" s="63" t="str">
        <f>IFERROR(INDEX(基础资料!$F$4:$F$23,MATCH($C1319,基础资料!$E$4:$E$23,0)),IF($C1319="","","未匹配账户"))</f>
        <v/>
      </c>
      <c r="E1319" s="39"/>
      <c r="F1319" s="10"/>
      <c r="G1319" s="10"/>
      <c r="H1319" s="10"/>
      <c r="I1319" s="10"/>
      <c r="J1319" s="10"/>
      <c r="K1319" s="25"/>
      <c r="L1319" s="25"/>
      <c r="M1319" s="25" t="str">
        <f>IFERROR(VLOOKUP($C1319,$C$5:$M$24,11,0)+SUMIF($C$25:$C1319,$C1319,$K$25:$K1319)-SUMIF($C$25:$C1319,$C1319,$L$25:$L1319),"")</f>
        <v/>
      </c>
      <c r="N1319" s="10"/>
      <c r="O1319" s="10"/>
      <c r="P1319" s="65"/>
      <c r="Q1319" s="10"/>
      <c r="R1319" s="10"/>
      <c r="S1319" s="54" t="str">
        <f t="shared" si="66"/>
        <v/>
      </c>
      <c r="T1319" s="54" t="str">
        <f t="shared" si="67"/>
        <v/>
      </c>
      <c r="U1319" s="58" t="str">
        <f t="shared" si="68"/>
        <v/>
      </c>
      <c r="V1319" s="58">
        <f>IF(AND($B1319&lt;&gt;"",$F1319&lt;&gt;"",$F1319=项目明细账!$C$2),N(V1318)+1,N(V1318))</f>
        <v>0</v>
      </c>
      <c r="W1319" s="63" t="str">
        <f>IF($H1319&lt;&gt;"","项目成本",IFERROR(INDEX(基础资料!$W$4:$W$49,MATCH($I1319,基础资料!$V$4:$V$49,0)),""))</f>
        <v/>
      </c>
      <c r="X1319" s="63" t="str">
        <f>IFERROR(INDEX(基础资料!$R$4:$R$17,MATCH($G1319,基础资料!$Q$4:$Q$17,0)),"")</f>
        <v/>
      </c>
    </row>
    <row r="1320" spans="1:24">
      <c r="A1320" s="58" t="str">
        <f>IF($B1320="","",COUNTA($B$5:$B1320))</f>
        <v/>
      </c>
      <c r="B1320" s="53"/>
      <c r="C1320" s="46"/>
      <c r="D1320" s="63" t="str">
        <f>IFERROR(INDEX(基础资料!$F$4:$F$23,MATCH($C1320,基础资料!$E$4:$E$23,0)),IF($C1320="","","未匹配账户"))</f>
        <v/>
      </c>
      <c r="E1320" s="39"/>
      <c r="F1320" s="10"/>
      <c r="G1320" s="10"/>
      <c r="H1320" s="10"/>
      <c r="I1320" s="10"/>
      <c r="J1320" s="10"/>
      <c r="K1320" s="25"/>
      <c r="L1320" s="25"/>
      <c r="M1320" s="25" t="str">
        <f>IFERROR(VLOOKUP($C1320,$C$5:$M$24,11,0)+SUMIF($C$25:$C1320,$C1320,$K$25:$K1320)-SUMIF($C$25:$C1320,$C1320,$L$25:$L1320),"")</f>
        <v/>
      </c>
      <c r="N1320" s="10"/>
      <c r="O1320" s="10"/>
      <c r="P1320" s="65"/>
      <c r="Q1320" s="10"/>
      <c r="R1320" s="10"/>
      <c r="S1320" s="54" t="str">
        <f t="shared" si="66"/>
        <v/>
      </c>
      <c r="T1320" s="54" t="str">
        <f t="shared" si="67"/>
        <v/>
      </c>
      <c r="U1320" s="58" t="str">
        <f t="shared" si="68"/>
        <v/>
      </c>
      <c r="V1320" s="58">
        <f>IF(AND($B1320&lt;&gt;"",$F1320&lt;&gt;"",$F1320=项目明细账!$C$2),N(V1319)+1,N(V1319))</f>
        <v>0</v>
      </c>
      <c r="W1320" s="63" t="str">
        <f>IF($H1320&lt;&gt;"","项目成本",IFERROR(INDEX(基础资料!$W$4:$W$49,MATCH($I1320,基础资料!$V$4:$V$49,0)),""))</f>
        <v/>
      </c>
      <c r="X1320" s="63" t="str">
        <f>IFERROR(INDEX(基础资料!$R$4:$R$17,MATCH($G1320,基础资料!$Q$4:$Q$17,0)),"")</f>
        <v/>
      </c>
    </row>
    <row r="1321" spans="1:24">
      <c r="A1321" s="58" t="str">
        <f>IF($B1321="","",COUNTA($B$5:$B1321))</f>
        <v/>
      </c>
      <c r="B1321" s="53"/>
      <c r="C1321" s="46"/>
      <c r="D1321" s="63" t="str">
        <f>IFERROR(INDEX(基础资料!$F$4:$F$23,MATCH($C1321,基础资料!$E$4:$E$23,0)),IF($C1321="","","未匹配账户"))</f>
        <v/>
      </c>
      <c r="E1321" s="39"/>
      <c r="F1321" s="10"/>
      <c r="G1321" s="10"/>
      <c r="H1321" s="10"/>
      <c r="I1321" s="10"/>
      <c r="J1321" s="10"/>
      <c r="K1321" s="25"/>
      <c r="L1321" s="25"/>
      <c r="M1321" s="25" t="str">
        <f>IFERROR(VLOOKUP($C1321,$C$5:$M$24,11,0)+SUMIF($C$25:$C1321,$C1321,$K$25:$K1321)-SUMIF($C$25:$C1321,$C1321,$L$25:$L1321),"")</f>
        <v/>
      </c>
      <c r="N1321" s="10"/>
      <c r="O1321" s="10"/>
      <c r="P1321" s="65"/>
      <c r="Q1321" s="10"/>
      <c r="R1321" s="10"/>
      <c r="S1321" s="54" t="str">
        <f t="shared" si="66"/>
        <v/>
      </c>
      <c r="T1321" s="54" t="str">
        <f t="shared" si="67"/>
        <v/>
      </c>
      <c r="U1321" s="58" t="str">
        <f t="shared" si="68"/>
        <v/>
      </c>
      <c r="V1321" s="58">
        <f>IF(AND($B1321&lt;&gt;"",$F1321&lt;&gt;"",$F1321=项目明细账!$C$2),N(V1320)+1,N(V1320))</f>
        <v>0</v>
      </c>
      <c r="W1321" s="63" t="str">
        <f>IF($H1321&lt;&gt;"","项目成本",IFERROR(INDEX(基础资料!$W$4:$W$49,MATCH($I1321,基础资料!$V$4:$V$49,0)),""))</f>
        <v/>
      </c>
      <c r="X1321" s="63" t="str">
        <f>IFERROR(INDEX(基础资料!$R$4:$R$17,MATCH($G1321,基础资料!$Q$4:$Q$17,0)),"")</f>
        <v/>
      </c>
    </row>
    <row r="1322" spans="1:24">
      <c r="A1322" s="58" t="str">
        <f>IF($B1322="","",COUNTA($B$5:$B1322))</f>
        <v/>
      </c>
      <c r="B1322" s="53"/>
      <c r="C1322" s="46"/>
      <c r="D1322" s="63" t="str">
        <f>IFERROR(INDEX(基础资料!$F$4:$F$23,MATCH($C1322,基础资料!$E$4:$E$23,0)),IF($C1322="","","未匹配账户"))</f>
        <v/>
      </c>
      <c r="E1322" s="39"/>
      <c r="F1322" s="10"/>
      <c r="G1322" s="10"/>
      <c r="H1322" s="10"/>
      <c r="I1322" s="10"/>
      <c r="J1322" s="10"/>
      <c r="K1322" s="25"/>
      <c r="L1322" s="25"/>
      <c r="M1322" s="25" t="str">
        <f>IFERROR(VLOOKUP($C1322,$C$5:$M$24,11,0)+SUMIF($C$25:$C1322,$C1322,$K$25:$K1322)-SUMIF($C$25:$C1322,$C1322,$L$25:$L1322),"")</f>
        <v/>
      </c>
      <c r="N1322" s="10"/>
      <c r="O1322" s="10"/>
      <c r="P1322" s="65"/>
      <c r="Q1322" s="10"/>
      <c r="R1322" s="10"/>
      <c r="S1322" s="54" t="str">
        <f t="shared" si="66"/>
        <v/>
      </c>
      <c r="T1322" s="54" t="str">
        <f t="shared" si="67"/>
        <v/>
      </c>
      <c r="U1322" s="58" t="str">
        <f t="shared" si="68"/>
        <v/>
      </c>
      <c r="V1322" s="58">
        <f>IF(AND($B1322&lt;&gt;"",$F1322&lt;&gt;"",$F1322=项目明细账!$C$2),N(V1321)+1,N(V1321))</f>
        <v>0</v>
      </c>
      <c r="W1322" s="63" t="str">
        <f>IF($H1322&lt;&gt;"","项目成本",IFERROR(INDEX(基础资料!$W$4:$W$49,MATCH($I1322,基础资料!$V$4:$V$49,0)),""))</f>
        <v/>
      </c>
      <c r="X1322" s="63" t="str">
        <f>IFERROR(INDEX(基础资料!$R$4:$R$17,MATCH($G1322,基础资料!$Q$4:$Q$17,0)),"")</f>
        <v/>
      </c>
    </row>
    <row r="1323" spans="1:24">
      <c r="A1323" s="58" t="str">
        <f>IF($B1323="","",COUNTA($B$5:$B1323))</f>
        <v/>
      </c>
      <c r="B1323" s="53"/>
      <c r="C1323" s="46"/>
      <c r="D1323" s="63" t="str">
        <f>IFERROR(INDEX(基础资料!$F$4:$F$23,MATCH($C1323,基础资料!$E$4:$E$23,0)),IF($C1323="","","未匹配账户"))</f>
        <v/>
      </c>
      <c r="E1323" s="39"/>
      <c r="F1323" s="10"/>
      <c r="G1323" s="10"/>
      <c r="H1323" s="10"/>
      <c r="I1323" s="10"/>
      <c r="J1323" s="10"/>
      <c r="K1323" s="25"/>
      <c r="L1323" s="25"/>
      <c r="M1323" s="25" t="str">
        <f>IFERROR(VLOOKUP($C1323,$C$5:$M$24,11,0)+SUMIF($C$25:$C1323,$C1323,$K$25:$K1323)-SUMIF($C$25:$C1323,$C1323,$L$25:$L1323),"")</f>
        <v/>
      </c>
      <c r="N1323" s="10"/>
      <c r="O1323" s="10"/>
      <c r="P1323" s="65"/>
      <c r="Q1323" s="10"/>
      <c r="R1323" s="10"/>
      <c r="S1323" s="54" t="str">
        <f t="shared" si="66"/>
        <v/>
      </c>
      <c r="T1323" s="54" t="str">
        <f t="shared" si="67"/>
        <v/>
      </c>
      <c r="U1323" s="58" t="str">
        <f t="shared" si="68"/>
        <v/>
      </c>
      <c r="V1323" s="58">
        <f>IF(AND($B1323&lt;&gt;"",$F1323&lt;&gt;"",$F1323=项目明细账!$C$2),N(V1322)+1,N(V1322))</f>
        <v>0</v>
      </c>
      <c r="W1323" s="63" t="str">
        <f>IF($H1323&lt;&gt;"","项目成本",IFERROR(INDEX(基础资料!$W$4:$W$49,MATCH($I1323,基础资料!$V$4:$V$49,0)),""))</f>
        <v/>
      </c>
      <c r="X1323" s="63" t="str">
        <f>IFERROR(INDEX(基础资料!$R$4:$R$17,MATCH($G1323,基础资料!$Q$4:$Q$17,0)),"")</f>
        <v/>
      </c>
    </row>
    <row r="1324" spans="1:24">
      <c r="A1324" s="58" t="str">
        <f>IF($B1324="","",COUNTA($B$5:$B1324))</f>
        <v/>
      </c>
      <c r="B1324" s="53"/>
      <c r="C1324" s="46"/>
      <c r="D1324" s="63" t="str">
        <f>IFERROR(INDEX(基础资料!$F$4:$F$23,MATCH($C1324,基础资料!$E$4:$E$23,0)),IF($C1324="","","未匹配账户"))</f>
        <v/>
      </c>
      <c r="E1324" s="39"/>
      <c r="F1324" s="10"/>
      <c r="G1324" s="10"/>
      <c r="H1324" s="10"/>
      <c r="I1324" s="10"/>
      <c r="J1324" s="10"/>
      <c r="K1324" s="25"/>
      <c r="L1324" s="25"/>
      <c r="M1324" s="25" t="str">
        <f>IFERROR(VLOOKUP($C1324,$C$5:$M$24,11,0)+SUMIF($C$25:$C1324,$C1324,$K$25:$K1324)-SUMIF($C$25:$C1324,$C1324,$L$25:$L1324),"")</f>
        <v/>
      </c>
      <c r="N1324" s="10"/>
      <c r="O1324" s="10"/>
      <c r="P1324" s="65"/>
      <c r="Q1324" s="10"/>
      <c r="R1324" s="10"/>
      <c r="S1324" s="54" t="str">
        <f t="shared" si="66"/>
        <v/>
      </c>
      <c r="T1324" s="54" t="str">
        <f t="shared" si="67"/>
        <v/>
      </c>
      <c r="U1324" s="58" t="str">
        <f t="shared" si="68"/>
        <v/>
      </c>
      <c r="V1324" s="58">
        <f>IF(AND($B1324&lt;&gt;"",$F1324&lt;&gt;"",$F1324=项目明细账!$C$2),N(V1323)+1,N(V1323))</f>
        <v>0</v>
      </c>
      <c r="W1324" s="63" t="str">
        <f>IF($H1324&lt;&gt;"","项目成本",IFERROR(INDEX(基础资料!$W$4:$W$49,MATCH($I1324,基础资料!$V$4:$V$49,0)),""))</f>
        <v/>
      </c>
      <c r="X1324" s="63" t="str">
        <f>IFERROR(INDEX(基础资料!$R$4:$R$17,MATCH($G1324,基础资料!$Q$4:$Q$17,0)),"")</f>
        <v/>
      </c>
    </row>
    <row r="1325" spans="1:24">
      <c r="A1325" s="58" t="str">
        <f>IF($B1325="","",COUNTA($B$5:$B1325))</f>
        <v/>
      </c>
      <c r="B1325" s="53"/>
      <c r="C1325" s="46"/>
      <c r="D1325" s="63" t="str">
        <f>IFERROR(INDEX(基础资料!$F$4:$F$23,MATCH($C1325,基础资料!$E$4:$E$23,0)),IF($C1325="","","未匹配账户"))</f>
        <v/>
      </c>
      <c r="E1325" s="39"/>
      <c r="F1325" s="10"/>
      <c r="G1325" s="10"/>
      <c r="H1325" s="10"/>
      <c r="I1325" s="10"/>
      <c r="J1325" s="10"/>
      <c r="K1325" s="25"/>
      <c r="L1325" s="25"/>
      <c r="M1325" s="25" t="str">
        <f>IFERROR(VLOOKUP($C1325,$C$5:$M$24,11,0)+SUMIF($C$25:$C1325,$C1325,$K$25:$K1325)-SUMIF($C$25:$C1325,$C1325,$L$25:$L1325),"")</f>
        <v/>
      </c>
      <c r="N1325" s="10"/>
      <c r="O1325" s="10"/>
      <c r="P1325" s="65"/>
      <c r="Q1325" s="10"/>
      <c r="R1325" s="10"/>
      <c r="S1325" s="54" t="str">
        <f t="shared" si="66"/>
        <v/>
      </c>
      <c r="T1325" s="54" t="str">
        <f t="shared" si="67"/>
        <v/>
      </c>
      <c r="U1325" s="58" t="str">
        <f t="shared" si="68"/>
        <v/>
      </c>
      <c r="V1325" s="58">
        <f>IF(AND($B1325&lt;&gt;"",$F1325&lt;&gt;"",$F1325=项目明细账!$C$2),N(V1324)+1,N(V1324))</f>
        <v>0</v>
      </c>
      <c r="W1325" s="63" t="str">
        <f>IF($H1325&lt;&gt;"","项目成本",IFERROR(INDEX(基础资料!$W$4:$W$49,MATCH($I1325,基础资料!$V$4:$V$49,0)),""))</f>
        <v/>
      </c>
      <c r="X1325" s="63" t="str">
        <f>IFERROR(INDEX(基础资料!$R$4:$R$17,MATCH($G1325,基础资料!$Q$4:$Q$17,0)),"")</f>
        <v/>
      </c>
    </row>
    <row r="1326" spans="1:24">
      <c r="A1326" s="58" t="str">
        <f>IF($B1326="","",COUNTA($B$5:$B1326))</f>
        <v/>
      </c>
      <c r="B1326" s="53"/>
      <c r="C1326" s="46"/>
      <c r="D1326" s="63" t="str">
        <f>IFERROR(INDEX(基础资料!$F$4:$F$23,MATCH($C1326,基础资料!$E$4:$E$23,0)),IF($C1326="","","未匹配账户"))</f>
        <v/>
      </c>
      <c r="E1326" s="39"/>
      <c r="F1326" s="10"/>
      <c r="G1326" s="10"/>
      <c r="H1326" s="10"/>
      <c r="I1326" s="10"/>
      <c r="J1326" s="10"/>
      <c r="K1326" s="25"/>
      <c r="L1326" s="25"/>
      <c r="M1326" s="25" t="str">
        <f>IFERROR(VLOOKUP($C1326,$C$5:$M$24,11,0)+SUMIF($C$25:$C1326,$C1326,$K$25:$K1326)-SUMIF($C$25:$C1326,$C1326,$L$25:$L1326),"")</f>
        <v/>
      </c>
      <c r="N1326" s="10"/>
      <c r="O1326" s="10"/>
      <c r="P1326" s="65"/>
      <c r="Q1326" s="10"/>
      <c r="R1326" s="10"/>
      <c r="S1326" s="54" t="str">
        <f t="shared" si="66"/>
        <v/>
      </c>
      <c r="T1326" s="54" t="str">
        <f t="shared" si="67"/>
        <v/>
      </c>
      <c r="U1326" s="58" t="str">
        <f t="shared" si="68"/>
        <v/>
      </c>
      <c r="V1326" s="58">
        <f>IF(AND($B1326&lt;&gt;"",$F1326&lt;&gt;"",$F1326=项目明细账!$C$2),N(V1325)+1,N(V1325))</f>
        <v>0</v>
      </c>
      <c r="W1326" s="63" t="str">
        <f>IF($H1326&lt;&gt;"","项目成本",IFERROR(INDEX(基础资料!$W$4:$W$49,MATCH($I1326,基础资料!$V$4:$V$49,0)),""))</f>
        <v/>
      </c>
      <c r="X1326" s="63" t="str">
        <f>IFERROR(INDEX(基础资料!$R$4:$R$17,MATCH($G1326,基础资料!$Q$4:$Q$17,0)),"")</f>
        <v/>
      </c>
    </row>
    <row r="1327" spans="1:24">
      <c r="A1327" s="58" t="str">
        <f>IF($B1327="","",COUNTA($B$5:$B1327))</f>
        <v/>
      </c>
      <c r="B1327" s="53"/>
      <c r="C1327" s="46"/>
      <c r="D1327" s="63" t="str">
        <f>IFERROR(INDEX(基础资料!$F$4:$F$23,MATCH($C1327,基础资料!$E$4:$E$23,0)),IF($C1327="","","未匹配账户"))</f>
        <v/>
      </c>
      <c r="E1327" s="39"/>
      <c r="F1327" s="10"/>
      <c r="G1327" s="10"/>
      <c r="H1327" s="10"/>
      <c r="I1327" s="10"/>
      <c r="J1327" s="10"/>
      <c r="K1327" s="25"/>
      <c r="L1327" s="25"/>
      <c r="M1327" s="25" t="str">
        <f>IFERROR(VLOOKUP($C1327,$C$5:$M$24,11,0)+SUMIF($C$25:$C1327,$C1327,$K$25:$K1327)-SUMIF($C$25:$C1327,$C1327,$L$25:$L1327),"")</f>
        <v/>
      </c>
      <c r="N1327" s="10"/>
      <c r="O1327" s="10"/>
      <c r="P1327" s="65"/>
      <c r="Q1327" s="10"/>
      <c r="R1327" s="10"/>
      <c r="S1327" s="54" t="str">
        <f t="shared" si="66"/>
        <v/>
      </c>
      <c r="T1327" s="54" t="str">
        <f t="shared" si="67"/>
        <v/>
      </c>
      <c r="U1327" s="58" t="str">
        <f t="shared" si="68"/>
        <v/>
      </c>
      <c r="V1327" s="58">
        <f>IF(AND($B1327&lt;&gt;"",$F1327&lt;&gt;"",$F1327=项目明细账!$C$2),N(V1326)+1,N(V1326))</f>
        <v>0</v>
      </c>
      <c r="W1327" s="63" t="str">
        <f>IF($H1327&lt;&gt;"","项目成本",IFERROR(INDEX(基础资料!$W$4:$W$49,MATCH($I1327,基础资料!$V$4:$V$49,0)),""))</f>
        <v/>
      </c>
      <c r="X1327" s="63" t="str">
        <f>IFERROR(INDEX(基础资料!$R$4:$R$17,MATCH($G1327,基础资料!$Q$4:$Q$17,0)),"")</f>
        <v/>
      </c>
    </row>
    <row r="1328" spans="1:24">
      <c r="A1328" s="58" t="str">
        <f>IF($B1328="","",COUNTA($B$5:$B1328))</f>
        <v/>
      </c>
      <c r="B1328" s="53"/>
      <c r="C1328" s="46"/>
      <c r="D1328" s="63" t="str">
        <f>IFERROR(INDEX(基础资料!$F$4:$F$23,MATCH($C1328,基础资料!$E$4:$E$23,0)),IF($C1328="","","未匹配账户"))</f>
        <v/>
      </c>
      <c r="E1328" s="39"/>
      <c r="F1328" s="10"/>
      <c r="G1328" s="10"/>
      <c r="H1328" s="10"/>
      <c r="I1328" s="10"/>
      <c r="J1328" s="10"/>
      <c r="K1328" s="25"/>
      <c r="L1328" s="25"/>
      <c r="M1328" s="25" t="str">
        <f>IFERROR(VLOOKUP($C1328,$C$5:$M$24,11,0)+SUMIF($C$25:$C1328,$C1328,$K$25:$K1328)-SUMIF($C$25:$C1328,$C1328,$L$25:$L1328),"")</f>
        <v/>
      </c>
      <c r="N1328" s="10"/>
      <c r="O1328" s="10"/>
      <c r="P1328" s="65"/>
      <c r="Q1328" s="10"/>
      <c r="R1328" s="10"/>
      <c r="S1328" s="54" t="str">
        <f t="shared" si="66"/>
        <v/>
      </c>
      <c r="T1328" s="54" t="str">
        <f t="shared" si="67"/>
        <v/>
      </c>
      <c r="U1328" s="58" t="str">
        <f t="shared" si="68"/>
        <v/>
      </c>
      <c r="V1328" s="58">
        <f>IF(AND($B1328&lt;&gt;"",$F1328&lt;&gt;"",$F1328=项目明细账!$C$2),N(V1327)+1,N(V1327))</f>
        <v>0</v>
      </c>
      <c r="W1328" s="63" t="str">
        <f>IF($H1328&lt;&gt;"","项目成本",IFERROR(INDEX(基础资料!$W$4:$W$49,MATCH($I1328,基础资料!$V$4:$V$49,0)),""))</f>
        <v/>
      </c>
      <c r="X1328" s="63" t="str">
        <f>IFERROR(INDEX(基础资料!$R$4:$R$17,MATCH($G1328,基础资料!$Q$4:$Q$17,0)),"")</f>
        <v/>
      </c>
    </row>
    <row r="1329" spans="1:24">
      <c r="A1329" s="58" t="str">
        <f>IF($B1329="","",COUNTA($B$5:$B1329))</f>
        <v/>
      </c>
      <c r="B1329" s="53"/>
      <c r="C1329" s="46"/>
      <c r="D1329" s="63" t="str">
        <f>IFERROR(INDEX(基础资料!$F$4:$F$23,MATCH($C1329,基础资料!$E$4:$E$23,0)),IF($C1329="","","未匹配账户"))</f>
        <v/>
      </c>
      <c r="E1329" s="39"/>
      <c r="F1329" s="10"/>
      <c r="G1329" s="10"/>
      <c r="H1329" s="10"/>
      <c r="I1329" s="10"/>
      <c r="J1329" s="10"/>
      <c r="K1329" s="25"/>
      <c r="L1329" s="25"/>
      <c r="M1329" s="25" t="str">
        <f>IFERROR(VLOOKUP($C1329,$C$5:$M$24,11,0)+SUMIF($C$25:$C1329,$C1329,$K$25:$K1329)-SUMIF($C$25:$C1329,$C1329,$L$25:$L1329),"")</f>
        <v/>
      </c>
      <c r="N1329" s="10"/>
      <c r="O1329" s="10"/>
      <c r="P1329" s="65"/>
      <c r="Q1329" s="10"/>
      <c r="R1329" s="10"/>
      <c r="S1329" s="54" t="str">
        <f t="shared" si="66"/>
        <v/>
      </c>
      <c r="T1329" s="54" t="str">
        <f t="shared" si="67"/>
        <v/>
      </c>
      <c r="U1329" s="58" t="str">
        <f t="shared" si="68"/>
        <v/>
      </c>
      <c r="V1329" s="58">
        <f>IF(AND($B1329&lt;&gt;"",$F1329&lt;&gt;"",$F1329=项目明细账!$C$2),N(V1328)+1,N(V1328))</f>
        <v>0</v>
      </c>
      <c r="W1329" s="63" t="str">
        <f>IF($H1329&lt;&gt;"","项目成本",IFERROR(INDEX(基础资料!$W$4:$W$49,MATCH($I1329,基础资料!$V$4:$V$49,0)),""))</f>
        <v/>
      </c>
      <c r="X1329" s="63" t="str">
        <f>IFERROR(INDEX(基础资料!$R$4:$R$17,MATCH($G1329,基础资料!$Q$4:$Q$17,0)),"")</f>
        <v/>
      </c>
    </row>
    <row r="1330" spans="1:24">
      <c r="A1330" s="58" t="str">
        <f>IF($B1330="","",COUNTA($B$5:$B1330))</f>
        <v/>
      </c>
      <c r="B1330" s="53"/>
      <c r="C1330" s="46"/>
      <c r="D1330" s="63" t="str">
        <f>IFERROR(INDEX(基础资料!$F$4:$F$23,MATCH($C1330,基础资料!$E$4:$E$23,0)),IF($C1330="","","未匹配账户"))</f>
        <v/>
      </c>
      <c r="E1330" s="39"/>
      <c r="F1330" s="10"/>
      <c r="G1330" s="10"/>
      <c r="H1330" s="10"/>
      <c r="I1330" s="10"/>
      <c r="J1330" s="10"/>
      <c r="K1330" s="25"/>
      <c r="L1330" s="25"/>
      <c r="M1330" s="25" t="str">
        <f>IFERROR(VLOOKUP($C1330,$C$5:$M$24,11,0)+SUMIF($C$25:$C1330,$C1330,$K$25:$K1330)-SUMIF($C$25:$C1330,$C1330,$L$25:$L1330),"")</f>
        <v/>
      </c>
      <c r="N1330" s="10"/>
      <c r="O1330" s="10"/>
      <c r="P1330" s="65"/>
      <c r="Q1330" s="10"/>
      <c r="R1330" s="10"/>
      <c r="S1330" s="54" t="str">
        <f t="shared" si="66"/>
        <v/>
      </c>
      <c r="T1330" s="54" t="str">
        <f t="shared" si="67"/>
        <v/>
      </c>
      <c r="U1330" s="58" t="str">
        <f t="shared" si="68"/>
        <v/>
      </c>
      <c r="V1330" s="58">
        <f>IF(AND($B1330&lt;&gt;"",$F1330&lt;&gt;"",$F1330=项目明细账!$C$2),N(V1329)+1,N(V1329))</f>
        <v>0</v>
      </c>
      <c r="W1330" s="63" t="str">
        <f>IF($H1330&lt;&gt;"","项目成本",IFERROR(INDEX(基础资料!$W$4:$W$49,MATCH($I1330,基础资料!$V$4:$V$49,0)),""))</f>
        <v/>
      </c>
      <c r="X1330" s="63" t="str">
        <f>IFERROR(INDEX(基础资料!$R$4:$R$17,MATCH($G1330,基础资料!$Q$4:$Q$17,0)),"")</f>
        <v/>
      </c>
    </row>
    <row r="1331" spans="1:24">
      <c r="A1331" s="58" t="str">
        <f>IF($B1331="","",COUNTA($B$5:$B1331))</f>
        <v/>
      </c>
      <c r="B1331" s="53"/>
      <c r="C1331" s="46"/>
      <c r="D1331" s="63" t="str">
        <f>IFERROR(INDEX(基础资料!$F$4:$F$23,MATCH($C1331,基础资料!$E$4:$E$23,0)),IF($C1331="","","未匹配账户"))</f>
        <v/>
      </c>
      <c r="E1331" s="39"/>
      <c r="F1331" s="10"/>
      <c r="G1331" s="10"/>
      <c r="H1331" s="10"/>
      <c r="I1331" s="10"/>
      <c r="J1331" s="10"/>
      <c r="K1331" s="25"/>
      <c r="L1331" s="25"/>
      <c r="M1331" s="25" t="str">
        <f>IFERROR(VLOOKUP($C1331,$C$5:$M$24,11,0)+SUMIF($C$25:$C1331,$C1331,$K$25:$K1331)-SUMIF($C$25:$C1331,$C1331,$L$25:$L1331),"")</f>
        <v/>
      </c>
      <c r="N1331" s="10"/>
      <c r="O1331" s="10"/>
      <c r="P1331" s="65"/>
      <c r="Q1331" s="10"/>
      <c r="R1331" s="10"/>
      <c r="S1331" s="54" t="str">
        <f t="shared" si="66"/>
        <v/>
      </c>
      <c r="T1331" s="54" t="str">
        <f t="shared" si="67"/>
        <v/>
      </c>
      <c r="U1331" s="58" t="str">
        <f t="shared" si="68"/>
        <v/>
      </c>
      <c r="V1331" s="58">
        <f>IF(AND($B1331&lt;&gt;"",$F1331&lt;&gt;"",$F1331=项目明细账!$C$2),N(V1330)+1,N(V1330))</f>
        <v>0</v>
      </c>
      <c r="W1331" s="63" t="str">
        <f>IF($H1331&lt;&gt;"","项目成本",IFERROR(INDEX(基础资料!$W$4:$W$49,MATCH($I1331,基础资料!$V$4:$V$49,0)),""))</f>
        <v/>
      </c>
      <c r="X1331" s="63" t="str">
        <f>IFERROR(INDEX(基础资料!$R$4:$R$17,MATCH($G1331,基础资料!$Q$4:$Q$17,0)),"")</f>
        <v/>
      </c>
    </row>
    <row r="1332" spans="1:24">
      <c r="A1332" s="58" t="str">
        <f>IF($B1332="","",COUNTA($B$5:$B1332))</f>
        <v/>
      </c>
      <c r="B1332" s="53"/>
      <c r="C1332" s="46"/>
      <c r="D1332" s="63" t="str">
        <f>IFERROR(INDEX(基础资料!$F$4:$F$23,MATCH($C1332,基础资料!$E$4:$E$23,0)),IF($C1332="","","未匹配账户"))</f>
        <v/>
      </c>
      <c r="E1332" s="39"/>
      <c r="F1332" s="10"/>
      <c r="G1332" s="10"/>
      <c r="H1332" s="10"/>
      <c r="I1332" s="10"/>
      <c r="J1332" s="10"/>
      <c r="K1332" s="25"/>
      <c r="L1332" s="25"/>
      <c r="M1332" s="25" t="str">
        <f>IFERROR(VLOOKUP($C1332,$C$5:$M$24,11,0)+SUMIF($C$25:$C1332,$C1332,$K$25:$K1332)-SUMIF($C$25:$C1332,$C1332,$L$25:$L1332),"")</f>
        <v/>
      </c>
      <c r="N1332" s="10"/>
      <c r="O1332" s="10"/>
      <c r="P1332" s="65"/>
      <c r="Q1332" s="10"/>
      <c r="R1332" s="10"/>
      <c r="S1332" s="54" t="str">
        <f t="shared" si="66"/>
        <v/>
      </c>
      <c r="T1332" s="54" t="str">
        <f t="shared" si="67"/>
        <v/>
      </c>
      <c r="U1332" s="58" t="str">
        <f t="shared" si="68"/>
        <v/>
      </c>
      <c r="V1332" s="58">
        <f>IF(AND($B1332&lt;&gt;"",$F1332&lt;&gt;"",$F1332=项目明细账!$C$2),N(V1331)+1,N(V1331))</f>
        <v>0</v>
      </c>
      <c r="W1332" s="63" t="str">
        <f>IF($H1332&lt;&gt;"","项目成本",IFERROR(INDEX(基础资料!$W$4:$W$49,MATCH($I1332,基础资料!$V$4:$V$49,0)),""))</f>
        <v/>
      </c>
      <c r="X1332" s="63" t="str">
        <f>IFERROR(INDEX(基础资料!$R$4:$R$17,MATCH($G1332,基础资料!$Q$4:$Q$17,0)),"")</f>
        <v/>
      </c>
    </row>
    <row r="1333" spans="1:24">
      <c r="A1333" s="58" t="str">
        <f>IF($B1333="","",COUNTA($B$5:$B1333))</f>
        <v/>
      </c>
      <c r="B1333" s="53"/>
      <c r="C1333" s="46"/>
      <c r="D1333" s="63" t="str">
        <f>IFERROR(INDEX(基础资料!$F$4:$F$23,MATCH($C1333,基础资料!$E$4:$E$23,0)),IF($C1333="","","未匹配账户"))</f>
        <v/>
      </c>
      <c r="E1333" s="39"/>
      <c r="F1333" s="10"/>
      <c r="G1333" s="10"/>
      <c r="H1333" s="10"/>
      <c r="I1333" s="10"/>
      <c r="J1333" s="10"/>
      <c r="K1333" s="25"/>
      <c r="L1333" s="25"/>
      <c r="M1333" s="25" t="str">
        <f>IFERROR(VLOOKUP($C1333,$C$5:$M$24,11,0)+SUMIF($C$25:$C1333,$C1333,$K$25:$K1333)-SUMIF($C$25:$C1333,$C1333,$L$25:$L1333),"")</f>
        <v/>
      </c>
      <c r="N1333" s="10"/>
      <c r="O1333" s="10"/>
      <c r="P1333" s="65"/>
      <c r="Q1333" s="10"/>
      <c r="R1333" s="10"/>
      <c r="S1333" s="54" t="str">
        <f t="shared" si="66"/>
        <v/>
      </c>
      <c r="T1333" s="54" t="str">
        <f t="shared" si="67"/>
        <v/>
      </c>
      <c r="U1333" s="58" t="str">
        <f t="shared" si="68"/>
        <v/>
      </c>
      <c r="V1333" s="58">
        <f>IF(AND($B1333&lt;&gt;"",$F1333&lt;&gt;"",$F1333=项目明细账!$C$2),N(V1332)+1,N(V1332))</f>
        <v>0</v>
      </c>
      <c r="W1333" s="63" t="str">
        <f>IF($H1333&lt;&gt;"","项目成本",IFERROR(INDEX(基础资料!$W$4:$W$49,MATCH($I1333,基础资料!$V$4:$V$49,0)),""))</f>
        <v/>
      </c>
      <c r="X1333" s="63" t="str">
        <f>IFERROR(INDEX(基础资料!$R$4:$R$17,MATCH($G1333,基础资料!$Q$4:$Q$17,0)),"")</f>
        <v/>
      </c>
    </row>
    <row r="1334" spans="1:24">
      <c r="A1334" s="58" t="str">
        <f>IF($B1334="","",COUNTA($B$5:$B1334))</f>
        <v/>
      </c>
      <c r="B1334" s="53"/>
      <c r="C1334" s="46"/>
      <c r="D1334" s="63" t="str">
        <f>IFERROR(INDEX(基础资料!$F$4:$F$23,MATCH($C1334,基础资料!$E$4:$E$23,0)),IF($C1334="","","未匹配账户"))</f>
        <v/>
      </c>
      <c r="E1334" s="39"/>
      <c r="F1334" s="10"/>
      <c r="G1334" s="10"/>
      <c r="H1334" s="10"/>
      <c r="I1334" s="10"/>
      <c r="J1334" s="10"/>
      <c r="K1334" s="25"/>
      <c r="L1334" s="25"/>
      <c r="M1334" s="25" t="str">
        <f>IFERROR(VLOOKUP($C1334,$C$5:$M$24,11,0)+SUMIF($C$25:$C1334,$C1334,$K$25:$K1334)-SUMIF($C$25:$C1334,$C1334,$L$25:$L1334),"")</f>
        <v/>
      </c>
      <c r="N1334" s="10"/>
      <c r="O1334" s="10"/>
      <c r="P1334" s="65"/>
      <c r="Q1334" s="10"/>
      <c r="R1334" s="10"/>
      <c r="S1334" s="54" t="str">
        <f t="shared" si="66"/>
        <v/>
      </c>
      <c r="T1334" s="54" t="str">
        <f t="shared" si="67"/>
        <v/>
      </c>
      <c r="U1334" s="58" t="str">
        <f t="shared" si="68"/>
        <v/>
      </c>
      <c r="V1334" s="58">
        <f>IF(AND($B1334&lt;&gt;"",$F1334&lt;&gt;"",$F1334=项目明细账!$C$2),N(V1333)+1,N(V1333))</f>
        <v>0</v>
      </c>
      <c r="W1334" s="63" t="str">
        <f>IF($H1334&lt;&gt;"","项目成本",IFERROR(INDEX(基础资料!$W$4:$W$49,MATCH($I1334,基础资料!$V$4:$V$49,0)),""))</f>
        <v/>
      </c>
      <c r="X1334" s="63" t="str">
        <f>IFERROR(INDEX(基础资料!$R$4:$R$17,MATCH($G1334,基础资料!$Q$4:$Q$17,0)),"")</f>
        <v/>
      </c>
    </row>
    <row r="1335" spans="1:24">
      <c r="A1335" s="58" t="str">
        <f>IF($B1335="","",COUNTA($B$5:$B1335))</f>
        <v/>
      </c>
      <c r="B1335" s="53"/>
      <c r="C1335" s="46"/>
      <c r="D1335" s="63" t="str">
        <f>IFERROR(INDEX(基础资料!$F$4:$F$23,MATCH($C1335,基础资料!$E$4:$E$23,0)),IF($C1335="","","未匹配账户"))</f>
        <v/>
      </c>
      <c r="E1335" s="39"/>
      <c r="F1335" s="10"/>
      <c r="G1335" s="10"/>
      <c r="H1335" s="10"/>
      <c r="I1335" s="10"/>
      <c r="J1335" s="10"/>
      <c r="K1335" s="25"/>
      <c r="L1335" s="25"/>
      <c r="M1335" s="25" t="str">
        <f>IFERROR(VLOOKUP($C1335,$C$5:$M$24,11,0)+SUMIF($C$25:$C1335,$C1335,$K$25:$K1335)-SUMIF($C$25:$C1335,$C1335,$L$25:$L1335),"")</f>
        <v/>
      </c>
      <c r="N1335" s="10"/>
      <c r="O1335" s="10"/>
      <c r="P1335" s="65"/>
      <c r="Q1335" s="10"/>
      <c r="R1335" s="10"/>
      <c r="S1335" s="54" t="str">
        <f t="shared" si="66"/>
        <v/>
      </c>
      <c r="T1335" s="54" t="str">
        <f t="shared" si="67"/>
        <v/>
      </c>
      <c r="U1335" s="58" t="str">
        <f t="shared" si="68"/>
        <v/>
      </c>
      <c r="V1335" s="58">
        <f>IF(AND($B1335&lt;&gt;"",$F1335&lt;&gt;"",$F1335=项目明细账!$C$2),N(V1334)+1,N(V1334))</f>
        <v>0</v>
      </c>
      <c r="W1335" s="63" t="str">
        <f>IF($H1335&lt;&gt;"","项目成本",IFERROR(INDEX(基础资料!$W$4:$W$49,MATCH($I1335,基础资料!$V$4:$V$49,0)),""))</f>
        <v/>
      </c>
      <c r="X1335" s="63" t="str">
        <f>IFERROR(INDEX(基础资料!$R$4:$R$17,MATCH($G1335,基础资料!$Q$4:$Q$17,0)),"")</f>
        <v/>
      </c>
    </row>
    <row r="1336" spans="1:24">
      <c r="A1336" s="58" t="str">
        <f>IF($B1336="","",COUNTA($B$5:$B1336))</f>
        <v/>
      </c>
      <c r="B1336" s="53"/>
      <c r="C1336" s="46"/>
      <c r="D1336" s="63" t="str">
        <f>IFERROR(INDEX(基础资料!$F$4:$F$23,MATCH($C1336,基础资料!$E$4:$E$23,0)),IF($C1336="","","未匹配账户"))</f>
        <v/>
      </c>
      <c r="E1336" s="39"/>
      <c r="F1336" s="10"/>
      <c r="G1336" s="10"/>
      <c r="H1336" s="10"/>
      <c r="I1336" s="10"/>
      <c r="J1336" s="10"/>
      <c r="K1336" s="25"/>
      <c r="L1336" s="25"/>
      <c r="M1336" s="25" t="str">
        <f>IFERROR(VLOOKUP($C1336,$C$5:$M$24,11,0)+SUMIF($C$25:$C1336,$C1336,$K$25:$K1336)-SUMIF($C$25:$C1336,$C1336,$L$25:$L1336),"")</f>
        <v/>
      </c>
      <c r="N1336" s="10"/>
      <c r="O1336" s="10"/>
      <c r="P1336" s="65"/>
      <c r="Q1336" s="10"/>
      <c r="R1336" s="10"/>
      <c r="S1336" s="54" t="str">
        <f t="shared" si="66"/>
        <v/>
      </c>
      <c r="T1336" s="54" t="str">
        <f t="shared" si="67"/>
        <v/>
      </c>
      <c r="U1336" s="58" t="str">
        <f t="shared" si="68"/>
        <v/>
      </c>
      <c r="V1336" s="58">
        <f>IF(AND($B1336&lt;&gt;"",$F1336&lt;&gt;"",$F1336=项目明细账!$C$2),N(V1335)+1,N(V1335))</f>
        <v>0</v>
      </c>
      <c r="W1336" s="63" t="str">
        <f>IF($H1336&lt;&gt;"","项目成本",IFERROR(INDEX(基础资料!$W$4:$W$49,MATCH($I1336,基础资料!$V$4:$V$49,0)),""))</f>
        <v/>
      </c>
      <c r="X1336" s="63" t="str">
        <f>IFERROR(INDEX(基础资料!$R$4:$R$17,MATCH($G1336,基础资料!$Q$4:$Q$17,0)),"")</f>
        <v/>
      </c>
    </row>
    <row r="1337" spans="1:24">
      <c r="A1337" s="58" t="str">
        <f>IF($B1337="","",COUNTA($B$5:$B1337))</f>
        <v/>
      </c>
      <c r="B1337" s="53"/>
      <c r="C1337" s="46"/>
      <c r="D1337" s="63" t="str">
        <f>IFERROR(INDEX(基础资料!$F$4:$F$23,MATCH($C1337,基础资料!$E$4:$E$23,0)),IF($C1337="","","未匹配账户"))</f>
        <v/>
      </c>
      <c r="E1337" s="39"/>
      <c r="F1337" s="10"/>
      <c r="G1337" s="10"/>
      <c r="H1337" s="10"/>
      <c r="I1337" s="10"/>
      <c r="J1337" s="10"/>
      <c r="K1337" s="25"/>
      <c r="L1337" s="25"/>
      <c r="M1337" s="25" t="str">
        <f>IFERROR(VLOOKUP($C1337,$C$5:$M$24,11,0)+SUMIF($C$25:$C1337,$C1337,$K$25:$K1337)-SUMIF($C$25:$C1337,$C1337,$L$25:$L1337),"")</f>
        <v/>
      </c>
      <c r="N1337" s="10"/>
      <c r="O1337" s="10"/>
      <c r="P1337" s="65"/>
      <c r="Q1337" s="10"/>
      <c r="R1337" s="10"/>
      <c r="S1337" s="54" t="str">
        <f t="shared" si="66"/>
        <v/>
      </c>
      <c r="T1337" s="54" t="str">
        <f t="shared" si="67"/>
        <v/>
      </c>
      <c r="U1337" s="58" t="str">
        <f t="shared" si="68"/>
        <v/>
      </c>
      <c r="V1337" s="58">
        <f>IF(AND($B1337&lt;&gt;"",$F1337&lt;&gt;"",$F1337=项目明细账!$C$2),N(V1336)+1,N(V1336))</f>
        <v>0</v>
      </c>
      <c r="W1337" s="63" t="str">
        <f>IF($H1337&lt;&gt;"","项目成本",IFERROR(INDEX(基础资料!$W$4:$W$49,MATCH($I1337,基础资料!$V$4:$V$49,0)),""))</f>
        <v/>
      </c>
      <c r="X1337" s="63" t="str">
        <f>IFERROR(INDEX(基础资料!$R$4:$R$17,MATCH($G1337,基础资料!$Q$4:$Q$17,0)),"")</f>
        <v/>
      </c>
    </row>
    <row r="1338" spans="1:24">
      <c r="A1338" s="58" t="str">
        <f>IF($B1338="","",COUNTA($B$5:$B1338))</f>
        <v/>
      </c>
      <c r="B1338" s="53"/>
      <c r="C1338" s="46"/>
      <c r="D1338" s="63" t="str">
        <f>IFERROR(INDEX(基础资料!$F$4:$F$23,MATCH($C1338,基础资料!$E$4:$E$23,0)),IF($C1338="","","未匹配账户"))</f>
        <v/>
      </c>
      <c r="E1338" s="39"/>
      <c r="F1338" s="10"/>
      <c r="G1338" s="10"/>
      <c r="H1338" s="10"/>
      <c r="I1338" s="10"/>
      <c r="J1338" s="10"/>
      <c r="K1338" s="25"/>
      <c r="L1338" s="25"/>
      <c r="M1338" s="25" t="str">
        <f>IFERROR(VLOOKUP($C1338,$C$5:$M$24,11,0)+SUMIF($C$25:$C1338,$C1338,$K$25:$K1338)-SUMIF($C$25:$C1338,$C1338,$L$25:$L1338),"")</f>
        <v/>
      </c>
      <c r="N1338" s="10"/>
      <c r="O1338" s="10"/>
      <c r="P1338" s="65"/>
      <c r="Q1338" s="10"/>
      <c r="R1338" s="10"/>
      <c r="S1338" s="54" t="str">
        <f t="shared" si="66"/>
        <v/>
      </c>
      <c r="T1338" s="54" t="str">
        <f t="shared" si="67"/>
        <v/>
      </c>
      <c r="U1338" s="58" t="str">
        <f t="shared" si="68"/>
        <v/>
      </c>
      <c r="V1338" s="58">
        <f>IF(AND($B1338&lt;&gt;"",$F1338&lt;&gt;"",$F1338=项目明细账!$C$2),N(V1337)+1,N(V1337))</f>
        <v>0</v>
      </c>
      <c r="W1338" s="63" t="str">
        <f>IF($H1338&lt;&gt;"","项目成本",IFERROR(INDEX(基础资料!$W$4:$W$49,MATCH($I1338,基础资料!$V$4:$V$49,0)),""))</f>
        <v/>
      </c>
      <c r="X1338" s="63" t="str">
        <f>IFERROR(INDEX(基础资料!$R$4:$R$17,MATCH($G1338,基础资料!$Q$4:$Q$17,0)),"")</f>
        <v/>
      </c>
    </row>
    <row r="1339" spans="1:24">
      <c r="A1339" s="58" t="str">
        <f>IF($B1339="","",COUNTA($B$5:$B1339))</f>
        <v/>
      </c>
      <c r="B1339" s="53"/>
      <c r="C1339" s="46"/>
      <c r="D1339" s="63" t="str">
        <f>IFERROR(INDEX(基础资料!$F$4:$F$23,MATCH($C1339,基础资料!$E$4:$E$23,0)),IF($C1339="","","未匹配账户"))</f>
        <v/>
      </c>
      <c r="E1339" s="39"/>
      <c r="F1339" s="10"/>
      <c r="G1339" s="10"/>
      <c r="H1339" s="10"/>
      <c r="I1339" s="10"/>
      <c r="J1339" s="10"/>
      <c r="K1339" s="25"/>
      <c r="L1339" s="25"/>
      <c r="M1339" s="25" t="str">
        <f>IFERROR(VLOOKUP($C1339,$C$5:$M$24,11,0)+SUMIF($C$25:$C1339,$C1339,$K$25:$K1339)-SUMIF($C$25:$C1339,$C1339,$L$25:$L1339),"")</f>
        <v/>
      </c>
      <c r="N1339" s="10"/>
      <c r="O1339" s="10"/>
      <c r="P1339" s="65"/>
      <c r="Q1339" s="10"/>
      <c r="R1339" s="10"/>
      <c r="S1339" s="54" t="str">
        <f t="shared" si="66"/>
        <v/>
      </c>
      <c r="T1339" s="54" t="str">
        <f t="shared" si="67"/>
        <v/>
      </c>
      <c r="U1339" s="58" t="str">
        <f t="shared" si="68"/>
        <v/>
      </c>
      <c r="V1339" s="58">
        <f>IF(AND($B1339&lt;&gt;"",$F1339&lt;&gt;"",$F1339=项目明细账!$C$2),N(V1338)+1,N(V1338))</f>
        <v>0</v>
      </c>
      <c r="W1339" s="63" t="str">
        <f>IF($H1339&lt;&gt;"","项目成本",IFERROR(INDEX(基础资料!$W$4:$W$49,MATCH($I1339,基础资料!$V$4:$V$49,0)),""))</f>
        <v/>
      </c>
      <c r="X1339" s="63" t="str">
        <f>IFERROR(INDEX(基础资料!$R$4:$R$17,MATCH($G1339,基础资料!$Q$4:$Q$17,0)),"")</f>
        <v/>
      </c>
    </row>
    <row r="1340" spans="1:24">
      <c r="A1340" s="58" t="str">
        <f>IF($B1340="","",COUNTA($B$5:$B1340))</f>
        <v/>
      </c>
      <c r="B1340" s="53"/>
      <c r="C1340" s="46"/>
      <c r="D1340" s="63" t="str">
        <f>IFERROR(INDEX(基础资料!$F$4:$F$23,MATCH($C1340,基础资料!$E$4:$E$23,0)),IF($C1340="","","未匹配账户"))</f>
        <v/>
      </c>
      <c r="E1340" s="39"/>
      <c r="F1340" s="10"/>
      <c r="G1340" s="10"/>
      <c r="H1340" s="10"/>
      <c r="I1340" s="10"/>
      <c r="J1340" s="10"/>
      <c r="K1340" s="25"/>
      <c r="L1340" s="25"/>
      <c r="M1340" s="25" t="str">
        <f>IFERROR(VLOOKUP($C1340,$C$5:$M$24,11,0)+SUMIF($C$25:$C1340,$C1340,$K$25:$K1340)-SUMIF($C$25:$C1340,$C1340,$L$25:$L1340),"")</f>
        <v/>
      </c>
      <c r="N1340" s="10"/>
      <c r="O1340" s="10"/>
      <c r="P1340" s="65"/>
      <c r="Q1340" s="10"/>
      <c r="R1340" s="10"/>
      <c r="S1340" s="54" t="str">
        <f t="shared" si="66"/>
        <v/>
      </c>
      <c r="T1340" s="54" t="str">
        <f t="shared" si="67"/>
        <v/>
      </c>
      <c r="U1340" s="58" t="str">
        <f t="shared" si="68"/>
        <v/>
      </c>
      <c r="V1340" s="58">
        <f>IF(AND($B1340&lt;&gt;"",$F1340&lt;&gt;"",$F1340=项目明细账!$C$2),N(V1339)+1,N(V1339))</f>
        <v>0</v>
      </c>
      <c r="W1340" s="63" t="str">
        <f>IF($H1340&lt;&gt;"","项目成本",IFERROR(INDEX(基础资料!$W$4:$W$49,MATCH($I1340,基础资料!$V$4:$V$49,0)),""))</f>
        <v/>
      </c>
      <c r="X1340" s="63" t="str">
        <f>IFERROR(INDEX(基础资料!$R$4:$R$17,MATCH($G1340,基础资料!$Q$4:$Q$17,0)),"")</f>
        <v/>
      </c>
    </row>
    <row r="1341" spans="1:24">
      <c r="A1341" s="58" t="str">
        <f>IF($B1341="","",COUNTA($B$5:$B1341))</f>
        <v/>
      </c>
      <c r="B1341" s="53"/>
      <c r="C1341" s="46"/>
      <c r="D1341" s="63" t="str">
        <f>IFERROR(INDEX(基础资料!$F$4:$F$23,MATCH($C1341,基础资料!$E$4:$E$23,0)),IF($C1341="","","未匹配账户"))</f>
        <v/>
      </c>
      <c r="E1341" s="39"/>
      <c r="F1341" s="10"/>
      <c r="G1341" s="10"/>
      <c r="H1341" s="10"/>
      <c r="I1341" s="10"/>
      <c r="J1341" s="10"/>
      <c r="K1341" s="25"/>
      <c r="L1341" s="25"/>
      <c r="M1341" s="25" t="str">
        <f>IFERROR(VLOOKUP($C1341,$C$5:$M$24,11,0)+SUMIF($C$25:$C1341,$C1341,$K$25:$K1341)-SUMIF($C$25:$C1341,$C1341,$L$25:$L1341),"")</f>
        <v/>
      </c>
      <c r="N1341" s="10"/>
      <c r="O1341" s="10"/>
      <c r="P1341" s="65"/>
      <c r="Q1341" s="10"/>
      <c r="R1341" s="10"/>
      <c r="S1341" s="54" t="str">
        <f t="shared" si="66"/>
        <v/>
      </c>
      <c r="T1341" s="54" t="str">
        <f t="shared" si="67"/>
        <v/>
      </c>
      <c r="U1341" s="58" t="str">
        <f t="shared" si="68"/>
        <v/>
      </c>
      <c r="V1341" s="58">
        <f>IF(AND($B1341&lt;&gt;"",$F1341&lt;&gt;"",$F1341=项目明细账!$C$2),N(V1340)+1,N(V1340))</f>
        <v>0</v>
      </c>
      <c r="W1341" s="63" t="str">
        <f>IF($H1341&lt;&gt;"","项目成本",IFERROR(INDEX(基础资料!$W$4:$W$49,MATCH($I1341,基础资料!$V$4:$V$49,0)),""))</f>
        <v/>
      </c>
      <c r="X1341" s="63" t="str">
        <f>IFERROR(INDEX(基础资料!$R$4:$R$17,MATCH($G1341,基础资料!$Q$4:$Q$17,0)),"")</f>
        <v/>
      </c>
    </row>
    <row r="1342" spans="1:24">
      <c r="A1342" s="58" t="str">
        <f>IF($B1342="","",COUNTA($B$5:$B1342))</f>
        <v/>
      </c>
      <c r="B1342" s="53"/>
      <c r="C1342" s="46"/>
      <c r="D1342" s="63" t="str">
        <f>IFERROR(INDEX(基础资料!$F$4:$F$23,MATCH($C1342,基础资料!$E$4:$E$23,0)),IF($C1342="","","未匹配账户"))</f>
        <v/>
      </c>
      <c r="E1342" s="39"/>
      <c r="F1342" s="10"/>
      <c r="G1342" s="10"/>
      <c r="H1342" s="10"/>
      <c r="I1342" s="10"/>
      <c r="J1342" s="10"/>
      <c r="K1342" s="25"/>
      <c r="L1342" s="25"/>
      <c r="M1342" s="25" t="str">
        <f>IFERROR(VLOOKUP($C1342,$C$5:$M$24,11,0)+SUMIF($C$25:$C1342,$C1342,$K$25:$K1342)-SUMIF($C$25:$C1342,$C1342,$L$25:$L1342),"")</f>
        <v/>
      </c>
      <c r="N1342" s="10"/>
      <c r="O1342" s="10"/>
      <c r="P1342" s="65"/>
      <c r="Q1342" s="10"/>
      <c r="R1342" s="10"/>
      <c r="S1342" s="54" t="str">
        <f t="shared" si="66"/>
        <v/>
      </c>
      <c r="T1342" s="54" t="str">
        <f t="shared" si="67"/>
        <v/>
      </c>
      <c r="U1342" s="58" t="str">
        <f t="shared" si="68"/>
        <v/>
      </c>
      <c r="V1342" s="58">
        <f>IF(AND($B1342&lt;&gt;"",$F1342&lt;&gt;"",$F1342=项目明细账!$C$2),N(V1341)+1,N(V1341))</f>
        <v>0</v>
      </c>
      <c r="W1342" s="63" t="str">
        <f>IF($H1342&lt;&gt;"","项目成本",IFERROR(INDEX(基础资料!$W$4:$W$49,MATCH($I1342,基础资料!$V$4:$V$49,0)),""))</f>
        <v/>
      </c>
      <c r="X1342" s="63" t="str">
        <f>IFERROR(INDEX(基础资料!$R$4:$R$17,MATCH($G1342,基础资料!$Q$4:$Q$17,0)),"")</f>
        <v/>
      </c>
    </row>
    <row r="1343" spans="1:24">
      <c r="A1343" s="58" t="str">
        <f>IF($B1343="","",COUNTA($B$5:$B1343))</f>
        <v/>
      </c>
      <c r="B1343" s="53"/>
      <c r="C1343" s="46"/>
      <c r="D1343" s="63" t="str">
        <f>IFERROR(INDEX(基础资料!$F$4:$F$23,MATCH($C1343,基础资料!$E$4:$E$23,0)),IF($C1343="","","未匹配账户"))</f>
        <v/>
      </c>
      <c r="E1343" s="39"/>
      <c r="F1343" s="10"/>
      <c r="G1343" s="10"/>
      <c r="H1343" s="10"/>
      <c r="I1343" s="10"/>
      <c r="J1343" s="10"/>
      <c r="K1343" s="25"/>
      <c r="L1343" s="25"/>
      <c r="M1343" s="25" t="str">
        <f>IFERROR(VLOOKUP($C1343,$C$5:$M$24,11,0)+SUMIF($C$25:$C1343,$C1343,$K$25:$K1343)-SUMIF($C$25:$C1343,$C1343,$L$25:$L1343),"")</f>
        <v/>
      </c>
      <c r="N1343" s="10"/>
      <c r="O1343" s="10"/>
      <c r="P1343" s="65"/>
      <c r="Q1343" s="10"/>
      <c r="R1343" s="10"/>
      <c r="S1343" s="54" t="str">
        <f t="shared" si="66"/>
        <v/>
      </c>
      <c r="T1343" s="54" t="str">
        <f t="shared" si="67"/>
        <v/>
      </c>
      <c r="U1343" s="58" t="str">
        <f t="shared" si="68"/>
        <v/>
      </c>
      <c r="V1343" s="58">
        <f>IF(AND($B1343&lt;&gt;"",$F1343&lt;&gt;"",$F1343=项目明细账!$C$2),N(V1342)+1,N(V1342))</f>
        <v>0</v>
      </c>
      <c r="W1343" s="63" t="str">
        <f>IF($H1343&lt;&gt;"","项目成本",IFERROR(INDEX(基础资料!$W$4:$W$49,MATCH($I1343,基础资料!$V$4:$V$49,0)),""))</f>
        <v/>
      </c>
      <c r="X1343" s="63" t="str">
        <f>IFERROR(INDEX(基础资料!$R$4:$R$17,MATCH($G1343,基础资料!$Q$4:$Q$17,0)),"")</f>
        <v/>
      </c>
    </row>
    <row r="1344" spans="1:24">
      <c r="A1344" s="58" t="str">
        <f>IF($B1344="","",COUNTA($B$5:$B1344))</f>
        <v/>
      </c>
      <c r="B1344" s="53"/>
      <c r="C1344" s="46"/>
      <c r="D1344" s="63" t="str">
        <f>IFERROR(INDEX(基础资料!$F$4:$F$23,MATCH($C1344,基础资料!$E$4:$E$23,0)),IF($C1344="","","未匹配账户"))</f>
        <v/>
      </c>
      <c r="E1344" s="39"/>
      <c r="F1344" s="10"/>
      <c r="G1344" s="10"/>
      <c r="H1344" s="10"/>
      <c r="I1344" s="10"/>
      <c r="J1344" s="10"/>
      <c r="K1344" s="25"/>
      <c r="L1344" s="25"/>
      <c r="M1344" s="25" t="str">
        <f>IFERROR(VLOOKUP($C1344,$C$5:$M$24,11,0)+SUMIF($C$25:$C1344,$C1344,$K$25:$K1344)-SUMIF($C$25:$C1344,$C1344,$L$25:$L1344),"")</f>
        <v/>
      </c>
      <c r="N1344" s="10"/>
      <c r="O1344" s="10"/>
      <c r="P1344" s="65"/>
      <c r="Q1344" s="10"/>
      <c r="R1344" s="10"/>
      <c r="S1344" s="54" t="str">
        <f t="shared" si="66"/>
        <v/>
      </c>
      <c r="T1344" s="54" t="str">
        <f t="shared" si="67"/>
        <v/>
      </c>
      <c r="U1344" s="58" t="str">
        <f t="shared" si="68"/>
        <v/>
      </c>
      <c r="V1344" s="58">
        <f>IF(AND($B1344&lt;&gt;"",$F1344&lt;&gt;"",$F1344=项目明细账!$C$2),N(V1343)+1,N(V1343))</f>
        <v>0</v>
      </c>
      <c r="W1344" s="63" t="str">
        <f>IF($H1344&lt;&gt;"","项目成本",IFERROR(INDEX(基础资料!$W$4:$W$49,MATCH($I1344,基础资料!$V$4:$V$49,0)),""))</f>
        <v/>
      </c>
      <c r="X1344" s="63" t="str">
        <f>IFERROR(INDEX(基础资料!$R$4:$R$17,MATCH($G1344,基础资料!$Q$4:$Q$17,0)),"")</f>
        <v/>
      </c>
    </row>
    <row r="1345" spans="1:24">
      <c r="A1345" s="58" t="str">
        <f>IF($B1345="","",COUNTA($B$5:$B1345))</f>
        <v/>
      </c>
      <c r="B1345" s="53"/>
      <c r="C1345" s="46"/>
      <c r="D1345" s="63" t="str">
        <f>IFERROR(INDEX(基础资料!$F$4:$F$23,MATCH($C1345,基础资料!$E$4:$E$23,0)),IF($C1345="","","未匹配账户"))</f>
        <v/>
      </c>
      <c r="E1345" s="39"/>
      <c r="F1345" s="10"/>
      <c r="G1345" s="10"/>
      <c r="H1345" s="10"/>
      <c r="I1345" s="10"/>
      <c r="J1345" s="10"/>
      <c r="K1345" s="25"/>
      <c r="L1345" s="25"/>
      <c r="M1345" s="25" t="str">
        <f>IFERROR(VLOOKUP($C1345,$C$5:$M$24,11,0)+SUMIF($C$25:$C1345,$C1345,$K$25:$K1345)-SUMIF($C$25:$C1345,$C1345,$L$25:$L1345),"")</f>
        <v/>
      </c>
      <c r="N1345" s="10"/>
      <c r="O1345" s="10"/>
      <c r="P1345" s="65"/>
      <c r="Q1345" s="10"/>
      <c r="R1345" s="10"/>
      <c r="S1345" s="54" t="str">
        <f t="shared" si="66"/>
        <v/>
      </c>
      <c r="T1345" s="54" t="str">
        <f t="shared" si="67"/>
        <v/>
      </c>
      <c r="U1345" s="58" t="str">
        <f t="shared" si="68"/>
        <v/>
      </c>
      <c r="V1345" s="58">
        <f>IF(AND($B1345&lt;&gt;"",$F1345&lt;&gt;"",$F1345=项目明细账!$C$2),N(V1344)+1,N(V1344))</f>
        <v>0</v>
      </c>
      <c r="W1345" s="63" t="str">
        <f>IF($H1345&lt;&gt;"","项目成本",IFERROR(INDEX(基础资料!$W$4:$W$49,MATCH($I1345,基础资料!$V$4:$V$49,0)),""))</f>
        <v/>
      </c>
      <c r="X1345" s="63" t="str">
        <f>IFERROR(INDEX(基础资料!$R$4:$R$17,MATCH($G1345,基础资料!$Q$4:$Q$17,0)),"")</f>
        <v/>
      </c>
    </row>
    <row r="1346" spans="1:24">
      <c r="A1346" s="58" t="str">
        <f>IF($B1346="","",COUNTA($B$5:$B1346))</f>
        <v/>
      </c>
      <c r="B1346" s="53"/>
      <c r="C1346" s="46"/>
      <c r="D1346" s="63" t="str">
        <f>IFERROR(INDEX(基础资料!$F$4:$F$23,MATCH($C1346,基础资料!$E$4:$E$23,0)),IF($C1346="","","未匹配账户"))</f>
        <v/>
      </c>
      <c r="E1346" s="39"/>
      <c r="F1346" s="10"/>
      <c r="G1346" s="10"/>
      <c r="H1346" s="10"/>
      <c r="I1346" s="10"/>
      <c r="J1346" s="10"/>
      <c r="K1346" s="25"/>
      <c r="L1346" s="25"/>
      <c r="M1346" s="25" t="str">
        <f>IFERROR(VLOOKUP($C1346,$C$5:$M$24,11,0)+SUMIF($C$25:$C1346,$C1346,$K$25:$K1346)-SUMIF($C$25:$C1346,$C1346,$L$25:$L1346),"")</f>
        <v/>
      </c>
      <c r="N1346" s="10"/>
      <c r="O1346" s="10"/>
      <c r="P1346" s="65"/>
      <c r="Q1346" s="10"/>
      <c r="R1346" s="10"/>
      <c r="S1346" s="54" t="str">
        <f t="shared" si="66"/>
        <v/>
      </c>
      <c r="T1346" s="54" t="str">
        <f t="shared" si="67"/>
        <v/>
      </c>
      <c r="U1346" s="58" t="str">
        <f t="shared" si="68"/>
        <v/>
      </c>
      <c r="V1346" s="58">
        <f>IF(AND($B1346&lt;&gt;"",$F1346&lt;&gt;"",$F1346=项目明细账!$C$2),N(V1345)+1,N(V1345))</f>
        <v>0</v>
      </c>
      <c r="W1346" s="63" t="str">
        <f>IF($H1346&lt;&gt;"","项目成本",IFERROR(INDEX(基础资料!$W$4:$W$49,MATCH($I1346,基础资料!$V$4:$V$49,0)),""))</f>
        <v/>
      </c>
      <c r="X1346" s="63" t="str">
        <f>IFERROR(INDEX(基础资料!$R$4:$R$17,MATCH($G1346,基础资料!$Q$4:$Q$17,0)),"")</f>
        <v/>
      </c>
    </row>
    <row r="1347" spans="1:24">
      <c r="A1347" s="58" t="str">
        <f>IF($B1347="","",COUNTA($B$5:$B1347))</f>
        <v/>
      </c>
      <c r="B1347" s="53"/>
      <c r="C1347" s="46"/>
      <c r="D1347" s="63" t="str">
        <f>IFERROR(INDEX(基础资料!$F$4:$F$23,MATCH($C1347,基础资料!$E$4:$E$23,0)),IF($C1347="","","未匹配账户"))</f>
        <v/>
      </c>
      <c r="E1347" s="39"/>
      <c r="F1347" s="10"/>
      <c r="G1347" s="10"/>
      <c r="H1347" s="10"/>
      <c r="I1347" s="10"/>
      <c r="J1347" s="10"/>
      <c r="K1347" s="25"/>
      <c r="L1347" s="25"/>
      <c r="M1347" s="25" t="str">
        <f>IFERROR(VLOOKUP($C1347,$C$5:$M$24,11,0)+SUMIF($C$25:$C1347,$C1347,$K$25:$K1347)-SUMIF($C$25:$C1347,$C1347,$L$25:$L1347),"")</f>
        <v/>
      </c>
      <c r="N1347" s="10"/>
      <c r="O1347" s="10"/>
      <c r="P1347" s="65"/>
      <c r="Q1347" s="10"/>
      <c r="R1347" s="10"/>
      <c r="S1347" s="54" t="str">
        <f t="shared" si="66"/>
        <v/>
      </c>
      <c r="T1347" s="54" t="str">
        <f t="shared" si="67"/>
        <v/>
      </c>
      <c r="U1347" s="58" t="str">
        <f t="shared" si="68"/>
        <v/>
      </c>
      <c r="V1347" s="58">
        <f>IF(AND($B1347&lt;&gt;"",$F1347&lt;&gt;"",$F1347=项目明细账!$C$2),N(V1346)+1,N(V1346))</f>
        <v>0</v>
      </c>
      <c r="W1347" s="63" t="str">
        <f>IF($H1347&lt;&gt;"","项目成本",IFERROR(INDEX(基础资料!$W$4:$W$49,MATCH($I1347,基础资料!$V$4:$V$49,0)),""))</f>
        <v/>
      </c>
      <c r="X1347" s="63" t="str">
        <f>IFERROR(INDEX(基础资料!$R$4:$R$17,MATCH($G1347,基础资料!$Q$4:$Q$17,0)),"")</f>
        <v/>
      </c>
    </row>
    <row r="1348" spans="1:24">
      <c r="A1348" s="58" t="str">
        <f>IF($B1348="","",COUNTA($B$5:$B1348))</f>
        <v/>
      </c>
      <c r="B1348" s="53"/>
      <c r="C1348" s="46"/>
      <c r="D1348" s="63" t="str">
        <f>IFERROR(INDEX(基础资料!$F$4:$F$23,MATCH($C1348,基础资料!$E$4:$E$23,0)),IF($C1348="","","未匹配账户"))</f>
        <v/>
      </c>
      <c r="E1348" s="39"/>
      <c r="F1348" s="10"/>
      <c r="G1348" s="10"/>
      <c r="H1348" s="10"/>
      <c r="I1348" s="10"/>
      <c r="J1348" s="10"/>
      <c r="K1348" s="25"/>
      <c r="L1348" s="25"/>
      <c r="M1348" s="25" t="str">
        <f>IFERROR(VLOOKUP($C1348,$C$5:$M$24,11,0)+SUMIF($C$25:$C1348,$C1348,$K$25:$K1348)-SUMIF($C$25:$C1348,$C1348,$L$25:$L1348),"")</f>
        <v/>
      </c>
      <c r="N1348" s="10"/>
      <c r="O1348" s="10"/>
      <c r="P1348" s="65"/>
      <c r="Q1348" s="10"/>
      <c r="R1348" s="10"/>
      <c r="S1348" s="54" t="str">
        <f t="shared" si="66"/>
        <v/>
      </c>
      <c r="T1348" s="54" t="str">
        <f t="shared" si="67"/>
        <v/>
      </c>
      <c r="U1348" s="58" t="str">
        <f t="shared" si="68"/>
        <v/>
      </c>
      <c r="V1348" s="58">
        <f>IF(AND($B1348&lt;&gt;"",$F1348&lt;&gt;"",$F1348=项目明细账!$C$2),N(V1347)+1,N(V1347))</f>
        <v>0</v>
      </c>
      <c r="W1348" s="63" t="str">
        <f>IF($H1348&lt;&gt;"","项目成本",IFERROR(INDEX(基础资料!$W$4:$W$49,MATCH($I1348,基础资料!$V$4:$V$49,0)),""))</f>
        <v/>
      </c>
      <c r="X1348" s="63" t="str">
        <f>IFERROR(INDEX(基础资料!$R$4:$R$17,MATCH($G1348,基础资料!$Q$4:$Q$17,0)),"")</f>
        <v/>
      </c>
    </row>
    <row r="1349" spans="1:24">
      <c r="A1349" s="58" t="str">
        <f>IF($B1349="","",COUNTA($B$5:$B1349))</f>
        <v/>
      </c>
      <c r="B1349" s="53"/>
      <c r="C1349" s="46"/>
      <c r="D1349" s="63" t="str">
        <f>IFERROR(INDEX(基础资料!$F$4:$F$23,MATCH($C1349,基础资料!$E$4:$E$23,0)),IF($C1349="","","未匹配账户"))</f>
        <v/>
      </c>
      <c r="E1349" s="39"/>
      <c r="F1349" s="10"/>
      <c r="G1349" s="10"/>
      <c r="H1349" s="10"/>
      <c r="I1349" s="10"/>
      <c r="J1349" s="10"/>
      <c r="K1349" s="25"/>
      <c r="L1349" s="25"/>
      <c r="M1349" s="25" t="str">
        <f>IFERROR(VLOOKUP($C1349,$C$5:$M$24,11,0)+SUMIF($C$25:$C1349,$C1349,$K$25:$K1349)-SUMIF($C$25:$C1349,$C1349,$L$25:$L1349),"")</f>
        <v/>
      </c>
      <c r="N1349" s="10"/>
      <c r="O1349" s="10"/>
      <c r="P1349" s="65"/>
      <c r="Q1349" s="10"/>
      <c r="R1349" s="10"/>
      <c r="S1349" s="54" t="str">
        <f t="shared" si="66"/>
        <v/>
      </c>
      <c r="T1349" s="54" t="str">
        <f t="shared" si="67"/>
        <v/>
      </c>
      <c r="U1349" s="58" t="str">
        <f t="shared" si="68"/>
        <v/>
      </c>
      <c r="V1349" s="58">
        <f>IF(AND($B1349&lt;&gt;"",$F1349&lt;&gt;"",$F1349=项目明细账!$C$2),N(V1348)+1,N(V1348))</f>
        <v>0</v>
      </c>
      <c r="W1349" s="63" t="str">
        <f>IF($H1349&lt;&gt;"","项目成本",IFERROR(INDEX(基础资料!$W$4:$W$49,MATCH($I1349,基础资料!$V$4:$V$49,0)),""))</f>
        <v/>
      </c>
      <c r="X1349" s="63" t="str">
        <f>IFERROR(INDEX(基础资料!$R$4:$R$17,MATCH($G1349,基础资料!$Q$4:$Q$17,0)),"")</f>
        <v/>
      </c>
    </row>
    <row r="1350" spans="1:24">
      <c r="A1350" s="58" t="str">
        <f>IF($B1350="","",COUNTA($B$5:$B1350))</f>
        <v/>
      </c>
      <c r="B1350" s="53"/>
      <c r="C1350" s="46"/>
      <c r="D1350" s="63" t="str">
        <f>IFERROR(INDEX(基础资料!$F$4:$F$23,MATCH($C1350,基础资料!$E$4:$E$23,0)),IF($C1350="","","未匹配账户"))</f>
        <v/>
      </c>
      <c r="E1350" s="39"/>
      <c r="F1350" s="10"/>
      <c r="G1350" s="10"/>
      <c r="H1350" s="10"/>
      <c r="I1350" s="10"/>
      <c r="J1350" s="10"/>
      <c r="K1350" s="25"/>
      <c r="L1350" s="25"/>
      <c r="M1350" s="25" t="str">
        <f>IFERROR(VLOOKUP($C1350,$C$5:$M$24,11,0)+SUMIF($C$25:$C1350,$C1350,$K$25:$K1350)-SUMIF($C$25:$C1350,$C1350,$L$25:$L1350),"")</f>
        <v/>
      </c>
      <c r="N1350" s="10"/>
      <c r="O1350" s="10"/>
      <c r="P1350" s="65"/>
      <c r="Q1350" s="10"/>
      <c r="R1350" s="10"/>
      <c r="S1350" s="54" t="str">
        <f t="shared" si="66"/>
        <v/>
      </c>
      <c r="T1350" s="54" t="str">
        <f t="shared" si="67"/>
        <v/>
      </c>
      <c r="U1350" s="58" t="str">
        <f t="shared" si="68"/>
        <v/>
      </c>
      <c r="V1350" s="58">
        <f>IF(AND($B1350&lt;&gt;"",$F1350&lt;&gt;"",$F1350=项目明细账!$C$2),N(V1349)+1,N(V1349))</f>
        <v>0</v>
      </c>
      <c r="W1350" s="63" t="str">
        <f>IF($H1350&lt;&gt;"","项目成本",IFERROR(INDEX(基础资料!$W$4:$W$49,MATCH($I1350,基础资料!$V$4:$V$49,0)),""))</f>
        <v/>
      </c>
      <c r="X1350" s="63" t="str">
        <f>IFERROR(INDEX(基础资料!$R$4:$R$17,MATCH($G1350,基础资料!$Q$4:$Q$17,0)),"")</f>
        <v/>
      </c>
    </row>
    <row r="1351" spans="1:24">
      <c r="A1351" s="58" t="str">
        <f>IF($B1351="","",COUNTA($B$5:$B1351))</f>
        <v/>
      </c>
      <c r="B1351" s="53"/>
      <c r="C1351" s="46"/>
      <c r="D1351" s="63" t="str">
        <f>IFERROR(INDEX(基础资料!$F$4:$F$23,MATCH($C1351,基础资料!$E$4:$E$23,0)),IF($C1351="","","未匹配账户"))</f>
        <v/>
      </c>
      <c r="E1351" s="39"/>
      <c r="F1351" s="10"/>
      <c r="G1351" s="10"/>
      <c r="H1351" s="10"/>
      <c r="I1351" s="10"/>
      <c r="J1351" s="10"/>
      <c r="K1351" s="25"/>
      <c r="L1351" s="25"/>
      <c r="M1351" s="25" t="str">
        <f>IFERROR(VLOOKUP($C1351,$C$5:$M$24,11,0)+SUMIF($C$25:$C1351,$C1351,$K$25:$K1351)-SUMIF($C$25:$C1351,$C1351,$L$25:$L1351),"")</f>
        <v/>
      </c>
      <c r="N1351" s="10"/>
      <c r="O1351" s="10"/>
      <c r="P1351" s="65"/>
      <c r="Q1351" s="10"/>
      <c r="R1351" s="10"/>
      <c r="S1351" s="54" t="str">
        <f t="shared" ref="S1351:S1414" si="69">IF($B1351="","",--TEXT($B1351,"yyyymm"))</f>
        <v/>
      </c>
      <c r="T1351" s="54" t="str">
        <f t="shared" ref="T1351:T1414" si="70">IF($B1351="","",IF($P1351="",$S1351,IFERROR($P1351*1,$P1351)))</f>
        <v/>
      </c>
      <c r="U1351" s="58" t="str">
        <f t="shared" ref="U1351:U1414" si="71">IF($B1351="","",IF($T1351=$S1351,"","跨期"))</f>
        <v/>
      </c>
      <c r="V1351" s="58">
        <f>IF(AND($B1351&lt;&gt;"",$F1351&lt;&gt;"",$F1351=项目明细账!$C$2),N(V1350)+1,N(V1350))</f>
        <v>0</v>
      </c>
      <c r="W1351" s="63" t="str">
        <f>IF($H1351&lt;&gt;"","项目成本",IFERROR(INDEX(基础资料!$W$4:$W$49,MATCH($I1351,基础资料!$V$4:$V$49,0)),""))</f>
        <v/>
      </c>
      <c r="X1351" s="63" t="str">
        <f>IFERROR(INDEX(基础资料!$R$4:$R$17,MATCH($G1351,基础资料!$Q$4:$Q$17,0)),"")</f>
        <v/>
      </c>
    </row>
    <row r="1352" spans="1:24">
      <c r="A1352" s="58" t="str">
        <f>IF($B1352="","",COUNTA($B$5:$B1352))</f>
        <v/>
      </c>
      <c r="B1352" s="53"/>
      <c r="C1352" s="46"/>
      <c r="D1352" s="63" t="str">
        <f>IFERROR(INDEX(基础资料!$F$4:$F$23,MATCH($C1352,基础资料!$E$4:$E$23,0)),IF($C1352="","","未匹配账户"))</f>
        <v/>
      </c>
      <c r="E1352" s="39"/>
      <c r="F1352" s="10"/>
      <c r="G1352" s="10"/>
      <c r="H1352" s="10"/>
      <c r="I1352" s="10"/>
      <c r="J1352" s="10"/>
      <c r="K1352" s="25"/>
      <c r="L1352" s="25"/>
      <c r="M1352" s="25" t="str">
        <f>IFERROR(VLOOKUP($C1352,$C$5:$M$24,11,0)+SUMIF($C$25:$C1352,$C1352,$K$25:$K1352)-SUMIF($C$25:$C1352,$C1352,$L$25:$L1352),"")</f>
        <v/>
      </c>
      <c r="N1352" s="10"/>
      <c r="O1352" s="10"/>
      <c r="P1352" s="65"/>
      <c r="Q1352" s="10"/>
      <c r="R1352" s="10"/>
      <c r="S1352" s="54" t="str">
        <f t="shared" si="69"/>
        <v/>
      </c>
      <c r="T1352" s="54" t="str">
        <f t="shared" si="70"/>
        <v/>
      </c>
      <c r="U1352" s="58" t="str">
        <f t="shared" si="71"/>
        <v/>
      </c>
      <c r="V1352" s="58">
        <f>IF(AND($B1352&lt;&gt;"",$F1352&lt;&gt;"",$F1352=项目明细账!$C$2),N(V1351)+1,N(V1351))</f>
        <v>0</v>
      </c>
      <c r="W1352" s="63" t="str">
        <f>IF($H1352&lt;&gt;"","项目成本",IFERROR(INDEX(基础资料!$W$4:$W$49,MATCH($I1352,基础资料!$V$4:$V$49,0)),""))</f>
        <v/>
      </c>
      <c r="X1352" s="63" t="str">
        <f>IFERROR(INDEX(基础资料!$R$4:$R$17,MATCH($G1352,基础资料!$Q$4:$Q$17,0)),"")</f>
        <v/>
      </c>
    </row>
    <row r="1353" spans="1:24">
      <c r="A1353" s="58" t="str">
        <f>IF($B1353="","",COUNTA($B$5:$B1353))</f>
        <v/>
      </c>
      <c r="B1353" s="53"/>
      <c r="C1353" s="46"/>
      <c r="D1353" s="63" t="str">
        <f>IFERROR(INDEX(基础资料!$F$4:$F$23,MATCH($C1353,基础资料!$E$4:$E$23,0)),IF($C1353="","","未匹配账户"))</f>
        <v/>
      </c>
      <c r="E1353" s="39"/>
      <c r="F1353" s="10"/>
      <c r="G1353" s="10"/>
      <c r="H1353" s="10"/>
      <c r="I1353" s="10"/>
      <c r="J1353" s="10"/>
      <c r="K1353" s="25"/>
      <c r="L1353" s="25"/>
      <c r="M1353" s="25" t="str">
        <f>IFERROR(VLOOKUP($C1353,$C$5:$M$24,11,0)+SUMIF($C$25:$C1353,$C1353,$K$25:$K1353)-SUMIF($C$25:$C1353,$C1353,$L$25:$L1353),"")</f>
        <v/>
      </c>
      <c r="N1353" s="10"/>
      <c r="O1353" s="10"/>
      <c r="P1353" s="65"/>
      <c r="Q1353" s="10"/>
      <c r="R1353" s="10"/>
      <c r="S1353" s="54" t="str">
        <f t="shared" si="69"/>
        <v/>
      </c>
      <c r="T1353" s="54" t="str">
        <f t="shared" si="70"/>
        <v/>
      </c>
      <c r="U1353" s="58" t="str">
        <f t="shared" si="71"/>
        <v/>
      </c>
      <c r="V1353" s="58">
        <f>IF(AND($B1353&lt;&gt;"",$F1353&lt;&gt;"",$F1353=项目明细账!$C$2),N(V1352)+1,N(V1352))</f>
        <v>0</v>
      </c>
      <c r="W1353" s="63" t="str">
        <f>IF($H1353&lt;&gt;"","项目成本",IFERROR(INDEX(基础资料!$W$4:$W$49,MATCH($I1353,基础资料!$V$4:$V$49,0)),""))</f>
        <v/>
      </c>
      <c r="X1353" s="63" t="str">
        <f>IFERROR(INDEX(基础资料!$R$4:$R$17,MATCH($G1353,基础资料!$Q$4:$Q$17,0)),"")</f>
        <v/>
      </c>
    </row>
    <row r="1354" spans="1:24">
      <c r="A1354" s="58" t="str">
        <f>IF($B1354="","",COUNTA($B$5:$B1354))</f>
        <v/>
      </c>
      <c r="B1354" s="53"/>
      <c r="C1354" s="46"/>
      <c r="D1354" s="63" t="str">
        <f>IFERROR(INDEX(基础资料!$F$4:$F$23,MATCH($C1354,基础资料!$E$4:$E$23,0)),IF($C1354="","","未匹配账户"))</f>
        <v/>
      </c>
      <c r="E1354" s="39"/>
      <c r="F1354" s="10"/>
      <c r="G1354" s="10"/>
      <c r="H1354" s="10"/>
      <c r="I1354" s="10"/>
      <c r="J1354" s="10"/>
      <c r="K1354" s="25"/>
      <c r="L1354" s="25"/>
      <c r="M1354" s="25" t="str">
        <f>IFERROR(VLOOKUP($C1354,$C$5:$M$24,11,0)+SUMIF($C$25:$C1354,$C1354,$K$25:$K1354)-SUMIF($C$25:$C1354,$C1354,$L$25:$L1354),"")</f>
        <v/>
      </c>
      <c r="N1354" s="10"/>
      <c r="O1354" s="10"/>
      <c r="P1354" s="65"/>
      <c r="Q1354" s="10"/>
      <c r="R1354" s="10"/>
      <c r="S1354" s="54" t="str">
        <f t="shared" si="69"/>
        <v/>
      </c>
      <c r="T1354" s="54" t="str">
        <f t="shared" si="70"/>
        <v/>
      </c>
      <c r="U1354" s="58" t="str">
        <f t="shared" si="71"/>
        <v/>
      </c>
      <c r="V1354" s="58">
        <f>IF(AND($B1354&lt;&gt;"",$F1354&lt;&gt;"",$F1354=项目明细账!$C$2),N(V1353)+1,N(V1353))</f>
        <v>0</v>
      </c>
      <c r="W1354" s="63" t="str">
        <f>IF($H1354&lt;&gt;"","项目成本",IFERROR(INDEX(基础资料!$W$4:$W$49,MATCH($I1354,基础资料!$V$4:$V$49,0)),""))</f>
        <v/>
      </c>
      <c r="X1354" s="63" t="str">
        <f>IFERROR(INDEX(基础资料!$R$4:$R$17,MATCH($G1354,基础资料!$Q$4:$Q$17,0)),"")</f>
        <v/>
      </c>
    </row>
    <row r="1355" spans="1:24">
      <c r="A1355" s="58" t="str">
        <f>IF($B1355="","",COUNTA($B$5:$B1355))</f>
        <v/>
      </c>
      <c r="B1355" s="53"/>
      <c r="C1355" s="46"/>
      <c r="D1355" s="63" t="str">
        <f>IFERROR(INDEX(基础资料!$F$4:$F$23,MATCH($C1355,基础资料!$E$4:$E$23,0)),IF($C1355="","","未匹配账户"))</f>
        <v/>
      </c>
      <c r="E1355" s="39"/>
      <c r="F1355" s="10"/>
      <c r="G1355" s="10"/>
      <c r="H1355" s="10"/>
      <c r="I1355" s="10"/>
      <c r="J1355" s="10"/>
      <c r="K1355" s="25"/>
      <c r="L1355" s="25"/>
      <c r="M1355" s="25" t="str">
        <f>IFERROR(VLOOKUP($C1355,$C$5:$M$24,11,0)+SUMIF($C$25:$C1355,$C1355,$K$25:$K1355)-SUMIF($C$25:$C1355,$C1355,$L$25:$L1355),"")</f>
        <v/>
      </c>
      <c r="N1355" s="10"/>
      <c r="O1355" s="10"/>
      <c r="P1355" s="65"/>
      <c r="Q1355" s="10"/>
      <c r="R1355" s="10"/>
      <c r="S1355" s="54" t="str">
        <f t="shared" si="69"/>
        <v/>
      </c>
      <c r="T1355" s="54" t="str">
        <f t="shared" si="70"/>
        <v/>
      </c>
      <c r="U1355" s="58" t="str">
        <f t="shared" si="71"/>
        <v/>
      </c>
      <c r="V1355" s="58">
        <f>IF(AND($B1355&lt;&gt;"",$F1355&lt;&gt;"",$F1355=项目明细账!$C$2),N(V1354)+1,N(V1354))</f>
        <v>0</v>
      </c>
      <c r="W1355" s="63" t="str">
        <f>IF($H1355&lt;&gt;"","项目成本",IFERROR(INDEX(基础资料!$W$4:$W$49,MATCH($I1355,基础资料!$V$4:$V$49,0)),""))</f>
        <v/>
      </c>
      <c r="X1355" s="63" t="str">
        <f>IFERROR(INDEX(基础资料!$R$4:$R$17,MATCH($G1355,基础资料!$Q$4:$Q$17,0)),"")</f>
        <v/>
      </c>
    </row>
    <row r="1356" spans="1:24">
      <c r="A1356" s="58" t="str">
        <f>IF($B1356="","",COUNTA($B$5:$B1356))</f>
        <v/>
      </c>
      <c r="B1356" s="53"/>
      <c r="C1356" s="46"/>
      <c r="D1356" s="63" t="str">
        <f>IFERROR(INDEX(基础资料!$F$4:$F$23,MATCH($C1356,基础资料!$E$4:$E$23,0)),IF($C1356="","","未匹配账户"))</f>
        <v/>
      </c>
      <c r="E1356" s="39"/>
      <c r="F1356" s="10"/>
      <c r="G1356" s="10"/>
      <c r="H1356" s="10"/>
      <c r="I1356" s="10"/>
      <c r="J1356" s="10"/>
      <c r="K1356" s="25"/>
      <c r="L1356" s="25"/>
      <c r="M1356" s="25" t="str">
        <f>IFERROR(VLOOKUP($C1356,$C$5:$M$24,11,0)+SUMIF($C$25:$C1356,$C1356,$K$25:$K1356)-SUMIF($C$25:$C1356,$C1356,$L$25:$L1356),"")</f>
        <v/>
      </c>
      <c r="N1356" s="10"/>
      <c r="O1356" s="10"/>
      <c r="P1356" s="65"/>
      <c r="Q1356" s="10"/>
      <c r="R1356" s="10"/>
      <c r="S1356" s="54" t="str">
        <f t="shared" si="69"/>
        <v/>
      </c>
      <c r="T1356" s="54" t="str">
        <f t="shared" si="70"/>
        <v/>
      </c>
      <c r="U1356" s="58" t="str">
        <f t="shared" si="71"/>
        <v/>
      </c>
      <c r="V1356" s="58">
        <f>IF(AND($B1356&lt;&gt;"",$F1356&lt;&gt;"",$F1356=项目明细账!$C$2),N(V1355)+1,N(V1355))</f>
        <v>0</v>
      </c>
      <c r="W1356" s="63" t="str">
        <f>IF($H1356&lt;&gt;"","项目成本",IFERROR(INDEX(基础资料!$W$4:$W$49,MATCH($I1356,基础资料!$V$4:$V$49,0)),""))</f>
        <v/>
      </c>
      <c r="X1356" s="63" t="str">
        <f>IFERROR(INDEX(基础资料!$R$4:$R$17,MATCH($G1356,基础资料!$Q$4:$Q$17,0)),"")</f>
        <v/>
      </c>
    </row>
    <row r="1357" spans="1:24">
      <c r="A1357" s="58" t="str">
        <f>IF($B1357="","",COUNTA($B$5:$B1357))</f>
        <v/>
      </c>
      <c r="B1357" s="53"/>
      <c r="C1357" s="46"/>
      <c r="D1357" s="63" t="str">
        <f>IFERROR(INDEX(基础资料!$F$4:$F$23,MATCH($C1357,基础资料!$E$4:$E$23,0)),IF($C1357="","","未匹配账户"))</f>
        <v/>
      </c>
      <c r="E1357" s="39"/>
      <c r="F1357" s="10"/>
      <c r="G1357" s="10"/>
      <c r="H1357" s="10"/>
      <c r="I1357" s="10"/>
      <c r="J1357" s="10"/>
      <c r="K1357" s="25"/>
      <c r="L1357" s="25"/>
      <c r="M1357" s="25" t="str">
        <f>IFERROR(VLOOKUP($C1357,$C$5:$M$24,11,0)+SUMIF($C$25:$C1357,$C1357,$K$25:$K1357)-SUMIF($C$25:$C1357,$C1357,$L$25:$L1357),"")</f>
        <v/>
      </c>
      <c r="N1357" s="10"/>
      <c r="O1357" s="10"/>
      <c r="P1357" s="65"/>
      <c r="Q1357" s="10"/>
      <c r="R1357" s="10"/>
      <c r="S1357" s="54" t="str">
        <f t="shared" si="69"/>
        <v/>
      </c>
      <c r="T1357" s="54" t="str">
        <f t="shared" si="70"/>
        <v/>
      </c>
      <c r="U1357" s="58" t="str">
        <f t="shared" si="71"/>
        <v/>
      </c>
      <c r="V1357" s="58">
        <f>IF(AND($B1357&lt;&gt;"",$F1357&lt;&gt;"",$F1357=项目明细账!$C$2),N(V1356)+1,N(V1356))</f>
        <v>0</v>
      </c>
      <c r="W1357" s="63" t="str">
        <f>IF($H1357&lt;&gt;"","项目成本",IFERROR(INDEX(基础资料!$W$4:$W$49,MATCH($I1357,基础资料!$V$4:$V$49,0)),""))</f>
        <v/>
      </c>
      <c r="X1357" s="63" t="str">
        <f>IFERROR(INDEX(基础资料!$R$4:$R$17,MATCH($G1357,基础资料!$Q$4:$Q$17,0)),"")</f>
        <v/>
      </c>
    </row>
    <row r="1358" spans="1:24">
      <c r="A1358" s="58" t="str">
        <f>IF($B1358="","",COUNTA($B$5:$B1358))</f>
        <v/>
      </c>
      <c r="B1358" s="53"/>
      <c r="C1358" s="46"/>
      <c r="D1358" s="63" t="str">
        <f>IFERROR(INDEX(基础资料!$F$4:$F$23,MATCH($C1358,基础资料!$E$4:$E$23,0)),IF($C1358="","","未匹配账户"))</f>
        <v/>
      </c>
      <c r="E1358" s="39"/>
      <c r="F1358" s="10"/>
      <c r="G1358" s="10"/>
      <c r="H1358" s="10"/>
      <c r="I1358" s="10"/>
      <c r="J1358" s="10"/>
      <c r="K1358" s="25"/>
      <c r="L1358" s="25"/>
      <c r="M1358" s="25" t="str">
        <f>IFERROR(VLOOKUP($C1358,$C$5:$M$24,11,0)+SUMIF($C$25:$C1358,$C1358,$K$25:$K1358)-SUMIF($C$25:$C1358,$C1358,$L$25:$L1358),"")</f>
        <v/>
      </c>
      <c r="N1358" s="10"/>
      <c r="O1358" s="10"/>
      <c r="P1358" s="65"/>
      <c r="Q1358" s="10"/>
      <c r="R1358" s="10"/>
      <c r="S1358" s="54" t="str">
        <f t="shared" si="69"/>
        <v/>
      </c>
      <c r="T1358" s="54" t="str">
        <f t="shared" si="70"/>
        <v/>
      </c>
      <c r="U1358" s="58" t="str">
        <f t="shared" si="71"/>
        <v/>
      </c>
      <c r="V1358" s="58">
        <f>IF(AND($B1358&lt;&gt;"",$F1358&lt;&gt;"",$F1358=项目明细账!$C$2),N(V1357)+1,N(V1357))</f>
        <v>0</v>
      </c>
      <c r="W1358" s="63" t="str">
        <f>IF($H1358&lt;&gt;"","项目成本",IFERROR(INDEX(基础资料!$W$4:$W$49,MATCH($I1358,基础资料!$V$4:$V$49,0)),""))</f>
        <v/>
      </c>
      <c r="X1358" s="63" t="str">
        <f>IFERROR(INDEX(基础资料!$R$4:$R$17,MATCH($G1358,基础资料!$Q$4:$Q$17,0)),"")</f>
        <v/>
      </c>
    </row>
    <row r="1359" spans="1:24">
      <c r="A1359" s="58" t="str">
        <f>IF($B1359="","",COUNTA($B$5:$B1359))</f>
        <v/>
      </c>
      <c r="B1359" s="53"/>
      <c r="C1359" s="46"/>
      <c r="D1359" s="63" t="str">
        <f>IFERROR(INDEX(基础资料!$F$4:$F$23,MATCH($C1359,基础资料!$E$4:$E$23,0)),IF($C1359="","","未匹配账户"))</f>
        <v/>
      </c>
      <c r="E1359" s="39"/>
      <c r="F1359" s="10"/>
      <c r="G1359" s="10"/>
      <c r="H1359" s="10"/>
      <c r="I1359" s="10"/>
      <c r="J1359" s="10"/>
      <c r="K1359" s="25"/>
      <c r="L1359" s="25"/>
      <c r="M1359" s="25" t="str">
        <f>IFERROR(VLOOKUP($C1359,$C$5:$M$24,11,0)+SUMIF($C$25:$C1359,$C1359,$K$25:$K1359)-SUMIF($C$25:$C1359,$C1359,$L$25:$L1359),"")</f>
        <v/>
      </c>
      <c r="N1359" s="10"/>
      <c r="O1359" s="10"/>
      <c r="P1359" s="65"/>
      <c r="Q1359" s="10"/>
      <c r="R1359" s="10"/>
      <c r="S1359" s="54" t="str">
        <f t="shared" si="69"/>
        <v/>
      </c>
      <c r="T1359" s="54" t="str">
        <f t="shared" si="70"/>
        <v/>
      </c>
      <c r="U1359" s="58" t="str">
        <f t="shared" si="71"/>
        <v/>
      </c>
      <c r="V1359" s="58">
        <f>IF(AND($B1359&lt;&gt;"",$F1359&lt;&gt;"",$F1359=项目明细账!$C$2),N(V1358)+1,N(V1358))</f>
        <v>0</v>
      </c>
      <c r="W1359" s="63" t="str">
        <f>IF($H1359&lt;&gt;"","项目成本",IFERROR(INDEX(基础资料!$W$4:$W$49,MATCH($I1359,基础资料!$V$4:$V$49,0)),""))</f>
        <v/>
      </c>
      <c r="X1359" s="63" t="str">
        <f>IFERROR(INDEX(基础资料!$R$4:$R$17,MATCH($G1359,基础资料!$Q$4:$Q$17,0)),"")</f>
        <v/>
      </c>
    </row>
    <row r="1360" spans="1:24">
      <c r="A1360" s="58" t="str">
        <f>IF($B1360="","",COUNTA($B$5:$B1360))</f>
        <v/>
      </c>
      <c r="B1360" s="53"/>
      <c r="C1360" s="46"/>
      <c r="D1360" s="63" t="str">
        <f>IFERROR(INDEX(基础资料!$F$4:$F$23,MATCH($C1360,基础资料!$E$4:$E$23,0)),IF($C1360="","","未匹配账户"))</f>
        <v/>
      </c>
      <c r="E1360" s="39"/>
      <c r="F1360" s="10"/>
      <c r="G1360" s="10"/>
      <c r="H1360" s="10"/>
      <c r="I1360" s="10"/>
      <c r="J1360" s="10"/>
      <c r="K1360" s="25"/>
      <c r="L1360" s="25"/>
      <c r="M1360" s="25" t="str">
        <f>IFERROR(VLOOKUP($C1360,$C$5:$M$24,11,0)+SUMIF($C$25:$C1360,$C1360,$K$25:$K1360)-SUMIF($C$25:$C1360,$C1360,$L$25:$L1360),"")</f>
        <v/>
      </c>
      <c r="N1360" s="10"/>
      <c r="O1360" s="10"/>
      <c r="P1360" s="65"/>
      <c r="Q1360" s="10"/>
      <c r="R1360" s="10"/>
      <c r="S1360" s="54" t="str">
        <f t="shared" si="69"/>
        <v/>
      </c>
      <c r="T1360" s="54" t="str">
        <f t="shared" si="70"/>
        <v/>
      </c>
      <c r="U1360" s="58" t="str">
        <f t="shared" si="71"/>
        <v/>
      </c>
      <c r="V1360" s="58">
        <f>IF(AND($B1360&lt;&gt;"",$F1360&lt;&gt;"",$F1360=项目明细账!$C$2),N(V1359)+1,N(V1359))</f>
        <v>0</v>
      </c>
      <c r="W1360" s="63" t="str">
        <f>IF($H1360&lt;&gt;"","项目成本",IFERROR(INDEX(基础资料!$W$4:$W$49,MATCH($I1360,基础资料!$V$4:$V$49,0)),""))</f>
        <v/>
      </c>
      <c r="X1360" s="63" t="str">
        <f>IFERROR(INDEX(基础资料!$R$4:$R$17,MATCH($G1360,基础资料!$Q$4:$Q$17,0)),"")</f>
        <v/>
      </c>
    </row>
    <row r="1361" spans="1:24">
      <c r="A1361" s="58" t="str">
        <f>IF($B1361="","",COUNTA($B$5:$B1361))</f>
        <v/>
      </c>
      <c r="B1361" s="53"/>
      <c r="C1361" s="46"/>
      <c r="D1361" s="63" t="str">
        <f>IFERROR(INDEX(基础资料!$F$4:$F$23,MATCH($C1361,基础资料!$E$4:$E$23,0)),IF($C1361="","","未匹配账户"))</f>
        <v/>
      </c>
      <c r="E1361" s="39"/>
      <c r="F1361" s="10"/>
      <c r="G1361" s="10"/>
      <c r="H1361" s="10"/>
      <c r="I1361" s="10"/>
      <c r="J1361" s="10"/>
      <c r="K1361" s="25"/>
      <c r="L1361" s="25"/>
      <c r="M1361" s="25" t="str">
        <f>IFERROR(VLOOKUP($C1361,$C$5:$M$24,11,0)+SUMIF($C$25:$C1361,$C1361,$K$25:$K1361)-SUMIF($C$25:$C1361,$C1361,$L$25:$L1361),"")</f>
        <v/>
      </c>
      <c r="N1361" s="10"/>
      <c r="O1361" s="10"/>
      <c r="P1361" s="65"/>
      <c r="Q1361" s="10"/>
      <c r="R1361" s="10"/>
      <c r="S1361" s="54" t="str">
        <f t="shared" si="69"/>
        <v/>
      </c>
      <c r="T1361" s="54" t="str">
        <f t="shared" si="70"/>
        <v/>
      </c>
      <c r="U1361" s="58" t="str">
        <f t="shared" si="71"/>
        <v/>
      </c>
      <c r="V1361" s="58">
        <f>IF(AND($B1361&lt;&gt;"",$F1361&lt;&gt;"",$F1361=项目明细账!$C$2),N(V1360)+1,N(V1360))</f>
        <v>0</v>
      </c>
      <c r="W1361" s="63" t="str">
        <f>IF($H1361&lt;&gt;"","项目成本",IFERROR(INDEX(基础资料!$W$4:$W$49,MATCH($I1361,基础资料!$V$4:$V$49,0)),""))</f>
        <v/>
      </c>
      <c r="X1361" s="63" t="str">
        <f>IFERROR(INDEX(基础资料!$R$4:$R$17,MATCH($G1361,基础资料!$Q$4:$Q$17,0)),"")</f>
        <v/>
      </c>
    </row>
    <row r="1362" spans="1:24">
      <c r="A1362" s="58" t="str">
        <f>IF($B1362="","",COUNTA($B$5:$B1362))</f>
        <v/>
      </c>
      <c r="B1362" s="53"/>
      <c r="C1362" s="46"/>
      <c r="D1362" s="63" t="str">
        <f>IFERROR(INDEX(基础资料!$F$4:$F$23,MATCH($C1362,基础资料!$E$4:$E$23,0)),IF($C1362="","","未匹配账户"))</f>
        <v/>
      </c>
      <c r="E1362" s="39"/>
      <c r="F1362" s="10"/>
      <c r="G1362" s="10"/>
      <c r="H1362" s="10"/>
      <c r="I1362" s="10"/>
      <c r="J1362" s="10"/>
      <c r="K1362" s="25"/>
      <c r="L1362" s="25"/>
      <c r="M1362" s="25" t="str">
        <f>IFERROR(VLOOKUP($C1362,$C$5:$M$24,11,0)+SUMIF($C$25:$C1362,$C1362,$K$25:$K1362)-SUMIF($C$25:$C1362,$C1362,$L$25:$L1362),"")</f>
        <v/>
      </c>
      <c r="N1362" s="10"/>
      <c r="O1362" s="10"/>
      <c r="P1362" s="65"/>
      <c r="Q1362" s="10"/>
      <c r="R1362" s="10"/>
      <c r="S1362" s="54" t="str">
        <f t="shared" si="69"/>
        <v/>
      </c>
      <c r="T1362" s="54" t="str">
        <f t="shared" si="70"/>
        <v/>
      </c>
      <c r="U1362" s="58" t="str">
        <f t="shared" si="71"/>
        <v/>
      </c>
      <c r="V1362" s="58">
        <f>IF(AND($B1362&lt;&gt;"",$F1362&lt;&gt;"",$F1362=项目明细账!$C$2),N(V1361)+1,N(V1361))</f>
        <v>0</v>
      </c>
      <c r="W1362" s="63" t="str">
        <f>IF($H1362&lt;&gt;"","项目成本",IFERROR(INDEX(基础资料!$W$4:$W$49,MATCH($I1362,基础资料!$V$4:$V$49,0)),""))</f>
        <v/>
      </c>
      <c r="X1362" s="63" t="str">
        <f>IFERROR(INDEX(基础资料!$R$4:$R$17,MATCH($G1362,基础资料!$Q$4:$Q$17,0)),"")</f>
        <v/>
      </c>
    </row>
    <row r="1363" spans="1:24">
      <c r="A1363" s="58" t="str">
        <f>IF($B1363="","",COUNTA($B$5:$B1363))</f>
        <v/>
      </c>
      <c r="B1363" s="53"/>
      <c r="C1363" s="46"/>
      <c r="D1363" s="63" t="str">
        <f>IFERROR(INDEX(基础资料!$F$4:$F$23,MATCH($C1363,基础资料!$E$4:$E$23,0)),IF($C1363="","","未匹配账户"))</f>
        <v/>
      </c>
      <c r="E1363" s="39"/>
      <c r="F1363" s="10"/>
      <c r="G1363" s="10"/>
      <c r="H1363" s="10"/>
      <c r="I1363" s="10"/>
      <c r="J1363" s="10"/>
      <c r="K1363" s="25"/>
      <c r="L1363" s="25"/>
      <c r="M1363" s="25" t="str">
        <f>IFERROR(VLOOKUP($C1363,$C$5:$M$24,11,0)+SUMIF($C$25:$C1363,$C1363,$K$25:$K1363)-SUMIF($C$25:$C1363,$C1363,$L$25:$L1363),"")</f>
        <v/>
      </c>
      <c r="N1363" s="10"/>
      <c r="O1363" s="10"/>
      <c r="P1363" s="65"/>
      <c r="Q1363" s="10"/>
      <c r="R1363" s="10"/>
      <c r="S1363" s="54" t="str">
        <f t="shared" si="69"/>
        <v/>
      </c>
      <c r="T1363" s="54" t="str">
        <f t="shared" si="70"/>
        <v/>
      </c>
      <c r="U1363" s="58" t="str">
        <f t="shared" si="71"/>
        <v/>
      </c>
      <c r="V1363" s="58">
        <f>IF(AND($B1363&lt;&gt;"",$F1363&lt;&gt;"",$F1363=项目明细账!$C$2),N(V1362)+1,N(V1362))</f>
        <v>0</v>
      </c>
      <c r="W1363" s="63" t="str">
        <f>IF($H1363&lt;&gt;"","项目成本",IFERROR(INDEX(基础资料!$W$4:$W$49,MATCH($I1363,基础资料!$V$4:$V$49,0)),""))</f>
        <v/>
      </c>
      <c r="X1363" s="63" t="str">
        <f>IFERROR(INDEX(基础资料!$R$4:$R$17,MATCH($G1363,基础资料!$Q$4:$Q$17,0)),"")</f>
        <v/>
      </c>
    </row>
    <row r="1364" spans="1:24">
      <c r="A1364" s="58" t="str">
        <f>IF($B1364="","",COUNTA($B$5:$B1364))</f>
        <v/>
      </c>
      <c r="B1364" s="53"/>
      <c r="C1364" s="46"/>
      <c r="D1364" s="63" t="str">
        <f>IFERROR(INDEX(基础资料!$F$4:$F$23,MATCH($C1364,基础资料!$E$4:$E$23,0)),IF($C1364="","","未匹配账户"))</f>
        <v/>
      </c>
      <c r="E1364" s="39"/>
      <c r="F1364" s="10"/>
      <c r="G1364" s="10"/>
      <c r="H1364" s="10"/>
      <c r="I1364" s="10"/>
      <c r="J1364" s="10"/>
      <c r="K1364" s="25"/>
      <c r="L1364" s="25"/>
      <c r="M1364" s="25" t="str">
        <f>IFERROR(VLOOKUP($C1364,$C$5:$M$24,11,0)+SUMIF($C$25:$C1364,$C1364,$K$25:$K1364)-SUMIF($C$25:$C1364,$C1364,$L$25:$L1364),"")</f>
        <v/>
      </c>
      <c r="N1364" s="10"/>
      <c r="O1364" s="10"/>
      <c r="P1364" s="65"/>
      <c r="Q1364" s="10"/>
      <c r="R1364" s="10"/>
      <c r="S1364" s="54" t="str">
        <f t="shared" si="69"/>
        <v/>
      </c>
      <c r="T1364" s="54" t="str">
        <f t="shared" si="70"/>
        <v/>
      </c>
      <c r="U1364" s="58" t="str">
        <f t="shared" si="71"/>
        <v/>
      </c>
      <c r="V1364" s="58">
        <f>IF(AND($B1364&lt;&gt;"",$F1364&lt;&gt;"",$F1364=项目明细账!$C$2),N(V1363)+1,N(V1363))</f>
        <v>0</v>
      </c>
      <c r="W1364" s="63" t="str">
        <f>IF($H1364&lt;&gt;"","项目成本",IFERROR(INDEX(基础资料!$W$4:$W$49,MATCH($I1364,基础资料!$V$4:$V$49,0)),""))</f>
        <v/>
      </c>
      <c r="X1364" s="63" t="str">
        <f>IFERROR(INDEX(基础资料!$R$4:$R$17,MATCH($G1364,基础资料!$Q$4:$Q$17,0)),"")</f>
        <v/>
      </c>
    </row>
    <row r="1365" spans="1:24">
      <c r="A1365" s="58" t="str">
        <f>IF($B1365="","",COUNTA($B$5:$B1365))</f>
        <v/>
      </c>
      <c r="B1365" s="53"/>
      <c r="C1365" s="46"/>
      <c r="D1365" s="63" t="str">
        <f>IFERROR(INDEX(基础资料!$F$4:$F$23,MATCH($C1365,基础资料!$E$4:$E$23,0)),IF($C1365="","","未匹配账户"))</f>
        <v/>
      </c>
      <c r="E1365" s="39"/>
      <c r="F1365" s="10"/>
      <c r="G1365" s="10"/>
      <c r="H1365" s="10"/>
      <c r="I1365" s="10"/>
      <c r="J1365" s="10"/>
      <c r="K1365" s="25"/>
      <c r="L1365" s="25"/>
      <c r="M1365" s="25" t="str">
        <f>IFERROR(VLOOKUP($C1365,$C$5:$M$24,11,0)+SUMIF($C$25:$C1365,$C1365,$K$25:$K1365)-SUMIF($C$25:$C1365,$C1365,$L$25:$L1365),"")</f>
        <v/>
      </c>
      <c r="N1365" s="10"/>
      <c r="O1365" s="10"/>
      <c r="P1365" s="65"/>
      <c r="Q1365" s="10"/>
      <c r="R1365" s="10"/>
      <c r="S1365" s="54" t="str">
        <f t="shared" si="69"/>
        <v/>
      </c>
      <c r="T1365" s="54" t="str">
        <f t="shared" si="70"/>
        <v/>
      </c>
      <c r="U1365" s="58" t="str">
        <f t="shared" si="71"/>
        <v/>
      </c>
      <c r="V1365" s="58">
        <f>IF(AND($B1365&lt;&gt;"",$F1365&lt;&gt;"",$F1365=项目明细账!$C$2),N(V1364)+1,N(V1364))</f>
        <v>0</v>
      </c>
      <c r="W1365" s="63" t="str">
        <f>IF($H1365&lt;&gt;"","项目成本",IFERROR(INDEX(基础资料!$W$4:$W$49,MATCH($I1365,基础资料!$V$4:$V$49,0)),""))</f>
        <v/>
      </c>
      <c r="X1365" s="63" t="str">
        <f>IFERROR(INDEX(基础资料!$R$4:$R$17,MATCH($G1365,基础资料!$Q$4:$Q$17,0)),"")</f>
        <v/>
      </c>
    </row>
    <row r="1366" spans="1:24">
      <c r="A1366" s="58" t="str">
        <f>IF($B1366="","",COUNTA($B$5:$B1366))</f>
        <v/>
      </c>
      <c r="B1366" s="53"/>
      <c r="C1366" s="46"/>
      <c r="D1366" s="63" t="str">
        <f>IFERROR(INDEX(基础资料!$F$4:$F$23,MATCH($C1366,基础资料!$E$4:$E$23,0)),IF($C1366="","","未匹配账户"))</f>
        <v/>
      </c>
      <c r="E1366" s="39"/>
      <c r="F1366" s="10"/>
      <c r="G1366" s="10"/>
      <c r="H1366" s="10"/>
      <c r="I1366" s="10"/>
      <c r="J1366" s="10"/>
      <c r="K1366" s="25"/>
      <c r="L1366" s="25"/>
      <c r="M1366" s="25" t="str">
        <f>IFERROR(VLOOKUP($C1366,$C$5:$M$24,11,0)+SUMIF($C$25:$C1366,$C1366,$K$25:$K1366)-SUMIF($C$25:$C1366,$C1366,$L$25:$L1366),"")</f>
        <v/>
      </c>
      <c r="N1366" s="10"/>
      <c r="O1366" s="10"/>
      <c r="P1366" s="65"/>
      <c r="Q1366" s="10"/>
      <c r="R1366" s="10"/>
      <c r="S1366" s="54" t="str">
        <f t="shared" si="69"/>
        <v/>
      </c>
      <c r="T1366" s="54" t="str">
        <f t="shared" si="70"/>
        <v/>
      </c>
      <c r="U1366" s="58" t="str">
        <f t="shared" si="71"/>
        <v/>
      </c>
      <c r="V1366" s="58">
        <f>IF(AND($B1366&lt;&gt;"",$F1366&lt;&gt;"",$F1366=项目明细账!$C$2),N(V1365)+1,N(V1365))</f>
        <v>0</v>
      </c>
      <c r="W1366" s="63" t="str">
        <f>IF($H1366&lt;&gt;"","项目成本",IFERROR(INDEX(基础资料!$W$4:$W$49,MATCH($I1366,基础资料!$V$4:$V$49,0)),""))</f>
        <v/>
      </c>
      <c r="X1366" s="63" t="str">
        <f>IFERROR(INDEX(基础资料!$R$4:$R$17,MATCH($G1366,基础资料!$Q$4:$Q$17,0)),"")</f>
        <v/>
      </c>
    </row>
    <row r="1367" spans="1:24">
      <c r="A1367" s="58" t="str">
        <f>IF($B1367="","",COUNTA($B$5:$B1367))</f>
        <v/>
      </c>
      <c r="B1367" s="53"/>
      <c r="C1367" s="46"/>
      <c r="D1367" s="63" t="str">
        <f>IFERROR(INDEX(基础资料!$F$4:$F$23,MATCH($C1367,基础资料!$E$4:$E$23,0)),IF($C1367="","","未匹配账户"))</f>
        <v/>
      </c>
      <c r="E1367" s="39"/>
      <c r="F1367" s="10"/>
      <c r="G1367" s="10"/>
      <c r="H1367" s="10"/>
      <c r="I1367" s="10"/>
      <c r="J1367" s="10"/>
      <c r="K1367" s="25"/>
      <c r="L1367" s="25"/>
      <c r="M1367" s="25" t="str">
        <f>IFERROR(VLOOKUP($C1367,$C$5:$M$24,11,0)+SUMIF($C$25:$C1367,$C1367,$K$25:$K1367)-SUMIF($C$25:$C1367,$C1367,$L$25:$L1367),"")</f>
        <v/>
      </c>
      <c r="N1367" s="10"/>
      <c r="O1367" s="10"/>
      <c r="P1367" s="65"/>
      <c r="Q1367" s="10"/>
      <c r="R1367" s="10"/>
      <c r="S1367" s="54" t="str">
        <f t="shared" si="69"/>
        <v/>
      </c>
      <c r="T1367" s="54" t="str">
        <f t="shared" si="70"/>
        <v/>
      </c>
      <c r="U1367" s="58" t="str">
        <f t="shared" si="71"/>
        <v/>
      </c>
      <c r="V1367" s="58">
        <f>IF(AND($B1367&lt;&gt;"",$F1367&lt;&gt;"",$F1367=项目明细账!$C$2),N(V1366)+1,N(V1366))</f>
        <v>0</v>
      </c>
      <c r="W1367" s="63" t="str">
        <f>IF($H1367&lt;&gt;"","项目成本",IFERROR(INDEX(基础资料!$W$4:$W$49,MATCH($I1367,基础资料!$V$4:$V$49,0)),""))</f>
        <v/>
      </c>
      <c r="X1367" s="63" t="str">
        <f>IFERROR(INDEX(基础资料!$R$4:$R$17,MATCH($G1367,基础资料!$Q$4:$Q$17,0)),"")</f>
        <v/>
      </c>
    </row>
    <row r="1368" spans="1:24">
      <c r="A1368" s="58" t="str">
        <f>IF($B1368="","",COUNTA($B$5:$B1368))</f>
        <v/>
      </c>
      <c r="B1368" s="53"/>
      <c r="C1368" s="46"/>
      <c r="D1368" s="63" t="str">
        <f>IFERROR(INDEX(基础资料!$F$4:$F$23,MATCH($C1368,基础资料!$E$4:$E$23,0)),IF($C1368="","","未匹配账户"))</f>
        <v/>
      </c>
      <c r="E1368" s="39"/>
      <c r="F1368" s="10"/>
      <c r="G1368" s="10"/>
      <c r="H1368" s="10"/>
      <c r="I1368" s="10"/>
      <c r="J1368" s="10"/>
      <c r="K1368" s="25"/>
      <c r="L1368" s="25"/>
      <c r="M1368" s="25" t="str">
        <f>IFERROR(VLOOKUP($C1368,$C$5:$M$24,11,0)+SUMIF($C$25:$C1368,$C1368,$K$25:$K1368)-SUMIF($C$25:$C1368,$C1368,$L$25:$L1368),"")</f>
        <v/>
      </c>
      <c r="N1368" s="10"/>
      <c r="O1368" s="10"/>
      <c r="P1368" s="65"/>
      <c r="Q1368" s="10"/>
      <c r="R1368" s="10"/>
      <c r="S1368" s="54" t="str">
        <f t="shared" si="69"/>
        <v/>
      </c>
      <c r="T1368" s="54" t="str">
        <f t="shared" si="70"/>
        <v/>
      </c>
      <c r="U1368" s="58" t="str">
        <f t="shared" si="71"/>
        <v/>
      </c>
      <c r="V1368" s="58">
        <f>IF(AND($B1368&lt;&gt;"",$F1368&lt;&gt;"",$F1368=项目明细账!$C$2),N(V1367)+1,N(V1367))</f>
        <v>0</v>
      </c>
      <c r="W1368" s="63" t="str">
        <f>IF($H1368&lt;&gt;"","项目成本",IFERROR(INDEX(基础资料!$W$4:$W$49,MATCH($I1368,基础资料!$V$4:$V$49,0)),""))</f>
        <v/>
      </c>
      <c r="X1368" s="63" t="str">
        <f>IFERROR(INDEX(基础资料!$R$4:$R$17,MATCH($G1368,基础资料!$Q$4:$Q$17,0)),"")</f>
        <v/>
      </c>
    </row>
    <row r="1369" spans="1:24">
      <c r="A1369" s="58" t="str">
        <f>IF($B1369="","",COUNTA($B$5:$B1369))</f>
        <v/>
      </c>
      <c r="B1369" s="53"/>
      <c r="C1369" s="46"/>
      <c r="D1369" s="63" t="str">
        <f>IFERROR(INDEX(基础资料!$F$4:$F$23,MATCH($C1369,基础资料!$E$4:$E$23,0)),IF($C1369="","","未匹配账户"))</f>
        <v/>
      </c>
      <c r="E1369" s="39"/>
      <c r="F1369" s="10"/>
      <c r="G1369" s="10"/>
      <c r="H1369" s="10"/>
      <c r="I1369" s="10"/>
      <c r="J1369" s="10"/>
      <c r="K1369" s="25"/>
      <c r="L1369" s="25"/>
      <c r="M1369" s="25" t="str">
        <f>IFERROR(VLOOKUP($C1369,$C$5:$M$24,11,0)+SUMIF($C$25:$C1369,$C1369,$K$25:$K1369)-SUMIF($C$25:$C1369,$C1369,$L$25:$L1369),"")</f>
        <v/>
      </c>
      <c r="N1369" s="10"/>
      <c r="O1369" s="10"/>
      <c r="P1369" s="65"/>
      <c r="Q1369" s="10"/>
      <c r="R1369" s="10"/>
      <c r="S1369" s="54" t="str">
        <f t="shared" si="69"/>
        <v/>
      </c>
      <c r="T1369" s="54" t="str">
        <f t="shared" si="70"/>
        <v/>
      </c>
      <c r="U1369" s="58" t="str">
        <f t="shared" si="71"/>
        <v/>
      </c>
      <c r="V1369" s="58">
        <f>IF(AND($B1369&lt;&gt;"",$F1369&lt;&gt;"",$F1369=项目明细账!$C$2),N(V1368)+1,N(V1368))</f>
        <v>0</v>
      </c>
      <c r="W1369" s="63" t="str">
        <f>IF($H1369&lt;&gt;"","项目成本",IFERROR(INDEX(基础资料!$W$4:$W$49,MATCH($I1369,基础资料!$V$4:$V$49,0)),""))</f>
        <v/>
      </c>
      <c r="X1369" s="63" t="str">
        <f>IFERROR(INDEX(基础资料!$R$4:$R$17,MATCH($G1369,基础资料!$Q$4:$Q$17,0)),"")</f>
        <v/>
      </c>
    </row>
    <row r="1370" spans="1:24">
      <c r="A1370" s="58" t="str">
        <f>IF($B1370="","",COUNTA($B$5:$B1370))</f>
        <v/>
      </c>
      <c r="B1370" s="53"/>
      <c r="C1370" s="46"/>
      <c r="D1370" s="63" t="str">
        <f>IFERROR(INDEX(基础资料!$F$4:$F$23,MATCH($C1370,基础资料!$E$4:$E$23,0)),IF($C1370="","","未匹配账户"))</f>
        <v/>
      </c>
      <c r="E1370" s="39"/>
      <c r="F1370" s="10"/>
      <c r="G1370" s="10"/>
      <c r="H1370" s="10"/>
      <c r="I1370" s="10"/>
      <c r="J1370" s="10"/>
      <c r="K1370" s="25"/>
      <c r="L1370" s="25"/>
      <c r="M1370" s="25" t="str">
        <f>IFERROR(VLOOKUP($C1370,$C$5:$M$24,11,0)+SUMIF($C$25:$C1370,$C1370,$K$25:$K1370)-SUMIF($C$25:$C1370,$C1370,$L$25:$L1370),"")</f>
        <v/>
      </c>
      <c r="N1370" s="10"/>
      <c r="O1370" s="10"/>
      <c r="P1370" s="65"/>
      <c r="Q1370" s="10"/>
      <c r="R1370" s="10"/>
      <c r="S1370" s="54" t="str">
        <f t="shared" si="69"/>
        <v/>
      </c>
      <c r="T1370" s="54" t="str">
        <f t="shared" si="70"/>
        <v/>
      </c>
      <c r="U1370" s="58" t="str">
        <f t="shared" si="71"/>
        <v/>
      </c>
      <c r="V1370" s="58">
        <f>IF(AND($B1370&lt;&gt;"",$F1370&lt;&gt;"",$F1370=项目明细账!$C$2),N(V1369)+1,N(V1369))</f>
        <v>0</v>
      </c>
      <c r="W1370" s="63" t="str">
        <f>IF($H1370&lt;&gt;"","项目成本",IFERROR(INDEX(基础资料!$W$4:$W$49,MATCH($I1370,基础资料!$V$4:$V$49,0)),""))</f>
        <v/>
      </c>
      <c r="X1370" s="63" t="str">
        <f>IFERROR(INDEX(基础资料!$R$4:$R$17,MATCH($G1370,基础资料!$Q$4:$Q$17,0)),"")</f>
        <v/>
      </c>
    </row>
    <row r="1371" spans="1:24">
      <c r="A1371" s="58" t="str">
        <f>IF($B1371="","",COUNTA($B$5:$B1371))</f>
        <v/>
      </c>
      <c r="B1371" s="53"/>
      <c r="C1371" s="46"/>
      <c r="D1371" s="63" t="str">
        <f>IFERROR(INDEX(基础资料!$F$4:$F$23,MATCH($C1371,基础资料!$E$4:$E$23,0)),IF($C1371="","","未匹配账户"))</f>
        <v/>
      </c>
      <c r="E1371" s="39"/>
      <c r="F1371" s="10"/>
      <c r="G1371" s="10"/>
      <c r="H1371" s="10"/>
      <c r="I1371" s="10"/>
      <c r="J1371" s="10"/>
      <c r="K1371" s="25"/>
      <c r="L1371" s="25"/>
      <c r="M1371" s="25" t="str">
        <f>IFERROR(VLOOKUP($C1371,$C$5:$M$24,11,0)+SUMIF($C$25:$C1371,$C1371,$K$25:$K1371)-SUMIF($C$25:$C1371,$C1371,$L$25:$L1371),"")</f>
        <v/>
      </c>
      <c r="N1371" s="10"/>
      <c r="O1371" s="10"/>
      <c r="P1371" s="65"/>
      <c r="Q1371" s="10"/>
      <c r="R1371" s="10"/>
      <c r="S1371" s="54" t="str">
        <f t="shared" si="69"/>
        <v/>
      </c>
      <c r="T1371" s="54" t="str">
        <f t="shared" si="70"/>
        <v/>
      </c>
      <c r="U1371" s="58" t="str">
        <f t="shared" si="71"/>
        <v/>
      </c>
      <c r="V1371" s="58">
        <f>IF(AND($B1371&lt;&gt;"",$F1371&lt;&gt;"",$F1371=项目明细账!$C$2),N(V1370)+1,N(V1370))</f>
        <v>0</v>
      </c>
      <c r="W1371" s="63" t="str">
        <f>IF($H1371&lt;&gt;"","项目成本",IFERROR(INDEX(基础资料!$W$4:$W$49,MATCH($I1371,基础资料!$V$4:$V$49,0)),""))</f>
        <v/>
      </c>
      <c r="X1371" s="63" t="str">
        <f>IFERROR(INDEX(基础资料!$R$4:$R$17,MATCH($G1371,基础资料!$Q$4:$Q$17,0)),"")</f>
        <v/>
      </c>
    </row>
    <row r="1372" spans="1:24">
      <c r="A1372" s="58" t="str">
        <f>IF($B1372="","",COUNTA($B$5:$B1372))</f>
        <v/>
      </c>
      <c r="B1372" s="53"/>
      <c r="C1372" s="46"/>
      <c r="D1372" s="63" t="str">
        <f>IFERROR(INDEX(基础资料!$F$4:$F$23,MATCH($C1372,基础资料!$E$4:$E$23,0)),IF($C1372="","","未匹配账户"))</f>
        <v/>
      </c>
      <c r="E1372" s="39"/>
      <c r="F1372" s="10"/>
      <c r="G1372" s="10"/>
      <c r="H1372" s="10"/>
      <c r="I1372" s="10"/>
      <c r="J1372" s="10"/>
      <c r="K1372" s="25"/>
      <c r="L1372" s="25"/>
      <c r="M1372" s="25" t="str">
        <f>IFERROR(VLOOKUP($C1372,$C$5:$M$24,11,0)+SUMIF($C$25:$C1372,$C1372,$K$25:$K1372)-SUMIF($C$25:$C1372,$C1372,$L$25:$L1372),"")</f>
        <v/>
      </c>
      <c r="N1372" s="10"/>
      <c r="O1372" s="10"/>
      <c r="P1372" s="65"/>
      <c r="Q1372" s="10"/>
      <c r="R1372" s="10"/>
      <c r="S1372" s="54" t="str">
        <f t="shared" si="69"/>
        <v/>
      </c>
      <c r="T1372" s="54" t="str">
        <f t="shared" si="70"/>
        <v/>
      </c>
      <c r="U1372" s="58" t="str">
        <f t="shared" si="71"/>
        <v/>
      </c>
      <c r="V1372" s="58">
        <f>IF(AND($B1372&lt;&gt;"",$F1372&lt;&gt;"",$F1372=项目明细账!$C$2),N(V1371)+1,N(V1371))</f>
        <v>0</v>
      </c>
      <c r="W1372" s="63" t="str">
        <f>IF($H1372&lt;&gt;"","项目成本",IFERROR(INDEX(基础资料!$W$4:$W$49,MATCH($I1372,基础资料!$V$4:$V$49,0)),""))</f>
        <v/>
      </c>
      <c r="X1372" s="63" t="str">
        <f>IFERROR(INDEX(基础资料!$R$4:$R$17,MATCH($G1372,基础资料!$Q$4:$Q$17,0)),"")</f>
        <v/>
      </c>
    </row>
    <row r="1373" spans="1:24">
      <c r="A1373" s="58" t="str">
        <f>IF($B1373="","",COUNTA($B$5:$B1373))</f>
        <v/>
      </c>
      <c r="B1373" s="53"/>
      <c r="C1373" s="46"/>
      <c r="D1373" s="63" t="str">
        <f>IFERROR(INDEX(基础资料!$F$4:$F$23,MATCH($C1373,基础资料!$E$4:$E$23,0)),IF($C1373="","","未匹配账户"))</f>
        <v/>
      </c>
      <c r="E1373" s="39"/>
      <c r="F1373" s="10"/>
      <c r="G1373" s="10"/>
      <c r="H1373" s="10"/>
      <c r="I1373" s="10"/>
      <c r="J1373" s="10"/>
      <c r="K1373" s="25"/>
      <c r="L1373" s="25"/>
      <c r="M1373" s="25" t="str">
        <f>IFERROR(VLOOKUP($C1373,$C$5:$M$24,11,0)+SUMIF($C$25:$C1373,$C1373,$K$25:$K1373)-SUMIF($C$25:$C1373,$C1373,$L$25:$L1373),"")</f>
        <v/>
      </c>
      <c r="N1373" s="10"/>
      <c r="O1373" s="10"/>
      <c r="P1373" s="65"/>
      <c r="Q1373" s="10"/>
      <c r="R1373" s="10"/>
      <c r="S1373" s="54" t="str">
        <f t="shared" si="69"/>
        <v/>
      </c>
      <c r="T1373" s="54" t="str">
        <f t="shared" si="70"/>
        <v/>
      </c>
      <c r="U1373" s="58" t="str">
        <f t="shared" si="71"/>
        <v/>
      </c>
      <c r="V1373" s="58">
        <f>IF(AND($B1373&lt;&gt;"",$F1373&lt;&gt;"",$F1373=项目明细账!$C$2),N(V1372)+1,N(V1372))</f>
        <v>0</v>
      </c>
      <c r="W1373" s="63" t="str">
        <f>IF($H1373&lt;&gt;"","项目成本",IFERROR(INDEX(基础资料!$W$4:$W$49,MATCH($I1373,基础资料!$V$4:$V$49,0)),""))</f>
        <v/>
      </c>
      <c r="X1373" s="63" t="str">
        <f>IFERROR(INDEX(基础资料!$R$4:$R$17,MATCH($G1373,基础资料!$Q$4:$Q$17,0)),"")</f>
        <v/>
      </c>
    </row>
    <row r="1374" spans="1:24">
      <c r="A1374" s="58" t="str">
        <f>IF($B1374="","",COUNTA($B$5:$B1374))</f>
        <v/>
      </c>
      <c r="B1374" s="53"/>
      <c r="C1374" s="46"/>
      <c r="D1374" s="63" t="str">
        <f>IFERROR(INDEX(基础资料!$F$4:$F$23,MATCH($C1374,基础资料!$E$4:$E$23,0)),IF($C1374="","","未匹配账户"))</f>
        <v/>
      </c>
      <c r="E1374" s="39"/>
      <c r="F1374" s="10"/>
      <c r="G1374" s="10"/>
      <c r="H1374" s="10"/>
      <c r="I1374" s="10"/>
      <c r="J1374" s="10"/>
      <c r="K1374" s="25"/>
      <c r="L1374" s="25"/>
      <c r="M1374" s="25" t="str">
        <f>IFERROR(VLOOKUP($C1374,$C$5:$M$24,11,0)+SUMIF($C$25:$C1374,$C1374,$K$25:$K1374)-SUMIF($C$25:$C1374,$C1374,$L$25:$L1374),"")</f>
        <v/>
      </c>
      <c r="N1374" s="10"/>
      <c r="O1374" s="10"/>
      <c r="P1374" s="65"/>
      <c r="Q1374" s="10"/>
      <c r="R1374" s="10"/>
      <c r="S1374" s="54" t="str">
        <f t="shared" si="69"/>
        <v/>
      </c>
      <c r="T1374" s="54" t="str">
        <f t="shared" si="70"/>
        <v/>
      </c>
      <c r="U1374" s="58" t="str">
        <f t="shared" si="71"/>
        <v/>
      </c>
      <c r="V1374" s="58">
        <f>IF(AND($B1374&lt;&gt;"",$F1374&lt;&gt;"",$F1374=项目明细账!$C$2),N(V1373)+1,N(V1373))</f>
        <v>0</v>
      </c>
      <c r="W1374" s="63" t="str">
        <f>IF($H1374&lt;&gt;"","项目成本",IFERROR(INDEX(基础资料!$W$4:$W$49,MATCH($I1374,基础资料!$V$4:$V$49,0)),""))</f>
        <v/>
      </c>
      <c r="X1374" s="63" t="str">
        <f>IFERROR(INDEX(基础资料!$R$4:$R$17,MATCH($G1374,基础资料!$Q$4:$Q$17,0)),"")</f>
        <v/>
      </c>
    </row>
    <row r="1375" spans="1:24">
      <c r="A1375" s="58" t="str">
        <f>IF($B1375="","",COUNTA($B$5:$B1375))</f>
        <v/>
      </c>
      <c r="B1375" s="53"/>
      <c r="C1375" s="46"/>
      <c r="D1375" s="63" t="str">
        <f>IFERROR(INDEX(基础资料!$F$4:$F$23,MATCH($C1375,基础资料!$E$4:$E$23,0)),IF($C1375="","","未匹配账户"))</f>
        <v/>
      </c>
      <c r="E1375" s="39"/>
      <c r="F1375" s="10"/>
      <c r="G1375" s="10"/>
      <c r="H1375" s="10"/>
      <c r="I1375" s="10"/>
      <c r="J1375" s="10"/>
      <c r="K1375" s="25"/>
      <c r="L1375" s="25"/>
      <c r="M1375" s="25" t="str">
        <f>IFERROR(VLOOKUP($C1375,$C$5:$M$24,11,0)+SUMIF($C$25:$C1375,$C1375,$K$25:$K1375)-SUMIF($C$25:$C1375,$C1375,$L$25:$L1375),"")</f>
        <v/>
      </c>
      <c r="N1375" s="10"/>
      <c r="O1375" s="10"/>
      <c r="P1375" s="65"/>
      <c r="Q1375" s="10"/>
      <c r="R1375" s="10"/>
      <c r="S1375" s="54" t="str">
        <f t="shared" si="69"/>
        <v/>
      </c>
      <c r="T1375" s="54" t="str">
        <f t="shared" si="70"/>
        <v/>
      </c>
      <c r="U1375" s="58" t="str">
        <f t="shared" si="71"/>
        <v/>
      </c>
      <c r="V1375" s="58">
        <f>IF(AND($B1375&lt;&gt;"",$F1375&lt;&gt;"",$F1375=项目明细账!$C$2),N(V1374)+1,N(V1374))</f>
        <v>0</v>
      </c>
      <c r="W1375" s="63" t="str">
        <f>IF($H1375&lt;&gt;"","项目成本",IFERROR(INDEX(基础资料!$W$4:$W$49,MATCH($I1375,基础资料!$V$4:$V$49,0)),""))</f>
        <v/>
      </c>
      <c r="X1375" s="63" t="str">
        <f>IFERROR(INDEX(基础资料!$R$4:$R$17,MATCH($G1375,基础资料!$Q$4:$Q$17,0)),"")</f>
        <v/>
      </c>
    </row>
    <row r="1376" spans="1:24">
      <c r="A1376" s="58" t="str">
        <f>IF($B1376="","",COUNTA($B$5:$B1376))</f>
        <v/>
      </c>
      <c r="B1376" s="53"/>
      <c r="C1376" s="46"/>
      <c r="D1376" s="63" t="str">
        <f>IFERROR(INDEX(基础资料!$F$4:$F$23,MATCH($C1376,基础资料!$E$4:$E$23,0)),IF($C1376="","","未匹配账户"))</f>
        <v/>
      </c>
      <c r="E1376" s="39"/>
      <c r="F1376" s="10"/>
      <c r="G1376" s="10"/>
      <c r="H1376" s="10"/>
      <c r="I1376" s="10"/>
      <c r="J1376" s="10"/>
      <c r="K1376" s="25"/>
      <c r="L1376" s="25"/>
      <c r="M1376" s="25" t="str">
        <f>IFERROR(VLOOKUP($C1376,$C$5:$M$24,11,0)+SUMIF($C$25:$C1376,$C1376,$K$25:$K1376)-SUMIF($C$25:$C1376,$C1376,$L$25:$L1376),"")</f>
        <v/>
      </c>
      <c r="N1376" s="10"/>
      <c r="O1376" s="10"/>
      <c r="P1376" s="65"/>
      <c r="Q1376" s="10"/>
      <c r="R1376" s="10"/>
      <c r="S1376" s="54" t="str">
        <f t="shared" si="69"/>
        <v/>
      </c>
      <c r="T1376" s="54" t="str">
        <f t="shared" si="70"/>
        <v/>
      </c>
      <c r="U1376" s="58" t="str">
        <f t="shared" si="71"/>
        <v/>
      </c>
      <c r="V1376" s="58">
        <f>IF(AND($B1376&lt;&gt;"",$F1376&lt;&gt;"",$F1376=项目明细账!$C$2),N(V1375)+1,N(V1375))</f>
        <v>0</v>
      </c>
      <c r="W1376" s="63" t="str">
        <f>IF($H1376&lt;&gt;"","项目成本",IFERROR(INDEX(基础资料!$W$4:$W$49,MATCH($I1376,基础资料!$V$4:$V$49,0)),""))</f>
        <v/>
      </c>
      <c r="X1376" s="63" t="str">
        <f>IFERROR(INDEX(基础资料!$R$4:$R$17,MATCH($G1376,基础资料!$Q$4:$Q$17,0)),"")</f>
        <v/>
      </c>
    </row>
    <row r="1377" spans="1:24">
      <c r="A1377" s="58" t="str">
        <f>IF($B1377="","",COUNTA($B$5:$B1377))</f>
        <v/>
      </c>
      <c r="B1377" s="53"/>
      <c r="C1377" s="46"/>
      <c r="D1377" s="63" t="str">
        <f>IFERROR(INDEX(基础资料!$F$4:$F$23,MATCH($C1377,基础资料!$E$4:$E$23,0)),IF($C1377="","","未匹配账户"))</f>
        <v/>
      </c>
      <c r="E1377" s="39"/>
      <c r="F1377" s="10"/>
      <c r="G1377" s="10"/>
      <c r="H1377" s="10"/>
      <c r="I1377" s="10"/>
      <c r="J1377" s="10"/>
      <c r="K1377" s="25"/>
      <c r="L1377" s="25"/>
      <c r="M1377" s="25" t="str">
        <f>IFERROR(VLOOKUP($C1377,$C$5:$M$24,11,0)+SUMIF($C$25:$C1377,$C1377,$K$25:$K1377)-SUMIF($C$25:$C1377,$C1377,$L$25:$L1377),"")</f>
        <v/>
      </c>
      <c r="N1377" s="10"/>
      <c r="O1377" s="10"/>
      <c r="P1377" s="65"/>
      <c r="Q1377" s="10"/>
      <c r="R1377" s="10"/>
      <c r="S1377" s="54" t="str">
        <f t="shared" si="69"/>
        <v/>
      </c>
      <c r="T1377" s="54" t="str">
        <f t="shared" si="70"/>
        <v/>
      </c>
      <c r="U1377" s="58" t="str">
        <f t="shared" si="71"/>
        <v/>
      </c>
      <c r="V1377" s="58">
        <f>IF(AND($B1377&lt;&gt;"",$F1377&lt;&gt;"",$F1377=项目明细账!$C$2),N(V1376)+1,N(V1376))</f>
        <v>0</v>
      </c>
      <c r="W1377" s="63" t="str">
        <f>IF($H1377&lt;&gt;"","项目成本",IFERROR(INDEX(基础资料!$W$4:$W$49,MATCH($I1377,基础资料!$V$4:$V$49,0)),""))</f>
        <v/>
      </c>
      <c r="X1377" s="63" t="str">
        <f>IFERROR(INDEX(基础资料!$R$4:$R$17,MATCH($G1377,基础资料!$Q$4:$Q$17,0)),"")</f>
        <v/>
      </c>
    </row>
    <row r="1378" spans="1:24">
      <c r="A1378" s="58" t="str">
        <f>IF($B1378="","",COUNTA($B$5:$B1378))</f>
        <v/>
      </c>
      <c r="B1378" s="53"/>
      <c r="C1378" s="46"/>
      <c r="D1378" s="63" t="str">
        <f>IFERROR(INDEX(基础资料!$F$4:$F$23,MATCH($C1378,基础资料!$E$4:$E$23,0)),IF($C1378="","","未匹配账户"))</f>
        <v/>
      </c>
      <c r="E1378" s="39"/>
      <c r="F1378" s="10"/>
      <c r="G1378" s="10"/>
      <c r="H1378" s="10"/>
      <c r="I1378" s="10"/>
      <c r="J1378" s="10"/>
      <c r="K1378" s="25"/>
      <c r="L1378" s="25"/>
      <c r="M1378" s="25" t="str">
        <f>IFERROR(VLOOKUP($C1378,$C$5:$M$24,11,0)+SUMIF($C$25:$C1378,$C1378,$K$25:$K1378)-SUMIF($C$25:$C1378,$C1378,$L$25:$L1378),"")</f>
        <v/>
      </c>
      <c r="N1378" s="10"/>
      <c r="O1378" s="10"/>
      <c r="P1378" s="65"/>
      <c r="Q1378" s="10"/>
      <c r="R1378" s="10"/>
      <c r="S1378" s="54" t="str">
        <f t="shared" si="69"/>
        <v/>
      </c>
      <c r="T1378" s="54" t="str">
        <f t="shared" si="70"/>
        <v/>
      </c>
      <c r="U1378" s="58" t="str">
        <f t="shared" si="71"/>
        <v/>
      </c>
      <c r="V1378" s="58">
        <f>IF(AND($B1378&lt;&gt;"",$F1378&lt;&gt;"",$F1378=项目明细账!$C$2),N(V1377)+1,N(V1377))</f>
        <v>0</v>
      </c>
      <c r="W1378" s="63" t="str">
        <f>IF($H1378&lt;&gt;"","项目成本",IFERROR(INDEX(基础资料!$W$4:$W$49,MATCH($I1378,基础资料!$V$4:$V$49,0)),""))</f>
        <v/>
      </c>
      <c r="X1378" s="63" t="str">
        <f>IFERROR(INDEX(基础资料!$R$4:$R$17,MATCH($G1378,基础资料!$Q$4:$Q$17,0)),"")</f>
        <v/>
      </c>
    </row>
    <row r="1379" spans="1:24">
      <c r="A1379" s="58" t="str">
        <f>IF($B1379="","",COUNTA($B$5:$B1379))</f>
        <v/>
      </c>
      <c r="B1379" s="53"/>
      <c r="C1379" s="46"/>
      <c r="D1379" s="63" t="str">
        <f>IFERROR(INDEX(基础资料!$F$4:$F$23,MATCH($C1379,基础资料!$E$4:$E$23,0)),IF($C1379="","","未匹配账户"))</f>
        <v/>
      </c>
      <c r="E1379" s="39"/>
      <c r="F1379" s="10"/>
      <c r="G1379" s="10"/>
      <c r="H1379" s="10"/>
      <c r="I1379" s="10"/>
      <c r="J1379" s="10"/>
      <c r="K1379" s="25"/>
      <c r="L1379" s="25"/>
      <c r="M1379" s="25" t="str">
        <f>IFERROR(VLOOKUP($C1379,$C$5:$M$24,11,0)+SUMIF($C$25:$C1379,$C1379,$K$25:$K1379)-SUMIF($C$25:$C1379,$C1379,$L$25:$L1379),"")</f>
        <v/>
      </c>
      <c r="N1379" s="10"/>
      <c r="O1379" s="10"/>
      <c r="P1379" s="65"/>
      <c r="Q1379" s="10"/>
      <c r="R1379" s="10"/>
      <c r="S1379" s="54" t="str">
        <f t="shared" si="69"/>
        <v/>
      </c>
      <c r="T1379" s="54" t="str">
        <f t="shared" si="70"/>
        <v/>
      </c>
      <c r="U1379" s="58" t="str">
        <f t="shared" si="71"/>
        <v/>
      </c>
      <c r="V1379" s="58">
        <f>IF(AND($B1379&lt;&gt;"",$F1379&lt;&gt;"",$F1379=项目明细账!$C$2),N(V1378)+1,N(V1378))</f>
        <v>0</v>
      </c>
      <c r="W1379" s="63" t="str">
        <f>IF($H1379&lt;&gt;"","项目成本",IFERROR(INDEX(基础资料!$W$4:$W$49,MATCH($I1379,基础资料!$V$4:$V$49,0)),""))</f>
        <v/>
      </c>
      <c r="X1379" s="63" t="str">
        <f>IFERROR(INDEX(基础资料!$R$4:$R$17,MATCH($G1379,基础资料!$Q$4:$Q$17,0)),"")</f>
        <v/>
      </c>
    </row>
    <row r="1380" spans="1:24">
      <c r="A1380" s="58" t="str">
        <f>IF($B1380="","",COUNTA($B$5:$B1380))</f>
        <v/>
      </c>
      <c r="B1380" s="53"/>
      <c r="C1380" s="46"/>
      <c r="D1380" s="63" t="str">
        <f>IFERROR(INDEX(基础资料!$F$4:$F$23,MATCH($C1380,基础资料!$E$4:$E$23,0)),IF($C1380="","","未匹配账户"))</f>
        <v/>
      </c>
      <c r="E1380" s="39"/>
      <c r="F1380" s="10"/>
      <c r="G1380" s="10"/>
      <c r="H1380" s="10"/>
      <c r="I1380" s="10"/>
      <c r="J1380" s="10"/>
      <c r="K1380" s="25"/>
      <c r="L1380" s="25"/>
      <c r="M1380" s="25" t="str">
        <f>IFERROR(VLOOKUP($C1380,$C$5:$M$24,11,0)+SUMIF($C$25:$C1380,$C1380,$K$25:$K1380)-SUMIF($C$25:$C1380,$C1380,$L$25:$L1380),"")</f>
        <v/>
      </c>
      <c r="N1380" s="10"/>
      <c r="O1380" s="10"/>
      <c r="P1380" s="65"/>
      <c r="Q1380" s="10"/>
      <c r="R1380" s="10"/>
      <c r="S1380" s="54" t="str">
        <f t="shared" si="69"/>
        <v/>
      </c>
      <c r="T1380" s="54" t="str">
        <f t="shared" si="70"/>
        <v/>
      </c>
      <c r="U1380" s="58" t="str">
        <f t="shared" si="71"/>
        <v/>
      </c>
      <c r="V1380" s="58">
        <f>IF(AND($B1380&lt;&gt;"",$F1380&lt;&gt;"",$F1380=项目明细账!$C$2),N(V1379)+1,N(V1379))</f>
        <v>0</v>
      </c>
      <c r="W1380" s="63" t="str">
        <f>IF($H1380&lt;&gt;"","项目成本",IFERROR(INDEX(基础资料!$W$4:$W$49,MATCH($I1380,基础资料!$V$4:$V$49,0)),""))</f>
        <v/>
      </c>
      <c r="X1380" s="63" t="str">
        <f>IFERROR(INDEX(基础资料!$R$4:$R$17,MATCH($G1380,基础资料!$Q$4:$Q$17,0)),"")</f>
        <v/>
      </c>
    </row>
    <row r="1381" spans="1:24">
      <c r="A1381" s="58" t="str">
        <f>IF($B1381="","",COUNTA($B$5:$B1381))</f>
        <v/>
      </c>
      <c r="B1381" s="53"/>
      <c r="C1381" s="46"/>
      <c r="D1381" s="63" t="str">
        <f>IFERROR(INDEX(基础资料!$F$4:$F$23,MATCH($C1381,基础资料!$E$4:$E$23,0)),IF($C1381="","","未匹配账户"))</f>
        <v/>
      </c>
      <c r="E1381" s="39"/>
      <c r="F1381" s="10"/>
      <c r="G1381" s="10"/>
      <c r="H1381" s="10"/>
      <c r="I1381" s="10"/>
      <c r="J1381" s="10"/>
      <c r="K1381" s="25"/>
      <c r="L1381" s="25"/>
      <c r="M1381" s="25" t="str">
        <f>IFERROR(VLOOKUP($C1381,$C$5:$M$24,11,0)+SUMIF($C$25:$C1381,$C1381,$K$25:$K1381)-SUMIF($C$25:$C1381,$C1381,$L$25:$L1381),"")</f>
        <v/>
      </c>
      <c r="N1381" s="10"/>
      <c r="O1381" s="10"/>
      <c r="P1381" s="65"/>
      <c r="Q1381" s="10"/>
      <c r="R1381" s="10"/>
      <c r="S1381" s="54" t="str">
        <f t="shared" si="69"/>
        <v/>
      </c>
      <c r="T1381" s="54" t="str">
        <f t="shared" si="70"/>
        <v/>
      </c>
      <c r="U1381" s="58" t="str">
        <f t="shared" si="71"/>
        <v/>
      </c>
      <c r="V1381" s="58">
        <f>IF(AND($B1381&lt;&gt;"",$F1381&lt;&gt;"",$F1381=项目明细账!$C$2),N(V1380)+1,N(V1380))</f>
        <v>0</v>
      </c>
      <c r="W1381" s="63" t="str">
        <f>IF($H1381&lt;&gt;"","项目成本",IFERROR(INDEX(基础资料!$W$4:$W$49,MATCH($I1381,基础资料!$V$4:$V$49,0)),""))</f>
        <v/>
      </c>
      <c r="X1381" s="63" t="str">
        <f>IFERROR(INDEX(基础资料!$R$4:$R$17,MATCH($G1381,基础资料!$Q$4:$Q$17,0)),"")</f>
        <v/>
      </c>
    </row>
    <row r="1382" spans="1:24">
      <c r="A1382" s="58" t="str">
        <f>IF($B1382="","",COUNTA($B$5:$B1382))</f>
        <v/>
      </c>
      <c r="B1382" s="53"/>
      <c r="C1382" s="46"/>
      <c r="D1382" s="63" t="str">
        <f>IFERROR(INDEX(基础资料!$F$4:$F$23,MATCH($C1382,基础资料!$E$4:$E$23,0)),IF($C1382="","","未匹配账户"))</f>
        <v/>
      </c>
      <c r="E1382" s="39"/>
      <c r="F1382" s="10"/>
      <c r="G1382" s="10"/>
      <c r="H1382" s="10"/>
      <c r="I1382" s="10"/>
      <c r="J1382" s="10"/>
      <c r="K1382" s="25"/>
      <c r="L1382" s="25"/>
      <c r="M1382" s="25" t="str">
        <f>IFERROR(VLOOKUP($C1382,$C$5:$M$24,11,0)+SUMIF($C$25:$C1382,$C1382,$K$25:$K1382)-SUMIF($C$25:$C1382,$C1382,$L$25:$L1382),"")</f>
        <v/>
      </c>
      <c r="N1382" s="10"/>
      <c r="O1382" s="10"/>
      <c r="P1382" s="65"/>
      <c r="Q1382" s="10"/>
      <c r="R1382" s="10"/>
      <c r="S1382" s="54" t="str">
        <f t="shared" si="69"/>
        <v/>
      </c>
      <c r="T1382" s="54" t="str">
        <f t="shared" si="70"/>
        <v/>
      </c>
      <c r="U1382" s="58" t="str">
        <f t="shared" si="71"/>
        <v/>
      </c>
      <c r="V1382" s="58">
        <f>IF(AND($B1382&lt;&gt;"",$F1382&lt;&gt;"",$F1382=项目明细账!$C$2),N(V1381)+1,N(V1381))</f>
        <v>0</v>
      </c>
      <c r="W1382" s="63" t="str">
        <f>IF($H1382&lt;&gt;"","项目成本",IFERROR(INDEX(基础资料!$W$4:$W$49,MATCH($I1382,基础资料!$V$4:$V$49,0)),""))</f>
        <v/>
      </c>
      <c r="X1382" s="63" t="str">
        <f>IFERROR(INDEX(基础资料!$R$4:$R$17,MATCH($G1382,基础资料!$Q$4:$Q$17,0)),"")</f>
        <v/>
      </c>
    </row>
    <row r="1383" spans="1:24">
      <c r="A1383" s="58" t="str">
        <f>IF($B1383="","",COUNTA($B$5:$B1383))</f>
        <v/>
      </c>
      <c r="B1383" s="53"/>
      <c r="C1383" s="46"/>
      <c r="D1383" s="63" t="str">
        <f>IFERROR(INDEX(基础资料!$F$4:$F$23,MATCH($C1383,基础资料!$E$4:$E$23,0)),IF($C1383="","","未匹配账户"))</f>
        <v/>
      </c>
      <c r="E1383" s="39"/>
      <c r="F1383" s="10"/>
      <c r="G1383" s="10"/>
      <c r="H1383" s="10"/>
      <c r="I1383" s="10"/>
      <c r="J1383" s="10"/>
      <c r="K1383" s="25"/>
      <c r="L1383" s="25"/>
      <c r="M1383" s="25" t="str">
        <f>IFERROR(VLOOKUP($C1383,$C$5:$M$24,11,0)+SUMIF($C$25:$C1383,$C1383,$K$25:$K1383)-SUMIF($C$25:$C1383,$C1383,$L$25:$L1383),"")</f>
        <v/>
      </c>
      <c r="N1383" s="10"/>
      <c r="O1383" s="10"/>
      <c r="P1383" s="65"/>
      <c r="Q1383" s="10"/>
      <c r="R1383" s="10"/>
      <c r="S1383" s="54" t="str">
        <f t="shared" si="69"/>
        <v/>
      </c>
      <c r="T1383" s="54" t="str">
        <f t="shared" si="70"/>
        <v/>
      </c>
      <c r="U1383" s="58" t="str">
        <f t="shared" si="71"/>
        <v/>
      </c>
      <c r="V1383" s="58">
        <f>IF(AND($B1383&lt;&gt;"",$F1383&lt;&gt;"",$F1383=项目明细账!$C$2),N(V1382)+1,N(V1382))</f>
        <v>0</v>
      </c>
      <c r="W1383" s="63" t="str">
        <f>IF($H1383&lt;&gt;"","项目成本",IFERROR(INDEX(基础资料!$W$4:$W$49,MATCH($I1383,基础资料!$V$4:$V$49,0)),""))</f>
        <v/>
      </c>
      <c r="X1383" s="63" t="str">
        <f>IFERROR(INDEX(基础资料!$R$4:$R$17,MATCH($G1383,基础资料!$Q$4:$Q$17,0)),"")</f>
        <v/>
      </c>
    </row>
    <row r="1384" spans="1:24">
      <c r="A1384" s="58" t="str">
        <f>IF($B1384="","",COUNTA($B$5:$B1384))</f>
        <v/>
      </c>
      <c r="B1384" s="53"/>
      <c r="C1384" s="46"/>
      <c r="D1384" s="63" t="str">
        <f>IFERROR(INDEX(基础资料!$F$4:$F$23,MATCH($C1384,基础资料!$E$4:$E$23,0)),IF($C1384="","","未匹配账户"))</f>
        <v/>
      </c>
      <c r="E1384" s="39"/>
      <c r="F1384" s="10"/>
      <c r="G1384" s="10"/>
      <c r="H1384" s="10"/>
      <c r="I1384" s="10"/>
      <c r="J1384" s="10"/>
      <c r="K1384" s="25"/>
      <c r="L1384" s="25"/>
      <c r="M1384" s="25" t="str">
        <f>IFERROR(VLOOKUP($C1384,$C$5:$M$24,11,0)+SUMIF($C$25:$C1384,$C1384,$K$25:$K1384)-SUMIF($C$25:$C1384,$C1384,$L$25:$L1384),"")</f>
        <v/>
      </c>
      <c r="N1384" s="10"/>
      <c r="O1384" s="10"/>
      <c r="P1384" s="65"/>
      <c r="Q1384" s="10"/>
      <c r="R1384" s="10"/>
      <c r="S1384" s="54" t="str">
        <f t="shared" si="69"/>
        <v/>
      </c>
      <c r="T1384" s="54" t="str">
        <f t="shared" si="70"/>
        <v/>
      </c>
      <c r="U1384" s="58" t="str">
        <f t="shared" si="71"/>
        <v/>
      </c>
      <c r="V1384" s="58">
        <f>IF(AND($B1384&lt;&gt;"",$F1384&lt;&gt;"",$F1384=项目明细账!$C$2),N(V1383)+1,N(V1383))</f>
        <v>0</v>
      </c>
      <c r="W1384" s="63" t="str">
        <f>IF($H1384&lt;&gt;"","项目成本",IFERROR(INDEX(基础资料!$W$4:$W$49,MATCH($I1384,基础资料!$V$4:$V$49,0)),""))</f>
        <v/>
      </c>
      <c r="X1384" s="63" t="str">
        <f>IFERROR(INDEX(基础资料!$R$4:$R$17,MATCH($G1384,基础资料!$Q$4:$Q$17,0)),"")</f>
        <v/>
      </c>
    </row>
    <row r="1385" spans="1:24">
      <c r="A1385" s="58" t="str">
        <f>IF($B1385="","",COUNTA($B$5:$B1385))</f>
        <v/>
      </c>
      <c r="B1385" s="53"/>
      <c r="C1385" s="46"/>
      <c r="D1385" s="63" t="str">
        <f>IFERROR(INDEX(基础资料!$F$4:$F$23,MATCH($C1385,基础资料!$E$4:$E$23,0)),IF($C1385="","","未匹配账户"))</f>
        <v/>
      </c>
      <c r="E1385" s="39"/>
      <c r="F1385" s="10"/>
      <c r="G1385" s="10"/>
      <c r="H1385" s="10"/>
      <c r="I1385" s="10"/>
      <c r="J1385" s="10"/>
      <c r="K1385" s="25"/>
      <c r="L1385" s="25"/>
      <c r="M1385" s="25" t="str">
        <f>IFERROR(VLOOKUP($C1385,$C$5:$M$24,11,0)+SUMIF($C$25:$C1385,$C1385,$K$25:$K1385)-SUMIF($C$25:$C1385,$C1385,$L$25:$L1385),"")</f>
        <v/>
      </c>
      <c r="N1385" s="10"/>
      <c r="O1385" s="10"/>
      <c r="P1385" s="65"/>
      <c r="Q1385" s="10"/>
      <c r="R1385" s="10"/>
      <c r="S1385" s="54" t="str">
        <f t="shared" si="69"/>
        <v/>
      </c>
      <c r="T1385" s="54" t="str">
        <f t="shared" si="70"/>
        <v/>
      </c>
      <c r="U1385" s="58" t="str">
        <f t="shared" si="71"/>
        <v/>
      </c>
      <c r="V1385" s="58">
        <f>IF(AND($B1385&lt;&gt;"",$F1385&lt;&gt;"",$F1385=项目明细账!$C$2),N(V1384)+1,N(V1384))</f>
        <v>0</v>
      </c>
      <c r="W1385" s="63" t="str">
        <f>IF($H1385&lt;&gt;"","项目成本",IFERROR(INDEX(基础资料!$W$4:$W$49,MATCH($I1385,基础资料!$V$4:$V$49,0)),""))</f>
        <v/>
      </c>
      <c r="X1385" s="63" t="str">
        <f>IFERROR(INDEX(基础资料!$R$4:$R$17,MATCH($G1385,基础资料!$Q$4:$Q$17,0)),"")</f>
        <v/>
      </c>
    </row>
    <row r="1386" spans="1:24">
      <c r="A1386" s="58" t="str">
        <f>IF($B1386="","",COUNTA($B$5:$B1386))</f>
        <v/>
      </c>
      <c r="B1386" s="53"/>
      <c r="C1386" s="46"/>
      <c r="D1386" s="63" t="str">
        <f>IFERROR(INDEX(基础资料!$F$4:$F$23,MATCH($C1386,基础资料!$E$4:$E$23,0)),IF($C1386="","","未匹配账户"))</f>
        <v/>
      </c>
      <c r="E1386" s="39"/>
      <c r="F1386" s="10"/>
      <c r="G1386" s="10"/>
      <c r="H1386" s="10"/>
      <c r="I1386" s="10"/>
      <c r="J1386" s="10"/>
      <c r="K1386" s="25"/>
      <c r="L1386" s="25"/>
      <c r="M1386" s="25" t="str">
        <f>IFERROR(VLOOKUP($C1386,$C$5:$M$24,11,0)+SUMIF($C$25:$C1386,$C1386,$K$25:$K1386)-SUMIF($C$25:$C1386,$C1386,$L$25:$L1386),"")</f>
        <v/>
      </c>
      <c r="N1386" s="10"/>
      <c r="O1386" s="10"/>
      <c r="P1386" s="65"/>
      <c r="Q1386" s="10"/>
      <c r="R1386" s="10"/>
      <c r="S1386" s="54" t="str">
        <f t="shared" si="69"/>
        <v/>
      </c>
      <c r="T1386" s="54" t="str">
        <f t="shared" si="70"/>
        <v/>
      </c>
      <c r="U1386" s="58" t="str">
        <f t="shared" si="71"/>
        <v/>
      </c>
      <c r="V1386" s="58">
        <f>IF(AND($B1386&lt;&gt;"",$F1386&lt;&gt;"",$F1386=项目明细账!$C$2),N(V1385)+1,N(V1385))</f>
        <v>0</v>
      </c>
      <c r="W1386" s="63" t="str">
        <f>IF($H1386&lt;&gt;"","项目成本",IFERROR(INDEX(基础资料!$W$4:$W$49,MATCH($I1386,基础资料!$V$4:$V$49,0)),""))</f>
        <v/>
      </c>
      <c r="X1386" s="63" t="str">
        <f>IFERROR(INDEX(基础资料!$R$4:$R$17,MATCH($G1386,基础资料!$Q$4:$Q$17,0)),"")</f>
        <v/>
      </c>
    </row>
    <row r="1387" spans="1:24">
      <c r="A1387" s="58" t="str">
        <f>IF($B1387="","",COUNTA($B$5:$B1387))</f>
        <v/>
      </c>
      <c r="B1387" s="53"/>
      <c r="C1387" s="46"/>
      <c r="D1387" s="63" t="str">
        <f>IFERROR(INDEX(基础资料!$F$4:$F$23,MATCH($C1387,基础资料!$E$4:$E$23,0)),IF($C1387="","","未匹配账户"))</f>
        <v/>
      </c>
      <c r="E1387" s="39"/>
      <c r="F1387" s="10"/>
      <c r="G1387" s="10"/>
      <c r="H1387" s="10"/>
      <c r="I1387" s="10"/>
      <c r="J1387" s="10"/>
      <c r="K1387" s="25"/>
      <c r="L1387" s="25"/>
      <c r="M1387" s="25" t="str">
        <f>IFERROR(VLOOKUP($C1387,$C$5:$M$24,11,0)+SUMIF($C$25:$C1387,$C1387,$K$25:$K1387)-SUMIF($C$25:$C1387,$C1387,$L$25:$L1387),"")</f>
        <v/>
      </c>
      <c r="N1387" s="10"/>
      <c r="O1387" s="10"/>
      <c r="P1387" s="65"/>
      <c r="Q1387" s="10"/>
      <c r="R1387" s="10"/>
      <c r="S1387" s="54" t="str">
        <f t="shared" si="69"/>
        <v/>
      </c>
      <c r="T1387" s="54" t="str">
        <f t="shared" si="70"/>
        <v/>
      </c>
      <c r="U1387" s="58" t="str">
        <f t="shared" si="71"/>
        <v/>
      </c>
      <c r="V1387" s="58">
        <f>IF(AND($B1387&lt;&gt;"",$F1387&lt;&gt;"",$F1387=项目明细账!$C$2),N(V1386)+1,N(V1386))</f>
        <v>0</v>
      </c>
      <c r="W1387" s="63" t="str">
        <f>IF($H1387&lt;&gt;"","项目成本",IFERROR(INDEX(基础资料!$W$4:$W$49,MATCH($I1387,基础资料!$V$4:$V$49,0)),""))</f>
        <v/>
      </c>
      <c r="X1387" s="63" t="str">
        <f>IFERROR(INDEX(基础资料!$R$4:$R$17,MATCH($G1387,基础资料!$Q$4:$Q$17,0)),"")</f>
        <v/>
      </c>
    </row>
    <row r="1388" spans="1:24">
      <c r="A1388" s="58" t="str">
        <f>IF($B1388="","",COUNTA($B$5:$B1388))</f>
        <v/>
      </c>
      <c r="B1388" s="53"/>
      <c r="C1388" s="46"/>
      <c r="D1388" s="63" t="str">
        <f>IFERROR(INDEX(基础资料!$F$4:$F$23,MATCH($C1388,基础资料!$E$4:$E$23,0)),IF($C1388="","","未匹配账户"))</f>
        <v/>
      </c>
      <c r="E1388" s="39"/>
      <c r="F1388" s="10"/>
      <c r="G1388" s="10"/>
      <c r="H1388" s="10"/>
      <c r="I1388" s="10"/>
      <c r="J1388" s="10"/>
      <c r="K1388" s="25"/>
      <c r="L1388" s="25"/>
      <c r="M1388" s="25" t="str">
        <f>IFERROR(VLOOKUP($C1388,$C$5:$M$24,11,0)+SUMIF($C$25:$C1388,$C1388,$K$25:$K1388)-SUMIF($C$25:$C1388,$C1388,$L$25:$L1388),"")</f>
        <v/>
      </c>
      <c r="N1388" s="10"/>
      <c r="O1388" s="10"/>
      <c r="P1388" s="65"/>
      <c r="Q1388" s="10"/>
      <c r="R1388" s="10"/>
      <c r="S1388" s="54" t="str">
        <f t="shared" si="69"/>
        <v/>
      </c>
      <c r="T1388" s="54" t="str">
        <f t="shared" si="70"/>
        <v/>
      </c>
      <c r="U1388" s="58" t="str">
        <f t="shared" si="71"/>
        <v/>
      </c>
      <c r="V1388" s="58">
        <f>IF(AND($B1388&lt;&gt;"",$F1388&lt;&gt;"",$F1388=项目明细账!$C$2),N(V1387)+1,N(V1387))</f>
        <v>0</v>
      </c>
      <c r="W1388" s="63" t="str">
        <f>IF($H1388&lt;&gt;"","项目成本",IFERROR(INDEX(基础资料!$W$4:$W$49,MATCH($I1388,基础资料!$V$4:$V$49,0)),""))</f>
        <v/>
      </c>
      <c r="X1388" s="63" t="str">
        <f>IFERROR(INDEX(基础资料!$R$4:$R$17,MATCH($G1388,基础资料!$Q$4:$Q$17,0)),"")</f>
        <v/>
      </c>
    </row>
    <row r="1389" spans="1:24">
      <c r="A1389" s="58" t="str">
        <f>IF($B1389="","",COUNTA($B$5:$B1389))</f>
        <v/>
      </c>
      <c r="B1389" s="53"/>
      <c r="C1389" s="46"/>
      <c r="D1389" s="63" t="str">
        <f>IFERROR(INDEX(基础资料!$F$4:$F$23,MATCH($C1389,基础资料!$E$4:$E$23,0)),IF($C1389="","","未匹配账户"))</f>
        <v/>
      </c>
      <c r="E1389" s="39"/>
      <c r="F1389" s="10"/>
      <c r="G1389" s="10"/>
      <c r="H1389" s="10"/>
      <c r="I1389" s="10"/>
      <c r="J1389" s="10"/>
      <c r="K1389" s="25"/>
      <c r="L1389" s="25"/>
      <c r="M1389" s="25" t="str">
        <f>IFERROR(VLOOKUP($C1389,$C$5:$M$24,11,0)+SUMIF($C$25:$C1389,$C1389,$K$25:$K1389)-SUMIF($C$25:$C1389,$C1389,$L$25:$L1389),"")</f>
        <v/>
      </c>
      <c r="N1389" s="10"/>
      <c r="O1389" s="10"/>
      <c r="P1389" s="65"/>
      <c r="Q1389" s="10"/>
      <c r="R1389" s="10"/>
      <c r="S1389" s="54" t="str">
        <f t="shared" si="69"/>
        <v/>
      </c>
      <c r="T1389" s="54" t="str">
        <f t="shared" si="70"/>
        <v/>
      </c>
      <c r="U1389" s="58" t="str">
        <f t="shared" si="71"/>
        <v/>
      </c>
      <c r="V1389" s="58">
        <f>IF(AND($B1389&lt;&gt;"",$F1389&lt;&gt;"",$F1389=项目明细账!$C$2),N(V1388)+1,N(V1388))</f>
        <v>0</v>
      </c>
      <c r="W1389" s="63" t="str">
        <f>IF($H1389&lt;&gt;"","项目成本",IFERROR(INDEX(基础资料!$W$4:$W$49,MATCH($I1389,基础资料!$V$4:$V$49,0)),""))</f>
        <v/>
      </c>
      <c r="X1389" s="63" t="str">
        <f>IFERROR(INDEX(基础资料!$R$4:$R$17,MATCH($G1389,基础资料!$Q$4:$Q$17,0)),"")</f>
        <v/>
      </c>
    </row>
    <row r="1390" spans="1:24">
      <c r="A1390" s="58" t="str">
        <f>IF($B1390="","",COUNTA($B$5:$B1390))</f>
        <v/>
      </c>
      <c r="B1390" s="53"/>
      <c r="C1390" s="46"/>
      <c r="D1390" s="63" t="str">
        <f>IFERROR(INDEX(基础资料!$F$4:$F$23,MATCH($C1390,基础资料!$E$4:$E$23,0)),IF($C1390="","","未匹配账户"))</f>
        <v/>
      </c>
      <c r="E1390" s="39"/>
      <c r="F1390" s="10"/>
      <c r="G1390" s="10"/>
      <c r="H1390" s="10"/>
      <c r="I1390" s="10"/>
      <c r="J1390" s="10"/>
      <c r="K1390" s="25"/>
      <c r="L1390" s="25"/>
      <c r="M1390" s="25" t="str">
        <f>IFERROR(VLOOKUP($C1390,$C$5:$M$24,11,0)+SUMIF($C$25:$C1390,$C1390,$K$25:$K1390)-SUMIF($C$25:$C1390,$C1390,$L$25:$L1390),"")</f>
        <v/>
      </c>
      <c r="N1390" s="10"/>
      <c r="O1390" s="10"/>
      <c r="P1390" s="65"/>
      <c r="Q1390" s="10"/>
      <c r="R1390" s="10"/>
      <c r="S1390" s="54" t="str">
        <f t="shared" si="69"/>
        <v/>
      </c>
      <c r="T1390" s="54" t="str">
        <f t="shared" si="70"/>
        <v/>
      </c>
      <c r="U1390" s="58" t="str">
        <f t="shared" si="71"/>
        <v/>
      </c>
      <c r="V1390" s="58">
        <f>IF(AND($B1390&lt;&gt;"",$F1390&lt;&gt;"",$F1390=项目明细账!$C$2),N(V1389)+1,N(V1389))</f>
        <v>0</v>
      </c>
      <c r="W1390" s="63" t="str">
        <f>IF($H1390&lt;&gt;"","项目成本",IFERROR(INDEX(基础资料!$W$4:$W$49,MATCH($I1390,基础资料!$V$4:$V$49,0)),""))</f>
        <v/>
      </c>
      <c r="X1390" s="63" t="str">
        <f>IFERROR(INDEX(基础资料!$R$4:$R$17,MATCH($G1390,基础资料!$Q$4:$Q$17,0)),"")</f>
        <v/>
      </c>
    </row>
    <row r="1391" spans="1:24">
      <c r="A1391" s="58" t="str">
        <f>IF($B1391="","",COUNTA($B$5:$B1391))</f>
        <v/>
      </c>
      <c r="B1391" s="53"/>
      <c r="C1391" s="46"/>
      <c r="D1391" s="63" t="str">
        <f>IFERROR(INDEX(基础资料!$F$4:$F$23,MATCH($C1391,基础资料!$E$4:$E$23,0)),IF($C1391="","","未匹配账户"))</f>
        <v/>
      </c>
      <c r="E1391" s="39"/>
      <c r="F1391" s="10"/>
      <c r="G1391" s="10"/>
      <c r="H1391" s="10"/>
      <c r="I1391" s="10"/>
      <c r="J1391" s="10"/>
      <c r="K1391" s="25"/>
      <c r="L1391" s="25"/>
      <c r="M1391" s="25" t="str">
        <f>IFERROR(VLOOKUP($C1391,$C$5:$M$24,11,0)+SUMIF($C$25:$C1391,$C1391,$K$25:$K1391)-SUMIF($C$25:$C1391,$C1391,$L$25:$L1391),"")</f>
        <v/>
      </c>
      <c r="N1391" s="10"/>
      <c r="O1391" s="10"/>
      <c r="P1391" s="65"/>
      <c r="Q1391" s="10"/>
      <c r="R1391" s="10"/>
      <c r="S1391" s="54" t="str">
        <f t="shared" si="69"/>
        <v/>
      </c>
      <c r="T1391" s="54" t="str">
        <f t="shared" si="70"/>
        <v/>
      </c>
      <c r="U1391" s="58" t="str">
        <f t="shared" si="71"/>
        <v/>
      </c>
      <c r="V1391" s="58">
        <f>IF(AND($B1391&lt;&gt;"",$F1391&lt;&gt;"",$F1391=项目明细账!$C$2),N(V1390)+1,N(V1390))</f>
        <v>0</v>
      </c>
      <c r="W1391" s="63" t="str">
        <f>IF($H1391&lt;&gt;"","项目成本",IFERROR(INDEX(基础资料!$W$4:$W$49,MATCH($I1391,基础资料!$V$4:$V$49,0)),""))</f>
        <v/>
      </c>
      <c r="X1391" s="63" t="str">
        <f>IFERROR(INDEX(基础资料!$R$4:$R$17,MATCH($G1391,基础资料!$Q$4:$Q$17,0)),"")</f>
        <v/>
      </c>
    </row>
    <row r="1392" spans="1:24">
      <c r="A1392" s="58" t="str">
        <f>IF($B1392="","",COUNTA($B$5:$B1392))</f>
        <v/>
      </c>
      <c r="B1392" s="53"/>
      <c r="C1392" s="46"/>
      <c r="D1392" s="63" t="str">
        <f>IFERROR(INDEX(基础资料!$F$4:$F$23,MATCH($C1392,基础资料!$E$4:$E$23,0)),IF($C1392="","","未匹配账户"))</f>
        <v/>
      </c>
      <c r="E1392" s="39"/>
      <c r="F1392" s="10"/>
      <c r="G1392" s="10"/>
      <c r="H1392" s="10"/>
      <c r="I1392" s="10"/>
      <c r="J1392" s="10"/>
      <c r="K1392" s="25"/>
      <c r="L1392" s="25"/>
      <c r="M1392" s="25" t="str">
        <f>IFERROR(VLOOKUP($C1392,$C$5:$M$24,11,0)+SUMIF($C$25:$C1392,$C1392,$K$25:$K1392)-SUMIF($C$25:$C1392,$C1392,$L$25:$L1392),"")</f>
        <v/>
      </c>
      <c r="N1392" s="10"/>
      <c r="O1392" s="10"/>
      <c r="P1392" s="65"/>
      <c r="Q1392" s="10"/>
      <c r="R1392" s="10"/>
      <c r="S1392" s="54" t="str">
        <f t="shared" si="69"/>
        <v/>
      </c>
      <c r="T1392" s="54" t="str">
        <f t="shared" si="70"/>
        <v/>
      </c>
      <c r="U1392" s="58" t="str">
        <f t="shared" si="71"/>
        <v/>
      </c>
      <c r="V1392" s="58">
        <f>IF(AND($B1392&lt;&gt;"",$F1392&lt;&gt;"",$F1392=项目明细账!$C$2),N(V1391)+1,N(V1391))</f>
        <v>0</v>
      </c>
      <c r="W1392" s="63" t="str">
        <f>IF($H1392&lt;&gt;"","项目成本",IFERROR(INDEX(基础资料!$W$4:$W$49,MATCH($I1392,基础资料!$V$4:$V$49,0)),""))</f>
        <v/>
      </c>
      <c r="X1392" s="63" t="str">
        <f>IFERROR(INDEX(基础资料!$R$4:$R$17,MATCH($G1392,基础资料!$Q$4:$Q$17,0)),"")</f>
        <v/>
      </c>
    </row>
    <row r="1393" spans="1:24">
      <c r="A1393" s="58" t="str">
        <f>IF($B1393="","",COUNTA($B$5:$B1393))</f>
        <v/>
      </c>
      <c r="B1393" s="53"/>
      <c r="C1393" s="46"/>
      <c r="D1393" s="63" t="str">
        <f>IFERROR(INDEX(基础资料!$F$4:$F$23,MATCH($C1393,基础资料!$E$4:$E$23,0)),IF($C1393="","","未匹配账户"))</f>
        <v/>
      </c>
      <c r="E1393" s="39"/>
      <c r="F1393" s="10"/>
      <c r="G1393" s="10"/>
      <c r="H1393" s="10"/>
      <c r="I1393" s="10"/>
      <c r="J1393" s="10"/>
      <c r="K1393" s="25"/>
      <c r="L1393" s="25"/>
      <c r="M1393" s="25" t="str">
        <f>IFERROR(VLOOKUP($C1393,$C$5:$M$24,11,0)+SUMIF($C$25:$C1393,$C1393,$K$25:$K1393)-SUMIF($C$25:$C1393,$C1393,$L$25:$L1393),"")</f>
        <v/>
      </c>
      <c r="N1393" s="10"/>
      <c r="O1393" s="10"/>
      <c r="P1393" s="65"/>
      <c r="Q1393" s="10"/>
      <c r="R1393" s="10"/>
      <c r="S1393" s="54" t="str">
        <f t="shared" si="69"/>
        <v/>
      </c>
      <c r="T1393" s="54" t="str">
        <f t="shared" si="70"/>
        <v/>
      </c>
      <c r="U1393" s="58" t="str">
        <f t="shared" si="71"/>
        <v/>
      </c>
      <c r="V1393" s="58">
        <f>IF(AND($B1393&lt;&gt;"",$F1393&lt;&gt;"",$F1393=项目明细账!$C$2),N(V1392)+1,N(V1392))</f>
        <v>0</v>
      </c>
      <c r="W1393" s="63" t="str">
        <f>IF($H1393&lt;&gt;"","项目成本",IFERROR(INDEX(基础资料!$W$4:$W$49,MATCH($I1393,基础资料!$V$4:$V$49,0)),""))</f>
        <v/>
      </c>
      <c r="X1393" s="63" t="str">
        <f>IFERROR(INDEX(基础资料!$R$4:$R$17,MATCH($G1393,基础资料!$Q$4:$Q$17,0)),"")</f>
        <v/>
      </c>
    </row>
    <row r="1394" spans="1:24">
      <c r="A1394" s="58" t="str">
        <f>IF($B1394="","",COUNTA($B$5:$B1394))</f>
        <v/>
      </c>
      <c r="B1394" s="53"/>
      <c r="C1394" s="46"/>
      <c r="D1394" s="63" t="str">
        <f>IFERROR(INDEX(基础资料!$F$4:$F$23,MATCH($C1394,基础资料!$E$4:$E$23,0)),IF($C1394="","","未匹配账户"))</f>
        <v/>
      </c>
      <c r="E1394" s="39"/>
      <c r="F1394" s="10"/>
      <c r="G1394" s="10"/>
      <c r="H1394" s="10"/>
      <c r="I1394" s="10"/>
      <c r="J1394" s="10"/>
      <c r="K1394" s="25"/>
      <c r="L1394" s="25"/>
      <c r="M1394" s="25" t="str">
        <f>IFERROR(VLOOKUP($C1394,$C$5:$M$24,11,0)+SUMIF($C$25:$C1394,$C1394,$K$25:$K1394)-SUMIF($C$25:$C1394,$C1394,$L$25:$L1394),"")</f>
        <v/>
      </c>
      <c r="N1394" s="10"/>
      <c r="O1394" s="10"/>
      <c r="P1394" s="65"/>
      <c r="Q1394" s="10"/>
      <c r="R1394" s="10"/>
      <c r="S1394" s="54" t="str">
        <f t="shared" si="69"/>
        <v/>
      </c>
      <c r="T1394" s="54" t="str">
        <f t="shared" si="70"/>
        <v/>
      </c>
      <c r="U1394" s="58" t="str">
        <f t="shared" si="71"/>
        <v/>
      </c>
      <c r="V1394" s="58">
        <f>IF(AND($B1394&lt;&gt;"",$F1394&lt;&gt;"",$F1394=项目明细账!$C$2),N(V1393)+1,N(V1393))</f>
        <v>0</v>
      </c>
      <c r="W1394" s="63" t="str">
        <f>IF($H1394&lt;&gt;"","项目成本",IFERROR(INDEX(基础资料!$W$4:$W$49,MATCH($I1394,基础资料!$V$4:$V$49,0)),""))</f>
        <v/>
      </c>
      <c r="X1394" s="63" t="str">
        <f>IFERROR(INDEX(基础资料!$R$4:$R$17,MATCH($G1394,基础资料!$Q$4:$Q$17,0)),"")</f>
        <v/>
      </c>
    </row>
    <row r="1395" spans="1:24">
      <c r="A1395" s="58" t="str">
        <f>IF($B1395="","",COUNTA($B$5:$B1395))</f>
        <v/>
      </c>
      <c r="B1395" s="53"/>
      <c r="C1395" s="46"/>
      <c r="D1395" s="63" t="str">
        <f>IFERROR(INDEX(基础资料!$F$4:$F$23,MATCH($C1395,基础资料!$E$4:$E$23,0)),IF($C1395="","","未匹配账户"))</f>
        <v/>
      </c>
      <c r="E1395" s="39"/>
      <c r="F1395" s="10"/>
      <c r="G1395" s="10"/>
      <c r="H1395" s="10"/>
      <c r="I1395" s="10"/>
      <c r="J1395" s="10"/>
      <c r="K1395" s="25"/>
      <c r="L1395" s="25"/>
      <c r="M1395" s="25" t="str">
        <f>IFERROR(VLOOKUP($C1395,$C$5:$M$24,11,0)+SUMIF($C$25:$C1395,$C1395,$K$25:$K1395)-SUMIF($C$25:$C1395,$C1395,$L$25:$L1395),"")</f>
        <v/>
      </c>
      <c r="N1395" s="10"/>
      <c r="O1395" s="10"/>
      <c r="P1395" s="65"/>
      <c r="Q1395" s="10"/>
      <c r="R1395" s="10"/>
      <c r="S1395" s="54" t="str">
        <f t="shared" si="69"/>
        <v/>
      </c>
      <c r="T1395" s="54" t="str">
        <f t="shared" si="70"/>
        <v/>
      </c>
      <c r="U1395" s="58" t="str">
        <f t="shared" si="71"/>
        <v/>
      </c>
      <c r="V1395" s="58">
        <f>IF(AND($B1395&lt;&gt;"",$F1395&lt;&gt;"",$F1395=项目明细账!$C$2),N(V1394)+1,N(V1394))</f>
        <v>0</v>
      </c>
      <c r="W1395" s="63" t="str">
        <f>IF($H1395&lt;&gt;"","项目成本",IFERROR(INDEX(基础资料!$W$4:$W$49,MATCH($I1395,基础资料!$V$4:$V$49,0)),""))</f>
        <v/>
      </c>
      <c r="X1395" s="63" t="str">
        <f>IFERROR(INDEX(基础资料!$R$4:$R$17,MATCH($G1395,基础资料!$Q$4:$Q$17,0)),"")</f>
        <v/>
      </c>
    </row>
    <row r="1396" spans="1:24">
      <c r="A1396" s="58" t="str">
        <f>IF($B1396="","",COUNTA($B$5:$B1396))</f>
        <v/>
      </c>
      <c r="B1396" s="53"/>
      <c r="C1396" s="46"/>
      <c r="D1396" s="63" t="str">
        <f>IFERROR(INDEX(基础资料!$F$4:$F$23,MATCH($C1396,基础资料!$E$4:$E$23,0)),IF($C1396="","","未匹配账户"))</f>
        <v/>
      </c>
      <c r="E1396" s="39"/>
      <c r="F1396" s="10"/>
      <c r="G1396" s="10"/>
      <c r="H1396" s="10"/>
      <c r="I1396" s="10"/>
      <c r="J1396" s="10"/>
      <c r="K1396" s="25"/>
      <c r="L1396" s="25"/>
      <c r="M1396" s="25" t="str">
        <f>IFERROR(VLOOKUP($C1396,$C$5:$M$24,11,0)+SUMIF($C$25:$C1396,$C1396,$K$25:$K1396)-SUMIF($C$25:$C1396,$C1396,$L$25:$L1396),"")</f>
        <v/>
      </c>
      <c r="N1396" s="10"/>
      <c r="O1396" s="10"/>
      <c r="P1396" s="65"/>
      <c r="Q1396" s="10"/>
      <c r="R1396" s="10"/>
      <c r="S1396" s="54" t="str">
        <f t="shared" si="69"/>
        <v/>
      </c>
      <c r="T1396" s="54" t="str">
        <f t="shared" si="70"/>
        <v/>
      </c>
      <c r="U1396" s="58" t="str">
        <f t="shared" si="71"/>
        <v/>
      </c>
      <c r="V1396" s="58">
        <f>IF(AND($B1396&lt;&gt;"",$F1396&lt;&gt;"",$F1396=项目明细账!$C$2),N(V1395)+1,N(V1395))</f>
        <v>0</v>
      </c>
      <c r="W1396" s="63" t="str">
        <f>IF($H1396&lt;&gt;"","项目成本",IFERROR(INDEX(基础资料!$W$4:$W$49,MATCH($I1396,基础资料!$V$4:$V$49,0)),""))</f>
        <v/>
      </c>
      <c r="X1396" s="63" t="str">
        <f>IFERROR(INDEX(基础资料!$R$4:$R$17,MATCH($G1396,基础资料!$Q$4:$Q$17,0)),"")</f>
        <v/>
      </c>
    </row>
    <row r="1397" spans="1:24">
      <c r="A1397" s="58" t="str">
        <f>IF($B1397="","",COUNTA($B$5:$B1397))</f>
        <v/>
      </c>
      <c r="B1397" s="53"/>
      <c r="C1397" s="46"/>
      <c r="D1397" s="63" t="str">
        <f>IFERROR(INDEX(基础资料!$F$4:$F$23,MATCH($C1397,基础资料!$E$4:$E$23,0)),IF($C1397="","","未匹配账户"))</f>
        <v/>
      </c>
      <c r="E1397" s="39"/>
      <c r="F1397" s="10"/>
      <c r="G1397" s="10"/>
      <c r="H1397" s="10"/>
      <c r="I1397" s="10"/>
      <c r="J1397" s="10"/>
      <c r="K1397" s="25"/>
      <c r="L1397" s="25"/>
      <c r="M1397" s="25" t="str">
        <f>IFERROR(VLOOKUP($C1397,$C$5:$M$24,11,0)+SUMIF($C$25:$C1397,$C1397,$K$25:$K1397)-SUMIF($C$25:$C1397,$C1397,$L$25:$L1397),"")</f>
        <v/>
      </c>
      <c r="N1397" s="10"/>
      <c r="O1397" s="10"/>
      <c r="P1397" s="65"/>
      <c r="Q1397" s="10"/>
      <c r="R1397" s="10"/>
      <c r="S1397" s="54" t="str">
        <f t="shared" si="69"/>
        <v/>
      </c>
      <c r="T1397" s="54" t="str">
        <f t="shared" si="70"/>
        <v/>
      </c>
      <c r="U1397" s="58" t="str">
        <f t="shared" si="71"/>
        <v/>
      </c>
      <c r="V1397" s="58">
        <f>IF(AND($B1397&lt;&gt;"",$F1397&lt;&gt;"",$F1397=项目明细账!$C$2),N(V1396)+1,N(V1396))</f>
        <v>0</v>
      </c>
      <c r="W1397" s="63" t="str">
        <f>IF($H1397&lt;&gt;"","项目成本",IFERROR(INDEX(基础资料!$W$4:$W$49,MATCH($I1397,基础资料!$V$4:$V$49,0)),""))</f>
        <v/>
      </c>
      <c r="X1397" s="63" t="str">
        <f>IFERROR(INDEX(基础资料!$R$4:$R$17,MATCH($G1397,基础资料!$Q$4:$Q$17,0)),"")</f>
        <v/>
      </c>
    </row>
    <row r="1398" spans="1:24">
      <c r="A1398" s="58" t="str">
        <f>IF($B1398="","",COUNTA($B$5:$B1398))</f>
        <v/>
      </c>
      <c r="B1398" s="53"/>
      <c r="C1398" s="46"/>
      <c r="D1398" s="63" t="str">
        <f>IFERROR(INDEX(基础资料!$F$4:$F$23,MATCH($C1398,基础资料!$E$4:$E$23,0)),IF($C1398="","","未匹配账户"))</f>
        <v/>
      </c>
      <c r="E1398" s="39"/>
      <c r="F1398" s="10"/>
      <c r="G1398" s="10"/>
      <c r="H1398" s="10"/>
      <c r="I1398" s="10"/>
      <c r="J1398" s="10"/>
      <c r="K1398" s="25"/>
      <c r="L1398" s="25"/>
      <c r="M1398" s="25" t="str">
        <f>IFERROR(VLOOKUP($C1398,$C$5:$M$24,11,0)+SUMIF($C$25:$C1398,$C1398,$K$25:$K1398)-SUMIF($C$25:$C1398,$C1398,$L$25:$L1398),"")</f>
        <v/>
      </c>
      <c r="N1398" s="10"/>
      <c r="O1398" s="10"/>
      <c r="P1398" s="65"/>
      <c r="Q1398" s="10"/>
      <c r="R1398" s="10"/>
      <c r="S1398" s="54" t="str">
        <f t="shared" si="69"/>
        <v/>
      </c>
      <c r="T1398" s="54" t="str">
        <f t="shared" si="70"/>
        <v/>
      </c>
      <c r="U1398" s="58" t="str">
        <f t="shared" si="71"/>
        <v/>
      </c>
      <c r="V1398" s="58">
        <f>IF(AND($B1398&lt;&gt;"",$F1398&lt;&gt;"",$F1398=项目明细账!$C$2),N(V1397)+1,N(V1397))</f>
        <v>0</v>
      </c>
      <c r="W1398" s="63" t="str">
        <f>IF($H1398&lt;&gt;"","项目成本",IFERROR(INDEX(基础资料!$W$4:$W$49,MATCH($I1398,基础资料!$V$4:$V$49,0)),""))</f>
        <v/>
      </c>
      <c r="X1398" s="63" t="str">
        <f>IFERROR(INDEX(基础资料!$R$4:$R$17,MATCH($G1398,基础资料!$Q$4:$Q$17,0)),"")</f>
        <v/>
      </c>
    </row>
    <row r="1399" spans="1:24">
      <c r="A1399" s="58" t="str">
        <f>IF($B1399="","",COUNTA($B$5:$B1399))</f>
        <v/>
      </c>
      <c r="B1399" s="53"/>
      <c r="C1399" s="46"/>
      <c r="D1399" s="63" t="str">
        <f>IFERROR(INDEX(基础资料!$F$4:$F$23,MATCH($C1399,基础资料!$E$4:$E$23,0)),IF($C1399="","","未匹配账户"))</f>
        <v/>
      </c>
      <c r="E1399" s="39"/>
      <c r="F1399" s="10"/>
      <c r="G1399" s="10"/>
      <c r="H1399" s="10"/>
      <c r="I1399" s="10"/>
      <c r="J1399" s="10"/>
      <c r="K1399" s="25"/>
      <c r="L1399" s="25"/>
      <c r="M1399" s="25" t="str">
        <f>IFERROR(VLOOKUP($C1399,$C$5:$M$24,11,0)+SUMIF($C$25:$C1399,$C1399,$K$25:$K1399)-SUMIF($C$25:$C1399,$C1399,$L$25:$L1399),"")</f>
        <v/>
      </c>
      <c r="N1399" s="10"/>
      <c r="O1399" s="10"/>
      <c r="P1399" s="65"/>
      <c r="Q1399" s="10"/>
      <c r="R1399" s="10"/>
      <c r="S1399" s="54" t="str">
        <f t="shared" si="69"/>
        <v/>
      </c>
      <c r="T1399" s="54" t="str">
        <f t="shared" si="70"/>
        <v/>
      </c>
      <c r="U1399" s="58" t="str">
        <f t="shared" si="71"/>
        <v/>
      </c>
      <c r="V1399" s="58">
        <f>IF(AND($B1399&lt;&gt;"",$F1399&lt;&gt;"",$F1399=项目明细账!$C$2),N(V1398)+1,N(V1398))</f>
        <v>0</v>
      </c>
      <c r="W1399" s="63" t="str">
        <f>IF($H1399&lt;&gt;"","项目成本",IFERROR(INDEX(基础资料!$W$4:$W$49,MATCH($I1399,基础资料!$V$4:$V$49,0)),""))</f>
        <v/>
      </c>
      <c r="X1399" s="63" t="str">
        <f>IFERROR(INDEX(基础资料!$R$4:$R$17,MATCH($G1399,基础资料!$Q$4:$Q$17,0)),"")</f>
        <v/>
      </c>
    </row>
    <row r="1400" spans="1:24">
      <c r="A1400" s="58" t="str">
        <f>IF($B1400="","",COUNTA($B$5:$B1400))</f>
        <v/>
      </c>
      <c r="B1400" s="53"/>
      <c r="C1400" s="46"/>
      <c r="D1400" s="63" t="str">
        <f>IFERROR(INDEX(基础资料!$F$4:$F$23,MATCH($C1400,基础资料!$E$4:$E$23,0)),IF($C1400="","","未匹配账户"))</f>
        <v/>
      </c>
      <c r="E1400" s="39"/>
      <c r="F1400" s="10"/>
      <c r="G1400" s="10"/>
      <c r="H1400" s="10"/>
      <c r="I1400" s="10"/>
      <c r="J1400" s="10"/>
      <c r="K1400" s="25"/>
      <c r="L1400" s="25"/>
      <c r="M1400" s="25" t="str">
        <f>IFERROR(VLOOKUP($C1400,$C$5:$M$24,11,0)+SUMIF($C$25:$C1400,$C1400,$K$25:$K1400)-SUMIF($C$25:$C1400,$C1400,$L$25:$L1400),"")</f>
        <v/>
      </c>
      <c r="N1400" s="10"/>
      <c r="O1400" s="10"/>
      <c r="P1400" s="65"/>
      <c r="Q1400" s="10"/>
      <c r="R1400" s="10"/>
      <c r="S1400" s="54" t="str">
        <f t="shared" si="69"/>
        <v/>
      </c>
      <c r="T1400" s="54" t="str">
        <f t="shared" si="70"/>
        <v/>
      </c>
      <c r="U1400" s="58" t="str">
        <f t="shared" si="71"/>
        <v/>
      </c>
      <c r="V1400" s="58">
        <f>IF(AND($B1400&lt;&gt;"",$F1400&lt;&gt;"",$F1400=项目明细账!$C$2),N(V1399)+1,N(V1399))</f>
        <v>0</v>
      </c>
      <c r="W1400" s="63" t="str">
        <f>IF($H1400&lt;&gt;"","项目成本",IFERROR(INDEX(基础资料!$W$4:$W$49,MATCH($I1400,基础资料!$V$4:$V$49,0)),""))</f>
        <v/>
      </c>
      <c r="X1400" s="63" t="str">
        <f>IFERROR(INDEX(基础资料!$R$4:$R$17,MATCH($G1400,基础资料!$Q$4:$Q$17,0)),"")</f>
        <v/>
      </c>
    </row>
    <row r="1401" spans="1:24">
      <c r="A1401" s="58" t="str">
        <f>IF($B1401="","",COUNTA($B$5:$B1401))</f>
        <v/>
      </c>
      <c r="B1401" s="53"/>
      <c r="C1401" s="46"/>
      <c r="D1401" s="63" t="str">
        <f>IFERROR(INDEX(基础资料!$F$4:$F$23,MATCH($C1401,基础资料!$E$4:$E$23,0)),IF($C1401="","","未匹配账户"))</f>
        <v/>
      </c>
      <c r="E1401" s="39"/>
      <c r="F1401" s="10"/>
      <c r="G1401" s="10"/>
      <c r="H1401" s="10"/>
      <c r="I1401" s="10"/>
      <c r="J1401" s="10"/>
      <c r="K1401" s="25"/>
      <c r="L1401" s="25"/>
      <c r="M1401" s="25" t="str">
        <f>IFERROR(VLOOKUP($C1401,$C$5:$M$24,11,0)+SUMIF($C$25:$C1401,$C1401,$K$25:$K1401)-SUMIF($C$25:$C1401,$C1401,$L$25:$L1401),"")</f>
        <v/>
      </c>
      <c r="N1401" s="10"/>
      <c r="O1401" s="10"/>
      <c r="P1401" s="65"/>
      <c r="Q1401" s="10"/>
      <c r="R1401" s="10"/>
      <c r="S1401" s="54" t="str">
        <f t="shared" si="69"/>
        <v/>
      </c>
      <c r="T1401" s="54" t="str">
        <f t="shared" si="70"/>
        <v/>
      </c>
      <c r="U1401" s="58" t="str">
        <f t="shared" si="71"/>
        <v/>
      </c>
      <c r="V1401" s="58">
        <f>IF(AND($B1401&lt;&gt;"",$F1401&lt;&gt;"",$F1401=项目明细账!$C$2),N(V1400)+1,N(V1400))</f>
        <v>0</v>
      </c>
      <c r="W1401" s="63" t="str">
        <f>IF($H1401&lt;&gt;"","项目成本",IFERROR(INDEX(基础资料!$W$4:$W$49,MATCH($I1401,基础资料!$V$4:$V$49,0)),""))</f>
        <v/>
      </c>
      <c r="X1401" s="63" t="str">
        <f>IFERROR(INDEX(基础资料!$R$4:$R$17,MATCH($G1401,基础资料!$Q$4:$Q$17,0)),"")</f>
        <v/>
      </c>
    </row>
    <row r="1402" spans="1:24">
      <c r="A1402" s="58" t="str">
        <f>IF($B1402="","",COUNTA($B$5:$B1402))</f>
        <v/>
      </c>
      <c r="B1402" s="53"/>
      <c r="C1402" s="46"/>
      <c r="D1402" s="63" t="str">
        <f>IFERROR(INDEX(基础资料!$F$4:$F$23,MATCH($C1402,基础资料!$E$4:$E$23,0)),IF($C1402="","","未匹配账户"))</f>
        <v/>
      </c>
      <c r="E1402" s="39"/>
      <c r="F1402" s="10"/>
      <c r="G1402" s="10"/>
      <c r="H1402" s="10"/>
      <c r="I1402" s="10"/>
      <c r="J1402" s="10"/>
      <c r="K1402" s="25"/>
      <c r="L1402" s="25"/>
      <c r="M1402" s="25" t="str">
        <f>IFERROR(VLOOKUP($C1402,$C$5:$M$24,11,0)+SUMIF($C$25:$C1402,$C1402,$K$25:$K1402)-SUMIF($C$25:$C1402,$C1402,$L$25:$L1402),"")</f>
        <v/>
      </c>
      <c r="N1402" s="10"/>
      <c r="O1402" s="10"/>
      <c r="P1402" s="65"/>
      <c r="Q1402" s="10"/>
      <c r="R1402" s="10"/>
      <c r="S1402" s="54" t="str">
        <f t="shared" si="69"/>
        <v/>
      </c>
      <c r="T1402" s="54" t="str">
        <f t="shared" si="70"/>
        <v/>
      </c>
      <c r="U1402" s="58" t="str">
        <f t="shared" si="71"/>
        <v/>
      </c>
      <c r="V1402" s="58">
        <f>IF(AND($B1402&lt;&gt;"",$F1402&lt;&gt;"",$F1402=项目明细账!$C$2),N(V1401)+1,N(V1401))</f>
        <v>0</v>
      </c>
      <c r="W1402" s="63" t="str">
        <f>IF($H1402&lt;&gt;"","项目成本",IFERROR(INDEX(基础资料!$W$4:$W$49,MATCH($I1402,基础资料!$V$4:$V$49,0)),""))</f>
        <v/>
      </c>
      <c r="X1402" s="63" t="str">
        <f>IFERROR(INDEX(基础资料!$R$4:$R$17,MATCH($G1402,基础资料!$Q$4:$Q$17,0)),"")</f>
        <v/>
      </c>
    </row>
    <row r="1403" spans="1:24">
      <c r="A1403" s="58" t="str">
        <f>IF($B1403="","",COUNTA($B$5:$B1403))</f>
        <v/>
      </c>
      <c r="B1403" s="53"/>
      <c r="C1403" s="46"/>
      <c r="D1403" s="63" t="str">
        <f>IFERROR(INDEX(基础资料!$F$4:$F$23,MATCH($C1403,基础资料!$E$4:$E$23,0)),IF($C1403="","","未匹配账户"))</f>
        <v/>
      </c>
      <c r="E1403" s="39"/>
      <c r="F1403" s="10"/>
      <c r="G1403" s="10"/>
      <c r="H1403" s="10"/>
      <c r="I1403" s="10"/>
      <c r="J1403" s="10"/>
      <c r="K1403" s="25"/>
      <c r="L1403" s="25"/>
      <c r="M1403" s="25" t="str">
        <f>IFERROR(VLOOKUP($C1403,$C$5:$M$24,11,0)+SUMIF($C$25:$C1403,$C1403,$K$25:$K1403)-SUMIF($C$25:$C1403,$C1403,$L$25:$L1403),"")</f>
        <v/>
      </c>
      <c r="N1403" s="10"/>
      <c r="O1403" s="10"/>
      <c r="P1403" s="65"/>
      <c r="Q1403" s="10"/>
      <c r="R1403" s="10"/>
      <c r="S1403" s="54" t="str">
        <f t="shared" si="69"/>
        <v/>
      </c>
      <c r="T1403" s="54" t="str">
        <f t="shared" si="70"/>
        <v/>
      </c>
      <c r="U1403" s="58" t="str">
        <f t="shared" si="71"/>
        <v/>
      </c>
      <c r="V1403" s="58">
        <f>IF(AND($B1403&lt;&gt;"",$F1403&lt;&gt;"",$F1403=项目明细账!$C$2),N(V1402)+1,N(V1402))</f>
        <v>0</v>
      </c>
      <c r="W1403" s="63" t="str">
        <f>IF($H1403&lt;&gt;"","项目成本",IFERROR(INDEX(基础资料!$W$4:$W$49,MATCH($I1403,基础资料!$V$4:$V$49,0)),""))</f>
        <v/>
      </c>
      <c r="X1403" s="63" t="str">
        <f>IFERROR(INDEX(基础资料!$R$4:$R$17,MATCH($G1403,基础资料!$Q$4:$Q$17,0)),"")</f>
        <v/>
      </c>
    </row>
    <row r="1404" spans="1:24">
      <c r="A1404" s="58" t="str">
        <f>IF($B1404="","",COUNTA($B$5:$B1404))</f>
        <v/>
      </c>
      <c r="B1404" s="53"/>
      <c r="C1404" s="46"/>
      <c r="D1404" s="63" t="str">
        <f>IFERROR(INDEX(基础资料!$F$4:$F$23,MATCH($C1404,基础资料!$E$4:$E$23,0)),IF($C1404="","","未匹配账户"))</f>
        <v/>
      </c>
      <c r="E1404" s="39"/>
      <c r="F1404" s="10"/>
      <c r="G1404" s="10"/>
      <c r="H1404" s="10"/>
      <c r="I1404" s="10"/>
      <c r="J1404" s="10"/>
      <c r="K1404" s="25"/>
      <c r="L1404" s="25"/>
      <c r="M1404" s="25" t="str">
        <f>IFERROR(VLOOKUP($C1404,$C$5:$M$24,11,0)+SUMIF($C$25:$C1404,$C1404,$K$25:$K1404)-SUMIF($C$25:$C1404,$C1404,$L$25:$L1404),"")</f>
        <v/>
      </c>
      <c r="N1404" s="10"/>
      <c r="O1404" s="10"/>
      <c r="P1404" s="65"/>
      <c r="Q1404" s="10"/>
      <c r="R1404" s="10"/>
      <c r="S1404" s="54" t="str">
        <f t="shared" si="69"/>
        <v/>
      </c>
      <c r="T1404" s="54" t="str">
        <f t="shared" si="70"/>
        <v/>
      </c>
      <c r="U1404" s="58" t="str">
        <f t="shared" si="71"/>
        <v/>
      </c>
      <c r="V1404" s="58">
        <f>IF(AND($B1404&lt;&gt;"",$F1404&lt;&gt;"",$F1404=项目明细账!$C$2),N(V1403)+1,N(V1403))</f>
        <v>0</v>
      </c>
      <c r="W1404" s="63" t="str">
        <f>IF($H1404&lt;&gt;"","项目成本",IFERROR(INDEX(基础资料!$W$4:$W$49,MATCH($I1404,基础资料!$V$4:$V$49,0)),""))</f>
        <v/>
      </c>
      <c r="X1404" s="63" t="str">
        <f>IFERROR(INDEX(基础资料!$R$4:$R$17,MATCH($G1404,基础资料!$Q$4:$Q$17,0)),"")</f>
        <v/>
      </c>
    </row>
    <row r="1405" spans="1:24">
      <c r="A1405" s="58" t="str">
        <f>IF($B1405="","",COUNTA($B$5:$B1405))</f>
        <v/>
      </c>
      <c r="B1405" s="53"/>
      <c r="C1405" s="46"/>
      <c r="D1405" s="63" t="str">
        <f>IFERROR(INDEX(基础资料!$F$4:$F$23,MATCH($C1405,基础资料!$E$4:$E$23,0)),IF($C1405="","","未匹配账户"))</f>
        <v/>
      </c>
      <c r="E1405" s="39"/>
      <c r="F1405" s="10"/>
      <c r="G1405" s="10"/>
      <c r="H1405" s="10"/>
      <c r="I1405" s="10"/>
      <c r="J1405" s="10"/>
      <c r="K1405" s="25"/>
      <c r="L1405" s="25"/>
      <c r="M1405" s="25" t="str">
        <f>IFERROR(VLOOKUP($C1405,$C$5:$M$24,11,0)+SUMIF($C$25:$C1405,$C1405,$K$25:$K1405)-SUMIF($C$25:$C1405,$C1405,$L$25:$L1405),"")</f>
        <v/>
      </c>
      <c r="N1405" s="10"/>
      <c r="O1405" s="10"/>
      <c r="P1405" s="65"/>
      <c r="Q1405" s="10"/>
      <c r="R1405" s="10"/>
      <c r="S1405" s="54" t="str">
        <f t="shared" si="69"/>
        <v/>
      </c>
      <c r="T1405" s="54" t="str">
        <f t="shared" si="70"/>
        <v/>
      </c>
      <c r="U1405" s="58" t="str">
        <f t="shared" si="71"/>
        <v/>
      </c>
      <c r="V1405" s="58">
        <f>IF(AND($B1405&lt;&gt;"",$F1405&lt;&gt;"",$F1405=项目明细账!$C$2),N(V1404)+1,N(V1404))</f>
        <v>0</v>
      </c>
      <c r="W1405" s="63" t="str">
        <f>IF($H1405&lt;&gt;"","项目成本",IFERROR(INDEX(基础资料!$W$4:$W$49,MATCH($I1405,基础资料!$V$4:$V$49,0)),""))</f>
        <v/>
      </c>
      <c r="X1405" s="63" t="str">
        <f>IFERROR(INDEX(基础资料!$R$4:$R$17,MATCH($G1405,基础资料!$Q$4:$Q$17,0)),"")</f>
        <v/>
      </c>
    </row>
    <row r="1406" spans="1:24">
      <c r="A1406" s="58" t="str">
        <f>IF($B1406="","",COUNTA($B$5:$B1406))</f>
        <v/>
      </c>
      <c r="B1406" s="53"/>
      <c r="C1406" s="46"/>
      <c r="D1406" s="63" t="str">
        <f>IFERROR(INDEX(基础资料!$F$4:$F$23,MATCH($C1406,基础资料!$E$4:$E$23,0)),IF($C1406="","","未匹配账户"))</f>
        <v/>
      </c>
      <c r="E1406" s="39"/>
      <c r="F1406" s="10"/>
      <c r="G1406" s="10"/>
      <c r="H1406" s="10"/>
      <c r="I1406" s="10"/>
      <c r="J1406" s="10"/>
      <c r="K1406" s="25"/>
      <c r="L1406" s="25"/>
      <c r="M1406" s="25" t="str">
        <f>IFERROR(VLOOKUP($C1406,$C$5:$M$24,11,0)+SUMIF($C$25:$C1406,$C1406,$K$25:$K1406)-SUMIF($C$25:$C1406,$C1406,$L$25:$L1406),"")</f>
        <v/>
      </c>
      <c r="N1406" s="10"/>
      <c r="O1406" s="10"/>
      <c r="P1406" s="65"/>
      <c r="Q1406" s="10"/>
      <c r="R1406" s="10"/>
      <c r="S1406" s="54" t="str">
        <f t="shared" si="69"/>
        <v/>
      </c>
      <c r="T1406" s="54" t="str">
        <f t="shared" si="70"/>
        <v/>
      </c>
      <c r="U1406" s="58" t="str">
        <f t="shared" si="71"/>
        <v/>
      </c>
      <c r="V1406" s="58">
        <f>IF(AND($B1406&lt;&gt;"",$F1406&lt;&gt;"",$F1406=项目明细账!$C$2),N(V1405)+1,N(V1405))</f>
        <v>0</v>
      </c>
      <c r="W1406" s="63" t="str">
        <f>IF($H1406&lt;&gt;"","项目成本",IFERROR(INDEX(基础资料!$W$4:$W$49,MATCH($I1406,基础资料!$V$4:$V$49,0)),""))</f>
        <v/>
      </c>
      <c r="X1406" s="63" t="str">
        <f>IFERROR(INDEX(基础资料!$R$4:$R$17,MATCH($G1406,基础资料!$Q$4:$Q$17,0)),"")</f>
        <v/>
      </c>
    </row>
    <row r="1407" spans="1:24">
      <c r="A1407" s="58" t="str">
        <f>IF($B1407="","",COUNTA($B$5:$B1407))</f>
        <v/>
      </c>
      <c r="B1407" s="53"/>
      <c r="C1407" s="46"/>
      <c r="D1407" s="63" t="str">
        <f>IFERROR(INDEX(基础资料!$F$4:$F$23,MATCH($C1407,基础资料!$E$4:$E$23,0)),IF($C1407="","","未匹配账户"))</f>
        <v/>
      </c>
      <c r="E1407" s="39"/>
      <c r="F1407" s="10"/>
      <c r="G1407" s="10"/>
      <c r="H1407" s="10"/>
      <c r="I1407" s="10"/>
      <c r="J1407" s="10"/>
      <c r="K1407" s="25"/>
      <c r="L1407" s="25"/>
      <c r="M1407" s="25" t="str">
        <f>IFERROR(VLOOKUP($C1407,$C$5:$M$24,11,0)+SUMIF($C$25:$C1407,$C1407,$K$25:$K1407)-SUMIF($C$25:$C1407,$C1407,$L$25:$L1407),"")</f>
        <v/>
      </c>
      <c r="N1407" s="10"/>
      <c r="O1407" s="10"/>
      <c r="P1407" s="65"/>
      <c r="Q1407" s="10"/>
      <c r="R1407" s="10"/>
      <c r="S1407" s="54" t="str">
        <f t="shared" si="69"/>
        <v/>
      </c>
      <c r="T1407" s="54" t="str">
        <f t="shared" si="70"/>
        <v/>
      </c>
      <c r="U1407" s="58" t="str">
        <f t="shared" si="71"/>
        <v/>
      </c>
      <c r="V1407" s="58">
        <f>IF(AND($B1407&lt;&gt;"",$F1407&lt;&gt;"",$F1407=项目明细账!$C$2),N(V1406)+1,N(V1406))</f>
        <v>0</v>
      </c>
      <c r="W1407" s="63" t="str">
        <f>IF($H1407&lt;&gt;"","项目成本",IFERROR(INDEX(基础资料!$W$4:$W$49,MATCH($I1407,基础资料!$V$4:$V$49,0)),""))</f>
        <v/>
      </c>
      <c r="X1407" s="63" t="str">
        <f>IFERROR(INDEX(基础资料!$R$4:$R$17,MATCH($G1407,基础资料!$Q$4:$Q$17,0)),"")</f>
        <v/>
      </c>
    </row>
    <row r="1408" spans="1:24">
      <c r="A1408" s="58" t="str">
        <f>IF($B1408="","",COUNTA($B$5:$B1408))</f>
        <v/>
      </c>
      <c r="B1408" s="53"/>
      <c r="C1408" s="46"/>
      <c r="D1408" s="63" t="str">
        <f>IFERROR(INDEX(基础资料!$F$4:$F$23,MATCH($C1408,基础资料!$E$4:$E$23,0)),IF($C1408="","","未匹配账户"))</f>
        <v/>
      </c>
      <c r="E1408" s="39"/>
      <c r="F1408" s="10"/>
      <c r="G1408" s="10"/>
      <c r="H1408" s="10"/>
      <c r="I1408" s="10"/>
      <c r="J1408" s="10"/>
      <c r="K1408" s="25"/>
      <c r="L1408" s="25"/>
      <c r="M1408" s="25" t="str">
        <f>IFERROR(VLOOKUP($C1408,$C$5:$M$24,11,0)+SUMIF($C$25:$C1408,$C1408,$K$25:$K1408)-SUMIF($C$25:$C1408,$C1408,$L$25:$L1408),"")</f>
        <v/>
      </c>
      <c r="N1408" s="10"/>
      <c r="O1408" s="10"/>
      <c r="P1408" s="65"/>
      <c r="Q1408" s="10"/>
      <c r="R1408" s="10"/>
      <c r="S1408" s="54" t="str">
        <f t="shared" si="69"/>
        <v/>
      </c>
      <c r="T1408" s="54" t="str">
        <f t="shared" si="70"/>
        <v/>
      </c>
      <c r="U1408" s="58" t="str">
        <f t="shared" si="71"/>
        <v/>
      </c>
      <c r="V1408" s="58">
        <f>IF(AND($B1408&lt;&gt;"",$F1408&lt;&gt;"",$F1408=项目明细账!$C$2),N(V1407)+1,N(V1407))</f>
        <v>0</v>
      </c>
      <c r="W1408" s="63" t="str">
        <f>IF($H1408&lt;&gt;"","项目成本",IFERROR(INDEX(基础资料!$W$4:$W$49,MATCH($I1408,基础资料!$V$4:$V$49,0)),""))</f>
        <v/>
      </c>
      <c r="X1408" s="63" t="str">
        <f>IFERROR(INDEX(基础资料!$R$4:$R$17,MATCH($G1408,基础资料!$Q$4:$Q$17,0)),"")</f>
        <v/>
      </c>
    </row>
    <row r="1409" spans="1:24">
      <c r="A1409" s="58" t="str">
        <f>IF($B1409="","",COUNTA($B$5:$B1409))</f>
        <v/>
      </c>
      <c r="B1409" s="53"/>
      <c r="C1409" s="46"/>
      <c r="D1409" s="63" t="str">
        <f>IFERROR(INDEX(基础资料!$F$4:$F$23,MATCH($C1409,基础资料!$E$4:$E$23,0)),IF($C1409="","","未匹配账户"))</f>
        <v/>
      </c>
      <c r="E1409" s="39"/>
      <c r="F1409" s="10"/>
      <c r="G1409" s="10"/>
      <c r="H1409" s="10"/>
      <c r="I1409" s="10"/>
      <c r="J1409" s="10"/>
      <c r="K1409" s="25"/>
      <c r="L1409" s="25"/>
      <c r="M1409" s="25" t="str">
        <f>IFERROR(VLOOKUP($C1409,$C$5:$M$24,11,0)+SUMIF($C$25:$C1409,$C1409,$K$25:$K1409)-SUMIF($C$25:$C1409,$C1409,$L$25:$L1409),"")</f>
        <v/>
      </c>
      <c r="N1409" s="10"/>
      <c r="O1409" s="10"/>
      <c r="P1409" s="65"/>
      <c r="Q1409" s="10"/>
      <c r="R1409" s="10"/>
      <c r="S1409" s="54" t="str">
        <f t="shared" si="69"/>
        <v/>
      </c>
      <c r="T1409" s="54" t="str">
        <f t="shared" si="70"/>
        <v/>
      </c>
      <c r="U1409" s="58" t="str">
        <f t="shared" si="71"/>
        <v/>
      </c>
      <c r="V1409" s="58">
        <f>IF(AND($B1409&lt;&gt;"",$F1409&lt;&gt;"",$F1409=项目明细账!$C$2),N(V1408)+1,N(V1408))</f>
        <v>0</v>
      </c>
      <c r="W1409" s="63" t="str">
        <f>IF($H1409&lt;&gt;"","项目成本",IFERROR(INDEX(基础资料!$W$4:$W$49,MATCH($I1409,基础资料!$V$4:$V$49,0)),""))</f>
        <v/>
      </c>
      <c r="X1409" s="63" t="str">
        <f>IFERROR(INDEX(基础资料!$R$4:$R$17,MATCH($G1409,基础资料!$Q$4:$Q$17,0)),"")</f>
        <v/>
      </c>
    </row>
    <row r="1410" spans="1:24">
      <c r="A1410" s="58" t="str">
        <f>IF($B1410="","",COUNTA($B$5:$B1410))</f>
        <v/>
      </c>
      <c r="B1410" s="53"/>
      <c r="C1410" s="46"/>
      <c r="D1410" s="63" t="str">
        <f>IFERROR(INDEX(基础资料!$F$4:$F$23,MATCH($C1410,基础资料!$E$4:$E$23,0)),IF($C1410="","","未匹配账户"))</f>
        <v/>
      </c>
      <c r="E1410" s="39"/>
      <c r="F1410" s="10"/>
      <c r="G1410" s="10"/>
      <c r="H1410" s="10"/>
      <c r="I1410" s="10"/>
      <c r="J1410" s="10"/>
      <c r="K1410" s="25"/>
      <c r="L1410" s="25"/>
      <c r="M1410" s="25" t="str">
        <f>IFERROR(VLOOKUP($C1410,$C$5:$M$24,11,0)+SUMIF($C$25:$C1410,$C1410,$K$25:$K1410)-SUMIF($C$25:$C1410,$C1410,$L$25:$L1410),"")</f>
        <v/>
      </c>
      <c r="N1410" s="10"/>
      <c r="O1410" s="10"/>
      <c r="P1410" s="65"/>
      <c r="Q1410" s="10"/>
      <c r="R1410" s="10"/>
      <c r="S1410" s="54" t="str">
        <f t="shared" si="69"/>
        <v/>
      </c>
      <c r="T1410" s="54" t="str">
        <f t="shared" si="70"/>
        <v/>
      </c>
      <c r="U1410" s="58" t="str">
        <f t="shared" si="71"/>
        <v/>
      </c>
      <c r="V1410" s="58">
        <f>IF(AND($B1410&lt;&gt;"",$F1410&lt;&gt;"",$F1410=项目明细账!$C$2),N(V1409)+1,N(V1409))</f>
        <v>0</v>
      </c>
      <c r="W1410" s="63" t="str">
        <f>IF($H1410&lt;&gt;"","项目成本",IFERROR(INDEX(基础资料!$W$4:$W$49,MATCH($I1410,基础资料!$V$4:$V$49,0)),""))</f>
        <v/>
      </c>
      <c r="X1410" s="63" t="str">
        <f>IFERROR(INDEX(基础资料!$R$4:$R$17,MATCH($G1410,基础资料!$Q$4:$Q$17,0)),"")</f>
        <v/>
      </c>
    </row>
    <row r="1411" spans="1:24">
      <c r="A1411" s="58" t="str">
        <f>IF($B1411="","",COUNTA($B$5:$B1411))</f>
        <v/>
      </c>
      <c r="B1411" s="53"/>
      <c r="C1411" s="46"/>
      <c r="D1411" s="63" t="str">
        <f>IFERROR(INDEX(基础资料!$F$4:$F$23,MATCH($C1411,基础资料!$E$4:$E$23,0)),IF($C1411="","","未匹配账户"))</f>
        <v/>
      </c>
      <c r="E1411" s="39"/>
      <c r="F1411" s="10"/>
      <c r="G1411" s="10"/>
      <c r="H1411" s="10"/>
      <c r="I1411" s="10"/>
      <c r="J1411" s="10"/>
      <c r="K1411" s="25"/>
      <c r="L1411" s="25"/>
      <c r="M1411" s="25" t="str">
        <f>IFERROR(VLOOKUP($C1411,$C$5:$M$24,11,0)+SUMIF($C$25:$C1411,$C1411,$K$25:$K1411)-SUMIF($C$25:$C1411,$C1411,$L$25:$L1411),"")</f>
        <v/>
      </c>
      <c r="N1411" s="10"/>
      <c r="O1411" s="10"/>
      <c r="P1411" s="65"/>
      <c r="Q1411" s="10"/>
      <c r="R1411" s="10"/>
      <c r="S1411" s="54" t="str">
        <f t="shared" si="69"/>
        <v/>
      </c>
      <c r="T1411" s="54" t="str">
        <f t="shared" si="70"/>
        <v/>
      </c>
      <c r="U1411" s="58" t="str">
        <f t="shared" si="71"/>
        <v/>
      </c>
      <c r="V1411" s="58">
        <f>IF(AND($B1411&lt;&gt;"",$F1411&lt;&gt;"",$F1411=项目明细账!$C$2),N(V1410)+1,N(V1410))</f>
        <v>0</v>
      </c>
      <c r="W1411" s="63" t="str">
        <f>IF($H1411&lt;&gt;"","项目成本",IFERROR(INDEX(基础资料!$W$4:$W$49,MATCH($I1411,基础资料!$V$4:$V$49,0)),""))</f>
        <v/>
      </c>
      <c r="X1411" s="63" t="str">
        <f>IFERROR(INDEX(基础资料!$R$4:$R$17,MATCH($G1411,基础资料!$Q$4:$Q$17,0)),"")</f>
        <v/>
      </c>
    </row>
    <row r="1412" spans="1:24">
      <c r="A1412" s="58" t="str">
        <f>IF($B1412="","",COUNTA($B$5:$B1412))</f>
        <v/>
      </c>
      <c r="B1412" s="53"/>
      <c r="C1412" s="46"/>
      <c r="D1412" s="63" t="str">
        <f>IFERROR(INDEX(基础资料!$F$4:$F$23,MATCH($C1412,基础资料!$E$4:$E$23,0)),IF($C1412="","","未匹配账户"))</f>
        <v/>
      </c>
      <c r="E1412" s="39"/>
      <c r="F1412" s="10"/>
      <c r="G1412" s="10"/>
      <c r="H1412" s="10"/>
      <c r="I1412" s="10"/>
      <c r="J1412" s="10"/>
      <c r="K1412" s="25"/>
      <c r="L1412" s="25"/>
      <c r="M1412" s="25" t="str">
        <f>IFERROR(VLOOKUP($C1412,$C$5:$M$24,11,0)+SUMIF($C$25:$C1412,$C1412,$K$25:$K1412)-SUMIF($C$25:$C1412,$C1412,$L$25:$L1412),"")</f>
        <v/>
      </c>
      <c r="N1412" s="10"/>
      <c r="O1412" s="10"/>
      <c r="P1412" s="65"/>
      <c r="Q1412" s="10"/>
      <c r="R1412" s="10"/>
      <c r="S1412" s="54" t="str">
        <f t="shared" si="69"/>
        <v/>
      </c>
      <c r="T1412" s="54" t="str">
        <f t="shared" si="70"/>
        <v/>
      </c>
      <c r="U1412" s="58" t="str">
        <f t="shared" si="71"/>
        <v/>
      </c>
      <c r="V1412" s="58">
        <f>IF(AND($B1412&lt;&gt;"",$F1412&lt;&gt;"",$F1412=项目明细账!$C$2),N(V1411)+1,N(V1411))</f>
        <v>0</v>
      </c>
      <c r="W1412" s="63" t="str">
        <f>IF($H1412&lt;&gt;"","项目成本",IFERROR(INDEX(基础资料!$W$4:$W$49,MATCH($I1412,基础资料!$V$4:$V$49,0)),""))</f>
        <v/>
      </c>
      <c r="X1412" s="63" t="str">
        <f>IFERROR(INDEX(基础资料!$R$4:$R$17,MATCH($G1412,基础资料!$Q$4:$Q$17,0)),"")</f>
        <v/>
      </c>
    </row>
    <row r="1413" spans="1:24">
      <c r="A1413" s="58" t="str">
        <f>IF($B1413="","",COUNTA($B$5:$B1413))</f>
        <v/>
      </c>
      <c r="B1413" s="53"/>
      <c r="C1413" s="46"/>
      <c r="D1413" s="63" t="str">
        <f>IFERROR(INDEX(基础资料!$F$4:$F$23,MATCH($C1413,基础资料!$E$4:$E$23,0)),IF($C1413="","","未匹配账户"))</f>
        <v/>
      </c>
      <c r="E1413" s="39"/>
      <c r="F1413" s="10"/>
      <c r="G1413" s="10"/>
      <c r="H1413" s="10"/>
      <c r="I1413" s="10"/>
      <c r="J1413" s="10"/>
      <c r="K1413" s="25"/>
      <c r="L1413" s="25"/>
      <c r="M1413" s="25" t="str">
        <f>IFERROR(VLOOKUP($C1413,$C$5:$M$24,11,0)+SUMIF($C$25:$C1413,$C1413,$K$25:$K1413)-SUMIF($C$25:$C1413,$C1413,$L$25:$L1413),"")</f>
        <v/>
      </c>
      <c r="N1413" s="10"/>
      <c r="O1413" s="10"/>
      <c r="P1413" s="65"/>
      <c r="Q1413" s="10"/>
      <c r="R1413" s="10"/>
      <c r="S1413" s="54" t="str">
        <f t="shared" si="69"/>
        <v/>
      </c>
      <c r="T1413" s="54" t="str">
        <f t="shared" si="70"/>
        <v/>
      </c>
      <c r="U1413" s="58" t="str">
        <f t="shared" si="71"/>
        <v/>
      </c>
      <c r="V1413" s="58">
        <f>IF(AND($B1413&lt;&gt;"",$F1413&lt;&gt;"",$F1413=项目明细账!$C$2),N(V1412)+1,N(V1412))</f>
        <v>0</v>
      </c>
      <c r="W1413" s="63" t="str">
        <f>IF($H1413&lt;&gt;"","项目成本",IFERROR(INDEX(基础资料!$W$4:$W$49,MATCH($I1413,基础资料!$V$4:$V$49,0)),""))</f>
        <v/>
      </c>
      <c r="X1413" s="63" t="str">
        <f>IFERROR(INDEX(基础资料!$R$4:$R$17,MATCH($G1413,基础资料!$Q$4:$Q$17,0)),"")</f>
        <v/>
      </c>
    </row>
    <row r="1414" spans="1:24">
      <c r="A1414" s="58" t="str">
        <f>IF($B1414="","",COUNTA($B$5:$B1414))</f>
        <v/>
      </c>
      <c r="B1414" s="53"/>
      <c r="C1414" s="46"/>
      <c r="D1414" s="63" t="str">
        <f>IFERROR(INDEX(基础资料!$F$4:$F$23,MATCH($C1414,基础资料!$E$4:$E$23,0)),IF($C1414="","","未匹配账户"))</f>
        <v/>
      </c>
      <c r="E1414" s="39"/>
      <c r="F1414" s="10"/>
      <c r="G1414" s="10"/>
      <c r="H1414" s="10"/>
      <c r="I1414" s="10"/>
      <c r="J1414" s="10"/>
      <c r="K1414" s="25"/>
      <c r="L1414" s="25"/>
      <c r="M1414" s="25" t="str">
        <f>IFERROR(VLOOKUP($C1414,$C$5:$M$24,11,0)+SUMIF($C$25:$C1414,$C1414,$K$25:$K1414)-SUMIF($C$25:$C1414,$C1414,$L$25:$L1414),"")</f>
        <v/>
      </c>
      <c r="N1414" s="10"/>
      <c r="O1414" s="10"/>
      <c r="P1414" s="65"/>
      <c r="Q1414" s="10"/>
      <c r="R1414" s="10"/>
      <c r="S1414" s="54" t="str">
        <f t="shared" si="69"/>
        <v/>
      </c>
      <c r="T1414" s="54" t="str">
        <f t="shared" si="70"/>
        <v/>
      </c>
      <c r="U1414" s="58" t="str">
        <f t="shared" si="71"/>
        <v/>
      </c>
      <c r="V1414" s="58">
        <f>IF(AND($B1414&lt;&gt;"",$F1414&lt;&gt;"",$F1414=项目明细账!$C$2),N(V1413)+1,N(V1413))</f>
        <v>0</v>
      </c>
      <c r="W1414" s="63" t="str">
        <f>IF($H1414&lt;&gt;"","项目成本",IFERROR(INDEX(基础资料!$W$4:$W$49,MATCH($I1414,基础资料!$V$4:$V$49,0)),""))</f>
        <v/>
      </c>
      <c r="X1414" s="63" t="str">
        <f>IFERROR(INDEX(基础资料!$R$4:$R$17,MATCH($G1414,基础资料!$Q$4:$Q$17,0)),"")</f>
        <v/>
      </c>
    </row>
    <row r="1415" spans="1:24">
      <c r="A1415" s="58" t="str">
        <f>IF($B1415="","",COUNTA($B$5:$B1415))</f>
        <v/>
      </c>
      <c r="B1415" s="53"/>
      <c r="C1415" s="46"/>
      <c r="D1415" s="63" t="str">
        <f>IFERROR(INDEX(基础资料!$F$4:$F$23,MATCH($C1415,基础资料!$E$4:$E$23,0)),IF($C1415="","","未匹配账户"))</f>
        <v/>
      </c>
      <c r="E1415" s="39"/>
      <c r="F1415" s="10"/>
      <c r="G1415" s="10"/>
      <c r="H1415" s="10"/>
      <c r="I1415" s="10"/>
      <c r="J1415" s="10"/>
      <c r="K1415" s="25"/>
      <c r="L1415" s="25"/>
      <c r="M1415" s="25" t="str">
        <f>IFERROR(VLOOKUP($C1415,$C$5:$M$24,11,0)+SUMIF($C$25:$C1415,$C1415,$K$25:$K1415)-SUMIF($C$25:$C1415,$C1415,$L$25:$L1415),"")</f>
        <v/>
      </c>
      <c r="N1415" s="10"/>
      <c r="O1415" s="10"/>
      <c r="P1415" s="65"/>
      <c r="Q1415" s="10"/>
      <c r="R1415" s="10"/>
      <c r="S1415" s="54" t="str">
        <f t="shared" ref="S1415:S1478" si="72">IF($B1415="","",--TEXT($B1415,"yyyymm"))</f>
        <v/>
      </c>
      <c r="T1415" s="54" t="str">
        <f t="shared" ref="T1415:T1478" si="73">IF($B1415="","",IF($P1415="",$S1415,IFERROR($P1415*1,$P1415)))</f>
        <v/>
      </c>
      <c r="U1415" s="58" t="str">
        <f t="shared" ref="U1415:U1478" si="74">IF($B1415="","",IF($T1415=$S1415,"","跨期"))</f>
        <v/>
      </c>
      <c r="V1415" s="58">
        <f>IF(AND($B1415&lt;&gt;"",$F1415&lt;&gt;"",$F1415=项目明细账!$C$2),N(V1414)+1,N(V1414))</f>
        <v>0</v>
      </c>
      <c r="W1415" s="63" t="str">
        <f>IF($H1415&lt;&gt;"","项目成本",IFERROR(INDEX(基础资料!$W$4:$W$49,MATCH($I1415,基础资料!$V$4:$V$49,0)),""))</f>
        <v/>
      </c>
      <c r="X1415" s="63" t="str">
        <f>IFERROR(INDEX(基础资料!$R$4:$R$17,MATCH($G1415,基础资料!$Q$4:$Q$17,0)),"")</f>
        <v/>
      </c>
    </row>
    <row r="1416" spans="1:24">
      <c r="A1416" s="58" t="str">
        <f>IF($B1416="","",COUNTA($B$5:$B1416))</f>
        <v/>
      </c>
      <c r="B1416" s="53"/>
      <c r="C1416" s="46"/>
      <c r="D1416" s="63" t="str">
        <f>IFERROR(INDEX(基础资料!$F$4:$F$23,MATCH($C1416,基础资料!$E$4:$E$23,0)),IF($C1416="","","未匹配账户"))</f>
        <v/>
      </c>
      <c r="E1416" s="39"/>
      <c r="F1416" s="10"/>
      <c r="G1416" s="10"/>
      <c r="H1416" s="10"/>
      <c r="I1416" s="10"/>
      <c r="J1416" s="10"/>
      <c r="K1416" s="25"/>
      <c r="L1416" s="25"/>
      <c r="M1416" s="25" t="str">
        <f>IFERROR(VLOOKUP($C1416,$C$5:$M$24,11,0)+SUMIF($C$25:$C1416,$C1416,$K$25:$K1416)-SUMIF($C$25:$C1416,$C1416,$L$25:$L1416),"")</f>
        <v/>
      </c>
      <c r="N1416" s="10"/>
      <c r="O1416" s="10"/>
      <c r="P1416" s="65"/>
      <c r="Q1416" s="10"/>
      <c r="R1416" s="10"/>
      <c r="S1416" s="54" t="str">
        <f t="shared" si="72"/>
        <v/>
      </c>
      <c r="T1416" s="54" t="str">
        <f t="shared" si="73"/>
        <v/>
      </c>
      <c r="U1416" s="58" t="str">
        <f t="shared" si="74"/>
        <v/>
      </c>
      <c r="V1416" s="58">
        <f>IF(AND($B1416&lt;&gt;"",$F1416&lt;&gt;"",$F1416=项目明细账!$C$2),N(V1415)+1,N(V1415))</f>
        <v>0</v>
      </c>
      <c r="W1416" s="63" t="str">
        <f>IF($H1416&lt;&gt;"","项目成本",IFERROR(INDEX(基础资料!$W$4:$W$49,MATCH($I1416,基础资料!$V$4:$V$49,0)),""))</f>
        <v/>
      </c>
      <c r="X1416" s="63" t="str">
        <f>IFERROR(INDEX(基础资料!$R$4:$R$17,MATCH($G1416,基础资料!$Q$4:$Q$17,0)),"")</f>
        <v/>
      </c>
    </row>
    <row r="1417" spans="1:24">
      <c r="A1417" s="58" t="str">
        <f>IF($B1417="","",COUNTA($B$5:$B1417))</f>
        <v/>
      </c>
      <c r="B1417" s="53"/>
      <c r="C1417" s="46"/>
      <c r="D1417" s="63" t="str">
        <f>IFERROR(INDEX(基础资料!$F$4:$F$23,MATCH($C1417,基础资料!$E$4:$E$23,0)),IF($C1417="","","未匹配账户"))</f>
        <v/>
      </c>
      <c r="E1417" s="39"/>
      <c r="F1417" s="10"/>
      <c r="G1417" s="10"/>
      <c r="H1417" s="10"/>
      <c r="I1417" s="10"/>
      <c r="J1417" s="10"/>
      <c r="K1417" s="25"/>
      <c r="L1417" s="25"/>
      <c r="M1417" s="25" t="str">
        <f>IFERROR(VLOOKUP($C1417,$C$5:$M$24,11,0)+SUMIF($C$25:$C1417,$C1417,$K$25:$K1417)-SUMIF($C$25:$C1417,$C1417,$L$25:$L1417),"")</f>
        <v/>
      </c>
      <c r="N1417" s="10"/>
      <c r="O1417" s="10"/>
      <c r="P1417" s="65"/>
      <c r="Q1417" s="10"/>
      <c r="R1417" s="10"/>
      <c r="S1417" s="54" t="str">
        <f t="shared" si="72"/>
        <v/>
      </c>
      <c r="T1417" s="54" t="str">
        <f t="shared" si="73"/>
        <v/>
      </c>
      <c r="U1417" s="58" t="str">
        <f t="shared" si="74"/>
        <v/>
      </c>
      <c r="V1417" s="58">
        <f>IF(AND($B1417&lt;&gt;"",$F1417&lt;&gt;"",$F1417=项目明细账!$C$2),N(V1416)+1,N(V1416))</f>
        <v>0</v>
      </c>
      <c r="W1417" s="63" t="str">
        <f>IF($H1417&lt;&gt;"","项目成本",IFERROR(INDEX(基础资料!$W$4:$W$49,MATCH($I1417,基础资料!$V$4:$V$49,0)),""))</f>
        <v/>
      </c>
      <c r="X1417" s="63" t="str">
        <f>IFERROR(INDEX(基础资料!$R$4:$R$17,MATCH($G1417,基础资料!$Q$4:$Q$17,0)),"")</f>
        <v/>
      </c>
    </row>
    <row r="1418" spans="1:24">
      <c r="A1418" s="58" t="str">
        <f>IF($B1418="","",COUNTA($B$5:$B1418))</f>
        <v/>
      </c>
      <c r="B1418" s="53"/>
      <c r="C1418" s="46"/>
      <c r="D1418" s="63" t="str">
        <f>IFERROR(INDEX(基础资料!$F$4:$F$23,MATCH($C1418,基础资料!$E$4:$E$23,0)),IF($C1418="","","未匹配账户"))</f>
        <v/>
      </c>
      <c r="E1418" s="39"/>
      <c r="F1418" s="10"/>
      <c r="G1418" s="10"/>
      <c r="H1418" s="10"/>
      <c r="I1418" s="10"/>
      <c r="J1418" s="10"/>
      <c r="K1418" s="25"/>
      <c r="L1418" s="25"/>
      <c r="M1418" s="25" t="str">
        <f>IFERROR(VLOOKUP($C1418,$C$5:$M$24,11,0)+SUMIF($C$25:$C1418,$C1418,$K$25:$K1418)-SUMIF($C$25:$C1418,$C1418,$L$25:$L1418),"")</f>
        <v/>
      </c>
      <c r="N1418" s="10"/>
      <c r="O1418" s="10"/>
      <c r="P1418" s="65"/>
      <c r="Q1418" s="10"/>
      <c r="R1418" s="10"/>
      <c r="S1418" s="54" t="str">
        <f t="shared" si="72"/>
        <v/>
      </c>
      <c r="T1418" s="54" t="str">
        <f t="shared" si="73"/>
        <v/>
      </c>
      <c r="U1418" s="58" t="str">
        <f t="shared" si="74"/>
        <v/>
      </c>
      <c r="V1418" s="58">
        <f>IF(AND($B1418&lt;&gt;"",$F1418&lt;&gt;"",$F1418=项目明细账!$C$2),N(V1417)+1,N(V1417))</f>
        <v>0</v>
      </c>
      <c r="W1418" s="63" t="str">
        <f>IF($H1418&lt;&gt;"","项目成本",IFERROR(INDEX(基础资料!$W$4:$W$49,MATCH($I1418,基础资料!$V$4:$V$49,0)),""))</f>
        <v/>
      </c>
      <c r="X1418" s="63" t="str">
        <f>IFERROR(INDEX(基础资料!$R$4:$R$17,MATCH($G1418,基础资料!$Q$4:$Q$17,0)),"")</f>
        <v/>
      </c>
    </row>
    <row r="1419" spans="1:24">
      <c r="A1419" s="58" t="str">
        <f>IF($B1419="","",COUNTA($B$5:$B1419))</f>
        <v/>
      </c>
      <c r="B1419" s="53"/>
      <c r="C1419" s="46"/>
      <c r="D1419" s="63" t="str">
        <f>IFERROR(INDEX(基础资料!$F$4:$F$23,MATCH($C1419,基础资料!$E$4:$E$23,0)),IF($C1419="","","未匹配账户"))</f>
        <v/>
      </c>
      <c r="E1419" s="39"/>
      <c r="F1419" s="10"/>
      <c r="G1419" s="10"/>
      <c r="H1419" s="10"/>
      <c r="I1419" s="10"/>
      <c r="J1419" s="10"/>
      <c r="K1419" s="25"/>
      <c r="L1419" s="25"/>
      <c r="M1419" s="25" t="str">
        <f>IFERROR(VLOOKUP($C1419,$C$5:$M$24,11,0)+SUMIF($C$25:$C1419,$C1419,$K$25:$K1419)-SUMIF($C$25:$C1419,$C1419,$L$25:$L1419),"")</f>
        <v/>
      </c>
      <c r="N1419" s="10"/>
      <c r="O1419" s="10"/>
      <c r="P1419" s="65"/>
      <c r="Q1419" s="10"/>
      <c r="R1419" s="10"/>
      <c r="S1419" s="54" t="str">
        <f t="shared" si="72"/>
        <v/>
      </c>
      <c r="T1419" s="54" t="str">
        <f t="shared" si="73"/>
        <v/>
      </c>
      <c r="U1419" s="58" t="str">
        <f t="shared" si="74"/>
        <v/>
      </c>
      <c r="V1419" s="58">
        <f>IF(AND($B1419&lt;&gt;"",$F1419&lt;&gt;"",$F1419=项目明细账!$C$2),N(V1418)+1,N(V1418))</f>
        <v>0</v>
      </c>
      <c r="W1419" s="63" t="str">
        <f>IF($H1419&lt;&gt;"","项目成本",IFERROR(INDEX(基础资料!$W$4:$W$49,MATCH($I1419,基础资料!$V$4:$V$49,0)),""))</f>
        <v/>
      </c>
      <c r="X1419" s="63" t="str">
        <f>IFERROR(INDEX(基础资料!$R$4:$R$17,MATCH($G1419,基础资料!$Q$4:$Q$17,0)),"")</f>
        <v/>
      </c>
    </row>
    <row r="1420" spans="1:24">
      <c r="A1420" s="58" t="str">
        <f>IF($B1420="","",COUNTA($B$5:$B1420))</f>
        <v/>
      </c>
      <c r="B1420" s="53"/>
      <c r="C1420" s="46"/>
      <c r="D1420" s="63" t="str">
        <f>IFERROR(INDEX(基础资料!$F$4:$F$23,MATCH($C1420,基础资料!$E$4:$E$23,0)),IF($C1420="","","未匹配账户"))</f>
        <v/>
      </c>
      <c r="E1420" s="39"/>
      <c r="F1420" s="10"/>
      <c r="G1420" s="10"/>
      <c r="H1420" s="10"/>
      <c r="I1420" s="10"/>
      <c r="J1420" s="10"/>
      <c r="K1420" s="25"/>
      <c r="L1420" s="25"/>
      <c r="M1420" s="25" t="str">
        <f>IFERROR(VLOOKUP($C1420,$C$5:$M$24,11,0)+SUMIF($C$25:$C1420,$C1420,$K$25:$K1420)-SUMIF($C$25:$C1420,$C1420,$L$25:$L1420),"")</f>
        <v/>
      </c>
      <c r="N1420" s="10"/>
      <c r="O1420" s="10"/>
      <c r="P1420" s="65"/>
      <c r="Q1420" s="10"/>
      <c r="R1420" s="10"/>
      <c r="S1420" s="54" t="str">
        <f t="shared" si="72"/>
        <v/>
      </c>
      <c r="T1420" s="54" t="str">
        <f t="shared" si="73"/>
        <v/>
      </c>
      <c r="U1420" s="58" t="str">
        <f t="shared" si="74"/>
        <v/>
      </c>
      <c r="V1420" s="58">
        <f>IF(AND($B1420&lt;&gt;"",$F1420&lt;&gt;"",$F1420=项目明细账!$C$2),N(V1419)+1,N(V1419))</f>
        <v>0</v>
      </c>
      <c r="W1420" s="63" t="str">
        <f>IF($H1420&lt;&gt;"","项目成本",IFERROR(INDEX(基础资料!$W$4:$W$49,MATCH($I1420,基础资料!$V$4:$V$49,0)),""))</f>
        <v/>
      </c>
      <c r="X1420" s="63" t="str">
        <f>IFERROR(INDEX(基础资料!$R$4:$R$17,MATCH($G1420,基础资料!$Q$4:$Q$17,0)),"")</f>
        <v/>
      </c>
    </row>
    <row r="1421" spans="1:24">
      <c r="A1421" s="58" t="str">
        <f>IF($B1421="","",COUNTA($B$5:$B1421))</f>
        <v/>
      </c>
      <c r="B1421" s="53"/>
      <c r="C1421" s="46"/>
      <c r="D1421" s="63" t="str">
        <f>IFERROR(INDEX(基础资料!$F$4:$F$23,MATCH($C1421,基础资料!$E$4:$E$23,0)),IF($C1421="","","未匹配账户"))</f>
        <v/>
      </c>
      <c r="E1421" s="39"/>
      <c r="F1421" s="10"/>
      <c r="G1421" s="10"/>
      <c r="H1421" s="10"/>
      <c r="I1421" s="10"/>
      <c r="J1421" s="10"/>
      <c r="K1421" s="25"/>
      <c r="L1421" s="25"/>
      <c r="M1421" s="25" t="str">
        <f>IFERROR(VLOOKUP($C1421,$C$5:$M$24,11,0)+SUMIF($C$25:$C1421,$C1421,$K$25:$K1421)-SUMIF($C$25:$C1421,$C1421,$L$25:$L1421),"")</f>
        <v/>
      </c>
      <c r="N1421" s="10"/>
      <c r="O1421" s="10"/>
      <c r="P1421" s="65"/>
      <c r="Q1421" s="10"/>
      <c r="R1421" s="10"/>
      <c r="S1421" s="54" t="str">
        <f t="shared" si="72"/>
        <v/>
      </c>
      <c r="T1421" s="54" t="str">
        <f t="shared" si="73"/>
        <v/>
      </c>
      <c r="U1421" s="58" t="str">
        <f t="shared" si="74"/>
        <v/>
      </c>
      <c r="V1421" s="58">
        <f>IF(AND($B1421&lt;&gt;"",$F1421&lt;&gt;"",$F1421=项目明细账!$C$2),N(V1420)+1,N(V1420))</f>
        <v>0</v>
      </c>
      <c r="W1421" s="63" t="str">
        <f>IF($H1421&lt;&gt;"","项目成本",IFERROR(INDEX(基础资料!$W$4:$W$49,MATCH($I1421,基础资料!$V$4:$V$49,0)),""))</f>
        <v/>
      </c>
      <c r="X1421" s="63" t="str">
        <f>IFERROR(INDEX(基础资料!$R$4:$R$17,MATCH($G1421,基础资料!$Q$4:$Q$17,0)),"")</f>
        <v/>
      </c>
    </row>
    <row r="1422" spans="1:24">
      <c r="A1422" s="58" t="str">
        <f>IF($B1422="","",COUNTA($B$5:$B1422))</f>
        <v/>
      </c>
      <c r="B1422" s="53"/>
      <c r="C1422" s="46"/>
      <c r="D1422" s="63" t="str">
        <f>IFERROR(INDEX(基础资料!$F$4:$F$23,MATCH($C1422,基础资料!$E$4:$E$23,0)),IF($C1422="","","未匹配账户"))</f>
        <v/>
      </c>
      <c r="E1422" s="39"/>
      <c r="F1422" s="10"/>
      <c r="G1422" s="10"/>
      <c r="H1422" s="10"/>
      <c r="I1422" s="10"/>
      <c r="J1422" s="10"/>
      <c r="K1422" s="25"/>
      <c r="L1422" s="25"/>
      <c r="M1422" s="25" t="str">
        <f>IFERROR(VLOOKUP($C1422,$C$5:$M$24,11,0)+SUMIF($C$25:$C1422,$C1422,$K$25:$K1422)-SUMIF($C$25:$C1422,$C1422,$L$25:$L1422),"")</f>
        <v/>
      </c>
      <c r="N1422" s="10"/>
      <c r="O1422" s="10"/>
      <c r="P1422" s="65"/>
      <c r="Q1422" s="10"/>
      <c r="R1422" s="10"/>
      <c r="S1422" s="54" t="str">
        <f t="shared" si="72"/>
        <v/>
      </c>
      <c r="T1422" s="54" t="str">
        <f t="shared" si="73"/>
        <v/>
      </c>
      <c r="U1422" s="58" t="str">
        <f t="shared" si="74"/>
        <v/>
      </c>
      <c r="V1422" s="58">
        <f>IF(AND($B1422&lt;&gt;"",$F1422&lt;&gt;"",$F1422=项目明细账!$C$2),N(V1421)+1,N(V1421))</f>
        <v>0</v>
      </c>
      <c r="W1422" s="63" t="str">
        <f>IF($H1422&lt;&gt;"","项目成本",IFERROR(INDEX(基础资料!$W$4:$W$49,MATCH($I1422,基础资料!$V$4:$V$49,0)),""))</f>
        <v/>
      </c>
      <c r="X1422" s="63" t="str">
        <f>IFERROR(INDEX(基础资料!$R$4:$R$17,MATCH($G1422,基础资料!$Q$4:$Q$17,0)),"")</f>
        <v/>
      </c>
    </row>
    <row r="1423" spans="1:24">
      <c r="A1423" s="58" t="str">
        <f>IF($B1423="","",COUNTA($B$5:$B1423))</f>
        <v/>
      </c>
      <c r="B1423" s="53"/>
      <c r="C1423" s="46"/>
      <c r="D1423" s="63" t="str">
        <f>IFERROR(INDEX(基础资料!$F$4:$F$23,MATCH($C1423,基础资料!$E$4:$E$23,0)),IF($C1423="","","未匹配账户"))</f>
        <v/>
      </c>
      <c r="E1423" s="39"/>
      <c r="F1423" s="10"/>
      <c r="G1423" s="10"/>
      <c r="H1423" s="10"/>
      <c r="I1423" s="10"/>
      <c r="J1423" s="10"/>
      <c r="K1423" s="25"/>
      <c r="L1423" s="25"/>
      <c r="M1423" s="25" t="str">
        <f>IFERROR(VLOOKUP($C1423,$C$5:$M$24,11,0)+SUMIF($C$25:$C1423,$C1423,$K$25:$K1423)-SUMIF($C$25:$C1423,$C1423,$L$25:$L1423),"")</f>
        <v/>
      </c>
      <c r="N1423" s="10"/>
      <c r="O1423" s="10"/>
      <c r="P1423" s="65"/>
      <c r="Q1423" s="10"/>
      <c r="R1423" s="10"/>
      <c r="S1423" s="54" t="str">
        <f t="shared" si="72"/>
        <v/>
      </c>
      <c r="T1423" s="54" t="str">
        <f t="shared" si="73"/>
        <v/>
      </c>
      <c r="U1423" s="58" t="str">
        <f t="shared" si="74"/>
        <v/>
      </c>
      <c r="V1423" s="58">
        <f>IF(AND($B1423&lt;&gt;"",$F1423&lt;&gt;"",$F1423=项目明细账!$C$2),N(V1422)+1,N(V1422))</f>
        <v>0</v>
      </c>
      <c r="W1423" s="63" t="str">
        <f>IF($H1423&lt;&gt;"","项目成本",IFERROR(INDEX(基础资料!$W$4:$W$49,MATCH($I1423,基础资料!$V$4:$V$49,0)),""))</f>
        <v/>
      </c>
      <c r="X1423" s="63" t="str">
        <f>IFERROR(INDEX(基础资料!$R$4:$R$17,MATCH($G1423,基础资料!$Q$4:$Q$17,0)),"")</f>
        <v/>
      </c>
    </row>
    <row r="1424" spans="1:24">
      <c r="A1424" s="58" t="str">
        <f>IF($B1424="","",COUNTA($B$5:$B1424))</f>
        <v/>
      </c>
      <c r="B1424" s="53"/>
      <c r="C1424" s="46"/>
      <c r="D1424" s="63" t="str">
        <f>IFERROR(INDEX(基础资料!$F$4:$F$23,MATCH($C1424,基础资料!$E$4:$E$23,0)),IF($C1424="","","未匹配账户"))</f>
        <v/>
      </c>
      <c r="E1424" s="39"/>
      <c r="F1424" s="10"/>
      <c r="G1424" s="10"/>
      <c r="H1424" s="10"/>
      <c r="I1424" s="10"/>
      <c r="J1424" s="10"/>
      <c r="K1424" s="25"/>
      <c r="L1424" s="25"/>
      <c r="M1424" s="25" t="str">
        <f>IFERROR(VLOOKUP($C1424,$C$5:$M$24,11,0)+SUMIF($C$25:$C1424,$C1424,$K$25:$K1424)-SUMIF($C$25:$C1424,$C1424,$L$25:$L1424),"")</f>
        <v/>
      </c>
      <c r="N1424" s="10"/>
      <c r="O1424" s="10"/>
      <c r="P1424" s="65"/>
      <c r="Q1424" s="10"/>
      <c r="R1424" s="10"/>
      <c r="S1424" s="54" t="str">
        <f t="shared" si="72"/>
        <v/>
      </c>
      <c r="T1424" s="54" t="str">
        <f t="shared" si="73"/>
        <v/>
      </c>
      <c r="U1424" s="58" t="str">
        <f t="shared" si="74"/>
        <v/>
      </c>
      <c r="V1424" s="58">
        <f>IF(AND($B1424&lt;&gt;"",$F1424&lt;&gt;"",$F1424=项目明细账!$C$2),N(V1423)+1,N(V1423))</f>
        <v>0</v>
      </c>
      <c r="W1424" s="63" t="str">
        <f>IF($H1424&lt;&gt;"","项目成本",IFERROR(INDEX(基础资料!$W$4:$W$49,MATCH($I1424,基础资料!$V$4:$V$49,0)),""))</f>
        <v/>
      </c>
      <c r="X1424" s="63" t="str">
        <f>IFERROR(INDEX(基础资料!$R$4:$R$17,MATCH($G1424,基础资料!$Q$4:$Q$17,0)),"")</f>
        <v/>
      </c>
    </row>
    <row r="1425" spans="1:24">
      <c r="A1425" s="58" t="str">
        <f>IF($B1425="","",COUNTA($B$5:$B1425))</f>
        <v/>
      </c>
      <c r="B1425" s="53"/>
      <c r="C1425" s="46"/>
      <c r="D1425" s="63" t="str">
        <f>IFERROR(INDEX(基础资料!$F$4:$F$23,MATCH($C1425,基础资料!$E$4:$E$23,0)),IF($C1425="","","未匹配账户"))</f>
        <v/>
      </c>
      <c r="E1425" s="39"/>
      <c r="F1425" s="10"/>
      <c r="G1425" s="10"/>
      <c r="H1425" s="10"/>
      <c r="I1425" s="10"/>
      <c r="J1425" s="10"/>
      <c r="K1425" s="25"/>
      <c r="L1425" s="25"/>
      <c r="M1425" s="25" t="str">
        <f>IFERROR(VLOOKUP($C1425,$C$5:$M$24,11,0)+SUMIF($C$25:$C1425,$C1425,$K$25:$K1425)-SUMIF($C$25:$C1425,$C1425,$L$25:$L1425),"")</f>
        <v/>
      </c>
      <c r="N1425" s="10"/>
      <c r="O1425" s="10"/>
      <c r="P1425" s="65"/>
      <c r="Q1425" s="10"/>
      <c r="R1425" s="10"/>
      <c r="S1425" s="54" t="str">
        <f t="shared" si="72"/>
        <v/>
      </c>
      <c r="T1425" s="54" t="str">
        <f t="shared" si="73"/>
        <v/>
      </c>
      <c r="U1425" s="58" t="str">
        <f t="shared" si="74"/>
        <v/>
      </c>
      <c r="V1425" s="58">
        <f>IF(AND($B1425&lt;&gt;"",$F1425&lt;&gt;"",$F1425=项目明细账!$C$2),N(V1424)+1,N(V1424))</f>
        <v>0</v>
      </c>
      <c r="W1425" s="63" t="str">
        <f>IF($H1425&lt;&gt;"","项目成本",IFERROR(INDEX(基础资料!$W$4:$W$49,MATCH($I1425,基础资料!$V$4:$V$49,0)),""))</f>
        <v/>
      </c>
      <c r="X1425" s="63" t="str">
        <f>IFERROR(INDEX(基础资料!$R$4:$R$17,MATCH($G1425,基础资料!$Q$4:$Q$17,0)),"")</f>
        <v/>
      </c>
    </row>
    <row r="1426" spans="1:24">
      <c r="A1426" s="58" t="str">
        <f>IF($B1426="","",COUNTA($B$5:$B1426))</f>
        <v/>
      </c>
      <c r="B1426" s="53"/>
      <c r="C1426" s="46"/>
      <c r="D1426" s="63" t="str">
        <f>IFERROR(INDEX(基础资料!$F$4:$F$23,MATCH($C1426,基础资料!$E$4:$E$23,0)),IF($C1426="","","未匹配账户"))</f>
        <v/>
      </c>
      <c r="E1426" s="39"/>
      <c r="F1426" s="10"/>
      <c r="G1426" s="10"/>
      <c r="H1426" s="10"/>
      <c r="I1426" s="10"/>
      <c r="J1426" s="10"/>
      <c r="K1426" s="25"/>
      <c r="L1426" s="25"/>
      <c r="M1426" s="25" t="str">
        <f>IFERROR(VLOOKUP($C1426,$C$5:$M$24,11,0)+SUMIF($C$25:$C1426,$C1426,$K$25:$K1426)-SUMIF($C$25:$C1426,$C1426,$L$25:$L1426),"")</f>
        <v/>
      </c>
      <c r="N1426" s="10"/>
      <c r="O1426" s="10"/>
      <c r="P1426" s="65"/>
      <c r="Q1426" s="10"/>
      <c r="R1426" s="10"/>
      <c r="S1426" s="54" t="str">
        <f t="shared" si="72"/>
        <v/>
      </c>
      <c r="T1426" s="54" t="str">
        <f t="shared" si="73"/>
        <v/>
      </c>
      <c r="U1426" s="58" t="str">
        <f t="shared" si="74"/>
        <v/>
      </c>
      <c r="V1426" s="58">
        <f>IF(AND($B1426&lt;&gt;"",$F1426&lt;&gt;"",$F1426=项目明细账!$C$2),N(V1425)+1,N(V1425))</f>
        <v>0</v>
      </c>
      <c r="W1426" s="63" t="str">
        <f>IF($H1426&lt;&gt;"","项目成本",IFERROR(INDEX(基础资料!$W$4:$W$49,MATCH($I1426,基础资料!$V$4:$V$49,0)),""))</f>
        <v/>
      </c>
      <c r="X1426" s="63" t="str">
        <f>IFERROR(INDEX(基础资料!$R$4:$R$17,MATCH($G1426,基础资料!$Q$4:$Q$17,0)),"")</f>
        <v/>
      </c>
    </row>
    <row r="1427" spans="1:24">
      <c r="A1427" s="58" t="str">
        <f>IF($B1427="","",COUNTA($B$5:$B1427))</f>
        <v/>
      </c>
      <c r="B1427" s="53"/>
      <c r="C1427" s="46"/>
      <c r="D1427" s="63" t="str">
        <f>IFERROR(INDEX(基础资料!$F$4:$F$23,MATCH($C1427,基础资料!$E$4:$E$23,0)),IF($C1427="","","未匹配账户"))</f>
        <v/>
      </c>
      <c r="E1427" s="39"/>
      <c r="F1427" s="10"/>
      <c r="G1427" s="10"/>
      <c r="H1427" s="10"/>
      <c r="I1427" s="10"/>
      <c r="J1427" s="10"/>
      <c r="K1427" s="25"/>
      <c r="L1427" s="25"/>
      <c r="M1427" s="25" t="str">
        <f>IFERROR(VLOOKUP($C1427,$C$5:$M$24,11,0)+SUMIF($C$25:$C1427,$C1427,$K$25:$K1427)-SUMIF($C$25:$C1427,$C1427,$L$25:$L1427),"")</f>
        <v/>
      </c>
      <c r="N1427" s="10"/>
      <c r="O1427" s="10"/>
      <c r="P1427" s="65"/>
      <c r="Q1427" s="10"/>
      <c r="R1427" s="10"/>
      <c r="S1427" s="54" t="str">
        <f t="shared" si="72"/>
        <v/>
      </c>
      <c r="T1427" s="54" t="str">
        <f t="shared" si="73"/>
        <v/>
      </c>
      <c r="U1427" s="58" t="str">
        <f t="shared" si="74"/>
        <v/>
      </c>
      <c r="V1427" s="58">
        <f>IF(AND($B1427&lt;&gt;"",$F1427&lt;&gt;"",$F1427=项目明细账!$C$2),N(V1426)+1,N(V1426))</f>
        <v>0</v>
      </c>
      <c r="W1427" s="63" t="str">
        <f>IF($H1427&lt;&gt;"","项目成本",IFERROR(INDEX(基础资料!$W$4:$W$49,MATCH($I1427,基础资料!$V$4:$V$49,0)),""))</f>
        <v/>
      </c>
      <c r="X1427" s="63" t="str">
        <f>IFERROR(INDEX(基础资料!$R$4:$R$17,MATCH($G1427,基础资料!$Q$4:$Q$17,0)),"")</f>
        <v/>
      </c>
    </row>
    <row r="1428" spans="1:24">
      <c r="A1428" s="58" t="str">
        <f>IF($B1428="","",COUNTA($B$5:$B1428))</f>
        <v/>
      </c>
      <c r="B1428" s="53"/>
      <c r="C1428" s="46"/>
      <c r="D1428" s="63" t="str">
        <f>IFERROR(INDEX(基础资料!$F$4:$F$23,MATCH($C1428,基础资料!$E$4:$E$23,0)),IF($C1428="","","未匹配账户"))</f>
        <v/>
      </c>
      <c r="E1428" s="39"/>
      <c r="F1428" s="10"/>
      <c r="G1428" s="10"/>
      <c r="H1428" s="10"/>
      <c r="I1428" s="10"/>
      <c r="J1428" s="10"/>
      <c r="K1428" s="25"/>
      <c r="L1428" s="25"/>
      <c r="M1428" s="25" t="str">
        <f>IFERROR(VLOOKUP($C1428,$C$5:$M$24,11,0)+SUMIF($C$25:$C1428,$C1428,$K$25:$K1428)-SUMIF($C$25:$C1428,$C1428,$L$25:$L1428),"")</f>
        <v/>
      </c>
      <c r="N1428" s="10"/>
      <c r="O1428" s="10"/>
      <c r="P1428" s="65"/>
      <c r="Q1428" s="10"/>
      <c r="R1428" s="10"/>
      <c r="S1428" s="54" t="str">
        <f t="shared" si="72"/>
        <v/>
      </c>
      <c r="T1428" s="54" t="str">
        <f t="shared" si="73"/>
        <v/>
      </c>
      <c r="U1428" s="58" t="str">
        <f t="shared" si="74"/>
        <v/>
      </c>
      <c r="V1428" s="58">
        <f>IF(AND($B1428&lt;&gt;"",$F1428&lt;&gt;"",$F1428=项目明细账!$C$2),N(V1427)+1,N(V1427))</f>
        <v>0</v>
      </c>
      <c r="W1428" s="63" t="str">
        <f>IF($H1428&lt;&gt;"","项目成本",IFERROR(INDEX(基础资料!$W$4:$W$49,MATCH($I1428,基础资料!$V$4:$V$49,0)),""))</f>
        <v/>
      </c>
      <c r="X1428" s="63" t="str">
        <f>IFERROR(INDEX(基础资料!$R$4:$R$17,MATCH($G1428,基础资料!$Q$4:$Q$17,0)),"")</f>
        <v/>
      </c>
    </row>
    <row r="1429" spans="1:24">
      <c r="A1429" s="58" t="str">
        <f>IF($B1429="","",COUNTA($B$5:$B1429))</f>
        <v/>
      </c>
      <c r="B1429" s="53"/>
      <c r="C1429" s="46"/>
      <c r="D1429" s="63" t="str">
        <f>IFERROR(INDEX(基础资料!$F$4:$F$23,MATCH($C1429,基础资料!$E$4:$E$23,0)),IF($C1429="","","未匹配账户"))</f>
        <v/>
      </c>
      <c r="E1429" s="39"/>
      <c r="F1429" s="10"/>
      <c r="G1429" s="10"/>
      <c r="H1429" s="10"/>
      <c r="I1429" s="10"/>
      <c r="J1429" s="10"/>
      <c r="K1429" s="25"/>
      <c r="L1429" s="25"/>
      <c r="M1429" s="25" t="str">
        <f>IFERROR(VLOOKUP($C1429,$C$5:$M$24,11,0)+SUMIF($C$25:$C1429,$C1429,$K$25:$K1429)-SUMIF($C$25:$C1429,$C1429,$L$25:$L1429),"")</f>
        <v/>
      </c>
      <c r="N1429" s="10"/>
      <c r="O1429" s="10"/>
      <c r="P1429" s="65"/>
      <c r="Q1429" s="10"/>
      <c r="R1429" s="10"/>
      <c r="S1429" s="54" t="str">
        <f t="shared" si="72"/>
        <v/>
      </c>
      <c r="T1429" s="54" t="str">
        <f t="shared" si="73"/>
        <v/>
      </c>
      <c r="U1429" s="58" t="str">
        <f t="shared" si="74"/>
        <v/>
      </c>
      <c r="V1429" s="58">
        <f>IF(AND($B1429&lt;&gt;"",$F1429&lt;&gt;"",$F1429=项目明细账!$C$2),N(V1428)+1,N(V1428))</f>
        <v>0</v>
      </c>
      <c r="W1429" s="63" t="str">
        <f>IF($H1429&lt;&gt;"","项目成本",IFERROR(INDEX(基础资料!$W$4:$W$49,MATCH($I1429,基础资料!$V$4:$V$49,0)),""))</f>
        <v/>
      </c>
      <c r="X1429" s="63" t="str">
        <f>IFERROR(INDEX(基础资料!$R$4:$R$17,MATCH($G1429,基础资料!$Q$4:$Q$17,0)),"")</f>
        <v/>
      </c>
    </row>
    <row r="1430" spans="1:24">
      <c r="A1430" s="58" t="str">
        <f>IF($B1430="","",COUNTA($B$5:$B1430))</f>
        <v/>
      </c>
      <c r="B1430" s="53"/>
      <c r="C1430" s="46"/>
      <c r="D1430" s="63" t="str">
        <f>IFERROR(INDEX(基础资料!$F$4:$F$23,MATCH($C1430,基础资料!$E$4:$E$23,0)),IF($C1430="","","未匹配账户"))</f>
        <v/>
      </c>
      <c r="E1430" s="39"/>
      <c r="F1430" s="10"/>
      <c r="G1430" s="10"/>
      <c r="H1430" s="10"/>
      <c r="I1430" s="10"/>
      <c r="J1430" s="10"/>
      <c r="K1430" s="25"/>
      <c r="L1430" s="25"/>
      <c r="M1430" s="25" t="str">
        <f>IFERROR(VLOOKUP($C1430,$C$5:$M$24,11,0)+SUMIF($C$25:$C1430,$C1430,$K$25:$K1430)-SUMIF($C$25:$C1430,$C1430,$L$25:$L1430),"")</f>
        <v/>
      </c>
      <c r="N1430" s="10"/>
      <c r="O1430" s="10"/>
      <c r="P1430" s="65"/>
      <c r="Q1430" s="10"/>
      <c r="R1430" s="10"/>
      <c r="S1430" s="54" t="str">
        <f t="shared" si="72"/>
        <v/>
      </c>
      <c r="T1430" s="54" t="str">
        <f t="shared" si="73"/>
        <v/>
      </c>
      <c r="U1430" s="58" t="str">
        <f t="shared" si="74"/>
        <v/>
      </c>
      <c r="V1430" s="58">
        <f>IF(AND($B1430&lt;&gt;"",$F1430&lt;&gt;"",$F1430=项目明细账!$C$2),N(V1429)+1,N(V1429))</f>
        <v>0</v>
      </c>
      <c r="W1430" s="63" t="str">
        <f>IF($H1430&lt;&gt;"","项目成本",IFERROR(INDEX(基础资料!$W$4:$W$49,MATCH($I1430,基础资料!$V$4:$V$49,0)),""))</f>
        <v/>
      </c>
      <c r="X1430" s="63" t="str">
        <f>IFERROR(INDEX(基础资料!$R$4:$R$17,MATCH($G1430,基础资料!$Q$4:$Q$17,0)),"")</f>
        <v/>
      </c>
    </row>
    <row r="1431" spans="1:24">
      <c r="A1431" s="58" t="str">
        <f>IF($B1431="","",COUNTA($B$5:$B1431))</f>
        <v/>
      </c>
      <c r="B1431" s="53"/>
      <c r="C1431" s="46"/>
      <c r="D1431" s="63" t="str">
        <f>IFERROR(INDEX(基础资料!$F$4:$F$23,MATCH($C1431,基础资料!$E$4:$E$23,0)),IF($C1431="","","未匹配账户"))</f>
        <v/>
      </c>
      <c r="E1431" s="39"/>
      <c r="F1431" s="10"/>
      <c r="G1431" s="10"/>
      <c r="H1431" s="10"/>
      <c r="I1431" s="10"/>
      <c r="J1431" s="10"/>
      <c r="K1431" s="25"/>
      <c r="L1431" s="25"/>
      <c r="M1431" s="25" t="str">
        <f>IFERROR(VLOOKUP($C1431,$C$5:$M$24,11,0)+SUMIF($C$25:$C1431,$C1431,$K$25:$K1431)-SUMIF($C$25:$C1431,$C1431,$L$25:$L1431),"")</f>
        <v/>
      </c>
      <c r="N1431" s="10"/>
      <c r="O1431" s="10"/>
      <c r="P1431" s="65"/>
      <c r="Q1431" s="10"/>
      <c r="R1431" s="10"/>
      <c r="S1431" s="54" t="str">
        <f t="shared" si="72"/>
        <v/>
      </c>
      <c r="T1431" s="54" t="str">
        <f t="shared" si="73"/>
        <v/>
      </c>
      <c r="U1431" s="58" t="str">
        <f t="shared" si="74"/>
        <v/>
      </c>
      <c r="V1431" s="58">
        <f>IF(AND($B1431&lt;&gt;"",$F1431&lt;&gt;"",$F1431=项目明细账!$C$2),N(V1430)+1,N(V1430))</f>
        <v>0</v>
      </c>
      <c r="W1431" s="63" t="str">
        <f>IF($H1431&lt;&gt;"","项目成本",IFERROR(INDEX(基础资料!$W$4:$W$49,MATCH($I1431,基础资料!$V$4:$V$49,0)),""))</f>
        <v/>
      </c>
      <c r="X1431" s="63" t="str">
        <f>IFERROR(INDEX(基础资料!$R$4:$R$17,MATCH($G1431,基础资料!$Q$4:$Q$17,0)),"")</f>
        <v/>
      </c>
    </row>
    <row r="1432" spans="1:24">
      <c r="A1432" s="58" t="str">
        <f>IF($B1432="","",COUNTA($B$5:$B1432))</f>
        <v/>
      </c>
      <c r="B1432" s="53"/>
      <c r="C1432" s="46"/>
      <c r="D1432" s="63" t="str">
        <f>IFERROR(INDEX(基础资料!$F$4:$F$23,MATCH($C1432,基础资料!$E$4:$E$23,0)),IF($C1432="","","未匹配账户"))</f>
        <v/>
      </c>
      <c r="E1432" s="39"/>
      <c r="F1432" s="10"/>
      <c r="G1432" s="10"/>
      <c r="H1432" s="10"/>
      <c r="I1432" s="10"/>
      <c r="J1432" s="10"/>
      <c r="K1432" s="25"/>
      <c r="L1432" s="25"/>
      <c r="M1432" s="25" t="str">
        <f>IFERROR(VLOOKUP($C1432,$C$5:$M$24,11,0)+SUMIF($C$25:$C1432,$C1432,$K$25:$K1432)-SUMIF($C$25:$C1432,$C1432,$L$25:$L1432),"")</f>
        <v/>
      </c>
      <c r="N1432" s="10"/>
      <c r="O1432" s="10"/>
      <c r="P1432" s="65"/>
      <c r="Q1432" s="10"/>
      <c r="R1432" s="10"/>
      <c r="S1432" s="54" t="str">
        <f t="shared" si="72"/>
        <v/>
      </c>
      <c r="T1432" s="54" t="str">
        <f t="shared" si="73"/>
        <v/>
      </c>
      <c r="U1432" s="58" t="str">
        <f t="shared" si="74"/>
        <v/>
      </c>
      <c r="V1432" s="58">
        <f>IF(AND($B1432&lt;&gt;"",$F1432&lt;&gt;"",$F1432=项目明细账!$C$2),N(V1431)+1,N(V1431))</f>
        <v>0</v>
      </c>
      <c r="W1432" s="63" t="str">
        <f>IF($H1432&lt;&gt;"","项目成本",IFERROR(INDEX(基础资料!$W$4:$W$49,MATCH($I1432,基础资料!$V$4:$V$49,0)),""))</f>
        <v/>
      </c>
      <c r="X1432" s="63" t="str">
        <f>IFERROR(INDEX(基础资料!$R$4:$R$17,MATCH($G1432,基础资料!$Q$4:$Q$17,0)),"")</f>
        <v/>
      </c>
    </row>
    <row r="1433" spans="1:24">
      <c r="A1433" s="58" t="str">
        <f>IF($B1433="","",COUNTA($B$5:$B1433))</f>
        <v/>
      </c>
      <c r="B1433" s="53"/>
      <c r="C1433" s="46"/>
      <c r="D1433" s="63" t="str">
        <f>IFERROR(INDEX(基础资料!$F$4:$F$23,MATCH($C1433,基础资料!$E$4:$E$23,0)),IF($C1433="","","未匹配账户"))</f>
        <v/>
      </c>
      <c r="E1433" s="39"/>
      <c r="F1433" s="10"/>
      <c r="G1433" s="10"/>
      <c r="H1433" s="10"/>
      <c r="I1433" s="10"/>
      <c r="J1433" s="10"/>
      <c r="K1433" s="25"/>
      <c r="L1433" s="25"/>
      <c r="M1433" s="25" t="str">
        <f>IFERROR(VLOOKUP($C1433,$C$5:$M$24,11,0)+SUMIF($C$25:$C1433,$C1433,$K$25:$K1433)-SUMIF($C$25:$C1433,$C1433,$L$25:$L1433),"")</f>
        <v/>
      </c>
      <c r="N1433" s="10"/>
      <c r="O1433" s="10"/>
      <c r="P1433" s="65"/>
      <c r="Q1433" s="10"/>
      <c r="R1433" s="10"/>
      <c r="S1433" s="54" t="str">
        <f t="shared" si="72"/>
        <v/>
      </c>
      <c r="T1433" s="54" t="str">
        <f t="shared" si="73"/>
        <v/>
      </c>
      <c r="U1433" s="58" t="str">
        <f t="shared" si="74"/>
        <v/>
      </c>
      <c r="V1433" s="58">
        <f>IF(AND($B1433&lt;&gt;"",$F1433&lt;&gt;"",$F1433=项目明细账!$C$2),N(V1432)+1,N(V1432))</f>
        <v>0</v>
      </c>
      <c r="W1433" s="63" t="str">
        <f>IF($H1433&lt;&gt;"","项目成本",IFERROR(INDEX(基础资料!$W$4:$W$49,MATCH($I1433,基础资料!$V$4:$V$49,0)),""))</f>
        <v/>
      </c>
      <c r="X1433" s="63" t="str">
        <f>IFERROR(INDEX(基础资料!$R$4:$R$17,MATCH($G1433,基础资料!$Q$4:$Q$17,0)),"")</f>
        <v/>
      </c>
    </row>
    <row r="1434" spans="1:24">
      <c r="A1434" s="58" t="str">
        <f>IF($B1434="","",COUNTA($B$5:$B1434))</f>
        <v/>
      </c>
      <c r="B1434" s="53"/>
      <c r="C1434" s="46"/>
      <c r="D1434" s="63" t="str">
        <f>IFERROR(INDEX(基础资料!$F$4:$F$23,MATCH($C1434,基础资料!$E$4:$E$23,0)),IF($C1434="","","未匹配账户"))</f>
        <v/>
      </c>
      <c r="E1434" s="39"/>
      <c r="F1434" s="10"/>
      <c r="G1434" s="10"/>
      <c r="H1434" s="10"/>
      <c r="I1434" s="10"/>
      <c r="J1434" s="10"/>
      <c r="K1434" s="25"/>
      <c r="L1434" s="25"/>
      <c r="M1434" s="25" t="str">
        <f>IFERROR(VLOOKUP($C1434,$C$5:$M$24,11,0)+SUMIF($C$25:$C1434,$C1434,$K$25:$K1434)-SUMIF($C$25:$C1434,$C1434,$L$25:$L1434),"")</f>
        <v/>
      </c>
      <c r="N1434" s="10"/>
      <c r="O1434" s="10"/>
      <c r="P1434" s="65"/>
      <c r="Q1434" s="10"/>
      <c r="R1434" s="10"/>
      <c r="S1434" s="54" t="str">
        <f t="shared" si="72"/>
        <v/>
      </c>
      <c r="T1434" s="54" t="str">
        <f t="shared" si="73"/>
        <v/>
      </c>
      <c r="U1434" s="58" t="str">
        <f t="shared" si="74"/>
        <v/>
      </c>
      <c r="V1434" s="58">
        <f>IF(AND($B1434&lt;&gt;"",$F1434&lt;&gt;"",$F1434=项目明细账!$C$2),N(V1433)+1,N(V1433))</f>
        <v>0</v>
      </c>
      <c r="W1434" s="63" t="str">
        <f>IF($H1434&lt;&gt;"","项目成本",IFERROR(INDEX(基础资料!$W$4:$W$49,MATCH($I1434,基础资料!$V$4:$V$49,0)),""))</f>
        <v/>
      </c>
      <c r="X1434" s="63" t="str">
        <f>IFERROR(INDEX(基础资料!$R$4:$R$17,MATCH($G1434,基础资料!$Q$4:$Q$17,0)),"")</f>
        <v/>
      </c>
    </row>
    <row r="1435" spans="1:24">
      <c r="A1435" s="58" t="str">
        <f>IF($B1435="","",COUNTA($B$5:$B1435))</f>
        <v/>
      </c>
      <c r="B1435" s="53"/>
      <c r="C1435" s="46"/>
      <c r="D1435" s="63" t="str">
        <f>IFERROR(INDEX(基础资料!$F$4:$F$23,MATCH($C1435,基础资料!$E$4:$E$23,0)),IF($C1435="","","未匹配账户"))</f>
        <v/>
      </c>
      <c r="E1435" s="39"/>
      <c r="F1435" s="10"/>
      <c r="G1435" s="10"/>
      <c r="H1435" s="10"/>
      <c r="I1435" s="10"/>
      <c r="J1435" s="10"/>
      <c r="K1435" s="25"/>
      <c r="L1435" s="25"/>
      <c r="M1435" s="25" t="str">
        <f>IFERROR(VLOOKUP($C1435,$C$5:$M$24,11,0)+SUMIF($C$25:$C1435,$C1435,$K$25:$K1435)-SUMIF($C$25:$C1435,$C1435,$L$25:$L1435),"")</f>
        <v/>
      </c>
      <c r="N1435" s="10"/>
      <c r="O1435" s="10"/>
      <c r="P1435" s="65"/>
      <c r="Q1435" s="10"/>
      <c r="R1435" s="10"/>
      <c r="S1435" s="54" t="str">
        <f t="shared" si="72"/>
        <v/>
      </c>
      <c r="T1435" s="54" t="str">
        <f t="shared" si="73"/>
        <v/>
      </c>
      <c r="U1435" s="58" t="str">
        <f t="shared" si="74"/>
        <v/>
      </c>
      <c r="V1435" s="58">
        <f>IF(AND($B1435&lt;&gt;"",$F1435&lt;&gt;"",$F1435=项目明细账!$C$2),N(V1434)+1,N(V1434))</f>
        <v>0</v>
      </c>
      <c r="W1435" s="63" t="str">
        <f>IF($H1435&lt;&gt;"","项目成本",IFERROR(INDEX(基础资料!$W$4:$W$49,MATCH($I1435,基础资料!$V$4:$V$49,0)),""))</f>
        <v/>
      </c>
      <c r="X1435" s="63" t="str">
        <f>IFERROR(INDEX(基础资料!$R$4:$R$17,MATCH($G1435,基础资料!$Q$4:$Q$17,0)),"")</f>
        <v/>
      </c>
    </row>
    <row r="1436" spans="1:24">
      <c r="A1436" s="58" t="str">
        <f>IF($B1436="","",COUNTA($B$5:$B1436))</f>
        <v/>
      </c>
      <c r="B1436" s="53"/>
      <c r="C1436" s="46"/>
      <c r="D1436" s="63" t="str">
        <f>IFERROR(INDEX(基础资料!$F$4:$F$23,MATCH($C1436,基础资料!$E$4:$E$23,0)),IF($C1436="","","未匹配账户"))</f>
        <v/>
      </c>
      <c r="E1436" s="39"/>
      <c r="F1436" s="10"/>
      <c r="G1436" s="10"/>
      <c r="H1436" s="10"/>
      <c r="I1436" s="10"/>
      <c r="J1436" s="10"/>
      <c r="K1436" s="25"/>
      <c r="L1436" s="25"/>
      <c r="M1436" s="25" t="str">
        <f>IFERROR(VLOOKUP($C1436,$C$5:$M$24,11,0)+SUMIF($C$25:$C1436,$C1436,$K$25:$K1436)-SUMIF($C$25:$C1436,$C1436,$L$25:$L1436),"")</f>
        <v/>
      </c>
      <c r="N1436" s="10"/>
      <c r="O1436" s="10"/>
      <c r="P1436" s="65"/>
      <c r="Q1436" s="10"/>
      <c r="R1436" s="10"/>
      <c r="S1436" s="54" t="str">
        <f t="shared" si="72"/>
        <v/>
      </c>
      <c r="T1436" s="54" t="str">
        <f t="shared" si="73"/>
        <v/>
      </c>
      <c r="U1436" s="58" t="str">
        <f t="shared" si="74"/>
        <v/>
      </c>
      <c r="V1436" s="58">
        <f>IF(AND($B1436&lt;&gt;"",$F1436&lt;&gt;"",$F1436=项目明细账!$C$2),N(V1435)+1,N(V1435))</f>
        <v>0</v>
      </c>
      <c r="W1436" s="63" t="str">
        <f>IF($H1436&lt;&gt;"","项目成本",IFERROR(INDEX(基础资料!$W$4:$W$49,MATCH($I1436,基础资料!$V$4:$V$49,0)),""))</f>
        <v/>
      </c>
      <c r="X1436" s="63" t="str">
        <f>IFERROR(INDEX(基础资料!$R$4:$R$17,MATCH($G1436,基础资料!$Q$4:$Q$17,0)),"")</f>
        <v/>
      </c>
    </row>
    <row r="1437" spans="1:24">
      <c r="A1437" s="58" t="str">
        <f>IF($B1437="","",COUNTA($B$5:$B1437))</f>
        <v/>
      </c>
      <c r="B1437" s="53"/>
      <c r="C1437" s="46"/>
      <c r="D1437" s="63" t="str">
        <f>IFERROR(INDEX(基础资料!$F$4:$F$23,MATCH($C1437,基础资料!$E$4:$E$23,0)),IF($C1437="","","未匹配账户"))</f>
        <v/>
      </c>
      <c r="E1437" s="39"/>
      <c r="F1437" s="10"/>
      <c r="G1437" s="10"/>
      <c r="H1437" s="10"/>
      <c r="I1437" s="10"/>
      <c r="J1437" s="10"/>
      <c r="K1437" s="25"/>
      <c r="L1437" s="25"/>
      <c r="M1437" s="25" t="str">
        <f>IFERROR(VLOOKUP($C1437,$C$5:$M$24,11,0)+SUMIF($C$25:$C1437,$C1437,$K$25:$K1437)-SUMIF($C$25:$C1437,$C1437,$L$25:$L1437),"")</f>
        <v/>
      </c>
      <c r="N1437" s="10"/>
      <c r="O1437" s="10"/>
      <c r="P1437" s="65"/>
      <c r="Q1437" s="10"/>
      <c r="R1437" s="10"/>
      <c r="S1437" s="54" t="str">
        <f t="shared" si="72"/>
        <v/>
      </c>
      <c r="T1437" s="54" t="str">
        <f t="shared" si="73"/>
        <v/>
      </c>
      <c r="U1437" s="58" t="str">
        <f t="shared" si="74"/>
        <v/>
      </c>
      <c r="V1437" s="58">
        <f>IF(AND($B1437&lt;&gt;"",$F1437&lt;&gt;"",$F1437=项目明细账!$C$2),N(V1436)+1,N(V1436))</f>
        <v>0</v>
      </c>
      <c r="W1437" s="63" t="str">
        <f>IF($H1437&lt;&gt;"","项目成本",IFERROR(INDEX(基础资料!$W$4:$W$49,MATCH($I1437,基础资料!$V$4:$V$49,0)),""))</f>
        <v/>
      </c>
      <c r="X1437" s="63" t="str">
        <f>IFERROR(INDEX(基础资料!$R$4:$R$17,MATCH($G1437,基础资料!$Q$4:$Q$17,0)),"")</f>
        <v/>
      </c>
    </row>
    <row r="1438" spans="1:24">
      <c r="A1438" s="58" t="str">
        <f>IF($B1438="","",COUNTA($B$5:$B1438))</f>
        <v/>
      </c>
      <c r="B1438" s="53"/>
      <c r="C1438" s="46"/>
      <c r="D1438" s="63" t="str">
        <f>IFERROR(INDEX(基础资料!$F$4:$F$23,MATCH($C1438,基础资料!$E$4:$E$23,0)),IF($C1438="","","未匹配账户"))</f>
        <v/>
      </c>
      <c r="E1438" s="39"/>
      <c r="F1438" s="10"/>
      <c r="G1438" s="10"/>
      <c r="H1438" s="10"/>
      <c r="I1438" s="10"/>
      <c r="J1438" s="10"/>
      <c r="K1438" s="25"/>
      <c r="L1438" s="25"/>
      <c r="M1438" s="25" t="str">
        <f>IFERROR(VLOOKUP($C1438,$C$5:$M$24,11,0)+SUMIF($C$25:$C1438,$C1438,$K$25:$K1438)-SUMIF($C$25:$C1438,$C1438,$L$25:$L1438),"")</f>
        <v/>
      </c>
      <c r="N1438" s="10"/>
      <c r="O1438" s="10"/>
      <c r="P1438" s="65"/>
      <c r="Q1438" s="10"/>
      <c r="R1438" s="10"/>
      <c r="S1438" s="54" t="str">
        <f t="shared" si="72"/>
        <v/>
      </c>
      <c r="T1438" s="54" t="str">
        <f t="shared" si="73"/>
        <v/>
      </c>
      <c r="U1438" s="58" t="str">
        <f t="shared" si="74"/>
        <v/>
      </c>
      <c r="V1438" s="58">
        <f>IF(AND($B1438&lt;&gt;"",$F1438&lt;&gt;"",$F1438=项目明细账!$C$2),N(V1437)+1,N(V1437))</f>
        <v>0</v>
      </c>
      <c r="W1438" s="63" t="str">
        <f>IF($H1438&lt;&gt;"","项目成本",IFERROR(INDEX(基础资料!$W$4:$W$49,MATCH($I1438,基础资料!$V$4:$V$49,0)),""))</f>
        <v/>
      </c>
      <c r="X1438" s="63" t="str">
        <f>IFERROR(INDEX(基础资料!$R$4:$R$17,MATCH($G1438,基础资料!$Q$4:$Q$17,0)),"")</f>
        <v/>
      </c>
    </row>
    <row r="1439" spans="1:24">
      <c r="A1439" s="58" t="str">
        <f>IF($B1439="","",COUNTA($B$5:$B1439))</f>
        <v/>
      </c>
      <c r="B1439" s="53"/>
      <c r="C1439" s="46"/>
      <c r="D1439" s="63" t="str">
        <f>IFERROR(INDEX(基础资料!$F$4:$F$23,MATCH($C1439,基础资料!$E$4:$E$23,0)),IF($C1439="","","未匹配账户"))</f>
        <v/>
      </c>
      <c r="E1439" s="39"/>
      <c r="F1439" s="10"/>
      <c r="G1439" s="10"/>
      <c r="H1439" s="10"/>
      <c r="I1439" s="10"/>
      <c r="J1439" s="10"/>
      <c r="K1439" s="25"/>
      <c r="L1439" s="25"/>
      <c r="M1439" s="25" t="str">
        <f>IFERROR(VLOOKUP($C1439,$C$5:$M$24,11,0)+SUMIF($C$25:$C1439,$C1439,$K$25:$K1439)-SUMIF($C$25:$C1439,$C1439,$L$25:$L1439),"")</f>
        <v/>
      </c>
      <c r="N1439" s="10"/>
      <c r="O1439" s="10"/>
      <c r="P1439" s="65"/>
      <c r="Q1439" s="10"/>
      <c r="R1439" s="10"/>
      <c r="S1439" s="54" t="str">
        <f t="shared" si="72"/>
        <v/>
      </c>
      <c r="T1439" s="54" t="str">
        <f t="shared" si="73"/>
        <v/>
      </c>
      <c r="U1439" s="58" t="str">
        <f t="shared" si="74"/>
        <v/>
      </c>
      <c r="V1439" s="58">
        <f>IF(AND($B1439&lt;&gt;"",$F1439&lt;&gt;"",$F1439=项目明细账!$C$2),N(V1438)+1,N(V1438))</f>
        <v>0</v>
      </c>
      <c r="W1439" s="63" t="str">
        <f>IF($H1439&lt;&gt;"","项目成本",IFERROR(INDEX(基础资料!$W$4:$W$49,MATCH($I1439,基础资料!$V$4:$V$49,0)),""))</f>
        <v/>
      </c>
      <c r="X1439" s="63" t="str">
        <f>IFERROR(INDEX(基础资料!$R$4:$R$17,MATCH($G1439,基础资料!$Q$4:$Q$17,0)),"")</f>
        <v/>
      </c>
    </row>
    <row r="1440" spans="1:24">
      <c r="A1440" s="58" t="str">
        <f>IF($B1440="","",COUNTA($B$5:$B1440))</f>
        <v/>
      </c>
      <c r="B1440" s="53"/>
      <c r="C1440" s="46"/>
      <c r="D1440" s="63" t="str">
        <f>IFERROR(INDEX(基础资料!$F$4:$F$23,MATCH($C1440,基础资料!$E$4:$E$23,0)),IF($C1440="","","未匹配账户"))</f>
        <v/>
      </c>
      <c r="E1440" s="39"/>
      <c r="F1440" s="10"/>
      <c r="G1440" s="10"/>
      <c r="H1440" s="10"/>
      <c r="I1440" s="10"/>
      <c r="J1440" s="10"/>
      <c r="K1440" s="25"/>
      <c r="L1440" s="25"/>
      <c r="M1440" s="25" t="str">
        <f>IFERROR(VLOOKUP($C1440,$C$5:$M$24,11,0)+SUMIF($C$25:$C1440,$C1440,$K$25:$K1440)-SUMIF($C$25:$C1440,$C1440,$L$25:$L1440),"")</f>
        <v/>
      </c>
      <c r="N1440" s="10"/>
      <c r="O1440" s="10"/>
      <c r="P1440" s="65"/>
      <c r="Q1440" s="10"/>
      <c r="R1440" s="10"/>
      <c r="S1440" s="54" t="str">
        <f t="shared" si="72"/>
        <v/>
      </c>
      <c r="T1440" s="54" t="str">
        <f t="shared" si="73"/>
        <v/>
      </c>
      <c r="U1440" s="58" t="str">
        <f t="shared" si="74"/>
        <v/>
      </c>
      <c r="V1440" s="58">
        <f>IF(AND($B1440&lt;&gt;"",$F1440&lt;&gt;"",$F1440=项目明细账!$C$2),N(V1439)+1,N(V1439))</f>
        <v>0</v>
      </c>
      <c r="W1440" s="63" t="str">
        <f>IF($H1440&lt;&gt;"","项目成本",IFERROR(INDEX(基础资料!$W$4:$W$49,MATCH($I1440,基础资料!$V$4:$V$49,0)),""))</f>
        <v/>
      </c>
      <c r="X1440" s="63" t="str">
        <f>IFERROR(INDEX(基础资料!$R$4:$R$17,MATCH($G1440,基础资料!$Q$4:$Q$17,0)),"")</f>
        <v/>
      </c>
    </row>
    <row r="1441" spans="1:24">
      <c r="A1441" s="58" t="str">
        <f>IF($B1441="","",COUNTA($B$5:$B1441))</f>
        <v/>
      </c>
      <c r="B1441" s="53"/>
      <c r="C1441" s="46"/>
      <c r="D1441" s="63" t="str">
        <f>IFERROR(INDEX(基础资料!$F$4:$F$23,MATCH($C1441,基础资料!$E$4:$E$23,0)),IF($C1441="","","未匹配账户"))</f>
        <v/>
      </c>
      <c r="E1441" s="39"/>
      <c r="F1441" s="10"/>
      <c r="G1441" s="10"/>
      <c r="H1441" s="10"/>
      <c r="I1441" s="10"/>
      <c r="J1441" s="10"/>
      <c r="K1441" s="25"/>
      <c r="L1441" s="25"/>
      <c r="M1441" s="25" t="str">
        <f>IFERROR(VLOOKUP($C1441,$C$5:$M$24,11,0)+SUMIF($C$25:$C1441,$C1441,$K$25:$K1441)-SUMIF($C$25:$C1441,$C1441,$L$25:$L1441),"")</f>
        <v/>
      </c>
      <c r="N1441" s="10"/>
      <c r="O1441" s="10"/>
      <c r="P1441" s="65"/>
      <c r="Q1441" s="10"/>
      <c r="R1441" s="10"/>
      <c r="S1441" s="54" t="str">
        <f t="shared" si="72"/>
        <v/>
      </c>
      <c r="T1441" s="54" t="str">
        <f t="shared" si="73"/>
        <v/>
      </c>
      <c r="U1441" s="58" t="str">
        <f t="shared" si="74"/>
        <v/>
      </c>
      <c r="V1441" s="58">
        <f>IF(AND($B1441&lt;&gt;"",$F1441&lt;&gt;"",$F1441=项目明细账!$C$2),N(V1440)+1,N(V1440))</f>
        <v>0</v>
      </c>
      <c r="W1441" s="63" t="str">
        <f>IF($H1441&lt;&gt;"","项目成本",IFERROR(INDEX(基础资料!$W$4:$W$49,MATCH($I1441,基础资料!$V$4:$V$49,0)),""))</f>
        <v/>
      </c>
      <c r="X1441" s="63" t="str">
        <f>IFERROR(INDEX(基础资料!$R$4:$R$17,MATCH($G1441,基础资料!$Q$4:$Q$17,0)),"")</f>
        <v/>
      </c>
    </row>
    <row r="1442" spans="1:24">
      <c r="A1442" s="58" t="str">
        <f>IF($B1442="","",COUNTA($B$5:$B1442))</f>
        <v/>
      </c>
      <c r="B1442" s="53"/>
      <c r="C1442" s="46"/>
      <c r="D1442" s="63" t="str">
        <f>IFERROR(INDEX(基础资料!$F$4:$F$23,MATCH($C1442,基础资料!$E$4:$E$23,0)),IF($C1442="","","未匹配账户"))</f>
        <v/>
      </c>
      <c r="E1442" s="39"/>
      <c r="F1442" s="10"/>
      <c r="G1442" s="10"/>
      <c r="H1442" s="10"/>
      <c r="I1442" s="10"/>
      <c r="J1442" s="10"/>
      <c r="K1442" s="25"/>
      <c r="L1442" s="25"/>
      <c r="M1442" s="25" t="str">
        <f>IFERROR(VLOOKUP($C1442,$C$5:$M$24,11,0)+SUMIF($C$25:$C1442,$C1442,$K$25:$K1442)-SUMIF($C$25:$C1442,$C1442,$L$25:$L1442),"")</f>
        <v/>
      </c>
      <c r="N1442" s="10"/>
      <c r="O1442" s="10"/>
      <c r="P1442" s="65"/>
      <c r="Q1442" s="10"/>
      <c r="R1442" s="10"/>
      <c r="S1442" s="54" t="str">
        <f t="shared" si="72"/>
        <v/>
      </c>
      <c r="T1442" s="54" t="str">
        <f t="shared" si="73"/>
        <v/>
      </c>
      <c r="U1442" s="58" t="str">
        <f t="shared" si="74"/>
        <v/>
      </c>
      <c r="V1442" s="58">
        <f>IF(AND($B1442&lt;&gt;"",$F1442&lt;&gt;"",$F1442=项目明细账!$C$2),N(V1441)+1,N(V1441))</f>
        <v>0</v>
      </c>
      <c r="W1442" s="63" t="str">
        <f>IF($H1442&lt;&gt;"","项目成本",IFERROR(INDEX(基础资料!$W$4:$W$49,MATCH($I1442,基础资料!$V$4:$V$49,0)),""))</f>
        <v/>
      </c>
      <c r="X1442" s="63" t="str">
        <f>IFERROR(INDEX(基础资料!$R$4:$R$17,MATCH($G1442,基础资料!$Q$4:$Q$17,0)),"")</f>
        <v/>
      </c>
    </row>
    <row r="1443" spans="1:24">
      <c r="A1443" s="58" t="str">
        <f>IF($B1443="","",COUNTA($B$5:$B1443))</f>
        <v/>
      </c>
      <c r="B1443" s="53"/>
      <c r="C1443" s="46"/>
      <c r="D1443" s="63" t="str">
        <f>IFERROR(INDEX(基础资料!$F$4:$F$23,MATCH($C1443,基础资料!$E$4:$E$23,0)),IF($C1443="","","未匹配账户"))</f>
        <v/>
      </c>
      <c r="E1443" s="39"/>
      <c r="F1443" s="10"/>
      <c r="G1443" s="10"/>
      <c r="H1443" s="10"/>
      <c r="I1443" s="10"/>
      <c r="J1443" s="10"/>
      <c r="K1443" s="25"/>
      <c r="L1443" s="25"/>
      <c r="M1443" s="25" t="str">
        <f>IFERROR(VLOOKUP($C1443,$C$5:$M$24,11,0)+SUMIF($C$25:$C1443,$C1443,$K$25:$K1443)-SUMIF($C$25:$C1443,$C1443,$L$25:$L1443),"")</f>
        <v/>
      </c>
      <c r="N1443" s="10"/>
      <c r="O1443" s="10"/>
      <c r="P1443" s="65"/>
      <c r="Q1443" s="10"/>
      <c r="R1443" s="10"/>
      <c r="S1443" s="54" t="str">
        <f t="shared" si="72"/>
        <v/>
      </c>
      <c r="T1443" s="54" t="str">
        <f t="shared" si="73"/>
        <v/>
      </c>
      <c r="U1443" s="58" t="str">
        <f t="shared" si="74"/>
        <v/>
      </c>
      <c r="V1443" s="58">
        <f>IF(AND($B1443&lt;&gt;"",$F1443&lt;&gt;"",$F1443=项目明细账!$C$2),N(V1442)+1,N(V1442))</f>
        <v>0</v>
      </c>
      <c r="W1443" s="63" t="str">
        <f>IF($H1443&lt;&gt;"","项目成本",IFERROR(INDEX(基础资料!$W$4:$W$49,MATCH($I1443,基础资料!$V$4:$V$49,0)),""))</f>
        <v/>
      </c>
      <c r="X1443" s="63" t="str">
        <f>IFERROR(INDEX(基础资料!$R$4:$R$17,MATCH($G1443,基础资料!$Q$4:$Q$17,0)),"")</f>
        <v/>
      </c>
    </row>
    <row r="1444" spans="1:24">
      <c r="A1444" s="58" t="str">
        <f>IF($B1444="","",COUNTA($B$5:$B1444))</f>
        <v/>
      </c>
      <c r="B1444" s="53"/>
      <c r="C1444" s="46"/>
      <c r="D1444" s="63" t="str">
        <f>IFERROR(INDEX(基础资料!$F$4:$F$23,MATCH($C1444,基础资料!$E$4:$E$23,0)),IF($C1444="","","未匹配账户"))</f>
        <v/>
      </c>
      <c r="E1444" s="39"/>
      <c r="F1444" s="10"/>
      <c r="G1444" s="10"/>
      <c r="H1444" s="10"/>
      <c r="I1444" s="10"/>
      <c r="J1444" s="10"/>
      <c r="K1444" s="25"/>
      <c r="L1444" s="25"/>
      <c r="M1444" s="25" t="str">
        <f>IFERROR(VLOOKUP($C1444,$C$5:$M$24,11,0)+SUMIF($C$25:$C1444,$C1444,$K$25:$K1444)-SUMIF($C$25:$C1444,$C1444,$L$25:$L1444),"")</f>
        <v/>
      </c>
      <c r="N1444" s="10"/>
      <c r="O1444" s="10"/>
      <c r="P1444" s="65"/>
      <c r="Q1444" s="10"/>
      <c r="R1444" s="10"/>
      <c r="S1444" s="54" t="str">
        <f t="shared" si="72"/>
        <v/>
      </c>
      <c r="T1444" s="54" t="str">
        <f t="shared" si="73"/>
        <v/>
      </c>
      <c r="U1444" s="58" t="str">
        <f t="shared" si="74"/>
        <v/>
      </c>
      <c r="V1444" s="58">
        <f>IF(AND($B1444&lt;&gt;"",$F1444&lt;&gt;"",$F1444=项目明细账!$C$2),N(V1443)+1,N(V1443))</f>
        <v>0</v>
      </c>
      <c r="W1444" s="63" t="str">
        <f>IF($H1444&lt;&gt;"","项目成本",IFERROR(INDEX(基础资料!$W$4:$W$49,MATCH($I1444,基础资料!$V$4:$V$49,0)),""))</f>
        <v/>
      </c>
      <c r="X1444" s="63" t="str">
        <f>IFERROR(INDEX(基础资料!$R$4:$R$17,MATCH($G1444,基础资料!$Q$4:$Q$17,0)),"")</f>
        <v/>
      </c>
    </row>
    <row r="1445" spans="1:24">
      <c r="A1445" s="58" t="str">
        <f>IF($B1445="","",COUNTA($B$5:$B1445))</f>
        <v/>
      </c>
      <c r="B1445" s="53"/>
      <c r="C1445" s="46"/>
      <c r="D1445" s="63" t="str">
        <f>IFERROR(INDEX(基础资料!$F$4:$F$23,MATCH($C1445,基础资料!$E$4:$E$23,0)),IF($C1445="","","未匹配账户"))</f>
        <v/>
      </c>
      <c r="E1445" s="39"/>
      <c r="F1445" s="10"/>
      <c r="G1445" s="10"/>
      <c r="H1445" s="10"/>
      <c r="I1445" s="10"/>
      <c r="J1445" s="10"/>
      <c r="K1445" s="25"/>
      <c r="L1445" s="25"/>
      <c r="M1445" s="25" t="str">
        <f>IFERROR(VLOOKUP($C1445,$C$5:$M$24,11,0)+SUMIF($C$25:$C1445,$C1445,$K$25:$K1445)-SUMIF($C$25:$C1445,$C1445,$L$25:$L1445),"")</f>
        <v/>
      </c>
      <c r="N1445" s="10"/>
      <c r="O1445" s="10"/>
      <c r="P1445" s="65"/>
      <c r="Q1445" s="10"/>
      <c r="R1445" s="10"/>
      <c r="S1445" s="54" t="str">
        <f t="shared" si="72"/>
        <v/>
      </c>
      <c r="T1445" s="54" t="str">
        <f t="shared" si="73"/>
        <v/>
      </c>
      <c r="U1445" s="58" t="str">
        <f t="shared" si="74"/>
        <v/>
      </c>
      <c r="V1445" s="58">
        <f>IF(AND($B1445&lt;&gt;"",$F1445&lt;&gt;"",$F1445=项目明细账!$C$2),N(V1444)+1,N(V1444))</f>
        <v>0</v>
      </c>
      <c r="W1445" s="63" t="str">
        <f>IF($H1445&lt;&gt;"","项目成本",IFERROR(INDEX(基础资料!$W$4:$W$49,MATCH($I1445,基础资料!$V$4:$V$49,0)),""))</f>
        <v/>
      </c>
      <c r="X1445" s="63" t="str">
        <f>IFERROR(INDEX(基础资料!$R$4:$R$17,MATCH($G1445,基础资料!$Q$4:$Q$17,0)),"")</f>
        <v/>
      </c>
    </row>
    <row r="1446" spans="1:24">
      <c r="A1446" s="58" t="str">
        <f>IF($B1446="","",COUNTA($B$5:$B1446))</f>
        <v/>
      </c>
      <c r="B1446" s="53"/>
      <c r="C1446" s="46"/>
      <c r="D1446" s="63" t="str">
        <f>IFERROR(INDEX(基础资料!$F$4:$F$23,MATCH($C1446,基础资料!$E$4:$E$23,0)),IF($C1446="","","未匹配账户"))</f>
        <v/>
      </c>
      <c r="E1446" s="39"/>
      <c r="F1446" s="10"/>
      <c r="G1446" s="10"/>
      <c r="H1446" s="10"/>
      <c r="I1446" s="10"/>
      <c r="J1446" s="10"/>
      <c r="K1446" s="25"/>
      <c r="L1446" s="25"/>
      <c r="M1446" s="25" t="str">
        <f>IFERROR(VLOOKUP($C1446,$C$5:$M$24,11,0)+SUMIF($C$25:$C1446,$C1446,$K$25:$K1446)-SUMIF($C$25:$C1446,$C1446,$L$25:$L1446),"")</f>
        <v/>
      </c>
      <c r="N1446" s="10"/>
      <c r="O1446" s="10"/>
      <c r="P1446" s="65"/>
      <c r="Q1446" s="10"/>
      <c r="R1446" s="10"/>
      <c r="S1446" s="54" t="str">
        <f t="shared" si="72"/>
        <v/>
      </c>
      <c r="T1446" s="54" t="str">
        <f t="shared" si="73"/>
        <v/>
      </c>
      <c r="U1446" s="58" t="str">
        <f t="shared" si="74"/>
        <v/>
      </c>
      <c r="V1446" s="58">
        <f>IF(AND($B1446&lt;&gt;"",$F1446&lt;&gt;"",$F1446=项目明细账!$C$2),N(V1445)+1,N(V1445))</f>
        <v>0</v>
      </c>
      <c r="W1446" s="63" t="str">
        <f>IF($H1446&lt;&gt;"","项目成本",IFERROR(INDEX(基础资料!$W$4:$W$49,MATCH($I1446,基础资料!$V$4:$V$49,0)),""))</f>
        <v/>
      </c>
      <c r="X1446" s="63" t="str">
        <f>IFERROR(INDEX(基础资料!$R$4:$R$17,MATCH($G1446,基础资料!$Q$4:$Q$17,0)),"")</f>
        <v/>
      </c>
    </row>
    <row r="1447" spans="1:24">
      <c r="A1447" s="58" t="str">
        <f>IF($B1447="","",COUNTA($B$5:$B1447))</f>
        <v/>
      </c>
      <c r="B1447" s="53"/>
      <c r="C1447" s="46"/>
      <c r="D1447" s="63" t="str">
        <f>IFERROR(INDEX(基础资料!$F$4:$F$23,MATCH($C1447,基础资料!$E$4:$E$23,0)),IF($C1447="","","未匹配账户"))</f>
        <v/>
      </c>
      <c r="E1447" s="39"/>
      <c r="F1447" s="10"/>
      <c r="G1447" s="10"/>
      <c r="H1447" s="10"/>
      <c r="I1447" s="10"/>
      <c r="J1447" s="10"/>
      <c r="K1447" s="25"/>
      <c r="L1447" s="25"/>
      <c r="M1447" s="25" t="str">
        <f>IFERROR(VLOOKUP($C1447,$C$5:$M$24,11,0)+SUMIF($C$25:$C1447,$C1447,$K$25:$K1447)-SUMIF($C$25:$C1447,$C1447,$L$25:$L1447),"")</f>
        <v/>
      </c>
      <c r="N1447" s="10"/>
      <c r="O1447" s="10"/>
      <c r="P1447" s="65"/>
      <c r="Q1447" s="10"/>
      <c r="R1447" s="10"/>
      <c r="S1447" s="54" t="str">
        <f t="shared" si="72"/>
        <v/>
      </c>
      <c r="T1447" s="54" t="str">
        <f t="shared" si="73"/>
        <v/>
      </c>
      <c r="U1447" s="58" t="str">
        <f t="shared" si="74"/>
        <v/>
      </c>
      <c r="V1447" s="58">
        <f>IF(AND($B1447&lt;&gt;"",$F1447&lt;&gt;"",$F1447=项目明细账!$C$2),N(V1446)+1,N(V1446))</f>
        <v>0</v>
      </c>
      <c r="W1447" s="63" t="str">
        <f>IF($H1447&lt;&gt;"","项目成本",IFERROR(INDEX(基础资料!$W$4:$W$49,MATCH($I1447,基础资料!$V$4:$V$49,0)),""))</f>
        <v/>
      </c>
      <c r="X1447" s="63" t="str">
        <f>IFERROR(INDEX(基础资料!$R$4:$R$17,MATCH($G1447,基础资料!$Q$4:$Q$17,0)),"")</f>
        <v/>
      </c>
    </row>
    <row r="1448" spans="1:24">
      <c r="A1448" s="58" t="str">
        <f>IF($B1448="","",COUNTA($B$5:$B1448))</f>
        <v/>
      </c>
      <c r="B1448" s="53"/>
      <c r="C1448" s="46"/>
      <c r="D1448" s="63" t="str">
        <f>IFERROR(INDEX(基础资料!$F$4:$F$23,MATCH($C1448,基础资料!$E$4:$E$23,0)),IF($C1448="","","未匹配账户"))</f>
        <v/>
      </c>
      <c r="E1448" s="39"/>
      <c r="F1448" s="10"/>
      <c r="G1448" s="10"/>
      <c r="H1448" s="10"/>
      <c r="I1448" s="10"/>
      <c r="J1448" s="10"/>
      <c r="K1448" s="25"/>
      <c r="L1448" s="25"/>
      <c r="M1448" s="25" t="str">
        <f>IFERROR(VLOOKUP($C1448,$C$5:$M$24,11,0)+SUMIF($C$25:$C1448,$C1448,$K$25:$K1448)-SUMIF($C$25:$C1448,$C1448,$L$25:$L1448),"")</f>
        <v/>
      </c>
      <c r="N1448" s="10"/>
      <c r="O1448" s="10"/>
      <c r="P1448" s="65"/>
      <c r="Q1448" s="10"/>
      <c r="R1448" s="10"/>
      <c r="S1448" s="54" t="str">
        <f t="shared" si="72"/>
        <v/>
      </c>
      <c r="T1448" s="54" t="str">
        <f t="shared" si="73"/>
        <v/>
      </c>
      <c r="U1448" s="58" t="str">
        <f t="shared" si="74"/>
        <v/>
      </c>
      <c r="V1448" s="58">
        <f>IF(AND($B1448&lt;&gt;"",$F1448&lt;&gt;"",$F1448=项目明细账!$C$2),N(V1447)+1,N(V1447))</f>
        <v>0</v>
      </c>
      <c r="W1448" s="63" t="str">
        <f>IF($H1448&lt;&gt;"","项目成本",IFERROR(INDEX(基础资料!$W$4:$W$49,MATCH($I1448,基础资料!$V$4:$V$49,0)),""))</f>
        <v/>
      </c>
      <c r="X1448" s="63" t="str">
        <f>IFERROR(INDEX(基础资料!$R$4:$R$17,MATCH($G1448,基础资料!$Q$4:$Q$17,0)),"")</f>
        <v/>
      </c>
    </row>
    <row r="1449" spans="1:24">
      <c r="A1449" s="58" t="str">
        <f>IF($B1449="","",COUNTA($B$5:$B1449))</f>
        <v/>
      </c>
      <c r="B1449" s="53"/>
      <c r="C1449" s="46"/>
      <c r="D1449" s="63" t="str">
        <f>IFERROR(INDEX(基础资料!$F$4:$F$23,MATCH($C1449,基础资料!$E$4:$E$23,0)),IF($C1449="","","未匹配账户"))</f>
        <v/>
      </c>
      <c r="E1449" s="39"/>
      <c r="F1449" s="10"/>
      <c r="G1449" s="10"/>
      <c r="H1449" s="10"/>
      <c r="I1449" s="10"/>
      <c r="J1449" s="10"/>
      <c r="K1449" s="25"/>
      <c r="L1449" s="25"/>
      <c r="M1449" s="25" t="str">
        <f>IFERROR(VLOOKUP($C1449,$C$5:$M$24,11,0)+SUMIF($C$25:$C1449,$C1449,$K$25:$K1449)-SUMIF($C$25:$C1449,$C1449,$L$25:$L1449),"")</f>
        <v/>
      </c>
      <c r="N1449" s="10"/>
      <c r="O1449" s="10"/>
      <c r="P1449" s="65"/>
      <c r="Q1449" s="10"/>
      <c r="R1449" s="10"/>
      <c r="S1449" s="54" t="str">
        <f t="shared" si="72"/>
        <v/>
      </c>
      <c r="T1449" s="54" t="str">
        <f t="shared" si="73"/>
        <v/>
      </c>
      <c r="U1449" s="58" t="str">
        <f t="shared" si="74"/>
        <v/>
      </c>
      <c r="V1449" s="58">
        <f>IF(AND($B1449&lt;&gt;"",$F1449&lt;&gt;"",$F1449=项目明细账!$C$2),N(V1448)+1,N(V1448))</f>
        <v>0</v>
      </c>
      <c r="W1449" s="63" t="str">
        <f>IF($H1449&lt;&gt;"","项目成本",IFERROR(INDEX(基础资料!$W$4:$W$49,MATCH($I1449,基础资料!$V$4:$V$49,0)),""))</f>
        <v/>
      </c>
      <c r="X1449" s="63" t="str">
        <f>IFERROR(INDEX(基础资料!$R$4:$R$17,MATCH($G1449,基础资料!$Q$4:$Q$17,0)),"")</f>
        <v/>
      </c>
    </row>
    <row r="1450" spans="1:24">
      <c r="A1450" s="58" t="str">
        <f>IF($B1450="","",COUNTA($B$5:$B1450))</f>
        <v/>
      </c>
      <c r="B1450" s="53"/>
      <c r="C1450" s="46"/>
      <c r="D1450" s="63" t="str">
        <f>IFERROR(INDEX(基础资料!$F$4:$F$23,MATCH($C1450,基础资料!$E$4:$E$23,0)),IF($C1450="","","未匹配账户"))</f>
        <v/>
      </c>
      <c r="E1450" s="39"/>
      <c r="F1450" s="10"/>
      <c r="G1450" s="10"/>
      <c r="H1450" s="10"/>
      <c r="I1450" s="10"/>
      <c r="J1450" s="10"/>
      <c r="K1450" s="25"/>
      <c r="L1450" s="25"/>
      <c r="M1450" s="25" t="str">
        <f>IFERROR(VLOOKUP($C1450,$C$5:$M$24,11,0)+SUMIF($C$25:$C1450,$C1450,$K$25:$K1450)-SUMIF($C$25:$C1450,$C1450,$L$25:$L1450),"")</f>
        <v/>
      </c>
      <c r="N1450" s="10"/>
      <c r="O1450" s="10"/>
      <c r="P1450" s="65"/>
      <c r="Q1450" s="10"/>
      <c r="R1450" s="10"/>
      <c r="S1450" s="54" t="str">
        <f t="shared" si="72"/>
        <v/>
      </c>
      <c r="T1450" s="54" t="str">
        <f t="shared" si="73"/>
        <v/>
      </c>
      <c r="U1450" s="58" t="str">
        <f t="shared" si="74"/>
        <v/>
      </c>
      <c r="V1450" s="58">
        <f>IF(AND($B1450&lt;&gt;"",$F1450&lt;&gt;"",$F1450=项目明细账!$C$2),N(V1449)+1,N(V1449))</f>
        <v>0</v>
      </c>
      <c r="W1450" s="63" t="str">
        <f>IF($H1450&lt;&gt;"","项目成本",IFERROR(INDEX(基础资料!$W$4:$W$49,MATCH($I1450,基础资料!$V$4:$V$49,0)),""))</f>
        <v/>
      </c>
      <c r="X1450" s="63" t="str">
        <f>IFERROR(INDEX(基础资料!$R$4:$R$17,MATCH($G1450,基础资料!$Q$4:$Q$17,0)),"")</f>
        <v/>
      </c>
    </row>
    <row r="1451" spans="1:24">
      <c r="A1451" s="58" t="str">
        <f>IF($B1451="","",COUNTA($B$5:$B1451))</f>
        <v/>
      </c>
      <c r="B1451" s="53"/>
      <c r="C1451" s="46"/>
      <c r="D1451" s="63" t="str">
        <f>IFERROR(INDEX(基础资料!$F$4:$F$23,MATCH($C1451,基础资料!$E$4:$E$23,0)),IF($C1451="","","未匹配账户"))</f>
        <v/>
      </c>
      <c r="E1451" s="39"/>
      <c r="F1451" s="10"/>
      <c r="G1451" s="10"/>
      <c r="H1451" s="10"/>
      <c r="I1451" s="10"/>
      <c r="J1451" s="10"/>
      <c r="K1451" s="25"/>
      <c r="L1451" s="25"/>
      <c r="M1451" s="25" t="str">
        <f>IFERROR(VLOOKUP($C1451,$C$5:$M$24,11,0)+SUMIF($C$25:$C1451,$C1451,$K$25:$K1451)-SUMIF($C$25:$C1451,$C1451,$L$25:$L1451),"")</f>
        <v/>
      </c>
      <c r="N1451" s="10"/>
      <c r="O1451" s="10"/>
      <c r="P1451" s="65"/>
      <c r="Q1451" s="10"/>
      <c r="R1451" s="10"/>
      <c r="S1451" s="54" t="str">
        <f t="shared" si="72"/>
        <v/>
      </c>
      <c r="T1451" s="54" t="str">
        <f t="shared" si="73"/>
        <v/>
      </c>
      <c r="U1451" s="58" t="str">
        <f t="shared" si="74"/>
        <v/>
      </c>
      <c r="V1451" s="58">
        <f>IF(AND($B1451&lt;&gt;"",$F1451&lt;&gt;"",$F1451=项目明细账!$C$2),N(V1450)+1,N(V1450))</f>
        <v>0</v>
      </c>
      <c r="W1451" s="63" t="str">
        <f>IF($H1451&lt;&gt;"","项目成本",IFERROR(INDEX(基础资料!$W$4:$W$49,MATCH($I1451,基础资料!$V$4:$V$49,0)),""))</f>
        <v/>
      </c>
      <c r="X1451" s="63" t="str">
        <f>IFERROR(INDEX(基础资料!$R$4:$R$17,MATCH($G1451,基础资料!$Q$4:$Q$17,0)),"")</f>
        <v/>
      </c>
    </row>
    <row r="1452" spans="1:24">
      <c r="A1452" s="58" t="str">
        <f>IF($B1452="","",COUNTA($B$5:$B1452))</f>
        <v/>
      </c>
      <c r="B1452" s="53"/>
      <c r="C1452" s="46"/>
      <c r="D1452" s="63" t="str">
        <f>IFERROR(INDEX(基础资料!$F$4:$F$23,MATCH($C1452,基础资料!$E$4:$E$23,0)),IF($C1452="","","未匹配账户"))</f>
        <v/>
      </c>
      <c r="E1452" s="39"/>
      <c r="F1452" s="10"/>
      <c r="G1452" s="10"/>
      <c r="H1452" s="10"/>
      <c r="I1452" s="10"/>
      <c r="J1452" s="10"/>
      <c r="K1452" s="25"/>
      <c r="L1452" s="25"/>
      <c r="M1452" s="25" t="str">
        <f>IFERROR(VLOOKUP($C1452,$C$5:$M$24,11,0)+SUMIF($C$25:$C1452,$C1452,$K$25:$K1452)-SUMIF($C$25:$C1452,$C1452,$L$25:$L1452),"")</f>
        <v/>
      </c>
      <c r="N1452" s="10"/>
      <c r="O1452" s="10"/>
      <c r="P1452" s="65"/>
      <c r="Q1452" s="10"/>
      <c r="R1452" s="10"/>
      <c r="S1452" s="54" t="str">
        <f t="shared" si="72"/>
        <v/>
      </c>
      <c r="T1452" s="54" t="str">
        <f t="shared" si="73"/>
        <v/>
      </c>
      <c r="U1452" s="58" t="str">
        <f t="shared" si="74"/>
        <v/>
      </c>
      <c r="V1452" s="58">
        <f>IF(AND($B1452&lt;&gt;"",$F1452&lt;&gt;"",$F1452=项目明细账!$C$2),N(V1451)+1,N(V1451))</f>
        <v>0</v>
      </c>
      <c r="W1452" s="63" t="str">
        <f>IF($H1452&lt;&gt;"","项目成本",IFERROR(INDEX(基础资料!$W$4:$W$49,MATCH($I1452,基础资料!$V$4:$V$49,0)),""))</f>
        <v/>
      </c>
      <c r="X1452" s="63" t="str">
        <f>IFERROR(INDEX(基础资料!$R$4:$R$17,MATCH($G1452,基础资料!$Q$4:$Q$17,0)),"")</f>
        <v/>
      </c>
    </row>
    <row r="1453" spans="1:24">
      <c r="A1453" s="58" t="str">
        <f>IF($B1453="","",COUNTA($B$5:$B1453))</f>
        <v/>
      </c>
      <c r="B1453" s="53"/>
      <c r="C1453" s="46"/>
      <c r="D1453" s="63" t="str">
        <f>IFERROR(INDEX(基础资料!$F$4:$F$23,MATCH($C1453,基础资料!$E$4:$E$23,0)),IF($C1453="","","未匹配账户"))</f>
        <v/>
      </c>
      <c r="E1453" s="39"/>
      <c r="F1453" s="10"/>
      <c r="G1453" s="10"/>
      <c r="H1453" s="10"/>
      <c r="I1453" s="10"/>
      <c r="J1453" s="10"/>
      <c r="K1453" s="25"/>
      <c r="L1453" s="25"/>
      <c r="M1453" s="25" t="str">
        <f>IFERROR(VLOOKUP($C1453,$C$5:$M$24,11,0)+SUMIF($C$25:$C1453,$C1453,$K$25:$K1453)-SUMIF($C$25:$C1453,$C1453,$L$25:$L1453),"")</f>
        <v/>
      </c>
      <c r="N1453" s="10"/>
      <c r="O1453" s="10"/>
      <c r="P1453" s="65"/>
      <c r="Q1453" s="10"/>
      <c r="R1453" s="10"/>
      <c r="S1453" s="54" t="str">
        <f t="shared" si="72"/>
        <v/>
      </c>
      <c r="T1453" s="54" t="str">
        <f t="shared" si="73"/>
        <v/>
      </c>
      <c r="U1453" s="58" t="str">
        <f t="shared" si="74"/>
        <v/>
      </c>
      <c r="V1453" s="58">
        <f>IF(AND($B1453&lt;&gt;"",$F1453&lt;&gt;"",$F1453=项目明细账!$C$2),N(V1452)+1,N(V1452))</f>
        <v>0</v>
      </c>
      <c r="W1453" s="63" t="str">
        <f>IF($H1453&lt;&gt;"","项目成本",IFERROR(INDEX(基础资料!$W$4:$W$49,MATCH($I1453,基础资料!$V$4:$V$49,0)),""))</f>
        <v/>
      </c>
      <c r="X1453" s="63" t="str">
        <f>IFERROR(INDEX(基础资料!$R$4:$R$17,MATCH($G1453,基础资料!$Q$4:$Q$17,0)),"")</f>
        <v/>
      </c>
    </row>
    <row r="1454" spans="1:24">
      <c r="A1454" s="58" t="str">
        <f>IF($B1454="","",COUNTA($B$5:$B1454))</f>
        <v/>
      </c>
      <c r="B1454" s="53"/>
      <c r="C1454" s="46"/>
      <c r="D1454" s="63" t="str">
        <f>IFERROR(INDEX(基础资料!$F$4:$F$23,MATCH($C1454,基础资料!$E$4:$E$23,0)),IF($C1454="","","未匹配账户"))</f>
        <v/>
      </c>
      <c r="E1454" s="39"/>
      <c r="F1454" s="10"/>
      <c r="G1454" s="10"/>
      <c r="H1454" s="10"/>
      <c r="I1454" s="10"/>
      <c r="J1454" s="10"/>
      <c r="K1454" s="25"/>
      <c r="L1454" s="25"/>
      <c r="M1454" s="25" t="str">
        <f>IFERROR(VLOOKUP($C1454,$C$5:$M$24,11,0)+SUMIF($C$25:$C1454,$C1454,$K$25:$K1454)-SUMIF($C$25:$C1454,$C1454,$L$25:$L1454),"")</f>
        <v/>
      </c>
      <c r="N1454" s="10"/>
      <c r="O1454" s="10"/>
      <c r="P1454" s="65"/>
      <c r="Q1454" s="10"/>
      <c r="R1454" s="10"/>
      <c r="S1454" s="54" t="str">
        <f t="shared" si="72"/>
        <v/>
      </c>
      <c r="T1454" s="54" t="str">
        <f t="shared" si="73"/>
        <v/>
      </c>
      <c r="U1454" s="58" t="str">
        <f t="shared" si="74"/>
        <v/>
      </c>
      <c r="V1454" s="58">
        <f>IF(AND($B1454&lt;&gt;"",$F1454&lt;&gt;"",$F1454=项目明细账!$C$2),N(V1453)+1,N(V1453))</f>
        <v>0</v>
      </c>
      <c r="W1454" s="63" t="str">
        <f>IF($H1454&lt;&gt;"","项目成本",IFERROR(INDEX(基础资料!$W$4:$W$49,MATCH($I1454,基础资料!$V$4:$V$49,0)),""))</f>
        <v/>
      </c>
      <c r="X1454" s="63" t="str">
        <f>IFERROR(INDEX(基础资料!$R$4:$R$17,MATCH($G1454,基础资料!$Q$4:$Q$17,0)),"")</f>
        <v/>
      </c>
    </row>
    <row r="1455" spans="1:24">
      <c r="A1455" s="58" t="str">
        <f>IF($B1455="","",COUNTA($B$5:$B1455))</f>
        <v/>
      </c>
      <c r="B1455" s="53"/>
      <c r="C1455" s="46"/>
      <c r="D1455" s="63" t="str">
        <f>IFERROR(INDEX(基础资料!$F$4:$F$23,MATCH($C1455,基础资料!$E$4:$E$23,0)),IF($C1455="","","未匹配账户"))</f>
        <v/>
      </c>
      <c r="E1455" s="39"/>
      <c r="F1455" s="10"/>
      <c r="G1455" s="10"/>
      <c r="H1455" s="10"/>
      <c r="I1455" s="10"/>
      <c r="J1455" s="10"/>
      <c r="K1455" s="25"/>
      <c r="L1455" s="25"/>
      <c r="M1455" s="25" t="str">
        <f>IFERROR(VLOOKUP($C1455,$C$5:$M$24,11,0)+SUMIF($C$25:$C1455,$C1455,$K$25:$K1455)-SUMIF($C$25:$C1455,$C1455,$L$25:$L1455),"")</f>
        <v/>
      </c>
      <c r="N1455" s="10"/>
      <c r="O1455" s="10"/>
      <c r="P1455" s="65"/>
      <c r="Q1455" s="10"/>
      <c r="R1455" s="10"/>
      <c r="S1455" s="54" t="str">
        <f t="shared" si="72"/>
        <v/>
      </c>
      <c r="T1455" s="54" t="str">
        <f t="shared" si="73"/>
        <v/>
      </c>
      <c r="U1455" s="58" t="str">
        <f t="shared" si="74"/>
        <v/>
      </c>
      <c r="V1455" s="58">
        <f>IF(AND($B1455&lt;&gt;"",$F1455&lt;&gt;"",$F1455=项目明细账!$C$2),N(V1454)+1,N(V1454))</f>
        <v>0</v>
      </c>
      <c r="W1455" s="63" t="str">
        <f>IF($H1455&lt;&gt;"","项目成本",IFERROR(INDEX(基础资料!$W$4:$W$49,MATCH($I1455,基础资料!$V$4:$V$49,0)),""))</f>
        <v/>
      </c>
      <c r="X1455" s="63" t="str">
        <f>IFERROR(INDEX(基础资料!$R$4:$R$17,MATCH($G1455,基础资料!$Q$4:$Q$17,0)),"")</f>
        <v/>
      </c>
    </row>
    <row r="1456" spans="1:24">
      <c r="A1456" s="58" t="str">
        <f>IF($B1456="","",COUNTA($B$5:$B1456))</f>
        <v/>
      </c>
      <c r="B1456" s="53"/>
      <c r="C1456" s="46"/>
      <c r="D1456" s="63" t="str">
        <f>IFERROR(INDEX(基础资料!$F$4:$F$23,MATCH($C1456,基础资料!$E$4:$E$23,0)),IF($C1456="","","未匹配账户"))</f>
        <v/>
      </c>
      <c r="E1456" s="39"/>
      <c r="F1456" s="10"/>
      <c r="G1456" s="10"/>
      <c r="H1456" s="10"/>
      <c r="I1456" s="10"/>
      <c r="J1456" s="10"/>
      <c r="K1456" s="25"/>
      <c r="L1456" s="25"/>
      <c r="M1456" s="25" t="str">
        <f>IFERROR(VLOOKUP($C1456,$C$5:$M$24,11,0)+SUMIF($C$25:$C1456,$C1456,$K$25:$K1456)-SUMIF($C$25:$C1456,$C1456,$L$25:$L1456),"")</f>
        <v/>
      </c>
      <c r="N1456" s="10"/>
      <c r="O1456" s="10"/>
      <c r="P1456" s="65"/>
      <c r="Q1456" s="10"/>
      <c r="R1456" s="10"/>
      <c r="S1456" s="54" t="str">
        <f t="shared" si="72"/>
        <v/>
      </c>
      <c r="T1456" s="54" t="str">
        <f t="shared" si="73"/>
        <v/>
      </c>
      <c r="U1456" s="58" t="str">
        <f t="shared" si="74"/>
        <v/>
      </c>
      <c r="V1456" s="58">
        <f>IF(AND($B1456&lt;&gt;"",$F1456&lt;&gt;"",$F1456=项目明细账!$C$2),N(V1455)+1,N(V1455))</f>
        <v>0</v>
      </c>
      <c r="W1456" s="63" t="str">
        <f>IF($H1456&lt;&gt;"","项目成本",IFERROR(INDEX(基础资料!$W$4:$W$49,MATCH($I1456,基础资料!$V$4:$V$49,0)),""))</f>
        <v/>
      </c>
      <c r="X1456" s="63" t="str">
        <f>IFERROR(INDEX(基础资料!$R$4:$R$17,MATCH($G1456,基础资料!$Q$4:$Q$17,0)),"")</f>
        <v/>
      </c>
    </row>
    <row r="1457" spans="1:24">
      <c r="A1457" s="58" t="str">
        <f>IF($B1457="","",COUNTA($B$5:$B1457))</f>
        <v/>
      </c>
      <c r="B1457" s="53"/>
      <c r="C1457" s="46"/>
      <c r="D1457" s="63" t="str">
        <f>IFERROR(INDEX(基础资料!$F$4:$F$23,MATCH($C1457,基础资料!$E$4:$E$23,0)),IF($C1457="","","未匹配账户"))</f>
        <v/>
      </c>
      <c r="E1457" s="39"/>
      <c r="F1457" s="10"/>
      <c r="G1457" s="10"/>
      <c r="H1457" s="10"/>
      <c r="I1457" s="10"/>
      <c r="J1457" s="10"/>
      <c r="K1457" s="25"/>
      <c r="L1457" s="25"/>
      <c r="M1457" s="25" t="str">
        <f>IFERROR(VLOOKUP($C1457,$C$5:$M$24,11,0)+SUMIF($C$25:$C1457,$C1457,$K$25:$K1457)-SUMIF($C$25:$C1457,$C1457,$L$25:$L1457),"")</f>
        <v/>
      </c>
      <c r="N1457" s="10"/>
      <c r="O1457" s="10"/>
      <c r="P1457" s="65"/>
      <c r="Q1457" s="10"/>
      <c r="R1457" s="10"/>
      <c r="S1457" s="54" t="str">
        <f t="shared" si="72"/>
        <v/>
      </c>
      <c r="T1457" s="54" t="str">
        <f t="shared" si="73"/>
        <v/>
      </c>
      <c r="U1457" s="58" t="str">
        <f t="shared" si="74"/>
        <v/>
      </c>
      <c r="V1457" s="58">
        <f>IF(AND($B1457&lt;&gt;"",$F1457&lt;&gt;"",$F1457=项目明细账!$C$2),N(V1456)+1,N(V1456))</f>
        <v>0</v>
      </c>
      <c r="W1457" s="63" t="str">
        <f>IF($H1457&lt;&gt;"","项目成本",IFERROR(INDEX(基础资料!$W$4:$W$49,MATCH($I1457,基础资料!$V$4:$V$49,0)),""))</f>
        <v/>
      </c>
      <c r="X1457" s="63" t="str">
        <f>IFERROR(INDEX(基础资料!$R$4:$R$17,MATCH($G1457,基础资料!$Q$4:$Q$17,0)),"")</f>
        <v/>
      </c>
    </row>
    <row r="1458" spans="1:24">
      <c r="A1458" s="58" t="str">
        <f>IF($B1458="","",COUNTA($B$5:$B1458))</f>
        <v/>
      </c>
      <c r="B1458" s="53"/>
      <c r="C1458" s="46"/>
      <c r="D1458" s="63" t="str">
        <f>IFERROR(INDEX(基础资料!$F$4:$F$23,MATCH($C1458,基础资料!$E$4:$E$23,0)),IF($C1458="","","未匹配账户"))</f>
        <v/>
      </c>
      <c r="E1458" s="39"/>
      <c r="F1458" s="10"/>
      <c r="G1458" s="10"/>
      <c r="H1458" s="10"/>
      <c r="I1458" s="10"/>
      <c r="J1458" s="10"/>
      <c r="K1458" s="25"/>
      <c r="L1458" s="25"/>
      <c r="M1458" s="25" t="str">
        <f>IFERROR(VLOOKUP($C1458,$C$5:$M$24,11,0)+SUMIF($C$25:$C1458,$C1458,$K$25:$K1458)-SUMIF($C$25:$C1458,$C1458,$L$25:$L1458),"")</f>
        <v/>
      </c>
      <c r="N1458" s="10"/>
      <c r="O1458" s="10"/>
      <c r="P1458" s="65"/>
      <c r="Q1458" s="10"/>
      <c r="R1458" s="10"/>
      <c r="S1458" s="54" t="str">
        <f t="shared" si="72"/>
        <v/>
      </c>
      <c r="T1458" s="54" t="str">
        <f t="shared" si="73"/>
        <v/>
      </c>
      <c r="U1458" s="58" t="str">
        <f t="shared" si="74"/>
        <v/>
      </c>
      <c r="V1458" s="58">
        <f>IF(AND($B1458&lt;&gt;"",$F1458&lt;&gt;"",$F1458=项目明细账!$C$2),N(V1457)+1,N(V1457))</f>
        <v>0</v>
      </c>
      <c r="W1458" s="63" t="str">
        <f>IF($H1458&lt;&gt;"","项目成本",IFERROR(INDEX(基础资料!$W$4:$W$49,MATCH($I1458,基础资料!$V$4:$V$49,0)),""))</f>
        <v/>
      </c>
      <c r="X1458" s="63" t="str">
        <f>IFERROR(INDEX(基础资料!$R$4:$R$17,MATCH($G1458,基础资料!$Q$4:$Q$17,0)),"")</f>
        <v/>
      </c>
    </row>
    <row r="1459" spans="1:24">
      <c r="A1459" s="58" t="str">
        <f>IF($B1459="","",COUNTA($B$5:$B1459))</f>
        <v/>
      </c>
      <c r="B1459" s="53"/>
      <c r="C1459" s="46"/>
      <c r="D1459" s="63" t="str">
        <f>IFERROR(INDEX(基础资料!$F$4:$F$23,MATCH($C1459,基础资料!$E$4:$E$23,0)),IF($C1459="","","未匹配账户"))</f>
        <v/>
      </c>
      <c r="E1459" s="39"/>
      <c r="F1459" s="10"/>
      <c r="G1459" s="10"/>
      <c r="H1459" s="10"/>
      <c r="I1459" s="10"/>
      <c r="J1459" s="10"/>
      <c r="K1459" s="25"/>
      <c r="L1459" s="25"/>
      <c r="M1459" s="25" t="str">
        <f>IFERROR(VLOOKUP($C1459,$C$5:$M$24,11,0)+SUMIF($C$25:$C1459,$C1459,$K$25:$K1459)-SUMIF($C$25:$C1459,$C1459,$L$25:$L1459),"")</f>
        <v/>
      </c>
      <c r="N1459" s="10"/>
      <c r="O1459" s="10"/>
      <c r="P1459" s="65"/>
      <c r="Q1459" s="10"/>
      <c r="R1459" s="10"/>
      <c r="S1459" s="54" t="str">
        <f t="shared" si="72"/>
        <v/>
      </c>
      <c r="T1459" s="54" t="str">
        <f t="shared" si="73"/>
        <v/>
      </c>
      <c r="U1459" s="58" t="str">
        <f t="shared" si="74"/>
        <v/>
      </c>
      <c r="V1459" s="58">
        <f>IF(AND($B1459&lt;&gt;"",$F1459&lt;&gt;"",$F1459=项目明细账!$C$2),N(V1458)+1,N(V1458))</f>
        <v>0</v>
      </c>
      <c r="W1459" s="63" t="str">
        <f>IF($H1459&lt;&gt;"","项目成本",IFERROR(INDEX(基础资料!$W$4:$W$49,MATCH($I1459,基础资料!$V$4:$V$49,0)),""))</f>
        <v/>
      </c>
      <c r="X1459" s="63" t="str">
        <f>IFERROR(INDEX(基础资料!$R$4:$R$17,MATCH($G1459,基础资料!$Q$4:$Q$17,0)),"")</f>
        <v/>
      </c>
    </row>
    <row r="1460" spans="1:24">
      <c r="A1460" s="58" t="str">
        <f>IF($B1460="","",COUNTA($B$5:$B1460))</f>
        <v/>
      </c>
      <c r="B1460" s="53"/>
      <c r="C1460" s="46"/>
      <c r="D1460" s="63" t="str">
        <f>IFERROR(INDEX(基础资料!$F$4:$F$23,MATCH($C1460,基础资料!$E$4:$E$23,0)),IF($C1460="","","未匹配账户"))</f>
        <v/>
      </c>
      <c r="E1460" s="39"/>
      <c r="F1460" s="10"/>
      <c r="G1460" s="10"/>
      <c r="H1460" s="10"/>
      <c r="I1460" s="10"/>
      <c r="J1460" s="10"/>
      <c r="K1460" s="25"/>
      <c r="L1460" s="25"/>
      <c r="M1460" s="25" t="str">
        <f>IFERROR(VLOOKUP($C1460,$C$5:$M$24,11,0)+SUMIF($C$25:$C1460,$C1460,$K$25:$K1460)-SUMIF($C$25:$C1460,$C1460,$L$25:$L1460),"")</f>
        <v/>
      </c>
      <c r="N1460" s="10"/>
      <c r="O1460" s="10"/>
      <c r="P1460" s="65"/>
      <c r="Q1460" s="10"/>
      <c r="R1460" s="10"/>
      <c r="S1460" s="54" t="str">
        <f t="shared" si="72"/>
        <v/>
      </c>
      <c r="T1460" s="54" t="str">
        <f t="shared" si="73"/>
        <v/>
      </c>
      <c r="U1460" s="58" t="str">
        <f t="shared" si="74"/>
        <v/>
      </c>
      <c r="V1460" s="58">
        <f>IF(AND($B1460&lt;&gt;"",$F1460&lt;&gt;"",$F1460=项目明细账!$C$2),N(V1459)+1,N(V1459))</f>
        <v>0</v>
      </c>
      <c r="W1460" s="63" t="str">
        <f>IF($H1460&lt;&gt;"","项目成本",IFERROR(INDEX(基础资料!$W$4:$W$49,MATCH($I1460,基础资料!$V$4:$V$49,0)),""))</f>
        <v/>
      </c>
      <c r="X1460" s="63" t="str">
        <f>IFERROR(INDEX(基础资料!$R$4:$R$17,MATCH($G1460,基础资料!$Q$4:$Q$17,0)),"")</f>
        <v/>
      </c>
    </row>
    <row r="1461" spans="1:24">
      <c r="A1461" s="58" t="str">
        <f>IF($B1461="","",COUNTA($B$5:$B1461))</f>
        <v/>
      </c>
      <c r="B1461" s="53"/>
      <c r="C1461" s="46"/>
      <c r="D1461" s="63" t="str">
        <f>IFERROR(INDEX(基础资料!$F$4:$F$23,MATCH($C1461,基础资料!$E$4:$E$23,0)),IF($C1461="","","未匹配账户"))</f>
        <v/>
      </c>
      <c r="E1461" s="39"/>
      <c r="F1461" s="10"/>
      <c r="G1461" s="10"/>
      <c r="H1461" s="10"/>
      <c r="I1461" s="10"/>
      <c r="J1461" s="10"/>
      <c r="K1461" s="25"/>
      <c r="L1461" s="25"/>
      <c r="M1461" s="25" t="str">
        <f>IFERROR(VLOOKUP($C1461,$C$5:$M$24,11,0)+SUMIF($C$25:$C1461,$C1461,$K$25:$K1461)-SUMIF($C$25:$C1461,$C1461,$L$25:$L1461),"")</f>
        <v/>
      </c>
      <c r="N1461" s="10"/>
      <c r="O1461" s="10"/>
      <c r="P1461" s="65"/>
      <c r="Q1461" s="10"/>
      <c r="R1461" s="10"/>
      <c r="S1461" s="54" t="str">
        <f t="shared" si="72"/>
        <v/>
      </c>
      <c r="T1461" s="54" t="str">
        <f t="shared" si="73"/>
        <v/>
      </c>
      <c r="U1461" s="58" t="str">
        <f t="shared" si="74"/>
        <v/>
      </c>
      <c r="V1461" s="58">
        <f>IF(AND($B1461&lt;&gt;"",$F1461&lt;&gt;"",$F1461=项目明细账!$C$2),N(V1460)+1,N(V1460))</f>
        <v>0</v>
      </c>
      <c r="W1461" s="63" t="str">
        <f>IF($H1461&lt;&gt;"","项目成本",IFERROR(INDEX(基础资料!$W$4:$W$49,MATCH($I1461,基础资料!$V$4:$V$49,0)),""))</f>
        <v/>
      </c>
      <c r="X1461" s="63" t="str">
        <f>IFERROR(INDEX(基础资料!$R$4:$R$17,MATCH($G1461,基础资料!$Q$4:$Q$17,0)),"")</f>
        <v/>
      </c>
    </row>
    <row r="1462" spans="1:24">
      <c r="A1462" s="58" t="str">
        <f>IF($B1462="","",COUNTA($B$5:$B1462))</f>
        <v/>
      </c>
      <c r="B1462" s="53"/>
      <c r="C1462" s="46"/>
      <c r="D1462" s="63" t="str">
        <f>IFERROR(INDEX(基础资料!$F$4:$F$23,MATCH($C1462,基础资料!$E$4:$E$23,0)),IF($C1462="","","未匹配账户"))</f>
        <v/>
      </c>
      <c r="E1462" s="39"/>
      <c r="F1462" s="10"/>
      <c r="G1462" s="10"/>
      <c r="H1462" s="10"/>
      <c r="I1462" s="10"/>
      <c r="J1462" s="10"/>
      <c r="K1462" s="25"/>
      <c r="L1462" s="25"/>
      <c r="M1462" s="25" t="str">
        <f>IFERROR(VLOOKUP($C1462,$C$5:$M$24,11,0)+SUMIF($C$25:$C1462,$C1462,$K$25:$K1462)-SUMIF($C$25:$C1462,$C1462,$L$25:$L1462),"")</f>
        <v/>
      </c>
      <c r="N1462" s="10"/>
      <c r="O1462" s="10"/>
      <c r="P1462" s="65"/>
      <c r="Q1462" s="10"/>
      <c r="R1462" s="10"/>
      <c r="S1462" s="54" t="str">
        <f t="shared" si="72"/>
        <v/>
      </c>
      <c r="T1462" s="54" t="str">
        <f t="shared" si="73"/>
        <v/>
      </c>
      <c r="U1462" s="58" t="str">
        <f t="shared" si="74"/>
        <v/>
      </c>
      <c r="V1462" s="58">
        <f>IF(AND($B1462&lt;&gt;"",$F1462&lt;&gt;"",$F1462=项目明细账!$C$2),N(V1461)+1,N(V1461))</f>
        <v>0</v>
      </c>
      <c r="W1462" s="63" t="str">
        <f>IF($H1462&lt;&gt;"","项目成本",IFERROR(INDEX(基础资料!$W$4:$W$49,MATCH($I1462,基础资料!$V$4:$V$49,0)),""))</f>
        <v/>
      </c>
      <c r="X1462" s="63" t="str">
        <f>IFERROR(INDEX(基础资料!$R$4:$R$17,MATCH($G1462,基础资料!$Q$4:$Q$17,0)),"")</f>
        <v/>
      </c>
    </row>
    <row r="1463" spans="1:24">
      <c r="A1463" s="58" t="str">
        <f>IF($B1463="","",COUNTA($B$5:$B1463))</f>
        <v/>
      </c>
      <c r="B1463" s="53"/>
      <c r="C1463" s="46"/>
      <c r="D1463" s="63" t="str">
        <f>IFERROR(INDEX(基础资料!$F$4:$F$23,MATCH($C1463,基础资料!$E$4:$E$23,0)),IF($C1463="","","未匹配账户"))</f>
        <v/>
      </c>
      <c r="E1463" s="39"/>
      <c r="F1463" s="10"/>
      <c r="G1463" s="10"/>
      <c r="H1463" s="10"/>
      <c r="I1463" s="10"/>
      <c r="J1463" s="10"/>
      <c r="K1463" s="25"/>
      <c r="L1463" s="25"/>
      <c r="M1463" s="25" t="str">
        <f>IFERROR(VLOOKUP($C1463,$C$5:$M$24,11,0)+SUMIF($C$25:$C1463,$C1463,$K$25:$K1463)-SUMIF($C$25:$C1463,$C1463,$L$25:$L1463),"")</f>
        <v/>
      </c>
      <c r="N1463" s="10"/>
      <c r="O1463" s="10"/>
      <c r="P1463" s="65"/>
      <c r="Q1463" s="10"/>
      <c r="R1463" s="10"/>
      <c r="S1463" s="54" t="str">
        <f t="shared" si="72"/>
        <v/>
      </c>
      <c r="T1463" s="54" t="str">
        <f t="shared" si="73"/>
        <v/>
      </c>
      <c r="U1463" s="58" t="str">
        <f t="shared" si="74"/>
        <v/>
      </c>
      <c r="V1463" s="58">
        <f>IF(AND($B1463&lt;&gt;"",$F1463&lt;&gt;"",$F1463=项目明细账!$C$2),N(V1462)+1,N(V1462))</f>
        <v>0</v>
      </c>
      <c r="W1463" s="63" t="str">
        <f>IF($H1463&lt;&gt;"","项目成本",IFERROR(INDEX(基础资料!$W$4:$W$49,MATCH($I1463,基础资料!$V$4:$V$49,0)),""))</f>
        <v/>
      </c>
      <c r="X1463" s="63" t="str">
        <f>IFERROR(INDEX(基础资料!$R$4:$R$17,MATCH($G1463,基础资料!$Q$4:$Q$17,0)),"")</f>
        <v/>
      </c>
    </row>
    <row r="1464" spans="1:24">
      <c r="A1464" s="58" t="str">
        <f>IF($B1464="","",COUNTA($B$5:$B1464))</f>
        <v/>
      </c>
      <c r="B1464" s="53"/>
      <c r="C1464" s="46"/>
      <c r="D1464" s="63" t="str">
        <f>IFERROR(INDEX(基础资料!$F$4:$F$23,MATCH($C1464,基础资料!$E$4:$E$23,0)),IF($C1464="","","未匹配账户"))</f>
        <v/>
      </c>
      <c r="E1464" s="39"/>
      <c r="F1464" s="10"/>
      <c r="G1464" s="10"/>
      <c r="H1464" s="10"/>
      <c r="I1464" s="10"/>
      <c r="J1464" s="10"/>
      <c r="K1464" s="25"/>
      <c r="L1464" s="25"/>
      <c r="M1464" s="25" t="str">
        <f>IFERROR(VLOOKUP($C1464,$C$5:$M$24,11,0)+SUMIF($C$25:$C1464,$C1464,$K$25:$K1464)-SUMIF($C$25:$C1464,$C1464,$L$25:$L1464),"")</f>
        <v/>
      </c>
      <c r="N1464" s="10"/>
      <c r="O1464" s="10"/>
      <c r="P1464" s="65"/>
      <c r="Q1464" s="10"/>
      <c r="R1464" s="10"/>
      <c r="S1464" s="54" t="str">
        <f t="shared" si="72"/>
        <v/>
      </c>
      <c r="T1464" s="54" t="str">
        <f t="shared" si="73"/>
        <v/>
      </c>
      <c r="U1464" s="58" t="str">
        <f t="shared" si="74"/>
        <v/>
      </c>
      <c r="V1464" s="58">
        <f>IF(AND($B1464&lt;&gt;"",$F1464&lt;&gt;"",$F1464=项目明细账!$C$2),N(V1463)+1,N(V1463))</f>
        <v>0</v>
      </c>
      <c r="W1464" s="63" t="str">
        <f>IF($H1464&lt;&gt;"","项目成本",IFERROR(INDEX(基础资料!$W$4:$W$49,MATCH($I1464,基础资料!$V$4:$V$49,0)),""))</f>
        <v/>
      </c>
      <c r="X1464" s="63" t="str">
        <f>IFERROR(INDEX(基础资料!$R$4:$R$17,MATCH($G1464,基础资料!$Q$4:$Q$17,0)),"")</f>
        <v/>
      </c>
    </row>
    <row r="1465" spans="1:24">
      <c r="A1465" s="58" t="str">
        <f>IF($B1465="","",COUNTA($B$5:$B1465))</f>
        <v/>
      </c>
      <c r="B1465" s="53"/>
      <c r="C1465" s="46"/>
      <c r="D1465" s="63" t="str">
        <f>IFERROR(INDEX(基础资料!$F$4:$F$23,MATCH($C1465,基础资料!$E$4:$E$23,0)),IF($C1465="","","未匹配账户"))</f>
        <v/>
      </c>
      <c r="E1465" s="39"/>
      <c r="F1465" s="10"/>
      <c r="G1465" s="10"/>
      <c r="H1465" s="10"/>
      <c r="I1465" s="10"/>
      <c r="J1465" s="10"/>
      <c r="K1465" s="25"/>
      <c r="L1465" s="25"/>
      <c r="M1465" s="25" t="str">
        <f>IFERROR(VLOOKUP($C1465,$C$5:$M$24,11,0)+SUMIF($C$25:$C1465,$C1465,$K$25:$K1465)-SUMIF($C$25:$C1465,$C1465,$L$25:$L1465),"")</f>
        <v/>
      </c>
      <c r="N1465" s="10"/>
      <c r="O1465" s="10"/>
      <c r="P1465" s="65"/>
      <c r="Q1465" s="10"/>
      <c r="R1465" s="10"/>
      <c r="S1465" s="54" t="str">
        <f t="shared" si="72"/>
        <v/>
      </c>
      <c r="T1465" s="54" t="str">
        <f t="shared" si="73"/>
        <v/>
      </c>
      <c r="U1465" s="58" t="str">
        <f t="shared" si="74"/>
        <v/>
      </c>
      <c r="V1465" s="58">
        <f>IF(AND($B1465&lt;&gt;"",$F1465&lt;&gt;"",$F1465=项目明细账!$C$2),N(V1464)+1,N(V1464))</f>
        <v>0</v>
      </c>
      <c r="W1465" s="63" t="str">
        <f>IF($H1465&lt;&gt;"","项目成本",IFERROR(INDEX(基础资料!$W$4:$W$49,MATCH($I1465,基础资料!$V$4:$V$49,0)),""))</f>
        <v/>
      </c>
      <c r="X1465" s="63" t="str">
        <f>IFERROR(INDEX(基础资料!$R$4:$R$17,MATCH($G1465,基础资料!$Q$4:$Q$17,0)),"")</f>
        <v/>
      </c>
    </row>
    <row r="1466" spans="1:24">
      <c r="A1466" s="58" t="str">
        <f>IF($B1466="","",COUNTA($B$5:$B1466))</f>
        <v/>
      </c>
      <c r="B1466" s="53"/>
      <c r="C1466" s="46"/>
      <c r="D1466" s="63" t="str">
        <f>IFERROR(INDEX(基础资料!$F$4:$F$23,MATCH($C1466,基础资料!$E$4:$E$23,0)),IF($C1466="","","未匹配账户"))</f>
        <v/>
      </c>
      <c r="E1466" s="39"/>
      <c r="F1466" s="10"/>
      <c r="G1466" s="10"/>
      <c r="H1466" s="10"/>
      <c r="I1466" s="10"/>
      <c r="J1466" s="10"/>
      <c r="K1466" s="25"/>
      <c r="L1466" s="25"/>
      <c r="M1466" s="25" t="str">
        <f>IFERROR(VLOOKUP($C1466,$C$5:$M$24,11,0)+SUMIF($C$25:$C1466,$C1466,$K$25:$K1466)-SUMIF($C$25:$C1466,$C1466,$L$25:$L1466),"")</f>
        <v/>
      </c>
      <c r="N1466" s="10"/>
      <c r="O1466" s="10"/>
      <c r="P1466" s="65"/>
      <c r="Q1466" s="10"/>
      <c r="R1466" s="10"/>
      <c r="S1466" s="54" t="str">
        <f t="shared" si="72"/>
        <v/>
      </c>
      <c r="T1466" s="54" t="str">
        <f t="shared" si="73"/>
        <v/>
      </c>
      <c r="U1466" s="58" t="str">
        <f t="shared" si="74"/>
        <v/>
      </c>
      <c r="V1466" s="58">
        <f>IF(AND($B1466&lt;&gt;"",$F1466&lt;&gt;"",$F1466=项目明细账!$C$2),N(V1465)+1,N(V1465))</f>
        <v>0</v>
      </c>
      <c r="W1466" s="63" t="str">
        <f>IF($H1466&lt;&gt;"","项目成本",IFERROR(INDEX(基础资料!$W$4:$W$49,MATCH($I1466,基础资料!$V$4:$V$49,0)),""))</f>
        <v/>
      </c>
      <c r="X1466" s="63" t="str">
        <f>IFERROR(INDEX(基础资料!$R$4:$R$17,MATCH($G1466,基础资料!$Q$4:$Q$17,0)),"")</f>
        <v/>
      </c>
    </row>
    <row r="1467" spans="1:24">
      <c r="A1467" s="58" t="str">
        <f>IF($B1467="","",COUNTA($B$5:$B1467))</f>
        <v/>
      </c>
      <c r="B1467" s="53"/>
      <c r="C1467" s="46"/>
      <c r="D1467" s="63" t="str">
        <f>IFERROR(INDEX(基础资料!$F$4:$F$23,MATCH($C1467,基础资料!$E$4:$E$23,0)),IF($C1467="","","未匹配账户"))</f>
        <v/>
      </c>
      <c r="E1467" s="39"/>
      <c r="F1467" s="10"/>
      <c r="G1467" s="10"/>
      <c r="H1467" s="10"/>
      <c r="I1467" s="10"/>
      <c r="J1467" s="10"/>
      <c r="K1467" s="25"/>
      <c r="L1467" s="25"/>
      <c r="M1467" s="25" t="str">
        <f>IFERROR(VLOOKUP($C1467,$C$5:$M$24,11,0)+SUMIF($C$25:$C1467,$C1467,$K$25:$K1467)-SUMIF($C$25:$C1467,$C1467,$L$25:$L1467),"")</f>
        <v/>
      </c>
      <c r="N1467" s="10"/>
      <c r="O1467" s="10"/>
      <c r="P1467" s="65"/>
      <c r="Q1467" s="10"/>
      <c r="R1467" s="10"/>
      <c r="S1467" s="54" t="str">
        <f t="shared" si="72"/>
        <v/>
      </c>
      <c r="T1467" s="54" t="str">
        <f t="shared" si="73"/>
        <v/>
      </c>
      <c r="U1467" s="58" t="str">
        <f t="shared" si="74"/>
        <v/>
      </c>
      <c r="V1467" s="58">
        <f>IF(AND($B1467&lt;&gt;"",$F1467&lt;&gt;"",$F1467=项目明细账!$C$2),N(V1466)+1,N(V1466))</f>
        <v>0</v>
      </c>
      <c r="W1467" s="63" t="str">
        <f>IF($H1467&lt;&gt;"","项目成本",IFERROR(INDEX(基础资料!$W$4:$W$49,MATCH($I1467,基础资料!$V$4:$V$49,0)),""))</f>
        <v/>
      </c>
      <c r="X1467" s="63" t="str">
        <f>IFERROR(INDEX(基础资料!$R$4:$R$17,MATCH($G1467,基础资料!$Q$4:$Q$17,0)),"")</f>
        <v/>
      </c>
    </row>
    <row r="1468" spans="1:24">
      <c r="A1468" s="58" t="str">
        <f>IF($B1468="","",COUNTA($B$5:$B1468))</f>
        <v/>
      </c>
      <c r="B1468" s="53"/>
      <c r="C1468" s="46"/>
      <c r="D1468" s="63" t="str">
        <f>IFERROR(INDEX(基础资料!$F$4:$F$23,MATCH($C1468,基础资料!$E$4:$E$23,0)),IF($C1468="","","未匹配账户"))</f>
        <v/>
      </c>
      <c r="E1468" s="39"/>
      <c r="F1468" s="10"/>
      <c r="G1468" s="10"/>
      <c r="H1468" s="10"/>
      <c r="I1468" s="10"/>
      <c r="J1468" s="10"/>
      <c r="K1468" s="25"/>
      <c r="L1468" s="25"/>
      <c r="M1468" s="25" t="str">
        <f>IFERROR(VLOOKUP($C1468,$C$5:$M$24,11,0)+SUMIF($C$25:$C1468,$C1468,$K$25:$K1468)-SUMIF($C$25:$C1468,$C1468,$L$25:$L1468),"")</f>
        <v/>
      </c>
      <c r="N1468" s="10"/>
      <c r="O1468" s="10"/>
      <c r="P1468" s="65"/>
      <c r="Q1468" s="10"/>
      <c r="R1468" s="10"/>
      <c r="S1468" s="54" t="str">
        <f t="shared" si="72"/>
        <v/>
      </c>
      <c r="T1468" s="54" t="str">
        <f t="shared" si="73"/>
        <v/>
      </c>
      <c r="U1468" s="58" t="str">
        <f t="shared" si="74"/>
        <v/>
      </c>
      <c r="V1468" s="58">
        <f>IF(AND($B1468&lt;&gt;"",$F1468&lt;&gt;"",$F1468=项目明细账!$C$2),N(V1467)+1,N(V1467))</f>
        <v>0</v>
      </c>
      <c r="W1468" s="63" t="str">
        <f>IF($H1468&lt;&gt;"","项目成本",IFERROR(INDEX(基础资料!$W$4:$W$49,MATCH($I1468,基础资料!$V$4:$V$49,0)),""))</f>
        <v/>
      </c>
      <c r="X1468" s="63" t="str">
        <f>IFERROR(INDEX(基础资料!$R$4:$R$17,MATCH($G1468,基础资料!$Q$4:$Q$17,0)),"")</f>
        <v/>
      </c>
    </row>
    <row r="1469" spans="1:24">
      <c r="A1469" s="58" t="str">
        <f>IF($B1469="","",COUNTA($B$5:$B1469))</f>
        <v/>
      </c>
      <c r="B1469" s="53"/>
      <c r="C1469" s="46"/>
      <c r="D1469" s="63" t="str">
        <f>IFERROR(INDEX(基础资料!$F$4:$F$23,MATCH($C1469,基础资料!$E$4:$E$23,0)),IF($C1469="","","未匹配账户"))</f>
        <v/>
      </c>
      <c r="E1469" s="39"/>
      <c r="F1469" s="10"/>
      <c r="G1469" s="10"/>
      <c r="H1469" s="10"/>
      <c r="I1469" s="10"/>
      <c r="J1469" s="10"/>
      <c r="K1469" s="25"/>
      <c r="L1469" s="25"/>
      <c r="M1469" s="25" t="str">
        <f>IFERROR(VLOOKUP($C1469,$C$5:$M$24,11,0)+SUMIF($C$25:$C1469,$C1469,$K$25:$K1469)-SUMIF($C$25:$C1469,$C1469,$L$25:$L1469),"")</f>
        <v/>
      </c>
      <c r="N1469" s="10"/>
      <c r="O1469" s="10"/>
      <c r="P1469" s="65"/>
      <c r="Q1469" s="10"/>
      <c r="R1469" s="10"/>
      <c r="S1469" s="54" t="str">
        <f t="shared" si="72"/>
        <v/>
      </c>
      <c r="T1469" s="54" t="str">
        <f t="shared" si="73"/>
        <v/>
      </c>
      <c r="U1469" s="58" t="str">
        <f t="shared" si="74"/>
        <v/>
      </c>
      <c r="V1469" s="58">
        <f>IF(AND($B1469&lt;&gt;"",$F1469&lt;&gt;"",$F1469=项目明细账!$C$2),N(V1468)+1,N(V1468))</f>
        <v>0</v>
      </c>
      <c r="W1469" s="63" t="str">
        <f>IF($H1469&lt;&gt;"","项目成本",IFERROR(INDEX(基础资料!$W$4:$W$49,MATCH($I1469,基础资料!$V$4:$V$49,0)),""))</f>
        <v/>
      </c>
      <c r="X1469" s="63" t="str">
        <f>IFERROR(INDEX(基础资料!$R$4:$R$17,MATCH($G1469,基础资料!$Q$4:$Q$17,0)),"")</f>
        <v/>
      </c>
    </row>
    <row r="1470" spans="1:24">
      <c r="A1470" s="58" t="str">
        <f>IF($B1470="","",COUNTA($B$5:$B1470))</f>
        <v/>
      </c>
      <c r="B1470" s="53"/>
      <c r="C1470" s="46"/>
      <c r="D1470" s="63" t="str">
        <f>IFERROR(INDEX(基础资料!$F$4:$F$23,MATCH($C1470,基础资料!$E$4:$E$23,0)),IF($C1470="","","未匹配账户"))</f>
        <v/>
      </c>
      <c r="E1470" s="39"/>
      <c r="F1470" s="10"/>
      <c r="G1470" s="10"/>
      <c r="H1470" s="10"/>
      <c r="I1470" s="10"/>
      <c r="J1470" s="10"/>
      <c r="K1470" s="25"/>
      <c r="L1470" s="25"/>
      <c r="M1470" s="25" t="str">
        <f>IFERROR(VLOOKUP($C1470,$C$5:$M$24,11,0)+SUMIF($C$25:$C1470,$C1470,$K$25:$K1470)-SUMIF($C$25:$C1470,$C1470,$L$25:$L1470),"")</f>
        <v/>
      </c>
      <c r="N1470" s="10"/>
      <c r="O1470" s="10"/>
      <c r="P1470" s="65"/>
      <c r="Q1470" s="10"/>
      <c r="R1470" s="10"/>
      <c r="S1470" s="54" t="str">
        <f t="shared" si="72"/>
        <v/>
      </c>
      <c r="T1470" s="54" t="str">
        <f t="shared" si="73"/>
        <v/>
      </c>
      <c r="U1470" s="58" t="str">
        <f t="shared" si="74"/>
        <v/>
      </c>
      <c r="V1470" s="58">
        <f>IF(AND($B1470&lt;&gt;"",$F1470&lt;&gt;"",$F1470=项目明细账!$C$2),N(V1469)+1,N(V1469))</f>
        <v>0</v>
      </c>
      <c r="W1470" s="63" t="str">
        <f>IF($H1470&lt;&gt;"","项目成本",IFERROR(INDEX(基础资料!$W$4:$W$49,MATCH($I1470,基础资料!$V$4:$V$49,0)),""))</f>
        <v/>
      </c>
      <c r="X1470" s="63" t="str">
        <f>IFERROR(INDEX(基础资料!$R$4:$R$17,MATCH($G1470,基础资料!$Q$4:$Q$17,0)),"")</f>
        <v/>
      </c>
    </row>
    <row r="1471" spans="1:24">
      <c r="A1471" s="58" t="str">
        <f>IF($B1471="","",COUNTA($B$5:$B1471))</f>
        <v/>
      </c>
      <c r="B1471" s="53"/>
      <c r="C1471" s="46"/>
      <c r="D1471" s="63" t="str">
        <f>IFERROR(INDEX(基础资料!$F$4:$F$23,MATCH($C1471,基础资料!$E$4:$E$23,0)),IF($C1471="","","未匹配账户"))</f>
        <v/>
      </c>
      <c r="E1471" s="39"/>
      <c r="F1471" s="10"/>
      <c r="G1471" s="10"/>
      <c r="H1471" s="10"/>
      <c r="I1471" s="10"/>
      <c r="J1471" s="10"/>
      <c r="K1471" s="25"/>
      <c r="L1471" s="25"/>
      <c r="M1471" s="25" t="str">
        <f>IFERROR(VLOOKUP($C1471,$C$5:$M$24,11,0)+SUMIF($C$25:$C1471,$C1471,$K$25:$K1471)-SUMIF($C$25:$C1471,$C1471,$L$25:$L1471),"")</f>
        <v/>
      </c>
      <c r="N1471" s="10"/>
      <c r="O1471" s="10"/>
      <c r="P1471" s="65"/>
      <c r="Q1471" s="10"/>
      <c r="R1471" s="10"/>
      <c r="S1471" s="54" t="str">
        <f t="shared" si="72"/>
        <v/>
      </c>
      <c r="T1471" s="54" t="str">
        <f t="shared" si="73"/>
        <v/>
      </c>
      <c r="U1471" s="58" t="str">
        <f t="shared" si="74"/>
        <v/>
      </c>
      <c r="V1471" s="58">
        <f>IF(AND($B1471&lt;&gt;"",$F1471&lt;&gt;"",$F1471=项目明细账!$C$2),N(V1470)+1,N(V1470))</f>
        <v>0</v>
      </c>
      <c r="W1471" s="63" t="str">
        <f>IF($H1471&lt;&gt;"","项目成本",IFERROR(INDEX(基础资料!$W$4:$W$49,MATCH($I1471,基础资料!$V$4:$V$49,0)),""))</f>
        <v/>
      </c>
      <c r="X1471" s="63" t="str">
        <f>IFERROR(INDEX(基础资料!$R$4:$R$17,MATCH($G1471,基础资料!$Q$4:$Q$17,0)),"")</f>
        <v/>
      </c>
    </row>
    <row r="1472" spans="1:24">
      <c r="A1472" s="58" t="str">
        <f>IF($B1472="","",COUNTA($B$5:$B1472))</f>
        <v/>
      </c>
      <c r="B1472" s="53"/>
      <c r="C1472" s="46"/>
      <c r="D1472" s="63" t="str">
        <f>IFERROR(INDEX(基础资料!$F$4:$F$23,MATCH($C1472,基础资料!$E$4:$E$23,0)),IF($C1472="","","未匹配账户"))</f>
        <v/>
      </c>
      <c r="E1472" s="39"/>
      <c r="F1472" s="10"/>
      <c r="G1472" s="10"/>
      <c r="H1472" s="10"/>
      <c r="I1472" s="10"/>
      <c r="J1472" s="10"/>
      <c r="K1472" s="25"/>
      <c r="L1472" s="25"/>
      <c r="M1472" s="25" t="str">
        <f>IFERROR(VLOOKUP($C1472,$C$5:$M$24,11,0)+SUMIF($C$25:$C1472,$C1472,$K$25:$K1472)-SUMIF($C$25:$C1472,$C1472,$L$25:$L1472),"")</f>
        <v/>
      </c>
      <c r="N1472" s="10"/>
      <c r="O1472" s="10"/>
      <c r="P1472" s="65"/>
      <c r="Q1472" s="10"/>
      <c r="R1472" s="10"/>
      <c r="S1472" s="54" t="str">
        <f t="shared" si="72"/>
        <v/>
      </c>
      <c r="T1472" s="54" t="str">
        <f t="shared" si="73"/>
        <v/>
      </c>
      <c r="U1472" s="58" t="str">
        <f t="shared" si="74"/>
        <v/>
      </c>
      <c r="V1472" s="58">
        <f>IF(AND($B1472&lt;&gt;"",$F1472&lt;&gt;"",$F1472=项目明细账!$C$2),N(V1471)+1,N(V1471))</f>
        <v>0</v>
      </c>
      <c r="W1472" s="63" t="str">
        <f>IF($H1472&lt;&gt;"","项目成本",IFERROR(INDEX(基础资料!$W$4:$W$49,MATCH($I1472,基础资料!$V$4:$V$49,0)),""))</f>
        <v/>
      </c>
      <c r="X1472" s="63" t="str">
        <f>IFERROR(INDEX(基础资料!$R$4:$R$17,MATCH($G1472,基础资料!$Q$4:$Q$17,0)),"")</f>
        <v/>
      </c>
    </row>
    <row r="1473" spans="1:24">
      <c r="A1473" s="58" t="str">
        <f>IF($B1473="","",COUNTA($B$5:$B1473))</f>
        <v/>
      </c>
      <c r="B1473" s="53"/>
      <c r="C1473" s="46"/>
      <c r="D1473" s="63" t="str">
        <f>IFERROR(INDEX(基础资料!$F$4:$F$23,MATCH($C1473,基础资料!$E$4:$E$23,0)),IF($C1473="","","未匹配账户"))</f>
        <v/>
      </c>
      <c r="E1473" s="39"/>
      <c r="F1473" s="10"/>
      <c r="G1473" s="10"/>
      <c r="H1473" s="10"/>
      <c r="I1473" s="10"/>
      <c r="J1473" s="10"/>
      <c r="K1473" s="25"/>
      <c r="L1473" s="25"/>
      <c r="M1473" s="25" t="str">
        <f>IFERROR(VLOOKUP($C1473,$C$5:$M$24,11,0)+SUMIF($C$25:$C1473,$C1473,$K$25:$K1473)-SUMIF($C$25:$C1473,$C1473,$L$25:$L1473),"")</f>
        <v/>
      </c>
      <c r="N1473" s="10"/>
      <c r="O1473" s="10"/>
      <c r="P1473" s="65"/>
      <c r="Q1473" s="10"/>
      <c r="R1473" s="10"/>
      <c r="S1473" s="54" t="str">
        <f t="shared" si="72"/>
        <v/>
      </c>
      <c r="T1473" s="54" t="str">
        <f t="shared" si="73"/>
        <v/>
      </c>
      <c r="U1473" s="58" t="str">
        <f t="shared" si="74"/>
        <v/>
      </c>
      <c r="V1473" s="58">
        <f>IF(AND($B1473&lt;&gt;"",$F1473&lt;&gt;"",$F1473=项目明细账!$C$2),N(V1472)+1,N(V1472))</f>
        <v>0</v>
      </c>
      <c r="W1473" s="63" t="str">
        <f>IF($H1473&lt;&gt;"","项目成本",IFERROR(INDEX(基础资料!$W$4:$W$49,MATCH($I1473,基础资料!$V$4:$V$49,0)),""))</f>
        <v/>
      </c>
      <c r="X1473" s="63" t="str">
        <f>IFERROR(INDEX(基础资料!$R$4:$R$17,MATCH($G1473,基础资料!$Q$4:$Q$17,0)),"")</f>
        <v/>
      </c>
    </row>
    <row r="1474" spans="1:24">
      <c r="A1474" s="58" t="str">
        <f>IF($B1474="","",COUNTA($B$5:$B1474))</f>
        <v/>
      </c>
      <c r="B1474" s="53"/>
      <c r="C1474" s="46"/>
      <c r="D1474" s="63" t="str">
        <f>IFERROR(INDEX(基础资料!$F$4:$F$23,MATCH($C1474,基础资料!$E$4:$E$23,0)),IF($C1474="","","未匹配账户"))</f>
        <v/>
      </c>
      <c r="E1474" s="39"/>
      <c r="F1474" s="10"/>
      <c r="G1474" s="10"/>
      <c r="H1474" s="10"/>
      <c r="I1474" s="10"/>
      <c r="J1474" s="10"/>
      <c r="K1474" s="25"/>
      <c r="L1474" s="25"/>
      <c r="M1474" s="25" t="str">
        <f>IFERROR(VLOOKUP($C1474,$C$5:$M$24,11,0)+SUMIF($C$25:$C1474,$C1474,$K$25:$K1474)-SUMIF($C$25:$C1474,$C1474,$L$25:$L1474),"")</f>
        <v/>
      </c>
      <c r="N1474" s="10"/>
      <c r="O1474" s="10"/>
      <c r="P1474" s="65"/>
      <c r="Q1474" s="10"/>
      <c r="R1474" s="10"/>
      <c r="S1474" s="54" t="str">
        <f t="shared" si="72"/>
        <v/>
      </c>
      <c r="T1474" s="54" t="str">
        <f t="shared" si="73"/>
        <v/>
      </c>
      <c r="U1474" s="58" t="str">
        <f t="shared" si="74"/>
        <v/>
      </c>
      <c r="V1474" s="58">
        <f>IF(AND($B1474&lt;&gt;"",$F1474&lt;&gt;"",$F1474=项目明细账!$C$2),N(V1473)+1,N(V1473))</f>
        <v>0</v>
      </c>
      <c r="W1474" s="63" t="str">
        <f>IF($H1474&lt;&gt;"","项目成本",IFERROR(INDEX(基础资料!$W$4:$W$49,MATCH($I1474,基础资料!$V$4:$V$49,0)),""))</f>
        <v/>
      </c>
      <c r="X1474" s="63" t="str">
        <f>IFERROR(INDEX(基础资料!$R$4:$R$17,MATCH($G1474,基础资料!$Q$4:$Q$17,0)),"")</f>
        <v/>
      </c>
    </row>
    <row r="1475" spans="1:24">
      <c r="A1475" s="58" t="str">
        <f>IF($B1475="","",COUNTA($B$5:$B1475))</f>
        <v/>
      </c>
      <c r="B1475" s="53"/>
      <c r="C1475" s="46"/>
      <c r="D1475" s="63" t="str">
        <f>IFERROR(INDEX(基础资料!$F$4:$F$23,MATCH($C1475,基础资料!$E$4:$E$23,0)),IF($C1475="","","未匹配账户"))</f>
        <v/>
      </c>
      <c r="E1475" s="39"/>
      <c r="F1475" s="10"/>
      <c r="G1475" s="10"/>
      <c r="H1475" s="10"/>
      <c r="I1475" s="10"/>
      <c r="J1475" s="10"/>
      <c r="K1475" s="25"/>
      <c r="L1475" s="25"/>
      <c r="M1475" s="25" t="str">
        <f>IFERROR(VLOOKUP($C1475,$C$5:$M$24,11,0)+SUMIF($C$25:$C1475,$C1475,$K$25:$K1475)-SUMIF($C$25:$C1475,$C1475,$L$25:$L1475),"")</f>
        <v/>
      </c>
      <c r="N1475" s="10"/>
      <c r="O1475" s="10"/>
      <c r="P1475" s="65"/>
      <c r="Q1475" s="10"/>
      <c r="R1475" s="10"/>
      <c r="S1475" s="54" t="str">
        <f t="shared" si="72"/>
        <v/>
      </c>
      <c r="T1475" s="54" t="str">
        <f t="shared" si="73"/>
        <v/>
      </c>
      <c r="U1475" s="58" t="str">
        <f t="shared" si="74"/>
        <v/>
      </c>
      <c r="V1475" s="58">
        <f>IF(AND($B1475&lt;&gt;"",$F1475&lt;&gt;"",$F1475=项目明细账!$C$2),N(V1474)+1,N(V1474))</f>
        <v>0</v>
      </c>
      <c r="W1475" s="63" t="str">
        <f>IF($H1475&lt;&gt;"","项目成本",IFERROR(INDEX(基础资料!$W$4:$W$49,MATCH($I1475,基础资料!$V$4:$V$49,0)),""))</f>
        <v/>
      </c>
      <c r="X1475" s="63" t="str">
        <f>IFERROR(INDEX(基础资料!$R$4:$R$17,MATCH($G1475,基础资料!$Q$4:$Q$17,0)),"")</f>
        <v/>
      </c>
    </row>
    <row r="1476" spans="1:24">
      <c r="A1476" s="58" t="str">
        <f>IF($B1476="","",COUNTA($B$5:$B1476))</f>
        <v/>
      </c>
      <c r="B1476" s="53"/>
      <c r="C1476" s="46"/>
      <c r="D1476" s="63" t="str">
        <f>IFERROR(INDEX(基础资料!$F$4:$F$23,MATCH($C1476,基础资料!$E$4:$E$23,0)),IF($C1476="","","未匹配账户"))</f>
        <v/>
      </c>
      <c r="E1476" s="39"/>
      <c r="F1476" s="10"/>
      <c r="G1476" s="10"/>
      <c r="H1476" s="10"/>
      <c r="I1476" s="10"/>
      <c r="J1476" s="10"/>
      <c r="K1476" s="25"/>
      <c r="L1476" s="25"/>
      <c r="M1476" s="25" t="str">
        <f>IFERROR(VLOOKUP($C1476,$C$5:$M$24,11,0)+SUMIF($C$25:$C1476,$C1476,$K$25:$K1476)-SUMIF($C$25:$C1476,$C1476,$L$25:$L1476),"")</f>
        <v/>
      </c>
      <c r="N1476" s="10"/>
      <c r="O1476" s="10"/>
      <c r="P1476" s="65"/>
      <c r="Q1476" s="10"/>
      <c r="R1476" s="10"/>
      <c r="S1476" s="54" t="str">
        <f t="shared" si="72"/>
        <v/>
      </c>
      <c r="T1476" s="54" t="str">
        <f t="shared" si="73"/>
        <v/>
      </c>
      <c r="U1476" s="58" t="str">
        <f t="shared" si="74"/>
        <v/>
      </c>
      <c r="V1476" s="58">
        <f>IF(AND($B1476&lt;&gt;"",$F1476&lt;&gt;"",$F1476=项目明细账!$C$2),N(V1475)+1,N(V1475))</f>
        <v>0</v>
      </c>
      <c r="W1476" s="63" t="str">
        <f>IF($H1476&lt;&gt;"","项目成本",IFERROR(INDEX(基础资料!$W$4:$W$49,MATCH($I1476,基础资料!$V$4:$V$49,0)),""))</f>
        <v/>
      </c>
      <c r="X1476" s="63" t="str">
        <f>IFERROR(INDEX(基础资料!$R$4:$R$17,MATCH($G1476,基础资料!$Q$4:$Q$17,0)),"")</f>
        <v/>
      </c>
    </row>
    <row r="1477" spans="1:24">
      <c r="A1477" s="58" t="str">
        <f>IF($B1477="","",COUNTA($B$5:$B1477))</f>
        <v/>
      </c>
      <c r="B1477" s="53"/>
      <c r="C1477" s="46"/>
      <c r="D1477" s="63" t="str">
        <f>IFERROR(INDEX(基础资料!$F$4:$F$23,MATCH($C1477,基础资料!$E$4:$E$23,0)),IF($C1477="","","未匹配账户"))</f>
        <v/>
      </c>
      <c r="E1477" s="39"/>
      <c r="F1477" s="10"/>
      <c r="G1477" s="10"/>
      <c r="H1477" s="10"/>
      <c r="I1477" s="10"/>
      <c r="J1477" s="10"/>
      <c r="K1477" s="25"/>
      <c r="L1477" s="25"/>
      <c r="M1477" s="25" t="str">
        <f>IFERROR(VLOOKUP($C1477,$C$5:$M$24,11,0)+SUMIF($C$25:$C1477,$C1477,$K$25:$K1477)-SUMIF($C$25:$C1477,$C1477,$L$25:$L1477),"")</f>
        <v/>
      </c>
      <c r="N1477" s="10"/>
      <c r="O1477" s="10"/>
      <c r="P1477" s="65"/>
      <c r="Q1477" s="10"/>
      <c r="R1477" s="10"/>
      <c r="S1477" s="54" t="str">
        <f t="shared" si="72"/>
        <v/>
      </c>
      <c r="T1477" s="54" t="str">
        <f t="shared" si="73"/>
        <v/>
      </c>
      <c r="U1477" s="58" t="str">
        <f t="shared" si="74"/>
        <v/>
      </c>
      <c r="V1477" s="58">
        <f>IF(AND($B1477&lt;&gt;"",$F1477&lt;&gt;"",$F1477=项目明细账!$C$2),N(V1476)+1,N(V1476))</f>
        <v>0</v>
      </c>
      <c r="W1477" s="63" t="str">
        <f>IF($H1477&lt;&gt;"","项目成本",IFERROR(INDEX(基础资料!$W$4:$W$49,MATCH($I1477,基础资料!$V$4:$V$49,0)),""))</f>
        <v/>
      </c>
      <c r="X1477" s="63" t="str">
        <f>IFERROR(INDEX(基础资料!$R$4:$R$17,MATCH($G1477,基础资料!$Q$4:$Q$17,0)),"")</f>
        <v/>
      </c>
    </row>
    <row r="1478" spans="1:24">
      <c r="A1478" s="58" t="str">
        <f>IF($B1478="","",COUNTA($B$5:$B1478))</f>
        <v/>
      </c>
      <c r="B1478" s="53"/>
      <c r="C1478" s="46"/>
      <c r="D1478" s="63" t="str">
        <f>IFERROR(INDEX(基础资料!$F$4:$F$23,MATCH($C1478,基础资料!$E$4:$E$23,0)),IF($C1478="","","未匹配账户"))</f>
        <v/>
      </c>
      <c r="E1478" s="39"/>
      <c r="F1478" s="10"/>
      <c r="G1478" s="10"/>
      <c r="H1478" s="10"/>
      <c r="I1478" s="10"/>
      <c r="J1478" s="10"/>
      <c r="K1478" s="25"/>
      <c r="L1478" s="25"/>
      <c r="M1478" s="25" t="str">
        <f>IFERROR(VLOOKUP($C1478,$C$5:$M$24,11,0)+SUMIF($C$25:$C1478,$C1478,$K$25:$K1478)-SUMIF($C$25:$C1478,$C1478,$L$25:$L1478),"")</f>
        <v/>
      </c>
      <c r="N1478" s="10"/>
      <c r="O1478" s="10"/>
      <c r="P1478" s="65"/>
      <c r="Q1478" s="10"/>
      <c r="R1478" s="10"/>
      <c r="S1478" s="54" t="str">
        <f t="shared" si="72"/>
        <v/>
      </c>
      <c r="T1478" s="54" t="str">
        <f t="shared" si="73"/>
        <v/>
      </c>
      <c r="U1478" s="58" t="str">
        <f t="shared" si="74"/>
        <v/>
      </c>
      <c r="V1478" s="58">
        <f>IF(AND($B1478&lt;&gt;"",$F1478&lt;&gt;"",$F1478=项目明细账!$C$2),N(V1477)+1,N(V1477))</f>
        <v>0</v>
      </c>
      <c r="W1478" s="63" t="str">
        <f>IF($H1478&lt;&gt;"","项目成本",IFERROR(INDEX(基础资料!$W$4:$W$49,MATCH($I1478,基础资料!$V$4:$V$49,0)),""))</f>
        <v/>
      </c>
      <c r="X1478" s="63" t="str">
        <f>IFERROR(INDEX(基础资料!$R$4:$R$17,MATCH($G1478,基础资料!$Q$4:$Q$17,0)),"")</f>
        <v/>
      </c>
    </row>
    <row r="1479" spans="1:24">
      <c r="A1479" s="58" t="str">
        <f>IF($B1479="","",COUNTA($B$5:$B1479))</f>
        <v/>
      </c>
      <c r="B1479" s="53"/>
      <c r="C1479" s="46"/>
      <c r="D1479" s="63" t="str">
        <f>IFERROR(INDEX(基础资料!$F$4:$F$23,MATCH($C1479,基础资料!$E$4:$E$23,0)),IF($C1479="","","未匹配账户"))</f>
        <v/>
      </c>
      <c r="E1479" s="39"/>
      <c r="F1479" s="10"/>
      <c r="G1479" s="10"/>
      <c r="H1479" s="10"/>
      <c r="I1479" s="10"/>
      <c r="J1479" s="10"/>
      <c r="K1479" s="25"/>
      <c r="L1479" s="25"/>
      <c r="M1479" s="25" t="str">
        <f>IFERROR(VLOOKUP($C1479,$C$5:$M$24,11,0)+SUMIF($C$25:$C1479,$C1479,$K$25:$K1479)-SUMIF($C$25:$C1479,$C1479,$L$25:$L1479),"")</f>
        <v/>
      </c>
      <c r="N1479" s="10"/>
      <c r="O1479" s="10"/>
      <c r="P1479" s="65"/>
      <c r="Q1479" s="10"/>
      <c r="R1479" s="10"/>
      <c r="S1479" s="54" t="str">
        <f t="shared" ref="S1479:S1542" si="75">IF($B1479="","",--TEXT($B1479,"yyyymm"))</f>
        <v/>
      </c>
      <c r="T1479" s="54" t="str">
        <f t="shared" ref="T1479:T1542" si="76">IF($B1479="","",IF($P1479="",$S1479,IFERROR($P1479*1,$P1479)))</f>
        <v/>
      </c>
      <c r="U1479" s="58" t="str">
        <f t="shared" ref="U1479:U1542" si="77">IF($B1479="","",IF($T1479=$S1479,"","跨期"))</f>
        <v/>
      </c>
      <c r="V1479" s="58">
        <f>IF(AND($B1479&lt;&gt;"",$F1479&lt;&gt;"",$F1479=项目明细账!$C$2),N(V1478)+1,N(V1478))</f>
        <v>0</v>
      </c>
      <c r="W1479" s="63" t="str">
        <f>IF($H1479&lt;&gt;"","项目成本",IFERROR(INDEX(基础资料!$W$4:$W$49,MATCH($I1479,基础资料!$V$4:$V$49,0)),""))</f>
        <v/>
      </c>
      <c r="X1479" s="63" t="str">
        <f>IFERROR(INDEX(基础资料!$R$4:$R$17,MATCH($G1479,基础资料!$Q$4:$Q$17,0)),"")</f>
        <v/>
      </c>
    </row>
    <row r="1480" spans="1:24">
      <c r="A1480" s="58" t="str">
        <f>IF($B1480="","",COUNTA($B$5:$B1480))</f>
        <v/>
      </c>
      <c r="B1480" s="53"/>
      <c r="C1480" s="46"/>
      <c r="D1480" s="63" t="str">
        <f>IFERROR(INDEX(基础资料!$F$4:$F$23,MATCH($C1480,基础资料!$E$4:$E$23,0)),IF($C1480="","","未匹配账户"))</f>
        <v/>
      </c>
      <c r="E1480" s="39"/>
      <c r="F1480" s="10"/>
      <c r="G1480" s="10"/>
      <c r="H1480" s="10"/>
      <c r="I1480" s="10"/>
      <c r="J1480" s="10"/>
      <c r="K1480" s="25"/>
      <c r="L1480" s="25"/>
      <c r="M1480" s="25" t="str">
        <f>IFERROR(VLOOKUP($C1480,$C$5:$M$24,11,0)+SUMIF($C$25:$C1480,$C1480,$K$25:$K1480)-SUMIF($C$25:$C1480,$C1480,$L$25:$L1480),"")</f>
        <v/>
      </c>
      <c r="N1480" s="10"/>
      <c r="O1480" s="10"/>
      <c r="P1480" s="65"/>
      <c r="Q1480" s="10"/>
      <c r="R1480" s="10"/>
      <c r="S1480" s="54" t="str">
        <f t="shared" si="75"/>
        <v/>
      </c>
      <c r="T1480" s="54" t="str">
        <f t="shared" si="76"/>
        <v/>
      </c>
      <c r="U1480" s="58" t="str">
        <f t="shared" si="77"/>
        <v/>
      </c>
      <c r="V1480" s="58">
        <f>IF(AND($B1480&lt;&gt;"",$F1480&lt;&gt;"",$F1480=项目明细账!$C$2),N(V1479)+1,N(V1479))</f>
        <v>0</v>
      </c>
      <c r="W1480" s="63" t="str">
        <f>IF($H1480&lt;&gt;"","项目成本",IFERROR(INDEX(基础资料!$W$4:$W$49,MATCH($I1480,基础资料!$V$4:$V$49,0)),""))</f>
        <v/>
      </c>
      <c r="X1480" s="63" t="str">
        <f>IFERROR(INDEX(基础资料!$R$4:$R$17,MATCH($G1480,基础资料!$Q$4:$Q$17,0)),"")</f>
        <v/>
      </c>
    </row>
    <row r="1481" spans="1:24">
      <c r="A1481" s="58" t="str">
        <f>IF($B1481="","",COUNTA($B$5:$B1481))</f>
        <v/>
      </c>
      <c r="B1481" s="53"/>
      <c r="C1481" s="46"/>
      <c r="D1481" s="63" t="str">
        <f>IFERROR(INDEX(基础资料!$F$4:$F$23,MATCH($C1481,基础资料!$E$4:$E$23,0)),IF($C1481="","","未匹配账户"))</f>
        <v/>
      </c>
      <c r="E1481" s="39"/>
      <c r="F1481" s="10"/>
      <c r="G1481" s="10"/>
      <c r="H1481" s="10"/>
      <c r="I1481" s="10"/>
      <c r="J1481" s="10"/>
      <c r="K1481" s="25"/>
      <c r="L1481" s="25"/>
      <c r="M1481" s="25" t="str">
        <f>IFERROR(VLOOKUP($C1481,$C$5:$M$24,11,0)+SUMIF($C$25:$C1481,$C1481,$K$25:$K1481)-SUMIF($C$25:$C1481,$C1481,$L$25:$L1481),"")</f>
        <v/>
      </c>
      <c r="N1481" s="10"/>
      <c r="O1481" s="10"/>
      <c r="P1481" s="65"/>
      <c r="Q1481" s="10"/>
      <c r="R1481" s="10"/>
      <c r="S1481" s="54" t="str">
        <f t="shared" si="75"/>
        <v/>
      </c>
      <c r="T1481" s="54" t="str">
        <f t="shared" si="76"/>
        <v/>
      </c>
      <c r="U1481" s="58" t="str">
        <f t="shared" si="77"/>
        <v/>
      </c>
      <c r="V1481" s="58">
        <f>IF(AND($B1481&lt;&gt;"",$F1481&lt;&gt;"",$F1481=项目明细账!$C$2),N(V1480)+1,N(V1480))</f>
        <v>0</v>
      </c>
      <c r="W1481" s="63" t="str">
        <f>IF($H1481&lt;&gt;"","项目成本",IFERROR(INDEX(基础资料!$W$4:$W$49,MATCH($I1481,基础资料!$V$4:$V$49,0)),""))</f>
        <v/>
      </c>
      <c r="X1481" s="63" t="str">
        <f>IFERROR(INDEX(基础资料!$R$4:$R$17,MATCH($G1481,基础资料!$Q$4:$Q$17,0)),"")</f>
        <v/>
      </c>
    </row>
    <row r="1482" spans="1:24">
      <c r="A1482" s="58" t="str">
        <f>IF($B1482="","",COUNTA($B$5:$B1482))</f>
        <v/>
      </c>
      <c r="B1482" s="53"/>
      <c r="C1482" s="46"/>
      <c r="D1482" s="63" t="str">
        <f>IFERROR(INDEX(基础资料!$F$4:$F$23,MATCH($C1482,基础资料!$E$4:$E$23,0)),IF($C1482="","","未匹配账户"))</f>
        <v/>
      </c>
      <c r="E1482" s="39"/>
      <c r="F1482" s="10"/>
      <c r="G1482" s="10"/>
      <c r="H1482" s="10"/>
      <c r="I1482" s="10"/>
      <c r="J1482" s="10"/>
      <c r="K1482" s="25"/>
      <c r="L1482" s="25"/>
      <c r="M1482" s="25" t="str">
        <f>IFERROR(VLOOKUP($C1482,$C$5:$M$24,11,0)+SUMIF($C$25:$C1482,$C1482,$K$25:$K1482)-SUMIF($C$25:$C1482,$C1482,$L$25:$L1482),"")</f>
        <v/>
      </c>
      <c r="N1482" s="10"/>
      <c r="O1482" s="10"/>
      <c r="P1482" s="65"/>
      <c r="Q1482" s="10"/>
      <c r="R1482" s="10"/>
      <c r="S1482" s="54" t="str">
        <f t="shared" si="75"/>
        <v/>
      </c>
      <c r="T1482" s="54" t="str">
        <f t="shared" si="76"/>
        <v/>
      </c>
      <c r="U1482" s="58" t="str">
        <f t="shared" si="77"/>
        <v/>
      </c>
      <c r="V1482" s="58">
        <f>IF(AND($B1482&lt;&gt;"",$F1482&lt;&gt;"",$F1482=项目明细账!$C$2),N(V1481)+1,N(V1481))</f>
        <v>0</v>
      </c>
      <c r="W1482" s="63" t="str">
        <f>IF($H1482&lt;&gt;"","项目成本",IFERROR(INDEX(基础资料!$W$4:$W$49,MATCH($I1482,基础资料!$V$4:$V$49,0)),""))</f>
        <v/>
      </c>
      <c r="X1482" s="63" t="str">
        <f>IFERROR(INDEX(基础资料!$R$4:$R$17,MATCH($G1482,基础资料!$Q$4:$Q$17,0)),"")</f>
        <v/>
      </c>
    </row>
    <row r="1483" spans="1:24">
      <c r="A1483" s="58" t="str">
        <f>IF($B1483="","",COUNTA($B$5:$B1483))</f>
        <v/>
      </c>
      <c r="B1483" s="53"/>
      <c r="C1483" s="46"/>
      <c r="D1483" s="63" t="str">
        <f>IFERROR(INDEX(基础资料!$F$4:$F$23,MATCH($C1483,基础资料!$E$4:$E$23,0)),IF($C1483="","","未匹配账户"))</f>
        <v/>
      </c>
      <c r="E1483" s="39"/>
      <c r="F1483" s="10"/>
      <c r="G1483" s="10"/>
      <c r="H1483" s="10"/>
      <c r="I1483" s="10"/>
      <c r="J1483" s="10"/>
      <c r="K1483" s="25"/>
      <c r="L1483" s="25"/>
      <c r="M1483" s="25" t="str">
        <f>IFERROR(VLOOKUP($C1483,$C$5:$M$24,11,0)+SUMIF($C$25:$C1483,$C1483,$K$25:$K1483)-SUMIF($C$25:$C1483,$C1483,$L$25:$L1483),"")</f>
        <v/>
      </c>
      <c r="N1483" s="10"/>
      <c r="O1483" s="10"/>
      <c r="P1483" s="65"/>
      <c r="Q1483" s="10"/>
      <c r="R1483" s="10"/>
      <c r="S1483" s="54" t="str">
        <f t="shared" si="75"/>
        <v/>
      </c>
      <c r="T1483" s="54" t="str">
        <f t="shared" si="76"/>
        <v/>
      </c>
      <c r="U1483" s="58" t="str">
        <f t="shared" si="77"/>
        <v/>
      </c>
      <c r="V1483" s="58">
        <f>IF(AND($B1483&lt;&gt;"",$F1483&lt;&gt;"",$F1483=项目明细账!$C$2),N(V1482)+1,N(V1482))</f>
        <v>0</v>
      </c>
      <c r="W1483" s="63" t="str">
        <f>IF($H1483&lt;&gt;"","项目成本",IFERROR(INDEX(基础资料!$W$4:$W$49,MATCH($I1483,基础资料!$V$4:$V$49,0)),""))</f>
        <v/>
      </c>
      <c r="X1483" s="63" t="str">
        <f>IFERROR(INDEX(基础资料!$R$4:$R$17,MATCH($G1483,基础资料!$Q$4:$Q$17,0)),"")</f>
        <v/>
      </c>
    </row>
    <row r="1484" spans="1:24">
      <c r="A1484" s="58" t="str">
        <f>IF($B1484="","",COUNTA($B$5:$B1484))</f>
        <v/>
      </c>
      <c r="B1484" s="53"/>
      <c r="C1484" s="46"/>
      <c r="D1484" s="63" t="str">
        <f>IFERROR(INDEX(基础资料!$F$4:$F$23,MATCH($C1484,基础资料!$E$4:$E$23,0)),IF($C1484="","","未匹配账户"))</f>
        <v/>
      </c>
      <c r="E1484" s="39"/>
      <c r="F1484" s="10"/>
      <c r="G1484" s="10"/>
      <c r="H1484" s="10"/>
      <c r="I1484" s="10"/>
      <c r="J1484" s="10"/>
      <c r="K1484" s="25"/>
      <c r="L1484" s="25"/>
      <c r="M1484" s="25" t="str">
        <f>IFERROR(VLOOKUP($C1484,$C$5:$M$24,11,0)+SUMIF($C$25:$C1484,$C1484,$K$25:$K1484)-SUMIF($C$25:$C1484,$C1484,$L$25:$L1484),"")</f>
        <v/>
      </c>
      <c r="N1484" s="10"/>
      <c r="O1484" s="10"/>
      <c r="P1484" s="65"/>
      <c r="Q1484" s="10"/>
      <c r="R1484" s="10"/>
      <c r="S1484" s="54" t="str">
        <f t="shared" si="75"/>
        <v/>
      </c>
      <c r="T1484" s="54" t="str">
        <f t="shared" si="76"/>
        <v/>
      </c>
      <c r="U1484" s="58" t="str">
        <f t="shared" si="77"/>
        <v/>
      </c>
      <c r="V1484" s="58">
        <f>IF(AND($B1484&lt;&gt;"",$F1484&lt;&gt;"",$F1484=项目明细账!$C$2),N(V1483)+1,N(V1483))</f>
        <v>0</v>
      </c>
      <c r="W1484" s="63" t="str">
        <f>IF($H1484&lt;&gt;"","项目成本",IFERROR(INDEX(基础资料!$W$4:$W$49,MATCH($I1484,基础资料!$V$4:$V$49,0)),""))</f>
        <v/>
      </c>
      <c r="X1484" s="63" t="str">
        <f>IFERROR(INDEX(基础资料!$R$4:$R$17,MATCH($G1484,基础资料!$Q$4:$Q$17,0)),"")</f>
        <v/>
      </c>
    </row>
    <row r="1485" spans="1:24">
      <c r="A1485" s="58" t="str">
        <f>IF($B1485="","",COUNTA($B$5:$B1485))</f>
        <v/>
      </c>
      <c r="B1485" s="53"/>
      <c r="C1485" s="46"/>
      <c r="D1485" s="63" t="str">
        <f>IFERROR(INDEX(基础资料!$F$4:$F$23,MATCH($C1485,基础资料!$E$4:$E$23,0)),IF($C1485="","","未匹配账户"))</f>
        <v/>
      </c>
      <c r="E1485" s="39"/>
      <c r="F1485" s="10"/>
      <c r="G1485" s="10"/>
      <c r="H1485" s="10"/>
      <c r="I1485" s="10"/>
      <c r="J1485" s="10"/>
      <c r="K1485" s="25"/>
      <c r="L1485" s="25"/>
      <c r="M1485" s="25" t="str">
        <f>IFERROR(VLOOKUP($C1485,$C$5:$M$24,11,0)+SUMIF($C$25:$C1485,$C1485,$K$25:$K1485)-SUMIF($C$25:$C1485,$C1485,$L$25:$L1485),"")</f>
        <v/>
      </c>
      <c r="N1485" s="10"/>
      <c r="O1485" s="10"/>
      <c r="P1485" s="65"/>
      <c r="Q1485" s="10"/>
      <c r="R1485" s="10"/>
      <c r="S1485" s="54" t="str">
        <f t="shared" si="75"/>
        <v/>
      </c>
      <c r="T1485" s="54" t="str">
        <f t="shared" si="76"/>
        <v/>
      </c>
      <c r="U1485" s="58" t="str">
        <f t="shared" si="77"/>
        <v/>
      </c>
      <c r="V1485" s="58">
        <f>IF(AND($B1485&lt;&gt;"",$F1485&lt;&gt;"",$F1485=项目明细账!$C$2),N(V1484)+1,N(V1484))</f>
        <v>0</v>
      </c>
      <c r="W1485" s="63" t="str">
        <f>IF($H1485&lt;&gt;"","项目成本",IFERROR(INDEX(基础资料!$W$4:$W$49,MATCH($I1485,基础资料!$V$4:$V$49,0)),""))</f>
        <v/>
      </c>
      <c r="X1485" s="63" t="str">
        <f>IFERROR(INDEX(基础资料!$R$4:$R$17,MATCH($G1485,基础资料!$Q$4:$Q$17,0)),"")</f>
        <v/>
      </c>
    </row>
    <row r="1486" spans="1:24">
      <c r="A1486" s="58" t="str">
        <f>IF($B1486="","",COUNTA($B$5:$B1486))</f>
        <v/>
      </c>
      <c r="B1486" s="53"/>
      <c r="C1486" s="46"/>
      <c r="D1486" s="63" t="str">
        <f>IFERROR(INDEX(基础资料!$F$4:$F$23,MATCH($C1486,基础资料!$E$4:$E$23,0)),IF($C1486="","","未匹配账户"))</f>
        <v/>
      </c>
      <c r="E1486" s="39"/>
      <c r="F1486" s="10"/>
      <c r="G1486" s="10"/>
      <c r="H1486" s="10"/>
      <c r="I1486" s="10"/>
      <c r="J1486" s="10"/>
      <c r="K1486" s="25"/>
      <c r="L1486" s="25"/>
      <c r="M1486" s="25" t="str">
        <f>IFERROR(VLOOKUP($C1486,$C$5:$M$24,11,0)+SUMIF($C$25:$C1486,$C1486,$K$25:$K1486)-SUMIF($C$25:$C1486,$C1486,$L$25:$L1486),"")</f>
        <v/>
      </c>
      <c r="N1486" s="10"/>
      <c r="O1486" s="10"/>
      <c r="P1486" s="65"/>
      <c r="Q1486" s="10"/>
      <c r="R1486" s="10"/>
      <c r="S1486" s="54" t="str">
        <f t="shared" si="75"/>
        <v/>
      </c>
      <c r="T1486" s="54" t="str">
        <f t="shared" si="76"/>
        <v/>
      </c>
      <c r="U1486" s="58" t="str">
        <f t="shared" si="77"/>
        <v/>
      </c>
      <c r="V1486" s="58">
        <f>IF(AND($B1486&lt;&gt;"",$F1486&lt;&gt;"",$F1486=项目明细账!$C$2),N(V1485)+1,N(V1485))</f>
        <v>0</v>
      </c>
      <c r="W1486" s="63" t="str">
        <f>IF($H1486&lt;&gt;"","项目成本",IFERROR(INDEX(基础资料!$W$4:$W$49,MATCH($I1486,基础资料!$V$4:$V$49,0)),""))</f>
        <v/>
      </c>
      <c r="X1486" s="63" t="str">
        <f>IFERROR(INDEX(基础资料!$R$4:$R$17,MATCH($G1486,基础资料!$Q$4:$Q$17,0)),"")</f>
        <v/>
      </c>
    </row>
    <row r="1487" spans="1:24">
      <c r="A1487" s="58" t="str">
        <f>IF($B1487="","",COUNTA($B$5:$B1487))</f>
        <v/>
      </c>
      <c r="B1487" s="53"/>
      <c r="C1487" s="46"/>
      <c r="D1487" s="63" t="str">
        <f>IFERROR(INDEX(基础资料!$F$4:$F$23,MATCH($C1487,基础资料!$E$4:$E$23,0)),IF($C1487="","","未匹配账户"))</f>
        <v/>
      </c>
      <c r="E1487" s="39"/>
      <c r="F1487" s="10"/>
      <c r="G1487" s="10"/>
      <c r="H1487" s="10"/>
      <c r="I1487" s="10"/>
      <c r="J1487" s="10"/>
      <c r="K1487" s="25"/>
      <c r="L1487" s="25"/>
      <c r="M1487" s="25" t="str">
        <f>IFERROR(VLOOKUP($C1487,$C$5:$M$24,11,0)+SUMIF($C$25:$C1487,$C1487,$K$25:$K1487)-SUMIF($C$25:$C1487,$C1487,$L$25:$L1487),"")</f>
        <v/>
      </c>
      <c r="N1487" s="10"/>
      <c r="O1487" s="10"/>
      <c r="P1487" s="65"/>
      <c r="Q1487" s="10"/>
      <c r="R1487" s="10"/>
      <c r="S1487" s="54" t="str">
        <f t="shared" si="75"/>
        <v/>
      </c>
      <c r="T1487" s="54" t="str">
        <f t="shared" si="76"/>
        <v/>
      </c>
      <c r="U1487" s="58" t="str">
        <f t="shared" si="77"/>
        <v/>
      </c>
      <c r="V1487" s="58">
        <f>IF(AND($B1487&lt;&gt;"",$F1487&lt;&gt;"",$F1487=项目明细账!$C$2),N(V1486)+1,N(V1486))</f>
        <v>0</v>
      </c>
      <c r="W1487" s="63" t="str">
        <f>IF($H1487&lt;&gt;"","项目成本",IFERROR(INDEX(基础资料!$W$4:$W$49,MATCH($I1487,基础资料!$V$4:$V$49,0)),""))</f>
        <v/>
      </c>
      <c r="X1487" s="63" t="str">
        <f>IFERROR(INDEX(基础资料!$R$4:$R$17,MATCH($G1487,基础资料!$Q$4:$Q$17,0)),"")</f>
        <v/>
      </c>
    </row>
    <row r="1488" spans="1:24">
      <c r="A1488" s="58" t="str">
        <f>IF($B1488="","",COUNTA($B$5:$B1488))</f>
        <v/>
      </c>
      <c r="B1488" s="53"/>
      <c r="C1488" s="46"/>
      <c r="D1488" s="63" t="str">
        <f>IFERROR(INDEX(基础资料!$F$4:$F$23,MATCH($C1488,基础资料!$E$4:$E$23,0)),IF($C1488="","","未匹配账户"))</f>
        <v/>
      </c>
      <c r="E1488" s="39"/>
      <c r="F1488" s="10"/>
      <c r="G1488" s="10"/>
      <c r="H1488" s="10"/>
      <c r="I1488" s="10"/>
      <c r="J1488" s="10"/>
      <c r="K1488" s="25"/>
      <c r="L1488" s="25"/>
      <c r="M1488" s="25" t="str">
        <f>IFERROR(VLOOKUP($C1488,$C$5:$M$24,11,0)+SUMIF($C$25:$C1488,$C1488,$K$25:$K1488)-SUMIF($C$25:$C1488,$C1488,$L$25:$L1488),"")</f>
        <v/>
      </c>
      <c r="N1488" s="10"/>
      <c r="O1488" s="10"/>
      <c r="P1488" s="65"/>
      <c r="Q1488" s="10"/>
      <c r="R1488" s="10"/>
      <c r="S1488" s="54" t="str">
        <f t="shared" si="75"/>
        <v/>
      </c>
      <c r="T1488" s="54" t="str">
        <f t="shared" si="76"/>
        <v/>
      </c>
      <c r="U1488" s="58" t="str">
        <f t="shared" si="77"/>
        <v/>
      </c>
      <c r="V1488" s="58">
        <f>IF(AND($B1488&lt;&gt;"",$F1488&lt;&gt;"",$F1488=项目明细账!$C$2),N(V1487)+1,N(V1487))</f>
        <v>0</v>
      </c>
      <c r="W1488" s="63" t="str">
        <f>IF($H1488&lt;&gt;"","项目成本",IFERROR(INDEX(基础资料!$W$4:$W$49,MATCH($I1488,基础资料!$V$4:$V$49,0)),""))</f>
        <v/>
      </c>
      <c r="X1488" s="63" t="str">
        <f>IFERROR(INDEX(基础资料!$R$4:$R$17,MATCH($G1488,基础资料!$Q$4:$Q$17,0)),"")</f>
        <v/>
      </c>
    </row>
    <row r="1489" spans="1:24">
      <c r="A1489" s="58" t="str">
        <f>IF($B1489="","",COUNTA($B$5:$B1489))</f>
        <v/>
      </c>
      <c r="B1489" s="53"/>
      <c r="C1489" s="46"/>
      <c r="D1489" s="63" t="str">
        <f>IFERROR(INDEX(基础资料!$F$4:$F$23,MATCH($C1489,基础资料!$E$4:$E$23,0)),IF($C1489="","","未匹配账户"))</f>
        <v/>
      </c>
      <c r="E1489" s="39"/>
      <c r="F1489" s="10"/>
      <c r="G1489" s="10"/>
      <c r="H1489" s="10"/>
      <c r="I1489" s="10"/>
      <c r="J1489" s="10"/>
      <c r="K1489" s="25"/>
      <c r="L1489" s="25"/>
      <c r="M1489" s="25" t="str">
        <f>IFERROR(VLOOKUP($C1489,$C$5:$M$24,11,0)+SUMIF($C$25:$C1489,$C1489,$K$25:$K1489)-SUMIF($C$25:$C1489,$C1489,$L$25:$L1489),"")</f>
        <v/>
      </c>
      <c r="N1489" s="10"/>
      <c r="O1489" s="10"/>
      <c r="P1489" s="65"/>
      <c r="Q1489" s="10"/>
      <c r="R1489" s="10"/>
      <c r="S1489" s="54" t="str">
        <f t="shared" si="75"/>
        <v/>
      </c>
      <c r="T1489" s="54" t="str">
        <f t="shared" si="76"/>
        <v/>
      </c>
      <c r="U1489" s="58" t="str">
        <f t="shared" si="77"/>
        <v/>
      </c>
      <c r="V1489" s="58">
        <f>IF(AND($B1489&lt;&gt;"",$F1489&lt;&gt;"",$F1489=项目明细账!$C$2),N(V1488)+1,N(V1488))</f>
        <v>0</v>
      </c>
      <c r="W1489" s="63" t="str">
        <f>IF($H1489&lt;&gt;"","项目成本",IFERROR(INDEX(基础资料!$W$4:$W$49,MATCH($I1489,基础资料!$V$4:$V$49,0)),""))</f>
        <v/>
      </c>
      <c r="X1489" s="63" t="str">
        <f>IFERROR(INDEX(基础资料!$R$4:$R$17,MATCH($G1489,基础资料!$Q$4:$Q$17,0)),"")</f>
        <v/>
      </c>
    </row>
    <row r="1490" spans="1:24">
      <c r="A1490" s="58" t="str">
        <f>IF($B1490="","",COUNTA($B$5:$B1490))</f>
        <v/>
      </c>
      <c r="B1490" s="53"/>
      <c r="C1490" s="46"/>
      <c r="D1490" s="63" t="str">
        <f>IFERROR(INDEX(基础资料!$F$4:$F$23,MATCH($C1490,基础资料!$E$4:$E$23,0)),IF($C1490="","","未匹配账户"))</f>
        <v/>
      </c>
      <c r="E1490" s="39"/>
      <c r="F1490" s="10"/>
      <c r="G1490" s="10"/>
      <c r="H1490" s="10"/>
      <c r="I1490" s="10"/>
      <c r="J1490" s="10"/>
      <c r="K1490" s="25"/>
      <c r="L1490" s="25"/>
      <c r="M1490" s="25" t="str">
        <f>IFERROR(VLOOKUP($C1490,$C$5:$M$24,11,0)+SUMIF($C$25:$C1490,$C1490,$K$25:$K1490)-SUMIF($C$25:$C1490,$C1490,$L$25:$L1490),"")</f>
        <v/>
      </c>
      <c r="N1490" s="10"/>
      <c r="O1490" s="10"/>
      <c r="P1490" s="65"/>
      <c r="Q1490" s="10"/>
      <c r="R1490" s="10"/>
      <c r="S1490" s="54" t="str">
        <f t="shared" si="75"/>
        <v/>
      </c>
      <c r="T1490" s="54" t="str">
        <f t="shared" si="76"/>
        <v/>
      </c>
      <c r="U1490" s="58" t="str">
        <f t="shared" si="77"/>
        <v/>
      </c>
      <c r="V1490" s="58">
        <f>IF(AND($B1490&lt;&gt;"",$F1490&lt;&gt;"",$F1490=项目明细账!$C$2),N(V1489)+1,N(V1489))</f>
        <v>0</v>
      </c>
      <c r="W1490" s="63" t="str">
        <f>IF($H1490&lt;&gt;"","项目成本",IFERROR(INDEX(基础资料!$W$4:$W$49,MATCH($I1490,基础资料!$V$4:$V$49,0)),""))</f>
        <v/>
      </c>
      <c r="X1490" s="63" t="str">
        <f>IFERROR(INDEX(基础资料!$R$4:$R$17,MATCH($G1490,基础资料!$Q$4:$Q$17,0)),"")</f>
        <v/>
      </c>
    </row>
    <row r="1491" spans="1:24">
      <c r="A1491" s="58" t="str">
        <f>IF($B1491="","",COUNTA($B$5:$B1491))</f>
        <v/>
      </c>
      <c r="B1491" s="53"/>
      <c r="C1491" s="46"/>
      <c r="D1491" s="63" t="str">
        <f>IFERROR(INDEX(基础资料!$F$4:$F$23,MATCH($C1491,基础资料!$E$4:$E$23,0)),IF($C1491="","","未匹配账户"))</f>
        <v/>
      </c>
      <c r="E1491" s="39"/>
      <c r="F1491" s="10"/>
      <c r="G1491" s="10"/>
      <c r="H1491" s="10"/>
      <c r="I1491" s="10"/>
      <c r="J1491" s="10"/>
      <c r="K1491" s="25"/>
      <c r="L1491" s="25"/>
      <c r="M1491" s="25" t="str">
        <f>IFERROR(VLOOKUP($C1491,$C$5:$M$24,11,0)+SUMIF($C$25:$C1491,$C1491,$K$25:$K1491)-SUMIF($C$25:$C1491,$C1491,$L$25:$L1491),"")</f>
        <v/>
      </c>
      <c r="N1491" s="10"/>
      <c r="O1491" s="10"/>
      <c r="P1491" s="65"/>
      <c r="Q1491" s="10"/>
      <c r="R1491" s="10"/>
      <c r="S1491" s="54" t="str">
        <f t="shared" si="75"/>
        <v/>
      </c>
      <c r="T1491" s="54" t="str">
        <f t="shared" si="76"/>
        <v/>
      </c>
      <c r="U1491" s="58" t="str">
        <f t="shared" si="77"/>
        <v/>
      </c>
      <c r="V1491" s="58">
        <f>IF(AND($B1491&lt;&gt;"",$F1491&lt;&gt;"",$F1491=项目明细账!$C$2),N(V1490)+1,N(V1490))</f>
        <v>0</v>
      </c>
      <c r="W1491" s="63" t="str">
        <f>IF($H1491&lt;&gt;"","项目成本",IFERROR(INDEX(基础资料!$W$4:$W$49,MATCH($I1491,基础资料!$V$4:$V$49,0)),""))</f>
        <v/>
      </c>
      <c r="X1491" s="63" t="str">
        <f>IFERROR(INDEX(基础资料!$R$4:$R$17,MATCH($G1491,基础资料!$Q$4:$Q$17,0)),"")</f>
        <v/>
      </c>
    </row>
    <row r="1492" spans="1:24">
      <c r="A1492" s="58" t="str">
        <f>IF($B1492="","",COUNTA($B$5:$B1492))</f>
        <v/>
      </c>
      <c r="B1492" s="53"/>
      <c r="C1492" s="46"/>
      <c r="D1492" s="63" t="str">
        <f>IFERROR(INDEX(基础资料!$F$4:$F$23,MATCH($C1492,基础资料!$E$4:$E$23,0)),IF($C1492="","","未匹配账户"))</f>
        <v/>
      </c>
      <c r="E1492" s="39"/>
      <c r="F1492" s="10"/>
      <c r="G1492" s="10"/>
      <c r="H1492" s="10"/>
      <c r="I1492" s="10"/>
      <c r="J1492" s="10"/>
      <c r="K1492" s="25"/>
      <c r="L1492" s="25"/>
      <c r="M1492" s="25" t="str">
        <f>IFERROR(VLOOKUP($C1492,$C$5:$M$24,11,0)+SUMIF($C$25:$C1492,$C1492,$K$25:$K1492)-SUMIF($C$25:$C1492,$C1492,$L$25:$L1492),"")</f>
        <v/>
      </c>
      <c r="N1492" s="10"/>
      <c r="O1492" s="10"/>
      <c r="P1492" s="65"/>
      <c r="Q1492" s="10"/>
      <c r="R1492" s="10"/>
      <c r="S1492" s="54" t="str">
        <f t="shared" si="75"/>
        <v/>
      </c>
      <c r="T1492" s="54" t="str">
        <f t="shared" si="76"/>
        <v/>
      </c>
      <c r="U1492" s="58" t="str">
        <f t="shared" si="77"/>
        <v/>
      </c>
      <c r="V1492" s="58">
        <f>IF(AND($B1492&lt;&gt;"",$F1492&lt;&gt;"",$F1492=项目明细账!$C$2),N(V1491)+1,N(V1491))</f>
        <v>0</v>
      </c>
      <c r="W1492" s="63" t="str">
        <f>IF($H1492&lt;&gt;"","项目成本",IFERROR(INDEX(基础资料!$W$4:$W$49,MATCH($I1492,基础资料!$V$4:$V$49,0)),""))</f>
        <v/>
      </c>
      <c r="X1492" s="63" t="str">
        <f>IFERROR(INDEX(基础资料!$R$4:$R$17,MATCH($G1492,基础资料!$Q$4:$Q$17,0)),"")</f>
        <v/>
      </c>
    </row>
    <row r="1493" spans="1:24">
      <c r="A1493" s="58" t="str">
        <f>IF($B1493="","",COUNTA($B$5:$B1493))</f>
        <v/>
      </c>
      <c r="B1493" s="53"/>
      <c r="C1493" s="46"/>
      <c r="D1493" s="63" t="str">
        <f>IFERROR(INDEX(基础资料!$F$4:$F$23,MATCH($C1493,基础资料!$E$4:$E$23,0)),IF($C1493="","","未匹配账户"))</f>
        <v/>
      </c>
      <c r="E1493" s="39"/>
      <c r="F1493" s="10"/>
      <c r="G1493" s="10"/>
      <c r="H1493" s="10"/>
      <c r="I1493" s="10"/>
      <c r="J1493" s="10"/>
      <c r="K1493" s="25"/>
      <c r="L1493" s="25"/>
      <c r="M1493" s="25" t="str">
        <f>IFERROR(VLOOKUP($C1493,$C$5:$M$24,11,0)+SUMIF($C$25:$C1493,$C1493,$K$25:$K1493)-SUMIF($C$25:$C1493,$C1493,$L$25:$L1493),"")</f>
        <v/>
      </c>
      <c r="N1493" s="10"/>
      <c r="O1493" s="10"/>
      <c r="P1493" s="65"/>
      <c r="Q1493" s="10"/>
      <c r="R1493" s="10"/>
      <c r="S1493" s="54" t="str">
        <f t="shared" si="75"/>
        <v/>
      </c>
      <c r="T1493" s="54" t="str">
        <f t="shared" si="76"/>
        <v/>
      </c>
      <c r="U1493" s="58" t="str">
        <f t="shared" si="77"/>
        <v/>
      </c>
      <c r="V1493" s="58">
        <f>IF(AND($B1493&lt;&gt;"",$F1493&lt;&gt;"",$F1493=项目明细账!$C$2),N(V1492)+1,N(V1492))</f>
        <v>0</v>
      </c>
      <c r="W1493" s="63" t="str">
        <f>IF($H1493&lt;&gt;"","项目成本",IFERROR(INDEX(基础资料!$W$4:$W$49,MATCH($I1493,基础资料!$V$4:$V$49,0)),""))</f>
        <v/>
      </c>
      <c r="X1493" s="63" t="str">
        <f>IFERROR(INDEX(基础资料!$R$4:$R$17,MATCH($G1493,基础资料!$Q$4:$Q$17,0)),"")</f>
        <v/>
      </c>
    </row>
    <row r="1494" spans="1:24">
      <c r="A1494" s="58" t="str">
        <f>IF($B1494="","",COUNTA($B$5:$B1494))</f>
        <v/>
      </c>
      <c r="B1494" s="53"/>
      <c r="C1494" s="46"/>
      <c r="D1494" s="63" t="str">
        <f>IFERROR(INDEX(基础资料!$F$4:$F$23,MATCH($C1494,基础资料!$E$4:$E$23,0)),IF($C1494="","","未匹配账户"))</f>
        <v/>
      </c>
      <c r="E1494" s="39"/>
      <c r="F1494" s="10"/>
      <c r="G1494" s="10"/>
      <c r="H1494" s="10"/>
      <c r="I1494" s="10"/>
      <c r="J1494" s="10"/>
      <c r="K1494" s="25"/>
      <c r="L1494" s="25"/>
      <c r="M1494" s="25" t="str">
        <f>IFERROR(VLOOKUP($C1494,$C$5:$M$24,11,0)+SUMIF($C$25:$C1494,$C1494,$K$25:$K1494)-SUMIF($C$25:$C1494,$C1494,$L$25:$L1494),"")</f>
        <v/>
      </c>
      <c r="N1494" s="10"/>
      <c r="O1494" s="10"/>
      <c r="P1494" s="65"/>
      <c r="Q1494" s="10"/>
      <c r="R1494" s="10"/>
      <c r="S1494" s="54" t="str">
        <f t="shared" si="75"/>
        <v/>
      </c>
      <c r="T1494" s="54" t="str">
        <f t="shared" si="76"/>
        <v/>
      </c>
      <c r="U1494" s="58" t="str">
        <f t="shared" si="77"/>
        <v/>
      </c>
      <c r="V1494" s="58">
        <f>IF(AND($B1494&lt;&gt;"",$F1494&lt;&gt;"",$F1494=项目明细账!$C$2),N(V1493)+1,N(V1493))</f>
        <v>0</v>
      </c>
      <c r="W1494" s="63" t="str">
        <f>IF($H1494&lt;&gt;"","项目成本",IFERROR(INDEX(基础资料!$W$4:$W$49,MATCH($I1494,基础资料!$V$4:$V$49,0)),""))</f>
        <v/>
      </c>
      <c r="X1494" s="63" t="str">
        <f>IFERROR(INDEX(基础资料!$R$4:$R$17,MATCH($G1494,基础资料!$Q$4:$Q$17,0)),"")</f>
        <v/>
      </c>
    </row>
    <row r="1495" spans="1:24">
      <c r="A1495" s="58" t="str">
        <f>IF($B1495="","",COUNTA($B$5:$B1495))</f>
        <v/>
      </c>
      <c r="B1495" s="53"/>
      <c r="C1495" s="46"/>
      <c r="D1495" s="63" t="str">
        <f>IFERROR(INDEX(基础资料!$F$4:$F$23,MATCH($C1495,基础资料!$E$4:$E$23,0)),IF($C1495="","","未匹配账户"))</f>
        <v/>
      </c>
      <c r="E1495" s="39"/>
      <c r="F1495" s="10"/>
      <c r="G1495" s="10"/>
      <c r="H1495" s="10"/>
      <c r="I1495" s="10"/>
      <c r="J1495" s="10"/>
      <c r="K1495" s="25"/>
      <c r="L1495" s="25"/>
      <c r="M1495" s="25" t="str">
        <f>IFERROR(VLOOKUP($C1495,$C$5:$M$24,11,0)+SUMIF($C$25:$C1495,$C1495,$K$25:$K1495)-SUMIF($C$25:$C1495,$C1495,$L$25:$L1495),"")</f>
        <v/>
      </c>
      <c r="N1495" s="10"/>
      <c r="O1495" s="10"/>
      <c r="P1495" s="65"/>
      <c r="Q1495" s="10"/>
      <c r="R1495" s="10"/>
      <c r="S1495" s="54" t="str">
        <f t="shared" si="75"/>
        <v/>
      </c>
      <c r="T1495" s="54" t="str">
        <f t="shared" si="76"/>
        <v/>
      </c>
      <c r="U1495" s="58" t="str">
        <f t="shared" si="77"/>
        <v/>
      </c>
      <c r="V1495" s="58">
        <f>IF(AND($B1495&lt;&gt;"",$F1495&lt;&gt;"",$F1495=项目明细账!$C$2),N(V1494)+1,N(V1494))</f>
        <v>0</v>
      </c>
      <c r="W1495" s="63" t="str">
        <f>IF($H1495&lt;&gt;"","项目成本",IFERROR(INDEX(基础资料!$W$4:$W$49,MATCH($I1495,基础资料!$V$4:$V$49,0)),""))</f>
        <v/>
      </c>
      <c r="X1495" s="63" t="str">
        <f>IFERROR(INDEX(基础资料!$R$4:$R$17,MATCH($G1495,基础资料!$Q$4:$Q$17,0)),"")</f>
        <v/>
      </c>
    </row>
    <row r="1496" spans="1:24">
      <c r="A1496" s="58" t="str">
        <f>IF($B1496="","",COUNTA($B$5:$B1496))</f>
        <v/>
      </c>
      <c r="B1496" s="53"/>
      <c r="C1496" s="46"/>
      <c r="D1496" s="63" t="str">
        <f>IFERROR(INDEX(基础资料!$F$4:$F$23,MATCH($C1496,基础资料!$E$4:$E$23,0)),IF($C1496="","","未匹配账户"))</f>
        <v/>
      </c>
      <c r="E1496" s="39"/>
      <c r="F1496" s="10"/>
      <c r="G1496" s="10"/>
      <c r="H1496" s="10"/>
      <c r="I1496" s="10"/>
      <c r="J1496" s="10"/>
      <c r="K1496" s="25"/>
      <c r="L1496" s="25"/>
      <c r="M1496" s="25" t="str">
        <f>IFERROR(VLOOKUP($C1496,$C$5:$M$24,11,0)+SUMIF($C$25:$C1496,$C1496,$K$25:$K1496)-SUMIF($C$25:$C1496,$C1496,$L$25:$L1496),"")</f>
        <v/>
      </c>
      <c r="N1496" s="10"/>
      <c r="O1496" s="10"/>
      <c r="P1496" s="65"/>
      <c r="Q1496" s="10"/>
      <c r="R1496" s="10"/>
      <c r="S1496" s="54" t="str">
        <f t="shared" si="75"/>
        <v/>
      </c>
      <c r="T1496" s="54" t="str">
        <f t="shared" si="76"/>
        <v/>
      </c>
      <c r="U1496" s="58" t="str">
        <f t="shared" si="77"/>
        <v/>
      </c>
      <c r="V1496" s="58">
        <f>IF(AND($B1496&lt;&gt;"",$F1496&lt;&gt;"",$F1496=项目明细账!$C$2),N(V1495)+1,N(V1495))</f>
        <v>0</v>
      </c>
      <c r="W1496" s="63" t="str">
        <f>IF($H1496&lt;&gt;"","项目成本",IFERROR(INDEX(基础资料!$W$4:$W$49,MATCH($I1496,基础资料!$V$4:$V$49,0)),""))</f>
        <v/>
      </c>
      <c r="X1496" s="63" t="str">
        <f>IFERROR(INDEX(基础资料!$R$4:$R$17,MATCH($G1496,基础资料!$Q$4:$Q$17,0)),"")</f>
        <v/>
      </c>
    </row>
    <row r="1497" spans="1:24">
      <c r="A1497" s="58" t="str">
        <f>IF($B1497="","",COUNTA($B$5:$B1497))</f>
        <v/>
      </c>
      <c r="B1497" s="53"/>
      <c r="C1497" s="46"/>
      <c r="D1497" s="63" t="str">
        <f>IFERROR(INDEX(基础资料!$F$4:$F$23,MATCH($C1497,基础资料!$E$4:$E$23,0)),IF($C1497="","","未匹配账户"))</f>
        <v/>
      </c>
      <c r="E1497" s="39"/>
      <c r="F1497" s="10"/>
      <c r="G1497" s="10"/>
      <c r="H1497" s="10"/>
      <c r="I1497" s="10"/>
      <c r="J1497" s="10"/>
      <c r="K1497" s="25"/>
      <c r="L1497" s="25"/>
      <c r="M1497" s="25" t="str">
        <f>IFERROR(VLOOKUP($C1497,$C$5:$M$24,11,0)+SUMIF($C$25:$C1497,$C1497,$K$25:$K1497)-SUMIF($C$25:$C1497,$C1497,$L$25:$L1497),"")</f>
        <v/>
      </c>
      <c r="N1497" s="10"/>
      <c r="O1497" s="10"/>
      <c r="P1497" s="65"/>
      <c r="Q1497" s="10"/>
      <c r="R1497" s="10"/>
      <c r="S1497" s="54" t="str">
        <f t="shared" si="75"/>
        <v/>
      </c>
      <c r="T1497" s="54" t="str">
        <f t="shared" si="76"/>
        <v/>
      </c>
      <c r="U1497" s="58" t="str">
        <f t="shared" si="77"/>
        <v/>
      </c>
      <c r="V1497" s="58">
        <f>IF(AND($B1497&lt;&gt;"",$F1497&lt;&gt;"",$F1497=项目明细账!$C$2),N(V1496)+1,N(V1496))</f>
        <v>0</v>
      </c>
      <c r="W1497" s="63" t="str">
        <f>IF($H1497&lt;&gt;"","项目成本",IFERROR(INDEX(基础资料!$W$4:$W$49,MATCH($I1497,基础资料!$V$4:$V$49,0)),""))</f>
        <v/>
      </c>
      <c r="X1497" s="63" t="str">
        <f>IFERROR(INDEX(基础资料!$R$4:$R$17,MATCH($G1497,基础资料!$Q$4:$Q$17,0)),"")</f>
        <v/>
      </c>
    </row>
    <row r="1498" spans="1:24">
      <c r="A1498" s="58" t="str">
        <f>IF($B1498="","",COUNTA($B$5:$B1498))</f>
        <v/>
      </c>
      <c r="B1498" s="53"/>
      <c r="C1498" s="46"/>
      <c r="D1498" s="63" t="str">
        <f>IFERROR(INDEX(基础资料!$F$4:$F$23,MATCH($C1498,基础资料!$E$4:$E$23,0)),IF($C1498="","","未匹配账户"))</f>
        <v/>
      </c>
      <c r="E1498" s="39"/>
      <c r="F1498" s="10"/>
      <c r="G1498" s="10"/>
      <c r="H1498" s="10"/>
      <c r="I1498" s="10"/>
      <c r="J1498" s="10"/>
      <c r="K1498" s="25"/>
      <c r="L1498" s="25"/>
      <c r="M1498" s="25" t="str">
        <f>IFERROR(VLOOKUP($C1498,$C$5:$M$24,11,0)+SUMIF($C$25:$C1498,$C1498,$K$25:$K1498)-SUMIF($C$25:$C1498,$C1498,$L$25:$L1498),"")</f>
        <v/>
      </c>
      <c r="N1498" s="10"/>
      <c r="O1498" s="10"/>
      <c r="P1498" s="65"/>
      <c r="Q1498" s="10"/>
      <c r="R1498" s="10"/>
      <c r="S1498" s="54" t="str">
        <f t="shared" si="75"/>
        <v/>
      </c>
      <c r="T1498" s="54" t="str">
        <f t="shared" si="76"/>
        <v/>
      </c>
      <c r="U1498" s="58" t="str">
        <f t="shared" si="77"/>
        <v/>
      </c>
      <c r="V1498" s="58">
        <f>IF(AND($B1498&lt;&gt;"",$F1498&lt;&gt;"",$F1498=项目明细账!$C$2),N(V1497)+1,N(V1497))</f>
        <v>0</v>
      </c>
      <c r="W1498" s="63" t="str">
        <f>IF($H1498&lt;&gt;"","项目成本",IFERROR(INDEX(基础资料!$W$4:$W$49,MATCH($I1498,基础资料!$V$4:$V$49,0)),""))</f>
        <v/>
      </c>
      <c r="X1498" s="63" t="str">
        <f>IFERROR(INDEX(基础资料!$R$4:$R$17,MATCH($G1498,基础资料!$Q$4:$Q$17,0)),"")</f>
        <v/>
      </c>
    </row>
    <row r="1499" spans="1:24">
      <c r="A1499" s="58" t="str">
        <f>IF($B1499="","",COUNTA($B$5:$B1499))</f>
        <v/>
      </c>
      <c r="B1499" s="53"/>
      <c r="C1499" s="46"/>
      <c r="D1499" s="63" t="str">
        <f>IFERROR(INDEX(基础资料!$F$4:$F$23,MATCH($C1499,基础资料!$E$4:$E$23,0)),IF($C1499="","","未匹配账户"))</f>
        <v/>
      </c>
      <c r="E1499" s="39"/>
      <c r="F1499" s="10"/>
      <c r="G1499" s="10"/>
      <c r="H1499" s="10"/>
      <c r="I1499" s="10"/>
      <c r="J1499" s="10"/>
      <c r="K1499" s="25"/>
      <c r="L1499" s="25"/>
      <c r="M1499" s="25" t="str">
        <f>IFERROR(VLOOKUP($C1499,$C$5:$M$24,11,0)+SUMIF($C$25:$C1499,$C1499,$K$25:$K1499)-SUMIF($C$25:$C1499,$C1499,$L$25:$L1499),"")</f>
        <v/>
      </c>
      <c r="N1499" s="10"/>
      <c r="O1499" s="10"/>
      <c r="P1499" s="65"/>
      <c r="Q1499" s="10"/>
      <c r="R1499" s="10"/>
      <c r="S1499" s="54" t="str">
        <f t="shared" si="75"/>
        <v/>
      </c>
      <c r="T1499" s="54" t="str">
        <f t="shared" si="76"/>
        <v/>
      </c>
      <c r="U1499" s="58" t="str">
        <f t="shared" si="77"/>
        <v/>
      </c>
      <c r="V1499" s="58">
        <f>IF(AND($B1499&lt;&gt;"",$F1499&lt;&gt;"",$F1499=项目明细账!$C$2),N(V1498)+1,N(V1498))</f>
        <v>0</v>
      </c>
      <c r="W1499" s="63" t="str">
        <f>IF($H1499&lt;&gt;"","项目成本",IFERROR(INDEX(基础资料!$W$4:$W$49,MATCH($I1499,基础资料!$V$4:$V$49,0)),""))</f>
        <v/>
      </c>
      <c r="X1499" s="63" t="str">
        <f>IFERROR(INDEX(基础资料!$R$4:$R$17,MATCH($G1499,基础资料!$Q$4:$Q$17,0)),"")</f>
        <v/>
      </c>
    </row>
    <row r="1500" spans="1:24">
      <c r="A1500" s="58" t="str">
        <f>IF($B1500="","",COUNTA($B$5:$B1500))</f>
        <v/>
      </c>
      <c r="B1500" s="53"/>
      <c r="C1500" s="46"/>
      <c r="D1500" s="63" t="str">
        <f>IFERROR(INDEX(基础资料!$F$4:$F$23,MATCH($C1500,基础资料!$E$4:$E$23,0)),IF($C1500="","","未匹配账户"))</f>
        <v/>
      </c>
      <c r="E1500" s="39"/>
      <c r="F1500" s="10"/>
      <c r="G1500" s="10"/>
      <c r="H1500" s="10"/>
      <c r="I1500" s="10"/>
      <c r="J1500" s="10"/>
      <c r="K1500" s="25"/>
      <c r="L1500" s="25"/>
      <c r="M1500" s="25" t="str">
        <f>IFERROR(VLOOKUP($C1500,$C$5:$M$24,11,0)+SUMIF($C$25:$C1500,$C1500,$K$25:$K1500)-SUMIF($C$25:$C1500,$C1500,$L$25:$L1500),"")</f>
        <v/>
      </c>
      <c r="N1500" s="10"/>
      <c r="O1500" s="10"/>
      <c r="P1500" s="65"/>
      <c r="Q1500" s="10"/>
      <c r="R1500" s="10"/>
      <c r="S1500" s="54" t="str">
        <f t="shared" si="75"/>
        <v/>
      </c>
      <c r="T1500" s="54" t="str">
        <f t="shared" si="76"/>
        <v/>
      </c>
      <c r="U1500" s="58" t="str">
        <f t="shared" si="77"/>
        <v/>
      </c>
      <c r="V1500" s="58">
        <f>IF(AND($B1500&lt;&gt;"",$F1500&lt;&gt;"",$F1500=项目明细账!$C$2),N(V1499)+1,N(V1499))</f>
        <v>0</v>
      </c>
      <c r="W1500" s="63" t="str">
        <f>IF($H1500&lt;&gt;"","项目成本",IFERROR(INDEX(基础资料!$W$4:$W$49,MATCH($I1500,基础资料!$V$4:$V$49,0)),""))</f>
        <v/>
      </c>
      <c r="X1500" s="63" t="str">
        <f>IFERROR(INDEX(基础资料!$R$4:$R$17,MATCH($G1500,基础资料!$Q$4:$Q$17,0)),"")</f>
        <v/>
      </c>
    </row>
    <row r="1501" spans="1:24">
      <c r="A1501" s="58" t="str">
        <f>IF($B1501="","",COUNTA($B$5:$B1501))</f>
        <v/>
      </c>
      <c r="B1501" s="53"/>
      <c r="C1501" s="46"/>
      <c r="D1501" s="63" t="str">
        <f>IFERROR(INDEX(基础资料!$F$4:$F$23,MATCH($C1501,基础资料!$E$4:$E$23,0)),IF($C1501="","","未匹配账户"))</f>
        <v/>
      </c>
      <c r="E1501" s="39"/>
      <c r="F1501" s="10"/>
      <c r="G1501" s="10"/>
      <c r="H1501" s="10"/>
      <c r="I1501" s="10"/>
      <c r="J1501" s="10"/>
      <c r="K1501" s="25"/>
      <c r="L1501" s="25"/>
      <c r="M1501" s="25" t="str">
        <f>IFERROR(VLOOKUP($C1501,$C$5:$M$24,11,0)+SUMIF($C$25:$C1501,$C1501,$K$25:$K1501)-SUMIF($C$25:$C1501,$C1501,$L$25:$L1501),"")</f>
        <v/>
      </c>
      <c r="N1501" s="10"/>
      <c r="O1501" s="10"/>
      <c r="P1501" s="65"/>
      <c r="Q1501" s="10"/>
      <c r="R1501" s="10"/>
      <c r="S1501" s="54" t="str">
        <f t="shared" si="75"/>
        <v/>
      </c>
      <c r="T1501" s="54" t="str">
        <f t="shared" si="76"/>
        <v/>
      </c>
      <c r="U1501" s="58" t="str">
        <f t="shared" si="77"/>
        <v/>
      </c>
      <c r="V1501" s="58">
        <f>IF(AND($B1501&lt;&gt;"",$F1501&lt;&gt;"",$F1501=项目明细账!$C$2),N(V1500)+1,N(V1500))</f>
        <v>0</v>
      </c>
      <c r="W1501" s="63" t="str">
        <f>IF($H1501&lt;&gt;"","项目成本",IFERROR(INDEX(基础资料!$W$4:$W$49,MATCH($I1501,基础资料!$V$4:$V$49,0)),""))</f>
        <v/>
      </c>
      <c r="X1501" s="63" t="str">
        <f>IFERROR(INDEX(基础资料!$R$4:$R$17,MATCH($G1501,基础资料!$Q$4:$Q$17,0)),"")</f>
        <v/>
      </c>
    </row>
    <row r="1502" spans="1:24">
      <c r="A1502" s="58" t="str">
        <f>IF($B1502="","",COUNTA($B$5:$B1502))</f>
        <v/>
      </c>
      <c r="B1502" s="53"/>
      <c r="C1502" s="46"/>
      <c r="D1502" s="63" t="str">
        <f>IFERROR(INDEX(基础资料!$F$4:$F$23,MATCH($C1502,基础资料!$E$4:$E$23,0)),IF($C1502="","","未匹配账户"))</f>
        <v/>
      </c>
      <c r="E1502" s="39"/>
      <c r="F1502" s="10"/>
      <c r="G1502" s="10"/>
      <c r="H1502" s="10"/>
      <c r="I1502" s="10"/>
      <c r="J1502" s="10"/>
      <c r="K1502" s="25"/>
      <c r="L1502" s="25"/>
      <c r="M1502" s="25" t="str">
        <f>IFERROR(VLOOKUP($C1502,$C$5:$M$24,11,0)+SUMIF($C$25:$C1502,$C1502,$K$25:$K1502)-SUMIF($C$25:$C1502,$C1502,$L$25:$L1502),"")</f>
        <v/>
      </c>
      <c r="N1502" s="10"/>
      <c r="O1502" s="10"/>
      <c r="P1502" s="65"/>
      <c r="Q1502" s="10"/>
      <c r="R1502" s="10"/>
      <c r="S1502" s="54" t="str">
        <f t="shared" si="75"/>
        <v/>
      </c>
      <c r="T1502" s="54" t="str">
        <f t="shared" si="76"/>
        <v/>
      </c>
      <c r="U1502" s="58" t="str">
        <f t="shared" si="77"/>
        <v/>
      </c>
      <c r="V1502" s="58">
        <f>IF(AND($B1502&lt;&gt;"",$F1502&lt;&gt;"",$F1502=项目明细账!$C$2),N(V1501)+1,N(V1501))</f>
        <v>0</v>
      </c>
      <c r="W1502" s="63" t="str">
        <f>IF($H1502&lt;&gt;"","项目成本",IFERROR(INDEX(基础资料!$W$4:$W$49,MATCH($I1502,基础资料!$V$4:$V$49,0)),""))</f>
        <v/>
      </c>
      <c r="X1502" s="63" t="str">
        <f>IFERROR(INDEX(基础资料!$R$4:$R$17,MATCH($G1502,基础资料!$Q$4:$Q$17,0)),"")</f>
        <v/>
      </c>
    </row>
    <row r="1503" spans="1:24">
      <c r="A1503" s="58" t="str">
        <f>IF($B1503="","",COUNTA($B$5:$B1503))</f>
        <v/>
      </c>
      <c r="B1503" s="53"/>
      <c r="C1503" s="46"/>
      <c r="D1503" s="63" t="str">
        <f>IFERROR(INDEX(基础资料!$F$4:$F$23,MATCH($C1503,基础资料!$E$4:$E$23,0)),IF($C1503="","","未匹配账户"))</f>
        <v/>
      </c>
      <c r="E1503" s="39"/>
      <c r="F1503" s="10"/>
      <c r="G1503" s="10"/>
      <c r="H1503" s="10"/>
      <c r="I1503" s="10"/>
      <c r="J1503" s="10"/>
      <c r="K1503" s="25"/>
      <c r="L1503" s="25"/>
      <c r="M1503" s="25" t="str">
        <f>IFERROR(VLOOKUP($C1503,$C$5:$M$24,11,0)+SUMIF($C$25:$C1503,$C1503,$K$25:$K1503)-SUMIF($C$25:$C1503,$C1503,$L$25:$L1503),"")</f>
        <v/>
      </c>
      <c r="N1503" s="10"/>
      <c r="O1503" s="10"/>
      <c r="P1503" s="65"/>
      <c r="Q1503" s="10"/>
      <c r="R1503" s="10"/>
      <c r="S1503" s="54" t="str">
        <f t="shared" si="75"/>
        <v/>
      </c>
      <c r="T1503" s="54" t="str">
        <f t="shared" si="76"/>
        <v/>
      </c>
      <c r="U1503" s="58" t="str">
        <f t="shared" si="77"/>
        <v/>
      </c>
      <c r="V1503" s="58">
        <f>IF(AND($B1503&lt;&gt;"",$F1503&lt;&gt;"",$F1503=项目明细账!$C$2),N(V1502)+1,N(V1502))</f>
        <v>0</v>
      </c>
      <c r="W1503" s="63" t="str">
        <f>IF($H1503&lt;&gt;"","项目成本",IFERROR(INDEX(基础资料!$W$4:$W$49,MATCH($I1503,基础资料!$V$4:$V$49,0)),""))</f>
        <v/>
      </c>
      <c r="X1503" s="63" t="str">
        <f>IFERROR(INDEX(基础资料!$R$4:$R$17,MATCH($G1503,基础资料!$Q$4:$Q$17,0)),"")</f>
        <v/>
      </c>
    </row>
    <row r="1504" spans="1:24">
      <c r="A1504" s="58" t="str">
        <f>IF($B1504="","",COUNTA($B$5:$B1504))</f>
        <v/>
      </c>
      <c r="B1504" s="53"/>
      <c r="C1504" s="46"/>
      <c r="D1504" s="63" t="str">
        <f>IFERROR(INDEX(基础资料!$F$4:$F$23,MATCH($C1504,基础资料!$E$4:$E$23,0)),IF($C1504="","","未匹配账户"))</f>
        <v/>
      </c>
      <c r="E1504" s="39"/>
      <c r="F1504" s="10"/>
      <c r="G1504" s="10"/>
      <c r="H1504" s="10"/>
      <c r="I1504" s="10"/>
      <c r="J1504" s="10"/>
      <c r="K1504" s="25"/>
      <c r="L1504" s="25"/>
      <c r="M1504" s="25" t="str">
        <f>IFERROR(VLOOKUP($C1504,$C$5:$M$24,11,0)+SUMIF($C$25:$C1504,$C1504,$K$25:$K1504)-SUMIF($C$25:$C1504,$C1504,$L$25:$L1504),"")</f>
        <v/>
      </c>
      <c r="N1504" s="10"/>
      <c r="O1504" s="10"/>
      <c r="P1504" s="65"/>
      <c r="Q1504" s="10"/>
      <c r="R1504" s="10"/>
      <c r="S1504" s="54" t="str">
        <f t="shared" si="75"/>
        <v/>
      </c>
      <c r="T1504" s="54" t="str">
        <f t="shared" si="76"/>
        <v/>
      </c>
      <c r="U1504" s="58" t="str">
        <f t="shared" si="77"/>
        <v/>
      </c>
      <c r="V1504" s="58">
        <f>IF(AND($B1504&lt;&gt;"",$F1504&lt;&gt;"",$F1504=项目明细账!$C$2),N(V1503)+1,N(V1503))</f>
        <v>0</v>
      </c>
      <c r="W1504" s="63" t="str">
        <f>IF($H1504&lt;&gt;"","项目成本",IFERROR(INDEX(基础资料!$W$4:$W$49,MATCH($I1504,基础资料!$V$4:$V$49,0)),""))</f>
        <v/>
      </c>
      <c r="X1504" s="63" t="str">
        <f>IFERROR(INDEX(基础资料!$R$4:$R$17,MATCH($G1504,基础资料!$Q$4:$Q$17,0)),"")</f>
        <v/>
      </c>
    </row>
    <row r="1505" spans="1:24">
      <c r="A1505" s="58" t="str">
        <f>IF($B1505="","",COUNTA($B$5:$B1505))</f>
        <v/>
      </c>
      <c r="B1505" s="53"/>
      <c r="C1505" s="46"/>
      <c r="D1505" s="63" t="str">
        <f>IFERROR(INDEX(基础资料!$F$4:$F$23,MATCH($C1505,基础资料!$E$4:$E$23,0)),IF($C1505="","","未匹配账户"))</f>
        <v/>
      </c>
      <c r="E1505" s="39"/>
      <c r="F1505" s="10"/>
      <c r="G1505" s="10"/>
      <c r="H1505" s="10"/>
      <c r="I1505" s="10"/>
      <c r="J1505" s="10"/>
      <c r="K1505" s="25"/>
      <c r="L1505" s="25"/>
      <c r="M1505" s="25" t="str">
        <f>IFERROR(VLOOKUP($C1505,$C$5:$M$24,11,0)+SUMIF($C$25:$C1505,$C1505,$K$25:$K1505)-SUMIF($C$25:$C1505,$C1505,$L$25:$L1505),"")</f>
        <v/>
      </c>
      <c r="N1505" s="10"/>
      <c r="O1505" s="10"/>
      <c r="P1505" s="65"/>
      <c r="Q1505" s="10"/>
      <c r="R1505" s="10"/>
      <c r="S1505" s="54" t="str">
        <f t="shared" si="75"/>
        <v/>
      </c>
      <c r="T1505" s="54" t="str">
        <f t="shared" si="76"/>
        <v/>
      </c>
      <c r="U1505" s="58" t="str">
        <f t="shared" si="77"/>
        <v/>
      </c>
      <c r="V1505" s="58">
        <f>IF(AND($B1505&lt;&gt;"",$F1505&lt;&gt;"",$F1505=项目明细账!$C$2),N(V1504)+1,N(V1504))</f>
        <v>0</v>
      </c>
      <c r="W1505" s="63" t="str">
        <f>IF($H1505&lt;&gt;"","项目成本",IFERROR(INDEX(基础资料!$W$4:$W$49,MATCH($I1505,基础资料!$V$4:$V$49,0)),""))</f>
        <v/>
      </c>
      <c r="X1505" s="63" t="str">
        <f>IFERROR(INDEX(基础资料!$R$4:$R$17,MATCH($G1505,基础资料!$Q$4:$Q$17,0)),"")</f>
        <v/>
      </c>
    </row>
    <row r="1506" spans="1:24">
      <c r="A1506" s="58" t="str">
        <f>IF($B1506="","",COUNTA($B$5:$B1506))</f>
        <v/>
      </c>
      <c r="B1506" s="53"/>
      <c r="C1506" s="46"/>
      <c r="D1506" s="63" t="str">
        <f>IFERROR(INDEX(基础资料!$F$4:$F$23,MATCH($C1506,基础资料!$E$4:$E$23,0)),IF($C1506="","","未匹配账户"))</f>
        <v/>
      </c>
      <c r="E1506" s="39"/>
      <c r="F1506" s="10"/>
      <c r="G1506" s="10"/>
      <c r="H1506" s="10"/>
      <c r="I1506" s="10"/>
      <c r="J1506" s="10"/>
      <c r="K1506" s="25"/>
      <c r="L1506" s="25"/>
      <c r="M1506" s="25" t="str">
        <f>IFERROR(VLOOKUP($C1506,$C$5:$M$24,11,0)+SUMIF($C$25:$C1506,$C1506,$K$25:$K1506)-SUMIF($C$25:$C1506,$C1506,$L$25:$L1506),"")</f>
        <v/>
      </c>
      <c r="N1506" s="10"/>
      <c r="O1506" s="10"/>
      <c r="P1506" s="65"/>
      <c r="Q1506" s="10"/>
      <c r="R1506" s="10"/>
      <c r="S1506" s="54" t="str">
        <f t="shared" si="75"/>
        <v/>
      </c>
      <c r="T1506" s="54" t="str">
        <f t="shared" si="76"/>
        <v/>
      </c>
      <c r="U1506" s="58" t="str">
        <f t="shared" si="77"/>
        <v/>
      </c>
      <c r="V1506" s="58">
        <f>IF(AND($B1506&lt;&gt;"",$F1506&lt;&gt;"",$F1506=项目明细账!$C$2),N(V1505)+1,N(V1505))</f>
        <v>0</v>
      </c>
      <c r="W1506" s="63" t="str">
        <f>IF($H1506&lt;&gt;"","项目成本",IFERROR(INDEX(基础资料!$W$4:$W$49,MATCH($I1506,基础资料!$V$4:$V$49,0)),""))</f>
        <v/>
      </c>
      <c r="X1506" s="63" t="str">
        <f>IFERROR(INDEX(基础资料!$R$4:$R$17,MATCH($G1506,基础资料!$Q$4:$Q$17,0)),"")</f>
        <v/>
      </c>
    </row>
    <row r="1507" spans="1:24">
      <c r="A1507" s="58" t="str">
        <f>IF($B1507="","",COUNTA($B$5:$B1507))</f>
        <v/>
      </c>
      <c r="B1507" s="53"/>
      <c r="C1507" s="46"/>
      <c r="D1507" s="63" t="str">
        <f>IFERROR(INDEX(基础资料!$F$4:$F$23,MATCH($C1507,基础资料!$E$4:$E$23,0)),IF($C1507="","","未匹配账户"))</f>
        <v/>
      </c>
      <c r="E1507" s="39"/>
      <c r="F1507" s="10"/>
      <c r="G1507" s="10"/>
      <c r="H1507" s="10"/>
      <c r="I1507" s="10"/>
      <c r="J1507" s="10"/>
      <c r="K1507" s="25"/>
      <c r="L1507" s="25"/>
      <c r="M1507" s="25" t="str">
        <f>IFERROR(VLOOKUP($C1507,$C$5:$M$24,11,0)+SUMIF($C$25:$C1507,$C1507,$K$25:$K1507)-SUMIF($C$25:$C1507,$C1507,$L$25:$L1507),"")</f>
        <v/>
      </c>
      <c r="N1507" s="10"/>
      <c r="O1507" s="10"/>
      <c r="P1507" s="65"/>
      <c r="Q1507" s="10"/>
      <c r="R1507" s="10"/>
      <c r="S1507" s="54" t="str">
        <f t="shared" si="75"/>
        <v/>
      </c>
      <c r="T1507" s="54" t="str">
        <f t="shared" si="76"/>
        <v/>
      </c>
      <c r="U1507" s="58" t="str">
        <f t="shared" si="77"/>
        <v/>
      </c>
      <c r="V1507" s="58">
        <f>IF(AND($B1507&lt;&gt;"",$F1507&lt;&gt;"",$F1507=项目明细账!$C$2),N(V1506)+1,N(V1506))</f>
        <v>0</v>
      </c>
      <c r="W1507" s="63" t="str">
        <f>IF($H1507&lt;&gt;"","项目成本",IFERROR(INDEX(基础资料!$W$4:$W$49,MATCH($I1507,基础资料!$V$4:$V$49,0)),""))</f>
        <v/>
      </c>
      <c r="X1507" s="63" t="str">
        <f>IFERROR(INDEX(基础资料!$R$4:$R$17,MATCH($G1507,基础资料!$Q$4:$Q$17,0)),"")</f>
        <v/>
      </c>
    </row>
    <row r="1508" spans="1:24">
      <c r="A1508" s="58" t="str">
        <f>IF($B1508="","",COUNTA($B$5:$B1508))</f>
        <v/>
      </c>
      <c r="B1508" s="53"/>
      <c r="C1508" s="46"/>
      <c r="D1508" s="63" t="str">
        <f>IFERROR(INDEX(基础资料!$F$4:$F$23,MATCH($C1508,基础资料!$E$4:$E$23,0)),IF($C1508="","","未匹配账户"))</f>
        <v/>
      </c>
      <c r="E1508" s="39"/>
      <c r="F1508" s="10"/>
      <c r="G1508" s="10"/>
      <c r="H1508" s="10"/>
      <c r="I1508" s="10"/>
      <c r="J1508" s="10"/>
      <c r="K1508" s="25"/>
      <c r="L1508" s="25"/>
      <c r="M1508" s="25" t="str">
        <f>IFERROR(VLOOKUP($C1508,$C$5:$M$24,11,0)+SUMIF($C$25:$C1508,$C1508,$K$25:$K1508)-SUMIF($C$25:$C1508,$C1508,$L$25:$L1508),"")</f>
        <v/>
      </c>
      <c r="N1508" s="10"/>
      <c r="O1508" s="10"/>
      <c r="P1508" s="65"/>
      <c r="Q1508" s="10"/>
      <c r="R1508" s="10"/>
      <c r="S1508" s="54" t="str">
        <f t="shared" si="75"/>
        <v/>
      </c>
      <c r="T1508" s="54" t="str">
        <f t="shared" si="76"/>
        <v/>
      </c>
      <c r="U1508" s="58" t="str">
        <f t="shared" si="77"/>
        <v/>
      </c>
      <c r="V1508" s="58">
        <f>IF(AND($B1508&lt;&gt;"",$F1508&lt;&gt;"",$F1508=项目明细账!$C$2),N(V1507)+1,N(V1507))</f>
        <v>0</v>
      </c>
      <c r="W1508" s="63" t="str">
        <f>IF($H1508&lt;&gt;"","项目成本",IFERROR(INDEX(基础资料!$W$4:$W$49,MATCH($I1508,基础资料!$V$4:$V$49,0)),""))</f>
        <v/>
      </c>
      <c r="X1508" s="63" t="str">
        <f>IFERROR(INDEX(基础资料!$R$4:$R$17,MATCH($G1508,基础资料!$Q$4:$Q$17,0)),"")</f>
        <v/>
      </c>
    </row>
    <row r="1509" spans="1:24">
      <c r="A1509" s="58" t="str">
        <f>IF($B1509="","",COUNTA($B$5:$B1509))</f>
        <v/>
      </c>
      <c r="B1509" s="53"/>
      <c r="C1509" s="46"/>
      <c r="D1509" s="63" t="str">
        <f>IFERROR(INDEX(基础资料!$F$4:$F$23,MATCH($C1509,基础资料!$E$4:$E$23,0)),IF($C1509="","","未匹配账户"))</f>
        <v/>
      </c>
      <c r="E1509" s="39"/>
      <c r="F1509" s="10"/>
      <c r="G1509" s="10"/>
      <c r="H1509" s="10"/>
      <c r="I1509" s="10"/>
      <c r="J1509" s="10"/>
      <c r="K1509" s="25"/>
      <c r="L1509" s="25"/>
      <c r="M1509" s="25" t="str">
        <f>IFERROR(VLOOKUP($C1509,$C$5:$M$24,11,0)+SUMIF($C$25:$C1509,$C1509,$K$25:$K1509)-SUMIF($C$25:$C1509,$C1509,$L$25:$L1509),"")</f>
        <v/>
      </c>
      <c r="N1509" s="10"/>
      <c r="O1509" s="10"/>
      <c r="P1509" s="65"/>
      <c r="Q1509" s="10"/>
      <c r="R1509" s="10"/>
      <c r="S1509" s="54" t="str">
        <f t="shared" si="75"/>
        <v/>
      </c>
      <c r="T1509" s="54" t="str">
        <f t="shared" si="76"/>
        <v/>
      </c>
      <c r="U1509" s="58" t="str">
        <f t="shared" si="77"/>
        <v/>
      </c>
      <c r="V1509" s="58">
        <f>IF(AND($B1509&lt;&gt;"",$F1509&lt;&gt;"",$F1509=项目明细账!$C$2),N(V1508)+1,N(V1508))</f>
        <v>0</v>
      </c>
      <c r="W1509" s="63" t="str">
        <f>IF($H1509&lt;&gt;"","项目成本",IFERROR(INDEX(基础资料!$W$4:$W$49,MATCH($I1509,基础资料!$V$4:$V$49,0)),""))</f>
        <v/>
      </c>
      <c r="X1509" s="63" t="str">
        <f>IFERROR(INDEX(基础资料!$R$4:$R$17,MATCH($G1509,基础资料!$Q$4:$Q$17,0)),"")</f>
        <v/>
      </c>
    </row>
    <row r="1510" spans="1:24">
      <c r="A1510" s="58" t="str">
        <f>IF($B1510="","",COUNTA($B$5:$B1510))</f>
        <v/>
      </c>
      <c r="B1510" s="53"/>
      <c r="C1510" s="46"/>
      <c r="D1510" s="63" t="str">
        <f>IFERROR(INDEX(基础资料!$F$4:$F$23,MATCH($C1510,基础资料!$E$4:$E$23,0)),IF($C1510="","","未匹配账户"))</f>
        <v/>
      </c>
      <c r="E1510" s="39"/>
      <c r="F1510" s="10"/>
      <c r="G1510" s="10"/>
      <c r="H1510" s="10"/>
      <c r="I1510" s="10"/>
      <c r="J1510" s="10"/>
      <c r="K1510" s="25"/>
      <c r="L1510" s="25"/>
      <c r="M1510" s="25" t="str">
        <f>IFERROR(VLOOKUP($C1510,$C$5:$M$24,11,0)+SUMIF($C$25:$C1510,$C1510,$K$25:$K1510)-SUMIF($C$25:$C1510,$C1510,$L$25:$L1510),"")</f>
        <v/>
      </c>
      <c r="N1510" s="10"/>
      <c r="O1510" s="10"/>
      <c r="P1510" s="65"/>
      <c r="Q1510" s="10"/>
      <c r="R1510" s="10"/>
      <c r="S1510" s="54" t="str">
        <f t="shared" si="75"/>
        <v/>
      </c>
      <c r="T1510" s="54" t="str">
        <f t="shared" si="76"/>
        <v/>
      </c>
      <c r="U1510" s="58" t="str">
        <f t="shared" si="77"/>
        <v/>
      </c>
      <c r="V1510" s="58">
        <f>IF(AND($B1510&lt;&gt;"",$F1510&lt;&gt;"",$F1510=项目明细账!$C$2),N(V1509)+1,N(V1509))</f>
        <v>0</v>
      </c>
      <c r="W1510" s="63" t="str">
        <f>IF($H1510&lt;&gt;"","项目成本",IFERROR(INDEX(基础资料!$W$4:$W$49,MATCH($I1510,基础资料!$V$4:$V$49,0)),""))</f>
        <v/>
      </c>
      <c r="X1510" s="63" t="str">
        <f>IFERROR(INDEX(基础资料!$R$4:$R$17,MATCH($G1510,基础资料!$Q$4:$Q$17,0)),"")</f>
        <v/>
      </c>
    </row>
    <row r="1511" spans="1:24">
      <c r="A1511" s="58" t="str">
        <f>IF($B1511="","",COUNTA($B$5:$B1511))</f>
        <v/>
      </c>
      <c r="B1511" s="53"/>
      <c r="C1511" s="46"/>
      <c r="D1511" s="63" t="str">
        <f>IFERROR(INDEX(基础资料!$F$4:$F$23,MATCH($C1511,基础资料!$E$4:$E$23,0)),IF($C1511="","","未匹配账户"))</f>
        <v/>
      </c>
      <c r="E1511" s="39"/>
      <c r="F1511" s="10"/>
      <c r="G1511" s="10"/>
      <c r="H1511" s="10"/>
      <c r="I1511" s="10"/>
      <c r="J1511" s="10"/>
      <c r="K1511" s="25"/>
      <c r="L1511" s="25"/>
      <c r="M1511" s="25" t="str">
        <f>IFERROR(VLOOKUP($C1511,$C$5:$M$24,11,0)+SUMIF($C$25:$C1511,$C1511,$K$25:$K1511)-SUMIF($C$25:$C1511,$C1511,$L$25:$L1511),"")</f>
        <v/>
      </c>
      <c r="N1511" s="10"/>
      <c r="O1511" s="10"/>
      <c r="P1511" s="65"/>
      <c r="Q1511" s="10"/>
      <c r="R1511" s="10"/>
      <c r="S1511" s="54" t="str">
        <f t="shared" si="75"/>
        <v/>
      </c>
      <c r="T1511" s="54" t="str">
        <f t="shared" si="76"/>
        <v/>
      </c>
      <c r="U1511" s="58" t="str">
        <f t="shared" si="77"/>
        <v/>
      </c>
      <c r="V1511" s="58">
        <f>IF(AND($B1511&lt;&gt;"",$F1511&lt;&gt;"",$F1511=项目明细账!$C$2),N(V1510)+1,N(V1510))</f>
        <v>0</v>
      </c>
      <c r="W1511" s="63" t="str">
        <f>IF($H1511&lt;&gt;"","项目成本",IFERROR(INDEX(基础资料!$W$4:$W$49,MATCH($I1511,基础资料!$V$4:$V$49,0)),""))</f>
        <v/>
      </c>
      <c r="X1511" s="63" t="str">
        <f>IFERROR(INDEX(基础资料!$R$4:$R$17,MATCH($G1511,基础资料!$Q$4:$Q$17,0)),"")</f>
        <v/>
      </c>
    </row>
    <row r="1512" spans="1:24">
      <c r="A1512" s="58" t="str">
        <f>IF($B1512="","",COUNTA($B$5:$B1512))</f>
        <v/>
      </c>
      <c r="B1512" s="53"/>
      <c r="C1512" s="46"/>
      <c r="D1512" s="63" t="str">
        <f>IFERROR(INDEX(基础资料!$F$4:$F$23,MATCH($C1512,基础资料!$E$4:$E$23,0)),IF($C1512="","","未匹配账户"))</f>
        <v/>
      </c>
      <c r="E1512" s="39"/>
      <c r="F1512" s="10"/>
      <c r="G1512" s="10"/>
      <c r="H1512" s="10"/>
      <c r="I1512" s="10"/>
      <c r="J1512" s="10"/>
      <c r="K1512" s="25"/>
      <c r="L1512" s="25"/>
      <c r="M1512" s="25" t="str">
        <f>IFERROR(VLOOKUP($C1512,$C$5:$M$24,11,0)+SUMIF($C$25:$C1512,$C1512,$K$25:$K1512)-SUMIF($C$25:$C1512,$C1512,$L$25:$L1512),"")</f>
        <v/>
      </c>
      <c r="N1512" s="10"/>
      <c r="O1512" s="10"/>
      <c r="P1512" s="65"/>
      <c r="Q1512" s="10"/>
      <c r="R1512" s="10"/>
      <c r="S1512" s="54" t="str">
        <f t="shared" si="75"/>
        <v/>
      </c>
      <c r="T1512" s="54" t="str">
        <f t="shared" si="76"/>
        <v/>
      </c>
      <c r="U1512" s="58" t="str">
        <f t="shared" si="77"/>
        <v/>
      </c>
      <c r="V1512" s="58">
        <f>IF(AND($B1512&lt;&gt;"",$F1512&lt;&gt;"",$F1512=项目明细账!$C$2),N(V1511)+1,N(V1511))</f>
        <v>0</v>
      </c>
      <c r="W1512" s="63" t="str">
        <f>IF($H1512&lt;&gt;"","项目成本",IFERROR(INDEX(基础资料!$W$4:$W$49,MATCH($I1512,基础资料!$V$4:$V$49,0)),""))</f>
        <v/>
      </c>
      <c r="X1512" s="63" t="str">
        <f>IFERROR(INDEX(基础资料!$R$4:$R$17,MATCH($G1512,基础资料!$Q$4:$Q$17,0)),"")</f>
        <v/>
      </c>
    </row>
    <row r="1513" spans="1:24">
      <c r="A1513" s="58" t="str">
        <f>IF($B1513="","",COUNTA($B$5:$B1513))</f>
        <v/>
      </c>
      <c r="B1513" s="53"/>
      <c r="C1513" s="46"/>
      <c r="D1513" s="63" t="str">
        <f>IFERROR(INDEX(基础资料!$F$4:$F$23,MATCH($C1513,基础资料!$E$4:$E$23,0)),IF($C1513="","","未匹配账户"))</f>
        <v/>
      </c>
      <c r="E1513" s="39"/>
      <c r="F1513" s="10"/>
      <c r="G1513" s="10"/>
      <c r="H1513" s="10"/>
      <c r="I1513" s="10"/>
      <c r="J1513" s="10"/>
      <c r="K1513" s="25"/>
      <c r="L1513" s="25"/>
      <c r="M1513" s="25" t="str">
        <f>IFERROR(VLOOKUP($C1513,$C$5:$M$24,11,0)+SUMIF($C$25:$C1513,$C1513,$K$25:$K1513)-SUMIF($C$25:$C1513,$C1513,$L$25:$L1513),"")</f>
        <v/>
      </c>
      <c r="N1513" s="10"/>
      <c r="O1513" s="10"/>
      <c r="P1513" s="65"/>
      <c r="Q1513" s="10"/>
      <c r="R1513" s="10"/>
      <c r="S1513" s="54" t="str">
        <f t="shared" si="75"/>
        <v/>
      </c>
      <c r="T1513" s="54" t="str">
        <f t="shared" si="76"/>
        <v/>
      </c>
      <c r="U1513" s="58" t="str">
        <f t="shared" si="77"/>
        <v/>
      </c>
      <c r="V1513" s="58">
        <f>IF(AND($B1513&lt;&gt;"",$F1513&lt;&gt;"",$F1513=项目明细账!$C$2),N(V1512)+1,N(V1512))</f>
        <v>0</v>
      </c>
      <c r="W1513" s="63" t="str">
        <f>IF($H1513&lt;&gt;"","项目成本",IFERROR(INDEX(基础资料!$W$4:$W$49,MATCH($I1513,基础资料!$V$4:$V$49,0)),""))</f>
        <v/>
      </c>
      <c r="X1513" s="63" t="str">
        <f>IFERROR(INDEX(基础资料!$R$4:$R$17,MATCH($G1513,基础资料!$Q$4:$Q$17,0)),"")</f>
        <v/>
      </c>
    </row>
    <row r="1514" spans="1:24">
      <c r="A1514" s="58" t="str">
        <f>IF($B1514="","",COUNTA($B$5:$B1514))</f>
        <v/>
      </c>
      <c r="B1514" s="53"/>
      <c r="C1514" s="46"/>
      <c r="D1514" s="63" t="str">
        <f>IFERROR(INDEX(基础资料!$F$4:$F$23,MATCH($C1514,基础资料!$E$4:$E$23,0)),IF($C1514="","","未匹配账户"))</f>
        <v/>
      </c>
      <c r="E1514" s="39"/>
      <c r="F1514" s="10"/>
      <c r="G1514" s="10"/>
      <c r="H1514" s="10"/>
      <c r="I1514" s="10"/>
      <c r="J1514" s="10"/>
      <c r="K1514" s="25"/>
      <c r="L1514" s="25"/>
      <c r="M1514" s="25" t="str">
        <f>IFERROR(VLOOKUP($C1514,$C$5:$M$24,11,0)+SUMIF($C$25:$C1514,$C1514,$K$25:$K1514)-SUMIF($C$25:$C1514,$C1514,$L$25:$L1514),"")</f>
        <v/>
      </c>
      <c r="N1514" s="10"/>
      <c r="O1514" s="10"/>
      <c r="P1514" s="65"/>
      <c r="Q1514" s="10"/>
      <c r="R1514" s="10"/>
      <c r="S1514" s="54" t="str">
        <f t="shared" si="75"/>
        <v/>
      </c>
      <c r="T1514" s="54" t="str">
        <f t="shared" si="76"/>
        <v/>
      </c>
      <c r="U1514" s="58" t="str">
        <f t="shared" si="77"/>
        <v/>
      </c>
      <c r="V1514" s="58">
        <f>IF(AND($B1514&lt;&gt;"",$F1514&lt;&gt;"",$F1514=项目明细账!$C$2),N(V1513)+1,N(V1513))</f>
        <v>0</v>
      </c>
      <c r="W1514" s="63" t="str">
        <f>IF($H1514&lt;&gt;"","项目成本",IFERROR(INDEX(基础资料!$W$4:$W$49,MATCH($I1514,基础资料!$V$4:$V$49,0)),""))</f>
        <v/>
      </c>
      <c r="X1514" s="63" t="str">
        <f>IFERROR(INDEX(基础资料!$R$4:$R$17,MATCH($G1514,基础资料!$Q$4:$Q$17,0)),"")</f>
        <v/>
      </c>
    </row>
    <row r="1515" spans="1:24">
      <c r="A1515" s="58" t="str">
        <f>IF($B1515="","",COUNTA($B$5:$B1515))</f>
        <v/>
      </c>
      <c r="B1515" s="53"/>
      <c r="C1515" s="46"/>
      <c r="D1515" s="63" t="str">
        <f>IFERROR(INDEX(基础资料!$F$4:$F$23,MATCH($C1515,基础资料!$E$4:$E$23,0)),IF($C1515="","","未匹配账户"))</f>
        <v/>
      </c>
      <c r="E1515" s="39"/>
      <c r="F1515" s="10"/>
      <c r="G1515" s="10"/>
      <c r="H1515" s="10"/>
      <c r="I1515" s="10"/>
      <c r="J1515" s="10"/>
      <c r="K1515" s="25"/>
      <c r="L1515" s="25"/>
      <c r="M1515" s="25" t="str">
        <f>IFERROR(VLOOKUP($C1515,$C$5:$M$24,11,0)+SUMIF($C$25:$C1515,$C1515,$K$25:$K1515)-SUMIF($C$25:$C1515,$C1515,$L$25:$L1515),"")</f>
        <v/>
      </c>
      <c r="N1515" s="10"/>
      <c r="O1515" s="10"/>
      <c r="P1515" s="65"/>
      <c r="Q1515" s="10"/>
      <c r="R1515" s="10"/>
      <c r="S1515" s="54" t="str">
        <f t="shared" si="75"/>
        <v/>
      </c>
      <c r="T1515" s="54" t="str">
        <f t="shared" si="76"/>
        <v/>
      </c>
      <c r="U1515" s="58" t="str">
        <f t="shared" si="77"/>
        <v/>
      </c>
      <c r="V1515" s="58">
        <f>IF(AND($B1515&lt;&gt;"",$F1515&lt;&gt;"",$F1515=项目明细账!$C$2),N(V1514)+1,N(V1514))</f>
        <v>0</v>
      </c>
      <c r="W1515" s="63" t="str">
        <f>IF($H1515&lt;&gt;"","项目成本",IFERROR(INDEX(基础资料!$W$4:$W$49,MATCH($I1515,基础资料!$V$4:$V$49,0)),""))</f>
        <v/>
      </c>
      <c r="X1515" s="63" t="str">
        <f>IFERROR(INDEX(基础资料!$R$4:$R$17,MATCH($G1515,基础资料!$Q$4:$Q$17,0)),"")</f>
        <v/>
      </c>
    </row>
    <row r="1516" spans="1:24">
      <c r="A1516" s="58" t="str">
        <f>IF($B1516="","",COUNTA($B$5:$B1516))</f>
        <v/>
      </c>
      <c r="B1516" s="53"/>
      <c r="C1516" s="46"/>
      <c r="D1516" s="63" t="str">
        <f>IFERROR(INDEX(基础资料!$F$4:$F$23,MATCH($C1516,基础资料!$E$4:$E$23,0)),IF($C1516="","","未匹配账户"))</f>
        <v/>
      </c>
      <c r="E1516" s="39"/>
      <c r="F1516" s="10"/>
      <c r="G1516" s="10"/>
      <c r="H1516" s="10"/>
      <c r="I1516" s="10"/>
      <c r="J1516" s="10"/>
      <c r="K1516" s="25"/>
      <c r="L1516" s="25"/>
      <c r="M1516" s="25" t="str">
        <f>IFERROR(VLOOKUP($C1516,$C$5:$M$24,11,0)+SUMIF($C$25:$C1516,$C1516,$K$25:$K1516)-SUMIF($C$25:$C1516,$C1516,$L$25:$L1516),"")</f>
        <v/>
      </c>
      <c r="N1516" s="10"/>
      <c r="O1516" s="10"/>
      <c r="P1516" s="65"/>
      <c r="Q1516" s="10"/>
      <c r="R1516" s="10"/>
      <c r="S1516" s="54" t="str">
        <f t="shared" si="75"/>
        <v/>
      </c>
      <c r="T1516" s="54" t="str">
        <f t="shared" si="76"/>
        <v/>
      </c>
      <c r="U1516" s="58" t="str">
        <f t="shared" si="77"/>
        <v/>
      </c>
      <c r="V1516" s="58">
        <f>IF(AND($B1516&lt;&gt;"",$F1516&lt;&gt;"",$F1516=项目明细账!$C$2),N(V1515)+1,N(V1515))</f>
        <v>0</v>
      </c>
      <c r="W1516" s="63" t="str">
        <f>IF($H1516&lt;&gt;"","项目成本",IFERROR(INDEX(基础资料!$W$4:$W$49,MATCH($I1516,基础资料!$V$4:$V$49,0)),""))</f>
        <v/>
      </c>
      <c r="X1516" s="63" t="str">
        <f>IFERROR(INDEX(基础资料!$R$4:$R$17,MATCH($G1516,基础资料!$Q$4:$Q$17,0)),"")</f>
        <v/>
      </c>
    </row>
    <row r="1517" spans="1:24">
      <c r="A1517" s="58" t="str">
        <f>IF($B1517="","",COUNTA($B$5:$B1517))</f>
        <v/>
      </c>
      <c r="B1517" s="53"/>
      <c r="C1517" s="46"/>
      <c r="D1517" s="63" t="str">
        <f>IFERROR(INDEX(基础资料!$F$4:$F$23,MATCH($C1517,基础资料!$E$4:$E$23,0)),IF($C1517="","","未匹配账户"))</f>
        <v/>
      </c>
      <c r="E1517" s="39"/>
      <c r="F1517" s="10"/>
      <c r="G1517" s="10"/>
      <c r="H1517" s="10"/>
      <c r="I1517" s="10"/>
      <c r="J1517" s="10"/>
      <c r="K1517" s="25"/>
      <c r="L1517" s="25"/>
      <c r="M1517" s="25" t="str">
        <f>IFERROR(VLOOKUP($C1517,$C$5:$M$24,11,0)+SUMIF($C$25:$C1517,$C1517,$K$25:$K1517)-SUMIF($C$25:$C1517,$C1517,$L$25:$L1517),"")</f>
        <v/>
      </c>
      <c r="N1517" s="10"/>
      <c r="O1517" s="10"/>
      <c r="P1517" s="65"/>
      <c r="Q1517" s="10"/>
      <c r="R1517" s="10"/>
      <c r="S1517" s="54" t="str">
        <f t="shared" si="75"/>
        <v/>
      </c>
      <c r="T1517" s="54" t="str">
        <f t="shared" si="76"/>
        <v/>
      </c>
      <c r="U1517" s="58" t="str">
        <f t="shared" si="77"/>
        <v/>
      </c>
      <c r="V1517" s="58">
        <f>IF(AND($B1517&lt;&gt;"",$F1517&lt;&gt;"",$F1517=项目明细账!$C$2),N(V1516)+1,N(V1516))</f>
        <v>0</v>
      </c>
      <c r="W1517" s="63" t="str">
        <f>IF($H1517&lt;&gt;"","项目成本",IFERROR(INDEX(基础资料!$W$4:$W$49,MATCH($I1517,基础资料!$V$4:$V$49,0)),""))</f>
        <v/>
      </c>
      <c r="X1517" s="63" t="str">
        <f>IFERROR(INDEX(基础资料!$R$4:$R$17,MATCH($G1517,基础资料!$Q$4:$Q$17,0)),"")</f>
        <v/>
      </c>
    </row>
    <row r="1518" spans="1:24">
      <c r="A1518" s="58" t="str">
        <f>IF($B1518="","",COUNTA($B$5:$B1518))</f>
        <v/>
      </c>
      <c r="B1518" s="53"/>
      <c r="C1518" s="46"/>
      <c r="D1518" s="63" t="str">
        <f>IFERROR(INDEX(基础资料!$F$4:$F$23,MATCH($C1518,基础资料!$E$4:$E$23,0)),IF($C1518="","","未匹配账户"))</f>
        <v/>
      </c>
      <c r="E1518" s="39"/>
      <c r="F1518" s="10"/>
      <c r="G1518" s="10"/>
      <c r="H1518" s="10"/>
      <c r="I1518" s="10"/>
      <c r="J1518" s="10"/>
      <c r="K1518" s="25"/>
      <c r="L1518" s="25"/>
      <c r="M1518" s="25" t="str">
        <f>IFERROR(VLOOKUP($C1518,$C$5:$M$24,11,0)+SUMIF($C$25:$C1518,$C1518,$K$25:$K1518)-SUMIF($C$25:$C1518,$C1518,$L$25:$L1518),"")</f>
        <v/>
      </c>
      <c r="N1518" s="10"/>
      <c r="O1518" s="10"/>
      <c r="P1518" s="65"/>
      <c r="Q1518" s="10"/>
      <c r="R1518" s="10"/>
      <c r="S1518" s="54" t="str">
        <f t="shared" si="75"/>
        <v/>
      </c>
      <c r="T1518" s="54" t="str">
        <f t="shared" si="76"/>
        <v/>
      </c>
      <c r="U1518" s="58" t="str">
        <f t="shared" si="77"/>
        <v/>
      </c>
      <c r="V1518" s="58">
        <f>IF(AND($B1518&lt;&gt;"",$F1518&lt;&gt;"",$F1518=项目明细账!$C$2),N(V1517)+1,N(V1517))</f>
        <v>0</v>
      </c>
      <c r="W1518" s="63" t="str">
        <f>IF($H1518&lt;&gt;"","项目成本",IFERROR(INDEX(基础资料!$W$4:$W$49,MATCH($I1518,基础资料!$V$4:$V$49,0)),""))</f>
        <v/>
      </c>
      <c r="X1518" s="63" t="str">
        <f>IFERROR(INDEX(基础资料!$R$4:$R$17,MATCH($G1518,基础资料!$Q$4:$Q$17,0)),"")</f>
        <v/>
      </c>
    </row>
    <row r="1519" spans="1:24">
      <c r="A1519" s="58" t="str">
        <f>IF($B1519="","",COUNTA($B$5:$B1519))</f>
        <v/>
      </c>
      <c r="B1519" s="53"/>
      <c r="C1519" s="46"/>
      <c r="D1519" s="63" t="str">
        <f>IFERROR(INDEX(基础资料!$F$4:$F$23,MATCH($C1519,基础资料!$E$4:$E$23,0)),IF($C1519="","","未匹配账户"))</f>
        <v/>
      </c>
      <c r="E1519" s="39"/>
      <c r="F1519" s="10"/>
      <c r="G1519" s="10"/>
      <c r="H1519" s="10"/>
      <c r="I1519" s="10"/>
      <c r="J1519" s="10"/>
      <c r="K1519" s="25"/>
      <c r="L1519" s="25"/>
      <c r="M1519" s="25" t="str">
        <f>IFERROR(VLOOKUP($C1519,$C$5:$M$24,11,0)+SUMIF($C$25:$C1519,$C1519,$K$25:$K1519)-SUMIF($C$25:$C1519,$C1519,$L$25:$L1519),"")</f>
        <v/>
      </c>
      <c r="N1519" s="10"/>
      <c r="O1519" s="10"/>
      <c r="P1519" s="65"/>
      <c r="Q1519" s="10"/>
      <c r="R1519" s="10"/>
      <c r="S1519" s="54" t="str">
        <f t="shared" si="75"/>
        <v/>
      </c>
      <c r="T1519" s="54" t="str">
        <f t="shared" si="76"/>
        <v/>
      </c>
      <c r="U1519" s="58" t="str">
        <f t="shared" si="77"/>
        <v/>
      </c>
      <c r="V1519" s="58">
        <f>IF(AND($B1519&lt;&gt;"",$F1519&lt;&gt;"",$F1519=项目明细账!$C$2),N(V1518)+1,N(V1518))</f>
        <v>0</v>
      </c>
      <c r="W1519" s="63" t="str">
        <f>IF($H1519&lt;&gt;"","项目成本",IFERROR(INDEX(基础资料!$W$4:$W$49,MATCH($I1519,基础资料!$V$4:$V$49,0)),""))</f>
        <v/>
      </c>
      <c r="X1519" s="63" t="str">
        <f>IFERROR(INDEX(基础资料!$R$4:$R$17,MATCH($G1519,基础资料!$Q$4:$Q$17,0)),"")</f>
        <v/>
      </c>
    </row>
    <row r="1520" spans="1:24">
      <c r="A1520" s="58" t="str">
        <f>IF($B1520="","",COUNTA($B$5:$B1520))</f>
        <v/>
      </c>
      <c r="B1520" s="53"/>
      <c r="C1520" s="46"/>
      <c r="D1520" s="63" t="str">
        <f>IFERROR(INDEX(基础资料!$F$4:$F$23,MATCH($C1520,基础资料!$E$4:$E$23,0)),IF($C1520="","","未匹配账户"))</f>
        <v/>
      </c>
      <c r="E1520" s="39"/>
      <c r="F1520" s="10"/>
      <c r="G1520" s="10"/>
      <c r="H1520" s="10"/>
      <c r="I1520" s="10"/>
      <c r="J1520" s="10"/>
      <c r="K1520" s="25"/>
      <c r="L1520" s="25"/>
      <c r="M1520" s="25" t="str">
        <f>IFERROR(VLOOKUP($C1520,$C$5:$M$24,11,0)+SUMIF($C$25:$C1520,$C1520,$K$25:$K1520)-SUMIF($C$25:$C1520,$C1520,$L$25:$L1520),"")</f>
        <v/>
      </c>
      <c r="N1520" s="10"/>
      <c r="O1520" s="10"/>
      <c r="P1520" s="65"/>
      <c r="Q1520" s="10"/>
      <c r="R1520" s="10"/>
      <c r="S1520" s="54" t="str">
        <f t="shared" si="75"/>
        <v/>
      </c>
      <c r="T1520" s="54" t="str">
        <f t="shared" si="76"/>
        <v/>
      </c>
      <c r="U1520" s="58" t="str">
        <f t="shared" si="77"/>
        <v/>
      </c>
      <c r="V1520" s="58">
        <f>IF(AND($B1520&lt;&gt;"",$F1520&lt;&gt;"",$F1520=项目明细账!$C$2),N(V1519)+1,N(V1519))</f>
        <v>0</v>
      </c>
      <c r="W1520" s="63" t="str">
        <f>IF($H1520&lt;&gt;"","项目成本",IFERROR(INDEX(基础资料!$W$4:$W$49,MATCH($I1520,基础资料!$V$4:$V$49,0)),""))</f>
        <v/>
      </c>
      <c r="X1520" s="63" t="str">
        <f>IFERROR(INDEX(基础资料!$R$4:$R$17,MATCH($G1520,基础资料!$Q$4:$Q$17,0)),"")</f>
        <v/>
      </c>
    </row>
    <row r="1521" spans="1:24">
      <c r="A1521" s="58" t="str">
        <f>IF($B1521="","",COUNTA($B$5:$B1521))</f>
        <v/>
      </c>
      <c r="B1521" s="53"/>
      <c r="C1521" s="46"/>
      <c r="D1521" s="63" t="str">
        <f>IFERROR(INDEX(基础资料!$F$4:$F$23,MATCH($C1521,基础资料!$E$4:$E$23,0)),IF($C1521="","","未匹配账户"))</f>
        <v/>
      </c>
      <c r="E1521" s="39"/>
      <c r="F1521" s="10"/>
      <c r="G1521" s="10"/>
      <c r="H1521" s="10"/>
      <c r="I1521" s="10"/>
      <c r="J1521" s="10"/>
      <c r="K1521" s="25"/>
      <c r="L1521" s="25"/>
      <c r="M1521" s="25" t="str">
        <f>IFERROR(VLOOKUP($C1521,$C$5:$M$24,11,0)+SUMIF($C$25:$C1521,$C1521,$K$25:$K1521)-SUMIF($C$25:$C1521,$C1521,$L$25:$L1521),"")</f>
        <v/>
      </c>
      <c r="N1521" s="10"/>
      <c r="O1521" s="10"/>
      <c r="P1521" s="65"/>
      <c r="Q1521" s="10"/>
      <c r="R1521" s="10"/>
      <c r="S1521" s="54" t="str">
        <f t="shared" si="75"/>
        <v/>
      </c>
      <c r="T1521" s="54" t="str">
        <f t="shared" si="76"/>
        <v/>
      </c>
      <c r="U1521" s="58" t="str">
        <f t="shared" si="77"/>
        <v/>
      </c>
      <c r="V1521" s="58">
        <f>IF(AND($B1521&lt;&gt;"",$F1521&lt;&gt;"",$F1521=项目明细账!$C$2),N(V1520)+1,N(V1520))</f>
        <v>0</v>
      </c>
      <c r="W1521" s="63" t="str">
        <f>IF($H1521&lt;&gt;"","项目成本",IFERROR(INDEX(基础资料!$W$4:$W$49,MATCH($I1521,基础资料!$V$4:$V$49,0)),""))</f>
        <v/>
      </c>
      <c r="X1521" s="63" t="str">
        <f>IFERROR(INDEX(基础资料!$R$4:$R$17,MATCH($G1521,基础资料!$Q$4:$Q$17,0)),"")</f>
        <v/>
      </c>
    </row>
    <row r="1522" spans="1:24">
      <c r="A1522" s="58" t="str">
        <f>IF($B1522="","",COUNTA($B$5:$B1522))</f>
        <v/>
      </c>
      <c r="B1522" s="53"/>
      <c r="C1522" s="46"/>
      <c r="D1522" s="63" t="str">
        <f>IFERROR(INDEX(基础资料!$F$4:$F$23,MATCH($C1522,基础资料!$E$4:$E$23,0)),IF($C1522="","","未匹配账户"))</f>
        <v/>
      </c>
      <c r="E1522" s="39"/>
      <c r="F1522" s="10"/>
      <c r="G1522" s="10"/>
      <c r="H1522" s="10"/>
      <c r="I1522" s="10"/>
      <c r="J1522" s="10"/>
      <c r="K1522" s="25"/>
      <c r="L1522" s="25"/>
      <c r="M1522" s="25" t="str">
        <f>IFERROR(VLOOKUP($C1522,$C$5:$M$24,11,0)+SUMIF($C$25:$C1522,$C1522,$K$25:$K1522)-SUMIF($C$25:$C1522,$C1522,$L$25:$L1522),"")</f>
        <v/>
      </c>
      <c r="N1522" s="10"/>
      <c r="O1522" s="10"/>
      <c r="P1522" s="65"/>
      <c r="Q1522" s="10"/>
      <c r="R1522" s="10"/>
      <c r="S1522" s="54" t="str">
        <f t="shared" si="75"/>
        <v/>
      </c>
      <c r="T1522" s="54" t="str">
        <f t="shared" si="76"/>
        <v/>
      </c>
      <c r="U1522" s="58" t="str">
        <f t="shared" si="77"/>
        <v/>
      </c>
      <c r="V1522" s="58">
        <f>IF(AND($B1522&lt;&gt;"",$F1522&lt;&gt;"",$F1522=项目明细账!$C$2),N(V1521)+1,N(V1521))</f>
        <v>0</v>
      </c>
      <c r="W1522" s="63" t="str">
        <f>IF($H1522&lt;&gt;"","项目成本",IFERROR(INDEX(基础资料!$W$4:$W$49,MATCH($I1522,基础资料!$V$4:$V$49,0)),""))</f>
        <v/>
      </c>
      <c r="X1522" s="63" t="str">
        <f>IFERROR(INDEX(基础资料!$R$4:$R$17,MATCH($G1522,基础资料!$Q$4:$Q$17,0)),"")</f>
        <v/>
      </c>
    </row>
    <row r="1523" spans="1:24">
      <c r="A1523" s="58" t="str">
        <f>IF($B1523="","",COUNTA($B$5:$B1523))</f>
        <v/>
      </c>
      <c r="B1523" s="53"/>
      <c r="C1523" s="46"/>
      <c r="D1523" s="63" t="str">
        <f>IFERROR(INDEX(基础资料!$F$4:$F$23,MATCH($C1523,基础资料!$E$4:$E$23,0)),IF($C1523="","","未匹配账户"))</f>
        <v/>
      </c>
      <c r="E1523" s="39"/>
      <c r="F1523" s="10"/>
      <c r="G1523" s="10"/>
      <c r="H1523" s="10"/>
      <c r="I1523" s="10"/>
      <c r="J1523" s="10"/>
      <c r="K1523" s="25"/>
      <c r="L1523" s="25"/>
      <c r="M1523" s="25" t="str">
        <f>IFERROR(VLOOKUP($C1523,$C$5:$M$24,11,0)+SUMIF($C$25:$C1523,$C1523,$K$25:$K1523)-SUMIF($C$25:$C1523,$C1523,$L$25:$L1523),"")</f>
        <v/>
      </c>
      <c r="N1523" s="10"/>
      <c r="O1523" s="10"/>
      <c r="P1523" s="65"/>
      <c r="Q1523" s="10"/>
      <c r="R1523" s="10"/>
      <c r="S1523" s="54" t="str">
        <f t="shared" si="75"/>
        <v/>
      </c>
      <c r="T1523" s="54" t="str">
        <f t="shared" si="76"/>
        <v/>
      </c>
      <c r="U1523" s="58" t="str">
        <f t="shared" si="77"/>
        <v/>
      </c>
      <c r="V1523" s="58">
        <f>IF(AND($B1523&lt;&gt;"",$F1523&lt;&gt;"",$F1523=项目明细账!$C$2),N(V1522)+1,N(V1522))</f>
        <v>0</v>
      </c>
      <c r="W1523" s="63" t="str">
        <f>IF($H1523&lt;&gt;"","项目成本",IFERROR(INDEX(基础资料!$W$4:$W$49,MATCH($I1523,基础资料!$V$4:$V$49,0)),""))</f>
        <v/>
      </c>
      <c r="X1523" s="63" t="str">
        <f>IFERROR(INDEX(基础资料!$R$4:$R$17,MATCH($G1523,基础资料!$Q$4:$Q$17,0)),"")</f>
        <v/>
      </c>
    </row>
    <row r="1524" spans="1:24">
      <c r="A1524" s="58" t="str">
        <f>IF($B1524="","",COUNTA($B$5:$B1524))</f>
        <v/>
      </c>
      <c r="B1524" s="53"/>
      <c r="C1524" s="46"/>
      <c r="D1524" s="63" t="str">
        <f>IFERROR(INDEX(基础资料!$F$4:$F$23,MATCH($C1524,基础资料!$E$4:$E$23,0)),IF($C1524="","","未匹配账户"))</f>
        <v/>
      </c>
      <c r="E1524" s="39"/>
      <c r="F1524" s="10"/>
      <c r="G1524" s="10"/>
      <c r="H1524" s="10"/>
      <c r="I1524" s="10"/>
      <c r="J1524" s="10"/>
      <c r="K1524" s="25"/>
      <c r="L1524" s="25"/>
      <c r="M1524" s="25" t="str">
        <f>IFERROR(VLOOKUP($C1524,$C$5:$M$24,11,0)+SUMIF($C$25:$C1524,$C1524,$K$25:$K1524)-SUMIF($C$25:$C1524,$C1524,$L$25:$L1524),"")</f>
        <v/>
      </c>
      <c r="N1524" s="10"/>
      <c r="O1524" s="10"/>
      <c r="P1524" s="65"/>
      <c r="Q1524" s="10"/>
      <c r="R1524" s="10"/>
      <c r="S1524" s="54" t="str">
        <f t="shared" si="75"/>
        <v/>
      </c>
      <c r="T1524" s="54" t="str">
        <f t="shared" si="76"/>
        <v/>
      </c>
      <c r="U1524" s="58" t="str">
        <f t="shared" si="77"/>
        <v/>
      </c>
      <c r="V1524" s="58">
        <f>IF(AND($B1524&lt;&gt;"",$F1524&lt;&gt;"",$F1524=项目明细账!$C$2),N(V1523)+1,N(V1523))</f>
        <v>0</v>
      </c>
      <c r="W1524" s="63" t="str">
        <f>IF($H1524&lt;&gt;"","项目成本",IFERROR(INDEX(基础资料!$W$4:$W$49,MATCH($I1524,基础资料!$V$4:$V$49,0)),""))</f>
        <v/>
      </c>
      <c r="X1524" s="63" t="str">
        <f>IFERROR(INDEX(基础资料!$R$4:$R$17,MATCH($G1524,基础资料!$Q$4:$Q$17,0)),"")</f>
        <v/>
      </c>
    </row>
    <row r="1525" spans="1:24">
      <c r="A1525" s="58" t="str">
        <f>IF($B1525="","",COUNTA($B$5:$B1525))</f>
        <v/>
      </c>
      <c r="B1525" s="53"/>
      <c r="C1525" s="46"/>
      <c r="D1525" s="63" t="str">
        <f>IFERROR(INDEX(基础资料!$F$4:$F$23,MATCH($C1525,基础资料!$E$4:$E$23,0)),IF($C1525="","","未匹配账户"))</f>
        <v/>
      </c>
      <c r="E1525" s="39"/>
      <c r="F1525" s="10"/>
      <c r="G1525" s="10"/>
      <c r="H1525" s="10"/>
      <c r="I1525" s="10"/>
      <c r="J1525" s="10"/>
      <c r="K1525" s="25"/>
      <c r="L1525" s="25"/>
      <c r="M1525" s="25" t="str">
        <f>IFERROR(VLOOKUP($C1525,$C$5:$M$24,11,0)+SUMIF($C$25:$C1525,$C1525,$K$25:$K1525)-SUMIF($C$25:$C1525,$C1525,$L$25:$L1525),"")</f>
        <v/>
      </c>
      <c r="N1525" s="10"/>
      <c r="O1525" s="10"/>
      <c r="P1525" s="65"/>
      <c r="Q1525" s="10"/>
      <c r="R1525" s="10"/>
      <c r="S1525" s="54" t="str">
        <f t="shared" si="75"/>
        <v/>
      </c>
      <c r="T1525" s="54" t="str">
        <f t="shared" si="76"/>
        <v/>
      </c>
      <c r="U1525" s="58" t="str">
        <f t="shared" si="77"/>
        <v/>
      </c>
      <c r="V1525" s="58">
        <f>IF(AND($B1525&lt;&gt;"",$F1525&lt;&gt;"",$F1525=项目明细账!$C$2),N(V1524)+1,N(V1524))</f>
        <v>0</v>
      </c>
      <c r="W1525" s="63" t="str">
        <f>IF($H1525&lt;&gt;"","项目成本",IFERROR(INDEX(基础资料!$W$4:$W$49,MATCH($I1525,基础资料!$V$4:$V$49,0)),""))</f>
        <v/>
      </c>
      <c r="X1525" s="63" t="str">
        <f>IFERROR(INDEX(基础资料!$R$4:$R$17,MATCH($G1525,基础资料!$Q$4:$Q$17,0)),"")</f>
        <v/>
      </c>
    </row>
    <row r="1526" spans="1:24">
      <c r="A1526" s="58" t="str">
        <f>IF($B1526="","",COUNTA($B$5:$B1526))</f>
        <v/>
      </c>
      <c r="B1526" s="53"/>
      <c r="C1526" s="46"/>
      <c r="D1526" s="63" t="str">
        <f>IFERROR(INDEX(基础资料!$F$4:$F$23,MATCH($C1526,基础资料!$E$4:$E$23,0)),IF($C1526="","","未匹配账户"))</f>
        <v/>
      </c>
      <c r="E1526" s="39"/>
      <c r="F1526" s="10"/>
      <c r="G1526" s="10"/>
      <c r="H1526" s="10"/>
      <c r="I1526" s="10"/>
      <c r="J1526" s="10"/>
      <c r="K1526" s="25"/>
      <c r="L1526" s="25"/>
      <c r="M1526" s="25" t="str">
        <f>IFERROR(VLOOKUP($C1526,$C$5:$M$24,11,0)+SUMIF($C$25:$C1526,$C1526,$K$25:$K1526)-SUMIF($C$25:$C1526,$C1526,$L$25:$L1526),"")</f>
        <v/>
      </c>
      <c r="N1526" s="10"/>
      <c r="O1526" s="10"/>
      <c r="P1526" s="65"/>
      <c r="Q1526" s="10"/>
      <c r="R1526" s="10"/>
      <c r="S1526" s="54" t="str">
        <f t="shared" si="75"/>
        <v/>
      </c>
      <c r="T1526" s="54" t="str">
        <f t="shared" si="76"/>
        <v/>
      </c>
      <c r="U1526" s="58" t="str">
        <f t="shared" si="77"/>
        <v/>
      </c>
      <c r="V1526" s="58">
        <f>IF(AND($B1526&lt;&gt;"",$F1526&lt;&gt;"",$F1526=项目明细账!$C$2),N(V1525)+1,N(V1525))</f>
        <v>0</v>
      </c>
      <c r="W1526" s="63" t="str">
        <f>IF($H1526&lt;&gt;"","项目成本",IFERROR(INDEX(基础资料!$W$4:$W$49,MATCH($I1526,基础资料!$V$4:$V$49,0)),""))</f>
        <v/>
      </c>
      <c r="X1526" s="63" t="str">
        <f>IFERROR(INDEX(基础资料!$R$4:$R$17,MATCH($G1526,基础资料!$Q$4:$Q$17,0)),"")</f>
        <v/>
      </c>
    </row>
    <row r="1527" spans="1:24">
      <c r="A1527" s="58" t="str">
        <f>IF($B1527="","",COUNTA($B$5:$B1527))</f>
        <v/>
      </c>
      <c r="B1527" s="53"/>
      <c r="C1527" s="46"/>
      <c r="D1527" s="63" t="str">
        <f>IFERROR(INDEX(基础资料!$F$4:$F$23,MATCH($C1527,基础资料!$E$4:$E$23,0)),IF($C1527="","","未匹配账户"))</f>
        <v/>
      </c>
      <c r="E1527" s="39"/>
      <c r="F1527" s="10"/>
      <c r="G1527" s="10"/>
      <c r="H1527" s="10"/>
      <c r="I1527" s="10"/>
      <c r="J1527" s="10"/>
      <c r="K1527" s="25"/>
      <c r="L1527" s="25"/>
      <c r="M1527" s="25" t="str">
        <f>IFERROR(VLOOKUP($C1527,$C$5:$M$24,11,0)+SUMIF($C$25:$C1527,$C1527,$K$25:$K1527)-SUMIF($C$25:$C1527,$C1527,$L$25:$L1527),"")</f>
        <v/>
      </c>
      <c r="N1527" s="10"/>
      <c r="O1527" s="10"/>
      <c r="P1527" s="65"/>
      <c r="Q1527" s="10"/>
      <c r="R1527" s="10"/>
      <c r="S1527" s="54" t="str">
        <f t="shared" si="75"/>
        <v/>
      </c>
      <c r="T1527" s="54" t="str">
        <f t="shared" si="76"/>
        <v/>
      </c>
      <c r="U1527" s="58" t="str">
        <f t="shared" si="77"/>
        <v/>
      </c>
      <c r="V1527" s="58">
        <f>IF(AND($B1527&lt;&gt;"",$F1527&lt;&gt;"",$F1527=项目明细账!$C$2),N(V1526)+1,N(V1526))</f>
        <v>0</v>
      </c>
      <c r="W1527" s="63" t="str">
        <f>IF($H1527&lt;&gt;"","项目成本",IFERROR(INDEX(基础资料!$W$4:$W$49,MATCH($I1527,基础资料!$V$4:$V$49,0)),""))</f>
        <v/>
      </c>
      <c r="X1527" s="63" t="str">
        <f>IFERROR(INDEX(基础资料!$R$4:$R$17,MATCH($G1527,基础资料!$Q$4:$Q$17,0)),"")</f>
        <v/>
      </c>
    </row>
    <row r="1528" spans="1:24">
      <c r="A1528" s="58" t="str">
        <f>IF($B1528="","",COUNTA($B$5:$B1528))</f>
        <v/>
      </c>
      <c r="B1528" s="53"/>
      <c r="C1528" s="46"/>
      <c r="D1528" s="63" t="str">
        <f>IFERROR(INDEX(基础资料!$F$4:$F$23,MATCH($C1528,基础资料!$E$4:$E$23,0)),IF($C1528="","","未匹配账户"))</f>
        <v/>
      </c>
      <c r="E1528" s="39"/>
      <c r="F1528" s="10"/>
      <c r="G1528" s="10"/>
      <c r="H1528" s="10"/>
      <c r="I1528" s="10"/>
      <c r="J1528" s="10"/>
      <c r="K1528" s="25"/>
      <c r="L1528" s="25"/>
      <c r="M1528" s="25" t="str">
        <f>IFERROR(VLOOKUP($C1528,$C$5:$M$24,11,0)+SUMIF($C$25:$C1528,$C1528,$K$25:$K1528)-SUMIF($C$25:$C1528,$C1528,$L$25:$L1528),"")</f>
        <v/>
      </c>
      <c r="N1528" s="10"/>
      <c r="O1528" s="10"/>
      <c r="P1528" s="65"/>
      <c r="Q1528" s="10"/>
      <c r="R1528" s="10"/>
      <c r="S1528" s="54" t="str">
        <f t="shared" si="75"/>
        <v/>
      </c>
      <c r="T1528" s="54" t="str">
        <f t="shared" si="76"/>
        <v/>
      </c>
      <c r="U1528" s="58" t="str">
        <f t="shared" si="77"/>
        <v/>
      </c>
      <c r="V1528" s="58">
        <f>IF(AND($B1528&lt;&gt;"",$F1528&lt;&gt;"",$F1528=项目明细账!$C$2),N(V1527)+1,N(V1527))</f>
        <v>0</v>
      </c>
      <c r="W1528" s="63" t="str">
        <f>IF($H1528&lt;&gt;"","项目成本",IFERROR(INDEX(基础资料!$W$4:$W$49,MATCH($I1528,基础资料!$V$4:$V$49,0)),""))</f>
        <v/>
      </c>
      <c r="X1528" s="63" t="str">
        <f>IFERROR(INDEX(基础资料!$R$4:$R$17,MATCH($G1528,基础资料!$Q$4:$Q$17,0)),"")</f>
        <v/>
      </c>
    </row>
    <row r="1529" spans="1:24">
      <c r="A1529" s="58" t="str">
        <f>IF($B1529="","",COUNTA($B$5:$B1529))</f>
        <v/>
      </c>
      <c r="B1529" s="53"/>
      <c r="C1529" s="46"/>
      <c r="D1529" s="63" t="str">
        <f>IFERROR(INDEX(基础资料!$F$4:$F$23,MATCH($C1529,基础资料!$E$4:$E$23,0)),IF($C1529="","","未匹配账户"))</f>
        <v/>
      </c>
      <c r="E1529" s="39"/>
      <c r="F1529" s="10"/>
      <c r="G1529" s="10"/>
      <c r="H1529" s="10"/>
      <c r="I1529" s="10"/>
      <c r="J1529" s="10"/>
      <c r="K1529" s="25"/>
      <c r="L1529" s="25"/>
      <c r="M1529" s="25" t="str">
        <f>IFERROR(VLOOKUP($C1529,$C$5:$M$24,11,0)+SUMIF($C$25:$C1529,$C1529,$K$25:$K1529)-SUMIF($C$25:$C1529,$C1529,$L$25:$L1529),"")</f>
        <v/>
      </c>
      <c r="N1529" s="10"/>
      <c r="O1529" s="10"/>
      <c r="P1529" s="65"/>
      <c r="Q1529" s="10"/>
      <c r="R1529" s="10"/>
      <c r="S1529" s="54" t="str">
        <f t="shared" si="75"/>
        <v/>
      </c>
      <c r="T1529" s="54" t="str">
        <f t="shared" si="76"/>
        <v/>
      </c>
      <c r="U1529" s="58" t="str">
        <f t="shared" si="77"/>
        <v/>
      </c>
      <c r="V1529" s="58">
        <f>IF(AND($B1529&lt;&gt;"",$F1529&lt;&gt;"",$F1529=项目明细账!$C$2),N(V1528)+1,N(V1528))</f>
        <v>0</v>
      </c>
      <c r="W1529" s="63" t="str">
        <f>IF($H1529&lt;&gt;"","项目成本",IFERROR(INDEX(基础资料!$W$4:$W$49,MATCH($I1529,基础资料!$V$4:$V$49,0)),""))</f>
        <v/>
      </c>
      <c r="X1529" s="63" t="str">
        <f>IFERROR(INDEX(基础资料!$R$4:$R$17,MATCH($G1529,基础资料!$Q$4:$Q$17,0)),"")</f>
        <v/>
      </c>
    </row>
    <row r="1530" spans="1:24">
      <c r="A1530" s="58" t="str">
        <f>IF($B1530="","",COUNTA($B$5:$B1530))</f>
        <v/>
      </c>
      <c r="B1530" s="53"/>
      <c r="C1530" s="46"/>
      <c r="D1530" s="63" t="str">
        <f>IFERROR(INDEX(基础资料!$F$4:$F$23,MATCH($C1530,基础资料!$E$4:$E$23,0)),IF($C1530="","","未匹配账户"))</f>
        <v/>
      </c>
      <c r="E1530" s="39"/>
      <c r="F1530" s="10"/>
      <c r="G1530" s="10"/>
      <c r="H1530" s="10"/>
      <c r="I1530" s="10"/>
      <c r="J1530" s="10"/>
      <c r="K1530" s="25"/>
      <c r="L1530" s="25"/>
      <c r="M1530" s="25" t="str">
        <f>IFERROR(VLOOKUP($C1530,$C$5:$M$24,11,0)+SUMIF($C$25:$C1530,$C1530,$K$25:$K1530)-SUMIF($C$25:$C1530,$C1530,$L$25:$L1530),"")</f>
        <v/>
      </c>
      <c r="N1530" s="10"/>
      <c r="O1530" s="10"/>
      <c r="P1530" s="65"/>
      <c r="Q1530" s="10"/>
      <c r="R1530" s="10"/>
      <c r="S1530" s="54" t="str">
        <f t="shared" si="75"/>
        <v/>
      </c>
      <c r="T1530" s="54" t="str">
        <f t="shared" si="76"/>
        <v/>
      </c>
      <c r="U1530" s="58" t="str">
        <f t="shared" si="77"/>
        <v/>
      </c>
      <c r="V1530" s="58">
        <f>IF(AND($B1530&lt;&gt;"",$F1530&lt;&gt;"",$F1530=项目明细账!$C$2),N(V1529)+1,N(V1529))</f>
        <v>0</v>
      </c>
      <c r="W1530" s="63" t="str">
        <f>IF($H1530&lt;&gt;"","项目成本",IFERROR(INDEX(基础资料!$W$4:$W$49,MATCH($I1530,基础资料!$V$4:$V$49,0)),""))</f>
        <v/>
      </c>
      <c r="X1530" s="63" t="str">
        <f>IFERROR(INDEX(基础资料!$R$4:$R$17,MATCH($G1530,基础资料!$Q$4:$Q$17,0)),"")</f>
        <v/>
      </c>
    </row>
    <row r="1531" spans="1:24">
      <c r="A1531" s="58" t="str">
        <f>IF($B1531="","",COUNTA($B$5:$B1531))</f>
        <v/>
      </c>
      <c r="B1531" s="53"/>
      <c r="C1531" s="46"/>
      <c r="D1531" s="63" t="str">
        <f>IFERROR(INDEX(基础资料!$F$4:$F$23,MATCH($C1531,基础资料!$E$4:$E$23,0)),IF($C1531="","","未匹配账户"))</f>
        <v/>
      </c>
      <c r="E1531" s="39"/>
      <c r="F1531" s="10"/>
      <c r="G1531" s="10"/>
      <c r="H1531" s="10"/>
      <c r="I1531" s="10"/>
      <c r="J1531" s="10"/>
      <c r="K1531" s="25"/>
      <c r="L1531" s="25"/>
      <c r="M1531" s="25" t="str">
        <f>IFERROR(VLOOKUP($C1531,$C$5:$M$24,11,0)+SUMIF($C$25:$C1531,$C1531,$K$25:$K1531)-SUMIF($C$25:$C1531,$C1531,$L$25:$L1531),"")</f>
        <v/>
      </c>
      <c r="N1531" s="10"/>
      <c r="O1531" s="10"/>
      <c r="P1531" s="65"/>
      <c r="Q1531" s="10"/>
      <c r="R1531" s="10"/>
      <c r="S1531" s="54" t="str">
        <f t="shared" si="75"/>
        <v/>
      </c>
      <c r="T1531" s="54" t="str">
        <f t="shared" si="76"/>
        <v/>
      </c>
      <c r="U1531" s="58" t="str">
        <f t="shared" si="77"/>
        <v/>
      </c>
      <c r="V1531" s="58">
        <f>IF(AND($B1531&lt;&gt;"",$F1531&lt;&gt;"",$F1531=项目明细账!$C$2),N(V1530)+1,N(V1530))</f>
        <v>0</v>
      </c>
      <c r="W1531" s="63" t="str">
        <f>IF($H1531&lt;&gt;"","项目成本",IFERROR(INDEX(基础资料!$W$4:$W$49,MATCH($I1531,基础资料!$V$4:$V$49,0)),""))</f>
        <v/>
      </c>
      <c r="X1531" s="63" t="str">
        <f>IFERROR(INDEX(基础资料!$R$4:$R$17,MATCH($G1531,基础资料!$Q$4:$Q$17,0)),"")</f>
        <v/>
      </c>
    </row>
    <row r="1532" spans="1:24">
      <c r="A1532" s="58" t="str">
        <f>IF($B1532="","",COUNTA($B$5:$B1532))</f>
        <v/>
      </c>
      <c r="B1532" s="53"/>
      <c r="C1532" s="46"/>
      <c r="D1532" s="63" t="str">
        <f>IFERROR(INDEX(基础资料!$F$4:$F$23,MATCH($C1532,基础资料!$E$4:$E$23,0)),IF($C1532="","","未匹配账户"))</f>
        <v/>
      </c>
      <c r="E1532" s="39"/>
      <c r="F1532" s="10"/>
      <c r="G1532" s="10"/>
      <c r="H1532" s="10"/>
      <c r="I1532" s="10"/>
      <c r="J1532" s="10"/>
      <c r="K1532" s="25"/>
      <c r="L1532" s="25"/>
      <c r="M1532" s="25" t="str">
        <f>IFERROR(VLOOKUP($C1532,$C$5:$M$24,11,0)+SUMIF($C$25:$C1532,$C1532,$K$25:$K1532)-SUMIF($C$25:$C1532,$C1532,$L$25:$L1532),"")</f>
        <v/>
      </c>
      <c r="N1532" s="10"/>
      <c r="O1532" s="10"/>
      <c r="P1532" s="65"/>
      <c r="Q1532" s="10"/>
      <c r="R1532" s="10"/>
      <c r="S1532" s="54" t="str">
        <f t="shared" si="75"/>
        <v/>
      </c>
      <c r="T1532" s="54" t="str">
        <f t="shared" si="76"/>
        <v/>
      </c>
      <c r="U1532" s="58" t="str">
        <f t="shared" si="77"/>
        <v/>
      </c>
      <c r="V1532" s="58">
        <f>IF(AND($B1532&lt;&gt;"",$F1532&lt;&gt;"",$F1532=项目明细账!$C$2),N(V1531)+1,N(V1531))</f>
        <v>0</v>
      </c>
      <c r="W1532" s="63" t="str">
        <f>IF($H1532&lt;&gt;"","项目成本",IFERROR(INDEX(基础资料!$W$4:$W$49,MATCH($I1532,基础资料!$V$4:$V$49,0)),""))</f>
        <v/>
      </c>
      <c r="X1532" s="63" t="str">
        <f>IFERROR(INDEX(基础资料!$R$4:$R$17,MATCH($G1532,基础资料!$Q$4:$Q$17,0)),"")</f>
        <v/>
      </c>
    </row>
    <row r="1533" spans="1:24">
      <c r="A1533" s="58" t="str">
        <f>IF($B1533="","",COUNTA($B$5:$B1533))</f>
        <v/>
      </c>
      <c r="B1533" s="53"/>
      <c r="C1533" s="46"/>
      <c r="D1533" s="63" t="str">
        <f>IFERROR(INDEX(基础资料!$F$4:$F$23,MATCH($C1533,基础资料!$E$4:$E$23,0)),IF($C1533="","","未匹配账户"))</f>
        <v/>
      </c>
      <c r="E1533" s="39"/>
      <c r="F1533" s="10"/>
      <c r="G1533" s="10"/>
      <c r="H1533" s="10"/>
      <c r="I1533" s="10"/>
      <c r="J1533" s="10"/>
      <c r="K1533" s="25"/>
      <c r="L1533" s="25"/>
      <c r="M1533" s="25" t="str">
        <f>IFERROR(VLOOKUP($C1533,$C$5:$M$24,11,0)+SUMIF($C$25:$C1533,$C1533,$K$25:$K1533)-SUMIF($C$25:$C1533,$C1533,$L$25:$L1533),"")</f>
        <v/>
      </c>
      <c r="N1533" s="10"/>
      <c r="O1533" s="10"/>
      <c r="P1533" s="65"/>
      <c r="Q1533" s="10"/>
      <c r="R1533" s="10"/>
      <c r="S1533" s="54" t="str">
        <f t="shared" si="75"/>
        <v/>
      </c>
      <c r="T1533" s="54" t="str">
        <f t="shared" si="76"/>
        <v/>
      </c>
      <c r="U1533" s="58" t="str">
        <f t="shared" si="77"/>
        <v/>
      </c>
      <c r="V1533" s="58">
        <f>IF(AND($B1533&lt;&gt;"",$F1533&lt;&gt;"",$F1533=项目明细账!$C$2),N(V1532)+1,N(V1532))</f>
        <v>0</v>
      </c>
      <c r="W1533" s="63" t="str">
        <f>IF($H1533&lt;&gt;"","项目成本",IFERROR(INDEX(基础资料!$W$4:$W$49,MATCH($I1533,基础资料!$V$4:$V$49,0)),""))</f>
        <v/>
      </c>
      <c r="X1533" s="63" t="str">
        <f>IFERROR(INDEX(基础资料!$R$4:$R$17,MATCH($G1533,基础资料!$Q$4:$Q$17,0)),"")</f>
        <v/>
      </c>
    </row>
    <row r="1534" spans="1:24">
      <c r="A1534" s="58" t="str">
        <f>IF($B1534="","",COUNTA($B$5:$B1534))</f>
        <v/>
      </c>
      <c r="B1534" s="53"/>
      <c r="C1534" s="46"/>
      <c r="D1534" s="63" t="str">
        <f>IFERROR(INDEX(基础资料!$F$4:$F$23,MATCH($C1534,基础资料!$E$4:$E$23,0)),IF($C1534="","","未匹配账户"))</f>
        <v/>
      </c>
      <c r="E1534" s="39"/>
      <c r="F1534" s="10"/>
      <c r="G1534" s="10"/>
      <c r="H1534" s="10"/>
      <c r="I1534" s="10"/>
      <c r="J1534" s="10"/>
      <c r="K1534" s="25"/>
      <c r="L1534" s="25"/>
      <c r="M1534" s="25" t="str">
        <f>IFERROR(VLOOKUP($C1534,$C$5:$M$24,11,0)+SUMIF($C$25:$C1534,$C1534,$K$25:$K1534)-SUMIF($C$25:$C1534,$C1534,$L$25:$L1534),"")</f>
        <v/>
      </c>
      <c r="N1534" s="10"/>
      <c r="O1534" s="10"/>
      <c r="P1534" s="65"/>
      <c r="Q1534" s="10"/>
      <c r="R1534" s="10"/>
      <c r="S1534" s="54" t="str">
        <f t="shared" si="75"/>
        <v/>
      </c>
      <c r="T1534" s="54" t="str">
        <f t="shared" si="76"/>
        <v/>
      </c>
      <c r="U1534" s="58" t="str">
        <f t="shared" si="77"/>
        <v/>
      </c>
      <c r="V1534" s="58">
        <f>IF(AND($B1534&lt;&gt;"",$F1534&lt;&gt;"",$F1534=项目明细账!$C$2),N(V1533)+1,N(V1533))</f>
        <v>0</v>
      </c>
      <c r="W1534" s="63" t="str">
        <f>IF($H1534&lt;&gt;"","项目成本",IFERROR(INDEX(基础资料!$W$4:$W$49,MATCH($I1534,基础资料!$V$4:$V$49,0)),""))</f>
        <v/>
      </c>
      <c r="X1534" s="63" t="str">
        <f>IFERROR(INDEX(基础资料!$R$4:$R$17,MATCH($G1534,基础资料!$Q$4:$Q$17,0)),"")</f>
        <v/>
      </c>
    </row>
    <row r="1535" spans="1:24">
      <c r="A1535" s="58" t="str">
        <f>IF($B1535="","",COUNTA($B$5:$B1535))</f>
        <v/>
      </c>
      <c r="B1535" s="53"/>
      <c r="C1535" s="46"/>
      <c r="D1535" s="63" t="str">
        <f>IFERROR(INDEX(基础资料!$F$4:$F$23,MATCH($C1535,基础资料!$E$4:$E$23,0)),IF($C1535="","","未匹配账户"))</f>
        <v/>
      </c>
      <c r="E1535" s="39"/>
      <c r="F1535" s="10"/>
      <c r="G1535" s="10"/>
      <c r="H1535" s="10"/>
      <c r="I1535" s="10"/>
      <c r="J1535" s="10"/>
      <c r="K1535" s="25"/>
      <c r="L1535" s="25"/>
      <c r="M1535" s="25" t="str">
        <f>IFERROR(VLOOKUP($C1535,$C$5:$M$24,11,0)+SUMIF($C$25:$C1535,$C1535,$K$25:$K1535)-SUMIF($C$25:$C1535,$C1535,$L$25:$L1535),"")</f>
        <v/>
      </c>
      <c r="N1535" s="10"/>
      <c r="O1535" s="10"/>
      <c r="P1535" s="65"/>
      <c r="Q1535" s="10"/>
      <c r="R1535" s="10"/>
      <c r="S1535" s="54" t="str">
        <f t="shared" si="75"/>
        <v/>
      </c>
      <c r="T1535" s="54" t="str">
        <f t="shared" si="76"/>
        <v/>
      </c>
      <c r="U1535" s="58" t="str">
        <f t="shared" si="77"/>
        <v/>
      </c>
      <c r="V1535" s="58">
        <f>IF(AND($B1535&lt;&gt;"",$F1535&lt;&gt;"",$F1535=项目明细账!$C$2),N(V1534)+1,N(V1534))</f>
        <v>0</v>
      </c>
      <c r="W1535" s="63" t="str">
        <f>IF($H1535&lt;&gt;"","项目成本",IFERROR(INDEX(基础资料!$W$4:$W$49,MATCH($I1535,基础资料!$V$4:$V$49,0)),""))</f>
        <v/>
      </c>
      <c r="X1535" s="63" t="str">
        <f>IFERROR(INDEX(基础资料!$R$4:$R$17,MATCH($G1535,基础资料!$Q$4:$Q$17,0)),"")</f>
        <v/>
      </c>
    </row>
    <row r="1536" spans="1:24">
      <c r="A1536" s="58" t="str">
        <f>IF($B1536="","",COUNTA($B$5:$B1536))</f>
        <v/>
      </c>
      <c r="B1536" s="53"/>
      <c r="C1536" s="46"/>
      <c r="D1536" s="63" t="str">
        <f>IFERROR(INDEX(基础资料!$F$4:$F$23,MATCH($C1536,基础资料!$E$4:$E$23,0)),IF($C1536="","","未匹配账户"))</f>
        <v/>
      </c>
      <c r="E1536" s="39"/>
      <c r="F1536" s="10"/>
      <c r="G1536" s="10"/>
      <c r="H1536" s="10"/>
      <c r="I1536" s="10"/>
      <c r="J1536" s="10"/>
      <c r="K1536" s="25"/>
      <c r="L1536" s="25"/>
      <c r="M1536" s="25" t="str">
        <f>IFERROR(VLOOKUP($C1536,$C$5:$M$24,11,0)+SUMIF($C$25:$C1536,$C1536,$K$25:$K1536)-SUMIF($C$25:$C1536,$C1536,$L$25:$L1536),"")</f>
        <v/>
      </c>
      <c r="N1536" s="10"/>
      <c r="O1536" s="10"/>
      <c r="P1536" s="65"/>
      <c r="Q1536" s="10"/>
      <c r="R1536" s="10"/>
      <c r="S1536" s="54" t="str">
        <f t="shared" si="75"/>
        <v/>
      </c>
      <c r="T1536" s="54" t="str">
        <f t="shared" si="76"/>
        <v/>
      </c>
      <c r="U1536" s="58" t="str">
        <f t="shared" si="77"/>
        <v/>
      </c>
      <c r="V1536" s="58">
        <f>IF(AND($B1536&lt;&gt;"",$F1536&lt;&gt;"",$F1536=项目明细账!$C$2),N(V1535)+1,N(V1535))</f>
        <v>0</v>
      </c>
      <c r="W1536" s="63" t="str">
        <f>IF($H1536&lt;&gt;"","项目成本",IFERROR(INDEX(基础资料!$W$4:$W$49,MATCH($I1536,基础资料!$V$4:$V$49,0)),""))</f>
        <v/>
      </c>
      <c r="X1536" s="63" t="str">
        <f>IFERROR(INDEX(基础资料!$R$4:$R$17,MATCH($G1536,基础资料!$Q$4:$Q$17,0)),"")</f>
        <v/>
      </c>
    </row>
    <row r="1537" spans="1:24">
      <c r="A1537" s="58" t="str">
        <f>IF($B1537="","",COUNTA($B$5:$B1537))</f>
        <v/>
      </c>
      <c r="B1537" s="53"/>
      <c r="C1537" s="46"/>
      <c r="D1537" s="63" t="str">
        <f>IFERROR(INDEX(基础资料!$F$4:$F$23,MATCH($C1537,基础资料!$E$4:$E$23,0)),IF($C1537="","","未匹配账户"))</f>
        <v/>
      </c>
      <c r="E1537" s="39"/>
      <c r="F1537" s="10"/>
      <c r="G1537" s="10"/>
      <c r="H1537" s="10"/>
      <c r="I1537" s="10"/>
      <c r="J1537" s="10"/>
      <c r="K1537" s="25"/>
      <c r="L1537" s="25"/>
      <c r="M1537" s="25" t="str">
        <f>IFERROR(VLOOKUP($C1537,$C$5:$M$24,11,0)+SUMIF($C$25:$C1537,$C1537,$K$25:$K1537)-SUMIF($C$25:$C1537,$C1537,$L$25:$L1537),"")</f>
        <v/>
      </c>
      <c r="N1537" s="10"/>
      <c r="O1537" s="10"/>
      <c r="P1537" s="65"/>
      <c r="Q1537" s="10"/>
      <c r="R1537" s="10"/>
      <c r="S1537" s="54" t="str">
        <f t="shared" si="75"/>
        <v/>
      </c>
      <c r="T1537" s="54" t="str">
        <f t="shared" si="76"/>
        <v/>
      </c>
      <c r="U1537" s="58" t="str">
        <f t="shared" si="77"/>
        <v/>
      </c>
      <c r="V1537" s="58">
        <f>IF(AND($B1537&lt;&gt;"",$F1537&lt;&gt;"",$F1537=项目明细账!$C$2),N(V1536)+1,N(V1536))</f>
        <v>0</v>
      </c>
      <c r="W1537" s="63" t="str">
        <f>IF($H1537&lt;&gt;"","项目成本",IFERROR(INDEX(基础资料!$W$4:$W$49,MATCH($I1537,基础资料!$V$4:$V$49,0)),""))</f>
        <v/>
      </c>
      <c r="X1537" s="63" t="str">
        <f>IFERROR(INDEX(基础资料!$R$4:$R$17,MATCH($G1537,基础资料!$Q$4:$Q$17,0)),"")</f>
        <v/>
      </c>
    </row>
    <row r="1538" spans="1:24">
      <c r="A1538" s="58" t="str">
        <f>IF($B1538="","",COUNTA($B$5:$B1538))</f>
        <v/>
      </c>
      <c r="B1538" s="53"/>
      <c r="C1538" s="46"/>
      <c r="D1538" s="63" t="str">
        <f>IFERROR(INDEX(基础资料!$F$4:$F$23,MATCH($C1538,基础资料!$E$4:$E$23,0)),IF($C1538="","","未匹配账户"))</f>
        <v/>
      </c>
      <c r="E1538" s="39"/>
      <c r="F1538" s="10"/>
      <c r="G1538" s="10"/>
      <c r="H1538" s="10"/>
      <c r="I1538" s="10"/>
      <c r="J1538" s="10"/>
      <c r="K1538" s="25"/>
      <c r="L1538" s="25"/>
      <c r="M1538" s="25" t="str">
        <f>IFERROR(VLOOKUP($C1538,$C$5:$M$24,11,0)+SUMIF($C$25:$C1538,$C1538,$K$25:$K1538)-SUMIF($C$25:$C1538,$C1538,$L$25:$L1538),"")</f>
        <v/>
      </c>
      <c r="N1538" s="10"/>
      <c r="O1538" s="10"/>
      <c r="P1538" s="65"/>
      <c r="Q1538" s="10"/>
      <c r="R1538" s="10"/>
      <c r="S1538" s="54" t="str">
        <f t="shared" si="75"/>
        <v/>
      </c>
      <c r="T1538" s="54" t="str">
        <f t="shared" si="76"/>
        <v/>
      </c>
      <c r="U1538" s="58" t="str">
        <f t="shared" si="77"/>
        <v/>
      </c>
      <c r="V1538" s="58">
        <f>IF(AND($B1538&lt;&gt;"",$F1538&lt;&gt;"",$F1538=项目明细账!$C$2),N(V1537)+1,N(V1537))</f>
        <v>0</v>
      </c>
      <c r="W1538" s="63" t="str">
        <f>IF($H1538&lt;&gt;"","项目成本",IFERROR(INDEX(基础资料!$W$4:$W$49,MATCH($I1538,基础资料!$V$4:$V$49,0)),""))</f>
        <v/>
      </c>
      <c r="X1538" s="63" t="str">
        <f>IFERROR(INDEX(基础资料!$R$4:$R$17,MATCH($G1538,基础资料!$Q$4:$Q$17,0)),"")</f>
        <v/>
      </c>
    </row>
    <row r="1539" spans="1:24">
      <c r="A1539" s="58" t="str">
        <f>IF($B1539="","",COUNTA($B$5:$B1539))</f>
        <v/>
      </c>
      <c r="B1539" s="53"/>
      <c r="C1539" s="46"/>
      <c r="D1539" s="63" t="str">
        <f>IFERROR(INDEX(基础资料!$F$4:$F$23,MATCH($C1539,基础资料!$E$4:$E$23,0)),IF($C1539="","","未匹配账户"))</f>
        <v/>
      </c>
      <c r="E1539" s="39"/>
      <c r="F1539" s="10"/>
      <c r="G1539" s="10"/>
      <c r="H1539" s="10"/>
      <c r="I1539" s="10"/>
      <c r="J1539" s="10"/>
      <c r="K1539" s="25"/>
      <c r="L1539" s="25"/>
      <c r="M1539" s="25" t="str">
        <f>IFERROR(VLOOKUP($C1539,$C$5:$M$24,11,0)+SUMIF($C$25:$C1539,$C1539,$K$25:$K1539)-SUMIF($C$25:$C1539,$C1539,$L$25:$L1539),"")</f>
        <v/>
      </c>
      <c r="N1539" s="10"/>
      <c r="O1539" s="10"/>
      <c r="P1539" s="65"/>
      <c r="Q1539" s="10"/>
      <c r="R1539" s="10"/>
      <c r="S1539" s="54" t="str">
        <f t="shared" si="75"/>
        <v/>
      </c>
      <c r="T1539" s="54" t="str">
        <f t="shared" si="76"/>
        <v/>
      </c>
      <c r="U1539" s="58" t="str">
        <f t="shared" si="77"/>
        <v/>
      </c>
      <c r="V1539" s="58">
        <f>IF(AND($B1539&lt;&gt;"",$F1539&lt;&gt;"",$F1539=项目明细账!$C$2),N(V1538)+1,N(V1538))</f>
        <v>0</v>
      </c>
      <c r="W1539" s="63" t="str">
        <f>IF($H1539&lt;&gt;"","项目成本",IFERROR(INDEX(基础资料!$W$4:$W$49,MATCH($I1539,基础资料!$V$4:$V$49,0)),""))</f>
        <v/>
      </c>
      <c r="X1539" s="63" t="str">
        <f>IFERROR(INDEX(基础资料!$R$4:$R$17,MATCH($G1539,基础资料!$Q$4:$Q$17,0)),"")</f>
        <v/>
      </c>
    </row>
    <row r="1540" spans="1:24">
      <c r="A1540" s="58" t="str">
        <f>IF($B1540="","",COUNTA($B$5:$B1540))</f>
        <v/>
      </c>
      <c r="B1540" s="53"/>
      <c r="C1540" s="46"/>
      <c r="D1540" s="63" t="str">
        <f>IFERROR(INDEX(基础资料!$F$4:$F$23,MATCH($C1540,基础资料!$E$4:$E$23,0)),IF($C1540="","","未匹配账户"))</f>
        <v/>
      </c>
      <c r="E1540" s="39"/>
      <c r="F1540" s="10"/>
      <c r="G1540" s="10"/>
      <c r="H1540" s="10"/>
      <c r="I1540" s="10"/>
      <c r="J1540" s="10"/>
      <c r="K1540" s="25"/>
      <c r="L1540" s="25"/>
      <c r="M1540" s="25" t="str">
        <f>IFERROR(VLOOKUP($C1540,$C$5:$M$24,11,0)+SUMIF($C$25:$C1540,$C1540,$K$25:$K1540)-SUMIF($C$25:$C1540,$C1540,$L$25:$L1540),"")</f>
        <v/>
      </c>
      <c r="N1540" s="10"/>
      <c r="O1540" s="10"/>
      <c r="P1540" s="65"/>
      <c r="Q1540" s="10"/>
      <c r="R1540" s="10"/>
      <c r="S1540" s="54" t="str">
        <f t="shared" si="75"/>
        <v/>
      </c>
      <c r="T1540" s="54" t="str">
        <f t="shared" si="76"/>
        <v/>
      </c>
      <c r="U1540" s="58" t="str">
        <f t="shared" si="77"/>
        <v/>
      </c>
      <c r="V1540" s="58">
        <f>IF(AND($B1540&lt;&gt;"",$F1540&lt;&gt;"",$F1540=项目明细账!$C$2),N(V1539)+1,N(V1539))</f>
        <v>0</v>
      </c>
      <c r="W1540" s="63" t="str">
        <f>IF($H1540&lt;&gt;"","项目成本",IFERROR(INDEX(基础资料!$W$4:$W$49,MATCH($I1540,基础资料!$V$4:$V$49,0)),""))</f>
        <v/>
      </c>
      <c r="X1540" s="63" t="str">
        <f>IFERROR(INDEX(基础资料!$R$4:$R$17,MATCH($G1540,基础资料!$Q$4:$Q$17,0)),"")</f>
        <v/>
      </c>
    </row>
    <row r="1541" spans="1:24">
      <c r="A1541" s="58" t="str">
        <f>IF($B1541="","",COUNTA($B$5:$B1541))</f>
        <v/>
      </c>
      <c r="B1541" s="53"/>
      <c r="C1541" s="46"/>
      <c r="D1541" s="63" t="str">
        <f>IFERROR(INDEX(基础资料!$F$4:$F$23,MATCH($C1541,基础资料!$E$4:$E$23,0)),IF($C1541="","","未匹配账户"))</f>
        <v/>
      </c>
      <c r="E1541" s="39"/>
      <c r="F1541" s="10"/>
      <c r="G1541" s="10"/>
      <c r="H1541" s="10"/>
      <c r="I1541" s="10"/>
      <c r="J1541" s="10"/>
      <c r="K1541" s="25"/>
      <c r="L1541" s="25"/>
      <c r="M1541" s="25" t="str">
        <f>IFERROR(VLOOKUP($C1541,$C$5:$M$24,11,0)+SUMIF($C$25:$C1541,$C1541,$K$25:$K1541)-SUMIF($C$25:$C1541,$C1541,$L$25:$L1541),"")</f>
        <v/>
      </c>
      <c r="N1541" s="10"/>
      <c r="O1541" s="10"/>
      <c r="P1541" s="65"/>
      <c r="Q1541" s="10"/>
      <c r="R1541" s="10"/>
      <c r="S1541" s="54" t="str">
        <f t="shared" si="75"/>
        <v/>
      </c>
      <c r="T1541" s="54" t="str">
        <f t="shared" si="76"/>
        <v/>
      </c>
      <c r="U1541" s="58" t="str">
        <f t="shared" si="77"/>
        <v/>
      </c>
      <c r="V1541" s="58">
        <f>IF(AND($B1541&lt;&gt;"",$F1541&lt;&gt;"",$F1541=项目明细账!$C$2),N(V1540)+1,N(V1540))</f>
        <v>0</v>
      </c>
      <c r="W1541" s="63" t="str">
        <f>IF($H1541&lt;&gt;"","项目成本",IFERROR(INDEX(基础资料!$W$4:$W$49,MATCH($I1541,基础资料!$V$4:$V$49,0)),""))</f>
        <v/>
      </c>
      <c r="X1541" s="63" t="str">
        <f>IFERROR(INDEX(基础资料!$R$4:$R$17,MATCH($G1541,基础资料!$Q$4:$Q$17,0)),"")</f>
        <v/>
      </c>
    </row>
    <row r="1542" spans="1:24">
      <c r="A1542" s="58" t="str">
        <f>IF($B1542="","",COUNTA($B$5:$B1542))</f>
        <v/>
      </c>
      <c r="B1542" s="53"/>
      <c r="C1542" s="46"/>
      <c r="D1542" s="63" t="str">
        <f>IFERROR(INDEX(基础资料!$F$4:$F$23,MATCH($C1542,基础资料!$E$4:$E$23,0)),IF($C1542="","","未匹配账户"))</f>
        <v/>
      </c>
      <c r="E1542" s="39"/>
      <c r="F1542" s="10"/>
      <c r="G1542" s="10"/>
      <c r="H1542" s="10"/>
      <c r="I1542" s="10"/>
      <c r="J1542" s="10"/>
      <c r="K1542" s="25"/>
      <c r="L1542" s="25"/>
      <c r="M1542" s="25" t="str">
        <f>IFERROR(VLOOKUP($C1542,$C$5:$M$24,11,0)+SUMIF($C$25:$C1542,$C1542,$K$25:$K1542)-SUMIF($C$25:$C1542,$C1542,$L$25:$L1542),"")</f>
        <v/>
      </c>
      <c r="N1542" s="10"/>
      <c r="O1542" s="10"/>
      <c r="P1542" s="65"/>
      <c r="Q1542" s="10"/>
      <c r="R1542" s="10"/>
      <c r="S1542" s="54" t="str">
        <f t="shared" si="75"/>
        <v/>
      </c>
      <c r="T1542" s="54" t="str">
        <f t="shared" si="76"/>
        <v/>
      </c>
      <c r="U1542" s="58" t="str">
        <f t="shared" si="77"/>
        <v/>
      </c>
      <c r="V1542" s="58">
        <f>IF(AND($B1542&lt;&gt;"",$F1542&lt;&gt;"",$F1542=项目明细账!$C$2),N(V1541)+1,N(V1541))</f>
        <v>0</v>
      </c>
      <c r="W1542" s="63" t="str">
        <f>IF($H1542&lt;&gt;"","项目成本",IFERROR(INDEX(基础资料!$W$4:$W$49,MATCH($I1542,基础资料!$V$4:$V$49,0)),""))</f>
        <v/>
      </c>
      <c r="X1542" s="63" t="str">
        <f>IFERROR(INDEX(基础资料!$R$4:$R$17,MATCH($G1542,基础资料!$Q$4:$Q$17,0)),"")</f>
        <v/>
      </c>
    </row>
    <row r="1543" spans="1:24">
      <c r="A1543" s="58" t="str">
        <f>IF($B1543="","",COUNTA($B$5:$B1543))</f>
        <v/>
      </c>
      <c r="B1543" s="53"/>
      <c r="C1543" s="46"/>
      <c r="D1543" s="63" t="str">
        <f>IFERROR(INDEX(基础资料!$F$4:$F$23,MATCH($C1543,基础资料!$E$4:$E$23,0)),IF($C1543="","","未匹配账户"))</f>
        <v/>
      </c>
      <c r="E1543" s="39"/>
      <c r="F1543" s="10"/>
      <c r="G1543" s="10"/>
      <c r="H1543" s="10"/>
      <c r="I1543" s="10"/>
      <c r="J1543" s="10"/>
      <c r="K1543" s="25"/>
      <c r="L1543" s="25"/>
      <c r="M1543" s="25" t="str">
        <f>IFERROR(VLOOKUP($C1543,$C$5:$M$24,11,0)+SUMIF($C$25:$C1543,$C1543,$K$25:$K1543)-SUMIF($C$25:$C1543,$C1543,$L$25:$L1543),"")</f>
        <v/>
      </c>
      <c r="N1543" s="10"/>
      <c r="O1543" s="10"/>
      <c r="P1543" s="65"/>
      <c r="Q1543" s="10"/>
      <c r="R1543" s="10"/>
      <c r="S1543" s="54" t="str">
        <f t="shared" ref="S1543:S1606" si="78">IF($B1543="","",--TEXT($B1543,"yyyymm"))</f>
        <v/>
      </c>
      <c r="T1543" s="54" t="str">
        <f t="shared" ref="T1543:T1606" si="79">IF($B1543="","",IF($P1543="",$S1543,IFERROR($P1543*1,$P1543)))</f>
        <v/>
      </c>
      <c r="U1543" s="58" t="str">
        <f t="shared" ref="U1543:U1606" si="80">IF($B1543="","",IF($T1543=$S1543,"","跨期"))</f>
        <v/>
      </c>
      <c r="V1543" s="58">
        <f>IF(AND($B1543&lt;&gt;"",$F1543&lt;&gt;"",$F1543=项目明细账!$C$2),N(V1542)+1,N(V1542))</f>
        <v>0</v>
      </c>
      <c r="W1543" s="63" t="str">
        <f>IF($H1543&lt;&gt;"","项目成本",IFERROR(INDEX(基础资料!$W$4:$W$49,MATCH($I1543,基础资料!$V$4:$V$49,0)),""))</f>
        <v/>
      </c>
      <c r="X1543" s="63" t="str">
        <f>IFERROR(INDEX(基础资料!$R$4:$R$17,MATCH($G1543,基础资料!$Q$4:$Q$17,0)),"")</f>
        <v/>
      </c>
    </row>
    <row r="1544" spans="1:24">
      <c r="A1544" s="58" t="str">
        <f>IF($B1544="","",COUNTA($B$5:$B1544))</f>
        <v/>
      </c>
      <c r="B1544" s="53"/>
      <c r="C1544" s="46"/>
      <c r="D1544" s="63" t="str">
        <f>IFERROR(INDEX(基础资料!$F$4:$F$23,MATCH($C1544,基础资料!$E$4:$E$23,0)),IF($C1544="","","未匹配账户"))</f>
        <v/>
      </c>
      <c r="E1544" s="39"/>
      <c r="F1544" s="10"/>
      <c r="G1544" s="10"/>
      <c r="H1544" s="10"/>
      <c r="I1544" s="10"/>
      <c r="J1544" s="10"/>
      <c r="K1544" s="25"/>
      <c r="L1544" s="25"/>
      <c r="M1544" s="25" t="str">
        <f>IFERROR(VLOOKUP($C1544,$C$5:$M$24,11,0)+SUMIF($C$25:$C1544,$C1544,$K$25:$K1544)-SUMIF($C$25:$C1544,$C1544,$L$25:$L1544),"")</f>
        <v/>
      </c>
      <c r="N1544" s="10"/>
      <c r="O1544" s="10"/>
      <c r="P1544" s="65"/>
      <c r="Q1544" s="10"/>
      <c r="R1544" s="10"/>
      <c r="S1544" s="54" t="str">
        <f t="shared" si="78"/>
        <v/>
      </c>
      <c r="T1544" s="54" t="str">
        <f t="shared" si="79"/>
        <v/>
      </c>
      <c r="U1544" s="58" t="str">
        <f t="shared" si="80"/>
        <v/>
      </c>
      <c r="V1544" s="58">
        <f>IF(AND($B1544&lt;&gt;"",$F1544&lt;&gt;"",$F1544=项目明细账!$C$2),N(V1543)+1,N(V1543))</f>
        <v>0</v>
      </c>
      <c r="W1544" s="63" t="str">
        <f>IF($H1544&lt;&gt;"","项目成本",IFERROR(INDEX(基础资料!$W$4:$W$49,MATCH($I1544,基础资料!$V$4:$V$49,0)),""))</f>
        <v/>
      </c>
      <c r="X1544" s="63" t="str">
        <f>IFERROR(INDEX(基础资料!$R$4:$R$17,MATCH($G1544,基础资料!$Q$4:$Q$17,0)),"")</f>
        <v/>
      </c>
    </row>
    <row r="1545" spans="1:24">
      <c r="A1545" s="58" t="str">
        <f>IF($B1545="","",COUNTA($B$5:$B1545))</f>
        <v/>
      </c>
      <c r="B1545" s="53"/>
      <c r="C1545" s="46"/>
      <c r="D1545" s="63" t="str">
        <f>IFERROR(INDEX(基础资料!$F$4:$F$23,MATCH($C1545,基础资料!$E$4:$E$23,0)),IF($C1545="","","未匹配账户"))</f>
        <v/>
      </c>
      <c r="E1545" s="39"/>
      <c r="F1545" s="10"/>
      <c r="G1545" s="10"/>
      <c r="H1545" s="10"/>
      <c r="I1545" s="10"/>
      <c r="J1545" s="10"/>
      <c r="K1545" s="25"/>
      <c r="L1545" s="25"/>
      <c r="M1545" s="25" t="str">
        <f>IFERROR(VLOOKUP($C1545,$C$5:$M$24,11,0)+SUMIF($C$25:$C1545,$C1545,$K$25:$K1545)-SUMIF($C$25:$C1545,$C1545,$L$25:$L1545),"")</f>
        <v/>
      </c>
      <c r="N1545" s="10"/>
      <c r="O1545" s="10"/>
      <c r="P1545" s="65"/>
      <c r="Q1545" s="10"/>
      <c r="R1545" s="10"/>
      <c r="S1545" s="54" t="str">
        <f t="shared" si="78"/>
        <v/>
      </c>
      <c r="T1545" s="54" t="str">
        <f t="shared" si="79"/>
        <v/>
      </c>
      <c r="U1545" s="58" t="str">
        <f t="shared" si="80"/>
        <v/>
      </c>
      <c r="V1545" s="58">
        <f>IF(AND($B1545&lt;&gt;"",$F1545&lt;&gt;"",$F1545=项目明细账!$C$2),N(V1544)+1,N(V1544))</f>
        <v>0</v>
      </c>
      <c r="W1545" s="63" t="str">
        <f>IF($H1545&lt;&gt;"","项目成本",IFERROR(INDEX(基础资料!$W$4:$W$49,MATCH($I1545,基础资料!$V$4:$V$49,0)),""))</f>
        <v/>
      </c>
      <c r="X1545" s="63" t="str">
        <f>IFERROR(INDEX(基础资料!$R$4:$R$17,MATCH($G1545,基础资料!$Q$4:$Q$17,0)),"")</f>
        <v/>
      </c>
    </row>
    <row r="1546" spans="1:24">
      <c r="A1546" s="58" t="str">
        <f>IF($B1546="","",COUNTA($B$5:$B1546))</f>
        <v/>
      </c>
      <c r="B1546" s="53"/>
      <c r="C1546" s="46"/>
      <c r="D1546" s="63" t="str">
        <f>IFERROR(INDEX(基础资料!$F$4:$F$23,MATCH($C1546,基础资料!$E$4:$E$23,0)),IF($C1546="","","未匹配账户"))</f>
        <v/>
      </c>
      <c r="E1546" s="39"/>
      <c r="F1546" s="10"/>
      <c r="G1546" s="10"/>
      <c r="H1546" s="10"/>
      <c r="I1546" s="10"/>
      <c r="J1546" s="10"/>
      <c r="K1546" s="25"/>
      <c r="L1546" s="25"/>
      <c r="M1546" s="25" t="str">
        <f>IFERROR(VLOOKUP($C1546,$C$5:$M$24,11,0)+SUMIF($C$25:$C1546,$C1546,$K$25:$K1546)-SUMIF($C$25:$C1546,$C1546,$L$25:$L1546),"")</f>
        <v/>
      </c>
      <c r="N1546" s="10"/>
      <c r="O1546" s="10"/>
      <c r="P1546" s="65"/>
      <c r="Q1546" s="10"/>
      <c r="R1546" s="10"/>
      <c r="S1546" s="54" t="str">
        <f t="shared" si="78"/>
        <v/>
      </c>
      <c r="T1546" s="54" t="str">
        <f t="shared" si="79"/>
        <v/>
      </c>
      <c r="U1546" s="58" t="str">
        <f t="shared" si="80"/>
        <v/>
      </c>
      <c r="V1546" s="58">
        <f>IF(AND($B1546&lt;&gt;"",$F1546&lt;&gt;"",$F1546=项目明细账!$C$2),N(V1545)+1,N(V1545))</f>
        <v>0</v>
      </c>
      <c r="W1546" s="63" t="str">
        <f>IF($H1546&lt;&gt;"","项目成本",IFERROR(INDEX(基础资料!$W$4:$W$49,MATCH($I1546,基础资料!$V$4:$V$49,0)),""))</f>
        <v/>
      </c>
      <c r="X1546" s="63" t="str">
        <f>IFERROR(INDEX(基础资料!$R$4:$R$17,MATCH($G1546,基础资料!$Q$4:$Q$17,0)),"")</f>
        <v/>
      </c>
    </row>
    <row r="1547" spans="1:24">
      <c r="A1547" s="58" t="str">
        <f>IF($B1547="","",COUNTA($B$5:$B1547))</f>
        <v/>
      </c>
      <c r="B1547" s="53"/>
      <c r="C1547" s="46"/>
      <c r="D1547" s="63" t="str">
        <f>IFERROR(INDEX(基础资料!$F$4:$F$23,MATCH($C1547,基础资料!$E$4:$E$23,0)),IF($C1547="","","未匹配账户"))</f>
        <v/>
      </c>
      <c r="E1547" s="39"/>
      <c r="F1547" s="10"/>
      <c r="G1547" s="10"/>
      <c r="H1547" s="10"/>
      <c r="I1547" s="10"/>
      <c r="J1547" s="10"/>
      <c r="K1547" s="25"/>
      <c r="L1547" s="25"/>
      <c r="M1547" s="25" t="str">
        <f>IFERROR(VLOOKUP($C1547,$C$5:$M$24,11,0)+SUMIF($C$25:$C1547,$C1547,$K$25:$K1547)-SUMIF($C$25:$C1547,$C1547,$L$25:$L1547),"")</f>
        <v/>
      </c>
      <c r="N1547" s="10"/>
      <c r="O1547" s="10"/>
      <c r="P1547" s="65"/>
      <c r="Q1547" s="10"/>
      <c r="R1547" s="10"/>
      <c r="S1547" s="54" t="str">
        <f t="shared" si="78"/>
        <v/>
      </c>
      <c r="T1547" s="54" t="str">
        <f t="shared" si="79"/>
        <v/>
      </c>
      <c r="U1547" s="58" t="str">
        <f t="shared" si="80"/>
        <v/>
      </c>
      <c r="V1547" s="58">
        <f>IF(AND($B1547&lt;&gt;"",$F1547&lt;&gt;"",$F1547=项目明细账!$C$2),N(V1546)+1,N(V1546))</f>
        <v>0</v>
      </c>
      <c r="W1547" s="63" t="str">
        <f>IF($H1547&lt;&gt;"","项目成本",IFERROR(INDEX(基础资料!$W$4:$W$49,MATCH($I1547,基础资料!$V$4:$V$49,0)),""))</f>
        <v/>
      </c>
      <c r="X1547" s="63" t="str">
        <f>IFERROR(INDEX(基础资料!$R$4:$R$17,MATCH($G1547,基础资料!$Q$4:$Q$17,0)),"")</f>
        <v/>
      </c>
    </row>
    <row r="1548" spans="1:24">
      <c r="A1548" s="58" t="str">
        <f>IF($B1548="","",COUNTA($B$5:$B1548))</f>
        <v/>
      </c>
      <c r="B1548" s="53"/>
      <c r="C1548" s="46"/>
      <c r="D1548" s="63" t="str">
        <f>IFERROR(INDEX(基础资料!$F$4:$F$23,MATCH($C1548,基础资料!$E$4:$E$23,0)),IF($C1548="","","未匹配账户"))</f>
        <v/>
      </c>
      <c r="E1548" s="39"/>
      <c r="F1548" s="10"/>
      <c r="G1548" s="10"/>
      <c r="H1548" s="10"/>
      <c r="I1548" s="10"/>
      <c r="J1548" s="10"/>
      <c r="K1548" s="25"/>
      <c r="L1548" s="25"/>
      <c r="M1548" s="25" t="str">
        <f>IFERROR(VLOOKUP($C1548,$C$5:$M$24,11,0)+SUMIF($C$25:$C1548,$C1548,$K$25:$K1548)-SUMIF($C$25:$C1548,$C1548,$L$25:$L1548),"")</f>
        <v/>
      </c>
      <c r="N1548" s="10"/>
      <c r="O1548" s="10"/>
      <c r="P1548" s="65"/>
      <c r="Q1548" s="10"/>
      <c r="R1548" s="10"/>
      <c r="S1548" s="54" t="str">
        <f t="shared" si="78"/>
        <v/>
      </c>
      <c r="T1548" s="54" t="str">
        <f t="shared" si="79"/>
        <v/>
      </c>
      <c r="U1548" s="58" t="str">
        <f t="shared" si="80"/>
        <v/>
      </c>
      <c r="V1548" s="58">
        <f>IF(AND($B1548&lt;&gt;"",$F1548&lt;&gt;"",$F1548=项目明细账!$C$2),N(V1547)+1,N(V1547))</f>
        <v>0</v>
      </c>
      <c r="W1548" s="63" t="str">
        <f>IF($H1548&lt;&gt;"","项目成本",IFERROR(INDEX(基础资料!$W$4:$W$49,MATCH($I1548,基础资料!$V$4:$V$49,0)),""))</f>
        <v/>
      </c>
      <c r="X1548" s="63" t="str">
        <f>IFERROR(INDEX(基础资料!$R$4:$R$17,MATCH($G1548,基础资料!$Q$4:$Q$17,0)),"")</f>
        <v/>
      </c>
    </row>
    <row r="1549" spans="1:24">
      <c r="A1549" s="58" t="str">
        <f>IF($B1549="","",COUNTA($B$5:$B1549))</f>
        <v/>
      </c>
      <c r="B1549" s="53"/>
      <c r="C1549" s="46"/>
      <c r="D1549" s="63" t="str">
        <f>IFERROR(INDEX(基础资料!$F$4:$F$23,MATCH($C1549,基础资料!$E$4:$E$23,0)),IF($C1549="","","未匹配账户"))</f>
        <v/>
      </c>
      <c r="E1549" s="39"/>
      <c r="F1549" s="10"/>
      <c r="G1549" s="10"/>
      <c r="H1549" s="10"/>
      <c r="I1549" s="10"/>
      <c r="J1549" s="10"/>
      <c r="K1549" s="25"/>
      <c r="L1549" s="25"/>
      <c r="M1549" s="25" t="str">
        <f>IFERROR(VLOOKUP($C1549,$C$5:$M$24,11,0)+SUMIF($C$25:$C1549,$C1549,$K$25:$K1549)-SUMIF($C$25:$C1549,$C1549,$L$25:$L1549),"")</f>
        <v/>
      </c>
      <c r="N1549" s="10"/>
      <c r="O1549" s="10"/>
      <c r="P1549" s="65"/>
      <c r="Q1549" s="10"/>
      <c r="R1549" s="10"/>
      <c r="S1549" s="54" t="str">
        <f t="shared" si="78"/>
        <v/>
      </c>
      <c r="T1549" s="54" t="str">
        <f t="shared" si="79"/>
        <v/>
      </c>
      <c r="U1549" s="58" t="str">
        <f t="shared" si="80"/>
        <v/>
      </c>
      <c r="V1549" s="58">
        <f>IF(AND($B1549&lt;&gt;"",$F1549&lt;&gt;"",$F1549=项目明细账!$C$2),N(V1548)+1,N(V1548))</f>
        <v>0</v>
      </c>
      <c r="W1549" s="63" t="str">
        <f>IF($H1549&lt;&gt;"","项目成本",IFERROR(INDEX(基础资料!$W$4:$W$49,MATCH($I1549,基础资料!$V$4:$V$49,0)),""))</f>
        <v/>
      </c>
      <c r="X1549" s="63" t="str">
        <f>IFERROR(INDEX(基础资料!$R$4:$R$17,MATCH($G1549,基础资料!$Q$4:$Q$17,0)),"")</f>
        <v/>
      </c>
    </row>
    <row r="1550" spans="1:24">
      <c r="A1550" s="58" t="str">
        <f>IF($B1550="","",COUNTA($B$5:$B1550))</f>
        <v/>
      </c>
      <c r="B1550" s="53"/>
      <c r="C1550" s="46"/>
      <c r="D1550" s="63" t="str">
        <f>IFERROR(INDEX(基础资料!$F$4:$F$23,MATCH($C1550,基础资料!$E$4:$E$23,0)),IF($C1550="","","未匹配账户"))</f>
        <v/>
      </c>
      <c r="E1550" s="39"/>
      <c r="F1550" s="10"/>
      <c r="G1550" s="10"/>
      <c r="H1550" s="10"/>
      <c r="I1550" s="10"/>
      <c r="J1550" s="10"/>
      <c r="K1550" s="25"/>
      <c r="L1550" s="25"/>
      <c r="M1550" s="25" t="str">
        <f>IFERROR(VLOOKUP($C1550,$C$5:$M$24,11,0)+SUMIF($C$25:$C1550,$C1550,$K$25:$K1550)-SUMIF($C$25:$C1550,$C1550,$L$25:$L1550),"")</f>
        <v/>
      </c>
      <c r="N1550" s="10"/>
      <c r="O1550" s="10"/>
      <c r="P1550" s="65"/>
      <c r="Q1550" s="10"/>
      <c r="R1550" s="10"/>
      <c r="S1550" s="54" t="str">
        <f t="shared" si="78"/>
        <v/>
      </c>
      <c r="T1550" s="54" t="str">
        <f t="shared" si="79"/>
        <v/>
      </c>
      <c r="U1550" s="58" t="str">
        <f t="shared" si="80"/>
        <v/>
      </c>
      <c r="V1550" s="58">
        <f>IF(AND($B1550&lt;&gt;"",$F1550&lt;&gt;"",$F1550=项目明细账!$C$2),N(V1549)+1,N(V1549))</f>
        <v>0</v>
      </c>
      <c r="W1550" s="63" t="str">
        <f>IF($H1550&lt;&gt;"","项目成本",IFERROR(INDEX(基础资料!$W$4:$W$49,MATCH($I1550,基础资料!$V$4:$V$49,0)),""))</f>
        <v/>
      </c>
      <c r="X1550" s="63" t="str">
        <f>IFERROR(INDEX(基础资料!$R$4:$R$17,MATCH($G1550,基础资料!$Q$4:$Q$17,0)),"")</f>
        <v/>
      </c>
    </row>
    <row r="1551" spans="1:24">
      <c r="A1551" s="58" t="str">
        <f>IF($B1551="","",COUNTA($B$5:$B1551))</f>
        <v/>
      </c>
      <c r="B1551" s="53"/>
      <c r="C1551" s="46"/>
      <c r="D1551" s="63" t="str">
        <f>IFERROR(INDEX(基础资料!$F$4:$F$23,MATCH($C1551,基础资料!$E$4:$E$23,0)),IF($C1551="","","未匹配账户"))</f>
        <v/>
      </c>
      <c r="E1551" s="39"/>
      <c r="F1551" s="10"/>
      <c r="G1551" s="10"/>
      <c r="H1551" s="10"/>
      <c r="I1551" s="10"/>
      <c r="J1551" s="10"/>
      <c r="K1551" s="25"/>
      <c r="L1551" s="25"/>
      <c r="M1551" s="25" t="str">
        <f>IFERROR(VLOOKUP($C1551,$C$5:$M$24,11,0)+SUMIF($C$25:$C1551,$C1551,$K$25:$K1551)-SUMIF($C$25:$C1551,$C1551,$L$25:$L1551),"")</f>
        <v/>
      </c>
      <c r="N1551" s="10"/>
      <c r="O1551" s="10"/>
      <c r="P1551" s="65"/>
      <c r="Q1551" s="10"/>
      <c r="R1551" s="10"/>
      <c r="S1551" s="54" t="str">
        <f t="shared" si="78"/>
        <v/>
      </c>
      <c r="T1551" s="54" t="str">
        <f t="shared" si="79"/>
        <v/>
      </c>
      <c r="U1551" s="58" t="str">
        <f t="shared" si="80"/>
        <v/>
      </c>
      <c r="V1551" s="58">
        <f>IF(AND($B1551&lt;&gt;"",$F1551&lt;&gt;"",$F1551=项目明细账!$C$2),N(V1550)+1,N(V1550))</f>
        <v>0</v>
      </c>
      <c r="W1551" s="63" t="str">
        <f>IF($H1551&lt;&gt;"","项目成本",IFERROR(INDEX(基础资料!$W$4:$W$49,MATCH($I1551,基础资料!$V$4:$V$49,0)),""))</f>
        <v/>
      </c>
      <c r="X1551" s="63" t="str">
        <f>IFERROR(INDEX(基础资料!$R$4:$R$17,MATCH($G1551,基础资料!$Q$4:$Q$17,0)),"")</f>
        <v/>
      </c>
    </row>
    <row r="1552" spans="1:24">
      <c r="A1552" s="58" t="str">
        <f>IF($B1552="","",COUNTA($B$5:$B1552))</f>
        <v/>
      </c>
      <c r="B1552" s="53"/>
      <c r="C1552" s="46"/>
      <c r="D1552" s="63" t="str">
        <f>IFERROR(INDEX(基础资料!$F$4:$F$23,MATCH($C1552,基础资料!$E$4:$E$23,0)),IF($C1552="","","未匹配账户"))</f>
        <v/>
      </c>
      <c r="E1552" s="39"/>
      <c r="F1552" s="10"/>
      <c r="G1552" s="10"/>
      <c r="H1552" s="10"/>
      <c r="I1552" s="10"/>
      <c r="J1552" s="10"/>
      <c r="K1552" s="25"/>
      <c r="L1552" s="25"/>
      <c r="M1552" s="25" t="str">
        <f>IFERROR(VLOOKUP($C1552,$C$5:$M$24,11,0)+SUMIF($C$25:$C1552,$C1552,$K$25:$K1552)-SUMIF($C$25:$C1552,$C1552,$L$25:$L1552),"")</f>
        <v/>
      </c>
      <c r="N1552" s="10"/>
      <c r="O1552" s="10"/>
      <c r="P1552" s="65"/>
      <c r="Q1552" s="10"/>
      <c r="R1552" s="10"/>
      <c r="S1552" s="54" t="str">
        <f t="shared" si="78"/>
        <v/>
      </c>
      <c r="T1552" s="54" t="str">
        <f t="shared" si="79"/>
        <v/>
      </c>
      <c r="U1552" s="58" t="str">
        <f t="shared" si="80"/>
        <v/>
      </c>
      <c r="V1552" s="58">
        <f>IF(AND($B1552&lt;&gt;"",$F1552&lt;&gt;"",$F1552=项目明细账!$C$2),N(V1551)+1,N(V1551))</f>
        <v>0</v>
      </c>
      <c r="W1552" s="63" t="str">
        <f>IF($H1552&lt;&gt;"","项目成本",IFERROR(INDEX(基础资料!$W$4:$W$49,MATCH($I1552,基础资料!$V$4:$V$49,0)),""))</f>
        <v/>
      </c>
      <c r="X1552" s="63" t="str">
        <f>IFERROR(INDEX(基础资料!$R$4:$R$17,MATCH($G1552,基础资料!$Q$4:$Q$17,0)),"")</f>
        <v/>
      </c>
    </row>
    <row r="1553" spans="1:24">
      <c r="A1553" s="58" t="str">
        <f>IF($B1553="","",COUNTA($B$5:$B1553))</f>
        <v/>
      </c>
      <c r="B1553" s="53"/>
      <c r="C1553" s="46"/>
      <c r="D1553" s="63" t="str">
        <f>IFERROR(INDEX(基础资料!$F$4:$F$23,MATCH($C1553,基础资料!$E$4:$E$23,0)),IF($C1553="","","未匹配账户"))</f>
        <v/>
      </c>
      <c r="E1553" s="39"/>
      <c r="F1553" s="10"/>
      <c r="G1553" s="10"/>
      <c r="H1553" s="10"/>
      <c r="I1553" s="10"/>
      <c r="J1553" s="10"/>
      <c r="K1553" s="25"/>
      <c r="L1553" s="25"/>
      <c r="M1553" s="25" t="str">
        <f>IFERROR(VLOOKUP($C1553,$C$5:$M$24,11,0)+SUMIF($C$25:$C1553,$C1553,$K$25:$K1553)-SUMIF($C$25:$C1553,$C1553,$L$25:$L1553),"")</f>
        <v/>
      </c>
      <c r="N1553" s="10"/>
      <c r="O1553" s="10"/>
      <c r="P1553" s="65"/>
      <c r="Q1553" s="10"/>
      <c r="R1553" s="10"/>
      <c r="S1553" s="54" t="str">
        <f t="shared" si="78"/>
        <v/>
      </c>
      <c r="T1553" s="54" t="str">
        <f t="shared" si="79"/>
        <v/>
      </c>
      <c r="U1553" s="58" t="str">
        <f t="shared" si="80"/>
        <v/>
      </c>
      <c r="V1553" s="58">
        <f>IF(AND($B1553&lt;&gt;"",$F1553&lt;&gt;"",$F1553=项目明细账!$C$2),N(V1552)+1,N(V1552))</f>
        <v>0</v>
      </c>
      <c r="W1553" s="63" t="str">
        <f>IF($H1553&lt;&gt;"","项目成本",IFERROR(INDEX(基础资料!$W$4:$W$49,MATCH($I1553,基础资料!$V$4:$V$49,0)),""))</f>
        <v/>
      </c>
      <c r="X1553" s="63" t="str">
        <f>IFERROR(INDEX(基础资料!$R$4:$R$17,MATCH($G1553,基础资料!$Q$4:$Q$17,0)),"")</f>
        <v/>
      </c>
    </row>
    <row r="1554" spans="1:24">
      <c r="A1554" s="58" t="str">
        <f>IF($B1554="","",COUNTA($B$5:$B1554))</f>
        <v/>
      </c>
      <c r="B1554" s="53"/>
      <c r="C1554" s="46"/>
      <c r="D1554" s="63" t="str">
        <f>IFERROR(INDEX(基础资料!$F$4:$F$23,MATCH($C1554,基础资料!$E$4:$E$23,0)),IF($C1554="","","未匹配账户"))</f>
        <v/>
      </c>
      <c r="E1554" s="39"/>
      <c r="F1554" s="10"/>
      <c r="G1554" s="10"/>
      <c r="H1554" s="10"/>
      <c r="I1554" s="10"/>
      <c r="J1554" s="10"/>
      <c r="K1554" s="25"/>
      <c r="L1554" s="25"/>
      <c r="M1554" s="25" t="str">
        <f>IFERROR(VLOOKUP($C1554,$C$5:$M$24,11,0)+SUMIF($C$25:$C1554,$C1554,$K$25:$K1554)-SUMIF($C$25:$C1554,$C1554,$L$25:$L1554),"")</f>
        <v/>
      </c>
      <c r="N1554" s="10"/>
      <c r="O1554" s="10"/>
      <c r="P1554" s="65"/>
      <c r="Q1554" s="10"/>
      <c r="R1554" s="10"/>
      <c r="S1554" s="54" t="str">
        <f t="shared" si="78"/>
        <v/>
      </c>
      <c r="T1554" s="54" t="str">
        <f t="shared" si="79"/>
        <v/>
      </c>
      <c r="U1554" s="58" t="str">
        <f t="shared" si="80"/>
        <v/>
      </c>
      <c r="V1554" s="58">
        <f>IF(AND($B1554&lt;&gt;"",$F1554&lt;&gt;"",$F1554=项目明细账!$C$2),N(V1553)+1,N(V1553))</f>
        <v>0</v>
      </c>
      <c r="W1554" s="63" t="str">
        <f>IF($H1554&lt;&gt;"","项目成本",IFERROR(INDEX(基础资料!$W$4:$W$49,MATCH($I1554,基础资料!$V$4:$V$49,0)),""))</f>
        <v/>
      </c>
      <c r="X1554" s="63" t="str">
        <f>IFERROR(INDEX(基础资料!$R$4:$R$17,MATCH($G1554,基础资料!$Q$4:$Q$17,0)),"")</f>
        <v/>
      </c>
    </row>
    <row r="1555" spans="1:24">
      <c r="A1555" s="58" t="str">
        <f>IF($B1555="","",COUNTA($B$5:$B1555))</f>
        <v/>
      </c>
      <c r="B1555" s="53"/>
      <c r="C1555" s="46"/>
      <c r="D1555" s="63" t="str">
        <f>IFERROR(INDEX(基础资料!$F$4:$F$23,MATCH($C1555,基础资料!$E$4:$E$23,0)),IF($C1555="","","未匹配账户"))</f>
        <v/>
      </c>
      <c r="E1555" s="39"/>
      <c r="F1555" s="10"/>
      <c r="G1555" s="10"/>
      <c r="H1555" s="10"/>
      <c r="I1555" s="10"/>
      <c r="J1555" s="10"/>
      <c r="K1555" s="25"/>
      <c r="L1555" s="25"/>
      <c r="M1555" s="25" t="str">
        <f>IFERROR(VLOOKUP($C1555,$C$5:$M$24,11,0)+SUMIF($C$25:$C1555,$C1555,$K$25:$K1555)-SUMIF($C$25:$C1555,$C1555,$L$25:$L1555),"")</f>
        <v/>
      </c>
      <c r="N1555" s="10"/>
      <c r="O1555" s="10"/>
      <c r="P1555" s="65"/>
      <c r="Q1555" s="10"/>
      <c r="R1555" s="10"/>
      <c r="S1555" s="54" t="str">
        <f t="shared" si="78"/>
        <v/>
      </c>
      <c r="T1555" s="54" t="str">
        <f t="shared" si="79"/>
        <v/>
      </c>
      <c r="U1555" s="58" t="str">
        <f t="shared" si="80"/>
        <v/>
      </c>
      <c r="V1555" s="58">
        <f>IF(AND($B1555&lt;&gt;"",$F1555&lt;&gt;"",$F1555=项目明细账!$C$2),N(V1554)+1,N(V1554))</f>
        <v>0</v>
      </c>
      <c r="W1555" s="63" t="str">
        <f>IF($H1555&lt;&gt;"","项目成本",IFERROR(INDEX(基础资料!$W$4:$W$49,MATCH($I1555,基础资料!$V$4:$V$49,0)),""))</f>
        <v/>
      </c>
      <c r="X1555" s="63" t="str">
        <f>IFERROR(INDEX(基础资料!$R$4:$R$17,MATCH($G1555,基础资料!$Q$4:$Q$17,0)),"")</f>
        <v/>
      </c>
    </row>
    <row r="1556" spans="1:24">
      <c r="A1556" s="58" t="str">
        <f>IF($B1556="","",COUNTA($B$5:$B1556))</f>
        <v/>
      </c>
      <c r="B1556" s="53"/>
      <c r="C1556" s="46"/>
      <c r="D1556" s="63" t="str">
        <f>IFERROR(INDEX(基础资料!$F$4:$F$23,MATCH($C1556,基础资料!$E$4:$E$23,0)),IF($C1556="","","未匹配账户"))</f>
        <v/>
      </c>
      <c r="E1556" s="39"/>
      <c r="F1556" s="10"/>
      <c r="G1556" s="10"/>
      <c r="H1556" s="10"/>
      <c r="I1556" s="10"/>
      <c r="J1556" s="10"/>
      <c r="K1556" s="25"/>
      <c r="L1556" s="25"/>
      <c r="M1556" s="25" t="str">
        <f>IFERROR(VLOOKUP($C1556,$C$5:$M$24,11,0)+SUMIF($C$25:$C1556,$C1556,$K$25:$K1556)-SUMIF($C$25:$C1556,$C1556,$L$25:$L1556),"")</f>
        <v/>
      </c>
      <c r="N1556" s="10"/>
      <c r="O1556" s="10"/>
      <c r="P1556" s="65"/>
      <c r="Q1556" s="10"/>
      <c r="R1556" s="10"/>
      <c r="S1556" s="54" t="str">
        <f t="shared" si="78"/>
        <v/>
      </c>
      <c r="T1556" s="54" t="str">
        <f t="shared" si="79"/>
        <v/>
      </c>
      <c r="U1556" s="58" t="str">
        <f t="shared" si="80"/>
        <v/>
      </c>
      <c r="V1556" s="58">
        <f>IF(AND($B1556&lt;&gt;"",$F1556&lt;&gt;"",$F1556=项目明细账!$C$2),N(V1555)+1,N(V1555))</f>
        <v>0</v>
      </c>
      <c r="W1556" s="63" t="str">
        <f>IF($H1556&lt;&gt;"","项目成本",IFERROR(INDEX(基础资料!$W$4:$W$49,MATCH($I1556,基础资料!$V$4:$V$49,0)),""))</f>
        <v/>
      </c>
      <c r="X1556" s="63" t="str">
        <f>IFERROR(INDEX(基础资料!$R$4:$R$17,MATCH($G1556,基础资料!$Q$4:$Q$17,0)),"")</f>
        <v/>
      </c>
    </row>
    <row r="1557" spans="1:24">
      <c r="A1557" s="58" t="str">
        <f>IF($B1557="","",COUNTA($B$5:$B1557))</f>
        <v/>
      </c>
      <c r="B1557" s="53"/>
      <c r="C1557" s="46"/>
      <c r="D1557" s="63" t="str">
        <f>IFERROR(INDEX(基础资料!$F$4:$F$23,MATCH($C1557,基础资料!$E$4:$E$23,0)),IF($C1557="","","未匹配账户"))</f>
        <v/>
      </c>
      <c r="E1557" s="39"/>
      <c r="F1557" s="10"/>
      <c r="G1557" s="10"/>
      <c r="H1557" s="10"/>
      <c r="I1557" s="10"/>
      <c r="J1557" s="10"/>
      <c r="K1557" s="25"/>
      <c r="L1557" s="25"/>
      <c r="M1557" s="25" t="str">
        <f>IFERROR(VLOOKUP($C1557,$C$5:$M$24,11,0)+SUMIF($C$25:$C1557,$C1557,$K$25:$K1557)-SUMIF($C$25:$C1557,$C1557,$L$25:$L1557),"")</f>
        <v/>
      </c>
      <c r="N1557" s="10"/>
      <c r="O1557" s="10"/>
      <c r="P1557" s="65"/>
      <c r="Q1557" s="10"/>
      <c r="R1557" s="10"/>
      <c r="S1557" s="54" t="str">
        <f t="shared" si="78"/>
        <v/>
      </c>
      <c r="T1557" s="54" t="str">
        <f t="shared" si="79"/>
        <v/>
      </c>
      <c r="U1557" s="58" t="str">
        <f t="shared" si="80"/>
        <v/>
      </c>
      <c r="V1557" s="58">
        <f>IF(AND($B1557&lt;&gt;"",$F1557&lt;&gt;"",$F1557=项目明细账!$C$2),N(V1556)+1,N(V1556))</f>
        <v>0</v>
      </c>
      <c r="W1557" s="63" t="str">
        <f>IF($H1557&lt;&gt;"","项目成本",IFERROR(INDEX(基础资料!$W$4:$W$49,MATCH($I1557,基础资料!$V$4:$V$49,0)),""))</f>
        <v/>
      </c>
      <c r="X1557" s="63" t="str">
        <f>IFERROR(INDEX(基础资料!$R$4:$R$17,MATCH($G1557,基础资料!$Q$4:$Q$17,0)),"")</f>
        <v/>
      </c>
    </row>
    <row r="1558" spans="1:24">
      <c r="A1558" s="58" t="str">
        <f>IF($B1558="","",COUNTA($B$5:$B1558))</f>
        <v/>
      </c>
      <c r="B1558" s="53"/>
      <c r="C1558" s="46"/>
      <c r="D1558" s="63" t="str">
        <f>IFERROR(INDEX(基础资料!$F$4:$F$23,MATCH($C1558,基础资料!$E$4:$E$23,0)),IF($C1558="","","未匹配账户"))</f>
        <v/>
      </c>
      <c r="E1558" s="39"/>
      <c r="F1558" s="10"/>
      <c r="G1558" s="10"/>
      <c r="H1558" s="10"/>
      <c r="I1558" s="10"/>
      <c r="J1558" s="10"/>
      <c r="K1558" s="25"/>
      <c r="L1558" s="25"/>
      <c r="M1558" s="25" t="str">
        <f>IFERROR(VLOOKUP($C1558,$C$5:$M$24,11,0)+SUMIF($C$25:$C1558,$C1558,$K$25:$K1558)-SUMIF($C$25:$C1558,$C1558,$L$25:$L1558),"")</f>
        <v/>
      </c>
      <c r="N1558" s="10"/>
      <c r="O1558" s="10"/>
      <c r="P1558" s="65"/>
      <c r="Q1558" s="10"/>
      <c r="R1558" s="10"/>
      <c r="S1558" s="54" t="str">
        <f t="shared" si="78"/>
        <v/>
      </c>
      <c r="T1558" s="54" t="str">
        <f t="shared" si="79"/>
        <v/>
      </c>
      <c r="U1558" s="58" t="str">
        <f t="shared" si="80"/>
        <v/>
      </c>
      <c r="V1558" s="58">
        <f>IF(AND($B1558&lt;&gt;"",$F1558&lt;&gt;"",$F1558=项目明细账!$C$2),N(V1557)+1,N(V1557))</f>
        <v>0</v>
      </c>
      <c r="W1558" s="63" t="str">
        <f>IF($H1558&lt;&gt;"","项目成本",IFERROR(INDEX(基础资料!$W$4:$W$49,MATCH($I1558,基础资料!$V$4:$V$49,0)),""))</f>
        <v/>
      </c>
      <c r="X1558" s="63" t="str">
        <f>IFERROR(INDEX(基础资料!$R$4:$R$17,MATCH($G1558,基础资料!$Q$4:$Q$17,0)),"")</f>
        <v/>
      </c>
    </row>
    <row r="1559" spans="1:24">
      <c r="A1559" s="58" t="str">
        <f>IF($B1559="","",COUNTA($B$5:$B1559))</f>
        <v/>
      </c>
      <c r="B1559" s="53"/>
      <c r="C1559" s="46"/>
      <c r="D1559" s="63" t="str">
        <f>IFERROR(INDEX(基础资料!$F$4:$F$23,MATCH($C1559,基础资料!$E$4:$E$23,0)),IF($C1559="","","未匹配账户"))</f>
        <v/>
      </c>
      <c r="E1559" s="39"/>
      <c r="F1559" s="10"/>
      <c r="G1559" s="10"/>
      <c r="H1559" s="10"/>
      <c r="I1559" s="10"/>
      <c r="J1559" s="10"/>
      <c r="K1559" s="25"/>
      <c r="L1559" s="25"/>
      <c r="M1559" s="25" t="str">
        <f>IFERROR(VLOOKUP($C1559,$C$5:$M$24,11,0)+SUMIF($C$25:$C1559,$C1559,$K$25:$K1559)-SUMIF($C$25:$C1559,$C1559,$L$25:$L1559),"")</f>
        <v/>
      </c>
      <c r="N1559" s="10"/>
      <c r="O1559" s="10"/>
      <c r="P1559" s="65"/>
      <c r="Q1559" s="10"/>
      <c r="R1559" s="10"/>
      <c r="S1559" s="54" t="str">
        <f t="shared" si="78"/>
        <v/>
      </c>
      <c r="T1559" s="54" t="str">
        <f t="shared" si="79"/>
        <v/>
      </c>
      <c r="U1559" s="58" t="str">
        <f t="shared" si="80"/>
        <v/>
      </c>
      <c r="V1559" s="58">
        <f>IF(AND($B1559&lt;&gt;"",$F1559&lt;&gt;"",$F1559=项目明细账!$C$2),N(V1558)+1,N(V1558))</f>
        <v>0</v>
      </c>
      <c r="W1559" s="63" t="str">
        <f>IF($H1559&lt;&gt;"","项目成本",IFERROR(INDEX(基础资料!$W$4:$W$49,MATCH($I1559,基础资料!$V$4:$V$49,0)),""))</f>
        <v/>
      </c>
      <c r="X1559" s="63" t="str">
        <f>IFERROR(INDEX(基础资料!$R$4:$R$17,MATCH($G1559,基础资料!$Q$4:$Q$17,0)),"")</f>
        <v/>
      </c>
    </row>
    <row r="1560" spans="1:24">
      <c r="A1560" s="58" t="str">
        <f>IF($B1560="","",COUNTA($B$5:$B1560))</f>
        <v/>
      </c>
      <c r="B1560" s="53"/>
      <c r="C1560" s="46"/>
      <c r="D1560" s="63" t="str">
        <f>IFERROR(INDEX(基础资料!$F$4:$F$23,MATCH($C1560,基础资料!$E$4:$E$23,0)),IF($C1560="","","未匹配账户"))</f>
        <v/>
      </c>
      <c r="E1560" s="39"/>
      <c r="F1560" s="10"/>
      <c r="G1560" s="10"/>
      <c r="H1560" s="10"/>
      <c r="I1560" s="10"/>
      <c r="J1560" s="10"/>
      <c r="K1560" s="25"/>
      <c r="L1560" s="25"/>
      <c r="M1560" s="25" t="str">
        <f>IFERROR(VLOOKUP($C1560,$C$5:$M$24,11,0)+SUMIF($C$25:$C1560,$C1560,$K$25:$K1560)-SUMIF($C$25:$C1560,$C1560,$L$25:$L1560),"")</f>
        <v/>
      </c>
      <c r="N1560" s="10"/>
      <c r="O1560" s="10"/>
      <c r="P1560" s="65"/>
      <c r="Q1560" s="10"/>
      <c r="R1560" s="10"/>
      <c r="S1560" s="54" t="str">
        <f t="shared" si="78"/>
        <v/>
      </c>
      <c r="T1560" s="54" t="str">
        <f t="shared" si="79"/>
        <v/>
      </c>
      <c r="U1560" s="58" t="str">
        <f t="shared" si="80"/>
        <v/>
      </c>
      <c r="V1560" s="58">
        <f>IF(AND($B1560&lt;&gt;"",$F1560&lt;&gt;"",$F1560=项目明细账!$C$2),N(V1559)+1,N(V1559))</f>
        <v>0</v>
      </c>
      <c r="W1560" s="63" t="str">
        <f>IF($H1560&lt;&gt;"","项目成本",IFERROR(INDEX(基础资料!$W$4:$W$49,MATCH($I1560,基础资料!$V$4:$V$49,0)),""))</f>
        <v/>
      </c>
      <c r="X1560" s="63" t="str">
        <f>IFERROR(INDEX(基础资料!$R$4:$R$17,MATCH($G1560,基础资料!$Q$4:$Q$17,0)),"")</f>
        <v/>
      </c>
    </row>
    <row r="1561" spans="1:24">
      <c r="A1561" s="58" t="str">
        <f>IF($B1561="","",COUNTA($B$5:$B1561))</f>
        <v/>
      </c>
      <c r="B1561" s="53"/>
      <c r="C1561" s="46"/>
      <c r="D1561" s="63" t="str">
        <f>IFERROR(INDEX(基础资料!$F$4:$F$23,MATCH($C1561,基础资料!$E$4:$E$23,0)),IF($C1561="","","未匹配账户"))</f>
        <v/>
      </c>
      <c r="E1561" s="39"/>
      <c r="F1561" s="10"/>
      <c r="G1561" s="10"/>
      <c r="H1561" s="10"/>
      <c r="I1561" s="10"/>
      <c r="J1561" s="10"/>
      <c r="K1561" s="25"/>
      <c r="L1561" s="25"/>
      <c r="M1561" s="25" t="str">
        <f>IFERROR(VLOOKUP($C1561,$C$5:$M$24,11,0)+SUMIF($C$25:$C1561,$C1561,$K$25:$K1561)-SUMIF($C$25:$C1561,$C1561,$L$25:$L1561),"")</f>
        <v/>
      </c>
      <c r="N1561" s="10"/>
      <c r="O1561" s="10"/>
      <c r="P1561" s="65"/>
      <c r="Q1561" s="10"/>
      <c r="R1561" s="10"/>
      <c r="S1561" s="54" t="str">
        <f t="shared" si="78"/>
        <v/>
      </c>
      <c r="T1561" s="54" t="str">
        <f t="shared" si="79"/>
        <v/>
      </c>
      <c r="U1561" s="58" t="str">
        <f t="shared" si="80"/>
        <v/>
      </c>
      <c r="V1561" s="58">
        <f>IF(AND($B1561&lt;&gt;"",$F1561&lt;&gt;"",$F1561=项目明细账!$C$2),N(V1560)+1,N(V1560))</f>
        <v>0</v>
      </c>
      <c r="W1561" s="63" t="str">
        <f>IF($H1561&lt;&gt;"","项目成本",IFERROR(INDEX(基础资料!$W$4:$W$49,MATCH($I1561,基础资料!$V$4:$V$49,0)),""))</f>
        <v/>
      </c>
      <c r="X1561" s="63" t="str">
        <f>IFERROR(INDEX(基础资料!$R$4:$R$17,MATCH($G1561,基础资料!$Q$4:$Q$17,0)),"")</f>
        <v/>
      </c>
    </row>
    <row r="1562" spans="1:24">
      <c r="A1562" s="58" t="str">
        <f>IF($B1562="","",COUNTA($B$5:$B1562))</f>
        <v/>
      </c>
      <c r="B1562" s="53"/>
      <c r="C1562" s="46"/>
      <c r="D1562" s="63" t="str">
        <f>IFERROR(INDEX(基础资料!$F$4:$F$23,MATCH($C1562,基础资料!$E$4:$E$23,0)),IF($C1562="","","未匹配账户"))</f>
        <v/>
      </c>
      <c r="E1562" s="39"/>
      <c r="F1562" s="10"/>
      <c r="G1562" s="10"/>
      <c r="H1562" s="10"/>
      <c r="I1562" s="10"/>
      <c r="J1562" s="10"/>
      <c r="K1562" s="25"/>
      <c r="L1562" s="25"/>
      <c r="M1562" s="25" t="str">
        <f>IFERROR(VLOOKUP($C1562,$C$5:$M$24,11,0)+SUMIF($C$25:$C1562,$C1562,$K$25:$K1562)-SUMIF($C$25:$C1562,$C1562,$L$25:$L1562),"")</f>
        <v/>
      </c>
      <c r="N1562" s="10"/>
      <c r="O1562" s="10"/>
      <c r="P1562" s="65"/>
      <c r="Q1562" s="10"/>
      <c r="R1562" s="10"/>
      <c r="S1562" s="54" t="str">
        <f t="shared" si="78"/>
        <v/>
      </c>
      <c r="T1562" s="54" t="str">
        <f t="shared" si="79"/>
        <v/>
      </c>
      <c r="U1562" s="58" t="str">
        <f t="shared" si="80"/>
        <v/>
      </c>
      <c r="V1562" s="58">
        <f>IF(AND($B1562&lt;&gt;"",$F1562&lt;&gt;"",$F1562=项目明细账!$C$2),N(V1561)+1,N(V1561))</f>
        <v>0</v>
      </c>
      <c r="W1562" s="63" t="str">
        <f>IF($H1562&lt;&gt;"","项目成本",IFERROR(INDEX(基础资料!$W$4:$W$49,MATCH($I1562,基础资料!$V$4:$V$49,0)),""))</f>
        <v/>
      </c>
      <c r="X1562" s="63" t="str">
        <f>IFERROR(INDEX(基础资料!$R$4:$R$17,MATCH($G1562,基础资料!$Q$4:$Q$17,0)),"")</f>
        <v/>
      </c>
    </row>
    <row r="1563" spans="1:24">
      <c r="A1563" s="58" t="str">
        <f>IF($B1563="","",COUNTA($B$5:$B1563))</f>
        <v/>
      </c>
      <c r="B1563" s="53"/>
      <c r="C1563" s="46"/>
      <c r="D1563" s="63" t="str">
        <f>IFERROR(INDEX(基础资料!$F$4:$F$23,MATCH($C1563,基础资料!$E$4:$E$23,0)),IF($C1563="","","未匹配账户"))</f>
        <v/>
      </c>
      <c r="E1563" s="39"/>
      <c r="F1563" s="10"/>
      <c r="G1563" s="10"/>
      <c r="H1563" s="10"/>
      <c r="I1563" s="10"/>
      <c r="J1563" s="10"/>
      <c r="K1563" s="25"/>
      <c r="L1563" s="25"/>
      <c r="M1563" s="25" t="str">
        <f>IFERROR(VLOOKUP($C1563,$C$5:$M$24,11,0)+SUMIF($C$25:$C1563,$C1563,$K$25:$K1563)-SUMIF($C$25:$C1563,$C1563,$L$25:$L1563),"")</f>
        <v/>
      </c>
      <c r="N1563" s="10"/>
      <c r="O1563" s="10"/>
      <c r="P1563" s="65"/>
      <c r="Q1563" s="10"/>
      <c r="R1563" s="10"/>
      <c r="S1563" s="54" t="str">
        <f t="shared" si="78"/>
        <v/>
      </c>
      <c r="T1563" s="54" t="str">
        <f t="shared" si="79"/>
        <v/>
      </c>
      <c r="U1563" s="58" t="str">
        <f t="shared" si="80"/>
        <v/>
      </c>
      <c r="V1563" s="58">
        <f>IF(AND($B1563&lt;&gt;"",$F1563&lt;&gt;"",$F1563=项目明细账!$C$2),N(V1562)+1,N(V1562))</f>
        <v>0</v>
      </c>
      <c r="W1563" s="63" t="str">
        <f>IF($H1563&lt;&gt;"","项目成本",IFERROR(INDEX(基础资料!$W$4:$W$49,MATCH($I1563,基础资料!$V$4:$V$49,0)),""))</f>
        <v/>
      </c>
      <c r="X1563" s="63" t="str">
        <f>IFERROR(INDEX(基础资料!$R$4:$R$17,MATCH($G1563,基础资料!$Q$4:$Q$17,0)),"")</f>
        <v/>
      </c>
    </row>
    <row r="1564" spans="1:24">
      <c r="A1564" s="58" t="str">
        <f>IF($B1564="","",COUNTA($B$5:$B1564))</f>
        <v/>
      </c>
      <c r="B1564" s="53"/>
      <c r="C1564" s="46"/>
      <c r="D1564" s="63" t="str">
        <f>IFERROR(INDEX(基础资料!$F$4:$F$23,MATCH($C1564,基础资料!$E$4:$E$23,0)),IF($C1564="","","未匹配账户"))</f>
        <v/>
      </c>
      <c r="E1564" s="39"/>
      <c r="F1564" s="10"/>
      <c r="G1564" s="10"/>
      <c r="H1564" s="10"/>
      <c r="I1564" s="10"/>
      <c r="J1564" s="10"/>
      <c r="K1564" s="25"/>
      <c r="L1564" s="25"/>
      <c r="M1564" s="25" t="str">
        <f>IFERROR(VLOOKUP($C1564,$C$5:$M$24,11,0)+SUMIF($C$25:$C1564,$C1564,$K$25:$K1564)-SUMIF($C$25:$C1564,$C1564,$L$25:$L1564),"")</f>
        <v/>
      </c>
      <c r="N1564" s="10"/>
      <c r="O1564" s="10"/>
      <c r="P1564" s="65"/>
      <c r="Q1564" s="10"/>
      <c r="R1564" s="10"/>
      <c r="S1564" s="54" t="str">
        <f t="shared" si="78"/>
        <v/>
      </c>
      <c r="T1564" s="54" t="str">
        <f t="shared" si="79"/>
        <v/>
      </c>
      <c r="U1564" s="58" t="str">
        <f t="shared" si="80"/>
        <v/>
      </c>
      <c r="V1564" s="58">
        <f>IF(AND($B1564&lt;&gt;"",$F1564&lt;&gt;"",$F1564=项目明细账!$C$2),N(V1563)+1,N(V1563))</f>
        <v>0</v>
      </c>
      <c r="W1564" s="63" t="str">
        <f>IF($H1564&lt;&gt;"","项目成本",IFERROR(INDEX(基础资料!$W$4:$W$49,MATCH($I1564,基础资料!$V$4:$V$49,0)),""))</f>
        <v/>
      </c>
      <c r="X1564" s="63" t="str">
        <f>IFERROR(INDEX(基础资料!$R$4:$R$17,MATCH($G1564,基础资料!$Q$4:$Q$17,0)),"")</f>
        <v/>
      </c>
    </row>
    <row r="1565" spans="1:24">
      <c r="A1565" s="58" t="str">
        <f>IF($B1565="","",COUNTA($B$5:$B1565))</f>
        <v/>
      </c>
      <c r="B1565" s="53"/>
      <c r="C1565" s="46"/>
      <c r="D1565" s="63" t="str">
        <f>IFERROR(INDEX(基础资料!$F$4:$F$23,MATCH($C1565,基础资料!$E$4:$E$23,0)),IF($C1565="","","未匹配账户"))</f>
        <v/>
      </c>
      <c r="E1565" s="39"/>
      <c r="F1565" s="10"/>
      <c r="G1565" s="10"/>
      <c r="H1565" s="10"/>
      <c r="I1565" s="10"/>
      <c r="J1565" s="10"/>
      <c r="K1565" s="25"/>
      <c r="L1565" s="25"/>
      <c r="M1565" s="25" t="str">
        <f>IFERROR(VLOOKUP($C1565,$C$5:$M$24,11,0)+SUMIF($C$25:$C1565,$C1565,$K$25:$K1565)-SUMIF($C$25:$C1565,$C1565,$L$25:$L1565),"")</f>
        <v/>
      </c>
      <c r="N1565" s="10"/>
      <c r="O1565" s="10"/>
      <c r="P1565" s="65"/>
      <c r="Q1565" s="10"/>
      <c r="R1565" s="10"/>
      <c r="S1565" s="54" t="str">
        <f t="shared" si="78"/>
        <v/>
      </c>
      <c r="T1565" s="54" t="str">
        <f t="shared" si="79"/>
        <v/>
      </c>
      <c r="U1565" s="58" t="str">
        <f t="shared" si="80"/>
        <v/>
      </c>
      <c r="V1565" s="58">
        <f>IF(AND($B1565&lt;&gt;"",$F1565&lt;&gt;"",$F1565=项目明细账!$C$2),N(V1564)+1,N(V1564))</f>
        <v>0</v>
      </c>
      <c r="W1565" s="63" t="str">
        <f>IF($H1565&lt;&gt;"","项目成本",IFERROR(INDEX(基础资料!$W$4:$W$49,MATCH($I1565,基础资料!$V$4:$V$49,0)),""))</f>
        <v/>
      </c>
      <c r="X1565" s="63" t="str">
        <f>IFERROR(INDEX(基础资料!$R$4:$R$17,MATCH($G1565,基础资料!$Q$4:$Q$17,0)),"")</f>
        <v/>
      </c>
    </row>
    <row r="1566" spans="1:24">
      <c r="A1566" s="58" t="str">
        <f>IF($B1566="","",COUNTA($B$5:$B1566))</f>
        <v/>
      </c>
      <c r="B1566" s="53"/>
      <c r="C1566" s="46"/>
      <c r="D1566" s="63" t="str">
        <f>IFERROR(INDEX(基础资料!$F$4:$F$23,MATCH($C1566,基础资料!$E$4:$E$23,0)),IF($C1566="","","未匹配账户"))</f>
        <v/>
      </c>
      <c r="E1566" s="39"/>
      <c r="F1566" s="10"/>
      <c r="G1566" s="10"/>
      <c r="H1566" s="10"/>
      <c r="I1566" s="10"/>
      <c r="J1566" s="10"/>
      <c r="K1566" s="25"/>
      <c r="L1566" s="25"/>
      <c r="M1566" s="25" t="str">
        <f>IFERROR(VLOOKUP($C1566,$C$5:$M$24,11,0)+SUMIF($C$25:$C1566,$C1566,$K$25:$K1566)-SUMIF($C$25:$C1566,$C1566,$L$25:$L1566),"")</f>
        <v/>
      </c>
      <c r="N1566" s="10"/>
      <c r="O1566" s="10"/>
      <c r="P1566" s="65"/>
      <c r="Q1566" s="10"/>
      <c r="R1566" s="10"/>
      <c r="S1566" s="54" t="str">
        <f t="shared" si="78"/>
        <v/>
      </c>
      <c r="T1566" s="54" t="str">
        <f t="shared" si="79"/>
        <v/>
      </c>
      <c r="U1566" s="58" t="str">
        <f t="shared" si="80"/>
        <v/>
      </c>
      <c r="V1566" s="58">
        <f>IF(AND($B1566&lt;&gt;"",$F1566&lt;&gt;"",$F1566=项目明细账!$C$2),N(V1565)+1,N(V1565))</f>
        <v>0</v>
      </c>
      <c r="W1566" s="63" t="str">
        <f>IF($H1566&lt;&gt;"","项目成本",IFERROR(INDEX(基础资料!$W$4:$W$49,MATCH($I1566,基础资料!$V$4:$V$49,0)),""))</f>
        <v/>
      </c>
      <c r="X1566" s="63" t="str">
        <f>IFERROR(INDEX(基础资料!$R$4:$R$17,MATCH($G1566,基础资料!$Q$4:$Q$17,0)),"")</f>
        <v/>
      </c>
    </row>
    <row r="1567" spans="1:24">
      <c r="A1567" s="58" t="str">
        <f>IF($B1567="","",COUNTA($B$5:$B1567))</f>
        <v/>
      </c>
      <c r="B1567" s="53"/>
      <c r="C1567" s="46"/>
      <c r="D1567" s="63" t="str">
        <f>IFERROR(INDEX(基础资料!$F$4:$F$23,MATCH($C1567,基础资料!$E$4:$E$23,0)),IF($C1567="","","未匹配账户"))</f>
        <v/>
      </c>
      <c r="E1567" s="39"/>
      <c r="F1567" s="10"/>
      <c r="G1567" s="10"/>
      <c r="H1567" s="10"/>
      <c r="I1567" s="10"/>
      <c r="J1567" s="10"/>
      <c r="K1567" s="25"/>
      <c r="L1567" s="25"/>
      <c r="M1567" s="25" t="str">
        <f>IFERROR(VLOOKUP($C1567,$C$5:$M$24,11,0)+SUMIF($C$25:$C1567,$C1567,$K$25:$K1567)-SUMIF($C$25:$C1567,$C1567,$L$25:$L1567),"")</f>
        <v/>
      </c>
      <c r="N1567" s="10"/>
      <c r="O1567" s="10"/>
      <c r="P1567" s="65"/>
      <c r="Q1567" s="10"/>
      <c r="R1567" s="10"/>
      <c r="S1567" s="54" t="str">
        <f t="shared" si="78"/>
        <v/>
      </c>
      <c r="T1567" s="54" t="str">
        <f t="shared" si="79"/>
        <v/>
      </c>
      <c r="U1567" s="58" t="str">
        <f t="shared" si="80"/>
        <v/>
      </c>
      <c r="V1567" s="58">
        <f>IF(AND($B1567&lt;&gt;"",$F1567&lt;&gt;"",$F1567=项目明细账!$C$2),N(V1566)+1,N(V1566))</f>
        <v>0</v>
      </c>
      <c r="W1567" s="63" t="str">
        <f>IF($H1567&lt;&gt;"","项目成本",IFERROR(INDEX(基础资料!$W$4:$W$49,MATCH($I1567,基础资料!$V$4:$V$49,0)),""))</f>
        <v/>
      </c>
      <c r="X1567" s="63" t="str">
        <f>IFERROR(INDEX(基础资料!$R$4:$R$17,MATCH($G1567,基础资料!$Q$4:$Q$17,0)),"")</f>
        <v/>
      </c>
    </row>
    <row r="1568" spans="1:24">
      <c r="A1568" s="58" t="str">
        <f>IF($B1568="","",COUNTA($B$5:$B1568))</f>
        <v/>
      </c>
      <c r="B1568" s="53"/>
      <c r="C1568" s="46"/>
      <c r="D1568" s="63" t="str">
        <f>IFERROR(INDEX(基础资料!$F$4:$F$23,MATCH($C1568,基础资料!$E$4:$E$23,0)),IF($C1568="","","未匹配账户"))</f>
        <v/>
      </c>
      <c r="E1568" s="39"/>
      <c r="F1568" s="10"/>
      <c r="G1568" s="10"/>
      <c r="H1568" s="10"/>
      <c r="I1568" s="10"/>
      <c r="J1568" s="10"/>
      <c r="K1568" s="25"/>
      <c r="L1568" s="25"/>
      <c r="M1568" s="25" t="str">
        <f>IFERROR(VLOOKUP($C1568,$C$5:$M$24,11,0)+SUMIF($C$25:$C1568,$C1568,$K$25:$K1568)-SUMIF($C$25:$C1568,$C1568,$L$25:$L1568),"")</f>
        <v/>
      </c>
      <c r="N1568" s="10"/>
      <c r="O1568" s="10"/>
      <c r="P1568" s="65"/>
      <c r="Q1568" s="10"/>
      <c r="R1568" s="10"/>
      <c r="S1568" s="54" t="str">
        <f t="shared" si="78"/>
        <v/>
      </c>
      <c r="T1568" s="54" t="str">
        <f t="shared" si="79"/>
        <v/>
      </c>
      <c r="U1568" s="58" t="str">
        <f t="shared" si="80"/>
        <v/>
      </c>
      <c r="V1568" s="58">
        <f>IF(AND($B1568&lt;&gt;"",$F1568&lt;&gt;"",$F1568=项目明细账!$C$2),N(V1567)+1,N(V1567))</f>
        <v>0</v>
      </c>
      <c r="W1568" s="63" t="str">
        <f>IF($H1568&lt;&gt;"","项目成本",IFERROR(INDEX(基础资料!$W$4:$W$49,MATCH($I1568,基础资料!$V$4:$V$49,0)),""))</f>
        <v/>
      </c>
      <c r="X1568" s="63" t="str">
        <f>IFERROR(INDEX(基础资料!$R$4:$R$17,MATCH($G1568,基础资料!$Q$4:$Q$17,0)),"")</f>
        <v/>
      </c>
    </row>
    <row r="1569" spans="1:24">
      <c r="A1569" s="58" t="str">
        <f>IF($B1569="","",COUNTA($B$5:$B1569))</f>
        <v/>
      </c>
      <c r="B1569" s="53"/>
      <c r="C1569" s="46"/>
      <c r="D1569" s="63" t="str">
        <f>IFERROR(INDEX(基础资料!$F$4:$F$23,MATCH($C1569,基础资料!$E$4:$E$23,0)),IF($C1569="","","未匹配账户"))</f>
        <v/>
      </c>
      <c r="E1569" s="39"/>
      <c r="F1569" s="10"/>
      <c r="G1569" s="10"/>
      <c r="H1569" s="10"/>
      <c r="I1569" s="10"/>
      <c r="J1569" s="10"/>
      <c r="K1569" s="25"/>
      <c r="L1569" s="25"/>
      <c r="M1569" s="25" t="str">
        <f>IFERROR(VLOOKUP($C1569,$C$5:$M$24,11,0)+SUMIF($C$25:$C1569,$C1569,$K$25:$K1569)-SUMIF($C$25:$C1569,$C1569,$L$25:$L1569),"")</f>
        <v/>
      </c>
      <c r="N1569" s="10"/>
      <c r="O1569" s="10"/>
      <c r="P1569" s="65"/>
      <c r="Q1569" s="10"/>
      <c r="R1569" s="10"/>
      <c r="S1569" s="54" t="str">
        <f t="shared" si="78"/>
        <v/>
      </c>
      <c r="T1569" s="54" t="str">
        <f t="shared" si="79"/>
        <v/>
      </c>
      <c r="U1569" s="58" t="str">
        <f t="shared" si="80"/>
        <v/>
      </c>
      <c r="V1569" s="58">
        <f>IF(AND($B1569&lt;&gt;"",$F1569&lt;&gt;"",$F1569=项目明细账!$C$2),N(V1568)+1,N(V1568))</f>
        <v>0</v>
      </c>
      <c r="W1569" s="63" t="str">
        <f>IF($H1569&lt;&gt;"","项目成本",IFERROR(INDEX(基础资料!$W$4:$W$49,MATCH($I1569,基础资料!$V$4:$V$49,0)),""))</f>
        <v/>
      </c>
      <c r="X1569" s="63" t="str">
        <f>IFERROR(INDEX(基础资料!$R$4:$R$17,MATCH($G1569,基础资料!$Q$4:$Q$17,0)),"")</f>
        <v/>
      </c>
    </row>
    <row r="1570" spans="1:24">
      <c r="A1570" s="58" t="str">
        <f>IF($B1570="","",COUNTA($B$5:$B1570))</f>
        <v/>
      </c>
      <c r="B1570" s="53"/>
      <c r="C1570" s="46"/>
      <c r="D1570" s="63" t="str">
        <f>IFERROR(INDEX(基础资料!$F$4:$F$23,MATCH($C1570,基础资料!$E$4:$E$23,0)),IF($C1570="","","未匹配账户"))</f>
        <v/>
      </c>
      <c r="E1570" s="39"/>
      <c r="F1570" s="10"/>
      <c r="G1570" s="10"/>
      <c r="H1570" s="10"/>
      <c r="I1570" s="10"/>
      <c r="J1570" s="10"/>
      <c r="K1570" s="25"/>
      <c r="L1570" s="25"/>
      <c r="M1570" s="25" t="str">
        <f>IFERROR(VLOOKUP($C1570,$C$5:$M$24,11,0)+SUMIF($C$25:$C1570,$C1570,$K$25:$K1570)-SUMIF($C$25:$C1570,$C1570,$L$25:$L1570),"")</f>
        <v/>
      </c>
      <c r="N1570" s="10"/>
      <c r="O1570" s="10"/>
      <c r="P1570" s="65"/>
      <c r="Q1570" s="10"/>
      <c r="R1570" s="10"/>
      <c r="S1570" s="54" t="str">
        <f t="shared" si="78"/>
        <v/>
      </c>
      <c r="T1570" s="54" t="str">
        <f t="shared" si="79"/>
        <v/>
      </c>
      <c r="U1570" s="58" t="str">
        <f t="shared" si="80"/>
        <v/>
      </c>
      <c r="V1570" s="58">
        <f>IF(AND($B1570&lt;&gt;"",$F1570&lt;&gt;"",$F1570=项目明细账!$C$2),N(V1569)+1,N(V1569))</f>
        <v>0</v>
      </c>
      <c r="W1570" s="63" t="str">
        <f>IF($H1570&lt;&gt;"","项目成本",IFERROR(INDEX(基础资料!$W$4:$W$49,MATCH($I1570,基础资料!$V$4:$V$49,0)),""))</f>
        <v/>
      </c>
      <c r="X1570" s="63" t="str">
        <f>IFERROR(INDEX(基础资料!$R$4:$R$17,MATCH($G1570,基础资料!$Q$4:$Q$17,0)),"")</f>
        <v/>
      </c>
    </row>
    <row r="1571" spans="1:24">
      <c r="A1571" s="58" t="str">
        <f>IF($B1571="","",COUNTA($B$5:$B1571))</f>
        <v/>
      </c>
      <c r="B1571" s="53"/>
      <c r="C1571" s="46"/>
      <c r="D1571" s="63" t="str">
        <f>IFERROR(INDEX(基础资料!$F$4:$F$23,MATCH($C1571,基础资料!$E$4:$E$23,0)),IF($C1571="","","未匹配账户"))</f>
        <v/>
      </c>
      <c r="E1571" s="39"/>
      <c r="F1571" s="10"/>
      <c r="G1571" s="10"/>
      <c r="H1571" s="10"/>
      <c r="I1571" s="10"/>
      <c r="J1571" s="10"/>
      <c r="K1571" s="25"/>
      <c r="L1571" s="25"/>
      <c r="M1571" s="25" t="str">
        <f>IFERROR(VLOOKUP($C1571,$C$5:$M$24,11,0)+SUMIF($C$25:$C1571,$C1571,$K$25:$K1571)-SUMIF($C$25:$C1571,$C1571,$L$25:$L1571),"")</f>
        <v/>
      </c>
      <c r="N1571" s="10"/>
      <c r="O1571" s="10"/>
      <c r="P1571" s="65"/>
      <c r="Q1571" s="10"/>
      <c r="R1571" s="10"/>
      <c r="S1571" s="54" t="str">
        <f t="shared" si="78"/>
        <v/>
      </c>
      <c r="T1571" s="54" t="str">
        <f t="shared" si="79"/>
        <v/>
      </c>
      <c r="U1571" s="58" t="str">
        <f t="shared" si="80"/>
        <v/>
      </c>
      <c r="V1571" s="58">
        <f>IF(AND($B1571&lt;&gt;"",$F1571&lt;&gt;"",$F1571=项目明细账!$C$2),N(V1570)+1,N(V1570))</f>
        <v>0</v>
      </c>
      <c r="W1571" s="63" t="str">
        <f>IF($H1571&lt;&gt;"","项目成本",IFERROR(INDEX(基础资料!$W$4:$W$49,MATCH($I1571,基础资料!$V$4:$V$49,0)),""))</f>
        <v/>
      </c>
      <c r="X1571" s="63" t="str">
        <f>IFERROR(INDEX(基础资料!$R$4:$R$17,MATCH($G1571,基础资料!$Q$4:$Q$17,0)),"")</f>
        <v/>
      </c>
    </row>
    <row r="1572" spans="1:24">
      <c r="A1572" s="58" t="str">
        <f>IF($B1572="","",COUNTA($B$5:$B1572))</f>
        <v/>
      </c>
      <c r="B1572" s="53"/>
      <c r="C1572" s="46"/>
      <c r="D1572" s="63" t="str">
        <f>IFERROR(INDEX(基础资料!$F$4:$F$23,MATCH($C1572,基础资料!$E$4:$E$23,0)),IF($C1572="","","未匹配账户"))</f>
        <v/>
      </c>
      <c r="E1572" s="39"/>
      <c r="F1572" s="10"/>
      <c r="G1572" s="10"/>
      <c r="H1572" s="10"/>
      <c r="I1572" s="10"/>
      <c r="J1572" s="10"/>
      <c r="K1572" s="25"/>
      <c r="L1572" s="25"/>
      <c r="M1572" s="25" t="str">
        <f>IFERROR(VLOOKUP($C1572,$C$5:$M$24,11,0)+SUMIF($C$25:$C1572,$C1572,$K$25:$K1572)-SUMIF($C$25:$C1572,$C1572,$L$25:$L1572),"")</f>
        <v/>
      </c>
      <c r="N1572" s="10"/>
      <c r="O1572" s="10"/>
      <c r="P1572" s="65"/>
      <c r="Q1572" s="10"/>
      <c r="R1572" s="10"/>
      <c r="S1572" s="54" t="str">
        <f t="shared" si="78"/>
        <v/>
      </c>
      <c r="T1572" s="54" t="str">
        <f t="shared" si="79"/>
        <v/>
      </c>
      <c r="U1572" s="58" t="str">
        <f t="shared" si="80"/>
        <v/>
      </c>
      <c r="V1572" s="58">
        <f>IF(AND($B1572&lt;&gt;"",$F1572&lt;&gt;"",$F1572=项目明细账!$C$2),N(V1571)+1,N(V1571))</f>
        <v>0</v>
      </c>
      <c r="W1572" s="63" t="str">
        <f>IF($H1572&lt;&gt;"","项目成本",IFERROR(INDEX(基础资料!$W$4:$W$49,MATCH($I1572,基础资料!$V$4:$V$49,0)),""))</f>
        <v/>
      </c>
      <c r="X1572" s="63" t="str">
        <f>IFERROR(INDEX(基础资料!$R$4:$R$17,MATCH($G1572,基础资料!$Q$4:$Q$17,0)),"")</f>
        <v/>
      </c>
    </row>
    <row r="1573" spans="1:24">
      <c r="A1573" s="58" t="str">
        <f>IF($B1573="","",COUNTA($B$5:$B1573))</f>
        <v/>
      </c>
      <c r="B1573" s="53"/>
      <c r="C1573" s="46"/>
      <c r="D1573" s="63" t="str">
        <f>IFERROR(INDEX(基础资料!$F$4:$F$23,MATCH($C1573,基础资料!$E$4:$E$23,0)),IF($C1573="","","未匹配账户"))</f>
        <v/>
      </c>
      <c r="E1573" s="39"/>
      <c r="F1573" s="10"/>
      <c r="G1573" s="10"/>
      <c r="H1573" s="10"/>
      <c r="I1573" s="10"/>
      <c r="J1573" s="10"/>
      <c r="K1573" s="25"/>
      <c r="L1573" s="25"/>
      <c r="M1573" s="25" t="str">
        <f>IFERROR(VLOOKUP($C1573,$C$5:$M$24,11,0)+SUMIF($C$25:$C1573,$C1573,$K$25:$K1573)-SUMIF($C$25:$C1573,$C1573,$L$25:$L1573),"")</f>
        <v/>
      </c>
      <c r="N1573" s="10"/>
      <c r="O1573" s="10"/>
      <c r="P1573" s="65"/>
      <c r="Q1573" s="10"/>
      <c r="R1573" s="10"/>
      <c r="S1573" s="54" t="str">
        <f t="shared" si="78"/>
        <v/>
      </c>
      <c r="T1573" s="54" t="str">
        <f t="shared" si="79"/>
        <v/>
      </c>
      <c r="U1573" s="58" t="str">
        <f t="shared" si="80"/>
        <v/>
      </c>
      <c r="V1573" s="58">
        <f>IF(AND($B1573&lt;&gt;"",$F1573&lt;&gt;"",$F1573=项目明细账!$C$2),N(V1572)+1,N(V1572))</f>
        <v>0</v>
      </c>
      <c r="W1573" s="63" t="str">
        <f>IF($H1573&lt;&gt;"","项目成本",IFERROR(INDEX(基础资料!$W$4:$W$49,MATCH($I1573,基础资料!$V$4:$V$49,0)),""))</f>
        <v/>
      </c>
      <c r="X1573" s="63" t="str">
        <f>IFERROR(INDEX(基础资料!$R$4:$R$17,MATCH($G1573,基础资料!$Q$4:$Q$17,0)),"")</f>
        <v/>
      </c>
    </row>
    <row r="1574" spans="1:24">
      <c r="A1574" s="58" t="str">
        <f>IF($B1574="","",COUNTA($B$5:$B1574))</f>
        <v/>
      </c>
      <c r="B1574" s="53"/>
      <c r="C1574" s="46"/>
      <c r="D1574" s="63" t="str">
        <f>IFERROR(INDEX(基础资料!$F$4:$F$23,MATCH($C1574,基础资料!$E$4:$E$23,0)),IF($C1574="","","未匹配账户"))</f>
        <v/>
      </c>
      <c r="E1574" s="39"/>
      <c r="F1574" s="10"/>
      <c r="G1574" s="10"/>
      <c r="H1574" s="10"/>
      <c r="I1574" s="10"/>
      <c r="J1574" s="10"/>
      <c r="K1574" s="25"/>
      <c r="L1574" s="25"/>
      <c r="M1574" s="25" t="str">
        <f>IFERROR(VLOOKUP($C1574,$C$5:$M$24,11,0)+SUMIF($C$25:$C1574,$C1574,$K$25:$K1574)-SUMIF($C$25:$C1574,$C1574,$L$25:$L1574),"")</f>
        <v/>
      </c>
      <c r="N1574" s="10"/>
      <c r="O1574" s="10"/>
      <c r="P1574" s="65"/>
      <c r="Q1574" s="10"/>
      <c r="R1574" s="10"/>
      <c r="S1574" s="54" t="str">
        <f t="shared" si="78"/>
        <v/>
      </c>
      <c r="T1574" s="54" t="str">
        <f t="shared" si="79"/>
        <v/>
      </c>
      <c r="U1574" s="58" t="str">
        <f t="shared" si="80"/>
        <v/>
      </c>
      <c r="V1574" s="58">
        <f>IF(AND($B1574&lt;&gt;"",$F1574&lt;&gt;"",$F1574=项目明细账!$C$2),N(V1573)+1,N(V1573))</f>
        <v>0</v>
      </c>
      <c r="W1574" s="63" t="str">
        <f>IF($H1574&lt;&gt;"","项目成本",IFERROR(INDEX(基础资料!$W$4:$W$49,MATCH($I1574,基础资料!$V$4:$V$49,0)),""))</f>
        <v/>
      </c>
      <c r="X1574" s="63" t="str">
        <f>IFERROR(INDEX(基础资料!$R$4:$R$17,MATCH($G1574,基础资料!$Q$4:$Q$17,0)),"")</f>
        <v/>
      </c>
    </row>
    <row r="1575" spans="1:24">
      <c r="A1575" s="58" t="str">
        <f>IF($B1575="","",COUNTA($B$5:$B1575))</f>
        <v/>
      </c>
      <c r="B1575" s="53"/>
      <c r="C1575" s="46"/>
      <c r="D1575" s="63" t="str">
        <f>IFERROR(INDEX(基础资料!$F$4:$F$23,MATCH($C1575,基础资料!$E$4:$E$23,0)),IF($C1575="","","未匹配账户"))</f>
        <v/>
      </c>
      <c r="E1575" s="39"/>
      <c r="F1575" s="10"/>
      <c r="G1575" s="10"/>
      <c r="H1575" s="10"/>
      <c r="I1575" s="10"/>
      <c r="J1575" s="10"/>
      <c r="K1575" s="25"/>
      <c r="L1575" s="25"/>
      <c r="M1575" s="25" t="str">
        <f>IFERROR(VLOOKUP($C1575,$C$5:$M$24,11,0)+SUMIF($C$25:$C1575,$C1575,$K$25:$K1575)-SUMIF($C$25:$C1575,$C1575,$L$25:$L1575),"")</f>
        <v/>
      </c>
      <c r="N1575" s="10"/>
      <c r="O1575" s="10"/>
      <c r="P1575" s="65"/>
      <c r="Q1575" s="10"/>
      <c r="R1575" s="10"/>
      <c r="S1575" s="54" t="str">
        <f t="shared" si="78"/>
        <v/>
      </c>
      <c r="T1575" s="54" t="str">
        <f t="shared" si="79"/>
        <v/>
      </c>
      <c r="U1575" s="58" t="str">
        <f t="shared" si="80"/>
        <v/>
      </c>
      <c r="V1575" s="58">
        <f>IF(AND($B1575&lt;&gt;"",$F1575&lt;&gt;"",$F1575=项目明细账!$C$2),N(V1574)+1,N(V1574))</f>
        <v>0</v>
      </c>
      <c r="W1575" s="63" t="str">
        <f>IF($H1575&lt;&gt;"","项目成本",IFERROR(INDEX(基础资料!$W$4:$W$49,MATCH($I1575,基础资料!$V$4:$V$49,0)),""))</f>
        <v/>
      </c>
      <c r="X1575" s="63" t="str">
        <f>IFERROR(INDEX(基础资料!$R$4:$R$17,MATCH($G1575,基础资料!$Q$4:$Q$17,0)),"")</f>
        <v/>
      </c>
    </row>
    <row r="1576" spans="1:24">
      <c r="A1576" s="58" t="str">
        <f>IF($B1576="","",COUNTA($B$5:$B1576))</f>
        <v/>
      </c>
      <c r="B1576" s="53"/>
      <c r="C1576" s="46"/>
      <c r="D1576" s="63" t="str">
        <f>IFERROR(INDEX(基础资料!$F$4:$F$23,MATCH($C1576,基础资料!$E$4:$E$23,0)),IF($C1576="","","未匹配账户"))</f>
        <v/>
      </c>
      <c r="E1576" s="39"/>
      <c r="F1576" s="10"/>
      <c r="G1576" s="10"/>
      <c r="H1576" s="10"/>
      <c r="I1576" s="10"/>
      <c r="J1576" s="10"/>
      <c r="K1576" s="25"/>
      <c r="L1576" s="25"/>
      <c r="M1576" s="25" t="str">
        <f>IFERROR(VLOOKUP($C1576,$C$5:$M$24,11,0)+SUMIF($C$25:$C1576,$C1576,$K$25:$K1576)-SUMIF($C$25:$C1576,$C1576,$L$25:$L1576),"")</f>
        <v/>
      </c>
      <c r="N1576" s="10"/>
      <c r="O1576" s="10"/>
      <c r="P1576" s="65"/>
      <c r="Q1576" s="10"/>
      <c r="R1576" s="10"/>
      <c r="S1576" s="54" t="str">
        <f t="shared" si="78"/>
        <v/>
      </c>
      <c r="T1576" s="54" t="str">
        <f t="shared" si="79"/>
        <v/>
      </c>
      <c r="U1576" s="58" t="str">
        <f t="shared" si="80"/>
        <v/>
      </c>
      <c r="V1576" s="58">
        <f>IF(AND($B1576&lt;&gt;"",$F1576&lt;&gt;"",$F1576=项目明细账!$C$2),N(V1575)+1,N(V1575))</f>
        <v>0</v>
      </c>
      <c r="W1576" s="63" t="str">
        <f>IF($H1576&lt;&gt;"","项目成本",IFERROR(INDEX(基础资料!$W$4:$W$49,MATCH($I1576,基础资料!$V$4:$V$49,0)),""))</f>
        <v/>
      </c>
      <c r="X1576" s="63" t="str">
        <f>IFERROR(INDEX(基础资料!$R$4:$R$17,MATCH($G1576,基础资料!$Q$4:$Q$17,0)),"")</f>
        <v/>
      </c>
    </row>
    <row r="1577" spans="1:24">
      <c r="A1577" s="58" t="str">
        <f>IF($B1577="","",COUNTA($B$5:$B1577))</f>
        <v/>
      </c>
      <c r="B1577" s="53"/>
      <c r="C1577" s="46"/>
      <c r="D1577" s="63" t="str">
        <f>IFERROR(INDEX(基础资料!$F$4:$F$23,MATCH($C1577,基础资料!$E$4:$E$23,0)),IF($C1577="","","未匹配账户"))</f>
        <v/>
      </c>
      <c r="E1577" s="39"/>
      <c r="F1577" s="10"/>
      <c r="G1577" s="10"/>
      <c r="H1577" s="10"/>
      <c r="I1577" s="10"/>
      <c r="J1577" s="10"/>
      <c r="K1577" s="25"/>
      <c r="L1577" s="25"/>
      <c r="M1577" s="25" t="str">
        <f>IFERROR(VLOOKUP($C1577,$C$5:$M$24,11,0)+SUMIF($C$25:$C1577,$C1577,$K$25:$K1577)-SUMIF($C$25:$C1577,$C1577,$L$25:$L1577),"")</f>
        <v/>
      </c>
      <c r="N1577" s="10"/>
      <c r="O1577" s="10"/>
      <c r="P1577" s="65"/>
      <c r="Q1577" s="10"/>
      <c r="R1577" s="10"/>
      <c r="S1577" s="54" t="str">
        <f t="shared" si="78"/>
        <v/>
      </c>
      <c r="T1577" s="54" t="str">
        <f t="shared" si="79"/>
        <v/>
      </c>
      <c r="U1577" s="58" t="str">
        <f t="shared" si="80"/>
        <v/>
      </c>
      <c r="V1577" s="58">
        <f>IF(AND($B1577&lt;&gt;"",$F1577&lt;&gt;"",$F1577=项目明细账!$C$2),N(V1576)+1,N(V1576))</f>
        <v>0</v>
      </c>
      <c r="W1577" s="63" t="str">
        <f>IF($H1577&lt;&gt;"","项目成本",IFERROR(INDEX(基础资料!$W$4:$W$49,MATCH($I1577,基础资料!$V$4:$V$49,0)),""))</f>
        <v/>
      </c>
      <c r="X1577" s="63" t="str">
        <f>IFERROR(INDEX(基础资料!$R$4:$R$17,MATCH($G1577,基础资料!$Q$4:$Q$17,0)),"")</f>
        <v/>
      </c>
    </row>
    <row r="1578" spans="1:24">
      <c r="A1578" s="58" t="str">
        <f>IF($B1578="","",COUNTA($B$5:$B1578))</f>
        <v/>
      </c>
      <c r="B1578" s="53"/>
      <c r="C1578" s="46"/>
      <c r="D1578" s="63" t="str">
        <f>IFERROR(INDEX(基础资料!$F$4:$F$23,MATCH($C1578,基础资料!$E$4:$E$23,0)),IF($C1578="","","未匹配账户"))</f>
        <v/>
      </c>
      <c r="E1578" s="39"/>
      <c r="F1578" s="10"/>
      <c r="G1578" s="10"/>
      <c r="H1578" s="10"/>
      <c r="I1578" s="10"/>
      <c r="J1578" s="10"/>
      <c r="K1578" s="25"/>
      <c r="L1578" s="25"/>
      <c r="M1578" s="25" t="str">
        <f>IFERROR(VLOOKUP($C1578,$C$5:$M$24,11,0)+SUMIF($C$25:$C1578,$C1578,$K$25:$K1578)-SUMIF($C$25:$C1578,$C1578,$L$25:$L1578),"")</f>
        <v/>
      </c>
      <c r="N1578" s="10"/>
      <c r="O1578" s="10"/>
      <c r="P1578" s="65"/>
      <c r="Q1578" s="10"/>
      <c r="R1578" s="10"/>
      <c r="S1578" s="54" t="str">
        <f t="shared" si="78"/>
        <v/>
      </c>
      <c r="T1578" s="54" t="str">
        <f t="shared" si="79"/>
        <v/>
      </c>
      <c r="U1578" s="58" t="str">
        <f t="shared" si="80"/>
        <v/>
      </c>
      <c r="V1578" s="58">
        <f>IF(AND($B1578&lt;&gt;"",$F1578&lt;&gt;"",$F1578=项目明细账!$C$2),N(V1577)+1,N(V1577))</f>
        <v>0</v>
      </c>
      <c r="W1578" s="63" t="str">
        <f>IF($H1578&lt;&gt;"","项目成本",IFERROR(INDEX(基础资料!$W$4:$W$49,MATCH($I1578,基础资料!$V$4:$V$49,0)),""))</f>
        <v/>
      </c>
      <c r="X1578" s="63" t="str">
        <f>IFERROR(INDEX(基础资料!$R$4:$R$17,MATCH($G1578,基础资料!$Q$4:$Q$17,0)),"")</f>
        <v/>
      </c>
    </row>
    <row r="1579" spans="1:24">
      <c r="A1579" s="58" t="str">
        <f>IF($B1579="","",COUNTA($B$5:$B1579))</f>
        <v/>
      </c>
      <c r="B1579" s="53"/>
      <c r="C1579" s="46"/>
      <c r="D1579" s="63" t="str">
        <f>IFERROR(INDEX(基础资料!$F$4:$F$23,MATCH($C1579,基础资料!$E$4:$E$23,0)),IF($C1579="","","未匹配账户"))</f>
        <v/>
      </c>
      <c r="E1579" s="39"/>
      <c r="F1579" s="10"/>
      <c r="G1579" s="10"/>
      <c r="H1579" s="10"/>
      <c r="I1579" s="10"/>
      <c r="J1579" s="10"/>
      <c r="K1579" s="25"/>
      <c r="L1579" s="25"/>
      <c r="M1579" s="25" t="str">
        <f>IFERROR(VLOOKUP($C1579,$C$5:$M$24,11,0)+SUMIF($C$25:$C1579,$C1579,$K$25:$K1579)-SUMIF($C$25:$C1579,$C1579,$L$25:$L1579),"")</f>
        <v/>
      </c>
      <c r="N1579" s="10"/>
      <c r="O1579" s="10"/>
      <c r="P1579" s="65"/>
      <c r="Q1579" s="10"/>
      <c r="R1579" s="10"/>
      <c r="S1579" s="54" t="str">
        <f t="shared" si="78"/>
        <v/>
      </c>
      <c r="T1579" s="54" t="str">
        <f t="shared" si="79"/>
        <v/>
      </c>
      <c r="U1579" s="58" t="str">
        <f t="shared" si="80"/>
        <v/>
      </c>
      <c r="V1579" s="58">
        <f>IF(AND($B1579&lt;&gt;"",$F1579&lt;&gt;"",$F1579=项目明细账!$C$2),N(V1578)+1,N(V1578))</f>
        <v>0</v>
      </c>
      <c r="W1579" s="63" t="str">
        <f>IF($H1579&lt;&gt;"","项目成本",IFERROR(INDEX(基础资料!$W$4:$W$49,MATCH($I1579,基础资料!$V$4:$V$49,0)),""))</f>
        <v/>
      </c>
      <c r="X1579" s="63" t="str">
        <f>IFERROR(INDEX(基础资料!$R$4:$R$17,MATCH($G1579,基础资料!$Q$4:$Q$17,0)),"")</f>
        <v/>
      </c>
    </row>
    <row r="1580" spans="1:24">
      <c r="A1580" s="58" t="str">
        <f>IF($B1580="","",COUNTA($B$5:$B1580))</f>
        <v/>
      </c>
      <c r="B1580" s="53"/>
      <c r="C1580" s="46"/>
      <c r="D1580" s="63" t="str">
        <f>IFERROR(INDEX(基础资料!$F$4:$F$23,MATCH($C1580,基础资料!$E$4:$E$23,0)),IF($C1580="","","未匹配账户"))</f>
        <v/>
      </c>
      <c r="E1580" s="39"/>
      <c r="F1580" s="10"/>
      <c r="G1580" s="10"/>
      <c r="H1580" s="10"/>
      <c r="I1580" s="10"/>
      <c r="J1580" s="10"/>
      <c r="K1580" s="25"/>
      <c r="L1580" s="25"/>
      <c r="M1580" s="25" t="str">
        <f>IFERROR(VLOOKUP($C1580,$C$5:$M$24,11,0)+SUMIF($C$25:$C1580,$C1580,$K$25:$K1580)-SUMIF($C$25:$C1580,$C1580,$L$25:$L1580),"")</f>
        <v/>
      </c>
      <c r="N1580" s="10"/>
      <c r="O1580" s="10"/>
      <c r="P1580" s="65"/>
      <c r="Q1580" s="10"/>
      <c r="R1580" s="10"/>
      <c r="S1580" s="54" t="str">
        <f t="shared" si="78"/>
        <v/>
      </c>
      <c r="T1580" s="54" t="str">
        <f t="shared" si="79"/>
        <v/>
      </c>
      <c r="U1580" s="58" t="str">
        <f t="shared" si="80"/>
        <v/>
      </c>
      <c r="V1580" s="58">
        <f>IF(AND($B1580&lt;&gt;"",$F1580&lt;&gt;"",$F1580=项目明细账!$C$2),N(V1579)+1,N(V1579))</f>
        <v>0</v>
      </c>
      <c r="W1580" s="63" t="str">
        <f>IF($H1580&lt;&gt;"","项目成本",IFERROR(INDEX(基础资料!$W$4:$W$49,MATCH($I1580,基础资料!$V$4:$V$49,0)),""))</f>
        <v/>
      </c>
      <c r="X1580" s="63" t="str">
        <f>IFERROR(INDEX(基础资料!$R$4:$R$17,MATCH($G1580,基础资料!$Q$4:$Q$17,0)),"")</f>
        <v/>
      </c>
    </row>
    <row r="1581" spans="1:24">
      <c r="A1581" s="58" t="str">
        <f>IF($B1581="","",COUNTA($B$5:$B1581))</f>
        <v/>
      </c>
      <c r="B1581" s="53"/>
      <c r="C1581" s="46"/>
      <c r="D1581" s="63" t="str">
        <f>IFERROR(INDEX(基础资料!$F$4:$F$23,MATCH($C1581,基础资料!$E$4:$E$23,0)),IF($C1581="","","未匹配账户"))</f>
        <v/>
      </c>
      <c r="E1581" s="39"/>
      <c r="F1581" s="10"/>
      <c r="G1581" s="10"/>
      <c r="H1581" s="10"/>
      <c r="I1581" s="10"/>
      <c r="J1581" s="10"/>
      <c r="K1581" s="25"/>
      <c r="L1581" s="25"/>
      <c r="M1581" s="25" t="str">
        <f>IFERROR(VLOOKUP($C1581,$C$5:$M$24,11,0)+SUMIF($C$25:$C1581,$C1581,$K$25:$K1581)-SUMIF($C$25:$C1581,$C1581,$L$25:$L1581),"")</f>
        <v/>
      </c>
      <c r="N1581" s="10"/>
      <c r="O1581" s="10"/>
      <c r="P1581" s="65"/>
      <c r="Q1581" s="10"/>
      <c r="R1581" s="10"/>
      <c r="S1581" s="54" t="str">
        <f t="shared" si="78"/>
        <v/>
      </c>
      <c r="T1581" s="54" t="str">
        <f t="shared" si="79"/>
        <v/>
      </c>
      <c r="U1581" s="58" t="str">
        <f t="shared" si="80"/>
        <v/>
      </c>
      <c r="V1581" s="58">
        <f>IF(AND($B1581&lt;&gt;"",$F1581&lt;&gt;"",$F1581=项目明细账!$C$2),N(V1580)+1,N(V1580))</f>
        <v>0</v>
      </c>
      <c r="W1581" s="63" t="str">
        <f>IF($H1581&lt;&gt;"","项目成本",IFERROR(INDEX(基础资料!$W$4:$W$49,MATCH($I1581,基础资料!$V$4:$V$49,0)),""))</f>
        <v/>
      </c>
      <c r="X1581" s="63" t="str">
        <f>IFERROR(INDEX(基础资料!$R$4:$R$17,MATCH($G1581,基础资料!$Q$4:$Q$17,0)),"")</f>
        <v/>
      </c>
    </row>
    <row r="1582" spans="1:24">
      <c r="A1582" s="58" t="str">
        <f>IF($B1582="","",COUNTA($B$5:$B1582))</f>
        <v/>
      </c>
      <c r="B1582" s="53"/>
      <c r="C1582" s="46"/>
      <c r="D1582" s="63" t="str">
        <f>IFERROR(INDEX(基础资料!$F$4:$F$23,MATCH($C1582,基础资料!$E$4:$E$23,0)),IF($C1582="","","未匹配账户"))</f>
        <v/>
      </c>
      <c r="E1582" s="39"/>
      <c r="F1582" s="10"/>
      <c r="G1582" s="10"/>
      <c r="H1582" s="10"/>
      <c r="I1582" s="10"/>
      <c r="J1582" s="10"/>
      <c r="K1582" s="25"/>
      <c r="L1582" s="25"/>
      <c r="M1582" s="25" t="str">
        <f>IFERROR(VLOOKUP($C1582,$C$5:$M$24,11,0)+SUMIF($C$25:$C1582,$C1582,$K$25:$K1582)-SUMIF($C$25:$C1582,$C1582,$L$25:$L1582),"")</f>
        <v/>
      </c>
      <c r="N1582" s="10"/>
      <c r="O1582" s="10"/>
      <c r="P1582" s="65"/>
      <c r="Q1582" s="10"/>
      <c r="R1582" s="10"/>
      <c r="S1582" s="54" t="str">
        <f t="shared" si="78"/>
        <v/>
      </c>
      <c r="T1582" s="54" t="str">
        <f t="shared" si="79"/>
        <v/>
      </c>
      <c r="U1582" s="58" t="str">
        <f t="shared" si="80"/>
        <v/>
      </c>
      <c r="V1582" s="58">
        <f>IF(AND($B1582&lt;&gt;"",$F1582&lt;&gt;"",$F1582=项目明细账!$C$2),N(V1581)+1,N(V1581))</f>
        <v>0</v>
      </c>
      <c r="W1582" s="63" t="str">
        <f>IF($H1582&lt;&gt;"","项目成本",IFERROR(INDEX(基础资料!$W$4:$W$49,MATCH($I1582,基础资料!$V$4:$V$49,0)),""))</f>
        <v/>
      </c>
      <c r="X1582" s="63" t="str">
        <f>IFERROR(INDEX(基础资料!$R$4:$R$17,MATCH($G1582,基础资料!$Q$4:$Q$17,0)),"")</f>
        <v/>
      </c>
    </row>
    <row r="1583" spans="1:24">
      <c r="A1583" s="58" t="str">
        <f>IF($B1583="","",COUNTA($B$5:$B1583))</f>
        <v/>
      </c>
      <c r="B1583" s="53"/>
      <c r="C1583" s="46"/>
      <c r="D1583" s="63" t="str">
        <f>IFERROR(INDEX(基础资料!$F$4:$F$23,MATCH($C1583,基础资料!$E$4:$E$23,0)),IF($C1583="","","未匹配账户"))</f>
        <v/>
      </c>
      <c r="E1583" s="39"/>
      <c r="F1583" s="10"/>
      <c r="G1583" s="10"/>
      <c r="H1583" s="10"/>
      <c r="I1583" s="10"/>
      <c r="J1583" s="10"/>
      <c r="K1583" s="25"/>
      <c r="L1583" s="25"/>
      <c r="M1583" s="25" t="str">
        <f>IFERROR(VLOOKUP($C1583,$C$5:$M$24,11,0)+SUMIF($C$25:$C1583,$C1583,$K$25:$K1583)-SUMIF($C$25:$C1583,$C1583,$L$25:$L1583),"")</f>
        <v/>
      </c>
      <c r="N1583" s="10"/>
      <c r="O1583" s="10"/>
      <c r="P1583" s="65"/>
      <c r="Q1583" s="10"/>
      <c r="R1583" s="10"/>
      <c r="S1583" s="54" t="str">
        <f t="shared" si="78"/>
        <v/>
      </c>
      <c r="T1583" s="54" t="str">
        <f t="shared" si="79"/>
        <v/>
      </c>
      <c r="U1583" s="58" t="str">
        <f t="shared" si="80"/>
        <v/>
      </c>
      <c r="V1583" s="58">
        <f>IF(AND($B1583&lt;&gt;"",$F1583&lt;&gt;"",$F1583=项目明细账!$C$2),N(V1582)+1,N(V1582))</f>
        <v>0</v>
      </c>
      <c r="W1583" s="63" t="str">
        <f>IF($H1583&lt;&gt;"","项目成本",IFERROR(INDEX(基础资料!$W$4:$W$49,MATCH($I1583,基础资料!$V$4:$V$49,0)),""))</f>
        <v/>
      </c>
      <c r="X1583" s="63" t="str">
        <f>IFERROR(INDEX(基础资料!$R$4:$R$17,MATCH($G1583,基础资料!$Q$4:$Q$17,0)),"")</f>
        <v/>
      </c>
    </row>
    <row r="1584" spans="1:24">
      <c r="A1584" s="58" t="str">
        <f>IF($B1584="","",COUNTA($B$5:$B1584))</f>
        <v/>
      </c>
      <c r="B1584" s="53"/>
      <c r="C1584" s="46"/>
      <c r="D1584" s="63" t="str">
        <f>IFERROR(INDEX(基础资料!$F$4:$F$23,MATCH($C1584,基础资料!$E$4:$E$23,0)),IF($C1584="","","未匹配账户"))</f>
        <v/>
      </c>
      <c r="E1584" s="39"/>
      <c r="F1584" s="10"/>
      <c r="G1584" s="10"/>
      <c r="H1584" s="10"/>
      <c r="I1584" s="10"/>
      <c r="J1584" s="10"/>
      <c r="K1584" s="25"/>
      <c r="L1584" s="25"/>
      <c r="M1584" s="25" t="str">
        <f>IFERROR(VLOOKUP($C1584,$C$5:$M$24,11,0)+SUMIF($C$25:$C1584,$C1584,$K$25:$K1584)-SUMIF($C$25:$C1584,$C1584,$L$25:$L1584),"")</f>
        <v/>
      </c>
      <c r="N1584" s="10"/>
      <c r="O1584" s="10"/>
      <c r="P1584" s="65"/>
      <c r="Q1584" s="10"/>
      <c r="R1584" s="10"/>
      <c r="S1584" s="54" t="str">
        <f t="shared" si="78"/>
        <v/>
      </c>
      <c r="T1584" s="54" t="str">
        <f t="shared" si="79"/>
        <v/>
      </c>
      <c r="U1584" s="58" t="str">
        <f t="shared" si="80"/>
        <v/>
      </c>
      <c r="V1584" s="58">
        <f>IF(AND($B1584&lt;&gt;"",$F1584&lt;&gt;"",$F1584=项目明细账!$C$2),N(V1583)+1,N(V1583))</f>
        <v>0</v>
      </c>
      <c r="W1584" s="63" t="str">
        <f>IF($H1584&lt;&gt;"","项目成本",IFERROR(INDEX(基础资料!$W$4:$W$49,MATCH($I1584,基础资料!$V$4:$V$49,0)),""))</f>
        <v/>
      </c>
      <c r="X1584" s="63" t="str">
        <f>IFERROR(INDEX(基础资料!$R$4:$R$17,MATCH($G1584,基础资料!$Q$4:$Q$17,0)),"")</f>
        <v/>
      </c>
    </row>
    <row r="1585" spans="1:24">
      <c r="A1585" s="58" t="str">
        <f>IF($B1585="","",COUNTA($B$5:$B1585))</f>
        <v/>
      </c>
      <c r="B1585" s="53"/>
      <c r="C1585" s="46"/>
      <c r="D1585" s="63" t="str">
        <f>IFERROR(INDEX(基础资料!$F$4:$F$23,MATCH($C1585,基础资料!$E$4:$E$23,0)),IF($C1585="","","未匹配账户"))</f>
        <v/>
      </c>
      <c r="E1585" s="39"/>
      <c r="F1585" s="10"/>
      <c r="G1585" s="10"/>
      <c r="H1585" s="10"/>
      <c r="I1585" s="10"/>
      <c r="J1585" s="10"/>
      <c r="K1585" s="25"/>
      <c r="L1585" s="25"/>
      <c r="M1585" s="25" t="str">
        <f>IFERROR(VLOOKUP($C1585,$C$5:$M$24,11,0)+SUMIF($C$25:$C1585,$C1585,$K$25:$K1585)-SUMIF($C$25:$C1585,$C1585,$L$25:$L1585),"")</f>
        <v/>
      </c>
      <c r="N1585" s="10"/>
      <c r="O1585" s="10"/>
      <c r="P1585" s="65"/>
      <c r="Q1585" s="10"/>
      <c r="R1585" s="10"/>
      <c r="S1585" s="54" t="str">
        <f t="shared" si="78"/>
        <v/>
      </c>
      <c r="T1585" s="54" t="str">
        <f t="shared" si="79"/>
        <v/>
      </c>
      <c r="U1585" s="58" t="str">
        <f t="shared" si="80"/>
        <v/>
      </c>
      <c r="V1585" s="58">
        <f>IF(AND($B1585&lt;&gt;"",$F1585&lt;&gt;"",$F1585=项目明细账!$C$2),N(V1584)+1,N(V1584))</f>
        <v>0</v>
      </c>
      <c r="W1585" s="63" t="str">
        <f>IF($H1585&lt;&gt;"","项目成本",IFERROR(INDEX(基础资料!$W$4:$W$49,MATCH($I1585,基础资料!$V$4:$V$49,0)),""))</f>
        <v/>
      </c>
      <c r="X1585" s="63" t="str">
        <f>IFERROR(INDEX(基础资料!$R$4:$R$17,MATCH($G1585,基础资料!$Q$4:$Q$17,0)),"")</f>
        <v/>
      </c>
    </row>
    <row r="1586" spans="1:24">
      <c r="A1586" s="58" t="str">
        <f>IF($B1586="","",COUNTA($B$5:$B1586))</f>
        <v/>
      </c>
      <c r="B1586" s="53"/>
      <c r="C1586" s="46"/>
      <c r="D1586" s="63" t="str">
        <f>IFERROR(INDEX(基础资料!$F$4:$F$23,MATCH($C1586,基础资料!$E$4:$E$23,0)),IF($C1586="","","未匹配账户"))</f>
        <v/>
      </c>
      <c r="E1586" s="39"/>
      <c r="F1586" s="10"/>
      <c r="G1586" s="10"/>
      <c r="H1586" s="10"/>
      <c r="I1586" s="10"/>
      <c r="J1586" s="10"/>
      <c r="K1586" s="25"/>
      <c r="L1586" s="25"/>
      <c r="M1586" s="25" t="str">
        <f>IFERROR(VLOOKUP($C1586,$C$5:$M$24,11,0)+SUMIF($C$25:$C1586,$C1586,$K$25:$K1586)-SUMIF($C$25:$C1586,$C1586,$L$25:$L1586),"")</f>
        <v/>
      </c>
      <c r="N1586" s="10"/>
      <c r="O1586" s="10"/>
      <c r="P1586" s="65"/>
      <c r="Q1586" s="10"/>
      <c r="R1586" s="10"/>
      <c r="S1586" s="54" t="str">
        <f t="shared" si="78"/>
        <v/>
      </c>
      <c r="T1586" s="54" t="str">
        <f t="shared" si="79"/>
        <v/>
      </c>
      <c r="U1586" s="58" t="str">
        <f t="shared" si="80"/>
        <v/>
      </c>
      <c r="V1586" s="58">
        <f>IF(AND($B1586&lt;&gt;"",$F1586&lt;&gt;"",$F1586=项目明细账!$C$2),N(V1585)+1,N(V1585))</f>
        <v>0</v>
      </c>
      <c r="W1586" s="63" t="str">
        <f>IF($H1586&lt;&gt;"","项目成本",IFERROR(INDEX(基础资料!$W$4:$W$49,MATCH($I1586,基础资料!$V$4:$V$49,0)),""))</f>
        <v/>
      </c>
      <c r="X1586" s="63" t="str">
        <f>IFERROR(INDEX(基础资料!$R$4:$R$17,MATCH($G1586,基础资料!$Q$4:$Q$17,0)),"")</f>
        <v/>
      </c>
    </row>
    <row r="1587" spans="1:24">
      <c r="A1587" s="58" t="str">
        <f>IF($B1587="","",COUNTA($B$5:$B1587))</f>
        <v/>
      </c>
      <c r="B1587" s="53"/>
      <c r="C1587" s="46"/>
      <c r="D1587" s="63" t="str">
        <f>IFERROR(INDEX(基础资料!$F$4:$F$23,MATCH($C1587,基础资料!$E$4:$E$23,0)),IF($C1587="","","未匹配账户"))</f>
        <v/>
      </c>
      <c r="E1587" s="39"/>
      <c r="F1587" s="10"/>
      <c r="G1587" s="10"/>
      <c r="H1587" s="10"/>
      <c r="I1587" s="10"/>
      <c r="J1587" s="10"/>
      <c r="K1587" s="25"/>
      <c r="L1587" s="25"/>
      <c r="M1587" s="25" t="str">
        <f>IFERROR(VLOOKUP($C1587,$C$5:$M$24,11,0)+SUMIF($C$25:$C1587,$C1587,$K$25:$K1587)-SUMIF($C$25:$C1587,$C1587,$L$25:$L1587),"")</f>
        <v/>
      </c>
      <c r="N1587" s="10"/>
      <c r="O1587" s="10"/>
      <c r="P1587" s="65"/>
      <c r="Q1587" s="10"/>
      <c r="R1587" s="10"/>
      <c r="S1587" s="54" t="str">
        <f t="shared" si="78"/>
        <v/>
      </c>
      <c r="T1587" s="54" t="str">
        <f t="shared" si="79"/>
        <v/>
      </c>
      <c r="U1587" s="58" t="str">
        <f t="shared" si="80"/>
        <v/>
      </c>
      <c r="V1587" s="58">
        <f>IF(AND($B1587&lt;&gt;"",$F1587&lt;&gt;"",$F1587=项目明细账!$C$2),N(V1586)+1,N(V1586))</f>
        <v>0</v>
      </c>
      <c r="W1587" s="63" t="str">
        <f>IF($H1587&lt;&gt;"","项目成本",IFERROR(INDEX(基础资料!$W$4:$W$49,MATCH($I1587,基础资料!$V$4:$V$49,0)),""))</f>
        <v/>
      </c>
      <c r="X1587" s="63" t="str">
        <f>IFERROR(INDEX(基础资料!$R$4:$R$17,MATCH($G1587,基础资料!$Q$4:$Q$17,0)),"")</f>
        <v/>
      </c>
    </row>
    <row r="1588" spans="1:24">
      <c r="A1588" s="58" t="str">
        <f>IF($B1588="","",COUNTA($B$5:$B1588))</f>
        <v/>
      </c>
      <c r="B1588" s="53"/>
      <c r="C1588" s="46"/>
      <c r="D1588" s="63" t="str">
        <f>IFERROR(INDEX(基础资料!$F$4:$F$23,MATCH($C1588,基础资料!$E$4:$E$23,0)),IF($C1588="","","未匹配账户"))</f>
        <v/>
      </c>
      <c r="E1588" s="39"/>
      <c r="F1588" s="10"/>
      <c r="G1588" s="10"/>
      <c r="H1588" s="10"/>
      <c r="I1588" s="10"/>
      <c r="J1588" s="10"/>
      <c r="K1588" s="25"/>
      <c r="L1588" s="25"/>
      <c r="M1588" s="25" t="str">
        <f>IFERROR(VLOOKUP($C1588,$C$5:$M$24,11,0)+SUMIF($C$25:$C1588,$C1588,$K$25:$K1588)-SUMIF($C$25:$C1588,$C1588,$L$25:$L1588),"")</f>
        <v/>
      </c>
      <c r="N1588" s="10"/>
      <c r="O1588" s="10"/>
      <c r="P1588" s="65"/>
      <c r="Q1588" s="10"/>
      <c r="R1588" s="10"/>
      <c r="S1588" s="54" t="str">
        <f t="shared" si="78"/>
        <v/>
      </c>
      <c r="T1588" s="54" t="str">
        <f t="shared" si="79"/>
        <v/>
      </c>
      <c r="U1588" s="58" t="str">
        <f t="shared" si="80"/>
        <v/>
      </c>
      <c r="V1588" s="58">
        <f>IF(AND($B1588&lt;&gt;"",$F1588&lt;&gt;"",$F1588=项目明细账!$C$2),N(V1587)+1,N(V1587))</f>
        <v>0</v>
      </c>
      <c r="W1588" s="63" t="str">
        <f>IF($H1588&lt;&gt;"","项目成本",IFERROR(INDEX(基础资料!$W$4:$W$49,MATCH($I1588,基础资料!$V$4:$V$49,0)),""))</f>
        <v/>
      </c>
      <c r="X1588" s="63" t="str">
        <f>IFERROR(INDEX(基础资料!$R$4:$R$17,MATCH($G1588,基础资料!$Q$4:$Q$17,0)),"")</f>
        <v/>
      </c>
    </row>
    <row r="1589" spans="1:24">
      <c r="A1589" s="58" t="str">
        <f>IF($B1589="","",COUNTA($B$5:$B1589))</f>
        <v/>
      </c>
      <c r="B1589" s="53"/>
      <c r="C1589" s="46"/>
      <c r="D1589" s="63" t="str">
        <f>IFERROR(INDEX(基础资料!$F$4:$F$23,MATCH($C1589,基础资料!$E$4:$E$23,0)),IF($C1589="","","未匹配账户"))</f>
        <v/>
      </c>
      <c r="E1589" s="39"/>
      <c r="F1589" s="10"/>
      <c r="G1589" s="10"/>
      <c r="H1589" s="10"/>
      <c r="I1589" s="10"/>
      <c r="J1589" s="10"/>
      <c r="K1589" s="25"/>
      <c r="L1589" s="25"/>
      <c r="M1589" s="25" t="str">
        <f>IFERROR(VLOOKUP($C1589,$C$5:$M$24,11,0)+SUMIF($C$25:$C1589,$C1589,$K$25:$K1589)-SUMIF($C$25:$C1589,$C1589,$L$25:$L1589),"")</f>
        <v/>
      </c>
      <c r="N1589" s="10"/>
      <c r="O1589" s="10"/>
      <c r="P1589" s="65"/>
      <c r="Q1589" s="10"/>
      <c r="R1589" s="10"/>
      <c r="S1589" s="54" t="str">
        <f t="shared" si="78"/>
        <v/>
      </c>
      <c r="T1589" s="54" t="str">
        <f t="shared" si="79"/>
        <v/>
      </c>
      <c r="U1589" s="58" t="str">
        <f t="shared" si="80"/>
        <v/>
      </c>
      <c r="V1589" s="58">
        <f>IF(AND($B1589&lt;&gt;"",$F1589&lt;&gt;"",$F1589=项目明细账!$C$2),N(V1588)+1,N(V1588))</f>
        <v>0</v>
      </c>
      <c r="W1589" s="63" t="str">
        <f>IF($H1589&lt;&gt;"","项目成本",IFERROR(INDEX(基础资料!$W$4:$W$49,MATCH($I1589,基础资料!$V$4:$V$49,0)),""))</f>
        <v/>
      </c>
      <c r="X1589" s="63" t="str">
        <f>IFERROR(INDEX(基础资料!$R$4:$R$17,MATCH($G1589,基础资料!$Q$4:$Q$17,0)),"")</f>
        <v/>
      </c>
    </row>
    <row r="1590" spans="1:24">
      <c r="A1590" s="58" t="str">
        <f>IF($B1590="","",COUNTA($B$5:$B1590))</f>
        <v/>
      </c>
      <c r="B1590" s="53"/>
      <c r="C1590" s="46"/>
      <c r="D1590" s="63" t="str">
        <f>IFERROR(INDEX(基础资料!$F$4:$F$23,MATCH($C1590,基础资料!$E$4:$E$23,0)),IF($C1590="","","未匹配账户"))</f>
        <v/>
      </c>
      <c r="E1590" s="39"/>
      <c r="F1590" s="10"/>
      <c r="G1590" s="10"/>
      <c r="H1590" s="10"/>
      <c r="I1590" s="10"/>
      <c r="J1590" s="10"/>
      <c r="K1590" s="25"/>
      <c r="L1590" s="25"/>
      <c r="M1590" s="25" t="str">
        <f>IFERROR(VLOOKUP($C1590,$C$5:$M$24,11,0)+SUMIF($C$25:$C1590,$C1590,$K$25:$K1590)-SUMIF($C$25:$C1590,$C1590,$L$25:$L1590),"")</f>
        <v/>
      </c>
      <c r="N1590" s="10"/>
      <c r="O1590" s="10"/>
      <c r="P1590" s="65"/>
      <c r="Q1590" s="10"/>
      <c r="R1590" s="10"/>
      <c r="S1590" s="54" t="str">
        <f t="shared" si="78"/>
        <v/>
      </c>
      <c r="T1590" s="54" t="str">
        <f t="shared" si="79"/>
        <v/>
      </c>
      <c r="U1590" s="58" t="str">
        <f t="shared" si="80"/>
        <v/>
      </c>
      <c r="V1590" s="58">
        <f>IF(AND($B1590&lt;&gt;"",$F1590&lt;&gt;"",$F1590=项目明细账!$C$2),N(V1589)+1,N(V1589))</f>
        <v>0</v>
      </c>
      <c r="W1590" s="63" t="str">
        <f>IF($H1590&lt;&gt;"","项目成本",IFERROR(INDEX(基础资料!$W$4:$W$49,MATCH($I1590,基础资料!$V$4:$V$49,0)),""))</f>
        <v/>
      </c>
      <c r="X1590" s="63" t="str">
        <f>IFERROR(INDEX(基础资料!$R$4:$R$17,MATCH($G1590,基础资料!$Q$4:$Q$17,0)),"")</f>
        <v/>
      </c>
    </row>
    <row r="1591" spans="1:24">
      <c r="A1591" s="58" t="str">
        <f>IF($B1591="","",COUNTA($B$5:$B1591))</f>
        <v/>
      </c>
      <c r="B1591" s="53"/>
      <c r="C1591" s="46"/>
      <c r="D1591" s="63" t="str">
        <f>IFERROR(INDEX(基础资料!$F$4:$F$23,MATCH($C1591,基础资料!$E$4:$E$23,0)),IF($C1591="","","未匹配账户"))</f>
        <v/>
      </c>
      <c r="E1591" s="39"/>
      <c r="F1591" s="10"/>
      <c r="G1591" s="10"/>
      <c r="H1591" s="10"/>
      <c r="I1591" s="10"/>
      <c r="J1591" s="10"/>
      <c r="K1591" s="25"/>
      <c r="L1591" s="25"/>
      <c r="M1591" s="25" t="str">
        <f>IFERROR(VLOOKUP($C1591,$C$5:$M$24,11,0)+SUMIF($C$25:$C1591,$C1591,$K$25:$K1591)-SUMIF($C$25:$C1591,$C1591,$L$25:$L1591),"")</f>
        <v/>
      </c>
      <c r="N1591" s="10"/>
      <c r="O1591" s="10"/>
      <c r="P1591" s="65"/>
      <c r="Q1591" s="10"/>
      <c r="R1591" s="10"/>
      <c r="S1591" s="54" t="str">
        <f t="shared" si="78"/>
        <v/>
      </c>
      <c r="T1591" s="54" t="str">
        <f t="shared" si="79"/>
        <v/>
      </c>
      <c r="U1591" s="58" t="str">
        <f t="shared" si="80"/>
        <v/>
      </c>
      <c r="V1591" s="58">
        <f>IF(AND($B1591&lt;&gt;"",$F1591&lt;&gt;"",$F1591=项目明细账!$C$2),N(V1590)+1,N(V1590))</f>
        <v>0</v>
      </c>
      <c r="W1591" s="63" t="str">
        <f>IF($H1591&lt;&gt;"","项目成本",IFERROR(INDEX(基础资料!$W$4:$W$49,MATCH($I1591,基础资料!$V$4:$V$49,0)),""))</f>
        <v/>
      </c>
      <c r="X1591" s="63" t="str">
        <f>IFERROR(INDEX(基础资料!$R$4:$R$17,MATCH($G1591,基础资料!$Q$4:$Q$17,0)),"")</f>
        <v/>
      </c>
    </row>
    <row r="1592" spans="1:24">
      <c r="A1592" s="58" t="str">
        <f>IF($B1592="","",COUNTA($B$5:$B1592))</f>
        <v/>
      </c>
      <c r="B1592" s="53"/>
      <c r="C1592" s="46"/>
      <c r="D1592" s="63" t="str">
        <f>IFERROR(INDEX(基础资料!$F$4:$F$23,MATCH($C1592,基础资料!$E$4:$E$23,0)),IF($C1592="","","未匹配账户"))</f>
        <v/>
      </c>
      <c r="E1592" s="39"/>
      <c r="F1592" s="10"/>
      <c r="G1592" s="10"/>
      <c r="H1592" s="10"/>
      <c r="I1592" s="10"/>
      <c r="J1592" s="10"/>
      <c r="K1592" s="25"/>
      <c r="L1592" s="25"/>
      <c r="M1592" s="25" t="str">
        <f>IFERROR(VLOOKUP($C1592,$C$5:$M$24,11,0)+SUMIF($C$25:$C1592,$C1592,$K$25:$K1592)-SUMIF($C$25:$C1592,$C1592,$L$25:$L1592),"")</f>
        <v/>
      </c>
      <c r="N1592" s="10"/>
      <c r="O1592" s="10"/>
      <c r="P1592" s="65"/>
      <c r="Q1592" s="10"/>
      <c r="R1592" s="10"/>
      <c r="S1592" s="54" t="str">
        <f t="shared" si="78"/>
        <v/>
      </c>
      <c r="T1592" s="54" t="str">
        <f t="shared" si="79"/>
        <v/>
      </c>
      <c r="U1592" s="58" t="str">
        <f t="shared" si="80"/>
        <v/>
      </c>
      <c r="V1592" s="58">
        <f>IF(AND($B1592&lt;&gt;"",$F1592&lt;&gt;"",$F1592=项目明细账!$C$2),N(V1591)+1,N(V1591))</f>
        <v>0</v>
      </c>
      <c r="W1592" s="63" t="str">
        <f>IF($H1592&lt;&gt;"","项目成本",IFERROR(INDEX(基础资料!$W$4:$W$49,MATCH($I1592,基础资料!$V$4:$V$49,0)),""))</f>
        <v/>
      </c>
      <c r="X1592" s="63" t="str">
        <f>IFERROR(INDEX(基础资料!$R$4:$R$17,MATCH($G1592,基础资料!$Q$4:$Q$17,0)),"")</f>
        <v/>
      </c>
    </row>
    <row r="1593" spans="1:24">
      <c r="A1593" s="58" t="str">
        <f>IF($B1593="","",COUNTA($B$5:$B1593))</f>
        <v/>
      </c>
      <c r="B1593" s="53"/>
      <c r="C1593" s="46"/>
      <c r="D1593" s="63" t="str">
        <f>IFERROR(INDEX(基础资料!$F$4:$F$23,MATCH($C1593,基础资料!$E$4:$E$23,0)),IF($C1593="","","未匹配账户"))</f>
        <v/>
      </c>
      <c r="E1593" s="39"/>
      <c r="F1593" s="10"/>
      <c r="G1593" s="10"/>
      <c r="H1593" s="10"/>
      <c r="I1593" s="10"/>
      <c r="J1593" s="10"/>
      <c r="K1593" s="25"/>
      <c r="L1593" s="25"/>
      <c r="M1593" s="25" t="str">
        <f>IFERROR(VLOOKUP($C1593,$C$5:$M$24,11,0)+SUMIF($C$25:$C1593,$C1593,$K$25:$K1593)-SUMIF($C$25:$C1593,$C1593,$L$25:$L1593),"")</f>
        <v/>
      </c>
      <c r="N1593" s="10"/>
      <c r="O1593" s="10"/>
      <c r="P1593" s="65"/>
      <c r="Q1593" s="10"/>
      <c r="R1593" s="10"/>
      <c r="S1593" s="54" t="str">
        <f t="shared" si="78"/>
        <v/>
      </c>
      <c r="T1593" s="54" t="str">
        <f t="shared" si="79"/>
        <v/>
      </c>
      <c r="U1593" s="58" t="str">
        <f t="shared" si="80"/>
        <v/>
      </c>
      <c r="V1593" s="58">
        <f>IF(AND($B1593&lt;&gt;"",$F1593&lt;&gt;"",$F1593=项目明细账!$C$2),N(V1592)+1,N(V1592))</f>
        <v>0</v>
      </c>
      <c r="W1593" s="63" t="str">
        <f>IF($H1593&lt;&gt;"","项目成本",IFERROR(INDEX(基础资料!$W$4:$W$49,MATCH($I1593,基础资料!$V$4:$V$49,0)),""))</f>
        <v/>
      </c>
      <c r="X1593" s="63" t="str">
        <f>IFERROR(INDEX(基础资料!$R$4:$R$17,MATCH($G1593,基础资料!$Q$4:$Q$17,0)),"")</f>
        <v/>
      </c>
    </row>
    <row r="1594" spans="1:24">
      <c r="A1594" s="58" t="str">
        <f>IF($B1594="","",COUNTA($B$5:$B1594))</f>
        <v/>
      </c>
      <c r="B1594" s="53"/>
      <c r="C1594" s="46"/>
      <c r="D1594" s="63" t="str">
        <f>IFERROR(INDEX(基础资料!$F$4:$F$23,MATCH($C1594,基础资料!$E$4:$E$23,0)),IF($C1594="","","未匹配账户"))</f>
        <v/>
      </c>
      <c r="E1594" s="39"/>
      <c r="F1594" s="10"/>
      <c r="G1594" s="10"/>
      <c r="H1594" s="10"/>
      <c r="I1594" s="10"/>
      <c r="J1594" s="10"/>
      <c r="K1594" s="25"/>
      <c r="L1594" s="25"/>
      <c r="M1594" s="25" t="str">
        <f>IFERROR(VLOOKUP($C1594,$C$5:$M$24,11,0)+SUMIF($C$25:$C1594,$C1594,$K$25:$K1594)-SUMIF($C$25:$C1594,$C1594,$L$25:$L1594),"")</f>
        <v/>
      </c>
      <c r="N1594" s="10"/>
      <c r="O1594" s="10"/>
      <c r="P1594" s="65"/>
      <c r="Q1594" s="10"/>
      <c r="R1594" s="10"/>
      <c r="S1594" s="54" t="str">
        <f t="shared" si="78"/>
        <v/>
      </c>
      <c r="T1594" s="54" t="str">
        <f t="shared" si="79"/>
        <v/>
      </c>
      <c r="U1594" s="58" t="str">
        <f t="shared" si="80"/>
        <v/>
      </c>
      <c r="V1594" s="58">
        <f>IF(AND($B1594&lt;&gt;"",$F1594&lt;&gt;"",$F1594=项目明细账!$C$2),N(V1593)+1,N(V1593))</f>
        <v>0</v>
      </c>
      <c r="W1594" s="63" t="str">
        <f>IF($H1594&lt;&gt;"","项目成本",IFERROR(INDEX(基础资料!$W$4:$W$49,MATCH($I1594,基础资料!$V$4:$V$49,0)),""))</f>
        <v/>
      </c>
      <c r="X1594" s="63" t="str">
        <f>IFERROR(INDEX(基础资料!$R$4:$R$17,MATCH($G1594,基础资料!$Q$4:$Q$17,0)),"")</f>
        <v/>
      </c>
    </row>
    <row r="1595" spans="1:24">
      <c r="A1595" s="58" t="str">
        <f>IF($B1595="","",COUNTA($B$5:$B1595))</f>
        <v/>
      </c>
      <c r="B1595" s="53"/>
      <c r="C1595" s="46"/>
      <c r="D1595" s="63" t="str">
        <f>IFERROR(INDEX(基础资料!$F$4:$F$23,MATCH($C1595,基础资料!$E$4:$E$23,0)),IF($C1595="","","未匹配账户"))</f>
        <v/>
      </c>
      <c r="E1595" s="39"/>
      <c r="F1595" s="10"/>
      <c r="G1595" s="10"/>
      <c r="H1595" s="10"/>
      <c r="I1595" s="10"/>
      <c r="J1595" s="10"/>
      <c r="K1595" s="25"/>
      <c r="L1595" s="25"/>
      <c r="M1595" s="25" t="str">
        <f>IFERROR(VLOOKUP($C1595,$C$5:$M$24,11,0)+SUMIF($C$25:$C1595,$C1595,$K$25:$K1595)-SUMIF($C$25:$C1595,$C1595,$L$25:$L1595),"")</f>
        <v/>
      </c>
      <c r="N1595" s="10"/>
      <c r="O1595" s="10"/>
      <c r="P1595" s="65"/>
      <c r="Q1595" s="10"/>
      <c r="R1595" s="10"/>
      <c r="S1595" s="54" t="str">
        <f t="shared" si="78"/>
        <v/>
      </c>
      <c r="T1595" s="54" t="str">
        <f t="shared" si="79"/>
        <v/>
      </c>
      <c r="U1595" s="58" t="str">
        <f t="shared" si="80"/>
        <v/>
      </c>
      <c r="V1595" s="58">
        <f>IF(AND($B1595&lt;&gt;"",$F1595&lt;&gt;"",$F1595=项目明细账!$C$2),N(V1594)+1,N(V1594))</f>
        <v>0</v>
      </c>
      <c r="W1595" s="63" t="str">
        <f>IF($H1595&lt;&gt;"","项目成本",IFERROR(INDEX(基础资料!$W$4:$W$49,MATCH($I1595,基础资料!$V$4:$V$49,0)),""))</f>
        <v/>
      </c>
      <c r="X1595" s="63" t="str">
        <f>IFERROR(INDEX(基础资料!$R$4:$R$17,MATCH($G1595,基础资料!$Q$4:$Q$17,0)),"")</f>
        <v/>
      </c>
    </row>
    <row r="1596" spans="1:24">
      <c r="A1596" s="58" t="str">
        <f>IF($B1596="","",COUNTA($B$5:$B1596))</f>
        <v/>
      </c>
      <c r="B1596" s="53"/>
      <c r="C1596" s="46"/>
      <c r="D1596" s="63" t="str">
        <f>IFERROR(INDEX(基础资料!$F$4:$F$23,MATCH($C1596,基础资料!$E$4:$E$23,0)),IF($C1596="","","未匹配账户"))</f>
        <v/>
      </c>
      <c r="E1596" s="39"/>
      <c r="F1596" s="10"/>
      <c r="G1596" s="10"/>
      <c r="H1596" s="10"/>
      <c r="I1596" s="10"/>
      <c r="J1596" s="10"/>
      <c r="K1596" s="25"/>
      <c r="L1596" s="25"/>
      <c r="M1596" s="25" t="str">
        <f>IFERROR(VLOOKUP($C1596,$C$5:$M$24,11,0)+SUMIF($C$25:$C1596,$C1596,$K$25:$K1596)-SUMIF($C$25:$C1596,$C1596,$L$25:$L1596),"")</f>
        <v/>
      </c>
      <c r="N1596" s="10"/>
      <c r="O1596" s="10"/>
      <c r="P1596" s="65"/>
      <c r="Q1596" s="10"/>
      <c r="R1596" s="10"/>
      <c r="S1596" s="54" t="str">
        <f t="shared" si="78"/>
        <v/>
      </c>
      <c r="T1596" s="54" t="str">
        <f t="shared" si="79"/>
        <v/>
      </c>
      <c r="U1596" s="58" t="str">
        <f t="shared" si="80"/>
        <v/>
      </c>
      <c r="V1596" s="58">
        <f>IF(AND($B1596&lt;&gt;"",$F1596&lt;&gt;"",$F1596=项目明细账!$C$2),N(V1595)+1,N(V1595))</f>
        <v>0</v>
      </c>
      <c r="W1596" s="63" t="str">
        <f>IF($H1596&lt;&gt;"","项目成本",IFERROR(INDEX(基础资料!$W$4:$W$49,MATCH($I1596,基础资料!$V$4:$V$49,0)),""))</f>
        <v/>
      </c>
      <c r="X1596" s="63" t="str">
        <f>IFERROR(INDEX(基础资料!$R$4:$R$17,MATCH($G1596,基础资料!$Q$4:$Q$17,0)),"")</f>
        <v/>
      </c>
    </row>
    <row r="1597" spans="1:24">
      <c r="A1597" s="58" t="str">
        <f>IF($B1597="","",COUNTA($B$5:$B1597))</f>
        <v/>
      </c>
      <c r="B1597" s="53"/>
      <c r="C1597" s="46"/>
      <c r="D1597" s="63" t="str">
        <f>IFERROR(INDEX(基础资料!$F$4:$F$23,MATCH($C1597,基础资料!$E$4:$E$23,0)),IF($C1597="","","未匹配账户"))</f>
        <v/>
      </c>
      <c r="E1597" s="39"/>
      <c r="F1597" s="10"/>
      <c r="G1597" s="10"/>
      <c r="H1597" s="10"/>
      <c r="I1597" s="10"/>
      <c r="J1597" s="10"/>
      <c r="K1597" s="25"/>
      <c r="L1597" s="25"/>
      <c r="M1597" s="25" t="str">
        <f>IFERROR(VLOOKUP($C1597,$C$5:$M$24,11,0)+SUMIF($C$25:$C1597,$C1597,$K$25:$K1597)-SUMIF($C$25:$C1597,$C1597,$L$25:$L1597),"")</f>
        <v/>
      </c>
      <c r="N1597" s="10"/>
      <c r="O1597" s="10"/>
      <c r="P1597" s="65"/>
      <c r="Q1597" s="10"/>
      <c r="R1597" s="10"/>
      <c r="S1597" s="54" t="str">
        <f t="shared" si="78"/>
        <v/>
      </c>
      <c r="T1597" s="54" t="str">
        <f t="shared" si="79"/>
        <v/>
      </c>
      <c r="U1597" s="58" t="str">
        <f t="shared" si="80"/>
        <v/>
      </c>
      <c r="V1597" s="58">
        <f>IF(AND($B1597&lt;&gt;"",$F1597&lt;&gt;"",$F1597=项目明细账!$C$2),N(V1596)+1,N(V1596))</f>
        <v>0</v>
      </c>
      <c r="W1597" s="63" t="str">
        <f>IF($H1597&lt;&gt;"","项目成本",IFERROR(INDEX(基础资料!$W$4:$W$49,MATCH($I1597,基础资料!$V$4:$V$49,0)),""))</f>
        <v/>
      </c>
      <c r="X1597" s="63" t="str">
        <f>IFERROR(INDEX(基础资料!$R$4:$R$17,MATCH($G1597,基础资料!$Q$4:$Q$17,0)),"")</f>
        <v/>
      </c>
    </row>
    <row r="1598" spans="1:24">
      <c r="A1598" s="58" t="str">
        <f>IF($B1598="","",COUNTA($B$5:$B1598))</f>
        <v/>
      </c>
      <c r="B1598" s="53"/>
      <c r="C1598" s="46"/>
      <c r="D1598" s="63" t="str">
        <f>IFERROR(INDEX(基础资料!$F$4:$F$23,MATCH($C1598,基础资料!$E$4:$E$23,0)),IF($C1598="","","未匹配账户"))</f>
        <v/>
      </c>
      <c r="E1598" s="39"/>
      <c r="F1598" s="10"/>
      <c r="G1598" s="10"/>
      <c r="H1598" s="10"/>
      <c r="I1598" s="10"/>
      <c r="J1598" s="10"/>
      <c r="K1598" s="25"/>
      <c r="L1598" s="25"/>
      <c r="M1598" s="25" t="str">
        <f>IFERROR(VLOOKUP($C1598,$C$5:$M$24,11,0)+SUMIF($C$25:$C1598,$C1598,$K$25:$K1598)-SUMIF($C$25:$C1598,$C1598,$L$25:$L1598),"")</f>
        <v/>
      </c>
      <c r="N1598" s="10"/>
      <c r="O1598" s="10"/>
      <c r="P1598" s="65"/>
      <c r="Q1598" s="10"/>
      <c r="R1598" s="10"/>
      <c r="S1598" s="54" t="str">
        <f t="shared" si="78"/>
        <v/>
      </c>
      <c r="T1598" s="54" t="str">
        <f t="shared" si="79"/>
        <v/>
      </c>
      <c r="U1598" s="58" t="str">
        <f t="shared" si="80"/>
        <v/>
      </c>
      <c r="V1598" s="58">
        <f>IF(AND($B1598&lt;&gt;"",$F1598&lt;&gt;"",$F1598=项目明细账!$C$2),N(V1597)+1,N(V1597))</f>
        <v>0</v>
      </c>
      <c r="W1598" s="63" t="str">
        <f>IF($H1598&lt;&gt;"","项目成本",IFERROR(INDEX(基础资料!$W$4:$W$49,MATCH($I1598,基础资料!$V$4:$V$49,0)),""))</f>
        <v/>
      </c>
      <c r="X1598" s="63" t="str">
        <f>IFERROR(INDEX(基础资料!$R$4:$R$17,MATCH($G1598,基础资料!$Q$4:$Q$17,0)),"")</f>
        <v/>
      </c>
    </row>
    <row r="1599" spans="1:24">
      <c r="A1599" s="58" t="str">
        <f>IF($B1599="","",COUNTA($B$5:$B1599))</f>
        <v/>
      </c>
      <c r="B1599" s="53"/>
      <c r="C1599" s="46"/>
      <c r="D1599" s="63" t="str">
        <f>IFERROR(INDEX(基础资料!$F$4:$F$23,MATCH($C1599,基础资料!$E$4:$E$23,0)),IF($C1599="","","未匹配账户"))</f>
        <v/>
      </c>
      <c r="E1599" s="39"/>
      <c r="F1599" s="10"/>
      <c r="G1599" s="10"/>
      <c r="H1599" s="10"/>
      <c r="I1599" s="10"/>
      <c r="J1599" s="10"/>
      <c r="K1599" s="25"/>
      <c r="L1599" s="25"/>
      <c r="M1599" s="25" t="str">
        <f>IFERROR(VLOOKUP($C1599,$C$5:$M$24,11,0)+SUMIF($C$25:$C1599,$C1599,$K$25:$K1599)-SUMIF($C$25:$C1599,$C1599,$L$25:$L1599),"")</f>
        <v/>
      </c>
      <c r="N1599" s="10"/>
      <c r="O1599" s="10"/>
      <c r="P1599" s="65"/>
      <c r="Q1599" s="10"/>
      <c r="R1599" s="10"/>
      <c r="S1599" s="54" t="str">
        <f t="shared" si="78"/>
        <v/>
      </c>
      <c r="T1599" s="54" t="str">
        <f t="shared" si="79"/>
        <v/>
      </c>
      <c r="U1599" s="58" t="str">
        <f t="shared" si="80"/>
        <v/>
      </c>
      <c r="V1599" s="58">
        <f>IF(AND($B1599&lt;&gt;"",$F1599&lt;&gt;"",$F1599=项目明细账!$C$2),N(V1598)+1,N(V1598))</f>
        <v>0</v>
      </c>
      <c r="W1599" s="63" t="str">
        <f>IF($H1599&lt;&gt;"","项目成本",IFERROR(INDEX(基础资料!$W$4:$W$49,MATCH($I1599,基础资料!$V$4:$V$49,0)),""))</f>
        <v/>
      </c>
      <c r="X1599" s="63" t="str">
        <f>IFERROR(INDEX(基础资料!$R$4:$R$17,MATCH($G1599,基础资料!$Q$4:$Q$17,0)),"")</f>
        <v/>
      </c>
    </row>
    <row r="1600" spans="1:24">
      <c r="A1600" s="58" t="str">
        <f>IF($B1600="","",COUNTA($B$5:$B1600))</f>
        <v/>
      </c>
      <c r="B1600" s="53"/>
      <c r="C1600" s="46"/>
      <c r="D1600" s="63" t="str">
        <f>IFERROR(INDEX(基础资料!$F$4:$F$23,MATCH($C1600,基础资料!$E$4:$E$23,0)),IF($C1600="","","未匹配账户"))</f>
        <v/>
      </c>
      <c r="E1600" s="39"/>
      <c r="F1600" s="10"/>
      <c r="G1600" s="10"/>
      <c r="H1600" s="10"/>
      <c r="I1600" s="10"/>
      <c r="J1600" s="10"/>
      <c r="K1600" s="25"/>
      <c r="L1600" s="25"/>
      <c r="M1600" s="25" t="str">
        <f>IFERROR(VLOOKUP($C1600,$C$5:$M$24,11,0)+SUMIF($C$25:$C1600,$C1600,$K$25:$K1600)-SUMIF($C$25:$C1600,$C1600,$L$25:$L1600),"")</f>
        <v/>
      </c>
      <c r="N1600" s="10"/>
      <c r="O1600" s="10"/>
      <c r="P1600" s="65"/>
      <c r="Q1600" s="10"/>
      <c r="R1600" s="10"/>
      <c r="S1600" s="54" t="str">
        <f t="shared" si="78"/>
        <v/>
      </c>
      <c r="T1600" s="54" t="str">
        <f t="shared" si="79"/>
        <v/>
      </c>
      <c r="U1600" s="58" t="str">
        <f t="shared" si="80"/>
        <v/>
      </c>
      <c r="V1600" s="58">
        <f>IF(AND($B1600&lt;&gt;"",$F1600&lt;&gt;"",$F1600=项目明细账!$C$2),N(V1599)+1,N(V1599))</f>
        <v>0</v>
      </c>
      <c r="W1600" s="63" t="str">
        <f>IF($H1600&lt;&gt;"","项目成本",IFERROR(INDEX(基础资料!$W$4:$W$49,MATCH($I1600,基础资料!$V$4:$V$49,0)),""))</f>
        <v/>
      </c>
      <c r="X1600" s="63" t="str">
        <f>IFERROR(INDEX(基础资料!$R$4:$R$17,MATCH($G1600,基础资料!$Q$4:$Q$17,0)),"")</f>
        <v/>
      </c>
    </row>
    <row r="1601" spans="1:24">
      <c r="A1601" s="58" t="str">
        <f>IF($B1601="","",COUNTA($B$5:$B1601))</f>
        <v/>
      </c>
      <c r="B1601" s="53"/>
      <c r="C1601" s="46"/>
      <c r="D1601" s="63" t="str">
        <f>IFERROR(INDEX(基础资料!$F$4:$F$23,MATCH($C1601,基础资料!$E$4:$E$23,0)),IF($C1601="","","未匹配账户"))</f>
        <v/>
      </c>
      <c r="E1601" s="39"/>
      <c r="F1601" s="10"/>
      <c r="G1601" s="10"/>
      <c r="H1601" s="10"/>
      <c r="I1601" s="10"/>
      <c r="J1601" s="10"/>
      <c r="K1601" s="25"/>
      <c r="L1601" s="25"/>
      <c r="M1601" s="25" t="str">
        <f>IFERROR(VLOOKUP($C1601,$C$5:$M$24,11,0)+SUMIF($C$25:$C1601,$C1601,$K$25:$K1601)-SUMIF($C$25:$C1601,$C1601,$L$25:$L1601),"")</f>
        <v/>
      </c>
      <c r="N1601" s="10"/>
      <c r="O1601" s="10"/>
      <c r="P1601" s="65"/>
      <c r="Q1601" s="10"/>
      <c r="R1601" s="10"/>
      <c r="S1601" s="54" t="str">
        <f t="shared" si="78"/>
        <v/>
      </c>
      <c r="T1601" s="54" t="str">
        <f t="shared" si="79"/>
        <v/>
      </c>
      <c r="U1601" s="58" t="str">
        <f t="shared" si="80"/>
        <v/>
      </c>
      <c r="V1601" s="58">
        <f>IF(AND($B1601&lt;&gt;"",$F1601&lt;&gt;"",$F1601=项目明细账!$C$2),N(V1600)+1,N(V1600))</f>
        <v>0</v>
      </c>
      <c r="W1601" s="63" t="str">
        <f>IF($H1601&lt;&gt;"","项目成本",IFERROR(INDEX(基础资料!$W$4:$W$49,MATCH($I1601,基础资料!$V$4:$V$49,0)),""))</f>
        <v/>
      </c>
      <c r="X1601" s="63" t="str">
        <f>IFERROR(INDEX(基础资料!$R$4:$R$17,MATCH($G1601,基础资料!$Q$4:$Q$17,0)),"")</f>
        <v/>
      </c>
    </row>
    <row r="1602" spans="1:24">
      <c r="A1602" s="58" t="str">
        <f>IF($B1602="","",COUNTA($B$5:$B1602))</f>
        <v/>
      </c>
      <c r="B1602" s="53"/>
      <c r="C1602" s="46"/>
      <c r="D1602" s="63" t="str">
        <f>IFERROR(INDEX(基础资料!$F$4:$F$23,MATCH($C1602,基础资料!$E$4:$E$23,0)),IF($C1602="","","未匹配账户"))</f>
        <v/>
      </c>
      <c r="E1602" s="39"/>
      <c r="F1602" s="10"/>
      <c r="G1602" s="10"/>
      <c r="H1602" s="10"/>
      <c r="I1602" s="10"/>
      <c r="J1602" s="10"/>
      <c r="K1602" s="25"/>
      <c r="L1602" s="25"/>
      <c r="M1602" s="25" t="str">
        <f>IFERROR(VLOOKUP($C1602,$C$5:$M$24,11,0)+SUMIF($C$25:$C1602,$C1602,$K$25:$K1602)-SUMIF($C$25:$C1602,$C1602,$L$25:$L1602),"")</f>
        <v/>
      </c>
      <c r="N1602" s="10"/>
      <c r="O1602" s="10"/>
      <c r="P1602" s="65"/>
      <c r="Q1602" s="10"/>
      <c r="R1602" s="10"/>
      <c r="S1602" s="54" t="str">
        <f t="shared" si="78"/>
        <v/>
      </c>
      <c r="T1602" s="54" t="str">
        <f t="shared" si="79"/>
        <v/>
      </c>
      <c r="U1602" s="58" t="str">
        <f t="shared" si="80"/>
        <v/>
      </c>
      <c r="V1602" s="58">
        <f>IF(AND($B1602&lt;&gt;"",$F1602&lt;&gt;"",$F1602=项目明细账!$C$2),N(V1601)+1,N(V1601))</f>
        <v>0</v>
      </c>
      <c r="W1602" s="63" t="str">
        <f>IF($H1602&lt;&gt;"","项目成本",IFERROR(INDEX(基础资料!$W$4:$W$49,MATCH($I1602,基础资料!$V$4:$V$49,0)),""))</f>
        <v/>
      </c>
      <c r="X1602" s="63" t="str">
        <f>IFERROR(INDEX(基础资料!$R$4:$R$17,MATCH($G1602,基础资料!$Q$4:$Q$17,0)),"")</f>
        <v/>
      </c>
    </row>
    <row r="1603" spans="1:24">
      <c r="A1603" s="58" t="str">
        <f>IF($B1603="","",COUNTA($B$5:$B1603))</f>
        <v/>
      </c>
      <c r="B1603" s="53"/>
      <c r="C1603" s="46"/>
      <c r="D1603" s="63" t="str">
        <f>IFERROR(INDEX(基础资料!$F$4:$F$23,MATCH($C1603,基础资料!$E$4:$E$23,0)),IF($C1603="","","未匹配账户"))</f>
        <v/>
      </c>
      <c r="E1603" s="39"/>
      <c r="F1603" s="10"/>
      <c r="G1603" s="10"/>
      <c r="H1603" s="10"/>
      <c r="I1603" s="10"/>
      <c r="J1603" s="10"/>
      <c r="K1603" s="25"/>
      <c r="L1603" s="25"/>
      <c r="M1603" s="25" t="str">
        <f>IFERROR(VLOOKUP($C1603,$C$5:$M$24,11,0)+SUMIF($C$25:$C1603,$C1603,$K$25:$K1603)-SUMIF($C$25:$C1603,$C1603,$L$25:$L1603),"")</f>
        <v/>
      </c>
      <c r="N1603" s="10"/>
      <c r="O1603" s="10"/>
      <c r="P1603" s="65"/>
      <c r="Q1603" s="10"/>
      <c r="R1603" s="10"/>
      <c r="S1603" s="54" t="str">
        <f t="shared" si="78"/>
        <v/>
      </c>
      <c r="T1603" s="54" t="str">
        <f t="shared" si="79"/>
        <v/>
      </c>
      <c r="U1603" s="58" t="str">
        <f t="shared" si="80"/>
        <v/>
      </c>
      <c r="V1603" s="58">
        <f>IF(AND($B1603&lt;&gt;"",$F1603&lt;&gt;"",$F1603=项目明细账!$C$2),N(V1602)+1,N(V1602))</f>
        <v>0</v>
      </c>
      <c r="W1603" s="63" t="str">
        <f>IF($H1603&lt;&gt;"","项目成本",IFERROR(INDEX(基础资料!$W$4:$W$49,MATCH($I1603,基础资料!$V$4:$V$49,0)),""))</f>
        <v/>
      </c>
      <c r="X1603" s="63" t="str">
        <f>IFERROR(INDEX(基础资料!$R$4:$R$17,MATCH($G1603,基础资料!$Q$4:$Q$17,0)),"")</f>
        <v/>
      </c>
    </row>
    <row r="1604" spans="1:24">
      <c r="A1604" s="58" t="str">
        <f>IF($B1604="","",COUNTA($B$5:$B1604))</f>
        <v/>
      </c>
      <c r="B1604" s="53"/>
      <c r="C1604" s="46"/>
      <c r="D1604" s="63" t="str">
        <f>IFERROR(INDEX(基础资料!$F$4:$F$23,MATCH($C1604,基础资料!$E$4:$E$23,0)),IF($C1604="","","未匹配账户"))</f>
        <v/>
      </c>
      <c r="E1604" s="39"/>
      <c r="F1604" s="10"/>
      <c r="G1604" s="10"/>
      <c r="H1604" s="10"/>
      <c r="I1604" s="10"/>
      <c r="J1604" s="10"/>
      <c r="K1604" s="25"/>
      <c r="L1604" s="25"/>
      <c r="M1604" s="25" t="str">
        <f>IFERROR(VLOOKUP($C1604,$C$5:$M$24,11,0)+SUMIF($C$25:$C1604,$C1604,$K$25:$K1604)-SUMIF($C$25:$C1604,$C1604,$L$25:$L1604),"")</f>
        <v/>
      </c>
      <c r="N1604" s="10"/>
      <c r="O1604" s="10"/>
      <c r="P1604" s="65"/>
      <c r="Q1604" s="10"/>
      <c r="R1604" s="10"/>
      <c r="S1604" s="54" t="str">
        <f t="shared" si="78"/>
        <v/>
      </c>
      <c r="T1604" s="54" t="str">
        <f t="shared" si="79"/>
        <v/>
      </c>
      <c r="U1604" s="58" t="str">
        <f t="shared" si="80"/>
        <v/>
      </c>
      <c r="V1604" s="58">
        <f>IF(AND($B1604&lt;&gt;"",$F1604&lt;&gt;"",$F1604=项目明细账!$C$2),N(V1603)+1,N(V1603))</f>
        <v>0</v>
      </c>
      <c r="W1604" s="63" t="str">
        <f>IF($H1604&lt;&gt;"","项目成本",IFERROR(INDEX(基础资料!$W$4:$W$49,MATCH($I1604,基础资料!$V$4:$V$49,0)),""))</f>
        <v/>
      </c>
      <c r="X1604" s="63" t="str">
        <f>IFERROR(INDEX(基础资料!$R$4:$R$17,MATCH($G1604,基础资料!$Q$4:$Q$17,0)),"")</f>
        <v/>
      </c>
    </row>
    <row r="1605" spans="1:24">
      <c r="A1605" s="58" t="str">
        <f>IF($B1605="","",COUNTA($B$5:$B1605))</f>
        <v/>
      </c>
      <c r="B1605" s="53"/>
      <c r="C1605" s="46"/>
      <c r="D1605" s="63" t="str">
        <f>IFERROR(INDEX(基础资料!$F$4:$F$23,MATCH($C1605,基础资料!$E$4:$E$23,0)),IF($C1605="","","未匹配账户"))</f>
        <v/>
      </c>
      <c r="E1605" s="39"/>
      <c r="F1605" s="10"/>
      <c r="G1605" s="10"/>
      <c r="H1605" s="10"/>
      <c r="I1605" s="10"/>
      <c r="J1605" s="10"/>
      <c r="K1605" s="25"/>
      <c r="L1605" s="25"/>
      <c r="M1605" s="25" t="str">
        <f>IFERROR(VLOOKUP($C1605,$C$5:$M$24,11,0)+SUMIF($C$25:$C1605,$C1605,$K$25:$K1605)-SUMIF($C$25:$C1605,$C1605,$L$25:$L1605),"")</f>
        <v/>
      </c>
      <c r="N1605" s="10"/>
      <c r="O1605" s="10"/>
      <c r="P1605" s="65"/>
      <c r="Q1605" s="10"/>
      <c r="R1605" s="10"/>
      <c r="S1605" s="54" t="str">
        <f t="shared" si="78"/>
        <v/>
      </c>
      <c r="T1605" s="54" t="str">
        <f t="shared" si="79"/>
        <v/>
      </c>
      <c r="U1605" s="58" t="str">
        <f t="shared" si="80"/>
        <v/>
      </c>
      <c r="V1605" s="58">
        <f>IF(AND($B1605&lt;&gt;"",$F1605&lt;&gt;"",$F1605=项目明细账!$C$2),N(V1604)+1,N(V1604))</f>
        <v>0</v>
      </c>
      <c r="W1605" s="63" t="str">
        <f>IF($H1605&lt;&gt;"","项目成本",IFERROR(INDEX(基础资料!$W$4:$W$49,MATCH($I1605,基础资料!$V$4:$V$49,0)),""))</f>
        <v/>
      </c>
      <c r="X1605" s="63" t="str">
        <f>IFERROR(INDEX(基础资料!$R$4:$R$17,MATCH($G1605,基础资料!$Q$4:$Q$17,0)),"")</f>
        <v/>
      </c>
    </row>
    <row r="1606" spans="1:24">
      <c r="A1606" s="58" t="str">
        <f>IF($B1606="","",COUNTA($B$5:$B1606))</f>
        <v/>
      </c>
      <c r="B1606" s="53"/>
      <c r="C1606" s="46"/>
      <c r="D1606" s="63" t="str">
        <f>IFERROR(INDEX(基础资料!$F$4:$F$23,MATCH($C1606,基础资料!$E$4:$E$23,0)),IF($C1606="","","未匹配账户"))</f>
        <v/>
      </c>
      <c r="E1606" s="39"/>
      <c r="F1606" s="10"/>
      <c r="G1606" s="10"/>
      <c r="H1606" s="10"/>
      <c r="I1606" s="10"/>
      <c r="J1606" s="10"/>
      <c r="K1606" s="25"/>
      <c r="L1606" s="25"/>
      <c r="M1606" s="25" t="str">
        <f>IFERROR(VLOOKUP($C1606,$C$5:$M$24,11,0)+SUMIF($C$25:$C1606,$C1606,$K$25:$K1606)-SUMIF($C$25:$C1606,$C1606,$L$25:$L1606),"")</f>
        <v/>
      </c>
      <c r="N1606" s="10"/>
      <c r="O1606" s="10"/>
      <c r="P1606" s="65"/>
      <c r="Q1606" s="10"/>
      <c r="R1606" s="10"/>
      <c r="S1606" s="54" t="str">
        <f t="shared" si="78"/>
        <v/>
      </c>
      <c r="T1606" s="54" t="str">
        <f t="shared" si="79"/>
        <v/>
      </c>
      <c r="U1606" s="58" t="str">
        <f t="shared" si="80"/>
        <v/>
      </c>
      <c r="V1606" s="58">
        <f>IF(AND($B1606&lt;&gt;"",$F1606&lt;&gt;"",$F1606=项目明细账!$C$2),N(V1605)+1,N(V1605))</f>
        <v>0</v>
      </c>
      <c r="W1606" s="63" t="str">
        <f>IF($H1606&lt;&gt;"","项目成本",IFERROR(INDEX(基础资料!$W$4:$W$49,MATCH($I1606,基础资料!$V$4:$V$49,0)),""))</f>
        <v/>
      </c>
      <c r="X1606" s="63" t="str">
        <f>IFERROR(INDEX(基础资料!$R$4:$R$17,MATCH($G1606,基础资料!$Q$4:$Q$17,0)),"")</f>
        <v/>
      </c>
    </row>
    <row r="1607" spans="1:24">
      <c r="A1607" s="58" t="str">
        <f>IF($B1607="","",COUNTA($B$5:$B1607))</f>
        <v/>
      </c>
      <c r="B1607" s="53"/>
      <c r="C1607" s="46"/>
      <c r="D1607" s="63" t="str">
        <f>IFERROR(INDEX(基础资料!$F$4:$F$23,MATCH($C1607,基础资料!$E$4:$E$23,0)),IF($C1607="","","未匹配账户"))</f>
        <v/>
      </c>
      <c r="E1607" s="39"/>
      <c r="F1607" s="10"/>
      <c r="G1607" s="10"/>
      <c r="H1607" s="10"/>
      <c r="I1607" s="10"/>
      <c r="J1607" s="10"/>
      <c r="K1607" s="25"/>
      <c r="L1607" s="25"/>
      <c r="M1607" s="25" t="str">
        <f>IFERROR(VLOOKUP($C1607,$C$5:$M$24,11,0)+SUMIF($C$25:$C1607,$C1607,$K$25:$K1607)-SUMIF($C$25:$C1607,$C1607,$L$25:$L1607),"")</f>
        <v/>
      </c>
      <c r="N1607" s="10"/>
      <c r="O1607" s="10"/>
      <c r="P1607" s="65"/>
      <c r="Q1607" s="10"/>
      <c r="R1607" s="10"/>
      <c r="S1607" s="54" t="str">
        <f t="shared" ref="S1607:S1670" si="81">IF($B1607="","",--TEXT($B1607,"yyyymm"))</f>
        <v/>
      </c>
      <c r="T1607" s="54" t="str">
        <f t="shared" ref="T1607:T1670" si="82">IF($B1607="","",IF($P1607="",$S1607,IFERROR($P1607*1,$P1607)))</f>
        <v/>
      </c>
      <c r="U1607" s="58" t="str">
        <f t="shared" ref="U1607:U1670" si="83">IF($B1607="","",IF($T1607=$S1607,"","跨期"))</f>
        <v/>
      </c>
      <c r="V1607" s="58">
        <f>IF(AND($B1607&lt;&gt;"",$F1607&lt;&gt;"",$F1607=项目明细账!$C$2),N(V1606)+1,N(V1606))</f>
        <v>0</v>
      </c>
      <c r="W1607" s="63" t="str">
        <f>IF($H1607&lt;&gt;"","项目成本",IFERROR(INDEX(基础资料!$W$4:$W$49,MATCH($I1607,基础资料!$V$4:$V$49,0)),""))</f>
        <v/>
      </c>
      <c r="X1607" s="63" t="str">
        <f>IFERROR(INDEX(基础资料!$R$4:$R$17,MATCH($G1607,基础资料!$Q$4:$Q$17,0)),"")</f>
        <v/>
      </c>
    </row>
    <row r="1608" spans="1:24">
      <c r="A1608" s="58" t="str">
        <f>IF($B1608="","",COUNTA($B$5:$B1608))</f>
        <v/>
      </c>
      <c r="B1608" s="53"/>
      <c r="C1608" s="46"/>
      <c r="D1608" s="63" t="str">
        <f>IFERROR(INDEX(基础资料!$F$4:$F$23,MATCH($C1608,基础资料!$E$4:$E$23,0)),IF($C1608="","","未匹配账户"))</f>
        <v/>
      </c>
      <c r="E1608" s="39"/>
      <c r="F1608" s="10"/>
      <c r="G1608" s="10"/>
      <c r="H1608" s="10"/>
      <c r="I1608" s="10"/>
      <c r="J1608" s="10"/>
      <c r="K1608" s="25"/>
      <c r="L1608" s="25"/>
      <c r="M1608" s="25" t="str">
        <f>IFERROR(VLOOKUP($C1608,$C$5:$M$24,11,0)+SUMIF($C$25:$C1608,$C1608,$K$25:$K1608)-SUMIF($C$25:$C1608,$C1608,$L$25:$L1608),"")</f>
        <v/>
      </c>
      <c r="N1608" s="10"/>
      <c r="O1608" s="10"/>
      <c r="P1608" s="65"/>
      <c r="Q1608" s="10"/>
      <c r="R1608" s="10"/>
      <c r="S1608" s="54" t="str">
        <f t="shared" si="81"/>
        <v/>
      </c>
      <c r="T1608" s="54" t="str">
        <f t="shared" si="82"/>
        <v/>
      </c>
      <c r="U1608" s="58" t="str">
        <f t="shared" si="83"/>
        <v/>
      </c>
      <c r="V1608" s="58">
        <f>IF(AND($B1608&lt;&gt;"",$F1608&lt;&gt;"",$F1608=项目明细账!$C$2),N(V1607)+1,N(V1607))</f>
        <v>0</v>
      </c>
      <c r="W1608" s="63" t="str">
        <f>IF($H1608&lt;&gt;"","项目成本",IFERROR(INDEX(基础资料!$W$4:$W$49,MATCH($I1608,基础资料!$V$4:$V$49,0)),""))</f>
        <v/>
      </c>
      <c r="X1608" s="63" t="str">
        <f>IFERROR(INDEX(基础资料!$R$4:$R$17,MATCH($G1608,基础资料!$Q$4:$Q$17,0)),"")</f>
        <v/>
      </c>
    </row>
    <row r="1609" spans="1:24">
      <c r="A1609" s="58" t="str">
        <f>IF($B1609="","",COUNTA($B$5:$B1609))</f>
        <v/>
      </c>
      <c r="B1609" s="53"/>
      <c r="C1609" s="46"/>
      <c r="D1609" s="63" t="str">
        <f>IFERROR(INDEX(基础资料!$F$4:$F$23,MATCH($C1609,基础资料!$E$4:$E$23,0)),IF($C1609="","","未匹配账户"))</f>
        <v/>
      </c>
      <c r="E1609" s="39"/>
      <c r="F1609" s="10"/>
      <c r="G1609" s="10"/>
      <c r="H1609" s="10"/>
      <c r="I1609" s="10"/>
      <c r="J1609" s="10"/>
      <c r="K1609" s="25"/>
      <c r="L1609" s="25"/>
      <c r="M1609" s="25" t="str">
        <f>IFERROR(VLOOKUP($C1609,$C$5:$M$24,11,0)+SUMIF($C$25:$C1609,$C1609,$K$25:$K1609)-SUMIF($C$25:$C1609,$C1609,$L$25:$L1609),"")</f>
        <v/>
      </c>
      <c r="N1609" s="10"/>
      <c r="O1609" s="10"/>
      <c r="P1609" s="65"/>
      <c r="Q1609" s="10"/>
      <c r="R1609" s="10"/>
      <c r="S1609" s="54" t="str">
        <f t="shared" si="81"/>
        <v/>
      </c>
      <c r="T1609" s="54" t="str">
        <f t="shared" si="82"/>
        <v/>
      </c>
      <c r="U1609" s="58" t="str">
        <f t="shared" si="83"/>
        <v/>
      </c>
      <c r="V1609" s="58">
        <f>IF(AND($B1609&lt;&gt;"",$F1609&lt;&gt;"",$F1609=项目明细账!$C$2),N(V1608)+1,N(V1608))</f>
        <v>0</v>
      </c>
      <c r="W1609" s="63" t="str">
        <f>IF($H1609&lt;&gt;"","项目成本",IFERROR(INDEX(基础资料!$W$4:$W$49,MATCH($I1609,基础资料!$V$4:$V$49,0)),""))</f>
        <v/>
      </c>
      <c r="X1609" s="63" t="str">
        <f>IFERROR(INDEX(基础资料!$R$4:$R$17,MATCH($G1609,基础资料!$Q$4:$Q$17,0)),"")</f>
        <v/>
      </c>
    </row>
    <row r="1610" spans="1:24">
      <c r="A1610" s="58" t="str">
        <f>IF($B1610="","",COUNTA($B$5:$B1610))</f>
        <v/>
      </c>
      <c r="B1610" s="53"/>
      <c r="C1610" s="46"/>
      <c r="D1610" s="63" t="str">
        <f>IFERROR(INDEX(基础资料!$F$4:$F$23,MATCH($C1610,基础资料!$E$4:$E$23,0)),IF($C1610="","","未匹配账户"))</f>
        <v/>
      </c>
      <c r="E1610" s="39"/>
      <c r="F1610" s="10"/>
      <c r="G1610" s="10"/>
      <c r="H1610" s="10"/>
      <c r="I1610" s="10"/>
      <c r="J1610" s="10"/>
      <c r="K1610" s="25"/>
      <c r="L1610" s="25"/>
      <c r="M1610" s="25" t="str">
        <f>IFERROR(VLOOKUP($C1610,$C$5:$M$24,11,0)+SUMIF($C$25:$C1610,$C1610,$K$25:$K1610)-SUMIF($C$25:$C1610,$C1610,$L$25:$L1610),"")</f>
        <v/>
      </c>
      <c r="N1610" s="10"/>
      <c r="O1610" s="10"/>
      <c r="P1610" s="65"/>
      <c r="Q1610" s="10"/>
      <c r="R1610" s="10"/>
      <c r="S1610" s="54" t="str">
        <f t="shared" si="81"/>
        <v/>
      </c>
      <c r="T1610" s="54" t="str">
        <f t="shared" si="82"/>
        <v/>
      </c>
      <c r="U1610" s="58" t="str">
        <f t="shared" si="83"/>
        <v/>
      </c>
      <c r="V1610" s="58">
        <f>IF(AND($B1610&lt;&gt;"",$F1610&lt;&gt;"",$F1610=项目明细账!$C$2),N(V1609)+1,N(V1609))</f>
        <v>0</v>
      </c>
      <c r="W1610" s="63" t="str">
        <f>IF($H1610&lt;&gt;"","项目成本",IFERROR(INDEX(基础资料!$W$4:$W$49,MATCH($I1610,基础资料!$V$4:$V$49,0)),""))</f>
        <v/>
      </c>
      <c r="X1610" s="63" t="str">
        <f>IFERROR(INDEX(基础资料!$R$4:$R$17,MATCH($G1610,基础资料!$Q$4:$Q$17,0)),"")</f>
        <v/>
      </c>
    </row>
    <row r="1611" spans="1:24">
      <c r="A1611" s="58" t="str">
        <f>IF($B1611="","",COUNTA($B$5:$B1611))</f>
        <v/>
      </c>
      <c r="B1611" s="53"/>
      <c r="C1611" s="46"/>
      <c r="D1611" s="63" t="str">
        <f>IFERROR(INDEX(基础资料!$F$4:$F$23,MATCH($C1611,基础资料!$E$4:$E$23,0)),IF($C1611="","","未匹配账户"))</f>
        <v/>
      </c>
      <c r="E1611" s="39"/>
      <c r="F1611" s="10"/>
      <c r="G1611" s="10"/>
      <c r="H1611" s="10"/>
      <c r="I1611" s="10"/>
      <c r="J1611" s="10"/>
      <c r="K1611" s="25"/>
      <c r="L1611" s="25"/>
      <c r="M1611" s="25" t="str">
        <f>IFERROR(VLOOKUP($C1611,$C$5:$M$24,11,0)+SUMIF($C$25:$C1611,$C1611,$K$25:$K1611)-SUMIF($C$25:$C1611,$C1611,$L$25:$L1611),"")</f>
        <v/>
      </c>
      <c r="N1611" s="10"/>
      <c r="O1611" s="10"/>
      <c r="P1611" s="65"/>
      <c r="Q1611" s="10"/>
      <c r="R1611" s="10"/>
      <c r="S1611" s="54" t="str">
        <f t="shared" si="81"/>
        <v/>
      </c>
      <c r="T1611" s="54" t="str">
        <f t="shared" si="82"/>
        <v/>
      </c>
      <c r="U1611" s="58" t="str">
        <f t="shared" si="83"/>
        <v/>
      </c>
      <c r="V1611" s="58">
        <f>IF(AND($B1611&lt;&gt;"",$F1611&lt;&gt;"",$F1611=项目明细账!$C$2),N(V1610)+1,N(V1610))</f>
        <v>0</v>
      </c>
      <c r="W1611" s="63" t="str">
        <f>IF($H1611&lt;&gt;"","项目成本",IFERROR(INDEX(基础资料!$W$4:$W$49,MATCH($I1611,基础资料!$V$4:$V$49,0)),""))</f>
        <v/>
      </c>
      <c r="X1611" s="63" t="str">
        <f>IFERROR(INDEX(基础资料!$R$4:$R$17,MATCH($G1611,基础资料!$Q$4:$Q$17,0)),"")</f>
        <v/>
      </c>
    </row>
    <row r="1612" spans="1:24">
      <c r="A1612" s="58" t="str">
        <f>IF($B1612="","",COUNTA($B$5:$B1612))</f>
        <v/>
      </c>
      <c r="B1612" s="53"/>
      <c r="C1612" s="46"/>
      <c r="D1612" s="63" t="str">
        <f>IFERROR(INDEX(基础资料!$F$4:$F$23,MATCH($C1612,基础资料!$E$4:$E$23,0)),IF($C1612="","","未匹配账户"))</f>
        <v/>
      </c>
      <c r="E1612" s="39"/>
      <c r="F1612" s="10"/>
      <c r="G1612" s="10"/>
      <c r="H1612" s="10"/>
      <c r="I1612" s="10"/>
      <c r="J1612" s="10"/>
      <c r="K1612" s="25"/>
      <c r="L1612" s="25"/>
      <c r="M1612" s="25" t="str">
        <f>IFERROR(VLOOKUP($C1612,$C$5:$M$24,11,0)+SUMIF($C$25:$C1612,$C1612,$K$25:$K1612)-SUMIF($C$25:$C1612,$C1612,$L$25:$L1612),"")</f>
        <v/>
      </c>
      <c r="N1612" s="10"/>
      <c r="O1612" s="10"/>
      <c r="P1612" s="65"/>
      <c r="Q1612" s="10"/>
      <c r="R1612" s="10"/>
      <c r="S1612" s="54" t="str">
        <f t="shared" si="81"/>
        <v/>
      </c>
      <c r="T1612" s="54" t="str">
        <f t="shared" si="82"/>
        <v/>
      </c>
      <c r="U1612" s="58" t="str">
        <f t="shared" si="83"/>
        <v/>
      </c>
      <c r="V1612" s="58">
        <f>IF(AND($B1612&lt;&gt;"",$F1612&lt;&gt;"",$F1612=项目明细账!$C$2),N(V1611)+1,N(V1611))</f>
        <v>0</v>
      </c>
      <c r="W1612" s="63" t="str">
        <f>IF($H1612&lt;&gt;"","项目成本",IFERROR(INDEX(基础资料!$W$4:$W$49,MATCH($I1612,基础资料!$V$4:$V$49,0)),""))</f>
        <v/>
      </c>
      <c r="X1612" s="63" t="str">
        <f>IFERROR(INDEX(基础资料!$R$4:$R$17,MATCH($G1612,基础资料!$Q$4:$Q$17,0)),"")</f>
        <v/>
      </c>
    </row>
    <row r="1613" spans="1:24">
      <c r="A1613" s="58" t="str">
        <f>IF($B1613="","",COUNTA($B$5:$B1613))</f>
        <v/>
      </c>
      <c r="B1613" s="53"/>
      <c r="C1613" s="46"/>
      <c r="D1613" s="63" t="str">
        <f>IFERROR(INDEX(基础资料!$F$4:$F$23,MATCH($C1613,基础资料!$E$4:$E$23,0)),IF($C1613="","","未匹配账户"))</f>
        <v/>
      </c>
      <c r="E1613" s="39"/>
      <c r="F1613" s="10"/>
      <c r="G1613" s="10"/>
      <c r="H1613" s="10"/>
      <c r="I1613" s="10"/>
      <c r="J1613" s="10"/>
      <c r="K1613" s="25"/>
      <c r="L1613" s="25"/>
      <c r="M1613" s="25" t="str">
        <f>IFERROR(VLOOKUP($C1613,$C$5:$M$24,11,0)+SUMIF($C$25:$C1613,$C1613,$K$25:$K1613)-SUMIF($C$25:$C1613,$C1613,$L$25:$L1613),"")</f>
        <v/>
      </c>
      <c r="N1613" s="10"/>
      <c r="O1613" s="10"/>
      <c r="P1613" s="65"/>
      <c r="Q1613" s="10"/>
      <c r="R1613" s="10"/>
      <c r="S1613" s="54" t="str">
        <f t="shared" si="81"/>
        <v/>
      </c>
      <c r="T1613" s="54" t="str">
        <f t="shared" si="82"/>
        <v/>
      </c>
      <c r="U1613" s="58" t="str">
        <f t="shared" si="83"/>
        <v/>
      </c>
      <c r="V1613" s="58">
        <f>IF(AND($B1613&lt;&gt;"",$F1613&lt;&gt;"",$F1613=项目明细账!$C$2),N(V1612)+1,N(V1612))</f>
        <v>0</v>
      </c>
      <c r="W1613" s="63" t="str">
        <f>IF($H1613&lt;&gt;"","项目成本",IFERROR(INDEX(基础资料!$W$4:$W$49,MATCH($I1613,基础资料!$V$4:$V$49,0)),""))</f>
        <v/>
      </c>
      <c r="X1613" s="63" t="str">
        <f>IFERROR(INDEX(基础资料!$R$4:$R$17,MATCH($G1613,基础资料!$Q$4:$Q$17,0)),"")</f>
        <v/>
      </c>
    </row>
    <row r="1614" spans="1:24">
      <c r="A1614" s="58" t="str">
        <f>IF($B1614="","",COUNTA($B$5:$B1614))</f>
        <v/>
      </c>
      <c r="B1614" s="53"/>
      <c r="C1614" s="46"/>
      <c r="D1614" s="63" t="str">
        <f>IFERROR(INDEX(基础资料!$F$4:$F$23,MATCH($C1614,基础资料!$E$4:$E$23,0)),IF($C1614="","","未匹配账户"))</f>
        <v/>
      </c>
      <c r="E1614" s="39"/>
      <c r="F1614" s="10"/>
      <c r="G1614" s="10"/>
      <c r="H1614" s="10"/>
      <c r="I1614" s="10"/>
      <c r="J1614" s="10"/>
      <c r="K1614" s="25"/>
      <c r="L1614" s="25"/>
      <c r="M1614" s="25" t="str">
        <f>IFERROR(VLOOKUP($C1614,$C$5:$M$24,11,0)+SUMIF($C$25:$C1614,$C1614,$K$25:$K1614)-SUMIF($C$25:$C1614,$C1614,$L$25:$L1614),"")</f>
        <v/>
      </c>
      <c r="N1614" s="10"/>
      <c r="O1614" s="10"/>
      <c r="P1614" s="65"/>
      <c r="Q1614" s="10"/>
      <c r="R1614" s="10"/>
      <c r="S1614" s="54" t="str">
        <f t="shared" si="81"/>
        <v/>
      </c>
      <c r="T1614" s="54" t="str">
        <f t="shared" si="82"/>
        <v/>
      </c>
      <c r="U1614" s="58" t="str">
        <f t="shared" si="83"/>
        <v/>
      </c>
      <c r="V1614" s="58">
        <f>IF(AND($B1614&lt;&gt;"",$F1614&lt;&gt;"",$F1614=项目明细账!$C$2),N(V1613)+1,N(V1613))</f>
        <v>0</v>
      </c>
      <c r="W1614" s="63" t="str">
        <f>IF($H1614&lt;&gt;"","项目成本",IFERROR(INDEX(基础资料!$W$4:$W$49,MATCH($I1614,基础资料!$V$4:$V$49,0)),""))</f>
        <v/>
      </c>
      <c r="X1614" s="63" t="str">
        <f>IFERROR(INDEX(基础资料!$R$4:$R$17,MATCH($G1614,基础资料!$Q$4:$Q$17,0)),"")</f>
        <v/>
      </c>
    </row>
    <row r="1615" spans="1:24">
      <c r="A1615" s="58" t="str">
        <f>IF($B1615="","",COUNTA($B$5:$B1615))</f>
        <v/>
      </c>
      <c r="B1615" s="53"/>
      <c r="C1615" s="46"/>
      <c r="D1615" s="63" t="str">
        <f>IFERROR(INDEX(基础资料!$F$4:$F$23,MATCH($C1615,基础资料!$E$4:$E$23,0)),IF($C1615="","","未匹配账户"))</f>
        <v/>
      </c>
      <c r="E1615" s="39"/>
      <c r="F1615" s="10"/>
      <c r="G1615" s="10"/>
      <c r="H1615" s="10"/>
      <c r="I1615" s="10"/>
      <c r="J1615" s="10"/>
      <c r="K1615" s="25"/>
      <c r="L1615" s="25"/>
      <c r="M1615" s="25" t="str">
        <f>IFERROR(VLOOKUP($C1615,$C$5:$M$24,11,0)+SUMIF($C$25:$C1615,$C1615,$K$25:$K1615)-SUMIF($C$25:$C1615,$C1615,$L$25:$L1615),"")</f>
        <v/>
      </c>
      <c r="N1615" s="10"/>
      <c r="O1615" s="10"/>
      <c r="P1615" s="65"/>
      <c r="Q1615" s="10"/>
      <c r="R1615" s="10"/>
      <c r="S1615" s="54" t="str">
        <f t="shared" si="81"/>
        <v/>
      </c>
      <c r="T1615" s="54" t="str">
        <f t="shared" si="82"/>
        <v/>
      </c>
      <c r="U1615" s="58" t="str">
        <f t="shared" si="83"/>
        <v/>
      </c>
      <c r="V1615" s="58">
        <f>IF(AND($B1615&lt;&gt;"",$F1615&lt;&gt;"",$F1615=项目明细账!$C$2),N(V1614)+1,N(V1614))</f>
        <v>0</v>
      </c>
      <c r="W1615" s="63" t="str">
        <f>IF($H1615&lt;&gt;"","项目成本",IFERROR(INDEX(基础资料!$W$4:$W$49,MATCH($I1615,基础资料!$V$4:$V$49,0)),""))</f>
        <v/>
      </c>
      <c r="X1615" s="63" t="str">
        <f>IFERROR(INDEX(基础资料!$R$4:$R$17,MATCH($G1615,基础资料!$Q$4:$Q$17,0)),"")</f>
        <v/>
      </c>
    </row>
    <row r="1616" spans="1:24">
      <c r="A1616" s="58" t="str">
        <f>IF($B1616="","",COUNTA($B$5:$B1616))</f>
        <v/>
      </c>
      <c r="B1616" s="53"/>
      <c r="C1616" s="46"/>
      <c r="D1616" s="63" t="str">
        <f>IFERROR(INDEX(基础资料!$F$4:$F$23,MATCH($C1616,基础资料!$E$4:$E$23,0)),IF($C1616="","","未匹配账户"))</f>
        <v/>
      </c>
      <c r="E1616" s="39"/>
      <c r="F1616" s="10"/>
      <c r="G1616" s="10"/>
      <c r="H1616" s="10"/>
      <c r="I1616" s="10"/>
      <c r="J1616" s="10"/>
      <c r="K1616" s="25"/>
      <c r="L1616" s="25"/>
      <c r="M1616" s="25" t="str">
        <f>IFERROR(VLOOKUP($C1616,$C$5:$M$24,11,0)+SUMIF($C$25:$C1616,$C1616,$K$25:$K1616)-SUMIF($C$25:$C1616,$C1616,$L$25:$L1616),"")</f>
        <v/>
      </c>
      <c r="N1616" s="10"/>
      <c r="O1616" s="10"/>
      <c r="P1616" s="65"/>
      <c r="Q1616" s="10"/>
      <c r="R1616" s="10"/>
      <c r="S1616" s="54" t="str">
        <f t="shared" si="81"/>
        <v/>
      </c>
      <c r="T1616" s="54" t="str">
        <f t="shared" si="82"/>
        <v/>
      </c>
      <c r="U1616" s="58" t="str">
        <f t="shared" si="83"/>
        <v/>
      </c>
      <c r="V1616" s="58">
        <f>IF(AND($B1616&lt;&gt;"",$F1616&lt;&gt;"",$F1616=项目明细账!$C$2),N(V1615)+1,N(V1615))</f>
        <v>0</v>
      </c>
      <c r="W1616" s="63" t="str">
        <f>IF($H1616&lt;&gt;"","项目成本",IFERROR(INDEX(基础资料!$W$4:$W$49,MATCH($I1616,基础资料!$V$4:$V$49,0)),""))</f>
        <v/>
      </c>
      <c r="X1616" s="63" t="str">
        <f>IFERROR(INDEX(基础资料!$R$4:$R$17,MATCH($G1616,基础资料!$Q$4:$Q$17,0)),"")</f>
        <v/>
      </c>
    </row>
    <row r="1617" spans="1:24">
      <c r="A1617" s="58" t="str">
        <f>IF($B1617="","",COUNTA($B$5:$B1617))</f>
        <v/>
      </c>
      <c r="B1617" s="53"/>
      <c r="C1617" s="46"/>
      <c r="D1617" s="63" t="str">
        <f>IFERROR(INDEX(基础资料!$F$4:$F$23,MATCH($C1617,基础资料!$E$4:$E$23,0)),IF($C1617="","","未匹配账户"))</f>
        <v/>
      </c>
      <c r="E1617" s="39"/>
      <c r="F1617" s="10"/>
      <c r="G1617" s="10"/>
      <c r="H1617" s="10"/>
      <c r="I1617" s="10"/>
      <c r="J1617" s="10"/>
      <c r="K1617" s="25"/>
      <c r="L1617" s="25"/>
      <c r="M1617" s="25" t="str">
        <f>IFERROR(VLOOKUP($C1617,$C$5:$M$24,11,0)+SUMIF($C$25:$C1617,$C1617,$K$25:$K1617)-SUMIF($C$25:$C1617,$C1617,$L$25:$L1617),"")</f>
        <v/>
      </c>
      <c r="N1617" s="10"/>
      <c r="O1617" s="10"/>
      <c r="P1617" s="65"/>
      <c r="Q1617" s="10"/>
      <c r="R1617" s="10"/>
      <c r="S1617" s="54" t="str">
        <f t="shared" si="81"/>
        <v/>
      </c>
      <c r="T1617" s="54" t="str">
        <f t="shared" si="82"/>
        <v/>
      </c>
      <c r="U1617" s="58" t="str">
        <f t="shared" si="83"/>
        <v/>
      </c>
      <c r="V1617" s="58">
        <f>IF(AND($B1617&lt;&gt;"",$F1617&lt;&gt;"",$F1617=项目明细账!$C$2),N(V1616)+1,N(V1616))</f>
        <v>0</v>
      </c>
      <c r="W1617" s="63" t="str">
        <f>IF($H1617&lt;&gt;"","项目成本",IFERROR(INDEX(基础资料!$W$4:$W$49,MATCH($I1617,基础资料!$V$4:$V$49,0)),""))</f>
        <v/>
      </c>
      <c r="X1617" s="63" t="str">
        <f>IFERROR(INDEX(基础资料!$R$4:$R$17,MATCH($G1617,基础资料!$Q$4:$Q$17,0)),"")</f>
        <v/>
      </c>
    </row>
    <row r="1618" spans="1:24">
      <c r="A1618" s="58" t="str">
        <f>IF($B1618="","",COUNTA($B$5:$B1618))</f>
        <v/>
      </c>
      <c r="B1618" s="53"/>
      <c r="C1618" s="46"/>
      <c r="D1618" s="63" t="str">
        <f>IFERROR(INDEX(基础资料!$F$4:$F$23,MATCH($C1618,基础资料!$E$4:$E$23,0)),IF($C1618="","","未匹配账户"))</f>
        <v/>
      </c>
      <c r="E1618" s="39"/>
      <c r="F1618" s="10"/>
      <c r="G1618" s="10"/>
      <c r="H1618" s="10"/>
      <c r="I1618" s="10"/>
      <c r="J1618" s="10"/>
      <c r="K1618" s="25"/>
      <c r="L1618" s="25"/>
      <c r="M1618" s="25" t="str">
        <f>IFERROR(VLOOKUP($C1618,$C$5:$M$24,11,0)+SUMIF($C$25:$C1618,$C1618,$K$25:$K1618)-SUMIF($C$25:$C1618,$C1618,$L$25:$L1618),"")</f>
        <v/>
      </c>
      <c r="N1618" s="10"/>
      <c r="O1618" s="10"/>
      <c r="P1618" s="65"/>
      <c r="Q1618" s="10"/>
      <c r="R1618" s="10"/>
      <c r="S1618" s="54" t="str">
        <f t="shared" si="81"/>
        <v/>
      </c>
      <c r="T1618" s="54" t="str">
        <f t="shared" si="82"/>
        <v/>
      </c>
      <c r="U1618" s="58" t="str">
        <f t="shared" si="83"/>
        <v/>
      </c>
      <c r="V1618" s="58">
        <f>IF(AND($B1618&lt;&gt;"",$F1618&lt;&gt;"",$F1618=项目明细账!$C$2),N(V1617)+1,N(V1617))</f>
        <v>0</v>
      </c>
      <c r="W1618" s="63" t="str">
        <f>IF($H1618&lt;&gt;"","项目成本",IFERROR(INDEX(基础资料!$W$4:$W$49,MATCH($I1618,基础资料!$V$4:$V$49,0)),""))</f>
        <v/>
      </c>
      <c r="X1618" s="63" t="str">
        <f>IFERROR(INDEX(基础资料!$R$4:$R$17,MATCH($G1618,基础资料!$Q$4:$Q$17,0)),"")</f>
        <v/>
      </c>
    </row>
    <row r="1619" spans="1:24">
      <c r="A1619" s="58" t="str">
        <f>IF($B1619="","",COUNTA($B$5:$B1619))</f>
        <v/>
      </c>
      <c r="B1619" s="53"/>
      <c r="C1619" s="46"/>
      <c r="D1619" s="63" t="str">
        <f>IFERROR(INDEX(基础资料!$F$4:$F$23,MATCH($C1619,基础资料!$E$4:$E$23,0)),IF($C1619="","","未匹配账户"))</f>
        <v/>
      </c>
      <c r="E1619" s="39"/>
      <c r="F1619" s="10"/>
      <c r="G1619" s="10"/>
      <c r="H1619" s="10"/>
      <c r="I1619" s="10"/>
      <c r="J1619" s="10"/>
      <c r="K1619" s="25"/>
      <c r="L1619" s="25"/>
      <c r="M1619" s="25" t="str">
        <f>IFERROR(VLOOKUP($C1619,$C$5:$M$24,11,0)+SUMIF($C$25:$C1619,$C1619,$K$25:$K1619)-SUMIF($C$25:$C1619,$C1619,$L$25:$L1619),"")</f>
        <v/>
      </c>
      <c r="N1619" s="10"/>
      <c r="O1619" s="10"/>
      <c r="P1619" s="65"/>
      <c r="Q1619" s="10"/>
      <c r="R1619" s="10"/>
      <c r="S1619" s="54" t="str">
        <f t="shared" si="81"/>
        <v/>
      </c>
      <c r="T1619" s="54" t="str">
        <f t="shared" si="82"/>
        <v/>
      </c>
      <c r="U1619" s="58" t="str">
        <f t="shared" si="83"/>
        <v/>
      </c>
      <c r="V1619" s="58">
        <f>IF(AND($B1619&lt;&gt;"",$F1619&lt;&gt;"",$F1619=项目明细账!$C$2),N(V1618)+1,N(V1618))</f>
        <v>0</v>
      </c>
      <c r="W1619" s="63" t="str">
        <f>IF($H1619&lt;&gt;"","项目成本",IFERROR(INDEX(基础资料!$W$4:$W$49,MATCH($I1619,基础资料!$V$4:$V$49,0)),""))</f>
        <v/>
      </c>
      <c r="X1619" s="63" t="str">
        <f>IFERROR(INDEX(基础资料!$R$4:$R$17,MATCH($G1619,基础资料!$Q$4:$Q$17,0)),"")</f>
        <v/>
      </c>
    </row>
    <row r="1620" spans="1:24">
      <c r="A1620" s="58" t="str">
        <f>IF($B1620="","",COUNTA($B$5:$B1620))</f>
        <v/>
      </c>
      <c r="B1620" s="53"/>
      <c r="C1620" s="46"/>
      <c r="D1620" s="63" t="str">
        <f>IFERROR(INDEX(基础资料!$F$4:$F$23,MATCH($C1620,基础资料!$E$4:$E$23,0)),IF($C1620="","","未匹配账户"))</f>
        <v/>
      </c>
      <c r="E1620" s="39"/>
      <c r="F1620" s="10"/>
      <c r="G1620" s="10"/>
      <c r="H1620" s="10"/>
      <c r="I1620" s="10"/>
      <c r="J1620" s="10"/>
      <c r="K1620" s="25"/>
      <c r="L1620" s="25"/>
      <c r="M1620" s="25" t="str">
        <f>IFERROR(VLOOKUP($C1620,$C$5:$M$24,11,0)+SUMIF($C$25:$C1620,$C1620,$K$25:$K1620)-SUMIF($C$25:$C1620,$C1620,$L$25:$L1620),"")</f>
        <v/>
      </c>
      <c r="N1620" s="10"/>
      <c r="O1620" s="10"/>
      <c r="P1620" s="65"/>
      <c r="Q1620" s="10"/>
      <c r="R1620" s="10"/>
      <c r="S1620" s="54" t="str">
        <f t="shared" si="81"/>
        <v/>
      </c>
      <c r="T1620" s="54" t="str">
        <f t="shared" si="82"/>
        <v/>
      </c>
      <c r="U1620" s="58" t="str">
        <f t="shared" si="83"/>
        <v/>
      </c>
      <c r="V1620" s="58">
        <f>IF(AND($B1620&lt;&gt;"",$F1620&lt;&gt;"",$F1620=项目明细账!$C$2),N(V1619)+1,N(V1619))</f>
        <v>0</v>
      </c>
      <c r="W1620" s="63" t="str">
        <f>IF($H1620&lt;&gt;"","项目成本",IFERROR(INDEX(基础资料!$W$4:$W$49,MATCH($I1620,基础资料!$V$4:$V$49,0)),""))</f>
        <v/>
      </c>
      <c r="X1620" s="63" t="str">
        <f>IFERROR(INDEX(基础资料!$R$4:$R$17,MATCH($G1620,基础资料!$Q$4:$Q$17,0)),"")</f>
        <v/>
      </c>
    </row>
    <row r="1621" spans="1:24">
      <c r="A1621" s="58" t="str">
        <f>IF($B1621="","",COUNTA($B$5:$B1621))</f>
        <v/>
      </c>
      <c r="B1621" s="53"/>
      <c r="C1621" s="46"/>
      <c r="D1621" s="63" t="str">
        <f>IFERROR(INDEX(基础资料!$F$4:$F$23,MATCH($C1621,基础资料!$E$4:$E$23,0)),IF($C1621="","","未匹配账户"))</f>
        <v/>
      </c>
      <c r="E1621" s="39"/>
      <c r="F1621" s="10"/>
      <c r="G1621" s="10"/>
      <c r="H1621" s="10"/>
      <c r="I1621" s="10"/>
      <c r="J1621" s="10"/>
      <c r="K1621" s="25"/>
      <c r="L1621" s="25"/>
      <c r="M1621" s="25" t="str">
        <f>IFERROR(VLOOKUP($C1621,$C$5:$M$24,11,0)+SUMIF($C$25:$C1621,$C1621,$K$25:$K1621)-SUMIF($C$25:$C1621,$C1621,$L$25:$L1621),"")</f>
        <v/>
      </c>
      <c r="N1621" s="10"/>
      <c r="O1621" s="10"/>
      <c r="P1621" s="65"/>
      <c r="Q1621" s="10"/>
      <c r="R1621" s="10"/>
      <c r="S1621" s="54" t="str">
        <f t="shared" si="81"/>
        <v/>
      </c>
      <c r="T1621" s="54" t="str">
        <f t="shared" si="82"/>
        <v/>
      </c>
      <c r="U1621" s="58" t="str">
        <f t="shared" si="83"/>
        <v/>
      </c>
      <c r="V1621" s="58">
        <f>IF(AND($B1621&lt;&gt;"",$F1621&lt;&gt;"",$F1621=项目明细账!$C$2),N(V1620)+1,N(V1620))</f>
        <v>0</v>
      </c>
      <c r="W1621" s="63" t="str">
        <f>IF($H1621&lt;&gt;"","项目成本",IFERROR(INDEX(基础资料!$W$4:$W$49,MATCH($I1621,基础资料!$V$4:$V$49,0)),""))</f>
        <v/>
      </c>
      <c r="X1621" s="63" t="str">
        <f>IFERROR(INDEX(基础资料!$R$4:$R$17,MATCH($G1621,基础资料!$Q$4:$Q$17,0)),"")</f>
        <v/>
      </c>
    </row>
    <row r="1622" spans="1:24">
      <c r="A1622" s="58" t="str">
        <f>IF($B1622="","",COUNTA($B$5:$B1622))</f>
        <v/>
      </c>
      <c r="B1622" s="53"/>
      <c r="C1622" s="46"/>
      <c r="D1622" s="63" t="str">
        <f>IFERROR(INDEX(基础资料!$F$4:$F$23,MATCH($C1622,基础资料!$E$4:$E$23,0)),IF($C1622="","","未匹配账户"))</f>
        <v/>
      </c>
      <c r="E1622" s="39"/>
      <c r="F1622" s="10"/>
      <c r="G1622" s="10"/>
      <c r="H1622" s="10"/>
      <c r="I1622" s="10"/>
      <c r="J1622" s="10"/>
      <c r="K1622" s="25"/>
      <c r="L1622" s="25"/>
      <c r="M1622" s="25" t="str">
        <f>IFERROR(VLOOKUP($C1622,$C$5:$M$24,11,0)+SUMIF($C$25:$C1622,$C1622,$K$25:$K1622)-SUMIF($C$25:$C1622,$C1622,$L$25:$L1622),"")</f>
        <v/>
      </c>
      <c r="N1622" s="10"/>
      <c r="O1622" s="10"/>
      <c r="P1622" s="65"/>
      <c r="Q1622" s="10"/>
      <c r="R1622" s="10"/>
      <c r="S1622" s="54" t="str">
        <f t="shared" si="81"/>
        <v/>
      </c>
      <c r="T1622" s="54" t="str">
        <f t="shared" si="82"/>
        <v/>
      </c>
      <c r="U1622" s="58" t="str">
        <f t="shared" si="83"/>
        <v/>
      </c>
      <c r="V1622" s="58">
        <f>IF(AND($B1622&lt;&gt;"",$F1622&lt;&gt;"",$F1622=项目明细账!$C$2),N(V1621)+1,N(V1621))</f>
        <v>0</v>
      </c>
      <c r="W1622" s="63" t="str">
        <f>IF($H1622&lt;&gt;"","项目成本",IFERROR(INDEX(基础资料!$W$4:$W$49,MATCH($I1622,基础资料!$V$4:$V$49,0)),""))</f>
        <v/>
      </c>
      <c r="X1622" s="63" t="str">
        <f>IFERROR(INDEX(基础资料!$R$4:$R$17,MATCH($G1622,基础资料!$Q$4:$Q$17,0)),"")</f>
        <v/>
      </c>
    </row>
    <row r="1623" spans="1:24">
      <c r="A1623" s="58" t="str">
        <f>IF($B1623="","",COUNTA($B$5:$B1623))</f>
        <v/>
      </c>
      <c r="B1623" s="53"/>
      <c r="C1623" s="46"/>
      <c r="D1623" s="63" t="str">
        <f>IFERROR(INDEX(基础资料!$F$4:$F$23,MATCH($C1623,基础资料!$E$4:$E$23,0)),IF($C1623="","","未匹配账户"))</f>
        <v/>
      </c>
      <c r="E1623" s="39"/>
      <c r="F1623" s="10"/>
      <c r="G1623" s="10"/>
      <c r="H1623" s="10"/>
      <c r="I1623" s="10"/>
      <c r="J1623" s="10"/>
      <c r="K1623" s="25"/>
      <c r="L1623" s="25"/>
      <c r="M1623" s="25" t="str">
        <f>IFERROR(VLOOKUP($C1623,$C$5:$M$24,11,0)+SUMIF($C$25:$C1623,$C1623,$K$25:$K1623)-SUMIF($C$25:$C1623,$C1623,$L$25:$L1623),"")</f>
        <v/>
      </c>
      <c r="N1623" s="10"/>
      <c r="O1623" s="10"/>
      <c r="P1623" s="65"/>
      <c r="Q1623" s="10"/>
      <c r="R1623" s="10"/>
      <c r="S1623" s="54" t="str">
        <f t="shared" si="81"/>
        <v/>
      </c>
      <c r="T1623" s="54" t="str">
        <f t="shared" si="82"/>
        <v/>
      </c>
      <c r="U1623" s="58" t="str">
        <f t="shared" si="83"/>
        <v/>
      </c>
      <c r="V1623" s="58">
        <f>IF(AND($B1623&lt;&gt;"",$F1623&lt;&gt;"",$F1623=项目明细账!$C$2),N(V1622)+1,N(V1622))</f>
        <v>0</v>
      </c>
      <c r="W1623" s="63" t="str">
        <f>IF($H1623&lt;&gt;"","项目成本",IFERROR(INDEX(基础资料!$W$4:$W$49,MATCH($I1623,基础资料!$V$4:$V$49,0)),""))</f>
        <v/>
      </c>
      <c r="X1623" s="63" t="str">
        <f>IFERROR(INDEX(基础资料!$R$4:$R$17,MATCH($G1623,基础资料!$Q$4:$Q$17,0)),"")</f>
        <v/>
      </c>
    </row>
    <row r="1624" spans="1:24">
      <c r="A1624" s="58" t="str">
        <f>IF($B1624="","",COUNTA($B$5:$B1624))</f>
        <v/>
      </c>
      <c r="B1624" s="53"/>
      <c r="C1624" s="46"/>
      <c r="D1624" s="63" t="str">
        <f>IFERROR(INDEX(基础资料!$F$4:$F$23,MATCH($C1624,基础资料!$E$4:$E$23,0)),IF($C1624="","","未匹配账户"))</f>
        <v/>
      </c>
      <c r="E1624" s="39"/>
      <c r="F1624" s="10"/>
      <c r="G1624" s="10"/>
      <c r="H1624" s="10"/>
      <c r="I1624" s="10"/>
      <c r="J1624" s="10"/>
      <c r="K1624" s="25"/>
      <c r="L1624" s="25"/>
      <c r="M1624" s="25" t="str">
        <f>IFERROR(VLOOKUP($C1624,$C$5:$M$24,11,0)+SUMIF($C$25:$C1624,$C1624,$K$25:$K1624)-SUMIF($C$25:$C1624,$C1624,$L$25:$L1624),"")</f>
        <v/>
      </c>
      <c r="N1624" s="10"/>
      <c r="O1624" s="10"/>
      <c r="P1624" s="65"/>
      <c r="Q1624" s="10"/>
      <c r="R1624" s="10"/>
      <c r="S1624" s="54" t="str">
        <f t="shared" si="81"/>
        <v/>
      </c>
      <c r="T1624" s="54" t="str">
        <f t="shared" si="82"/>
        <v/>
      </c>
      <c r="U1624" s="58" t="str">
        <f t="shared" si="83"/>
        <v/>
      </c>
      <c r="V1624" s="58">
        <f>IF(AND($B1624&lt;&gt;"",$F1624&lt;&gt;"",$F1624=项目明细账!$C$2),N(V1623)+1,N(V1623))</f>
        <v>0</v>
      </c>
      <c r="W1624" s="63" t="str">
        <f>IF($H1624&lt;&gt;"","项目成本",IFERROR(INDEX(基础资料!$W$4:$W$49,MATCH($I1624,基础资料!$V$4:$V$49,0)),""))</f>
        <v/>
      </c>
      <c r="X1624" s="63" t="str">
        <f>IFERROR(INDEX(基础资料!$R$4:$R$17,MATCH($G1624,基础资料!$Q$4:$Q$17,0)),"")</f>
        <v/>
      </c>
    </row>
    <row r="1625" spans="1:24">
      <c r="A1625" s="58" t="str">
        <f>IF($B1625="","",COUNTA($B$5:$B1625))</f>
        <v/>
      </c>
      <c r="B1625" s="53"/>
      <c r="C1625" s="46"/>
      <c r="D1625" s="63" t="str">
        <f>IFERROR(INDEX(基础资料!$F$4:$F$23,MATCH($C1625,基础资料!$E$4:$E$23,0)),IF($C1625="","","未匹配账户"))</f>
        <v/>
      </c>
      <c r="E1625" s="39"/>
      <c r="F1625" s="10"/>
      <c r="G1625" s="10"/>
      <c r="H1625" s="10"/>
      <c r="I1625" s="10"/>
      <c r="J1625" s="10"/>
      <c r="K1625" s="25"/>
      <c r="L1625" s="25"/>
      <c r="M1625" s="25" t="str">
        <f>IFERROR(VLOOKUP($C1625,$C$5:$M$24,11,0)+SUMIF($C$25:$C1625,$C1625,$K$25:$K1625)-SUMIF($C$25:$C1625,$C1625,$L$25:$L1625),"")</f>
        <v/>
      </c>
      <c r="N1625" s="10"/>
      <c r="O1625" s="10"/>
      <c r="P1625" s="65"/>
      <c r="Q1625" s="10"/>
      <c r="R1625" s="10"/>
      <c r="S1625" s="54" t="str">
        <f t="shared" si="81"/>
        <v/>
      </c>
      <c r="T1625" s="54" t="str">
        <f t="shared" si="82"/>
        <v/>
      </c>
      <c r="U1625" s="58" t="str">
        <f t="shared" si="83"/>
        <v/>
      </c>
      <c r="V1625" s="58">
        <f>IF(AND($B1625&lt;&gt;"",$F1625&lt;&gt;"",$F1625=项目明细账!$C$2),N(V1624)+1,N(V1624))</f>
        <v>0</v>
      </c>
      <c r="W1625" s="63" t="str">
        <f>IF($H1625&lt;&gt;"","项目成本",IFERROR(INDEX(基础资料!$W$4:$W$49,MATCH($I1625,基础资料!$V$4:$V$49,0)),""))</f>
        <v/>
      </c>
      <c r="X1625" s="63" t="str">
        <f>IFERROR(INDEX(基础资料!$R$4:$R$17,MATCH($G1625,基础资料!$Q$4:$Q$17,0)),"")</f>
        <v/>
      </c>
    </row>
    <row r="1626" spans="1:24">
      <c r="A1626" s="58" t="str">
        <f>IF($B1626="","",COUNTA($B$5:$B1626))</f>
        <v/>
      </c>
      <c r="B1626" s="53"/>
      <c r="C1626" s="46"/>
      <c r="D1626" s="63" t="str">
        <f>IFERROR(INDEX(基础资料!$F$4:$F$23,MATCH($C1626,基础资料!$E$4:$E$23,0)),IF($C1626="","","未匹配账户"))</f>
        <v/>
      </c>
      <c r="E1626" s="39"/>
      <c r="F1626" s="10"/>
      <c r="G1626" s="10"/>
      <c r="H1626" s="10"/>
      <c r="I1626" s="10"/>
      <c r="J1626" s="10"/>
      <c r="K1626" s="25"/>
      <c r="L1626" s="25"/>
      <c r="M1626" s="25" t="str">
        <f>IFERROR(VLOOKUP($C1626,$C$5:$M$24,11,0)+SUMIF($C$25:$C1626,$C1626,$K$25:$K1626)-SUMIF($C$25:$C1626,$C1626,$L$25:$L1626),"")</f>
        <v/>
      </c>
      <c r="N1626" s="10"/>
      <c r="O1626" s="10"/>
      <c r="P1626" s="65"/>
      <c r="Q1626" s="10"/>
      <c r="R1626" s="10"/>
      <c r="S1626" s="54" t="str">
        <f t="shared" si="81"/>
        <v/>
      </c>
      <c r="T1626" s="54" t="str">
        <f t="shared" si="82"/>
        <v/>
      </c>
      <c r="U1626" s="58" t="str">
        <f t="shared" si="83"/>
        <v/>
      </c>
      <c r="V1626" s="58">
        <f>IF(AND($B1626&lt;&gt;"",$F1626&lt;&gt;"",$F1626=项目明细账!$C$2),N(V1625)+1,N(V1625))</f>
        <v>0</v>
      </c>
      <c r="W1626" s="63" t="str">
        <f>IF($H1626&lt;&gt;"","项目成本",IFERROR(INDEX(基础资料!$W$4:$W$49,MATCH($I1626,基础资料!$V$4:$V$49,0)),""))</f>
        <v/>
      </c>
      <c r="X1626" s="63" t="str">
        <f>IFERROR(INDEX(基础资料!$R$4:$R$17,MATCH($G1626,基础资料!$Q$4:$Q$17,0)),"")</f>
        <v/>
      </c>
    </row>
    <row r="1627" spans="1:24">
      <c r="A1627" s="58" t="str">
        <f>IF($B1627="","",COUNTA($B$5:$B1627))</f>
        <v/>
      </c>
      <c r="B1627" s="53"/>
      <c r="C1627" s="46"/>
      <c r="D1627" s="63" t="str">
        <f>IFERROR(INDEX(基础资料!$F$4:$F$23,MATCH($C1627,基础资料!$E$4:$E$23,0)),IF($C1627="","","未匹配账户"))</f>
        <v/>
      </c>
      <c r="E1627" s="39"/>
      <c r="F1627" s="10"/>
      <c r="G1627" s="10"/>
      <c r="H1627" s="10"/>
      <c r="I1627" s="10"/>
      <c r="J1627" s="10"/>
      <c r="K1627" s="25"/>
      <c r="L1627" s="25"/>
      <c r="M1627" s="25" t="str">
        <f>IFERROR(VLOOKUP($C1627,$C$5:$M$24,11,0)+SUMIF($C$25:$C1627,$C1627,$K$25:$K1627)-SUMIF($C$25:$C1627,$C1627,$L$25:$L1627),"")</f>
        <v/>
      </c>
      <c r="N1627" s="10"/>
      <c r="O1627" s="10"/>
      <c r="P1627" s="65"/>
      <c r="Q1627" s="10"/>
      <c r="R1627" s="10"/>
      <c r="S1627" s="54" t="str">
        <f t="shared" si="81"/>
        <v/>
      </c>
      <c r="T1627" s="54" t="str">
        <f t="shared" si="82"/>
        <v/>
      </c>
      <c r="U1627" s="58" t="str">
        <f t="shared" si="83"/>
        <v/>
      </c>
      <c r="V1627" s="58">
        <f>IF(AND($B1627&lt;&gt;"",$F1627&lt;&gt;"",$F1627=项目明细账!$C$2),N(V1626)+1,N(V1626))</f>
        <v>0</v>
      </c>
      <c r="W1627" s="63" t="str">
        <f>IF($H1627&lt;&gt;"","项目成本",IFERROR(INDEX(基础资料!$W$4:$W$49,MATCH($I1627,基础资料!$V$4:$V$49,0)),""))</f>
        <v/>
      </c>
      <c r="X1627" s="63" t="str">
        <f>IFERROR(INDEX(基础资料!$R$4:$R$17,MATCH($G1627,基础资料!$Q$4:$Q$17,0)),"")</f>
        <v/>
      </c>
    </row>
    <row r="1628" spans="1:24">
      <c r="A1628" s="58" t="str">
        <f>IF($B1628="","",COUNTA($B$5:$B1628))</f>
        <v/>
      </c>
      <c r="B1628" s="53"/>
      <c r="C1628" s="46"/>
      <c r="D1628" s="63" t="str">
        <f>IFERROR(INDEX(基础资料!$F$4:$F$23,MATCH($C1628,基础资料!$E$4:$E$23,0)),IF($C1628="","","未匹配账户"))</f>
        <v/>
      </c>
      <c r="E1628" s="39"/>
      <c r="F1628" s="10"/>
      <c r="G1628" s="10"/>
      <c r="H1628" s="10"/>
      <c r="I1628" s="10"/>
      <c r="J1628" s="10"/>
      <c r="K1628" s="25"/>
      <c r="L1628" s="25"/>
      <c r="M1628" s="25" t="str">
        <f>IFERROR(VLOOKUP($C1628,$C$5:$M$24,11,0)+SUMIF($C$25:$C1628,$C1628,$K$25:$K1628)-SUMIF($C$25:$C1628,$C1628,$L$25:$L1628),"")</f>
        <v/>
      </c>
      <c r="N1628" s="10"/>
      <c r="O1628" s="10"/>
      <c r="P1628" s="65"/>
      <c r="Q1628" s="10"/>
      <c r="R1628" s="10"/>
      <c r="S1628" s="54" t="str">
        <f t="shared" si="81"/>
        <v/>
      </c>
      <c r="T1628" s="54" t="str">
        <f t="shared" si="82"/>
        <v/>
      </c>
      <c r="U1628" s="58" t="str">
        <f t="shared" si="83"/>
        <v/>
      </c>
      <c r="V1628" s="58">
        <f>IF(AND($B1628&lt;&gt;"",$F1628&lt;&gt;"",$F1628=项目明细账!$C$2),N(V1627)+1,N(V1627))</f>
        <v>0</v>
      </c>
      <c r="W1628" s="63" t="str">
        <f>IF($H1628&lt;&gt;"","项目成本",IFERROR(INDEX(基础资料!$W$4:$W$49,MATCH($I1628,基础资料!$V$4:$V$49,0)),""))</f>
        <v/>
      </c>
      <c r="X1628" s="63" t="str">
        <f>IFERROR(INDEX(基础资料!$R$4:$R$17,MATCH($G1628,基础资料!$Q$4:$Q$17,0)),"")</f>
        <v/>
      </c>
    </row>
    <row r="1629" spans="1:24">
      <c r="A1629" s="58" t="str">
        <f>IF($B1629="","",COUNTA($B$5:$B1629))</f>
        <v/>
      </c>
      <c r="B1629" s="53"/>
      <c r="C1629" s="46"/>
      <c r="D1629" s="63" t="str">
        <f>IFERROR(INDEX(基础资料!$F$4:$F$23,MATCH($C1629,基础资料!$E$4:$E$23,0)),IF($C1629="","","未匹配账户"))</f>
        <v/>
      </c>
      <c r="E1629" s="39"/>
      <c r="F1629" s="10"/>
      <c r="G1629" s="10"/>
      <c r="H1629" s="10"/>
      <c r="I1629" s="10"/>
      <c r="J1629" s="10"/>
      <c r="K1629" s="25"/>
      <c r="L1629" s="25"/>
      <c r="M1629" s="25" t="str">
        <f>IFERROR(VLOOKUP($C1629,$C$5:$M$24,11,0)+SUMIF($C$25:$C1629,$C1629,$K$25:$K1629)-SUMIF($C$25:$C1629,$C1629,$L$25:$L1629),"")</f>
        <v/>
      </c>
      <c r="N1629" s="10"/>
      <c r="O1629" s="10"/>
      <c r="P1629" s="65"/>
      <c r="Q1629" s="10"/>
      <c r="R1629" s="10"/>
      <c r="S1629" s="54" t="str">
        <f t="shared" si="81"/>
        <v/>
      </c>
      <c r="T1629" s="54" t="str">
        <f t="shared" si="82"/>
        <v/>
      </c>
      <c r="U1629" s="58" t="str">
        <f t="shared" si="83"/>
        <v/>
      </c>
      <c r="V1629" s="58">
        <f>IF(AND($B1629&lt;&gt;"",$F1629&lt;&gt;"",$F1629=项目明细账!$C$2),N(V1628)+1,N(V1628))</f>
        <v>0</v>
      </c>
      <c r="W1629" s="63" t="str">
        <f>IF($H1629&lt;&gt;"","项目成本",IFERROR(INDEX(基础资料!$W$4:$W$49,MATCH($I1629,基础资料!$V$4:$V$49,0)),""))</f>
        <v/>
      </c>
      <c r="X1629" s="63" t="str">
        <f>IFERROR(INDEX(基础资料!$R$4:$R$17,MATCH($G1629,基础资料!$Q$4:$Q$17,0)),"")</f>
        <v/>
      </c>
    </row>
    <row r="1630" spans="1:24">
      <c r="A1630" s="58" t="str">
        <f>IF($B1630="","",COUNTA($B$5:$B1630))</f>
        <v/>
      </c>
      <c r="B1630" s="53"/>
      <c r="C1630" s="46"/>
      <c r="D1630" s="63" t="str">
        <f>IFERROR(INDEX(基础资料!$F$4:$F$23,MATCH($C1630,基础资料!$E$4:$E$23,0)),IF($C1630="","","未匹配账户"))</f>
        <v/>
      </c>
      <c r="E1630" s="39"/>
      <c r="F1630" s="10"/>
      <c r="G1630" s="10"/>
      <c r="H1630" s="10"/>
      <c r="I1630" s="10"/>
      <c r="J1630" s="10"/>
      <c r="K1630" s="25"/>
      <c r="L1630" s="25"/>
      <c r="M1630" s="25" t="str">
        <f>IFERROR(VLOOKUP($C1630,$C$5:$M$24,11,0)+SUMIF($C$25:$C1630,$C1630,$K$25:$K1630)-SUMIF($C$25:$C1630,$C1630,$L$25:$L1630),"")</f>
        <v/>
      </c>
      <c r="N1630" s="10"/>
      <c r="O1630" s="10"/>
      <c r="P1630" s="65"/>
      <c r="Q1630" s="10"/>
      <c r="R1630" s="10"/>
      <c r="S1630" s="54" t="str">
        <f t="shared" si="81"/>
        <v/>
      </c>
      <c r="T1630" s="54" t="str">
        <f t="shared" si="82"/>
        <v/>
      </c>
      <c r="U1630" s="58" t="str">
        <f t="shared" si="83"/>
        <v/>
      </c>
      <c r="V1630" s="58">
        <f>IF(AND($B1630&lt;&gt;"",$F1630&lt;&gt;"",$F1630=项目明细账!$C$2),N(V1629)+1,N(V1629))</f>
        <v>0</v>
      </c>
      <c r="W1630" s="63" t="str">
        <f>IF($H1630&lt;&gt;"","项目成本",IFERROR(INDEX(基础资料!$W$4:$W$49,MATCH($I1630,基础资料!$V$4:$V$49,0)),""))</f>
        <v/>
      </c>
      <c r="X1630" s="63" t="str">
        <f>IFERROR(INDEX(基础资料!$R$4:$R$17,MATCH($G1630,基础资料!$Q$4:$Q$17,0)),"")</f>
        <v/>
      </c>
    </row>
    <row r="1631" spans="1:24">
      <c r="A1631" s="58" t="str">
        <f>IF($B1631="","",COUNTA($B$5:$B1631))</f>
        <v/>
      </c>
      <c r="B1631" s="53"/>
      <c r="C1631" s="46"/>
      <c r="D1631" s="63" t="str">
        <f>IFERROR(INDEX(基础资料!$F$4:$F$23,MATCH($C1631,基础资料!$E$4:$E$23,0)),IF($C1631="","","未匹配账户"))</f>
        <v/>
      </c>
      <c r="E1631" s="39"/>
      <c r="F1631" s="10"/>
      <c r="G1631" s="10"/>
      <c r="H1631" s="10"/>
      <c r="I1631" s="10"/>
      <c r="J1631" s="10"/>
      <c r="K1631" s="25"/>
      <c r="L1631" s="25"/>
      <c r="M1631" s="25" t="str">
        <f>IFERROR(VLOOKUP($C1631,$C$5:$M$24,11,0)+SUMIF($C$25:$C1631,$C1631,$K$25:$K1631)-SUMIF($C$25:$C1631,$C1631,$L$25:$L1631),"")</f>
        <v/>
      </c>
      <c r="N1631" s="10"/>
      <c r="O1631" s="10"/>
      <c r="P1631" s="65"/>
      <c r="Q1631" s="10"/>
      <c r="R1631" s="10"/>
      <c r="S1631" s="54" t="str">
        <f t="shared" si="81"/>
        <v/>
      </c>
      <c r="T1631" s="54" t="str">
        <f t="shared" si="82"/>
        <v/>
      </c>
      <c r="U1631" s="58" t="str">
        <f t="shared" si="83"/>
        <v/>
      </c>
      <c r="V1631" s="58">
        <f>IF(AND($B1631&lt;&gt;"",$F1631&lt;&gt;"",$F1631=项目明细账!$C$2),N(V1630)+1,N(V1630))</f>
        <v>0</v>
      </c>
      <c r="W1631" s="63" t="str">
        <f>IF($H1631&lt;&gt;"","项目成本",IFERROR(INDEX(基础资料!$W$4:$W$49,MATCH($I1631,基础资料!$V$4:$V$49,0)),""))</f>
        <v/>
      </c>
      <c r="X1631" s="63" t="str">
        <f>IFERROR(INDEX(基础资料!$R$4:$R$17,MATCH($G1631,基础资料!$Q$4:$Q$17,0)),"")</f>
        <v/>
      </c>
    </row>
    <row r="1632" spans="1:24">
      <c r="A1632" s="58" t="str">
        <f>IF($B1632="","",COUNTA($B$5:$B1632))</f>
        <v/>
      </c>
      <c r="B1632" s="53"/>
      <c r="C1632" s="46"/>
      <c r="D1632" s="63" t="str">
        <f>IFERROR(INDEX(基础资料!$F$4:$F$23,MATCH($C1632,基础资料!$E$4:$E$23,0)),IF($C1632="","","未匹配账户"))</f>
        <v/>
      </c>
      <c r="E1632" s="39"/>
      <c r="F1632" s="10"/>
      <c r="G1632" s="10"/>
      <c r="H1632" s="10"/>
      <c r="I1632" s="10"/>
      <c r="J1632" s="10"/>
      <c r="K1632" s="25"/>
      <c r="L1632" s="25"/>
      <c r="M1632" s="25" t="str">
        <f>IFERROR(VLOOKUP($C1632,$C$5:$M$24,11,0)+SUMIF($C$25:$C1632,$C1632,$K$25:$K1632)-SUMIF($C$25:$C1632,$C1632,$L$25:$L1632),"")</f>
        <v/>
      </c>
      <c r="N1632" s="10"/>
      <c r="O1632" s="10"/>
      <c r="P1632" s="65"/>
      <c r="Q1632" s="10"/>
      <c r="R1632" s="10"/>
      <c r="S1632" s="54" t="str">
        <f t="shared" si="81"/>
        <v/>
      </c>
      <c r="T1632" s="54" t="str">
        <f t="shared" si="82"/>
        <v/>
      </c>
      <c r="U1632" s="58" t="str">
        <f t="shared" si="83"/>
        <v/>
      </c>
      <c r="V1632" s="58">
        <f>IF(AND($B1632&lt;&gt;"",$F1632&lt;&gt;"",$F1632=项目明细账!$C$2),N(V1631)+1,N(V1631))</f>
        <v>0</v>
      </c>
      <c r="W1632" s="63" t="str">
        <f>IF($H1632&lt;&gt;"","项目成本",IFERROR(INDEX(基础资料!$W$4:$W$49,MATCH($I1632,基础资料!$V$4:$V$49,0)),""))</f>
        <v/>
      </c>
      <c r="X1632" s="63" t="str">
        <f>IFERROR(INDEX(基础资料!$R$4:$R$17,MATCH($G1632,基础资料!$Q$4:$Q$17,0)),"")</f>
        <v/>
      </c>
    </row>
    <row r="1633" spans="1:24">
      <c r="A1633" s="58" t="str">
        <f>IF($B1633="","",COUNTA($B$5:$B1633))</f>
        <v/>
      </c>
      <c r="B1633" s="53"/>
      <c r="C1633" s="46"/>
      <c r="D1633" s="63" t="str">
        <f>IFERROR(INDEX(基础资料!$F$4:$F$23,MATCH($C1633,基础资料!$E$4:$E$23,0)),IF($C1633="","","未匹配账户"))</f>
        <v/>
      </c>
      <c r="E1633" s="39"/>
      <c r="F1633" s="10"/>
      <c r="G1633" s="10"/>
      <c r="H1633" s="10"/>
      <c r="I1633" s="10"/>
      <c r="J1633" s="10"/>
      <c r="K1633" s="25"/>
      <c r="L1633" s="25"/>
      <c r="M1633" s="25" t="str">
        <f>IFERROR(VLOOKUP($C1633,$C$5:$M$24,11,0)+SUMIF($C$25:$C1633,$C1633,$K$25:$K1633)-SUMIF($C$25:$C1633,$C1633,$L$25:$L1633),"")</f>
        <v/>
      </c>
      <c r="N1633" s="10"/>
      <c r="O1633" s="10"/>
      <c r="P1633" s="65"/>
      <c r="Q1633" s="10"/>
      <c r="R1633" s="10"/>
      <c r="S1633" s="54" t="str">
        <f t="shared" si="81"/>
        <v/>
      </c>
      <c r="T1633" s="54" t="str">
        <f t="shared" si="82"/>
        <v/>
      </c>
      <c r="U1633" s="58" t="str">
        <f t="shared" si="83"/>
        <v/>
      </c>
      <c r="V1633" s="58">
        <f>IF(AND($B1633&lt;&gt;"",$F1633&lt;&gt;"",$F1633=项目明细账!$C$2),N(V1632)+1,N(V1632))</f>
        <v>0</v>
      </c>
      <c r="W1633" s="63" t="str">
        <f>IF($H1633&lt;&gt;"","项目成本",IFERROR(INDEX(基础资料!$W$4:$W$49,MATCH($I1633,基础资料!$V$4:$V$49,0)),""))</f>
        <v/>
      </c>
      <c r="X1633" s="63" t="str">
        <f>IFERROR(INDEX(基础资料!$R$4:$R$17,MATCH($G1633,基础资料!$Q$4:$Q$17,0)),"")</f>
        <v/>
      </c>
    </row>
    <row r="1634" spans="1:24">
      <c r="A1634" s="58" t="str">
        <f>IF($B1634="","",COUNTA($B$5:$B1634))</f>
        <v/>
      </c>
      <c r="B1634" s="53"/>
      <c r="C1634" s="46"/>
      <c r="D1634" s="63" t="str">
        <f>IFERROR(INDEX(基础资料!$F$4:$F$23,MATCH($C1634,基础资料!$E$4:$E$23,0)),IF($C1634="","","未匹配账户"))</f>
        <v/>
      </c>
      <c r="E1634" s="39"/>
      <c r="F1634" s="10"/>
      <c r="G1634" s="10"/>
      <c r="H1634" s="10"/>
      <c r="I1634" s="10"/>
      <c r="J1634" s="10"/>
      <c r="K1634" s="25"/>
      <c r="L1634" s="25"/>
      <c r="M1634" s="25" t="str">
        <f>IFERROR(VLOOKUP($C1634,$C$5:$M$24,11,0)+SUMIF($C$25:$C1634,$C1634,$K$25:$K1634)-SUMIF($C$25:$C1634,$C1634,$L$25:$L1634),"")</f>
        <v/>
      </c>
      <c r="N1634" s="10"/>
      <c r="O1634" s="10"/>
      <c r="P1634" s="65"/>
      <c r="Q1634" s="10"/>
      <c r="R1634" s="10"/>
      <c r="S1634" s="54" t="str">
        <f t="shared" si="81"/>
        <v/>
      </c>
      <c r="T1634" s="54" t="str">
        <f t="shared" si="82"/>
        <v/>
      </c>
      <c r="U1634" s="58" t="str">
        <f t="shared" si="83"/>
        <v/>
      </c>
      <c r="V1634" s="58">
        <f>IF(AND($B1634&lt;&gt;"",$F1634&lt;&gt;"",$F1634=项目明细账!$C$2),N(V1633)+1,N(V1633))</f>
        <v>0</v>
      </c>
      <c r="W1634" s="63" t="str">
        <f>IF($H1634&lt;&gt;"","项目成本",IFERROR(INDEX(基础资料!$W$4:$W$49,MATCH($I1634,基础资料!$V$4:$V$49,0)),""))</f>
        <v/>
      </c>
      <c r="X1634" s="63" t="str">
        <f>IFERROR(INDEX(基础资料!$R$4:$R$17,MATCH($G1634,基础资料!$Q$4:$Q$17,0)),"")</f>
        <v/>
      </c>
    </row>
    <row r="1635" spans="1:24">
      <c r="A1635" s="58" t="str">
        <f>IF($B1635="","",COUNTA($B$5:$B1635))</f>
        <v/>
      </c>
      <c r="B1635" s="53"/>
      <c r="C1635" s="46"/>
      <c r="D1635" s="63" t="str">
        <f>IFERROR(INDEX(基础资料!$F$4:$F$23,MATCH($C1635,基础资料!$E$4:$E$23,0)),IF($C1635="","","未匹配账户"))</f>
        <v/>
      </c>
      <c r="E1635" s="39"/>
      <c r="F1635" s="10"/>
      <c r="G1635" s="10"/>
      <c r="H1635" s="10"/>
      <c r="I1635" s="10"/>
      <c r="J1635" s="10"/>
      <c r="K1635" s="25"/>
      <c r="L1635" s="25"/>
      <c r="M1635" s="25" t="str">
        <f>IFERROR(VLOOKUP($C1635,$C$5:$M$24,11,0)+SUMIF($C$25:$C1635,$C1635,$K$25:$K1635)-SUMIF($C$25:$C1635,$C1635,$L$25:$L1635),"")</f>
        <v/>
      </c>
      <c r="N1635" s="10"/>
      <c r="O1635" s="10"/>
      <c r="P1635" s="65"/>
      <c r="Q1635" s="10"/>
      <c r="R1635" s="10"/>
      <c r="S1635" s="54" t="str">
        <f t="shared" si="81"/>
        <v/>
      </c>
      <c r="T1635" s="54" t="str">
        <f t="shared" si="82"/>
        <v/>
      </c>
      <c r="U1635" s="58" t="str">
        <f t="shared" si="83"/>
        <v/>
      </c>
      <c r="V1635" s="58">
        <f>IF(AND($B1635&lt;&gt;"",$F1635&lt;&gt;"",$F1635=项目明细账!$C$2),N(V1634)+1,N(V1634))</f>
        <v>0</v>
      </c>
      <c r="W1635" s="63" t="str">
        <f>IF($H1635&lt;&gt;"","项目成本",IFERROR(INDEX(基础资料!$W$4:$W$49,MATCH($I1635,基础资料!$V$4:$V$49,0)),""))</f>
        <v/>
      </c>
      <c r="X1635" s="63" t="str">
        <f>IFERROR(INDEX(基础资料!$R$4:$R$17,MATCH($G1635,基础资料!$Q$4:$Q$17,0)),"")</f>
        <v/>
      </c>
    </row>
    <row r="1636" spans="1:24">
      <c r="A1636" s="58" t="str">
        <f>IF($B1636="","",COUNTA($B$5:$B1636))</f>
        <v/>
      </c>
      <c r="B1636" s="53"/>
      <c r="C1636" s="46"/>
      <c r="D1636" s="63" t="str">
        <f>IFERROR(INDEX(基础资料!$F$4:$F$23,MATCH($C1636,基础资料!$E$4:$E$23,0)),IF($C1636="","","未匹配账户"))</f>
        <v/>
      </c>
      <c r="E1636" s="39"/>
      <c r="F1636" s="10"/>
      <c r="G1636" s="10"/>
      <c r="H1636" s="10"/>
      <c r="I1636" s="10"/>
      <c r="J1636" s="10"/>
      <c r="K1636" s="25"/>
      <c r="L1636" s="25"/>
      <c r="M1636" s="25" t="str">
        <f>IFERROR(VLOOKUP($C1636,$C$5:$M$24,11,0)+SUMIF($C$25:$C1636,$C1636,$K$25:$K1636)-SUMIF($C$25:$C1636,$C1636,$L$25:$L1636),"")</f>
        <v/>
      </c>
      <c r="N1636" s="10"/>
      <c r="O1636" s="10"/>
      <c r="P1636" s="65"/>
      <c r="Q1636" s="10"/>
      <c r="R1636" s="10"/>
      <c r="S1636" s="54" t="str">
        <f t="shared" si="81"/>
        <v/>
      </c>
      <c r="T1636" s="54" t="str">
        <f t="shared" si="82"/>
        <v/>
      </c>
      <c r="U1636" s="58" t="str">
        <f t="shared" si="83"/>
        <v/>
      </c>
      <c r="V1636" s="58">
        <f>IF(AND($B1636&lt;&gt;"",$F1636&lt;&gt;"",$F1636=项目明细账!$C$2),N(V1635)+1,N(V1635))</f>
        <v>0</v>
      </c>
      <c r="W1636" s="63" t="str">
        <f>IF($H1636&lt;&gt;"","项目成本",IFERROR(INDEX(基础资料!$W$4:$W$49,MATCH($I1636,基础资料!$V$4:$V$49,0)),""))</f>
        <v/>
      </c>
      <c r="X1636" s="63" t="str">
        <f>IFERROR(INDEX(基础资料!$R$4:$R$17,MATCH($G1636,基础资料!$Q$4:$Q$17,0)),"")</f>
        <v/>
      </c>
    </row>
    <row r="1637" spans="1:24">
      <c r="A1637" s="58" t="str">
        <f>IF($B1637="","",COUNTA($B$5:$B1637))</f>
        <v/>
      </c>
      <c r="B1637" s="53"/>
      <c r="C1637" s="46"/>
      <c r="D1637" s="63" t="str">
        <f>IFERROR(INDEX(基础资料!$F$4:$F$23,MATCH($C1637,基础资料!$E$4:$E$23,0)),IF($C1637="","","未匹配账户"))</f>
        <v/>
      </c>
      <c r="E1637" s="39"/>
      <c r="F1637" s="10"/>
      <c r="G1637" s="10"/>
      <c r="H1637" s="10"/>
      <c r="I1637" s="10"/>
      <c r="J1637" s="10"/>
      <c r="K1637" s="25"/>
      <c r="L1637" s="25"/>
      <c r="M1637" s="25" t="str">
        <f>IFERROR(VLOOKUP($C1637,$C$5:$M$24,11,0)+SUMIF($C$25:$C1637,$C1637,$K$25:$K1637)-SUMIF($C$25:$C1637,$C1637,$L$25:$L1637),"")</f>
        <v/>
      </c>
      <c r="N1637" s="10"/>
      <c r="O1637" s="10"/>
      <c r="P1637" s="65"/>
      <c r="Q1637" s="10"/>
      <c r="R1637" s="10"/>
      <c r="S1637" s="54" t="str">
        <f t="shared" si="81"/>
        <v/>
      </c>
      <c r="T1637" s="54" t="str">
        <f t="shared" si="82"/>
        <v/>
      </c>
      <c r="U1637" s="58" t="str">
        <f t="shared" si="83"/>
        <v/>
      </c>
      <c r="V1637" s="58">
        <f>IF(AND($B1637&lt;&gt;"",$F1637&lt;&gt;"",$F1637=项目明细账!$C$2),N(V1636)+1,N(V1636))</f>
        <v>0</v>
      </c>
      <c r="W1637" s="63" t="str">
        <f>IF($H1637&lt;&gt;"","项目成本",IFERROR(INDEX(基础资料!$W$4:$W$49,MATCH($I1637,基础资料!$V$4:$V$49,0)),""))</f>
        <v/>
      </c>
      <c r="X1637" s="63" t="str">
        <f>IFERROR(INDEX(基础资料!$R$4:$R$17,MATCH($G1637,基础资料!$Q$4:$Q$17,0)),"")</f>
        <v/>
      </c>
    </row>
    <row r="1638" spans="1:24">
      <c r="A1638" s="58" t="str">
        <f>IF($B1638="","",COUNTA($B$5:$B1638))</f>
        <v/>
      </c>
      <c r="B1638" s="53"/>
      <c r="C1638" s="46"/>
      <c r="D1638" s="63" t="str">
        <f>IFERROR(INDEX(基础资料!$F$4:$F$23,MATCH($C1638,基础资料!$E$4:$E$23,0)),IF($C1638="","","未匹配账户"))</f>
        <v/>
      </c>
      <c r="E1638" s="39"/>
      <c r="F1638" s="10"/>
      <c r="G1638" s="10"/>
      <c r="H1638" s="10"/>
      <c r="I1638" s="10"/>
      <c r="J1638" s="10"/>
      <c r="K1638" s="25"/>
      <c r="L1638" s="25"/>
      <c r="M1638" s="25" t="str">
        <f>IFERROR(VLOOKUP($C1638,$C$5:$M$24,11,0)+SUMIF($C$25:$C1638,$C1638,$K$25:$K1638)-SUMIF($C$25:$C1638,$C1638,$L$25:$L1638),"")</f>
        <v/>
      </c>
      <c r="N1638" s="10"/>
      <c r="O1638" s="10"/>
      <c r="P1638" s="65"/>
      <c r="Q1638" s="10"/>
      <c r="R1638" s="10"/>
      <c r="S1638" s="54" t="str">
        <f t="shared" si="81"/>
        <v/>
      </c>
      <c r="T1638" s="54" t="str">
        <f t="shared" si="82"/>
        <v/>
      </c>
      <c r="U1638" s="58" t="str">
        <f t="shared" si="83"/>
        <v/>
      </c>
      <c r="V1638" s="58">
        <f>IF(AND($B1638&lt;&gt;"",$F1638&lt;&gt;"",$F1638=项目明细账!$C$2),N(V1637)+1,N(V1637))</f>
        <v>0</v>
      </c>
      <c r="W1638" s="63" t="str">
        <f>IF($H1638&lt;&gt;"","项目成本",IFERROR(INDEX(基础资料!$W$4:$W$49,MATCH($I1638,基础资料!$V$4:$V$49,0)),""))</f>
        <v/>
      </c>
      <c r="X1638" s="63" t="str">
        <f>IFERROR(INDEX(基础资料!$R$4:$R$17,MATCH($G1638,基础资料!$Q$4:$Q$17,0)),"")</f>
        <v/>
      </c>
    </row>
    <row r="1639" spans="1:24">
      <c r="A1639" s="58" t="str">
        <f>IF($B1639="","",COUNTA($B$5:$B1639))</f>
        <v/>
      </c>
      <c r="B1639" s="53"/>
      <c r="C1639" s="46"/>
      <c r="D1639" s="63" t="str">
        <f>IFERROR(INDEX(基础资料!$F$4:$F$23,MATCH($C1639,基础资料!$E$4:$E$23,0)),IF($C1639="","","未匹配账户"))</f>
        <v/>
      </c>
      <c r="E1639" s="39"/>
      <c r="F1639" s="10"/>
      <c r="G1639" s="10"/>
      <c r="H1639" s="10"/>
      <c r="I1639" s="10"/>
      <c r="J1639" s="10"/>
      <c r="K1639" s="25"/>
      <c r="L1639" s="25"/>
      <c r="M1639" s="25" t="str">
        <f>IFERROR(VLOOKUP($C1639,$C$5:$M$24,11,0)+SUMIF($C$25:$C1639,$C1639,$K$25:$K1639)-SUMIF($C$25:$C1639,$C1639,$L$25:$L1639),"")</f>
        <v/>
      </c>
      <c r="N1639" s="10"/>
      <c r="O1639" s="10"/>
      <c r="P1639" s="65"/>
      <c r="Q1639" s="10"/>
      <c r="R1639" s="10"/>
      <c r="S1639" s="54" t="str">
        <f t="shared" si="81"/>
        <v/>
      </c>
      <c r="T1639" s="54" t="str">
        <f t="shared" si="82"/>
        <v/>
      </c>
      <c r="U1639" s="58" t="str">
        <f t="shared" si="83"/>
        <v/>
      </c>
      <c r="V1639" s="58">
        <f>IF(AND($B1639&lt;&gt;"",$F1639&lt;&gt;"",$F1639=项目明细账!$C$2),N(V1638)+1,N(V1638))</f>
        <v>0</v>
      </c>
      <c r="W1639" s="63" t="str">
        <f>IF($H1639&lt;&gt;"","项目成本",IFERROR(INDEX(基础资料!$W$4:$W$49,MATCH($I1639,基础资料!$V$4:$V$49,0)),""))</f>
        <v/>
      </c>
      <c r="X1639" s="63" t="str">
        <f>IFERROR(INDEX(基础资料!$R$4:$R$17,MATCH($G1639,基础资料!$Q$4:$Q$17,0)),"")</f>
        <v/>
      </c>
    </row>
    <row r="1640" spans="1:24">
      <c r="A1640" s="58" t="str">
        <f>IF($B1640="","",COUNTA($B$5:$B1640))</f>
        <v/>
      </c>
      <c r="B1640" s="53"/>
      <c r="C1640" s="46"/>
      <c r="D1640" s="63" t="str">
        <f>IFERROR(INDEX(基础资料!$F$4:$F$23,MATCH($C1640,基础资料!$E$4:$E$23,0)),IF($C1640="","","未匹配账户"))</f>
        <v/>
      </c>
      <c r="E1640" s="39"/>
      <c r="F1640" s="10"/>
      <c r="G1640" s="10"/>
      <c r="H1640" s="10"/>
      <c r="I1640" s="10"/>
      <c r="J1640" s="10"/>
      <c r="K1640" s="25"/>
      <c r="L1640" s="25"/>
      <c r="M1640" s="25" t="str">
        <f>IFERROR(VLOOKUP($C1640,$C$5:$M$24,11,0)+SUMIF($C$25:$C1640,$C1640,$K$25:$K1640)-SUMIF($C$25:$C1640,$C1640,$L$25:$L1640),"")</f>
        <v/>
      </c>
      <c r="N1640" s="10"/>
      <c r="O1640" s="10"/>
      <c r="P1640" s="65"/>
      <c r="Q1640" s="10"/>
      <c r="R1640" s="10"/>
      <c r="S1640" s="54" t="str">
        <f t="shared" si="81"/>
        <v/>
      </c>
      <c r="T1640" s="54" t="str">
        <f t="shared" si="82"/>
        <v/>
      </c>
      <c r="U1640" s="58" t="str">
        <f t="shared" si="83"/>
        <v/>
      </c>
      <c r="V1640" s="58">
        <f>IF(AND($B1640&lt;&gt;"",$F1640&lt;&gt;"",$F1640=项目明细账!$C$2),N(V1639)+1,N(V1639))</f>
        <v>0</v>
      </c>
      <c r="W1640" s="63" t="str">
        <f>IF($H1640&lt;&gt;"","项目成本",IFERROR(INDEX(基础资料!$W$4:$W$49,MATCH($I1640,基础资料!$V$4:$V$49,0)),""))</f>
        <v/>
      </c>
      <c r="X1640" s="63" t="str">
        <f>IFERROR(INDEX(基础资料!$R$4:$R$17,MATCH($G1640,基础资料!$Q$4:$Q$17,0)),"")</f>
        <v/>
      </c>
    </row>
    <row r="1641" spans="1:24">
      <c r="A1641" s="58" t="str">
        <f>IF($B1641="","",COUNTA($B$5:$B1641))</f>
        <v/>
      </c>
      <c r="B1641" s="53"/>
      <c r="C1641" s="46"/>
      <c r="D1641" s="63" t="str">
        <f>IFERROR(INDEX(基础资料!$F$4:$F$23,MATCH($C1641,基础资料!$E$4:$E$23,0)),IF($C1641="","","未匹配账户"))</f>
        <v/>
      </c>
      <c r="E1641" s="39"/>
      <c r="F1641" s="10"/>
      <c r="G1641" s="10"/>
      <c r="H1641" s="10"/>
      <c r="I1641" s="10"/>
      <c r="J1641" s="10"/>
      <c r="K1641" s="25"/>
      <c r="L1641" s="25"/>
      <c r="M1641" s="25" t="str">
        <f>IFERROR(VLOOKUP($C1641,$C$5:$M$24,11,0)+SUMIF($C$25:$C1641,$C1641,$K$25:$K1641)-SUMIF($C$25:$C1641,$C1641,$L$25:$L1641),"")</f>
        <v/>
      </c>
      <c r="N1641" s="10"/>
      <c r="O1641" s="10"/>
      <c r="P1641" s="65"/>
      <c r="Q1641" s="10"/>
      <c r="R1641" s="10"/>
      <c r="S1641" s="54" t="str">
        <f t="shared" si="81"/>
        <v/>
      </c>
      <c r="T1641" s="54" t="str">
        <f t="shared" si="82"/>
        <v/>
      </c>
      <c r="U1641" s="58" t="str">
        <f t="shared" si="83"/>
        <v/>
      </c>
      <c r="V1641" s="58">
        <f>IF(AND($B1641&lt;&gt;"",$F1641&lt;&gt;"",$F1641=项目明细账!$C$2),N(V1640)+1,N(V1640))</f>
        <v>0</v>
      </c>
      <c r="W1641" s="63" t="str">
        <f>IF($H1641&lt;&gt;"","项目成本",IFERROR(INDEX(基础资料!$W$4:$W$49,MATCH($I1641,基础资料!$V$4:$V$49,0)),""))</f>
        <v/>
      </c>
      <c r="X1641" s="63" t="str">
        <f>IFERROR(INDEX(基础资料!$R$4:$R$17,MATCH($G1641,基础资料!$Q$4:$Q$17,0)),"")</f>
        <v/>
      </c>
    </row>
    <row r="1642" spans="1:24">
      <c r="A1642" s="58" t="str">
        <f>IF($B1642="","",COUNTA($B$5:$B1642))</f>
        <v/>
      </c>
      <c r="B1642" s="53"/>
      <c r="C1642" s="46"/>
      <c r="D1642" s="63" t="str">
        <f>IFERROR(INDEX(基础资料!$F$4:$F$23,MATCH($C1642,基础资料!$E$4:$E$23,0)),IF($C1642="","","未匹配账户"))</f>
        <v/>
      </c>
      <c r="E1642" s="39"/>
      <c r="F1642" s="10"/>
      <c r="G1642" s="10"/>
      <c r="H1642" s="10"/>
      <c r="I1642" s="10"/>
      <c r="J1642" s="10"/>
      <c r="K1642" s="25"/>
      <c r="L1642" s="25"/>
      <c r="M1642" s="25" t="str">
        <f>IFERROR(VLOOKUP($C1642,$C$5:$M$24,11,0)+SUMIF($C$25:$C1642,$C1642,$K$25:$K1642)-SUMIF($C$25:$C1642,$C1642,$L$25:$L1642),"")</f>
        <v/>
      </c>
      <c r="N1642" s="10"/>
      <c r="O1642" s="10"/>
      <c r="P1642" s="65"/>
      <c r="Q1642" s="10"/>
      <c r="R1642" s="10"/>
      <c r="S1642" s="54" t="str">
        <f t="shared" si="81"/>
        <v/>
      </c>
      <c r="T1642" s="54" t="str">
        <f t="shared" si="82"/>
        <v/>
      </c>
      <c r="U1642" s="58" t="str">
        <f t="shared" si="83"/>
        <v/>
      </c>
      <c r="V1642" s="58">
        <f>IF(AND($B1642&lt;&gt;"",$F1642&lt;&gt;"",$F1642=项目明细账!$C$2),N(V1641)+1,N(V1641))</f>
        <v>0</v>
      </c>
      <c r="W1642" s="63" t="str">
        <f>IF($H1642&lt;&gt;"","项目成本",IFERROR(INDEX(基础资料!$W$4:$W$49,MATCH($I1642,基础资料!$V$4:$V$49,0)),""))</f>
        <v/>
      </c>
      <c r="X1642" s="63" t="str">
        <f>IFERROR(INDEX(基础资料!$R$4:$R$17,MATCH($G1642,基础资料!$Q$4:$Q$17,0)),"")</f>
        <v/>
      </c>
    </row>
    <row r="1643" spans="1:24">
      <c r="A1643" s="58" t="str">
        <f>IF($B1643="","",COUNTA($B$5:$B1643))</f>
        <v/>
      </c>
      <c r="B1643" s="53"/>
      <c r="C1643" s="46"/>
      <c r="D1643" s="63" t="str">
        <f>IFERROR(INDEX(基础资料!$F$4:$F$23,MATCH($C1643,基础资料!$E$4:$E$23,0)),IF($C1643="","","未匹配账户"))</f>
        <v/>
      </c>
      <c r="E1643" s="39"/>
      <c r="F1643" s="10"/>
      <c r="G1643" s="10"/>
      <c r="H1643" s="10"/>
      <c r="I1643" s="10"/>
      <c r="J1643" s="10"/>
      <c r="K1643" s="25"/>
      <c r="L1643" s="25"/>
      <c r="M1643" s="25" t="str">
        <f>IFERROR(VLOOKUP($C1643,$C$5:$M$24,11,0)+SUMIF($C$25:$C1643,$C1643,$K$25:$K1643)-SUMIF($C$25:$C1643,$C1643,$L$25:$L1643),"")</f>
        <v/>
      </c>
      <c r="N1643" s="10"/>
      <c r="O1643" s="10"/>
      <c r="P1643" s="65"/>
      <c r="Q1643" s="10"/>
      <c r="R1643" s="10"/>
      <c r="S1643" s="54" t="str">
        <f t="shared" si="81"/>
        <v/>
      </c>
      <c r="T1643" s="54" t="str">
        <f t="shared" si="82"/>
        <v/>
      </c>
      <c r="U1643" s="58" t="str">
        <f t="shared" si="83"/>
        <v/>
      </c>
      <c r="V1643" s="58">
        <f>IF(AND($B1643&lt;&gt;"",$F1643&lt;&gt;"",$F1643=项目明细账!$C$2),N(V1642)+1,N(V1642))</f>
        <v>0</v>
      </c>
      <c r="W1643" s="63" t="str">
        <f>IF($H1643&lt;&gt;"","项目成本",IFERROR(INDEX(基础资料!$W$4:$W$49,MATCH($I1643,基础资料!$V$4:$V$49,0)),""))</f>
        <v/>
      </c>
      <c r="X1643" s="63" t="str">
        <f>IFERROR(INDEX(基础资料!$R$4:$R$17,MATCH($G1643,基础资料!$Q$4:$Q$17,0)),"")</f>
        <v/>
      </c>
    </row>
    <row r="1644" spans="1:24">
      <c r="A1644" s="58" t="str">
        <f>IF($B1644="","",COUNTA($B$5:$B1644))</f>
        <v/>
      </c>
      <c r="B1644" s="53"/>
      <c r="C1644" s="46"/>
      <c r="D1644" s="63" t="str">
        <f>IFERROR(INDEX(基础资料!$F$4:$F$23,MATCH($C1644,基础资料!$E$4:$E$23,0)),IF($C1644="","","未匹配账户"))</f>
        <v/>
      </c>
      <c r="E1644" s="39"/>
      <c r="F1644" s="10"/>
      <c r="G1644" s="10"/>
      <c r="H1644" s="10"/>
      <c r="I1644" s="10"/>
      <c r="J1644" s="10"/>
      <c r="K1644" s="25"/>
      <c r="L1644" s="25"/>
      <c r="M1644" s="25" t="str">
        <f>IFERROR(VLOOKUP($C1644,$C$5:$M$24,11,0)+SUMIF($C$25:$C1644,$C1644,$K$25:$K1644)-SUMIF($C$25:$C1644,$C1644,$L$25:$L1644),"")</f>
        <v/>
      </c>
      <c r="N1644" s="10"/>
      <c r="O1644" s="10"/>
      <c r="P1644" s="65"/>
      <c r="Q1644" s="10"/>
      <c r="R1644" s="10"/>
      <c r="S1644" s="54" t="str">
        <f t="shared" si="81"/>
        <v/>
      </c>
      <c r="T1644" s="54" t="str">
        <f t="shared" si="82"/>
        <v/>
      </c>
      <c r="U1644" s="58" t="str">
        <f t="shared" si="83"/>
        <v/>
      </c>
      <c r="V1644" s="58">
        <f>IF(AND($B1644&lt;&gt;"",$F1644&lt;&gt;"",$F1644=项目明细账!$C$2),N(V1643)+1,N(V1643))</f>
        <v>0</v>
      </c>
      <c r="W1644" s="63" t="str">
        <f>IF($H1644&lt;&gt;"","项目成本",IFERROR(INDEX(基础资料!$W$4:$W$49,MATCH($I1644,基础资料!$V$4:$V$49,0)),""))</f>
        <v/>
      </c>
      <c r="X1644" s="63" t="str">
        <f>IFERROR(INDEX(基础资料!$R$4:$R$17,MATCH($G1644,基础资料!$Q$4:$Q$17,0)),"")</f>
        <v/>
      </c>
    </row>
    <row r="1645" spans="1:24">
      <c r="A1645" s="58" t="str">
        <f>IF($B1645="","",COUNTA($B$5:$B1645))</f>
        <v/>
      </c>
      <c r="B1645" s="53"/>
      <c r="C1645" s="46"/>
      <c r="D1645" s="63" t="str">
        <f>IFERROR(INDEX(基础资料!$F$4:$F$23,MATCH($C1645,基础资料!$E$4:$E$23,0)),IF($C1645="","","未匹配账户"))</f>
        <v/>
      </c>
      <c r="E1645" s="39"/>
      <c r="F1645" s="10"/>
      <c r="G1645" s="10"/>
      <c r="H1645" s="10"/>
      <c r="I1645" s="10"/>
      <c r="J1645" s="10"/>
      <c r="K1645" s="25"/>
      <c r="L1645" s="25"/>
      <c r="M1645" s="25" t="str">
        <f>IFERROR(VLOOKUP($C1645,$C$5:$M$24,11,0)+SUMIF($C$25:$C1645,$C1645,$K$25:$K1645)-SUMIF($C$25:$C1645,$C1645,$L$25:$L1645),"")</f>
        <v/>
      </c>
      <c r="N1645" s="10"/>
      <c r="O1645" s="10"/>
      <c r="P1645" s="65"/>
      <c r="Q1645" s="10"/>
      <c r="R1645" s="10"/>
      <c r="S1645" s="54" t="str">
        <f t="shared" si="81"/>
        <v/>
      </c>
      <c r="T1645" s="54" t="str">
        <f t="shared" si="82"/>
        <v/>
      </c>
      <c r="U1645" s="58" t="str">
        <f t="shared" si="83"/>
        <v/>
      </c>
      <c r="V1645" s="58">
        <f>IF(AND($B1645&lt;&gt;"",$F1645&lt;&gt;"",$F1645=项目明细账!$C$2),N(V1644)+1,N(V1644))</f>
        <v>0</v>
      </c>
      <c r="W1645" s="63" t="str">
        <f>IF($H1645&lt;&gt;"","项目成本",IFERROR(INDEX(基础资料!$W$4:$W$49,MATCH($I1645,基础资料!$V$4:$V$49,0)),""))</f>
        <v/>
      </c>
      <c r="X1645" s="63" t="str">
        <f>IFERROR(INDEX(基础资料!$R$4:$R$17,MATCH($G1645,基础资料!$Q$4:$Q$17,0)),"")</f>
        <v/>
      </c>
    </row>
    <row r="1646" spans="1:24">
      <c r="A1646" s="58" t="str">
        <f>IF($B1646="","",COUNTA($B$5:$B1646))</f>
        <v/>
      </c>
      <c r="B1646" s="53"/>
      <c r="C1646" s="46"/>
      <c r="D1646" s="63" t="str">
        <f>IFERROR(INDEX(基础资料!$F$4:$F$23,MATCH($C1646,基础资料!$E$4:$E$23,0)),IF($C1646="","","未匹配账户"))</f>
        <v/>
      </c>
      <c r="E1646" s="39"/>
      <c r="F1646" s="10"/>
      <c r="G1646" s="10"/>
      <c r="H1646" s="10"/>
      <c r="I1646" s="10"/>
      <c r="J1646" s="10"/>
      <c r="K1646" s="25"/>
      <c r="L1646" s="25"/>
      <c r="M1646" s="25" t="str">
        <f>IFERROR(VLOOKUP($C1646,$C$5:$M$24,11,0)+SUMIF($C$25:$C1646,$C1646,$K$25:$K1646)-SUMIF($C$25:$C1646,$C1646,$L$25:$L1646),"")</f>
        <v/>
      </c>
      <c r="N1646" s="10"/>
      <c r="O1646" s="10"/>
      <c r="P1646" s="65"/>
      <c r="Q1646" s="10"/>
      <c r="R1646" s="10"/>
      <c r="S1646" s="54" t="str">
        <f t="shared" si="81"/>
        <v/>
      </c>
      <c r="T1646" s="54" t="str">
        <f t="shared" si="82"/>
        <v/>
      </c>
      <c r="U1646" s="58" t="str">
        <f t="shared" si="83"/>
        <v/>
      </c>
      <c r="V1646" s="58">
        <f>IF(AND($B1646&lt;&gt;"",$F1646&lt;&gt;"",$F1646=项目明细账!$C$2),N(V1645)+1,N(V1645))</f>
        <v>0</v>
      </c>
      <c r="W1646" s="63" t="str">
        <f>IF($H1646&lt;&gt;"","项目成本",IFERROR(INDEX(基础资料!$W$4:$W$49,MATCH($I1646,基础资料!$V$4:$V$49,0)),""))</f>
        <v/>
      </c>
      <c r="X1646" s="63" t="str">
        <f>IFERROR(INDEX(基础资料!$R$4:$R$17,MATCH($G1646,基础资料!$Q$4:$Q$17,0)),"")</f>
        <v/>
      </c>
    </row>
    <row r="1647" spans="1:24">
      <c r="A1647" s="58" t="str">
        <f>IF($B1647="","",COUNTA($B$5:$B1647))</f>
        <v/>
      </c>
      <c r="B1647" s="53"/>
      <c r="C1647" s="46"/>
      <c r="D1647" s="63" t="str">
        <f>IFERROR(INDEX(基础资料!$F$4:$F$23,MATCH($C1647,基础资料!$E$4:$E$23,0)),IF($C1647="","","未匹配账户"))</f>
        <v/>
      </c>
      <c r="E1647" s="39"/>
      <c r="F1647" s="10"/>
      <c r="G1647" s="10"/>
      <c r="H1647" s="10"/>
      <c r="I1647" s="10"/>
      <c r="J1647" s="10"/>
      <c r="K1647" s="25"/>
      <c r="L1647" s="25"/>
      <c r="M1647" s="25" t="str">
        <f>IFERROR(VLOOKUP($C1647,$C$5:$M$24,11,0)+SUMIF($C$25:$C1647,$C1647,$K$25:$K1647)-SUMIF($C$25:$C1647,$C1647,$L$25:$L1647),"")</f>
        <v/>
      </c>
      <c r="N1647" s="10"/>
      <c r="O1647" s="10"/>
      <c r="P1647" s="65"/>
      <c r="Q1647" s="10"/>
      <c r="R1647" s="10"/>
      <c r="S1647" s="54" t="str">
        <f t="shared" si="81"/>
        <v/>
      </c>
      <c r="T1647" s="54" t="str">
        <f t="shared" si="82"/>
        <v/>
      </c>
      <c r="U1647" s="58" t="str">
        <f t="shared" si="83"/>
        <v/>
      </c>
      <c r="V1647" s="58">
        <f>IF(AND($B1647&lt;&gt;"",$F1647&lt;&gt;"",$F1647=项目明细账!$C$2),N(V1646)+1,N(V1646))</f>
        <v>0</v>
      </c>
      <c r="W1647" s="63" t="str">
        <f>IF($H1647&lt;&gt;"","项目成本",IFERROR(INDEX(基础资料!$W$4:$W$49,MATCH($I1647,基础资料!$V$4:$V$49,0)),""))</f>
        <v/>
      </c>
      <c r="X1647" s="63" t="str">
        <f>IFERROR(INDEX(基础资料!$R$4:$R$17,MATCH($G1647,基础资料!$Q$4:$Q$17,0)),"")</f>
        <v/>
      </c>
    </row>
    <row r="1648" spans="1:24">
      <c r="A1648" s="58" t="str">
        <f>IF($B1648="","",COUNTA($B$5:$B1648))</f>
        <v/>
      </c>
      <c r="B1648" s="53"/>
      <c r="C1648" s="46"/>
      <c r="D1648" s="63" t="str">
        <f>IFERROR(INDEX(基础资料!$F$4:$F$23,MATCH($C1648,基础资料!$E$4:$E$23,0)),IF($C1648="","","未匹配账户"))</f>
        <v/>
      </c>
      <c r="E1648" s="39"/>
      <c r="F1648" s="10"/>
      <c r="G1648" s="10"/>
      <c r="H1648" s="10"/>
      <c r="I1648" s="10"/>
      <c r="J1648" s="10"/>
      <c r="K1648" s="25"/>
      <c r="L1648" s="25"/>
      <c r="M1648" s="25" t="str">
        <f>IFERROR(VLOOKUP($C1648,$C$5:$M$24,11,0)+SUMIF($C$25:$C1648,$C1648,$K$25:$K1648)-SUMIF($C$25:$C1648,$C1648,$L$25:$L1648),"")</f>
        <v/>
      </c>
      <c r="N1648" s="10"/>
      <c r="O1648" s="10"/>
      <c r="P1648" s="65"/>
      <c r="Q1648" s="10"/>
      <c r="R1648" s="10"/>
      <c r="S1648" s="54" t="str">
        <f t="shared" si="81"/>
        <v/>
      </c>
      <c r="T1648" s="54" t="str">
        <f t="shared" si="82"/>
        <v/>
      </c>
      <c r="U1648" s="58" t="str">
        <f t="shared" si="83"/>
        <v/>
      </c>
      <c r="V1648" s="58">
        <f>IF(AND($B1648&lt;&gt;"",$F1648&lt;&gt;"",$F1648=项目明细账!$C$2),N(V1647)+1,N(V1647))</f>
        <v>0</v>
      </c>
      <c r="W1648" s="63" t="str">
        <f>IF($H1648&lt;&gt;"","项目成本",IFERROR(INDEX(基础资料!$W$4:$W$49,MATCH($I1648,基础资料!$V$4:$V$49,0)),""))</f>
        <v/>
      </c>
      <c r="X1648" s="63" t="str">
        <f>IFERROR(INDEX(基础资料!$R$4:$R$17,MATCH($G1648,基础资料!$Q$4:$Q$17,0)),"")</f>
        <v/>
      </c>
    </row>
    <row r="1649" spans="1:24">
      <c r="A1649" s="58" t="str">
        <f>IF($B1649="","",COUNTA($B$5:$B1649))</f>
        <v/>
      </c>
      <c r="B1649" s="53"/>
      <c r="C1649" s="46"/>
      <c r="D1649" s="63" t="str">
        <f>IFERROR(INDEX(基础资料!$F$4:$F$23,MATCH($C1649,基础资料!$E$4:$E$23,0)),IF($C1649="","","未匹配账户"))</f>
        <v/>
      </c>
      <c r="E1649" s="39"/>
      <c r="F1649" s="10"/>
      <c r="G1649" s="10"/>
      <c r="H1649" s="10"/>
      <c r="I1649" s="10"/>
      <c r="J1649" s="10"/>
      <c r="K1649" s="25"/>
      <c r="L1649" s="25"/>
      <c r="M1649" s="25" t="str">
        <f>IFERROR(VLOOKUP($C1649,$C$5:$M$24,11,0)+SUMIF($C$25:$C1649,$C1649,$K$25:$K1649)-SUMIF($C$25:$C1649,$C1649,$L$25:$L1649),"")</f>
        <v/>
      </c>
      <c r="N1649" s="10"/>
      <c r="O1649" s="10"/>
      <c r="P1649" s="65"/>
      <c r="Q1649" s="10"/>
      <c r="R1649" s="10"/>
      <c r="S1649" s="54" t="str">
        <f t="shared" si="81"/>
        <v/>
      </c>
      <c r="T1649" s="54" t="str">
        <f t="shared" si="82"/>
        <v/>
      </c>
      <c r="U1649" s="58" t="str">
        <f t="shared" si="83"/>
        <v/>
      </c>
      <c r="V1649" s="58">
        <f>IF(AND($B1649&lt;&gt;"",$F1649&lt;&gt;"",$F1649=项目明细账!$C$2),N(V1648)+1,N(V1648))</f>
        <v>0</v>
      </c>
      <c r="W1649" s="63" t="str">
        <f>IF($H1649&lt;&gt;"","项目成本",IFERROR(INDEX(基础资料!$W$4:$W$49,MATCH($I1649,基础资料!$V$4:$V$49,0)),""))</f>
        <v/>
      </c>
      <c r="X1649" s="63" t="str">
        <f>IFERROR(INDEX(基础资料!$R$4:$R$17,MATCH($G1649,基础资料!$Q$4:$Q$17,0)),"")</f>
        <v/>
      </c>
    </row>
    <row r="1650" spans="1:24">
      <c r="A1650" s="58" t="str">
        <f>IF($B1650="","",COUNTA($B$5:$B1650))</f>
        <v/>
      </c>
      <c r="B1650" s="53"/>
      <c r="C1650" s="46"/>
      <c r="D1650" s="63" t="str">
        <f>IFERROR(INDEX(基础资料!$F$4:$F$23,MATCH($C1650,基础资料!$E$4:$E$23,0)),IF($C1650="","","未匹配账户"))</f>
        <v/>
      </c>
      <c r="E1650" s="39"/>
      <c r="F1650" s="10"/>
      <c r="G1650" s="10"/>
      <c r="H1650" s="10"/>
      <c r="I1650" s="10"/>
      <c r="J1650" s="10"/>
      <c r="K1650" s="25"/>
      <c r="L1650" s="25"/>
      <c r="M1650" s="25" t="str">
        <f>IFERROR(VLOOKUP($C1650,$C$5:$M$24,11,0)+SUMIF($C$25:$C1650,$C1650,$K$25:$K1650)-SUMIF($C$25:$C1650,$C1650,$L$25:$L1650),"")</f>
        <v/>
      </c>
      <c r="N1650" s="10"/>
      <c r="O1650" s="10"/>
      <c r="P1650" s="65"/>
      <c r="Q1650" s="10"/>
      <c r="R1650" s="10"/>
      <c r="S1650" s="54" t="str">
        <f t="shared" si="81"/>
        <v/>
      </c>
      <c r="T1650" s="54" t="str">
        <f t="shared" si="82"/>
        <v/>
      </c>
      <c r="U1650" s="58" t="str">
        <f t="shared" si="83"/>
        <v/>
      </c>
      <c r="V1650" s="58">
        <f>IF(AND($B1650&lt;&gt;"",$F1650&lt;&gt;"",$F1650=项目明细账!$C$2),N(V1649)+1,N(V1649))</f>
        <v>0</v>
      </c>
      <c r="W1650" s="63" t="str">
        <f>IF($H1650&lt;&gt;"","项目成本",IFERROR(INDEX(基础资料!$W$4:$W$49,MATCH($I1650,基础资料!$V$4:$V$49,0)),""))</f>
        <v/>
      </c>
      <c r="X1650" s="63" t="str">
        <f>IFERROR(INDEX(基础资料!$R$4:$R$17,MATCH($G1650,基础资料!$Q$4:$Q$17,0)),"")</f>
        <v/>
      </c>
    </row>
    <row r="1651" spans="1:24">
      <c r="A1651" s="58" t="str">
        <f>IF($B1651="","",COUNTA($B$5:$B1651))</f>
        <v/>
      </c>
      <c r="B1651" s="53"/>
      <c r="C1651" s="46"/>
      <c r="D1651" s="63" t="str">
        <f>IFERROR(INDEX(基础资料!$F$4:$F$23,MATCH($C1651,基础资料!$E$4:$E$23,0)),IF($C1651="","","未匹配账户"))</f>
        <v/>
      </c>
      <c r="E1651" s="39"/>
      <c r="F1651" s="10"/>
      <c r="G1651" s="10"/>
      <c r="H1651" s="10"/>
      <c r="I1651" s="10"/>
      <c r="J1651" s="10"/>
      <c r="K1651" s="25"/>
      <c r="L1651" s="25"/>
      <c r="M1651" s="25" t="str">
        <f>IFERROR(VLOOKUP($C1651,$C$5:$M$24,11,0)+SUMIF($C$25:$C1651,$C1651,$K$25:$K1651)-SUMIF($C$25:$C1651,$C1651,$L$25:$L1651),"")</f>
        <v/>
      </c>
      <c r="N1651" s="10"/>
      <c r="O1651" s="10"/>
      <c r="P1651" s="65"/>
      <c r="Q1651" s="10"/>
      <c r="R1651" s="10"/>
      <c r="S1651" s="54" t="str">
        <f t="shared" si="81"/>
        <v/>
      </c>
      <c r="T1651" s="54" t="str">
        <f t="shared" si="82"/>
        <v/>
      </c>
      <c r="U1651" s="58" t="str">
        <f t="shared" si="83"/>
        <v/>
      </c>
      <c r="V1651" s="58">
        <f>IF(AND($B1651&lt;&gt;"",$F1651&lt;&gt;"",$F1651=项目明细账!$C$2),N(V1650)+1,N(V1650))</f>
        <v>0</v>
      </c>
      <c r="W1651" s="63" t="str">
        <f>IF($H1651&lt;&gt;"","项目成本",IFERROR(INDEX(基础资料!$W$4:$W$49,MATCH($I1651,基础资料!$V$4:$V$49,0)),""))</f>
        <v/>
      </c>
      <c r="X1651" s="63" t="str">
        <f>IFERROR(INDEX(基础资料!$R$4:$R$17,MATCH($G1651,基础资料!$Q$4:$Q$17,0)),"")</f>
        <v/>
      </c>
    </row>
    <row r="1652" spans="1:24">
      <c r="A1652" s="58" t="str">
        <f>IF($B1652="","",COUNTA($B$5:$B1652))</f>
        <v/>
      </c>
      <c r="B1652" s="53"/>
      <c r="C1652" s="46"/>
      <c r="D1652" s="63" t="str">
        <f>IFERROR(INDEX(基础资料!$F$4:$F$23,MATCH($C1652,基础资料!$E$4:$E$23,0)),IF($C1652="","","未匹配账户"))</f>
        <v/>
      </c>
      <c r="E1652" s="39"/>
      <c r="F1652" s="10"/>
      <c r="G1652" s="10"/>
      <c r="H1652" s="10"/>
      <c r="I1652" s="10"/>
      <c r="J1652" s="10"/>
      <c r="K1652" s="25"/>
      <c r="L1652" s="25"/>
      <c r="M1652" s="25" t="str">
        <f>IFERROR(VLOOKUP($C1652,$C$5:$M$24,11,0)+SUMIF($C$25:$C1652,$C1652,$K$25:$K1652)-SUMIF($C$25:$C1652,$C1652,$L$25:$L1652),"")</f>
        <v/>
      </c>
      <c r="N1652" s="10"/>
      <c r="O1652" s="10"/>
      <c r="P1652" s="65"/>
      <c r="Q1652" s="10"/>
      <c r="R1652" s="10"/>
      <c r="S1652" s="54" t="str">
        <f t="shared" si="81"/>
        <v/>
      </c>
      <c r="T1652" s="54" t="str">
        <f t="shared" si="82"/>
        <v/>
      </c>
      <c r="U1652" s="58" t="str">
        <f t="shared" si="83"/>
        <v/>
      </c>
      <c r="V1652" s="58">
        <f>IF(AND($B1652&lt;&gt;"",$F1652&lt;&gt;"",$F1652=项目明细账!$C$2),N(V1651)+1,N(V1651))</f>
        <v>0</v>
      </c>
      <c r="W1652" s="63" t="str">
        <f>IF($H1652&lt;&gt;"","项目成本",IFERROR(INDEX(基础资料!$W$4:$W$49,MATCH($I1652,基础资料!$V$4:$V$49,0)),""))</f>
        <v/>
      </c>
      <c r="X1652" s="63" t="str">
        <f>IFERROR(INDEX(基础资料!$R$4:$R$17,MATCH($G1652,基础资料!$Q$4:$Q$17,0)),"")</f>
        <v/>
      </c>
    </row>
    <row r="1653" spans="1:24">
      <c r="A1653" s="58" t="str">
        <f>IF($B1653="","",COUNTA($B$5:$B1653))</f>
        <v/>
      </c>
      <c r="B1653" s="53"/>
      <c r="C1653" s="46"/>
      <c r="D1653" s="63" t="str">
        <f>IFERROR(INDEX(基础资料!$F$4:$F$23,MATCH($C1653,基础资料!$E$4:$E$23,0)),IF($C1653="","","未匹配账户"))</f>
        <v/>
      </c>
      <c r="E1653" s="39"/>
      <c r="F1653" s="10"/>
      <c r="G1653" s="10"/>
      <c r="H1653" s="10"/>
      <c r="I1653" s="10"/>
      <c r="J1653" s="10"/>
      <c r="K1653" s="25"/>
      <c r="L1653" s="25"/>
      <c r="M1653" s="25" t="str">
        <f>IFERROR(VLOOKUP($C1653,$C$5:$M$24,11,0)+SUMIF($C$25:$C1653,$C1653,$K$25:$K1653)-SUMIF($C$25:$C1653,$C1653,$L$25:$L1653),"")</f>
        <v/>
      </c>
      <c r="N1653" s="10"/>
      <c r="O1653" s="10"/>
      <c r="P1653" s="65"/>
      <c r="Q1653" s="10"/>
      <c r="R1653" s="10"/>
      <c r="S1653" s="54" t="str">
        <f t="shared" si="81"/>
        <v/>
      </c>
      <c r="T1653" s="54" t="str">
        <f t="shared" si="82"/>
        <v/>
      </c>
      <c r="U1653" s="58" t="str">
        <f t="shared" si="83"/>
        <v/>
      </c>
      <c r="V1653" s="58">
        <f>IF(AND($B1653&lt;&gt;"",$F1653&lt;&gt;"",$F1653=项目明细账!$C$2),N(V1652)+1,N(V1652))</f>
        <v>0</v>
      </c>
      <c r="W1653" s="63" t="str">
        <f>IF($H1653&lt;&gt;"","项目成本",IFERROR(INDEX(基础资料!$W$4:$W$49,MATCH($I1653,基础资料!$V$4:$V$49,0)),""))</f>
        <v/>
      </c>
      <c r="X1653" s="63" t="str">
        <f>IFERROR(INDEX(基础资料!$R$4:$R$17,MATCH($G1653,基础资料!$Q$4:$Q$17,0)),"")</f>
        <v/>
      </c>
    </row>
    <row r="1654" spans="1:24">
      <c r="A1654" s="58" t="str">
        <f>IF($B1654="","",COUNTA($B$5:$B1654))</f>
        <v/>
      </c>
      <c r="B1654" s="53"/>
      <c r="C1654" s="46"/>
      <c r="D1654" s="63" t="str">
        <f>IFERROR(INDEX(基础资料!$F$4:$F$23,MATCH($C1654,基础资料!$E$4:$E$23,0)),IF($C1654="","","未匹配账户"))</f>
        <v/>
      </c>
      <c r="E1654" s="39"/>
      <c r="F1654" s="10"/>
      <c r="G1654" s="10"/>
      <c r="H1654" s="10"/>
      <c r="I1654" s="10"/>
      <c r="J1654" s="10"/>
      <c r="K1654" s="25"/>
      <c r="L1654" s="25"/>
      <c r="M1654" s="25" t="str">
        <f>IFERROR(VLOOKUP($C1654,$C$5:$M$24,11,0)+SUMIF($C$25:$C1654,$C1654,$K$25:$K1654)-SUMIF($C$25:$C1654,$C1654,$L$25:$L1654),"")</f>
        <v/>
      </c>
      <c r="N1654" s="10"/>
      <c r="O1654" s="10"/>
      <c r="P1654" s="65"/>
      <c r="Q1654" s="10"/>
      <c r="R1654" s="10"/>
      <c r="S1654" s="54" t="str">
        <f t="shared" si="81"/>
        <v/>
      </c>
      <c r="T1654" s="54" t="str">
        <f t="shared" si="82"/>
        <v/>
      </c>
      <c r="U1654" s="58" t="str">
        <f t="shared" si="83"/>
        <v/>
      </c>
      <c r="V1654" s="58">
        <f>IF(AND($B1654&lt;&gt;"",$F1654&lt;&gt;"",$F1654=项目明细账!$C$2),N(V1653)+1,N(V1653))</f>
        <v>0</v>
      </c>
      <c r="W1654" s="63" t="str">
        <f>IF($H1654&lt;&gt;"","项目成本",IFERROR(INDEX(基础资料!$W$4:$W$49,MATCH($I1654,基础资料!$V$4:$V$49,0)),""))</f>
        <v/>
      </c>
      <c r="X1654" s="63" t="str">
        <f>IFERROR(INDEX(基础资料!$R$4:$R$17,MATCH($G1654,基础资料!$Q$4:$Q$17,0)),"")</f>
        <v/>
      </c>
    </row>
    <row r="1655" spans="1:24">
      <c r="A1655" s="58" t="str">
        <f>IF($B1655="","",COUNTA($B$5:$B1655))</f>
        <v/>
      </c>
      <c r="B1655" s="53"/>
      <c r="C1655" s="46"/>
      <c r="D1655" s="63" t="str">
        <f>IFERROR(INDEX(基础资料!$F$4:$F$23,MATCH($C1655,基础资料!$E$4:$E$23,0)),IF($C1655="","","未匹配账户"))</f>
        <v/>
      </c>
      <c r="E1655" s="39"/>
      <c r="F1655" s="10"/>
      <c r="G1655" s="10"/>
      <c r="H1655" s="10"/>
      <c r="I1655" s="10"/>
      <c r="J1655" s="10"/>
      <c r="K1655" s="25"/>
      <c r="L1655" s="25"/>
      <c r="M1655" s="25" t="str">
        <f>IFERROR(VLOOKUP($C1655,$C$5:$M$24,11,0)+SUMIF($C$25:$C1655,$C1655,$K$25:$K1655)-SUMIF($C$25:$C1655,$C1655,$L$25:$L1655),"")</f>
        <v/>
      </c>
      <c r="N1655" s="10"/>
      <c r="O1655" s="10"/>
      <c r="P1655" s="65"/>
      <c r="Q1655" s="10"/>
      <c r="R1655" s="10"/>
      <c r="S1655" s="54" t="str">
        <f t="shared" si="81"/>
        <v/>
      </c>
      <c r="T1655" s="54" t="str">
        <f t="shared" si="82"/>
        <v/>
      </c>
      <c r="U1655" s="58" t="str">
        <f t="shared" si="83"/>
        <v/>
      </c>
      <c r="V1655" s="58">
        <f>IF(AND($B1655&lt;&gt;"",$F1655&lt;&gt;"",$F1655=项目明细账!$C$2),N(V1654)+1,N(V1654))</f>
        <v>0</v>
      </c>
      <c r="W1655" s="63" t="str">
        <f>IF($H1655&lt;&gt;"","项目成本",IFERROR(INDEX(基础资料!$W$4:$W$49,MATCH($I1655,基础资料!$V$4:$V$49,0)),""))</f>
        <v/>
      </c>
      <c r="X1655" s="63" t="str">
        <f>IFERROR(INDEX(基础资料!$R$4:$R$17,MATCH($G1655,基础资料!$Q$4:$Q$17,0)),"")</f>
        <v/>
      </c>
    </row>
    <row r="1656" spans="1:24">
      <c r="A1656" s="58" t="str">
        <f>IF($B1656="","",COUNTA($B$5:$B1656))</f>
        <v/>
      </c>
      <c r="B1656" s="53"/>
      <c r="C1656" s="46"/>
      <c r="D1656" s="63" t="str">
        <f>IFERROR(INDEX(基础资料!$F$4:$F$23,MATCH($C1656,基础资料!$E$4:$E$23,0)),IF($C1656="","","未匹配账户"))</f>
        <v/>
      </c>
      <c r="E1656" s="39"/>
      <c r="F1656" s="10"/>
      <c r="G1656" s="10"/>
      <c r="H1656" s="10"/>
      <c r="I1656" s="10"/>
      <c r="J1656" s="10"/>
      <c r="K1656" s="25"/>
      <c r="L1656" s="25"/>
      <c r="M1656" s="25" t="str">
        <f>IFERROR(VLOOKUP($C1656,$C$5:$M$24,11,0)+SUMIF($C$25:$C1656,$C1656,$K$25:$K1656)-SUMIF($C$25:$C1656,$C1656,$L$25:$L1656),"")</f>
        <v/>
      </c>
      <c r="N1656" s="10"/>
      <c r="O1656" s="10"/>
      <c r="P1656" s="65"/>
      <c r="Q1656" s="10"/>
      <c r="R1656" s="10"/>
      <c r="S1656" s="54" t="str">
        <f t="shared" si="81"/>
        <v/>
      </c>
      <c r="T1656" s="54" t="str">
        <f t="shared" si="82"/>
        <v/>
      </c>
      <c r="U1656" s="58" t="str">
        <f t="shared" si="83"/>
        <v/>
      </c>
      <c r="V1656" s="58">
        <f>IF(AND($B1656&lt;&gt;"",$F1656&lt;&gt;"",$F1656=项目明细账!$C$2),N(V1655)+1,N(V1655))</f>
        <v>0</v>
      </c>
      <c r="W1656" s="63" t="str">
        <f>IF($H1656&lt;&gt;"","项目成本",IFERROR(INDEX(基础资料!$W$4:$W$49,MATCH($I1656,基础资料!$V$4:$V$49,0)),""))</f>
        <v/>
      </c>
      <c r="X1656" s="63" t="str">
        <f>IFERROR(INDEX(基础资料!$R$4:$R$17,MATCH($G1656,基础资料!$Q$4:$Q$17,0)),"")</f>
        <v/>
      </c>
    </row>
    <row r="1657" spans="1:24">
      <c r="A1657" s="58" t="str">
        <f>IF($B1657="","",COUNTA($B$5:$B1657))</f>
        <v/>
      </c>
      <c r="B1657" s="53"/>
      <c r="C1657" s="46"/>
      <c r="D1657" s="63" t="str">
        <f>IFERROR(INDEX(基础资料!$F$4:$F$23,MATCH($C1657,基础资料!$E$4:$E$23,0)),IF($C1657="","","未匹配账户"))</f>
        <v/>
      </c>
      <c r="E1657" s="39"/>
      <c r="F1657" s="10"/>
      <c r="G1657" s="10"/>
      <c r="H1657" s="10"/>
      <c r="I1657" s="10"/>
      <c r="J1657" s="10"/>
      <c r="K1657" s="25"/>
      <c r="L1657" s="25"/>
      <c r="M1657" s="25" t="str">
        <f>IFERROR(VLOOKUP($C1657,$C$5:$M$24,11,0)+SUMIF($C$25:$C1657,$C1657,$K$25:$K1657)-SUMIF($C$25:$C1657,$C1657,$L$25:$L1657),"")</f>
        <v/>
      </c>
      <c r="N1657" s="10"/>
      <c r="O1657" s="10"/>
      <c r="P1657" s="65"/>
      <c r="Q1657" s="10"/>
      <c r="R1657" s="10"/>
      <c r="S1657" s="54" t="str">
        <f t="shared" si="81"/>
        <v/>
      </c>
      <c r="T1657" s="54" t="str">
        <f t="shared" si="82"/>
        <v/>
      </c>
      <c r="U1657" s="58" t="str">
        <f t="shared" si="83"/>
        <v/>
      </c>
      <c r="V1657" s="58">
        <f>IF(AND($B1657&lt;&gt;"",$F1657&lt;&gt;"",$F1657=项目明细账!$C$2),N(V1656)+1,N(V1656))</f>
        <v>0</v>
      </c>
      <c r="W1657" s="63" t="str">
        <f>IF($H1657&lt;&gt;"","项目成本",IFERROR(INDEX(基础资料!$W$4:$W$49,MATCH($I1657,基础资料!$V$4:$V$49,0)),""))</f>
        <v/>
      </c>
      <c r="X1657" s="63" t="str">
        <f>IFERROR(INDEX(基础资料!$R$4:$R$17,MATCH($G1657,基础资料!$Q$4:$Q$17,0)),"")</f>
        <v/>
      </c>
    </row>
    <row r="1658" spans="1:24">
      <c r="A1658" s="58" t="str">
        <f>IF($B1658="","",COUNTA($B$5:$B1658))</f>
        <v/>
      </c>
      <c r="B1658" s="53"/>
      <c r="C1658" s="46"/>
      <c r="D1658" s="63" t="str">
        <f>IFERROR(INDEX(基础资料!$F$4:$F$23,MATCH($C1658,基础资料!$E$4:$E$23,0)),IF($C1658="","","未匹配账户"))</f>
        <v/>
      </c>
      <c r="E1658" s="39"/>
      <c r="F1658" s="10"/>
      <c r="G1658" s="10"/>
      <c r="H1658" s="10"/>
      <c r="I1658" s="10"/>
      <c r="J1658" s="10"/>
      <c r="K1658" s="25"/>
      <c r="L1658" s="25"/>
      <c r="M1658" s="25" t="str">
        <f>IFERROR(VLOOKUP($C1658,$C$5:$M$24,11,0)+SUMIF($C$25:$C1658,$C1658,$K$25:$K1658)-SUMIF($C$25:$C1658,$C1658,$L$25:$L1658),"")</f>
        <v/>
      </c>
      <c r="N1658" s="10"/>
      <c r="O1658" s="10"/>
      <c r="P1658" s="65"/>
      <c r="Q1658" s="10"/>
      <c r="R1658" s="10"/>
      <c r="S1658" s="54" t="str">
        <f t="shared" si="81"/>
        <v/>
      </c>
      <c r="T1658" s="54" t="str">
        <f t="shared" si="82"/>
        <v/>
      </c>
      <c r="U1658" s="58" t="str">
        <f t="shared" si="83"/>
        <v/>
      </c>
      <c r="V1658" s="58">
        <f>IF(AND($B1658&lt;&gt;"",$F1658&lt;&gt;"",$F1658=项目明细账!$C$2),N(V1657)+1,N(V1657))</f>
        <v>0</v>
      </c>
      <c r="W1658" s="63" t="str">
        <f>IF($H1658&lt;&gt;"","项目成本",IFERROR(INDEX(基础资料!$W$4:$W$49,MATCH($I1658,基础资料!$V$4:$V$49,0)),""))</f>
        <v/>
      </c>
      <c r="X1658" s="63" t="str">
        <f>IFERROR(INDEX(基础资料!$R$4:$R$17,MATCH($G1658,基础资料!$Q$4:$Q$17,0)),"")</f>
        <v/>
      </c>
    </row>
    <row r="1659" spans="1:24">
      <c r="A1659" s="58" t="str">
        <f>IF($B1659="","",COUNTA($B$5:$B1659))</f>
        <v/>
      </c>
      <c r="B1659" s="53"/>
      <c r="C1659" s="46"/>
      <c r="D1659" s="63" t="str">
        <f>IFERROR(INDEX(基础资料!$F$4:$F$23,MATCH($C1659,基础资料!$E$4:$E$23,0)),IF($C1659="","","未匹配账户"))</f>
        <v/>
      </c>
      <c r="E1659" s="39"/>
      <c r="F1659" s="10"/>
      <c r="G1659" s="10"/>
      <c r="H1659" s="10"/>
      <c r="I1659" s="10"/>
      <c r="J1659" s="10"/>
      <c r="K1659" s="25"/>
      <c r="L1659" s="25"/>
      <c r="M1659" s="25" t="str">
        <f>IFERROR(VLOOKUP($C1659,$C$5:$M$24,11,0)+SUMIF($C$25:$C1659,$C1659,$K$25:$K1659)-SUMIF($C$25:$C1659,$C1659,$L$25:$L1659),"")</f>
        <v/>
      </c>
      <c r="N1659" s="10"/>
      <c r="O1659" s="10"/>
      <c r="P1659" s="65"/>
      <c r="Q1659" s="10"/>
      <c r="R1659" s="10"/>
      <c r="S1659" s="54" t="str">
        <f t="shared" si="81"/>
        <v/>
      </c>
      <c r="T1659" s="54" t="str">
        <f t="shared" si="82"/>
        <v/>
      </c>
      <c r="U1659" s="58" t="str">
        <f t="shared" si="83"/>
        <v/>
      </c>
      <c r="V1659" s="58">
        <f>IF(AND($B1659&lt;&gt;"",$F1659&lt;&gt;"",$F1659=项目明细账!$C$2),N(V1658)+1,N(V1658))</f>
        <v>0</v>
      </c>
      <c r="W1659" s="63" t="str">
        <f>IF($H1659&lt;&gt;"","项目成本",IFERROR(INDEX(基础资料!$W$4:$W$49,MATCH($I1659,基础资料!$V$4:$V$49,0)),""))</f>
        <v/>
      </c>
      <c r="X1659" s="63" t="str">
        <f>IFERROR(INDEX(基础资料!$R$4:$R$17,MATCH($G1659,基础资料!$Q$4:$Q$17,0)),"")</f>
        <v/>
      </c>
    </row>
    <row r="1660" spans="1:24">
      <c r="A1660" s="58" t="str">
        <f>IF($B1660="","",COUNTA($B$5:$B1660))</f>
        <v/>
      </c>
      <c r="B1660" s="53"/>
      <c r="C1660" s="46"/>
      <c r="D1660" s="63" t="str">
        <f>IFERROR(INDEX(基础资料!$F$4:$F$23,MATCH($C1660,基础资料!$E$4:$E$23,0)),IF($C1660="","","未匹配账户"))</f>
        <v/>
      </c>
      <c r="E1660" s="39"/>
      <c r="F1660" s="10"/>
      <c r="G1660" s="10"/>
      <c r="H1660" s="10"/>
      <c r="I1660" s="10"/>
      <c r="J1660" s="10"/>
      <c r="K1660" s="25"/>
      <c r="L1660" s="25"/>
      <c r="M1660" s="25" t="str">
        <f>IFERROR(VLOOKUP($C1660,$C$5:$M$24,11,0)+SUMIF($C$25:$C1660,$C1660,$K$25:$K1660)-SUMIF($C$25:$C1660,$C1660,$L$25:$L1660),"")</f>
        <v/>
      </c>
      <c r="N1660" s="10"/>
      <c r="O1660" s="10"/>
      <c r="P1660" s="65"/>
      <c r="Q1660" s="10"/>
      <c r="R1660" s="10"/>
      <c r="S1660" s="54" t="str">
        <f t="shared" si="81"/>
        <v/>
      </c>
      <c r="T1660" s="54" t="str">
        <f t="shared" si="82"/>
        <v/>
      </c>
      <c r="U1660" s="58" t="str">
        <f t="shared" si="83"/>
        <v/>
      </c>
      <c r="V1660" s="58">
        <f>IF(AND($B1660&lt;&gt;"",$F1660&lt;&gt;"",$F1660=项目明细账!$C$2),N(V1659)+1,N(V1659))</f>
        <v>0</v>
      </c>
      <c r="W1660" s="63" t="str">
        <f>IF($H1660&lt;&gt;"","项目成本",IFERROR(INDEX(基础资料!$W$4:$W$49,MATCH($I1660,基础资料!$V$4:$V$49,0)),""))</f>
        <v/>
      </c>
      <c r="X1660" s="63" t="str">
        <f>IFERROR(INDEX(基础资料!$R$4:$R$17,MATCH($G1660,基础资料!$Q$4:$Q$17,0)),"")</f>
        <v/>
      </c>
    </row>
    <row r="1661" spans="1:24">
      <c r="A1661" s="58" t="str">
        <f>IF($B1661="","",COUNTA($B$5:$B1661))</f>
        <v/>
      </c>
      <c r="B1661" s="53"/>
      <c r="C1661" s="46"/>
      <c r="D1661" s="63" t="str">
        <f>IFERROR(INDEX(基础资料!$F$4:$F$23,MATCH($C1661,基础资料!$E$4:$E$23,0)),IF($C1661="","","未匹配账户"))</f>
        <v/>
      </c>
      <c r="E1661" s="39"/>
      <c r="F1661" s="10"/>
      <c r="G1661" s="10"/>
      <c r="H1661" s="10"/>
      <c r="I1661" s="10"/>
      <c r="J1661" s="10"/>
      <c r="K1661" s="25"/>
      <c r="L1661" s="25"/>
      <c r="M1661" s="25" t="str">
        <f>IFERROR(VLOOKUP($C1661,$C$5:$M$24,11,0)+SUMIF($C$25:$C1661,$C1661,$K$25:$K1661)-SUMIF($C$25:$C1661,$C1661,$L$25:$L1661),"")</f>
        <v/>
      </c>
      <c r="N1661" s="10"/>
      <c r="O1661" s="10"/>
      <c r="P1661" s="65"/>
      <c r="Q1661" s="10"/>
      <c r="R1661" s="10"/>
      <c r="S1661" s="54" t="str">
        <f t="shared" si="81"/>
        <v/>
      </c>
      <c r="T1661" s="54" t="str">
        <f t="shared" si="82"/>
        <v/>
      </c>
      <c r="U1661" s="58" t="str">
        <f t="shared" si="83"/>
        <v/>
      </c>
      <c r="V1661" s="58">
        <f>IF(AND($B1661&lt;&gt;"",$F1661&lt;&gt;"",$F1661=项目明细账!$C$2),N(V1660)+1,N(V1660))</f>
        <v>0</v>
      </c>
      <c r="W1661" s="63" t="str">
        <f>IF($H1661&lt;&gt;"","项目成本",IFERROR(INDEX(基础资料!$W$4:$W$49,MATCH($I1661,基础资料!$V$4:$V$49,0)),""))</f>
        <v/>
      </c>
      <c r="X1661" s="63" t="str">
        <f>IFERROR(INDEX(基础资料!$R$4:$R$17,MATCH($G1661,基础资料!$Q$4:$Q$17,0)),"")</f>
        <v/>
      </c>
    </row>
    <row r="1662" spans="1:24">
      <c r="A1662" s="58" t="str">
        <f>IF($B1662="","",COUNTA($B$5:$B1662))</f>
        <v/>
      </c>
      <c r="B1662" s="53"/>
      <c r="C1662" s="46"/>
      <c r="D1662" s="63" t="str">
        <f>IFERROR(INDEX(基础资料!$F$4:$F$23,MATCH($C1662,基础资料!$E$4:$E$23,0)),IF($C1662="","","未匹配账户"))</f>
        <v/>
      </c>
      <c r="E1662" s="39"/>
      <c r="F1662" s="10"/>
      <c r="G1662" s="10"/>
      <c r="H1662" s="10"/>
      <c r="I1662" s="10"/>
      <c r="J1662" s="10"/>
      <c r="K1662" s="25"/>
      <c r="L1662" s="25"/>
      <c r="M1662" s="25" t="str">
        <f>IFERROR(VLOOKUP($C1662,$C$5:$M$24,11,0)+SUMIF($C$25:$C1662,$C1662,$K$25:$K1662)-SUMIF($C$25:$C1662,$C1662,$L$25:$L1662),"")</f>
        <v/>
      </c>
      <c r="N1662" s="10"/>
      <c r="O1662" s="10"/>
      <c r="P1662" s="65"/>
      <c r="Q1662" s="10"/>
      <c r="R1662" s="10"/>
      <c r="S1662" s="54" t="str">
        <f t="shared" si="81"/>
        <v/>
      </c>
      <c r="T1662" s="54" t="str">
        <f t="shared" si="82"/>
        <v/>
      </c>
      <c r="U1662" s="58" t="str">
        <f t="shared" si="83"/>
        <v/>
      </c>
      <c r="V1662" s="58">
        <f>IF(AND($B1662&lt;&gt;"",$F1662&lt;&gt;"",$F1662=项目明细账!$C$2),N(V1661)+1,N(V1661))</f>
        <v>0</v>
      </c>
      <c r="W1662" s="63" t="str">
        <f>IF($H1662&lt;&gt;"","项目成本",IFERROR(INDEX(基础资料!$W$4:$W$49,MATCH($I1662,基础资料!$V$4:$V$49,0)),""))</f>
        <v/>
      </c>
      <c r="X1662" s="63" t="str">
        <f>IFERROR(INDEX(基础资料!$R$4:$R$17,MATCH($G1662,基础资料!$Q$4:$Q$17,0)),"")</f>
        <v/>
      </c>
    </row>
    <row r="1663" spans="1:24">
      <c r="A1663" s="58" t="str">
        <f>IF($B1663="","",COUNTA($B$5:$B1663))</f>
        <v/>
      </c>
      <c r="B1663" s="53"/>
      <c r="C1663" s="46"/>
      <c r="D1663" s="63" t="str">
        <f>IFERROR(INDEX(基础资料!$F$4:$F$23,MATCH($C1663,基础资料!$E$4:$E$23,0)),IF($C1663="","","未匹配账户"))</f>
        <v/>
      </c>
      <c r="E1663" s="39"/>
      <c r="F1663" s="10"/>
      <c r="G1663" s="10"/>
      <c r="H1663" s="10"/>
      <c r="I1663" s="10"/>
      <c r="J1663" s="10"/>
      <c r="K1663" s="25"/>
      <c r="L1663" s="25"/>
      <c r="M1663" s="25" t="str">
        <f>IFERROR(VLOOKUP($C1663,$C$5:$M$24,11,0)+SUMIF($C$25:$C1663,$C1663,$K$25:$K1663)-SUMIF($C$25:$C1663,$C1663,$L$25:$L1663),"")</f>
        <v/>
      </c>
      <c r="N1663" s="10"/>
      <c r="O1663" s="10"/>
      <c r="P1663" s="65"/>
      <c r="Q1663" s="10"/>
      <c r="R1663" s="10"/>
      <c r="S1663" s="54" t="str">
        <f t="shared" si="81"/>
        <v/>
      </c>
      <c r="T1663" s="54" t="str">
        <f t="shared" si="82"/>
        <v/>
      </c>
      <c r="U1663" s="58" t="str">
        <f t="shared" si="83"/>
        <v/>
      </c>
      <c r="V1663" s="58">
        <f>IF(AND($B1663&lt;&gt;"",$F1663&lt;&gt;"",$F1663=项目明细账!$C$2),N(V1662)+1,N(V1662))</f>
        <v>0</v>
      </c>
      <c r="W1663" s="63" t="str">
        <f>IF($H1663&lt;&gt;"","项目成本",IFERROR(INDEX(基础资料!$W$4:$W$49,MATCH($I1663,基础资料!$V$4:$V$49,0)),""))</f>
        <v/>
      </c>
      <c r="X1663" s="63" t="str">
        <f>IFERROR(INDEX(基础资料!$R$4:$R$17,MATCH($G1663,基础资料!$Q$4:$Q$17,0)),"")</f>
        <v/>
      </c>
    </row>
    <row r="1664" spans="1:24">
      <c r="A1664" s="58" t="str">
        <f>IF($B1664="","",COUNTA($B$5:$B1664))</f>
        <v/>
      </c>
      <c r="B1664" s="53"/>
      <c r="C1664" s="46"/>
      <c r="D1664" s="63" t="str">
        <f>IFERROR(INDEX(基础资料!$F$4:$F$23,MATCH($C1664,基础资料!$E$4:$E$23,0)),IF($C1664="","","未匹配账户"))</f>
        <v/>
      </c>
      <c r="E1664" s="39"/>
      <c r="F1664" s="10"/>
      <c r="G1664" s="10"/>
      <c r="H1664" s="10"/>
      <c r="I1664" s="10"/>
      <c r="J1664" s="10"/>
      <c r="K1664" s="25"/>
      <c r="L1664" s="25"/>
      <c r="M1664" s="25" t="str">
        <f>IFERROR(VLOOKUP($C1664,$C$5:$M$24,11,0)+SUMIF($C$25:$C1664,$C1664,$K$25:$K1664)-SUMIF($C$25:$C1664,$C1664,$L$25:$L1664),"")</f>
        <v/>
      </c>
      <c r="N1664" s="10"/>
      <c r="O1664" s="10"/>
      <c r="P1664" s="65"/>
      <c r="Q1664" s="10"/>
      <c r="R1664" s="10"/>
      <c r="S1664" s="54" t="str">
        <f t="shared" si="81"/>
        <v/>
      </c>
      <c r="T1664" s="54" t="str">
        <f t="shared" si="82"/>
        <v/>
      </c>
      <c r="U1664" s="58" t="str">
        <f t="shared" si="83"/>
        <v/>
      </c>
      <c r="V1664" s="58">
        <f>IF(AND($B1664&lt;&gt;"",$F1664&lt;&gt;"",$F1664=项目明细账!$C$2),N(V1663)+1,N(V1663))</f>
        <v>0</v>
      </c>
      <c r="W1664" s="63" t="str">
        <f>IF($H1664&lt;&gt;"","项目成本",IFERROR(INDEX(基础资料!$W$4:$W$49,MATCH($I1664,基础资料!$V$4:$V$49,0)),""))</f>
        <v/>
      </c>
      <c r="X1664" s="63" t="str">
        <f>IFERROR(INDEX(基础资料!$R$4:$R$17,MATCH($G1664,基础资料!$Q$4:$Q$17,0)),"")</f>
        <v/>
      </c>
    </row>
    <row r="1665" spans="1:24">
      <c r="A1665" s="58" t="str">
        <f>IF($B1665="","",COUNTA($B$5:$B1665))</f>
        <v/>
      </c>
      <c r="B1665" s="53"/>
      <c r="C1665" s="46"/>
      <c r="D1665" s="63" t="str">
        <f>IFERROR(INDEX(基础资料!$F$4:$F$23,MATCH($C1665,基础资料!$E$4:$E$23,0)),IF($C1665="","","未匹配账户"))</f>
        <v/>
      </c>
      <c r="E1665" s="39"/>
      <c r="F1665" s="10"/>
      <c r="G1665" s="10"/>
      <c r="H1665" s="10"/>
      <c r="I1665" s="10"/>
      <c r="J1665" s="10"/>
      <c r="K1665" s="25"/>
      <c r="L1665" s="25"/>
      <c r="M1665" s="25" t="str">
        <f>IFERROR(VLOOKUP($C1665,$C$5:$M$24,11,0)+SUMIF($C$25:$C1665,$C1665,$K$25:$K1665)-SUMIF($C$25:$C1665,$C1665,$L$25:$L1665),"")</f>
        <v/>
      </c>
      <c r="N1665" s="10"/>
      <c r="O1665" s="10"/>
      <c r="P1665" s="65"/>
      <c r="Q1665" s="10"/>
      <c r="R1665" s="10"/>
      <c r="S1665" s="54" t="str">
        <f t="shared" si="81"/>
        <v/>
      </c>
      <c r="T1665" s="54" t="str">
        <f t="shared" si="82"/>
        <v/>
      </c>
      <c r="U1665" s="58" t="str">
        <f t="shared" si="83"/>
        <v/>
      </c>
      <c r="V1665" s="58">
        <f>IF(AND($B1665&lt;&gt;"",$F1665&lt;&gt;"",$F1665=项目明细账!$C$2),N(V1664)+1,N(V1664))</f>
        <v>0</v>
      </c>
      <c r="W1665" s="63" t="str">
        <f>IF($H1665&lt;&gt;"","项目成本",IFERROR(INDEX(基础资料!$W$4:$W$49,MATCH($I1665,基础资料!$V$4:$V$49,0)),""))</f>
        <v/>
      </c>
      <c r="X1665" s="63" t="str">
        <f>IFERROR(INDEX(基础资料!$R$4:$R$17,MATCH($G1665,基础资料!$Q$4:$Q$17,0)),"")</f>
        <v/>
      </c>
    </row>
    <row r="1666" spans="1:24">
      <c r="A1666" s="58" t="str">
        <f>IF($B1666="","",COUNTA($B$5:$B1666))</f>
        <v/>
      </c>
      <c r="B1666" s="53"/>
      <c r="C1666" s="46"/>
      <c r="D1666" s="63" t="str">
        <f>IFERROR(INDEX(基础资料!$F$4:$F$23,MATCH($C1666,基础资料!$E$4:$E$23,0)),IF($C1666="","","未匹配账户"))</f>
        <v/>
      </c>
      <c r="E1666" s="39"/>
      <c r="F1666" s="10"/>
      <c r="G1666" s="10"/>
      <c r="H1666" s="10"/>
      <c r="I1666" s="10"/>
      <c r="J1666" s="10"/>
      <c r="K1666" s="25"/>
      <c r="L1666" s="25"/>
      <c r="M1666" s="25" t="str">
        <f>IFERROR(VLOOKUP($C1666,$C$5:$M$24,11,0)+SUMIF($C$25:$C1666,$C1666,$K$25:$K1666)-SUMIF($C$25:$C1666,$C1666,$L$25:$L1666),"")</f>
        <v/>
      </c>
      <c r="N1666" s="10"/>
      <c r="O1666" s="10"/>
      <c r="P1666" s="65"/>
      <c r="Q1666" s="10"/>
      <c r="R1666" s="10"/>
      <c r="S1666" s="54" t="str">
        <f t="shared" si="81"/>
        <v/>
      </c>
      <c r="T1666" s="54" t="str">
        <f t="shared" si="82"/>
        <v/>
      </c>
      <c r="U1666" s="58" t="str">
        <f t="shared" si="83"/>
        <v/>
      </c>
      <c r="V1666" s="58">
        <f>IF(AND($B1666&lt;&gt;"",$F1666&lt;&gt;"",$F1666=项目明细账!$C$2),N(V1665)+1,N(V1665))</f>
        <v>0</v>
      </c>
      <c r="W1666" s="63" t="str">
        <f>IF($H1666&lt;&gt;"","项目成本",IFERROR(INDEX(基础资料!$W$4:$W$49,MATCH($I1666,基础资料!$V$4:$V$49,0)),""))</f>
        <v/>
      </c>
      <c r="X1666" s="63" t="str">
        <f>IFERROR(INDEX(基础资料!$R$4:$R$17,MATCH($G1666,基础资料!$Q$4:$Q$17,0)),"")</f>
        <v/>
      </c>
    </row>
    <row r="1667" spans="1:24">
      <c r="A1667" s="58" t="str">
        <f>IF($B1667="","",COUNTA($B$5:$B1667))</f>
        <v/>
      </c>
      <c r="B1667" s="53"/>
      <c r="C1667" s="46"/>
      <c r="D1667" s="63" t="str">
        <f>IFERROR(INDEX(基础资料!$F$4:$F$23,MATCH($C1667,基础资料!$E$4:$E$23,0)),IF($C1667="","","未匹配账户"))</f>
        <v/>
      </c>
      <c r="E1667" s="39"/>
      <c r="F1667" s="10"/>
      <c r="G1667" s="10"/>
      <c r="H1667" s="10"/>
      <c r="I1667" s="10"/>
      <c r="J1667" s="10"/>
      <c r="K1667" s="25"/>
      <c r="L1667" s="25"/>
      <c r="M1667" s="25" t="str">
        <f>IFERROR(VLOOKUP($C1667,$C$5:$M$24,11,0)+SUMIF($C$25:$C1667,$C1667,$K$25:$K1667)-SUMIF($C$25:$C1667,$C1667,$L$25:$L1667),"")</f>
        <v/>
      </c>
      <c r="N1667" s="10"/>
      <c r="O1667" s="10"/>
      <c r="P1667" s="65"/>
      <c r="Q1667" s="10"/>
      <c r="R1667" s="10"/>
      <c r="S1667" s="54" t="str">
        <f t="shared" si="81"/>
        <v/>
      </c>
      <c r="T1667" s="54" t="str">
        <f t="shared" si="82"/>
        <v/>
      </c>
      <c r="U1667" s="58" t="str">
        <f t="shared" si="83"/>
        <v/>
      </c>
      <c r="V1667" s="58">
        <f>IF(AND($B1667&lt;&gt;"",$F1667&lt;&gt;"",$F1667=项目明细账!$C$2),N(V1666)+1,N(V1666))</f>
        <v>0</v>
      </c>
      <c r="W1667" s="63" t="str">
        <f>IF($H1667&lt;&gt;"","项目成本",IFERROR(INDEX(基础资料!$W$4:$W$49,MATCH($I1667,基础资料!$V$4:$V$49,0)),""))</f>
        <v/>
      </c>
      <c r="X1667" s="63" t="str">
        <f>IFERROR(INDEX(基础资料!$R$4:$R$17,MATCH($G1667,基础资料!$Q$4:$Q$17,0)),"")</f>
        <v/>
      </c>
    </row>
    <row r="1668" spans="1:24">
      <c r="A1668" s="58" t="str">
        <f>IF($B1668="","",COUNTA($B$5:$B1668))</f>
        <v/>
      </c>
      <c r="B1668" s="53"/>
      <c r="C1668" s="46"/>
      <c r="D1668" s="63" t="str">
        <f>IFERROR(INDEX(基础资料!$F$4:$F$23,MATCH($C1668,基础资料!$E$4:$E$23,0)),IF($C1668="","","未匹配账户"))</f>
        <v/>
      </c>
      <c r="E1668" s="39"/>
      <c r="F1668" s="10"/>
      <c r="G1668" s="10"/>
      <c r="H1668" s="10"/>
      <c r="I1668" s="10"/>
      <c r="J1668" s="10"/>
      <c r="K1668" s="25"/>
      <c r="L1668" s="25"/>
      <c r="M1668" s="25" t="str">
        <f>IFERROR(VLOOKUP($C1668,$C$5:$M$24,11,0)+SUMIF($C$25:$C1668,$C1668,$K$25:$K1668)-SUMIF($C$25:$C1668,$C1668,$L$25:$L1668),"")</f>
        <v/>
      </c>
      <c r="N1668" s="10"/>
      <c r="O1668" s="10"/>
      <c r="P1668" s="65"/>
      <c r="Q1668" s="10"/>
      <c r="R1668" s="10"/>
      <c r="S1668" s="54" t="str">
        <f t="shared" si="81"/>
        <v/>
      </c>
      <c r="T1668" s="54" t="str">
        <f t="shared" si="82"/>
        <v/>
      </c>
      <c r="U1668" s="58" t="str">
        <f t="shared" si="83"/>
        <v/>
      </c>
      <c r="V1668" s="58">
        <f>IF(AND($B1668&lt;&gt;"",$F1668&lt;&gt;"",$F1668=项目明细账!$C$2),N(V1667)+1,N(V1667))</f>
        <v>0</v>
      </c>
      <c r="W1668" s="63" t="str">
        <f>IF($H1668&lt;&gt;"","项目成本",IFERROR(INDEX(基础资料!$W$4:$W$49,MATCH($I1668,基础资料!$V$4:$V$49,0)),""))</f>
        <v/>
      </c>
      <c r="X1668" s="63" t="str">
        <f>IFERROR(INDEX(基础资料!$R$4:$R$17,MATCH($G1668,基础资料!$Q$4:$Q$17,0)),"")</f>
        <v/>
      </c>
    </row>
    <row r="1669" spans="1:24">
      <c r="A1669" s="58" t="str">
        <f>IF($B1669="","",COUNTA($B$5:$B1669))</f>
        <v/>
      </c>
      <c r="B1669" s="53"/>
      <c r="C1669" s="46"/>
      <c r="D1669" s="63" t="str">
        <f>IFERROR(INDEX(基础资料!$F$4:$F$23,MATCH($C1669,基础资料!$E$4:$E$23,0)),IF($C1669="","","未匹配账户"))</f>
        <v/>
      </c>
      <c r="E1669" s="39"/>
      <c r="F1669" s="10"/>
      <c r="G1669" s="10"/>
      <c r="H1669" s="10"/>
      <c r="I1669" s="10"/>
      <c r="J1669" s="10"/>
      <c r="K1669" s="25"/>
      <c r="L1669" s="25"/>
      <c r="M1669" s="25" t="str">
        <f>IFERROR(VLOOKUP($C1669,$C$5:$M$24,11,0)+SUMIF($C$25:$C1669,$C1669,$K$25:$K1669)-SUMIF($C$25:$C1669,$C1669,$L$25:$L1669),"")</f>
        <v/>
      </c>
      <c r="N1669" s="10"/>
      <c r="O1669" s="10"/>
      <c r="P1669" s="65"/>
      <c r="Q1669" s="10"/>
      <c r="R1669" s="10"/>
      <c r="S1669" s="54" t="str">
        <f t="shared" si="81"/>
        <v/>
      </c>
      <c r="T1669" s="54" t="str">
        <f t="shared" si="82"/>
        <v/>
      </c>
      <c r="U1669" s="58" t="str">
        <f t="shared" si="83"/>
        <v/>
      </c>
      <c r="V1669" s="58">
        <f>IF(AND($B1669&lt;&gt;"",$F1669&lt;&gt;"",$F1669=项目明细账!$C$2),N(V1668)+1,N(V1668))</f>
        <v>0</v>
      </c>
      <c r="W1669" s="63" t="str">
        <f>IF($H1669&lt;&gt;"","项目成本",IFERROR(INDEX(基础资料!$W$4:$W$49,MATCH($I1669,基础资料!$V$4:$V$49,0)),""))</f>
        <v/>
      </c>
      <c r="X1669" s="63" t="str">
        <f>IFERROR(INDEX(基础资料!$R$4:$R$17,MATCH($G1669,基础资料!$Q$4:$Q$17,0)),"")</f>
        <v/>
      </c>
    </row>
    <row r="1670" spans="1:24">
      <c r="A1670" s="58" t="str">
        <f>IF($B1670="","",COUNTA($B$5:$B1670))</f>
        <v/>
      </c>
      <c r="B1670" s="53"/>
      <c r="C1670" s="46"/>
      <c r="D1670" s="63" t="str">
        <f>IFERROR(INDEX(基础资料!$F$4:$F$23,MATCH($C1670,基础资料!$E$4:$E$23,0)),IF($C1670="","","未匹配账户"))</f>
        <v/>
      </c>
      <c r="E1670" s="39"/>
      <c r="F1670" s="10"/>
      <c r="G1670" s="10"/>
      <c r="H1670" s="10"/>
      <c r="I1670" s="10"/>
      <c r="J1670" s="10"/>
      <c r="K1670" s="25"/>
      <c r="L1670" s="25"/>
      <c r="M1670" s="25" t="str">
        <f>IFERROR(VLOOKUP($C1670,$C$5:$M$24,11,0)+SUMIF($C$25:$C1670,$C1670,$K$25:$K1670)-SUMIF($C$25:$C1670,$C1670,$L$25:$L1670),"")</f>
        <v/>
      </c>
      <c r="N1670" s="10"/>
      <c r="O1670" s="10"/>
      <c r="P1670" s="65"/>
      <c r="Q1670" s="10"/>
      <c r="R1670" s="10"/>
      <c r="S1670" s="54" t="str">
        <f t="shared" si="81"/>
        <v/>
      </c>
      <c r="T1670" s="54" t="str">
        <f t="shared" si="82"/>
        <v/>
      </c>
      <c r="U1670" s="58" t="str">
        <f t="shared" si="83"/>
        <v/>
      </c>
      <c r="V1670" s="58">
        <f>IF(AND($B1670&lt;&gt;"",$F1670&lt;&gt;"",$F1670=项目明细账!$C$2),N(V1669)+1,N(V1669))</f>
        <v>0</v>
      </c>
      <c r="W1670" s="63" t="str">
        <f>IF($H1670&lt;&gt;"","项目成本",IFERROR(INDEX(基础资料!$W$4:$W$49,MATCH($I1670,基础资料!$V$4:$V$49,0)),""))</f>
        <v/>
      </c>
      <c r="X1670" s="63" t="str">
        <f>IFERROR(INDEX(基础资料!$R$4:$R$17,MATCH($G1670,基础资料!$Q$4:$Q$17,0)),"")</f>
        <v/>
      </c>
    </row>
    <row r="1671" spans="1:24">
      <c r="A1671" s="58" t="str">
        <f>IF($B1671="","",COUNTA($B$5:$B1671))</f>
        <v/>
      </c>
      <c r="B1671" s="53"/>
      <c r="C1671" s="46"/>
      <c r="D1671" s="63" t="str">
        <f>IFERROR(INDEX(基础资料!$F$4:$F$23,MATCH($C1671,基础资料!$E$4:$E$23,0)),IF($C1671="","","未匹配账户"))</f>
        <v/>
      </c>
      <c r="E1671" s="39"/>
      <c r="F1671" s="10"/>
      <c r="G1671" s="10"/>
      <c r="H1671" s="10"/>
      <c r="I1671" s="10"/>
      <c r="J1671" s="10"/>
      <c r="K1671" s="25"/>
      <c r="L1671" s="25"/>
      <c r="M1671" s="25" t="str">
        <f>IFERROR(VLOOKUP($C1671,$C$5:$M$24,11,0)+SUMIF($C$25:$C1671,$C1671,$K$25:$K1671)-SUMIF($C$25:$C1671,$C1671,$L$25:$L1671),"")</f>
        <v/>
      </c>
      <c r="N1671" s="10"/>
      <c r="O1671" s="10"/>
      <c r="P1671" s="65"/>
      <c r="Q1671" s="10"/>
      <c r="R1671" s="10"/>
      <c r="S1671" s="54" t="str">
        <f t="shared" ref="S1671:S1734" si="84">IF($B1671="","",--TEXT($B1671,"yyyymm"))</f>
        <v/>
      </c>
      <c r="T1671" s="54" t="str">
        <f t="shared" ref="T1671:T1734" si="85">IF($B1671="","",IF($P1671="",$S1671,IFERROR($P1671*1,$P1671)))</f>
        <v/>
      </c>
      <c r="U1671" s="58" t="str">
        <f t="shared" ref="U1671:U1734" si="86">IF($B1671="","",IF($T1671=$S1671,"","跨期"))</f>
        <v/>
      </c>
      <c r="V1671" s="58">
        <f>IF(AND($B1671&lt;&gt;"",$F1671&lt;&gt;"",$F1671=项目明细账!$C$2),N(V1670)+1,N(V1670))</f>
        <v>0</v>
      </c>
      <c r="W1671" s="63" t="str">
        <f>IF($H1671&lt;&gt;"","项目成本",IFERROR(INDEX(基础资料!$W$4:$W$49,MATCH($I1671,基础资料!$V$4:$V$49,0)),""))</f>
        <v/>
      </c>
      <c r="X1671" s="63" t="str">
        <f>IFERROR(INDEX(基础资料!$R$4:$R$17,MATCH($G1671,基础资料!$Q$4:$Q$17,0)),"")</f>
        <v/>
      </c>
    </row>
    <row r="1672" spans="1:24">
      <c r="A1672" s="58" t="str">
        <f>IF($B1672="","",COUNTA($B$5:$B1672))</f>
        <v/>
      </c>
      <c r="B1672" s="53"/>
      <c r="C1672" s="46"/>
      <c r="D1672" s="63" t="str">
        <f>IFERROR(INDEX(基础资料!$F$4:$F$23,MATCH($C1672,基础资料!$E$4:$E$23,0)),IF($C1672="","","未匹配账户"))</f>
        <v/>
      </c>
      <c r="E1672" s="39"/>
      <c r="F1672" s="10"/>
      <c r="G1672" s="10"/>
      <c r="H1672" s="10"/>
      <c r="I1672" s="10"/>
      <c r="J1672" s="10"/>
      <c r="K1672" s="25"/>
      <c r="L1672" s="25"/>
      <c r="M1672" s="25" t="str">
        <f>IFERROR(VLOOKUP($C1672,$C$5:$M$24,11,0)+SUMIF($C$25:$C1672,$C1672,$K$25:$K1672)-SUMIF($C$25:$C1672,$C1672,$L$25:$L1672),"")</f>
        <v/>
      </c>
      <c r="N1672" s="10"/>
      <c r="O1672" s="10"/>
      <c r="P1672" s="65"/>
      <c r="Q1672" s="10"/>
      <c r="R1672" s="10"/>
      <c r="S1672" s="54" t="str">
        <f t="shared" si="84"/>
        <v/>
      </c>
      <c r="T1672" s="54" t="str">
        <f t="shared" si="85"/>
        <v/>
      </c>
      <c r="U1672" s="58" t="str">
        <f t="shared" si="86"/>
        <v/>
      </c>
      <c r="V1672" s="58">
        <f>IF(AND($B1672&lt;&gt;"",$F1672&lt;&gt;"",$F1672=项目明细账!$C$2),N(V1671)+1,N(V1671))</f>
        <v>0</v>
      </c>
      <c r="W1672" s="63" t="str">
        <f>IF($H1672&lt;&gt;"","项目成本",IFERROR(INDEX(基础资料!$W$4:$W$49,MATCH($I1672,基础资料!$V$4:$V$49,0)),""))</f>
        <v/>
      </c>
      <c r="X1672" s="63" t="str">
        <f>IFERROR(INDEX(基础资料!$R$4:$R$17,MATCH($G1672,基础资料!$Q$4:$Q$17,0)),"")</f>
        <v/>
      </c>
    </row>
    <row r="1673" spans="1:24">
      <c r="A1673" s="58" t="str">
        <f>IF($B1673="","",COUNTA($B$5:$B1673))</f>
        <v/>
      </c>
      <c r="B1673" s="53"/>
      <c r="C1673" s="46"/>
      <c r="D1673" s="63" t="str">
        <f>IFERROR(INDEX(基础资料!$F$4:$F$23,MATCH($C1673,基础资料!$E$4:$E$23,0)),IF($C1673="","","未匹配账户"))</f>
        <v/>
      </c>
      <c r="E1673" s="39"/>
      <c r="F1673" s="10"/>
      <c r="G1673" s="10"/>
      <c r="H1673" s="10"/>
      <c r="I1673" s="10"/>
      <c r="J1673" s="10"/>
      <c r="K1673" s="25"/>
      <c r="L1673" s="25"/>
      <c r="M1673" s="25" t="str">
        <f>IFERROR(VLOOKUP($C1673,$C$5:$M$24,11,0)+SUMIF($C$25:$C1673,$C1673,$K$25:$K1673)-SUMIF($C$25:$C1673,$C1673,$L$25:$L1673),"")</f>
        <v/>
      </c>
      <c r="N1673" s="10"/>
      <c r="O1673" s="10"/>
      <c r="P1673" s="65"/>
      <c r="Q1673" s="10"/>
      <c r="R1673" s="10"/>
      <c r="S1673" s="54" t="str">
        <f t="shared" si="84"/>
        <v/>
      </c>
      <c r="T1673" s="54" t="str">
        <f t="shared" si="85"/>
        <v/>
      </c>
      <c r="U1673" s="58" t="str">
        <f t="shared" si="86"/>
        <v/>
      </c>
      <c r="V1673" s="58">
        <f>IF(AND($B1673&lt;&gt;"",$F1673&lt;&gt;"",$F1673=项目明细账!$C$2),N(V1672)+1,N(V1672))</f>
        <v>0</v>
      </c>
      <c r="W1673" s="63" t="str">
        <f>IF($H1673&lt;&gt;"","项目成本",IFERROR(INDEX(基础资料!$W$4:$W$49,MATCH($I1673,基础资料!$V$4:$V$49,0)),""))</f>
        <v/>
      </c>
      <c r="X1673" s="63" t="str">
        <f>IFERROR(INDEX(基础资料!$R$4:$R$17,MATCH($G1673,基础资料!$Q$4:$Q$17,0)),"")</f>
        <v/>
      </c>
    </row>
    <row r="1674" spans="1:24">
      <c r="A1674" s="58" t="str">
        <f>IF($B1674="","",COUNTA($B$5:$B1674))</f>
        <v/>
      </c>
      <c r="B1674" s="53"/>
      <c r="C1674" s="46"/>
      <c r="D1674" s="63" t="str">
        <f>IFERROR(INDEX(基础资料!$F$4:$F$23,MATCH($C1674,基础资料!$E$4:$E$23,0)),IF($C1674="","","未匹配账户"))</f>
        <v/>
      </c>
      <c r="E1674" s="39"/>
      <c r="F1674" s="10"/>
      <c r="G1674" s="10"/>
      <c r="H1674" s="10"/>
      <c r="I1674" s="10"/>
      <c r="J1674" s="10"/>
      <c r="K1674" s="25"/>
      <c r="L1674" s="25"/>
      <c r="M1674" s="25" t="str">
        <f>IFERROR(VLOOKUP($C1674,$C$5:$M$24,11,0)+SUMIF($C$25:$C1674,$C1674,$K$25:$K1674)-SUMIF($C$25:$C1674,$C1674,$L$25:$L1674),"")</f>
        <v/>
      </c>
      <c r="N1674" s="10"/>
      <c r="O1674" s="10"/>
      <c r="P1674" s="65"/>
      <c r="Q1674" s="10"/>
      <c r="R1674" s="10"/>
      <c r="S1674" s="54" t="str">
        <f t="shared" si="84"/>
        <v/>
      </c>
      <c r="T1674" s="54" t="str">
        <f t="shared" si="85"/>
        <v/>
      </c>
      <c r="U1674" s="58" t="str">
        <f t="shared" si="86"/>
        <v/>
      </c>
      <c r="V1674" s="58">
        <f>IF(AND($B1674&lt;&gt;"",$F1674&lt;&gt;"",$F1674=项目明细账!$C$2),N(V1673)+1,N(V1673))</f>
        <v>0</v>
      </c>
      <c r="W1674" s="63" t="str">
        <f>IF($H1674&lt;&gt;"","项目成本",IFERROR(INDEX(基础资料!$W$4:$W$49,MATCH($I1674,基础资料!$V$4:$V$49,0)),""))</f>
        <v/>
      </c>
      <c r="X1674" s="63" t="str">
        <f>IFERROR(INDEX(基础资料!$R$4:$R$17,MATCH($G1674,基础资料!$Q$4:$Q$17,0)),"")</f>
        <v/>
      </c>
    </row>
    <row r="1675" spans="1:24">
      <c r="A1675" s="58" t="str">
        <f>IF($B1675="","",COUNTA($B$5:$B1675))</f>
        <v/>
      </c>
      <c r="B1675" s="53"/>
      <c r="C1675" s="46"/>
      <c r="D1675" s="63" t="str">
        <f>IFERROR(INDEX(基础资料!$F$4:$F$23,MATCH($C1675,基础资料!$E$4:$E$23,0)),IF($C1675="","","未匹配账户"))</f>
        <v/>
      </c>
      <c r="E1675" s="39"/>
      <c r="F1675" s="10"/>
      <c r="G1675" s="10"/>
      <c r="H1675" s="10"/>
      <c r="I1675" s="10"/>
      <c r="J1675" s="10"/>
      <c r="K1675" s="25"/>
      <c r="L1675" s="25"/>
      <c r="M1675" s="25" t="str">
        <f>IFERROR(VLOOKUP($C1675,$C$5:$M$24,11,0)+SUMIF($C$25:$C1675,$C1675,$K$25:$K1675)-SUMIF($C$25:$C1675,$C1675,$L$25:$L1675),"")</f>
        <v/>
      </c>
      <c r="N1675" s="10"/>
      <c r="O1675" s="10"/>
      <c r="P1675" s="65"/>
      <c r="Q1675" s="10"/>
      <c r="R1675" s="10"/>
      <c r="S1675" s="54" t="str">
        <f t="shared" si="84"/>
        <v/>
      </c>
      <c r="T1675" s="54" t="str">
        <f t="shared" si="85"/>
        <v/>
      </c>
      <c r="U1675" s="58" t="str">
        <f t="shared" si="86"/>
        <v/>
      </c>
      <c r="V1675" s="58">
        <f>IF(AND($B1675&lt;&gt;"",$F1675&lt;&gt;"",$F1675=项目明细账!$C$2),N(V1674)+1,N(V1674))</f>
        <v>0</v>
      </c>
      <c r="W1675" s="63" t="str">
        <f>IF($H1675&lt;&gt;"","项目成本",IFERROR(INDEX(基础资料!$W$4:$W$49,MATCH($I1675,基础资料!$V$4:$V$49,0)),""))</f>
        <v/>
      </c>
      <c r="X1675" s="63" t="str">
        <f>IFERROR(INDEX(基础资料!$R$4:$R$17,MATCH($G1675,基础资料!$Q$4:$Q$17,0)),"")</f>
        <v/>
      </c>
    </row>
    <row r="1676" spans="1:24">
      <c r="A1676" s="58" t="str">
        <f>IF($B1676="","",COUNTA($B$5:$B1676))</f>
        <v/>
      </c>
      <c r="B1676" s="53"/>
      <c r="C1676" s="46"/>
      <c r="D1676" s="63" t="str">
        <f>IFERROR(INDEX(基础资料!$F$4:$F$23,MATCH($C1676,基础资料!$E$4:$E$23,0)),IF($C1676="","","未匹配账户"))</f>
        <v/>
      </c>
      <c r="E1676" s="39"/>
      <c r="F1676" s="10"/>
      <c r="G1676" s="10"/>
      <c r="H1676" s="10"/>
      <c r="I1676" s="10"/>
      <c r="J1676" s="10"/>
      <c r="K1676" s="25"/>
      <c r="L1676" s="25"/>
      <c r="M1676" s="25" t="str">
        <f>IFERROR(VLOOKUP($C1676,$C$5:$M$24,11,0)+SUMIF($C$25:$C1676,$C1676,$K$25:$K1676)-SUMIF($C$25:$C1676,$C1676,$L$25:$L1676),"")</f>
        <v/>
      </c>
      <c r="N1676" s="10"/>
      <c r="O1676" s="10"/>
      <c r="P1676" s="65"/>
      <c r="Q1676" s="10"/>
      <c r="R1676" s="10"/>
      <c r="S1676" s="54" t="str">
        <f t="shared" si="84"/>
        <v/>
      </c>
      <c r="T1676" s="54" t="str">
        <f t="shared" si="85"/>
        <v/>
      </c>
      <c r="U1676" s="58" t="str">
        <f t="shared" si="86"/>
        <v/>
      </c>
      <c r="V1676" s="58">
        <f>IF(AND($B1676&lt;&gt;"",$F1676&lt;&gt;"",$F1676=项目明细账!$C$2),N(V1675)+1,N(V1675))</f>
        <v>0</v>
      </c>
      <c r="W1676" s="63" t="str">
        <f>IF($H1676&lt;&gt;"","项目成本",IFERROR(INDEX(基础资料!$W$4:$W$49,MATCH($I1676,基础资料!$V$4:$V$49,0)),""))</f>
        <v/>
      </c>
      <c r="X1676" s="63" t="str">
        <f>IFERROR(INDEX(基础资料!$R$4:$R$17,MATCH($G1676,基础资料!$Q$4:$Q$17,0)),"")</f>
        <v/>
      </c>
    </row>
    <row r="1677" spans="1:24">
      <c r="A1677" s="58" t="str">
        <f>IF($B1677="","",COUNTA($B$5:$B1677))</f>
        <v/>
      </c>
      <c r="B1677" s="53"/>
      <c r="C1677" s="46"/>
      <c r="D1677" s="63" t="str">
        <f>IFERROR(INDEX(基础资料!$F$4:$F$23,MATCH($C1677,基础资料!$E$4:$E$23,0)),IF($C1677="","","未匹配账户"))</f>
        <v/>
      </c>
      <c r="E1677" s="39"/>
      <c r="F1677" s="10"/>
      <c r="G1677" s="10"/>
      <c r="H1677" s="10"/>
      <c r="I1677" s="10"/>
      <c r="J1677" s="10"/>
      <c r="K1677" s="25"/>
      <c r="L1677" s="25"/>
      <c r="M1677" s="25" t="str">
        <f>IFERROR(VLOOKUP($C1677,$C$5:$M$24,11,0)+SUMIF($C$25:$C1677,$C1677,$K$25:$K1677)-SUMIF($C$25:$C1677,$C1677,$L$25:$L1677),"")</f>
        <v/>
      </c>
      <c r="N1677" s="10"/>
      <c r="O1677" s="10"/>
      <c r="P1677" s="65"/>
      <c r="Q1677" s="10"/>
      <c r="R1677" s="10"/>
      <c r="S1677" s="54" t="str">
        <f t="shared" si="84"/>
        <v/>
      </c>
      <c r="T1677" s="54" t="str">
        <f t="shared" si="85"/>
        <v/>
      </c>
      <c r="U1677" s="58" t="str">
        <f t="shared" si="86"/>
        <v/>
      </c>
      <c r="V1677" s="58">
        <f>IF(AND($B1677&lt;&gt;"",$F1677&lt;&gt;"",$F1677=项目明细账!$C$2),N(V1676)+1,N(V1676))</f>
        <v>0</v>
      </c>
      <c r="W1677" s="63" t="str">
        <f>IF($H1677&lt;&gt;"","项目成本",IFERROR(INDEX(基础资料!$W$4:$W$49,MATCH($I1677,基础资料!$V$4:$V$49,0)),""))</f>
        <v/>
      </c>
      <c r="X1677" s="63" t="str">
        <f>IFERROR(INDEX(基础资料!$R$4:$R$17,MATCH($G1677,基础资料!$Q$4:$Q$17,0)),"")</f>
        <v/>
      </c>
    </row>
    <row r="1678" spans="1:24">
      <c r="A1678" s="58" t="str">
        <f>IF($B1678="","",COUNTA($B$5:$B1678))</f>
        <v/>
      </c>
      <c r="B1678" s="53"/>
      <c r="C1678" s="46"/>
      <c r="D1678" s="63" t="str">
        <f>IFERROR(INDEX(基础资料!$F$4:$F$23,MATCH($C1678,基础资料!$E$4:$E$23,0)),IF($C1678="","","未匹配账户"))</f>
        <v/>
      </c>
      <c r="E1678" s="39"/>
      <c r="F1678" s="10"/>
      <c r="G1678" s="10"/>
      <c r="H1678" s="10"/>
      <c r="I1678" s="10"/>
      <c r="J1678" s="10"/>
      <c r="K1678" s="25"/>
      <c r="L1678" s="25"/>
      <c r="M1678" s="25" t="str">
        <f>IFERROR(VLOOKUP($C1678,$C$5:$M$24,11,0)+SUMIF($C$25:$C1678,$C1678,$K$25:$K1678)-SUMIF($C$25:$C1678,$C1678,$L$25:$L1678),"")</f>
        <v/>
      </c>
      <c r="N1678" s="10"/>
      <c r="O1678" s="10"/>
      <c r="P1678" s="65"/>
      <c r="Q1678" s="10"/>
      <c r="R1678" s="10"/>
      <c r="S1678" s="54" t="str">
        <f t="shared" si="84"/>
        <v/>
      </c>
      <c r="T1678" s="54" t="str">
        <f t="shared" si="85"/>
        <v/>
      </c>
      <c r="U1678" s="58" t="str">
        <f t="shared" si="86"/>
        <v/>
      </c>
      <c r="V1678" s="58">
        <f>IF(AND($B1678&lt;&gt;"",$F1678&lt;&gt;"",$F1678=项目明细账!$C$2),N(V1677)+1,N(V1677))</f>
        <v>0</v>
      </c>
      <c r="W1678" s="63" t="str">
        <f>IF($H1678&lt;&gt;"","项目成本",IFERROR(INDEX(基础资料!$W$4:$W$49,MATCH($I1678,基础资料!$V$4:$V$49,0)),""))</f>
        <v/>
      </c>
      <c r="X1678" s="63" t="str">
        <f>IFERROR(INDEX(基础资料!$R$4:$R$17,MATCH($G1678,基础资料!$Q$4:$Q$17,0)),"")</f>
        <v/>
      </c>
    </row>
    <row r="1679" spans="1:24">
      <c r="A1679" s="58" t="str">
        <f>IF($B1679="","",COUNTA($B$5:$B1679))</f>
        <v/>
      </c>
      <c r="B1679" s="53"/>
      <c r="C1679" s="46"/>
      <c r="D1679" s="63" t="str">
        <f>IFERROR(INDEX(基础资料!$F$4:$F$23,MATCH($C1679,基础资料!$E$4:$E$23,0)),IF($C1679="","","未匹配账户"))</f>
        <v/>
      </c>
      <c r="E1679" s="39"/>
      <c r="F1679" s="10"/>
      <c r="G1679" s="10"/>
      <c r="H1679" s="10"/>
      <c r="I1679" s="10"/>
      <c r="J1679" s="10"/>
      <c r="K1679" s="25"/>
      <c r="L1679" s="25"/>
      <c r="M1679" s="25" t="str">
        <f>IFERROR(VLOOKUP($C1679,$C$5:$M$24,11,0)+SUMIF($C$25:$C1679,$C1679,$K$25:$K1679)-SUMIF($C$25:$C1679,$C1679,$L$25:$L1679),"")</f>
        <v/>
      </c>
      <c r="N1679" s="10"/>
      <c r="O1679" s="10"/>
      <c r="P1679" s="65"/>
      <c r="Q1679" s="10"/>
      <c r="R1679" s="10"/>
      <c r="S1679" s="54" t="str">
        <f t="shared" si="84"/>
        <v/>
      </c>
      <c r="T1679" s="54" t="str">
        <f t="shared" si="85"/>
        <v/>
      </c>
      <c r="U1679" s="58" t="str">
        <f t="shared" si="86"/>
        <v/>
      </c>
      <c r="V1679" s="58">
        <f>IF(AND($B1679&lt;&gt;"",$F1679&lt;&gt;"",$F1679=项目明细账!$C$2),N(V1678)+1,N(V1678))</f>
        <v>0</v>
      </c>
      <c r="W1679" s="63" t="str">
        <f>IF($H1679&lt;&gt;"","项目成本",IFERROR(INDEX(基础资料!$W$4:$W$49,MATCH($I1679,基础资料!$V$4:$V$49,0)),""))</f>
        <v/>
      </c>
      <c r="X1679" s="63" t="str">
        <f>IFERROR(INDEX(基础资料!$R$4:$R$17,MATCH($G1679,基础资料!$Q$4:$Q$17,0)),"")</f>
        <v/>
      </c>
    </row>
    <row r="1680" spans="1:24">
      <c r="A1680" s="58" t="str">
        <f>IF($B1680="","",COUNTA($B$5:$B1680))</f>
        <v/>
      </c>
      <c r="B1680" s="53"/>
      <c r="C1680" s="46"/>
      <c r="D1680" s="63" t="str">
        <f>IFERROR(INDEX(基础资料!$F$4:$F$23,MATCH($C1680,基础资料!$E$4:$E$23,0)),IF($C1680="","","未匹配账户"))</f>
        <v/>
      </c>
      <c r="E1680" s="39"/>
      <c r="F1680" s="10"/>
      <c r="G1680" s="10"/>
      <c r="H1680" s="10"/>
      <c r="I1680" s="10"/>
      <c r="J1680" s="10"/>
      <c r="K1680" s="25"/>
      <c r="L1680" s="25"/>
      <c r="M1680" s="25" t="str">
        <f>IFERROR(VLOOKUP($C1680,$C$5:$M$24,11,0)+SUMIF($C$25:$C1680,$C1680,$K$25:$K1680)-SUMIF($C$25:$C1680,$C1680,$L$25:$L1680),"")</f>
        <v/>
      </c>
      <c r="N1680" s="10"/>
      <c r="O1680" s="10"/>
      <c r="P1680" s="65"/>
      <c r="Q1680" s="10"/>
      <c r="R1680" s="10"/>
      <c r="S1680" s="54" t="str">
        <f t="shared" si="84"/>
        <v/>
      </c>
      <c r="T1680" s="54" t="str">
        <f t="shared" si="85"/>
        <v/>
      </c>
      <c r="U1680" s="58" t="str">
        <f t="shared" si="86"/>
        <v/>
      </c>
      <c r="V1680" s="58">
        <f>IF(AND($B1680&lt;&gt;"",$F1680&lt;&gt;"",$F1680=项目明细账!$C$2),N(V1679)+1,N(V1679))</f>
        <v>0</v>
      </c>
      <c r="W1680" s="63" t="str">
        <f>IF($H1680&lt;&gt;"","项目成本",IFERROR(INDEX(基础资料!$W$4:$W$49,MATCH($I1680,基础资料!$V$4:$V$49,0)),""))</f>
        <v/>
      </c>
      <c r="X1680" s="63" t="str">
        <f>IFERROR(INDEX(基础资料!$R$4:$R$17,MATCH($G1680,基础资料!$Q$4:$Q$17,0)),"")</f>
        <v/>
      </c>
    </row>
    <row r="1681" spans="1:24">
      <c r="A1681" s="58" t="str">
        <f>IF($B1681="","",COUNTA($B$5:$B1681))</f>
        <v/>
      </c>
      <c r="B1681" s="53"/>
      <c r="C1681" s="46"/>
      <c r="D1681" s="63" t="str">
        <f>IFERROR(INDEX(基础资料!$F$4:$F$23,MATCH($C1681,基础资料!$E$4:$E$23,0)),IF($C1681="","","未匹配账户"))</f>
        <v/>
      </c>
      <c r="E1681" s="39"/>
      <c r="F1681" s="10"/>
      <c r="G1681" s="10"/>
      <c r="H1681" s="10"/>
      <c r="I1681" s="10"/>
      <c r="J1681" s="10"/>
      <c r="K1681" s="25"/>
      <c r="L1681" s="25"/>
      <c r="M1681" s="25" t="str">
        <f>IFERROR(VLOOKUP($C1681,$C$5:$M$24,11,0)+SUMIF($C$25:$C1681,$C1681,$K$25:$K1681)-SUMIF($C$25:$C1681,$C1681,$L$25:$L1681),"")</f>
        <v/>
      </c>
      <c r="N1681" s="10"/>
      <c r="O1681" s="10"/>
      <c r="P1681" s="65"/>
      <c r="Q1681" s="10"/>
      <c r="R1681" s="10"/>
      <c r="S1681" s="54" t="str">
        <f t="shared" si="84"/>
        <v/>
      </c>
      <c r="T1681" s="54" t="str">
        <f t="shared" si="85"/>
        <v/>
      </c>
      <c r="U1681" s="58" t="str">
        <f t="shared" si="86"/>
        <v/>
      </c>
      <c r="V1681" s="58">
        <f>IF(AND($B1681&lt;&gt;"",$F1681&lt;&gt;"",$F1681=项目明细账!$C$2),N(V1680)+1,N(V1680))</f>
        <v>0</v>
      </c>
      <c r="W1681" s="63" t="str">
        <f>IF($H1681&lt;&gt;"","项目成本",IFERROR(INDEX(基础资料!$W$4:$W$49,MATCH($I1681,基础资料!$V$4:$V$49,0)),""))</f>
        <v/>
      </c>
      <c r="X1681" s="63" t="str">
        <f>IFERROR(INDEX(基础资料!$R$4:$R$17,MATCH($G1681,基础资料!$Q$4:$Q$17,0)),"")</f>
        <v/>
      </c>
    </row>
    <row r="1682" spans="1:24">
      <c r="A1682" s="58" t="str">
        <f>IF($B1682="","",COUNTA($B$5:$B1682))</f>
        <v/>
      </c>
      <c r="B1682" s="53"/>
      <c r="C1682" s="46"/>
      <c r="D1682" s="63" t="str">
        <f>IFERROR(INDEX(基础资料!$F$4:$F$23,MATCH($C1682,基础资料!$E$4:$E$23,0)),IF($C1682="","","未匹配账户"))</f>
        <v/>
      </c>
      <c r="E1682" s="39"/>
      <c r="F1682" s="10"/>
      <c r="G1682" s="10"/>
      <c r="H1682" s="10"/>
      <c r="I1682" s="10"/>
      <c r="J1682" s="10"/>
      <c r="K1682" s="25"/>
      <c r="L1682" s="25"/>
      <c r="M1682" s="25" t="str">
        <f>IFERROR(VLOOKUP($C1682,$C$5:$M$24,11,0)+SUMIF($C$25:$C1682,$C1682,$K$25:$K1682)-SUMIF($C$25:$C1682,$C1682,$L$25:$L1682),"")</f>
        <v/>
      </c>
      <c r="N1682" s="10"/>
      <c r="O1682" s="10"/>
      <c r="P1682" s="65"/>
      <c r="Q1682" s="10"/>
      <c r="R1682" s="10"/>
      <c r="S1682" s="54" t="str">
        <f t="shared" si="84"/>
        <v/>
      </c>
      <c r="T1682" s="54" t="str">
        <f t="shared" si="85"/>
        <v/>
      </c>
      <c r="U1682" s="58" t="str">
        <f t="shared" si="86"/>
        <v/>
      </c>
      <c r="V1682" s="58">
        <f>IF(AND($B1682&lt;&gt;"",$F1682&lt;&gt;"",$F1682=项目明细账!$C$2),N(V1681)+1,N(V1681))</f>
        <v>0</v>
      </c>
      <c r="W1682" s="63" t="str">
        <f>IF($H1682&lt;&gt;"","项目成本",IFERROR(INDEX(基础资料!$W$4:$W$49,MATCH($I1682,基础资料!$V$4:$V$49,0)),""))</f>
        <v/>
      </c>
      <c r="X1682" s="63" t="str">
        <f>IFERROR(INDEX(基础资料!$R$4:$R$17,MATCH($G1682,基础资料!$Q$4:$Q$17,0)),"")</f>
        <v/>
      </c>
    </row>
    <row r="1683" spans="1:24">
      <c r="A1683" s="58" t="str">
        <f>IF($B1683="","",COUNTA($B$5:$B1683))</f>
        <v/>
      </c>
      <c r="B1683" s="53"/>
      <c r="C1683" s="46"/>
      <c r="D1683" s="63" t="str">
        <f>IFERROR(INDEX(基础资料!$F$4:$F$23,MATCH($C1683,基础资料!$E$4:$E$23,0)),IF($C1683="","","未匹配账户"))</f>
        <v/>
      </c>
      <c r="E1683" s="39"/>
      <c r="F1683" s="10"/>
      <c r="G1683" s="10"/>
      <c r="H1683" s="10"/>
      <c r="I1683" s="10"/>
      <c r="J1683" s="10"/>
      <c r="K1683" s="25"/>
      <c r="L1683" s="25"/>
      <c r="M1683" s="25" t="str">
        <f>IFERROR(VLOOKUP($C1683,$C$5:$M$24,11,0)+SUMIF($C$25:$C1683,$C1683,$K$25:$K1683)-SUMIF($C$25:$C1683,$C1683,$L$25:$L1683),"")</f>
        <v/>
      </c>
      <c r="N1683" s="10"/>
      <c r="O1683" s="10"/>
      <c r="P1683" s="65"/>
      <c r="Q1683" s="10"/>
      <c r="R1683" s="10"/>
      <c r="S1683" s="54" t="str">
        <f t="shared" si="84"/>
        <v/>
      </c>
      <c r="T1683" s="54" t="str">
        <f t="shared" si="85"/>
        <v/>
      </c>
      <c r="U1683" s="58" t="str">
        <f t="shared" si="86"/>
        <v/>
      </c>
      <c r="V1683" s="58">
        <f>IF(AND($B1683&lt;&gt;"",$F1683&lt;&gt;"",$F1683=项目明细账!$C$2),N(V1682)+1,N(V1682))</f>
        <v>0</v>
      </c>
      <c r="W1683" s="63" t="str">
        <f>IF($H1683&lt;&gt;"","项目成本",IFERROR(INDEX(基础资料!$W$4:$W$49,MATCH($I1683,基础资料!$V$4:$V$49,0)),""))</f>
        <v/>
      </c>
      <c r="X1683" s="63" t="str">
        <f>IFERROR(INDEX(基础资料!$R$4:$R$17,MATCH($G1683,基础资料!$Q$4:$Q$17,0)),"")</f>
        <v/>
      </c>
    </row>
    <row r="1684" spans="1:24">
      <c r="A1684" s="58" t="str">
        <f>IF($B1684="","",COUNTA($B$5:$B1684))</f>
        <v/>
      </c>
      <c r="B1684" s="53"/>
      <c r="C1684" s="46"/>
      <c r="D1684" s="63" t="str">
        <f>IFERROR(INDEX(基础资料!$F$4:$F$23,MATCH($C1684,基础资料!$E$4:$E$23,0)),IF($C1684="","","未匹配账户"))</f>
        <v/>
      </c>
      <c r="E1684" s="39"/>
      <c r="F1684" s="10"/>
      <c r="G1684" s="10"/>
      <c r="H1684" s="10"/>
      <c r="I1684" s="10"/>
      <c r="J1684" s="10"/>
      <c r="K1684" s="25"/>
      <c r="L1684" s="25"/>
      <c r="M1684" s="25" t="str">
        <f>IFERROR(VLOOKUP($C1684,$C$5:$M$24,11,0)+SUMIF($C$25:$C1684,$C1684,$K$25:$K1684)-SUMIF($C$25:$C1684,$C1684,$L$25:$L1684),"")</f>
        <v/>
      </c>
      <c r="N1684" s="10"/>
      <c r="O1684" s="10"/>
      <c r="P1684" s="65"/>
      <c r="Q1684" s="10"/>
      <c r="R1684" s="10"/>
      <c r="S1684" s="54" t="str">
        <f t="shared" si="84"/>
        <v/>
      </c>
      <c r="T1684" s="54" t="str">
        <f t="shared" si="85"/>
        <v/>
      </c>
      <c r="U1684" s="58" t="str">
        <f t="shared" si="86"/>
        <v/>
      </c>
      <c r="V1684" s="58">
        <f>IF(AND($B1684&lt;&gt;"",$F1684&lt;&gt;"",$F1684=项目明细账!$C$2),N(V1683)+1,N(V1683))</f>
        <v>0</v>
      </c>
      <c r="W1684" s="63" t="str">
        <f>IF($H1684&lt;&gt;"","项目成本",IFERROR(INDEX(基础资料!$W$4:$W$49,MATCH($I1684,基础资料!$V$4:$V$49,0)),""))</f>
        <v/>
      </c>
      <c r="X1684" s="63" t="str">
        <f>IFERROR(INDEX(基础资料!$R$4:$R$17,MATCH($G1684,基础资料!$Q$4:$Q$17,0)),"")</f>
        <v/>
      </c>
    </row>
    <row r="1685" spans="1:24">
      <c r="A1685" s="58" t="str">
        <f>IF($B1685="","",COUNTA($B$5:$B1685))</f>
        <v/>
      </c>
      <c r="B1685" s="53"/>
      <c r="C1685" s="46"/>
      <c r="D1685" s="63" t="str">
        <f>IFERROR(INDEX(基础资料!$F$4:$F$23,MATCH($C1685,基础资料!$E$4:$E$23,0)),IF($C1685="","","未匹配账户"))</f>
        <v/>
      </c>
      <c r="E1685" s="39"/>
      <c r="F1685" s="10"/>
      <c r="G1685" s="10"/>
      <c r="H1685" s="10"/>
      <c r="I1685" s="10"/>
      <c r="J1685" s="10"/>
      <c r="K1685" s="25"/>
      <c r="L1685" s="25"/>
      <c r="M1685" s="25" t="str">
        <f>IFERROR(VLOOKUP($C1685,$C$5:$M$24,11,0)+SUMIF($C$25:$C1685,$C1685,$K$25:$K1685)-SUMIF($C$25:$C1685,$C1685,$L$25:$L1685),"")</f>
        <v/>
      </c>
      <c r="N1685" s="10"/>
      <c r="O1685" s="10"/>
      <c r="P1685" s="65"/>
      <c r="Q1685" s="10"/>
      <c r="R1685" s="10"/>
      <c r="S1685" s="54" t="str">
        <f t="shared" si="84"/>
        <v/>
      </c>
      <c r="T1685" s="54" t="str">
        <f t="shared" si="85"/>
        <v/>
      </c>
      <c r="U1685" s="58" t="str">
        <f t="shared" si="86"/>
        <v/>
      </c>
      <c r="V1685" s="58">
        <f>IF(AND($B1685&lt;&gt;"",$F1685&lt;&gt;"",$F1685=项目明细账!$C$2),N(V1684)+1,N(V1684))</f>
        <v>0</v>
      </c>
      <c r="W1685" s="63" t="str">
        <f>IF($H1685&lt;&gt;"","项目成本",IFERROR(INDEX(基础资料!$W$4:$W$49,MATCH($I1685,基础资料!$V$4:$V$49,0)),""))</f>
        <v/>
      </c>
      <c r="X1685" s="63" t="str">
        <f>IFERROR(INDEX(基础资料!$R$4:$R$17,MATCH($G1685,基础资料!$Q$4:$Q$17,0)),"")</f>
        <v/>
      </c>
    </row>
    <row r="1686" spans="1:24">
      <c r="A1686" s="58" t="str">
        <f>IF($B1686="","",COUNTA($B$5:$B1686))</f>
        <v/>
      </c>
      <c r="B1686" s="53"/>
      <c r="C1686" s="46"/>
      <c r="D1686" s="63" t="str">
        <f>IFERROR(INDEX(基础资料!$F$4:$F$23,MATCH($C1686,基础资料!$E$4:$E$23,0)),IF($C1686="","","未匹配账户"))</f>
        <v/>
      </c>
      <c r="E1686" s="39"/>
      <c r="F1686" s="10"/>
      <c r="G1686" s="10"/>
      <c r="H1686" s="10"/>
      <c r="I1686" s="10"/>
      <c r="J1686" s="10"/>
      <c r="K1686" s="25"/>
      <c r="L1686" s="25"/>
      <c r="M1686" s="25" t="str">
        <f>IFERROR(VLOOKUP($C1686,$C$5:$M$24,11,0)+SUMIF($C$25:$C1686,$C1686,$K$25:$K1686)-SUMIF($C$25:$C1686,$C1686,$L$25:$L1686),"")</f>
        <v/>
      </c>
      <c r="N1686" s="10"/>
      <c r="O1686" s="10"/>
      <c r="P1686" s="65"/>
      <c r="Q1686" s="10"/>
      <c r="R1686" s="10"/>
      <c r="S1686" s="54" t="str">
        <f t="shared" si="84"/>
        <v/>
      </c>
      <c r="T1686" s="54" t="str">
        <f t="shared" si="85"/>
        <v/>
      </c>
      <c r="U1686" s="58" t="str">
        <f t="shared" si="86"/>
        <v/>
      </c>
      <c r="V1686" s="58">
        <f>IF(AND($B1686&lt;&gt;"",$F1686&lt;&gt;"",$F1686=项目明细账!$C$2),N(V1685)+1,N(V1685))</f>
        <v>0</v>
      </c>
      <c r="W1686" s="63" t="str">
        <f>IF($H1686&lt;&gt;"","项目成本",IFERROR(INDEX(基础资料!$W$4:$W$49,MATCH($I1686,基础资料!$V$4:$V$49,0)),""))</f>
        <v/>
      </c>
      <c r="X1686" s="63" t="str">
        <f>IFERROR(INDEX(基础资料!$R$4:$R$17,MATCH($G1686,基础资料!$Q$4:$Q$17,0)),"")</f>
        <v/>
      </c>
    </row>
    <row r="1687" spans="1:24">
      <c r="A1687" s="58" t="str">
        <f>IF($B1687="","",COUNTA($B$5:$B1687))</f>
        <v/>
      </c>
      <c r="B1687" s="53"/>
      <c r="C1687" s="46"/>
      <c r="D1687" s="63" t="str">
        <f>IFERROR(INDEX(基础资料!$F$4:$F$23,MATCH($C1687,基础资料!$E$4:$E$23,0)),IF($C1687="","","未匹配账户"))</f>
        <v/>
      </c>
      <c r="E1687" s="39"/>
      <c r="F1687" s="10"/>
      <c r="G1687" s="10"/>
      <c r="H1687" s="10"/>
      <c r="I1687" s="10"/>
      <c r="J1687" s="10"/>
      <c r="K1687" s="25"/>
      <c r="L1687" s="25"/>
      <c r="M1687" s="25" t="str">
        <f>IFERROR(VLOOKUP($C1687,$C$5:$M$24,11,0)+SUMIF($C$25:$C1687,$C1687,$K$25:$K1687)-SUMIF($C$25:$C1687,$C1687,$L$25:$L1687),"")</f>
        <v/>
      </c>
      <c r="N1687" s="10"/>
      <c r="O1687" s="10"/>
      <c r="P1687" s="65"/>
      <c r="Q1687" s="10"/>
      <c r="R1687" s="10"/>
      <c r="S1687" s="54" t="str">
        <f t="shared" si="84"/>
        <v/>
      </c>
      <c r="T1687" s="54" t="str">
        <f t="shared" si="85"/>
        <v/>
      </c>
      <c r="U1687" s="58" t="str">
        <f t="shared" si="86"/>
        <v/>
      </c>
      <c r="V1687" s="58">
        <f>IF(AND($B1687&lt;&gt;"",$F1687&lt;&gt;"",$F1687=项目明细账!$C$2),N(V1686)+1,N(V1686))</f>
        <v>0</v>
      </c>
      <c r="W1687" s="63" t="str">
        <f>IF($H1687&lt;&gt;"","项目成本",IFERROR(INDEX(基础资料!$W$4:$W$49,MATCH($I1687,基础资料!$V$4:$V$49,0)),""))</f>
        <v/>
      </c>
      <c r="X1687" s="63" t="str">
        <f>IFERROR(INDEX(基础资料!$R$4:$R$17,MATCH($G1687,基础资料!$Q$4:$Q$17,0)),"")</f>
        <v/>
      </c>
    </row>
    <row r="1688" spans="1:24">
      <c r="A1688" s="58" t="str">
        <f>IF($B1688="","",COUNTA($B$5:$B1688))</f>
        <v/>
      </c>
      <c r="B1688" s="53"/>
      <c r="C1688" s="46"/>
      <c r="D1688" s="63" t="str">
        <f>IFERROR(INDEX(基础资料!$F$4:$F$23,MATCH($C1688,基础资料!$E$4:$E$23,0)),IF($C1688="","","未匹配账户"))</f>
        <v/>
      </c>
      <c r="E1688" s="39"/>
      <c r="F1688" s="10"/>
      <c r="G1688" s="10"/>
      <c r="H1688" s="10"/>
      <c r="I1688" s="10"/>
      <c r="J1688" s="10"/>
      <c r="K1688" s="25"/>
      <c r="L1688" s="25"/>
      <c r="M1688" s="25" t="str">
        <f>IFERROR(VLOOKUP($C1688,$C$5:$M$24,11,0)+SUMIF($C$25:$C1688,$C1688,$K$25:$K1688)-SUMIF($C$25:$C1688,$C1688,$L$25:$L1688),"")</f>
        <v/>
      </c>
      <c r="N1688" s="10"/>
      <c r="O1688" s="10"/>
      <c r="P1688" s="65"/>
      <c r="Q1688" s="10"/>
      <c r="R1688" s="10"/>
      <c r="S1688" s="54" t="str">
        <f t="shared" si="84"/>
        <v/>
      </c>
      <c r="T1688" s="54" t="str">
        <f t="shared" si="85"/>
        <v/>
      </c>
      <c r="U1688" s="58" t="str">
        <f t="shared" si="86"/>
        <v/>
      </c>
      <c r="V1688" s="58">
        <f>IF(AND($B1688&lt;&gt;"",$F1688&lt;&gt;"",$F1688=项目明细账!$C$2),N(V1687)+1,N(V1687))</f>
        <v>0</v>
      </c>
      <c r="W1688" s="63" t="str">
        <f>IF($H1688&lt;&gt;"","项目成本",IFERROR(INDEX(基础资料!$W$4:$W$49,MATCH($I1688,基础资料!$V$4:$V$49,0)),""))</f>
        <v/>
      </c>
      <c r="X1688" s="63" t="str">
        <f>IFERROR(INDEX(基础资料!$R$4:$R$17,MATCH($G1688,基础资料!$Q$4:$Q$17,0)),"")</f>
        <v/>
      </c>
    </row>
    <row r="1689" spans="1:24">
      <c r="A1689" s="58" t="str">
        <f>IF($B1689="","",COUNTA($B$5:$B1689))</f>
        <v/>
      </c>
      <c r="B1689" s="53"/>
      <c r="C1689" s="46"/>
      <c r="D1689" s="63" t="str">
        <f>IFERROR(INDEX(基础资料!$F$4:$F$23,MATCH($C1689,基础资料!$E$4:$E$23,0)),IF($C1689="","","未匹配账户"))</f>
        <v/>
      </c>
      <c r="E1689" s="39"/>
      <c r="F1689" s="10"/>
      <c r="G1689" s="10"/>
      <c r="H1689" s="10"/>
      <c r="I1689" s="10"/>
      <c r="J1689" s="10"/>
      <c r="K1689" s="25"/>
      <c r="L1689" s="25"/>
      <c r="M1689" s="25" t="str">
        <f>IFERROR(VLOOKUP($C1689,$C$5:$M$24,11,0)+SUMIF($C$25:$C1689,$C1689,$K$25:$K1689)-SUMIF($C$25:$C1689,$C1689,$L$25:$L1689),"")</f>
        <v/>
      </c>
      <c r="N1689" s="10"/>
      <c r="O1689" s="10"/>
      <c r="P1689" s="65"/>
      <c r="Q1689" s="10"/>
      <c r="R1689" s="10"/>
      <c r="S1689" s="54" t="str">
        <f t="shared" si="84"/>
        <v/>
      </c>
      <c r="T1689" s="54" t="str">
        <f t="shared" si="85"/>
        <v/>
      </c>
      <c r="U1689" s="58" t="str">
        <f t="shared" si="86"/>
        <v/>
      </c>
      <c r="V1689" s="58">
        <f>IF(AND($B1689&lt;&gt;"",$F1689&lt;&gt;"",$F1689=项目明细账!$C$2),N(V1688)+1,N(V1688))</f>
        <v>0</v>
      </c>
      <c r="W1689" s="63" t="str">
        <f>IF($H1689&lt;&gt;"","项目成本",IFERROR(INDEX(基础资料!$W$4:$W$49,MATCH($I1689,基础资料!$V$4:$V$49,0)),""))</f>
        <v/>
      </c>
      <c r="X1689" s="63" t="str">
        <f>IFERROR(INDEX(基础资料!$R$4:$R$17,MATCH($G1689,基础资料!$Q$4:$Q$17,0)),"")</f>
        <v/>
      </c>
    </row>
    <row r="1690" spans="1:24">
      <c r="A1690" s="58" t="str">
        <f>IF($B1690="","",COUNTA($B$5:$B1690))</f>
        <v/>
      </c>
      <c r="B1690" s="53"/>
      <c r="C1690" s="46"/>
      <c r="D1690" s="63" t="str">
        <f>IFERROR(INDEX(基础资料!$F$4:$F$23,MATCH($C1690,基础资料!$E$4:$E$23,0)),IF($C1690="","","未匹配账户"))</f>
        <v/>
      </c>
      <c r="E1690" s="39"/>
      <c r="F1690" s="10"/>
      <c r="G1690" s="10"/>
      <c r="H1690" s="10"/>
      <c r="I1690" s="10"/>
      <c r="J1690" s="10"/>
      <c r="K1690" s="25"/>
      <c r="L1690" s="25"/>
      <c r="M1690" s="25" t="str">
        <f>IFERROR(VLOOKUP($C1690,$C$5:$M$24,11,0)+SUMIF($C$25:$C1690,$C1690,$K$25:$K1690)-SUMIF($C$25:$C1690,$C1690,$L$25:$L1690),"")</f>
        <v/>
      </c>
      <c r="N1690" s="10"/>
      <c r="O1690" s="10"/>
      <c r="P1690" s="65"/>
      <c r="Q1690" s="10"/>
      <c r="R1690" s="10"/>
      <c r="S1690" s="54" t="str">
        <f t="shared" si="84"/>
        <v/>
      </c>
      <c r="T1690" s="54" t="str">
        <f t="shared" si="85"/>
        <v/>
      </c>
      <c r="U1690" s="58" t="str">
        <f t="shared" si="86"/>
        <v/>
      </c>
      <c r="V1690" s="58">
        <f>IF(AND($B1690&lt;&gt;"",$F1690&lt;&gt;"",$F1690=项目明细账!$C$2),N(V1689)+1,N(V1689))</f>
        <v>0</v>
      </c>
      <c r="W1690" s="63" t="str">
        <f>IF($H1690&lt;&gt;"","项目成本",IFERROR(INDEX(基础资料!$W$4:$W$49,MATCH($I1690,基础资料!$V$4:$V$49,0)),""))</f>
        <v/>
      </c>
      <c r="X1690" s="63" t="str">
        <f>IFERROR(INDEX(基础资料!$R$4:$R$17,MATCH($G1690,基础资料!$Q$4:$Q$17,0)),"")</f>
        <v/>
      </c>
    </row>
    <row r="1691" spans="1:24">
      <c r="A1691" s="58" t="str">
        <f>IF($B1691="","",COUNTA($B$5:$B1691))</f>
        <v/>
      </c>
      <c r="B1691" s="53"/>
      <c r="C1691" s="46"/>
      <c r="D1691" s="63" t="str">
        <f>IFERROR(INDEX(基础资料!$F$4:$F$23,MATCH($C1691,基础资料!$E$4:$E$23,0)),IF($C1691="","","未匹配账户"))</f>
        <v/>
      </c>
      <c r="E1691" s="39"/>
      <c r="F1691" s="10"/>
      <c r="G1691" s="10"/>
      <c r="H1691" s="10"/>
      <c r="I1691" s="10"/>
      <c r="J1691" s="10"/>
      <c r="K1691" s="25"/>
      <c r="L1691" s="25"/>
      <c r="M1691" s="25" t="str">
        <f>IFERROR(VLOOKUP($C1691,$C$5:$M$24,11,0)+SUMIF($C$25:$C1691,$C1691,$K$25:$K1691)-SUMIF($C$25:$C1691,$C1691,$L$25:$L1691),"")</f>
        <v/>
      </c>
      <c r="N1691" s="10"/>
      <c r="O1691" s="10"/>
      <c r="P1691" s="65"/>
      <c r="Q1691" s="10"/>
      <c r="R1691" s="10"/>
      <c r="S1691" s="54" t="str">
        <f t="shared" si="84"/>
        <v/>
      </c>
      <c r="T1691" s="54" t="str">
        <f t="shared" si="85"/>
        <v/>
      </c>
      <c r="U1691" s="58" t="str">
        <f t="shared" si="86"/>
        <v/>
      </c>
      <c r="V1691" s="58">
        <f>IF(AND($B1691&lt;&gt;"",$F1691&lt;&gt;"",$F1691=项目明细账!$C$2),N(V1690)+1,N(V1690))</f>
        <v>0</v>
      </c>
      <c r="W1691" s="63" t="str">
        <f>IF($H1691&lt;&gt;"","项目成本",IFERROR(INDEX(基础资料!$W$4:$W$49,MATCH($I1691,基础资料!$V$4:$V$49,0)),""))</f>
        <v/>
      </c>
      <c r="X1691" s="63" t="str">
        <f>IFERROR(INDEX(基础资料!$R$4:$R$17,MATCH($G1691,基础资料!$Q$4:$Q$17,0)),"")</f>
        <v/>
      </c>
    </row>
    <row r="1692" spans="1:24">
      <c r="A1692" s="58" t="str">
        <f>IF($B1692="","",COUNTA($B$5:$B1692))</f>
        <v/>
      </c>
      <c r="B1692" s="53"/>
      <c r="C1692" s="46"/>
      <c r="D1692" s="63" t="str">
        <f>IFERROR(INDEX(基础资料!$F$4:$F$23,MATCH($C1692,基础资料!$E$4:$E$23,0)),IF($C1692="","","未匹配账户"))</f>
        <v/>
      </c>
      <c r="E1692" s="39"/>
      <c r="F1692" s="10"/>
      <c r="G1692" s="10"/>
      <c r="H1692" s="10"/>
      <c r="I1692" s="10"/>
      <c r="J1692" s="10"/>
      <c r="K1692" s="25"/>
      <c r="L1692" s="25"/>
      <c r="M1692" s="25" t="str">
        <f>IFERROR(VLOOKUP($C1692,$C$5:$M$24,11,0)+SUMIF($C$25:$C1692,$C1692,$K$25:$K1692)-SUMIF($C$25:$C1692,$C1692,$L$25:$L1692),"")</f>
        <v/>
      </c>
      <c r="N1692" s="10"/>
      <c r="O1692" s="10"/>
      <c r="P1692" s="65"/>
      <c r="Q1692" s="10"/>
      <c r="R1692" s="10"/>
      <c r="S1692" s="54" t="str">
        <f t="shared" si="84"/>
        <v/>
      </c>
      <c r="T1692" s="54" t="str">
        <f t="shared" si="85"/>
        <v/>
      </c>
      <c r="U1692" s="58" t="str">
        <f t="shared" si="86"/>
        <v/>
      </c>
      <c r="V1692" s="58">
        <f>IF(AND($B1692&lt;&gt;"",$F1692&lt;&gt;"",$F1692=项目明细账!$C$2),N(V1691)+1,N(V1691))</f>
        <v>0</v>
      </c>
      <c r="W1692" s="63" t="str">
        <f>IF($H1692&lt;&gt;"","项目成本",IFERROR(INDEX(基础资料!$W$4:$W$49,MATCH($I1692,基础资料!$V$4:$V$49,0)),""))</f>
        <v/>
      </c>
      <c r="X1692" s="63" t="str">
        <f>IFERROR(INDEX(基础资料!$R$4:$R$17,MATCH($G1692,基础资料!$Q$4:$Q$17,0)),"")</f>
        <v/>
      </c>
    </row>
    <row r="1693" spans="1:24">
      <c r="A1693" s="58" t="str">
        <f>IF($B1693="","",COUNTA($B$5:$B1693))</f>
        <v/>
      </c>
      <c r="B1693" s="53"/>
      <c r="C1693" s="46"/>
      <c r="D1693" s="63" t="str">
        <f>IFERROR(INDEX(基础资料!$F$4:$F$23,MATCH($C1693,基础资料!$E$4:$E$23,0)),IF($C1693="","","未匹配账户"))</f>
        <v/>
      </c>
      <c r="E1693" s="39"/>
      <c r="F1693" s="10"/>
      <c r="G1693" s="10"/>
      <c r="H1693" s="10"/>
      <c r="I1693" s="10"/>
      <c r="J1693" s="10"/>
      <c r="K1693" s="25"/>
      <c r="L1693" s="25"/>
      <c r="M1693" s="25" t="str">
        <f>IFERROR(VLOOKUP($C1693,$C$5:$M$24,11,0)+SUMIF($C$25:$C1693,$C1693,$K$25:$K1693)-SUMIF($C$25:$C1693,$C1693,$L$25:$L1693),"")</f>
        <v/>
      </c>
      <c r="N1693" s="10"/>
      <c r="O1693" s="10"/>
      <c r="P1693" s="65"/>
      <c r="Q1693" s="10"/>
      <c r="R1693" s="10"/>
      <c r="S1693" s="54" t="str">
        <f t="shared" si="84"/>
        <v/>
      </c>
      <c r="T1693" s="54" t="str">
        <f t="shared" si="85"/>
        <v/>
      </c>
      <c r="U1693" s="58" t="str">
        <f t="shared" si="86"/>
        <v/>
      </c>
      <c r="V1693" s="58">
        <f>IF(AND($B1693&lt;&gt;"",$F1693&lt;&gt;"",$F1693=项目明细账!$C$2),N(V1692)+1,N(V1692))</f>
        <v>0</v>
      </c>
      <c r="W1693" s="63" t="str">
        <f>IF($H1693&lt;&gt;"","项目成本",IFERROR(INDEX(基础资料!$W$4:$W$49,MATCH($I1693,基础资料!$V$4:$V$49,0)),""))</f>
        <v/>
      </c>
      <c r="X1693" s="63" t="str">
        <f>IFERROR(INDEX(基础资料!$R$4:$R$17,MATCH($G1693,基础资料!$Q$4:$Q$17,0)),"")</f>
        <v/>
      </c>
    </row>
    <row r="1694" spans="1:24">
      <c r="A1694" s="58" t="str">
        <f>IF($B1694="","",COUNTA($B$5:$B1694))</f>
        <v/>
      </c>
      <c r="B1694" s="53"/>
      <c r="C1694" s="46"/>
      <c r="D1694" s="63" t="str">
        <f>IFERROR(INDEX(基础资料!$F$4:$F$23,MATCH($C1694,基础资料!$E$4:$E$23,0)),IF($C1694="","","未匹配账户"))</f>
        <v/>
      </c>
      <c r="E1694" s="39"/>
      <c r="F1694" s="10"/>
      <c r="G1694" s="10"/>
      <c r="H1694" s="10"/>
      <c r="I1694" s="10"/>
      <c r="J1694" s="10"/>
      <c r="K1694" s="25"/>
      <c r="L1694" s="25"/>
      <c r="M1694" s="25" t="str">
        <f>IFERROR(VLOOKUP($C1694,$C$5:$M$24,11,0)+SUMIF($C$25:$C1694,$C1694,$K$25:$K1694)-SUMIF($C$25:$C1694,$C1694,$L$25:$L1694),"")</f>
        <v/>
      </c>
      <c r="N1694" s="10"/>
      <c r="O1694" s="10"/>
      <c r="P1694" s="65"/>
      <c r="Q1694" s="10"/>
      <c r="R1694" s="10"/>
      <c r="S1694" s="54" t="str">
        <f t="shared" si="84"/>
        <v/>
      </c>
      <c r="T1694" s="54" t="str">
        <f t="shared" si="85"/>
        <v/>
      </c>
      <c r="U1694" s="58" t="str">
        <f t="shared" si="86"/>
        <v/>
      </c>
      <c r="V1694" s="58">
        <f>IF(AND($B1694&lt;&gt;"",$F1694&lt;&gt;"",$F1694=项目明细账!$C$2),N(V1693)+1,N(V1693))</f>
        <v>0</v>
      </c>
      <c r="W1694" s="63" t="str">
        <f>IF($H1694&lt;&gt;"","项目成本",IFERROR(INDEX(基础资料!$W$4:$W$49,MATCH($I1694,基础资料!$V$4:$V$49,0)),""))</f>
        <v/>
      </c>
      <c r="X1694" s="63" t="str">
        <f>IFERROR(INDEX(基础资料!$R$4:$R$17,MATCH($G1694,基础资料!$Q$4:$Q$17,0)),"")</f>
        <v/>
      </c>
    </row>
    <row r="1695" spans="1:24">
      <c r="A1695" s="58" t="str">
        <f>IF($B1695="","",COUNTA($B$5:$B1695))</f>
        <v/>
      </c>
      <c r="B1695" s="53"/>
      <c r="C1695" s="46"/>
      <c r="D1695" s="63" t="str">
        <f>IFERROR(INDEX(基础资料!$F$4:$F$23,MATCH($C1695,基础资料!$E$4:$E$23,0)),IF($C1695="","","未匹配账户"))</f>
        <v/>
      </c>
      <c r="E1695" s="39"/>
      <c r="F1695" s="10"/>
      <c r="G1695" s="10"/>
      <c r="H1695" s="10"/>
      <c r="I1695" s="10"/>
      <c r="J1695" s="10"/>
      <c r="K1695" s="25"/>
      <c r="L1695" s="25"/>
      <c r="M1695" s="25" t="str">
        <f>IFERROR(VLOOKUP($C1695,$C$5:$M$24,11,0)+SUMIF($C$25:$C1695,$C1695,$K$25:$K1695)-SUMIF($C$25:$C1695,$C1695,$L$25:$L1695),"")</f>
        <v/>
      </c>
      <c r="N1695" s="10"/>
      <c r="O1695" s="10"/>
      <c r="P1695" s="65"/>
      <c r="Q1695" s="10"/>
      <c r="R1695" s="10"/>
      <c r="S1695" s="54" t="str">
        <f t="shared" si="84"/>
        <v/>
      </c>
      <c r="T1695" s="54" t="str">
        <f t="shared" si="85"/>
        <v/>
      </c>
      <c r="U1695" s="58" t="str">
        <f t="shared" si="86"/>
        <v/>
      </c>
      <c r="V1695" s="58">
        <f>IF(AND($B1695&lt;&gt;"",$F1695&lt;&gt;"",$F1695=项目明细账!$C$2),N(V1694)+1,N(V1694))</f>
        <v>0</v>
      </c>
      <c r="W1695" s="63" t="str">
        <f>IF($H1695&lt;&gt;"","项目成本",IFERROR(INDEX(基础资料!$W$4:$W$49,MATCH($I1695,基础资料!$V$4:$V$49,0)),""))</f>
        <v/>
      </c>
      <c r="X1695" s="63" t="str">
        <f>IFERROR(INDEX(基础资料!$R$4:$R$17,MATCH($G1695,基础资料!$Q$4:$Q$17,0)),"")</f>
        <v/>
      </c>
    </row>
    <row r="1696" spans="1:24">
      <c r="A1696" s="58" t="str">
        <f>IF($B1696="","",COUNTA($B$5:$B1696))</f>
        <v/>
      </c>
      <c r="B1696" s="53"/>
      <c r="C1696" s="46"/>
      <c r="D1696" s="63" t="str">
        <f>IFERROR(INDEX(基础资料!$F$4:$F$23,MATCH($C1696,基础资料!$E$4:$E$23,0)),IF($C1696="","","未匹配账户"))</f>
        <v/>
      </c>
      <c r="E1696" s="39"/>
      <c r="F1696" s="10"/>
      <c r="G1696" s="10"/>
      <c r="H1696" s="10"/>
      <c r="I1696" s="10"/>
      <c r="J1696" s="10"/>
      <c r="K1696" s="25"/>
      <c r="L1696" s="25"/>
      <c r="M1696" s="25" t="str">
        <f>IFERROR(VLOOKUP($C1696,$C$5:$M$24,11,0)+SUMIF($C$25:$C1696,$C1696,$K$25:$K1696)-SUMIF($C$25:$C1696,$C1696,$L$25:$L1696),"")</f>
        <v/>
      </c>
      <c r="N1696" s="10"/>
      <c r="O1696" s="10"/>
      <c r="P1696" s="65"/>
      <c r="Q1696" s="10"/>
      <c r="R1696" s="10"/>
      <c r="S1696" s="54" t="str">
        <f t="shared" si="84"/>
        <v/>
      </c>
      <c r="T1696" s="54" t="str">
        <f t="shared" si="85"/>
        <v/>
      </c>
      <c r="U1696" s="58" t="str">
        <f t="shared" si="86"/>
        <v/>
      </c>
      <c r="V1696" s="58">
        <f>IF(AND($B1696&lt;&gt;"",$F1696&lt;&gt;"",$F1696=项目明细账!$C$2),N(V1695)+1,N(V1695))</f>
        <v>0</v>
      </c>
      <c r="W1696" s="63" t="str">
        <f>IF($H1696&lt;&gt;"","项目成本",IFERROR(INDEX(基础资料!$W$4:$W$49,MATCH($I1696,基础资料!$V$4:$V$49,0)),""))</f>
        <v/>
      </c>
      <c r="X1696" s="63" t="str">
        <f>IFERROR(INDEX(基础资料!$R$4:$R$17,MATCH($G1696,基础资料!$Q$4:$Q$17,0)),"")</f>
        <v/>
      </c>
    </row>
    <row r="1697" spans="1:24">
      <c r="A1697" s="58" t="str">
        <f>IF($B1697="","",COUNTA($B$5:$B1697))</f>
        <v/>
      </c>
      <c r="B1697" s="53"/>
      <c r="C1697" s="46"/>
      <c r="D1697" s="63" t="str">
        <f>IFERROR(INDEX(基础资料!$F$4:$F$23,MATCH($C1697,基础资料!$E$4:$E$23,0)),IF($C1697="","","未匹配账户"))</f>
        <v/>
      </c>
      <c r="E1697" s="39"/>
      <c r="F1697" s="10"/>
      <c r="G1697" s="10"/>
      <c r="H1697" s="10"/>
      <c r="I1697" s="10"/>
      <c r="J1697" s="10"/>
      <c r="K1697" s="25"/>
      <c r="L1697" s="25"/>
      <c r="M1697" s="25" t="str">
        <f>IFERROR(VLOOKUP($C1697,$C$5:$M$24,11,0)+SUMIF($C$25:$C1697,$C1697,$K$25:$K1697)-SUMIF($C$25:$C1697,$C1697,$L$25:$L1697),"")</f>
        <v/>
      </c>
      <c r="N1697" s="10"/>
      <c r="O1697" s="10"/>
      <c r="P1697" s="65"/>
      <c r="Q1697" s="10"/>
      <c r="R1697" s="10"/>
      <c r="S1697" s="54" t="str">
        <f t="shared" si="84"/>
        <v/>
      </c>
      <c r="T1697" s="54" t="str">
        <f t="shared" si="85"/>
        <v/>
      </c>
      <c r="U1697" s="58" t="str">
        <f t="shared" si="86"/>
        <v/>
      </c>
      <c r="V1697" s="58">
        <f>IF(AND($B1697&lt;&gt;"",$F1697&lt;&gt;"",$F1697=项目明细账!$C$2),N(V1696)+1,N(V1696))</f>
        <v>0</v>
      </c>
      <c r="W1697" s="63" t="str">
        <f>IF($H1697&lt;&gt;"","项目成本",IFERROR(INDEX(基础资料!$W$4:$W$49,MATCH($I1697,基础资料!$V$4:$V$49,0)),""))</f>
        <v/>
      </c>
      <c r="X1697" s="63" t="str">
        <f>IFERROR(INDEX(基础资料!$R$4:$R$17,MATCH($G1697,基础资料!$Q$4:$Q$17,0)),"")</f>
        <v/>
      </c>
    </row>
    <row r="1698" spans="1:24">
      <c r="A1698" s="58" t="str">
        <f>IF($B1698="","",COUNTA($B$5:$B1698))</f>
        <v/>
      </c>
      <c r="B1698" s="53"/>
      <c r="C1698" s="46"/>
      <c r="D1698" s="63" t="str">
        <f>IFERROR(INDEX(基础资料!$F$4:$F$23,MATCH($C1698,基础资料!$E$4:$E$23,0)),IF($C1698="","","未匹配账户"))</f>
        <v/>
      </c>
      <c r="E1698" s="39"/>
      <c r="F1698" s="10"/>
      <c r="G1698" s="10"/>
      <c r="H1698" s="10"/>
      <c r="I1698" s="10"/>
      <c r="J1698" s="10"/>
      <c r="K1698" s="25"/>
      <c r="L1698" s="25"/>
      <c r="M1698" s="25" t="str">
        <f>IFERROR(VLOOKUP($C1698,$C$5:$M$24,11,0)+SUMIF($C$25:$C1698,$C1698,$K$25:$K1698)-SUMIF($C$25:$C1698,$C1698,$L$25:$L1698),"")</f>
        <v/>
      </c>
      <c r="N1698" s="10"/>
      <c r="O1698" s="10"/>
      <c r="P1698" s="65"/>
      <c r="Q1698" s="10"/>
      <c r="R1698" s="10"/>
      <c r="S1698" s="54" t="str">
        <f t="shared" si="84"/>
        <v/>
      </c>
      <c r="T1698" s="54" t="str">
        <f t="shared" si="85"/>
        <v/>
      </c>
      <c r="U1698" s="58" t="str">
        <f t="shared" si="86"/>
        <v/>
      </c>
      <c r="V1698" s="58">
        <f>IF(AND($B1698&lt;&gt;"",$F1698&lt;&gt;"",$F1698=项目明细账!$C$2),N(V1697)+1,N(V1697))</f>
        <v>0</v>
      </c>
      <c r="W1698" s="63" t="str">
        <f>IF($H1698&lt;&gt;"","项目成本",IFERROR(INDEX(基础资料!$W$4:$W$49,MATCH($I1698,基础资料!$V$4:$V$49,0)),""))</f>
        <v/>
      </c>
      <c r="X1698" s="63" t="str">
        <f>IFERROR(INDEX(基础资料!$R$4:$R$17,MATCH($G1698,基础资料!$Q$4:$Q$17,0)),"")</f>
        <v/>
      </c>
    </row>
    <row r="1699" spans="1:24">
      <c r="A1699" s="58" t="str">
        <f>IF($B1699="","",COUNTA($B$5:$B1699))</f>
        <v/>
      </c>
      <c r="B1699" s="53"/>
      <c r="C1699" s="46"/>
      <c r="D1699" s="63" t="str">
        <f>IFERROR(INDEX(基础资料!$F$4:$F$23,MATCH($C1699,基础资料!$E$4:$E$23,0)),IF($C1699="","","未匹配账户"))</f>
        <v/>
      </c>
      <c r="E1699" s="39"/>
      <c r="F1699" s="10"/>
      <c r="G1699" s="10"/>
      <c r="H1699" s="10"/>
      <c r="I1699" s="10"/>
      <c r="J1699" s="10"/>
      <c r="K1699" s="25"/>
      <c r="L1699" s="25"/>
      <c r="M1699" s="25" t="str">
        <f>IFERROR(VLOOKUP($C1699,$C$5:$M$24,11,0)+SUMIF($C$25:$C1699,$C1699,$K$25:$K1699)-SUMIF($C$25:$C1699,$C1699,$L$25:$L1699),"")</f>
        <v/>
      </c>
      <c r="N1699" s="10"/>
      <c r="O1699" s="10"/>
      <c r="P1699" s="65"/>
      <c r="Q1699" s="10"/>
      <c r="R1699" s="10"/>
      <c r="S1699" s="54" t="str">
        <f t="shared" si="84"/>
        <v/>
      </c>
      <c r="T1699" s="54" t="str">
        <f t="shared" si="85"/>
        <v/>
      </c>
      <c r="U1699" s="58" t="str">
        <f t="shared" si="86"/>
        <v/>
      </c>
      <c r="V1699" s="58">
        <f>IF(AND($B1699&lt;&gt;"",$F1699&lt;&gt;"",$F1699=项目明细账!$C$2),N(V1698)+1,N(V1698))</f>
        <v>0</v>
      </c>
      <c r="W1699" s="63" t="str">
        <f>IF($H1699&lt;&gt;"","项目成本",IFERROR(INDEX(基础资料!$W$4:$W$49,MATCH($I1699,基础资料!$V$4:$V$49,0)),""))</f>
        <v/>
      </c>
      <c r="X1699" s="63" t="str">
        <f>IFERROR(INDEX(基础资料!$R$4:$R$17,MATCH($G1699,基础资料!$Q$4:$Q$17,0)),"")</f>
        <v/>
      </c>
    </row>
    <row r="1700" spans="1:24">
      <c r="A1700" s="58" t="str">
        <f>IF($B1700="","",COUNTA($B$5:$B1700))</f>
        <v/>
      </c>
      <c r="B1700" s="53"/>
      <c r="C1700" s="46"/>
      <c r="D1700" s="63" t="str">
        <f>IFERROR(INDEX(基础资料!$F$4:$F$23,MATCH($C1700,基础资料!$E$4:$E$23,0)),IF($C1700="","","未匹配账户"))</f>
        <v/>
      </c>
      <c r="E1700" s="39"/>
      <c r="F1700" s="10"/>
      <c r="G1700" s="10"/>
      <c r="H1700" s="10"/>
      <c r="I1700" s="10"/>
      <c r="J1700" s="10"/>
      <c r="K1700" s="25"/>
      <c r="L1700" s="25"/>
      <c r="M1700" s="25" t="str">
        <f>IFERROR(VLOOKUP($C1700,$C$5:$M$24,11,0)+SUMIF($C$25:$C1700,$C1700,$K$25:$K1700)-SUMIF($C$25:$C1700,$C1700,$L$25:$L1700),"")</f>
        <v/>
      </c>
      <c r="N1700" s="10"/>
      <c r="O1700" s="10"/>
      <c r="P1700" s="65"/>
      <c r="Q1700" s="10"/>
      <c r="R1700" s="10"/>
      <c r="S1700" s="54" t="str">
        <f t="shared" si="84"/>
        <v/>
      </c>
      <c r="T1700" s="54" t="str">
        <f t="shared" si="85"/>
        <v/>
      </c>
      <c r="U1700" s="58" t="str">
        <f t="shared" si="86"/>
        <v/>
      </c>
      <c r="V1700" s="58">
        <f>IF(AND($B1700&lt;&gt;"",$F1700&lt;&gt;"",$F1700=项目明细账!$C$2),N(V1699)+1,N(V1699))</f>
        <v>0</v>
      </c>
      <c r="W1700" s="63" t="str">
        <f>IF($H1700&lt;&gt;"","项目成本",IFERROR(INDEX(基础资料!$W$4:$W$49,MATCH($I1700,基础资料!$V$4:$V$49,0)),""))</f>
        <v/>
      </c>
      <c r="X1700" s="63" t="str">
        <f>IFERROR(INDEX(基础资料!$R$4:$R$17,MATCH($G1700,基础资料!$Q$4:$Q$17,0)),"")</f>
        <v/>
      </c>
    </row>
    <row r="1701" spans="1:24">
      <c r="A1701" s="58" t="str">
        <f>IF($B1701="","",COUNTA($B$5:$B1701))</f>
        <v/>
      </c>
      <c r="B1701" s="53"/>
      <c r="C1701" s="46"/>
      <c r="D1701" s="63" t="str">
        <f>IFERROR(INDEX(基础资料!$F$4:$F$23,MATCH($C1701,基础资料!$E$4:$E$23,0)),IF($C1701="","","未匹配账户"))</f>
        <v/>
      </c>
      <c r="E1701" s="39"/>
      <c r="F1701" s="10"/>
      <c r="G1701" s="10"/>
      <c r="H1701" s="10"/>
      <c r="I1701" s="10"/>
      <c r="J1701" s="10"/>
      <c r="K1701" s="25"/>
      <c r="L1701" s="25"/>
      <c r="M1701" s="25" t="str">
        <f>IFERROR(VLOOKUP($C1701,$C$5:$M$24,11,0)+SUMIF($C$25:$C1701,$C1701,$K$25:$K1701)-SUMIF($C$25:$C1701,$C1701,$L$25:$L1701),"")</f>
        <v/>
      </c>
      <c r="N1701" s="10"/>
      <c r="O1701" s="10"/>
      <c r="P1701" s="65"/>
      <c r="Q1701" s="10"/>
      <c r="R1701" s="10"/>
      <c r="S1701" s="54" t="str">
        <f t="shared" si="84"/>
        <v/>
      </c>
      <c r="T1701" s="54" t="str">
        <f t="shared" si="85"/>
        <v/>
      </c>
      <c r="U1701" s="58" t="str">
        <f t="shared" si="86"/>
        <v/>
      </c>
      <c r="V1701" s="58">
        <f>IF(AND($B1701&lt;&gt;"",$F1701&lt;&gt;"",$F1701=项目明细账!$C$2),N(V1700)+1,N(V1700))</f>
        <v>0</v>
      </c>
      <c r="W1701" s="63" t="str">
        <f>IF($H1701&lt;&gt;"","项目成本",IFERROR(INDEX(基础资料!$W$4:$W$49,MATCH($I1701,基础资料!$V$4:$V$49,0)),""))</f>
        <v/>
      </c>
      <c r="X1701" s="63" t="str">
        <f>IFERROR(INDEX(基础资料!$R$4:$R$17,MATCH($G1701,基础资料!$Q$4:$Q$17,0)),"")</f>
        <v/>
      </c>
    </row>
    <row r="1702" spans="1:24">
      <c r="A1702" s="58" t="str">
        <f>IF($B1702="","",COUNTA($B$5:$B1702))</f>
        <v/>
      </c>
      <c r="B1702" s="53"/>
      <c r="C1702" s="46"/>
      <c r="D1702" s="63" t="str">
        <f>IFERROR(INDEX(基础资料!$F$4:$F$23,MATCH($C1702,基础资料!$E$4:$E$23,0)),IF($C1702="","","未匹配账户"))</f>
        <v/>
      </c>
      <c r="E1702" s="39"/>
      <c r="F1702" s="10"/>
      <c r="G1702" s="10"/>
      <c r="H1702" s="10"/>
      <c r="I1702" s="10"/>
      <c r="J1702" s="10"/>
      <c r="K1702" s="25"/>
      <c r="L1702" s="25"/>
      <c r="M1702" s="25" t="str">
        <f>IFERROR(VLOOKUP($C1702,$C$5:$M$24,11,0)+SUMIF($C$25:$C1702,$C1702,$K$25:$K1702)-SUMIF($C$25:$C1702,$C1702,$L$25:$L1702),"")</f>
        <v/>
      </c>
      <c r="N1702" s="10"/>
      <c r="O1702" s="10"/>
      <c r="P1702" s="65"/>
      <c r="Q1702" s="10"/>
      <c r="R1702" s="10"/>
      <c r="S1702" s="54" t="str">
        <f t="shared" si="84"/>
        <v/>
      </c>
      <c r="T1702" s="54" t="str">
        <f t="shared" si="85"/>
        <v/>
      </c>
      <c r="U1702" s="58" t="str">
        <f t="shared" si="86"/>
        <v/>
      </c>
      <c r="V1702" s="58">
        <f>IF(AND($B1702&lt;&gt;"",$F1702&lt;&gt;"",$F1702=项目明细账!$C$2),N(V1701)+1,N(V1701))</f>
        <v>0</v>
      </c>
      <c r="W1702" s="63" t="str">
        <f>IF($H1702&lt;&gt;"","项目成本",IFERROR(INDEX(基础资料!$W$4:$W$49,MATCH($I1702,基础资料!$V$4:$V$49,0)),""))</f>
        <v/>
      </c>
      <c r="X1702" s="63" t="str">
        <f>IFERROR(INDEX(基础资料!$R$4:$R$17,MATCH($G1702,基础资料!$Q$4:$Q$17,0)),"")</f>
        <v/>
      </c>
    </row>
    <row r="1703" spans="1:24">
      <c r="A1703" s="58" t="str">
        <f>IF($B1703="","",COUNTA($B$5:$B1703))</f>
        <v/>
      </c>
      <c r="B1703" s="53"/>
      <c r="C1703" s="46"/>
      <c r="D1703" s="63" t="str">
        <f>IFERROR(INDEX(基础资料!$F$4:$F$23,MATCH($C1703,基础资料!$E$4:$E$23,0)),IF($C1703="","","未匹配账户"))</f>
        <v/>
      </c>
      <c r="E1703" s="39"/>
      <c r="F1703" s="10"/>
      <c r="G1703" s="10"/>
      <c r="H1703" s="10"/>
      <c r="I1703" s="10"/>
      <c r="J1703" s="10"/>
      <c r="K1703" s="25"/>
      <c r="L1703" s="25"/>
      <c r="M1703" s="25" t="str">
        <f>IFERROR(VLOOKUP($C1703,$C$5:$M$24,11,0)+SUMIF($C$25:$C1703,$C1703,$K$25:$K1703)-SUMIF($C$25:$C1703,$C1703,$L$25:$L1703),"")</f>
        <v/>
      </c>
      <c r="N1703" s="10"/>
      <c r="O1703" s="10"/>
      <c r="P1703" s="65"/>
      <c r="Q1703" s="10"/>
      <c r="R1703" s="10"/>
      <c r="S1703" s="54" t="str">
        <f t="shared" si="84"/>
        <v/>
      </c>
      <c r="T1703" s="54" t="str">
        <f t="shared" si="85"/>
        <v/>
      </c>
      <c r="U1703" s="58" t="str">
        <f t="shared" si="86"/>
        <v/>
      </c>
      <c r="V1703" s="58">
        <f>IF(AND($B1703&lt;&gt;"",$F1703&lt;&gt;"",$F1703=项目明细账!$C$2),N(V1702)+1,N(V1702))</f>
        <v>0</v>
      </c>
      <c r="W1703" s="63" t="str">
        <f>IF($H1703&lt;&gt;"","项目成本",IFERROR(INDEX(基础资料!$W$4:$W$49,MATCH($I1703,基础资料!$V$4:$V$49,0)),""))</f>
        <v/>
      </c>
      <c r="X1703" s="63" t="str">
        <f>IFERROR(INDEX(基础资料!$R$4:$R$17,MATCH($G1703,基础资料!$Q$4:$Q$17,0)),"")</f>
        <v/>
      </c>
    </row>
    <row r="1704" spans="1:24">
      <c r="A1704" s="58" t="str">
        <f>IF($B1704="","",COUNTA($B$5:$B1704))</f>
        <v/>
      </c>
      <c r="B1704" s="53"/>
      <c r="C1704" s="46"/>
      <c r="D1704" s="63" t="str">
        <f>IFERROR(INDEX(基础资料!$F$4:$F$23,MATCH($C1704,基础资料!$E$4:$E$23,0)),IF($C1704="","","未匹配账户"))</f>
        <v/>
      </c>
      <c r="E1704" s="39"/>
      <c r="F1704" s="10"/>
      <c r="G1704" s="10"/>
      <c r="H1704" s="10"/>
      <c r="I1704" s="10"/>
      <c r="J1704" s="10"/>
      <c r="K1704" s="25"/>
      <c r="L1704" s="25"/>
      <c r="M1704" s="25" t="str">
        <f>IFERROR(VLOOKUP($C1704,$C$5:$M$24,11,0)+SUMIF($C$25:$C1704,$C1704,$K$25:$K1704)-SUMIF($C$25:$C1704,$C1704,$L$25:$L1704),"")</f>
        <v/>
      </c>
      <c r="N1704" s="10"/>
      <c r="O1704" s="10"/>
      <c r="P1704" s="65"/>
      <c r="Q1704" s="10"/>
      <c r="R1704" s="10"/>
      <c r="S1704" s="54" t="str">
        <f t="shared" si="84"/>
        <v/>
      </c>
      <c r="T1704" s="54" t="str">
        <f t="shared" si="85"/>
        <v/>
      </c>
      <c r="U1704" s="58" t="str">
        <f t="shared" si="86"/>
        <v/>
      </c>
      <c r="V1704" s="58">
        <f>IF(AND($B1704&lt;&gt;"",$F1704&lt;&gt;"",$F1704=项目明细账!$C$2),N(V1703)+1,N(V1703))</f>
        <v>0</v>
      </c>
      <c r="W1704" s="63" t="str">
        <f>IF($H1704&lt;&gt;"","项目成本",IFERROR(INDEX(基础资料!$W$4:$W$49,MATCH($I1704,基础资料!$V$4:$V$49,0)),""))</f>
        <v/>
      </c>
      <c r="X1704" s="63" t="str">
        <f>IFERROR(INDEX(基础资料!$R$4:$R$17,MATCH($G1704,基础资料!$Q$4:$Q$17,0)),"")</f>
        <v/>
      </c>
    </row>
    <row r="1705" spans="1:24">
      <c r="A1705" s="58" t="str">
        <f>IF($B1705="","",COUNTA($B$5:$B1705))</f>
        <v/>
      </c>
      <c r="B1705" s="53"/>
      <c r="C1705" s="46"/>
      <c r="D1705" s="63" t="str">
        <f>IFERROR(INDEX(基础资料!$F$4:$F$23,MATCH($C1705,基础资料!$E$4:$E$23,0)),IF($C1705="","","未匹配账户"))</f>
        <v/>
      </c>
      <c r="E1705" s="39"/>
      <c r="F1705" s="10"/>
      <c r="G1705" s="10"/>
      <c r="H1705" s="10"/>
      <c r="I1705" s="10"/>
      <c r="J1705" s="10"/>
      <c r="K1705" s="25"/>
      <c r="L1705" s="25"/>
      <c r="M1705" s="25" t="str">
        <f>IFERROR(VLOOKUP($C1705,$C$5:$M$24,11,0)+SUMIF($C$25:$C1705,$C1705,$K$25:$K1705)-SUMIF($C$25:$C1705,$C1705,$L$25:$L1705),"")</f>
        <v/>
      </c>
      <c r="N1705" s="10"/>
      <c r="O1705" s="10"/>
      <c r="P1705" s="65"/>
      <c r="Q1705" s="10"/>
      <c r="R1705" s="10"/>
      <c r="S1705" s="54" t="str">
        <f t="shared" si="84"/>
        <v/>
      </c>
      <c r="T1705" s="54" t="str">
        <f t="shared" si="85"/>
        <v/>
      </c>
      <c r="U1705" s="58" t="str">
        <f t="shared" si="86"/>
        <v/>
      </c>
      <c r="V1705" s="58">
        <f>IF(AND($B1705&lt;&gt;"",$F1705&lt;&gt;"",$F1705=项目明细账!$C$2),N(V1704)+1,N(V1704))</f>
        <v>0</v>
      </c>
      <c r="W1705" s="63" t="str">
        <f>IF($H1705&lt;&gt;"","项目成本",IFERROR(INDEX(基础资料!$W$4:$W$49,MATCH($I1705,基础资料!$V$4:$V$49,0)),""))</f>
        <v/>
      </c>
      <c r="X1705" s="63" t="str">
        <f>IFERROR(INDEX(基础资料!$R$4:$R$17,MATCH($G1705,基础资料!$Q$4:$Q$17,0)),"")</f>
        <v/>
      </c>
    </row>
    <row r="1706" spans="1:24">
      <c r="A1706" s="58" t="str">
        <f>IF($B1706="","",COUNTA($B$5:$B1706))</f>
        <v/>
      </c>
      <c r="B1706" s="53"/>
      <c r="C1706" s="46"/>
      <c r="D1706" s="63" t="str">
        <f>IFERROR(INDEX(基础资料!$F$4:$F$23,MATCH($C1706,基础资料!$E$4:$E$23,0)),IF($C1706="","","未匹配账户"))</f>
        <v/>
      </c>
      <c r="E1706" s="39"/>
      <c r="F1706" s="10"/>
      <c r="G1706" s="10"/>
      <c r="H1706" s="10"/>
      <c r="I1706" s="10"/>
      <c r="J1706" s="10"/>
      <c r="K1706" s="25"/>
      <c r="L1706" s="25"/>
      <c r="M1706" s="25" t="str">
        <f>IFERROR(VLOOKUP($C1706,$C$5:$M$24,11,0)+SUMIF($C$25:$C1706,$C1706,$K$25:$K1706)-SUMIF($C$25:$C1706,$C1706,$L$25:$L1706),"")</f>
        <v/>
      </c>
      <c r="N1706" s="10"/>
      <c r="O1706" s="10"/>
      <c r="P1706" s="65"/>
      <c r="Q1706" s="10"/>
      <c r="R1706" s="10"/>
      <c r="S1706" s="54" t="str">
        <f t="shared" si="84"/>
        <v/>
      </c>
      <c r="T1706" s="54" t="str">
        <f t="shared" si="85"/>
        <v/>
      </c>
      <c r="U1706" s="58" t="str">
        <f t="shared" si="86"/>
        <v/>
      </c>
      <c r="V1706" s="58">
        <f>IF(AND($B1706&lt;&gt;"",$F1706&lt;&gt;"",$F1706=项目明细账!$C$2),N(V1705)+1,N(V1705))</f>
        <v>0</v>
      </c>
      <c r="W1706" s="63" t="str">
        <f>IF($H1706&lt;&gt;"","项目成本",IFERROR(INDEX(基础资料!$W$4:$W$49,MATCH($I1706,基础资料!$V$4:$V$49,0)),""))</f>
        <v/>
      </c>
      <c r="X1706" s="63" t="str">
        <f>IFERROR(INDEX(基础资料!$R$4:$R$17,MATCH($G1706,基础资料!$Q$4:$Q$17,0)),"")</f>
        <v/>
      </c>
    </row>
    <row r="1707" spans="1:24">
      <c r="A1707" s="58" t="str">
        <f>IF($B1707="","",COUNTA($B$5:$B1707))</f>
        <v/>
      </c>
      <c r="B1707" s="53"/>
      <c r="C1707" s="46"/>
      <c r="D1707" s="63" t="str">
        <f>IFERROR(INDEX(基础资料!$F$4:$F$23,MATCH($C1707,基础资料!$E$4:$E$23,0)),IF($C1707="","","未匹配账户"))</f>
        <v/>
      </c>
      <c r="E1707" s="39"/>
      <c r="F1707" s="10"/>
      <c r="G1707" s="10"/>
      <c r="H1707" s="10"/>
      <c r="I1707" s="10"/>
      <c r="J1707" s="10"/>
      <c r="K1707" s="25"/>
      <c r="L1707" s="25"/>
      <c r="M1707" s="25" t="str">
        <f>IFERROR(VLOOKUP($C1707,$C$5:$M$24,11,0)+SUMIF($C$25:$C1707,$C1707,$K$25:$K1707)-SUMIF($C$25:$C1707,$C1707,$L$25:$L1707),"")</f>
        <v/>
      </c>
      <c r="N1707" s="10"/>
      <c r="O1707" s="10"/>
      <c r="P1707" s="65"/>
      <c r="Q1707" s="10"/>
      <c r="R1707" s="10"/>
      <c r="S1707" s="54" t="str">
        <f t="shared" si="84"/>
        <v/>
      </c>
      <c r="T1707" s="54" t="str">
        <f t="shared" si="85"/>
        <v/>
      </c>
      <c r="U1707" s="58" t="str">
        <f t="shared" si="86"/>
        <v/>
      </c>
      <c r="V1707" s="58">
        <f>IF(AND($B1707&lt;&gt;"",$F1707&lt;&gt;"",$F1707=项目明细账!$C$2),N(V1706)+1,N(V1706))</f>
        <v>0</v>
      </c>
      <c r="W1707" s="63" t="str">
        <f>IF($H1707&lt;&gt;"","项目成本",IFERROR(INDEX(基础资料!$W$4:$W$49,MATCH($I1707,基础资料!$V$4:$V$49,0)),""))</f>
        <v/>
      </c>
      <c r="X1707" s="63" t="str">
        <f>IFERROR(INDEX(基础资料!$R$4:$R$17,MATCH($G1707,基础资料!$Q$4:$Q$17,0)),"")</f>
        <v/>
      </c>
    </row>
    <row r="1708" spans="1:24">
      <c r="A1708" s="58" t="str">
        <f>IF($B1708="","",COUNTA($B$5:$B1708))</f>
        <v/>
      </c>
      <c r="B1708" s="53"/>
      <c r="C1708" s="46"/>
      <c r="D1708" s="63" t="str">
        <f>IFERROR(INDEX(基础资料!$F$4:$F$23,MATCH($C1708,基础资料!$E$4:$E$23,0)),IF($C1708="","","未匹配账户"))</f>
        <v/>
      </c>
      <c r="E1708" s="39"/>
      <c r="F1708" s="10"/>
      <c r="G1708" s="10"/>
      <c r="H1708" s="10"/>
      <c r="I1708" s="10"/>
      <c r="J1708" s="10"/>
      <c r="K1708" s="25"/>
      <c r="L1708" s="25"/>
      <c r="M1708" s="25" t="str">
        <f>IFERROR(VLOOKUP($C1708,$C$5:$M$24,11,0)+SUMIF($C$25:$C1708,$C1708,$K$25:$K1708)-SUMIF($C$25:$C1708,$C1708,$L$25:$L1708),"")</f>
        <v/>
      </c>
      <c r="N1708" s="10"/>
      <c r="O1708" s="10"/>
      <c r="P1708" s="65"/>
      <c r="Q1708" s="10"/>
      <c r="R1708" s="10"/>
      <c r="S1708" s="54" t="str">
        <f t="shared" si="84"/>
        <v/>
      </c>
      <c r="T1708" s="54" t="str">
        <f t="shared" si="85"/>
        <v/>
      </c>
      <c r="U1708" s="58" t="str">
        <f t="shared" si="86"/>
        <v/>
      </c>
      <c r="V1708" s="58">
        <f>IF(AND($B1708&lt;&gt;"",$F1708&lt;&gt;"",$F1708=项目明细账!$C$2),N(V1707)+1,N(V1707))</f>
        <v>0</v>
      </c>
      <c r="W1708" s="63" t="str">
        <f>IF($H1708&lt;&gt;"","项目成本",IFERROR(INDEX(基础资料!$W$4:$W$49,MATCH($I1708,基础资料!$V$4:$V$49,0)),""))</f>
        <v/>
      </c>
      <c r="X1708" s="63" t="str">
        <f>IFERROR(INDEX(基础资料!$R$4:$R$17,MATCH($G1708,基础资料!$Q$4:$Q$17,0)),"")</f>
        <v/>
      </c>
    </row>
    <row r="1709" spans="1:24">
      <c r="A1709" s="58" t="str">
        <f>IF($B1709="","",COUNTA($B$5:$B1709))</f>
        <v/>
      </c>
      <c r="B1709" s="53"/>
      <c r="C1709" s="46"/>
      <c r="D1709" s="63" t="str">
        <f>IFERROR(INDEX(基础资料!$F$4:$F$23,MATCH($C1709,基础资料!$E$4:$E$23,0)),IF($C1709="","","未匹配账户"))</f>
        <v/>
      </c>
      <c r="E1709" s="39"/>
      <c r="F1709" s="10"/>
      <c r="G1709" s="10"/>
      <c r="H1709" s="10"/>
      <c r="I1709" s="10"/>
      <c r="J1709" s="10"/>
      <c r="K1709" s="25"/>
      <c r="L1709" s="25"/>
      <c r="M1709" s="25" t="str">
        <f>IFERROR(VLOOKUP($C1709,$C$5:$M$24,11,0)+SUMIF($C$25:$C1709,$C1709,$K$25:$K1709)-SUMIF($C$25:$C1709,$C1709,$L$25:$L1709),"")</f>
        <v/>
      </c>
      <c r="N1709" s="10"/>
      <c r="O1709" s="10"/>
      <c r="P1709" s="65"/>
      <c r="Q1709" s="10"/>
      <c r="R1709" s="10"/>
      <c r="S1709" s="54" t="str">
        <f t="shared" si="84"/>
        <v/>
      </c>
      <c r="T1709" s="54" t="str">
        <f t="shared" si="85"/>
        <v/>
      </c>
      <c r="U1709" s="58" t="str">
        <f t="shared" si="86"/>
        <v/>
      </c>
      <c r="V1709" s="58">
        <f>IF(AND($B1709&lt;&gt;"",$F1709&lt;&gt;"",$F1709=项目明细账!$C$2),N(V1708)+1,N(V1708))</f>
        <v>0</v>
      </c>
      <c r="W1709" s="63" t="str">
        <f>IF($H1709&lt;&gt;"","项目成本",IFERROR(INDEX(基础资料!$W$4:$W$49,MATCH($I1709,基础资料!$V$4:$V$49,0)),""))</f>
        <v/>
      </c>
      <c r="X1709" s="63" t="str">
        <f>IFERROR(INDEX(基础资料!$R$4:$R$17,MATCH($G1709,基础资料!$Q$4:$Q$17,0)),"")</f>
        <v/>
      </c>
    </row>
    <row r="1710" spans="1:24">
      <c r="A1710" s="58" t="str">
        <f>IF($B1710="","",COUNTA($B$5:$B1710))</f>
        <v/>
      </c>
      <c r="B1710" s="53"/>
      <c r="C1710" s="46"/>
      <c r="D1710" s="63" t="str">
        <f>IFERROR(INDEX(基础资料!$F$4:$F$23,MATCH($C1710,基础资料!$E$4:$E$23,0)),IF($C1710="","","未匹配账户"))</f>
        <v/>
      </c>
      <c r="E1710" s="39"/>
      <c r="F1710" s="10"/>
      <c r="G1710" s="10"/>
      <c r="H1710" s="10"/>
      <c r="I1710" s="10"/>
      <c r="J1710" s="10"/>
      <c r="K1710" s="25"/>
      <c r="L1710" s="25"/>
      <c r="M1710" s="25" t="str">
        <f>IFERROR(VLOOKUP($C1710,$C$5:$M$24,11,0)+SUMIF($C$25:$C1710,$C1710,$K$25:$K1710)-SUMIF($C$25:$C1710,$C1710,$L$25:$L1710),"")</f>
        <v/>
      </c>
      <c r="N1710" s="10"/>
      <c r="O1710" s="10"/>
      <c r="P1710" s="65"/>
      <c r="Q1710" s="10"/>
      <c r="R1710" s="10"/>
      <c r="S1710" s="54" t="str">
        <f t="shared" si="84"/>
        <v/>
      </c>
      <c r="T1710" s="54" t="str">
        <f t="shared" si="85"/>
        <v/>
      </c>
      <c r="U1710" s="58" t="str">
        <f t="shared" si="86"/>
        <v/>
      </c>
      <c r="V1710" s="58">
        <f>IF(AND($B1710&lt;&gt;"",$F1710&lt;&gt;"",$F1710=项目明细账!$C$2),N(V1709)+1,N(V1709))</f>
        <v>0</v>
      </c>
      <c r="W1710" s="63" t="str">
        <f>IF($H1710&lt;&gt;"","项目成本",IFERROR(INDEX(基础资料!$W$4:$W$49,MATCH($I1710,基础资料!$V$4:$V$49,0)),""))</f>
        <v/>
      </c>
      <c r="X1710" s="63" t="str">
        <f>IFERROR(INDEX(基础资料!$R$4:$R$17,MATCH($G1710,基础资料!$Q$4:$Q$17,0)),"")</f>
        <v/>
      </c>
    </row>
    <row r="1711" spans="1:24">
      <c r="A1711" s="58" t="str">
        <f>IF($B1711="","",COUNTA($B$5:$B1711))</f>
        <v/>
      </c>
      <c r="B1711" s="53"/>
      <c r="C1711" s="46"/>
      <c r="D1711" s="63" t="str">
        <f>IFERROR(INDEX(基础资料!$F$4:$F$23,MATCH($C1711,基础资料!$E$4:$E$23,0)),IF($C1711="","","未匹配账户"))</f>
        <v/>
      </c>
      <c r="E1711" s="39"/>
      <c r="F1711" s="10"/>
      <c r="G1711" s="10"/>
      <c r="H1711" s="10"/>
      <c r="I1711" s="10"/>
      <c r="J1711" s="10"/>
      <c r="K1711" s="25"/>
      <c r="L1711" s="25"/>
      <c r="M1711" s="25" t="str">
        <f>IFERROR(VLOOKUP($C1711,$C$5:$M$24,11,0)+SUMIF($C$25:$C1711,$C1711,$K$25:$K1711)-SUMIF($C$25:$C1711,$C1711,$L$25:$L1711),"")</f>
        <v/>
      </c>
      <c r="N1711" s="10"/>
      <c r="O1711" s="10"/>
      <c r="P1711" s="65"/>
      <c r="Q1711" s="10"/>
      <c r="R1711" s="10"/>
      <c r="S1711" s="54" t="str">
        <f t="shared" si="84"/>
        <v/>
      </c>
      <c r="T1711" s="54" t="str">
        <f t="shared" si="85"/>
        <v/>
      </c>
      <c r="U1711" s="58" t="str">
        <f t="shared" si="86"/>
        <v/>
      </c>
      <c r="V1711" s="58">
        <f>IF(AND($B1711&lt;&gt;"",$F1711&lt;&gt;"",$F1711=项目明细账!$C$2),N(V1710)+1,N(V1710))</f>
        <v>0</v>
      </c>
      <c r="W1711" s="63" t="str">
        <f>IF($H1711&lt;&gt;"","项目成本",IFERROR(INDEX(基础资料!$W$4:$W$49,MATCH($I1711,基础资料!$V$4:$V$49,0)),""))</f>
        <v/>
      </c>
      <c r="X1711" s="63" t="str">
        <f>IFERROR(INDEX(基础资料!$R$4:$R$17,MATCH($G1711,基础资料!$Q$4:$Q$17,0)),"")</f>
        <v/>
      </c>
    </row>
    <row r="1712" spans="1:24">
      <c r="A1712" s="58" t="str">
        <f>IF($B1712="","",COUNTA($B$5:$B1712))</f>
        <v/>
      </c>
      <c r="B1712" s="53"/>
      <c r="C1712" s="46"/>
      <c r="D1712" s="63" t="str">
        <f>IFERROR(INDEX(基础资料!$F$4:$F$23,MATCH($C1712,基础资料!$E$4:$E$23,0)),IF($C1712="","","未匹配账户"))</f>
        <v/>
      </c>
      <c r="E1712" s="39"/>
      <c r="F1712" s="10"/>
      <c r="G1712" s="10"/>
      <c r="H1712" s="10"/>
      <c r="I1712" s="10"/>
      <c r="J1712" s="10"/>
      <c r="K1712" s="25"/>
      <c r="L1712" s="25"/>
      <c r="M1712" s="25" t="str">
        <f>IFERROR(VLOOKUP($C1712,$C$5:$M$24,11,0)+SUMIF($C$25:$C1712,$C1712,$K$25:$K1712)-SUMIF($C$25:$C1712,$C1712,$L$25:$L1712),"")</f>
        <v/>
      </c>
      <c r="N1712" s="10"/>
      <c r="O1712" s="10"/>
      <c r="P1712" s="65"/>
      <c r="Q1712" s="10"/>
      <c r="R1712" s="10"/>
      <c r="S1712" s="54" t="str">
        <f t="shared" si="84"/>
        <v/>
      </c>
      <c r="T1712" s="54" t="str">
        <f t="shared" si="85"/>
        <v/>
      </c>
      <c r="U1712" s="58" t="str">
        <f t="shared" si="86"/>
        <v/>
      </c>
      <c r="V1712" s="58">
        <f>IF(AND($B1712&lt;&gt;"",$F1712&lt;&gt;"",$F1712=项目明细账!$C$2),N(V1711)+1,N(V1711))</f>
        <v>0</v>
      </c>
      <c r="W1712" s="63" t="str">
        <f>IF($H1712&lt;&gt;"","项目成本",IFERROR(INDEX(基础资料!$W$4:$W$49,MATCH($I1712,基础资料!$V$4:$V$49,0)),""))</f>
        <v/>
      </c>
      <c r="X1712" s="63" t="str">
        <f>IFERROR(INDEX(基础资料!$R$4:$R$17,MATCH($G1712,基础资料!$Q$4:$Q$17,0)),"")</f>
        <v/>
      </c>
    </row>
    <row r="1713" spans="1:24">
      <c r="A1713" s="58" t="str">
        <f>IF($B1713="","",COUNTA($B$5:$B1713))</f>
        <v/>
      </c>
      <c r="B1713" s="53"/>
      <c r="C1713" s="46"/>
      <c r="D1713" s="63" t="str">
        <f>IFERROR(INDEX(基础资料!$F$4:$F$23,MATCH($C1713,基础资料!$E$4:$E$23,0)),IF($C1713="","","未匹配账户"))</f>
        <v/>
      </c>
      <c r="E1713" s="39"/>
      <c r="F1713" s="10"/>
      <c r="G1713" s="10"/>
      <c r="H1713" s="10"/>
      <c r="I1713" s="10"/>
      <c r="J1713" s="10"/>
      <c r="K1713" s="25"/>
      <c r="L1713" s="25"/>
      <c r="M1713" s="25" t="str">
        <f>IFERROR(VLOOKUP($C1713,$C$5:$M$24,11,0)+SUMIF($C$25:$C1713,$C1713,$K$25:$K1713)-SUMIF($C$25:$C1713,$C1713,$L$25:$L1713),"")</f>
        <v/>
      </c>
      <c r="N1713" s="10"/>
      <c r="O1713" s="10"/>
      <c r="P1713" s="65"/>
      <c r="Q1713" s="10"/>
      <c r="R1713" s="10"/>
      <c r="S1713" s="54" t="str">
        <f t="shared" si="84"/>
        <v/>
      </c>
      <c r="T1713" s="54" t="str">
        <f t="shared" si="85"/>
        <v/>
      </c>
      <c r="U1713" s="58" t="str">
        <f t="shared" si="86"/>
        <v/>
      </c>
      <c r="V1713" s="58">
        <f>IF(AND($B1713&lt;&gt;"",$F1713&lt;&gt;"",$F1713=项目明细账!$C$2),N(V1712)+1,N(V1712))</f>
        <v>0</v>
      </c>
      <c r="W1713" s="63" t="str">
        <f>IF($H1713&lt;&gt;"","项目成本",IFERROR(INDEX(基础资料!$W$4:$W$49,MATCH($I1713,基础资料!$V$4:$V$49,0)),""))</f>
        <v/>
      </c>
      <c r="X1713" s="63" t="str">
        <f>IFERROR(INDEX(基础资料!$R$4:$R$17,MATCH($G1713,基础资料!$Q$4:$Q$17,0)),"")</f>
        <v/>
      </c>
    </row>
    <row r="1714" spans="1:24">
      <c r="A1714" s="58" t="str">
        <f>IF($B1714="","",COUNTA($B$5:$B1714))</f>
        <v/>
      </c>
      <c r="B1714" s="53"/>
      <c r="C1714" s="46"/>
      <c r="D1714" s="63" t="str">
        <f>IFERROR(INDEX(基础资料!$F$4:$F$23,MATCH($C1714,基础资料!$E$4:$E$23,0)),IF($C1714="","","未匹配账户"))</f>
        <v/>
      </c>
      <c r="E1714" s="39"/>
      <c r="F1714" s="10"/>
      <c r="G1714" s="10"/>
      <c r="H1714" s="10"/>
      <c r="I1714" s="10"/>
      <c r="J1714" s="10"/>
      <c r="K1714" s="25"/>
      <c r="L1714" s="25"/>
      <c r="M1714" s="25" t="str">
        <f>IFERROR(VLOOKUP($C1714,$C$5:$M$24,11,0)+SUMIF($C$25:$C1714,$C1714,$K$25:$K1714)-SUMIF($C$25:$C1714,$C1714,$L$25:$L1714),"")</f>
        <v/>
      </c>
      <c r="N1714" s="10"/>
      <c r="O1714" s="10"/>
      <c r="P1714" s="65"/>
      <c r="Q1714" s="10"/>
      <c r="R1714" s="10"/>
      <c r="S1714" s="54" t="str">
        <f t="shared" si="84"/>
        <v/>
      </c>
      <c r="T1714" s="54" t="str">
        <f t="shared" si="85"/>
        <v/>
      </c>
      <c r="U1714" s="58" t="str">
        <f t="shared" si="86"/>
        <v/>
      </c>
      <c r="V1714" s="58">
        <f>IF(AND($B1714&lt;&gt;"",$F1714&lt;&gt;"",$F1714=项目明细账!$C$2),N(V1713)+1,N(V1713))</f>
        <v>0</v>
      </c>
      <c r="W1714" s="63" t="str">
        <f>IF($H1714&lt;&gt;"","项目成本",IFERROR(INDEX(基础资料!$W$4:$W$49,MATCH($I1714,基础资料!$V$4:$V$49,0)),""))</f>
        <v/>
      </c>
      <c r="X1714" s="63" t="str">
        <f>IFERROR(INDEX(基础资料!$R$4:$R$17,MATCH($G1714,基础资料!$Q$4:$Q$17,0)),"")</f>
        <v/>
      </c>
    </row>
    <row r="1715" spans="1:24">
      <c r="A1715" s="58" t="str">
        <f>IF($B1715="","",COUNTA($B$5:$B1715))</f>
        <v/>
      </c>
      <c r="B1715" s="53"/>
      <c r="C1715" s="46"/>
      <c r="D1715" s="63" t="str">
        <f>IFERROR(INDEX(基础资料!$F$4:$F$23,MATCH($C1715,基础资料!$E$4:$E$23,0)),IF($C1715="","","未匹配账户"))</f>
        <v/>
      </c>
      <c r="E1715" s="39"/>
      <c r="F1715" s="10"/>
      <c r="G1715" s="10"/>
      <c r="H1715" s="10"/>
      <c r="I1715" s="10"/>
      <c r="J1715" s="10"/>
      <c r="K1715" s="25"/>
      <c r="L1715" s="25"/>
      <c r="M1715" s="25" t="str">
        <f>IFERROR(VLOOKUP($C1715,$C$5:$M$24,11,0)+SUMIF($C$25:$C1715,$C1715,$K$25:$K1715)-SUMIF($C$25:$C1715,$C1715,$L$25:$L1715),"")</f>
        <v/>
      </c>
      <c r="N1715" s="10"/>
      <c r="O1715" s="10"/>
      <c r="P1715" s="65"/>
      <c r="Q1715" s="10"/>
      <c r="R1715" s="10"/>
      <c r="S1715" s="54" t="str">
        <f t="shared" si="84"/>
        <v/>
      </c>
      <c r="T1715" s="54" t="str">
        <f t="shared" si="85"/>
        <v/>
      </c>
      <c r="U1715" s="58" t="str">
        <f t="shared" si="86"/>
        <v/>
      </c>
      <c r="V1715" s="58">
        <f>IF(AND($B1715&lt;&gt;"",$F1715&lt;&gt;"",$F1715=项目明细账!$C$2),N(V1714)+1,N(V1714))</f>
        <v>0</v>
      </c>
      <c r="W1715" s="63" t="str">
        <f>IF($H1715&lt;&gt;"","项目成本",IFERROR(INDEX(基础资料!$W$4:$W$49,MATCH($I1715,基础资料!$V$4:$V$49,0)),""))</f>
        <v/>
      </c>
      <c r="X1715" s="63" t="str">
        <f>IFERROR(INDEX(基础资料!$R$4:$R$17,MATCH($G1715,基础资料!$Q$4:$Q$17,0)),"")</f>
        <v/>
      </c>
    </row>
    <row r="1716" spans="1:24">
      <c r="A1716" s="58" t="str">
        <f>IF($B1716="","",COUNTA($B$5:$B1716))</f>
        <v/>
      </c>
      <c r="B1716" s="53"/>
      <c r="C1716" s="46"/>
      <c r="D1716" s="63" t="str">
        <f>IFERROR(INDEX(基础资料!$F$4:$F$23,MATCH($C1716,基础资料!$E$4:$E$23,0)),IF($C1716="","","未匹配账户"))</f>
        <v/>
      </c>
      <c r="E1716" s="39"/>
      <c r="F1716" s="10"/>
      <c r="G1716" s="10"/>
      <c r="H1716" s="10"/>
      <c r="I1716" s="10"/>
      <c r="J1716" s="10"/>
      <c r="K1716" s="25"/>
      <c r="L1716" s="25"/>
      <c r="M1716" s="25" t="str">
        <f>IFERROR(VLOOKUP($C1716,$C$5:$M$24,11,0)+SUMIF($C$25:$C1716,$C1716,$K$25:$K1716)-SUMIF($C$25:$C1716,$C1716,$L$25:$L1716),"")</f>
        <v/>
      </c>
      <c r="N1716" s="10"/>
      <c r="O1716" s="10"/>
      <c r="P1716" s="65"/>
      <c r="Q1716" s="10"/>
      <c r="R1716" s="10"/>
      <c r="S1716" s="54" t="str">
        <f t="shared" si="84"/>
        <v/>
      </c>
      <c r="T1716" s="54" t="str">
        <f t="shared" si="85"/>
        <v/>
      </c>
      <c r="U1716" s="58" t="str">
        <f t="shared" si="86"/>
        <v/>
      </c>
      <c r="V1716" s="58">
        <f>IF(AND($B1716&lt;&gt;"",$F1716&lt;&gt;"",$F1716=项目明细账!$C$2),N(V1715)+1,N(V1715))</f>
        <v>0</v>
      </c>
      <c r="W1716" s="63" t="str">
        <f>IF($H1716&lt;&gt;"","项目成本",IFERROR(INDEX(基础资料!$W$4:$W$49,MATCH($I1716,基础资料!$V$4:$V$49,0)),""))</f>
        <v/>
      </c>
      <c r="X1716" s="63" t="str">
        <f>IFERROR(INDEX(基础资料!$R$4:$R$17,MATCH($G1716,基础资料!$Q$4:$Q$17,0)),"")</f>
        <v/>
      </c>
    </row>
    <row r="1717" spans="1:24">
      <c r="A1717" s="58" t="str">
        <f>IF($B1717="","",COUNTA($B$5:$B1717))</f>
        <v/>
      </c>
      <c r="B1717" s="53"/>
      <c r="C1717" s="46"/>
      <c r="D1717" s="63" t="str">
        <f>IFERROR(INDEX(基础资料!$F$4:$F$23,MATCH($C1717,基础资料!$E$4:$E$23,0)),IF($C1717="","","未匹配账户"))</f>
        <v/>
      </c>
      <c r="E1717" s="39"/>
      <c r="F1717" s="10"/>
      <c r="G1717" s="10"/>
      <c r="H1717" s="10"/>
      <c r="I1717" s="10"/>
      <c r="J1717" s="10"/>
      <c r="K1717" s="25"/>
      <c r="L1717" s="25"/>
      <c r="M1717" s="25" t="str">
        <f>IFERROR(VLOOKUP($C1717,$C$5:$M$24,11,0)+SUMIF($C$25:$C1717,$C1717,$K$25:$K1717)-SUMIF($C$25:$C1717,$C1717,$L$25:$L1717),"")</f>
        <v/>
      </c>
      <c r="N1717" s="10"/>
      <c r="O1717" s="10"/>
      <c r="P1717" s="65"/>
      <c r="Q1717" s="10"/>
      <c r="R1717" s="10"/>
      <c r="S1717" s="54" t="str">
        <f t="shared" si="84"/>
        <v/>
      </c>
      <c r="T1717" s="54" t="str">
        <f t="shared" si="85"/>
        <v/>
      </c>
      <c r="U1717" s="58" t="str">
        <f t="shared" si="86"/>
        <v/>
      </c>
      <c r="V1717" s="58">
        <f>IF(AND($B1717&lt;&gt;"",$F1717&lt;&gt;"",$F1717=项目明细账!$C$2),N(V1716)+1,N(V1716))</f>
        <v>0</v>
      </c>
      <c r="W1717" s="63" t="str">
        <f>IF($H1717&lt;&gt;"","项目成本",IFERROR(INDEX(基础资料!$W$4:$W$49,MATCH($I1717,基础资料!$V$4:$V$49,0)),""))</f>
        <v/>
      </c>
      <c r="X1717" s="63" t="str">
        <f>IFERROR(INDEX(基础资料!$R$4:$R$17,MATCH($G1717,基础资料!$Q$4:$Q$17,0)),"")</f>
        <v/>
      </c>
    </row>
    <row r="1718" spans="1:24">
      <c r="A1718" s="58" t="str">
        <f>IF($B1718="","",COUNTA($B$5:$B1718))</f>
        <v/>
      </c>
      <c r="B1718" s="53"/>
      <c r="C1718" s="46"/>
      <c r="D1718" s="63" t="str">
        <f>IFERROR(INDEX(基础资料!$F$4:$F$23,MATCH($C1718,基础资料!$E$4:$E$23,0)),IF($C1718="","","未匹配账户"))</f>
        <v/>
      </c>
      <c r="E1718" s="39"/>
      <c r="F1718" s="10"/>
      <c r="G1718" s="10"/>
      <c r="H1718" s="10"/>
      <c r="I1718" s="10"/>
      <c r="J1718" s="10"/>
      <c r="K1718" s="25"/>
      <c r="L1718" s="25"/>
      <c r="M1718" s="25" t="str">
        <f>IFERROR(VLOOKUP($C1718,$C$5:$M$24,11,0)+SUMIF($C$25:$C1718,$C1718,$K$25:$K1718)-SUMIF($C$25:$C1718,$C1718,$L$25:$L1718),"")</f>
        <v/>
      </c>
      <c r="N1718" s="10"/>
      <c r="O1718" s="10"/>
      <c r="P1718" s="65"/>
      <c r="Q1718" s="10"/>
      <c r="R1718" s="10"/>
      <c r="S1718" s="54" t="str">
        <f t="shared" si="84"/>
        <v/>
      </c>
      <c r="T1718" s="54" t="str">
        <f t="shared" si="85"/>
        <v/>
      </c>
      <c r="U1718" s="58" t="str">
        <f t="shared" si="86"/>
        <v/>
      </c>
      <c r="V1718" s="58">
        <f>IF(AND($B1718&lt;&gt;"",$F1718&lt;&gt;"",$F1718=项目明细账!$C$2),N(V1717)+1,N(V1717))</f>
        <v>0</v>
      </c>
      <c r="W1718" s="63" t="str">
        <f>IF($H1718&lt;&gt;"","项目成本",IFERROR(INDEX(基础资料!$W$4:$W$49,MATCH($I1718,基础资料!$V$4:$V$49,0)),""))</f>
        <v/>
      </c>
      <c r="X1718" s="63" t="str">
        <f>IFERROR(INDEX(基础资料!$R$4:$R$17,MATCH($G1718,基础资料!$Q$4:$Q$17,0)),"")</f>
        <v/>
      </c>
    </row>
    <row r="1719" spans="1:24">
      <c r="A1719" s="58" t="str">
        <f>IF($B1719="","",COUNTA($B$5:$B1719))</f>
        <v/>
      </c>
      <c r="B1719" s="53"/>
      <c r="C1719" s="46"/>
      <c r="D1719" s="63" t="str">
        <f>IFERROR(INDEX(基础资料!$F$4:$F$23,MATCH($C1719,基础资料!$E$4:$E$23,0)),IF($C1719="","","未匹配账户"))</f>
        <v/>
      </c>
      <c r="E1719" s="39"/>
      <c r="F1719" s="10"/>
      <c r="G1719" s="10"/>
      <c r="H1719" s="10"/>
      <c r="I1719" s="10"/>
      <c r="J1719" s="10"/>
      <c r="K1719" s="25"/>
      <c r="L1719" s="25"/>
      <c r="M1719" s="25" t="str">
        <f>IFERROR(VLOOKUP($C1719,$C$5:$M$24,11,0)+SUMIF($C$25:$C1719,$C1719,$K$25:$K1719)-SUMIF($C$25:$C1719,$C1719,$L$25:$L1719),"")</f>
        <v/>
      </c>
      <c r="N1719" s="10"/>
      <c r="O1719" s="10"/>
      <c r="P1719" s="65"/>
      <c r="Q1719" s="10"/>
      <c r="R1719" s="10"/>
      <c r="S1719" s="54" t="str">
        <f t="shared" si="84"/>
        <v/>
      </c>
      <c r="T1719" s="54" t="str">
        <f t="shared" si="85"/>
        <v/>
      </c>
      <c r="U1719" s="58" t="str">
        <f t="shared" si="86"/>
        <v/>
      </c>
      <c r="V1719" s="58">
        <f>IF(AND($B1719&lt;&gt;"",$F1719&lt;&gt;"",$F1719=项目明细账!$C$2),N(V1718)+1,N(V1718))</f>
        <v>0</v>
      </c>
      <c r="W1719" s="63" t="str">
        <f>IF($H1719&lt;&gt;"","项目成本",IFERROR(INDEX(基础资料!$W$4:$W$49,MATCH($I1719,基础资料!$V$4:$V$49,0)),""))</f>
        <v/>
      </c>
      <c r="X1719" s="63" t="str">
        <f>IFERROR(INDEX(基础资料!$R$4:$R$17,MATCH($G1719,基础资料!$Q$4:$Q$17,0)),"")</f>
        <v/>
      </c>
    </row>
    <row r="1720" spans="1:24">
      <c r="A1720" s="58" t="str">
        <f>IF($B1720="","",COUNTA($B$5:$B1720))</f>
        <v/>
      </c>
      <c r="B1720" s="53"/>
      <c r="C1720" s="46"/>
      <c r="D1720" s="63" t="str">
        <f>IFERROR(INDEX(基础资料!$F$4:$F$23,MATCH($C1720,基础资料!$E$4:$E$23,0)),IF($C1720="","","未匹配账户"))</f>
        <v/>
      </c>
      <c r="E1720" s="39"/>
      <c r="F1720" s="10"/>
      <c r="G1720" s="10"/>
      <c r="H1720" s="10"/>
      <c r="I1720" s="10"/>
      <c r="J1720" s="10"/>
      <c r="K1720" s="25"/>
      <c r="L1720" s="25"/>
      <c r="M1720" s="25" t="str">
        <f>IFERROR(VLOOKUP($C1720,$C$5:$M$24,11,0)+SUMIF($C$25:$C1720,$C1720,$K$25:$K1720)-SUMIF($C$25:$C1720,$C1720,$L$25:$L1720),"")</f>
        <v/>
      </c>
      <c r="N1720" s="10"/>
      <c r="O1720" s="10"/>
      <c r="P1720" s="65"/>
      <c r="Q1720" s="10"/>
      <c r="R1720" s="10"/>
      <c r="S1720" s="54" t="str">
        <f t="shared" si="84"/>
        <v/>
      </c>
      <c r="T1720" s="54" t="str">
        <f t="shared" si="85"/>
        <v/>
      </c>
      <c r="U1720" s="58" t="str">
        <f t="shared" si="86"/>
        <v/>
      </c>
      <c r="V1720" s="58">
        <f>IF(AND($B1720&lt;&gt;"",$F1720&lt;&gt;"",$F1720=项目明细账!$C$2),N(V1719)+1,N(V1719))</f>
        <v>0</v>
      </c>
      <c r="W1720" s="63" t="str">
        <f>IF($H1720&lt;&gt;"","项目成本",IFERROR(INDEX(基础资料!$W$4:$W$49,MATCH($I1720,基础资料!$V$4:$V$49,0)),""))</f>
        <v/>
      </c>
      <c r="X1720" s="63" t="str">
        <f>IFERROR(INDEX(基础资料!$R$4:$R$17,MATCH($G1720,基础资料!$Q$4:$Q$17,0)),"")</f>
        <v/>
      </c>
    </row>
    <row r="1721" spans="1:24">
      <c r="A1721" s="58" t="str">
        <f>IF($B1721="","",COUNTA($B$5:$B1721))</f>
        <v/>
      </c>
      <c r="B1721" s="53"/>
      <c r="C1721" s="46"/>
      <c r="D1721" s="63" t="str">
        <f>IFERROR(INDEX(基础资料!$F$4:$F$23,MATCH($C1721,基础资料!$E$4:$E$23,0)),IF($C1721="","","未匹配账户"))</f>
        <v/>
      </c>
      <c r="E1721" s="39"/>
      <c r="F1721" s="10"/>
      <c r="G1721" s="10"/>
      <c r="H1721" s="10"/>
      <c r="I1721" s="10"/>
      <c r="J1721" s="10"/>
      <c r="K1721" s="25"/>
      <c r="L1721" s="25"/>
      <c r="M1721" s="25" t="str">
        <f>IFERROR(VLOOKUP($C1721,$C$5:$M$24,11,0)+SUMIF($C$25:$C1721,$C1721,$K$25:$K1721)-SUMIF($C$25:$C1721,$C1721,$L$25:$L1721),"")</f>
        <v/>
      </c>
      <c r="N1721" s="10"/>
      <c r="O1721" s="10"/>
      <c r="P1721" s="65"/>
      <c r="Q1721" s="10"/>
      <c r="R1721" s="10"/>
      <c r="S1721" s="54" t="str">
        <f t="shared" si="84"/>
        <v/>
      </c>
      <c r="T1721" s="54" t="str">
        <f t="shared" si="85"/>
        <v/>
      </c>
      <c r="U1721" s="58" t="str">
        <f t="shared" si="86"/>
        <v/>
      </c>
      <c r="V1721" s="58">
        <f>IF(AND($B1721&lt;&gt;"",$F1721&lt;&gt;"",$F1721=项目明细账!$C$2),N(V1720)+1,N(V1720))</f>
        <v>0</v>
      </c>
      <c r="W1721" s="63" t="str">
        <f>IF($H1721&lt;&gt;"","项目成本",IFERROR(INDEX(基础资料!$W$4:$W$49,MATCH($I1721,基础资料!$V$4:$V$49,0)),""))</f>
        <v/>
      </c>
      <c r="X1721" s="63" t="str">
        <f>IFERROR(INDEX(基础资料!$R$4:$R$17,MATCH($G1721,基础资料!$Q$4:$Q$17,0)),"")</f>
        <v/>
      </c>
    </row>
    <row r="1722" spans="1:24">
      <c r="A1722" s="58" t="str">
        <f>IF($B1722="","",COUNTA($B$5:$B1722))</f>
        <v/>
      </c>
      <c r="B1722" s="53"/>
      <c r="C1722" s="46"/>
      <c r="D1722" s="63" t="str">
        <f>IFERROR(INDEX(基础资料!$F$4:$F$23,MATCH($C1722,基础资料!$E$4:$E$23,0)),IF($C1722="","","未匹配账户"))</f>
        <v/>
      </c>
      <c r="E1722" s="39"/>
      <c r="F1722" s="10"/>
      <c r="G1722" s="10"/>
      <c r="H1722" s="10"/>
      <c r="I1722" s="10"/>
      <c r="J1722" s="10"/>
      <c r="K1722" s="25"/>
      <c r="L1722" s="25"/>
      <c r="M1722" s="25" t="str">
        <f>IFERROR(VLOOKUP($C1722,$C$5:$M$24,11,0)+SUMIF($C$25:$C1722,$C1722,$K$25:$K1722)-SUMIF($C$25:$C1722,$C1722,$L$25:$L1722),"")</f>
        <v/>
      </c>
      <c r="N1722" s="10"/>
      <c r="O1722" s="10"/>
      <c r="P1722" s="65"/>
      <c r="Q1722" s="10"/>
      <c r="R1722" s="10"/>
      <c r="S1722" s="54" t="str">
        <f t="shared" si="84"/>
        <v/>
      </c>
      <c r="T1722" s="54" t="str">
        <f t="shared" si="85"/>
        <v/>
      </c>
      <c r="U1722" s="58" t="str">
        <f t="shared" si="86"/>
        <v/>
      </c>
      <c r="V1722" s="58">
        <f>IF(AND($B1722&lt;&gt;"",$F1722&lt;&gt;"",$F1722=项目明细账!$C$2),N(V1721)+1,N(V1721))</f>
        <v>0</v>
      </c>
      <c r="W1722" s="63" t="str">
        <f>IF($H1722&lt;&gt;"","项目成本",IFERROR(INDEX(基础资料!$W$4:$W$49,MATCH($I1722,基础资料!$V$4:$V$49,0)),""))</f>
        <v/>
      </c>
      <c r="X1722" s="63" t="str">
        <f>IFERROR(INDEX(基础资料!$R$4:$R$17,MATCH($G1722,基础资料!$Q$4:$Q$17,0)),"")</f>
        <v/>
      </c>
    </row>
    <row r="1723" spans="1:24">
      <c r="A1723" s="58" t="str">
        <f>IF($B1723="","",COUNTA($B$5:$B1723))</f>
        <v/>
      </c>
      <c r="B1723" s="53"/>
      <c r="C1723" s="46"/>
      <c r="D1723" s="63" t="str">
        <f>IFERROR(INDEX(基础资料!$F$4:$F$23,MATCH($C1723,基础资料!$E$4:$E$23,0)),IF($C1723="","","未匹配账户"))</f>
        <v/>
      </c>
      <c r="E1723" s="39"/>
      <c r="F1723" s="10"/>
      <c r="G1723" s="10"/>
      <c r="H1723" s="10"/>
      <c r="I1723" s="10"/>
      <c r="J1723" s="10"/>
      <c r="K1723" s="25"/>
      <c r="L1723" s="25"/>
      <c r="M1723" s="25" t="str">
        <f>IFERROR(VLOOKUP($C1723,$C$5:$M$24,11,0)+SUMIF($C$25:$C1723,$C1723,$K$25:$K1723)-SUMIF($C$25:$C1723,$C1723,$L$25:$L1723),"")</f>
        <v/>
      </c>
      <c r="N1723" s="10"/>
      <c r="O1723" s="10"/>
      <c r="P1723" s="65"/>
      <c r="Q1723" s="10"/>
      <c r="R1723" s="10"/>
      <c r="S1723" s="54" t="str">
        <f t="shared" si="84"/>
        <v/>
      </c>
      <c r="T1723" s="54" t="str">
        <f t="shared" si="85"/>
        <v/>
      </c>
      <c r="U1723" s="58" t="str">
        <f t="shared" si="86"/>
        <v/>
      </c>
      <c r="V1723" s="58">
        <f>IF(AND($B1723&lt;&gt;"",$F1723&lt;&gt;"",$F1723=项目明细账!$C$2),N(V1722)+1,N(V1722))</f>
        <v>0</v>
      </c>
      <c r="W1723" s="63" t="str">
        <f>IF($H1723&lt;&gt;"","项目成本",IFERROR(INDEX(基础资料!$W$4:$W$49,MATCH($I1723,基础资料!$V$4:$V$49,0)),""))</f>
        <v/>
      </c>
      <c r="X1723" s="63" t="str">
        <f>IFERROR(INDEX(基础资料!$R$4:$R$17,MATCH($G1723,基础资料!$Q$4:$Q$17,0)),"")</f>
        <v/>
      </c>
    </row>
    <row r="1724" spans="1:24">
      <c r="A1724" s="58" t="str">
        <f>IF($B1724="","",COUNTA($B$5:$B1724))</f>
        <v/>
      </c>
      <c r="B1724" s="53"/>
      <c r="C1724" s="46"/>
      <c r="D1724" s="63" t="str">
        <f>IFERROR(INDEX(基础资料!$F$4:$F$23,MATCH($C1724,基础资料!$E$4:$E$23,0)),IF($C1724="","","未匹配账户"))</f>
        <v/>
      </c>
      <c r="E1724" s="39"/>
      <c r="F1724" s="10"/>
      <c r="G1724" s="10"/>
      <c r="H1724" s="10"/>
      <c r="I1724" s="10"/>
      <c r="J1724" s="10"/>
      <c r="K1724" s="25"/>
      <c r="L1724" s="25"/>
      <c r="M1724" s="25" t="str">
        <f>IFERROR(VLOOKUP($C1724,$C$5:$M$24,11,0)+SUMIF($C$25:$C1724,$C1724,$K$25:$K1724)-SUMIF($C$25:$C1724,$C1724,$L$25:$L1724),"")</f>
        <v/>
      </c>
      <c r="N1724" s="10"/>
      <c r="O1724" s="10"/>
      <c r="P1724" s="65"/>
      <c r="Q1724" s="10"/>
      <c r="R1724" s="10"/>
      <c r="S1724" s="54" t="str">
        <f t="shared" si="84"/>
        <v/>
      </c>
      <c r="T1724" s="54" t="str">
        <f t="shared" si="85"/>
        <v/>
      </c>
      <c r="U1724" s="58" t="str">
        <f t="shared" si="86"/>
        <v/>
      </c>
      <c r="V1724" s="58">
        <f>IF(AND($B1724&lt;&gt;"",$F1724&lt;&gt;"",$F1724=项目明细账!$C$2),N(V1723)+1,N(V1723))</f>
        <v>0</v>
      </c>
      <c r="W1724" s="63" t="str">
        <f>IF($H1724&lt;&gt;"","项目成本",IFERROR(INDEX(基础资料!$W$4:$W$49,MATCH($I1724,基础资料!$V$4:$V$49,0)),""))</f>
        <v/>
      </c>
      <c r="X1724" s="63" t="str">
        <f>IFERROR(INDEX(基础资料!$R$4:$R$17,MATCH($G1724,基础资料!$Q$4:$Q$17,0)),"")</f>
        <v/>
      </c>
    </row>
    <row r="1725" spans="1:24">
      <c r="A1725" s="58" t="str">
        <f>IF($B1725="","",COUNTA($B$5:$B1725))</f>
        <v/>
      </c>
      <c r="B1725" s="53"/>
      <c r="C1725" s="46"/>
      <c r="D1725" s="63" t="str">
        <f>IFERROR(INDEX(基础资料!$F$4:$F$23,MATCH($C1725,基础资料!$E$4:$E$23,0)),IF($C1725="","","未匹配账户"))</f>
        <v/>
      </c>
      <c r="E1725" s="39"/>
      <c r="F1725" s="10"/>
      <c r="G1725" s="10"/>
      <c r="H1725" s="10"/>
      <c r="I1725" s="10"/>
      <c r="J1725" s="10"/>
      <c r="K1725" s="25"/>
      <c r="L1725" s="25"/>
      <c r="M1725" s="25" t="str">
        <f>IFERROR(VLOOKUP($C1725,$C$5:$M$24,11,0)+SUMIF($C$25:$C1725,$C1725,$K$25:$K1725)-SUMIF($C$25:$C1725,$C1725,$L$25:$L1725),"")</f>
        <v/>
      </c>
      <c r="N1725" s="10"/>
      <c r="O1725" s="10"/>
      <c r="P1725" s="65"/>
      <c r="Q1725" s="10"/>
      <c r="R1725" s="10"/>
      <c r="S1725" s="54" t="str">
        <f t="shared" si="84"/>
        <v/>
      </c>
      <c r="T1725" s="54" t="str">
        <f t="shared" si="85"/>
        <v/>
      </c>
      <c r="U1725" s="58" t="str">
        <f t="shared" si="86"/>
        <v/>
      </c>
      <c r="V1725" s="58">
        <f>IF(AND($B1725&lt;&gt;"",$F1725&lt;&gt;"",$F1725=项目明细账!$C$2),N(V1724)+1,N(V1724))</f>
        <v>0</v>
      </c>
      <c r="W1725" s="63" t="str">
        <f>IF($H1725&lt;&gt;"","项目成本",IFERROR(INDEX(基础资料!$W$4:$W$49,MATCH($I1725,基础资料!$V$4:$V$49,0)),""))</f>
        <v/>
      </c>
      <c r="X1725" s="63" t="str">
        <f>IFERROR(INDEX(基础资料!$R$4:$R$17,MATCH($G1725,基础资料!$Q$4:$Q$17,0)),"")</f>
        <v/>
      </c>
    </row>
    <row r="1726" spans="1:24">
      <c r="A1726" s="58" t="str">
        <f>IF($B1726="","",COUNTA($B$5:$B1726))</f>
        <v/>
      </c>
      <c r="B1726" s="53"/>
      <c r="C1726" s="46"/>
      <c r="D1726" s="63" t="str">
        <f>IFERROR(INDEX(基础资料!$F$4:$F$23,MATCH($C1726,基础资料!$E$4:$E$23,0)),IF($C1726="","","未匹配账户"))</f>
        <v/>
      </c>
      <c r="E1726" s="39"/>
      <c r="F1726" s="10"/>
      <c r="G1726" s="10"/>
      <c r="H1726" s="10"/>
      <c r="I1726" s="10"/>
      <c r="J1726" s="10"/>
      <c r="K1726" s="25"/>
      <c r="L1726" s="25"/>
      <c r="M1726" s="25" t="str">
        <f>IFERROR(VLOOKUP($C1726,$C$5:$M$24,11,0)+SUMIF($C$25:$C1726,$C1726,$K$25:$K1726)-SUMIF($C$25:$C1726,$C1726,$L$25:$L1726),"")</f>
        <v/>
      </c>
      <c r="N1726" s="10"/>
      <c r="O1726" s="10"/>
      <c r="P1726" s="65"/>
      <c r="Q1726" s="10"/>
      <c r="R1726" s="10"/>
      <c r="S1726" s="54" t="str">
        <f t="shared" si="84"/>
        <v/>
      </c>
      <c r="T1726" s="54" t="str">
        <f t="shared" si="85"/>
        <v/>
      </c>
      <c r="U1726" s="58" t="str">
        <f t="shared" si="86"/>
        <v/>
      </c>
      <c r="V1726" s="58">
        <f>IF(AND($B1726&lt;&gt;"",$F1726&lt;&gt;"",$F1726=项目明细账!$C$2),N(V1725)+1,N(V1725))</f>
        <v>0</v>
      </c>
      <c r="W1726" s="63" t="str">
        <f>IF($H1726&lt;&gt;"","项目成本",IFERROR(INDEX(基础资料!$W$4:$W$49,MATCH($I1726,基础资料!$V$4:$V$49,0)),""))</f>
        <v/>
      </c>
      <c r="X1726" s="63" t="str">
        <f>IFERROR(INDEX(基础资料!$R$4:$R$17,MATCH($G1726,基础资料!$Q$4:$Q$17,0)),"")</f>
        <v/>
      </c>
    </row>
    <row r="1727" spans="1:24">
      <c r="A1727" s="58" t="str">
        <f>IF($B1727="","",COUNTA($B$5:$B1727))</f>
        <v/>
      </c>
      <c r="B1727" s="53"/>
      <c r="C1727" s="46"/>
      <c r="D1727" s="63" t="str">
        <f>IFERROR(INDEX(基础资料!$F$4:$F$23,MATCH($C1727,基础资料!$E$4:$E$23,0)),IF($C1727="","","未匹配账户"))</f>
        <v/>
      </c>
      <c r="E1727" s="39"/>
      <c r="F1727" s="10"/>
      <c r="G1727" s="10"/>
      <c r="H1727" s="10"/>
      <c r="I1727" s="10"/>
      <c r="J1727" s="10"/>
      <c r="K1727" s="25"/>
      <c r="L1727" s="25"/>
      <c r="M1727" s="25" t="str">
        <f>IFERROR(VLOOKUP($C1727,$C$5:$M$24,11,0)+SUMIF($C$25:$C1727,$C1727,$K$25:$K1727)-SUMIF($C$25:$C1727,$C1727,$L$25:$L1727),"")</f>
        <v/>
      </c>
      <c r="N1727" s="10"/>
      <c r="O1727" s="10"/>
      <c r="P1727" s="65"/>
      <c r="Q1727" s="10"/>
      <c r="R1727" s="10"/>
      <c r="S1727" s="54" t="str">
        <f t="shared" si="84"/>
        <v/>
      </c>
      <c r="T1727" s="54" t="str">
        <f t="shared" si="85"/>
        <v/>
      </c>
      <c r="U1727" s="58" t="str">
        <f t="shared" si="86"/>
        <v/>
      </c>
      <c r="V1727" s="58">
        <f>IF(AND($B1727&lt;&gt;"",$F1727&lt;&gt;"",$F1727=项目明细账!$C$2),N(V1726)+1,N(V1726))</f>
        <v>0</v>
      </c>
      <c r="W1727" s="63" t="str">
        <f>IF($H1727&lt;&gt;"","项目成本",IFERROR(INDEX(基础资料!$W$4:$W$49,MATCH($I1727,基础资料!$V$4:$V$49,0)),""))</f>
        <v/>
      </c>
      <c r="X1727" s="63" t="str">
        <f>IFERROR(INDEX(基础资料!$R$4:$R$17,MATCH($G1727,基础资料!$Q$4:$Q$17,0)),"")</f>
        <v/>
      </c>
    </row>
    <row r="1728" spans="1:24">
      <c r="A1728" s="58" t="str">
        <f>IF($B1728="","",COUNTA($B$5:$B1728))</f>
        <v/>
      </c>
      <c r="B1728" s="53"/>
      <c r="C1728" s="46"/>
      <c r="D1728" s="63" t="str">
        <f>IFERROR(INDEX(基础资料!$F$4:$F$23,MATCH($C1728,基础资料!$E$4:$E$23,0)),IF($C1728="","","未匹配账户"))</f>
        <v/>
      </c>
      <c r="E1728" s="39"/>
      <c r="F1728" s="10"/>
      <c r="G1728" s="10"/>
      <c r="H1728" s="10"/>
      <c r="I1728" s="10"/>
      <c r="J1728" s="10"/>
      <c r="K1728" s="25"/>
      <c r="L1728" s="25"/>
      <c r="M1728" s="25" t="str">
        <f>IFERROR(VLOOKUP($C1728,$C$5:$M$24,11,0)+SUMIF($C$25:$C1728,$C1728,$K$25:$K1728)-SUMIF($C$25:$C1728,$C1728,$L$25:$L1728),"")</f>
        <v/>
      </c>
      <c r="N1728" s="10"/>
      <c r="O1728" s="10"/>
      <c r="P1728" s="65"/>
      <c r="Q1728" s="10"/>
      <c r="R1728" s="10"/>
      <c r="S1728" s="54" t="str">
        <f t="shared" si="84"/>
        <v/>
      </c>
      <c r="T1728" s="54" t="str">
        <f t="shared" si="85"/>
        <v/>
      </c>
      <c r="U1728" s="58" t="str">
        <f t="shared" si="86"/>
        <v/>
      </c>
      <c r="V1728" s="58">
        <f>IF(AND($B1728&lt;&gt;"",$F1728&lt;&gt;"",$F1728=项目明细账!$C$2),N(V1727)+1,N(V1727))</f>
        <v>0</v>
      </c>
      <c r="W1728" s="63" t="str">
        <f>IF($H1728&lt;&gt;"","项目成本",IFERROR(INDEX(基础资料!$W$4:$W$49,MATCH($I1728,基础资料!$V$4:$V$49,0)),""))</f>
        <v/>
      </c>
      <c r="X1728" s="63" t="str">
        <f>IFERROR(INDEX(基础资料!$R$4:$R$17,MATCH($G1728,基础资料!$Q$4:$Q$17,0)),"")</f>
        <v/>
      </c>
    </row>
    <row r="1729" spans="1:24">
      <c r="A1729" s="58" t="str">
        <f>IF($B1729="","",COUNTA($B$5:$B1729))</f>
        <v/>
      </c>
      <c r="B1729" s="53"/>
      <c r="C1729" s="46"/>
      <c r="D1729" s="63" t="str">
        <f>IFERROR(INDEX(基础资料!$F$4:$F$23,MATCH($C1729,基础资料!$E$4:$E$23,0)),IF($C1729="","","未匹配账户"))</f>
        <v/>
      </c>
      <c r="E1729" s="39"/>
      <c r="F1729" s="10"/>
      <c r="G1729" s="10"/>
      <c r="H1729" s="10"/>
      <c r="I1729" s="10"/>
      <c r="J1729" s="10"/>
      <c r="K1729" s="25"/>
      <c r="L1729" s="25"/>
      <c r="M1729" s="25" t="str">
        <f>IFERROR(VLOOKUP($C1729,$C$5:$M$24,11,0)+SUMIF($C$25:$C1729,$C1729,$K$25:$K1729)-SUMIF($C$25:$C1729,$C1729,$L$25:$L1729),"")</f>
        <v/>
      </c>
      <c r="N1729" s="10"/>
      <c r="O1729" s="10"/>
      <c r="P1729" s="65"/>
      <c r="Q1729" s="10"/>
      <c r="R1729" s="10"/>
      <c r="S1729" s="54" t="str">
        <f t="shared" si="84"/>
        <v/>
      </c>
      <c r="T1729" s="54" t="str">
        <f t="shared" si="85"/>
        <v/>
      </c>
      <c r="U1729" s="58" t="str">
        <f t="shared" si="86"/>
        <v/>
      </c>
      <c r="V1729" s="58">
        <f>IF(AND($B1729&lt;&gt;"",$F1729&lt;&gt;"",$F1729=项目明细账!$C$2),N(V1728)+1,N(V1728))</f>
        <v>0</v>
      </c>
      <c r="W1729" s="63" t="str">
        <f>IF($H1729&lt;&gt;"","项目成本",IFERROR(INDEX(基础资料!$W$4:$W$49,MATCH($I1729,基础资料!$V$4:$V$49,0)),""))</f>
        <v/>
      </c>
      <c r="X1729" s="63" t="str">
        <f>IFERROR(INDEX(基础资料!$R$4:$R$17,MATCH($G1729,基础资料!$Q$4:$Q$17,0)),"")</f>
        <v/>
      </c>
    </row>
    <row r="1730" spans="1:24">
      <c r="A1730" s="58" t="str">
        <f>IF($B1730="","",COUNTA($B$5:$B1730))</f>
        <v/>
      </c>
      <c r="B1730" s="53"/>
      <c r="C1730" s="46"/>
      <c r="D1730" s="63" t="str">
        <f>IFERROR(INDEX(基础资料!$F$4:$F$23,MATCH($C1730,基础资料!$E$4:$E$23,0)),IF($C1730="","","未匹配账户"))</f>
        <v/>
      </c>
      <c r="E1730" s="39"/>
      <c r="F1730" s="10"/>
      <c r="G1730" s="10"/>
      <c r="H1730" s="10"/>
      <c r="I1730" s="10"/>
      <c r="J1730" s="10"/>
      <c r="K1730" s="25"/>
      <c r="L1730" s="25"/>
      <c r="M1730" s="25" t="str">
        <f>IFERROR(VLOOKUP($C1730,$C$5:$M$24,11,0)+SUMIF($C$25:$C1730,$C1730,$K$25:$K1730)-SUMIF($C$25:$C1730,$C1730,$L$25:$L1730),"")</f>
        <v/>
      </c>
      <c r="N1730" s="10"/>
      <c r="O1730" s="10"/>
      <c r="P1730" s="65"/>
      <c r="Q1730" s="10"/>
      <c r="R1730" s="10"/>
      <c r="S1730" s="54" t="str">
        <f t="shared" si="84"/>
        <v/>
      </c>
      <c r="T1730" s="54" t="str">
        <f t="shared" si="85"/>
        <v/>
      </c>
      <c r="U1730" s="58" t="str">
        <f t="shared" si="86"/>
        <v/>
      </c>
      <c r="V1730" s="58">
        <f>IF(AND($B1730&lt;&gt;"",$F1730&lt;&gt;"",$F1730=项目明细账!$C$2),N(V1729)+1,N(V1729))</f>
        <v>0</v>
      </c>
      <c r="W1730" s="63" t="str">
        <f>IF($H1730&lt;&gt;"","项目成本",IFERROR(INDEX(基础资料!$W$4:$W$49,MATCH($I1730,基础资料!$V$4:$V$49,0)),""))</f>
        <v/>
      </c>
      <c r="X1730" s="63" t="str">
        <f>IFERROR(INDEX(基础资料!$R$4:$R$17,MATCH($G1730,基础资料!$Q$4:$Q$17,0)),"")</f>
        <v/>
      </c>
    </row>
    <row r="1731" spans="1:24">
      <c r="A1731" s="58" t="str">
        <f>IF($B1731="","",COUNTA($B$5:$B1731))</f>
        <v/>
      </c>
      <c r="B1731" s="53"/>
      <c r="C1731" s="46"/>
      <c r="D1731" s="63" t="str">
        <f>IFERROR(INDEX(基础资料!$F$4:$F$23,MATCH($C1731,基础资料!$E$4:$E$23,0)),IF($C1731="","","未匹配账户"))</f>
        <v/>
      </c>
      <c r="E1731" s="39"/>
      <c r="F1731" s="10"/>
      <c r="G1731" s="10"/>
      <c r="H1731" s="10"/>
      <c r="I1731" s="10"/>
      <c r="J1731" s="10"/>
      <c r="K1731" s="25"/>
      <c r="L1731" s="25"/>
      <c r="M1731" s="25" t="str">
        <f>IFERROR(VLOOKUP($C1731,$C$5:$M$24,11,0)+SUMIF($C$25:$C1731,$C1731,$K$25:$K1731)-SUMIF($C$25:$C1731,$C1731,$L$25:$L1731),"")</f>
        <v/>
      </c>
      <c r="N1731" s="10"/>
      <c r="O1731" s="10"/>
      <c r="P1731" s="65"/>
      <c r="Q1731" s="10"/>
      <c r="R1731" s="10"/>
      <c r="S1731" s="54" t="str">
        <f t="shared" si="84"/>
        <v/>
      </c>
      <c r="T1731" s="54" t="str">
        <f t="shared" si="85"/>
        <v/>
      </c>
      <c r="U1731" s="58" t="str">
        <f t="shared" si="86"/>
        <v/>
      </c>
      <c r="V1731" s="58">
        <f>IF(AND($B1731&lt;&gt;"",$F1731&lt;&gt;"",$F1731=项目明细账!$C$2),N(V1730)+1,N(V1730))</f>
        <v>0</v>
      </c>
      <c r="W1731" s="63" t="str">
        <f>IF($H1731&lt;&gt;"","项目成本",IFERROR(INDEX(基础资料!$W$4:$W$49,MATCH($I1731,基础资料!$V$4:$V$49,0)),""))</f>
        <v/>
      </c>
      <c r="X1731" s="63" t="str">
        <f>IFERROR(INDEX(基础资料!$R$4:$R$17,MATCH($G1731,基础资料!$Q$4:$Q$17,0)),"")</f>
        <v/>
      </c>
    </row>
    <row r="1732" spans="1:24">
      <c r="A1732" s="58" t="str">
        <f>IF($B1732="","",COUNTA($B$5:$B1732))</f>
        <v/>
      </c>
      <c r="B1732" s="53"/>
      <c r="C1732" s="46"/>
      <c r="D1732" s="63" t="str">
        <f>IFERROR(INDEX(基础资料!$F$4:$F$23,MATCH($C1732,基础资料!$E$4:$E$23,0)),IF($C1732="","","未匹配账户"))</f>
        <v/>
      </c>
      <c r="E1732" s="39"/>
      <c r="F1732" s="10"/>
      <c r="G1732" s="10"/>
      <c r="H1732" s="10"/>
      <c r="I1732" s="10"/>
      <c r="J1732" s="10"/>
      <c r="K1732" s="25"/>
      <c r="L1732" s="25"/>
      <c r="M1732" s="25" t="str">
        <f>IFERROR(VLOOKUP($C1732,$C$5:$M$24,11,0)+SUMIF($C$25:$C1732,$C1732,$K$25:$K1732)-SUMIF($C$25:$C1732,$C1732,$L$25:$L1732),"")</f>
        <v/>
      </c>
      <c r="N1732" s="10"/>
      <c r="O1732" s="10"/>
      <c r="P1732" s="65"/>
      <c r="Q1732" s="10"/>
      <c r="R1732" s="10"/>
      <c r="S1732" s="54" t="str">
        <f t="shared" si="84"/>
        <v/>
      </c>
      <c r="T1732" s="54" t="str">
        <f t="shared" si="85"/>
        <v/>
      </c>
      <c r="U1732" s="58" t="str">
        <f t="shared" si="86"/>
        <v/>
      </c>
      <c r="V1732" s="58">
        <f>IF(AND($B1732&lt;&gt;"",$F1732&lt;&gt;"",$F1732=项目明细账!$C$2),N(V1731)+1,N(V1731))</f>
        <v>0</v>
      </c>
      <c r="W1732" s="63" t="str">
        <f>IF($H1732&lt;&gt;"","项目成本",IFERROR(INDEX(基础资料!$W$4:$W$49,MATCH($I1732,基础资料!$V$4:$V$49,0)),""))</f>
        <v/>
      </c>
      <c r="X1732" s="63" t="str">
        <f>IFERROR(INDEX(基础资料!$R$4:$R$17,MATCH($G1732,基础资料!$Q$4:$Q$17,0)),"")</f>
        <v/>
      </c>
    </row>
    <row r="1733" spans="1:24">
      <c r="A1733" s="58" t="str">
        <f>IF($B1733="","",COUNTA($B$5:$B1733))</f>
        <v/>
      </c>
      <c r="B1733" s="53"/>
      <c r="C1733" s="46"/>
      <c r="D1733" s="63" t="str">
        <f>IFERROR(INDEX(基础资料!$F$4:$F$23,MATCH($C1733,基础资料!$E$4:$E$23,0)),IF($C1733="","","未匹配账户"))</f>
        <v/>
      </c>
      <c r="E1733" s="39"/>
      <c r="F1733" s="10"/>
      <c r="G1733" s="10"/>
      <c r="H1733" s="10"/>
      <c r="I1733" s="10"/>
      <c r="J1733" s="10"/>
      <c r="K1733" s="25"/>
      <c r="L1733" s="25"/>
      <c r="M1733" s="25" t="str">
        <f>IFERROR(VLOOKUP($C1733,$C$5:$M$24,11,0)+SUMIF($C$25:$C1733,$C1733,$K$25:$K1733)-SUMIF($C$25:$C1733,$C1733,$L$25:$L1733),"")</f>
        <v/>
      </c>
      <c r="N1733" s="10"/>
      <c r="O1733" s="10"/>
      <c r="P1733" s="65"/>
      <c r="Q1733" s="10"/>
      <c r="R1733" s="10"/>
      <c r="S1733" s="54" t="str">
        <f t="shared" si="84"/>
        <v/>
      </c>
      <c r="T1733" s="54" t="str">
        <f t="shared" si="85"/>
        <v/>
      </c>
      <c r="U1733" s="58" t="str">
        <f t="shared" si="86"/>
        <v/>
      </c>
      <c r="V1733" s="58">
        <f>IF(AND($B1733&lt;&gt;"",$F1733&lt;&gt;"",$F1733=项目明细账!$C$2),N(V1732)+1,N(V1732))</f>
        <v>0</v>
      </c>
      <c r="W1733" s="63" t="str">
        <f>IF($H1733&lt;&gt;"","项目成本",IFERROR(INDEX(基础资料!$W$4:$W$49,MATCH($I1733,基础资料!$V$4:$V$49,0)),""))</f>
        <v/>
      </c>
      <c r="X1733" s="63" t="str">
        <f>IFERROR(INDEX(基础资料!$R$4:$R$17,MATCH($G1733,基础资料!$Q$4:$Q$17,0)),"")</f>
        <v/>
      </c>
    </row>
    <row r="1734" spans="1:24">
      <c r="A1734" s="58" t="str">
        <f>IF($B1734="","",COUNTA($B$5:$B1734))</f>
        <v/>
      </c>
      <c r="B1734" s="53"/>
      <c r="C1734" s="46"/>
      <c r="D1734" s="63" t="str">
        <f>IFERROR(INDEX(基础资料!$F$4:$F$23,MATCH($C1734,基础资料!$E$4:$E$23,0)),IF($C1734="","","未匹配账户"))</f>
        <v/>
      </c>
      <c r="E1734" s="39"/>
      <c r="F1734" s="10"/>
      <c r="G1734" s="10"/>
      <c r="H1734" s="10"/>
      <c r="I1734" s="10"/>
      <c r="J1734" s="10"/>
      <c r="K1734" s="25"/>
      <c r="L1734" s="25"/>
      <c r="M1734" s="25" t="str">
        <f>IFERROR(VLOOKUP($C1734,$C$5:$M$24,11,0)+SUMIF($C$25:$C1734,$C1734,$K$25:$K1734)-SUMIF($C$25:$C1734,$C1734,$L$25:$L1734),"")</f>
        <v/>
      </c>
      <c r="N1734" s="10"/>
      <c r="O1734" s="10"/>
      <c r="P1734" s="65"/>
      <c r="Q1734" s="10"/>
      <c r="R1734" s="10"/>
      <c r="S1734" s="54" t="str">
        <f t="shared" si="84"/>
        <v/>
      </c>
      <c r="T1734" s="54" t="str">
        <f t="shared" si="85"/>
        <v/>
      </c>
      <c r="U1734" s="58" t="str">
        <f t="shared" si="86"/>
        <v/>
      </c>
      <c r="V1734" s="58">
        <f>IF(AND($B1734&lt;&gt;"",$F1734&lt;&gt;"",$F1734=项目明细账!$C$2),N(V1733)+1,N(V1733))</f>
        <v>0</v>
      </c>
      <c r="W1734" s="63" t="str">
        <f>IF($H1734&lt;&gt;"","项目成本",IFERROR(INDEX(基础资料!$W$4:$W$49,MATCH($I1734,基础资料!$V$4:$V$49,0)),""))</f>
        <v/>
      </c>
      <c r="X1734" s="63" t="str">
        <f>IFERROR(INDEX(基础资料!$R$4:$R$17,MATCH($G1734,基础资料!$Q$4:$Q$17,0)),"")</f>
        <v/>
      </c>
    </row>
    <row r="1735" spans="1:24">
      <c r="A1735" s="58" t="str">
        <f>IF($B1735="","",COUNTA($B$5:$B1735))</f>
        <v/>
      </c>
      <c r="B1735" s="53"/>
      <c r="C1735" s="46"/>
      <c r="D1735" s="63" t="str">
        <f>IFERROR(INDEX(基础资料!$F$4:$F$23,MATCH($C1735,基础资料!$E$4:$E$23,0)),IF($C1735="","","未匹配账户"))</f>
        <v/>
      </c>
      <c r="E1735" s="39"/>
      <c r="F1735" s="10"/>
      <c r="G1735" s="10"/>
      <c r="H1735" s="10"/>
      <c r="I1735" s="10"/>
      <c r="J1735" s="10"/>
      <c r="K1735" s="25"/>
      <c r="L1735" s="25"/>
      <c r="M1735" s="25" t="str">
        <f>IFERROR(VLOOKUP($C1735,$C$5:$M$24,11,0)+SUMIF($C$25:$C1735,$C1735,$K$25:$K1735)-SUMIF($C$25:$C1735,$C1735,$L$25:$L1735),"")</f>
        <v/>
      </c>
      <c r="N1735" s="10"/>
      <c r="O1735" s="10"/>
      <c r="P1735" s="65"/>
      <c r="Q1735" s="10"/>
      <c r="R1735" s="10"/>
      <c r="S1735" s="54" t="str">
        <f t="shared" ref="S1735:S1798" si="87">IF($B1735="","",--TEXT($B1735,"yyyymm"))</f>
        <v/>
      </c>
      <c r="T1735" s="54" t="str">
        <f t="shared" ref="T1735:T1798" si="88">IF($B1735="","",IF($P1735="",$S1735,IFERROR($P1735*1,$P1735)))</f>
        <v/>
      </c>
      <c r="U1735" s="58" t="str">
        <f t="shared" ref="U1735:U1798" si="89">IF($B1735="","",IF($T1735=$S1735,"","跨期"))</f>
        <v/>
      </c>
      <c r="V1735" s="58">
        <f>IF(AND($B1735&lt;&gt;"",$F1735&lt;&gt;"",$F1735=项目明细账!$C$2),N(V1734)+1,N(V1734))</f>
        <v>0</v>
      </c>
      <c r="W1735" s="63" t="str">
        <f>IF($H1735&lt;&gt;"","项目成本",IFERROR(INDEX(基础资料!$W$4:$W$49,MATCH($I1735,基础资料!$V$4:$V$49,0)),""))</f>
        <v/>
      </c>
      <c r="X1735" s="63" t="str">
        <f>IFERROR(INDEX(基础资料!$R$4:$R$17,MATCH($G1735,基础资料!$Q$4:$Q$17,0)),"")</f>
        <v/>
      </c>
    </row>
    <row r="1736" spans="1:24">
      <c r="A1736" s="58" t="str">
        <f>IF($B1736="","",COUNTA($B$5:$B1736))</f>
        <v/>
      </c>
      <c r="B1736" s="53"/>
      <c r="C1736" s="46"/>
      <c r="D1736" s="63" t="str">
        <f>IFERROR(INDEX(基础资料!$F$4:$F$23,MATCH($C1736,基础资料!$E$4:$E$23,0)),IF($C1736="","","未匹配账户"))</f>
        <v/>
      </c>
      <c r="E1736" s="39"/>
      <c r="F1736" s="10"/>
      <c r="G1736" s="10"/>
      <c r="H1736" s="10"/>
      <c r="I1736" s="10"/>
      <c r="J1736" s="10"/>
      <c r="K1736" s="25"/>
      <c r="L1736" s="25"/>
      <c r="M1736" s="25" t="str">
        <f>IFERROR(VLOOKUP($C1736,$C$5:$M$24,11,0)+SUMIF($C$25:$C1736,$C1736,$K$25:$K1736)-SUMIF($C$25:$C1736,$C1736,$L$25:$L1736),"")</f>
        <v/>
      </c>
      <c r="N1736" s="10"/>
      <c r="O1736" s="10"/>
      <c r="P1736" s="65"/>
      <c r="Q1736" s="10"/>
      <c r="R1736" s="10"/>
      <c r="S1736" s="54" t="str">
        <f t="shared" si="87"/>
        <v/>
      </c>
      <c r="T1736" s="54" t="str">
        <f t="shared" si="88"/>
        <v/>
      </c>
      <c r="U1736" s="58" t="str">
        <f t="shared" si="89"/>
        <v/>
      </c>
      <c r="V1736" s="58">
        <f>IF(AND($B1736&lt;&gt;"",$F1736&lt;&gt;"",$F1736=项目明细账!$C$2),N(V1735)+1,N(V1735))</f>
        <v>0</v>
      </c>
      <c r="W1736" s="63" t="str">
        <f>IF($H1736&lt;&gt;"","项目成本",IFERROR(INDEX(基础资料!$W$4:$W$49,MATCH($I1736,基础资料!$V$4:$V$49,0)),""))</f>
        <v/>
      </c>
      <c r="X1736" s="63" t="str">
        <f>IFERROR(INDEX(基础资料!$R$4:$R$17,MATCH($G1736,基础资料!$Q$4:$Q$17,0)),"")</f>
        <v/>
      </c>
    </row>
    <row r="1737" spans="1:24">
      <c r="A1737" s="58" t="str">
        <f>IF($B1737="","",COUNTA($B$5:$B1737))</f>
        <v/>
      </c>
      <c r="B1737" s="53"/>
      <c r="C1737" s="46"/>
      <c r="D1737" s="63" t="str">
        <f>IFERROR(INDEX(基础资料!$F$4:$F$23,MATCH($C1737,基础资料!$E$4:$E$23,0)),IF($C1737="","","未匹配账户"))</f>
        <v/>
      </c>
      <c r="E1737" s="39"/>
      <c r="F1737" s="10"/>
      <c r="G1737" s="10"/>
      <c r="H1737" s="10"/>
      <c r="I1737" s="10"/>
      <c r="J1737" s="10"/>
      <c r="K1737" s="25"/>
      <c r="L1737" s="25"/>
      <c r="M1737" s="25" t="str">
        <f>IFERROR(VLOOKUP($C1737,$C$5:$M$24,11,0)+SUMIF($C$25:$C1737,$C1737,$K$25:$K1737)-SUMIF($C$25:$C1737,$C1737,$L$25:$L1737),"")</f>
        <v/>
      </c>
      <c r="N1737" s="10"/>
      <c r="O1737" s="10"/>
      <c r="P1737" s="65"/>
      <c r="Q1737" s="10"/>
      <c r="R1737" s="10"/>
      <c r="S1737" s="54" t="str">
        <f t="shared" si="87"/>
        <v/>
      </c>
      <c r="T1737" s="54" t="str">
        <f t="shared" si="88"/>
        <v/>
      </c>
      <c r="U1737" s="58" t="str">
        <f t="shared" si="89"/>
        <v/>
      </c>
      <c r="V1737" s="58">
        <f>IF(AND($B1737&lt;&gt;"",$F1737&lt;&gt;"",$F1737=项目明细账!$C$2),N(V1736)+1,N(V1736))</f>
        <v>0</v>
      </c>
      <c r="W1737" s="63" t="str">
        <f>IF($H1737&lt;&gt;"","项目成本",IFERROR(INDEX(基础资料!$W$4:$W$49,MATCH($I1737,基础资料!$V$4:$V$49,0)),""))</f>
        <v/>
      </c>
      <c r="X1737" s="63" t="str">
        <f>IFERROR(INDEX(基础资料!$R$4:$R$17,MATCH($G1737,基础资料!$Q$4:$Q$17,0)),"")</f>
        <v/>
      </c>
    </row>
    <row r="1738" spans="1:24">
      <c r="A1738" s="58" t="str">
        <f>IF($B1738="","",COUNTA($B$5:$B1738))</f>
        <v/>
      </c>
      <c r="B1738" s="53"/>
      <c r="C1738" s="46"/>
      <c r="D1738" s="63" t="str">
        <f>IFERROR(INDEX(基础资料!$F$4:$F$23,MATCH($C1738,基础资料!$E$4:$E$23,0)),IF($C1738="","","未匹配账户"))</f>
        <v/>
      </c>
      <c r="E1738" s="39"/>
      <c r="F1738" s="10"/>
      <c r="G1738" s="10"/>
      <c r="H1738" s="10"/>
      <c r="I1738" s="10"/>
      <c r="J1738" s="10"/>
      <c r="K1738" s="25"/>
      <c r="L1738" s="25"/>
      <c r="M1738" s="25" t="str">
        <f>IFERROR(VLOOKUP($C1738,$C$5:$M$24,11,0)+SUMIF($C$25:$C1738,$C1738,$K$25:$K1738)-SUMIF($C$25:$C1738,$C1738,$L$25:$L1738),"")</f>
        <v/>
      </c>
      <c r="N1738" s="10"/>
      <c r="O1738" s="10"/>
      <c r="P1738" s="65"/>
      <c r="Q1738" s="10"/>
      <c r="R1738" s="10"/>
      <c r="S1738" s="54" t="str">
        <f t="shared" si="87"/>
        <v/>
      </c>
      <c r="T1738" s="54" t="str">
        <f t="shared" si="88"/>
        <v/>
      </c>
      <c r="U1738" s="58" t="str">
        <f t="shared" si="89"/>
        <v/>
      </c>
      <c r="V1738" s="58">
        <f>IF(AND($B1738&lt;&gt;"",$F1738&lt;&gt;"",$F1738=项目明细账!$C$2),N(V1737)+1,N(V1737))</f>
        <v>0</v>
      </c>
      <c r="W1738" s="63" t="str">
        <f>IF($H1738&lt;&gt;"","项目成本",IFERROR(INDEX(基础资料!$W$4:$W$49,MATCH($I1738,基础资料!$V$4:$V$49,0)),""))</f>
        <v/>
      </c>
      <c r="X1738" s="63" t="str">
        <f>IFERROR(INDEX(基础资料!$R$4:$R$17,MATCH($G1738,基础资料!$Q$4:$Q$17,0)),"")</f>
        <v/>
      </c>
    </row>
    <row r="1739" spans="1:24">
      <c r="A1739" s="58" t="str">
        <f>IF($B1739="","",COUNTA($B$5:$B1739))</f>
        <v/>
      </c>
      <c r="B1739" s="53"/>
      <c r="C1739" s="46"/>
      <c r="D1739" s="63" t="str">
        <f>IFERROR(INDEX(基础资料!$F$4:$F$23,MATCH($C1739,基础资料!$E$4:$E$23,0)),IF($C1739="","","未匹配账户"))</f>
        <v/>
      </c>
      <c r="E1739" s="39"/>
      <c r="F1739" s="10"/>
      <c r="G1739" s="10"/>
      <c r="H1739" s="10"/>
      <c r="I1739" s="10"/>
      <c r="J1739" s="10"/>
      <c r="K1739" s="25"/>
      <c r="L1739" s="25"/>
      <c r="M1739" s="25" t="str">
        <f>IFERROR(VLOOKUP($C1739,$C$5:$M$24,11,0)+SUMIF($C$25:$C1739,$C1739,$K$25:$K1739)-SUMIF($C$25:$C1739,$C1739,$L$25:$L1739),"")</f>
        <v/>
      </c>
      <c r="N1739" s="10"/>
      <c r="O1739" s="10"/>
      <c r="P1739" s="65"/>
      <c r="Q1739" s="10"/>
      <c r="R1739" s="10"/>
      <c r="S1739" s="54" t="str">
        <f t="shared" si="87"/>
        <v/>
      </c>
      <c r="T1739" s="54" t="str">
        <f t="shared" si="88"/>
        <v/>
      </c>
      <c r="U1739" s="58" t="str">
        <f t="shared" si="89"/>
        <v/>
      </c>
      <c r="V1739" s="58">
        <f>IF(AND($B1739&lt;&gt;"",$F1739&lt;&gt;"",$F1739=项目明细账!$C$2),N(V1738)+1,N(V1738))</f>
        <v>0</v>
      </c>
      <c r="W1739" s="63" t="str">
        <f>IF($H1739&lt;&gt;"","项目成本",IFERROR(INDEX(基础资料!$W$4:$W$49,MATCH($I1739,基础资料!$V$4:$V$49,0)),""))</f>
        <v/>
      </c>
      <c r="X1739" s="63" t="str">
        <f>IFERROR(INDEX(基础资料!$R$4:$R$17,MATCH($G1739,基础资料!$Q$4:$Q$17,0)),"")</f>
        <v/>
      </c>
    </row>
    <row r="1740" spans="1:24">
      <c r="A1740" s="58" t="str">
        <f>IF($B1740="","",COUNTA($B$5:$B1740))</f>
        <v/>
      </c>
      <c r="B1740" s="53"/>
      <c r="C1740" s="46"/>
      <c r="D1740" s="63" t="str">
        <f>IFERROR(INDEX(基础资料!$F$4:$F$23,MATCH($C1740,基础资料!$E$4:$E$23,0)),IF($C1740="","","未匹配账户"))</f>
        <v/>
      </c>
      <c r="E1740" s="39"/>
      <c r="F1740" s="10"/>
      <c r="G1740" s="10"/>
      <c r="H1740" s="10"/>
      <c r="I1740" s="10"/>
      <c r="J1740" s="10"/>
      <c r="K1740" s="25"/>
      <c r="L1740" s="25"/>
      <c r="M1740" s="25" t="str">
        <f>IFERROR(VLOOKUP($C1740,$C$5:$M$24,11,0)+SUMIF($C$25:$C1740,$C1740,$K$25:$K1740)-SUMIF($C$25:$C1740,$C1740,$L$25:$L1740),"")</f>
        <v/>
      </c>
      <c r="N1740" s="10"/>
      <c r="O1740" s="10"/>
      <c r="P1740" s="65"/>
      <c r="Q1740" s="10"/>
      <c r="R1740" s="10"/>
      <c r="S1740" s="54" t="str">
        <f t="shared" si="87"/>
        <v/>
      </c>
      <c r="T1740" s="54" t="str">
        <f t="shared" si="88"/>
        <v/>
      </c>
      <c r="U1740" s="58" t="str">
        <f t="shared" si="89"/>
        <v/>
      </c>
      <c r="V1740" s="58">
        <f>IF(AND($B1740&lt;&gt;"",$F1740&lt;&gt;"",$F1740=项目明细账!$C$2),N(V1739)+1,N(V1739))</f>
        <v>0</v>
      </c>
      <c r="W1740" s="63" t="str">
        <f>IF($H1740&lt;&gt;"","项目成本",IFERROR(INDEX(基础资料!$W$4:$W$49,MATCH($I1740,基础资料!$V$4:$V$49,0)),""))</f>
        <v/>
      </c>
      <c r="X1740" s="63" t="str">
        <f>IFERROR(INDEX(基础资料!$R$4:$R$17,MATCH($G1740,基础资料!$Q$4:$Q$17,0)),"")</f>
        <v/>
      </c>
    </row>
    <row r="1741" spans="1:24">
      <c r="A1741" s="58" t="str">
        <f>IF($B1741="","",COUNTA($B$5:$B1741))</f>
        <v/>
      </c>
      <c r="B1741" s="53"/>
      <c r="C1741" s="46"/>
      <c r="D1741" s="63" t="str">
        <f>IFERROR(INDEX(基础资料!$F$4:$F$23,MATCH($C1741,基础资料!$E$4:$E$23,0)),IF($C1741="","","未匹配账户"))</f>
        <v/>
      </c>
      <c r="E1741" s="39"/>
      <c r="F1741" s="10"/>
      <c r="G1741" s="10"/>
      <c r="H1741" s="10"/>
      <c r="I1741" s="10"/>
      <c r="J1741" s="10"/>
      <c r="K1741" s="25"/>
      <c r="L1741" s="25"/>
      <c r="M1741" s="25" t="str">
        <f>IFERROR(VLOOKUP($C1741,$C$5:$M$24,11,0)+SUMIF($C$25:$C1741,$C1741,$K$25:$K1741)-SUMIF($C$25:$C1741,$C1741,$L$25:$L1741),"")</f>
        <v/>
      </c>
      <c r="N1741" s="10"/>
      <c r="O1741" s="10"/>
      <c r="P1741" s="65"/>
      <c r="Q1741" s="10"/>
      <c r="R1741" s="10"/>
      <c r="S1741" s="54" t="str">
        <f t="shared" si="87"/>
        <v/>
      </c>
      <c r="T1741" s="54" t="str">
        <f t="shared" si="88"/>
        <v/>
      </c>
      <c r="U1741" s="58" t="str">
        <f t="shared" si="89"/>
        <v/>
      </c>
      <c r="V1741" s="58">
        <f>IF(AND($B1741&lt;&gt;"",$F1741&lt;&gt;"",$F1741=项目明细账!$C$2),N(V1740)+1,N(V1740))</f>
        <v>0</v>
      </c>
      <c r="W1741" s="63" t="str">
        <f>IF($H1741&lt;&gt;"","项目成本",IFERROR(INDEX(基础资料!$W$4:$W$49,MATCH($I1741,基础资料!$V$4:$V$49,0)),""))</f>
        <v/>
      </c>
      <c r="X1741" s="63" t="str">
        <f>IFERROR(INDEX(基础资料!$R$4:$R$17,MATCH($G1741,基础资料!$Q$4:$Q$17,0)),"")</f>
        <v/>
      </c>
    </row>
    <row r="1742" spans="1:24">
      <c r="A1742" s="58" t="str">
        <f>IF($B1742="","",COUNTA($B$5:$B1742))</f>
        <v/>
      </c>
      <c r="B1742" s="53"/>
      <c r="C1742" s="46"/>
      <c r="D1742" s="63" t="str">
        <f>IFERROR(INDEX(基础资料!$F$4:$F$23,MATCH($C1742,基础资料!$E$4:$E$23,0)),IF($C1742="","","未匹配账户"))</f>
        <v/>
      </c>
      <c r="E1742" s="39"/>
      <c r="F1742" s="10"/>
      <c r="G1742" s="10"/>
      <c r="H1742" s="10"/>
      <c r="I1742" s="10"/>
      <c r="J1742" s="10"/>
      <c r="K1742" s="25"/>
      <c r="L1742" s="25"/>
      <c r="M1742" s="25" t="str">
        <f>IFERROR(VLOOKUP($C1742,$C$5:$M$24,11,0)+SUMIF($C$25:$C1742,$C1742,$K$25:$K1742)-SUMIF($C$25:$C1742,$C1742,$L$25:$L1742),"")</f>
        <v/>
      </c>
      <c r="N1742" s="10"/>
      <c r="O1742" s="10"/>
      <c r="P1742" s="65"/>
      <c r="Q1742" s="10"/>
      <c r="R1742" s="10"/>
      <c r="S1742" s="54" t="str">
        <f t="shared" si="87"/>
        <v/>
      </c>
      <c r="T1742" s="54" t="str">
        <f t="shared" si="88"/>
        <v/>
      </c>
      <c r="U1742" s="58" t="str">
        <f t="shared" si="89"/>
        <v/>
      </c>
      <c r="V1742" s="58">
        <f>IF(AND($B1742&lt;&gt;"",$F1742&lt;&gt;"",$F1742=项目明细账!$C$2),N(V1741)+1,N(V1741))</f>
        <v>0</v>
      </c>
      <c r="W1742" s="63" t="str">
        <f>IF($H1742&lt;&gt;"","项目成本",IFERROR(INDEX(基础资料!$W$4:$W$49,MATCH($I1742,基础资料!$V$4:$V$49,0)),""))</f>
        <v/>
      </c>
      <c r="X1742" s="63" t="str">
        <f>IFERROR(INDEX(基础资料!$R$4:$R$17,MATCH($G1742,基础资料!$Q$4:$Q$17,0)),"")</f>
        <v/>
      </c>
    </row>
    <row r="1743" spans="1:24">
      <c r="A1743" s="58" t="str">
        <f>IF($B1743="","",COUNTA($B$5:$B1743))</f>
        <v/>
      </c>
      <c r="B1743" s="53"/>
      <c r="C1743" s="46"/>
      <c r="D1743" s="63" t="str">
        <f>IFERROR(INDEX(基础资料!$F$4:$F$23,MATCH($C1743,基础资料!$E$4:$E$23,0)),IF($C1743="","","未匹配账户"))</f>
        <v/>
      </c>
      <c r="E1743" s="39"/>
      <c r="F1743" s="10"/>
      <c r="G1743" s="10"/>
      <c r="H1743" s="10"/>
      <c r="I1743" s="10"/>
      <c r="J1743" s="10"/>
      <c r="K1743" s="25"/>
      <c r="L1743" s="25"/>
      <c r="M1743" s="25" t="str">
        <f>IFERROR(VLOOKUP($C1743,$C$5:$M$24,11,0)+SUMIF($C$25:$C1743,$C1743,$K$25:$K1743)-SUMIF($C$25:$C1743,$C1743,$L$25:$L1743),"")</f>
        <v/>
      </c>
      <c r="N1743" s="10"/>
      <c r="O1743" s="10"/>
      <c r="P1743" s="65"/>
      <c r="Q1743" s="10"/>
      <c r="R1743" s="10"/>
      <c r="S1743" s="54" t="str">
        <f t="shared" si="87"/>
        <v/>
      </c>
      <c r="T1743" s="54" t="str">
        <f t="shared" si="88"/>
        <v/>
      </c>
      <c r="U1743" s="58" t="str">
        <f t="shared" si="89"/>
        <v/>
      </c>
      <c r="V1743" s="58">
        <f>IF(AND($B1743&lt;&gt;"",$F1743&lt;&gt;"",$F1743=项目明细账!$C$2),N(V1742)+1,N(V1742))</f>
        <v>0</v>
      </c>
      <c r="W1743" s="63" t="str">
        <f>IF($H1743&lt;&gt;"","项目成本",IFERROR(INDEX(基础资料!$W$4:$W$49,MATCH($I1743,基础资料!$V$4:$V$49,0)),""))</f>
        <v/>
      </c>
      <c r="X1743" s="63" t="str">
        <f>IFERROR(INDEX(基础资料!$R$4:$R$17,MATCH($G1743,基础资料!$Q$4:$Q$17,0)),"")</f>
        <v/>
      </c>
    </row>
    <row r="1744" spans="1:24">
      <c r="A1744" s="58" t="str">
        <f>IF($B1744="","",COUNTA($B$5:$B1744))</f>
        <v/>
      </c>
      <c r="B1744" s="53"/>
      <c r="C1744" s="46"/>
      <c r="D1744" s="63" t="str">
        <f>IFERROR(INDEX(基础资料!$F$4:$F$23,MATCH($C1744,基础资料!$E$4:$E$23,0)),IF($C1744="","","未匹配账户"))</f>
        <v/>
      </c>
      <c r="E1744" s="39"/>
      <c r="F1744" s="10"/>
      <c r="G1744" s="10"/>
      <c r="H1744" s="10"/>
      <c r="I1744" s="10"/>
      <c r="J1744" s="10"/>
      <c r="K1744" s="25"/>
      <c r="L1744" s="25"/>
      <c r="M1744" s="25" t="str">
        <f>IFERROR(VLOOKUP($C1744,$C$5:$M$24,11,0)+SUMIF($C$25:$C1744,$C1744,$K$25:$K1744)-SUMIF($C$25:$C1744,$C1744,$L$25:$L1744),"")</f>
        <v/>
      </c>
      <c r="N1744" s="10"/>
      <c r="O1744" s="10"/>
      <c r="P1744" s="65"/>
      <c r="Q1744" s="10"/>
      <c r="R1744" s="10"/>
      <c r="S1744" s="54" t="str">
        <f t="shared" si="87"/>
        <v/>
      </c>
      <c r="T1744" s="54" t="str">
        <f t="shared" si="88"/>
        <v/>
      </c>
      <c r="U1744" s="58" t="str">
        <f t="shared" si="89"/>
        <v/>
      </c>
      <c r="V1744" s="58">
        <f>IF(AND($B1744&lt;&gt;"",$F1744&lt;&gt;"",$F1744=项目明细账!$C$2),N(V1743)+1,N(V1743))</f>
        <v>0</v>
      </c>
      <c r="W1744" s="63" t="str">
        <f>IF($H1744&lt;&gt;"","项目成本",IFERROR(INDEX(基础资料!$W$4:$W$49,MATCH($I1744,基础资料!$V$4:$V$49,0)),""))</f>
        <v/>
      </c>
      <c r="X1744" s="63" t="str">
        <f>IFERROR(INDEX(基础资料!$R$4:$R$17,MATCH($G1744,基础资料!$Q$4:$Q$17,0)),"")</f>
        <v/>
      </c>
    </row>
    <row r="1745" spans="1:24">
      <c r="A1745" s="58" t="str">
        <f>IF($B1745="","",COUNTA($B$5:$B1745))</f>
        <v/>
      </c>
      <c r="B1745" s="53"/>
      <c r="C1745" s="46"/>
      <c r="D1745" s="63" t="str">
        <f>IFERROR(INDEX(基础资料!$F$4:$F$23,MATCH($C1745,基础资料!$E$4:$E$23,0)),IF($C1745="","","未匹配账户"))</f>
        <v/>
      </c>
      <c r="E1745" s="39"/>
      <c r="F1745" s="10"/>
      <c r="G1745" s="10"/>
      <c r="H1745" s="10"/>
      <c r="I1745" s="10"/>
      <c r="J1745" s="10"/>
      <c r="K1745" s="25"/>
      <c r="L1745" s="25"/>
      <c r="M1745" s="25" t="str">
        <f>IFERROR(VLOOKUP($C1745,$C$5:$M$24,11,0)+SUMIF($C$25:$C1745,$C1745,$K$25:$K1745)-SUMIF($C$25:$C1745,$C1745,$L$25:$L1745),"")</f>
        <v/>
      </c>
      <c r="N1745" s="10"/>
      <c r="O1745" s="10"/>
      <c r="P1745" s="65"/>
      <c r="Q1745" s="10"/>
      <c r="R1745" s="10"/>
      <c r="S1745" s="54" t="str">
        <f t="shared" si="87"/>
        <v/>
      </c>
      <c r="T1745" s="54" t="str">
        <f t="shared" si="88"/>
        <v/>
      </c>
      <c r="U1745" s="58" t="str">
        <f t="shared" si="89"/>
        <v/>
      </c>
      <c r="V1745" s="58">
        <f>IF(AND($B1745&lt;&gt;"",$F1745&lt;&gt;"",$F1745=项目明细账!$C$2),N(V1744)+1,N(V1744))</f>
        <v>0</v>
      </c>
      <c r="W1745" s="63" t="str">
        <f>IF($H1745&lt;&gt;"","项目成本",IFERROR(INDEX(基础资料!$W$4:$W$49,MATCH($I1745,基础资料!$V$4:$V$49,0)),""))</f>
        <v/>
      </c>
      <c r="X1745" s="63" t="str">
        <f>IFERROR(INDEX(基础资料!$R$4:$R$17,MATCH($G1745,基础资料!$Q$4:$Q$17,0)),"")</f>
        <v/>
      </c>
    </row>
    <row r="1746" spans="1:24">
      <c r="A1746" s="58" t="str">
        <f>IF($B1746="","",COUNTA($B$5:$B1746))</f>
        <v/>
      </c>
      <c r="B1746" s="53"/>
      <c r="C1746" s="46"/>
      <c r="D1746" s="63" t="str">
        <f>IFERROR(INDEX(基础资料!$F$4:$F$23,MATCH($C1746,基础资料!$E$4:$E$23,0)),IF($C1746="","","未匹配账户"))</f>
        <v/>
      </c>
      <c r="E1746" s="39"/>
      <c r="F1746" s="10"/>
      <c r="G1746" s="10"/>
      <c r="H1746" s="10"/>
      <c r="I1746" s="10"/>
      <c r="J1746" s="10"/>
      <c r="K1746" s="25"/>
      <c r="L1746" s="25"/>
      <c r="M1746" s="25" t="str">
        <f>IFERROR(VLOOKUP($C1746,$C$5:$M$24,11,0)+SUMIF($C$25:$C1746,$C1746,$K$25:$K1746)-SUMIF($C$25:$C1746,$C1746,$L$25:$L1746),"")</f>
        <v/>
      </c>
      <c r="N1746" s="10"/>
      <c r="O1746" s="10"/>
      <c r="P1746" s="65"/>
      <c r="Q1746" s="10"/>
      <c r="R1746" s="10"/>
      <c r="S1746" s="54" t="str">
        <f t="shared" si="87"/>
        <v/>
      </c>
      <c r="T1746" s="54" t="str">
        <f t="shared" si="88"/>
        <v/>
      </c>
      <c r="U1746" s="58" t="str">
        <f t="shared" si="89"/>
        <v/>
      </c>
      <c r="V1746" s="58">
        <f>IF(AND($B1746&lt;&gt;"",$F1746&lt;&gt;"",$F1746=项目明细账!$C$2),N(V1745)+1,N(V1745))</f>
        <v>0</v>
      </c>
      <c r="W1746" s="63" t="str">
        <f>IF($H1746&lt;&gt;"","项目成本",IFERROR(INDEX(基础资料!$W$4:$W$49,MATCH($I1746,基础资料!$V$4:$V$49,0)),""))</f>
        <v/>
      </c>
      <c r="X1746" s="63" t="str">
        <f>IFERROR(INDEX(基础资料!$R$4:$R$17,MATCH($G1746,基础资料!$Q$4:$Q$17,0)),"")</f>
        <v/>
      </c>
    </row>
    <row r="1747" spans="1:24">
      <c r="A1747" s="58" t="str">
        <f>IF($B1747="","",COUNTA($B$5:$B1747))</f>
        <v/>
      </c>
      <c r="B1747" s="53"/>
      <c r="C1747" s="46"/>
      <c r="D1747" s="63" t="str">
        <f>IFERROR(INDEX(基础资料!$F$4:$F$23,MATCH($C1747,基础资料!$E$4:$E$23,0)),IF($C1747="","","未匹配账户"))</f>
        <v/>
      </c>
      <c r="E1747" s="39"/>
      <c r="F1747" s="10"/>
      <c r="G1747" s="10"/>
      <c r="H1747" s="10"/>
      <c r="I1747" s="10"/>
      <c r="J1747" s="10"/>
      <c r="K1747" s="25"/>
      <c r="L1747" s="25"/>
      <c r="M1747" s="25" t="str">
        <f>IFERROR(VLOOKUP($C1747,$C$5:$M$24,11,0)+SUMIF($C$25:$C1747,$C1747,$K$25:$K1747)-SUMIF($C$25:$C1747,$C1747,$L$25:$L1747),"")</f>
        <v/>
      </c>
      <c r="N1747" s="10"/>
      <c r="O1747" s="10"/>
      <c r="P1747" s="65"/>
      <c r="Q1747" s="10"/>
      <c r="R1747" s="10"/>
      <c r="S1747" s="54" t="str">
        <f t="shared" si="87"/>
        <v/>
      </c>
      <c r="T1747" s="54" t="str">
        <f t="shared" si="88"/>
        <v/>
      </c>
      <c r="U1747" s="58" t="str">
        <f t="shared" si="89"/>
        <v/>
      </c>
      <c r="V1747" s="58">
        <f>IF(AND($B1747&lt;&gt;"",$F1747&lt;&gt;"",$F1747=项目明细账!$C$2),N(V1746)+1,N(V1746))</f>
        <v>0</v>
      </c>
      <c r="W1747" s="63" t="str">
        <f>IF($H1747&lt;&gt;"","项目成本",IFERROR(INDEX(基础资料!$W$4:$W$49,MATCH($I1747,基础资料!$V$4:$V$49,0)),""))</f>
        <v/>
      </c>
      <c r="X1747" s="63" t="str">
        <f>IFERROR(INDEX(基础资料!$R$4:$R$17,MATCH($G1747,基础资料!$Q$4:$Q$17,0)),"")</f>
        <v/>
      </c>
    </row>
    <row r="1748" spans="1:24">
      <c r="A1748" s="58" t="str">
        <f>IF($B1748="","",COUNTA($B$5:$B1748))</f>
        <v/>
      </c>
      <c r="B1748" s="53"/>
      <c r="C1748" s="46"/>
      <c r="D1748" s="63" t="str">
        <f>IFERROR(INDEX(基础资料!$F$4:$F$23,MATCH($C1748,基础资料!$E$4:$E$23,0)),IF($C1748="","","未匹配账户"))</f>
        <v/>
      </c>
      <c r="E1748" s="39"/>
      <c r="F1748" s="10"/>
      <c r="G1748" s="10"/>
      <c r="H1748" s="10"/>
      <c r="I1748" s="10"/>
      <c r="J1748" s="10"/>
      <c r="K1748" s="25"/>
      <c r="L1748" s="25"/>
      <c r="M1748" s="25" t="str">
        <f>IFERROR(VLOOKUP($C1748,$C$5:$M$24,11,0)+SUMIF($C$25:$C1748,$C1748,$K$25:$K1748)-SUMIF($C$25:$C1748,$C1748,$L$25:$L1748),"")</f>
        <v/>
      </c>
      <c r="N1748" s="10"/>
      <c r="O1748" s="10"/>
      <c r="P1748" s="65"/>
      <c r="Q1748" s="10"/>
      <c r="R1748" s="10"/>
      <c r="S1748" s="54" t="str">
        <f t="shared" si="87"/>
        <v/>
      </c>
      <c r="T1748" s="54" t="str">
        <f t="shared" si="88"/>
        <v/>
      </c>
      <c r="U1748" s="58" t="str">
        <f t="shared" si="89"/>
        <v/>
      </c>
      <c r="V1748" s="58">
        <f>IF(AND($B1748&lt;&gt;"",$F1748&lt;&gt;"",$F1748=项目明细账!$C$2),N(V1747)+1,N(V1747))</f>
        <v>0</v>
      </c>
      <c r="W1748" s="63" t="str">
        <f>IF($H1748&lt;&gt;"","项目成本",IFERROR(INDEX(基础资料!$W$4:$W$49,MATCH($I1748,基础资料!$V$4:$V$49,0)),""))</f>
        <v/>
      </c>
      <c r="X1748" s="63" t="str">
        <f>IFERROR(INDEX(基础资料!$R$4:$R$17,MATCH($G1748,基础资料!$Q$4:$Q$17,0)),"")</f>
        <v/>
      </c>
    </row>
    <row r="1749" spans="1:24">
      <c r="A1749" s="58" t="str">
        <f>IF($B1749="","",COUNTA($B$5:$B1749))</f>
        <v/>
      </c>
      <c r="B1749" s="53"/>
      <c r="C1749" s="46"/>
      <c r="D1749" s="63" t="str">
        <f>IFERROR(INDEX(基础资料!$F$4:$F$23,MATCH($C1749,基础资料!$E$4:$E$23,0)),IF($C1749="","","未匹配账户"))</f>
        <v/>
      </c>
      <c r="E1749" s="39"/>
      <c r="F1749" s="10"/>
      <c r="G1749" s="10"/>
      <c r="H1749" s="10"/>
      <c r="I1749" s="10"/>
      <c r="J1749" s="10"/>
      <c r="K1749" s="25"/>
      <c r="L1749" s="25"/>
      <c r="M1749" s="25" t="str">
        <f>IFERROR(VLOOKUP($C1749,$C$5:$M$24,11,0)+SUMIF($C$25:$C1749,$C1749,$K$25:$K1749)-SUMIF($C$25:$C1749,$C1749,$L$25:$L1749),"")</f>
        <v/>
      </c>
      <c r="N1749" s="10"/>
      <c r="O1749" s="10"/>
      <c r="P1749" s="65"/>
      <c r="Q1749" s="10"/>
      <c r="R1749" s="10"/>
      <c r="S1749" s="54" t="str">
        <f t="shared" si="87"/>
        <v/>
      </c>
      <c r="T1749" s="54" t="str">
        <f t="shared" si="88"/>
        <v/>
      </c>
      <c r="U1749" s="58" t="str">
        <f t="shared" si="89"/>
        <v/>
      </c>
      <c r="V1749" s="58">
        <f>IF(AND($B1749&lt;&gt;"",$F1749&lt;&gt;"",$F1749=项目明细账!$C$2),N(V1748)+1,N(V1748))</f>
        <v>0</v>
      </c>
      <c r="W1749" s="63" t="str">
        <f>IF($H1749&lt;&gt;"","项目成本",IFERROR(INDEX(基础资料!$W$4:$W$49,MATCH($I1749,基础资料!$V$4:$V$49,0)),""))</f>
        <v/>
      </c>
      <c r="X1749" s="63" t="str">
        <f>IFERROR(INDEX(基础资料!$R$4:$R$17,MATCH($G1749,基础资料!$Q$4:$Q$17,0)),"")</f>
        <v/>
      </c>
    </row>
    <row r="1750" spans="1:24">
      <c r="A1750" s="58" t="str">
        <f>IF($B1750="","",COUNTA($B$5:$B1750))</f>
        <v/>
      </c>
      <c r="B1750" s="53"/>
      <c r="C1750" s="46"/>
      <c r="D1750" s="63" t="str">
        <f>IFERROR(INDEX(基础资料!$F$4:$F$23,MATCH($C1750,基础资料!$E$4:$E$23,0)),IF($C1750="","","未匹配账户"))</f>
        <v/>
      </c>
      <c r="E1750" s="39"/>
      <c r="F1750" s="10"/>
      <c r="G1750" s="10"/>
      <c r="H1750" s="10"/>
      <c r="I1750" s="10"/>
      <c r="J1750" s="10"/>
      <c r="K1750" s="25"/>
      <c r="L1750" s="25"/>
      <c r="M1750" s="25" t="str">
        <f>IFERROR(VLOOKUP($C1750,$C$5:$M$24,11,0)+SUMIF($C$25:$C1750,$C1750,$K$25:$K1750)-SUMIF($C$25:$C1750,$C1750,$L$25:$L1750),"")</f>
        <v/>
      </c>
      <c r="N1750" s="10"/>
      <c r="O1750" s="10"/>
      <c r="P1750" s="65"/>
      <c r="Q1750" s="10"/>
      <c r="R1750" s="10"/>
      <c r="S1750" s="54" t="str">
        <f t="shared" si="87"/>
        <v/>
      </c>
      <c r="T1750" s="54" t="str">
        <f t="shared" si="88"/>
        <v/>
      </c>
      <c r="U1750" s="58" t="str">
        <f t="shared" si="89"/>
        <v/>
      </c>
      <c r="V1750" s="58">
        <f>IF(AND($B1750&lt;&gt;"",$F1750&lt;&gt;"",$F1750=项目明细账!$C$2),N(V1749)+1,N(V1749))</f>
        <v>0</v>
      </c>
      <c r="W1750" s="63" t="str">
        <f>IF($H1750&lt;&gt;"","项目成本",IFERROR(INDEX(基础资料!$W$4:$W$49,MATCH($I1750,基础资料!$V$4:$V$49,0)),""))</f>
        <v/>
      </c>
      <c r="X1750" s="63" t="str">
        <f>IFERROR(INDEX(基础资料!$R$4:$R$17,MATCH($G1750,基础资料!$Q$4:$Q$17,0)),"")</f>
        <v/>
      </c>
    </row>
    <row r="1751" spans="1:24">
      <c r="A1751" s="58" t="str">
        <f>IF($B1751="","",COUNTA($B$5:$B1751))</f>
        <v/>
      </c>
      <c r="B1751" s="53"/>
      <c r="C1751" s="46"/>
      <c r="D1751" s="63" t="str">
        <f>IFERROR(INDEX(基础资料!$F$4:$F$23,MATCH($C1751,基础资料!$E$4:$E$23,0)),IF($C1751="","","未匹配账户"))</f>
        <v/>
      </c>
      <c r="E1751" s="39"/>
      <c r="F1751" s="10"/>
      <c r="G1751" s="10"/>
      <c r="H1751" s="10"/>
      <c r="I1751" s="10"/>
      <c r="J1751" s="10"/>
      <c r="K1751" s="25"/>
      <c r="L1751" s="25"/>
      <c r="M1751" s="25" t="str">
        <f>IFERROR(VLOOKUP($C1751,$C$5:$M$24,11,0)+SUMIF($C$25:$C1751,$C1751,$K$25:$K1751)-SUMIF($C$25:$C1751,$C1751,$L$25:$L1751),"")</f>
        <v/>
      </c>
      <c r="N1751" s="10"/>
      <c r="O1751" s="10"/>
      <c r="P1751" s="65"/>
      <c r="Q1751" s="10"/>
      <c r="R1751" s="10"/>
      <c r="S1751" s="54" t="str">
        <f t="shared" si="87"/>
        <v/>
      </c>
      <c r="T1751" s="54" t="str">
        <f t="shared" si="88"/>
        <v/>
      </c>
      <c r="U1751" s="58" t="str">
        <f t="shared" si="89"/>
        <v/>
      </c>
      <c r="V1751" s="58">
        <f>IF(AND($B1751&lt;&gt;"",$F1751&lt;&gt;"",$F1751=项目明细账!$C$2),N(V1750)+1,N(V1750))</f>
        <v>0</v>
      </c>
      <c r="W1751" s="63" t="str">
        <f>IF($H1751&lt;&gt;"","项目成本",IFERROR(INDEX(基础资料!$W$4:$W$49,MATCH($I1751,基础资料!$V$4:$V$49,0)),""))</f>
        <v/>
      </c>
      <c r="X1751" s="63" t="str">
        <f>IFERROR(INDEX(基础资料!$R$4:$R$17,MATCH($G1751,基础资料!$Q$4:$Q$17,0)),"")</f>
        <v/>
      </c>
    </row>
    <row r="1752" spans="1:24">
      <c r="A1752" s="58" t="str">
        <f>IF($B1752="","",COUNTA($B$5:$B1752))</f>
        <v/>
      </c>
      <c r="B1752" s="53"/>
      <c r="C1752" s="46"/>
      <c r="D1752" s="63" t="str">
        <f>IFERROR(INDEX(基础资料!$F$4:$F$23,MATCH($C1752,基础资料!$E$4:$E$23,0)),IF($C1752="","","未匹配账户"))</f>
        <v/>
      </c>
      <c r="E1752" s="39"/>
      <c r="F1752" s="10"/>
      <c r="G1752" s="10"/>
      <c r="H1752" s="10"/>
      <c r="I1752" s="10"/>
      <c r="J1752" s="10"/>
      <c r="K1752" s="25"/>
      <c r="L1752" s="25"/>
      <c r="M1752" s="25" t="str">
        <f>IFERROR(VLOOKUP($C1752,$C$5:$M$24,11,0)+SUMIF($C$25:$C1752,$C1752,$K$25:$K1752)-SUMIF($C$25:$C1752,$C1752,$L$25:$L1752),"")</f>
        <v/>
      </c>
      <c r="N1752" s="10"/>
      <c r="O1752" s="10"/>
      <c r="P1752" s="65"/>
      <c r="Q1752" s="10"/>
      <c r="R1752" s="10"/>
      <c r="S1752" s="54" t="str">
        <f t="shared" si="87"/>
        <v/>
      </c>
      <c r="T1752" s="54" t="str">
        <f t="shared" si="88"/>
        <v/>
      </c>
      <c r="U1752" s="58" t="str">
        <f t="shared" si="89"/>
        <v/>
      </c>
      <c r="V1752" s="58">
        <f>IF(AND($B1752&lt;&gt;"",$F1752&lt;&gt;"",$F1752=项目明细账!$C$2),N(V1751)+1,N(V1751))</f>
        <v>0</v>
      </c>
      <c r="W1752" s="63" t="str">
        <f>IF($H1752&lt;&gt;"","项目成本",IFERROR(INDEX(基础资料!$W$4:$W$49,MATCH($I1752,基础资料!$V$4:$V$49,0)),""))</f>
        <v/>
      </c>
      <c r="X1752" s="63" t="str">
        <f>IFERROR(INDEX(基础资料!$R$4:$R$17,MATCH($G1752,基础资料!$Q$4:$Q$17,0)),"")</f>
        <v/>
      </c>
    </row>
    <row r="1753" spans="1:24">
      <c r="A1753" s="58" t="str">
        <f>IF($B1753="","",COUNTA($B$5:$B1753))</f>
        <v/>
      </c>
      <c r="B1753" s="53"/>
      <c r="C1753" s="46"/>
      <c r="D1753" s="63" t="str">
        <f>IFERROR(INDEX(基础资料!$F$4:$F$23,MATCH($C1753,基础资料!$E$4:$E$23,0)),IF($C1753="","","未匹配账户"))</f>
        <v/>
      </c>
      <c r="E1753" s="39"/>
      <c r="F1753" s="10"/>
      <c r="G1753" s="10"/>
      <c r="H1753" s="10"/>
      <c r="I1753" s="10"/>
      <c r="J1753" s="10"/>
      <c r="K1753" s="25"/>
      <c r="L1753" s="25"/>
      <c r="M1753" s="25" t="str">
        <f>IFERROR(VLOOKUP($C1753,$C$5:$M$24,11,0)+SUMIF($C$25:$C1753,$C1753,$K$25:$K1753)-SUMIF($C$25:$C1753,$C1753,$L$25:$L1753),"")</f>
        <v/>
      </c>
      <c r="N1753" s="10"/>
      <c r="O1753" s="10"/>
      <c r="P1753" s="65"/>
      <c r="Q1753" s="10"/>
      <c r="R1753" s="10"/>
      <c r="S1753" s="54" t="str">
        <f t="shared" si="87"/>
        <v/>
      </c>
      <c r="T1753" s="54" t="str">
        <f t="shared" si="88"/>
        <v/>
      </c>
      <c r="U1753" s="58" t="str">
        <f t="shared" si="89"/>
        <v/>
      </c>
      <c r="V1753" s="58">
        <f>IF(AND($B1753&lt;&gt;"",$F1753&lt;&gt;"",$F1753=项目明细账!$C$2),N(V1752)+1,N(V1752))</f>
        <v>0</v>
      </c>
      <c r="W1753" s="63" t="str">
        <f>IF($H1753&lt;&gt;"","项目成本",IFERROR(INDEX(基础资料!$W$4:$W$49,MATCH($I1753,基础资料!$V$4:$V$49,0)),""))</f>
        <v/>
      </c>
      <c r="X1753" s="63" t="str">
        <f>IFERROR(INDEX(基础资料!$R$4:$R$17,MATCH($G1753,基础资料!$Q$4:$Q$17,0)),"")</f>
        <v/>
      </c>
    </row>
    <row r="1754" spans="1:24">
      <c r="A1754" s="58" t="str">
        <f>IF($B1754="","",COUNTA($B$5:$B1754))</f>
        <v/>
      </c>
      <c r="B1754" s="53"/>
      <c r="C1754" s="46"/>
      <c r="D1754" s="63" t="str">
        <f>IFERROR(INDEX(基础资料!$F$4:$F$23,MATCH($C1754,基础资料!$E$4:$E$23,0)),IF($C1754="","","未匹配账户"))</f>
        <v/>
      </c>
      <c r="E1754" s="39"/>
      <c r="F1754" s="10"/>
      <c r="G1754" s="10"/>
      <c r="H1754" s="10"/>
      <c r="I1754" s="10"/>
      <c r="J1754" s="10"/>
      <c r="K1754" s="25"/>
      <c r="L1754" s="25"/>
      <c r="M1754" s="25" t="str">
        <f>IFERROR(VLOOKUP($C1754,$C$5:$M$24,11,0)+SUMIF($C$25:$C1754,$C1754,$K$25:$K1754)-SUMIF($C$25:$C1754,$C1754,$L$25:$L1754),"")</f>
        <v/>
      </c>
      <c r="N1754" s="10"/>
      <c r="O1754" s="10"/>
      <c r="P1754" s="65"/>
      <c r="Q1754" s="10"/>
      <c r="R1754" s="10"/>
      <c r="S1754" s="54" t="str">
        <f t="shared" si="87"/>
        <v/>
      </c>
      <c r="T1754" s="54" t="str">
        <f t="shared" si="88"/>
        <v/>
      </c>
      <c r="U1754" s="58" t="str">
        <f t="shared" si="89"/>
        <v/>
      </c>
      <c r="V1754" s="58">
        <f>IF(AND($B1754&lt;&gt;"",$F1754&lt;&gt;"",$F1754=项目明细账!$C$2),N(V1753)+1,N(V1753))</f>
        <v>0</v>
      </c>
      <c r="W1754" s="63" t="str">
        <f>IF($H1754&lt;&gt;"","项目成本",IFERROR(INDEX(基础资料!$W$4:$W$49,MATCH($I1754,基础资料!$V$4:$V$49,0)),""))</f>
        <v/>
      </c>
      <c r="X1754" s="63" t="str">
        <f>IFERROR(INDEX(基础资料!$R$4:$R$17,MATCH($G1754,基础资料!$Q$4:$Q$17,0)),"")</f>
        <v/>
      </c>
    </row>
    <row r="1755" spans="1:24">
      <c r="A1755" s="58" t="str">
        <f>IF($B1755="","",COUNTA($B$5:$B1755))</f>
        <v/>
      </c>
      <c r="B1755" s="53"/>
      <c r="C1755" s="46"/>
      <c r="D1755" s="63" t="str">
        <f>IFERROR(INDEX(基础资料!$F$4:$F$23,MATCH($C1755,基础资料!$E$4:$E$23,0)),IF($C1755="","","未匹配账户"))</f>
        <v/>
      </c>
      <c r="E1755" s="39"/>
      <c r="F1755" s="10"/>
      <c r="G1755" s="10"/>
      <c r="H1755" s="10"/>
      <c r="I1755" s="10"/>
      <c r="J1755" s="10"/>
      <c r="K1755" s="25"/>
      <c r="L1755" s="25"/>
      <c r="M1755" s="25" t="str">
        <f>IFERROR(VLOOKUP($C1755,$C$5:$M$24,11,0)+SUMIF($C$25:$C1755,$C1755,$K$25:$K1755)-SUMIF($C$25:$C1755,$C1755,$L$25:$L1755),"")</f>
        <v/>
      </c>
      <c r="N1755" s="10"/>
      <c r="O1755" s="10"/>
      <c r="P1755" s="65"/>
      <c r="Q1755" s="10"/>
      <c r="R1755" s="10"/>
      <c r="S1755" s="54" t="str">
        <f t="shared" si="87"/>
        <v/>
      </c>
      <c r="T1755" s="54" t="str">
        <f t="shared" si="88"/>
        <v/>
      </c>
      <c r="U1755" s="58" t="str">
        <f t="shared" si="89"/>
        <v/>
      </c>
      <c r="V1755" s="58">
        <f>IF(AND($B1755&lt;&gt;"",$F1755&lt;&gt;"",$F1755=项目明细账!$C$2),N(V1754)+1,N(V1754))</f>
        <v>0</v>
      </c>
      <c r="W1755" s="63" t="str">
        <f>IF($H1755&lt;&gt;"","项目成本",IFERROR(INDEX(基础资料!$W$4:$W$49,MATCH($I1755,基础资料!$V$4:$V$49,0)),""))</f>
        <v/>
      </c>
      <c r="X1755" s="63" t="str">
        <f>IFERROR(INDEX(基础资料!$R$4:$R$17,MATCH($G1755,基础资料!$Q$4:$Q$17,0)),"")</f>
        <v/>
      </c>
    </row>
    <row r="1756" spans="1:24">
      <c r="A1756" s="58" t="str">
        <f>IF($B1756="","",COUNTA($B$5:$B1756))</f>
        <v/>
      </c>
      <c r="B1756" s="53"/>
      <c r="C1756" s="46"/>
      <c r="D1756" s="63" t="str">
        <f>IFERROR(INDEX(基础资料!$F$4:$F$23,MATCH($C1756,基础资料!$E$4:$E$23,0)),IF($C1756="","","未匹配账户"))</f>
        <v/>
      </c>
      <c r="E1756" s="39"/>
      <c r="F1756" s="10"/>
      <c r="G1756" s="10"/>
      <c r="H1756" s="10"/>
      <c r="I1756" s="10"/>
      <c r="J1756" s="10"/>
      <c r="K1756" s="25"/>
      <c r="L1756" s="25"/>
      <c r="M1756" s="25" t="str">
        <f>IFERROR(VLOOKUP($C1756,$C$5:$M$24,11,0)+SUMIF($C$25:$C1756,$C1756,$K$25:$K1756)-SUMIF($C$25:$C1756,$C1756,$L$25:$L1756),"")</f>
        <v/>
      </c>
      <c r="N1756" s="10"/>
      <c r="O1756" s="10"/>
      <c r="P1756" s="65"/>
      <c r="Q1756" s="10"/>
      <c r="R1756" s="10"/>
      <c r="S1756" s="54" t="str">
        <f t="shared" si="87"/>
        <v/>
      </c>
      <c r="T1756" s="54" t="str">
        <f t="shared" si="88"/>
        <v/>
      </c>
      <c r="U1756" s="58" t="str">
        <f t="shared" si="89"/>
        <v/>
      </c>
      <c r="V1756" s="58">
        <f>IF(AND($B1756&lt;&gt;"",$F1756&lt;&gt;"",$F1756=项目明细账!$C$2),N(V1755)+1,N(V1755))</f>
        <v>0</v>
      </c>
      <c r="W1756" s="63" t="str">
        <f>IF($H1756&lt;&gt;"","项目成本",IFERROR(INDEX(基础资料!$W$4:$W$49,MATCH($I1756,基础资料!$V$4:$V$49,0)),""))</f>
        <v/>
      </c>
      <c r="X1756" s="63" t="str">
        <f>IFERROR(INDEX(基础资料!$R$4:$R$17,MATCH($G1756,基础资料!$Q$4:$Q$17,0)),"")</f>
        <v/>
      </c>
    </row>
    <row r="1757" spans="1:24">
      <c r="A1757" s="58" t="str">
        <f>IF($B1757="","",COUNTA($B$5:$B1757))</f>
        <v/>
      </c>
      <c r="B1757" s="53"/>
      <c r="C1757" s="46"/>
      <c r="D1757" s="63" t="str">
        <f>IFERROR(INDEX(基础资料!$F$4:$F$23,MATCH($C1757,基础资料!$E$4:$E$23,0)),IF($C1757="","","未匹配账户"))</f>
        <v/>
      </c>
      <c r="E1757" s="39"/>
      <c r="F1757" s="10"/>
      <c r="G1757" s="10"/>
      <c r="H1757" s="10"/>
      <c r="I1757" s="10"/>
      <c r="J1757" s="10"/>
      <c r="K1757" s="25"/>
      <c r="L1757" s="25"/>
      <c r="M1757" s="25" t="str">
        <f>IFERROR(VLOOKUP($C1757,$C$5:$M$24,11,0)+SUMIF($C$25:$C1757,$C1757,$K$25:$K1757)-SUMIF($C$25:$C1757,$C1757,$L$25:$L1757),"")</f>
        <v/>
      </c>
      <c r="N1757" s="10"/>
      <c r="O1757" s="10"/>
      <c r="P1757" s="65"/>
      <c r="Q1757" s="10"/>
      <c r="R1757" s="10"/>
      <c r="S1757" s="54" t="str">
        <f t="shared" si="87"/>
        <v/>
      </c>
      <c r="T1757" s="54" t="str">
        <f t="shared" si="88"/>
        <v/>
      </c>
      <c r="U1757" s="58" t="str">
        <f t="shared" si="89"/>
        <v/>
      </c>
      <c r="V1757" s="58">
        <f>IF(AND($B1757&lt;&gt;"",$F1757&lt;&gt;"",$F1757=项目明细账!$C$2),N(V1756)+1,N(V1756))</f>
        <v>0</v>
      </c>
      <c r="W1757" s="63" t="str">
        <f>IF($H1757&lt;&gt;"","项目成本",IFERROR(INDEX(基础资料!$W$4:$W$49,MATCH($I1757,基础资料!$V$4:$V$49,0)),""))</f>
        <v/>
      </c>
      <c r="X1757" s="63" t="str">
        <f>IFERROR(INDEX(基础资料!$R$4:$R$17,MATCH($G1757,基础资料!$Q$4:$Q$17,0)),"")</f>
        <v/>
      </c>
    </row>
    <row r="1758" spans="1:24">
      <c r="A1758" s="58" t="str">
        <f>IF($B1758="","",COUNTA($B$5:$B1758))</f>
        <v/>
      </c>
      <c r="B1758" s="53"/>
      <c r="C1758" s="46"/>
      <c r="D1758" s="63" t="str">
        <f>IFERROR(INDEX(基础资料!$F$4:$F$23,MATCH($C1758,基础资料!$E$4:$E$23,0)),IF($C1758="","","未匹配账户"))</f>
        <v/>
      </c>
      <c r="E1758" s="39"/>
      <c r="F1758" s="10"/>
      <c r="G1758" s="10"/>
      <c r="H1758" s="10"/>
      <c r="I1758" s="10"/>
      <c r="J1758" s="10"/>
      <c r="K1758" s="25"/>
      <c r="L1758" s="25"/>
      <c r="M1758" s="25" t="str">
        <f>IFERROR(VLOOKUP($C1758,$C$5:$M$24,11,0)+SUMIF($C$25:$C1758,$C1758,$K$25:$K1758)-SUMIF($C$25:$C1758,$C1758,$L$25:$L1758),"")</f>
        <v/>
      </c>
      <c r="N1758" s="10"/>
      <c r="O1758" s="10"/>
      <c r="P1758" s="65"/>
      <c r="Q1758" s="10"/>
      <c r="R1758" s="10"/>
      <c r="S1758" s="54" t="str">
        <f t="shared" si="87"/>
        <v/>
      </c>
      <c r="T1758" s="54" t="str">
        <f t="shared" si="88"/>
        <v/>
      </c>
      <c r="U1758" s="58" t="str">
        <f t="shared" si="89"/>
        <v/>
      </c>
      <c r="V1758" s="58">
        <f>IF(AND($B1758&lt;&gt;"",$F1758&lt;&gt;"",$F1758=项目明细账!$C$2),N(V1757)+1,N(V1757))</f>
        <v>0</v>
      </c>
      <c r="W1758" s="63" t="str">
        <f>IF($H1758&lt;&gt;"","项目成本",IFERROR(INDEX(基础资料!$W$4:$W$49,MATCH($I1758,基础资料!$V$4:$V$49,0)),""))</f>
        <v/>
      </c>
      <c r="X1758" s="63" t="str">
        <f>IFERROR(INDEX(基础资料!$R$4:$R$17,MATCH($G1758,基础资料!$Q$4:$Q$17,0)),"")</f>
        <v/>
      </c>
    </row>
    <row r="1759" spans="1:24">
      <c r="A1759" s="58" t="str">
        <f>IF($B1759="","",COUNTA($B$5:$B1759))</f>
        <v/>
      </c>
      <c r="B1759" s="53"/>
      <c r="C1759" s="46"/>
      <c r="D1759" s="63" t="str">
        <f>IFERROR(INDEX(基础资料!$F$4:$F$23,MATCH($C1759,基础资料!$E$4:$E$23,0)),IF($C1759="","","未匹配账户"))</f>
        <v/>
      </c>
      <c r="E1759" s="39"/>
      <c r="F1759" s="10"/>
      <c r="G1759" s="10"/>
      <c r="H1759" s="10"/>
      <c r="I1759" s="10"/>
      <c r="J1759" s="10"/>
      <c r="K1759" s="25"/>
      <c r="L1759" s="25"/>
      <c r="M1759" s="25" t="str">
        <f>IFERROR(VLOOKUP($C1759,$C$5:$M$24,11,0)+SUMIF($C$25:$C1759,$C1759,$K$25:$K1759)-SUMIF($C$25:$C1759,$C1759,$L$25:$L1759),"")</f>
        <v/>
      </c>
      <c r="N1759" s="10"/>
      <c r="O1759" s="10"/>
      <c r="P1759" s="65"/>
      <c r="Q1759" s="10"/>
      <c r="R1759" s="10"/>
      <c r="S1759" s="54" t="str">
        <f t="shared" si="87"/>
        <v/>
      </c>
      <c r="T1759" s="54" t="str">
        <f t="shared" si="88"/>
        <v/>
      </c>
      <c r="U1759" s="58" t="str">
        <f t="shared" si="89"/>
        <v/>
      </c>
      <c r="V1759" s="58">
        <f>IF(AND($B1759&lt;&gt;"",$F1759&lt;&gt;"",$F1759=项目明细账!$C$2),N(V1758)+1,N(V1758))</f>
        <v>0</v>
      </c>
      <c r="W1759" s="63" t="str">
        <f>IF($H1759&lt;&gt;"","项目成本",IFERROR(INDEX(基础资料!$W$4:$W$49,MATCH($I1759,基础资料!$V$4:$V$49,0)),""))</f>
        <v/>
      </c>
      <c r="X1759" s="63" t="str">
        <f>IFERROR(INDEX(基础资料!$R$4:$R$17,MATCH($G1759,基础资料!$Q$4:$Q$17,0)),"")</f>
        <v/>
      </c>
    </row>
    <row r="1760" spans="1:24">
      <c r="A1760" s="58" t="str">
        <f>IF($B1760="","",COUNTA($B$5:$B1760))</f>
        <v/>
      </c>
      <c r="B1760" s="53"/>
      <c r="C1760" s="46"/>
      <c r="D1760" s="63" t="str">
        <f>IFERROR(INDEX(基础资料!$F$4:$F$23,MATCH($C1760,基础资料!$E$4:$E$23,0)),IF($C1760="","","未匹配账户"))</f>
        <v/>
      </c>
      <c r="E1760" s="39"/>
      <c r="F1760" s="10"/>
      <c r="G1760" s="10"/>
      <c r="H1760" s="10"/>
      <c r="I1760" s="10"/>
      <c r="J1760" s="10"/>
      <c r="K1760" s="25"/>
      <c r="L1760" s="25"/>
      <c r="M1760" s="25" t="str">
        <f>IFERROR(VLOOKUP($C1760,$C$5:$M$24,11,0)+SUMIF($C$25:$C1760,$C1760,$K$25:$K1760)-SUMIF($C$25:$C1760,$C1760,$L$25:$L1760),"")</f>
        <v/>
      </c>
      <c r="N1760" s="10"/>
      <c r="O1760" s="10"/>
      <c r="P1760" s="65"/>
      <c r="Q1760" s="10"/>
      <c r="R1760" s="10"/>
      <c r="S1760" s="54" t="str">
        <f t="shared" si="87"/>
        <v/>
      </c>
      <c r="T1760" s="54" t="str">
        <f t="shared" si="88"/>
        <v/>
      </c>
      <c r="U1760" s="58" t="str">
        <f t="shared" si="89"/>
        <v/>
      </c>
      <c r="V1760" s="58">
        <f>IF(AND($B1760&lt;&gt;"",$F1760&lt;&gt;"",$F1760=项目明细账!$C$2),N(V1759)+1,N(V1759))</f>
        <v>0</v>
      </c>
      <c r="W1760" s="63" t="str">
        <f>IF($H1760&lt;&gt;"","项目成本",IFERROR(INDEX(基础资料!$W$4:$W$49,MATCH($I1760,基础资料!$V$4:$V$49,0)),""))</f>
        <v/>
      </c>
      <c r="X1760" s="63" t="str">
        <f>IFERROR(INDEX(基础资料!$R$4:$R$17,MATCH($G1760,基础资料!$Q$4:$Q$17,0)),"")</f>
        <v/>
      </c>
    </row>
    <row r="1761" spans="1:24">
      <c r="A1761" s="58" t="str">
        <f>IF($B1761="","",COUNTA($B$5:$B1761))</f>
        <v/>
      </c>
      <c r="B1761" s="53"/>
      <c r="C1761" s="46"/>
      <c r="D1761" s="63" t="str">
        <f>IFERROR(INDEX(基础资料!$F$4:$F$23,MATCH($C1761,基础资料!$E$4:$E$23,0)),IF($C1761="","","未匹配账户"))</f>
        <v/>
      </c>
      <c r="E1761" s="39"/>
      <c r="F1761" s="10"/>
      <c r="G1761" s="10"/>
      <c r="H1761" s="10"/>
      <c r="I1761" s="10"/>
      <c r="J1761" s="10"/>
      <c r="K1761" s="25"/>
      <c r="L1761" s="25"/>
      <c r="M1761" s="25" t="str">
        <f>IFERROR(VLOOKUP($C1761,$C$5:$M$24,11,0)+SUMIF($C$25:$C1761,$C1761,$K$25:$K1761)-SUMIF($C$25:$C1761,$C1761,$L$25:$L1761),"")</f>
        <v/>
      </c>
      <c r="N1761" s="10"/>
      <c r="O1761" s="10"/>
      <c r="P1761" s="65"/>
      <c r="Q1761" s="10"/>
      <c r="R1761" s="10"/>
      <c r="S1761" s="54" t="str">
        <f t="shared" si="87"/>
        <v/>
      </c>
      <c r="T1761" s="54" t="str">
        <f t="shared" si="88"/>
        <v/>
      </c>
      <c r="U1761" s="58" t="str">
        <f t="shared" si="89"/>
        <v/>
      </c>
      <c r="V1761" s="58">
        <f>IF(AND($B1761&lt;&gt;"",$F1761&lt;&gt;"",$F1761=项目明细账!$C$2),N(V1760)+1,N(V1760))</f>
        <v>0</v>
      </c>
      <c r="W1761" s="63" t="str">
        <f>IF($H1761&lt;&gt;"","项目成本",IFERROR(INDEX(基础资料!$W$4:$W$49,MATCH($I1761,基础资料!$V$4:$V$49,0)),""))</f>
        <v/>
      </c>
      <c r="X1761" s="63" t="str">
        <f>IFERROR(INDEX(基础资料!$R$4:$R$17,MATCH($G1761,基础资料!$Q$4:$Q$17,0)),"")</f>
        <v/>
      </c>
    </row>
    <row r="1762" spans="1:24">
      <c r="A1762" s="58" t="str">
        <f>IF($B1762="","",COUNTA($B$5:$B1762))</f>
        <v/>
      </c>
      <c r="B1762" s="53"/>
      <c r="C1762" s="46"/>
      <c r="D1762" s="63" t="str">
        <f>IFERROR(INDEX(基础资料!$F$4:$F$23,MATCH($C1762,基础资料!$E$4:$E$23,0)),IF($C1762="","","未匹配账户"))</f>
        <v/>
      </c>
      <c r="E1762" s="39"/>
      <c r="F1762" s="10"/>
      <c r="G1762" s="10"/>
      <c r="H1762" s="10"/>
      <c r="I1762" s="10"/>
      <c r="J1762" s="10"/>
      <c r="K1762" s="25"/>
      <c r="L1762" s="25"/>
      <c r="M1762" s="25" t="str">
        <f>IFERROR(VLOOKUP($C1762,$C$5:$M$24,11,0)+SUMIF($C$25:$C1762,$C1762,$K$25:$K1762)-SUMIF($C$25:$C1762,$C1762,$L$25:$L1762),"")</f>
        <v/>
      </c>
      <c r="N1762" s="10"/>
      <c r="O1762" s="10"/>
      <c r="P1762" s="65"/>
      <c r="Q1762" s="10"/>
      <c r="R1762" s="10"/>
      <c r="S1762" s="54" t="str">
        <f t="shared" si="87"/>
        <v/>
      </c>
      <c r="T1762" s="54" t="str">
        <f t="shared" si="88"/>
        <v/>
      </c>
      <c r="U1762" s="58" t="str">
        <f t="shared" si="89"/>
        <v/>
      </c>
      <c r="V1762" s="58">
        <f>IF(AND($B1762&lt;&gt;"",$F1762&lt;&gt;"",$F1762=项目明细账!$C$2),N(V1761)+1,N(V1761))</f>
        <v>0</v>
      </c>
      <c r="W1762" s="63" t="str">
        <f>IF($H1762&lt;&gt;"","项目成本",IFERROR(INDEX(基础资料!$W$4:$W$49,MATCH($I1762,基础资料!$V$4:$V$49,0)),""))</f>
        <v/>
      </c>
      <c r="X1762" s="63" t="str">
        <f>IFERROR(INDEX(基础资料!$R$4:$R$17,MATCH($G1762,基础资料!$Q$4:$Q$17,0)),"")</f>
        <v/>
      </c>
    </row>
    <row r="1763" spans="1:24">
      <c r="A1763" s="58" t="str">
        <f>IF($B1763="","",COUNTA($B$5:$B1763))</f>
        <v/>
      </c>
      <c r="B1763" s="53"/>
      <c r="C1763" s="46"/>
      <c r="D1763" s="63" t="str">
        <f>IFERROR(INDEX(基础资料!$F$4:$F$23,MATCH($C1763,基础资料!$E$4:$E$23,0)),IF($C1763="","","未匹配账户"))</f>
        <v/>
      </c>
      <c r="E1763" s="39"/>
      <c r="F1763" s="10"/>
      <c r="G1763" s="10"/>
      <c r="H1763" s="10"/>
      <c r="I1763" s="10"/>
      <c r="J1763" s="10"/>
      <c r="K1763" s="25"/>
      <c r="L1763" s="25"/>
      <c r="M1763" s="25" t="str">
        <f>IFERROR(VLOOKUP($C1763,$C$5:$M$24,11,0)+SUMIF($C$25:$C1763,$C1763,$K$25:$K1763)-SUMIF($C$25:$C1763,$C1763,$L$25:$L1763),"")</f>
        <v/>
      </c>
      <c r="N1763" s="10"/>
      <c r="O1763" s="10"/>
      <c r="P1763" s="65"/>
      <c r="Q1763" s="10"/>
      <c r="R1763" s="10"/>
      <c r="S1763" s="54" t="str">
        <f t="shared" si="87"/>
        <v/>
      </c>
      <c r="T1763" s="54" t="str">
        <f t="shared" si="88"/>
        <v/>
      </c>
      <c r="U1763" s="58" t="str">
        <f t="shared" si="89"/>
        <v/>
      </c>
      <c r="V1763" s="58">
        <f>IF(AND($B1763&lt;&gt;"",$F1763&lt;&gt;"",$F1763=项目明细账!$C$2),N(V1762)+1,N(V1762))</f>
        <v>0</v>
      </c>
      <c r="W1763" s="63" t="str">
        <f>IF($H1763&lt;&gt;"","项目成本",IFERROR(INDEX(基础资料!$W$4:$W$49,MATCH($I1763,基础资料!$V$4:$V$49,0)),""))</f>
        <v/>
      </c>
      <c r="X1763" s="63" t="str">
        <f>IFERROR(INDEX(基础资料!$R$4:$R$17,MATCH($G1763,基础资料!$Q$4:$Q$17,0)),"")</f>
        <v/>
      </c>
    </row>
    <row r="1764" spans="1:24">
      <c r="A1764" s="58" t="str">
        <f>IF($B1764="","",COUNTA($B$5:$B1764))</f>
        <v/>
      </c>
      <c r="B1764" s="53"/>
      <c r="C1764" s="46"/>
      <c r="D1764" s="63" t="str">
        <f>IFERROR(INDEX(基础资料!$F$4:$F$23,MATCH($C1764,基础资料!$E$4:$E$23,0)),IF($C1764="","","未匹配账户"))</f>
        <v/>
      </c>
      <c r="E1764" s="39"/>
      <c r="F1764" s="10"/>
      <c r="G1764" s="10"/>
      <c r="H1764" s="10"/>
      <c r="I1764" s="10"/>
      <c r="J1764" s="10"/>
      <c r="K1764" s="25"/>
      <c r="L1764" s="25"/>
      <c r="M1764" s="25" t="str">
        <f>IFERROR(VLOOKUP($C1764,$C$5:$M$24,11,0)+SUMIF($C$25:$C1764,$C1764,$K$25:$K1764)-SUMIF($C$25:$C1764,$C1764,$L$25:$L1764),"")</f>
        <v/>
      </c>
      <c r="N1764" s="10"/>
      <c r="O1764" s="10"/>
      <c r="P1764" s="65"/>
      <c r="Q1764" s="10"/>
      <c r="R1764" s="10"/>
      <c r="S1764" s="54" t="str">
        <f t="shared" si="87"/>
        <v/>
      </c>
      <c r="T1764" s="54" t="str">
        <f t="shared" si="88"/>
        <v/>
      </c>
      <c r="U1764" s="58" t="str">
        <f t="shared" si="89"/>
        <v/>
      </c>
      <c r="V1764" s="58">
        <f>IF(AND($B1764&lt;&gt;"",$F1764&lt;&gt;"",$F1764=项目明细账!$C$2),N(V1763)+1,N(V1763))</f>
        <v>0</v>
      </c>
      <c r="W1764" s="63" t="str">
        <f>IF($H1764&lt;&gt;"","项目成本",IFERROR(INDEX(基础资料!$W$4:$W$49,MATCH($I1764,基础资料!$V$4:$V$49,0)),""))</f>
        <v/>
      </c>
      <c r="X1764" s="63" t="str">
        <f>IFERROR(INDEX(基础资料!$R$4:$R$17,MATCH($G1764,基础资料!$Q$4:$Q$17,0)),"")</f>
        <v/>
      </c>
    </row>
    <row r="1765" spans="1:24">
      <c r="A1765" s="58" t="str">
        <f>IF($B1765="","",COUNTA($B$5:$B1765))</f>
        <v/>
      </c>
      <c r="B1765" s="53"/>
      <c r="C1765" s="46"/>
      <c r="D1765" s="63" t="str">
        <f>IFERROR(INDEX(基础资料!$F$4:$F$23,MATCH($C1765,基础资料!$E$4:$E$23,0)),IF($C1765="","","未匹配账户"))</f>
        <v/>
      </c>
      <c r="E1765" s="39"/>
      <c r="F1765" s="10"/>
      <c r="G1765" s="10"/>
      <c r="H1765" s="10"/>
      <c r="I1765" s="10"/>
      <c r="J1765" s="10"/>
      <c r="K1765" s="25"/>
      <c r="L1765" s="25"/>
      <c r="M1765" s="25" t="str">
        <f>IFERROR(VLOOKUP($C1765,$C$5:$M$24,11,0)+SUMIF($C$25:$C1765,$C1765,$K$25:$K1765)-SUMIF($C$25:$C1765,$C1765,$L$25:$L1765),"")</f>
        <v/>
      </c>
      <c r="N1765" s="10"/>
      <c r="O1765" s="10"/>
      <c r="P1765" s="65"/>
      <c r="Q1765" s="10"/>
      <c r="R1765" s="10"/>
      <c r="S1765" s="54" t="str">
        <f t="shared" si="87"/>
        <v/>
      </c>
      <c r="T1765" s="54" t="str">
        <f t="shared" si="88"/>
        <v/>
      </c>
      <c r="U1765" s="58" t="str">
        <f t="shared" si="89"/>
        <v/>
      </c>
      <c r="V1765" s="58">
        <f>IF(AND($B1765&lt;&gt;"",$F1765&lt;&gt;"",$F1765=项目明细账!$C$2),N(V1764)+1,N(V1764))</f>
        <v>0</v>
      </c>
      <c r="W1765" s="63" t="str">
        <f>IF($H1765&lt;&gt;"","项目成本",IFERROR(INDEX(基础资料!$W$4:$W$49,MATCH($I1765,基础资料!$V$4:$V$49,0)),""))</f>
        <v/>
      </c>
      <c r="X1765" s="63" t="str">
        <f>IFERROR(INDEX(基础资料!$R$4:$R$17,MATCH($G1765,基础资料!$Q$4:$Q$17,0)),"")</f>
        <v/>
      </c>
    </row>
    <row r="1766" spans="1:24">
      <c r="A1766" s="58" t="str">
        <f>IF($B1766="","",COUNTA($B$5:$B1766))</f>
        <v/>
      </c>
      <c r="B1766" s="53"/>
      <c r="C1766" s="46"/>
      <c r="D1766" s="63" t="str">
        <f>IFERROR(INDEX(基础资料!$F$4:$F$23,MATCH($C1766,基础资料!$E$4:$E$23,0)),IF($C1766="","","未匹配账户"))</f>
        <v/>
      </c>
      <c r="E1766" s="39"/>
      <c r="F1766" s="10"/>
      <c r="G1766" s="10"/>
      <c r="H1766" s="10"/>
      <c r="I1766" s="10"/>
      <c r="J1766" s="10"/>
      <c r="K1766" s="25"/>
      <c r="L1766" s="25"/>
      <c r="M1766" s="25" t="str">
        <f>IFERROR(VLOOKUP($C1766,$C$5:$M$24,11,0)+SUMIF($C$25:$C1766,$C1766,$K$25:$K1766)-SUMIF($C$25:$C1766,$C1766,$L$25:$L1766),"")</f>
        <v/>
      </c>
      <c r="N1766" s="10"/>
      <c r="O1766" s="10"/>
      <c r="P1766" s="65"/>
      <c r="Q1766" s="10"/>
      <c r="R1766" s="10"/>
      <c r="S1766" s="54" t="str">
        <f t="shared" si="87"/>
        <v/>
      </c>
      <c r="T1766" s="54" t="str">
        <f t="shared" si="88"/>
        <v/>
      </c>
      <c r="U1766" s="58" t="str">
        <f t="shared" si="89"/>
        <v/>
      </c>
      <c r="V1766" s="58">
        <f>IF(AND($B1766&lt;&gt;"",$F1766&lt;&gt;"",$F1766=项目明细账!$C$2),N(V1765)+1,N(V1765))</f>
        <v>0</v>
      </c>
      <c r="W1766" s="63" t="str">
        <f>IF($H1766&lt;&gt;"","项目成本",IFERROR(INDEX(基础资料!$W$4:$W$49,MATCH($I1766,基础资料!$V$4:$V$49,0)),""))</f>
        <v/>
      </c>
      <c r="X1766" s="63" t="str">
        <f>IFERROR(INDEX(基础资料!$R$4:$R$17,MATCH($G1766,基础资料!$Q$4:$Q$17,0)),"")</f>
        <v/>
      </c>
    </row>
    <row r="1767" spans="1:24">
      <c r="A1767" s="58" t="str">
        <f>IF($B1767="","",COUNTA($B$5:$B1767))</f>
        <v/>
      </c>
      <c r="B1767" s="53"/>
      <c r="C1767" s="46"/>
      <c r="D1767" s="63" t="str">
        <f>IFERROR(INDEX(基础资料!$F$4:$F$23,MATCH($C1767,基础资料!$E$4:$E$23,0)),IF($C1767="","","未匹配账户"))</f>
        <v/>
      </c>
      <c r="E1767" s="39"/>
      <c r="F1767" s="10"/>
      <c r="G1767" s="10"/>
      <c r="H1767" s="10"/>
      <c r="I1767" s="10"/>
      <c r="J1767" s="10"/>
      <c r="K1767" s="25"/>
      <c r="L1767" s="25"/>
      <c r="M1767" s="25" t="str">
        <f>IFERROR(VLOOKUP($C1767,$C$5:$M$24,11,0)+SUMIF($C$25:$C1767,$C1767,$K$25:$K1767)-SUMIF($C$25:$C1767,$C1767,$L$25:$L1767),"")</f>
        <v/>
      </c>
      <c r="N1767" s="10"/>
      <c r="O1767" s="10"/>
      <c r="P1767" s="65"/>
      <c r="Q1767" s="10"/>
      <c r="R1767" s="10"/>
      <c r="S1767" s="54" t="str">
        <f t="shared" si="87"/>
        <v/>
      </c>
      <c r="T1767" s="54" t="str">
        <f t="shared" si="88"/>
        <v/>
      </c>
      <c r="U1767" s="58" t="str">
        <f t="shared" si="89"/>
        <v/>
      </c>
      <c r="V1767" s="58">
        <f>IF(AND($B1767&lt;&gt;"",$F1767&lt;&gt;"",$F1767=项目明细账!$C$2),N(V1766)+1,N(V1766))</f>
        <v>0</v>
      </c>
      <c r="W1767" s="63" t="str">
        <f>IF($H1767&lt;&gt;"","项目成本",IFERROR(INDEX(基础资料!$W$4:$W$49,MATCH($I1767,基础资料!$V$4:$V$49,0)),""))</f>
        <v/>
      </c>
      <c r="X1767" s="63" t="str">
        <f>IFERROR(INDEX(基础资料!$R$4:$R$17,MATCH($G1767,基础资料!$Q$4:$Q$17,0)),"")</f>
        <v/>
      </c>
    </row>
    <row r="1768" spans="1:24">
      <c r="A1768" s="58" t="str">
        <f>IF($B1768="","",COUNTA($B$5:$B1768))</f>
        <v/>
      </c>
      <c r="B1768" s="53"/>
      <c r="C1768" s="46"/>
      <c r="D1768" s="63" t="str">
        <f>IFERROR(INDEX(基础资料!$F$4:$F$23,MATCH($C1768,基础资料!$E$4:$E$23,0)),IF($C1768="","","未匹配账户"))</f>
        <v/>
      </c>
      <c r="E1768" s="39"/>
      <c r="F1768" s="10"/>
      <c r="G1768" s="10"/>
      <c r="H1768" s="10"/>
      <c r="I1768" s="10"/>
      <c r="J1768" s="10"/>
      <c r="K1768" s="25"/>
      <c r="L1768" s="25"/>
      <c r="M1768" s="25" t="str">
        <f>IFERROR(VLOOKUP($C1768,$C$5:$M$24,11,0)+SUMIF($C$25:$C1768,$C1768,$K$25:$K1768)-SUMIF($C$25:$C1768,$C1768,$L$25:$L1768),"")</f>
        <v/>
      </c>
      <c r="N1768" s="10"/>
      <c r="O1768" s="10"/>
      <c r="P1768" s="65"/>
      <c r="Q1768" s="10"/>
      <c r="R1768" s="10"/>
      <c r="S1768" s="54" t="str">
        <f t="shared" si="87"/>
        <v/>
      </c>
      <c r="T1768" s="54" t="str">
        <f t="shared" si="88"/>
        <v/>
      </c>
      <c r="U1768" s="58" t="str">
        <f t="shared" si="89"/>
        <v/>
      </c>
      <c r="V1768" s="58">
        <f>IF(AND($B1768&lt;&gt;"",$F1768&lt;&gt;"",$F1768=项目明细账!$C$2),N(V1767)+1,N(V1767))</f>
        <v>0</v>
      </c>
      <c r="W1768" s="63" t="str">
        <f>IF($H1768&lt;&gt;"","项目成本",IFERROR(INDEX(基础资料!$W$4:$W$49,MATCH($I1768,基础资料!$V$4:$V$49,0)),""))</f>
        <v/>
      </c>
      <c r="X1768" s="63" t="str">
        <f>IFERROR(INDEX(基础资料!$R$4:$R$17,MATCH($G1768,基础资料!$Q$4:$Q$17,0)),"")</f>
        <v/>
      </c>
    </row>
    <row r="1769" spans="1:24">
      <c r="A1769" s="58" t="str">
        <f>IF($B1769="","",COUNTA($B$5:$B1769))</f>
        <v/>
      </c>
      <c r="B1769" s="53"/>
      <c r="C1769" s="46"/>
      <c r="D1769" s="63" t="str">
        <f>IFERROR(INDEX(基础资料!$F$4:$F$23,MATCH($C1769,基础资料!$E$4:$E$23,0)),IF($C1769="","","未匹配账户"))</f>
        <v/>
      </c>
      <c r="E1769" s="39"/>
      <c r="F1769" s="10"/>
      <c r="G1769" s="10"/>
      <c r="H1769" s="10"/>
      <c r="I1769" s="10"/>
      <c r="J1769" s="10"/>
      <c r="K1769" s="25"/>
      <c r="L1769" s="25"/>
      <c r="M1769" s="25" t="str">
        <f>IFERROR(VLOOKUP($C1769,$C$5:$M$24,11,0)+SUMIF($C$25:$C1769,$C1769,$K$25:$K1769)-SUMIF($C$25:$C1769,$C1769,$L$25:$L1769),"")</f>
        <v/>
      </c>
      <c r="N1769" s="10"/>
      <c r="O1769" s="10"/>
      <c r="P1769" s="65"/>
      <c r="Q1769" s="10"/>
      <c r="R1769" s="10"/>
      <c r="S1769" s="54" t="str">
        <f t="shared" si="87"/>
        <v/>
      </c>
      <c r="T1769" s="54" t="str">
        <f t="shared" si="88"/>
        <v/>
      </c>
      <c r="U1769" s="58" t="str">
        <f t="shared" si="89"/>
        <v/>
      </c>
      <c r="V1769" s="58">
        <f>IF(AND($B1769&lt;&gt;"",$F1769&lt;&gt;"",$F1769=项目明细账!$C$2),N(V1768)+1,N(V1768))</f>
        <v>0</v>
      </c>
      <c r="W1769" s="63" t="str">
        <f>IF($H1769&lt;&gt;"","项目成本",IFERROR(INDEX(基础资料!$W$4:$W$49,MATCH($I1769,基础资料!$V$4:$V$49,0)),""))</f>
        <v/>
      </c>
      <c r="X1769" s="63" t="str">
        <f>IFERROR(INDEX(基础资料!$R$4:$R$17,MATCH($G1769,基础资料!$Q$4:$Q$17,0)),"")</f>
        <v/>
      </c>
    </row>
    <row r="1770" spans="1:24">
      <c r="A1770" s="58" t="str">
        <f>IF($B1770="","",COUNTA($B$5:$B1770))</f>
        <v/>
      </c>
      <c r="B1770" s="53"/>
      <c r="C1770" s="46"/>
      <c r="D1770" s="63" t="str">
        <f>IFERROR(INDEX(基础资料!$F$4:$F$23,MATCH($C1770,基础资料!$E$4:$E$23,0)),IF($C1770="","","未匹配账户"))</f>
        <v/>
      </c>
      <c r="E1770" s="39"/>
      <c r="F1770" s="10"/>
      <c r="G1770" s="10"/>
      <c r="H1770" s="10"/>
      <c r="I1770" s="10"/>
      <c r="J1770" s="10"/>
      <c r="K1770" s="25"/>
      <c r="L1770" s="25"/>
      <c r="M1770" s="25" t="str">
        <f>IFERROR(VLOOKUP($C1770,$C$5:$M$24,11,0)+SUMIF($C$25:$C1770,$C1770,$K$25:$K1770)-SUMIF($C$25:$C1770,$C1770,$L$25:$L1770),"")</f>
        <v/>
      </c>
      <c r="N1770" s="10"/>
      <c r="O1770" s="10"/>
      <c r="P1770" s="65"/>
      <c r="Q1770" s="10"/>
      <c r="R1770" s="10"/>
      <c r="S1770" s="54" t="str">
        <f t="shared" si="87"/>
        <v/>
      </c>
      <c r="T1770" s="54" t="str">
        <f t="shared" si="88"/>
        <v/>
      </c>
      <c r="U1770" s="58" t="str">
        <f t="shared" si="89"/>
        <v/>
      </c>
      <c r="V1770" s="58">
        <f>IF(AND($B1770&lt;&gt;"",$F1770&lt;&gt;"",$F1770=项目明细账!$C$2),N(V1769)+1,N(V1769))</f>
        <v>0</v>
      </c>
      <c r="W1770" s="63" t="str">
        <f>IF($H1770&lt;&gt;"","项目成本",IFERROR(INDEX(基础资料!$W$4:$W$49,MATCH($I1770,基础资料!$V$4:$V$49,0)),""))</f>
        <v/>
      </c>
      <c r="X1770" s="63" t="str">
        <f>IFERROR(INDEX(基础资料!$R$4:$R$17,MATCH($G1770,基础资料!$Q$4:$Q$17,0)),"")</f>
        <v/>
      </c>
    </row>
    <row r="1771" spans="1:24">
      <c r="A1771" s="58" t="str">
        <f>IF($B1771="","",COUNTA($B$5:$B1771))</f>
        <v/>
      </c>
      <c r="B1771" s="53"/>
      <c r="C1771" s="46"/>
      <c r="D1771" s="63" t="str">
        <f>IFERROR(INDEX(基础资料!$F$4:$F$23,MATCH($C1771,基础资料!$E$4:$E$23,0)),IF($C1771="","","未匹配账户"))</f>
        <v/>
      </c>
      <c r="E1771" s="39"/>
      <c r="F1771" s="10"/>
      <c r="G1771" s="10"/>
      <c r="H1771" s="10"/>
      <c r="I1771" s="10"/>
      <c r="J1771" s="10"/>
      <c r="K1771" s="25"/>
      <c r="L1771" s="25"/>
      <c r="M1771" s="25" t="str">
        <f>IFERROR(VLOOKUP($C1771,$C$5:$M$24,11,0)+SUMIF($C$25:$C1771,$C1771,$K$25:$K1771)-SUMIF($C$25:$C1771,$C1771,$L$25:$L1771),"")</f>
        <v/>
      </c>
      <c r="N1771" s="10"/>
      <c r="O1771" s="10"/>
      <c r="P1771" s="65"/>
      <c r="Q1771" s="10"/>
      <c r="R1771" s="10"/>
      <c r="S1771" s="54" t="str">
        <f t="shared" si="87"/>
        <v/>
      </c>
      <c r="T1771" s="54" t="str">
        <f t="shared" si="88"/>
        <v/>
      </c>
      <c r="U1771" s="58" t="str">
        <f t="shared" si="89"/>
        <v/>
      </c>
      <c r="V1771" s="58">
        <f>IF(AND($B1771&lt;&gt;"",$F1771&lt;&gt;"",$F1771=项目明细账!$C$2),N(V1770)+1,N(V1770))</f>
        <v>0</v>
      </c>
      <c r="W1771" s="63" t="str">
        <f>IF($H1771&lt;&gt;"","项目成本",IFERROR(INDEX(基础资料!$W$4:$W$49,MATCH($I1771,基础资料!$V$4:$V$49,0)),""))</f>
        <v/>
      </c>
      <c r="X1771" s="63" t="str">
        <f>IFERROR(INDEX(基础资料!$R$4:$R$17,MATCH($G1771,基础资料!$Q$4:$Q$17,0)),"")</f>
        <v/>
      </c>
    </row>
    <row r="1772" spans="1:24">
      <c r="A1772" s="58" t="str">
        <f>IF($B1772="","",COUNTA($B$5:$B1772))</f>
        <v/>
      </c>
      <c r="B1772" s="53"/>
      <c r="C1772" s="46"/>
      <c r="D1772" s="63" t="str">
        <f>IFERROR(INDEX(基础资料!$F$4:$F$23,MATCH($C1772,基础资料!$E$4:$E$23,0)),IF($C1772="","","未匹配账户"))</f>
        <v/>
      </c>
      <c r="E1772" s="39"/>
      <c r="F1772" s="10"/>
      <c r="G1772" s="10"/>
      <c r="H1772" s="10"/>
      <c r="I1772" s="10"/>
      <c r="J1772" s="10"/>
      <c r="K1772" s="25"/>
      <c r="L1772" s="25"/>
      <c r="M1772" s="25" t="str">
        <f>IFERROR(VLOOKUP($C1772,$C$5:$M$24,11,0)+SUMIF($C$25:$C1772,$C1772,$K$25:$K1772)-SUMIF($C$25:$C1772,$C1772,$L$25:$L1772),"")</f>
        <v/>
      </c>
      <c r="N1772" s="10"/>
      <c r="O1772" s="10"/>
      <c r="P1772" s="65"/>
      <c r="Q1772" s="10"/>
      <c r="R1772" s="10"/>
      <c r="S1772" s="54" t="str">
        <f t="shared" si="87"/>
        <v/>
      </c>
      <c r="T1772" s="54" t="str">
        <f t="shared" si="88"/>
        <v/>
      </c>
      <c r="U1772" s="58" t="str">
        <f t="shared" si="89"/>
        <v/>
      </c>
      <c r="V1772" s="58">
        <f>IF(AND($B1772&lt;&gt;"",$F1772&lt;&gt;"",$F1772=项目明细账!$C$2),N(V1771)+1,N(V1771))</f>
        <v>0</v>
      </c>
      <c r="W1772" s="63" t="str">
        <f>IF($H1772&lt;&gt;"","项目成本",IFERROR(INDEX(基础资料!$W$4:$W$49,MATCH($I1772,基础资料!$V$4:$V$49,0)),""))</f>
        <v/>
      </c>
      <c r="X1772" s="63" t="str">
        <f>IFERROR(INDEX(基础资料!$R$4:$R$17,MATCH($G1772,基础资料!$Q$4:$Q$17,0)),"")</f>
        <v/>
      </c>
    </row>
    <row r="1773" spans="1:24">
      <c r="A1773" s="58" t="str">
        <f>IF($B1773="","",COUNTA($B$5:$B1773))</f>
        <v/>
      </c>
      <c r="B1773" s="53"/>
      <c r="C1773" s="46"/>
      <c r="D1773" s="63" t="str">
        <f>IFERROR(INDEX(基础资料!$F$4:$F$23,MATCH($C1773,基础资料!$E$4:$E$23,0)),IF($C1773="","","未匹配账户"))</f>
        <v/>
      </c>
      <c r="E1773" s="39"/>
      <c r="F1773" s="10"/>
      <c r="G1773" s="10"/>
      <c r="H1773" s="10"/>
      <c r="I1773" s="10"/>
      <c r="J1773" s="10"/>
      <c r="K1773" s="25"/>
      <c r="L1773" s="25"/>
      <c r="M1773" s="25" t="str">
        <f>IFERROR(VLOOKUP($C1773,$C$5:$M$24,11,0)+SUMIF($C$25:$C1773,$C1773,$K$25:$K1773)-SUMIF($C$25:$C1773,$C1773,$L$25:$L1773),"")</f>
        <v/>
      </c>
      <c r="N1773" s="10"/>
      <c r="O1773" s="10"/>
      <c r="P1773" s="65"/>
      <c r="Q1773" s="10"/>
      <c r="R1773" s="10"/>
      <c r="S1773" s="54" t="str">
        <f t="shared" si="87"/>
        <v/>
      </c>
      <c r="T1773" s="54" t="str">
        <f t="shared" si="88"/>
        <v/>
      </c>
      <c r="U1773" s="58" t="str">
        <f t="shared" si="89"/>
        <v/>
      </c>
      <c r="V1773" s="58">
        <f>IF(AND($B1773&lt;&gt;"",$F1773&lt;&gt;"",$F1773=项目明细账!$C$2),N(V1772)+1,N(V1772))</f>
        <v>0</v>
      </c>
      <c r="W1773" s="63" t="str">
        <f>IF($H1773&lt;&gt;"","项目成本",IFERROR(INDEX(基础资料!$W$4:$W$49,MATCH($I1773,基础资料!$V$4:$V$49,0)),""))</f>
        <v/>
      </c>
      <c r="X1773" s="63" t="str">
        <f>IFERROR(INDEX(基础资料!$R$4:$R$17,MATCH($G1773,基础资料!$Q$4:$Q$17,0)),"")</f>
        <v/>
      </c>
    </row>
    <row r="1774" spans="1:24">
      <c r="A1774" s="58" t="str">
        <f>IF($B1774="","",COUNTA($B$5:$B1774))</f>
        <v/>
      </c>
      <c r="B1774" s="53"/>
      <c r="C1774" s="46"/>
      <c r="D1774" s="63" t="str">
        <f>IFERROR(INDEX(基础资料!$F$4:$F$23,MATCH($C1774,基础资料!$E$4:$E$23,0)),IF($C1774="","","未匹配账户"))</f>
        <v/>
      </c>
      <c r="E1774" s="39"/>
      <c r="F1774" s="10"/>
      <c r="G1774" s="10"/>
      <c r="H1774" s="10"/>
      <c r="I1774" s="10"/>
      <c r="J1774" s="10"/>
      <c r="K1774" s="25"/>
      <c r="L1774" s="25"/>
      <c r="M1774" s="25" t="str">
        <f>IFERROR(VLOOKUP($C1774,$C$5:$M$24,11,0)+SUMIF($C$25:$C1774,$C1774,$K$25:$K1774)-SUMIF($C$25:$C1774,$C1774,$L$25:$L1774),"")</f>
        <v/>
      </c>
      <c r="N1774" s="10"/>
      <c r="O1774" s="10"/>
      <c r="P1774" s="65"/>
      <c r="Q1774" s="10"/>
      <c r="R1774" s="10"/>
      <c r="S1774" s="54" t="str">
        <f t="shared" si="87"/>
        <v/>
      </c>
      <c r="T1774" s="54" t="str">
        <f t="shared" si="88"/>
        <v/>
      </c>
      <c r="U1774" s="58" t="str">
        <f t="shared" si="89"/>
        <v/>
      </c>
      <c r="V1774" s="58">
        <f>IF(AND($B1774&lt;&gt;"",$F1774&lt;&gt;"",$F1774=项目明细账!$C$2),N(V1773)+1,N(V1773))</f>
        <v>0</v>
      </c>
      <c r="W1774" s="63" t="str">
        <f>IF($H1774&lt;&gt;"","项目成本",IFERROR(INDEX(基础资料!$W$4:$W$49,MATCH($I1774,基础资料!$V$4:$V$49,0)),""))</f>
        <v/>
      </c>
      <c r="X1774" s="63" t="str">
        <f>IFERROR(INDEX(基础资料!$R$4:$R$17,MATCH($G1774,基础资料!$Q$4:$Q$17,0)),"")</f>
        <v/>
      </c>
    </row>
    <row r="1775" spans="1:24">
      <c r="A1775" s="58" t="str">
        <f>IF($B1775="","",COUNTA($B$5:$B1775))</f>
        <v/>
      </c>
      <c r="B1775" s="53"/>
      <c r="C1775" s="46"/>
      <c r="D1775" s="63" t="str">
        <f>IFERROR(INDEX(基础资料!$F$4:$F$23,MATCH($C1775,基础资料!$E$4:$E$23,0)),IF($C1775="","","未匹配账户"))</f>
        <v/>
      </c>
      <c r="E1775" s="39"/>
      <c r="F1775" s="10"/>
      <c r="G1775" s="10"/>
      <c r="H1775" s="10"/>
      <c r="I1775" s="10"/>
      <c r="J1775" s="10"/>
      <c r="K1775" s="25"/>
      <c r="L1775" s="25"/>
      <c r="M1775" s="25" t="str">
        <f>IFERROR(VLOOKUP($C1775,$C$5:$M$24,11,0)+SUMIF($C$25:$C1775,$C1775,$K$25:$K1775)-SUMIF($C$25:$C1775,$C1775,$L$25:$L1775),"")</f>
        <v/>
      </c>
      <c r="N1775" s="10"/>
      <c r="O1775" s="10"/>
      <c r="P1775" s="65"/>
      <c r="Q1775" s="10"/>
      <c r="R1775" s="10"/>
      <c r="S1775" s="54" t="str">
        <f t="shared" si="87"/>
        <v/>
      </c>
      <c r="T1775" s="54" t="str">
        <f t="shared" si="88"/>
        <v/>
      </c>
      <c r="U1775" s="58" t="str">
        <f t="shared" si="89"/>
        <v/>
      </c>
      <c r="V1775" s="58">
        <f>IF(AND($B1775&lt;&gt;"",$F1775&lt;&gt;"",$F1775=项目明细账!$C$2),N(V1774)+1,N(V1774))</f>
        <v>0</v>
      </c>
      <c r="W1775" s="63" t="str">
        <f>IF($H1775&lt;&gt;"","项目成本",IFERROR(INDEX(基础资料!$W$4:$W$49,MATCH($I1775,基础资料!$V$4:$V$49,0)),""))</f>
        <v/>
      </c>
      <c r="X1775" s="63" t="str">
        <f>IFERROR(INDEX(基础资料!$R$4:$R$17,MATCH($G1775,基础资料!$Q$4:$Q$17,0)),"")</f>
        <v/>
      </c>
    </row>
    <row r="1776" spans="1:24">
      <c r="A1776" s="58" t="str">
        <f>IF($B1776="","",COUNTA($B$5:$B1776))</f>
        <v/>
      </c>
      <c r="B1776" s="53"/>
      <c r="C1776" s="46"/>
      <c r="D1776" s="63" t="str">
        <f>IFERROR(INDEX(基础资料!$F$4:$F$23,MATCH($C1776,基础资料!$E$4:$E$23,0)),IF($C1776="","","未匹配账户"))</f>
        <v/>
      </c>
      <c r="E1776" s="39"/>
      <c r="F1776" s="10"/>
      <c r="G1776" s="10"/>
      <c r="H1776" s="10"/>
      <c r="I1776" s="10"/>
      <c r="J1776" s="10"/>
      <c r="K1776" s="25"/>
      <c r="L1776" s="25"/>
      <c r="M1776" s="25" t="str">
        <f>IFERROR(VLOOKUP($C1776,$C$5:$M$24,11,0)+SUMIF($C$25:$C1776,$C1776,$K$25:$K1776)-SUMIF($C$25:$C1776,$C1776,$L$25:$L1776),"")</f>
        <v/>
      </c>
      <c r="N1776" s="10"/>
      <c r="O1776" s="10"/>
      <c r="P1776" s="65"/>
      <c r="Q1776" s="10"/>
      <c r="R1776" s="10"/>
      <c r="S1776" s="54" t="str">
        <f t="shared" si="87"/>
        <v/>
      </c>
      <c r="T1776" s="54" t="str">
        <f t="shared" si="88"/>
        <v/>
      </c>
      <c r="U1776" s="58" t="str">
        <f t="shared" si="89"/>
        <v/>
      </c>
      <c r="V1776" s="58">
        <f>IF(AND($B1776&lt;&gt;"",$F1776&lt;&gt;"",$F1776=项目明细账!$C$2),N(V1775)+1,N(V1775))</f>
        <v>0</v>
      </c>
      <c r="W1776" s="63" t="str">
        <f>IF($H1776&lt;&gt;"","项目成本",IFERROR(INDEX(基础资料!$W$4:$W$49,MATCH($I1776,基础资料!$V$4:$V$49,0)),""))</f>
        <v/>
      </c>
      <c r="X1776" s="63" t="str">
        <f>IFERROR(INDEX(基础资料!$R$4:$R$17,MATCH($G1776,基础资料!$Q$4:$Q$17,0)),"")</f>
        <v/>
      </c>
    </row>
    <row r="1777" spans="1:24">
      <c r="A1777" s="58" t="str">
        <f>IF($B1777="","",COUNTA($B$5:$B1777))</f>
        <v/>
      </c>
      <c r="B1777" s="53"/>
      <c r="C1777" s="46"/>
      <c r="D1777" s="63" t="str">
        <f>IFERROR(INDEX(基础资料!$F$4:$F$23,MATCH($C1777,基础资料!$E$4:$E$23,0)),IF($C1777="","","未匹配账户"))</f>
        <v/>
      </c>
      <c r="E1777" s="39"/>
      <c r="F1777" s="10"/>
      <c r="G1777" s="10"/>
      <c r="H1777" s="10"/>
      <c r="I1777" s="10"/>
      <c r="J1777" s="10"/>
      <c r="K1777" s="25"/>
      <c r="L1777" s="25"/>
      <c r="M1777" s="25" t="str">
        <f>IFERROR(VLOOKUP($C1777,$C$5:$M$24,11,0)+SUMIF($C$25:$C1777,$C1777,$K$25:$K1777)-SUMIF($C$25:$C1777,$C1777,$L$25:$L1777),"")</f>
        <v/>
      </c>
      <c r="N1777" s="10"/>
      <c r="O1777" s="10"/>
      <c r="P1777" s="65"/>
      <c r="Q1777" s="10"/>
      <c r="R1777" s="10"/>
      <c r="S1777" s="54" t="str">
        <f t="shared" si="87"/>
        <v/>
      </c>
      <c r="T1777" s="54" t="str">
        <f t="shared" si="88"/>
        <v/>
      </c>
      <c r="U1777" s="58" t="str">
        <f t="shared" si="89"/>
        <v/>
      </c>
      <c r="V1777" s="58">
        <f>IF(AND($B1777&lt;&gt;"",$F1777&lt;&gt;"",$F1777=项目明细账!$C$2),N(V1776)+1,N(V1776))</f>
        <v>0</v>
      </c>
      <c r="W1777" s="63" t="str">
        <f>IF($H1777&lt;&gt;"","项目成本",IFERROR(INDEX(基础资料!$W$4:$W$49,MATCH($I1777,基础资料!$V$4:$V$49,0)),""))</f>
        <v/>
      </c>
      <c r="X1777" s="63" t="str">
        <f>IFERROR(INDEX(基础资料!$R$4:$R$17,MATCH($G1777,基础资料!$Q$4:$Q$17,0)),"")</f>
        <v/>
      </c>
    </row>
    <row r="1778" spans="1:24">
      <c r="A1778" s="58" t="str">
        <f>IF($B1778="","",COUNTA($B$5:$B1778))</f>
        <v/>
      </c>
      <c r="B1778" s="53"/>
      <c r="C1778" s="46"/>
      <c r="D1778" s="63" t="str">
        <f>IFERROR(INDEX(基础资料!$F$4:$F$23,MATCH($C1778,基础资料!$E$4:$E$23,0)),IF($C1778="","","未匹配账户"))</f>
        <v/>
      </c>
      <c r="E1778" s="39"/>
      <c r="F1778" s="10"/>
      <c r="G1778" s="10"/>
      <c r="H1778" s="10"/>
      <c r="I1778" s="10"/>
      <c r="J1778" s="10"/>
      <c r="K1778" s="25"/>
      <c r="L1778" s="25"/>
      <c r="M1778" s="25" t="str">
        <f>IFERROR(VLOOKUP($C1778,$C$5:$M$24,11,0)+SUMIF($C$25:$C1778,$C1778,$K$25:$K1778)-SUMIF($C$25:$C1778,$C1778,$L$25:$L1778),"")</f>
        <v/>
      </c>
      <c r="N1778" s="10"/>
      <c r="O1778" s="10"/>
      <c r="P1778" s="65"/>
      <c r="Q1778" s="10"/>
      <c r="R1778" s="10"/>
      <c r="S1778" s="54" t="str">
        <f t="shared" si="87"/>
        <v/>
      </c>
      <c r="T1778" s="54" t="str">
        <f t="shared" si="88"/>
        <v/>
      </c>
      <c r="U1778" s="58" t="str">
        <f t="shared" si="89"/>
        <v/>
      </c>
      <c r="V1778" s="58">
        <f>IF(AND($B1778&lt;&gt;"",$F1778&lt;&gt;"",$F1778=项目明细账!$C$2),N(V1777)+1,N(V1777))</f>
        <v>0</v>
      </c>
      <c r="W1778" s="63" t="str">
        <f>IF($H1778&lt;&gt;"","项目成本",IFERROR(INDEX(基础资料!$W$4:$W$49,MATCH($I1778,基础资料!$V$4:$V$49,0)),""))</f>
        <v/>
      </c>
      <c r="X1778" s="63" t="str">
        <f>IFERROR(INDEX(基础资料!$R$4:$R$17,MATCH($G1778,基础资料!$Q$4:$Q$17,0)),"")</f>
        <v/>
      </c>
    </row>
    <row r="1779" spans="1:24">
      <c r="A1779" s="58" t="str">
        <f>IF($B1779="","",COUNTA($B$5:$B1779))</f>
        <v/>
      </c>
      <c r="B1779" s="53"/>
      <c r="C1779" s="46"/>
      <c r="D1779" s="63" t="str">
        <f>IFERROR(INDEX(基础资料!$F$4:$F$23,MATCH($C1779,基础资料!$E$4:$E$23,0)),IF($C1779="","","未匹配账户"))</f>
        <v/>
      </c>
      <c r="E1779" s="39"/>
      <c r="F1779" s="10"/>
      <c r="G1779" s="10"/>
      <c r="H1779" s="10"/>
      <c r="I1779" s="10"/>
      <c r="J1779" s="10"/>
      <c r="K1779" s="25"/>
      <c r="L1779" s="25"/>
      <c r="M1779" s="25" t="str">
        <f>IFERROR(VLOOKUP($C1779,$C$5:$M$24,11,0)+SUMIF($C$25:$C1779,$C1779,$K$25:$K1779)-SUMIF($C$25:$C1779,$C1779,$L$25:$L1779),"")</f>
        <v/>
      </c>
      <c r="N1779" s="10"/>
      <c r="O1779" s="10"/>
      <c r="P1779" s="65"/>
      <c r="Q1779" s="10"/>
      <c r="R1779" s="10"/>
      <c r="S1779" s="54" t="str">
        <f t="shared" si="87"/>
        <v/>
      </c>
      <c r="T1779" s="54" t="str">
        <f t="shared" si="88"/>
        <v/>
      </c>
      <c r="U1779" s="58" t="str">
        <f t="shared" si="89"/>
        <v/>
      </c>
      <c r="V1779" s="58">
        <f>IF(AND($B1779&lt;&gt;"",$F1779&lt;&gt;"",$F1779=项目明细账!$C$2),N(V1778)+1,N(V1778))</f>
        <v>0</v>
      </c>
      <c r="W1779" s="63" t="str">
        <f>IF($H1779&lt;&gt;"","项目成本",IFERROR(INDEX(基础资料!$W$4:$W$49,MATCH($I1779,基础资料!$V$4:$V$49,0)),""))</f>
        <v/>
      </c>
      <c r="X1779" s="63" t="str">
        <f>IFERROR(INDEX(基础资料!$R$4:$R$17,MATCH($G1779,基础资料!$Q$4:$Q$17,0)),"")</f>
        <v/>
      </c>
    </row>
    <row r="1780" spans="1:24">
      <c r="A1780" s="58" t="str">
        <f>IF($B1780="","",COUNTA($B$5:$B1780))</f>
        <v/>
      </c>
      <c r="B1780" s="53"/>
      <c r="C1780" s="46"/>
      <c r="D1780" s="63" t="str">
        <f>IFERROR(INDEX(基础资料!$F$4:$F$23,MATCH($C1780,基础资料!$E$4:$E$23,0)),IF($C1780="","","未匹配账户"))</f>
        <v/>
      </c>
      <c r="E1780" s="39"/>
      <c r="F1780" s="10"/>
      <c r="G1780" s="10"/>
      <c r="H1780" s="10"/>
      <c r="I1780" s="10"/>
      <c r="J1780" s="10"/>
      <c r="K1780" s="25"/>
      <c r="L1780" s="25"/>
      <c r="M1780" s="25" t="str">
        <f>IFERROR(VLOOKUP($C1780,$C$5:$M$24,11,0)+SUMIF($C$25:$C1780,$C1780,$K$25:$K1780)-SUMIF($C$25:$C1780,$C1780,$L$25:$L1780),"")</f>
        <v/>
      </c>
      <c r="N1780" s="10"/>
      <c r="O1780" s="10"/>
      <c r="P1780" s="65"/>
      <c r="Q1780" s="10"/>
      <c r="R1780" s="10"/>
      <c r="S1780" s="54" t="str">
        <f t="shared" si="87"/>
        <v/>
      </c>
      <c r="T1780" s="54" t="str">
        <f t="shared" si="88"/>
        <v/>
      </c>
      <c r="U1780" s="58" t="str">
        <f t="shared" si="89"/>
        <v/>
      </c>
      <c r="V1780" s="58">
        <f>IF(AND($B1780&lt;&gt;"",$F1780&lt;&gt;"",$F1780=项目明细账!$C$2),N(V1779)+1,N(V1779))</f>
        <v>0</v>
      </c>
      <c r="W1780" s="63" t="str">
        <f>IF($H1780&lt;&gt;"","项目成本",IFERROR(INDEX(基础资料!$W$4:$W$49,MATCH($I1780,基础资料!$V$4:$V$49,0)),""))</f>
        <v/>
      </c>
      <c r="X1780" s="63" t="str">
        <f>IFERROR(INDEX(基础资料!$R$4:$R$17,MATCH($G1780,基础资料!$Q$4:$Q$17,0)),"")</f>
        <v/>
      </c>
    </row>
    <row r="1781" spans="1:24">
      <c r="A1781" s="58" t="str">
        <f>IF($B1781="","",COUNTA($B$5:$B1781))</f>
        <v/>
      </c>
      <c r="B1781" s="53"/>
      <c r="C1781" s="46"/>
      <c r="D1781" s="63" t="str">
        <f>IFERROR(INDEX(基础资料!$F$4:$F$23,MATCH($C1781,基础资料!$E$4:$E$23,0)),IF($C1781="","","未匹配账户"))</f>
        <v/>
      </c>
      <c r="E1781" s="39"/>
      <c r="F1781" s="10"/>
      <c r="G1781" s="10"/>
      <c r="H1781" s="10"/>
      <c r="I1781" s="10"/>
      <c r="J1781" s="10"/>
      <c r="K1781" s="25"/>
      <c r="L1781" s="25"/>
      <c r="M1781" s="25" t="str">
        <f>IFERROR(VLOOKUP($C1781,$C$5:$M$24,11,0)+SUMIF($C$25:$C1781,$C1781,$K$25:$K1781)-SUMIF($C$25:$C1781,$C1781,$L$25:$L1781),"")</f>
        <v/>
      </c>
      <c r="N1781" s="10"/>
      <c r="O1781" s="10"/>
      <c r="P1781" s="65"/>
      <c r="Q1781" s="10"/>
      <c r="R1781" s="10"/>
      <c r="S1781" s="54" t="str">
        <f t="shared" si="87"/>
        <v/>
      </c>
      <c r="T1781" s="54" t="str">
        <f t="shared" si="88"/>
        <v/>
      </c>
      <c r="U1781" s="58" t="str">
        <f t="shared" si="89"/>
        <v/>
      </c>
      <c r="V1781" s="58">
        <f>IF(AND($B1781&lt;&gt;"",$F1781&lt;&gt;"",$F1781=项目明细账!$C$2),N(V1780)+1,N(V1780))</f>
        <v>0</v>
      </c>
      <c r="W1781" s="63" t="str">
        <f>IF($H1781&lt;&gt;"","项目成本",IFERROR(INDEX(基础资料!$W$4:$W$49,MATCH($I1781,基础资料!$V$4:$V$49,0)),""))</f>
        <v/>
      </c>
      <c r="X1781" s="63" t="str">
        <f>IFERROR(INDEX(基础资料!$R$4:$R$17,MATCH($G1781,基础资料!$Q$4:$Q$17,0)),"")</f>
        <v/>
      </c>
    </row>
    <row r="1782" spans="1:24">
      <c r="A1782" s="58" t="str">
        <f>IF($B1782="","",COUNTA($B$5:$B1782))</f>
        <v/>
      </c>
      <c r="B1782" s="53"/>
      <c r="C1782" s="46"/>
      <c r="D1782" s="63" t="str">
        <f>IFERROR(INDEX(基础资料!$F$4:$F$23,MATCH($C1782,基础资料!$E$4:$E$23,0)),IF($C1782="","","未匹配账户"))</f>
        <v/>
      </c>
      <c r="E1782" s="39"/>
      <c r="F1782" s="10"/>
      <c r="G1782" s="10"/>
      <c r="H1782" s="10"/>
      <c r="I1782" s="10"/>
      <c r="J1782" s="10"/>
      <c r="K1782" s="25"/>
      <c r="L1782" s="25"/>
      <c r="M1782" s="25" t="str">
        <f>IFERROR(VLOOKUP($C1782,$C$5:$M$24,11,0)+SUMIF($C$25:$C1782,$C1782,$K$25:$K1782)-SUMIF($C$25:$C1782,$C1782,$L$25:$L1782),"")</f>
        <v/>
      </c>
      <c r="N1782" s="10"/>
      <c r="O1782" s="10"/>
      <c r="P1782" s="65"/>
      <c r="Q1782" s="10"/>
      <c r="R1782" s="10"/>
      <c r="S1782" s="54" t="str">
        <f t="shared" si="87"/>
        <v/>
      </c>
      <c r="T1782" s="54" t="str">
        <f t="shared" si="88"/>
        <v/>
      </c>
      <c r="U1782" s="58" t="str">
        <f t="shared" si="89"/>
        <v/>
      </c>
      <c r="V1782" s="58">
        <f>IF(AND($B1782&lt;&gt;"",$F1782&lt;&gt;"",$F1782=项目明细账!$C$2),N(V1781)+1,N(V1781))</f>
        <v>0</v>
      </c>
      <c r="W1782" s="63" t="str">
        <f>IF($H1782&lt;&gt;"","项目成本",IFERROR(INDEX(基础资料!$W$4:$W$49,MATCH($I1782,基础资料!$V$4:$V$49,0)),""))</f>
        <v/>
      </c>
      <c r="X1782" s="63" t="str">
        <f>IFERROR(INDEX(基础资料!$R$4:$R$17,MATCH($G1782,基础资料!$Q$4:$Q$17,0)),"")</f>
        <v/>
      </c>
    </row>
    <row r="1783" spans="1:24">
      <c r="A1783" s="58" t="str">
        <f>IF($B1783="","",COUNTA($B$5:$B1783))</f>
        <v/>
      </c>
      <c r="B1783" s="53"/>
      <c r="C1783" s="46"/>
      <c r="D1783" s="63" t="str">
        <f>IFERROR(INDEX(基础资料!$F$4:$F$23,MATCH($C1783,基础资料!$E$4:$E$23,0)),IF($C1783="","","未匹配账户"))</f>
        <v/>
      </c>
      <c r="E1783" s="39"/>
      <c r="F1783" s="10"/>
      <c r="G1783" s="10"/>
      <c r="H1783" s="10"/>
      <c r="I1783" s="10"/>
      <c r="J1783" s="10"/>
      <c r="K1783" s="25"/>
      <c r="L1783" s="25"/>
      <c r="M1783" s="25" t="str">
        <f>IFERROR(VLOOKUP($C1783,$C$5:$M$24,11,0)+SUMIF($C$25:$C1783,$C1783,$K$25:$K1783)-SUMIF($C$25:$C1783,$C1783,$L$25:$L1783),"")</f>
        <v/>
      </c>
      <c r="N1783" s="10"/>
      <c r="O1783" s="10"/>
      <c r="P1783" s="65"/>
      <c r="Q1783" s="10"/>
      <c r="R1783" s="10"/>
      <c r="S1783" s="54" t="str">
        <f t="shared" si="87"/>
        <v/>
      </c>
      <c r="T1783" s="54" t="str">
        <f t="shared" si="88"/>
        <v/>
      </c>
      <c r="U1783" s="58" t="str">
        <f t="shared" si="89"/>
        <v/>
      </c>
      <c r="V1783" s="58">
        <f>IF(AND($B1783&lt;&gt;"",$F1783&lt;&gt;"",$F1783=项目明细账!$C$2),N(V1782)+1,N(V1782))</f>
        <v>0</v>
      </c>
      <c r="W1783" s="63" t="str">
        <f>IF($H1783&lt;&gt;"","项目成本",IFERROR(INDEX(基础资料!$W$4:$W$49,MATCH($I1783,基础资料!$V$4:$V$49,0)),""))</f>
        <v/>
      </c>
      <c r="X1783" s="63" t="str">
        <f>IFERROR(INDEX(基础资料!$R$4:$R$17,MATCH($G1783,基础资料!$Q$4:$Q$17,0)),"")</f>
        <v/>
      </c>
    </row>
    <row r="1784" spans="1:24">
      <c r="A1784" s="58" t="str">
        <f>IF($B1784="","",COUNTA($B$5:$B1784))</f>
        <v/>
      </c>
      <c r="B1784" s="53"/>
      <c r="C1784" s="46"/>
      <c r="D1784" s="63" t="str">
        <f>IFERROR(INDEX(基础资料!$F$4:$F$23,MATCH($C1784,基础资料!$E$4:$E$23,0)),IF($C1784="","","未匹配账户"))</f>
        <v/>
      </c>
      <c r="E1784" s="39"/>
      <c r="F1784" s="10"/>
      <c r="G1784" s="10"/>
      <c r="H1784" s="10"/>
      <c r="I1784" s="10"/>
      <c r="J1784" s="10"/>
      <c r="K1784" s="25"/>
      <c r="L1784" s="25"/>
      <c r="M1784" s="25" t="str">
        <f>IFERROR(VLOOKUP($C1784,$C$5:$M$24,11,0)+SUMIF($C$25:$C1784,$C1784,$K$25:$K1784)-SUMIF($C$25:$C1784,$C1784,$L$25:$L1784),"")</f>
        <v/>
      </c>
      <c r="N1784" s="10"/>
      <c r="O1784" s="10"/>
      <c r="P1784" s="65"/>
      <c r="Q1784" s="10"/>
      <c r="R1784" s="10"/>
      <c r="S1784" s="54" t="str">
        <f t="shared" si="87"/>
        <v/>
      </c>
      <c r="T1784" s="54" t="str">
        <f t="shared" si="88"/>
        <v/>
      </c>
      <c r="U1784" s="58" t="str">
        <f t="shared" si="89"/>
        <v/>
      </c>
      <c r="V1784" s="58">
        <f>IF(AND($B1784&lt;&gt;"",$F1784&lt;&gt;"",$F1784=项目明细账!$C$2),N(V1783)+1,N(V1783))</f>
        <v>0</v>
      </c>
      <c r="W1784" s="63" t="str">
        <f>IF($H1784&lt;&gt;"","项目成本",IFERROR(INDEX(基础资料!$W$4:$W$49,MATCH($I1784,基础资料!$V$4:$V$49,0)),""))</f>
        <v/>
      </c>
      <c r="X1784" s="63" t="str">
        <f>IFERROR(INDEX(基础资料!$R$4:$R$17,MATCH($G1784,基础资料!$Q$4:$Q$17,0)),"")</f>
        <v/>
      </c>
    </row>
    <row r="1785" spans="1:24">
      <c r="A1785" s="58" t="str">
        <f>IF($B1785="","",COUNTA($B$5:$B1785))</f>
        <v/>
      </c>
      <c r="B1785" s="53"/>
      <c r="C1785" s="46"/>
      <c r="D1785" s="63" t="str">
        <f>IFERROR(INDEX(基础资料!$F$4:$F$23,MATCH($C1785,基础资料!$E$4:$E$23,0)),IF($C1785="","","未匹配账户"))</f>
        <v/>
      </c>
      <c r="E1785" s="39"/>
      <c r="F1785" s="10"/>
      <c r="G1785" s="10"/>
      <c r="H1785" s="10"/>
      <c r="I1785" s="10"/>
      <c r="J1785" s="10"/>
      <c r="K1785" s="25"/>
      <c r="L1785" s="25"/>
      <c r="M1785" s="25" t="str">
        <f>IFERROR(VLOOKUP($C1785,$C$5:$M$24,11,0)+SUMIF($C$25:$C1785,$C1785,$K$25:$K1785)-SUMIF($C$25:$C1785,$C1785,$L$25:$L1785),"")</f>
        <v/>
      </c>
      <c r="N1785" s="10"/>
      <c r="O1785" s="10"/>
      <c r="P1785" s="65"/>
      <c r="Q1785" s="10"/>
      <c r="R1785" s="10"/>
      <c r="S1785" s="54" t="str">
        <f t="shared" si="87"/>
        <v/>
      </c>
      <c r="T1785" s="54" t="str">
        <f t="shared" si="88"/>
        <v/>
      </c>
      <c r="U1785" s="58" t="str">
        <f t="shared" si="89"/>
        <v/>
      </c>
      <c r="V1785" s="58">
        <f>IF(AND($B1785&lt;&gt;"",$F1785&lt;&gt;"",$F1785=项目明细账!$C$2),N(V1784)+1,N(V1784))</f>
        <v>0</v>
      </c>
      <c r="W1785" s="63" t="str">
        <f>IF($H1785&lt;&gt;"","项目成本",IFERROR(INDEX(基础资料!$W$4:$W$49,MATCH($I1785,基础资料!$V$4:$V$49,0)),""))</f>
        <v/>
      </c>
      <c r="X1785" s="63" t="str">
        <f>IFERROR(INDEX(基础资料!$R$4:$R$17,MATCH($G1785,基础资料!$Q$4:$Q$17,0)),"")</f>
        <v/>
      </c>
    </row>
    <row r="1786" spans="1:24">
      <c r="A1786" s="58" t="str">
        <f>IF($B1786="","",COUNTA($B$5:$B1786))</f>
        <v/>
      </c>
      <c r="B1786" s="53"/>
      <c r="C1786" s="46"/>
      <c r="D1786" s="63" t="str">
        <f>IFERROR(INDEX(基础资料!$F$4:$F$23,MATCH($C1786,基础资料!$E$4:$E$23,0)),IF($C1786="","","未匹配账户"))</f>
        <v/>
      </c>
      <c r="E1786" s="39"/>
      <c r="F1786" s="10"/>
      <c r="G1786" s="10"/>
      <c r="H1786" s="10"/>
      <c r="I1786" s="10"/>
      <c r="J1786" s="10"/>
      <c r="K1786" s="25"/>
      <c r="L1786" s="25"/>
      <c r="M1786" s="25" t="str">
        <f>IFERROR(VLOOKUP($C1786,$C$5:$M$24,11,0)+SUMIF($C$25:$C1786,$C1786,$K$25:$K1786)-SUMIF($C$25:$C1786,$C1786,$L$25:$L1786),"")</f>
        <v/>
      </c>
      <c r="N1786" s="10"/>
      <c r="O1786" s="10"/>
      <c r="P1786" s="65"/>
      <c r="Q1786" s="10"/>
      <c r="R1786" s="10"/>
      <c r="S1786" s="54" t="str">
        <f t="shared" si="87"/>
        <v/>
      </c>
      <c r="T1786" s="54" t="str">
        <f t="shared" si="88"/>
        <v/>
      </c>
      <c r="U1786" s="58" t="str">
        <f t="shared" si="89"/>
        <v/>
      </c>
      <c r="V1786" s="58">
        <f>IF(AND($B1786&lt;&gt;"",$F1786&lt;&gt;"",$F1786=项目明细账!$C$2),N(V1785)+1,N(V1785))</f>
        <v>0</v>
      </c>
      <c r="W1786" s="63" t="str">
        <f>IF($H1786&lt;&gt;"","项目成本",IFERROR(INDEX(基础资料!$W$4:$W$49,MATCH($I1786,基础资料!$V$4:$V$49,0)),""))</f>
        <v/>
      </c>
      <c r="X1786" s="63" t="str">
        <f>IFERROR(INDEX(基础资料!$R$4:$R$17,MATCH($G1786,基础资料!$Q$4:$Q$17,0)),"")</f>
        <v/>
      </c>
    </row>
    <row r="1787" spans="1:24">
      <c r="A1787" s="58" t="str">
        <f>IF($B1787="","",COUNTA($B$5:$B1787))</f>
        <v/>
      </c>
      <c r="B1787" s="53"/>
      <c r="C1787" s="46"/>
      <c r="D1787" s="63" t="str">
        <f>IFERROR(INDEX(基础资料!$F$4:$F$23,MATCH($C1787,基础资料!$E$4:$E$23,0)),IF($C1787="","","未匹配账户"))</f>
        <v/>
      </c>
      <c r="E1787" s="39"/>
      <c r="F1787" s="10"/>
      <c r="G1787" s="10"/>
      <c r="H1787" s="10"/>
      <c r="I1787" s="10"/>
      <c r="J1787" s="10"/>
      <c r="K1787" s="25"/>
      <c r="L1787" s="25"/>
      <c r="M1787" s="25" t="str">
        <f>IFERROR(VLOOKUP($C1787,$C$5:$M$24,11,0)+SUMIF($C$25:$C1787,$C1787,$K$25:$K1787)-SUMIF($C$25:$C1787,$C1787,$L$25:$L1787),"")</f>
        <v/>
      </c>
      <c r="N1787" s="10"/>
      <c r="O1787" s="10"/>
      <c r="P1787" s="65"/>
      <c r="Q1787" s="10"/>
      <c r="R1787" s="10"/>
      <c r="S1787" s="54" t="str">
        <f t="shared" si="87"/>
        <v/>
      </c>
      <c r="T1787" s="54" t="str">
        <f t="shared" si="88"/>
        <v/>
      </c>
      <c r="U1787" s="58" t="str">
        <f t="shared" si="89"/>
        <v/>
      </c>
      <c r="V1787" s="58">
        <f>IF(AND($B1787&lt;&gt;"",$F1787&lt;&gt;"",$F1787=项目明细账!$C$2),N(V1786)+1,N(V1786))</f>
        <v>0</v>
      </c>
      <c r="W1787" s="63" t="str">
        <f>IF($H1787&lt;&gt;"","项目成本",IFERROR(INDEX(基础资料!$W$4:$W$49,MATCH($I1787,基础资料!$V$4:$V$49,0)),""))</f>
        <v/>
      </c>
      <c r="X1787" s="63" t="str">
        <f>IFERROR(INDEX(基础资料!$R$4:$R$17,MATCH($G1787,基础资料!$Q$4:$Q$17,0)),"")</f>
        <v/>
      </c>
    </row>
    <row r="1788" spans="1:24">
      <c r="A1788" s="58" t="str">
        <f>IF($B1788="","",COUNTA($B$5:$B1788))</f>
        <v/>
      </c>
      <c r="B1788" s="53"/>
      <c r="C1788" s="46"/>
      <c r="D1788" s="63" t="str">
        <f>IFERROR(INDEX(基础资料!$F$4:$F$23,MATCH($C1788,基础资料!$E$4:$E$23,0)),IF($C1788="","","未匹配账户"))</f>
        <v/>
      </c>
      <c r="E1788" s="39"/>
      <c r="F1788" s="10"/>
      <c r="G1788" s="10"/>
      <c r="H1788" s="10"/>
      <c r="I1788" s="10"/>
      <c r="J1788" s="10"/>
      <c r="K1788" s="25"/>
      <c r="L1788" s="25"/>
      <c r="M1788" s="25" t="str">
        <f>IFERROR(VLOOKUP($C1788,$C$5:$M$24,11,0)+SUMIF($C$25:$C1788,$C1788,$K$25:$K1788)-SUMIF($C$25:$C1788,$C1788,$L$25:$L1788),"")</f>
        <v/>
      </c>
      <c r="N1788" s="10"/>
      <c r="O1788" s="10"/>
      <c r="P1788" s="65"/>
      <c r="Q1788" s="10"/>
      <c r="R1788" s="10"/>
      <c r="S1788" s="54" t="str">
        <f t="shared" si="87"/>
        <v/>
      </c>
      <c r="T1788" s="54" t="str">
        <f t="shared" si="88"/>
        <v/>
      </c>
      <c r="U1788" s="58" t="str">
        <f t="shared" si="89"/>
        <v/>
      </c>
      <c r="V1788" s="58">
        <f>IF(AND($B1788&lt;&gt;"",$F1788&lt;&gt;"",$F1788=项目明细账!$C$2),N(V1787)+1,N(V1787))</f>
        <v>0</v>
      </c>
      <c r="W1788" s="63" t="str">
        <f>IF($H1788&lt;&gt;"","项目成本",IFERROR(INDEX(基础资料!$W$4:$W$49,MATCH($I1788,基础资料!$V$4:$V$49,0)),""))</f>
        <v/>
      </c>
      <c r="X1788" s="63" t="str">
        <f>IFERROR(INDEX(基础资料!$R$4:$R$17,MATCH($G1788,基础资料!$Q$4:$Q$17,0)),"")</f>
        <v/>
      </c>
    </row>
    <row r="1789" spans="1:24">
      <c r="A1789" s="58" t="str">
        <f>IF($B1789="","",COUNTA($B$5:$B1789))</f>
        <v/>
      </c>
      <c r="B1789" s="53"/>
      <c r="C1789" s="46"/>
      <c r="D1789" s="63" t="str">
        <f>IFERROR(INDEX(基础资料!$F$4:$F$23,MATCH($C1789,基础资料!$E$4:$E$23,0)),IF($C1789="","","未匹配账户"))</f>
        <v/>
      </c>
      <c r="E1789" s="39"/>
      <c r="F1789" s="10"/>
      <c r="G1789" s="10"/>
      <c r="H1789" s="10"/>
      <c r="I1789" s="10"/>
      <c r="J1789" s="10"/>
      <c r="K1789" s="25"/>
      <c r="L1789" s="25"/>
      <c r="M1789" s="25" t="str">
        <f>IFERROR(VLOOKUP($C1789,$C$5:$M$24,11,0)+SUMIF($C$25:$C1789,$C1789,$K$25:$K1789)-SUMIF($C$25:$C1789,$C1789,$L$25:$L1789),"")</f>
        <v/>
      </c>
      <c r="N1789" s="10"/>
      <c r="O1789" s="10"/>
      <c r="P1789" s="65"/>
      <c r="Q1789" s="10"/>
      <c r="R1789" s="10"/>
      <c r="S1789" s="54" t="str">
        <f t="shared" si="87"/>
        <v/>
      </c>
      <c r="T1789" s="54" t="str">
        <f t="shared" si="88"/>
        <v/>
      </c>
      <c r="U1789" s="58" t="str">
        <f t="shared" si="89"/>
        <v/>
      </c>
      <c r="V1789" s="58">
        <f>IF(AND($B1789&lt;&gt;"",$F1789&lt;&gt;"",$F1789=项目明细账!$C$2),N(V1788)+1,N(V1788))</f>
        <v>0</v>
      </c>
      <c r="W1789" s="63" t="str">
        <f>IF($H1789&lt;&gt;"","项目成本",IFERROR(INDEX(基础资料!$W$4:$W$49,MATCH($I1789,基础资料!$V$4:$V$49,0)),""))</f>
        <v/>
      </c>
      <c r="X1789" s="63" t="str">
        <f>IFERROR(INDEX(基础资料!$R$4:$R$17,MATCH($G1789,基础资料!$Q$4:$Q$17,0)),"")</f>
        <v/>
      </c>
    </row>
    <row r="1790" spans="1:24">
      <c r="A1790" s="58" t="str">
        <f>IF($B1790="","",COUNTA($B$5:$B1790))</f>
        <v/>
      </c>
      <c r="B1790" s="53"/>
      <c r="C1790" s="46"/>
      <c r="D1790" s="63" t="str">
        <f>IFERROR(INDEX(基础资料!$F$4:$F$23,MATCH($C1790,基础资料!$E$4:$E$23,0)),IF($C1790="","","未匹配账户"))</f>
        <v/>
      </c>
      <c r="E1790" s="39"/>
      <c r="F1790" s="10"/>
      <c r="G1790" s="10"/>
      <c r="H1790" s="10"/>
      <c r="I1790" s="10"/>
      <c r="J1790" s="10"/>
      <c r="K1790" s="25"/>
      <c r="L1790" s="25"/>
      <c r="M1790" s="25" t="str">
        <f>IFERROR(VLOOKUP($C1790,$C$5:$M$24,11,0)+SUMIF($C$25:$C1790,$C1790,$K$25:$K1790)-SUMIF($C$25:$C1790,$C1790,$L$25:$L1790),"")</f>
        <v/>
      </c>
      <c r="N1790" s="10"/>
      <c r="O1790" s="10"/>
      <c r="P1790" s="65"/>
      <c r="Q1790" s="10"/>
      <c r="R1790" s="10"/>
      <c r="S1790" s="54" t="str">
        <f t="shared" si="87"/>
        <v/>
      </c>
      <c r="T1790" s="54" t="str">
        <f t="shared" si="88"/>
        <v/>
      </c>
      <c r="U1790" s="58" t="str">
        <f t="shared" si="89"/>
        <v/>
      </c>
      <c r="V1790" s="58">
        <f>IF(AND($B1790&lt;&gt;"",$F1790&lt;&gt;"",$F1790=项目明细账!$C$2),N(V1789)+1,N(V1789))</f>
        <v>0</v>
      </c>
      <c r="W1790" s="63" t="str">
        <f>IF($H1790&lt;&gt;"","项目成本",IFERROR(INDEX(基础资料!$W$4:$W$49,MATCH($I1790,基础资料!$V$4:$V$49,0)),""))</f>
        <v/>
      </c>
      <c r="X1790" s="63" t="str">
        <f>IFERROR(INDEX(基础资料!$R$4:$R$17,MATCH($G1790,基础资料!$Q$4:$Q$17,0)),"")</f>
        <v/>
      </c>
    </row>
    <row r="1791" spans="1:24">
      <c r="A1791" s="58" t="str">
        <f>IF($B1791="","",COUNTA($B$5:$B1791))</f>
        <v/>
      </c>
      <c r="B1791" s="53"/>
      <c r="C1791" s="46"/>
      <c r="D1791" s="63" t="str">
        <f>IFERROR(INDEX(基础资料!$F$4:$F$23,MATCH($C1791,基础资料!$E$4:$E$23,0)),IF($C1791="","","未匹配账户"))</f>
        <v/>
      </c>
      <c r="E1791" s="39"/>
      <c r="F1791" s="10"/>
      <c r="G1791" s="10"/>
      <c r="H1791" s="10"/>
      <c r="I1791" s="10"/>
      <c r="J1791" s="10"/>
      <c r="K1791" s="25"/>
      <c r="L1791" s="25"/>
      <c r="M1791" s="25" t="str">
        <f>IFERROR(VLOOKUP($C1791,$C$5:$M$24,11,0)+SUMIF($C$25:$C1791,$C1791,$K$25:$K1791)-SUMIF($C$25:$C1791,$C1791,$L$25:$L1791),"")</f>
        <v/>
      </c>
      <c r="N1791" s="10"/>
      <c r="O1791" s="10"/>
      <c r="P1791" s="65"/>
      <c r="Q1791" s="10"/>
      <c r="R1791" s="10"/>
      <c r="S1791" s="54" t="str">
        <f t="shared" si="87"/>
        <v/>
      </c>
      <c r="T1791" s="54" t="str">
        <f t="shared" si="88"/>
        <v/>
      </c>
      <c r="U1791" s="58" t="str">
        <f t="shared" si="89"/>
        <v/>
      </c>
      <c r="V1791" s="58">
        <f>IF(AND($B1791&lt;&gt;"",$F1791&lt;&gt;"",$F1791=项目明细账!$C$2),N(V1790)+1,N(V1790))</f>
        <v>0</v>
      </c>
      <c r="W1791" s="63" t="str">
        <f>IF($H1791&lt;&gt;"","项目成本",IFERROR(INDEX(基础资料!$W$4:$W$49,MATCH($I1791,基础资料!$V$4:$V$49,0)),""))</f>
        <v/>
      </c>
      <c r="X1791" s="63" t="str">
        <f>IFERROR(INDEX(基础资料!$R$4:$R$17,MATCH($G1791,基础资料!$Q$4:$Q$17,0)),"")</f>
        <v/>
      </c>
    </row>
    <row r="1792" spans="1:24">
      <c r="A1792" s="58" t="str">
        <f>IF($B1792="","",COUNTA($B$5:$B1792))</f>
        <v/>
      </c>
      <c r="B1792" s="53"/>
      <c r="C1792" s="46"/>
      <c r="D1792" s="63" t="str">
        <f>IFERROR(INDEX(基础资料!$F$4:$F$23,MATCH($C1792,基础资料!$E$4:$E$23,0)),IF($C1792="","","未匹配账户"))</f>
        <v/>
      </c>
      <c r="E1792" s="39"/>
      <c r="F1792" s="10"/>
      <c r="G1792" s="10"/>
      <c r="H1792" s="10"/>
      <c r="I1792" s="10"/>
      <c r="J1792" s="10"/>
      <c r="K1792" s="25"/>
      <c r="L1792" s="25"/>
      <c r="M1792" s="25" t="str">
        <f>IFERROR(VLOOKUP($C1792,$C$5:$M$24,11,0)+SUMIF($C$25:$C1792,$C1792,$K$25:$K1792)-SUMIF($C$25:$C1792,$C1792,$L$25:$L1792),"")</f>
        <v/>
      </c>
      <c r="N1792" s="10"/>
      <c r="O1792" s="10"/>
      <c r="P1792" s="65"/>
      <c r="Q1792" s="10"/>
      <c r="R1792" s="10"/>
      <c r="S1792" s="54" t="str">
        <f t="shared" si="87"/>
        <v/>
      </c>
      <c r="T1792" s="54" t="str">
        <f t="shared" si="88"/>
        <v/>
      </c>
      <c r="U1792" s="58" t="str">
        <f t="shared" si="89"/>
        <v/>
      </c>
      <c r="V1792" s="58">
        <f>IF(AND($B1792&lt;&gt;"",$F1792&lt;&gt;"",$F1792=项目明细账!$C$2),N(V1791)+1,N(V1791))</f>
        <v>0</v>
      </c>
      <c r="W1792" s="63" t="str">
        <f>IF($H1792&lt;&gt;"","项目成本",IFERROR(INDEX(基础资料!$W$4:$W$49,MATCH($I1792,基础资料!$V$4:$V$49,0)),""))</f>
        <v/>
      </c>
      <c r="X1792" s="63" t="str">
        <f>IFERROR(INDEX(基础资料!$R$4:$R$17,MATCH($G1792,基础资料!$Q$4:$Q$17,0)),"")</f>
        <v/>
      </c>
    </row>
    <row r="1793" spans="1:24">
      <c r="A1793" s="58" t="str">
        <f>IF($B1793="","",COUNTA($B$5:$B1793))</f>
        <v/>
      </c>
      <c r="B1793" s="53"/>
      <c r="C1793" s="46"/>
      <c r="D1793" s="63" t="str">
        <f>IFERROR(INDEX(基础资料!$F$4:$F$23,MATCH($C1793,基础资料!$E$4:$E$23,0)),IF($C1793="","","未匹配账户"))</f>
        <v/>
      </c>
      <c r="E1793" s="39"/>
      <c r="F1793" s="10"/>
      <c r="G1793" s="10"/>
      <c r="H1793" s="10"/>
      <c r="I1793" s="10"/>
      <c r="J1793" s="10"/>
      <c r="K1793" s="25"/>
      <c r="L1793" s="25"/>
      <c r="M1793" s="25" t="str">
        <f>IFERROR(VLOOKUP($C1793,$C$5:$M$24,11,0)+SUMIF($C$25:$C1793,$C1793,$K$25:$K1793)-SUMIF($C$25:$C1793,$C1793,$L$25:$L1793),"")</f>
        <v/>
      </c>
      <c r="N1793" s="10"/>
      <c r="O1793" s="10"/>
      <c r="P1793" s="65"/>
      <c r="Q1793" s="10"/>
      <c r="R1793" s="10"/>
      <c r="S1793" s="54" t="str">
        <f t="shared" si="87"/>
        <v/>
      </c>
      <c r="T1793" s="54" t="str">
        <f t="shared" si="88"/>
        <v/>
      </c>
      <c r="U1793" s="58" t="str">
        <f t="shared" si="89"/>
        <v/>
      </c>
      <c r="V1793" s="58">
        <f>IF(AND($B1793&lt;&gt;"",$F1793&lt;&gt;"",$F1793=项目明细账!$C$2),N(V1792)+1,N(V1792))</f>
        <v>0</v>
      </c>
      <c r="W1793" s="63" t="str">
        <f>IF($H1793&lt;&gt;"","项目成本",IFERROR(INDEX(基础资料!$W$4:$W$49,MATCH($I1793,基础资料!$V$4:$V$49,0)),""))</f>
        <v/>
      </c>
      <c r="X1793" s="63" t="str">
        <f>IFERROR(INDEX(基础资料!$R$4:$R$17,MATCH($G1793,基础资料!$Q$4:$Q$17,0)),"")</f>
        <v/>
      </c>
    </row>
    <row r="1794" spans="1:24">
      <c r="A1794" s="58" t="str">
        <f>IF($B1794="","",COUNTA($B$5:$B1794))</f>
        <v/>
      </c>
      <c r="B1794" s="53"/>
      <c r="C1794" s="46"/>
      <c r="D1794" s="63" t="str">
        <f>IFERROR(INDEX(基础资料!$F$4:$F$23,MATCH($C1794,基础资料!$E$4:$E$23,0)),IF($C1794="","","未匹配账户"))</f>
        <v/>
      </c>
      <c r="E1794" s="39"/>
      <c r="F1794" s="10"/>
      <c r="G1794" s="10"/>
      <c r="H1794" s="10"/>
      <c r="I1794" s="10"/>
      <c r="J1794" s="10"/>
      <c r="K1794" s="25"/>
      <c r="L1794" s="25"/>
      <c r="M1794" s="25" t="str">
        <f>IFERROR(VLOOKUP($C1794,$C$5:$M$24,11,0)+SUMIF($C$25:$C1794,$C1794,$K$25:$K1794)-SUMIF($C$25:$C1794,$C1794,$L$25:$L1794),"")</f>
        <v/>
      </c>
      <c r="N1794" s="10"/>
      <c r="O1794" s="10"/>
      <c r="P1794" s="65"/>
      <c r="Q1794" s="10"/>
      <c r="R1794" s="10"/>
      <c r="S1794" s="54" t="str">
        <f t="shared" si="87"/>
        <v/>
      </c>
      <c r="T1794" s="54" t="str">
        <f t="shared" si="88"/>
        <v/>
      </c>
      <c r="U1794" s="58" t="str">
        <f t="shared" si="89"/>
        <v/>
      </c>
      <c r="V1794" s="58">
        <f>IF(AND($B1794&lt;&gt;"",$F1794&lt;&gt;"",$F1794=项目明细账!$C$2),N(V1793)+1,N(V1793))</f>
        <v>0</v>
      </c>
      <c r="W1794" s="63" t="str">
        <f>IF($H1794&lt;&gt;"","项目成本",IFERROR(INDEX(基础资料!$W$4:$W$49,MATCH($I1794,基础资料!$V$4:$V$49,0)),""))</f>
        <v/>
      </c>
      <c r="X1794" s="63" t="str">
        <f>IFERROR(INDEX(基础资料!$R$4:$R$17,MATCH($G1794,基础资料!$Q$4:$Q$17,0)),"")</f>
        <v/>
      </c>
    </row>
    <row r="1795" spans="1:24">
      <c r="A1795" s="58" t="str">
        <f>IF($B1795="","",COUNTA($B$5:$B1795))</f>
        <v/>
      </c>
      <c r="B1795" s="53"/>
      <c r="C1795" s="46"/>
      <c r="D1795" s="63" t="str">
        <f>IFERROR(INDEX(基础资料!$F$4:$F$23,MATCH($C1795,基础资料!$E$4:$E$23,0)),IF($C1795="","","未匹配账户"))</f>
        <v/>
      </c>
      <c r="E1795" s="39"/>
      <c r="F1795" s="10"/>
      <c r="G1795" s="10"/>
      <c r="H1795" s="10"/>
      <c r="I1795" s="10"/>
      <c r="J1795" s="10"/>
      <c r="K1795" s="25"/>
      <c r="L1795" s="25"/>
      <c r="M1795" s="25" t="str">
        <f>IFERROR(VLOOKUP($C1795,$C$5:$M$24,11,0)+SUMIF($C$25:$C1795,$C1795,$K$25:$K1795)-SUMIF($C$25:$C1795,$C1795,$L$25:$L1795),"")</f>
        <v/>
      </c>
      <c r="N1795" s="10"/>
      <c r="O1795" s="10"/>
      <c r="P1795" s="65"/>
      <c r="Q1795" s="10"/>
      <c r="R1795" s="10"/>
      <c r="S1795" s="54" t="str">
        <f t="shared" si="87"/>
        <v/>
      </c>
      <c r="T1795" s="54" t="str">
        <f t="shared" si="88"/>
        <v/>
      </c>
      <c r="U1795" s="58" t="str">
        <f t="shared" si="89"/>
        <v/>
      </c>
      <c r="V1795" s="58">
        <f>IF(AND($B1795&lt;&gt;"",$F1795&lt;&gt;"",$F1795=项目明细账!$C$2),N(V1794)+1,N(V1794))</f>
        <v>0</v>
      </c>
      <c r="W1795" s="63" t="str">
        <f>IF($H1795&lt;&gt;"","项目成本",IFERROR(INDEX(基础资料!$W$4:$W$49,MATCH($I1795,基础资料!$V$4:$V$49,0)),""))</f>
        <v/>
      </c>
      <c r="X1795" s="63" t="str">
        <f>IFERROR(INDEX(基础资料!$R$4:$R$17,MATCH($G1795,基础资料!$Q$4:$Q$17,0)),"")</f>
        <v/>
      </c>
    </row>
    <row r="1796" spans="1:24">
      <c r="A1796" s="58" t="str">
        <f>IF($B1796="","",COUNTA($B$5:$B1796))</f>
        <v/>
      </c>
      <c r="B1796" s="53"/>
      <c r="C1796" s="46"/>
      <c r="D1796" s="63" t="str">
        <f>IFERROR(INDEX(基础资料!$F$4:$F$23,MATCH($C1796,基础资料!$E$4:$E$23,0)),IF($C1796="","","未匹配账户"))</f>
        <v/>
      </c>
      <c r="E1796" s="39"/>
      <c r="F1796" s="10"/>
      <c r="G1796" s="10"/>
      <c r="H1796" s="10"/>
      <c r="I1796" s="10"/>
      <c r="J1796" s="10"/>
      <c r="K1796" s="25"/>
      <c r="L1796" s="25"/>
      <c r="M1796" s="25" t="str">
        <f>IFERROR(VLOOKUP($C1796,$C$5:$M$24,11,0)+SUMIF($C$25:$C1796,$C1796,$K$25:$K1796)-SUMIF($C$25:$C1796,$C1796,$L$25:$L1796),"")</f>
        <v/>
      </c>
      <c r="N1796" s="10"/>
      <c r="O1796" s="10"/>
      <c r="P1796" s="65"/>
      <c r="Q1796" s="10"/>
      <c r="R1796" s="10"/>
      <c r="S1796" s="54" t="str">
        <f t="shared" si="87"/>
        <v/>
      </c>
      <c r="T1796" s="54" t="str">
        <f t="shared" si="88"/>
        <v/>
      </c>
      <c r="U1796" s="58" t="str">
        <f t="shared" si="89"/>
        <v/>
      </c>
      <c r="V1796" s="58">
        <f>IF(AND($B1796&lt;&gt;"",$F1796&lt;&gt;"",$F1796=项目明细账!$C$2),N(V1795)+1,N(V1795))</f>
        <v>0</v>
      </c>
      <c r="W1796" s="63" t="str">
        <f>IF($H1796&lt;&gt;"","项目成本",IFERROR(INDEX(基础资料!$W$4:$W$49,MATCH($I1796,基础资料!$V$4:$V$49,0)),""))</f>
        <v/>
      </c>
      <c r="X1796" s="63" t="str">
        <f>IFERROR(INDEX(基础资料!$R$4:$R$17,MATCH($G1796,基础资料!$Q$4:$Q$17,0)),"")</f>
        <v/>
      </c>
    </row>
    <row r="1797" spans="1:24">
      <c r="A1797" s="58" t="str">
        <f>IF($B1797="","",COUNTA($B$5:$B1797))</f>
        <v/>
      </c>
      <c r="B1797" s="53"/>
      <c r="C1797" s="46"/>
      <c r="D1797" s="63" t="str">
        <f>IFERROR(INDEX(基础资料!$F$4:$F$23,MATCH($C1797,基础资料!$E$4:$E$23,0)),IF($C1797="","","未匹配账户"))</f>
        <v/>
      </c>
      <c r="E1797" s="39"/>
      <c r="F1797" s="10"/>
      <c r="G1797" s="10"/>
      <c r="H1797" s="10"/>
      <c r="I1797" s="10"/>
      <c r="J1797" s="10"/>
      <c r="K1797" s="25"/>
      <c r="L1797" s="25"/>
      <c r="M1797" s="25" t="str">
        <f>IFERROR(VLOOKUP($C1797,$C$5:$M$24,11,0)+SUMIF($C$25:$C1797,$C1797,$K$25:$K1797)-SUMIF($C$25:$C1797,$C1797,$L$25:$L1797),"")</f>
        <v/>
      </c>
      <c r="N1797" s="10"/>
      <c r="O1797" s="10"/>
      <c r="P1797" s="65"/>
      <c r="Q1797" s="10"/>
      <c r="R1797" s="10"/>
      <c r="S1797" s="54" t="str">
        <f t="shared" si="87"/>
        <v/>
      </c>
      <c r="T1797" s="54" t="str">
        <f t="shared" si="88"/>
        <v/>
      </c>
      <c r="U1797" s="58" t="str">
        <f t="shared" si="89"/>
        <v/>
      </c>
      <c r="V1797" s="58">
        <f>IF(AND($B1797&lt;&gt;"",$F1797&lt;&gt;"",$F1797=项目明细账!$C$2),N(V1796)+1,N(V1796))</f>
        <v>0</v>
      </c>
      <c r="W1797" s="63" t="str">
        <f>IF($H1797&lt;&gt;"","项目成本",IFERROR(INDEX(基础资料!$W$4:$W$49,MATCH($I1797,基础资料!$V$4:$V$49,0)),""))</f>
        <v/>
      </c>
      <c r="X1797" s="63" t="str">
        <f>IFERROR(INDEX(基础资料!$R$4:$R$17,MATCH($G1797,基础资料!$Q$4:$Q$17,0)),"")</f>
        <v/>
      </c>
    </row>
    <row r="1798" spans="1:24">
      <c r="A1798" s="58" t="str">
        <f>IF($B1798="","",COUNTA($B$5:$B1798))</f>
        <v/>
      </c>
      <c r="B1798" s="53"/>
      <c r="C1798" s="46"/>
      <c r="D1798" s="63" t="str">
        <f>IFERROR(INDEX(基础资料!$F$4:$F$23,MATCH($C1798,基础资料!$E$4:$E$23,0)),IF($C1798="","","未匹配账户"))</f>
        <v/>
      </c>
      <c r="E1798" s="39"/>
      <c r="F1798" s="10"/>
      <c r="G1798" s="10"/>
      <c r="H1798" s="10"/>
      <c r="I1798" s="10"/>
      <c r="J1798" s="10"/>
      <c r="K1798" s="25"/>
      <c r="L1798" s="25"/>
      <c r="M1798" s="25" t="str">
        <f>IFERROR(VLOOKUP($C1798,$C$5:$M$24,11,0)+SUMIF($C$25:$C1798,$C1798,$K$25:$K1798)-SUMIF($C$25:$C1798,$C1798,$L$25:$L1798),"")</f>
        <v/>
      </c>
      <c r="N1798" s="10"/>
      <c r="O1798" s="10"/>
      <c r="P1798" s="65"/>
      <c r="Q1798" s="10"/>
      <c r="R1798" s="10"/>
      <c r="S1798" s="54" t="str">
        <f t="shared" si="87"/>
        <v/>
      </c>
      <c r="T1798" s="54" t="str">
        <f t="shared" si="88"/>
        <v/>
      </c>
      <c r="U1798" s="58" t="str">
        <f t="shared" si="89"/>
        <v/>
      </c>
      <c r="V1798" s="58">
        <f>IF(AND($B1798&lt;&gt;"",$F1798&lt;&gt;"",$F1798=项目明细账!$C$2),N(V1797)+1,N(V1797))</f>
        <v>0</v>
      </c>
      <c r="W1798" s="63" t="str">
        <f>IF($H1798&lt;&gt;"","项目成本",IFERROR(INDEX(基础资料!$W$4:$W$49,MATCH($I1798,基础资料!$V$4:$V$49,0)),""))</f>
        <v/>
      </c>
      <c r="X1798" s="63" t="str">
        <f>IFERROR(INDEX(基础资料!$R$4:$R$17,MATCH($G1798,基础资料!$Q$4:$Q$17,0)),"")</f>
        <v/>
      </c>
    </row>
    <row r="1799" spans="1:24">
      <c r="A1799" s="58" t="str">
        <f>IF($B1799="","",COUNTA($B$5:$B1799))</f>
        <v/>
      </c>
      <c r="B1799" s="53"/>
      <c r="C1799" s="46"/>
      <c r="D1799" s="63" t="str">
        <f>IFERROR(INDEX(基础资料!$F$4:$F$23,MATCH($C1799,基础资料!$E$4:$E$23,0)),IF($C1799="","","未匹配账户"))</f>
        <v/>
      </c>
      <c r="E1799" s="39"/>
      <c r="F1799" s="10"/>
      <c r="G1799" s="10"/>
      <c r="H1799" s="10"/>
      <c r="I1799" s="10"/>
      <c r="J1799" s="10"/>
      <c r="K1799" s="25"/>
      <c r="L1799" s="25"/>
      <c r="M1799" s="25" t="str">
        <f>IFERROR(VLOOKUP($C1799,$C$5:$M$24,11,0)+SUMIF($C$25:$C1799,$C1799,$K$25:$K1799)-SUMIF($C$25:$C1799,$C1799,$L$25:$L1799),"")</f>
        <v/>
      </c>
      <c r="N1799" s="10"/>
      <c r="O1799" s="10"/>
      <c r="P1799" s="65"/>
      <c r="Q1799" s="10"/>
      <c r="R1799" s="10"/>
      <c r="S1799" s="54" t="str">
        <f t="shared" ref="S1799:S1862" si="90">IF($B1799="","",--TEXT($B1799,"yyyymm"))</f>
        <v/>
      </c>
      <c r="T1799" s="54" t="str">
        <f t="shared" ref="T1799:T1862" si="91">IF($B1799="","",IF($P1799="",$S1799,IFERROR($P1799*1,$P1799)))</f>
        <v/>
      </c>
      <c r="U1799" s="58" t="str">
        <f t="shared" ref="U1799:U1862" si="92">IF($B1799="","",IF($T1799=$S1799,"","跨期"))</f>
        <v/>
      </c>
      <c r="V1799" s="58">
        <f>IF(AND($B1799&lt;&gt;"",$F1799&lt;&gt;"",$F1799=项目明细账!$C$2),N(V1798)+1,N(V1798))</f>
        <v>0</v>
      </c>
      <c r="W1799" s="63" t="str">
        <f>IF($H1799&lt;&gt;"","项目成本",IFERROR(INDEX(基础资料!$W$4:$W$49,MATCH($I1799,基础资料!$V$4:$V$49,0)),""))</f>
        <v/>
      </c>
      <c r="X1799" s="63" t="str">
        <f>IFERROR(INDEX(基础资料!$R$4:$R$17,MATCH($G1799,基础资料!$Q$4:$Q$17,0)),"")</f>
        <v/>
      </c>
    </row>
    <row r="1800" spans="1:24">
      <c r="A1800" s="58" t="str">
        <f>IF($B1800="","",COUNTA($B$5:$B1800))</f>
        <v/>
      </c>
      <c r="B1800" s="53"/>
      <c r="C1800" s="46"/>
      <c r="D1800" s="63" t="str">
        <f>IFERROR(INDEX(基础资料!$F$4:$F$23,MATCH($C1800,基础资料!$E$4:$E$23,0)),IF($C1800="","","未匹配账户"))</f>
        <v/>
      </c>
      <c r="E1800" s="39"/>
      <c r="F1800" s="10"/>
      <c r="G1800" s="10"/>
      <c r="H1800" s="10"/>
      <c r="I1800" s="10"/>
      <c r="J1800" s="10"/>
      <c r="K1800" s="25"/>
      <c r="L1800" s="25"/>
      <c r="M1800" s="25" t="str">
        <f>IFERROR(VLOOKUP($C1800,$C$5:$M$24,11,0)+SUMIF($C$25:$C1800,$C1800,$K$25:$K1800)-SUMIF($C$25:$C1800,$C1800,$L$25:$L1800),"")</f>
        <v/>
      </c>
      <c r="N1800" s="10"/>
      <c r="O1800" s="10"/>
      <c r="P1800" s="65"/>
      <c r="Q1800" s="10"/>
      <c r="R1800" s="10"/>
      <c r="S1800" s="54" t="str">
        <f t="shared" si="90"/>
        <v/>
      </c>
      <c r="T1800" s="54" t="str">
        <f t="shared" si="91"/>
        <v/>
      </c>
      <c r="U1800" s="58" t="str">
        <f t="shared" si="92"/>
        <v/>
      </c>
      <c r="V1800" s="58">
        <f>IF(AND($B1800&lt;&gt;"",$F1800&lt;&gt;"",$F1800=项目明细账!$C$2),N(V1799)+1,N(V1799))</f>
        <v>0</v>
      </c>
      <c r="W1800" s="63" t="str">
        <f>IF($H1800&lt;&gt;"","项目成本",IFERROR(INDEX(基础资料!$W$4:$W$49,MATCH($I1800,基础资料!$V$4:$V$49,0)),""))</f>
        <v/>
      </c>
      <c r="X1800" s="63" t="str">
        <f>IFERROR(INDEX(基础资料!$R$4:$R$17,MATCH($G1800,基础资料!$Q$4:$Q$17,0)),"")</f>
        <v/>
      </c>
    </row>
    <row r="1801" spans="1:24">
      <c r="A1801" s="58" t="str">
        <f>IF($B1801="","",COUNTA($B$5:$B1801))</f>
        <v/>
      </c>
      <c r="B1801" s="53"/>
      <c r="C1801" s="46"/>
      <c r="D1801" s="63" t="str">
        <f>IFERROR(INDEX(基础资料!$F$4:$F$23,MATCH($C1801,基础资料!$E$4:$E$23,0)),IF($C1801="","","未匹配账户"))</f>
        <v/>
      </c>
      <c r="E1801" s="39"/>
      <c r="F1801" s="10"/>
      <c r="G1801" s="10"/>
      <c r="H1801" s="10"/>
      <c r="I1801" s="10"/>
      <c r="J1801" s="10"/>
      <c r="K1801" s="25"/>
      <c r="L1801" s="25"/>
      <c r="M1801" s="25" t="str">
        <f>IFERROR(VLOOKUP($C1801,$C$5:$M$24,11,0)+SUMIF($C$25:$C1801,$C1801,$K$25:$K1801)-SUMIF($C$25:$C1801,$C1801,$L$25:$L1801),"")</f>
        <v/>
      </c>
      <c r="N1801" s="10"/>
      <c r="O1801" s="10"/>
      <c r="P1801" s="65"/>
      <c r="Q1801" s="10"/>
      <c r="R1801" s="10"/>
      <c r="S1801" s="54" t="str">
        <f t="shared" si="90"/>
        <v/>
      </c>
      <c r="T1801" s="54" t="str">
        <f t="shared" si="91"/>
        <v/>
      </c>
      <c r="U1801" s="58" t="str">
        <f t="shared" si="92"/>
        <v/>
      </c>
      <c r="V1801" s="58">
        <f>IF(AND($B1801&lt;&gt;"",$F1801&lt;&gt;"",$F1801=项目明细账!$C$2),N(V1800)+1,N(V1800))</f>
        <v>0</v>
      </c>
      <c r="W1801" s="63" t="str">
        <f>IF($H1801&lt;&gt;"","项目成本",IFERROR(INDEX(基础资料!$W$4:$W$49,MATCH($I1801,基础资料!$V$4:$V$49,0)),""))</f>
        <v/>
      </c>
      <c r="X1801" s="63" t="str">
        <f>IFERROR(INDEX(基础资料!$R$4:$R$17,MATCH($G1801,基础资料!$Q$4:$Q$17,0)),"")</f>
        <v/>
      </c>
    </row>
    <row r="1802" spans="1:24">
      <c r="A1802" s="58" t="str">
        <f>IF($B1802="","",COUNTA($B$5:$B1802))</f>
        <v/>
      </c>
      <c r="B1802" s="53"/>
      <c r="C1802" s="46"/>
      <c r="D1802" s="63" t="str">
        <f>IFERROR(INDEX(基础资料!$F$4:$F$23,MATCH($C1802,基础资料!$E$4:$E$23,0)),IF($C1802="","","未匹配账户"))</f>
        <v/>
      </c>
      <c r="E1802" s="39"/>
      <c r="F1802" s="10"/>
      <c r="G1802" s="10"/>
      <c r="H1802" s="10"/>
      <c r="I1802" s="10"/>
      <c r="J1802" s="10"/>
      <c r="K1802" s="25"/>
      <c r="L1802" s="25"/>
      <c r="M1802" s="25" t="str">
        <f>IFERROR(VLOOKUP($C1802,$C$5:$M$24,11,0)+SUMIF($C$25:$C1802,$C1802,$K$25:$K1802)-SUMIF($C$25:$C1802,$C1802,$L$25:$L1802),"")</f>
        <v/>
      </c>
      <c r="N1802" s="10"/>
      <c r="O1802" s="10"/>
      <c r="P1802" s="65"/>
      <c r="Q1802" s="10"/>
      <c r="R1802" s="10"/>
      <c r="S1802" s="54" t="str">
        <f t="shared" si="90"/>
        <v/>
      </c>
      <c r="T1802" s="54" t="str">
        <f t="shared" si="91"/>
        <v/>
      </c>
      <c r="U1802" s="58" t="str">
        <f t="shared" si="92"/>
        <v/>
      </c>
      <c r="V1802" s="58">
        <f>IF(AND($B1802&lt;&gt;"",$F1802&lt;&gt;"",$F1802=项目明细账!$C$2),N(V1801)+1,N(V1801))</f>
        <v>0</v>
      </c>
      <c r="W1802" s="63" t="str">
        <f>IF($H1802&lt;&gt;"","项目成本",IFERROR(INDEX(基础资料!$W$4:$W$49,MATCH($I1802,基础资料!$V$4:$V$49,0)),""))</f>
        <v/>
      </c>
      <c r="X1802" s="63" t="str">
        <f>IFERROR(INDEX(基础资料!$R$4:$R$17,MATCH($G1802,基础资料!$Q$4:$Q$17,0)),"")</f>
        <v/>
      </c>
    </row>
    <row r="1803" spans="1:24">
      <c r="A1803" s="58" t="str">
        <f>IF($B1803="","",COUNTA($B$5:$B1803))</f>
        <v/>
      </c>
      <c r="B1803" s="53"/>
      <c r="C1803" s="46"/>
      <c r="D1803" s="63" t="str">
        <f>IFERROR(INDEX(基础资料!$F$4:$F$23,MATCH($C1803,基础资料!$E$4:$E$23,0)),IF($C1803="","","未匹配账户"))</f>
        <v/>
      </c>
      <c r="E1803" s="39"/>
      <c r="F1803" s="10"/>
      <c r="G1803" s="10"/>
      <c r="H1803" s="10"/>
      <c r="I1803" s="10"/>
      <c r="J1803" s="10"/>
      <c r="K1803" s="25"/>
      <c r="L1803" s="25"/>
      <c r="M1803" s="25" t="str">
        <f>IFERROR(VLOOKUP($C1803,$C$5:$M$24,11,0)+SUMIF($C$25:$C1803,$C1803,$K$25:$K1803)-SUMIF($C$25:$C1803,$C1803,$L$25:$L1803),"")</f>
        <v/>
      </c>
      <c r="N1803" s="10"/>
      <c r="O1803" s="10"/>
      <c r="P1803" s="65"/>
      <c r="Q1803" s="10"/>
      <c r="R1803" s="10"/>
      <c r="S1803" s="54" t="str">
        <f t="shared" si="90"/>
        <v/>
      </c>
      <c r="T1803" s="54" t="str">
        <f t="shared" si="91"/>
        <v/>
      </c>
      <c r="U1803" s="58" t="str">
        <f t="shared" si="92"/>
        <v/>
      </c>
      <c r="V1803" s="58">
        <f>IF(AND($B1803&lt;&gt;"",$F1803&lt;&gt;"",$F1803=项目明细账!$C$2),N(V1802)+1,N(V1802))</f>
        <v>0</v>
      </c>
      <c r="W1803" s="63" t="str">
        <f>IF($H1803&lt;&gt;"","项目成本",IFERROR(INDEX(基础资料!$W$4:$W$49,MATCH($I1803,基础资料!$V$4:$V$49,0)),""))</f>
        <v/>
      </c>
      <c r="X1803" s="63" t="str">
        <f>IFERROR(INDEX(基础资料!$R$4:$R$17,MATCH($G1803,基础资料!$Q$4:$Q$17,0)),"")</f>
        <v/>
      </c>
    </row>
    <row r="1804" spans="1:24">
      <c r="A1804" s="58" t="str">
        <f>IF($B1804="","",COUNTA($B$5:$B1804))</f>
        <v/>
      </c>
      <c r="B1804" s="53"/>
      <c r="C1804" s="46"/>
      <c r="D1804" s="63" t="str">
        <f>IFERROR(INDEX(基础资料!$F$4:$F$23,MATCH($C1804,基础资料!$E$4:$E$23,0)),IF($C1804="","","未匹配账户"))</f>
        <v/>
      </c>
      <c r="E1804" s="39"/>
      <c r="F1804" s="10"/>
      <c r="G1804" s="10"/>
      <c r="H1804" s="10"/>
      <c r="I1804" s="10"/>
      <c r="J1804" s="10"/>
      <c r="K1804" s="25"/>
      <c r="L1804" s="25"/>
      <c r="M1804" s="25" t="str">
        <f>IFERROR(VLOOKUP($C1804,$C$5:$M$24,11,0)+SUMIF($C$25:$C1804,$C1804,$K$25:$K1804)-SUMIF($C$25:$C1804,$C1804,$L$25:$L1804),"")</f>
        <v/>
      </c>
      <c r="N1804" s="10"/>
      <c r="O1804" s="10"/>
      <c r="P1804" s="65"/>
      <c r="Q1804" s="10"/>
      <c r="R1804" s="10"/>
      <c r="S1804" s="54" t="str">
        <f t="shared" si="90"/>
        <v/>
      </c>
      <c r="T1804" s="54" t="str">
        <f t="shared" si="91"/>
        <v/>
      </c>
      <c r="U1804" s="58" t="str">
        <f t="shared" si="92"/>
        <v/>
      </c>
      <c r="V1804" s="58">
        <f>IF(AND($B1804&lt;&gt;"",$F1804&lt;&gt;"",$F1804=项目明细账!$C$2),N(V1803)+1,N(V1803))</f>
        <v>0</v>
      </c>
      <c r="W1804" s="63" t="str">
        <f>IF($H1804&lt;&gt;"","项目成本",IFERROR(INDEX(基础资料!$W$4:$W$49,MATCH($I1804,基础资料!$V$4:$V$49,0)),""))</f>
        <v/>
      </c>
      <c r="X1804" s="63" t="str">
        <f>IFERROR(INDEX(基础资料!$R$4:$R$17,MATCH($G1804,基础资料!$Q$4:$Q$17,0)),"")</f>
        <v/>
      </c>
    </row>
    <row r="1805" spans="1:24">
      <c r="A1805" s="58" t="str">
        <f>IF($B1805="","",COUNTA($B$5:$B1805))</f>
        <v/>
      </c>
      <c r="B1805" s="53"/>
      <c r="C1805" s="46"/>
      <c r="D1805" s="63" t="str">
        <f>IFERROR(INDEX(基础资料!$F$4:$F$23,MATCH($C1805,基础资料!$E$4:$E$23,0)),IF($C1805="","","未匹配账户"))</f>
        <v/>
      </c>
      <c r="E1805" s="39"/>
      <c r="F1805" s="10"/>
      <c r="G1805" s="10"/>
      <c r="H1805" s="10"/>
      <c r="I1805" s="10"/>
      <c r="J1805" s="10"/>
      <c r="K1805" s="25"/>
      <c r="L1805" s="25"/>
      <c r="M1805" s="25" t="str">
        <f>IFERROR(VLOOKUP($C1805,$C$5:$M$24,11,0)+SUMIF($C$25:$C1805,$C1805,$K$25:$K1805)-SUMIF($C$25:$C1805,$C1805,$L$25:$L1805),"")</f>
        <v/>
      </c>
      <c r="N1805" s="10"/>
      <c r="O1805" s="10"/>
      <c r="P1805" s="65"/>
      <c r="Q1805" s="10"/>
      <c r="R1805" s="10"/>
      <c r="S1805" s="54" t="str">
        <f t="shared" si="90"/>
        <v/>
      </c>
      <c r="T1805" s="54" t="str">
        <f t="shared" si="91"/>
        <v/>
      </c>
      <c r="U1805" s="58" t="str">
        <f t="shared" si="92"/>
        <v/>
      </c>
      <c r="V1805" s="58">
        <f>IF(AND($B1805&lt;&gt;"",$F1805&lt;&gt;"",$F1805=项目明细账!$C$2),N(V1804)+1,N(V1804))</f>
        <v>0</v>
      </c>
      <c r="W1805" s="63" t="str">
        <f>IF($H1805&lt;&gt;"","项目成本",IFERROR(INDEX(基础资料!$W$4:$W$49,MATCH($I1805,基础资料!$V$4:$V$49,0)),""))</f>
        <v/>
      </c>
      <c r="X1805" s="63" t="str">
        <f>IFERROR(INDEX(基础资料!$R$4:$R$17,MATCH($G1805,基础资料!$Q$4:$Q$17,0)),"")</f>
        <v/>
      </c>
    </row>
    <row r="1806" spans="1:24">
      <c r="A1806" s="58" t="str">
        <f>IF($B1806="","",COUNTA($B$5:$B1806))</f>
        <v/>
      </c>
      <c r="B1806" s="53"/>
      <c r="C1806" s="46"/>
      <c r="D1806" s="63" t="str">
        <f>IFERROR(INDEX(基础资料!$F$4:$F$23,MATCH($C1806,基础资料!$E$4:$E$23,0)),IF($C1806="","","未匹配账户"))</f>
        <v/>
      </c>
      <c r="E1806" s="39"/>
      <c r="F1806" s="10"/>
      <c r="G1806" s="10"/>
      <c r="H1806" s="10"/>
      <c r="I1806" s="10"/>
      <c r="J1806" s="10"/>
      <c r="K1806" s="25"/>
      <c r="L1806" s="25"/>
      <c r="M1806" s="25" t="str">
        <f>IFERROR(VLOOKUP($C1806,$C$5:$M$24,11,0)+SUMIF($C$25:$C1806,$C1806,$K$25:$K1806)-SUMIF($C$25:$C1806,$C1806,$L$25:$L1806),"")</f>
        <v/>
      </c>
      <c r="N1806" s="10"/>
      <c r="O1806" s="10"/>
      <c r="P1806" s="65"/>
      <c r="Q1806" s="10"/>
      <c r="R1806" s="10"/>
      <c r="S1806" s="54" t="str">
        <f t="shared" si="90"/>
        <v/>
      </c>
      <c r="T1806" s="54" t="str">
        <f t="shared" si="91"/>
        <v/>
      </c>
      <c r="U1806" s="58" t="str">
        <f t="shared" si="92"/>
        <v/>
      </c>
      <c r="V1806" s="58">
        <f>IF(AND($B1806&lt;&gt;"",$F1806&lt;&gt;"",$F1806=项目明细账!$C$2),N(V1805)+1,N(V1805))</f>
        <v>0</v>
      </c>
      <c r="W1806" s="63" t="str">
        <f>IF($H1806&lt;&gt;"","项目成本",IFERROR(INDEX(基础资料!$W$4:$W$49,MATCH($I1806,基础资料!$V$4:$V$49,0)),""))</f>
        <v/>
      </c>
      <c r="X1806" s="63" t="str">
        <f>IFERROR(INDEX(基础资料!$R$4:$R$17,MATCH($G1806,基础资料!$Q$4:$Q$17,0)),"")</f>
        <v/>
      </c>
    </row>
    <row r="1807" spans="1:24">
      <c r="A1807" s="58" t="str">
        <f>IF($B1807="","",COUNTA($B$5:$B1807))</f>
        <v/>
      </c>
      <c r="B1807" s="53"/>
      <c r="C1807" s="46"/>
      <c r="D1807" s="63" t="str">
        <f>IFERROR(INDEX(基础资料!$F$4:$F$23,MATCH($C1807,基础资料!$E$4:$E$23,0)),IF($C1807="","","未匹配账户"))</f>
        <v/>
      </c>
      <c r="E1807" s="39"/>
      <c r="F1807" s="10"/>
      <c r="G1807" s="10"/>
      <c r="H1807" s="10"/>
      <c r="I1807" s="10"/>
      <c r="J1807" s="10"/>
      <c r="K1807" s="25"/>
      <c r="L1807" s="25"/>
      <c r="M1807" s="25" t="str">
        <f>IFERROR(VLOOKUP($C1807,$C$5:$M$24,11,0)+SUMIF($C$25:$C1807,$C1807,$K$25:$K1807)-SUMIF($C$25:$C1807,$C1807,$L$25:$L1807),"")</f>
        <v/>
      </c>
      <c r="N1807" s="10"/>
      <c r="O1807" s="10"/>
      <c r="P1807" s="65"/>
      <c r="Q1807" s="10"/>
      <c r="R1807" s="10"/>
      <c r="S1807" s="54" t="str">
        <f t="shared" si="90"/>
        <v/>
      </c>
      <c r="T1807" s="54" t="str">
        <f t="shared" si="91"/>
        <v/>
      </c>
      <c r="U1807" s="58" t="str">
        <f t="shared" si="92"/>
        <v/>
      </c>
      <c r="V1807" s="58">
        <f>IF(AND($B1807&lt;&gt;"",$F1807&lt;&gt;"",$F1807=项目明细账!$C$2),N(V1806)+1,N(V1806))</f>
        <v>0</v>
      </c>
      <c r="W1807" s="63" t="str">
        <f>IF($H1807&lt;&gt;"","项目成本",IFERROR(INDEX(基础资料!$W$4:$W$49,MATCH($I1807,基础资料!$V$4:$V$49,0)),""))</f>
        <v/>
      </c>
      <c r="X1807" s="63" t="str">
        <f>IFERROR(INDEX(基础资料!$R$4:$R$17,MATCH($G1807,基础资料!$Q$4:$Q$17,0)),"")</f>
        <v/>
      </c>
    </row>
    <row r="1808" spans="1:24">
      <c r="A1808" s="58" t="str">
        <f>IF($B1808="","",COUNTA($B$5:$B1808))</f>
        <v/>
      </c>
      <c r="B1808" s="53"/>
      <c r="C1808" s="46"/>
      <c r="D1808" s="63" t="str">
        <f>IFERROR(INDEX(基础资料!$F$4:$F$23,MATCH($C1808,基础资料!$E$4:$E$23,0)),IF($C1808="","","未匹配账户"))</f>
        <v/>
      </c>
      <c r="E1808" s="39"/>
      <c r="F1808" s="10"/>
      <c r="G1808" s="10"/>
      <c r="H1808" s="10"/>
      <c r="I1808" s="10"/>
      <c r="J1808" s="10"/>
      <c r="K1808" s="25"/>
      <c r="L1808" s="25"/>
      <c r="M1808" s="25" t="str">
        <f>IFERROR(VLOOKUP($C1808,$C$5:$M$24,11,0)+SUMIF($C$25:$C1808,$C1808,$K$25:$K1808)-SUMIF($C$25:$C1808,$C1808,$L$25:$L1808),"")</f>
        <v/>
      </c>
      <c r="N1808" s="10"/>
      <c r="O1808" s="10"/>
      <c r="P1808" s="65"/>
      <c r="Q1808" s="10"/>
      <c r="R1808" s="10"/>
      <c r="S1808" s="54" t="str">
        <f t="shared" si="90"/>
        <v/>
      </c>
      <c r="T1808" s="54" t="str">
        <f t="shared" si="91"/>
        <v/>
      </c>
      <c r="U1808" s="58" t="str">
        <f t="shared" si="92"/>
        <v/>
      </c>
      <c r="V1808" s="58">
        <f>IF(AND($B1808&lt;&gt;"",$F1808&lt;&gt;"",$F1808=项目明细账!$C$2),N(V1807)+1,N(V1807))</f>
        <v>0</v>
      </c>
      <c r="W1808" s="63" t="str">
        <f>IF($H1808&lt;&gt;"","项目成本",IFERROR(INDEX(基础资料!$W$4:$W$49,MATCH($I1808,基础资料!$V$4:$V$49,0)),""))</f>
        <v/>
      </c>
      <c r="X1808" s="63" t="str">
        <f>IFERROR(INDEX(基础资料!$R$4:$R$17,MATCH($G1808,基础资料!$Q$4:$Q$17,0)),"")</f>
        <v/>
      </c>
    </row>
    <row r="1809" spans="1:24">
      <c r="A1809" s="58" t="str">
        <f>IF($B1809="","",COUNTA($B$5:$B1809))</f>
        <v/>
      </c>
      <c r="B1809" s="53"/>
      <c r="C1809" s="46"/>
      <c r="D1809" s="63" t="str">
        <f>IFERROR(INDEX(基础资料!$F$4:$F$23,MATCH($C1809,基础资料!$E$4:$E$23,0)),IF($C1809="","","未匹配账户"))</f>
        <v/>
      </c>
      <c r="E1809" s="39"/>
      <c r="F1809" s="10"/>
      <c r="G1809" s="10"/>
      <c r="H1809" s="10"/>
      <c r="I1809" s="10"/>
      <c r="J1809" s="10"/>
      <c r="K1809" s="25"/>
      <c r="L1809" s="25"/>
      <c r="M1809" s="25" t="str">
        <f>IFERROR(VLOOKUP($C1809,$C$5:$M$24,11,0)+SUMIF($C$25:$C1809,$C1809,$K$25:$K1809)-SUMIF($C$25:$C1809,$C1809,$L$25:$L1809),"")</f>
        <v/>
      </c>
      <c r="N1809" s="10"/>
      <c r="O1809" s="10"/>
      <c r="P1809" s="65"/>
      <c r="Q1809" s="10"/>
      <c r="R1809" s="10"/>
      <c r="S1809" s="54" t="str">
        <f t="shared" si="90"/>
        <v/>
      </c>
      <c r="T1809" s="54" t="str">
        <f t="shared" si="91"/>
        <v/>
      </c>
      <c r="U1809" s="58" t="str">
        <f t="shared" si="92"/>
        <v/>
      </c>
      <c r="V1809" s="58">
        <f>IF(AND($B1809&lt;&gt;"",$F1809&lt;&gt;"",$F1809=项目明细账!$C$2),N(V1808)+1,N(V1808))</f>
        <v>0</v>
      </c>
      <c r="W1809" s="63" t="str">
        <f>IF($H1809&lt;&gt;"","项目成本",IFERROR(INDEX(基础资料!$W$4:$W$49,MATCH($I1809,基础资料!$V$4:$V$49,0)),""))</f>
        <v/>
      </c>
      <c r="X1809" s="63" t="str">
        <f>IFERROR(INDEX(基础资料!$R$4:$R$17,MATCH($G1809,基础资料!$Q$4:$Q$17,0)),"")</f>
        <v/>
      </c>
    </row>
    <row r="1810" spans="1:24">
      <c r="A1810" s="58" t="str">
        <f>IF($B1810="","",COUNTA($B$5:$B1810))</f>
        <v/>
      </c>
      <c r="B1810" s="53"/>
      <c r="C1810" s="46"/>
      <c r="D1810" s="63" t="str">
        <f>IFERROR(INDEX(基础资料!$F$4:$F$23,MATCH($C1810,基础资料!$E$4:$E$23,0)),IF($C1810="","","未匹配账户"))</f>
        <v/>
      </c>
      <c r="E1810" s="39"/>
      <c r="F1810" s="10"/>
      <c r="G1810" s="10"/>
      <c r="H1810" s="10"/>
      <c r="I1810" s="10"/>
      <c r="J1810" s="10"/>
      <c r="K1810" s="25"/>
      <c r="L1810" s="25"/>
      <c r="M1810" s="25" t="str">
        <f>IFERROR(VLOOKUP($C1810,$C$5:$M$24,11,0)+SUMIF($C$25:$C1810,$C1810,$K$25:$K1810)-SUMIF($C$25:$C1810,$C1810,$L$25:$L1810),"")</f>
        <v/>
      </c>
      <c r="N1810" s="10"/>
      <c r="O1810" s="10"/>
      <c r="P1810" s="65"/>
      <c r="Q1810" s="10"/>
      <c r="R1810" s="10"/>
      <c r="S1810" s="54" t="str">
        <f t="shared" si="90"/>
        <v/>
      </c>
      <c r="T1810" s="54" t="str">
        <f t="shared" si="91"/>
        <v/>
      </c>
      <c r="U1810" s="58" t="str">
        <f t="shared" si="92"/>
        <v/>
      </c>
      <c r="V1810" s="58">
        <f>IF(AND($B1810&lt;&gt;"",$F1810&lt;&gt;"",$F1810=项目明细账!$C$2),N(V1809)+1,N(V1809))</f>
        <v>0</v>
      </c>
      <c r="W1810" s="63" t="str">
        <f>IF($H1810&lt;&gt;"","项目成本",IFERROR(INDEX(基础资料!$W$4:$W$49,MATCH($I1810,基础资料!$V$4:$V$49,0)),""))</f>
        <v/>
      </c>
      <c r="X1810" s="63" t="str">
        <f>IFERROR(INDEX(基础资料!$R$4:$R$17,MATCH($G1810,基础资料!$Q$4:$Q$17,0)),"")</f>
        <v/>
      </c>
    </row>
    <row r="1811" spans="1:24">
      <c r="A1811" s="58" t="str">
        <f>IF($B1811="","",COUNTA($B$5:$B1811))</f>
        <v/>
      </c>
      <c r="B1811" s="53"/>
      <c r="C1811" s="46"/>
      <c r="D1811" s="63" t="str">
        <f>IFERROR(INDEX(基础资料!$F$4:$F$23,MATCH($C1811,基础资料!$E$4:$E$23,0)),IF($C1811="","","未匹配账户"))</f>
        <v/>
      </c>
      <c r="E1811" s="39"/>
      <c r="F1811" s="10"/>
      <c r="G1811" s="10"/>
      <c r="H1811" s="10"/>
      <c r="I1811" s="10"/>
      <c r="J1811" s="10"/>
      <c r="K1811" s="25"/>
      <c r="L1811" s="25"/>
      <c r="M1811" s="25" t="str">
        <f>IFERROR(VLOOKUP($C1811,$C$5:$M$24,11,0)+SUMIF($C$25:$C1811,$C1811,$K$25:$K1811)-SUMIF($C$25:$C1811,$C1811,$L$25:$L1811),"")</f>
        <v/>
      </c>
      <c r="N1811" s="10"/>
      <c r="O1811" s="10"/>
      <c r="P1811" s="65"/>
      <c r="Q1811" s="10"/>
      <c r="R1811" s="10"/>
      <c r="S1811" s="54" t="str">
        <f t="shared" si="90"/>
        <v/>
      </c>
      <c r="T1811" s="54" t="str">
        <f t="shared" si="91"/>
        <v/>
      </c>
      <c r="U1811" s="58" t="str">
        <f t="shared" si="92"/>
        <v/>
      </c>
      <c r="V1811" s="58">
        <f>IF(AND($B1811&lt;&gt;"",$F1811&lt;&gt;"",$F1811=项目明细账!$C$2),N(V1810)+1,N(V1810))</f>
        <v>0</v>
      </c>
      <c r="W1811" s="63" t="str">
        <f>IF($H1811&lt;&gt;"","项目成本",IFERROR(INDEX(基础资料!$W$4:$W$49,MATCH($I1811,基础资料!$V$4:$V$49,0)),""))</f>
        <v/>
      </c>
      <c r="X1811" s="63" t="str">
        <f>IFERROR(INDEX(基础资料!$R$4:$R$17,MATCH($G1811,基础资料!$Q$4:$Q$17,0)),"")</f>
        <v/>
      </c>
    </row>
    <row r="1812" spans="1:24">
      <c r="A1812" s="58" t="str">
        <f>IF($B1812="","",COUNTA($B$5:$B1812))</f>
        <v/>
      </c>
      <c r="B1812" s="53"/>
      <c r="C1812" s="46"/>
      <c r="D1812" s="63" t="str">
        <f>IFERROR(INDEX(基础资料!$F$4:$F$23,MATCH($C1812,基础资料!$E$4:$E$23,0)),IF($C1812="","","未匹配账户"))</f>
        <v/>
      </c>
      <c r="E1812" s="39"/>
      <c r="F1812" s="10"/>
      <c r="G1812" s="10"/>
      <c r="H1812" s="10"/>
      <c r="I1812" s="10"/>
      <c r="J1812" s="10"/>
      <c r="K1812" s="25"/>
      <c r="L1812" s="25"/>
      <c r="M1812" s="25" t="str">
        <f>IFERROR(VLOOKUP($C1812,$C$5:$M$24,11,0)+SUMIF($C$25:$C1812,$C1812,$K$25:$K1812)-SUMIF($C$25:$C1812,$C1812,$L$25:$L1812),"")</f>
        <v/>
      </c>
      <c r="N1812" s="10"/>
      <c r="O1812" s="10"/>
      <c r="P1812" s="65"/>
      <c r="Q1812" s="10"/>
      <c r="R1812" s="10"/>
      <c r="S1812" s="54" t="str">
        <f t="shared" si="90"/>
        <v/>
      </c>
      <c r="T1812" s="54" t="str">
        <f t="shared" si="91"/>
        <v/>
      </c>
      <c r="U1812" s="58" t="str">
        <f t="shared" si="92"/>
        <v/>
      </c>
      <c r="V1812" s="58">
        <f>IF(AND($B1812&lt;&gt;"",$F1812&lt;&gt;"",$F1812=项目明细账!$C$2),N(V1811)+1,N(V1811))</f>
        <v>0</v>
      </c>
      <c r="W1812" s="63" t="str">
        <f>IF($H1812&lt;&gt;"","项目成本",IFERROR(INDEX(基础资料!$W$4:$W$49,MATCH($I1812,基础资料!$V$4:$V$49,0)),""))</f>
        <v/>
      </c>
      <c r="X1812" s="63" t="str">
        <f>IFERROR(INDEX(基础资料!$R$4:$R$17,MATCH($G1812,基础资料!$Q$4:$Q$17,0)),"")</f>
        <v/>
      </c>
    </row>
    <row r="1813" spans="1:24">
      <c r="A1813" s="58" t="str">
        <f>IF($B1813="","",COUNTA($B$5:$B1813))</f>
        <v/>
      </c>
      <c r="B1813" s="53"/>
      <c r="C1813" s="46"/>
      <c r="D1813" s="63" t="str">
        <f>IFERROR(INDEX(基础资料!$F$4:$F$23,MATCH($C1813,基础资料!$E$4:$E$23,0)),IF($C1813="","","未匹配账户"))</f>
        <v/>
      </c>
      <c r="E1813" s="39"/>
      <c r="F1813" s="10"/>
      <c r="G1813" s="10"/>
      <c r="H1813" s="10"/>
      <c r="I1813" s="10"/>
      <c r="J1813" s="10"/>
      <c r="K1813" s="25"/>
      <c r="L1813" s="25"/>
      <c r="M1813" s="25" t="str">
        <f>IFERROR(VLOOKUP($C1813,$C$5:$M$24,11,0)+SUMIF($C$25:$C1813,$C1813,$K$25:$K1813)-SUMIF($C$25:$C1813,$C1813,$L$25:$L1813),"")</f>
        <v/>
      </c>
      <c r="N1813" s="10"/>
      <c r="O1813" s="10"/>
      <c r="P1813" s="65"/>
      <c r="Q1813" s="10"/>
      <c r="R1813" s="10"/>
      <c r="S1813" s="54" t="str">
        <f t="shared" si="90"/>
        <v/>
      </c>
      <c r="T1813" s="54" t="str">
        <f t="shared" si="91"/>
        <v/>
      </c>
      <c r="U1813" s="58" t="str">
        <f t="shared" si="92"/>
        <v/>
      </c>
      <c r="V1813" s="58">
        <f>IF(AND($B1813&lt;&gt;"",$F1813&lt;&gt;"",$F1813=项目明细账!$C$2),N(V1812)+1,N(V1812))</f>
        <v>0</v>
      </c>
      <c r="W1813" s="63" t="str">
        <f>IF($H1813&lt;&gt;"","项目成本",IFERROR(INDEX(基础资料!$W$4:$W$49,MATCH($I1813,基础资料!$V$4:$V$49,0)),""))</f>
        <v/>
      </c>
      <c r="X1813" s="63" t="str">
        <f>IFERROR(INDEX(基础资料!$R$4:$R$17,MATCH($G1813,基础资料!$Q$4:$Q$17,0)),"")</f>
        <v/>
      </c>
    </row>
    <row r="1814" spans="1:24">
      <c r="A1814" s="58" t="str">
        <f>IF($B1814="","",COUNTA($B$5:$B1814))</f>
        <v/>
      </c>
      <c r="B1814" s="53"/>
      <c r="C1814" s="46"/>
      <c r="D1814" s="63" t="str">
        <f>IFERROR(INDEX(基础资料!$F$4:$F$23,MATCH($C1814,基础资料!$E$4:$E$23,0)),IF($C1814="","","未匹配账户"))</f>
        <v/>
      </c>
      <c r="E1814" s="39"/>
      <c r="F1814" s="10"/>
      <c r="G1814" s="10"/>
      <c r="H1814" s="10"/>
      <c r="I1814" s="10"/>
      <c r="J1814" s="10"/>
      <c r="K1814" s="25"/>
      <c r="L1814" s="25"/>
      <c r="M1814" s="25" t="str">
        <f>IFERROR(VLOOKUP($C1814,$C$5:$M$24,11,0)+SUMIF($C$25:$C1814,$C1814,$K$25:$K1814)-SUMIF($C$25:$C1814,$C1814,$L$25:$L1814),"")</f>
        <v/>
      </c>
      <c r="N1814" s="10"/>
      <c r="O1814" s="10"/>
      <c r="P1814" s="65"/>
      <c r="Q1814" s="10"/>
      <c r="R1814" s="10"/>
      <c r="S1814" s="54" t="str">
        <f t="shared" si="90"/>
        <v/>
      </c>
      <c r="T1814" s="54" t="str">
        <f t="shared" si="91"/>
        <v/>
      </c>
      <c r="U1814" s="58" t="str">
        <f t="shared" si="92"/>
        <v/>
      </c>
      <c r="V1814" s="58">
        <f>IF(AND($B1814&lt;&gt;"",$F1814&lt;&gt;"",$F1814=项目明细账!$C$2),N(V1813)+1,N(V1813))</f>
        <v>0</v>
      </c>
      <c r="W1814" s="63" t="str">
        <f>IF($H1814&lt;&gt;"","项目成本",IFERROR(INDEX(基础资料!$W$4:$W$49,MATCH($I1814,基础资料!$V$4:$V$49,0)),""))</f>
        <v/>
      </c>
      <c r="X1814" s="63" t="str">
        <f>IFERROR(INDEX(基础资料!$R$4:$R$17,MATCH($G1814,基础资料!$Q$4:$Q$17,0)),"")</f>
        <v/>
      </c>
    </row>
    <row r="1815" spans="1:24">
      <c r="A1815" s="58" t="str">
        <f>IF($B1815="","",COUNTA($B$5:$B1815))</f>
        <v/>
      </c>
      <c r="B1815" s="53"/>
      <c r="C1815" s="46"/>
      <c r="D1815" s="63" t="str">
        <f>IFERROR(INDEX(基础资料!$F$4:$F$23,MATCH($C1815,基础资料!$E$4:$E$23,0)),IF($C1815="","","未匹配账户"))</f>
        <v/>
      </c>
      <c r="E1815" s="39"/>
      <c r="F1815" s="10"/>
      <c r="G1815" s="10"/>
      <c r="H1815" s="10"/>
      <c r="I1815" s="10"/>
      <c r="J1815" s="10"/>
      <c r="K1815" s="25"/>
      <c r="L1815" s="25"/>
      <c r="M1815" s="25" t="str">
        <f>IFERROR(VLOOKUP($C1815,$C$5:$M$24,11,0)+SUMIF($C$25:$C1815,$C1815,$K$25:$K1815)-SUMIF($C$25:$C1815,$C1815,$L$25:$L1815),"")</f>
        <v/>
      </c>
      <c r="N1815" s="10"/>
      <c r="O1815" s="10"/>
      <c r="P1815" s="65"/>
      <c r="Q1815" s="10"/>
      <c r="R1815" s="10"/>
      <c r="S1815" s="54" t="str">
        <f t="shared" si="90"/>
        <v/>
      </c>
      <c r="T1815" s="54" t="str">
        <f t="shared" si="91"/>
        <v/>
      </c>
      <c r="U1815" s="58" t="str">
        <f t="shared" si="92"/>
        <v/>
      </c>
      <c r="V1815" s="58">
        <f>IF(AND($B1815&lt;&gt;"",$F1815&lt;&gt;"",$F1815=项目明细账!$C$2),N(V1814)+1,N(V1814))</f>
        <v>0</v>
      </c>
      <c r="W1815" s="63" t="str">
        <f>IF($H1815&lt;&gt;"","项目成本",IFERROR(INDEX(基础资料!$W$4:$W$49,MATCH($I1815,基础资料!$V$4:$V$49,0)),""))</f>
        <v/>
      </c>
      <c r="X1815" s="63" t="str">
        <f>IFERROR(INDEX(基础资料!$R$4:$R$17,MATCH($G1815,基础资料!$Q$4:$Q$17,0)),"")</f>
        <v/>
      </c>
    </row>
    <row r="1816" spans="1:24">
      <c r="A1816" s="58" t="str">
        <f>IF($B1816="","",COUNTA($B$5:$B1816))</f>
        <v/>
      </c>
      <c r="B1816" s="53"/>
      <c r="C1816" s="46"/>
      <c r="D1816" s="63" t="str">
        <f>IFERROR(INDEX(基础资料!$F$4:$F$23,MATCH($C1816,基础资料!$E$4:$E$23,0)),IF($C1816="","","未匹配账户"))</f>
        <v/>
      </c>
      <c r="E1816" s="39"/>
      <c r="F1816" s="10"/>
      <c r="G1816" s="10"/>
      <c r="H1816" s="10"/>
      <c r="I1816" s="10"/>
      <c r="J1816" s="10"/>
      <c r="K1816" s="25"/>
      <c r="L1816" s="25"/>
      <c r="M1816" s="25" t="str">
        <f>IFERROR(VLOOKUP($C1816,$C$5:$M$24,11,0)+SUMIF($C$25:$C1816,$C1816,$K$25:$K1816)-SUMIF($C$25:$C1816,$C1816,$L$25:$L1816),"")</f>
        <v/>
      </c>
      <c r="N1816" s="10"/>
      <c r="O1816" s="10"/>
      <c r="P1816" s="65"/>
      <c r="Q1816" s="10"/>
      <c r="R1816" s="10"/>
      <c r="S1816" s="54" t="str">
        <f t="shared" si="90"/>
        <v/>
      </c>
      <c r="T1816" s="54" t="str">
        <f t="shared" si="91"/>
        <v/>
      </c>
      <c r="U1816" s="58" t="str">
        <f t="shared" si="92"/>
        <v/>
      </c>
      <c r="V1816" s="58">
        <f>IF(AND($B1816&lt;&gt;"",$F1816&lt;&gt;"",$F1816=项目明细账!$C$2),N(V1815)+1,N(V1815))</f>
        <v>0</v>
      </c>
      <c r="W1816" s="63" t="str">
        <f>IF($H1816&lt;&gt;"","项目成本",IFERROR(INDEX(基础资料!$W$4:$W$49,MATCH($I1816,基础资料!$V$4:$V$49,0)),""))</f>
        <v/>
      </c>
      <c r="X1816" s="63" t="str">
        <f>IFERROR(INDEX(基础资料!$R$4:$R$17,MATCH($G1816,基础资料!$Q$4:$Q$17,0)),"")</f>
        <v/>
      </c>
    </row>
    <row r="1817" spans="1:24">
      <c r="A1817" s="58" t="str">
        <f>IF($B1817="","",COUNTA($B$5:$B1817))</f>
        <v/>
      </c>
      <c r="B1817" s="53"/>
      <c r="C1817" s="46"/>
      <c r="D1817" s="63" t="str">
        <f>IFERROR(INDEX(基础资料!$F$4:$F$23,MATCH($C1817,基础资料!$E$4:$E$23,0)),IF($C1817="","","未匹配账户"))</f>
        <v/>
      </c>
      <c r="E1817" s="39"/>
      <c r="F1817" s="10"/>
      <c r="G1817" s="10"/>
      <c r="H1817" s="10"/>
      <c r="I1817" s="10"/>
      <c r="J1817" s="10"/>
      <c r="K1817" s="25"/>
      <c r="L1817" s="25"/>
      <c r="M1817" s="25" t="str">
        <f>IFERROR(VLOOKUP($C1817,$C$5:$M$24,11,0)+SUMIF($C$25:$C1817,$C1817,$K$25:$K1817)-SUMIF($C$25:$C1817,$C1817,$L$25:$L1817),"")</f>
        <v/>
      </c>
      <c r="N1817" s="10"/>
      <c r="O1817" s="10"/>
      <c r="P1817" s="65"/>
      <c r="Q1817" s="10"/>
      <c r="R1817" s="10"/>
      <c r="S1817" s="54" t="str">
        <f t="shared" si="90"/>
        <v/>
      </c>
      <c r="T1817" s="54" t="str">
        <f t="shared" si="91"/>
        <v/>
      </c>
      <c r="U1817" s="58" t="str">
        <f t="shared" si="92"/>
        <v/>
      </c>
      <c r="V1817" s="58">
        <f>IF(AND($B1817&lt;&gt;"",$F1817&lt;&gt;"",$F1817=项目明细账!$C$2),N(V1816)+1,N(V1816))</f>
        <v>0</v>
      </c>
      <c r="W1817" s="63" t="str">
        <f>IF($H1817&lt;&gt;"","项目成本",IFERROR(INDEX(基础资料!$W$4:$W$49,MATCH($I1817,基础资料!$V$4:$V$49,0)),""))</f>
        <v/>
      </c>
      <c r="X1817" s="63" t="str">
        <f>IFERROR(INDEX(基础资料!$R$4:$R$17,MATCH($G1817,基础资料!$Q$4:$Q$17,0)),"")</f>
        <v/>
      </c>
    </row>
    <row r="1818" spans="1:24">
      <c r="A1818" s="58" t="str">
        <f>IF($B1818="","",COUNTA($B$5:$B1818))</f>
        <v/>
      </c>
      <c r="B1818" s="53"/>
      <c r="C1818" s="46"/>
      <c r="D1818" s="63" t="str">
        <f>IFERROR(INDEX(基础资料!$F$4:$F$23,MATCH($C1818,基础资料!$E$4:$E$23,0)),IF($C1818="","","未匹配账户"))</f>
        <v/>
      </c>
      <c r="E1818" s="39"/>
      <c r="F1818" s="10"/>
      <c r="G1818" s="10"/>
      <c r="H1818" s="10"/>
      <c r="I1818" s="10"/>
      <c r="J1818" s="10"/>
      <c r="K1818" s="25"/>
      <c r="L1818" s="25"/>
      <c r="M1818" s="25" t="str">
        <f>IFERROR(VLOOKUP($C1818,$C$5:$M$24,11,0)+SUMIF($C$25:$C1818,$C1818,$K$25:$K1818)-SUMIF($C$25:$C1818,$C1818,$L$25:$L1818),"")</f>
        <v/>
      </c>
      <c r="N1818" s="10"/>
      <c r="O1818" s="10"/>
      <c r="P1818" s="65"/>
      <c r="Q1818" s="10"/>
      <c r="R1818" s="10"/>
      <c r="S1818" s="54" t="str">
        <f t="shared" si="90"/>
        <v/>
      </c>
      <c r="T1818" s="54" t="str">
        <f t="shared" si="91"/>
        <v/>
      </c>
      <c r="U1818" s="58" t="str">
        <f t="shared" si="92"/>
        <v/>
      </c>
      <c r="V1818" s="58">
        <f>IF(AND($B1818&lt;&gt;"",$F1818&lt;&gt;"",$F1818=项目明细账!$C$2),N(V1817)+1,N(V1817))</f>
        <v>0</v>
      </c>
      <c r="W1818" s="63" t="str">
        <f>IF($H1818&lt;&gt;"","项目成本",IFERROR(INDEX(基础资料!$W$4:$W$49,MATCH($I1818,基础资料!$V$4:$V$49,0)),""))</f>
        <v/>
      </c>
      <c r="X1818" s="63" t="str">
        <f>IFERROR(INDEX(基础资料!$R$4:$R$17,MATCH($G1818,基础资料!$Q$4:$Q$17,0)),"")</f>
        <v/>
      </c>
    </row>
    <row r="1819" spans="1:24">
      <c r="A1819" s="58" t="str">
        <f>IF($B1819="","",COUNTA($B$5:$B1819))</f>
        <v/>
      </c>
      <c r="B1819" s="53"/>
      <c r="C1819" s="46"/>
      <c r="D1819" s="63" t="str">
        <f>IFERROR(INDEX(基础资料!$F$4:$F$23,MATCH($C1819,基础资料!$E$4:$E$23,0)),IF($C1819="","","未匹配账户"))</f>
        <v/>
      </c>
      <c r="E1819" s="39"/>
      <c r="F1819" s="10"/>
      <c r="G1819" s="10"/>
      <c r="H1819" s="10"/>
      <c r="I1819" s="10"/>
      <c r="J1819" s="10"/>
      <c r="K1819" s="25"/>
      <c r="L1819" s="25"/>
      <c r="M1819" s="25" t="str">
        <f>IFERROR(VLOOKUP($C1819,$C$5:$M$24,11,0)+SUMIF($C$25:$C1819,$C1819,$K$25:$K1819)-SUMIF($C$25:$C1819,$C1819,$L$25:$L1819),"")</f>
        <v/>
      </c>
      <c r="N1819" s="10"/>
      <c r="O1819" s="10"/>
      <c r="P1819" s="65"/>
      <c r="Q1819" s="10"/>
      <c r="R1819" s="10"/>
      <c r="S1819" s="54" t="str">
        <f t="shared" si="90"/>
        <v/>
      </c>
      <c r="T1819" s="54" t="str">
        <f t="shared" si="91"/>
        <v/>
      </c>
      <c r="U1819" s="58" t="str">
        <f t="shared" si="92"/>
        <v/>
      </c>
      <c r="V1819" s="58">
        <f>IF(AND($B1819&lt;&gt;"",$F1819&lt;&gt;"",$F1819=项目明细账!$C$2),N(V1818)+1,N(V1818))</f>
        <v>0</v>
      </c>
      <c r="W1819" s="63" t="str">
        <f>IF($H1819&lt;&gt;"","项目成本",IFERROR(INDEX(基础资料!$W$4:$W$49,MATCH($I1819,基础资料!$V$4:$V$49,0)),""))</f>
        <v/>
      </c>
      <c r="X1819" s="63" t="str">
        <f>IFERROR(INDEX(基础资料!$R$4:$R$17,MATCH($G1819,基础资料!$Q$4:$Q$17,0)),"")</f>
        <v/>
      </c>
    </row>
    <row r="1820" spans="1:24">
      <c r="A1820" s="58" t="str">
        <f>IF($B1820="","",COUNTA($B$5:$B1820))</f>
        <v/>
      </c>
      <c r="B1820" s="53"/>
      <c r="C1820" s="46"/>
      <c r="D1820" s="63" t="str">
        <f>IFERROR(INDEX(基础资料!$F$4:$F$23,MATCH($C1820,基础资料!$E$4:$E$23,0)),IF($C1820="","","未匹配账户"))</f>
        <v/>
      </c>
      <c r="E1820" s="39"/>
      <c r="F1820" s="10"/>
      <c r="G1820" s="10"/>
      <c r="H1820" s="10"/>
      <c r="I1820" s="10"/>
      <c r="J1820" s="10"/>
      <c r="K1820" s="25"/>
      <c r="L1820" s="25"/>
      <c r="M1820" s="25" t="str">
        <f>IFERROR(VLOOKUP($C1820,$C$5:$M$24,11,0)+SUMIF($C$25:$C1820,$C1820,$K$25:$K1820)-SUMIF($C$25:$C1820,$C1820,$L$25:$L1820),"")</f>
        <v/>
      </c>
      <c r="N1820" s="10"/>
      <c r="O1820" s="10"/>
      <c r="P1820" s="65"/>
      <c r="Q1820" s="10"/>
      <c r="R1820" s="10"/>
      <c r="S1820" s="54" t="str">
        <f t="shared" si="90"/>
        <v/>
      </c>
      <c r="T1820" s="54" t="str">
        <f t="shared" si="91"/>
        <v/>
      </c>
      <c r="U1820" s="58" t="str">
        <f t="shared" si="92"/>
        <v/>
      </c>
      <c r="V1820" s="58">
        <f>IF(AND($B1820&lt;&gt;"",$F1820&lt;&gt;"",$F1820=项目明细账!$C$2),N(V1819)+1,N(V1819))</f>
        <v>0</v>
      </c>
      <c r="W1820" s="63" t="str">
        <f>IF($H1820&lt;&gt;"","项目成本",IFERROR(INDEX(基础资料!$W$4:$W$49,MATCH($I1820,基础资料!$V$4:$V$49,0)),""))</f>
        <v/>
      </c>
      <c r="X1820" s="63" t="str">
        <f>IFERROR(INDEX(基础资料!$R$4:$R$17,MATCH($G1820,基础资料!$Q$4:$Q$17,0)),"")</f>
        <v/>
      </c>
    </row>
    <row r="1821" spans="1:24">
      <c r="A1821" s="58" t="str">
        <f>IF($B1821="","",COUNTA($B$5:$B1821))</f>
        <v/>
      </c>
      <c r="B1821" s="53"/>
      <c r="C1821" s="46"/>
      <c r="D1821" s="63" t="str">
        <f>IFERROR(INDEX(基础资料!$F$4:$F$23,MATCH($C1821,基础资料!$E$4:$E$23,0)),IF($C1821="","","未匹配账户"))</f>
        <v/>
      </c>
      <c r="E1821" s="39"/>
      <c r="F1821" s="10"/>
      <c r="G1821" s="10"/>
      <c r="H1821" s="10"/>
      <c r="I1821" s="10"/>
      <c r="J1821" s="10"/>
      <c r="K1821" s="25"/>
      <c r="L1821" s="25"/>
      <c r="M1821" s="25" t="str">
        <f>IFERROR(VLOOKUP($C1821,$C$5:$M$24,11,0)+SUMIF($C$25:$C1821,$C1821,$K$25:$K1821)-SUMIF($C$25:$C1821,$C1821,$L$25:$L1821),"")</f>
        <v/>
      </c>
      <c r="N1821" s="10"/>
      <c r="O1821" s="10"/>
      <c r="P1821" s="65"/>
      <c r="Q1821" s="10"/>
      <c r="R1821" s="10"/>
      <c r="S1821" s="54" t="str">
        <f t="shared" si="90"/>
        <v/>
      </c>
      <c r="T1821" s="54" t="str">
        <f t="shared" si="91"/>
        <v/>
      </c>
      <c r="U1821" s="58" t="str">
        <f t="shared" si="92"/>
        <v/>
      </c>
      <c r="V1821" s="58">
        <f>IF(AND($B1821&lt;&gt;"",$F1821&lt;&gt;"",$F1821=项目明细账!$C$2),N(V1820)+1,N(V1820))</f>
        <v>0</v>
      </c>
      <c r="W1821" s="63" t="str">
        <f>IF($H1821&lt;&gt;"","项目成本",IFERROR(INDEX(基础资料!$W$4:$W$49,MATCH($I1821,基础资料!$V$4:$V$49,0)),""))</f>
        <v/>
      </c>
      <c r="X1821" s="63" t="str">
        <f>IFERROR(INDEX(基础资料!$R$4:$R$17,MATCH($G1821,基础资料!$Q$4:$Q$17,0)),"")</f>
        <v/>
      </c>
    </row>
    <row r="1822" spans="1:24">
      <c r="A1822" s="58" t="str">
        <f>IF($B1822="","",COUNTA($B$5:$B1822))</f>
        <v/>
      </c>
      <c r="B1822" s="53"/>
      <c r="C1822" s="46"/>
      <c r="D1822" s="63" t="str">
        <f>IFERROR(INDEX(基础资料!$F$4:$F$23,MATCH($C1822,基础资料!$E$4:$E$23,0)),IF($C1822="","","未匹配账户"))</f>
        <v/>
      </c>
      <c r="E1822" s="39"/>
      <c r="F1822" s="10"/>
      <c r="G1822" s="10"/>
      <c r="H1822" s="10"/>
      <c r="I1822" s="10"/>
      <c r="J1822" s="10"/>
      <c r="K1822" s="25"/>
      <c r="L1822" s="25"/>
      <c r="M1822" s="25" t="str">
        <f>IFERROR(VLOOKUP($C1822,$C$5:$M$24,11,0)+SUMIF($C$25:$C1822,$C1822,$K$25:$K1822)-SUMIF($C$25:$C1822,$C1822,$L$25:$L1822),"")</f>
        <v/>
      </c>
      <c r="N1822" s="10"/>
      <c r="O1822" s="10"/>
      <c r="P1822" s="65"/>
      <c r="Q1822" s="10"/>
      <c r="R1822" s="10"/>
      <c r="S1822" s="54" t="str">
        <f t="shared" si="90"/>
        <v/>
      </c>
      <c r="T1822" s="54" t="str">
        <f t="shared" si="91"/>
        <v/>
      </c>
      <c r="U1822" s="58" t="str">
        <f t="shared" si="92"/>
        <v/>
      </c>
      <c r="V1822" s="58">
        <f>IF(AND($B1822&lt;&gt;"",$F1822&lt;&gt;"",$F1822=项目明细账!$C$2),N(V1821)+1,N(V1821))</f>
        <v>0</v>
      </c>
      <c r="W1822" s="63" t="str">
        <f>IF($H1822&lt;&gt;"","项目成本",IFERROR(INDEX(基础资料!$W$4:$W$49,MATCH($I1822,基础资料!$V$4:$V$49,0)),""))</f>
        <v/>
      </c>
      <c r="X1822" s="63" t="str">
        <f>IFERROR(INDEX(基础资料!$R$4:$R$17,MATCH($G1822,基础资料!$Q$4:$Q$17,0)),"")</f>
        <v/>
      </c>
    </row>
    <row r="1823" spans="1:24">
      <c r="A1823" s="58" t="str">
        <f>IF($B1823="","",COUNTA($B$5:$B1823))</f>
        <v/>
      </c>
      <c r="B1823" s="53"/>
      <c r="C1823" s="46"/>
      <c r="D1823" s="63" t="str">
        <f>IFERROR(INDEX(基础资料!$F$4:$F$23,MATCH($C1823,基础资料!$E$4:$E$23,0)),IF($C1823="","","未匹配账户"))</f>
        <v/>
      </c>
      <c r="E1823" s="39"/>
      <c r="F1823" s="10"/>
      <c r="G1823" s="10"/>
      <c r="H1823" s="10"/>
      <c r="I1823" s="10"/>
      <c r="J1823" s="10"/>
      <c r="K1823" s="25"/>
      <c r="L1823" s="25"/>
      <c r="M1823" s="25" t="str">
        <f>IFERROR(VLOOKUP($C1823,$C$5:$M$24,11,0)+SUMIF($C$25:$C1823,$C1823,$K$25:$K1823)-SUMIF($C$25:$C1823,$C1823,$L$25:$L1823),"")</f>
        <v/>
      </c>
      <c r="N1823" s="10"/>
      <c r="O1823" s="10"/>
      <c r="P1823" s="65"/>
      <c r="Q1823" s="10"/>
      <c r="R1823" s="10"/>
      <c r="S1823" s="54" t="str">
        <f t="shared" si="90"/>
        <v/>
      </c>
      <c r="T1823" s="54" t="str">
        <f t="shared" si="91"/>
        <v/>
      </c>
      <c r="U1823" s="58" t="str">
        <f t="shared" si="92"/>
        <v/>
      </c>
      <c r="V1823" s="58">
        <f>IF(AND($B1823&lt;&gt;"",$F1823&lt;&gt;"",$F1823=项目明细账!$C$2),N(V1822)+1,N(V1822))</f>
        <v>0</v>
      </c>
      <c r="W1823" s="63" t="str">
        <f>IF($H1823&lt;&gt;"","项目成本",IFERROR(INDEX(基础资料!$W$4:$W$49,MATCH($I1823,基础资料!$V$4:$V$49,0)),""))</f>
        <v/>
      </c>
      <c r="X1823" s="63" t="str">
        <f>IFERROR(INDEX(基础资料!$R$4:$R$17,MATCH($G1823,基础资料!$Q$4:$Q$17,0)),"")</f>
        <v/>
      </c>
    </row>
    <row r="1824" spans="1:24">
      <c r="A1824" s="58" t="str">
        <f>IF($B1824="","",COUNTA($B$5:$B1824))</f>
        <v/>
      </c>
      <c r="B1824" s="53"/>
      <c r="C1824" s="46"/>
      <c r="D1824" s="63" t="str">
        <f>IFERROR(INDEX(基础资料!$F$4:$F$23,MATCH($C1824,基础资料!$E$4:$E$23,0)),IF($C1824="","","未匹配账户"))</f>
        <v/>
      </c>
      <c r="E1824" s="39"/>
      <c r="F1824" s="10"/>
      <c r="G1824" s="10"/>
      <c r="H1824" s="10"/>
      <c r="I1824" s="10"/>
      <c r="J1824" s="10"/>
      <c r="K1824" s="25"/>
      <c r="L1824" s="25"/>
      <c r="M1824" s="25" t="str">
        <f>IFERROR(VLOOKUP($C1824,$C$5:$M$24,11,0)+SUMIF($C$25:$C1824,$C1824,$K$25:$K1824)-SUMIF($C$25:$C1824,$C1824,$L$25:$L1824),"")</f>
        <v/>
      </c>
      <c r="N1824" s="10"/>
      <c r="O1824" s="10"/>
      <c r="P1824" s="65"/>
      <c r="Q1824" s="10"/>
      <c r="R1824" s="10"/>
      <c r="S1824" s="54" t="str">
        <f t="shared" si="90"/>
        <v/>
      </c>
      <c r="T1824" s="54" t="str">
        <f t="shared" si="91"/>
        <v/>
      </c>
      <c r="U1824" s="58" t="str">
        <f t="shared" si="92"/>
        <v/>
      </c>
      <c r="V1824" s="58">
        <f>IF(AND($B1824&lt;&gt;"",$F1824&lt;&gt;"",$F1824=项目明细账!$C$2),N(V1823)+1,N(V1823))</f>
        <v>0</v>
      </c>
      <c r="W1824" s="63" t="str">
        <f>IF($H1824&lt;&gt;"","项目成本",IFERROR(INDEX(基础资料!$W$4:$W$49,MATCH($I1824,基础资料!$V$4:$V$49,0)),""))</f>
        <v/>
      </c>
      <c r="X1824" s="63" t="str">
        <f>IFERROR(INDEX(基础资料!$R$4:$R$17,MATCH($G1824,基础资料!$Q$4:$Q$17,0)),"")</f>
        <v/>
      </c>
    </row>
    <row r="1825" spans="1:24">
      <c r="A1825" s="58" t="str">
        <f>IF($B1825="","",COUNTA($B$5:$B1825))</f>
        <v/>
      </c>
      <c r="B1825" s="53"/>
      <c r="C1825" s="46"/>
      <c r="D1825" s="63" t="str">
        <f>IFERROR(INDEX(基础资料!$F$4:$F$23,MATCH($C1825,基础资料!$E$4:$E$23,0)),IF($C1825="","","未匹配账户"))</f>
        <v/>
      </c>
      <c r="E1825" s="39"/>
      <c r="F1825" s="10"/>
      <c r="G1825" s="10"/>
      <c r="H1825" s="10"/>
      <c r="I1825" s="10"/>
      <c r="J1825" s="10"/>
      <c r="K1825" s="25"/>
      <c r="L1825" s="25"/>
      <c r="M1825" s="25" t="str">
        <f>IFERROR(VLOOKUP($C1825,$C$5:$M$24,11,0)+SUMIF($C$25:$C1825,$C1825,$K$25:$K1825)-SUMIF($C$25:$C1825,$C1825,$L$25:$L1825),"")</f>
        <v/>
      </c>
      <c r="N1825" s="10"/>
      <c r="O1825" s="10"/>
      <c r="P1825" s="65"/>
      <c r="Q1825" s="10"/>
      <c r="R1825" s="10"/>
      <c r="S1825" s="54" t="str">
        <f t="shared" si="90"/>
        <v/>
      </c>
      <c r="T1825" s="54" t="str">
        <f t="shared" si="91"/>
        <v/>
      </c>
      <c r="U1825" s="58" t="str">
        <f t="shared" si="92"/>
        <v/>
      </c>
      <c r="V1825" s="58">
        <f>IF(AND($B1825&lt;&gt;"",$F1825&lt;&gt;"",$F1825=项目明细账!$C$2),N(V1824)+1,N(V1824))</f>
        <v>0</v>
      </c>
      <c r="W1825" s="63" t="str">
        <f>IF($H1825&lt;&gt;"","项目成本",IFERROR(INDEX(基础资料!$W$4:$W$49,MATCH($I1825,基础资料!$V$4:$V$49,0)),""))</f>
        <v/>
      </c>
      <c r="X1825" s="63" t="str">
        <f>IFERROR(INDEX(基础资料!$R$4:$R$17,MATCH($G1825,基础资料!$Q$4:$Q$17,0)),"")</f>
        <v/>
      </c>
    </row>
    <row r="1826" spans="1:24">
      <c r="A1826" s="58" t="str">
        <f>IF($B1826="","",COUNTA($B$5:$B1826))</f>
        <v/>
      </c>
      <c r="B1826" s="53"/>
      <c r="C1826" s="46"/>
      <c r="D1826" s="63" t="str">
        <f>IFERROR(INDEX(基础资料!$F$4:$F$23,MATCH($C1826,基础资料!$E$4:$E$23,0)),IF($C1826="","","未匹配账户"))</f>
        <v/>
      </c>
      <c r="E1826" s="39"/>
      <c r="F1826" s="10"/>
      <c r="G1826" s="10"/>
      <c r="H1826" s="10"/>
      <c r="I1826" s="10"/>
      <c r="J1826" s="10"/>
      <c r="K1826" s="25"/>
      <c r="L1826" s="25"/>
      <c r="M1826" s="25" t="str">
        <f>IFERROR(VLOOKUP($C1826,$C$5:$M$24,11,0)+SUMIF($C$25:$C1826,$C1826,$K$25:$K1826)-SUMIF($C$25:$C1826,$C1826,$L$25:$L1826),"")</f>
        <v/>
      </c>
      <c r="N1826" s="10"/>
      <c r="O1826" s="10"/>
      <c r="P1826" s="65"/>
      <c r="Q1826" s="10"/>
      <c r="R1826" s="10"/>
      <c r="S1826" s="54" t="str">
        <f t="shared" si="90"/>
        <v/>
      </c>
      <c r="T1826" s="54" t="str">
        <f t="shared" si="91"/>
        <v/>
      </c>
      <c r="U1826" s="58" t="str">
        <f t="shared" si="92"/>
        <v/>
      </c>
      <c r="V1826" s="58">
        <f>IF(AND($B1826&lt;&gt;"",$F1826&lt;&gt;"",$F1826=项目明细账!$C$2),N(V1825)+1,N(V1825))</f>
        <v>0</v>
      </c>
      <c r="W1826" s="63" t="str">
        <f>IF($H1826&lt;&gt;"","项目成本",IFERROR(INDEX(基础资料!$W$4:$W$49,MATCH($I1826,基础资料!$V$4:$V$49,0)),""))</f>
        <v/>
      </c>
      <c r="X1826" s="63" t="str">
        <f>IFERROR(INDEX(基础资料!$R$4:$R$17,MATCH($G1826,基础资料!$Q$4:$Q$17,0)),"")</f>
        <v/>
      </c>
    </row>
    <row r="1827" spans="1:24">
      <c r="A1827" s="58" t="str">
        <f>IF($B1827="","",COUNTA($B$5:$B1827))</f>
        <v/>
      </c>
      <c r="B1827" s="53"/>
      <c r="C1827" s="46"/>
      <c r="D1827" s="63" t="str">
        <f>IFERROR(INDEX(基础资料!$F$4:$F$23,MATCH($C1827,基础资料!$E$4:$E$23,0)),IF($C1827="","","未匹配账户"))</f>
        <v/>
      </c>
      <c r="E1827" s="39"/>
      <c r="F1827" s="10"/>
      <c r="G1827" s="10"/>
      <c r="H1827" s="10"/>
      <c r="I1827" s="10"/>
      <c r="J1827" s="10"/>
      <c r="K1827" s="25"/>
      <c r="L1827" s="25"/>
      <c r="M1827" s="25" t="str">
        <f>IFERROR(VLOOKUP($C1827,$C$5:$M$24,11,0)+SUMIF($C$25:$C1827,$C1827,$K$25:$K1827)-SUMIF($C$25:$C1827,$C1827,$L$25:$L1827),"")</f>
        <v/>
      </c>
      <c r="N1827" s="10"/>
      <c r="O1827" s="10"/>
      <c r="P1827" s="65"/>
      <c r="Q1827" s="10"/>
      <c r="R1827" s="10"/>
      <c r="S1827" s="54" t="str">
        <f t="shared" si="90"/>
        <v/>
      </c>
      <c r="T1827" s="54" t="str">
        <f t="shared" si="91"/>
        <v/>
      </c>
      <c r="U1827" s="58" t="str">
        <f t="shared" si="92"/>
        <v/>
      </c>
      <c r="V1827" s="58">
        <f>IF(AND($B1827&lt;&gt;"",$F1827&lt;&gt;"",$F1827=项目明细账!$C$2),N(V1826)+1,N(V1826))</f>
        <v>0</v>
      </c>
      <c r="W1827" s="63" t="str">
        <f>IF($H1827&lt;&gt;"","项目成本",IFERROR(INDEX(基础资料!$W$4:$W$49,MATCH($I1827,基础资料!$V$4:$V$49,0)),""))</f>
        <v/>
      </c>
      <c r="X1827" s="63" t="str">
        <f>IFERROR(INDEX(基础资料!$R$4:$R$17,MATCH($G1827,基础资料!$Q$4:$Q$17,0)),"")</f>
        <v/>
      </c>
    </row>
    <row r="1828" spans="1:24">
      <c r="A1828" s="58" t="str">
        <f>IF($B1828="","",COUNTA($B$5:$B1828))</f>
        <v/>
      </c>
      <c r="B1828" s="53"/>
      <c r="C1828" s="46"/>
      <c r="D1828" s="63" t="str">
        <f>IFERROR(INDEX(基础资料!$F$4:$F$23,MATCH($C1828,基础资料!$E$4:$E$23,0)),IF($C1828="","","未匹配账户"))</f>
        <v/>
      </c>
      <c r="E1828" s="39"/>
      <c r="F1828" s="10"/>
      <c r="G1828" s="10"/>
      <c r="H1828" s="10"/>
      <c r="I1828" s="10"/>
      <c r="J1828" s="10"/>
      <c r="K1828" s="25"/>
      <c r="L1828" s="25"/>
      <c r="M1828" s="25" t="str">
        <f>IFERROR(VLOOKUP($C1828,$C$5:$M$24,11,0)+SUMIF($C$25:$C1828,$C1828,$K$25:$K1828)-SUMIF($C$25:$C1828,$C1828,$L$25:$L1828),"")</f>
        <v/>
      </c>
      <c r="N1828" s="10"/>
      <c r="O1828" s="10"/>
      <c r="P1828" s="65"/>
      <c r="Q1828" s="10"/>
      <c r="R1828" s="10"/>
      <c r="S1828" s="54" t="str">
        <f t="shared" si="90"/>
        <v/>
      </c>
      <c r="T1828" s="54" t="str">
        <f t="shared" si="91"/>
        <v/>
      </c>
      <c r="U1828" s="58" t="str">
        <f t="shared" si="92"/>
        <v/>
      </c>
      <c r="V1828" s="58">
        <f>IF(AND($B1828&lt;&gt;"",$F1828&lt;&gt;"",$F1828=项目明细账!$C$2),N(V1827)+1,N(V1827))</f>
        <v>0</v>
      </c>
      <c r="W1828" s="63" t="str">
        <f>IF($H1828&lt;&gt;"","项目成本",IFERROR(INDEX(基础资料!$W$4:$W$49,MATCH($I1828,基础资料!$V$4:$V$49,0)),""))</f>
        <v/>
      </c>
      <c r="X1828" s="63" t="str">
        <f>IFERROR(INDEX(基础资料!$R$4:$R$17,MATCH($G1828,基础资料!$Q$4:$Q$17,0)),"")</f>
        <v/>
      </c>
    </row>
    <row r="1829" spans="1:24">
      <c r="A1829" s="58" t="str">
        <f>IF($B1829="","",COUNTA($B$5:$B1829))</f>
        <v/>
      </c>
      <c r="B1829" s="53"/>
      <c r="C1829" s="46"/>
      <c r="D1829" s="63" t="str">
        <f>IFERROR(INDEX(基础资料!$F$4:$F$23,MATCH($C1829,基础资料!$E$4:$E$23,0)),IF($C1829="","","未匹配账户"))</f>
        <v/>
      </c>
      <c r="E1829" s="39"/>
      <c r="F1829" s="10"/>
      <c r="G1829" s="10"/>
      <c r="H1829" s="10"/>
      <c r="I1829" s="10"/>
      <c r="J1829" s="10"/>
      <c r="K1829" s="25"/>
      <c r="L1829" s="25"/>
      <c r="M1829" s="25" t="str">
        <f>IFERROR(VLOOKUP($C1829,$C$5:$M$24,11,0)+SUMIF($C$25:$C1829,$C1829,$K$25:$K1829)-SUMIF($C$25:$C1829,$C1829,$L$25:$L1829),"")</f>
        <v/>
      </c>
      <c r="N1829" s="10"/>
      <c r="O1829" s="10"/>
      <c r="P1829" s="65"/>
      <c r="Q1829" s="10"/>
      <c r="R1829" s="10"/>
      <c r="S1829" s="54" t="str">
        <f t="shared" si="90"/>
        <v/>
      </c>
      <c r="T1829" s="54" t="str">
        <f t="shared" si="91"/>
        <v/>
      </c>
      <c r="U1829" s="58" t="str">
        <f t="shared" si="92"/>
        <v/>
      </c>
      <c r="V1829" s="58">
        <f>IF(AND($B1829&lt;&gt;"",$F1829&lt;&gt;"",$F1829=项目明细账!$C$2),N(V1828)+1,N(V1828))</f>
        <v>0</v>
      </c>
      <c r="W1829" s="63" t="str">
        <f>IF($H1829&lt;&gt;"","项目成本",IFERROR(INDEX(基础资料!$W$4:$W$49,MATCH($I1829,基础资料!$V$4:$V$49,0)),""))</f>
        <v/>
      </c>
      <c r="X1829" s="63" t="str">
        <f>IFERROR(INDEX(基础资料!$R$4:$R$17,MATCH($G1829,基础资料!$Q$4:$Q$17,0)),"")</f>
        <v/>
      </c>
    </row>
    <row r="1830" spans="1:24">
      <c r="A1830" s="58" t="str">
        <f>IF($B1830="","",COUNTA($B$5:$B1830))</f>
        <v/>
      </c>
      <c r="B1830" s="53"/>
      <c r="C1830" s="46"/>
      <c r="D1830" s="63" t="str">
        <f>IFERROR(INDEX(基础资料!$F$4:$F$23,MATCH($C1830,基础资料!$E$4:$E$23,0)),IF($C1830="","","未匹配账户"))</f>
        <v/>
      </c>
      <c r="E1830" s="39"/>
      <c r="F1830" s="10"/>
      <c r="G1830" s="10"/>
      <c r="H1830" s="10"/>
      <c r="I1830" s="10"/>
      <c r="J1830" s="10"/>
      <c r="K1830" s="25"/>
      <c r="L1830" s="25"/>
      <c r="M1830" s="25" t="str">
        <f>IFERROR(VLOOKUP($C1830,$C$5:$M$24,11,0)+SUMIF($C$25:$C1830,$C1830,$K$25:$K1830)-SUMIF($C$25:$C1830,$C1830,$L$25:$L1830),"")</f>
        <v/>
      </c>
      <c r="N1830" s="10"/>
      <c r="O1830" s="10"/>
      <c r="P1830" s="65"/>
      <c r="Q1830" s="10"/>
      <c r="R1830" s="10"/>
      <c r="S1830" s="54" t="str">
        <f t="shared" si="90"/>
        <v/>
      </c>
      <c r="T1830" s="54" t="str">
        <f t="shared" si="91"/>
        <v/>
      </c>
      <c r="U1830" s="58" t="str">
        <f t="shared" si="92"/>
        <v/>
      </c>
      <c r="V1830" s="58">
        <f>IF(AND($B1830&lt;&gt;"",$F1830&lt;&gt;"",$F1830=项目明细账!$C$2),N(V1829)+1,N(V1829))</f>
        <v>0</v>
      </c>
      <c r="W1830" s="63" t="str">
        <f>IF($H1830&lt;&gt;"","项目成本",IFERROR(INDEX(基础资料!$W$4:$W$49,MATCH($I1830,基础资料!$V$4:$V$49,0)),""))</f>
        <v/>
      </c>
      <c r="X1830" s="63" t="str">
        <f>IFERROR(INDEX(基础资料!$R$4:$R$17,MATCH($G1830,基础资料!$Q$4:$Q$17,0)),"")</f>
        <v/>
      </c>
    </row>
    <row r="1831" spans="1:24">
      <c r="A1831" s="58" t="str">
        <f>IF($B1831="","",COUNTA($B$5:$B1831))</f>
        <v/>
      </c>
      <c r="B1831" s="53"/>
      <c r="C1831" s="46"/>
      <c r="D1831" s="63" t="str">
        <f>IFERROR(INDEX(基础资料!$F$4:$F$23,MATCH($C1831,基础资料!$E$4:$E$23,0)),IF($C1831="","","未匹配账户"))</f>
        <v/>
      </c>
      <c r="E1831" s="39"/>
      <c r="F1831" s="10"/>
      <c r="G1831" s="10"/>
      <c r="H1831" s="10"/>
      <c r="I1831" s="10"/>
      <c r="J1831" s="10"/>
      <c r="K1831" s="25"/>
      <c r="L1831" s="25"/>
      <c r="M1831" s="25" t="str">
        <f>IFERROR(VLOOKUP($C1831,$C$5:$M$24,11,0)+SUMIF($C$25:$C1831,$C1831,$K$25:$K1831)-SUMIF($C$25:$C1831,$C1831,$L$25:$L1831),"")</f>
        <v/>
      </c>
      <c r="N1831" s="10"/>
      <c r="O1831" s="10"/>
      <c r="P1831" s="65"/>
      <c r="Q1831" s="10"/>
      <c r="R1831" s="10"/>
      <c r="S1831" s="54" t="str">
        <f t="shared" si="90"/>
        <v/>
      </c>
      <c r="T1831" s="54" t="str">
        <f t="shared" si="91"/>
        <v/>
      </c>
      <c r="U1831" s="58" t="str">
        <f t="shared" si="92"/>
        <v/>
      </c>
      <c r="V1831" s="58">
        <f>IF(AND($B1831&lt;&gt;"",$F1831&lt;&gt;"",$F1831=项目明细账!$C$2),N(V1830)+1,N(V1830))</f>
        <v>0</v>
      </c>
      <c r="W1831" s="63" t="str">
        <f>IF($H1831&lt;&gt;"","项目成本",IFERROR(INDEX(基础资料!$W$4:$W$49,MATCH($I1831,基础资料!$V$4:$V$49,0)),""))</f>
        <v/>
      </c>
      <c r="X1831" s="63" t="str">
        <f>IFERROR(INDEX(基础资料!$R$4:$R$17,MATCH($G1831,基础资料!$Q$4:$Q$17,0)),"")</f>
        <v/>
      </c>
    </row>
    <row r="1832" spans="1:24">
      <c r="A1832" s="58" t="str">
        <f>IF($B1832="","",COUNTA($B$5:$B1832))</f>
        <v/>
      </c>
      <c r="B1832" s="53"/>
      <c r="C1832" s="46"/>
      <c r="D1832" s="63" t="str">
        <f>IFERROR(INDEX(基础资料!$F$4:$F$23,MATCH($C1832,基础资料!$E$4:$E$23,0)),IF($C1832="","","未匹配账户"))</f>
        <v/>
      </c>
      <c r="E1832" s="39"/>
      <c r="F1832" s="10"/>
      <c r="G1832" s="10"/>
      <c r="H1832" s="10"/>
      <c r="I1832" s="10"/>
      <c r="J1832" s="10"/>
      <c r="K1832" s="25"/>
      <c r="L1832" s="25"/>
      <c r="M1832" s="25" t="str">
        <f>IFERROR(VLOOKUP($C1832,$C$5:$M$24,11,0)+SUMIF($C$25:$C1832,$C1832,$K$25:$K1832)-SUMIF($C$25:$C1832,$C1832,$L$25:$L1832),"")</f>
        <v/>
      </c>
      <c r="N1832" s="10"/>
      <c r="O1832" s="10"/>
      <c r="P1832" s="65"/>
      <c r="Q1832" s="10"/>
      <c r="R1832" s="10"/>
      <c r="S1832" s="54" t="str">
        <f t="shared" si="90"/>
        <v/>
      </c>
      <c r="T1832" s="54" t="str">
        <f t="shared" si="91"/>
        <v/>
      </c>
      <c r="U1832" s="58" t="str">
        <f t="shared" si="92"/>
        <v/>
      </c>
      <c r="V1832" s="58">
        <f>IF(AND($B1832&lt;&gt;"",$F1832&lt;&gt;"",$F1832=项目明细账!$C$2),N(V1831)+1,N(V1831))</f>
        <v>0</v>
      </c>
      <c r="W1832" s="63" t="str">
        <f>IF($H1832&lt;&gt;"","项目成本",IFERROR(INDEX(基础资料!$W$4:$W$49,MATCH($I1832,基础资料!$V$4:$V$49,0)),""))</f>
        <v/>
      </c>
      <c r="X1832" s="63" t="str">
        <f>IFERROR(INDEX(基础资料!$R$4:$R$17,MATCH($G1832,基础资料!$Q$4:$Q$17,0)),"")</f>
        <v/>
      </c>
    </row>
    <row r="1833" spans="1:24">
      <c r="A1833" s="58" t="str">
        <f>IF($B1833="","",COUNTA($B$5:$B1833))</f>
        <v/>
      </c>
      <c r="B1833" s="53"/>
      <c r="C1833" s="46"/>
      <c r="D1833" s="63" t="str">
        <f>IFERROR(INDEX(基础资料!$F$4:$F$23,MATCH($C1833,基础资料!$E$4:$E$23,0)),IF($C1833="","","未匹配账户"))</f>
        <v/>
      </c>
      <c r="E1833" s="39"/>
      <c r="F1833" s="10"/>
      <c r="G1833" s="10"/>
      <c r="H1833" s="10"/>
      <c r="I1833" s="10"/>
      <c r="J1833" s="10"/>
      <c r="K1833" s="25"/>
      <c r="L1833" s="25"/>
      <c r="M1833" s="25" t="str">
        <f>IFERROR(VLOOKUP($C1833,$C$5:$M$24,11,0)+SUMIF($C$25:$C1833,$C1833,$K$25:$K1833)-SUMIF($C$25:$C1833,$C1833,$L$25:$L1833),"")</f>
        <v/>
      </c>
      <c r="N1833" s="10"/>
      <c r="O1833" s="10"/>
      <c r="P1833" s="65"/>
      <c r="Q1833" s="10"/>
      <c r="R1833" s="10"/>
      <c r="S1833" s="54" t="str">
        <f t="shared" si="90"/>
        <v/>
      </c>
      <c r="T1833" s="54" t="str">
        <f t="shared" si="91"/>
        <v/>
      </c>
      <c r="U1833" s="58" t="str">
        <f t="shared" si="92"/>
        <v/>
      </c>
      <c r="V1833" s="58">
        <f>IF(AND($B1833&lt;&gt;"",$F1833&lt;&gt;"",$F1833=项目明细账!$C$2),N(V1832)+1,N(V1832))</f>
        <v>0</v>
      </c>
      <c r="W1833" s="63" t="str">
        <f>IF($H1833&lt;&gt;"","项目成本",IFERROR(INDEX(基础资料!$W$4:$W$49,MATCH($I1833,基础资料!$V$4:$V$49,0)),""))</f>
        <v/>
      </c>
      <c r="X1833" s="63" t="str">
        <f>IFERROR(INDEX(基础资料!$R$4:$R$17,MATCH($G1833,基础资料!$Q$4:$Q$17,0)),"")</f>
        <v/>
      </c>
    </row>
    <row r="1834" spans="1:24">
      <c r="A1834" s="58" t="str">
        <f>IF($B1834="","",COUNTA($B$5:$B1834))</f>
        <v/>
      </c>
      <c r="B1834" s="53"/>
      <c r="C1834" s="46"/>
      <c r="D1834" s="63" t="str">
        <f>IFERROR(INDEX(基础资料!$F$4:$F$23,MATCH($C1834,基础资料!$E$4:$E$23,0)),IF($C1834="","","未匹配账户"))</f>
        <v/>
      </c>
      <c r="E1834" s="39"/>
      <c r="F1834" s="10"/>
      <c r="G1834" s="10"/>
      <c r="H1834" s="10"/>
      <c r="I1834" s="10"/>
      <c r="J1834" s="10"/>
      <c r="K1834" s="25"/>
      <c r="L1834" s="25"/>
      <c r="M1834" s="25" t="str">
        <f>IFERROR(VLOOKUP($C1834,$C$5:$M$24,11,0)+SUMIF($C$25:$C1834,$C1834,$K$25:$K1834)-SUMIF($C$25:$C1834,$C1834,$L$25:$L1834),"")</f>
        <v/>
      </c>
      <c r="N1834" s="10"/>
      <c r="O1834" s="10"/>
      <c r="P1834" s="65"/>
      <c r="Q1834" s="10"/>
      <c r="R1834" s="10"/>
      <c r="S1834" s="54" t="str">
        <f t="shared" si="90"/>
        <v/>
      </c>
      <c r="T1834" s="54" t="str">
        <f t="shared" si="91"/>
        <v/>
      </c>
      <c r="U1834" s="58" t="str">
        <f t="shared" si="92"/>
        <v/>
      </c>
      <c r="V1834" s="58">
        <f>IF(AND($B1834&lt;&gt;"",$F1834&lt;&gt;"",$F1834=项目明细账!$C$2),N(V1833)+1,N(V1833))</f>
        <v>0</v>
      </c>
      <c r="W1834" s="63" t="str">
        <f>IF($H1834&lt;&gt;"","项目成本",IFERROR(INDEX(基础资料!$W$4:$W$49,MATCH($I1834,基础资料!$V$4:$V$49,0)),""))</f>
        <v/>
      </c>
      <c r="X1834" s="63" t="str">
        <f>IFERROR(INDEX(基础资料!$R$4:$R$17,MATCH($G1834,基础资料!$Q$4:$Q$17,0)),"")</f>
        <v/>
      </c>
    </row>
    <row r="1835" spans="1:24">
      <c r="A1835" s="58" t="str">
        <f>IF($B1835="","",COUNTA($B$5:$B1835))</f>
        <v/>
      </c>
      <c r="B1835" s="53"/>
      <c r="C1835" s="46"/>
      <c r="D1835" s="63" t="str">
        <f>IFERROR(INDEX(基础资料!$F$4:$F$23,MATCH($C1835,基础资料!$E$4:$E$23,0)),IF($C1835="","","未匹配账户"))</f>
        <v/>
      </c>
      <c r="E1835" s="39"/>
      <c r="F1835" s="10"/>
      <c r="G1835" s="10"/>
      <c r="H1835" s="10"/>
      <c r="I1835" s="10"/>
      <c r="J1835" s="10"/>
      <c r="K1835" s="25"/>
      <c r="L1835" s="25"/>
      <c r="M1835" s="25" t="str">
        <f>IFERROR(VLOOKUP($C1835,$C$5:$M$24,11,0)+SUMIF($C$25:$C1835,$C1835,$K$25:$K1835)-SUMIF($C$25:$C1835,$C1835,$L$25:$L1835),"")</f>
        <v/>
      </c>
      <c r="N1835" s="10"/>
      <c r="O1835" s="10"/>
      <c r="P1835" s="65"/>
      <c r="Q1835" s="10"/>
      <c r="R1835" s="10"/>
      <c r="S1835" s="54" t="str">
        <f t="shared" si="90"/>
        <v/>
      </c>
      <c r="T1835" s="54" t="str">
        <f t="shared" si="91"/>
        <v/>
      </c>
      <c r="U1835" s="58" t="str">
        <f t="shared" si="92"/>
        <v/>
      </c>
      <c r="V1835" s="58">
        <f>IF(AND($B1835&lt;&gt;"",$F1835&lt;&gt;"",$F1835=项目明细账!$C$2),N(V1834)+1,N(V1834))</f>
        <v>0</v>
      </c>
      <c r="W1835" s="63" t="str">
        <f>IF($H1835&lt;&gt;"","项目成本",IFERROR(INDEX(基础资料!$W$4:$W$49,MATCH($I1835,基础资料!$V$4:$V$49,0)),""))</f>
        <v/>
      </c>
      <c r="X1835" s="63" t="str">
        <f>IFERROR(INDEX(基础资料!$R$4:$R$17,MATCH($G1835,基础资料!$Q$4:$Q$17,0)),"")</f>
        <v/>
      </c>
    </row>
    <row r="1836" spans="1:24">
      <c r="A1836" s="58" t="str">
        <f>IF($B1836="","",COUNTA($B$5:$B1836))</f>
        <v/>
      </c>
      <c r="B1836" s="53"/>
      <c r="C1836" s="46"/>
      <c r="D1836" s="63" t="str">
        <f>IFERROR(INDEX(基础资料!$F$4:$F$23,MATCH($C1836,基础资料!$E$4:$E$23,0)),IF($C1836="","","未匹配账户"))</f>
        <v/>
      </c>
      <c r="E1836" s="39"/>
      <c r="F1836" s="10"/>
      <c r="G1836" s="10"/>
      <c r="H1836" s="10"/>
      <c r="I1836" s="10"/>
      <c r="J1836" s="10"/>
      <c r="K1836" s="25"/>
      <c r="L1836" s="25"/>
      <c r="M1836" s="25" t="str">
        <f>IFERROR(VLOOKUP($C1836,$C$5:$M$24,11,0)+SUMIF($C$25:$C1836,$C1836,$K$25:$K1836)-SUMIF($C$25:$C1836,$C1836,$L$25:$L1836),"")</f>
        <v/>
      </c>
      <c r="N1836" s="10"/>
      <c r="O1836" s="10"/>
      <c r="P1836" s="65"/>
      <c r="Q1836" s="10"/>
      <c r="R1836" s="10"/>
      <c r="S1836" s="54" t="str">
        <f t="shared" si="90"/>
        <v/>
      </c>
      <c r="T1836" s="54" t="str">
        <f t="shared" si="91"/>
        <v/>
      </c>
      <c r="U1836" s="58" t="str">
        <f t="shared" si="92"/>
        <v/>
      </c>
      <c r="V1836" s="58">
        <f>IF(AND($B1836&lt;&gt;"",$F1836&lt;&gt;"",$F1836=项目明细账!$C$2),N(V1835)+1,N(V1835))</f>
        <v>0</v>
      </c>
      <c r="W1836" s="63" t="str">
        <f>IF($H1836&lt;&gt;"","项目成本",IFERROR(INDEX(基础资料!$W$4:$W$49,MATCH($I1836,基础资料!$V$4:$V$49,0)),""))</f>
        <v/>
      </c>
      <c r="X1836" s="63" t="str">
        <f>IFERROR(INDEX(基础资料!$R$4:$R$17,MATCH($G1836,基础资料!$Q$4:$Q$17,0)),"")</f>
        <v/>
      </c>
    </row>
    <row r="1837" spans="1:24">
      <c r="A1837" s="58" t="str">
        <f>IF($B1837="","",COUNTA($B$5:$B1837))</f>
        <v/>
      </c>
      <c r="B1837" s="53"/>
      <c r="C1837" s="46"/>
      <c r="D1837" s="63" t="str">
        <f>IFERROR(INDEX(基础资料!$F$4:$F$23,MATCH($C1837,基础资料!$E$4:$E$23,0)),IF($C1837="","","未匹配账户"))</f>
        <v/>
      </c>
      <c r="E1837" s="39"/>
      <c r="F1837" s="10"/>
      <c r="G1837" s="10"/>
      <c r="H1837" s="10"/>
      <c r="I1837" s="10"/>
      <c r="J1837" s="10"/>
      <c r="K1837" s="25"/>
      <c r="L1837" s="25"/>
      <c r="M1837" s="25" t="str">
        <f>IFERROR(VLOOKUP($C1837,$C$5:$M$24,11,0)+SUMIF($C$25:$C1837,$C1837,$K$25:$K1837)-SUMIF($C$25:$C1837,$C1837,$L$25:$L1837),"")</f>
        <v/>
      </c>
      <c r="N1837" s="10"/>
      <c r="O1837" s="10"/>
      <c r="P1837" s="65"/>
      <c r="Q1837" s="10"/>
      <c r="R1837" s="10"/>
      <c r="S1837" s="54" t="str">
        <f t="shared" si="90"/>
        <v/>
      </c>
      <c r="T1837" s="54" t="str">
        <f t="shared" si="91"/>
        <v/>
      </c>
      <c r="U1837" s="58" t="str">
        <f t="shared" si="92"/>
        <v/>
      </c>
      <c r="V1837" s="58">
        <f>IF(AND($B1837&lt;&gt;"",$F1837&lt;&gt;"",$F1837=项目明细账!$C$2),N(V1836)+1,N(V1836))</f>
        <v>0</v>
      </c>
      <c r="W1837" s="63" t="str">
        <f>IF($H1837&lt;&gt;"","项目成本",IFERROR(INDEX(基础资料!$W$4:$W$49,MATCH($I1837,基础资料!$V$4:$V$49,0)),""))</f>
        <v/>
      </c>
      <c r="X1837" s="63" t="str">
        <f>IFERROR(INDEX(基础资料!$R$4:$R$17,MATCH($G1837,基础资料!$Q$4:$Q$17,0)),"")</f>
        <v/>
      </c>
    </row>
    <row r="1838" spans="1:24">
      <c r="A1838" s="58" t="str">
        <f>IF($B1838="","",COUNTA($B$5:$B1838))</f>
        <v/>
      </c>
      <c r="B1838" s="53"/>
      <c r="C1838" s="46"/>
      <c r="D1838" s="63" t="str">
        <f>IFERROR(INDEX(基础资料!$F$4:$F$23,MATCH($C1838,基础资料!$E$4:$E$23,0)),IF($C1838="","","未匹配账户"))</f>
        <v/>
      </c>
      <c r="E1838" s="39"/>
      <c r="F1838" s="10"/>
      <c r="G1838" s="10"/>
      <c r="H1838" s="10"/>
      <c r="I1838" s="10"/>
      <c r="J1838" s="10"/>
      <c r="K1838" s="25"/>
      <c r="L1838" s="25"/>
      <c r="M1838" s="25" t="str">
        <f>IFERROR(VLOOKUP($C1838,$C$5:$M$24,11,0)+SUMIF($C$25:$C1838,$C1838,$K$25:$K1838)-SUMIF($C$25:$C1838,$C1838,$L$25:$L1838),"")</f>
        <v/>
      </c>
      <c r="N1838" s="10"/>
      <c r="O1838" s="10"/>
      <c r="P1838" s="65"/>
      <c r="Q1838" s="10"/>
      <c r="R1838" s="10"/>
      <c r="S1838" s="54" t="str">
        <f t="shared" si="90"/>
        <v/>
      </c>
      <c r="T1838" s="54" t="str">
        <f t="shared" si="91"/>
        <v/>
      </c>
      <c r="U1838" s="58" t="str">
        <f t="shared" si="92"/>
        <v/>
      </c>
      <c r="V1838" s="58">
        <f>IF(AND($B1838&lt;&gt;"",$F1838&lt;&gt;"",$F1838=项目明细账!$C$2),N(V1837)+1,N(V1837))</f>
        <v>0</v>
      </c>
      <c r="W1838" s="63" t="str">
        <f>IF($H1838&lt;&gt;"","项目成本",IFERROR(INDEX(基础资料!$W$4:$W$49,MATCH($I1838,基础资料!$V$4:$V$49,0)),""))</f>
        <v/>
      </c>
      <c r="X1838" s="63" t="str">
        <f>IFERROR(INDEX(基础资料!$R$4:$R$17,MATCH($G1838,基础资料!$Q$4:$Q$17,0)),"")</f>
        <v/>
      </c>
    </row>
    <row r="1839" spans="1:24">
      <c r="A1839" s="58" t="str">
        <f>IF($B1839="","",COUNTA($B$5:$B1839))</f>
        <v/>
      </c>
      <c r="B1839" s="53"/>
      <c r="C1839" s="46"/>
      <c r="D1839" s="63" t="str">
        <f>IFERROR(INDEX(基础资料!$F$4:$F$23,MATCH($C1839,基础资料!$E$4:$E$23,0)),IF($C1839="","","未匹配账户"))</f>
        <v/>
      </c>
      <c r="E1839" s="39"/>
      <c r="F1839" s="10"/>
      <c r="G1839" s="10"/>
      <c r="H1839" s="10"/>
      <c r="I1839" s="10"/>
      <c r="J1839" s="10"/>
      <c r="K1839" s="25"/>
      <c r="L1839" s="25"/>
      <c r="M1839" s="25" t="str">
        <f>IFERROR(VLOOKUP($C1839,$C$5:$M$24,11,0)+SUMIF($C$25:$C1839,$C1839,$K$25:$K1839)-SUMIF($C$25:$C1839,$C1839,$L$25:$L1839),"")</f>
        <v/>
      </c>
      <c r="N1839" s="10"/>
      <c r="O1839" s="10"/>
      <c r="P1839" s="65"/>
      <c r="Q1839" s="10"/>
      <c r="R1839" s="10"/>
      <c r="S1839" s="54" t="str">
        <f t="shared" si="90"/>
        <v/>
      </c>
      <c r="T1839" s="54" t="str">
        <f t="shared" si="91"/>
        <v/>
      </c>
      <c r="U1839" s="58" t="str">
        <f t="shared" si="92"/>
        <v/>
      </c>
      <c r="V1839" s="58">
        <f>IF(AND($B1839&lt;&gt;"",$F1839&lt;&gt;"",$F1839=项目明细账!$C$2),N(V1838)+1,N(V1838))</f>
        <v>0</v>
      </c>
      <c r="W1839" s="63" t="str">
        <f>IF($H1839&lt;&gt;"","项目成本",IFERROR(INDEX(基础资料!$W$4:$W$49,MATCH($I1839,基础资料!$V$4:$V$49,0)),""))</f>
        <v/>
      </c>
      <c r="X1839" s="63" t="str">
        <f>IFERROR(INDEX(基础资料!$R$4:$R$17,MATCH($G1839,基础资料!$Q$4:$Q$17,0)),"")</f>
        <v/>
      </c>
    </row>
    <row r="1840" spans="1:24">
      <c r="A1840" s="58" t="str">
        <f>IF($B1840="","",COUNTA($B$5:$B1840))</f>
        <v/>
      </c>
      <c r="B1840" s="53"/>
      <c r="C1840" s="46"/>
      <c r="D1840" s="63" t="str">
        <f>IFERROR(INDEX(基础资料!$F$4:$F$23,MATCH($C1840,基础资料!$E$4:$E$23,0)),IF($C1840="","","未匹配账户"))</f>
        <v/>
      </c>
      <c r="E1840" s="39"/>
      <c r="F1840" s="10"/>
      <c r="G1840" s="10"/>
      <c r="H1840" s="10"/>
      <c r="I1840" s="10"/>
      <c r="J1840" s="10"/>
      <c r="K1840" s="25"/>
      <c r="L1840" s="25"/>
      <c r="M1840" s="25" t="str">
        <f>IFERROR(VLOOKUP($C1840,$C$5:$M$24,11,0)+SUMIF($C$25:$C1840,$C1840,$K$25:$K1840)-SUMIF($C$25:$C1840,$C1840,$L$25:$L1840),"")</f>
        <v/>
      </c>
      <c r="N1840" s="10"/>
      <c r="O1840" s="10"/>
      <c r="P1840" s="65"/>
      <c r="Q1840" s="10"/>
      <c r="R1840" s="10"/>
      <c r="S1840" s="54" t="str">
        <f t="shared" si="90"/>
        <v/>
      </c>
      <c r="T1840" s="54" t="str">
        <f t="shared" si="91"/>
        <v/>
      </c>
      <c r="U1840" s="58" t="str">
        <f t="shared" si="92"/>
        <v/>
      </c>
      <c r="V1840" s="58">
        <f>IF(AND($B1840&lt;&gt;"",$F1840&lt;&gt;"",$F1840=项目明细账!$C$2),N(V1839)+1,N(V1839))</f>
        <v>0</v>
      </c>
      <c r="W1840" s="63" t="str">
        <f>IF($H1840&lt;&gt;"","项目成本",IFERROR(INDEX(基础资料!$W$4:$W$49,MATCH($I1840,基础资料!$V$4:$V$49,0)),""))</f>
        <v/>
      </c>
      <c r="X1840" s="63" t="str">
        <f>IFERROR(INDEX(基础资料!$R$4:$R$17,MATCH($G1840,基础资料!$Q$4:$Q$17,0)),"")</f>
        <v/>
      </c>
    </row>
    <row r="1841" spans="1:24">
      <c r="A1841" s="58" t="str">
        <f>IF($B1841="","",COUNTA($B$5:$B1841))</f>
        <v/>
      </c>
      <c r="B1841" s="53"/>
      <c r="C1841" s="46"/>
      <c r="D1841" s="63" t="str">
        <f>IFERROR(INDEX(基础资料!$F$4:$F$23,MATCH($C1841,基础资料!$E$4:$E$23,0)),IF($C1841="","","未匹配账户"))</f>
        <v/>
      </c>
      <c r="E1841" s="39"/>
      <c r="F1841" s="10"/>
      <c r="G1841" s="10"/>
      <c r="H1841" s="10"/>
      <c r="I1841" s="10"/>
      <c r="J1841" s="10"/>
      <c r="K1841" s="25"/>
      <c r="L1841" s="25"/>
      <c r="M1841" s="25" t="str">
        <f>IFERROR(VLOOKUP($C1841,$C$5:$M$24,11,0)+SUMIF($C$25:$C1841,$C1841,$K$25:$K1841)-SUMIF($C$25:$C1841,$C1841,$L$25:$L1841),"")</f>
        <v/>
      </c>
      <c r="N1841" s="10"/>
      <c r="O1841" s="10"/>
      <c r="P1841" s="65"/>
      <c r="Q1841" s="10"/>
      <c r="R1841" s="10"/>
      <c r="S1841" s="54" t="str">
        <f t="shared" si="90"/>
        <v/>
      </c>
      <c r="T1841" s="54" t="str">
        <f t="shared" si="91"/>
        <v/>
      </c>
      <c r="U1841" s="58" t="str">
        <f t="shared" si="92"/>
        <v/>
      </c>
      <c r="V1841" s="58">
        <f>IF(AND($B1841&lt;&gt;"",$F1841&lt;&gt;"",$F1841=项目明细账!$C$2),N(V1840)+1,N(V1840))</f>
        <v>0</v>
      </c>
      <c r="W1841" s="63" t="str">
        <f>IF($H1841&lt;&gt;"","项目成本",IFERROR(INDEX(基础资料!$W$4:$W$49,MATCH($I1841,基础资料!$V$4:$V$49,0)),""))</f>
        <v/>
      </c>
      <c r="X1841" s="63" t="str">
        <f>IFERROR(INDEX(基础资料!$R$4:$R$17,MATCH($G1841,基础资料!$Q$4:$Q$17,0)),"")</f>
        <v/>
      </c>
    </row>
    <row r="1842" spans="1:24">
      <c r="A1842" s="58" t="str">
        <f>IF($B1842="","",COUNTA($B$5:$B1842))</f>
        <v/>
      </c>
      <c r="B1842" s="53"/>
      <c r="C1842" s="46"/>
      <c r="D1842" s="63" t="str">
        <f>IFERROR(INDEX(基础资料!$F$4:$F$23,MATCH($C1842,基础资料!$E$4:$E$23,0)),IF($C1842="","","未匹配账户"))</f>
        <v/>
      </c>
      <c r="E1842" s="39"/>
      <c r="F1842" s="10"/>
      <c r="G1842" s="10"/>
      <c r="H1842" s="10"/>
      <c r="I1842" s="10"/>
      <c r="J1842" s="10"/>
      <c r="K1842" s="25"/>
      <c r="L1842" s="25"/>
      <c r="M1842" s="25" t="str">
        <f>IFERROR(VLOOKUP($C1842,$C$5:$M$24,11,0)+SUMIF($C$25:$C1842,$C1842,$K$25:$K1842)-SUMIF($C$25:$C1842,$C1842,$L$25:$L1842),"")</f>
        <v/>
      </c>
      <c r="N1842" s="10"/>
      <c r="O1842" s="10"/>
      <c r="P1842" s="65"/>
      <c r="Q1842" s="10"/>
      <c r="R1842" s="10"/>
      <c r="S1842" s="54" t="str">
        <f t="shared" si="90"/>
        <v/>
      </c>
      <c r="T1842" s="54" t="str">
        <f t="shared" si="91"/>
        <v/>
      </c>
      <c r="U1842" s="58" t="str">
        <f t="shared" si="92"/>
        <v/>
      </c>
      <c r="V1842" s="58">
        <f>IF(AND($B1842&lt;&gt;"",$F1842&lt;&gt;"",$F1842=项目明细账!$C$2),N(V1841)+1,N(V1841))</f>
        <v>0</v>
      </c>
      <c r="W1842" s="63" t="str">
        <f>IF($H1842&lt;&gt;"","项目成本",IFERROR(INDEX(基础资料!$W$4:$W$49,MATCH($I1842,基础资料!$V$4:$V$49,0)),""))</f>
        <v/>
      </c>
      <c r="X1842" s="63" t="str">
        <f>IFERROR(INDEX(基础资料!$R$4:$R$17,MATCH($G1842,基础资料!$Q$4:$Q$17,0)),"")</f>
        <v/>
      </c>
    </row>
    <row r="1843" spans="1:24">
      <c r="A1843" s="58" t="str">
        <f>IF($B1843="","",COUNTA($B$5:$B1843))</f>
        <v/>
      </c>
      <c r="B1843" s="53"/>
      <c r="C1843" s="46"/>
      <c r="D1843" s="63" t="str">
        <f>IFERROR(INDEX(基础资料!$F$4:$F$23,MATCH($C1843,基础资料!$E$4:$E$23,0)),IF($C1843="","","未匹配账户"))</f>
        <v/>
      </c>
      <c r="E1843" s="39"/>
      <c r="F1843" s="10"/>
      <c r="G1843" s="10"/>
      <c r="H1843" s="10"/>
      <c r="I1843" s="10"/>
      <c r="J1843" s="10"/>
      <c r="K1843" s="25"/>
      <c r="L1843" s="25"/>
      <c r="M1843" s="25" t="str">
        <f>IFERROR(VLOOKUP($C1843,$C$5:$M$24,11,0)+SUMIF($C$25:$C1843,$C1843,$K$25:$K1843)-SUMIF($C$25:$C1843,$C1843,$L$25:$L1843),"")</f>
        <v/>
      </c>
      <c r="N1843" s="10"/>
      <c r="O1843" s="10"/>
      <c r="P1843" s="65"/>
      <c r="Q1843" s="10"/>
      <c r="R1843" s="10"/>
      <c r="S1843" s="54" t="str">
        <f t="shared" si="90"/>
        <v/>
      </c>
      <c r="T1843" s="54" t="str">
        <f t="shared" si="91"/>
        <v/>
      </c>
      <c r="U1843" s="58" t="str">
        <f t="shared" si="92"/>
        <v/>
      </c>
      <c r="V1843" s="58">
        <f>IF(AND($B1843&lt;&gt;"",$F1843&lt;&gt;"",$F1843=项目明细账!$C$2),N(V1842)+1,N(V1842))</f>
        <v>0</v>
      </c>
      <c r="W1843" s="63" t="str">
        <f>IF($H1843&lt;&gt;"","项目成本",IFERROR(INDEX(基础资料!$W$4:$W$49,MATCH($I1843,基础资料!$V$4:$V$49,0)),""))</f>
        <v/>
      </c>
      <c r="X1843" s="63" t="str">
        <f>IFERROR(INDEX(基础资料!$R$4:$R$17,MATCH($G1843,基础资料!$Q$4:$Q$17,0)),"")</f>
        <v/>
      </c>
    </row>
    <row r="1844" spans="1:24">
      <c r="A1844" s="58" t="str">
        <f>IF($B1844="","",COUNTA($B$5:$B1844))</f>
        <v/>
      </c>
      <c r="B1844" s="53"/>
      <c r="C1844" s="46"/>
      <c r="D1844" s="63" t="str">
        <f>IFERROR(INDEX(基础资料!$F$4:$F$23,MATCH($C1844,基础资料!$E$4:$E$23,0)),IF($C1844="","","未匹配账户"))</f>
        <v/>
      </c>
      <c r="E1844" s="39"/>
      <c r="F1844" s="10"/>
      <c r="G1844" s="10"/>
      <c r="H1844" s="10"/>
      <c r="I1844" s="10"/>
      <c r="J1844" s="10"/>
      <c r="K1844" s="25"/>
      <c r="L1844" s="25"/>
      <c r="M1844" s="25" t="str">
        <f>IFERROR(VLOOKUP($C1844,$C$5:$M$24,11,0)+SUMIF($C$25:$C1844,$C1844,$K$25:$K1844)-SUMIF($C$25:$C1844,$C1844,$L$25:$L1844),"")</f>
        <v/>
      </c>
      <c r="N1844" s="10"/>
      <c r="O1844" s="10"/>
      <c r="P1844" s="65"/>
      <c r="Q1844" s="10"/>
      <c r="R1844" s="10"/>
      <c r="S1844" s="54" t="str">
        <f t="shared" si="90"/>
        <v/>
      </c>
      <c r="T1844" s="54" t="str">
        <f t="shared" si="91"/>
        <v/>
      </c>
      <c r="U1844" s="58" t="str">
        <f t="shared" si="92"/>
        <v/>
      </c>
      <c r="V1844" s="58">
        <f>IF(AND($B1844&lt;&gt;"",$F1844&lt;&gt;"",$F1844=项目明细账!$C$2),N(V1843)+1,N(V1843))</f>
        <v>0</v>
      </c>
      <c r="W1844" s="63" t="str">
        <f>IF($H1844&lt;&gt;"","项目成本",IFERROR(INDEX(基础资料!$W$4:$W$49,MATCH($I1844,基础资料!$V$4:$V$49,0)),""))</f>
        <v/>
      </c>
      <c r="X1844" s="63" t="str">
        <f>IFERROR(INDEX(基础资料!$R$4:$R$17,MATCH($G1844,基础资料!$Q$4:$Q$17,0)),"")</f>
        <v/>
      </c>
    </row>
    <row r="1845" spans="1:24">
      <c r="A1845" s="58" t="str">
        <f>IF($B1845="","",COUNTA($B$5:$B1845))</f>
        <v/>
      </c>
      <c r="B1845" s="53"/>
      <c r="C1845" s="46"/>
      <c r="D1845" s="63" t="str">
        <f>IFERROR(INDEX(基础资料!$F$4:$F$23,MATCH($C1845,基础资料!$E$4:$E$23,0)),IF($C1845="","","未匹配账户"))</f>
        <v/>
      </c>
      <c r="E1845" s="39"/>
      <c r="F1845" s="10"/>
      <c r="G1845" s="10"/>
      <c r="H1845" s="10"/>
      <c r="I1845" s="10"/>
      <c r="J1845" s="10"/>
      <c r="K1845" s="25"/>
      <c r="L1845" s="25"/>
      <c r="M1845" s="25" t="str">
        <f>IFERROR(VLOOKUP($C1845,$C$5:$M$24,11,0)+SUMIF($C$25:$C1845,$C1845,$K$25:$K1845)-SUMIF($C$25:$C1845,$C1845,$L$25:$L1845),"")</f>
        <v/>
      </c>
      <c r="N1845" s="10"/>
      <c r="O1845" s="10"/>
      <c r="P1845" s="65"/>
      <c r="Q1845" s="10"/>
      <c r="R1845" s="10"/>
      <c r="S1845" s="54" t="str">
        <f t="shared" si="90"/>
        <v/>
      </c>
      <c r="T1845" s="54" t="str">
        <f t="shared" si="91"/>
        <v/>
      </c>
      <c r="U1845" s="58" t="str">
        <f t="shared" si="92"/>
        <v/>
      </c>
      <c r="V1845" s="58">
        <f>IF(AND($B1845&lt;&gt;"",$F1845&lt;&gt;"",$F1845=项目明细账!$C$2),N(V1844)+1,N(V1844))</f>
        <v>0</v>
      </c>
      <c r="W1845" s="63" t="str">
        <f>IF($H1845&lt;&gt;"","项目成本",IFERROR(INDEX(基础资料!$W$4:$W$49,MATCH($I1845,基础资料!$V$4:$V$49,0)),""))</f>
        <v/>
      </c>
      <c r="X1845" s="63" t="str">
        <f>IFERROR(INDEX(基础资料!$R$4:$R$17,MATCH($G1845,基础资料!$Q$4:$Q$17,0)),"")</f>
        <v/>
      </c>
    </row>
    <row r="1846" spans="1:24">
      <c r="A1846" s="58" t="str">
        <f>IF($B1846="","",COUNTA($B$5:$B1846))</f>
        <v/>
      </c>
      <c r="B1846" s="53"/>
      <c r="C1846" s="46"/>
      <c r="D1846" s="63" t="str">
        <f>IFERROR(INDEX(基础资料!$F$4:$F$23,MATCH($C1846,基础资料!$E$4:$E$23,0)),IF($C1846="","","未匹配账户"))</f>
        <v/>
      </c>
      <c r="E1846" s="39"/>
      <c r="F1846" s="10"/>
      <c r="G1846" s="10"/>
      <c r="H1846" s="10"/>
      <c r="I1846" s="10"/>
      <c r="J1846" s="10"/>
      <c r="K1846" s="25"/>
      <c r="L1846" s="25"/>
      <c r="M1846" s="25" t="str">
        <f>IFERROR(VLOOKUP($C1846,$C$5:$M$24,11,0)+SUMIF($C$25:$C1846,$C1846,$K$25:$K1846)-SUMIF($C$25:$C1846,$C1846,$L$25:$L1846),"")</f>
        <v/>
      </c>
      <c r="N1846" s="10"/>
      <c r="O1846" s="10"/>
      <c r="P1846" s="65"/>
      <c r="Q1846" s="10"/>
      <c r="R1846" s="10"/>
      <c r="S1846" s="54" t="str">
        <f t="shared" si="90"/>
        <v/>
      </c>
      <c r="T1846" s="54" t="str">
        <f t="shared" si="91"/>
        <v/>
      </c>
      <c r="U1846" s="58" t="str">
        <f t="shared" si="92"/>
        <v/>
      </c>
      <c r="V1846" s="58">
        <f>IF(AND($B1846&lt;&gt;"",$F1846&lt;&gt;"",$F1846=项目明细账!$C$2),N(V1845)+1,N(V1845))</f>
        <v>0</v>
      </c>
      <c r="W1846" s="63" t="str">
        <f>IF($H1846&lt;&gt;"","项目成本",IFERROR(INDEX(基础资料!$W$4:$W$49,MATCH($I1846,基础资料!$V$4:$V$49,0)),""))</f>
        <v/>
      </c>
      <c r="X1846" s="63" t="str">
        <f>IFERROR(INDEX(基础资料!$R$4:$R$17,MATCH($G1846,基础资料!$Q$4:$Q$17,0)),"")</f>
        <v/>
      </c>
    </row>
    <row r="1847" spans="1:24">
      <c r="A1847" s="58" t="str">
        <f>IF($B1847="","",COUNTA($B$5:$B1847))</f>
        <v/>
      </c>
      <c r="B1847" s="53"/>
      <c r="C1847" s="46"/>
      <c r="D1847" s="63" t="str">
        <f>IFERROR(INDEX(基础资料!$F$4:$F$23,MATCH($C1847,基础资料!$E$4:$E$23,0)),IF($C1847="","","未匹配账户"))</f>
        <v/>
      </c>
      <c r="E1847" s="39"/>
      <c r="F1847" s="10"/>
      <c r="G1847" s="10"/>
      <c r="H1847" s="10"/>
      <c r="I1847" s="10"/>
      <c r="J1847" s="10"/>
      <c r="K1847" s="25"/>
      <c r="L1847" s="25"/>
      <c r="M1847" s="25" t="str">
        <f>IFERROR(VLOOKUP($C1847,$C$5:$M$24,11,0)+SUMIF($C$25:$C1847,$C1847,$K$25:$K1847)-SUMIF($C$25:$C1847,$C1847,$L$25:$L1847),"")</f>
        <v/>
      </c>
      <c r="N1847" s="10"/>
      <c r="O1847" s="10"/>
      <c r="P1847" s="65"/>
      <c r="Q1847" s="10"/>
      <c r="R1847" s="10"/>
      <c r="S1847" s="54" t="str">
        <f t="shared" si="90"/>
        <v/>
      </c>
      <c r="T1847" s="54" t="str">
        <f t="shared" si="91"/>
        <v/>
      </c>
      <c r="U1847" s="58" t="str">
        <f t="shared" si="92"/>
        <v/>
      </c>
      <c r="V1847" s="58">
        <f>IF(AND($B1847&lt;&gt;"",$F1847&lt;&gt;"",$F1847=项目明细账!$C$2),N(V1846)+1,N(V1846))</f>
        <v>0</v>
      </c>
      <c r="W1847" s="63" t="str">
        <f>IF($H1847&lt;&gt;"","项目成本",IFERROR(INDEX(基础资料!$W$4:$W$49,MATCH($I1847,基础资料!$V$4:$V$49,0)),""))</f>
        <v/>
      </c>
      <c r="X1847" s="63" t="str">
        <f>IFERROR(INDEX(基础资料!$R$4:$R$17,MATCH($G1847,基础资料!$Q$4:$Q$17,0)),"")</f>
        <v/>
      </c>
    </row>
    <row r="1848" spans="1:24">
      <c r="A1848" s="58" t="str">
        <f>IF($B1848="","",COUNTA($B$5:$B1848))</f>
        <v/>
      </c>
      <c r="B1848" s="53"/>
      <c r="C1848" s="46"/>
      <c r="D1848" s="63" t="str">
        <f>IFERROR(INDEX(基础资料!$F$4:$F$23,MATCH($C1848,基础资料!$E$4:$E$23,0)),IF($C1848="","","未匹配账户"))</f>
        <v/>
      </c>
      <c r="E1848" s="39"/>
      <c r="F1848" s="10"/>
      <c r="G1848" s="10"/>
      <c r="H1848" s="10"/>
      <c r="I1848" s="10"/>
      <c r="J1848" s="10"/>
      <c r="K1848" s="25"/>
      <c r="L1848" s="25"/>
      <c r="M1848" s="25" t="str">
        <f>IFERROR(VLOOKUP($C1848,$C$5:$M$24,11,0)+SUMIF($C$25:$C1848,$C1848,$K$25:$K1848)-SUMIF($C$25:$C1848,$C1848,$L$25:$L1848),"")</f>
        <v/>
      </c>
      <c r="N1848" s="10"/>
      <c r="O1848" s="10"/>
      <c r="P1848" s="65"/>
      <c r="Q1848" s="10"/>
      <c r="R1848" s="10"/>
      <c r="S1848" s="54" t="str">
        <f t="shared" si="90"/>
        <v/>
      </c>
      <c r="T1848" s="54" t="str">
        <f t="shared" si="91"/>
        <v/>
      </c>
      <c r="U1848" s="58" t="str">
        <f t="shared" si="92"/>
        <v/>
      </c>
      <c r="V1848" s="58">
        <f>IF(AND($B1848&lt;&gt;"",$F1848&lt;&gt;"",$F1848=项目明细账!$C$2),N(V1847)+1,N(V1847))</f>
        <v>0</v>
      </c>
      <c r="W1848" s="63" t="str">
        <f>IF($H1848&lt;&gt;"","项目成本",IFERROR(INDEX(基础资料!$W$4:$W$49,MATCH($I1848,基础资料!$V$4:$V$49,0)),""))</f>
        <v/>
      </c>
      <c r="X1848" s="63" t="str">
        <f>IFERROR(INDEX(基础资料!$R$4:$R$17,MATCH($G1848,基础资料!$Q$4:$Q$17,0)),"")</f>
        <v/>
      </c>
    </row>
    <row r="1849" spans="1:24">
      <c r="A1849" s="58" t="str">
        <f>IF($B1849="","",COUNTA($B$5:$B1849))</f>
        <v/>
      </c>
      <c r="B1849" s="53"/>
      <c r="C1849" s="46"/>
      <c r="D1849" s="63" t="str">
        <f>IFERROR(INDEX(基础资料!$F$4:$F$23,MATCH($C1849,基础资料!$E$4:$E$23,0)),IF($C1849="","","未匹配账户"))</f>
        <v/>
      </c>
      <c r="E1849" s="39"/>
      <c r="F1849" s="10"/>
      <c r="G1849" s="10"/>
      <c r="H1849" s="10"/>
      <c r="I1849" s="10"/>
      <c r="J1849" s="10"/>
      <c r="K1849" s="25"/>
      <c r="L1849" s="25"/>
      <c r="M1849" s="25" t="str">
        <f>IFERROR(VLOOKUP($C1849,$C$5:$M$24,11,0)+SUMIF($C$25:$C1849,$C1849,$K$25:$K1849)-SUMIF($C$25:$C1849,$C1849,$L$25:$L1849),"")</f>
        <v/>
      </c>
      <c r="N1849" s="10"/>
      <c r="O1849" s="10"/>
      <c r="P1849" s="65"/>
      <c r="Q1849" s="10"/>
      <c r="R1849" s="10"/>
      <c r="S1849" s="54" t="str">
        <f t="shared" si="90"/>
        <v/>
      </c>
      <c r="T1849" s="54" t="str">
        <f t="shared" si="91"/>
        <v/>
      </c>
      <c r="U1849" s="58" t="str">
        <f t="shared" si="92"/>
        <v/>
      </c>
      <c r="V1849" s="58">
        <f>IF(AND($B1849&lt;&gt;"",$F1849&lt;&gt;"",$F1849=项目明细账!$C$2),N(V1848)+1,N(V1848))</f>
        <v>0</v>
      </c>
      <c r="W1849" s="63" t="str">
        <f>IF($H1849&lt;&gt;"","项目成本",IFERROR(INDEX(基础资料!$W$4:$W$49,MATCH($I1849,基础资料!$V$4:$V$49,0)),""))</f>
        <v/>
      </c>
      <c r="X1849" s="63" t="str">
        <f>IFERROR(INDEX(基础资料!$R$4:$R$17,MATCH($G1849,基础资料!$Q$4:$Q$17,0)),"")</f>
        <v/>
      </c>
    </row>
    <row r="1850" spans="1:24">
      <c r="A1850" s="58" t="str">
        <f>IF($B1850="","",COUNTA($B$5:$B1850))</f>
        <v/>
      </c>
      <c r="B1850" s="53"/>
      <c r="C1850" s="46"/>
      <c r="D1850" s="63" t="str">
        <f>IFERROR(INDEX(基础资料!$F$4:$F$23,MATCH($C1850,基础资料!$E$4:$E$23,0)),IF($C1850="","","未匹配账户"))</f>
        <v/>
      </c>
      <c r="E1850" s="39"/>
      <c r="F1850" s="10"/>
      <c r="G1850" s="10"/>
      <c r="H1850" s="10"/>
      <c r="I1850" s="10"/>
      <c r="J1850" s="10"/>
      <c r="K1850" s="25"/>
      <c r="L1850" s="25"/>
      <c r="M1850" s="25" t="str">
        <f>IFERROR(VLOOKUP($C1850,$C$5:$M$24,11,0)+SUMIF($C$25:$C1850,$C1850,$K$25:$K1850)-SUMIF($C$25:$C1850,$C1850,$L$25:$L1850),"")</f>
        <v/>
      </c>
      <c r="N1850" s="10"/>
      <c r="O1850" s="10"/>
      <c r="P1850" s="65"/>
      <c r="Q1850" s="10"/>
      <c r="R1850" s="10"/>
      <c r="S1850" s="54" t="str">
        <f t="shared" si="90"/>
        <v/>
      </c>
      <c r="T1850" s="54" t="str">
        <f t="shared" si="91"/>
        <v/>
      </c>
      <c r="U1850" s="58" t="str">
        <f t="shared" si="92"/>
        <v/>
      </c>
      <c r="V1850" s="58">
        <f>IF(AND($B1850&lt;&gt;"",$F1850&lt;&gt;"",$F1850=项目明细账!$C$2),N(V1849)+1,N(V1849))</f>
        <v>0</v>
      </c>
      <c r="W1850" s="63" t="str">
        <f>IF($H1850&lt;&gt;"","项目成本",IFERROR(INDEX(基础资料!$W$4:$W$49,MATCH($I1850,基础资料!$V$4:$V$49,0)),""))</f>
        <v/>
      </c>
      <c r="X1850" s="63" t="str">
        <f>IFERROR(INDEX(基础资料!$R$4:$R$17,MATCH($G1850,基础资料!$Q$4:$Q$17,0)),"")</f>
        <v/>
      </c>
    </row>
    <row r="1851" spans="1:24">
      <c r="A1851" s="58" t="str">
        <f>IF($B1851="","",COUNTA($B$5:$B1851))</f>
        <v/>
      </c>
      <c r="B1851" s="53"/>
      <c r="C1851" s="46"/>
      <c r="D1851" s="63" t="str">
        <f>IFERROR(INDEX(基础资料!$F$4:$F$23,MATCH($C1851,基础资料!$E$4:$E$23,0)),IF($C1851="","","未匹配账户"))</f>
        <v/>
      </c>
      <c r="E1851" s="39"/>
      <c r="F1851" s="10"/>
      <c r="G1851" s="10"/>
      <c r="H1851" s="10"/>
      <c r="I1851" s="10"/>
      <c r="J1851" s="10"/>
      <c r="K1851" s="25"/>
      <c r="L1851" s="25"/>
      <c r="M1851" s="25" t="str">
        <f>IFERROR(VLOOKUP($C1851,$C$5:$M$24,11,0)+SUMIF($C$25:$C1851,$C1851,$K$25:$K1851)-SUMIF($C$25:$C1851,$C1851,$L$25:$L1851),"")</f>
        <v/>
      </c>
      <c r="N1851" s="10"/>
      <c r="O1851" s="10"/>
      <c r="P1851" s="65"/>
      <c r="Q1851" s="10"/>
      <c r="R1851" s="10"/>
      <c r="S1851" s="54" t="str">
        <f t="shared" si="90"/>
        <v/>
      </c>
      <c r="T1851" s="54" t="str">
        <f t="shared" si="91"/>
        <v/>
      </c>
      <c r="U1851" s="58" t="str">
        <f t="shared" si="92"/>
        <v/>
      </c>
      <c r="V1851" s="58">
        <f>IF(AND($B1851&lt;&gt;"",$F1851&lt;&gt;"",$F1851=项目明细账!$C$2),N(V1850)+1,N(V1850))</f>
        <v>0</v>
      </c>
      <c r="W1851" s="63" t="str">
        <f>IF($H1851&lt;&gt;"","项目成本",IFERROR(INDEX(基础资料!$W$4:$W$49,MATCH($I1851,基础资料!$V$4:$V$49,0)),""))</f>
        <v/>
      </c>
      <c r="X1851" s="63" t="str">
        <f>IFERROR(INDEX(基础资料!$R$4:$R$17,MATCH($G1851,基础资料!$Q$4:$Q$17,0)),"")</f>
        <v/>
      </c>
    </row>
    <row r="1852" spans="1:24">
      <c r="A1852" s="58" t="str">
        <f>IF($B1852="","",COUNTA($B$5:$B1852))</f>
        <v/>
      </c>
      <c r="B1852" s="53"/>
      <c r="C1852" s="46"/>
      <c r="D1852" s="63" t="str">
        <f>IFERROR(INDEX(基础资料!$F$4:$F$23,MATCH($C1852,基础资料!$E$4:$E$23,0)),IF($C1852="","","未匹配账户"))</f>
        <v/>
      </c>
      <c r="E1852" s="39"/>
      <c r="F1852" s="10"/>
      <c r="G1852" s="10"/>
      <c r="H1852" s="10"/>
      <c r="I1852" s="10"/>
      <c r="J1852" s="10"/>
      <c r="K1852" s="25"/>
      <c r="L1852" s="25"/>
      <c r="M1852" s="25" t="str">
        <f>IFERROR(VLOOKUP($C1852,$C$5:$M$24,11,0)+SUMIF($C$25:$C1852,$C1852,$K$25:$K1852)-SUMIF($C$25:$C1852,$C1852,$L$25:$L1852),"")</f>
        <v/>
      </c>
      <c r="N1852" s="10"/>
      <c r="O1852" s="10"/>
      <c r="P1852" s="65"/>
      <c r="Q1852" s="10"/>
      <c r="R1852" s="10"/>
      <c r="S1852" s="54" t="str">
        <f t="shared" si="90"/>
        <v/>
      </c>
      <c r="T1852" s="54" t="str">
        <f t="shared" si="91"/>
        <v/>
      </c>
      <c r="U1852" s="58" t="str">
        <f t="shared" si="92"/>
        <v/>
      </c>
      <c r="V1852" s="58">
        <f>IF(AND($B1852&lt;&gt;"",$F1852&lt;&gt;"",$F1852=项目明细账!$C$2),N(V1851)+1,N(V1851))</f>
        <v>0</v>
      </c>
      <c r="W1852" s="63" t="str">
        <f>IF($H1852&lt;&gt;"","项目成本",IFERROR(INDEX(基础资料!$W$4:$W$49,MATCH($I1852,基础资料!$V$4:$V$49,0)),""))</f>
        <v/>
      </c>
      <c r="X1852" s="63" t="str">
        <f>IFERROR(INDEX(基础资料!$R$4:$R$17,MATCH($G1852,基础资料!$Q$4:$Q$17,0)),"")</f>
        <v/>
      </c>
    </row>
    <row r="1853" spans="1:24">
      <c r="A1853" s="58" t="str">
        <f>IF($B1853="","",COUNTA($B$5:$B1853))</f>
        <v/>
      </c>
      <c r="B1853" s="53"/>
      <c r="C1853" s="46"/>
      <c r="D1853" s="63" t="str">
        <f>IFERROR(INDEX(基础资料!$F$4:$F$23,MATCH($C1853,基础资料!$E$4:$E$23,0)),IF($C1853="","","未匹配账户"))</f>
        <v/>
      </c>
      <c r="E1853" s="39"/>
      <c r="F1853" s="10"/>
      <c r="G1853" s="10"/>
      <c r="H1853" s="10"/>
      <c r="I1853" s="10"/>
      <c r="J1853" s="10"/>
      <c r="K1853" s="25"/>
      <c r="L1853" s="25"/>
      <c r="M1853" s="25" t="str">
        <f>IFERROR(VLOOKUP($C1853,$C$5:$M$24,11,0)+SUMIF($C$25:$C1853,$C1853,$K$25:$K1853)-SUMIF($C$25:$C1853,$C1853,$L$25:$L1853),"")</f>
        <v/>
      </c>
      <c r="N1853" s="10"/>
      <c r="O1853" s="10"/>
      <c r="P1853" s="65"/>
      <c r="Q1853" s="10"/>
      <c r="R1853" s="10"/>
      <c r="S1853" s="54" t="str">
        <f t="shared" si="90"/>
        <v/>
      </c>
      <c r="T1853" s="54" t="str">
        <f t="shared" si="91"/>
        <v/>
      </c>
      <c r="U1853" s="58" t="str">
        <f t="shared" si="92"/>
        <v/>
      </c>
      <c r="V1853" s="58">
        <f>IF(AND($B1853&lt;&gt;"",$F1853&lt;&gt;"",$F1853=项目明细账!$C$2),N(V1852)+1,N(V1852))</f>
        <v>0</v>
      </c>
      <c r="W1853" s="63" t="str">
        <f>IF($H1853&lt;&gt;"","项目成本",IFERROR(INDEX(基础资料!$W$4:$W$49,MATCH($I1853,基础资料!$V$4:$V$49,0)),""))</f>
        <v/>
      </c>
      <c r="X1853" s="63" t="str">
        <f>IFERROR(INDEX(基础资料!$R$4:$R$17,MATCH($G1853,基础资料!$Q$4:$Q$17,0)),"")</f>
        <v/>
      </c>
    </row>
    <row r="1854" spans="1:24">
      <c r="A1854" s="58" t="str">
        <f>IF($B1854="","",COUNTA($B$5:$B1854))</f>
        <v/>
      </c>
      <c r="B1854" s="53"/>
      <c r="C1854" s="46"/>
      <c r="D1854" s="63" t="str">
        <f>IFERROR(INDEX(基础资料!$F$4:$F$23,MATCH($C1854,基础资料!$E$4:$E$23,0)),IF($C1854="","","未匹配账户"))</f>
        <v/>
      </c>
      <c r="E1854" s="39"/>
      <c r="F1854" s="10"/>
      <c r="G1854" s="10"/>
      <c r="H1854" s="10"/>
      <c r="I1854" s="10"/>
      <c r="J1854" s="10"/>
      <c r="K1854" s="25"/>
      <c r="L1854" s="25"/>
      <c r="M1854" s="25" t="str">
        <f>IFERROR(VLOOKUP($C1854,$C$5:$M$24,11,0)+SUMIF($C$25:$C1854,$C1854,$K$25:$K1854)-SUMIF($C$25:$C1854,$C1854,$L$25:$L1854),"")</f>
        <v/>
      </c>
      <c r="N1854" s="10"/>
      <c r="O1854" s="10"/>
      <c r="P1854" s="65"/>
      <c r="Q1854" s="10"/>
      <c r="R1854" s="10"/>
      <c r="S1854" s="54" t="str">
        <f t="shared" si="90"/>
        <v/>
      </c>
      <c r="T1854" s="54" t="str">
        <f t="shared" si="91"/>
        <v/>
      </c>
      <c r="U1854" s="58" t="str">
        <f t="shared" si="92"/>
        <v/>
      </c>
      <c r="V1854" s="58">
        <f>IF(AND($B1854&lt;&gt;"",$F1854&lt;&gt;"",$F1854=项目明细账!$C$2),N(V1853)+1,N(V1853))</f>
        <v>0</v>
      </c>
      <c r="W1854" s="63" t="str">
        <f>IF($H1854&lt;&gt;"","项目成本",IFERROR(INDEX(基础资料!$W$4:$W$49,MATCH($I1854,基础资料!$V$4:$V$49,0)),""))</f>
        <v/>
      </c>
      <c r="X1854" s="63" t="str">
        <f>IFERROR(INDEX(基础资料!$R$4:$R$17,MATCH($G1854,基础资料!$Q$4:$Q$17,0)),"")</f>
        <v/>
      </c>
    </row>
    <row r="1855" spans="1:24">
      <c r="A1855" s="58" t="str">
        <f>IF($B1855="","",COUNTA($B$5:$B1855))</f>
        <v/>
      </c>
      <c r="B1855" s="53"/>
      <c r="C1855" s="46"/>
      <c r="D1855" s="63" t="str">
        <f>IFERROR(INDEX(基础资料!$F$4:$F$23,MATCH($C1855,基础资料!$E$4:$E$23,0)),IF($C1855="","","未匹配账户"))</f>
        <v/>
      </c>
      <c r="E1855" s="39"/>
      <c r="F1855" s="10"/>
      <c r="G1855" s="10"/>
      <c r="H1855" s="10"/>
      <c r="I1855" s="10"/>
      <c r="J1855" s="10"/>
      <c r="K1855" s="25"/>
      <c r="L1855" s="25"/>
      <c r="M1855" s="25" t="str">
        <f>IFERROR(VLOOKUP($C1855,$C$5:$M$24,11,0)+SUMIF($C$25:$C1855,$C1855,$K$25:$K1855)-SUMIF($C$25:$C1855,$C1855,$L$25:$L1855),"")</f>
        <v/>
      </c>
      <c r="N1855" s="10"/>
      <c r="O1855" s="10"/>
      <c r="P1855" s="65"/>
      <c r="Q1855" s="10"/>
      <c r="R1855" s="10"/>
      <c r="S1855" s="54" t="str">
        <f t="shared" si="90"/>
        <v/>
      </c>
      <c r="T1855" s="54" t="str">
        <f t="shared" si="91"/>
        <v/>
      </c>
      <c r="U1855" s="58" t="str">
        <f t="shared" si="92"/>
        <v/>
      </c>
      <c r="V1855" s="58">
        <f>IF(AND($B1855&lt;&gt;"",$F1855&lt;&gt;"",$F1855=项目明细账!$C$2),N(V1854)+1,N(V1854))</f>
        <v>0</v>
      </c>
      <c r="W1855" s="63" t="str">
        <f>IF($H1855&lt;&gt;"","项目成本",IFERROR(INDEX(基础资料!$W$4:$W$49,MATCH($I1855,基础资料!$V$4:$V$49,0)),""))</f>
        <v/>
      </c>
      <c r="X1855" s="63" t="str">
        <f>IFERROR(INDEX(基础资料!$R$4:$R$17,MATCH($G1855,基础资料!$Q$4:$Q$17,0)),"")</f>
        <v/>
      </c>
    </row>
    <row r="1856" spans="1:24">
      <c r="A1856" s="58" t="str">
        <f>IF($B1856="","",COUNTA($B$5:$B1856))</f>
        <v/>
      </c>
      <c r="B1856" s="53"/>
      <c r="C1856" s="46"/>
      <c r="D1856" s="63" t="str">
        <f>IFERROR(INDEX(基础资料!$F$4:$F$23,MATCH($C1856,基础资料!$E$4:$E$23,0)),IF($C1856="","","未匹配账户"))</f>
        <v/>
      </c>
      <c r="E1856" s="39"/>
      <c r="F1856" s="10"/>
      <c r="G1856" s="10"/>
      <c r="H1856" s="10"/>
      <c r="I1856" s="10"/>
      <c r="J1856" s="10"/>
      <c r="K1856" s="25"/>
      <c r="L1856" s="25"/>
      <c r="M1856" s="25" t="str">
        <f>IFERROR(VLOOKUP($C1856,$C$5:$M$24,11,0)+SUMIF($C$25:$C1856,$C1856,$K$25:$K1856)-SUMIF($C$25:$C1856,$C1856,$L$25:$L1856),"")</f>
        <v/>
      </c>
      <c r="N1856" s="10"/>
      <c r="O1856" s="10"/>
      <c r="P1856" s="65"/>
      <c r="Q1856" s="10"/>
      <c r="R1856" s="10"/>
      <c r="S1856" s="54" t="str">
        <f t="shared" si="90"/>
        <v/>
      </c>
      <c r="T1856" s="54" t="str">
        <f t="shared" si="91"/>
        <v/>
      </c>
      <c r="U1856" s="58" t="str">
        <f t="shared" si="92"/>
        <v/>
      </c>
      <c r="V1856" s="58">
        <f>IF(AND($B1856&lt;&gt;"",$F1856&lt;&gt;"",$F1856=项目明细账!$C$2),N(V1855)+1,N(V1855))</f>
        <v>0</v>
      </c>
      <c r="W1856" s="63" t="str">
        <f>IF($H1856&lt;&gt;"","项目成本",IFERROR(INDEX(基础资料!$W$4:$W$49,MATCH($I1856,基础资料!$V$4:$V$49,0)),""))</f>
        <v/>
      </c>
      <c r="X1856" s="63" t="str">
        <f>IFERROR(INDEX(基础资料!$R$4:$R$17,MATCH($G1856,基础资料!$Q$4:$Q$17,0)),"")</f>
        <v/>
      </c>
    </row>
    <row r="1857" spans="1:24">
      <c r="A1857" s="58" t="str">
        <f>IF($B1857="","",COUNTA($B$5:$B1857))</f>
        <v/>
      </c>
      <c r="B1857" s="53"/>
      <c r="C1857" s="46"/>
      <c r="D1857" s="63" t="str">
        <f>IFERROR(INDEX(基础资料!$F$4:$F$23,MATCH($C1857,基础资料!$E$4:$E$23,0)),IF($C1857="","","未匹配账户"))</f>
        <v/>
      </c>
      <c r="E1857" s="39"/>
      <c r="F1857" s="10"/>
      <c r="G1857" s="10"/>
      <c r="H1857" s="10"/>
      <c r="I1857" s="10"/>
      <c r="J1857" s="10"/>
      <c r="K1857" s="25"/>
      <c r="L1857" s="25"/>
      <c r="M1857" s="25" t="str">
        <f>IFERROR(VLOOKUP($C1857,$C$5:$M$24,11,0)+SUMIF($C$25:$C1857,$C1857,$K$25:$K1857)-SUMIF($C$25:$C1857,$C1857,$L$25:$L1857),"")</f>
        <v/>
      </c>
      <c r="N1857" s="10"/>
      <c r="O1857" s="10"/>
      <c r="P1857" s="65"/>
      <c r="Q1857" s="10"/>
      <c r="R1857" s="10"/>
      <c r="S1857" s="54" t="str">
        <f t="shared" si="90"/>
        <v/>
      </c>
      <c r="T1857" s="54" t="str">
        <f t="shared" si="91"/>
        <v/>
      </c>
      <c r="U1857" s="58" t="str">
        <f t="shared" si="92"/>
        <v/>
      </c>
      <c r="V1857" s="58">
        <f>IF(AND($B1857&lt;&gt;"",$F1857&lt;&gt;"",$F1857=项目明细账!$C$2),N(V1856)+1,N(V1856))</f>
        <v>0</v>
      </c>
      <c r="W1857" s="63" t="str">
        <f>IF($H1857&lt;&gt;"","项目成本",IFERROR(INDEX(基础资料!$W$4:$W$49,MATCH($I1857,基础资料!$V$4:$V$49,0)),""))</f>
        <v/>
      </c>
      <c r="X1857" s="63" t="str">
        <f>IFERROR(INDEX(基础资料!$R$4:$R$17,MATCH($G1857,基础资料!$Q$4:$Q$17,0)),"")</f>
        <v/>
      </c>
    </row>
    <row r="1858" spans="1:24">
      <c r="A1858" s="58" t="str">
        <f>IF($B1858="","",COUNTA($B$5:$B1858))</f>
        <v/>
      </c>
      <c r="B1858" s="53"/>
      <c r="C1858" s="46"/>
      <c r="D1858" s="63" t="str">
        <f>IFERROR(INDEX(基础资料!$F$4:$F$23,MATCH($C1858,基础资料!$E$4:$E$23,0)),IF($C1858="","","未匹配账户"))</f>
        <v/>
      </c>
      <c r="E1858" s="39"/>
      <c r="F1858" s="10"/>
      <c r="G1858" s="10"/>
      <c r="H1858" s="10"/>
      <c r="I1858" s="10"/>
      <c r="J1858" s="10"/>
      <c r="K1858" s="25"/>
      <c r="L1858" s="25"/>
      <c r="M1858" s="25" t="str">
        <f>IFERROR(VLOOKUP($C1858,$C$5:$M$24,11,0)+SUMIF($C$25:$C1858,$C1858,$K$25:$K1858)-SUMIF($C$25:$C1858,$C1858,$L$25:$L1858),"")</f>
        <v/>
      </c>
      <c r="N1858" s="10"/>
      <c r="O1858" s="10"/>
      <c r="P1858" s="65"/>
      <c r="Q1858" s="10"/>
      <c r="R1858" s="10"/>
      <c r="S1858" s="54" t="str">
        <f t="shared" si="90"/>
        <v/>
      </c>
      <c r="T1858" s="54" t="str">
        <f t="shared" si="91"/>
        <v/>
      </c>
      <c r="U1858" s="58" t="str">
        <f t="shared" si="92"/>
        <v/>
      </c>
      <c r="V1858" s="58">
        <f>IF(AND($B1858&lt;&gt;"",$F1858&lt;&gt;"",$F1858=项目明细账!$C$2),N(V1857)+1,N(V1857))</f>
        <v>0</v>
      </c>
      <c r="W1858" s="63" t="str">
        <f>IF($H1858&lt;&gt;"","项目成本",IFERROR(INDEX(基础资料!$W$4:$W$49,MATCH($I1858,基础资料!$V$4:$V$49,0)),""))</f>
        <v/>
      </c>
      <c r="X1858" s="63" t="str">
        <f>IFERROR(INDEX(基础资料!$R$4:$R$17,MATCH($G1858,基础资料!$Q$4:$Q$17,0)),"")</f>
        <v/>
      </c>
    </row>
    <row r="1859" spans="1:24">
      <c r="A1859" s="58" t="str">
        <f>IF($B1859="","",COUNTA($B$5:$B1859))</f>
        <v/>
      </c>
      <c r="B1859" s="53"/>
      <c r="C1859" s="46"/>
      <c r="D1859" s="63" t="str">
        <f>IFERROR(INDEX(基础资料!$F$4:$F$23,MATCH($C1859,基础资料!$E$4:$E$23,0)),IF($C1859="","","未匹配账户"))</f>
        <v/>
      </c>
      <c r="E1859" s="39"/>
      <c r="F1859" s="10"/>
      <c r="G1859" s="10"/>
      <c r="H1859" s="10"/>
      <c r="I1859" s="10"/>
      <c r="J1859" s="10"/>
      <c r="K1859" s="25"/>
      <c r="L1859" s="25"/>
      <c r="M1859" s="25" t="str">
        <f>IFERROR(VLOOKUP($C1859,$C$5:$M$24,11,0)+SUMIF($C$25:$C1859,$C1859,$K$25:$K1859)-SUMIF($C$25:$C1859,$C1859,$L$25:$L1859),"")</f>
        <v/>
      </c>
      <c r="N1859" s="10"/>
      <c r="O1859" s="10"/>
      <c r="P1859" s="65"/>
      <c r="Q1859" s="10"/>
      <c r="R1859" s="10"/>
      <c r="S1859" s="54" t="str">
        <f t="shared" si="90"/>
        <v/>
      </c>
      <c r="T1859" s="54" t="str">
        <f t="shared" si="91"/>
        <v/>
      </c>
      <c r="U1859" s="58" t="str">
        <f t="shared" si="92"/>
        <v/>
      </c>
      <c r="V1859" s="58">
        <f>IF(AND($B1859&lt;&gt;"",$F1859&lt;&gt;"",$F1859=项目明细账!$C$2),N(V1858)+1,N(V1858))</f>
        <v>0</v>
      </c>
      <c r="W1859" s="63" t="str">
        <f>IF($H1859&lt;&gt;"","项目成本",IFERROR(INDEX(基础资料!$W$4:$W$49,MATCH($I1859,基础资料!$V$4:$V$49,0)),""))</f>
        <v/>
      </c>
      <c r="X1859" s="63" t="str">
        <f>IFERROR(INDEX(基础资料!$R$4:$R$17,MATCH($G1859,基础资料!$Q$4:$Q$17,0)),"")</f>
        <v/>
      </c>
    </row>
    <row r="1860" spans="1:24">
      <c r="A1860" s="58" t="str">
        <f>IF($B1860="","",COUNTA($B$5:$B1860))</f>
        <v/>
      </c>
      <c r="B1860" s="53"/>
      <c r="C1860" s="46"/>
      <c r="D1860" s="63" t="str">
        <f>IFERROR(INDEX(基础资料!$F$4:$F$23,MATCH($C1860,基础资料!$E$4:$E$23,0)),IF($C1860="","","未匹配账户"))</f>
        <v/>
      </c>
      <c r="E1860" s="39"/>
      <c r="F1860" s="10"/>
      <c r="G1860" s="10"/>
      <c r="H1860" s="10"/>
      <c r="I1860" s="10"/>
      <c r="J1860" s="10"/>
      <c r="K1860" s="25"/>
      <c r="L1860" s="25"/>
      <c r="M1860" s="25" t="str">
        <f>IFERROR(VLOOKUP($C1860,$C$5:$M$24,11,0)+SUMIF($C$25:$C1860,$C1860,$K$25:$K1860)-SUMIF($C$25:$C1860,$C1860,$L$25:$L1860),"")</f>
        <v/>
      </c>
      <c r="N1860" s="10"/>
      <c r="O1860" s="10"/>
      <c r="P1860" s="65"/>
      <c r="Q1860" s="10"/>
      <c r="R1860" s="10"/>
      <c r="S1860" s="54" t="str">
        <f t="shared" si="90"/>
        <v/>
      </c>
      <c r="T1860" s="54" t="str">
        <f t="shared" si="91"/>
        <v/>
      </c>
      <c r="U1860" s="58" t="str">
        <f t="shared" si="92"/>
        <v/>
      </c>
      <c r="V1860" s="58">
        <f>IF(AND($B1860&lt;&gt;"",$F1860&lt;&gt;"",$F1860=项目明细账!$C$2),N(V1859)+1,N(V1859))</f>
        <v>0</v>
      </c>
      <c r="W1860" s="63" t="str">
        <f>IF($H1860&lt;&gt;"","项目成本",IFERROR(INDEX(基础资料!$W$4:$W$49,MATCH($I1860,基础资料!$V$4:$V$49,0)),""))</f>
        <v/>
      </c>
      <c r="X1860" s="63" t="str">
        <f>IFERROR(INDEX(基础资料!$R$4:$R$17,MATCH($G1860,基础资料!$Q$4:$Q$17,0)),"")</f>
        <v/>
      </c>
    </row>
    <row r="1861" spans="1:24">
      <c r="A1861" s="58" t="str">
        <f>IF($B1861="","",COUNTA($B$5:$B1861))</f>
        <v/>
      </c>
      <c r="B1861" s="53"/>
      <c r="C1861" s="46"/>
      <c r="D1861" s="63" t="str">
        <f>IFERROR(INDEX(基础资料!$F$4:$F$23,MATCH($C1861,基础资料!$E$4:$E$23,0)),IF($C1861="","","未匹配账户"))</f>
        <v/>
      </c>
      <c r="E1861" s="39"/>
      <c r="F1861" s="10"/>
      <c r="G1861" s="10"/>
      <c r="H1861" s="10"/>
      <c r="I1861" s="10"/>
      <c r="J1861" s="10"/>
      <c r="K1861" s="25"/>
      <c r="L1861" s="25"/>
      <c r="M1861" s="25" t="str">
        <f>IFERROR(VLOOKUP($C1861,$C$5:$M$24,11,0)+SUMIF($C$25:$C1861,$C1861,$K$25:$K1861)-SUMIF($C$25:$C1861,$C1861,$L$25:$L1861),"")</f>
        <v/>
      </c>
      <c r="N1861" s="10"/>
      <c r="O1861" s="10"/>
      <c r="P1861" s="65"/>
      <c r="Q1861" s="10"/>
      <c r="R1861" s="10"/>
      <c r="S1861" s="54" t="str">
        <f t="shared" si="90"/>
        <v/>
      </c>
      <c r="T1861" s="54" t="str">
        <f t="shared" si="91"/>
        <v/>
      </c>
      <c r="U1861" s="58" t="str">
        <f t="shared" si="92"/>
        <v/>
      </c>
      <c r="V1861" s="58">
        <f>IF(AND($B1861&lt;&gt;"",$F1861&lt;&gt;"",$F1861=项目明细账!$C$2),N(V1860)+1,N(V1860))</f>
        <v>0</v>
      </c>
      <c r="W1861" s="63" t="str">
        <f>IF($H1861&lt;&gt;"","项目成本",IFERROR(INDEX(基础资料!$W$4:$W$49,MATCH($I1861,基础资料!$V$4:$V$49,0)),""))</f>
        <v/>
      </c>
      <c r="X1861" s="63" t="str">
        <f>IFERROR(INDEX(基础资料!$R$4:$R$17,MATCH($G1861,基础资料!$Q$4:$Q$17,0)),"")</f>
        <v/>
      </c>
    </row>
    <row r="1862" spans="1:24">
      <c r="A1862" s="58" t="str">
        <f>IF($B1862="","",COUNTA($B$5:$B1862))</f>
        <v/>
      </c>
      <c r="B1862" s="53"/>
      <c r="C1862" s="46"/>
      <c r="D1862" s="63" t="str">
        <f>IFERROR(INDEX(基础资料!$F$4:$F$23,MATCH($C1862,基础资料!$E$4:$E$23,0)),IF($C1862="","","未匹配账户"))</f>
        <v/>
      </c>
      <c r="E1862" s="39"/>
      <c r="F1862" s="10"/>
      <c r="G1862" s="10"/>
      <c r="H1862" s="10"/>
      <c r="I1862" s="10"/>
      <c r="J1862" s="10"/>
      <c r="K1862" s="25"/>
      <c r="L1862" s="25"/>
      <c r="M1862" s="25" t="str">
        <f>IFERROR(VLOOKUP($C1862,$C$5:$M$24,11,0)+SUMIF($C$25:$C1862,$C1862,$K$25:$K1862)-SUMIF($C$25:$C1862,$C1862,$L$25:$L1862),"")</f>
        <v/>
      </c>
      <c r="N1862" s="10"/>
      <c r="O1862" s="10"/>
      <c r="P1862" s="65"/>
      <c r="Q1862" s="10"/>
      <c r="R1862" s="10"/>
      <c r="S1862" s="54" t="str">
        <f t="shared" si="90"/>
        <v/>
      </c>
      <c r="T1862" s="54" t="str">
        <f t="shared" si="91"/>
        <v/>
      </c>
      <c r="U1862" s="58" t="str">
        <f t="shared" si="92"/>
        <v/>
      </c>
      <c r="V1862" s="58">
        <f>IF(AND($B1862&lt;&gt;"",$F1862&lt;&gt;"",$F1862=项目明细账!$C$2),N(V1861)+1,N(V1861))</f>
        <v>0</v>
      </c>
      <c r="W1862" s="63" t="str">
        <f>IF($H1862&lt;&gt;"","项目成本",IFERROR(INDEX(基础资料!$W$4:$W$49,MATCH($I1862,基础资料!$V$4:$V$49,0)),""))</f>
        <v/>
      </c>
      <c r="X1862" s="63" t="str">
        <f>IFERROR(INDEX(基础资料!$R$4:$R$17,MATCH($G1862,基础资料!$Q$4:$Q$17,0)),"")</f>
        <v/>
      </c>
    </row>
    <row r="1863" spans="1:24">
      <c r="A1863" s="58" t="str">
        <f>IF($B1863="","",COUNTA($B$5:$B1863))</f>
        <v/>
      </c>
      <c r="B1863" s="53"/>
      <c r="C1863" s="46"/>
      <c r="D1863" s="63" t="str">
        <f>IFERROR(INDEX(基础资料!$F$4:$F$23,MATCH($C1863,基础资料!$E$4:$E$23,0)),IF($C1863="","","未匹配账户"))</f>
        <v/>
      </c>
      <c r="E1863" s="39"/>
      <c r="F1863" s="10"/>
      <c r="G1863" s="10"/>
      <c r="H1863" s="10"/>
      <c r="I1863" s="10"/>
      <c r="J1863" s="10"/>
      <c r="K1863" s="25"/>
      <c r="L1863" s="25"/>
      <c r="M1863" s="25" t="str">
        <f>IFERROR(VLOOKUP($C1863,$C$5:$M$24,11,0)+SUMIF($C$25:$C1863,$C1863,$K$25:$K1863)-SUMIF($C$25:$C1863,$C1863,$L$25:$L1863),"")</f>
        <v/>
      </c>
      <c r="N1863" s="10"/>
      <c r="O1863" s="10"/>
      <c r="P1863" s="65"/>
      <c r="Q1863" s="10"/>
      <c r="R1863" s="10"/>
      <c r="S1863" s="54" t="str">
        <f t="shared" ref="S1863:S1926" si="93">IF($B1863="","",--TEXT($B1863,"yyyymm"))</f>
        <v/>
      </c>
      <c r="T1863" s="54" t="str">
        <f t="shared" ref="T1863:T1926" si="94">IF($B1863="","",IF($P1863="",$S1863,IFERROR($P1863*1,$P1863)))</f>
        <v/>
      </c>
      <c r="U1863" s="58" t="str">
        <f t="shared" ref="U1863:U1926" si="95">IF($B1863="","",IF($T1863=$S1863,"","跨期"))</f>
        <v/>
      </c>
      <c r="V1863" s="58">
        <f>IF(AND($B1863&lt;&gt;"",$F1863&lt;&gt;"",$F1863=项目明细账!$C$2),N(V1862)+1,N(V1862))</f>
        <v>0</v>
      </c>
      <c r="W1863" s="63" t="str">
        <f>IF($H1863&lt;&gt;"","项目成本",IFERROR(INDEX(基础资料!$W$4:$W$49,MATCH($I1863,基础资料!$V$4:$V$49,0)),""))</f>
        <v/>
      </c>
      <c r="X1863" s="63" t="str">
        <f>IFERROR(INDEX(基础资料!$R$4:$R$17,MATCH($G1863,基础资料!$Q$4:$Q$17,0)),"")</f>
        <v/>
      </c>
    </row>
    <row r="1864" spans="1:24">
      <c r="A1864" s="58" t="str">
        <f>IF($B1864="","",COUNTA($B$5:$B1864))</f>
        <v/>
      </c>
      <c r="B1864" s="53"/>
      <c r="C1864" s="46"/>
      <c r="D1864" s="63" t="str">
        <f>IFERROR(INDEX(基础资料!$F$4:$F$23,MATCH($C1864,基础资料!$E$4:$E$23,0)),IF($C1864="","","未匹配账户"))</f>
        <v/>
      </c>
      <c r="E1864" s="39"/>
      <c r="F1864" s="10"/>
      <c r="G1864" s="10"/>
      <c r="H1864" s="10"/>
      <c r="I1864" s="10"/>
      <c r="J1864" s="10"/>
      <c r="K1864" s="25"/>
      <c r="L1864" s="25"/>
      <c r="M1864" s="25" t="str">
        <f>IFERROR(VLOOKUP($C1864,$C$5:$M$24,11,0)+SUMIF($C$25:$C1864,$C1864,$K$25:$K1864)-SUMIF($C$25:$C1864,$C1864,$L$25:$L1864),"")</f>
        <v/>
      </c>
      <c r="N1864" s="10"/>
      <c r="O1864" s="10"/>
      <c r="P1864" s="65"/>
      <c r="Q1864" s="10"/>
      <c r="R1864" s="10"/>
      <c r="S1864" s="54" t="str">
        <f t="shared" si="93"/>
        <v/>
      </c>
      <c r="T1864" s="54" t="str">
        <f t="shared" si="94"/>
        <v/>
      </c>
      <c r="U1864" s="58" t="str">
        <f t="shared" si="95"/>
        <v/>
      </c>
      <c r="V1864" s="58">
        <f>IF(AND($B1864&lt;&gt;"",$F1864&lt;&gt;"",$F1864=项目明细账!$C$2),N(V1863)+1,N(V1863))</f>
        <v>0</v>
      </c>
      <c r="W1864" s="63" t="str">
        <f>IF($H1864&lt;&gt;"","项目成本",IFERROR(INDEX(基础资料!$W$4:$W$49,MATCH($I1864,基础资料!$V$4:$V$49,0)),""))</f>
        <v/>
      </c>
      <c r="X1864" s="63" t="str">
        <f>IFERROR(INDEX(基础资料!$R$4:$R$17,MATCH($G1864,基础资料!$Q$4:$Q$17,0)),"")</f>
        <v/>
      </c>
    </row>
    <row r="1865" spans="1:24">
      <c r="A1865" s="58" t="str">
        <f>IF($B1865="","",COUNTA($B$5:$B1865))</f>
        <v/>
      </c>
      <c r="B1865" s="53"/>
      <c r="C1865" s="46"/>
      <c r="D1865" s="63" t="str">
        <f>IFERROR(INDEX(基础资料!$F$4:$F$23,MATCH($C1865,基础资料!$E$4:$E$23,0)),IF($C1865="","","未匹配账户"))</f>
        <v/>
      </c>
      <c r="E1865" s="39"/>
      <c r="F1865" s="10"/>
      <c r="G1865" s="10"/>
      <c r="H1865" s="10"/>
      <c r="I1865" s="10"/>
      <c r="J1865" s="10"/>
      <c r="K1865" s="25"/>
      <c r="L1865" s="25"/>
      <c r="M1865" s="25" t="str">
        <f>IFERROR(VLOOKUP($C1865,$C$5:$M$24,11,0)+SUMIF($C$25:$C1865,$C1865,$K$25:$K1865)-SUMIF($C$25:$C1865,$C1865,$L$25:$L1865),"")</f>
        <v/>
      </c>
      <c r="N1865" s="10"/>
      <c r="O1865" s="10"/>
      <c r="P1865" s="65"/>
      <c r="Q1865" s="10"/>
      <c r="R1865" s="10"/>
      <c r="S1865" s="54" t="str">
        <f t="shared" si="93"/>
        <v/>
      </c>
      <c r="T1865" s="54" t="str">
        <f t="shared" si="94"/>
        <v/>
      </c>
      <c r="U1865" s="58" t="str">
        <f t="shared" si="95"/>
        <v/>
      </c>
      <c r="V1865" s="58">
        <f>IF(AND($B1865&lt;&gt;"",$F1865&lt;&gt;"",$F1865=项目明细账!$C$2),N(V1864)+1,N(V1864))</f>
        <v>0</v>
      </c>
      <c r="W1865" s="63" t="str">
        <f>IF($H1865&lt;&gt;"","项目成本",IFERROR(INDEX(基础资料!$W$4:$W$49,MATCH($I1865,基础资料!$V$4:$V$49,0)),""))</f>
        <v/>
      </c>
      <c r="X1865" s="63" t="str">
        <f>IFERROR(INDEX(基础资料!$R$4:$R$17,MATCH($G1865,基础资料!$Q$4:$Q$17,0)),"")</f>
        <v/>
      </c>
    </row>
    <row r="1866" spans="1:24">
      <c r="A1866" s="58" t="str">
        <f>IF($B1866="","",COUNTA($B$5:$B1866))</f>
        <v/>
      </c>
      <c r="B1866" s="53"/>
      <c r="C1866" s="46"/>
      <c r="D1866" s="63" t="str">
        <f>IFERROR(INDEX(基础资料!$F$4:$F$23,MATCH($C1866,基础资料!$E$4:$E$23,0)),IF($C1866="","","未匹配账户"))</f>
        <v/>
      </c>
      <c r="E1866" s="39"/>
      <c r="F1866" s="10"/>
      <c r="G1866" s="10"/>
      <c r="H1866" s="10"/>
      <c r="I1866" s="10"/>
      <c r="J1866" s="10"/>
      <c r="K1866" s="25"/>
      <c r="L1866" s="25"/>
      <c r="M1866" s="25" t="str">
        <f>IFERROR(VLOOKUP($C1866,$C$5:$M$24,11,0)+SUMIF($C$25:$C1866,$C1866,$K$25:$K1866)-SUMIF($C$25:$C1866,$C1866,$L$25:$L1866),"")</f>
        <v/>
      </c>
      <c r="N1866" s="10"/>
      <c r="O1866" s="10"/>
      <c r="P1866" s="65"/>
      <c r="Q1866" s="10"/>
      <c r="R1866" s="10"/>
      <c r="S1866" s="54" t="str">
        <f t="shared" si="93"/>
        <v/>
      </c>
      <c r="T1866" s="54" t="str">
        <f t="shared" si="94"/>
        <v/>
      </c>
      <c r="U1866" s="58" t="str">
        <f t="shared" si="95"/>
        <v/>
      </c>
      <c r="V1866" s="58">
        <f>IF(AND($B1866&lt;&gt;"",$F1866&lt;&gt;"",$F1866=项目明细账!$C$2),N(V1865)+1,N(V1865))</f>
        <v>0</v>
      </c>
      <c r="W1866" s="63" t="str">
        <f>IF($H1866&lt;&gt;"","项目成本",IFERROR(INDEX(基础资料!$W$4:$W$49,MATCH($I1866,基础资料!$V$4:$V$49,0)),""))</f>
        <v/>
      </c>
      <c r="X1866" s="63" t="str">
        <f>IFERROR(INDEX(基础资料!$R$4:$R$17,MATCH($G1866,基础资料!$Q$4:$Q$17,0)),"")</f>
        <v/>
      </c>
    </row>
    <row r="1867" spans="1:24">
      <c r="A1867" s="58" t="str">
        <f>IF($B1867="","",COUNTA($B$5:$B1867))</f>
        <v/>
      </c>
      <c r="B1867" s="53"/>
      <c r="C1867" s="46"/>
      <c r="D1867" s="63" t="str">
        <f>IFERROR(INDEX(基础资料!$F$4:$F$23,MATCH($C1867,基础资料!$E$4:$E$23,0)),IF($C1867="","","未匹配账户"))</f>
        <v/>
      </c>
      <c r="E1867" s="39"/>
      <c r="F1867" s="10"/>
      <c r="G1867" s="10"/>
      <c r="H1867" s="10"/>
      <c r="I1867" s="10"/>
      <c r="J1867" s="10"/>
      <c r="K1867" s="25"/>
      <c r="L1867" s="25"/>
      <c r="M1867" s="25" t="str">
        <f>IFERROR(VLOOKUP($C1867,$C$5:$M$24,11,0)+SUMIF($C$25:$C1867,$C1867,$K$25:$K1867)-SUMIF($C$25:$C1867,$C1867,$L$25:$L1867),"")</f>
        <v/>
      </c>
      <c r="N1867" s="10"/>
      <c r="O1867" s="10"/>
      <c r="P1867" s="65"/>
      <c r="Q1867" s="10"/>
      <c r="R1867" s="10"/>
      <c r="S1867" s="54" t="str">
        <f t="shared" si="93"/>
        <v/>
      </c>
      <c r="T1867" s="54" t="str">
        <f t="shared" si="94"/>
        <v/>
      </c>
      <c r="U1867" s="58" t="str">
        <f t="shared" si="95"/>
        <v/>
      </c>
      <c r="V1867" s="58">
        <f>IF(AND($B1867&lt;&gt;"",$F1867&lt;&gt;"",$F1867=项目明细账!$C$2),N(V1866)+1,N(V1866))</f>
        <v>0</v>
      </c>
      <c r="W1867" s="63" t="str">
        <f>IF($H1867&lt;&gt;"","项目成本",IFERROR(INDEX(基础资料!$W$4:$W$49,MATCH($I1867,基础资料!$V$4:$V$49,0)),""))</f>
        <v/>
      </c>
      <c r="X1867" s="63" t="str">
        <f>IFERROR(INDEX(基础资料!$R$4:$R$17,MATCH($G1867,基础资料!$Q$4:$Q$17,0)),"")</f>
        <v/>
      </c>
    </row>
    <row r="1868" spans="1:24">
      <c r="A1868" s="58" t="str">
        <f>IF($B1868="","",COUNTA($B$5:$B1868))</f>
        <v/>
      </c>
      <c r="B1868" s="53"/>
      <c r="C1868" s="46"/>
      <c r="D1868" s="63" t="str">
        <f>IFERROR(INDEX(基础资料!$F$4:$F$23,MATCH($C1868,基础资料!$E$4:$E$23,0)),IF($C1868="","","未匹配账户"))</f>
        <v/>
      </c>
      <c r="E1868" s="39"/>
      <c r="F1868" s="10"/>
      <c r="G1868" s="10"/>
      <c r="H1868" s="10"/>
      <c r="I1868" s="10"/>
      <c r="J1868" s="10"/>
      <c r="K1868" s="25"/>
      <c r="L1868" s="25"/>
      <c r="M1868" s="25" t="str">
        <f>IFERROR(VLOOKUP($C1868,$C$5:$M$24,11,0)+SUMIF($C$25:$C1868,$C1868,$K$25:$K1868)-SUMIF($C$25:$C1868,$C1868,$L$25:$L1868),"")</f>
        <v/>
      </c>
      <c r="N1868" s="10"/>
      <c r="O1868" s="10"/>
      <c r="P1868" s="65"/>
      <c r="Q1868" s="10"/>
      <c r="R1868" s="10"/>
      <c r="S1868" s="54" t="str">
        <f t="shared" si="93"/>
        <v/>
      </c>
      <c r="T1868" s="54" t="str">
        <f t="shared" si="94"/>
        <v/>
      </c>
      <c r="U1868" s="58" t="str">
        <f t="shared" si="95"/>
        <v/>
      </c>
      <c r="V1868" s="58">
        <f>IF(AND($B1868&lt;&gt;"",$F1868&lt;&gt;"",$F1868=项目明细账!$C$2),N(V1867)+1,N(V1867))</f>
        <v>0</v>
      </c>
      <c r="W1868" s="63" t="str">
        <f>IF($H1868&lt;&gt;"","项目成本",IFERROR(INDEX(基础资料!$W$4:$W$49,MATCH($I1868,基础资料!$V$4:$V$49,0)),""))</f>
        <v/>
      </c>
      <c r="X1868" s="63" t="str">
        <f>IFERROR(INDEX(基础资料!$R$4:$R$17,MATCH($G1868,基础资料!$Q$4:$Q$17,0)),"")</f>
        <v/>
      </c>
    </row>
    <row r="1869" spans="1:24">
      <c r="A1869" s="58" t="str">
        <f>IF($B1869="","",COUNTA($B$5:$B1869))</f>
        <v/>
      </c>
      <c r="B1869" s="53"/>
      <c r="C1869" s="46"/>
      <c r="D1869" s="63" t="str">
        <f>IFERROR(INDEX(基础资料!$F$4:$F$23,MATCH($C1869,基础资料!$E$4:$E$23,0)),IF($C1869="","","未匹配账户"))</f>
        <v/>
      </c>
      <c r="E1869" s="39"/>
      <c r="F1869" s="10"/>
      <c r="G1869" s="10"/>
      <c r="H1869" s="10"/>
      <c r="I1869" s="10"/>
      <c r="J1869" s="10"/>
      <c r="K1869" s="25"/>
      <c r="L1869" s="25"/>
      <c r="M1869" s="25" t="str">
        <f>IFERROR(VLOOKUP($C1869,$C$5:$M$24,11,0)+SUMIF($C$25:$C1869,$C1869,$K$25:$K1869)-SUMIF($C$25:$C1869,$C1869,$L$25:$L1869),"")</f>
        <v/>
      </c>
      <c r="N1869" s="10"/>
      <c r="O1869" s="10"/>
      <c r="P1869" s="65"/>
      <c r="Q1869" s="10"/>
      <c r="R1869" s="10"/>
      <c r="S1869" s="54" t="str">
        <f t="shared" si="93"/>
        <v/>
      </c>
      <c r="T1869" s="54" t="str">
        <f t="shared" si="94"/>
        <v/>
      </c>
      <c r="U1869" s="58" t="str">
        <f t="shared" si="95"/>
        <v/>
      </c>
      <c r="V1869" s="58">
        <f>IF(AND($B1869&lt;&gt;"",$F1869&lt;&gt;"",$F1869=项目明细账!$C$2),N(V1868)+1,N(V1868))</f>
        <v>0</v>
      </c>
      <c r="W1869" s="63" t="str">
        <f>IF($H1869&lt;&gt;"","项目成本",IFERROR(INDEX(基础资料!$W$4:$W$49,MATCH($I1869,基础资料!$V$4:$V$49,0)),""))</f>
        <v/>
      </c>
      <c r="X1869" s="63" t="str">
        <f>IFERROR(INDEX(基础资料!$R$4:$R$17,MATCH($G1869,基础资料!$Q$4:$Q$17,0)),"")</f>
        <v/>
      </c>
    </row>
    <row r="1870" spans="1:24">
      <c r="A1870" s="58" t="str">
        <f>IF($B1870="","",COUNTA($B$5:$B1870))</f>
        <v/>
      </c>
      <c r="B1870" s="53"/>
      <c r="C1870" s="46"/>
      <c r="D1870" s="63" t="str">
        <f>IFERROR(INDEX(基础资料!$F$4:$F$23,MATCH($C1870,基础资料!$E$4:$E$23,0)),IF($C1870="","","未匹配账户"))</f>
        <v/>
      </c>
      <c r="E1870" s="39"/>
      <c r="F1870" s="10"/>
      <c r="G1870" s="10"/>
      <c r="H1870" s="10"/>
      <c r="I1870" s="10"/>
      <c r="J1870" s="10"/>
      <c r="K1870" s="25"/>
      <c r="L1870" s="25"/>
      <c r="M1870" s="25" t="str">
        <f>IFERROR(VLOOKUP($C1870,$C$5:$M$24,11,0)+SUMIF($C$25:$C1870,$C1870,$K$25:$K1870)-SUMIF($C$25:$C1870,$C1870,$L$25:$L1870),"")</f>
        <v/>
      </c>
      <c r="N1870" s="10"/>
      <c r="O1870" s="10"/>
      <c r="P1870" s="65"/>
      <c r="Q1870" s="10"/>
      <c r="R1870" s="10"/>
      <c r="S1870" s="54" t="str">
        <f t="shared" si="93"/>
        <v/>
      </c>
      <c r="T1870" s="54" t="str">
        <f t="shared" si="94"/>
        <v/>
      </c>
      <c r="U1870" s="58" t="str">
        <f t="shared" si="95"/>
        <v/>
      </c>
      <c r="V1870" s="58">
        <f>IF(AND($B1870&lt;&gt;"",$F1870&lt;&gt;"",$F1870=项目明细账!$C$2),N(V1869)+1,N(V1869))</f>
        <v>0</v>
      </c>
      <c r="W1870" s="63" t="str">
        <f>IF($H1870&lt;&gt;"","项目成本",IFERROR(INDEX(基础资料!$W$4:$W$49,MATCH($I1870,基础资料!$V$4:$V$49,0)),""))</f>
        <v/>
      </c>
      <c r="X1870" s="63" t="str">
        <f>IFERROR(INDEX(基础资料!$R$4:$R$17,MATCH($G1870,基础资料!$Q$4:$Q$17,0)),"")</f>
        <v/>
      </c>
    </row>
    <row r="1871" spans="1:24">
      <c r="A1871" s="58" t="str">
        <f>IF($B1871="","",COUNTA($B$5:$B1871))</f>
        <v/>
      </c>
      <c r="B1871" s="53"/>
      <c r="C1871" s="46"/>
      <c r="D1871" s="63" t="str">
        <f>IFERROR(INDEX(基础资料!$F$4:$F$23,MATCH($C1871,基础资料!$E$4:$E$23,0)),IF($C1871="","","未匹配账户"))</f>
        <v/>
      </c>
      <c r="E1871" s="39"/>
      <c r="F1871" s="10"/>
      <c r="G1871" s="10"/>
      <c r="H1871" s="10"/>
      <c r="I1871" s="10"/>
      <c r="J1871" s="10"/>
      <c r="K1871" s="25"/>
      <c r="L1871" s="25"/>
      <c r="M1871" s="25" t="str">
        <f>IFERROR(VLOOKUP($C1871,$C$5:$M$24,11,0)+SUMIF($C$25:$C1871,$C1871,$K$25:$K1871)-SUMIF($C$25:$C1871,$C1871,$L$25:$L1871),"")</f>
        <v/>
      </c>
      <c r="N1871" s="10"/>
      <c r="O1871" s="10"/>
      <c r="P1871" s="65"/>
      <c r="Q1871" s="10"/>
      <c r="R1871" s="10"/>
      <c r="S1871" s="54" t="str">
        <f t="shared" si="93"/>
        <v/>
      </c>
      <c r="T1871" s="54" t="str">
        <f t="shared" si="94"/>
        <v/>
      </c>
      <c r="U1871" s="58" t="str">
        <f t="shared" si="95"/>
        <v/>
      </c>
      <c r="V1871" s="58">
        <f>IF(AND($B1871&lt;&gt;"",$F1871&lt;&gt;"",$F1871=项目明细账!$C$2),N(V1870)+1,N(V1870))</f>
        <v>0</v>
      </c>
      <c r="W1871" s="63" t="str">
        <f>IF($H1871&lt;&gt;"","项目成本",IFERROR(INDEX(基础资料!$W$4:$W$49,MATCH($I1871,基础资料!$V$4:$V$49,0)),""))</f>
        <v/>
      </c>
      <c r="X1871" s="63" t="str">
        <f>IFERROR(INDEX(基础资料!$R$4:$R$17,MATCH($G1871,基础资料!$Q$4:$Q$17,0)),"")</f>
        <v/>
      </c>
    </row>
    <row r="1872" spans="1:24">
      <c r="A1872" s="58" t="str">
        <f>IF($B1872="","",COUNTA($B$5:$B1872))</f>
        <v/>
      </c>
      <c r="B1872" s="53"/>
      <c r="C1872" s="46"/>
      <c r="D1872" s="63" t="str">
        <f>IFERROR(INDEX(基础资料!$F$4:$F$23,MATCH($C1872,基础资料!$E$4:$E$23,0)),IF($C1872="","","未匹配账户"))</f>
        <v/>
      </c>
      <c r="E1872" s="39"/>
      <c r="F1872" s="10"/>
      <c r="G1872" s="10"/>
      <c r="H1872" s="10"/>
      <c r="I1872" s="10"/>
      <c r="J1872" s="10"/>
      <c r="K1872" s="25"/>
      <c r="L1872" s="25"/>
      <c r="M1872" s="25" t="str">
        <f>IFERROR(VLOOKUP($C1872,$C$5:$M$24,11,0)+SUMIF($C$25:$C1872,$C1872,$K$25:$K1872)-SUMIF($C$25:$C1872,$C1872,$L$25:$L1872),"")</f>
        <v/>
      </c>
      <c r="N1872" s="10"/>
      <c r="O1872" s="10"/>
      <c r="P1872" s="65"/>
      <c r="Q1872" s="10"/>
      <c r="R1872" s="10"/>
      <c r="S1872" s="54" t="str">
        <f t="shared" si="93"/>
        <v/>
      </c>
      <c r="T1872" s="54" t="str">
        <f t="shared" si="94"/>
        <v/>
      </c>
      <c r="U1872" s="58" t="str">
        <f t="shared" si="95"/>
        <v/>
      </c>
      <c r="V1872" s="58">
        <f>IF(AND($B1872&lt;&gt;"",$F1872&lt;&gt;"",$F1872=项目明细账!$C$2),N(V1871)+1,N(V1871))</f>
        <v>0</v>
      </c>
      <c r="W1872" s="63" t="str">
        <f>IF($H1872&lt;&gt;"","项目成本",IFERROR(INDEX(基础资料!$W$4:$W$49,MATCH($I1872,基础资料!$V$4:$V$49,0)),""))</f>
        <v/>
      </c>
      <c r="X1872" s="63" t="str">
        <f>IFERROR(INDEX(基础资料!$R$4:$R$17,MATCH($G1872,基础资料!$Q$4:$Q$17,0)),"")</f>
        <v/>
      </c>
    </row>
    <row r="1873" spans="1:24">
      <c r="A1873" s="58" t="str">
        <f>IF($B1873="","",COUNTA($B$5:$B1873))</f>
        <v/>
      </c>
      <c r="B1873" s="53"/>
      <c r="C1873" s="46"/>
      <c r="D1873" s="63" t="str">
        <f>IFERROR(INDEX(基础资料!$F$4:$F$23,MATCH($C1873,基础资料!$E$4:$E$23,0)),IF($C1873="","","未匹配账户"))</f>
        <v/>
      </c>
      <c r="E1873" s="39"/>
      <c r="F1873" s="10"/>
      <c r="G1873" s="10"/>
      <c r="H1873" s="10"/>
      <c r="I1873" s="10"/>
      <c r="J1873" s="10"/>
      <c r="K1873" s="25"/>
      <c r="L1873" s="25"/>
      <c r="M1873" s="25" t="str">
        <f>IFERROR(VLOOKUP($C1873,$C$5:$M$24,11,0)+SUMIF($C$25:$C1873,$C1873,$K$25:$K1873)-SUMIF($C$25:$C1873,$C1873,$L$25:$L1873),"")</f>
        <v/>
      </c>
      <c r="N1873" s="10"/>
      <c r="O1873" s="10"/>
      <c r="P1873" s="65"/>
      <c r="Q1873" s="10"/>
      <c r="R1873" s="10"/>
      <c r="S1873" s="54" t="str">
        <f t="shared" si="93"/>
        <v/>
      </c>
      <c r="T1873" s="54" t="str">
        <f t="shared" si="94"/>
        <v/>
      </c>
      <c r="U1873" s="58" t="str">
        <f t="shared" si="95"/>
        <v/>
      </c>
      <c r="V1873" s="58">
        <f>IF(AND($B1873&lt;&gt;"",$F1873&lt;&gt;"",$F1873=项目明细账!$C$2),N(V1872)+1,N(V1872))</f>
        <v>0</v>
      </c>
      <c r="W1873" s="63" t="str">
        <f>IF($H1873&lt;&gt;"","项目成本",IFERROR(INDEX(基础资料!$W$4:$W$49,MATCH($I1873,基础资料!$V$4:$V$49,0)),""))</f>
        <v/>
      </c>
      <c r="X1873" s="63" t="str">
        <f>IFERROR(INDEX(基础资料!$R$4:$R$17,MATCH($G1873,基础资料!$Q$4:$Q$17,0)),"")</f>
        <v/>
      </c>
    </row>
    <row r="1874" spans="1:24">
      <c r="A1874" s="58" t="str">
        <f>IF($B1874="","",COUNTA($B$5:$B1874))</f>
        <v/>
      </c>
      <c r="B1874" s="53"/>
      <c r="C1874" s="46"/>
      <c r="D1874" s="63" t="str">
        <f>IFERROR(INDEX(基础资料!$F$4:$F$23,MATCH($C1874,基础资料!$E$4:$E$23,0)),IF($C1874="","","未匹配账户"))</f>
        <v/>
      </c>
      <c r="E1874" s="39"/>
      <c r="F1874" s="10"/>
      <c r="G1874" s="10"/>
      <c r="H1874" s="10"/>
      <c r="I1874" s="10"/>
      <c r="J1874" s="10"/>
      <c r="K1874" s="25"/>
      <c r="L1874" s="25"/>
      <c r="M1874" s="25" t="str">
        <f>IFERROR(VLOOKUP($C1874,$C$5:$M$24,11,0)+SUMIF($C$25:$C1874,$C1874,$K$25:$K1874)-SUMIF($C$25:$C1874,$C1874,$L$25:$L1874),"")</f>
        <v/>
      </c>
      <c r="N1874" s="10"/>
      <c r="O1874" s="10"/>
      <c r="P1874" s="65"/>
      <c r="Q1874" s="10"/>
      <c r="R1874" s="10"/>
      <c r="S1874" s="54" t="str">
        <f t="shared" si="93"/>
        <v/>
      </c>
      <c r="T1874" s="54" t="str">
        <f t="shared" si="94"/>
        <v/>
      </c>
      <c r="U1874" s="58" t="str">
        <f t="shared" si="95"/>
        <v/>
      </c>
      <c r="V1874" s="58">
        <f>IF(AND($B1874&lt;&gt;"",$F1874&lt;&gt;"",$F1874=项目明细账!$C$2),N(V1873)+1,N(V1873))</f>
        <v>0</v>
      </c>
      <c r="W1874" s="63" t="str">
        <f>IF($H1874&lt;&gt;"","项目成本",IFERROR(INDEX(基础资料!$W$4:$W$49,MATCH($I1874,基础资料!$V$4:$V$49,0)),""))</f>
        <v/>
      </c>
      <c r="X1874" s="63" t="str">
        <f>IFERROR(INDEX(基础资料!$R$4:$R$17,MATCH($G1874,基础资料!$Q$4:$Q$17,0)),"")</f>
        <v/>
      </c>
    </row>
    <row r="1875" spans="1:24">
      <c r="A1875" s="58" t="str">
        <f>IF($B1875="","",COUNTA($B$5:$B1875))</f>
        <v/>
      </c>
      <c r="B1875" s="53"/>
      <c r="C1875" s="46"/>
      <c r="D1875" s="63" t="str">
        <f>IFERROR(INDEX(基础资料!$F$4:$F$23,MATCH($C1875,基础资料!$E$4:$E$23,0)),IF($C1875="","","未匹配账户"))</f>
        <v/>
      </c>
      <c r="E1875" s="39"/>
      <c r="F1875" s="10"/>
      <c r="G1875" s="10"/>
      <c r="H1875" s="10"/>
      <c r="I1875" s="10"/>
      <c r="J1875" s="10"/>
      <c r="K1875" s="25"/>
      <c r="L1875" s="25"/>
      <c r="M1875" s="25" t="str">
        <f>IFERROR(VLOOKUP($C1875,$C$5:$M$24,11,0)+SUMIF($C$25:$C1875,$C1875,$K$25:$K1875)-SUMIF($C$25:$C1875,$C1875,$L$25:$L1875),"")</f>
        <v/>
      </c>
      <c r="N1875" s="10"/>
      <c r="O1875" s="10"/>
      <c r="P1875" s="65"/>
      <c r="Q1875" s="10"/>
      <c r="R1875" s="10"/>
      <c r="S1875" s="54" t="str">
        <f t="shared" si="93"/>
        <v/>
      </c>
      <c r="T1875" s="54" t="str">
        <f t="shared" si="94"/>
        <v/>
      </c>
      <c r="U1875" s="58" t="str">
        <f t="shared" si="95"/>
        <v/>
      </c>
      <c r="V1875" s="58">
        <f>IF(AND($B1875&lt;&gt;"",$F1875&lt;&gt;"",$F1875=项目明细账!$C$2),N(V1874)+1,N(V1874))</f>
        <v>0</v>
      </c>
      <c r="W1875" s="63" t="str">
        <f>IF($H1875&lt;&gt;"","项目成本",IFERROR(INDEX(基础资料!$W$4:$W$49,MATCH($I1875,基础资料!$V$4:$V$49,0)),""))</f>
        <v/>
      </c>
      <c r="X1875" s="63" t="str">
        <f>IFERROR(INDEX(基础资料!$R$4:$R$17,MATCH($G1875,基础资料!$Q$4:$Q$17,0)),"")</f>
        <v/>
      </c>
    </row>
    <row r="1876" spans="1:24">
      <c r="A1876" s="58" t="str">
        <f>IF($B1876="","",COUNTA($B$5:$B1876))</f>
        <v/>
      </c>
      <c r="B1876" s="53"/>
      <c r="C1876" s="46"/>
      <c r="D1876" s="63" t="str">
        <f>IFERROR(INDEX(基础资料!$F$4:$F$23,MATCH($C1876,基础资料!$E$4:$E$23,0)),IF($C1876="","","未匹配账户"))</f>
        <v/>
      </c>
      <c r="E1876" s="39"/>
      <c r="F1876" s="10"/>
      <c r="G1876" s="10"/>
      <c r="H1876" s="10"/>
      <c r="I1876" s="10"/>
      <c r="J1876" s="10"/>
      <c r="K1876" s="25"/>
      <c r="L1876" s="25"/>
      <c r="M1876" s="25" t="str">
        <f>IFERROR(VLOOKUP($C1876,$C$5:$M$24,11,0)+SUMIF($C$25:$C1876,$C1876,$K$25:$K1876)-SUMIF($C$25:$C1876,$C1876,$L$25:$L1876),"")</f>
        <v/>
      </c>
      <c r="N1876" s="10"/>
      <c r="O1876" s="10"/>
      <c r="P1876" s="65"/>
      <c r="Q1876" s="10"/>
      <c r="R1876" s="10"/>
      <c r="S1876" s="54" t="str">
        <f t="shared" si="93"/>
        <v/>
      </c>
      <c r="T1876" s="54" t="str">
        <f t="shared" si="94"/>
        <v/>
      </c>
      <c r="U1876" s="58" t="str">
        <f t="shared" si="95"/>
        <v/>
      </c>
      <c r="V1876" s="58">
        <f>IF(AND($B1876&lt;&gt;"",$F1876&lt;&gt;"",$F1876=项目明细账!$C$2),N(V1875)+1,N(V1875))</f>
        <v>0</v>
      </c>
      <c r="W1876" s="63" t="str">
        <f>IF($H1876&lt;&gt;"","项目成本",IFERROR(INDEX(基础资料!$W$4:$W$49,MATCH($I1876,基础资料!$V$4:$V$49,0)),""))</f>
        <v/>
      </c>
      <c r="X1876" s="63" t="str">
        <f>IFERROR(INDEX(基础资料!$R$4:$R$17,MATCH($G1876,基础资料!$Q$4:$Q$17,0)),"")</f>
        <v/>
      </c>
    </row>
    <row r="1877" spans="1:24">
      <c r="A1877" s="58" t="str">
        <f>IF($B1877="","",COUNTA($B$5:$B1877))</f>
        <v/>
      </c>
      <c r="B1877" s="53"/>
      <c r="C1877" s="46"/>
      <c r="D1877" s="63" t="str">
        <f>IFERROR(INDEX(基础资料!$F$4:$F$23,MATCH($C1877,基础资料!$E$4:$E$23,0)),IF($C1877="","","未匹配账户"))</f>
        <v/>
      </c>
      <c r="E1877" s="39"/>
      <c r="F1877" s="10"/>
      <c r="G1877" s="10"/>
      <c r="H1877" s="10"/>
      <c r="I1877" s="10"/>
      <c r="J1877" s="10"/>
      <c r="K1877" s="25"/>
      <c r="L1877" s="25"/>
      <c r="M1877" s="25" t="str">
        <f>IFERROR(VLOOKUP($C1877,$C$5:$M$24,11,0)+SUMIF($C$25:$C1877,$C1877,$K$25:$K1877)-SUMIF($C$25:$C1877,$C1877,$L$25:$L1877),"")</f>
        <v/>
      </c>
      <c r="N1877" s="10"/>
      <c r="O1877" s="10"/>
      <c r="P1877" s="65"/>
      <c r="Q1877" s="10"/>
      <c r="R1877" s="10"/>
      <c r="S1877" s="54" t="str">
        <f t="shared" si="93"/>
        <v/>
      </c>
      <c r="T1877" s="54" t="str">
        <f t="shared" si="94"/>
        <v/>
      </c>
      <c r="U1877" s="58" t="str">
        <f t="shared" si="95"/>
        <v/>
      </c>
      <c r="V1877" s="58">
        <f>IF(AND($B1877&lt;&gt;"",$F1877&lt;&gt;"",$F1877=项目明细账!$C$2),N(V1876)+1,N(V1876))</f>
        <v>0</v>
      </c>
      <c r="W1877" s="63" t="str">
        <f>IF($H1877&lt;&gt;"","项目成本",IFERROR(INDEX(基础资料!$W$4:$W$49,MATCH($I1877,基础资料!$V$4:$V$49,0)),""))</f>
        <v/>
      </c>
      <c r="X1877" s="63" t="str">
        <f>IFERROR(INDEX(基础资料!$R$4:$R$17,MATCH($G1877,基础资料!$Q$4:$Q$17,0)),"")</f>
        <v/>
      </c>
    </row>
    <row r="1878" spans="1:24">
      <c r="A1878" s="58" t="str">
        <f>IF($B1878="","",COUNTA($B$5:$B1878))</f>
        <v/>
      </c>
      <c r="B1878" s="53"/>
      <c r="C1878" s="46"/>
      <c r="D1878" s="63" t="str">
        <f>IFERROR(INDEX(基础资料!$F$4:$F$23,MATCH($C1878,基础资料!$E$4:$E$23,0)),IF($C1878="","","未匹配账户"))</f>
        <v/>
      </c>
      <c r="E1878" s="39"/>
      <c r="F1878" s="10"/>
      <c r="G1878" s="10"/>
      <c r="H1878" s="10"/>
      <c r="I1878" s="10"/>
      <c r="J1878" s="10"/>
      <c r="K1878" s="25"/>
      <c r="L1878" s="25"/>
      <c r="M1878" s="25" t="str">
        <f>IFERROR(VLOOKUP($C1878,$C$5:$M$24,11,0)+SUMIF($C$25:$C1878,$C1878,$K$25:$K1878)-SUMIF($C$25:$C1878,$C1878,$L$25:$L1878),"")</f>
        <v/>
      </c>
      <c r="N1878" s="10"/>
      <c r="O1878" s="10"/>
      <c r="P1878" s="65"/>
      <c r="Q1878" s="10"/>
      <c r="R1878" s="10"/>
      <c r="S1878" s="54" t="str">
        <f t="shared" si="93"/>
        <v/>
      </c>
      <c r="T1878" s="54" t="str">
        <f t="shared" si="94"/>
        <v/>
      </c>
      <c r="U1878" s="58" t="str">
        <f t="shared" si="95"/>
        <v/>
      </c>
      <c r="V1878" s="58">
        <f>IF(AND($B1878&lt;&gt;"",$F1878&lt;&gt;"",$F1878=项目明细账!$C$2),N(V1877)+1,N(V1877))</f>
        <v>0</v>
      </c>
      <c r="W1878" s="63" t="str">
        <f>IF($H1878&lt;&gt;"","项目成本",IFERROR(INDEX(基础资料!$W$4:$W$49,MATCH($I1878,基础资料!$V$4:$V$49,0)),""))</f>
        <v/>
      </c>
      <c r="X1878" s="63" t="str">
        <f>IFERROR(INDEX(基础资料!$R$4:$R$17,MATCH($G1878,基础资料!$Q$4:$Q$17,0)),"")</f>
        <v/>
      </c>
    </row>
    <row r="1879" spans="1:24">
      <c r="A1879" s="58" t="str">
        <f>IF($B1879="","",COUNTA($B$5:$B1879))</f>
        <v/>
      </c>
      <c r="B1879" s="53"/>
      <c r="C1879" s="46"/>
      <c r="D1879" s="63" t="str">
        <f>IFERROR(INDEX(基础资料!$F$4:$F$23,MATCH($C1879,基础资料!$E$4:$E$23,0)),IF($C1879="","","未匹配账户"))</f>
        <v/>
      </c>
      <c r="E1879" s="39"/>
      <c r="F1879" s="10"/>
      <c r="G1879" s="10"/>
      <c r="H1879" s="10"/>
      <c r="I1879" s="10"/>
      <c r="J1879" s="10"/>
      <c r="K1879" s="25"/>
      <c r="L1879" s="25"/>
      <c r="M1879" s="25" t="str">
        <f>IFERROR(VLOOKUP($C1879,$C$5:$M$24,11,0)+SUMIF($C$25:$C1879,$C1879,$K$25:$K1879)-SUMIF($C$25:$C1879,$C1879,$L$25:$L1879),"")</f>
        <v/>
      </c>
      <c r="N1879" s="10"/>
      <c r="O1879" s="10"/>
      <c r="P1879" s="65"/>
      <c r="Q1879" s="10"/>
      <c r="R1879" s="10"/>
      <c r="S1879" s="54" t="str">
        <f t="shared" si="93"/>
        <v/>
      </c>
      <c r="T1879" s="54" t="str">
        <f t="shared" si="94"/>
        <v/>
      </c>
      <c r="U1879" s="58" t="str">
        <f t="shared" si="95"/>
        <v/>
      </c>
      <c r="V1879" s="58">
        <f>IF(AND($B1879&lt;&gt;"",$F1879&lt;&gt;"",$F1879=项目明细账!$C$2),N(V1878)+1,N(V1878))</f>
        <v>0</v>
      </c>
      <c r="W1879" s="63" t="str">
        <f>IF($H1879&lt;&gt;"","项目成本",IFERROR(INDEX(基础资料!$W$4:$W$49,MATCH($I1879,基础资料!$V$4:$V$49,0)),""))</f>
        <v/>
      </c>
      <c r="X1879" s="63" t="str">
        <f>IFERROR(INDEX(基础资料!$R$4:$R$17,MATCH($G1879,基础资料!$Q$4:$Q$17,0)),"")</f>
        <v/>
      </c>
    </row>
    <row r="1880" spans="1:24">
      <c r="A1880" s="58" t="str">
        <f>IF($B1880="","",COUNTA($B$5:$B1880))</f>
        <v/>
      </c>
      <c r="B1880" s="53"/>
      <c r="C1880" s="46"/>
      <c r="D1880" s="63" t="str">
        <f>IFERROR(INDEX(基础资料!$F$4:$F$23,MATCH($C1880,基础资料!$E$4:$E$23,0)),IF($C1880="","","未匹配账户"))</f>
        <v/>
      </c>
      <c r="E1880" s="39"/>
      <c r="F1880" s="10"/>
      <c r="G1880" s="10"/>
      <c r="H1880" s="10"/>
      <c r="I1880" s="10"/>
      <c r="J1880" s="10"/>
      <c r="K1880" s="25"/>
      <c r="L1880" s="25"/>
      <c r="M1880" s="25" t="str">
        <f>IFERROR(VLOOKUP($C1880,$C$5:$M$24,11,0)+SUMIF($C$25:$C1880,$C1880,$K$25:$K1880)-SUMIF($C$25:$C1880,$C1880,$L$25:$L1880),"")</f>
        <v/>
      </c>
      <c r="N1880" s="10"/>
      <c r="O1880" s="10"/>
      <c r="P1880" s="65"/>
      <c r="Q1880" s="10"/>
      <c r="R1880" s="10"/>
      <c r="S1880" s="54" t="str">
        <f t="shared" si="93"/>
        <v/>
      </c>
      <c r="T1880" s="54" t="str">
        <f t="shared" si="94"/>
        <v/>
      </c>
      <c r="U1880" s="58" t="str">
        <f t="shared" si="95"/>
        <v/>
      </c>
      <c r="V1880" s="58">
        <f>IF(AND($B1880&lt;&gt;"",$F1880&lt;&gt;"",$F1880=项目明细账!$C$2),N(V1879)+1,N(V1879))</f>
        <v>0</v>
      </c>
      <c r="W1880" s="63" t="str">
        <f>IF($H1880&lt;&gt;"","项目成本",IFERROR(INDEX(基础资料!$W$4:$W$49,MATCH($I1880,基础资料!$V$4:$V$49,0)),""))</f>
        <v/>
      </c>
      <c r="X1880" s="63" t="str">
        <f>IFERROR(INDEX(基础资料!$R$4:$R$17,MATCH($G1880,基础资料!$Q$4:$Q$17,0)),"")</f>
        <v/>
      </c>
    </row>
    <row r="1881" spans="1:24">
      <c r="A1881" s="58" t="str">
        <f>IF($B1881="","",COUNTA($B$5:$B1881))</f>
        <v/>
      </c>
      <c r="B1881" s="53"/>
      <c r="C1881" s="46"/>
      <c r="D1881" s="63" t="str">
        <f>IFERROR(INDEX(基础资料!$F$4:$F$23,MATCH($C1881,基础资料!$E$4:$E$23,0)),IF($C1881="","","未匹配账户"))</f>
        <v/>
      </c>
      <c r="E1881" s="39"/>
      <c r="F1881" s="10"/>
      <c r="G1881" s="10"/>
      <c r="H1881" s="10"/>
      <c r="I1881" s="10"/>
      <c r="J1881" s="10"/>
      <c r="K1881" s="25"/>
      <c r="L1881" s="25"/>
      <c r="M1881" s="25" t="str">
        <f>IFERROR(VLOOKUP($C1881,$C$5:$M$24,11,0)+SUMIF($C$25:$C1881,$C1881,$K$25:$K1881)-SUMIF($C$25:$C1881,$C1881,$L$25:$L1881),"")</f>
        <v/>
      </c>
      <c r="N1881" s="10"/>
      <c r="O1881" s="10"/>
      <c r="P1881" s="65"/>
      <c r="Q1881" s="10"/>
      <c r="R1881" s="10"/>
      <c r="S1881" s="54" t="str">
        <f t="shared" si="93"/>
        <v/>
      </c>
      <c r="T1881" s="54" t="str">
        <f t="shared" si="94"/>
        <v/>
      </c>
      <c r="U1881" s="58" t="str">
        <f t="shared" si="95"/>
        <v/>
      </c>
      <c r="V1881" s="58">
        <f>IF(AND($B1881&lt;&gt;"",$F1881&lt;&gt;"",$F1881=项目明细账!$C$2),N(V1880)+1,N(V1880))</f>
        <v>0</v>
      </c>
      <c r="W1881" s="63" t="str">
        <f>IF($H1881&lt;&gt;"","项目成本",IFERROR(INDEX(基础资料!$W$4:$W$49,MATCH($I1881,基础资料!$V$4:$V$49,0)),""))</f>
        <v/>
      </c>
      <c r="X1881" s="63" t="str">
        <f>IFERROR(INDEX(基础资料!$R$4:$R$17,MATCH($G1881,基础资料!$Q$4:$Q$17,0)),"")</f>
        <v/>
      </c>
    </row>
    <row r="1882" spans="1:24">
      <c r="A1882" s="58" t="str">
        <f>IF($B1882="","",COUNTA($B$5:$B1882))</f>
        <v/>
      </c>
      <c r="B1882" s="53"/>
      <c r="C1882" s="46"/>
      <c r="D1882" s="63" t="str">
        <f>IFERROR(INDEX(基础资料!$F$4:$F$23,MATCH($C1882,基础资料!$E$4:$E$23,0)),IF($C1882="","","未匹配账户"))</f>
        <v/>
      </c>
      <c r="E1882" s="39"/>
      <c r="F1882" s="10"/>
      <c r="G1882" s="10"/>
      <c r="H1882" s="10"/>
      <c r="I1882" s="10"/>
      <c r="J1882" s="10"/>
      <c r="K1882" s="25"/>
      <c r="L1882" s="25"/>
      <c r="M1882" s="25" t="str">
        <f>IFERROR(VLOOKUP($C1882,$C$5:$M$24,11,0)+SUMIF($C$25:$C1882,$C1882,$K$25:$K1882)-SUMIF($C$25:$C1882,$C1882,$L$25:$L1882),"")</f>
        <v/>
      </c>
      <c r="N1882" s="10"/>
      <c r="O1882" s="10"/>
      <c r="P1882" s="65"/>
      <c r="Q1882" s="10"/>
      <c r="R1882" s="10"/>
      <c r="S1882" s="54" t="str">
        <f t="shared" si="93"/>
        <v/>
      </c>
      <c r="T1882" s="54" t="str">
        <f t="shared" si="94"/>
        <v/>
      </c>
      <c r="U1882" s="58" t="str">
        <f t="shared" si="95"/>
        <v/>
      </c>
      <c r="V1882" s="58">
        <f>IF(AND($B1882&lt;&gt;"",$F1882&lt;&gt;"",$F1882=项目明细账!$C$2),N(V1881)+1,N(V1881))</f>
        <v>0</v>
      </c>
      <c r="W1882" s="63" t="str">
        <f>IF($H1882&lt;&gt;"","项目成本",IFERROR(INDEX(基础资料!$W$4:$W$49,MATCH($I1882,基础资料!$V$4:$V$49,0)),""))</f>
        <v/>
      </c>
      <c r="X1882" s="63" t="str">
        <f>IFERROR(INDEX(基础资料!$R$4:$R$17,MATCH($G1882,基础资料!$Q$4:$Q$17,0)),"")</f>
        <v/>
      </c>
    </row>
    <row r="1883" spans="1:24">
      <c r="A1883" s="58" t="str">
        <f>IF($B1883="","",COUNTA($B$5:$B1883))</f>
        <v/>
      </c>
      <c r="B1883" s="53"/>
      <c r="C1883" s="46"/>
      <c r="D1883" s="63" t="str">
        <f>IFERROR(INDEX(基础资料!$F$4:$F$23,MATCH($C1883,基础资料!$E$4:$E$23,0)),IF($C1883="","","未匹配账户"))</f>
        <v/>
      </c>
      <c r="E1883" s="39"/>
      <c r="F1883" s="10"/>
      <c r="G1883" s="10"/>
      <c r="H1883" s="10"/>
      <c r="I1883" s="10"/>
      <c r="J1883" s="10"/>
      <c r="K1883" s="25"/>
      <c r="L1883" s="25"/>
      <c r="M1883" s="25" t="str">
        <f>IFERROR(VLOOKUP($C1883,$C$5:$M$24,11,0)+SUMIF($C$25:$C1883,$C1883,$K$25:$K1883)-SUMIF($C$25:$C1883,$C1883,$L$25:$L1883),"")</f>
        <v/>
      </c>
      <c r="N1883" s="10"/>
      <c r="O1883" s="10"/>
      <c r="P1883" s="65"/>
      <c r="Q1883" s="10"/>
      <c r="R1883" s="10"/>
      <c r="S1883" s="54" t="str">
        <f t="shared" si="93"/>
        <v/>
      </c>
      <c r="T1883" s="54" t="str">
        <f t="shared" si="94"/>
        <v/>
      </c>
      <c r="U1883" s="58" t="str">
        <f t="shared" si="95"/>
        <v/>
      </c>
      <c r="V1883" s="58">
        <f>IF(AND($B1883&lt;&gt;"",$F1883&lt;&gt;"",$F1883=项目明细账!$C$2),N(V1882)+1,N(V1882))</f>
        <v>0</v>
      </c>
      <c r="W1883" s="63" t="str">
        <f>IF($H1883&lt;&gt;"","项目成本",IFERROR(INDEX(基础资料!$W$4:$W$49,MATCH($I1883,基础资料!$V$4:$V$49,0)),""))</f>
        <v/>
      </c>
      <c r="X1883" s="63" t="str">
        <f>IFERROR(INDEX(基础资料!$R$4:$R$17,MATCH($G1883,基础资料!$Q$4:$Q$17,0)),"")</f>
        <v/>
      </c>
    </row>
    <row r="1884" spans="1:24">
      <c r="A1884" s="58" t="str">
        <f>IF($B1884="","",COUNTA($B$5:$B1884))</f>
        <v/>
      </c>
      <c r="B1884" s="53"/>
      <c r="C1884" s="46"/>
      <c r="D1884" s="63" t="str">
        <f>IFERROR(INDEX(基础资料!$F$4:$F$23,MATCH($C1884,基础资料!$E$4:$E$23,0)),IF($C1884="","","未匹配账户"))</f>
        <v/>
      </c>
      <c r="E1884" s="39"/>
      <c r="F1884" s="10"/>
      <c r="G1884" s="10"/>
      <c r="H1884" s="10"/>
      <c r="I1884" s="10"/>
      <c r="J1884" s="10"/>
      <c r="K1884" s="25"/>
      <c r="L1884" s="25"/>
      <c r="M1884" s="25" t="str">
        <f>IFERROR(VLOOKUP($C1884,$C$5:$M$24,11,0)+SUMIF($C$25:$C1884,$C1884,$K$25:$K1884)-SUMIF($C$25:$C1884,$C1884,$L$25:$L1884),"")</f>
        <v/>
      </c>
      <c r="N1884" s="10"/>
      <c r="O1884" s="10"/>
      <c r="P1884" s="65"/>
      <c r="Q1884" s="10"/>
      <c r="R1884" s="10"/>
      <c r="S1884" s="54" t="str">
        <f t="shared" si="93"/>
        <v/>
      </c>
      <c r="T1884" s="54" t="str">
        <f t="shared" si="94"/>
        <v/>
      </c>
      <c r="U1884" s="58" t="str">
        <f t="shared" si="95"/>
        <v/>
      </c>
      <c r="V1884" s="58">
        <f>IF(AND($B1884&lt;&gt;"",$F1884&lt;&gt;"",$F1884=项目明细账!$C$2),N(V1883)+1,N(V1883))</f>
        <v>0</v>
      </c>
      <c r="W1884" s="63" t="str">
        <f>IF($H1884&lt;&gt;"","项目成本",IFERROR(INDEX(基础资料!$W$4:$W$49,MATCH($I1884,基础资料!$V$4:$V$49,0)),""))</f>
        <v/>
      </c>
      <c r="X1884" s="63" t="str">
        <f>IFERROR(INDEX(基础资料!$R$4:$R$17,MATCH($G1884,基础资料!$Q$4:$Q$17,0)),"")</f>
        <v/>
      </c>
    </row>
    <row r="1885" spans="1:24">
      <c r="A1885" s="58" t="str">
        <f>IF($B1885="","",COUNTA($B$5:$B1885))</f>
        <v/>
      </c>
      <c r="B1885" s="53"/>
      <c r="C1885" s="46"/>
      <c r="D1885" s="63" t="str">
        <f>IFERROR(INDEX(基础资料!$F$4:$F$23,MATCH($C1885,基础资料!$E$4:$E$23,0)),IF($C1885="","","未匹配账户"))</f>
        <v/>
      </c>
      <c r="E1885" s="39"/>
      <c r="F1885" s="10"/>
      <c r="G1885" s="10"/>
      <c r="H1885" s="10"/>
      <c r="I1885" s="10"/>
      <c r="J1885" s="10"/>
      <c r="K1885" s="25"/>
      <c r="L1885" s="25"/>
      <c r="M1885" s="25" t="str">
        <f>IFERROR(VLOOKUP($C1885,$C$5:$M$24,11,0)+SUMIF($C$25:$C1885,$C1885,$K$25:$K1885)-SUMIF($C$25:$C1885,$C1885,$L$25:$L1885),"")</f>
        <v/>
      </c>
      <c r="N1885" s="10"/>
      <c r="O1885" s="10"/>
      <c r="P1885" s="65"/>
      <c r="Q1885" s="10"/>
      <c r="R1885" s="10"/>
      <c r="S1885" s="54" t="str">
        <f t="shared" si="93"/>
        <v/>
      </c>
      <c r="T1885" s="54" t="str">
        <f t="shared" si="94"/>
        <v/>
      </c>
      <c r="U1885" s="58" t="str">
        <f t="shared" si="95"/>
        <v/>
      </c>
      <c r="V1885" s="58">
        <f>IF(AND($B1885&lt;&gt;"",$F1885&lt;&gt;"",$F1885=项目明细账!$C$2),N(V1884)+1,N(V1884))</f>
        <v>0</v>
      </c>
      <c r="W1885" s="63" t="str">
        <f>IF($H1885&lt;&gt;"","项目成本",IFERROR(INDEX(基础资料!$W$4:$W$49,MATCH($I1885,基础资料!$V$4:$V$49,0)),""))</f>
        <v/>
      </c>
      <c r="X1885" s="63" t="str">
        <f>IFERROR(INDEX(基础资料!$R$4:$R$17,MATCH($G1885,基础资料!$Q$4:$Q$17,0)),"")</f>
        <v/>
      </c>
    </row>
    <row r="1886" spans="1:24">
      <c r="A1886" s="58" t="str">
        <f>IF($B1886="","",COUNTA($B$5:$B1886))</f>
        <v/>
      </c>
      <c r="B1886" s="53"/>
      <c r="C1886" s="46"/>
      <c r="D1886" s="63" t="str">
        <f>IFERROR(INDEX(基础资料!$F$4:$F$23,MATCH($C1886,基础资料!$E$4:$E$23,0)),IF($C1886="","","未匹配账户"))</f>
        <v/>
      </c>
      <c r="E1886" s="39"/>
      <c r="F1886" s="10"/>
      <c r="G1886" s="10"/>
      <c r="H1886" s="10"/>
      <c r="I1886" s="10"/>
      <c r="J1886" s="10"/>
      <c r="K1886" s="25"/>
      <c r="L1886" s="25"/>
      <c r="M1886" s="25" t="str">
        <f>IFERROR(VLOOKUP($C1886,$C$5:$M$24,11,0)+SUMIF($C$25:$C1886,$C1886,$K$25:$K1886)-SUMIF($C$25:$C1886,$C1886,$L$25:$L1886),"")</f>
        <v/>
      </c>
      <c r="N1886" s="10"/>
      <c r="O1886" s="10"/>
      <c r="P1886" s="65"/>
      <c r="Q1886" s="10"/>
      <c r="R1886" s="10"/>
      <c r="S1886" s="54" t="str">
        <f t="shared" si="93"/>
        <v/>
      </c>
      <c r="T1886" s="54" t="str">
        <f t="shared" si="94"/>
        <v/>
      </c>
      <c r="U1886" s="58" t="str">
        <f t="shared" si="95"/>
        <v/>
      </c>
      <c r="V1886" s="58">
        <f>IF(AND($B1886&lt;&gt;"",$F1886&lt;&gt;"",$F1886=项目明细账!$C$2),N(V1885)+1,N(V1885))</f>
        <v>0</v>
      </c>
      <c r="W1886" s="63" t="str">
        <f>IF($H1886&lt;&gt;"","项目成本",IFERROR(INDEX(基础资料!$W$4:$W$49,MATCH($I1886,基础资料!$V$4:$V$49,0)),""))</f>
        <v/>
      </c>
      <c r="X1886" s="63" t="str">
        <f>IFERROR(INDEX(基础资料!$R$4:$R$17,MATCH($G1886,基础资料!$Q$4:$Q$17,0)),"")</f>
        <v/>
      </c>
    </row>
    <row r="1887" spans="1:24">
      <c r="A1887" s="58" t="str">
        <f>IF($B1887="","",COUNTA($B$5:$B1887))</f>
        <v/>
      </c>
      <c r="B1887" s="53"/>
      <c r="C1887" s="46"/>
      <c r="D1887" s="63" t="str">
        <f>IFERROR(INDEX(基础资料!$F$4:$F$23,MATCH($C1887,基础资料!$E$4:$E$23,0)),IF($C1887="","","未匹配账户"))</f>
        <v/>
      </c>
      <c r="E1887" s="39"/>
      <c r="F1887" s="10"/>
      <c r="G1887" s="10"/>
      <c r="H1887" s="10"/>
      <c r="I1887" s="10"/>
      <c r="J1887" s="10"/>
      <c r="K1887" s="25"/>
      <c r="L1887" s="25"/>
      <c r="M1887" s="25" t="str">
        <f>IFERROR(VLOOKUP($C1887,$C$5:$M$24,11,0)+SUMIF($C$25:$C1887,$C1887,$K$25:$K1887)-SUMIF($C$25:$C1887,$C1887,$L$25:$L1887),"")</f>
        <v/>
      </c>
      <c r="N1887" s="10"/>
      <c r="O1887" s="10"/>
      <c r="P1887" s="65"/>
      <c r="Q1887" s="10"/>
      <c r="R1887" s="10"/>
      <c r="S1887" s="54" t="str">
        <f t="shared" si="93"/>
        <v/>
      </c>
      <c r="T1887" s="54" t="str">
        <f t="shared" si="94"/>
        <v/>
      </c>
      <c r="U1887" s="58" t="str">
        <f t="shared" si="95"/>
        <v/>
      </c>
      <c r="V1887" s="58">
        <f>IF(AND($B1887&lt;&gt;"",$F1887&lt;&gt;"",$F1887=项目明细账!$C$2),N(V1886)+1,N(V1886))</f>
        <v>0</v>
      </c>
      <c r="W1887" s="63" t="str">
        <f>IF($H1887&lt;&gt;"","项目成本",IFERROR(INDEX(基础资料!$W$4:$W$49,MATCH($I1887,基础资料!$V$4:$V$49,0)),""))</f>
        <v/>
      </c>
      <c r="X1887" s="63" t="str">
        <f>IFERROR(INDEX(基础资料!$R$4:$R$17,MATCH($G1887,基础资料!$Q$4:$Q$17,0)),"")</f>
        <v/>
      </c>
    </row>
    <row r="1888" spans="1:24">
      <c r="A1888" s="58" t="str">
        <f>IF($B1888="","",COUNTA($B$5:$B1888))</f>
        <v/>
      </c>
      <c r="B1888" s="53"/>
      <c r="C1888" s="46"/>
      <c r="D1888" s="63" t="str">
        <f>IFERROR(INDEX(基础资料!$F$4:$F$23,MATCH($C1888,基础资料!$E$4:$E$23,0)),IF($C1888="","","未匹配账户"))</f>
        <v/>
      </c>
      <c r="E1888" s="39"/>
      <c r="F1888" s="10"/>
      <c r="G1888" s="10"/>
      <c r="H1888" s="10"/>
      <c r="I1888" s="10"/>
      <c r="J1888" s="10"/>
      <c r="K1888" s="25"/>
      <c r="L1888" s="25"/>
      <c r="M1888" s="25" t="str">
        <f>IFERROR(VLOOKUP($C1888,$C$5:$M$24,11,0)+SUMIF($C$25:$C1888,$C1888,$K$25:$K1888)-SUMIF($C$25:$C1888,$C1888,$L$25:$L1888),"")</f>
        <v/>
      </c>
      <c r="N1888" s="10"/>
      <c r="O1888" s="10"/>
      <c r="P1888" s="65"/>
      <c r="Q1888" s="10"/>
      <c r="R1888" s="10"/>
      <c r="S1888" s="54" t="str">
        <f t="shared" si="93"/>
        <v/>
      </c>
      <c r="T1888" s="54" t="str">
        <f t="shared" si="94"/>
        <v/>
      </c>
      <c r="U1888" s="58" t="str">
        <f t="shared" si="95"/>
        <v/>
      </c>
      <c r="V1888" s="58">
        <f>IF(AND($B1888&lt;&gt;"",$F1888&lt;&gt;"",$F1888=项目明细账!$C$2),N(V1887)+1,N(V1887))</f>
        <v>0</v>
      </c>
      <c r="W1888" s="63" t="str">
        <f>IF($H1888&lt;&gt;"","项目成本",IFERROR(INDEX(基础资料!$W$4:$W$49,MATCH($I1888,基础资料!$V$4:$V$49,0)),""))</f>
        <v/>
      </c>
      <c r="X1888" s="63" t="str">
        <f>IFERROR(INDEX(基础资料!$R$4:$R$17,MATCH($G1888,基础资料!$Q$4:$Q$17,0)),"")</f>
        <v/>
      </c>
    </row>
    <row r="1889" spans="1:24">
      <c r="A1889" s="58" t="str">
        <f>IF($B1889="","",COUNTA($B$5:$B1889))</f>
        <v/>
      </c>
      <c r="B1889" s="53"/>
      <c r="C1889" s="46"/>
      <c r="D1889" s="63" t="str">
        <f>IFERROR(INDEX(基础资料!$F$4:$F$23,MATCH($C1889,基础资料!$E$4:$E$23,0)),IF($C1889="","","未匹配账户"))</f>
        <v/>
      </c>
      <c r="E1889" s="39"/>
      <c r="F1889" s="10"/>
      <c r="G1889" s="10"/>
      <c r="H1889" s="10"/>
      <c r="I1889" s="10"/>
      <c r="J1889" s="10"/>
      <c r="K1889" s="25"/>
      <c r="L1889" s="25"/>
      <c r="M1889" s="25" t="str">
        <f>IFERROR(VLOOKUP($C1889,$C$5:$M$24,11,0)+SUMIF($C$25:$C1889,$C1889,$K$25:$K1889)-SUMIF($C$25:$C1889,$C1889,$L$25:$L1889),"")</f>
        <v/>
      </c>
      <c r="N1889" s="10"/>
      <c r="O1889" s="10"/>
      <c r="P1889" s="65"/>
      <c r="Q1889" s="10"/>
      <c r="R1889" s="10"/>
      <c r="S1889" s="54" t="str">
        <f t="shared" si="93"/>
        <v/>
      </c>
      <c r="T1889" s="54" t="str">
        <f t="shared" si="94"/>
        <v/>
      </c>
      <c r="U1889" s="58" t="str">
        <f t="shared" si="95"/>
        <v/>
      </c>
      <c r="V1889" s="58">
        <f>IF(AND($B1889&lt;&gt;"",$F1889&lt;&gt;"",$F1889=项目明细账!$C$2),N(V1888)+1,N(V1888))</f>
        <v>0</v>
      </c>
      <c r="W1889" s="63" t="str">
        <f>IF($H1889&lt;&gt;"","项目成本",IFERROR(INDEX(基础资料!$W$4:$W$49,MATCH($I1889,基础资料!$V$4:$V$49,0)),""))</f>
        <v/>
      </c>
      <c r="X1889" s="63" t="str">
        <f>IFERROR(INDEX(基础资料!$R$4:$R$17,MATCH($G1889,基础资料!$Q$4:$Q$17,0)),"")</f>
        <v/>
      </c>
    </row>
    <row r="1890" spans="1:24">
      <c r="A1890" s="58" t="str">
        <f>IF($B1890="","",COUNTA($B$5:$B1890))</f>
        <v/>
      </c>
      <c r="B1890" s="53"/>
      <c r="C1890" s="46"/>
      <c r="D1890" s="63" t="str">
        <f>IFERROR(INDEX(基础资料!$F$4:$F$23,MATCH($C1890,基础资料!$E$4:$E$23,0)),IF($C1890="","","未匹配账户"))</f>
        <v/>
      </c>
      <c r="E1890" s="39"/>
      <c r="F1890" s="10"/>
      <c r="G1890" s="10"/>
      <c r="H1890" s="10"/>
      <c r="I1890" s="10"/>
      <c r="J1890" s="10"/>
      <c r="K1890" s="25"/>
      <c r="L1890" s="25"/>
      <c r="M1890" s="25" t="str">
        <f>IFERROR(VLOOKUP($C1890,$C$5:$M$24,11,0)+SUMIF($C$25:$C1890,$C1890,$K$25:$K1890)-SUMIF($C$25:$C1890,$C1890,$L$25:$L1890),"")</f>
        <v/>
      </c>
      <c r="N1890" s="10"/>
      <c r="O1890" s="10"/>
      <c r="P1890" s="65"/>
      <c r="Q1890" s="10"/>
      <c r="R1890" s="10"/>
      <c r="S1890" s="54" t="str">
        <f t="shared" si="93"/>
        <v/>
      </c>
      <c r="T1890" s="54" t="str">
        <f t="shared" si="94"/>
        <v/>
      </c>
      <c r="U1890" s="58" t="str">
        <f t="shared" si="95"/>
        <v/>
      </c>
      <c r="V1890" s="58">
        <f>IF(AND($B1890&lt;&gt;"",$F1890&lt;&gt;"",$F1890=项目明细账!$C$2),N(V1889)+1,N(V1889))</f>
        <v>0</v>
      </c>
      <c r="W1890" s="63" t="str">
        <f>IF($H1890&lt;&gt;"","项目成本",IFERROR(INDEX(基础资料!$W$4:$W$49,MATCH($I1890,基础资料!$V$4:$V$49,0)),""))</f>
        <v/>
      </c>
      <c r="X1890" s="63" t="str">
        <f>IFERROR(INDEX(基础资料!$R$4:$R$17,MATCH($G1890,基础资料!$Q$4:$Q$17,0)),"")</f>
        <v/>
      </c>
    </row>
    <row r="1891" spans="1:24">
      <c r="A1891" s="58" t="str">
        <f>IF($B1891="","",COUNTA($B$5:$B1891))</f>
        <v/>
      </c>
      <c r="B1891" s="53"/>
      <c r="C1891" s="46"/>
      <c r="D1891" s="63" t="str">
        <f>IFERROR(INDEX(基础资料!$F$4:$F$23,MATCH($C1891,基础资料!$E$4:$E$23,0)),IF($C1891="","","未匹配账户"))</f>
        <v/>
      </c>
      <c r="E1891" s="39"/>
      <c r="F1891" s="10"/>
      <c r="G1891" s="10"/>
      <c r="H1891" s="10"/>
      <c r="I1891" s="10"/>
      <c r="J1891" s="10"/>
      <c r="K1891" s="25"/>
      <c r="L1891" s="25"/>
      <c r="M1891" s="25" t="str">
        <f>IFERROR(VLOOKUP($C1891,$C$5:$M$24,11,0)+SUMIF($C$25:$C1891,$C1891,$K$25:$K1891)-SUMIF($C$25:$C1891,$C1891,$L$25:$L1891),"")</f>
        <v/>
      </c>
      <c r="N1891" s="10"/>
      <c r="O1891" s="10"/>
      <c r="P1891" s="65"/>
      <c r="Q1891" s="10"/>
      <c r="R1891" s="10"/>
      <c r="S1891" s="54" t="str">
        <f t="shared" si="93"/>
        <v/>
      </c>
      <c r="T1891" s="54" t="str">
        <f t="shared" si="94"/>
        <v/>
      </c>
      <c r="U1891" s="58" t="str">
        <f t="shared" si="95"/>
        <v/>
      </c>
      <c r="V1891" s="58">
        <f>IF(AND($B1891&lt;&gt;"",$F1891&lt;&gt;"",$F1891=项目明细账!$C$2),N(V1890)+1,N(V1890))</f>
        <v>0</v>
      </c>
      <c r="W1891" s="63" t="str">
        <f>IF($H1891&lt;&gt;"","项目成本",IFERROR(INDEX(基础资料!$W$4:$W$49,MATCH($I1891,基础资料!$V$4:$V$49,0)),""))</f>
        <v/>
      </c>
      <c r="X1891" s="63" t="str">
        <f>IFERROR(INDEX(基础资料!$R$4:$R$17,MATCH($G1891,基础资料!$Q$4:$Q$17,0)),"")</f>
        <v/>
      </c>
    </row>
    <row r="1892" spans="1:24">
      <c r="A1892" s="58" t="str">
        <f>IF($B1892="","",COUNTA($B$5:$B1892))</f>
        <v/>
      </c>
      <c r="B1892" s="53"/>
      <c r="C1892" s="46"/>
      <c r="D1892" s="63" t="str">
        <f>IFERROR(INDEX(基础资料!$F$4:$F$23,MATCH($C1892,基础资料!$E$4:$E$23,0)),IF($C1892="","","未匹配账户"))</f>
        <v/>
      </c>
      <c r="E1892" s="39"/>
      <c r="F1892" s="10"/>
      <c r="G1892" s="10"/>
      <c r="H1892" s="10"/>
      <c r="I1892" s="10"/>
      <c r="J1892" s="10"/>
      <c r="K1892" s="25"/>
      <c r="L1892" s="25"/>
      <c r="M1892" s="25" t="str">
        <f>IFERROR(VLOOKUP($C1892,$C$5:$M$24,11,0)+SUMIF($C$25:$C1892,$C1892,$K$25:$K1892)-SUMIF($C$25:$C1892,$C1892,$L$25:$L1892),"")</f>
        <v/>
      </c>
      <c r="N1892" s="10"/>
      <c r="O1892" s="10"/>
      <c r="P1892" s="65"/>
      <c r="Q1892" s="10"/>
      <c r="R1892" s="10"/>
      <c r="S1892" s="54" t="str">
        <f t="shared" si="93"/>
        <v/>
      </c>
      <c r="T1892" s="54" t="str">
        <f t="shared" si="94"/>
        <v/>
      </c>
      <c r="U1892" s="58" t="str">
        <f t="shared" si="95"/>
        <v/>
      </c>
      <c r="V1892" s="58">
        <f>IF(AND($B1892&lt;&gt;"",$F1892&lt;&gt;"",$F1892=项目明细账!$C$2),N(V1891)+1,N(V1891))</f>
        <v>0</v>
      </c>
      <c r="W1892" s="63" t="str">
        <f>IF($H1892&lt;&gt;"","项目成本",IFERROR(INDEX(基础资料!$W$4:$W$49,MATCH($I1892,基础资料!$V$4:$V$49,0)),""))</f>
        <v/>
      </c>
      <c r="X1892" s="63" t="str">
        <f>IFERROR(INDEX(基础资料!$R$4:$R$17,MATCH($G1892,基础资料!$Q$4:$Q$17,0)),"")</f>
        <v/>
      </c>
    </row>
    <row r="1893" spans="1:24">
      <c r="A1893" s="58" t="str">
        <f>IF($B1893="","",COUNTA($B$5:$B1893))</f>
        <v/>
      </c>
      <c r="B1893" s="53"/>
      <c r="C1893" s="46"/>
      <c r="D1893" s="63" t="str">
        <f>IFERROR(INDEX(基础资料!$F$4:$F$23,MATCH($C1893,基础资料!$E$4:$E$23,0)),IF($C1893="","","未匹配账户"))</f>
        <v/>
      </c>
      <c r="E1893" s="39"/>
      <c r="F1893" s="10"/>
      <c r="G1893" s="10"/>
      <c r="H1893" s="10"/>
      <c r="I1893" s="10"/>
      <c r="J1893" s="10"/>
      <c r="K1893" s="25"/>
      <c r="L1893" s="25"/>
      <c r="M1893" s="25" t="str">
        <f>IFERROR(VLOOKUP($C1893,$C$5:$M$24,11,0)+SUMIF($C$25:$C1893,$C1893,$K$25:$K1893)-SUMIF($C$25:$C1893,$C1893,$L$25:$L1893),"")</f>
        <v/>
      </c>
      <c r="N1893" s="10"/>
      <c r="O1893" s="10"/>
      <c r="P1893" s="65"/>
      <c r="Q1893" s="10"/>
      <c r="R1893" s="10"/>
      <c r="S1893" s="54" t="str">
        <f t="shared" si="93"/>
        <v/>
      </c>
      <c r="T1893" s="54" t="str">
        <f t="shared" si="94"/>
        <v/>
      </c>
      <c r="U1893" s="58" t="str">
        <f t="shared" si="95"/>
        <v/>
      </c>
      <c r="V1893" s="58">
        <f>IF(AND($B1893&lt;&gt;"",$F1893&lt;&gt;"",$F1893=项目明细账!$C$2),N(V1892)+1,N(V1892))</f>
        <v>0</v>
      </c>
      <c r="W1893" s="63" t="str">
        <f>IF($H1893&lt;&gt;"","项目成本",IFERROR(INDEX(基础资料!$W$4:$W$49,MATCH($I1893,基础资料!$V$4:$V$49,0)),""))</f>
        <v/>
      </c>
      <c r="X1893" s="63" t="str">
        <f>IFERROR(INDEX(基础资料!$R$4:$R$17,MATCH($G1893,基础资料!$Q$4:$Q$17,0)),"")</f>
        <v/>
      </c>
    </row>
    <row r="1894" spans="1:24">
      <c r="A1894" s="58" t="str">
        <f>IF($B1894="","",COUNTA($B$5:$B1894))</f>
        <v/>
      </c>
      <c r="B1894" s="53"/>
      <c r="C1894" s="46"/>
      <c r="D1894" s="63" t="str">
        <f>IFERROR(INDEX(基础资料!$F$4:$F$23,MATCH($C1894,基础资料!$E$4:$E$23,0)),IF($C1894="","","未匹配账户"))</f>
        <v/>
      </c>
      <c r="E1894" s="39"/>
      <c r="F1894" s="10"/>
      <c r="G1894" s="10"/>
      <c r="H1894" s="10"/>
      <c r="I1894" s="10"/>
      <c r="J1894" s="10"/>
      <c r="K1894" s="25"/>
      <c r="L1894" s="25"/>
      <c r="M1894" s="25" t="str">
        <f>IFERROR(VLOOKUP($C1894,$C$5:$M$24,11,0)+SUMIF($C$25:$C1894,$C1894,$K$25:$K1894)-SUMIF($C$25:$C1894,$C1894,$L$25:$L1894),"")</f>
        <v/>
      </c>
      <c r="N1894" s="10"/>
      <c r="O1894" s="10"/>
      <c r="P1894" s="65"/>
      <c r="Q1894" s="10"/>
      <c r="R1894" s="10"/>
      <c r="S1894" s="54" t="str">
        <f t="shared" si="93"/>
        <v/>
      </c>
      <c r="T1894" s="54" t="str">
        <f t="shared" si="94"/>
        <v/>
      </c>
      <c r="U1894" s="58" t="str">
        <f t="shared" si="95"/>
        <v/>
      </c>
      <c r="V1894" s="58">
        <f>IF(AND($B1894&lt;&gt;"",$F1894&lt;&gt;"",$F1894=项目明细账!$C$2),N(V1893)+1,N(V1893))</f>
        <v>0</v>
      </c>
      <c r="W1894" s="63" t="str">
        <f>IF($H1894&lt;&gt;"","项目成本",IFERROR(INDEX(基础资料!$W$4:$W$49,MATCH($I1894,基础资料!$V$4:$V$49,0)),""))</f>
        <v/>
      </c>
      <c r="X1894" s="63" t="str">
        <f>IFERROR(INDEX(基础资料!$R$4:$R$17,MATCH($G1894,基础资料!$Q$4:$Q$17,0)),"")</f>
        <v/>
      </c>
    </row>
    <row r="1895" spans="1:24">
      <c r="A1895" s="58" t="str">
        <f>IF($B1895="","",COUNTA($B$5:$B1895))</f>
        <v/>
      </c>
      <c r="B1895" s="53"/>
      <c r="C1895" s="46"/>
      <c r="D1895" s="63" t="str">
        <f>IFERROR(INDEX(基础资料!$F$4:$F$23,MATCH($C1895,基础资料!$E$4:$E$23,0)),IF($C1895="","","未匹配账户"))</f>
        <v/>
      </c>
      <c r="E1895" s="39"/>
      <c r="F1895" s="10"/>
      <c r="G1895" s="10"/>
      <c r="H1895" s="10"/>
      <c r="I1895" s="10"/>
      <c r="J1895" s="10"/>
      <c r="K1895" s="25"/>
      <c r="L1895" s="25"/>
      <c r="M1895" s="25" t="str">
        <f>IFERROR(VLOOKUP($C1895,$C$5:$M$24,11,0)+SUMIF($C$25:$C1895,$C1895,$K$25:$K1895)-SUMIF($C$25:$C1895,$C1895,$L$25:$L1895),"")</f>
        <v/>
      </c>
      <c r="N1895" s="10"/>
      <c r="O1895" s="10"/>
      <c r="P1895" s="65"/>
      <c r="Q1895" s="10"/>
      <c r="R1895" s="10"/>
      <c r="S1895" s="54" t="str">
        <f t="shared" si="93"/>
        <v/>
      </c>
      <c r="T1895" s="54" t="str">
        <f t="shared" si="94"/>
        <v/>
      </c>
      <c r="U1895" s="58" t="str">
        <f t="shared" si="95"/>
        <v/>
      </c>
      <c r="V1895" s="58">
        <f>IF(AND($B1895&lt;&gt;"",$F1895&lt;&gt;"",$F1895=项目明细账!$C$2),N(V1894)+1,N(V1894))</f>
        <v>0</v>
      </c>
      <c r="W1895" s="63" t="str">
        <f>IF($H1895&lt;&gt;"","项目成本",IFERROR(INDEX(基础资料!$W$4:$W$49,MATCH($I1895,基础资料!$V$4:$V$49,0)),""))</f>
        <v/>
      </c>
      <c r="X1895" s="63" t="str">
        <f>IFERROR(INDEX(基础资料!$R$4:$R$17,MATCH($G1895,基础资料!$Q$4:$Q$17,0)),"")</f>
        <v/>
      </c>
    </row>
    <row r="1896" spans="1:24">
      <c r="A1896" s="58" t="str">
        <f>IF($B1896="","",COUNTA($B$5:$B1896))</f>
        <v/>
      </c>
      <c r="B1896" s="53"/>
      <c r="C1896" s="46"/>
      <c r="D1896" s="63" t="str">
        <f>IFERROR(INDEX(基础资料!$F$4:$F$23,MATCH($C1896,基础资料!$E$4:$E$23,0)),IF($C1896="","","未匹配账户"))</f>
        <v/>
      </c>
      <c r="E1896" s="39"/>
      <c r="F1896" s="10"/>
      <c r="G1896" s="10"/>
      <c r="H1896" s="10"/>
      <c r="I1896" s="10"/>
      <c r="J1896" s="10"/>
      <c r="K1896" s="25"/>
      <c r="L1896" s="25"/>
      <c r="M1896" s="25" t="str">
        <f>IFERROR(VLOOKUP($C1896,$C$5:$M$24,11,0)+SUMIF($C$25:$C1896,$C1896,$K$25:$K1896)-SUMIF($C$25:$C1896,$C1896,$L$25:$L1896),"")</f>
        <v/>
      </c>
      <c r="N1896" s="10"/>
      <c r="O1896" s="10"/>
      <c r="P1896" s="65"/>
      <c r="Q1896" s="10"/>
      <c r="R1896" s="10"/>
      <c r="S1896" s="54" t="str">
        <f t="shared" si="93"/>
        <v/>
      </c>
      <c r="T1896" s="54" t="str">
        <f t="shared" si="94"/>
        <v/>
      </c>
      <c r="U1896" s="58" t="str">
        <f t="shared" si="95"/>
        <v/>
      </c>
      <c r="V1896" s="58">
        <f>IF(AND($B1896&lt;&gt;"",$F1896&lt;&gt;"",$F1896=项目明细账!$C$2),N(V1895)+1,N(V1895))</f>
        <v>0</v>
      </c>
      <c r="W1896" s="63" t="str">
        <f>IF($H1896&lt;&gt;"","项目成本",IFERROR(INDEX(基础资料!$W$4:$W$49,MATCH($I1896,基础资料!$V$4:$V$49,0)),""))</f>
        <v/>
      </c>
      <c r="X1896" s="63" t="str">
        <f>IFERROR(INDEX(基础资料!$R$4:$R$17,MATCH($G1896,基础资料!$Q$4:$Q$17,0)),"")</f>
        <v/>
      </c>
    </row>
    <row r="1897" spans="1:24">
      <c r="A1897" s="58" t="str">
        <f>IF($B1897="","",COUNTA($B$5:$B1897))</f>
        <v/>
      </c>
      <c r="B1897" s="53"/>
      <c r="C1897" s="46"/>
      <c r="D1897" s="63" t="str">
        <f>IFERROR(INDEX(基础资料!$F$4:$F$23,MATCH($C1897,基础资料!$E$4:$E$23,0)),IF($C1897="","","未匹配账户"))</f>
        <v/>
      </c>
      <c r="E1897" s="39"/>
      <c r="F1897" s="10"/>
      <c r="G1897" s="10"/>
      <c r="H1897" s="10"/>
      <c r="I1897" s="10"/>
      <c r="J1897" s="10"/>
      <c r="K1897" s="25"/>
      <c r="L1897" s="25"/>
      <c r="M1897" s="25" t="str">
        <f>IFERROR(VLOOKUP($C1897,$C$5:$M$24,11,0)+SUMIF($C$25:$C1897,$C1897,$K$25:$K1897)-SUMIF($C$25:$C1897,$C1897,$L$25:$L1897),"")</f>
        <v/>
      </c>
      <c r="N1897" s="10"/>
      <c r="O1897" s="10"/>
      <c r="P1897" s="65"/>
      <c r="Q1897" s="10"/>
      <c r="R1897" s="10"/>
      <c r="S1897" s="54" t="str">
        <f t="shared" si="93"/>
        <v/>
      </c>
      <c r="T1897" s="54" t="str">
        <f t="shared" si="94"/>
        <v/>
      </c>
      <c r="U1897" s="58" t="str">
        <f t="shared" si="95"/>
        <v/>
      </c>
      <c r="V1897" s="58">
        <f>IF(AND($B1897&lt;&gt;"",$F1897&lt;&gt;"",$F1897=项目明细账!$C$2),N(V1896)+1,N(V1896))</f>
        <v>0</v>
      </c>
      <c r="W1897" s="63" t="str">
        <f>IF($H1897&lt;&gt;"","项目成本",IFERROR(INDEX(基础资料!$W$4:$W$49,MATCH($I1897,基础资料!$V$4:$V$49,0)),""))</f>
        <v/>
      </c>
      <c r="X1897" s="63" t="str">
        <f>IFERROR(INDEX(基础资料!$R$4:$R$17,MATCH($G1897,基础资料!$Q$4:$Q$17,0)),"")</f>
        <v/>
      </c>
    </row>
    <row r="1898" spans="1:24">
      <c r="A1898" s="58" t="str">
        <f>IF($B1898="","",COUNTA($B$5:$B1898))</f>
        <v/>
      </c>
      <c r="B1898" s="53"/>
      <c r="C1898" s="46"/>
      <c r="D1898" s="63" t="str">
        <f>IFERROR(INDEX(基础资料!$F$4:$F$23,MATCH($C1898,基础资料!$E$4:$E$23,0)),IF($C1898="","","未匹配账户"))</f>
        <v/>
      </c>
      <c r="E1898" s="39"/>
      <c r="F1898" s="10"/>
      <c r="G1898" s="10"/>
      <c r="H1898" s="10"/>
      <c r="I1898" s="10"/>
      <c r="J1898" s="10"/>
      <c r="K1898" s="25"/>
      <c r="L1898" s="25"/>
      <c r="M1898" s="25" t="str">
        <f>IFERROR(VLOOKUP($C1898,$C$5:$M$24,11,0)+SUMIF($C$25:$C1898,$C1898,$K$25:$K1898)-SUMIF($C$25:$C1898,$C1898,$L$25:$L1898),"")</f>
        <v/>
      </c>
      <c r="N1898" s="10"/>
      <c r="O1898" s="10"/>
      <c r="P1898" s="65"/>
      <c r="Q1898" s="10"/>
      <c r="R1898" s="10"/>
      <c r="S1898" s="54" t="str">
        <f t="shared" si="93"/>
        <v/>
      </c>
      <c r="T1898" s="54" t="str">
        <f t="shared" si="94"/>
        <v/>
      </c>
      <c r="U1898" s="58" t="str">
        <f t="shared" si="95"/>
        <v/>
      </c>
      <c r="V1898" s="58">
        <f>IF(AND($B1898&lt;&gt;"",$F1898&lt;&gt;"",$F1898=项目明细账!$C$2),N(V1897)+1,N(V1897))</f>
        <v>0</v>
      </c>
      <c r="W1898" s="63" t="str">
        <f>IF($H1898&lt;&gt;"","项目成本",IFERROR(INDEX(基础资料!$W$4:$W$49,MATCH($I1898,基础资料!$V$4:$V$49,0)),""))</f>
        <v/>
      </c>
      <c r="X1898" s="63" t="str">
        <f>IFERROR(INDEX(基础资料!$R$4:$R$17,MATCH($G1898,基础资料!$Q$4:$Q$17,0)),"")</f>
        <v/>
      </c>
    </row>
    <row r="1899" spans="1:24">
      <c r="A1899" s="58" t="str">
        <f>IF($B1899="","",COUNTA($B$5:$B1899))</f>
        <v/>
      </c>
      <c r="B1899" s="53"/>
      <c r="C1899" s="46"/>
      <c r="D1899" s="63" t="str">
        <f>IFERROR(INDEX(基础资料!$F$4:$F$23,MATCH($C1899,基础资料!$E$4:$E$23,0)),IF($C1899="","","未匹配账户"))</f>
        <v/>
      </c>
      <c r="E1899" s="39"/>
      <c r="F1899" s="10"/>
      <c r="G1899" s="10"/>
      <c r="H1899" s="10"/>
      <c r="I1899" s="10"/>
      <c r="J1899" s="10"/>
      <c r="K1899" s="25"/>
      <c r="L1899" s="25"/>
      <c r="M1899" s="25" t="str">
        <f>IFERROR(VLOOKUP($C1899,$C$5:$M$24,11,0)+SUMIF($C$25:$C1899,$C1899,$K$25:$K1899)-SUMIF($C$25:$C1899,$C1899,$L$25:$L1899),"")</f>
        <v/>
      </c>
      <c r="N1899" s="10"/>
      <c r="O1899" s="10"/>
      <c r="P1899" s="65"/>
      <c r="Q1899" s="10"/>
      <c r="R1899" s="10"/>
      <c r="S1899" s="54" t="str">
        <f t="shared" si="93"/>
        <v/>
      </c>
      <c r="T1899" s="54" t="str">
        <f t="shared" si="94"/>
        <v/>
      </c>
      <c r="U1899" s="58" t="str">
        <f t="shared" si="95"/>
        <v/>
      </c>
      <c r="V1899" s="58">
        <f>IF(AND($B1899&lt;&gt;"",$F1899&lt;&gt;"",$F1899=项目明细账!$C$2),N(V1898)+1,N(V1898))</f>
        <v>0</v>
      </c>
      <c r="W1899" s="63" t="str">
        <f>IF($H1899&lt;&gt;"","项目成本",IFERROR(INDEX(基础资料!$W$4:$W$49,MATCH($I1899,基础资料!$V$4:$V$49,0)),""))</f>
        <v/>
      </c>
      <c r="X1899" s="63" t="str">
        <f>IFERROR(INDEX(基础资料!$R$4:$R$17,MATCH($G1899,基础资料!$Q$4:$Q$17,0)),"")</f>
        <v/>
      </c>
    </row>
    <row r="1900" spans="1:24">
      <c r="A1900" s="58" t="str">
        <f>IF($B1900="","",COUNTA($B$5:$B1900))</f>
        <v/>
      </c>
      <c r="B1900" s="53"/>
      <c r="C1900" s="46"/>
      <c r="D1900" s="63" t="str">
        <f>IFERROR(INDEX(基础资料!$F$4:$F$23,MATCH($C1900,基础资料!$E$4:$E$23,0)),IF($C1900="","","未匹配账户"))</f>
        <v/>
      </c>
      <c r="E1900" s="39"/>
      <c r="F1900" s="10"/>
      <c r="G1900" s="10"/>
      <c r="H1900" s="10"/>
      <c r="I1900" s="10"/>
      <c r="J1900" s="10"/>
      <c r="K1900" s="25"/>
      <c r="L1900" s="25"/>
      <c r="M1900" s="25" t="str">
        <f>IFERROR(VLOOKUP($C1900,$C$5:$M$24,11,0)+SUMIF($C$25:$C1900,$C1900,$K$25:$K1900)-SUMIF($C$25:$C1900,$C1900,$L$25:$L1900),"")</f>
        <v/>
      </c>
      <c r="N1900" s="10"/>
      <c r="O1900" s="10"/>
      <c r="P1900" s="65"/>
      <c r="Q1900" s="10"/>
      <c r="R1900" s="10"/>
      <c r="S1900" s="54" t="str">
        <f t="shared" si="93"/>
        <v/>
      </c>
      <c r="T1900" s="54" t="str">
        <f t="shared" si="94"/>
        <v/>
      </c>
      <c r="U1900" s="58" t="str">
        <f t="shared" si="95"/>
        <v/>
      </c>
      <c r="V1900" s="58">
        <f>IF(AND($B1900&lt;&gt;"",$F1900&lt;&gt;"",$F1900=项目明细账!$C$2),N(V1899)+1,N(V1899))</f>
        <v>0</v>
      </c>
      <c r="W1900" s="63" t="str">
        <f>IF($H1900&lt;&gt;"","项目成本",IFERROR(INDEX(基础资料!$W$4:$W$49,MATCH($I1900,基础资料!$V$4:$V$49,0)),""))</f>
        <v/>
      </c>
      <c r="X1900" s="63" t="str">
        <f>IFERROR(INDEX(基础资料!$R$4:$R$17,MATCH($G1900,基础资料!$Q$4:$Q$17,0)),"")</f>
        <v/>
      </c>
    </row>
    <row r="1901" spans="1:24">
      <c r="A1901" s="58" t="str">
        <f>IF($B1901="","",COUNTA($B$5:$B1901))</f>
        <v/>
      </c>
      <c r="B1901" s="53"/>
      <c r="C1901" s="46"/>
      <c r="D1901" s="63" t="str">
        <f>IFERROR(INDEX(基础资料!$F$4:$F$23,MATCH($C1901,基础资料!$E$4:$E$23,0)),IF($C1901="","","未匹配账户"))</f>
        <v/>
      </c>
      <c r="E1901" s="39"/>
      <c r="F1901" s="10"/>
      <c r="G1901" s="10"/>
      <c r="H1901" s="10"/>
      <c r="I1901" s="10"/>
      <c r="J1901" s="10"/>
      <c r="K1901" s="25"/>
      <c r="L1901" s="25"/>
      <c r="M1901" s="25" t="str">
        <f>IFERROR(VLOOKUP($C1901,$C$5:$M$24,11,0)+SUMIF($C$25:$C1901,$C1901,$K$25:$K1901)-SUMIF($C$25:$C1901,$C1901,$L$25:$L1901),"")</f>
        <v/>
      </c>
      <c r="N1901" s="10"/>
      <c r="O1901" s="10"/>
      <c r="P1901" s="65"/>
      <c r="Q1901" s="10"/>
      <c r="R1901" s="10"/>
      <c r="S1901" s="54" t="str">
        <f t="shared" si="93"/>
        <v/>
      </c>
      <c r="T1901" s="54" t="str">
        <f t="shared" si="94"/>
        <v/>
      </c>
      <c r="U1901" s="58" t="str">
        <f t="shared" si="95"/>
        <v/>
      </c>
      <c r="V1901" s="58">
        <f>IF(AND($B1901&lt;&gt;"",$F1901&lt;&gt;"",$F1901=项目明细账!$C$2),N(V1900)+1,N(V1900))</f>
        <v>0</v>
      </c>
      <c r="W1901" s="63" t="str">
        <f>IF($H1901&lt;&gt;"","项目成本",IFERROR(INDEX(基础资料!$W$4:$W$49,MATCH($I1901,基础资料!$V$4:$V$49,0)),""))</f>
        <v/>
      </c>
      <c r="X1901" s="63" t="str">
        <f>IFERROR(INDEX(基础资料!$R$4:$R$17,MATCH($G1901,基础资料!$Q$4:$Q$17,0)),"")</f>
        <v/>
      </c>
    </row>
    <row r="1902" spans="1:24">
      <c r="A1902" s="58" t="str">
        <f>IF($B1902="","",COUNTA($B$5:$B1902))</f>
        <v/>
      </c>
      <c r="B1902" s="53"/>
      <c r="C1902" s="46"/>
      <c r="D1902" s="63" t="str">
        <f>IFERROR(INDEX(基础资料!$F$4:$F$23,MATCH($C1902,基础资料!$E$4:$E$23,0)),IF($C1902="","","未匹配账户"))</f>
        <v/>
      </c>
      <c r="E1902" s="39"/>
      <c r="F1902" s="10"/>
      <c r="G1902" s="10"/>
      <c r="H1902" s="10"/>
      <c r="I1902" s="10"/>
      <c r="J1902" s="10"/>
      <c r="K1902" s="25"/>
      <c r="L1902" s="25"/>
      <c r="M1902" s="25" t="str">
        <f>IFERROR(VLOOKUP($C1902,$C$5:$M$24,11,0)+SUMIF($C$25:$C1902,$C1902,$K$25:$K1902)-SUMIF($C$25:$C1902,$C1902,$L$25:$L1902),"")</f>
        <v/>
      </c>
      <c r="N1902" s="10"/>
      <c r="O1902" s="10"/>
      <c r="P1902" s="65"/>
      <c r="Q1902" s="10"/>
      <c r="R1902" s="10"/>
      <c r="S1902" s="54" t="str">
        <f t="shared" si="93"/>
        <v/>
      </c>
      <c r="T1902" s="54" t="str">
        <f t="shared" si="94"/>
        <v/>
      </c>
      <c r="U1902" s="58" t="str">
        <f t="shared" si="95"/>
        <v/>
      </c>
      <c r="V1902" s="58">
        <f>IF(AND($B1902&lt;&gt;"",$F1902&lt;&gt;"",$F1902=项目明细账!$C$2),N(V1901)+1,N(V1901))</f>
        <v>0</v>
      </c>
      <c r="W1902" s="63" t="str">
        <f>IF($H1902&lt;&gt;"","项目成本",IFERROR(INDEX(基础资料!$W$4:$W$49,MATCH($I1902,基础资料!$V$4:$V$49,0)),""))</f>
        <v/>
      </c>
      <c r="X1902" s="63" t="str">
        <f>IFERROR(INDEX(基础资料!$R$4:$R$17,MATCH($G1902,基础资料!$Q$4:$Q$17,0)),"")</f>
        <v/>
      </c>
    </row>
    <row r="1903" spans="1:24">
      <c r="A1903" s="58" t="str">
        <f>IF($B1903="","",COUNTA($B$5:$B1903))</f>
        <v/>
      </c>
      <c r="B1903" s="53"/>
      <c r="C1903" s="46"/>
      <c r="D1903" s="63" t="str">
        <f>IFERROR(INDEX(基础资料!$F$4:$F$23,MATCH($C1903,基础资料!$E$4:$E$23,0)),IF($C1903="","","未匹配账户"))</f>
        <v/>
      </c>
      <c r="E1903" s="39"/>
      <c r="F1903" s="10"/>
      <c r="G1903" s="10"/>
      <c r="H1903" s="10"/>
      <c r="I1903" s="10"/>
      <c r="J1903" s="10"/>
      <c r="K1903" s="25"/>
      <c r="L1903" s="25"/>
      <c r="M1903" s="25" t="str">
        <f>IFERROR(VLOOKUP($C1903,$C$5:$M$24,11,0)+SUMIF($C$25:$C1903,$C1903,$K$25:$K1903)-SUMIF($C$25:$C1903,$C1903,$L$25:$L1903),"")</f>
        <v/>
      </c>
      <c r="N1903" s="10"/>
      <c r="O1903" s="10"/>
      <c r="P1903" s="65"/>
      <c r="Q1903" s="10"/>
      <c r="R1903" s="10"/>
      <c r="S1903" s="54" t="str">
        <f t="shared" si="93"/>
        <v/>
      </c>
      <c r="T1903" s="54" t="str">
        <f t="shared" si="94"/>
        <v/>
      </c>
      <c r="U1903" s="58" t="str">
        <f t="shared" si="95"/>
        <v/>
      </c>
      <c r="V1903" s="58">
        <f>IF(AND($B1903&lt;&gt;"",$F1903&lt;&gt;"",$F1903=项目明细账!$C$2),N(V1902)+1,N(V1902))</f>
        <v>0</v>
      </c>
      <c r="W1903" s="63" t="str">
        <f>IF($H1903&lt;&gt;"","项目成本",IFERROR(INDEX(基础资料!$W$4:$W$49,MATCH($I1903,基础资料!$V$4:$V$49,0)),""))</f>
        <v/>
      </c>
      <c r="X1903" s="63" t="str">
        <f>IFERROR(INDEX(基础资料!$R$4:$R$17,MATCH($G1903,基础资料!$Q$4:$Q$17,0)),"")</f>
        <v/>
      </c>
    </row>
    <row r="1904" spans="1:24">
      <c r="A1904" s="58" t="str">
        <f>IF($B1904="","",COUNTA($B$5:$B1904))</f>
        <v/>
      </c>
      <c r="B1904" s="53"/>
      <c r="C1904" s="46"/>
      <c r="D1904" s="63" t="str">
        <f>IFERROR(INDEX(基础资料!$F$4:$F$23,MATCH($C1904,基础资料!$E$4:$E$23,0)),IF($C1904="","","未匹配账户"))</f>
        <v/>
      </c>
      <c r="E1904" s="39"/>
      <c r="F1904" s="10"/>
      <c r="G1904" s="10"/>
      <c r="H1904" s="10"/>
      <c r="I1904" s="10"/>
      <c r="J1904" s="10"/>
      <c r="K1904" s="25"/>
      <c r="L1904" s="25"/>
      <c r="M1904" s="25" t="str">
        <f>IFERROR(VLOOKUP($C1904,$C$5:$M$24,11,0)+SUMIF($C$25:$C1904,$C1904,$K$25:$K1904)-SUMIF($C$25:$C1904,$C1904,$L$25:$L1904),"")</f>
        <v/>
      </c>
      <c r="N1904" s="10"/>
      <c r="O1904" s="10"/>
      <c r="P1904" s="65"/>
      <c r="Q1904" s="10"/>
      <c r="R1904" s="10"/>
      <c r="S1904" s="54" t="str">
        <f t="shared" si="93"/>
        <v/>
      </c>
      <c r="T1904" s="54" t="str">
        <f t="shared" si="94"/>
        <v/>
      </c>
      <c r="U1904" s="58" t="str">
        <f t="shared" si="95"/>
        <v/>
      </c>
      <c r="V1904" s="58">
        <f>IF(AND($B1904&lt;&gt;"",$F1904&lt;&gt;"",$F1904=项目明细账!$C$2),N(V1903)+1,N(V1903))</f>
        <v>0</v>
      </c>
      <c r="W1904" s="63" t="str">
        <f>IF($H1904&lt;&gt;"","项目成本",IFERROR(INDEX(基础资料!$W$4:$W$49,MATCH($I1904,基础资料!$V$4:$V$49,0)),""))</f>
        <v/>
      </c>
      <c r="X1904" s="63" t="str">
        <f>IFERROR(INDEX(基础资料!$R$4:$R$17,MATCH($G1904,基础资料!$Q$4:$Q$17,0)),"")</f>
        <v/>
      </c>
    </row>
    <row r="1905" spans="1:24">
      <c r="A1905" s="58" t="str">
        <f>IF($B1905="","",COUNTA($B$5:$B1905))</f>
        <v/>
      </c>
      <c r="B1905" s="53"/>
      <c r="C1905" s="46"/>
      <c r="D1905" s="63" t="str">
        <f>IFERROR(INDEX(基础资料!$F$4:$F$23,MATCH($C1905,基础资料!$E$4:$E$23,0)),IF($C1905="","","未匹配账户"))</f>
        <v/>
      </c>
      <c r="E1905" s="39"/>
      <c r="F1905" s="10"/>
      <c r="G1905" s="10"/>
      <c r="H1905" s="10"/>
      <c r="I1905" s="10"/>
      <c r="J1905" s="10"/>
      <c r="K1905" s="25"/>
      <c r="L1905" s="25"/>
      <c r="M1905" s="25" t="str">
        <f>IFERROR(VLOOKUP($C1905,$C$5:$M$24,11,0)+SUMIF($C$25:$C1905,$C1905,$K$25:$K1905)-SUMIF($C$25:$C1905,$C1905,$L$25:$L1905),"")</f>
        <v/>
      </c>
      <c r="N1905" s="10"/>
      <c r="O1905" s="10"/>
      <c r="P1905" s="65"/>
      <c r="Q1905" s="10"/>
      <c r="R1905" s="10"/>
      <c r="S1905" s="54" t="str">
        <f t="shared" si="93"/>
        <v/>
      </c>
      <c r="T1905" s="54" t="str">
        <f t="shared" si="94"/>
        <v/>
      </c>
      <c r="U1905" s="58" t="str">
        <f t="shared" si="95"/>
        <v/>
      </c>
      <c r="V1905" s="58">
        <f>IF(AND($B1905&lt;&gt;"",$F1905&lt;&gt;"",$F1905=项目明细账!$C$2),N(V1904)+1,N(V1904))</f>
        <v>0</v>
      </c>
      <c r="W1905" s="63" t="str">
        <f>IF($H1905&lt;&gt;"","项目成本",IFERROR(INDEX(基础资料!$W$4:$W$49,MATCH($I1905,基础资料!$V$4:$V$49,0)),""))</f>
        <v/>
      </c>
      <c r="X1905" s="63" t="str">
        <f>IFERROR(INDEX(基础资料!$R$4:$R$17,MATCH($G1905,基础资料!$Q$4:$Q$17,0)),"")</f>
        <v/>
      </c>
    </row>
    <row r="1906" spans="1:24">
      <c r="A1906" s="58" t="str">
        <f>IF($B1906="","",COUNTA($B$5:$B1906))</f>
        <v/>
      </c>
      <c r="B1906" s="53"/>
      <c r="C1906" s="46"/>
      <c r="D1906" s="63" t="str">
        <f>IFERROR(INDEX(基础资料!$F$4:$F$23,MATCH($C1906,基础资料!$E$4:$E$23,0)),IF($C1906="","","未匹配账户"))</f>
        <v/>
      </c>
      <c r="E1906" s="39"/>
      <c r="F1906" s="10"/>
      <c r="G1906" s="10"/>
      <c r="H1906" s="10"/>
      <c r="I1906" s="10"/>
      <c r="J1906" s="10"/>
      <c r="K1906" s="25"/>
      <c r="L1906" s="25"/>
      <c r="M1906" s="25" t="str">
        <f>IFERROR(VLOOKUP($C1906,$C$5:$M$24,11,0)+SUMIF($C$25:$C1906,$C1906,$K$25:$K1906)-SUMIF($C$25:$C1906,$C1906,$L$25:$L1906),"")</f>
        <v/>
      </c>
      <c r="N1906" s="10"/>
      <c r="O1906" s="10"/>
      <c r="P1906" s="65"/>
      <c r="Q1906" s="10"/>
      <c r="R1906" s="10"/>
      <c r="S1906" s="54" t="str">
        <f t="shared" si="93"/>
        <v/>
      </c>
      <c r="T1906" s="54" t="str">
        <f t="shared" si="94"/>
        <v/>
      </c>
      <c r="U1906" s="58" t="str">
        <f t="shared" si="95"/>
        <v/>
      </c>
      <c r="V1906" s="58">
        <f>IF(AND($B1906&lt;&gt;"",$F1906&lt;&gt;"",$F1906=项目明细账!$C$2),N(V1905)+1,N(V1905))</f>
        <v>0</v>
      </c>
      <c r="W1906" s="63" t="str">
        <f>IF($H1906&lt;&gt;"","项目成本",IFERROR(INDEX(基础资料!$W$4:$W$49,MATCH($I1906,基础资料!$V$4:$V$49,0)),""))</f>
        <v/>
      </c>
      <c r="X1906" s="63" t="str">
        <f>IFERROR(INDEX(基础资料!$R$4:$R$17,MATCH($G1906,基础资料!$Q$4:$Q$17,0)),"")</f>
        <v/>
      </c>
    </row>
    <row r="1907" spans="1:24">
      <c r="A1907" s="58" t="str">
        <f>IF($B1907="","",COUNTA($B$5:$B1907))</f>
        <v/>
      </c>
      <c r="B1907" s="53"/>
      <c r="C1907" s="46"/>
      <c r="D1907" s="63" t="str">
        <f>IFERROR(INDEX(基础资料!$F$4:$F$23,MATCH($C1907,基础资料!$E$4:$E$23,0)),IF($C1907="","","未匹配账户"))</f>
        <v/>
      </c>
      <c r="E1907" s="39"/>
      <c r="F1907" s="10"/>
      <c r="G1907" s="10"/>
      <c r="H1907" s="10"/>
      <c r="I1907" s="10"/>
      <c r="J1907" s="10"/>
      <c r="K1907" s="25"/>
      <c r="L1907" s="25"/>
      <c r="M1907" s="25" t="str">
        <f>IFERROR(VLOOKUP($C1907,$C$5:$M$24,11,0)+SUMIF($C$25:$C1907,$C1907,$K$25:$K1907)-SUMIF($C$25:$C1907,$C1907,$L$25:$L1907),"")</f>
        <v/>
      </c>
      <c r="N1907" s="10"/>
      <c r="O1907" s="10"/>
      <c r="P1907" s="65"/>
      <c r="Q1907" s="10"/>
      <c r="R1907" s="10"/>
      <c r="S1907" s="54" t="str">
        <f t="shared" si="93"/>
        <v/>
      </c>
      <c r="T1907" s="54" t="str">
        <f t="shared" si="94"/>
        <v/>
      </c>
      <c r="U1907" s="58" t="str">
        <f t="shared" si="95"/>
        <v/>
      </c>
      <c r="V1907" s="58">
        <f>IF(AND($B1907&lt;&gt;"",$F1907&lt;&gt;"",$F1907=项目明细账!$C$2),N(V1906)+1,N(V1906))</f>
        <v>0</v>
      </c>
      <c r="W1907" s="63" t="str">
        <f>IF($H1907&lt;&gt;"","项目成本",IFERROR(INDEX(基础资料!$W$4:$W$49,MATCH($I1907,基础资料!$V$4:$V$49,0)),""))</f>
        <v/>
      </c>
      <c r="X1907" s="63" t="str">
        <f>IFERROR(INDEX(基础资料!$R$4:$R$17,MATCH($G1907,基础资料!$Q$4:$Q$17,0)),"")</f>
        <v/>
      </c>
    </row>
    <row r="1908" spans="1:24">
      <c r="A1908" s="58" t="str">
        <f>IF($B1908="","",COUNTA($B$5:$B1908))</f>
        <v/>
      </c>
      <c r="B1908" s="53"/>
      <c r="C1908" s="46"/>
      <c r="D1908" s="63" t="str">
        <f>IFERROR(INDEX(基础资料!$F$4:$F$23,MATCH($C1908,基础资料!$E$4:$E$23,0)),IF($C1908="","","未匹配账户"))</f>
        <v/>
      </c>
      <c r="E1908" s="39"/>
      <c r="F1908" s="10"/>
      <c r="G1908" s="10"/>
      <c r="H1908" s="10"/>
      <c r="I1908" s="10"/>
      <c r="J1908" s="10"/>
      <c r="K1908" s="25"/>
      <c r="L1908" s="25"/>
      <c r="M1908" s="25" t="str">
        <f>IFERROR(VLOOKUP($C1908,$C$5:$M$24,11,0)+SUMIF($C$25:$C1908,$C1908,$K$25:$K1908)-SUMIF($C$25:$C1908,$C1908,$L$25:$L1908),"")</f>
        <v/>
      </c>
      <c r="N1908" s="10"/>
      <c r="O1908" s="10"/>
      <c r="P1908" s="65"/>
      <c r="Q1908" s="10"/>
      <c r="R1908" s="10"/>
      <c r="S1908" s="54" t="str">
        <f t="shared" si="93"/>
        <v/>
      </c>
      <c r="T1908" s="54" t="str">
        <f t="shared" si="94"/>
        <v/>
      </c>
      <c r="U1908" s="58" t="str">
        <f t="shared" si="95"/>
        <v/>
      </c>
      <c r="V1908" s="58">
        <f>IF(AND($B1908&lt;&gt;"",$F1908&lt;&gt;"",$F1908=项目明细账!$C$2),N(V1907)+1,N(V1907))</f>
        <v>0</v>
      </c>
      <c r="W1908" s="63" t="str">
        <f>IF($H1908&lt;&gt;"","项目成本",IFERROR(INDEX(基础资料!$W$4:$W$49,MATCH($I1908,基础资料!$V$4:$V$49,0)),""))</f>
        <v/>
      </c>
      <c r="X1908" s="63" t="str">
        <f>IFERROR(INDEX(基础资料!$R$4:$R$17,MATCH($G1908,基础资料!$Q$4:$Q$17,0)),"")</f>
        <v/>
      </c>
    </row>
    <row r="1909" spans="1:24">
      <c r="A1909" s="58" t="str">
        <f>IF($B1909="","",COUNTA($B$5:$B1909))</f>
        <v/>
      </c>
      <c r="B1909" s="53"/>
      <c r="C1909" s="46"/>
      <c r="D1909" s="63" t="str">
        <f>IFERROR(INDEX(基础资料!$F$4:$F$23,MATCH($C1909,基础资料!$E$4:$E$23,0)),IF($C1909="","","未匹配账户"))</f>
        <v/>
      </c>
      <c r="E1909" s="39"/>
      <c r="F1909" s="10"/>
      <c r="G1909" s="10"/>
      <c r="H1909" s="10"/>
      <c r="I1909" s="10"/>
      <c r="J1909" s="10"/>
      <c r="K1909" s="25"/>
      <c r="L1909" s="25"/>
      <c r="M1909" s="25" t="str">
        <f>IFERROR(VLOOKUP($C1909,$C$5:$M$24,11,0)+SUMIF($C$25:$C1909,$C1909,$K$25:$K1909)-SUMIF($C$25:$C1909,$C1909,$L$25:$L1909),"")</f>
        <v/>
      </c>
      <c r="N1909" s="10"/>
      <c r="O1909" s="10"/>
      <c r="P1909" s="65"/>
      <c r="Q1909" s="10"/>
      <c r="R1909" s="10"/>
      <c r="S1909" s="54" t="str">
        <f t="shared" si="93"/>
        <v/>
      </c>
      <c r="T1909" s="54" t="str">
        <f t="shared" si="94"/>
        <v/>
      </c>
      <c r="U1909" s="58" t="str">
        <f t="shared" si="95"/>
        <v/>
      </c>
      <c r="V1909" s="58">
        <f>IF(AND($B1909&lt;&gt;"",$F1909&lt;&gt;"",$F1909=项目明细账!$C$2),N(V1908)+1,N(V1908))</f>
        <v>0</v>
      </c>
      <c r="W1909" s="63" t="str">
        <f>IF($H1909&lt;&gt;"","项目成本",IFERROR(INDEX(基础资料!$W$4:$W$49,MATCH($I1909,基础资料!$V$4:$V$49,0)),""))</f>
        <v/>
      </c>
      <c r="X1909" s="63" t="str">
        <f>IFERROR(INDEX(基础资料!$R$4:$R$17,MATCH($G1909,基础资料!$Q$4:$Q$17,0)),"")</f>
        <v/>
      </c>
    </row>
    <row r="1910" spans="1:24">
      <c r="A1910" s="58" t="str">
        <f>IF($B1910="","",COUNTA($B$5:$B1910))</f>
        <v/>
      </c>
      <c r="B1910" s="53"/>
      <c r="C1910" s="46"/>
      <c r="D1910" s="63" t="str">
        <f>IFERROR(INDEX(基础资料!$F$4:$F$23,MATCH($C1910,基础资料!$E$4:$E$23,0)),IF($C1910="","","未匹配账户"))</f>
        <v/>
      </c>
      <c r="E1910" s="39"/>
      <c r="F1910" s="10"/>
      <c r="G1910" s="10"/>
      <c r="H1910" s="10"/>
      <c r="I1910" s="10"/>
      <c r="J1910" s="10"/>
      <c r="K1910" s="25"/>
      <c r="L1910" s="25"/>
      <c r="M1910" s="25" t="str">
        <f>IFERROR(VLOOKUP($C1910,$C$5:$M$24,11,0)+SUMIF($C$25:$C1910,$C1910,$K$25:$K1910)-SUMIF($C$25:$C1910,$C1910,$L$25:$L1910),"")</f>
        <v/>
      </c>
      <c r="N1910" s="10"/>
      <c r="O1910" s="10"/>
      <c r="P1910" s="65"/>
      <c r="Q1910" s="10"/>
      <c r="R1910" s="10"/>
      <c r="S1910" s="54" t="str">
        <f t="shared" si="93"/>
        <v/>
      </c>
      <c r="T1910" s="54" t="str">
        <f t="shared" si="94"/>
        <v/>
      </c>
      <c r="U1910" s="58" t="str">
        <f t="shared" si="95"/>
        <v/>
      </c>
      <c r="V1910" s="58">
        <f>IF(AND($B1910&lt;&gt;"",$F1910&lt;&gt;"",$F1910=项目明细账!$C$2),N(V1909)+1,N(V1909))</f>
        <v>0</v>
      </c>
      <c r="W1910" s="63" t="str">
        <f>IF($H1910&lt;&gt;"","项目成本",IFERROR(INDEX(基础资料!$W$4:$W$49,MATCH($I1910,基础资料!$V$4:$V$49,0)),""))</f>
        <v/>
      </c>
      <c r="X1910" s="63" t="str">
        <f>IFERROR(INDEX(基础资料!$R$4:$R$17,MATCH($G1910,基础资料!$Q$4:$Q$17,0)),"")</f>
        <v/>
      </c>
    </row>
    <row r="1911" spans="1:24">
      <c r="A1911" s="58" t="str">
        <f>IF($B1911="","",COUNTA($B$5:$B1911))</f>
        <v/>
      </c>
      <c r="B1911" s="53"/>
      <c r="C1911" s="46"/>
      <c r="D1911" s="63" t="str">
        <f>IFERROR(INDEX(基础资料!$F$4:$F$23,MATCH($C1911,基础资料!$E$4:$E$23,0)),IF($C1911="","","未匹配账户"))</f>
        <v/>
      </c>
      <c r="E1911" s="39"/>
      <c r="F1911" s="10"/>
      <c r="G1911" s="10"/>
      <c r="H1911" s="10"/>
      <c r="I1911" s="10"/>
      <c r="J1911" s="10"/>
      <c r="K1911" s="25"/>
      <c r="L1911" s="25"/>
      <c r="M1911" s="25" t="str">
        <f>IFERROR(VLOOKUP($C1911,$C$5:$M$24,11,0)+SUMIF($C$25:$C1911,$C1911,$K$25:$K1911)-SUMIF($C$25:$C1911,$C1911,$L$25:$L1911),"")</f>
        <v/>
      </c>
      <c r="N1911" s="10"/>
      <c r="O1911" s="10"/>
      <c r="P1911" s="65"/>
      <c r="Q1911" s="10"/>
      <c r="R1911" s="10"/>
      <c r="S1911" s="54" t="str">
        <f t="shared" si="93"/>
        <v/>
      </c>
      <c r="T1911" s="54" t="str">
        <f t="shared" si="94"/>
        <v/>
      </c>
      <c r="U1911" s="58" t="str">
        <f t="shared" si="95"/>
        <v/>
      </c>
      <c r="V1911" s="58">
        <f>IF(AND($B1911&lt;&gt;"",$F1911&lt;&gt;"",$F1911=项目明细账!$C$2),N(V1910)+1,N(V1910))</f>
        <v>0</v>
      </c>
      <c r="W1911" s="63" t="str">
        <f>IF($H1911&lt;&gt;"","项目成本",IFERROR(INDEX(基础资料!$W$4:$W$49,MATCH($I1911,基础资料!$V$4:$V$49,0)),""))</f>
        <v/>
      </c>
      <c r="X1911" s="63" t="str">
        <f>IFERROR(INDEX(基础资料!$R$4:$R$17,MATCH($G1911,基础资料!$Q$4:$Q$17,0)),"")</f>
        <v/>
      </c>
    </row>
    <row r="1912" spans="1:24">
      <c r="A1912" s="58" t="str">
        <f>IF($B1912="","",COUNTA($B$5:$B1912))</f>
        <v/>
      </c>
      <c r="B1912" s="53"/>
      <c r="C1912" s="46"/>
      <c r="D1912" s="63" t="str">
        <f>IFERROR(INDEX(基础资料!$F$4:$F$23,MATCH($C1912,基础资料!$E$4:$E$23,0)),IF($C1912="","","未匹配账户"))</f>
        <v/>
      </c>
      <c r="E1912" s="39"/>
      <c r="F1912" s="10"/>
      <c r="G1912" s="10"/>
      <c r="H1912" s="10"/>
      <c r="I1912" s="10"/>
      <c r="J1912" s="10"/>
      <c r="K1912" s="25"/>
      <c r="L1912" s="25"/>
      <c r="M1912" s="25" t="str">
        <f>IFERROR(VLOOKUP($C1912,$C$5:$M$24,11,0)+SUMIF($C$25:$C1912,$C1912,$K$25:$K1912)-SUMIF($C$25:$C1912,$C1912,$L$25:$L1912),"")</f>
        <v/>
      </c>
      <c r="N1912" s="10"/>
      <c r="O1912" s="10"/>
      <c r="P1912" s="65"/>
      <c r="Q1912" s="10"/>
      <c r="R1912" s="10"/>
      <c r="S1912" s="54" t="str">
        <f t="shared" si="93"/>
        <v/>
      </c>
      <c r="T1912" s="54" t="str">
        <f t="shared" si="94"/>
        <v/>
      </c>
      <c r="U1912" s="58" t="str">
        <f t="shared" si="95"/>
        <v/>
      </c>
      <c r="V1912" s="58">
        <f>IF(AND($B1912&lt;&gt;"",$F1912&lt;&gt;"",$F1912=项目明细账!$C$2),N(V1911)+1,N(V1911))</f>
        <v>0</v>
      </c>
      <c r="W1912" s="63" t="str">
        <f>IF($H1912&lt;&gt;"","项目成本",IFERROR(INDEX(基础资料!$W$4:$W$49,MATCH($I1912,基础资料!$V$4:$V$49,0)),""))</f>
        <v/>
      </c>
      <c r="X1912" s="63" t="str">
        <f>IFERROR(INDEX(基础资料!$R$4:$R$17,MATCH($G1912,基础资料!$Q$4:$Q$17,0)),"")</f>
        <v/>
      </c>
    </row>
    <row r="1913" spans="1:24">
      <c r="A1913" s="58" t="str">
        <f>IF($B1913="","",COUNTA($B$5:$B1913))</f>
        <v/>
      </c>
      <c r="B1913" s="53"/>
      <c r="C1913" s="46"/>
      <c r="D1913" s="63" t="str">
        <f>IFERROR(INDEX(基础资料!$F$4:$F$23,MATCH($C1913,基础资料!$E$4:$E$23,0)),IF($C1913="","","未匹配账户"))</f>
        <v/>
      </c>
      <c r="E1913" s="39"/>
      <c r="F1913" s="10"/>
      <c r="G1913" s="10"/>
      <c r="H1913" s="10"/>
      <c r="I1913" s="10"/>
      <c r="J1913" s="10"/>
      <c r="K1913" s="25"/>
      <c r="L1913" s="25"/>
      <c r="M1913" s="25" t="str">
        <f>IFERROR(VLOOKUP($C1913,$C$5:$M$24,11,0)+SUMIF($C$25:$C1913,$C1913,$K$25:$K1913)-SUMIF($C$25:$C1913,$C1913,$L$25:$L1913),"")</f>
        <v/>
      </c>
      <c r="N1913" s="10"/>
      <c r="O1913" s="10"/>
      <c r="P1913" s="65"/>
      <c r="Q1913" s="10"/>
      <c r="R1913" s="10"/>
      <c r="S1913" s="54" t="str">
        <f t="shared" si="93"/>
        <v/>
      </c>
      <c r="T1913" s="54" t="str">
        <f t="shared" si="94"/>
        <v/>
      </c>
      <c r="U1913" s="58" t="str">
        <f t="shared" si="95"/>
        <v/>
      </c>
      <c r="V1913" s="58">
        <f>IF(AND($B1913&lt;&gt;"",$F1913&lt;&gt;"",$F1913=项目明细账!$C$2),N(V1912)+1,N(V1912))</f>
        <v>0</v>
      </c>
      <c r="W1913" s="63" t="str">
        <f>IF($H1913&lt;&gt;"","项目成本",IFERROR(INDEX(基础资料!$W$4:$W$49,MATCH($I1913,基础资料!$V$4:$V$49,0)),""))</f>
        <v/>
      </c>
      <c r="X1913" s="63" t="str">
        <f>IFERROR(INDEX(基础资料!$R$4:$R$17,MATCH($G1913,基础资料!$Q$4:$Q$17,0)),"")</f>
        <v/>
      </c>
    </row>
    <row r="1914" spans="1:24">
      <c r="A1914" s="58" t="str">
        <f>IF($B1914="","",COUNTA($B$5:$B1914))</f>
        <v/>
      </c>
      <c r="B1914" s="53"/>
      <c r="C1914" s="46"/>
      <c r="D1914" s="63" t="str">
        <f>IFERROR(INDEX(基础资料!$F$4:$F$23,MATCH($C1914,基础资料!$E$4:$E$23,0)),IF($C1914="","","未匹配账户"))</f>
        <v/>
      </c>
      <c r="E1914" s="39"/>
      <c r="F1914" s="10"/>
      <c r="G1914" s="10"/>
      <c r="H1914" s="10"/>
      <c r="I1914" s="10"/>
      <c r="J1914" s="10"/>
      <c r="K1914" s="25"/>
      <c r="L1914" s="25"/>
      <c r="M1914" s="25" t="str">
        <f>IFERROR(VLOOKUP($C1914,$C$5:$M$24,11,0)+SUMIF($C$25:$C1914,$C1914,$K$25:$K1914)-SUMIF($C$25:$C1914,$C1914,$L$25:$L1914),"")</f>
        <v/>
      </c>
      <c r="N1914" s="10"/>
      <c r="O1914" s="10"/>
      <c r="P1914" s="65"/>
      <c r="Q1914" s="10"/>
      <c r="R1914" s="10"/>
      <c r="S1914" s="54" t="str">
        <f t="shared" si="93"/>
        <v/>
      </c>
      <c r="T1914" s="54" t="str">
        <f t="shared" si="94"/>
        <v/>
      </c>
      <c r="U1914" s="58" t="str">
        <f t="shared" si="95"/>
        <v/>
      </c>
      <c r="V1914" s="58">
        <f>IF(AND($B1914&lt;&gt;"",$F1914&lt;&gt;"",$F1914=项目明细账!$C$2),N(V1913)+1,N(V1913))</f>
        <v>0</v>
      </c>
      <c r="W1914" s="63" t="str">
        <f>IF($H1914&lt;&gt;"","项目成本",IFERROR(INDEX(基础资料!$W$4:$W$49,MATCH($I1914,基础资料!$V$4:$V$49,0)),""))</f>
        <v/>
      </c>
      <c r="X1914" s="63" t="str">
        <f>IFERROR(INDEX(基础资料!$R$4:$R$17,MATCH($G1914,基础资料!$Q$4:$Q$17,0)),"")</f>
        <v/>
      </c>
    </row>
    <row r="1915" spans="1:24">
      <c r="A1915" s="58" t="str">
        <f>IF($B1915="","",COUNTA($B$5:$B1915))</f>
        <v/>
      </c>
      <c r="B1915" s="53"/>
      <c r="C1915" s="46"/>
      <c r="D1915" s="63" t="str">
        <f>IFERROR(INDEX(基础资料!$F$4:$F$23,MATCH($C1915,基础资料!$E$4:$E$23,0)),IF($C1915="","","未匹配账户"))</f>
        <v/>
      </c>
      <c r="E1915" s="39"/>
      <c r="F1915" s="10"/>
      <c r="G1915" s="10"/>
      <c r="H1915" s="10"/>
      <c r="I1915" s="10"/>
      <c r="J1915" s="10"/>
      <c r="K1915" s="25"/>
      <c r="L1915" s="25"/>
      <c r="M1915" s="25" t="str">
        <f>IFERROR(VLOOKUP($C1915,$C$5:$M$24,11,0)+SUMIF($C$25:$C1915,$C1915,$K$25:$K1915)-SUMIF($C$25:$C1915,$C1915,$L$25:$L1915),"")</f>
        <v/>
      </c>
      <c r="N1915" s="10"/>
      <c r="O1915" s="10"/>
      <c r="P1915" s="65"/>
      <c r="Q1915" s="10"/>
      <c r="R1915" s="10"/>
      <c r="S1915" s="54" t="str">
        <f t="shared" si="93"/>
        <v/>
      </c>
      <c r="T1915" s="54" t="str">
        <f t="shared" si="94"/>
        <v/>
      </c>
      <c r="U1915" s="58" t="str">
        <f t="shared" si="95"/>
        <v/>
      </c>
      <c r="V1915" s="58">
        <f>IF(AND($B1915&lt;&gt;"",$F1915&lt;&gt;"",$F1915=项目明细账!$C$2),N(V1914)+1,N(V1914))</f>
        <v>0</v>
      </c>
      <c r="W1915" s="63" t="str">
        <f>IF($H1915&lt;&gt;"","项目成本",IFERROR(INDEX(基础资料!$W$4:$W$49,MATCH($I1915,基础资料!$V$4:$V$49,0)),""))</f>
        <v/>
      </c>
      <c r="X1915" s="63" t="str">
        <f>IFERROR(INDEX(基础资料!$R$4:$R$17,MATCH($G1915,基础资料!$Q$4:$Q$17,0)),"")</f>
        <v/>
      </c>
    </row>
    <row r="1916" spans="1:24">
      <c r="A1916" s="58" t="str">
        <f>IF($B1916="","",COUNTA($B$5:$B1916))</f>
        <v/>
      </c>
      <c r="B1916" s="53"/>
      <c r="C1916" s="46"/>
      <c r="D1916" s="63" t="str">
        <f>IFERROR(INDEX(基础资料!$F$4:$F$23,MATCH($C1916,基础资料!$E$4:$E$23,0)),IF($C1916="","","未匹配账户"))</f>
        <v/>
      </c>
      <c r="E1916" s="39"/>
      <c r="F1916" s="10"/>
      <c r="G1916" s="10"/>
      <c r="H1916" s="10"/>
      <c r="I1916" s="10"/>
      <c r="J1916" s="10"/>
      <c r="K1916" s="25"/>
      <c r="L1916" s="25"/>
      <c r="M1916" s="25" t="str">
        <f>IFERROR(VLOOKUP($C1916,$C$5:$M$24,11,0)+SUMIF($C$25:$C1916,$C1916,$K$25:$K1916)-SUMIF($C$25:$C1916,$C1916,$L$25:$L1916),"")</f>
        <v/>
      </c>
      <c r="N1916" s="10"/>
      <c r="O1916" s="10"/>
      <c r="P1916" s="65"/>
      <c r="Q1916" s="10"/>
      <c r="R1916" s="10"/>
      <c r="S1916" s="54" t="str">
        <f t="shared" si="93"/>
        <v/>
      </c>
      <c r="T1916" s="54" t="str">
        <f t="shared" si="94"/>
        <v/>
      </c>
      <c r="U1916" s="58" t="str">
        <f t="shared" si="95"/>
        <v/>
      </c>
      <c r="V1916" s="58">
        <f>IF(AND($B1916&lt;&gt;"",$F1916&lt;&gt;"",$F1916=项目明细账!$C$2),N(V1915)+1,N(V1915))</f>
        <v>0</v>
      </c>
      <c r="W1916" s="63" t="str">
        <f>IF($H1916&lt;&gt;"","项目成本",IFERROR(INDEX(基础资料!$W$4:$W$49,MATCH($I1916,基础资料!$V$4:$V$49,0)),""))</f>
        <v/>
      </c>
      <c r="X1916" s="63" t="str">
        <f>IFERROR(INDEX(基础资料!$R$4:$R$17,MATCH($G1916,基础资料!$Q$4:$Q$17,0)),"")</f>
        <v/>
      </c>
    </row>
    <row r="1917" spans="1:24">
      <c r="A1917" s="58" t="str">
        <f>IF($B1917="","",COUNTA($B$5:$B1917))</f>
        <v/>
      </c>
      <c r="B1917" s="53"/>
      <c r="C1917" s="46"/>
      <c r="D1917" s="63" t="str">
        <f>IFERROR(INDEX(基础资料!$F$4:$F$23,MATCH($C1917,基础资料!$E$4:$E$23,0)),IF($C1917="","","未匹配账户"))</f>
        <v/>
      </c>
      <c r="E1917" s="39"/>
      <c r="F1917" s="10"/>
      <c r="G1917" s="10"/>
      <c r="H1917" s="10"/>
      <c r="I1917" s="10"/>
      <c r="J1917" s="10"/>
      <c r="K1917" s="25"/>
      <c r="L1917" s="25"/>
      <c r="M1917" s="25" t="str">
        <f>IFERROR(VLOOKUP($C1917,$C$5:$M$24,11,0)+SUMIF($C$25:$C1917,$C1917,$K$25:$K1917)-SUMIF($C$25:$C1917,$C1917,$L$25:$L1917),"")</f>
        <v/>
      </c>
      <c r="N1917" s="10"/>
      <c r="O1917" s="10"/>
      <c r="P1917" s="65"/>
      <c r="Q1917" s="10"/>
      <c r="R1917" s="10"/>
      <c r="S1917" s="54" t="str">
        <f t="shared" si="93"/>
        <v/>
      </c>
      <c r="T1917" s="54" t="str">
        <f t="shared" si="94"/>
        <v/>
      </c>
      <c r="U1917" s="58" t="str">
        <f t="shared" si="95"/>
        <v/>
      </c>
      <c r="V1917" s="58">
        <f>IF(AND($B1917&lt;&gt;"",$F1917&lt;&gt;"",$F1917=项目明细账!$C$2),N(V1916)+1,N(V1916))</f>
        <v>0</v>
      </c>
      <c r="W1917" s="63" t="str">
        <f>IF($H1917&lt;&gt;"","项目成本",IFERROR(INDEX(基础资料!$W$4:$W$49,MATCH($I1917,基础资料!$V$4:$V$49,0)),""))</f>
        <v/>
      </c>
      <c r="X1917" s="63" t="str">
        <f>IFERROR(INDEX(基础资料!$R$4:$R$17,MATCH($G1917,基础资料!$Q$4:$Q$17,0)),"")</f>
        <v/>
      </c>
    </row>
    <row r="1918" spans="1:24">
      <c r="A1918" s="58" t="str">
        <f>IF($B1918="","",COUNTA($B$5:$B1918))</f>
        <v/>
      </c>
      <c r="B1918" s="53"/>
      <c r="C1918" s="46"/>
      <c r="D1918" s="63" t="str">
        <f>IFERROR(INDEX(基础资料!$F$4:$F$23,MATCH($C1918,基础资料!$E$4:$E$23,0)),IF($C1918="","","未匹配账户"))</f>
        <v/>
      </c>
      <c r="E1918" s="39"/>
      <c r="F1918" s="10"/>
      <c r="G1918" s="10"/>
      <c r="H1918" s="10"/>
      <c r="I1918" s="10"/>
      <c r="J1918" s="10"/>
      <c r="K1918" s="25"/>
      <c r="L1918" s="25"/>
      <c r="M1918" s="25" t="str">
        <f>IFERROR(VLOOKUP($C1918,$C$5:$M$24,11,0)+SUMIF($C$25:$C1918,$C1918,$K$25:$K1918)-SUMIF($C$25:$C1918,$C1918,$L$25:$L1918),"")</f>
        <v/>
      </c>
      <c r="N1918" s="10"/>
      <c r="O1918" s="10"/>
      <c r="P1918" s="65"/>
      <c r="Q1918" s="10"/>
      <c r="R1918" s="10"/>
      <c r="S1918" s="54" t="str">
        <f t="shared" si="93"/>
        <v/>
      </c>
      <c r="T1918" s="54" t="str">
        <f t="shared" si="94"/>
        <v/>
      </c>
      <c r="U1918" s="58" t="str">
        <f t="shared" si="95"/>
        <v/>
      </c>
      <c r="V1918" s="58">
        <f>IF(AND($B1918&lt;&gt;"",$F1918&lt;&gt;"",$F1918=项目明细账!$C$2),N(V1917)+1,N(V1917))</f>
        <v>0</v>
      </c>
      <c r="W1918" s="63" t="str">
        <f>IF($H1918&lt;&gt;"","项目成本",IFERROR(INDEX(基础资料!$W$4:$W$49,MATCH($I1918,基础资料!$V$4:$V$49,0)),""))</f>
        <v/>
      </c>
      <c r="X1918" s="63" t="str">
        <f>IFERROR(INDEX(基础资料!$R$4:$R$17,MATCH($G1918,基础资料!$Q$4:$Q$17,0)),"")</f>
        <v/>
      </c>
    </row>
    <row r="1919" spans="1:24">
      <c r="A1919" s="58" t="str">
        <f>IF($B1919="","",COUNTA($B$5:$B1919))</f>
        <v/>
      </c>
      <c r="B1919" s="53"/>
      <c r="C1919" s="46"/>
      <c r="D1919" s="63" t="str">
        <f>IFERROR(INDEX(基础资料!$F$4:$F$23,MATCH($C1919,基础资料!$E$4:$E$23,0)),IF($C1919="","","未匹配账户"))</f>
        <v/>
      </c>
      <c r="E1919" s="39"/>
      <c r="F1919" s="10"/>
      <c r="G1919" s="10"/>
      <c r="H1919" s="10"/>
      <c r="I1919" s="10"/>
      <c r="J1919" s="10"/>
      <c r="K1919" s="25"/>
      <c r="L1919" s="25"/>
      <c r="M1919" s="25" t="str">
        <f>IFERROR(VLOOKUP($C1919,$C$5:$M$24,11,0)+SUMIF($C$25:$C1919,$C1919,$K$25:$K1919)-SUMIF($C$25:$C1919,$C1919,$L$25:$L1919),"")</f>
        <v/>
      </c>
      <c r="N1919" s="10"/>
      <c r="O1919" s="10"/>
      <c r="P1919" s="65"/>
      <c r="Q1919" s="10"/>
      <c r="R1919" s="10"/>
      <c r="S1919" s="54" t="str">
        <f t="shared" si="93"/>
        <v/>
      </c>
      <c r="T1919" s="54" t="str">
        <f t="shared" si="94"/>
        <v/>
      </c>
      <c r="U1919" s="58" t="str">
        <f t="shared" si="95"/>
        <v/>
      </c>
      <c r="V1919" s="58">
        <f>IF(AND($B1919&lt;&gt;"",$F1919&lt;&gt;"",$F1919=项目明细账!$C$2),N(V1918)+1,N(V1918))</f>
        <v>0</v>
      </c>
      <c r="W1919" s="63" t="str">
        <f>IF($H1919&lt;&gt;"","项目成本",IFERROR(INDEX(基础资料!$W$4:$W$49,MATCH($I1919,基础资料!$V$4:$V$49,0)),""))</f>
        <v/>
      </c>
      <c r="X1919" s="63" t="str">
        <f>IFERROR(INDEX(基础资料!$R$4:$R$17,MATCH($G1919,基础资料!$Q$4:$Q$17,0)),"")</f>
        <v/>
      </c>
    </row>
    <row r="1920" spans="1:24">
      <c r="A1920" s="58" t="str">
        <f>IF($B1920="","",COUNTA($B$5:$B1920))</f>
        <v/>
      </c>
      <c r="B1920" s="53"/>
      <c r="C1920" s="46"/>
      <c r="D1920" s="63" t="str">
        <f>IFERROR(INDEX(基础资料!$F$4:$F$23,MATCH($C1920,基础资料!$E$4:$E$23,0)),IF($C1920="","","未匹配账户"))</f>
        <v/>
      </c>
      <c r="E1920" s="39"/>
      <c r="F1920" s="10"/>
      <c r="G1920" s="10"/>
      <c r="H1920" s="10"/>
      <c r="I1920" s="10"/>
      <c r="J1920" s="10"/>
      <c r="K1920" s="25"/>
      <c r="L1920" s="25"/>
      <c r="M1920" s="25" t="str">
        <f>IFERROR(VLOOKUP($C1920,$C$5:$M$24,11,0)+SUMIF($C$25:$C1920,$C1920,$K$25:$K1920)-SUMIF($C$25:$C1920,$C1920,$L$25:$L1920),"")</f>
        <v/>
      </c>
      <c r="N1920" s="10"/>
      <c r="O1920" s="10"/>
      <c r="P1920" s="65"/>
      <c r="Q1920" s="10"/>
      <c r="R1920" s="10"/>
      <c r="S1920" s="54" t="str">
        <f t="shared" si="93"/>
        <v/>
      </c>
      <c r="T1920" s="54" t="str">
        <f t="shared" si="94"/>
        <v/>
      </c>
      <c r="U1920" s="58" t="str">
        <f t="shared" si="95"/>
        <v/>
      </c>
      <c r="V1920" s="58">
        <f>IF(AND($B1920&lt;&gt;"",$F1920&lt;&gt;"",$F1920=项目明细账!$C$2),N(V1919)+1,N(V1919))</f>
        <v>0</v>
      </c>
      <c r="W1920" s="63" t="str">
        <f>IF($H1920&lt;&gt;"","项目成本",IFERROR(INDEX(基础资料!$W$4:$W$49,MATCH($I1920,基础资料!$V$4:$V$49,0)),""))</f>
        <v/>
      </c>
      <c r="X1920" s="63" t="str">
        <f>IFERROR(INDEX(基础资料!$R$4:$R$17,MATCH($G1920,基础资料!$Q$4:$Q$17,0)),"")</f>
        <v/>
      </c>
    </row>
    <row r="1921" spans="1:24">
      <c r="A1921" s="58" t="str">
        <f>IF($B1921="","",COUNTA($B$5:$B1921))</f>
        <v/>
      </c>
      <c r="B1921" s="53"/>
      <c r="C1921" s="46"/>
      <c r="D1921" s="63" t="str">
        <f>IFERROR(INDEX(基础资料!$F$4:$F$23,MATCH($C1921,基础资料!$E$4:$E$23,0)),IF($C1921="","","未匹配账户"))</f>
        <v/>
      </c>
      <c r="E1921" s="39"/>
      <c r="F1921" s="10"/>
      <c r="G1921" s="10"/>
      <c r="H1921" s="10"/>
      <c r="I1921" s="10"/>
      <c r="J1921" s="10"/>
      <c r="K1921" s="25"/>
      <c r="L1921" s="25"/>
      <c r="M1921" s="25" t="str">
        <f>IFERROR(VLOOKUP($C1921,$C$5:$M$24,11,0)+SUMIF($C$25:$C1921,$C1921,$K$25:$K1921)-SUMIF($C$25:$C1921,$C1921,$L$25:$L1921),"")</f>
        <v/>
      </c>
      <c r="N1921" s="10"/>
      <c r="O1921" s="10"/>
      <c r="P1921" s="65"/>
      <c r="Q1921" s="10"/>
      <c r="R1921" s="10"/>
      <c r="S1921" s="54" t="str">
        <f t="shared" si="93"/>
        <v/>
      </c>
      <c r="T1921" s="54" t="str">
        <f t="shared" si="94"/>
        <v/>
      </c>
      <c r="U1921" s="58" t="str">
        <f t="shared" si="95"/>
        <v/>
      </c>
      <c r="V1921" s="58">
        <f>IF(AND($B1921&lt;&gt;"",$F1921&lt;&gt;"",$F1921=项目明细账!$C$2),N(V1920)+1,N(V1920))</f>
        <v>0</v>
      </c>
      <c r="W1921" s="63" t="str">
        <f>IF($H1921&lt;&gt;"","项目成本",IFERROR(INDEX(基础资料!$W$4:$W$49,MATCH($I1921,基础资料!$V$4:$V$49,0)),""))</f>
        <v/>
      </c>
      <c r="X1921" s="63" t="str">
        <f>IFERROR(INDEX(基础资料!$R$4:$R$17,MATCH($G1921,基础资料!$Q$4:$Q$17,0)),"")</f>
        <v/>
      </c>
    </row>
    <row r="1922" spans="1:24">
      <c r="A1922" s="58" t="str">
        <f>IF($B1922="","",COUNTA($B$5:$B1922))</f>
        <v/>
      </c>
      <c r="B1922" s="53"/>
      <c r="C1922" s="46"/>
      <c r="D1922" s="63" t="str">
        <f>IFERROR(INDEX(基础资料!$F$4:$F$23,MATCH($C1922,基础资料!$E$4:$E$23,0)),IF($C1922="","","未匹配账户"))</f>
        <v/>
      </c>
      <c r="E1922" s="39"/>
      <c r="F1922" s="10"/>
      <c r="G1922" s="10"/>
      <c r="H1922" s="10"/>
      <c r="I1922" s="10"/>
      <c r="J1922" s="10"/>
      <c r="K1922" s="25"/>
      <c r="L1922" s="25"/>
      <c r="M1922" s="25" t="str">
        <f>IFERROR(VLOOKUP($C1922,$C$5:$M$24,11,0)+SUMIF($C$25:$C1922,$C1922,$K$25:$K1922)-SUMIF($C$25:$C1922,$C1922,$L$25:$L1922),"")</f>
        <v/>
      </c>
      <c r="N1922" s="10"/>
      <c r="O1922" s="10"/>
      <c r="P1922" s="65"/>
      <c r="Q1922" s="10"/>
      <c r="R1922" s="10"/>
      <c r="S1922" s="54" t="str">
        <f t="shared" si="93"/>
        <v/>
      </c>
      <c r="T1922" s="54" t="str">
        <f t="shared" si="94"/>
        <v/>
      </c>
      <c r="U1922" s="58" t="str">
        <f t="shared" si="95"/>
        <v/>
      </c>
      <c r="V1922" s="58">
        <f>IF(AND($B1922&lt;&gt;"",$F1922&lt;&gt;"",$F1922=项目明细账!$C$2),N(V1921)+1,N(V1921))</f>
        <v>0</v>
      </c>
      <c r="W1922" s="63" t="str">
        <f>IF($H1922&lt;&gt;"","项目成本",IFERROR(INDEX(基础资料!$W$4:$W$49,MATCH($I1922,基础资料!$V$4:$V$49,0)),""))</f>
        <v/>
      </c>
      <c r="X1922" s="63" t="str">
        <f>IFERROR(INDEX(基础资料!$R$4:$R$17,MATCH($G1922,基础资料!$Q$4:$Q$17,0)),"")</f>
        <v/>
      </c>
    </row>
    <row r="1923" spans="1:24">
      <c r="A1923" s="58" t="str">
        <f>IF($B1923="","",COUNTA($B$5:$B1923))</f>
        <v/>
      </c>
      <c r="B1923" s="53"/>
      <c r="C1923" s="46"/>
      <c r="D1923" s="63" t="str">
        <f>IFERROR(INDEX(基础资料!$F$4:$F$23,MATCH($C1923,基础资料!$E$4:$E$23,0)),IF($C1923="","","未匹配账户"))</f>
        <v/>
      </c>
      <c r="E1923" s="39"/>
      <c r="F1923" s="10"/>
      <c r="G1923" s="10"/>
      <c r="H1923" s="10"/>
      <c r="I1923" s="10"/>
      <c r="J1923" s="10"/>
      <c r="K1923" s="25"/>
      <c r="L1923" s="25"/>
      <c r="M1923" s="25" t="str">
        <f>IFERROR(VLOOKUP($C1923,$C$5:$M$24,11,0)+SUMIF($C$25:$C1923,$C1923,$K$25:$K1923)-SUMIF($C$25:$C1923,$C1923,$L$25:$L1923),"")</f>
        <v/>
      </c>
      <c r="N1923" s="10"/>
      <c r="O1923" s="10"/>
      <c r="P1923" s="65"/>
      <c r="Q1923" s="10"/>
      <c r="R1923" s="10"/>
      <c r="S1923" s="54" t="str">
        <f t="shared" si="93"/>
        <v/>
      </c>
      <c r="T1923" s="54" t="str">
        <f t="shared" si="94"/>
        <v/>
      </c>
      <c r="U1923" s="58" t="str">
        <f t="shared" si="95"/>
        <v/>
      </c>
      <c r="V1923" s="58">
        <f>IF(AND($B1923&lt;&gt;"",$F1923&lt;&gt;"",$F1923=项目明细账!$C$2),N(V1922)+1,N(V1922))</f>
        <v>0</v>
      </c>
      <c r="W1923" s="63" t="str">
        <f>IF($H1923&lt;&gt;"","项目成本",IFERROR(INDEX(基础资料!$W$4:$W$49,MATCH($I1923,基础资料!$V$4:$V$49,0)),""))</f>
        <v/>
      </c>
      <c r="X1923" s="63" t="str">
        <f>IFERROR(INDEX(基础资料!$R$4:$R$17,MATCH($G1923,基础资料!$Q$4:$Q$17,0)),"")</f>
        <v/>
      </c>
    </row>
    <row r="1924" spans="1:24">
      <c r="A1924" s="58" t="str">
        <f>IF($B1924="","",COUNTA($B$5:$B1924))</f>
        <v/>
      </c>
      <c r="B1924" s="53"/>
      <c r="C1924" s="46"/>
      <c r="D1924" s="63" t="str">
        <f>IFERROR(INDEX(基础资料!$F$4:$F$23,MATCH($C1924,基础资料!$E$4:$E$23,0)),IF($C1924="","","未匹配账户"))</f>
        <v/>
      </c>
      <c r="E1924" s="39"/>
      <c r="F1924" s="10"/>
      <c r="G1924" s="10"/>
      <c r="H1924" s="10"/>
      <c r="I1924" s="10"/>
      <c r="J1924" s="10"/>
      <c r="K1924" s="25"/>
      <c r="L1924" s="25"/>
      <c r="M1924" s="25" t="str">
        <f>IFERROR(VLOOKUP($C1924,$C$5:$M$24,11,0)+SUMIF($C$25:$C1924,$C1924,$K$25:$K1924)-SUMIF($C$25:$C1924,$C1924,$L$25:$L1924),"")</f>
        <v/>
      </c>
      <c r="N1924" s="10"/>
      <c r="O1924" s="10"/>
      <c r="P1924" s="65"/>
      <c r="Q1924" s="10"/>
      <c r="R1924" s="10"/>
      <c r="S1924" s="54" t="str">
        <f t="shared" si="93"/>
        <v/>
      </c>
      <c r="T1924" s="54" t="str">
        <f t="shared" si="94"/>
        <v/>
      </c>
      <c r="U1924" s="58" t="str">
        <f t="shared" si="95"/>
        <v/>
      </c>
      <c r="V1924" s="58">
        <f>IF(AND($B1924&lt;&gt;"",$F1924&lt;&gt;"",$F1924=项目明细账!$C$2),N(V1923)+1,N(V1923))</f>
        <v>0</v>
      </c>
      <c r="W1924" s="63" t="str">
        <f>IF($H1924&lt;&gt;"","项目成本",IFERROR(INDEX(基础资料!$W$4:$W$49,MATCH($I1924,基础资料!$V$4:$V$49,0)),""))</f>
        <v/>
      </c>
      <c r="X1924" s="63" t="str">
        <f>IFERROR(INDEX(基础资料!$R$4:$R$17,MATCH($G1924,基础资料!$Q$4:$Q$17,0)),"")</f>
        <v/>
      </c>
    </row>
    <row r="1925" spans="1:24">
      <c r="A1925" s="58" t="str">
        <f>IF($B1925="","",COUNTA($B$5:$B1925))</f>
        <v/>
      </c>
      <c r="B1925" s="53"/>
      <c r="C1925" s="46"/>
      <c r="D1925" s="63" t="str">
        <f>IFERROR(INDEX(基础资料!$F$4:$F$23,MATCH($C1925,基础资料!$E$4:$E$23,0)),IF($C1925="","","未匹配账户"))</f>
        <v/>
      </c>
      <c r="E1925" s="39"/>
      <c r="F1925" s="10"/>
      <c r="G1925" s="10"/>
      <c r="H1925" s="10"/>
      <c r="I1925" s="10"/>
      <c r="J1925" s="10"/>
      <c r="K1925" s="25"/>
      <c r="L1925" s="25"/>
      <c r="M1925" s="25" t="str">
        <f>IFERROR(VLOOKUP($C1925,$C$5:$M$24,11,0)+SUMIF($C$25:$C1925,$C1925,$K$25:$K1925)-SUMIF($C$25:$C1925,$C1925,$L$25:$L1925),"")</f>
        <v/>
      </c>
      <c r="N1925" s="10"/>
      <c r="O1925" s="10"/>
      <c r="P1925" s="65"/>
      <c r="Q1925" s="10"/>
      <c r="R1925" s="10"/>
      <c r="S1925" s="54" t="str">
        <f t="shared" si="93"/>
        <v/>
      </c>
      <c r="T1925" s="54" t="str">
        <f t="shared" si="94"/>
        <v/>
      </c>
      <c r="U1925" s="58" t="str">
        <f t="shared" si="95"/>
        <v/>
      </c>
      <c r="V1925" s="58">
        <f>IF(AND($B1925&lt;&gt;"",$F1925&lt;&gt;"",$F1925=项目明细账!$C$2),N(V1924)+1,N(V1924))</f>
        <v>0</v>
      </c>
      <c r="W1925" s="63" t="str">
        <f>IF($H1925&lt;&gt;"","项目成本",IFERROR(INDEX(基础资料!$W$4:$W$49,MATCH($I1925,基础资料!$V$4:$V$49,0)),""))</f>
        <v/>
      </c>
      <c r="X1925" s="63" t="str">
        <f>IFERROR(INDEX(基础资料!$R$4:$R$17,MATCH($G1925,基础资料!$Q$4:$Q$17,0)),"")</f>
        <v/>
      </c>
    </row>
    <row r="1926" spans="1:24">
      <c r="A1926" s="58" t="str">
        <f>IF($B1926="","",COUNTA($B$5:$B1926))</f>
        <v/>
      </c>
      <c r="B1926" s="53"/>
      <c r="C1926" s="46"/>
      <c r="D1926" s="63" t="str">
        <f>IFERROR(INDEX(基础资料!$F$4:$F$23,MATCH($C1926,基础资料!$E$4:$E$23,0)),IF($C1926="","","未匹配账户"))</f>
        <v/>
      </c>
      <c r="E1926" s="39"/>
      <c r="F1926" s="10"/>
      <c r="G1926" s="10"/>
      <c r="H1926" s="10"/>
      <c r="I1926" s="10"/>
      <c r="J1926" s="10"/>
      <c r="K1926" s="25"/>
      <c r="L1926" s="25"/>
      <c r="M1926" s="25" t="str">
        <f>IFERROR(VLOOKUP($C1926,$C$5:$M$24,11,0)+SUMIF($C$25:$C1926,$C1926,$K$25:$K1926)-SUMIF($C$25:$C1926,$C1926,$L$25:$L1926),"")</f>
        <v/>
      </c>
      <c r="N1926" s="10"/>
      <c r="O1926" s="10"/>
      <c r="P1926" s="65"/>
      <c r="Q1926" s="10"/>
      <c r="R1926" s="10"/>
      <c r="S1926" s="54" t="str">
        <f t="shared" si="93"/>
        <v/>
      </c>
      <c r="T1926" s="54" t="str">
        <f t="shared" si="94"/>
        <v/>
      </c>
      <c r="U1926" s="58" t="str">
        <f t="shared" si="95"/>
        <v/>
      </c>
      <c r="V1926" s="58">
        <f>IF(AND($B1926&lt;&gt;"",$F1926&lt;&gt;"",$F1926=项目明细账!$C$2),N(V1925)+1,N(V1925))</f>
        <v>0</v>
      </c>
      <c r="W1926" s="63" t="str">
        <f>IF($H1926&lt;&gt;"","项目成本",IFERROR(INDEX(基础资料!$W$4:$W$49,MATCH($I1926,基础资料!$V$4:$V$49,0)),""))</f>
        <v/>
      </c>
      <c r="X1926" s="63" t="str">
        <f>IFERROR(INDEX(基础资料!$R$4:$R$17,MATCH($G1926,基础资料!$Q$4:$Q$17,0)),"")</f>
        <v/>
      </c>
    </row>
    <row r="1927" spans="1:24">
      <c r="A1927" s="58" t="str">
        <f>IF($B1927="","",COUNTA($B$5:$B1927))</f>
        <v/>
      </c>
      <c r="B1927" s="53"/>
      <c r="C1927" s="46"/>
      <c r="D1927" s="63" t="str">
        <f>IFERROR(INDEX(基础资料!$F$4:$F$23,MATCH($C1927,基础资料!$E$4:$E$23,0)),IF($C1927="","","未匹配账户"))</f>
        <v/>
      </c>
      <c r="E1927" s="39"/>
      <c r="F1927" s="10"/>
      <c r="G1927" s="10"/>
      <c r="H1927" s="10"/>
      <c r="I1927" s="10"/>
      <c r="J1927" s="10"/>
      <c r="K1927" s="25"/>
      <c r="L1927" s="25"/>
      <c r="M1927" s="25" t="str">
        <f>IFERROR(VLOOKUP($C1927,$C$5:$M$24,11,0)+SUMIF($C$25:$C1927,$C1927,$K$25:$K1927)-SUMIF($C$25:$C1927,$C1927,$L$25:$L1927),"")</f>
        <v/>
      </c>
      <c r="N1927" s="10"/>
      <c r="O1927" s="10"/>
      <c r="P1927" s="65"/>
      <c r="Q1927" s="10"/>
      <c r="R1927" s="10"/>
      <c r="S1927" s="54" t="str">
        <f t="shared" ref="S1927:S1990" si="96">IF($B1927="","",--TEXT($B1927,"yyyymm"))</f>
        <v/>
      </c>
      <c r="T1927" s="54" t="str">
        <f t="shared" ref="T1927:T1990" si="97">IF($B1927="","",IF($P1927="",$S1927,IFERROR($P1927*1,$P1927)))</f>
        <v/>
      </c>
      <c r="U1927" s="58" t="str">
        <f t="shared" ref="U1927:U1990" si="98">IF($B1927="","",IF($T1927=$S1927,"","跨期"))</f>
        <v/>
      </c>
      <c r="V1927" s="58">
        <f>IF(AND($B1927&lt;&gt;"",$F1927&lt;&gt;"",$F1927=项目明细账!$C$2),N(V1926)+1,N(V1926))</f>
        <v>0</v>
      </c>
      <c r="W1927" s="63" t="str">
        <f>IF($H1927&lt;&gt;"","项目成本",IFERROR(INDEX(基础资料!$W$4:$W$49,MATCH($I1927,基础资料!$V$4:$V$49,0)),""))</f>
        <v/>
      </c>
      <c r="X1927" s="63" t="str">
        <f>IFERROR(INDEX(基础资料!$R$4:$R$17,MATCH($G1927,基础资料!$Q$4:$Q$17,0)),"")</f>
        <v/>
      </c>
    </row>
    <row r="1928" spans="1:24">
      <c r="A1928" s="58" t="str">
        <f>IF($B1928="","",COUNTA($B$5:$B1928))</f>
        <v/>
      </c>
      <c r="B1928" s="53"/>
      <c r="C1928" s="46"/>
      <c r="D1928" s="63" t="str">
        <f>IFERROR(INDEX(基础资料!$F$4:$F$23,MATCH($C1928,基础资料!$E$4:$E$23,0)),IF($C1928="","","未匹配账户"))</f>
        <v/>
      </c>
      <c r="E1928" s="39"/>
      <c r="F1928" s="10"/>
      <c r="G1928" s="10"/>
      <c r="H1928" s="10"/>
      <c r="I1928" s="10"/>
      <c r="J1928" s="10"/>
      <c r="K1928" s="25"/>
      <c r="L1928" s="25"/>
      <c r="M1928" s="25" t="str">
        <f>IFERROR(VLOOKUP($C1928,$C$5:$M$24,11,0)+SUMIF($C$25:$C1928,$C1928,$K$25:$K1928)-SUMIF($C$25:$C1928,$C1928,$L$25:$L1928),"")</f>
        <v/>
      </c>
      <c r="N1928" s="10"/>
      <c r="O1928" s="10"/>
      <c r="P1928" s="65"/>
      <c r="Q1928" s="10"/>
      <c r="R1928" s="10"/>
      <c r="S1928" s="54" t="str">
        <f t="shared" si="96"/>
        <v/>
      </c>
      <c r="T1928" s="54" t="str">
        <f t="shared" si="97"/>
        <v/>
      </c>
      <c r="U1928" s="58" t="str">
        <f t="shared" si="98"/>
        <v/>
      </c>
      <c r="V1928" s="58">
        <f>IF(AND($B1928&lt;&gt;"",$F1928&lt;&gt;"",$F1928=项目明细账!$C$2),N(V1927)+1,N(V1927))</f>
        <v>0</v>
      </c>
      <c r="W1928" s="63" t="str">
        <f>IF($H1928&lt;&gt;"","项目成本",IFERROR(INDEX(基础资料!$W$4:$W$49,MATCH($I1928,基础资料!$V$4:$V$49,0)),""))</f>
        <v/>
      </c>
      <c r="X1928" s="63" t="str">
        <f>IFERROR(INDEX(基础资料!$R$4:$R$17,MATCH($G1928,基础资料!$Q$4:$Q$17,0)),"")</f>
        <v/>
      </c>
    </row>
    <row r="1929" spans="1:24">
      <c r="A1929" s="58" t="str">
        <f>IF($B1929="","",COUNTA($B$5:$B1929))</f>
        <v/>
      </c>
      <c r="B1929" s="53"/>
      <c r="C1929" s="46"/>
      <c r="D1929" s="63" t="str">
        <f>IFERROR(INDEX(基础资料!$F$4:$F$23,MATCH($C1929,基础资料!$E$4:$E$23,0)),IF($C1929="","","未匹配账户"))</f>
        <v/>
      </c>
      <c r="E1929" s="39"/>
      <c r="F1929" s="10"/>
      <c r="G1929" s="10"/>
      <c r="H1929" s="10"/>
      <c r="I1929" s="10"/>
      <c r="J1929" s="10"/>
      <c r="K1929" s="25"/>
      <c r="L1929" s="25"/>
      <c r="M1929" s="25" t="str">
        <f>IFERROR(VLOOKUP($C1929,$C$5:$M$24,11,0)+SUMIF($C$25:$C1929,$C1929,$K$25:$K1929)-SUMIF($C$25:$C1929,$C1929,$L$25:$L1929),"")</f>
        <v/>
      </c>
      <c r="N1929" s="10"/>
      <c r="O1929" s="10"/>
      <c r="P1929" s="65"/>
      <c r="Q1929" s="10"/>
      <c r="R1929" s="10"/>
      <c r="S1929" s="54" t="str">
        <f t="shared" si="96"/>
        <v/>
      </c>
      <c r="T1929" s="54" t="str">
        <f t="shared" si="97"/>
        <v/>
      </c>
      <c r="U1929" s="58" t="str">
        <f t="shared" si="98"/>
        <v/>
      </c>
      <c r="V1929" s="58">
        <f>IF(AND($B1929&lt;&gt;"",$F1929&lt;&gt;"",$F1929=项目明细账!$C$2),N(V1928)+1,N(V1928))</f>
        <v>0</v>
      </c>
      <c r="W1929" s="63" t="str">
        <f>IF($H1929&lt;&gt;"","项目成本",IFERROR(INDEX(基础资料!$W$4:$W$49,MATCH($I1929,基础资料!$V$4:$V$49,0)),""))</f>
        <v/>
      </c>
      <c r="X1929" s="63" t="str">
        <f>IFERROR(INDEX(基础资料!$R$4:$R$17,MATCH($G1929,基础资料!$Q$4:$Q$17,0)),"")</f>
        <v/>
      </c>
    </row>
    <row r="1930" spans="1:24">
      <c r="A1930" s="58" t="str">
        <f>IF($B1930="","",COUNTA($B$5:$B1930))</f>
        <v/>
      </c>
      <c r="B1930" s="53"/>
      <c r="C1930" s="46"/>
      <c r="D1930" s="63" t="str">
        <f>IFERROR(INDEX(基础资料!$F$4:$F$23,MATCH($C1930,基础资料!$E$4:$E$23,0)),IF($C1930="","","未匹配账户"))</f>
        <v/>
      </c>
      <c r="E1930" s="39"/>
      <c r="F1930" s="10"/>
      <c r="G1930" s="10"/>
      <c r="H1930" s="10"/>
      <c r="I1930" s="10"/>
      <c r="J1930" s="10"/>
      <c r="K1930" s="25"/>
      <c r="L1930" s="25"/>
      <c r="M1930" s="25" t="str">
        <f>IFERROR(VLOOKUP($C1930,$C$5:$M$24,11,0)+SUMIF($C$25:$C1930,$C1930,$K$25:$K1930)-SUMIF($C$25:$C1930,$C1930,$L$25:$L1930),"")</f>
        <v/>
      </c>
      <c r="N1930" s="10"/>
      <c r="O1930" s="10"/>
      <c r="P1930" s="65"/>
      <c r="Q1930" s="10"/>
      <c r="R1930" s="10"/>
      <c r="S1930" s="54" t="str">
        <f t="shared" si="96"/>
        <v/>
      </c>
      <c r="T1930" s="54" t="str">
        <f t="shared" si="97"/>
        <v/>
      </c>
      <c r="U1930" s="58" t="str">
        <f t="shared" si="98"/>
        <v/>
      </c>
      <c r="V1930" s="58">
        <f>IF(AND($B1930&lt;&gt;"",$F1930&lt;&gt;"",$F1930=项目明细账!$C$2),N(V1929)+1,N(V1929))</f>
        <v>0</v>
      </c>
      <c r="W1930" s="63" t="str">
        <f>IF($H1930&lt;&gt;"","项目成本",IFERROR(INDEX(基础资料!$W$4:$W$49,MATCH($I1930,基础资料!$V$4:$V$49,0)),""))</f>
        <v/>
      </c>
      <c r="X1930" s="63" t="str">
        <f>IFERROR(INDEX(基础资料!$R$4:$R$17,MATCH($G1930,基础资料!$Q$4:$Q$17,0)),"")</f>
        <v/>
      </c>
    </row>
    <row r="1931" spans="1:24">
      <c r="A1931" s="58" t="str">
        <f>IF($B1931="","",COUNTA($B$5:$B1931))</f>
        <v/>
      </c>
      <c r="B1931" s="53"/>
      <c r="C1931" s="46"/>
      <c r="D1931" s="63" t="str">
        <f>IFERROR(INDEX(基础资料!$F$4:$F$23,MATCH($C1931,基础资料!$E$4:$E$23,0)),IF($C1931="","","未匹配账户"))</f>
        <v/>
      </c>
      <c r="E1931" s="39"/>
      <c r="F1931" s="10"/>
      <c r="G1931" s="10"/>
      <c r="H1931" s="10"/>
      <c r="I1931" s="10"/>
      <c r="J1931" s="10"/>
      <c r="K1931" s="25"/>
      <c r="L1931" s="25"/>
      <c r="M1931" s="25" t="str">
        <f>IFERROR(VLOOKUP($C1931,$C$5:$M$24,11,0)+SUMIF($C$25:$C1931,$C1931,$K$25:$K1931)-SUMIF($C$25:$C1931,$C1931,$L$25:$L1931),"")</f>
        <v/>
      </c>
      <c r="N1931" s="10"/>
      <c r="O1931" s="10"/>
      <c r="P1931" s="65"/>
      <c r="Q1931" s="10"/>
      <c r="R1931" s="10"/>
      <c r="S1931" s="54" t="str">
        <f t="shared" si="96"/>
        <v/>
      </c>
      <c r="T1931" s="54" t="str">
        <f t="shared" si="97"/>
        <v/>
      </c>
      <c r="U1931" s="58" t="str">
        <f t="shared" si="98"/>
        <v/>
      </c>
      <c r="V1931" s="58">
        <f>IF(AND($B1931&lt;&gt;"",$F1931&lt;&gt;"",$F1931=项目明细账!$C$2),N(V1930)+1,N(V1930))</f>
        <v>0</v>
      </c>
      <c r="W1931" s="63" t="str">
        <f>IF($H1931&lt;&gt;"","项目成本",IFERROR(INDEX(基础资料!$W$4:$W$49,MATCH($I1931,基础资料!$V$4:$V$49,0)),""))</f>
        <v/>
      </c>
      <c r="X1931" s="63" t="str">
        <f>IFERROR(INDEX(基础资料!$R$4:$R$17,MATCH($G1931,基础资料!$Q$4:$Q$17,0)),"")</f>
        <v/>
      </c>
    </row>
    <row r="1932" spans="1:24">
      <c r="A1932" s="58" t="str">
        <f>IF($B1932="","",COUNTA($B$5:$B1932))</f>
        <v/>
      </c>
      <c r="B1932" s="53"/>
      <c r="C1932" s="46"/>
      <c r="D1932" s="63" t="str">
        <f>IFERROR(INDEX(基础资料!$F$4:$F$23,MATCH($C1932,基础资料!$E$4:$E$23,0)),IF($C1932="","","未匹配账户"))</f>
        <v/>
      </c>
      <c r="E1932" s="39"/>
      <c r="F1932" s="10"/>
      <c r="G1932" s="10"/>
      <c r="H1932" s="10"/>
      <c r="I1932" s="10"/>
      <c r="J1932" s="10"/>
      <c r="K1932" s="25"/>
      <c r="L1932" s="25"/>
      <c r="M1932" s="25" t="str">
        <f>IFERROR(VLOOKUP($C1932,$C$5:$M$24,11,0)+SUMIF($C$25:$C1932,$C1932,$K$25:$K1932)-SUMIF($C$25:$C1932,$C1932,$L$25:$L1932),"")</f>
        <v/>
      </c>
      <c r="N1932" s="10"/>
      <c r="O1932" s="10"/>
      <c r="P1932" s="65"/>
      <c r="Q1932" s="10"/>
      <c r="R1932" s="10"/>
      <c r="S1932" s="54" t="str">
        <f t="shared" si="96"/>
        <v/>
      </c>
      <c r="T1932" s="54" t="str">
        <f t="shared" si="97"/>
        <v/>
      </c>
      <c r="U1932" s="58" t="str">
        <f t="shared" si="98"/>
        <v/>
      </c>
      <c r="V1932" s="58">
        <f>IF(AND($B1932&lt;&gt;"",$F1932&lt;&gt;"",$F1932=项目明细账!$C$2),N(V1931)+1,N(V1931))</f>
        <v>0</v>
      </c>
      <c r="W1932" s="63" t="str">
        <f>IF($H1932&lt;&gt;"","项目成本",IFERROR(INDEX(基础资料!$W$4:$W$49,MATCH($I1932,基础资料!$V$4:$V$49,0)),""))</f>
        <v/>
      </c>
      <c r="X1932" s="63" t="str">
        <f>IFERROR(INDEX(基础资料!$R$4:$R$17,MATCH($G1932,基础资料!$Q$4:$Q$17,0)),"")</f>
        <v/>
      </c>
    </row>
    <row r="1933" spans="1:24">
      <c r="A1933" s="58" t="str">
        <f>IF($B1933="","",COUNTA($B$5:$B1933))</f>
        <v/>
      </c>
      <c r="B1933" s="53"/>
      <c r="C1933" s="46"/>
      <c r="D1933" s="63" t="str">
        <f>IFERROR(INDEX(基础资料!$F$4:$F$23,MATCH($C1933,基础资料!$E$4:$E$23,0)),IF($C1933="","","未匹配账户"))</f>
        <v/>
      </c>
      <c r="E1933" s="39"/>
      <c r="F1933" s="10"/>
      <c r="G1933" s="10"/>
      <c r="H1933" s="10"/>
      <c r="I1933" s="10"/>
      <c r="J1933" s="10"/>
      <c r="K1933" s="25"/>
      <c r="L1933" s="25"/>
      <c r="M1933" s="25" t="str">
        <f>IFERROR(VLOOKUP($C1933,$C$5:$M$24,11,0)+SUMIF($C$25:$C1933,$C1933,$K$25:$K1933)-SUMIF($C$25:$C1933,$C1933,$L$25:$L1933),"")</f>
        <v/>
      </c>
      <c r="N1933" s="10"/>
      <c r="O1933" s="10"/>
      <c r="P1933" s="65"/>
      <c r="Q1933" s="10"/>
      <c r="R1933" s="10"/>
      <c r="S1933" s="54" t="str">
        <f t="shared" si="96"/>
        <v/>
      </c>
      <c r="T1933" s="54" t="str">
        <f t="shared" si="97"/>
        <v/>
      </c>
      <c r="U1933" s="58" t="str">
        <f t="shared" si="98"/>
        <v/>
      </c>
      <c r="V1933" s="58">
        <f>IF(AND($B1933&lt;&gt;"",$F1933&lt;&gt;"",$F1933=项目明细账!$C$2),N(V1932)+1,N(V1932))</f>
        <v>0</v>
      </c>
      <c r="W1933" s="63" t="str">
        <f>IF($H1933&lt;&gt;"","项目成本",IFERROR(INDEX(基础资料!$W$4:$W$49,MATCH($I1933,基础资料!$V$4:$V$49,0)),""))</f>
        <v/>
      </c>
      <c r="X1933" s="63" t="str">
        <f>IFERROR(INDEX(基础资料!$R$4:$R$17,MATCH($G1933,基础资料!$Q$4:$Q$17,0)),"")</f>
        <v/>
      </c>
    </row>
    <row r="1934" spans="1:24">
      <c r="A1934" s="58" t="str">
        <f>IF($B1934="","",COUNTA($B$5:$B1934))</f>
        <v/>
      </c>
      <c r="B1934" s="53"/>
      <c r="C1934" s="46"/>
      <c r="D1934" s="63" t="str">
        <f>IFERROR(INDEX(基础资料!$F$4:$F$23,MATCH($C1934,基础资料!$E$4:$E$23,0)),IF($C1934="","","未匹配账户"))</f>
        <v/>
      </c>
      <c r="E1934" s="39"/>
      <c r="F1934" s="10"/>
      <c r="G1934" s="10"/>
      <c r="H1934" s="10"/>
      <c r="I1934" s="10"/>
      <c r="J1934" s="10"/>
      <c r="K1934" s="25"/>
      <c r="L1934" s="25"/>
      <c r="M1934" s="25" t="str">
        <f>IFERROR(VLOOKUP($C1934,$C$5:$M$24,11,0)+SUMIF($C$25:$C1934,$C1934,$K$25:$K1934)-SUMIF($C$25:$C1934,$C1934,$L$25:$L1934),"")</f>
        <v/>
      </c>
      <c r="N1934" s="10"/>
      <c r="O1934" s="10"/>
      <c r="P1934" s="65"/>
      <c r="Q1934" s="10"/>
      <c r="R1934" s="10"/>
      <c r="S1934" s="54" t="str">
        <f t="shared" si="96"/>
        <v/>
      </c>
      <c r="T1934" s="54" t="str">
        <f t="shared" si="97"/>
        <v/>
      </c>
      <c r="U1934" s="58" t="str">
        <f t="shared" si="98"/>
        <v/>
      </c>
      <c r="V1934" s="58">
        <f>IF(AND($B1934&lt;&gt;"",$F1934&lt;&gt;"",$F1934=项目明细账!$C$2),N(V1933)+1,N(V1933))</f>
        <v>0</v>
      </c>
      <c r="W1934" s="63" t="str">
        <f>IF($H1934&lt;&gt;"","项目成本",IFERROR(INDEX(基础资料!$W$4:$W$49,MATCH($I1934,基础资料!$V$4:$V$49,0)),""))</f>
        <v/>
      </c>
      <c r="X1934" s="63" t="str">
        <f>IFERROR(INDEX(基础资料!$R$4:$R$17,MATCH($G1934,基础资料!$Q$4:$Q$17,0)),"")</f>
        <v/>
      </c>
    </row>
    <row r="1935" spans="1:24">
      <c r="A1935" s="58" t="str">
        <f>IF($B1935="","",COUNTA($B$5:$B1935))</f>
        <v/>
      </c>
      <c r="B1935" s="53"/>
      <c r="C1935" s="46"/>
      <c r="D1935" s="63" t="str">
        <f>IFERROR(INDEX(基础资料!$F$4:$F$23,MATCH($C1935,基础资料!$E$4:$E$23,0)),IF($C1935="","","未匹配账户"))</f>
        <v/>
      </c>
      <c r="E1935" s="39"/>
      <c r="F1935" s="10"/>
      <c r="G1935" s="10"/>
      <c r="H1935" s="10"/>
      <c r="I1935" s="10"/>
      <c r="J1935" s="10"/>
      <c r="K1935" s="25"/>
      <c r="L1935" s="25"/>
      <c r="M1935" s="25" t="str">
        <f>IFERROR(VLOOKUP($C1935,$C$5:$M$24,11,0)+SUMIF($C$25:$C1935,$C1935,$K$25:$K1935)-SUMIF($C$25:$C1935,$C1935,$L$25:$L1935),"")</f>
        <v/>
      </c>
      <c r="N1935" s="10"/>
      <c r="O1935" s="10"/>
      <c r="P1935" s="65"/>
      <c r="Q1935" s="10"/>
      <c r="R1935" s="10"/>
      <c r="S1935" s="54" t="str">
        <f t="shared" si="96"/>
        <v/>
      </c>
      <c r="T1935" s="54" t="str">
        <f t="shared" si="97"/>
        <v/>
      </c>
      <c r="U1935" s="58" t="str">
        <f t="shared" si="98"/>
        <v/>
      </c>
      <c r="V1935" s="58">
        <f>IF(AND($B1935&lt;&gt;"",$F1935&lt;&gt;"",$F1935=项目明细账!$C$2),N(V1934)+1,N(V1934))</f>
        <v>0</v>
      </c>
      <c r="W1935" s="63" t="str">
        <f>IF($H1935&lt;&gt;"","项目成本",IFERROR(INDEX(基础资料!$W$4:$W$49,MATCH($I1935,基础资料!$V$4:$V$49,0)),""))</f>
        <v/>
      </c>
      <c r="X1935" s="63" t="str">
        <f>IFERROR(INDEX(基础资料!$R$4:$R$17,MATCH($G1935,基础资料!$Q$4:$Q$17,0)),"")</f>
        <v/>
      </c>
    </row>
    <row r="1936" spans="1:24">
      <c r="A1936" s="58" t="str">
        <f>IF($B1936="","",COUNTA($B$5:$B1936))</f>
        <v/>
      </c>
      <c r="B1936" s="53"/>
      <c r="C1936" s="46"/>
      <c r="D1936" s="63" t="str">
        <f>IFERROR(INDEX(基础资料!$F$4:$F$23,MATCH($C1936,基础资料!$E$4:$E$23,0)),IF($C1936="","","未匹配账户"))</f>
        <v/>
      </c>
      <c r="E1936" s="39"/>
      <c r="F1936" s="10"/>
      <c r="G1936" s="10"/>
      <c r="H1936" s="10"/>
      <c r="I1936" s="10"/>
      <c r="J1936" s="10"/>
      <c r="K1936" s="25"/>
      <c r="L1936" s="25"/>
      <c r="M1936" s="25" t="str">
        <f>IFERROR(VLOOKUP($C1936,$C$5:$M$24,11,0)+SUMIF($C$25:$C1936,$C1936,$K$25:$K1936)-SUMIF($C$25:$C1936,$C1936,$L$25:$L1936),"")</f>
        <v/>
      </c>
      <c r="N1936" s="10"/>
      <c r="O1936" s="10"/>
      <c r="P1936" s="65"/>
      <c r="Q1936" s="10"/>
      <c r="R1936" s="10"/>
      <c r="S1936" s="54" t="str">
        <f t="shared" si="96"/>
        <v/>
      </c>
      <c r="T1936" s="54" t="str">
        <f t="shared" si="97"/>
        <v/>
      </c>
      <c r="U1936" s="58" t="str">
        <f t="shared" si="98"/>
        <v/>
      </c>
      <c r="V1936" s="58">
        <f>IF(AND($B1936&lt;&gt;"",$F1936&lt;&gt;"",$F1936=项目明细账!$C$2),N(V1935)+1,N(V1935))</f>
        <v>0</v>
      </c>
      <c r="W1936" s="63" t="str">
        <f>IF($H1936&lt;&gt;"","项目成本",IFERROR(INDEX(基础资料!$W$4:$W$49,MATCH($I1936,基础资料!$V$4:$V$49,0)),""))</f>
        <v/>
      </c>
      <c r="X1936" s="63" t="str">
        <f>IFERROR(INDEX(基础资料!$R$4:$R$17,MATCH($G1936,基础资料!$Q$4:$Q$17,0)),"")</f>
        <v/>
      </c>
    </row>
    <row r="1937" spans="1:24">
      <c r="A1937" s="58" t="str">
        <f>IF($B1937="","",COUNTA($B$5:$B1937))</f>
        <v/>
      </c>
      <c r="B1937" s="53"/>
      <c r="C1937" s="46"/>
      <c r="D1937" s="63" t="str">
        <f>IFERROR(INDEX(基础资料!$F$4:$F$23,MATCH($C1937,基础资料!$E$4:$E$23,0)),IF($C1937="","","未匹配账户"))</f>
        <v/>
      </c>
      <c r="E1937" s="39"/>
      <c r="F1937" s="10"/>
      <c r="G1937" s="10"/>
      <c r="H1937" s="10"/>
      <c r="I1937" s="10"/>
      <c r="J1937" s="10"/>
      <c r="K1937" s="25"/>
      <c r="L1937" s="25"/>
      <c r="M1937" s="25" t="str">
        <f>IFERROR(VLOOKUP($C1937,$C$5:$M$24,11,0)+SUMIF($C$25:$C1937,$C1937,$K$25:$K1937)-SUMIF($C$25:$C1937,$C1937,$L$25:$L1937),"")</f>
        <v/>
      </c>
      <c r="N1937" s="10"/>
      <c r="O1937" s="10"/>
      <c r="P1937" s="65"/>
      <c r="Q1937" s="10"/>
      <c r="R1937" s="10"/>
      <c r="S1937" s="54" t="str">
        <f t="shared" si="96"/>
        <v/>
      </c>
      <c r="T1937" s="54" t="str">
        <f t="shared" si="97"/>
        <v/>
      </c>
      <c r="U1937" s="58" t="str">
        <f t="shared" si="98"/>
        <v/>
      </c>
      <c r="V1937" s="58">
        <f>IF(AND($B1937&lt;&gt;"",$F1937&lt;&gt;"",$F1937=项目明细账!$C$2),N(V1936)+1,N(V1936))</f>
        <v>0</v>
      </c>
      <c r="W1937" s="63" t="str">
        <f>IF($H1937&lt;&gt;"","项目成本",IFERROR(INDEX(基础资料!$W$4:$W$49,MATCH($I1937,基础资料!$V$4:$V$49,0)),""))</f>
        <v/>
      </c>
      <c r="X1937" s="63" t="str">
        <f>IFERROR(INDEX(基础资料!$R$4:$R$17,MATCH($G1937,基础资料!$Q$4:$Q$17,0)),"")</f>
        <v/>
      </c>
    </row>
    <row r="1938" spans="1:24">
      <c r="A1938" s="58" t="str">
        <f>IF($B1938="","",COUNTA($B$5:$B1938))</f>
        <v/>
      </c>
      <c r="B1938" s="53"/>
      <c r="C1938" s="46"/>
      <c r="D1938" s="63" t="str">
        <f>IFERROR(INDEX(基础资料!$F$4:$F$23,MATCH($C1938,基础资料!$E$4:$E$23,0)),IF($C1938="","","未匹配账户"))</f>
        <v/>
      </c>
      <c r="E1938" s="39"/>
      <c r="F1938" s="10"/>
      <c r="G1938" s="10"/>
      <c r="H1938" s="10"/>
      <c r="I1938" s="10"/>
      <c r="J1938" s="10"/>
      <c r="K1938" s="25"/>
      <c r="L1938" s="25"/>
      <c r="M1938" s="25" t="str">
        <f>IFERROR(VLOOKUP($C1938,$C$5:$M$24,11,0)+SUMIF($C$25:$C1938,$C1938,$K$25:$K1938)-SUMIF($C$25:$C1938,$C1938,$L$25:$L1938),"")</f>
        <v/>
      </c>
      <c r="N1938" s="10"/>
      <c r="O1938" s="10"/>
      <c r="P1938" s="65"/>
      <c r="Q1938" s="10"/>
      <c r="R1938" s="10"/>
      <c r="S1938" s="54" t="str">
        <f t="shared" si="96"/>
        <v/>
      </c>
      <c r="T1938" s="54" t="str">
        <f t="shared" si="97"/>
        <v/>
      </c>
      <c r="U1938" s="58" t="str">
        <f t="shared" si="98"/>
        <v/>
      </c>
      <c r="V1938" s="58">
        <f>IF(AND($B1938&lt;&gt;"",$F1938&lt;&gt;"",$F1938=项目明细账!$C$2),N(V1937)+1,N(V1937))</f>
        <v>0</v>
      </c>
      <c r="W1938" s="63" t="str">
        <f>IF($H1938&lt;&gt;"","项目成本",IFERROR(INDEX(基础资料!$W$4:$W$49,MATCH($I1938,基础资料!$V$4:$V$49,0)),""))</f>
        <v/>
      </c>
      <c r="X1938" s="63" t="str">
        <f>IFERROR(INDEX(基础资料!$R$4:$R$17,MATCH($G1938,基础资料!$Q$4:$Q$17,0)),"")</f>
        <v/>
      </c>
    </row>
    <row r="1939" spans="1:24">
      <c r="A1939" s="58" t="str">
        <f>IF($B1939="","",COUNTA($B$5:$B1939))</f>
        <v/>
      </c>
      <c r="B1939" s="53"/>
      <c r="C1939" s="46"/>
      <c r="D1939" s="63" t="str">
        <f>IFERROR(INDEX(基础资料!$F$4:$F$23,MATCH($C1939,基础资料!$E$4:$E$23,0)),IF($C1939="","","未匹配账户"))</f>
        <v/>
      </c>
      <c r="E1939" s="39"/>
      <c r="F1939" s="10"/>
      <c r="G1939" s="10"/>
      <c r="H1939" s="10"/>
      <c r="I1939" s="10"/>
      <c r="J1939" s="10"/>
      <c r="K1939" s="25"/>
      <c r="L1939" s="25"/>
      <c r="M1939" s="25" t="str">
        <f>IFERROR(VLOOKUP($C1939,$C$5:$M$24,11,0)+SUMIF($C$25:$C1939,$C1939,$K$25:$K1939)-SUMIF($C$25:$C1939,$C1939,$L$25:$L1939),"")</f>
        <v/>
      </c>
      <c r="N1939" s="10"/>
      <c r="O1939" s="10"/>
      <c r="P1939" s="65"/>
      <c r="Q1939" s="10"/>
      <c r="R1939" s="10"/>
      <c r="S1939" s="54" t="str">
        <f t="shared" si="96"/>
        <v/>
      </c>
      <c r="T1939" s="54" t="str">
        <f t="shared" si="97"/>
        <v/>
      </c>
      <c r="U1939" s="58" t="str">
        <f t="shared" si="98"/>
        <v/>
      </c>
      <c r="V1939" s="58">
        <f>IF(AND($B1939&lt;&gt;"",$F1939&lt;&gt;"",$F1939=项目明细账!$C$2),N(V1938)+1,N(V1938))</f>
        <v>0</v>
      </c>
      <c r="W1939" s="63" t="str">
        <f>IF($H1939&lt;&gt;"","项目成本",IFERROR(INDEX(基础资料!$W$4:$W$49,MATCH($I1939,基础资料!$V$4:$V$49,0)),""))</f>
        <v/>
      </c>
      <c r="X1939" s="63" t="str">
        <f>IFERROR(INDEX(基础资料!$R$4:$R$17,MATCH($G1939,基础资料!$Q$4:$Q$17,0)),"")</f>
        <v/>
      </c>
    </row>
    <row r="1940" spans="1:24">
      <c r="A1940" s="58" t="str">
        <f>IF($B1940="","",COUNTA($B$5:$B1940))</f>
        <v/>
      </c>
      <c r="B1940" s="53"/>
      <c r="C1940" s="46"/>
      <c r="D1940" s="63" t="str">
        <f>IFERROR(INDEX(基础资料!$F$4:$F$23,MATCH($C1940,基础资料!$E$4:$E$23,0)),IF($C1940="","","未匹配账户"))</f>
        <v/>
      </c>
      <c r="E1940" s="39"/>
      <c r="F1940" s="10"/>
      <c r="G1940" s="10"/>
      <c r="H1940" s="10"/>
      <c r="I1940" s="10"/>
      <c r="J1940" s="10"/>
      <c r="K1940" s="25"/>
      <c r="L1940" s="25"/>
      <c r="M1940" s="25" t="str">
        <f>IFERROR(VLOOKUP($C1940,$C$5:$M$24,11,0)+SUMIF($C$25:$C1940,$C1940,$K$25:$K1940)-SUMIF($C$25:$C1940,$C1940,$L$25:$L1940),"")</f>
        <v/>
      </c>
      <c r="N1940" s="10"/>
      <c r="O1940" s="10"/>
      <c r="P1940" s="65"/>
      <c r="Q1940" s="10"/>
      <c r="R1940" s="10"/>
      <c r="S1940" s="54" t="str">
        <f t="shared" si="96"/>
        <v/>
      </c>
      <c r="T1940" s="54" t="str">
        <f t="shared" si="97"/>
        <v/>
      </c>
      <c r="U1940" s="58" t="str">
        <f t="shared" si="98"/>
        <v/>
      </c>
      <c r="V1940" s="58">
        <f>IF(AND($B1940&lt;&gt;"",$F1940&lt;&gt;"",$F1940=项目明细账!$C$2),N(V1939)+1,N(V1939))</f>
        <v>0</v>
      </c>
      <c r="W1940" s="63" t="str">
        <f>IF($H1940&lt;&gt;"","项目成本",IFERROR(INDEX(基础资料!$W$4:$W$49,MATCH($I1940,基础资料!$V$4:$V$49,0)),""))</f>
        <v/>
      </c>
      <c r="X1940" s="63" t="str">
        <f>IFERROR(INDEX(基础资料!$R$4:$R$17,MATCH($G1940,基础资料!$Q$4:$Q$17,0)),"")</f>
        <v/>
      </c>
    </row>
    <row r="1941" spans="1:24">
      <c r="A1941" s="58" t="str">
        <f>IF($B1941="","",COUNTA($B$5:$B1941))</f>
        <v/>
      </c>
      <c r="B1941" s="53"/>
      <c r="C1941" s="46"/>
      <c r="D1941" s="63" t="str">
        <f>IFERROR(INDEX(基础资料!$F$4:$F$23,MATCH($C1941,基础资料!$E$4:$E$23,0)),IF($C1941="","","未匹配账户"))</f>
        <v/>
      </c>
      <c r="E1941" s="39"/>
      <c r="F1941" s="10"/>
      <c r="G1941" s="10"/>
      <c r="H1941" s="10"/>
      <c r="I1941" s="10"/>
      <c r="J1941" s="10"/>
      <c r="K1941" s="25"/>
      <c r="L1941" s="25"/>
      <c r="M1941" s="25" t="str">
        <f>IFERROR(VLOOKUP($C1941,$C$5:$M$24,11,0)+SUMIF($C$25:$C1941,$C1941,$K$25:$K1941)-SUMIF($C$25:$C1941,$C1941,$L$25:$L1941),"")</f>
        <v/>
      </c>
      <c r="N1941" s="10"/>
      <c r="O1941" s="10"/>
      <c r="P1941" s="65"/>
      <c r="Q1941" s="10"/>
      <c r="R1941" s="10"/>
      <c r="S1941" s="54" t="str">
        <f t="shared" si="96"/>
        <v/>
      </c>
      <c r="T1941" s="54" t="str">
        <f t="shared" si="97"/>
        <v/>
      </c>
      <c r="U1941" s="58" t="str">
        <f t="shared" si="98"/>
        <v/>
      </c>
      <c r="V1941" s="58">
        <f>IF(AND($B1941&lt;&gt;"",$F1941&lt;&gt;"",$F1941=项目明细账!$C$2),N(V1940)+1,N(V1940))</f>
        <v>0</v>
      </c>
      <c r="W1941" s="63" t="str">
        <f>IF($H1941&lt;&gt;"","项目成本",IFERROR(INDEX(基础资料!$W$4:$W$49,MATCH($I1941,基础资料!$V$4:$V$49,0)),""))</f>
        <v/>
      </c>
      <c r="X1941" s="63" t="str">
        <f>IFERROR(INDEX(基础资料!$R$4:$R$17,MATCH($G1941,基础资料!$Q$4:$Q$17,0)),"")</f>
        <v/>
      </c>
    </row>
    <row r="1942" spans="1:24">
      <c r="A1942" s="58" t="str">
        <f>IF($B1942="","",COUNTA($B$5:$B1942))</f>
        <v/>
      </c>
      <c r="B1942" s="53"/>
      <c r="C1942" s="46"/>
      <c r="D1942" s="63" t="str">
        <f>IFERROR(INDEX(基础资料!$F$4:$F$23,MATCH($C1942,基础资料!$E$4:$E$23,0)),IF($C1942="","","未匹配账户"))</f>
        <v/>
      </c>
      <c r="E1942" s="39"/>
      <c r="F1942" s="10"/>
      <c r="G1942" s="10"/>
      <c r="H1942" s="10"/>
      <c r="I1942" s="10"/>
      <c r="J1942" s="10"/>
      <c r="K1942" s="25"/>
      <c r="L1942" s="25"/>
      <c r="M1942" s="25" t="str">
        <f>IFERROR(VLOOKUP($C1942,$C$5:$M$24,11,0)+SUMIF($C$25:$C1942,$C1942,$K$25:$K1942)-SUMIF($C$25:$C1942,$C1942,$L$25:$L1942),"")</f>
        <v/>
      </c>
      <c r="N1942" s="10"/>
      <c r="O1942" s="10"/>
      <c r="P1942" s="65"/>
      <c r="Q1942" s="10"/>
      <c r="R1942" s="10"/>
      <c r="S1942" s="54" t="str">
        <f t="shared" si="96"/>
        <v/>
      </c>
      <c r="T1942" s="54" t="str">
        <f t="shared" si="97"/>
        <v/>
      </c>
      <c r="U1942" s="58" t="str">
        <f t="shared" si="98"/>
        <v/>
      </c>
      <c r="V1942" s="58">
        <f>IF(AND($B1942&lt;&gt;"",$F1942&lt;&gt;"",$F1942=项目明细账!$C$2),N(V1941)+1,N(V1941))</f>
        <v>0</v>
      </c>
      <c r="W1942" s="63" t="str">
        <f>IF($H1942&lt;&gt;"","项目成本",IFERROR(INDEX(基础资料!$W$4:$W$49,MATCH($I1942,基础资料!$V$4:$V$49,0)),""))</f>
        <v/>
      </c>
      <c r="X1942" s="63" t="str">
        <f>IFERROR(INDEX(基础资料!$R$4:$R$17,MATCH($G1942,基础资料!$Q$4:$Q$17,0)),"")</f>
        <v/>
      </c>
    </row>
    <row r="1943" spans="1:24">
      <c r="A1943" s="58" t="str">
        <f>IF($B1943="","",COUNTA($B$5:$B1943))</f>
        <v/>
      </c>
      <c r="B1943" s="53"/>
      <c r="C1943" s="46"/>
      <c r="D1943" s="63" t="str">
        <f>IFERROR(INDEX(基础资料!$F$4:$F$23,MATCH($C1943,基础资料!$E$4:$E$23,0)),IF($C1943="","","未匹配账户"))</f>
        <v/>
      </c>
      <c r="E1943" s="39"/>
      <c r="F1943" s="10"/>
      <c r="G1943" s="10"/>
      <c r="H1943" s="10"/>
      <c r="I1943" s="10"/>
      <c r="J1943" s="10"/>
      <c r="K1943" s="25"/>
      <c r="L1943" s="25"/>
      <c r="M1943" s="25" t="str">
        <f>IFERROR(VLOOKUP($C1943,$C$5:$M$24,11,0)+SUMIF($C$25:$C1943,$C1943,$K$25:$K1943)-SUMIF($C$25:$C1943,$C1943,$L$25:$L1943),"")</f>
        <v/>
      </c>
      <c r="N1943" s="10"/>
      <c r="O1943" s="10"/>
      <c r="P1943" s="65"/>
      <c r="Q1943" s="10"/>
      <c r="R1943" s="10"/>
      <c r="S1943" s="54" t="str">
        <f t="shared" si="96"/>
        <v/>
      </c>
      <c r="T1943" s="54" t="str">
        <f t="shared" si="97"/>
        <v/>
      </c>
      <c r="U1943" s="58" t="str">
        <f t="shared" si="98"/>
        <v/>
      </c>
      <c r="V1943" s="58">
        <f>IF(AND($B1943&lt;&gt;"",$F1943&lt;&gt;"",$F1943=项目明细账!$C$2),N(V1942)+1,N(V1942))</f>
        <v>0</v>
      </c>
      <c r="W1943" s="63" t="str">
        <f>IF($H1943&lt;&gt;"","项目成本",IFERROR(INDEX(基础资料!$W$4:$W$49,MATCH($I1943,基础资料!$V$4:$V$49,0)),""))</f>
        <v/>
      </c>
      <c r="X1943" s="63" t="str">
        <f>IFERROR(INDEX(基础资料!$R$4:$R$17,MATCH($G1943,基础资料!$Q$4:$Q$17,0)),"")</f>
        <v/>
      </c>
    </row>
    <row r="1944" spans="1:24">
      <c r="A1944" s="58" t="str">
        <f>IF($B1944="","",COUNTA($B$5:$B1944))</f>
        <v/>
      </c>
      <c r="B1944" s="53"/>
      <c r="C1944" s="46"/>
      <c r="D1944" s="63" t="str">
        <f>IFERROR(INDEX(基础资料!$F$4:$F$23,MATCH($C1944,基础资料!$E$4:$E$23,0)),IF($C1944="","","未匹配账户"))</f>
        <v/>
      </c>
      <c r="E1944" s="39"/>
      <c r="F1944" s="10"/>
      <c r="G1944" s="10"/>
      <c r="H1944" s="10"/>
      <c r="I1944" s="10"/>
      <c r="J1944" s="10"/>
      <c r="K1944" s="25"/>
      <c r="L1944" s="25"/>
      <c r="M1944" s="25" t="str">
        <f>IFERROR(VLOOKUP($C1944,$C$5:$M$24,11,0)+SUMIF($C$25:$C1944,$C1944,$K$25:$K1944)-SUMIF($C$25:$C1944,$C1944,$L$25:$L1944),"")</f>
        <v/>
      </c>
      <c r="N1944" s="10"/>
      <c r="O1944" s="10"/>
      <c r="P1944" s="65"/>
      <c r="Q1944" s="10"/>
      <c r="R1944" s="10"/>
      <c r="S1944" s="54" t="str">
        <f t="shared" si="96"/>
        <v/>
      </c>
      <c r="T1944" s="54" t="str">
        <f t="shared" si="97"/>
        <v/>
      </c>
      <c r="U1944" s="58" t="str">
        <f t="shared" si="98"/>
        <v/>
      </c>
      <c r="V1944" s="58">
        <f>IF(AND($B1944&lt;&gt;"",$F1944&lt;&gt;"",$F1944=项目明细账!$C$2),N(V1943)+1,N(V1943))</f>
        <v>0</v>
      </c>
      <c r="W1944" s="63" t="str">
        <f>IF($H1944&lt;&gt;"","项目成本",IFERROR(INDEX(基础资料!$W$4:$W$49,MATCH($I1944,基础资料!$V$4:$V$49,0)),""))</f>
        <v/>
      </c>
      <c r="X1944" s="63" t="str">
        <f>IFERROR(INDEX(基础资料!$R$4:$R$17,MATCH($G1944,基础资料!$Q$4:$Q$17,0)),"")</f>
        <v/>
      </c>
    </row>
    <row r="1945" spans="1:24">
      <c r="A1945" s="58" t="str">
        <f>IF($B1945="","",COUNTA($B$5:$B1945))</f>
        <v/>
      </c>
      <c r="B1945" s="53"/>
      <c r="C1945" s="46"/>
      <c r="D1945" s="63" t="str">
        <f>IFERROR(INDEX(基础资料!$F$4:$F$23,MATCH($C1945,基础资料!$E$4:$E$23,0)),IF($C1945="","","未匹配账户"))</f>
        <v/>
      </c>
      <c r="E1945" s="39"/>
      <c r="F1945" s="10"/>
      <c r="G1945" s="10"/>
      <c r="H1945" s="10"/>
      <c r="I1945" s="10"/>
      <c r="J1945" s="10"/>
      <c r="K1945" s="25"/>
      <c r="L1945" s="25"/>
      <c r="M1945" s="25" t="str">
        <f>IFERROR(VLOOKUP($C1945,$C$5:$M$24,11,0)+SUMIF($C$25:$C1945,$C1945,$K$25:$K1945)-SUMIF($C$25:$C1945,$C1945,$L$25:$L1945),"")</f>
        <v/>
      </c>
      <c r="N1945" s="10"/>
      <c r="O1945" s="10"/>
      <c r="P1945" s="65"/>
      <c r="Q1945" s="10"/>
      <c r="R1945" s="10"/>
      <c r="S1945" s="54" t="str">
        <f t="shared" si="96"/>
        <v/>
      </c>
      <c r="T1945" s="54" t="str">
        <f t="shared" si="97"/>
        <v/>
      </c>
      <c r="U1945" s="58" t="str">
        <f t="shared" si="98"/>
        <v/>
      </c>
      <c r="V1945" s="58">
        <f>IF(AND($B1945&lt;&gt;"",$F1945&lt;&gt;"",$F1945=项目明细账!$C$2),N(V1944)+1,N(V1944))</f>
        <v>0</v>
      </c>
      <c r="W1945" s="63" t="str">
        <f>IF($H1945&lt;&gt;"","项目成本",IFERROR(INDEX(基础资料!$W$4:$W$49,MATCH($I1945,基础资料!$V$4:$V$49,0)),""))</f>
        <v/>
      </c>
      <c r="X1945" s="63" t="str">
        <f>IFERROR(INDEX(基础资料!$R$4:$R$17,MATCH($G1945,基础资料!$Q$4:$Q$17,0)),"")</f>
        <v/>
      </c>
    </row>
    <row r="1946" spans="1:24">
      <c r="A1946" s="58" t="str">
        <f>IF($B1946="","",COUNTA($B$5:$B1946))</f>
        <v/>
      </c>
      <c r="B1946" s="53"/>
      <c r="C1946" s="46"/>
      <c r="D1946" s="63" t="str">
        <f>IFERROR(INDEX(基础资料!$F$4:$F$23,MATCH($C1946,基础资料!$E$4:$E$23,0)),IF($C1946="","","未匹配账户"))</f>
        <v/>
      </c>
      <c r="E1946" s="39"/>
      <c r="F1946" s="10"/>
      <c r="G1946" s="10"/>
      <c r="H1946" s="10"/>
      <c r="I1946" s="10"/>
      <c r="J1946" s="10"/>
      <c r="K1946" s="25"/>
      <c r="L1946" s="25"/>
      <c r="M1946" s="25" t="str">
        <f>IFERROR(VLOOKUP($C1946,$C$5:$M$24,11,0)+SUMIF($C$25:$C1946,$C1946,$K$25:$K1946)-SUMIF($C$25:$C1946,$C1946,$L$25:$L1946),"")</f>
        <v/>
      </c>
      <c r="N1946" s="10"/>
      <c r="O1946" s="10"/>
      <c r="P1946" s="65"/>
      <c r="Q1946" s="10"/>
      <c r="R1946" s="10"/>
      <c r="S1946" s="54" t="str">
        <f t="shared" si="96"/>
        <v/>
      </c>
      <c r="T1946" s="54" t="str">
        <f t="shared" si="97"/>
        <v/>
      </c>
      <c r="U1946" s="58" t="str">
        <f t="shared" si="98"/>
        <v/>
      </c>
      <c r="V1946" s="58">
        <f>IF(AND($B1946&lt;&gt;"",$F1946&lt;&gt;"",$F1946=项目明细账!$C$2),N(V1945)+1,N(V1945))</f>
        <v>0</v>
      </c>
      <c r="W1946" s="63" t="str">
        <f>IF($H1946&lt;&gt;"","项目成本",IFERROR(INDEX(基础资料!$W$4:$W$49,MATCH($I1946,基础资料!$V$4:$V$49,0)),""))</f>
        <v/>
      </c>
      <c r="X1946" s="63" t="str">
        <f>IFERROR(INDEX(基础资料!$R$4:$R$17,MATCH($G1946,基础资料!$Q$4:$Q$17,0)),"")</f>
        <v/>
      </c>
    </row>
    <row r="1947" spans="1:24">
      <c r="A1947" s="58" t="str">
        <f>IF($B1947="","",COUNTA($B$5:$B1947))</f>
        <v/>
      </c>
      <c r="B1947" s="53"/>
      <c r="C1947" s="46"/>
      <c r="D1947" s="63" t="str">
        <f>IFERROR(INDEX(基础资料!$F$4:$F$23,MATCH($C1947,基础资料!$E$4:$E$23,0)),IF($C1947="","","未匹配账户"))</f>
        <v/>
      </c>
      <c r="E1947" s="39"/>
      <c r="F1947" s="10"/>
      <c r="G1947" s="10"/>
      <c r="H1947" s="10"/>
      <c r="I1947" s="10"/>
      <c r="J1947" s="10"/>
      <c r="K1947" s="25"/>
      <c r="L1947" s="25"/>
      <c r="M1947" s="25" t="str">
        <f>IFERROR(VLOOKUP($C1947,$C$5:$M$24,11,0)+SUMIF($C$25:$C1947,$C1947,$K$25:$K1947)-SUMIF($C$25:$C1947,$C1947,$L$25:$L1947),"")</f>
        <v/>
      </c>
      <c r="N1947" s="10"/>
      <c r="O1947" s="10"/>
      <c r="P1947" s="65"/>
      <c r="Q1947" s="10"/>
      <c r="R1947" s="10"/>
      <c r="S1947" s="54" t="str">
        <f t="shared" si="96"/>
        <v/>
      </c>
      <c r="T1947" s="54" t="str">
        <f t="shared" si="97"/>
        <v/>
      </c>
      <c r="U1947" s="58" t="str">
        <f t="shared" si="98"/>
        <v/>
      </c>
      <c r="V1947" s="58">
        <f>IF(AND($B1947&lt;&gt;"",$F1947&lt;&gt;"",$F1947=项目明细账!$C$2),N(V1946)+1,N(V1946))</f>
        <v>0</v>
      </c>
      <c r="W1947" s="63" t="str">
        <f>IF($H1947&lt;&gt;"","项目成本",IFERROR(INDEX(基础资料!$W$4:$W$49,MATCH($I1947,基础资料!$V$4:$V$49,0)),""))</f>
        <v/>
      </c>
      <c r="X1947" s="63" t="str">
        <f>IFERROR(INDEX(基础资料!$R$4:$R$17,MATCH($G1947,基础资料!$Q$4:$Q$17,0)),"")</f>
        <v/>
      </c>
    </row>
    <row r="1948" spans="1:24">
      <c r="A1948" s="58" t="str">
        <f>IF($B1948="","",COUNTA($B$5:$B1948))</f>
        <v/>
      </c>
      <c r="B1948" s="53"/>
      <c r="C1948" s="46"/>
      <c r="D1948" s="63" t="str">
        <f>IFERROR(INDEX(基础资料!$F$4:$F$23,MATCH($C1948,基础资料!$E$4:$E$23,0)),IF($C1948="","","未匹配账户"))</f>
        <v/>
      </c>
      <c r="E1948" s="39"/>
      <c r="F1948" s="10"/>
      <c r="G1948" s="10"/>
      <c r="H1948" s="10"/>
      <c r="I1948" s="10"/>
      <c r="J1948" s="10"/>
      <c r="K1948" s="25"/>
      <c r="L1948" s="25"/>
      <c r="M1948" s="25" t="str">
        <f>IFERROR(VLOOKUP($C1948,$C$5:$M$24,11,0)+SUMIF($C$25:$C1948,$C1948,$K$25:$K1948)-SUMIF($C$25:$C1948,$C1948,$L$25:$L1948),"")</f>
        <v/>
      </c>
      <c r="N1948" s="10"/>
      <c r="O1948" s="10"/>
      <c r="P1948" s="65"/>
      <c r="Q1948" s="10"/>
      <c r="R1948" s="10"/>
      <c r="S1948" s="54" t="str">
        <f t="shared" si="96"/>
        <v/>
      </c>
      <c r="T1948" s="54" t="str">
        <f t="shared" si="97"/>
        <v/>
      </c>
      <c r="U1948" s="58" t="str">
        <f t="shared" si="98"/>
        <v/>
      </c>
      <c r="V1948" s="58">
        <f>IF(AND($B1948&lt;&gt;"",$F1948&lt;&gt;"",$F1948=项目明细账!$C$2),N(V1947)+1,N(V1947))</f>
        <v>0</v>
      </c>
      <c r="W1948" s="63" t="str">
        <f>IF($H1948&lt;&gt;"","项目成本",IFERROR(INDEX(基础资料!$W$4:$W$49,MATCH($I1948,基础资料!$V$4:$V$49,0)),""))</f>
        <v/>
      </c>
      <c r="X1948" s="63" t="str">
        <f>IFERROR(INDEX(基础资料!$R$4:$R$17,MATCH($G1948,基础资料!$Q$4:$Q$17,0)),"")</f>
        <v/>
      </c>
    </row>
    <row r="1949" spans="1:24">
      <c r="A1949" s="58" t="str">
        <f>IF($B1949="","",COUNTA($B$5:$B1949))</f>
        <v/>
      </c>
      <c r="B1949" s="53"/>
      <c r="C1949" s="46"/>
      <c r="D1949" s="63" t="str">
        <f>IFERROR(INDEX(基础资料!$F$4:$F$23,MATCH($C1949,基础资料!$E$4:$E$23,0)),IF($C1949="","","未匹配账户"))</f>
        <v/>
      </c>
      <c r="E1949" s="39"/>
      <c r="F1949" s="10"/>
      <c r="G1949" s="10"/>
      <c r="H1949" s="10"/>
      <c r="I1949" s="10"/>
      <c r="J1949" s="10"/>
      <c r="K1949" s="25"/>
      <c r="L1949" s="25"/>
      <c r="M1949" s="25" t="str">
        <f>IFERROR(VLOOKUP($C1949,$C$5:$M$24,11,0)+SUMIF($C$25:$C1949,$C1949,$K$25:$K1949)-SUMIF($C$25:$C1949,$C1949,$L$25:$L1949),"")</f>
        <v/>
      </c>
      <c r="N1949" s="10"/>
      <c r="O1949" s="10"/>
      <c r="P1949" s="65"/>
      <c r="Q1949" s="10"/>
      <c r="R1949" s="10"/>
      <c r="S1949" s="54" t="str">
        <f t="shared" si="96"/>
        <v/>
      </c>
      <c r="T1949" s="54" t="str">
        <f t="shared" si="97"/>
        <v/>
      </c>
      <c r="U1949" s="58" t="str">
        <f t="shared" si="98"/>
        <v/>
      </c>
      <c r="V1949" s="58">
        <f>IF(AND($B1949&lt;&gt;"",$F1949&lt;&gt;"",$F1949=项目明细账!$C$2),N(V1948)+1,N(V1948))</f>
        <v>0</v>
      </c>
      <c r="W1949" s="63" t="str">
        <f>IF($H1949&lt;&gt;"","项目成本",IFERROR(INDEX(基础资料!$W$4:$W$49,MATCH($I1949,基础资料!$V$4:$V$49,0)),""))</f>
        <v/>
      </c>
      <c r="X1949" s="63" t="str">
        <f>IFERROR(INDEX(基础资料!$R$4:$R$17,MATCH($G1949,基础资料!$Q$4:$Q$17,0)),"")</f>
        <v/>
      </c>
    </row>
    <row r="1950" spans="1:24">
      <c r="A1950" s="58" t="str">
        <f>IF($B1950="","",COUNTA($B$5:$B1950))</f>
        <v/>
      </c>
      <c r="B1950" s="53"/>
      <c r="C1950" s="46"/>
      <c r="D1950" s="63" t="str">
        <f>IFERROR(INDEX(基础资料!$F$4:$F$23,MATCH($C1950,基础资料!$E$4:$E$23,0)),IF($C1950="","","未匹配账户"))</f>
        <v/>
      </c>
      <c r="E1950" s="39"/>
      <c r="F1950" s="10"/>
      <c r="G1950" s="10"/>
      <c r="H1950" s="10"/>
      <c r="I1950" s="10"/>
      <c r="J1950" s="10"/>
      <c r="K1950" s="25"/>
      <c r="L1950" s="25"/>
      <c r="M1950" s="25" t="str">
        <f>IFERROR(VLOOKUP($C1950,$C$5:$M$24,11,0)+SUMIF($C$25:$C1950,$C1950,$K$25:$K1950)-SUMIF($C$25:$C1950,$C1950,$L$25:$L1950),"")</f>
        <v/>
      </c>
      <c r="N1950" s="10"/>
      <c r="O1950" s="10"/>
      <c r="P1950" s="65"/>
      <c r="Q1950" s="10"/>
      <c r="R1950" s="10"/>
      <c r="S1950" s="54" t="str">
        <f t="shared" si="96"/>
        <v/>
      </c>
      <c r="T1950" s="54" t="str">
        <f t="shared" si="97"/>
        <v/>
      </c>
      <c r="U1950" s="58" t="str">
        <f t="shared" si="98"/>
        <v/>
      </c>
      <c r="V1950" s="58">
        <f>IF(AND($B1950&lt;&gt;"",$F1950&lt;&gt;"",$F1950=项目明细账!$C$2),N(V1949)+1,N(V1949))</f>
        <v>0</v>
      </c>
      <c r="W1950" s="63" t="str">
        <f>IF($H1950&lt;&gt;"","项目成本",IFERROR(INDEX(基础资料!$W$4:$W$49,MATCH($I1950,基础资料!$V$4:$V$49,0)),""))</f>
        <v/>
      </c>
      <c r="X1950" s="63" t="str">
        <f>IFERROR(INDEX(基础资料!$R$4:$R$17,MATCH($G1950,基础资料!$Q$4:$Q$17,0)),"")</f>
        <v/>
      </c>
    </row>
    <row r="1951" spans="1:24">
      <c r="A1951" s="58" t="str">
        <f>IF($B1951="","",COUNTA($B$5:$B1951))</f>
        <v/>
      </c>
      <c r="B1951" s="53"/>
      <c r="C1951" s="46"/>
      <c r="D1951" s="63" t="str">
        <f>IFERROR(INDEX(基础资料!$F$4:$F$23,MATCH($C1951,基础资料!$E$4:$E$23,0)),IF($C1951="","","未匹配账户"))</f>
        <v/>
      </c>
      <c r="E1951" s="39"/>
      <c r="F1951" s="10"/>
      <c r="G1951" s="10"/>
      <c r="H1951" s="10"/>
      <c r="I1951" s="10"/>
      <c r="J1951" s="10"/>
      <c r="K1951" s="25"/>
      <c r="L1951" s="25"/>
      <c r="M1951" s="25" t="str">
        <f>IFERROR(VLOOKUP($C1951,$C$5:$M$24,11,0)+SUMIF($C$25:$C1951,$C1951,$K$25:$K1951)-SUMIF($C$25:$C1951,$C1951,$L$25:$L1951),"")</f>
        <v/>
      </c>
      <c r="N1951" s="10"/>
      <c r="O1951" s="10"/>
      <c r="P1951" s="65"/>
      <c r="Q1951" s="10"/>
      <c r="R1951" s="10"/>
      <c r="S1951" s="54" t="str">
        <f t="shared" si="96"/>
        <v/>
      </c>
      <c r="T1951" s="54" t="str">
        <f t="shared" si="97"/>
        <v/>
      </c>
      <c r="U1951" s="58" t="str">
        <f t="shared" si="98"/>
        <v/>
      </c>
      <c r="V1951" s="58">
        <f>IF(AND($B1951&lt;&gt;"",$F1951&lt;&gt;"",$F1951=项目明细账!$C$2),N(V1950)+1,N(V1950))</f>
        <v>0</v>
      </c>
      <c r="W1951" s="63" t="str">
        <f>IF($H1951&lt;&gt;"","项目成本",IFERROR(INDEX(基础资料!$W$4:$W$49,MATCH($I1951,基础资料!$V$4:$V$49,0)),""))</f>
        <v/>
      </c>
      <c r="X1951" s="63" t="str">
        <f>IFERROR(INDEX(基础资料!$R$4:$R$17,MATCH($G1951,基础资料!$Q$4:$Q$17,0)),"")</f>
        <v/>
      </c>
    </row>
    <row r="1952" spans="1:24">
      <c r="A1952" s="58" t="str">
        <f>IF($B1952="","",COUNTA($B$5:$B1952))</f>
        <v/>
      </c>
      <c r="B1952" s="53"/>
      <c r="C1952" s="46"/>
      <c r="D1952" s="63" t="str">
        <f>IFERROR(INDEX(基础资料!$F$4:$F$23,MATCH($C1952,基础资料!$E$4:$E$23,0)),IF($C1952="","","未匹配账户"))</f>
        <v/>
      </c>
      <c r="E1952" s="39"/>
      <c r="F1952" s="10"/>
      <c r="G1952" s="10"/>
      <c r="H1952" s="10"/>
      <c r="I1952" s="10"/>
      <c r="J1952" s="10"/>
      <c r="K1952" s="25"/>
      <c r="L1952" s="25"/>
      <c r="M1952" s="25" t="str">
        <f>IFERROR(VLOOKUP($C1952,$C$5:$M$24,11,0)+SUMIF($C$25:$C1952,$C1952,$K$25:$K1952)-SUMIF($C$25:$C1952,$C1952,$L$25:$L1952),"")</f>
        <v/>
      </c>
      <c r="N1952" s="10"/>
      <c r="O1952" s="10"/>
      <c r="P1952" s="65"/>
      <c r="Q1952" s="10"/>
      <c r="R1952" s="10"/>
      <c r="S1952" s="54" t="str">
        <f t="shared" si="96"/>
        <v/>
      </c>
      <c r="T1952" s="54" t="str">
        <f t="shared" si="97"/>
        <v/>
      </c>
      <c r="U1952" s="58" t="str">
        <f t="shared" si="98"/>
        <v/>
      </c>
      <c r="V1952" s="58">
        <f>IF(AND($B1952&lt;&gt;"",$F1952&lt;&gt;"",$F1952=项目明细账!$C$2),N(V1951)+1,N(V1951))</f>
        <v>0</v>
      </c>
      <c r="W1952" s="63" t="str">
        <f>IF($H1952&lt;&gt;"","项目成本",IFERROR(INDEX(基础资料!$W$4:$W$49,MATCH($I1952,基础资料!$V$4:$V$49,0)),""))</f>
        <v/>
      </c>
      <c r="X1952" s="63" t="str">
        <f>IFERROR(INDEX(基础资料!$R$4:$R$17,MATCH($G1952,基础资料!$Q$4:$Q$17,0)),"")</f>
        <v/>
      </c>
    </row>
    <row r="1953" spans="1:24">
      <c r="A1953" s="58" t="str">
        <f>IF($B1953="","",COUNTA($B$5:$B1953))</f>
        <v/>
      </c>
      <c r="B1953" s="53"/>
      <c r="C1953" s="46"/>
      <c r="D1953" s="63" t="str">
        <f>IFERROR(INDEX(基础资料!$F$4:$F$23,MATCH($C1953,基础资料!$E$4:$E$23,0)),IF($C1953="","","未匹配账户"))</f>
        <v/>
      </c>
      <c r="E1953" s="39"/>
      <c r="F1953" s="10"/>
      <c r="G1953" s="10"/>
      <c r="H1953" s="10"/>
      <c r="I1953" s="10"/>
      <c r="J1953" s="10"/>
      <c r="K1953" s="25"/>
      <c r="L1953" s="25"/>
      <c r="M1953" s="25" t="str">
        <f>IFERROR(VLOOKUP($C1953,$C$5:$M$24,11,0)+SUMIF($C$25:$C1953,$C1953,$K$25:$K1953)-SUMIF($C$25:$C1953,$C1953,$L$25:$L1953),"")</f>
        <v/>
      </c>
      <c r="N1953" s="10"/>
      <c r="O1953" s="10"/>
      <c r="P1953" s="65"/>
      <c r="Q1953" s="10"/>
      <c r="R1953" s="10"/>
      <c r="S1953" s="54" t="str">
        <f t="shared" si="96"/>
        <v/>
      </c>
      <c r="T1953" s="54" t="str">
        <f t="shared" si="97"/>
        <v/>
      </c>
      <c r="U1953" s="58" t="str">
        <f t="shared" si="98"/>
        <v/>
      </c>
      <c r="V1953" s="58">
        <f>IF(AND($B1953&lt;&gt;"",$F1953&lt;&gt;"",$F1953=项目明细账!$C$2),N(V1952)+1,N(V1952))</f>
        <v>0</v>
      </c>
      <c r="W1953" s="63" t="str">
        <f>IF($H1953&lt;&gt;"","项目成本",IFERROR(INDEX(基础资料!$W$4:$W$49,MATCH($I1953,基础资料!$V$4:$V$49,0)),""))</f>
        <v/>
      </c>
      <c r="X1953" s="63" t="str">
        <f>IFERROR(INDEX(基础资料!$R$4:$R$17,MATCH($G1953,基础资料!$Q$4:$Q$17,0)),"")</f>
        <v/>
      </c>
    </row>
    <row r="1954" spans="1:24">
      <c r="A1954" s="58" t="str">
        <f>IF($B1954="","",COUNTA($B$5:$B1954))</f>
        <v/>
      </c>
      <c r="B1954" s="53"/>
      <c r="C1954" s="46"/>
      <c r="D1954" s="63" t="str">
        <f>IFERROR(INDEX(基础资料!$F$4:$F$23,MATCH($C1954,基础资料!$E$4:$E$23,0)),IF($C1954="","","未匹配账户"))</f>
        <v/>
      </c>
      <c r="E1954" s="39"/>
      <c r="F1954" s="10"/>
      <c r="G1954" s="10"/>
      <c r="H1954" s="10"/>
      <c r="I1954" s="10"/>
      <c r="J1954" s="10"/>
      <c r="K1954" s="25"/>
      <c r="L1954" s="25"/>
      <c r="M1954" s="25" t="str">
        <f>IFERROR(VLOOKUP($C1954,$C$5:$M$24,11,0)+SUMIF($C$25:$C1954,$C1954,$K$25:$K1954)-SUMIF($C$25:$C1954,$C1954,$L$25:$L1954),"")</f>
        <v/>
      </c>
      <c r="N1954" s="10"/>
      <c r="O1954" s="10"/>
      <c r="P1954" s="65"/>
      <c r="Q1954" s="10"/>
      <c r="R1954" s="10"/>
      <c r="S1954" s="54" t="str">
        <f t="shared" si="96"/>
        <v/>
      </c>
      <c r="T1954" s="54" t="str">
        <f t="shared" si="97"/>
        <v/>
      </c>
      <c r="U1954" s="58" t="str">
        <f t="shared" si="98"/>
        <v/>
      </c>
      <c r="V1954" s="58">
        <f>IF(AND($B1954&lt;&gt;"",$F1954&lt;&gt;"",$F1954=项目明细账!$C$2),N(V1953)+1,N(V1953))</f>
        <v>0</v>
      </c>
      <c r="W1954" s="63" t="str">
        <f>IF($H1954&lt;&gt;"","项目成本",IFERROR(INDEX(基础资料!$W$4:$W$49,MATCH($I1954,基础资料!$V$4:$V$49,0)),""))</f>
        <v/>
      </c>
      <c r="X1954" s="63" t="str">
        <f>IFERROR(INDEX(基础资料!$R$4:$R$17,MATCH($G1954,基础资料!$Q$4:$Q$17,0)),"")</f>
        <v/>
      </c>
    </row>
    <row r="1955" spans="1:24">
      <c r="A1955" s="58" t="str">
        <f>IF($B1955="","",COUNTA($B$5:$B1955))</f>
        <v/>
      </c>
      <c r="B1955" s="53"/>
      <c r="C1955" s="46"/>
      <c r="D1955" s="63" t="str">
        <f>IFERROR(INDEX(基础资料!$F$4:$F$23,MATCH($C1955,基础资料!$E$4:$E$23,0)),IF($C1955="","","未匹配账户"))</f>
        <v/>
      </c>
      <c r="E1955" s="39"/>
      <c r="F1955" s="10"/>
      <c r="G1955" s="10"/>
      <c r="H1955" s="10"/>
      <c r="I1955" s="10"/>
      <c r="J1955" s="10"/>
      <c r="K1955" s="25"/>
      <c r="L1955" s="25"/>
      <c r="M1955" s="25" t="str">
        <f>IFERROR(VLOOKUP($C1955,$C$5:$M$24,11,0)+SUMIF($C$25:$C1955,$C1955,$K$25:$K1955)-SUMIF($C$25:$C1955,$C1955,$L$25:$L1955),"")</f>
        <v/>
      </c>
      <c r="N1955" s="10"/>
      <c r="O1955" s="10"/>
      <c r="P1955" s="65"/>
      <c r="Q1955" s="10"/>
      <c r="R1955" s="10"/>
      <c r="S1955" s="54" t="str">
        <f t="shared" si="96"/>
        <v/>
      </c>
      <c r="T1955" s="54" t="str">
        <f t="shared" si="97"/>
        <v/>
      </c>
      <c r="U1955" s="58" t="str">
        <f t="shared" si="98"/>
        <v/>
      </c>
      <c r="V1955" s="58">
        <f>IF(AND($B1955&lt;&gt;"",$F1955&lt;&gt;"",$F1955=项目明细账!$C$2),N(V1954)+1,N(V1954))</f>
        <v>0</v>
      </c>
      <c r="W1955" s="63" t="str">
        <f>IF($H1955&lt;&gt;"","项目成本",IFERROR(INDEX(基础资料!$W$4:$W$49,MATCH($I1955,基础资料!$V$4:$V$49,0)),""))</f>
        <v/>
      </c>
      <c r="X1955" s="63" t="str">
        <f>IFERROR(INDEX(基础资料!$R$4:$R$17,MATCH($G1955,基础资料!$Q$4:$Q$17,0)),"")</f>
        <v/>
      </c>
    </row>
    <row r="1956" spans="1:24">
      <c r="A1956" s="58" t="str">
        <f>IF($B1956="","",COUNTA($B$5:$B1956))</f>
        <v/>
      </c>
      <c r="B1956" s="53"/>
      <c r="C1956" s="46"/>
      <c r="D1956" s="63" t="str">
        <f>IFERROR(INDEX(基础资料!$F$4:$F$23,MATCH($C1956,基础资料!$E$4:$E$23,0)),IF($C1956="","","未匹配账户"))</f>
        <v/>
      </c>
      <c r="E1956" s="39"/>
      <c r="F1956" s="10"/>
      <c r="G1956" s="10"/>
      <c r="H1956" s="10"/>
      <c r="I1956" s="10"/>
      <c r="J1956" s="10"/>
      <c r="K1956" s="25"/>
      <c r="L1956" s="25"/>
      <c r="M1956" s="25" t="str">
        <f>IFERROR(VLOOKUP($C1956,$C$5:$M$24,11,0)+SUMIF($C$25:$C1956,$C1956,$K$25:$K1956)-SUMIF($C$25:$C1956,$C1956,$L$25:$L1956),"")</f>
        <v/>
      </c>
      <c r="N1956" s="10"/>
      <c r="O1956" s="10"/>
      <c r="P1956" s="65"/>
      <c r="Q1956" s="10"/>
      <c r="R1956" s="10"/>
      <c r="S1956" s="54" t="str">
        <f t="shared" si="96"/>
        <v/>
      </c>
      <c r="T1956" s="54" t="str">
        <f t="shared" si="97"/>
        <v/>
      </c>
      <c r="U1956" s="58" t="str">
        <f t="shared" si="98"/>
        <v/>
      </c>
      <c r="V1956" s="58">
        <f>IF(AND($B1956&lt;&gt;"",$F1956&lt;&gt;"",$F1956=项目明细账!$C$2),N(V1955)+1,N(V1955))</f>
        <v>0</v>
      </c>
      <c r="W1956" s="63" t="str">
        <f>IF($H1956&lt;&gt;"","项目成本",IFERROR(INDEX(基础资料!$W$4:$W$49,MATCH($I1956,基础资料!$V$4:$V$49,0)),""))</f>
        <v/>
      </c>
      <c r="X1956" s="63" t="str">
        <f>IFERROR(INDEX(基础资料!$R$4:$R$17,MATCH($G1956,基础资料!$Q$4:$Q$17,0)),"")</f>
        <v/>
      </c>
    </row>
    <row r="1957" spans="1:24">
      <c r="A1957" s="58" t="str">
        <f>IF($B1957="","",COUNTA($B$5:$B1957))</f>
        <v/>
      </c>
      <c r="B1957" s="53"/>
      <c r="C1957" s="46"/>
      <c r="D1957" s="63" t="str">
        <f>IFERROR(INDEX(基础资料!$F$4:$F$23,MATCH($C1957,基础资料!$E$4:$E$23,0)),IF($C1957="","","未匹配账户"))</f>
        <v/>
      </c>
      <c r="E1957" s="39"/>
      <c r="F1957" s="10"/>
      <c r="G1957" s="10"/>
      <c r="H1957" s="10"/>
      <c r="I1957" s="10"/>
      <c r="J1957" s="10"/>
      <c r="K1957" s="25"/>
      <c r="L1957" s="25"/>
      <c r="M1957" s="25" t="str">
        <f>IFERROR(VLOOKUP($C1957,$C$5:$M$24,11,0)+SUMIF($C$25:$C1957,$C1957,$K$25:$K1957)-SUMIF($C$25:$C1957,$C1957,$L$25:$L1957),"")</f>
        <v/>
      </c>
      <c r="N1957" s="10"/>
      <c r="O1957" s="10"/>
      <c r="P1957" s="65"/>
      <c r="Q1957" s="10"/>
      <c r="R1957" s="10"/>
      <c r="S1957" s="54" t="str">
        <f t="shared" si="96"/>
        <v/>
      </c>
      <c r="T1957" s="54" t="str">
        <f t="shared" si="97"/>
        <v/>
      </c>
      <c r="U1957" s="58" t="str">
        <f t="shared" si="98"/>
        <v/>
      </c>
      <c r="V1957" s="58">
        <f>IF(AND($B1957&lt;&gt;"",$F1957&lt;&gt;"",$F1957=项目明细账!$C$2),N(V1956)+1,N(V1956))</f>
        <v>0</v>
      </c>
      <c r="W1957" s="63" t="str">
        <f>IF($H1957&lt;&gt;"","项目成本",IFERROR(INDEX(基础资料!$W$4:$W$49,MATCH($I1957,基础资料!$V$4:$V$49,0)),""))</f>
        <v/>
      </c>
      <c r="X1957" s="63" t="str">
        <f>IFERROR(INDEX(基础资料!$R$4:$R$17,MATCH($G1957,基础资料!$Q$4:$Q$17,0)),"")</f>
        <v/>
      </c>
    </row>
    <row r="1958" spans="1:24">
      <c r="A1958" s="58" t="str">
        <f>IF($B1958="","",COUNTA($B$5:$B1958))</f>
        <v/>
      </c>
      <c r="B1958" s="53"/>
      <c r="C1958" s="46"/>
      <c r="D1958" s="63" t="str">
        <f>IFERROR(INDEX(基础资料!$F$4:$F$23,MATCH($C1958,基础资料!$E$4:$E$23,0)),IF($C1958="","","未匹配账户"))</f>
        <v/>
      </c>
      <c r="E1958" s="39"/>
      <c r="F1958" s="10"/>
      <c r="G1958" s="10"/>
      <c r="H1958" s="10"/>
      <c r="I1958" s="10"/>
      <c r="J1958" s="10"/>
      <c r="K1958" s="25"/>
      <c r="L1958" s="25"/>
      <c r="M1958" s="25" t="str">
        <f>IFERROR(VLOOKUP($C1958,$C$5:$M$24,11,0)+SUMIF($C$25:$C1958,$C1958,$K$25:$K1958)-SUMIF($C$25:$C1958,$C1958,$L$25:$L1958),"")</f>
        <v/>
      </c>
      <c r="N1958" s="10"/>
      <c r="O1958" s="10"/>
      <c r="P1958" s="65"/>
      <c r="Q1958" s="10"/>
      <c r="R1958" s="10"/>
      <c r="S1958" s="54" t="str">
        <f t="shared" si="96"/>
        <v/>
      </c>
      <c r="T1958" s="54" t="str">
        <f t="shared" si="97"/>
        <v/>
      </c>
      <c r="U1958" s="58" t="str">
        <f t="shared" si="98"/>
        <v/>
      </c>
      <c r="V1958" s="58">
        <f>IF(AND($B1958&lt;&gt;"",$F1958&lt;&gt;"",$F1958=项目明细账!$C$2),N(V1957)+1,N(V1957))</f>
        <v>0</v>
      </c>
      <c r="W1958" s="63" t="str">
        <f>IF($H1958&lt;&gt;"","项目成本",IFERROR(INDEX(基础资料!$W$4:$W$49,MATCH($I1958,基础资料!$V$4:$V$49,0)),""))</f>
        <v/>
      </c>
      <c r="X1958" s="63" t="str">
        <f>IFERROR(INDEX(基础资料!$R$4:$R$17,MATCH($G1958,基础资料!$Q$4:$Q$17,0)),"")</f>
        <v/>
      </c>
    </row>
    <row r="1959" spans="1:24">
      <c r="A1959" s="58" t="str">
        <f>IF($B1959="","",COUNTA($B$5:$B1959))</f>
        <v/>
      </c>
      <c r="B1959" s="53"/>
      <c r="C1959" s="46"/>
      <c r="D1959" s="63" t="str">
        <f>IFERROR(INDEX(基础资料!$F$4:$F$23,MATCH($C1959,基础资料!$E$4:$E$23,0)),IF($C1959="","","未匹配账户"))</f>
        <v/>
      </c>
      <c r="E1959" s="39"/>
      <c r="F1959" s="10"/>
      <c r="G1959" s="10"/>
      <c r="H1959" s="10"/>
      <c r="I1959" s="10"/>
      <c r="J1959" s="10"/>
      <c r="K1959" s="25"/>
      <c r="L1959" s="25"/>
      <c r="M1959" s="25" t="str">
        <f>IFERROR(VLOOKUP($C1959,$C$5:$M$24,11,0)+SUMIF($C$25:$C1959,$C1959,$K$25:$K1959)-SUMIF($C$25:$C1959,$C1959,$L$25:$L1959),"")</f>
        <v/>
      </c>
      <c r="N1959" s="10"/>
      <c r="O1959" s="10"/>
      <c r="P1959" s="65"/>
      <c r="Q1959" s="10"/>
      <c r="R1959" s="10"/>
      <c r="S1959" s="54" t="str">
        <f t="shared" si="96"/>
        <v/>
      </c>
      <c r="T1959" s="54" t="str">
        <f t="shared" si="97"/>
        <v/>
      </c>
      <c r="U1959" s="58" t="str">
        <f t="shared" si="98"/>
        <v/>
      </c>
      <c r="V1959" s="58">
        <f>IF(AND($B1959&lt;&gt;"",$F1959&lt;&gt;"",$F1959=项目明细账!$C$2),N(V1958)+1,N(V1958))</f>
        <v>0</v>
      </c>
      <c r="W1959" s="63" t="str">
        <f>IF($H1959&lt;&gt;"","项目成本",IFERROR(INDEX(基础资料!$W$4:$W$49,MATCH($I1959,基础资料!$V$4:$V$49,0)),""))</f>
        <v/>
      </c>
      <c r="X1959" s="63" t="str">
        <f>IFERROR(INDEX(基础资料!$R$4:$R$17,MATCH($G1959,基础资料!$Q$4:$Q$17,0)),"")</f>
        <v/>
      </c>
    </row>
    <row r="1960" spans="1:24">
      <c r="A1960" s="58" t="str">
        <f>IF($B1960="","",COUNTA($B$5:$B1960))</f>
        <v/>
      </c>
      <c r="B1960" s="53"/>
      <c r="C1960" s="46"/>
      <c r="D1960" s="63" t="str">
        <f>IFERROR(INDEX(基础资料!$F$4:$F$23,MATCH($C1960,基础资料!$E$4:$E$23,0)),IF($C1960="","","未匹配账户"))</f>
        <v/>
      </c>
      <c r="E1960" s="39"/>
      <c r="F1960" s="10"/>
      <c r="G1960" s="10"/>
      <c r="H1960" s="10"/>
      <c r="I1960" s="10"/>
      <c r="J1960" s="10"/>
      <c r="K1960" s="25"/>
      <c r="L1960" s="25"/>
      <c r="M1960" s="25" t="str">
        <f>IFERROR(VLOOKUP($C1960,$C$5:$M$24,11,0)+SUMIF($C$25:$C1960,$C1960,$K$25:$K1960)-SUMIF($C$25:$C1960,$C1960,$L$25:$L1960),"")</f>
        <v/>
      </c>
      <c r="N1960" s="10"/>
      <c r="O1960" s="10"/>
      <c r="P1960" s="65"/>
      <c r="Q1960" s="10"/>
      <c r="R1960" s="10"/>
      <c r="S1960" s="54" t="str">
        <f t="shared" si="96"/>
        <v/>
      </c>
      <c r="T1960" s="54" t="str">
        <f t="shared" si="97"/>
        <v/>
      </c>
      <c r="U1960" s="58" t="str">
        <f t="shared" si="98"/>
        <v/>
      </c>
      <c r="V1960" s="58">
        <f>IF(AND($B1960&lt;&gt;"",$F1960&lt;&gt;"",$F1960=项目明细账!$C$2),N(V1959)+1,N(V1959))</f>
        <v>0</v>
      </c>
      <c r="W1960" s="63" t="str">
        <f>IF($H1960&lt;&gt;"","项目成本",IFERROR(INDEX(基础资料!$W$4:$W$49,MATCH($I1960,基础资料!$V$4:$V$49,0)),""))</f>
        <v/>
      </c>
      <c r="X1960" s="63" t="str">
        <f>IFERROR(INDEX(基础资料!$R$4:$R$17,MATCH($G1960,基础资料!$Q$4:$Q$17,0)),"")</f>
        <v/>
      </c>
    </row>
    <row r="1961" spans="1:24">
      <c r="A1961" s="58" t="str">
        <f>IF($B1961="","",COUNTA($B$5:$B1961))</f>
        <v/>
      </c>
      <c r="B1961" s="53"/>
      <c r="C1961" s="46"/>
      <c r="D1961" s="63" t="str">
        <f>IFERROR(INDEX(基础资料!$F$4:$F$23,MATCH($C1961,基础资料!$E$4:$E$23,0)),IF($C1961="","","未匹配账户"))</f>
        <v/>
      </c>
      <c r="E1961" s="39"/>
      <c r="F1961" s="10"/>
      <c r="G1961" s="10"/>
      <c r="H1961" s="10"/>
      <c r="I1961" s="10"/>
      <c r="J1961" s="10"/>
      <c r="K1961" s="25"/>
      <c r="L1961" s="25"/>
      <c r="M1961" s="25" t="str">
        <f>IFERROR(VLOOKUP($C1961,$C$5:$M$24,11,0)+SUMIF($C$25:$C1961,$C1961,$K$25:$K1961)-SUMIF($C$25:$C1961,$C1961,$L$25:$L1961),"")</f>
        <v/>
      </c>
      <c r="N1961" s="10"/>
      <c r="O1961" s="10"/>
      <c r="P1961" s="65"/>
      <c r="Q1961" s="10"/>
      <c r="R1961" s="10"/>
      <c r="S1961" s="54" t="str">
        <f t="shared" si="96"/>
        <v/>
      </c>
      <c r="T1961" s="54" t="str">
        <f t="shared" si="97"/>
        <v/>
      </c>
      <c r="U1961" s="58" t="str">
        <f t="shared" si="98"/>
        <v/>
      </c>
      <c r="V1961" s="58">
        <f>IF(AND($B1961&lt;&gt;"",$F1961&lt;&gt;"",$F1961=项目明细账!$C$2),N(V1960)+1,N(V1960))</f>
        <v>0</v>
      </c>
      <c r="W1961" s="63" t="str">
        <f>IF($H1961&lt;&gt;"","项目成本",IFERROR(INDEX(基础资料!$W$4:$W$49,MATCH($I1961,基础资料!$V$4:$V$49,0)),""))</f>
        <v/>
      </c>
      <c r="X1961" s="63" t="str">
        <f>IFERROR(INDEX(基础资料!$R$4:$R$17,MATCH($G1961,基础资料!$Q$4:$Q$17,0)),"")</f>
        <v/>
      </c>
    </row>
    <row r="1962" spans="1:24">
      <c r="A1962" s="58" t="str">
        <f>IF($B1962="","",COUNTA($B$5:$B1962))</f>
        <v/>
      </c>
      <c r="B1962" s="53"/>
      <c r="C1962" s="46"/>
      <c r="D1962" s="63" t="str">
        <f>IFERROR(INDEX(基础资料!$F$4:$F$23,MATCH($C1962,基础资料!$E$4:$E$23,0)),IF($C1962="","","未匹配账户"))</f>
        <v/>
      </c>
      <c r="E1962" s="39"/>
      <c r="F1962" s="10"/>
      <c r="G1962" s="10"/>
      <c r="H1962" s="10"/>
      <c r="I1962" s="10"/>
      <c r="J1962" s="10"/>
      <c r="K1962" s="25"/>
      <c r="L1962" s="25"/>
      <c r="M1962" s="25" t="str">
        <f>IFERROR(VLOOKUP($C1962,$C$5:$M$24,11,0)+SUMIF($C$25:$C1962,$C1962,$K$25:$K1962)-SUMIF($C$25:$C1962,$C1962,$L$25:$L1962),"")</f>
        <v/>
      </c>
      <c r="N1962" s="10"/>
      <c r="O1962" s="10"/>
      <c r="P1962" s="65"/>
      <c r="Q1962" s="10"/>
      <c r="R1962" s="10"/>
      <c r="S1962" s="54" t="str">
        <f t="shared" si="96"/>
        <v/>
      </c>
      <c r="T1962" s="54" t="str">
        <f t="shared" si="97"/>
        <v/>
      </c>
      <c r="U1962" s="58" t="str">
        <f t="shared" si="98"/>
        <v/>
      </c>
      <c r="V1962" s="58">
        <f>IF(AND($B1962&lt;&gt;"",$F1962&lt;&gt;"",$F1962=项目明细账!$C$2),N(V1961)+1,N(V1961))</f>
        <v>0</v>
      </c>
      <c r="W1962" s="63" t="str">
        <f>IF($H1962&lt;&gt;"","项目成本",IFERROR(INDEX(基础资料!$W$4:$W$49,MATCH($I1962,基础资料!$V$4:$V$49,0)),""))</f>
        <v/>
      </c>
      <c r="X1962" s="63" t="str">
        <f>IFERROR(INDEX(基础资料!$R$4:$R$17,MATCH($G1962,基础资料!$Q$4:$Q$17,0)),"")</f>
        <v/>
      </c>
    </row>
    <row r="1963" spans="1:24">
      <c r="A1963" s="58" t="str">
        <f>IF($B1963="","",COUNTA($B$5:$B1963))</f>
        <v/>
      </c>
      <c r="B1963" s="53"/>
      <c r="C1963" s="46"/>
      <c r="D1963" s="63" t="str">
        <f>IFERROR(INDEX(基础资料!$F$4:$F$23,MATCH($C1963,基础资料!$E$4:$E$23,0)),IF($C1963="","","未匹配账户"))</f>
        <v/>
      </c>
      <c r="E1963" s="39"/>
      <c r="F1963" s="10"/>
      <c r="G1963" s="10"/>
      <c r="H1963" s="10"/>
      <c r="I1963" s="10"/>
      <c r="J1963" s="10"/>
      <c r="K1963" s="25"/>
      <c r="L1963" s="25"/>
      <c r="M1963" s="25" t="str">
        <f>IFERROR(VLOOKUP($C1963,$C$5:$M$24,11,0)+SUMIF($C$25:$C1963,$C1963,$K$25:$K1963)-SUMIF($C$25:$C1963,$C1963,$L$25:$L1963),"")</f>
        <v/>
      </c>
      <c r="N1963" s="10"/>
      <c r="O1963" s="10"/>
      <c r="P1963" s="65"/>
      <c r="Q1963" s="10"/>
      <c r="R1963" s="10"/>
      <c r="S1963" s="54" t="str">
        <f t="shared" si="96"/>
        <v/>
      </c>
      <c r="T1963" s="54" t="str">
        <f t="shared" si="97"/>
        <v/>
      </c>
      <c r="U1963" s="58" t="str">
        <f t="shared" si="98"/>
        <v/>
      </c>
      <c r="V1963" s="58">
        <f>IF(AND($B1963&lt;&gt;"",$F1963&lt;&gt;"",$F1963=项目明细账!$C$2),N(V1962)+1,N(V1962))</f>
        <v>0</v>
      </c>
      <c r="W1963" s="63" t="str">
        <f>IF($H1963&lt;&gt;"","项目成本",IFERROR(INDEX(基础资料!$W$4:$W$49,MATCH($I1963,基础资料!$V$4:$V$49,0)),""))</f>
        <v/>
      </c>
      <c r="X1963" s="63" t="str">
        <f>IFERROR(INDEX(基础资料!$R$4:$R$17,MATCH($G1963,基础资料!$Q$4:$Q$17,0)),"")</f>
        <v/>
      </c>
    </row>
    <row r="1964" spans="1:24">
      <c r="A1964" s="58" t="str">
        <f>IF($B1964="","",COUNTA($B$5:$B1964))</f>
        <v/>
      </c>
      <c r="B1964" s="53"/>
      <c r="C1964" s="46"/>
      <c r="D1964" s="63" t="str">
        <f>IFERROR(INDEX(基础资料!$F$4:$F$23,MATCH($C1964,基础资料!$E$4:$E$23,0)),IF($C1964="","","未匹配账户"))</f>
        <v/>
      </c>
      <c r="E1964" s="39"/>
      <c r="F1964" s="10"/>
      <c r="G1964" s="10"/>
      <c r="H1964" s="10"/>
      <c r="I1964" s="10"/>
      <c r="J1964" s="10"/>
      <c r="K1964" s="25"/>
      <c r="L1964" s="25"/>
      <c r="M1964" s="25" t="str">
        <f>IFERROR(VLOOKUP($C1964,$C$5:$M$24,11,0)+SUMIF($C$25:$C1964,$C1964,$K$25:$K1964)-SUMIF($C$25:$C1964,$C1964,$L$25:$L1964),"")</f>
        <v/>
      </c>
      <c r="N1964" s="10"/>
      <c r="O1964" s="10"/>
      <c r="P1964" s="65"/>
      <c r="Q1964" s="10"/>
      <c r="R1964" s="10"/>
      <c r="S1964" s="54" t="str">
        <f t="shared" si="96"/>
        <v/>
      </c>
      <c r="T1964" s="54" t="str">
        <f t="shared" si="97"/>
        <v/>
      </c>
      <c r="U1964" s="58" t="str">
        <f t="shared" si="98"/>
        <v/>
      </c>
      <c r="V1964" s="58">
        <f>IF(AND($B1964&lt;&gt;"",$F1964&lt;&gt;"",$F1964=项目明细账!$C$2),N(V1963)+1,N(V1963))</f>
        <v>0</v>
      </c>
      <c r="W1964" s="63" t="str">
        <f>IF($H1964&lt;&gt;"","项目成本",IFERROR(INDEX(基础资料!$W$4:$W$49,MATCH($I1964,基础资料!$V$4:$V$49,0)),""))</f>
        <v/>
      </c>
      <c r="X1964" s="63" t="str">
        <f>IFERROR(INDEX(基础资料!$R$4:$R$17,MATCH($G1964,基础资料!$Q$4:$Q$17,0)),"")</f>
        <v/>
      </c>
    </row>
    <row r="1965" spans="1:24">
      <c r="A1965" s="58" t="str">
        <f>IF($B1965="","",COUNTA($B$5:$B1965))</f>
        <v/>
      </c>
      <c r="B1965" s="53"/>
      <c r="C1965" s="46"/>
      <c r="D1965" s="63" t="str">
        <f>IFERROR(INDEX(基础资料!$F$4:$F$23,MATCH($C1965,基础资料!$E$4:$E$23,0)),IF($C1965="","","未匹配账户"))</f>
        <v/>
      </c>
      <c r="E1965" s="39"/>
      <c r="F1965" s="10"/>
      <c r="G1965" s="10"/>
      <c r="H1965" s="10"/>
      <c r="I1965" s="10"/>
      <c r="J1965" s="10"/>
      <c r="K1965" s="25"/>
      <c r="L1965" s="25"/>
      <c r="M1965" s="25" t="str">
        <f>IFERROR(VLOOKUP($C1965,$C$5:$M$24,11,0)+SUMIF($C$25:$C1965,$C1965,$K$25:$K1965)-SUMIF($C$25:$C1965,$C1965,$L$25:$L1965),"")</f>
        <v/>
      </c>
      <c r="N1965" s="10"/>
      <c r="O1965" s="10"/>
      <c r="P1965" s="65"/>
      <c r="Q1965" s="10"/>
      <c r="R1965" s="10"/>
      <c r="S1965" s="54" t="str">
        <f t="shared" si="96"/>
        <v/>
      </c>
      <c r="T1965" s="54" t="str">
        <f t="shared" si="97"/>
        <v/>
      </c>
      <c r="U1965" s="58" t="str">
        <f t="shared" si="98"/>
        <v/>
      </c>
      <c r="V1965" s="58">
        <f>IF(AND($B1965&lt;&gt;"",$F1965&lt;&gt;"",$F1965=项目明细账!$C$2),N(V1964)+1,N(V1964))</f>
        <v>0</v>
      </c>
      <c r="W1965" s="63" t="str">
        <f>IF($H1965&lt;&gt;"","项目成本",IFERROR(INDEX(基础资料!$W$4:$W$49,MATCH($I1965,基础资料!$V$4:$V$49,0)),""))</f>
        <v/>
      </c>
      <c r="X1965" s="63" t="str">
        <f>IFERROR(INDEX(基础资料!$R$4:$R$17,MATCH($G1965,基础资料!$Q$4:$Q$17,0)),"")</f>
        <v/>
      </c>
    </row>
    <row r="1966" spans="1:24">
      <c r="A1966" s="58" t="str">
        <f>IF($B1966="","",COUNTA($B$5:$B1966))</f>
        <v/>
      </c>
      <c r="B1966" s="53"/>
      <c r="C1966" s="46"/>
      <c r="D1966" s="63" t="str">
        <f>IFERROR(INDEX(基础资料!$F$4:$F$23,MATCH($C1966,基础资料!$E$4:$E$23,0)),IF($C1966="","","未匹配账户"))</f>
        <v/>
      </c>
      <c r="E1966" s="39"/>
      <c r="F1966" s="10"/>
      <c r="G1966" s="10"/>
      <c r="H1966" s="10"/>
      <c r="I1966" s="10"/>
      <c r="J1966" s="10"/>
      <c r="K1966" s="25"/>
      <c r="L1966" s="25"/>
      <c r="M1966" s="25" t="str">
        <f>IFERROR(VLOOKUP($C1966,$C$5:$M$24,11,0)+SUMIF($C$25:$C1966,$C1966,$K$25:$K1966)-SUMIF($C$25:$C1966,$C1966,$L$25:$L1966),"")</f>
        <v/>
      </c>
      <c r="N1966" s="10"/>
      <c r="O1966" s="10"/>
      <c r="P1966" s="65"/>
      <c r="Q1966" s="10"/>
      <c r="R1966" s="10"/>
      <c r="S1966" s="54" t="str">
        <f t="shared" si="96"/>
        <v/>
      </c>
      <c r="T1966" s="54" t="str">
        <f t="shared" si="97"/>
        <v/>
      </c>
      <c r="U1966" s="58" t="str">
        <f t="shared" si="98"/>
        <v/>
      </c>
      <c r="V1966" s="58">
        <f>IF(AND($B1966&lt;&gt;"",$F1966&lt;&gt;"",$F1966=项目明细账!$C$2),N(V1965)+1,N(V1965))</f>
        <v>0</v>
      </c>
      <c r="W1966" s="63" t="str">
        <f>IF($H1966&lt;&gt;"","项目成本",IFERROR(INDEX(基础资料!$W$4:$W$49,MATCH($I1966,基础资料!$V$4:$V$49,0)),""))</f>
        <v/>
      </c>
      <c r="X1966" s="63" t="str">
        <f>IFERROR(INDEX(基础资料!$R$4:$R$17,MATCH($G1966,基础资料!$Q$4:$Q$17,0)),"")</f>
        <v/>
      </c>
    </row>
    <row r="1967" spans="1:24">
      <c r="A1967" s="58" t="str">
        <f>IF($B1967="","",COUNTA($B$5:$B1967))</f>
        <v/>
      </c>
      <c r="B1967" s="53"/>
      <c r="C1967" s="46"/>
      <c r="D1967" s="63" t="str">
        <f>IFERROR(INDEX(基础资料!$F$4:$F$23,MATCH($C1967,基础资料!$E$4:$E$23,0)),IF($C1967="","","未匹配账户"))</f>
        <v/>
      </c>
      <c r="E1967" s="39"/>
      <c r="F1967" s="10"/>
      <c r="G1967" s="10"/>
      <c r="H1967" s="10"/>
      <c r="I1967" s="10"/>
      <c r="J1967" s="10"/>
      <c r="K1967" s="25"/>
      <c r="L1967" s="25"/>
      <c r="M1967" s="25" t="str">
        <f>IFERROR(VLOOKUP($C1967,$C$5:$M$24,11,0)+SUMIF($C$25:$C1967,$C1967,$K$25:$K1967)-SUMIF($C$25:$C1967,$C1967,$L$25:$L1967),"")</f>
        <v/>
      </c>
      <c r="N1967" s="10"/>
      <c r="O1967" s="10"/>
      <c r="P1967" s="65"/>
      <c r="Q1967" s="10"/>
      <c r="R1967" s="10"/>
      <c r="S1967" s="54" t="str">
        <f t="shared" si="96"/>
        <v/>
      </c>
      <c r="T1967" s="54" t="str">
        <f t="shared" si="97"/>
        <v/>
      </c>
      <c r="U1967" s="58" t="str">
        <f t="shared" si="98"/>
        <v/>
      </c>
      <c r="V1967" s="58">
        <f>IF(AND($B1967&lt;&gt;"",$F1967&lt;&gt;"",$F1967=项目明细账!$C$2),N(V1966)+1,N(V1966))</f>
        <v>0</v>
      </c>
      <c r="W1967" s="63" t="str">
        <f>IF($H1967&lt;&gt;"","项目成本",IFERROR(INDEX(基础资料!$W$4:$W$49,MATCH($I1967,基础资料!$V$4:$V$49,0)),""))</f>
        <v/>
      </c>
      <c r="X1967" s="63" t="str">
        <f>IFERROR(INDEX(基础资料!$R$4:$R$17,MATCH($G1967,基础资料!$Q$4:$Q$17,0)),"")</f>
        <v/>
      </c>
    </row>
    <row r="1968" spans="1:24">
      <c r="A1968" s="58" t="str">
        <f>IF($B1968="","",COUNTA($B$5:$B1968))</f>
        <v/>
      </c>
      <c r="B1968" s="53"/>
      <c r="C1968" s="46"/>
      <c r="D1968" s="63" t="str">
        <f>IFERROR(INDEX(基础资料!$F$4:$F$23,MATCH($C1968,基础资料!$E$4:$E$23,0)),IF($C1968="","","未匹配账户"))</f>
        <v/>
      </c>
      <c r="E1968" s="39"/>
      <c r="F1968" s="10"/>
      <c r="G1968" s="10"/>
      <c r="H1968" s="10"/>
      <c r="I1968" s="10"/>
      <c r="J1968" s="10"/>
      <c r="K1968" s="25"/>
      <c r="L1968" s="25"/>
      <c r="M1968" s="25" t="str">
        <f>IFERROR(VLOOKUP($C1968,$C$5:$M$24,11,0)+SUMIF($C$25:$C1968,$C1968,$K$25:$K1968)-SUMIF($C$25:$C1968,$C1968,$L$25:$L1968),"")</f>
        <v/>
      </c>
      <c r="N1968" s="10"/>
      <c r="O1968" s="10"/>
      <c r="P1968" s="65"/>
      <c r="Q1968" s="10"/>
      <c r="R1968" s="10"/>
      <c r="S1968" s="54" t="str">
        <f t="shared" si="96"/>
        <v/>
      </c>
      <c r="T1968" s="54" t="str">
        <f t="shared" si="97"/>
        <v/>
      </c>
      <c r="U1968" s="58" t="str">
        <f t="shared" si="98"/>
        <v/>
      </c>
      <c r="V1968" s="58">
        <f>IF(AND($B1968&lt;&gt;"",$F1968&lt;&gt;"",$F1968=项目明细账!$C$2),N(V1967)+1,N(V1967))</f>
        <v>0</v>
      </c>
      <c r="W1968" s="63" t="str">
        <f>IF($H1968&lt;&gt;"","项目成本",IFERROR(INDEX(基础资料!$W$4:$W$49,MATCH($I1968,基础资料!$V$4:$V$49,0)),""))</f>
        <v/>
      </c>
      <c r="X1968" s="63" t="str">
        <f>IFERROR(INDEX(基础资料!$R$4:$R$17,MATCH($G1968,基础资料!$Q$4:$Q$17,0)),"")</f>
        <v/>
      </c>
    </row>
    <row r="1969" spans="1:24">
      <c r="A1969" s="58" t="str">
        <f>IF($B1969="","",COUNTA($B$5:$B1969))</f>
        <v/>
      </c>
      <c r="B1969" s="53"/>
      <c r="C1969" s="46"/>
      <c r="D1969" s="63" t="str">
        <f>IFERROR(INDEX(基础资料!$F$4:$F$23,MATCH($C1969,基础资料!$E$4:$E$23,0)),IF($C1969="","","未匹配账户"))</f>
        <v/>
      </c>
      <c r="E1969" s="39"/>
      <c r="F1969" s="10"/>
      <c r="G1969" s="10"/>
      <c r="H1969" s="10"/>
      <c r="I1969" s="10"/>
      <c r="J1969" s="10"/>
      <c r="K1969" s="25"/>
      <c r="L1969" s="25"/>
      <c r="M1969" s="25" t="str">
        <f>IFERROR(VLOOKUP($C1969,$C$5:$M$24,11,0)+SUMIF($C$25:$C1969,$C1969,$K$25:$K1969)-SUMIF($C$25:$C1969,$C1969,$L$25:$L1969),"")</f>
        <v/>
      </c>
      <c r="N1969" s="10"/>
      <c r="O1969" s="10"/>
      <c r="P1969" s="65"/>
      <c r="Q1969" s="10"/>
      <c r="R1969" s="10"/>
      <c r="S1969" s="54" t="str">
        <f t="shared" si="96"/>
        <v/>
      </c>
      <c r="T1969" s="54" t="str">
        <f t="shared" si="97"/>
        <v/>
      </c>
      <c r="U1969" s="58" t="str">
        <f t="shared" si="98"/>
        <v/>
      </c>
      <c r="V1969" s="58">
        <f>IF(AND($B1969&lt;&gt;"",$F1969&lt;&gt;"",$F1969=项目明细账!$C$2),N(V1968)+1,N(V1968))</f>
        <v>0</v>
      </c>
      <c r="W1969" s="63" t="str">
        <f>IF($H1969&lt;&gt;"","项目成本",IFERROR(INDEX(基础资料!$W$4:$W$49,MATCH($I1969,基础资料!$V$4:$V$49,0)),""))</f>
        <v/>
      </c>
      <c r="X1969" s="63" t="str">
        <f>IFERROR(INDEX(基础资料!$R$4:$R$17,MATCH($G1969,基础资料!$Q$4:$Q$17,0)),"")</f>
        <v/>
      </c>
    </row>
    <row r="1970" spans="1:24">
      <c r="A1970" s="58" t="str">
        <f>IF($B1970="","",COUNTA($B$5:$B1970))</f>
        <v/>
      </c>
      <c r="B1970" s="53"/>
      <c r="C1970" s="46"/>
      <c r="D1970" s="63" t="str">
        <f>IFERROR(INDEX(基础资料!$F$4:$F$23,MATCH($C1970,基础资料!$E$4:$E$23,0)),IF($C1970="","","未匹配账户"))</f>
        <v/>
      </c>
      <c r="E1970" s="39"/>
      <c r="F1970" s="10"/>
      <c r="G1970" s="10"/>
      <c r="H1970" s="10"/>
      <c r="I1970" s="10"/>
      <c r="J1970" s="10"/>
      <c r="K1970" s="25"/>
      <c r="L1970" s="25"/>
      <c r="M1970" s="25" t="str">
        <f>IFERROR(VLOOKUP($C1970,$C$5:$M$24,11,0)+SUMIF($C$25:$C1970,$C1970,$K$25:$K1970)-SUMIF($C$25:$C1970,$C1970,$L$25:$L1970),"")</f>
        <v/>
      </c>
      <c r="N1970" s="10"/>
      <c r="O1970" s="10"/>
      <c r="P1970" s="65"/>
      <c r="Q1970" s="10"/>
      <c r="R1970" s="10"/>
      <c r="S1970" s="54" t="str">
        <f t="shared" si="96"/>
        <v/>
      </c>
      <c r="T1970" s="54" t="str">
        <f t="shared" si="97"/>
        <v/>
      </c>
      <c r="U1970" s="58" t="str">
        <f t="shared" si="98"/>
        <v/>
      </c>
      <c r="V1970" s="58">
        <f>IF(AND($B1970&lt;&gt;"",$F1970&lt;&gt;"",$F1970=项目明细账!$C$2),N(V1969)+1,N(V1969))</f>
        <v>0</v>
      </c>
      <c r="W1970" s="63" t="str">
        <f>IF($H1970&lt;&gt;"","项目成本",IFERROR(INDEX(基础资料!$W$4:$W$49,MATCH($I1970,基础资料!$V$4:$V$49,0)),""))</f>
        <v/>
      </c>
      <c r="X1970" s="63" t="str">
        <f>IFERROR(INDEX(基础资料!$R$4:$R$17,MATCH($G1970,基础资料!$Q$4:$Q$17,0)),"")</f>
        <v/>
      </c>
    </row>
    <row r="1971" spans="1:24">
      <c r="A1971" s="58" t="str">
        <f>IF($B1971="","",COUNTA($B$5:$B1971))</f>
        <v/>
      </c>
      <c r="B1971" s="53"/>
      <c r="C1971" s="46"/>
      <c r="D1971" s="63" t="str">
        <f>IFERROR(INDEX(基础资料!$F$4:$F$23,MATCH($C1971,基础资料!$E$4:$E$23,0)),IF($C1971="","","未匹配账户"))</f>
        <v/>
      </c>
      <c r="E1971" s="39"/>
      <c r="F1971" s="10"/>
      <c r="G1971" s="10"/>
      <c r="H1971" s="10"/>
      <c r="I1971" s="10"/>
      <c r="J1971" s="10"/>
      <c r="K1971" s="25"/>
      <c r="L1971" s="25"/>
      <c r="M1971" s="25" t="str">
        <f>IFERROR(VLOOKUP($C1971,$C$5:$M$24,11,0)+SUMIF($C$25:$C1971,$C1971,$K$25:$K1971)-SUMIF($C$25:$C1971,$C1971,$L$25:$L1971),"")</f>
        <v/>
      </c>
      <c r="N1971" s="10"/>
      <c r="O1971" s="10"/>
      <c r="P1971" s="65"/>
      <c r="Q1971" s="10"/>
      <c r="R1971" s="10"/>
      <c r="S1971" s="54" t="str">
        <f t="shared" si="96"/>
        <v/>
      </c>
      <c r="T1971" s="54" t="str">
        <f t="shared" si="97"/>
        <v/>
      </c>
      <c r="U1971" s="58" t="str">
        <f t="shared" si="98"/>
        <v/>
      </c>
      <c r="V1971" s="58">
        <f>IF(AND($B1971&lt;&gt;"",$F1971&lt;&gt;"",$F1971=项目明细账!$C$2),N(V1970)+1,N(V1970))</f>
        <v>0</v>
      </c>
      <c r="W1971" s="63" t="str">
        <f>IF($H1971&lt;&gt;"","项目成本",IFERROR(INDEX(基础资料!$W$4:$W$49,MATCH($I1971,基础资料!$V$4:$V$49,0)),""))</f>
        <v/>
      </c>
      <c r="X1971" s="63" t="str">
        <f>IFERROR(INDEX(基础资料!$R$4:$R$17,MATCH($G1971,基础资料!$Q$4:$Q$17,0)),"")</f>
        <v/>
      </c>
    </row>
    <row r="1972" spans="1:24">
      <c r="A1972" s="58" t="str">
        <f>IF($B1972="","",COUNTA($B$5:$B1972))</f>
        <v/>
      </c>
      <c r="B1972" s="53"/>
      <c r="C1972" s="46"/>
      <c r="D1972" s="63" t="str">
        <f>IFERROR(INDEX(基础资料!$F$4:$F$23,MATCH($C1972,基础资料!$E$4:$E$23,0)),IF($C1972="","","未匹配账户"))</f>
        <v/>
      </c>
      <c r="E1972" s="39"/>
      <c r="F1972" s="10"/>
      <c r="G1972" s="10"/>
      <c r="H1972" s="10"/>
      <c r="I1972" s="10"/>
      <c r="J1972" s="10"/>
      <c r="K1972" s="25"/>
      <c r="L1972" s="25"/>
      <c r="M1972" s="25" t="str">
        <f>IFERROR(VLOOKUP($C1972,$C$5:$M$24,11,0)+SUMIF($C$25:$C1972,$C1972,$K$25:$K1972)-SUMIF($C$25:$C1972,$C1972,$L$25:$L1972),"")</f>
        <v/>
      </c>
      <c r="N1972" s="10"/>
      <c r="O1972" s="10"/>
      <c r="P1972" s="65"/>
      <c r="Q1972" s="10"/>
      <c r="R1972" s="10"/>
      <c r="S1972" s="54" t="str">
        <f t="shared" si="96"/>
        <v/>
      </c>
      <c r="T1972" s="54" t="str">
        <f t="shared" si="97"/>
        <v/>
      </c>
      <c r="U1972" s="58" t="str">
        <f t="shared" si="98"/>
        <v/>
      </c>
      <c r="V1972" s="58">
        <f>IF(AND($B1972&lt;&gt;"",$F1972&lt;&gt;"",$F1972=项目明细账!$C$2),N(V1971)+1,N(V1971))</f>
        <v>0</v>
      </c>
      <c r="W1972" s="63" t="str">
        <f>IF($H1972&lt;&gt;"","项目成本",IFERROR(INDEX(基础资料!$W$4:$W$49,MATCH($I1972,基础资料!$V$4:$V$49,0)),""))</f>
        <v/>
      </c>
      <c r="X1972" s="63" t="str">
        <f>IFERROR(INDEX(基础资料!$R$4:$R$17,MATCH($G1972,基础资料!$Q$4:$Q$17,0)),"")</f>
        <v/>
      </c>
    </row>
    <row r="1973" spans="1:24">
      <c r="A1973" s="58" t="str">
        <f>IF($B1973="","",COUNTA($B$5:$B1973))</f>
        <v/>
      </c>
      <c r="B1973" s="53"/>
      <c r="C1973" s="46"/>
      <c r="D1973" s="63" t="str">
        <f>IFERROR(INDEX(基础资料!$F$4:$F$23,MATCH($C1973,基础资料!$E$4:$E$23,0)),IF($C1973="","","未匹配账户"))</f>
        <v/>
      </c>
      <c r="E1973" s="39"/>
      <c r="F1973" s="10"/>
      <c r="G1973" s="10"/>
      <c r="H1973" s="10"/>
      <c r="I1973" s="10"/>
      <c r="J1973" s="10"/>
      <c r="K1973" s="25"/>
      <c r="L1973" s="25"/>
      <c r="M1973" s="25" t="str">
        <f>IFERROR(VLOOKUP($C1973,$C$5:$M$24,11,0)+SUMIF($C$25:$C1973,$C1973,$K$25:$K1973)-SUMIF($C$25:$C1973,$C1973,$L$25:$L1973),"")</f>
        <v/>
      </c>
      <c r="N1973" s="10"/>
      <c r="O1973" s="10"/>
      <c r="P1973" s="65"/>
      <c r="Q1973" s="10"/>
      <c r="R1973" s="10"/>
      <c r="S1973" s="54" t="str">
        <f t="shared" si="96"/>
        <v/>
      </c>
      <c r="T1973" s="54" t="str">
        <f t="shared" si="97"/>
        <v/>
      </c>
      <c r="U1973" s="58" t="str">
        <f t="shared" si="98"/>
        <v/>
      </c>
      <c r="V1973" s="58">
        <f>IF(AND($B1973&lt;&gt;"",$F1973&lt;&gt;"",$F1973=项目明细账!$C$2),N(V1972)+1,N(V1972))</f>
        <v>0</v>
      </c>
      <c r="W1973" s="63" t="str">
        <f>IF($H1973&lt;&gt;"","项目成本",IFERROR(INDEX(基础资料!$W$4:$W$49,MATCH($I1973,基础资料!$V$4:$V$49,0)),""))</f>
        <v/>
      </c>
      <c r="X1973" s="63" t="str">
        <f>IFERROR(INDEX(基础资料!$R$4:$R$17,MATCH($G1973,基础资料!$Q$4:$Q$17,0)),"")</f>
        <v/>
      </c>
    </row>
    <row r="1974" spans="1:24">
      <c r="A1974" s="58" t="str">
        <f>IF($B1974="","",COUNTA($B$5:$B1974))</f>
        <v/>
      </c>
      <c r="B1974" s="53"/>
      <c r="C1974" s="46"/>
      <c r="D1974" s="63" t="str">
        <f>IFERROR(INDEX(基础资料!$F$4:$F$23,MATCH($C1974,基础资料!$E$4:$E$23,0)),IF($C1974="","","未匹配账户"))</f>
        <v/>
      </c>
      <c r="E1974" s="39"/>
      <c r="F1974" s="10"/>
      <c r="G1974" s="10"/>
      <c r="H1974" s="10"/>
      <c r="I1974" s="10"/>
      <c r="J1974" s="10"/>
      <c r="K1974" s="25"/>
      <c r="L1974" s="25"/>
      <c r="M1974" s="25" t="str">
        <f>IFERROR(VLOOKUP($C1974,$C$5:$M$24,11,0)+SUMIF($C$25:$C1974,$C1974,$K$25:$K1974)-SUMIF($C$25:$C1974,$C1974,$L$25:$L1974),"")</f>
        <v/>
      </c>
      <c r="N1974" s="10"/>
      <c r="O1974" s="10"/>
      <c r="P1974" s="65"/>
      <c r="Q1974" s="10"/>
      <c r="R1974" s="10"/>
      <c r="S1974" s="54" t="str">
        <f t="shared" si="96"/>
        <v/>
      </c>
      <c r="T1974" s="54" t="str">
        <f t="shared" si="97"/>
        <v/>
      </c>
      <c r="U1974" s="58" t="str">
        <f t="shared" si="98"/>
        <v/>
      </c>
      <c r="V1974" s="58">
        <f>IF(AND($B1974&lt;&gt;"",$F1974&lt;&gt;"",$F1974=项目明细账!$C$2),N(V1973)+1,N(V1973))</f>
        <v>0</v>
      </c>
      <c r="W1974" s="63" t="str">
        <f>IF($H1974&lt;&gt;"","项目成本",IFERROR(INDEX(基础资料!$W$4:$W$49,MATCH($I1974,基础资料!$V$4:$V$49,0)),""))</f>
        <v/>
      </c>
      <c r="X1974" s="63" t="str">
        <f>IFERROR(INDEX(基础资料!$R$4:$R$17,MATCH($G1974,基础资料!$Q$4:$Q$17,0)),"")</f>
        <v/>
      </c>
    </row>
    <row r="1975" spans="1:24">
      <c r="A1975" s="58" t="str">
        <f>IF($B1975="","",COUNTA($B$5:$B1975))</f>
        <v/>
      </c>
      <c r="B1975" s="53"/>
      <c r="C1975" s="46"/>
      <c r="D1975" s="63" t="str">
        <f>IFERROR(INDEX(基础资料!$F$4:$F$23,MATCH($C1975,基础资料!$E$4:$E$23,0)),IF($C1975="","","未匹配账户"))</f>
        <v/>
      </c>
      <c r="E1975" s="39"/>
      <c r="F1975" s="10"/>
      <c r="G1975" s="10"/>
      <c r="H1975" s="10"/>
      <c r="I1975" s="10"/>
      <c r="J1975" s="10"/>
      <c r="K1975" s="25"/>
      <c r="L1975" s="25"/>
      <c r="M1975" s="25" t="str">
        <f>IFERROR(VLOOKUP($C1975,$C$5:$M$24,11,0)+SUMIF($C$25:$C1975,$C1975,$K$25:$K1975)-SUMIF($C$25:$C1975,$C1975,$L$25:$L1975),"")</f>
        <v/>
      </c>
      <c r="N1975" s="10"/>
      <c r="O1975" s="10"/>
      <c r="P1975" s="65"/>
      <c r="Q1975" s="10"/>
      <c r="R1975" s="10"/>
      <c r="S1975" s="54" t="str">
        <f t="shared" si="96"/>
        <v/>
      </c>
      <c r="T1975" s="54" t="str">
        <f t="shared" si="97"/>
        <v/>
      </c>
      <c r="U1975" s="58" t="str">
        <f t="shared" si="98"/>
        <v/>
      </c>
      <c r="V1975" s="58">
        <f>IF(AND($B1975&lt;&gt;"",$F1975&lt;&gt;"",$F1975=项目明细账!$C$2),N(V1974)+1,N(V1974))</f>
        <v>0</v>
      </c>
      <c r="W1975" s="63" t="str">
        <f>IF($H1975&lt;&gt;"","项目成本",IFERROR(INDEX(基础资料!$W$4:$W$49,MATCH($I1975,基础资料!$V$4:$V$49,0)),""))</f>
        <v/>
      </c>
      <c r="X1975" s="63" t="str">
        <f>IFERROR(INDEX(基础资料!$R$4:$R$17,MATCH($G1975,基础资料!$Q$4:$Q$17,0)),"")</f>
        <v/>
      </c>
    </row>
    <row r="1976" spans="1:24">
      <c r="A1976" s="58" t="str">
        <f>IF($B1976="","",COUNTA($B$5:$B1976))</f>
        <v/>
      </c>
      <c r="B1976" s="53"/>
      <c r="C1976" s="46"/>
      <c r="D1976" s="63" t="str">
        <f>IFERROR(INDEX(基础资料!$F$4:$F$23,MATCH($C1976,基础资料!$E$4:$E$23,0)),IF($C1976="","","未匹配账户"))</f>
        <v/>
      </c>
      <c r="E1976" s="39"/>
      <c r="F1976" s="10"/>
      <c r="G1976" s="10"/>
      <c r="H1976" s="10"/>
      <c r="I1976" s="10"/>
      <c r="J1976" s="10"/>
      <c r="K1976" s="25"/>
      <c r="L1976" s="25"/>
      <c r="M1976" s="25" t="str">
        <f>IFERROR(VLOOKUP($C1976,$C$5:$M$24,11,0)+SUMIF($C$25:$C1976,$C1976,$K$25:$K1976)-SUMIF($C$25:$C1976,$C1976,$L$25:$L1976),"")</f>
        <v/>
      </c>
      <c r="N1976" s="10"/>
      <c r="O1976" s="10"/>
      <c r="P1976" s="65"/>
      <c r="Q1976" s="10"/>
      <c r="R1976" s="10"/>
      <c r="S1976" s="54" t="str">
        <f t="shared" si="96"/>
        <v/>
      </c>
      <c r="T1976" s="54" t="str">
        <f t="shared" si="97"/>
        <v/>
      </c>
      <c r="U1976" s="58" t="str">
        <f t="shared" si="98"/>
        <v/>
      </c>
      <c r="V1976" s="58">
        <f>IF(AND($B1976&lt;&gt;"",$F1976&lt;&gt;"",$F1976=项目明细账!$C$2),N(V1975)+1,N(V1975))</f>
        <v>0</v>
      </c>
      <c r="W1976" s="63" t="str">
        <f>IF($H1976&lt;&gt;"","项目成本",IFERROR(INDEX(基础资料!$W$4:$W$49,MATCH($I1976,基础资料!$V$4:$V$49,0)),""))</f>
        <v/>
      </c>
      <c r="X1976" s="63" t="str">
        <f>IFERROR(INDEX(基础资料!$R$4:$R$17,MATCH($G1976,基础资料!$Q$4:$Q$17,0)),"")</f>
        <v/>
      </c>
    </row>
    <row r="1977" spans="1:24">
      <c r="A1977" s="58" t="str">
        <f>IF($B1977="","",COUNTA($B$5:$B1977))</f>
        <v/>
      </c>
      <c r="B1977" s="53"/>
      <c r="C1977" s="46"/>
      <c r="D1977" s="63" t="str">
        <f>IFERROR(INDEX(基础资料!$F$4:$F$23,MATCH($C1977,基础资料!$E$4:$E$23,0)),IF($C1977="","","未匹配账户"))</f>
        <v/>
      </c>
      <c r="E1977" s="39"/>
      <c r="F1977" s="10"/>
      <c r="G1977" s="10"/>
      <c r="H1977" s="10"/>
      <c r="I1977" s="10"/>
      <c r="J1977" s="10"/>
      <c r="K1977" s="25"/>
      <c r="L1977" s="25"/>
      <c r="M1977" s="25" t="str">
        <f>IFERROR(VLOOKUP($C1977,$C$5:$M$24,11,0)+SUMIF($C$25:$C1977,$C1977,$K$25:$K1977)-SUMIF($C$25:$C1977,$C1977,$L$25:$L1977),"")</f>
        <v/>
      </c>
      <c r="N1977" s="10"/>
      <c r="O1977" s="10"/>
      <c r="P1977" s="65"/>
      <c r="Q1977" s="10"/>
      <c r="R1977" s="10"/>
      <c r="S1977" s="54" t="str">
        <f t="shared" si="96"/>
        <v/>
      </c>
      <c r="T1977" s="54" t="str">
        <f t="shared" si="97"/>
        <v/>
      </c>
      <c r="U1977" s="58" t="str">
        <f t="shared" si="98"/>
        <v/>
      </c>
      <c r="V1977" s="58">
        <f>IF(AND($B1977&lt;&gt;"",$F1977&lt;&gt;"",$F1977=项目明细账!$C$2),N(V1976)+1,N(V1976))</f>
        <v>0</v>
      </c>
      <c r="W1977" s="63" t="str">
        <f>IF($H1977&lt;&gt;"","项目成本",IFERROR(INDEX(基础资料!$W$4:$W$49,MATCH($I1977,基础资料!$V$4:$V$49,0)),""))</f>
        <v/>
      </c>
      <c r="X1977" s="63" t="str">
        <f>IFERROR(INDEX(基础资料!$R$4:$R$17,MATCH($G1977,基础资料!$Q$4:$Q$17,0)),"")</f>
        <v/>
      </c>
    </row>
    <row r="1978" spans="1:24">
      <c r="A1978" s="58" t="str">
        <f>IF($B1978="","",COUNTA($B$5:$B1978))</f>
        <v/>
      </c>
      <c r="B1978" s="53"/>
      <c r="C1978" s="46"/>
      <c r="D1978" s="63" t="str">
        <f>IFERROR(INDEX(基础资料!$F$4:$F$23,MATCH($C1978,基础资料!$E$4:$E$23,0)),IF($C1978="","","未匹配账户"))</f>
        <v/>
      </c>
      <c r="E1978" s="39"/>
      <c r="F1978" s="10"/>
      <c r="G1978" s="10"/>
      <c r="H1978" s="10"/>
      <c r="I1978" s="10"/>
      <c r="J1978" s="10"/>
      <c r="K1978" s="25"/>
      <c r="L1978" s="25"/>
      <c r="M1978" s="25" t="str">
        <f>IFERROR(VLOOKUP($C1978,$C$5:$M$24,11,0)+SUMIF($C$25:$C1978,$C1978,$K$25:$K1978)-SUMIF($C$25:$C1978,$C1978,$L$25:$L1978),"")</f>
        <v/>
      </c>
      <c r="N1978" s="10"/>
      <c r="O1978" s="10"/>
      <c r="P1978" s="65"/>
      <c r="Q1978" s="10"/>
      <c r="R1978" s="10"/>
      <c r="S1978" s="54" t="str">
        <f t="shared" si="96"/>
        <v/>
      </c>
      <c r="T1978" s="54" t="str">
        <f t="shared" si="97"/>
        <v/>
      </c>
      <c r="U1978" s="58" t="str">
        <f t="shared" si="98"/>
        <v/>
      </c>
      <c r="V1978" s="58">
        <f>IF(AND($B1978&lt;&gt;"",$F1978&lt;&gt;"",$F1978=项目明细账!$C$2),N(V1977)+1,N(V1977))</f>
        <v>0</v>
      </c>
      <c r="W1978" s="63" t="str">
        <f>IF($H1978&lt;&gt;"","项目成本",IFERROR(INDEX(基础资料!$W$4:$W$49,MATCH($I1978,基础资料!$V$4:$V$49,0)),""))</f>
        <v/>
      </c>
      <c r="X1978" s="63" t="str">
        <f>IFERROR(INDEX(基础资料!$R$4:$R$17,MATCH($G1978,基础资料!$Q$4:$Q$17,0)),"")</f>
        <v/>
      </c>
    </row>
    <row r="1979" spans="1:24">
      <c r="A1979" s="58" t="str">
        <f>IF($B1979="","",COUNTA($B$5:$B1979))</f>
        <v/>
      </c>
      <c r="B1979" s="53"/>
      <c r="C1979" s="46"/>
      <c r="D1979" s="63" t="str">
        <f>IFERROR(INDEX(基础资料!$F$4:$F$23,MATCH($C1979,基础资料!$E$4:$E$23,0)),IF($C1979="","","未匹配账户"))</f>
        <v/>
      </c>
      <c r="E1979" s="39"/>
      <c r="F1979" s="10"/>
      <c r="G1979" s="10"/>
      <c r="H1979" s="10"/>
      <c r="I1979" s="10"/>
      <c r="J1979" s="10"/>
      <c r="K1979" s="25"/>
      <c r="L1979" s="25"/>
      <c r="M1979" s="25" t="str">
        <f>IFERROR(VLOOKUP($C1979,$C$5:$M$24,11,0)+SUMIF($C$25:$C1979,$C1979,$K$25:$K1979)-SUMIF($C$25:$C1979,$C1979,$L$25:$L1979),"")</f>
        <v/>
      </c>
      <c r="N1979" s="10"/>
      <c r="O1979" s="10"/>
      <c r="P1979" s="65"/>
      <c r="Q1979" s="10"/>
      <c r="R1979" s="10"/>
      <c r="S1979" s="54" t="str">
        <f t="shared" si="96"/>
        <v/>
      </c>
      <c r="T1979" s="54" t="str">
        <f t="shared" si="97"/>
        <v/>
      </c>
      <c r="U1979" s="58" t="str">
        <f t="shared" si="98"/>
        <v/>
      </c>
      <c r="V1979" s="58">
        <f>IF(AND($B1979&lt;&gt;"",$F1979&lt;&gt;"",$F1979=项目明细账!$C$2),N(V1978)+1,N(V1978))</f>
        <v>0</v>
      </c>
      <c r="W1979" s="63" t="str">
        <f>IF($H1979&lt;&gt;"","项目成本",IFERROR(INDEX(基础资料!$W$4:$W$49,MATCH($I1979,基础资料!$V$4:$V$49,0)),""))</f>
        <v/>
      </c>
      <c r="X1979" s="63" t="str">
        <f>IFERROR(INDEX(基础资料!$R$4:$R$17,MATCH($G1979,基础资料!$Q$4:$Q$17,0)),"")</f>
        <v/>
      </c>
    </row>
    <row r="1980" spans="1:24">
      <c r="A1980" s="58" t="str">
        <f>IF($B1980="","",COUNTA($B$5:$B1980))</f>
        <v/>
      </c>
      <c r="B1980" s="53"/>
      <c r="C1980" s="46"/>
      <c r="D1980" s="63" t="str">
        <f>IFERROR(INDEX(基础资料!$F$4:$F$23,MATCH($C1980,基础资料!$E$4:$E$23,0)),IF($C1980="","","未匹配账户"))</f>
        <v/>
      </c>
      <c r="E1980" s="39"/>
      <c r="F1980" s="10"/>
      <c r="G1980" s="10"/>
      <c r="H1980" s="10"/>
      <c r="I1980" s="10"/>
      <c r="J1980" s="10"/>
      <c r="K1980" s="25"/>
      <c r="L1980" s="25"/>
      <c r="M1980" s="25" t="str">
        <f>IFERROR(VLOOKUP($C1980,$C$5:$M$24,11,0)+SUMIF($C$25:$C1980,$C1980,$K$25:$K1980)-SUMIF($C$25:$C1980,$C1980,$L$25:$L1980),"")</f>
        <v/>
      </c>
      <c r="N1980" s="10"/>
      <c r="O1980" s="10"/>
      <c r="P1980" s="65"/>
      <c r="Q1980" s="10"/>
      <c r="R1980" s="10"/>
      <c r="S1980" s="54" t="str">
        <f t="shared" si="96"/>
        <v/>
      </c>
      <c r="T1980" s="54" t="str">
        <f t="shared" si="97"/>
        <v/>
      </c>
      <c r="U1980" s="58" t="str">
        <f t="shared" si="98"/>
        <v/>
      </c>
      <c r="V1980" s="58">
        <f>IF(AND($B1980&lt;&gt;"",$F1980&lt;&gt;"",$F1980=项目明细账!$C$2),N(V1979)+1,N(V1979))</f>
        <v>0</v>
      </c>
      <c r="W1980" s="63" t="str">
        <f>IF($H1980&lt;&gt;"","项目成本",IFERROR(INDEX(基础资料!$W$4:$W$49,MATCH($I1980,基础资料!$V$4:$V$49,0)),""))</f>
        <v/>
      </c>
      <c r="X1980" s="63" t="str">
        <f>IFERROR(INDEX(基础资料!$R$4:$R$17,MATCH($G1980,基础资料!$Q$4:$Q$17,0)),"")</f>
        <v/>
      </c>
    </row>
    <row r="1981" spans="1:24">
      <c r="A1981" s="58" t="str">
        <f>IF($B1981="","",COUNTA($B$5:$B1981))</f>
        <v/>
      </c>
      <c r="B1981" s="53"/>
      <c r="C1981" s="46"/>
      <c r="D1981" s="63" t="str">
        <f>IFERROR(INDEX(基础资料!$F$4:$F$23,MATCH($C1981,基础资料!$E$4:$E$23,0)),IF($C1981="","","未匹配账户"))</f>
        <v/>
      </c>
      <c r="E1981" s="39"/>
      <c r="F1981" s="10"/>
      <c r="G1981" s="10"/>
      <c r="H1981" s="10"/>
      <c r="I1981" s="10"/>
      <c r="J1981" s="10"/>
      <c r="K1981" s="25"/>
      <c r="L1981" s="25"/>
      <c r="M1981" s="25" t="str">
        <f>IFERROR(VLOOKUP($C1981,$C$5:$M$24,11,0)+SUMIF($C$25:$C1981,$C1981,$K$25:$K1981)-SUMIF($C$25:$C1981,$C1981,$L$25:$L1981),"")</f>
        <v/>
      </c>
      <c r="N1981" s="10"/>
      <c r="O1981" s="10"/>
      <c r="P1981" s="65"/>
      <c r="Q1981" s="10"/>
      <c r="R1981" s="10"/>
      <c r="S1981" s="54" t="str">
        <f t="shared" si="96"/>
        <v/>
      </c>
      <c r="T1981" s="54" t="str">
        <f t="shared" si="97"/>
        <v/>
      </c>
      <c r="U1981" s="58" t="str">
        <f t="shared" si="98"/>
        <v/>
      </c>
      <c r="V1981" s="58">
        <f>IF(AND($B1981&lt;&gt;"",$F1981&lt;&gt;"",$F1981=项目明细账!$C$2),N(V1980)+1,N(V1980))</f>
        <v>0</v>
      </c>
      <c r="W1981" s="63" t="str">
        <f>IF($H1981&lt;&gt;"","项目成本",IFERROR(INDEX(基础资料!$W$4:$W$49,MATCH($I1981,基础资料!$V$4:$V$49,0)),""))</f>
        <v/>
      </c>
      <c r="X1981" s="63" t="str">
        <f>IFERROR(INDEX(基础资料!$R$4:$R$17,MATCH($G1981,基础资料!$Q$4:$Q$17,0)),"")</f>
        <v/>
      </c>
    </row>
    <row r="1982" spans="1:24">
      <c r="A1982" s="58" t="str">
        <f>IF($B1982="","",COUNTA($B$5:$B1982))</f>
        <v/>
      </c>
      <c r="B1982" s="53"/>
      <c r="C1982" s="46"/>
      <c r="D1982" s="63" t="str">
        <f>IFERROR(INDEX(基础资料!$F$4:$F$23,MATCH($C1982,基础资料!$E$4:$E$23,0)),IF($C1982="","","未匹配账户"))</f>
        <v/>
      </c>
      <c r="E1982" s="39"/>
      <c r="F1982" s="10"/>
      <c r="G1982" s="10"/>
      <c r="H1982" s="10"/>
      <c r="I1982" s="10"/>
      <c r="J1982" s="10"/>
      <c r="K1982" s="25"/>
      <c r="L1982" s="25"/>
      <c r="M1982" s="25" t="str">
        <f>IFERROR(VLOOKUP($C1982,$C$5:$M$24,11,0)+SUMIF($C$25:$C1982,$C1982,$K$25:$K1982)-SUMIF($C$25:$C1982,$C1982,$L$25:$L1982),"")</f>
        <v/>
      </c>
      <c r="N1982" s="10"/>
      <c r="O1982" s="10"/>
      <c r="P1982" s="65"/>
      <c r="Q1982" s="10"/>
      <c r="R1982" s="10"/>
      <c r="S1982" s="54" t="str">
        <f t="shared" si="96"/>
        <v/>
      </c>
      <c r="T1982" s="54" t="str">
        <f t="shared" si="97"/>
        <v/>
      </c>
      <c r="U1982" s="58" t="str">
        <f t="shared" si="98"/>
        <v/>
      </c>
      <c r="V1982" s="58">
        <f>IF(AND($B1982&lt;&gt;"",$F1982&lt;&gt;"",$F1982=项目明细账!$C$2),N(V1981)+1,N(V1981))</f>
        <v>0</v>
      </c>
      <c r="W1982" s="63" t="str">
        <f>IF($H1982&lt;&gt;"","项目成本",IFERROR(INDEX(基础资料!$W$4:$W$49,MATCH($I1982,基础资料!$V$4:$V$49,0)),""))</f>
        <v/>
      </c>
      <c r="X1982" s="63" t="str">
        <f>IFERROR(INDEX(基础资料!$R$4:$R$17,MATCH($G1982,基础资料!$Q$4:$Q$17,0)),"")</f>
        <v/>
      </c>
    </row>
    <row r="1983" spans="1:24">
      <c r="A1983" s="58" t="str">
        <f>IF($B1983="","",COUNTA($B$5:$B1983))</f>
        <v/>
      </c>
      <c r="B1983" s="53"/>
      <c r="C1983" s="46"/>
      <c r="D1983" s="63" t="str">
        <f>IFERROR(INDEX(基础资料!$F$4:$F$23,MATCH($C1983,基础资料!$E$4:$E$23,0)),IF($C1983="","","未匹配账户"))</f>
        <v/>
      </c>
      <c r="E1983" s="39"/>
      <c r="F1983" s="10"/>
      <c r="G1983" s="10"/>
      <c r="H1983" s="10"/>
      <c r="I1983" s="10"/>
      <c r="J1983" s="10"/>
      <c r="K1983" s="25"/>
      <c r="L1983" s="25"/>
      <c r="M1983" s="25" t="str">
        <f>IFERROR(VLOOKUP($C1983,$C$5:$M$24,11,0)+SUMIF($C$25:$C1983,$C1983,$K$25:$K1983)-SUMIF($C$25:$C1983,$C1983,$L$25:$L1983),"")</f>
        <v/>
      </c>
      <c r="N1983" s="10"/>
      <c r="O1983" s="10"/>
      <c r="P1983" s="65"/>
      <c r="Q1983" s="10"/>
      <c r="R1983" s="10"/>
      <c r="S1983" s="54" t="str">
        <f t="shared" si="96"/>
        <v/>
      </c>
      <c r="T1983" s="54" t="str">
        <f t="shared" si="97"/>
        <v/>
      </c>
      <c r="U1983" s="58" t="str">
        <f t="shared" si="98"/>
        <v/>
      </c>
      <c r="V1983" s="58">
        <f>IF(AND($B1983&lt;&gt;"",$F1983&lt;&gt;"",$F1983=项目明细账!$C$2),N(V1982)+1,N(V1982))</f>
        <v>0</v>
      </c>
      <c r="W1983" s="63" t="str">
        <f>IF($H1983&lt;&gt;"","项目成本",IFERROR(INDEX(基础资料!$W$4:$W$49,MATCH($I1983,基础资料!$V$4:$V$49,0)),""))</f>
        <v/>
      </c>
      <c r="X1983" s="63" t="str">
        <f>IFERROR(INDEX(基础资料!$R$4:$R$17,MATCH($G1983,基础资料!$Q$4:$Q$17,0)),"")</f>
        <v/>
      </c>
    </row>
    <row r="1984" spans="1:24">
      <c r="A1984" s="58" t="str">
        <f>IF($B1984="","",COUNTA($B$5:$B1984))</f>
        <v/>
      </c>
      <c r="B1984" s="53"/>
      <c r="C1984" s="46"/>
      <c r="D1984" s="63" t="str">
        <f>IFERROR(INDEX(基础资料!$F$4:$F$23,MATCH($C1984,基础资料!$E$4:$E$23,0)),IF($C1984="","","未匹配账户"))</f>
        <v/>
      </c>
      <c r="E1984" s="39"/>
      <c r="F1984" s="10"/>
      <c r="G1984" s="10"/>
      <c r="H1984" s="10"/>
      <c r="I1984" s="10"/>
      <c r="J1984" s="10"/>
      <c r="K1984" s="25"/>
      <c r="L1984" s="25"/>
      <c r="M1984" s="25" t="str">
        <f>IFERROR(VLOOKUP($C1984,$C$5:$M$24,11,0)+SUMIF($C$25:$C1984,$C1984,$K$25:$K1984)-SUMIF($C$25:$C1984,$C1984,$L$25:$L1984),"")</f>
        <v/>
      </c>
      <c r="N1984" s="10"/>
      <c r="O1984" s="10"/>
      <c r="P1984" s="65"/>
      <c r="Q1984" s="10"/>
      <c r="R1984" s="10"/>
      <c r="S1984" s="54" t="str">
        <f t="shared" si="96"/>
        <v/>
      </c>
      <c r="T1984" s="54" t="str">
        <f t="shared" si="97"/>
        <v/>
      </c>
      <c r="U1984" s="58" t="str">
        <f t="shared" si="98"/>
        <v/>
      </c>
      <c r="V1984" s="58">
        <f>IF(AND($B1984&lt;&gt;"",$F1984&lt;&gt;"",$F1984=项目明细账!$C$2),N(V1983)+1,N(V1983))</f>
        <v>0</v>
      </c>
      <c r="W1984" s="63" t="str">
        <f>IF($H1984&lt;&gt;"","项目成本",IFERROR(INDEX(基础资料!$W$4:$W$49,MATCH($I1984,基础资料!$V$4:$V$49,0)),""))</f>
        <v/>
      </c>
      <c r="X1984" s="63" t="str">
        <f>IFERROR(INDEX(基础资料!$R$4:$R$17,MATCH($G1984,基础资料!$Q$4:$Q$17,0)),"")</f>
        <v/>
      </c>
    </row>
    <row r="1985" spans="1:24">
      <c r="A1985" s="58" t="str">
        <f>IF($B1985="","",COUNTA($B$5:$B1985))</f>
        <v/>
      </c>
      <c r="B1985" s="53"/>
      <c r="C1985" s="46"/>
      <c r="D1985" s="63" t="str">
        <f>IFERROR(INDEX(基础资料!$F$4:$F$23,MATCH($C1985,基础资料!$E$4:$E$23,0)),IF($C1985="","","未匹配账户"))</f>
        <v/>
      </c>
      <c r="E1985" s="39"/>
      <c r="F1985" s="10"/>
      <c r="G1985" s="10"/>
      <c r="H1985" s="10"/>
      <c r="I1985" s="10"/>
      <c r="J1985" s="10"/>
      <c r="K1985" s="25"/>
      <c r="L1985" s="25"/>
      <c r="M1985" s="25" t="str">
        <f>IFERROR(VLOOKUP($C1985,$C$5:$M$24,11,0)+SUMIF($C$25:$C1985,$C1985,$K$25:$K1985)-SUMIF($C$25:$C1985,$C1985,$L$25:$L1985),"")</f>
        <v/>
      </c>
      <c r="N1985" s="10"/>
      <c r="O1985" s="10"/>
      <c r="P1985" s="65"/>
      <c r="Q1985" s="10"/>
      <c r="R1985" s="10"/>
      <c r="S1985" s="54" t="str">
        <f t="shared" si="96"/>
        <v/>
      </c>
      <c r="T1985" s="54" t="str">
        <f t="shared" si="97"/>
        <v/>
      </c>
      <c r="U1985" s="58" t="str">
        <f t="shared" si="98"/>
        <v/>
      </c>
      <c r="V1985" s="58">
        <f>IF(AND($B1985&lt;&gt;"",$F1985&lt;&gt;"",$F1985=项目明细账!$C$2),N(V1984)+1,N(V1984))</f>
        <v>0</v>
      </c>
      <c r="W1985" s="63" t="str">
        <f>IF($H1985&lt;&gt;"","项目成本",IFERROR(INDEX(基础资料!$W$4:$W$49,MATCH($I1985,基础资料!$V$4:$V$49,0)),""))</f>
        <v/>
      </c>
      <c r="X1985" s="63" t="str">
        <f>IFERROR(INDEX(基础资料!$R$4:$R$17,MATCH($G1985,基础资料!$Q$4:$Q$17,0)),"")</f>
        <v/>
      </c>
    </row>
    <row r="1986" spans="1:24">
      <c r="A1986" s="58" t="str">
        <f>IF($B1986="","",COUNTA($B$5:$B1986))</f>
        <v/>
      </c>
      <c r="B1986" s="53"/>
      <c r="C1986" s="46"/>
      <c r="D1986" s="63" t="str">
        <f>IFERROR(INDEX(基础资料!$F$4:$F$23,MATCH($C1986,基础资料!$E$4:$E$23,0)),IF($C1986="","","未匹配账户"))</f>
        <v/>
      </c>
      <c r="E1986" s="39"/>
      <c r="F1986" s="10"/>
      <c r="G1986" s="10"/>
      <c r="H1986" s="10"/>
      <c r="I1986" s="10"/>
      <c r="J1986" s="10"/>
      <c r="K1986" s="25"/>
      <c r="L1986" s="25"/>
      <c r="M1986" s="25" t="str">
        <f>IFERROR(VLOOKUP($C1986,$C$5:$M$24,11,0)+SUMIF($C$25:$C1986,$C1986,$K$25:$K1986)-SUMIF($C$25:$C1986,$C1986,$L$25:$L1986),"")</f>
        <v/>
      </c>
      <c r="N1986" s="10"/>
      <c r="O1986" s="10"/>
      <c r="P1986" s="65"/>
      <c r="Q1986" s="10"/>
      <c r="R1986" s="10"/>
      <c r="S1986" s="54" t="str">
        <f t="shared" si="96"/>
        <v/>
      </c>
      <c r="T1986" s="54" t="str">
        <f t="shared" si="97"/>
        <v/>
      </c>
      <c r="U1986" s="58" t="str">
        <f t="shared" si="98"/>
        <v/>
      </c>
      <c r="V1986" s="58">
        <f>IF(AND($B1986&lt;&gt;"",$F1986&lt;&gt;"",$F1986=项目明细账!$C$2),N(V1985)+1,N(V1985))</f>
        <v>0</v>
      </c>
      <c r="W1986" s="63" t="str">
        <f>IF($H1986&lt;&gt;"","项目成本",IFERROR(INDEX(基础资料!$W$4:$W$49,MATCH($I1986,基础资料!$V$4:$V$49,0)),""))</f>
        <v/>
      </c>
      <c r="X1986" s="63" t="str">
        <f>IFERROR(INDEX(基础资料!$R$4:$R$17,MATCH($G1986,基础资料!$Q$4:$Q$17,0)),"")</f>
        <v/>
      </c>
    </row>
    <row r="1987" spans="1:24">
      <c r="A1987" s="58" t="str">
        <f>IF($B1987="","",COUNTA($B$5:$B1987))</f>
        <v/>
      </c>
      <c r="B1987" s="53"/>
      <c r="C1987" s="46"/>
      <c r="D1987" s="63" t="str">
        <f>IFERROR(INDEX(基础资料!$F$4:$F$23,MATCH($C1987,基础资料!$E$4:$E$23,0)),IF($C1987="","","未匹配账户"))</f>
        <v/>
      </c>
      <c r="E1987" s="39"/>
      <c r="F1987" s="10"/>
      <c r="G1987" s="10"/>
      <c r="H1987" s="10"/>
      <c r="I1987" s="10"/>
      <c r="J1987" s="10"/>
      <c r="K1987" s="25"/>
      <c r="L1987" s="25"/>
      <c r="M1987" s="25" t="str">
        <f>IFERROR(VLOOKUP($C1987,$C$5:$M$24,11,0)+SUMIF($C$25:$C1987,$C1987,$K$25:$K1987)-SUMIF($C$25:$C1987,$C1987,$L$25:$L1987),"")</f>
        <v/>
      </c>
      <c r="N1987" s="10"/>
      <c r="O1987" s="10"/>
      <c r="P1987" s="65"/>
      <c r="Q1987" s="10"/>
      <c r="R1987" s="10"/>
      <c r="S1987" s="54" t="str">
        <f t="shared" si="96"/>
        <v/>
      </c>
      <c r="T1987" s="54" t="str">
        <f t="shared" si="97"/>
        <v/>
      </c>
      <c r="U1987" s="58" t="str">
        <f t="shared" si="98"/>
        <v/>
      </c>
      <c r="V1987" s="58">
        <f>IF(AND($B1987&lt;&gt;"",$F1987&lt;&gt;"",$F1987=项目明细账!$C$2),N(V1986)+1,N(V1986))</f>
        <v>0</v>
      </c>
      <c r="W1987" s="63" t="str">
        <f>IF($H1987&lt;&gt;"","项目成本",IFERROR(INDEX(基础资料!$W$4:$W$49,MATCH($I1987,基础资料!$V$4:$V$49,0)),""))</f>
        <v/>
      </c>
      <c r="X1987" s="63" t="str">
        <f>IFERROR(INDEX(基础资料!$R$4:$R$17,MATCH($G1987,基础资料!$Q$4:$Q$17,0)),"")</f>
        <v/>
      </c>
    </row>
    <row r="1988" spans="1:24">
      <c r="A1988" s="58" t="str">
        <f>IF($B1988="","",COUNTA($B$5:$B1988))</f>
        <v/>
      </c>
      <c r="B1988" s="53"/>
      <c r="C1988" s="46"/>
      <c r="D1988" s="63" t="str">
        <f>IFERROR(INDEX(基础资料!$F$4:$F$23,MATCH($C1988,基础资料!$E$4:$E$23,0)),IF($C1988="","","未匹配账户"))</f>
        <v/>
      </c>
      <c r="E1988" s="39"/>
      <c r="F1988" s="10"/>
      <c r="G1988" s="10"/>
      <c r="H1988" s="10"/>
      <c r="I1988" s="10"/>
      <c r="J1988" s="10"/>
      <c r="K1988" s="25"/>
      <c r="L1988" s="25"/>
      <c r="M1988" s="25" t="str">
        <f>IFERROR(VLOOKUP($C1988,$C$5:$M$24,11,0)+SUMIF($C$25:$C1988,$C1988,$K$25:$K1988)-SUMIF($C$25:$C1988,$C1988,$L$25:$L1988),"")</f>
        <v/>
      </c>
      <c r="N1988" s="10"/>
      <c r="O1988" s="10"/>
      <c r="P1988" s="65"/>
      <c r="Q1988" s="10"/>
      <c r="R1988" s="10"/>
      <c r="S1988" s="54" t="str">
        <f t="shared" si="96"/>
        <v/>
      </c>
      <c r="T1988" s="54" t="str">
        <f t="shared" si="97"/>
        <v/>
      </c>
      <c r="U1988" s="58" t="str">
        <f t="shared" si="98"/>
        <v/>
      </c>
      <c r="V1988" s="58">
        <f>IF(AND($B1988&lt;&gt;"",$F1988&lt;&gt;"",$F1988=项目明细账!$C$2),N(V1987)+1,N(V1987))</f>
        <v>0</v>
      </c>
      <c r="W1988" s="63" t="str">
        <f>IF($H1988&lt;&gt;"","项目成本",IFERROR(INDEX(基础资料!$W$4:$W$49,MATCH($I1988,基础资料!$V$4:$V$49,0)),""))</f>
        <v/>
      </c>
      <c r="X1988" s="63" t="str">
        <f>IFERROR(INDEX(基础资料!$R$4:$R$17,MATCH($G1988,基础资料!$Q$4:$Q$17,0)),"")</f>
        <v/>
      </c>
    </row>
    <row r="1989" spans="1:24">
      <c r="A1989" s="58" t="str">
        <f>IF($B1989="","",COUNTA($B$5:$B1989))</f>
        <v/>
      </c>
      <c r="B1989" s="53"/>
      <c r="C1989" s="46"/>
      <c r="D1989" s="63" t="str">
        <f>IFERROR(INDEX(基础资料!$F$4:$F$23,MATCH($C1989,基础资料!$E$4:$E$23,0)),IF($C1989="","","未匹配账户"))</f>
        <v/>
      </c>
      <c r="E1989" s="39"/>
      <c r="F1989" s="10"/>
      <c r="G1989" s="10"/>
      <c r="H1989" s="10"/>
      <c r="I1989" s="10"/>
      <c r="J1989" s="10"/>
      <c r="K1989" s="25"/>
      <c r="L1989" s="25"/>
      <c r="M1989" s="25" t="str">
        <f>IFERROR(VLOOKUP($C1989,$C$5:$M$24,11,0)+SUMIF($C$25:$C1989,$C1989,$K$25:$K1989)-SUMIF($C$25:$C1989,$C1989,$L$25:$L1989),"")</f>
        <v/>
      </c>
      <c r="N1989" s="10"/>
      <c r="O1989" s="10"/>
      <c r="P1989" s="65"/>
      <c r="Q1989" s="10"/>
      <c r="R1989" s="10"/>
      <c r="S1989" s="54" t="str">
        <f t="shared" si="96"/>
        <v/>
      </c>
      <c r="T1989" s="54" t="str">
        <f t="shared" si="97"/>
        <v/>
      </c>
      <c r="U1989" s="58" t="str">
        <f t="shared" si="98"/>
        <v/>
      </c>
      <c r="V1989" s="58">
        <f>IF(AND($B1989&lt;&gt;"",$F1989&lt;&gt;"",$F1989=项目明细账!$C$2),N(V1988)+1,N(V1988))</f>
        <v>0</v>
      </c>
      <c r="W1989" s="63" t="str">
        <f>IF($H1989&lt;&gt;"","项目成本",IFERROR(INDEX(基础资料!$W$4:$W$49,MATCH($I1989,基础资料!$V$4:$V$49,0)),""))</f>
        <v/>
      </c>
      <c r="X1989" s="63" t="str">
        <f>IFERROR(INDEX(基础资料!$R$4:$R$17,MATCH($G1989,基础资料!$Q$4:$Q$17,0)),"")</f>
        <v/>
      </c>
    </row>
    <row r="1990" spans="1:24">
      <c r="A1990" s="58" t="str">
        <f>IF($B1990="","",COUNTA($B$5:$B1990))</f>
        <v/>
      </c>
      <c r="B1990" s="53"/>
      <c r="C1990" s="46"/>
      <c r="D1990" s="63" t="str">
        <f>IFERROR(INDEX(基础资料!$F$4:$F$23,MATCH($C1990,基础资料!$E$4:$E$23,0)),IF($C1990="","","未匹配账户"))</f>
        <v/>
      </c>
      <c r="E1990" s="39"/>
      <c r="F1990" s="10"/>
      <c r="G1990" s="10"/>
      <c r="H1990" s="10"/>
      <c r="I1990" s="10"/>
      <c r="J1990" s="10"/>
      <c r="K1990" s="25"/>
      <c r="L1990" s="25"/>
      <c r="M1990" s="25" t="str">
        <f>IFERROR(VLOOKUP($C1990,$C$5:$M$24,11,0)+SUMIF($C$25:$C1990,$C1990,$K$25:$K1990)-SUMIF($C$25:$C1990,$C1990,$L$25:$L1990),"")</f>
        <v/>
      </c>
      <c r="N1990" s="10"/>
      <c r="O1990" s="10"/>
      <c r="P1990" s="65"/>
      <c r="Q1990" s="10"/>
      <c r="R1990" s="10"/>
      <c r="S1990" s="54" t="str">
        <f t="shared" si="96"/>
        <v/>
      </c>
      <c r="T1990" s="54" t="str">
        <f t="shared" si="97"/>
        <v/>
      </c>
      <c r="U1990" s="58" t="str">
        <f t="shared" si="98"/>
        <v/>
      </c>
      <c r="V1990" s="58">
        <f>IF(AND($B1990&lt;&gt;"",$F1990&lt;&gt;"",$F1990=项目明细账!$C$2),N(V1989)+1,N(V1989))</f>
        <v>0</v>
      </c>
      <c r="W1990" s="63" t="str">
        <f>IF($H1990&lt;&gt;"","项目成本",IFERROR(INDEX(基础资料!$W$4:$W$49,MATCH($I1990,基础资料!$V$4:$V$49,0)),""))</f>
        <v/>
      </c>
      <c r="X1990" s="63" t="str">
        <f>IFERROR(INDEX(基础资料!$R$4:$R$17,MATCH($G1990,基础资料!$Q$4:$Q$17,0)),"")</f>
        <v/>
      </c>
    </row>
    <row r="1991" spans="1:24">
      <c r="A1991" s="58" t="str">
        <f>IF($B1991="","",COUNTA($B$5:$B1991))</f>
        <v/>
      </c>
      <c r="B1991" s="53"/>
      <c r="C1991" s="46"/>
      <c r="D1991" s="63" t="str">
        <f>IFERROR(INDEX(基础资料!$F$4:$F$23,MATCH($C1991,基础资料!$E$4:$E$23,0)),IF($C1991="","","未匹配账户"))</f>
        <v/>
      </c>
      <c r="E1991" s="39"/>
      <c r="F1991" s="10"/>
      <c r="G1991" s="10"/>
      <c r="H1991" s="10"/>
      <c r="I1991" s="10"/>
      <c r="J1991" s="10"/>
      <c r="K1991" s="25"/>
      <c r="L1991" s="25"/>
      <c r="M1991" s="25" t="str">
        <f>IFERROR(VLOOKUP($C1991,$C$5:$M$24,11,0)+SUMIF($C$25:$C1991,$C1991,$K$25:$K1991)-SUMIF($C$25:$C1991,$C1991,$L$25:$L1991),"")</f>
        <v/>
      </c>
      <c r="N1991" s="10"/>
      <c r="O1991" s="10"/>
      <c r="P1991" s="65"/>
      <c r="Q1991" s="10"/>
      <c r="R1991" s="10"/>
      <c r="S1991" s="54" t="str">
        <f t="shared" ref="S1991:S2054" si="99">IF($B1991="","",--TEXT($B1991,"yyyymm"))</f>
        <v/>
      </c>
      <c r="T1991" s="54" t="str">
        <f t="shared" ref="T1991:T2054" si="100">IF($B1991="","",IF($P1991="",$S1991,IFERROR($P1991*1,$P1991)))</f>
        <v/>
      </c>
      <c r="U1991" s="58" t="str">
        <f t="shared" ref="U1991:U2054" si="101">IF($B1991="","",IF($T1991=$S1991,"","跨期"))</f>
        <v/>
      </c>
      <c r="V1991" s="58">
        <f>IF(AND($B1991&lt;&gt;"",$F1991&lt;&gt;"",$F1991=项目明细账!$C$2),N(V1990)+1,N(V1990))</f>
        <v>0</v>
      </c>
      <c r="W1991" s="63" t="str">
        <f>IF($H1991&lt;&gt;"","项目成本",IFERROR(INDEX(基础资料!$W$4:$W$49,MATCH($I1991,基础资料!$V$4:$V$49,0)),""))</f>
        <v/>
      </c>
      <c r="X1991" s="63" t="str">
        <f>IFERROR(INDEX(基础资料!$R$4:$R$17,MATCH($G1991,基础资料!$Q$4:$Q$17,0)),"")</f>
        <v/>
      </c>
    </row>
    <row r="1992" spans="1:24">
      <c r="A1992" s="58" t="str">
        <f>IF($B1992="","",COUNTA($B$5:$B1992))</f>
        <v/>
      </c>
      <c r="B1992" s="53"/>
      <c r="C1992" s="46"/>
      <c r="D1992" s="63" t="str">
        <f>IFERROR(INDEX(基础资料!$F$4:$F$23,MATCH($C1992,基础资料!$E$4:$E$23,0)),IF($C1992="","","未匹配账户"))</f>
        <v/>
      </c>
      <c r="E1992" s="39"/>
      <c r="F1992" s="10"/>
      <c r="G1992" s="10"/>
      <c r="H1992" s="10"/>
      <c r="I1992" s="10"/>
      <c r="J1992" s="10"/>
      <c r="K1992" s="25"/>
      <c r="L1992" s="25"/>
      <c r="M1992" s="25" t="str">
        <f>IFERROR(VLOOKUP($C1992,$C$5:$M$24,11,0)+SUMIF($C$25:$C1992,$C1992,$K$25:$K1992)-SUMIF($C$25:$C1992,$C1992,$L$25:$L1992),"")</f>
        <v/>
      </c>
      <c r="N1992" s="10"/>
      <c r="O1992" s="10"/>
      <c r="P1992" s="65"/>
      <c r="Q1992" s="10"/>
      <c r="R1992" s="10"/>
      <c r="S1992" s="54" t="str">
        <f t="shared" si="99"/>
        <v/>
      </c>
      <c r="T1992" s="54" t="str">
        <f t="shared" si="100"/>
        <v/>
      </c>
      <c r="U1992" s="58" t="str">
        <f t="shared" si="101"/>
        <v/>
      </c>
      <c r="V1992" s="58">
        <f>IF(AND($B1992&lt;&gt;"",$F1992&lt;&gt;"",$F1992=项目明细账!$C$2),N(V1991)+1,N(V1991))</f>
        <v>0</v>
      </c>
      <c r="W1992" s="63" t="str">
        <f>IF($H1992&lt;&gt;"","项目成本",IFERROR(INDEX(基础资料!$W$4:$W$49,MATCH($I1992,基础资料!$V$4:$V$49,0)),""))</f>
        <v/>
      </c>
      <c r="X1992" s="63" t="str">
        <f>IFERROR(INDEX(基础资料!$R$4:$R$17,MATCH($G1992,基础资料!$Q$4:$Q$17,0)),"")</f>
        <v/>
      </c>
    </row>
    <row r="1993" spans="1:24">
      <c r="A1993" s="58" t="str">
        <f>IF($B1993="","",COUNTA($B$5:$B1993))</f>
        <v/>
      </c>
      <c r="B1993" s="53"/>
      <c r="C1993" s="46"/>
      <c r="D1993" s="63" t="str">
        <f>IFERROR(INDEX(基础资料!$F$4:$F$23,MATCH($C1993,基础资料!$E$4:$E$23,0)),IF($C1993="","","未匹配账户"))</f>
        <v/>
      </c>
      <c r="E1993" s="39"/>
      <c r="F1993" s="10"/>
      <c r="G1993" s="10"/>
      <c r="H1993" s="10"/>
      <c r="I1993" s="10"/>
      <c r="J1993" s="10"/>
      <c r="K1993" s="25"/>
      <c r="L1993" s="25"/>
      <c r="M1993" s="25" t="str">
        <f>IFERROR(VLOOKUP($C1993,$C$5:$M$24,11,0)+SUMIF($C$25:$C1993,$C1993,$K$25:$K1993)-SUMIF($C$25:$C1993,$C1993,$L$25:$L1993),"")</f>
        <v/>
      </c>
      <c r="N1993" s="10"/>
      <c r="O1993" s="10"/>
      <c r="P1993" s="65"/>
      <c r="Q1993" s="10"/>
      <c r="R1993" s="10"/>
      <c r="S1993" s="54" t="str">
        <f t="shared" si="99"/>
        <v/>
      </c>
      <c r="T1993" s="54" t="str">
        <f t="shared" si="100"/>
        <v/>
      </c>
      <c r="U1993" s="58" t="str">
        <f t="shared" si="101"/>
        <v/>
      </c>
      <c r="V1993" s="58">
        <f>IF(AND($B1993&lt;&gt;"",$F1993&lt;&gt;"",$F1993=项目明细账!$C$2),N(V1992)+1,N(V1992))</f>
        <v>0</v>
      </c>
      <c r="W1993" s="63" t="str">
        <f>IF($H1993&lt;&gt;"","项目成本",IFERROR(INDEX(基础资料!$W$4:$W$49,MATCH($I1993,基础资料!$V$4:$V$49,0)),""))</f>
        <v/>
      </c>
      <c r="X1993" s="63" t="str">
        <f>IFERROR(INDEX(基础资料!$R$4:$R$17,MATCH($G1993,基础资料!$Q$4:$Q$17,0)),"")</f>
        <v/>
      </c>
    </row>
    <row r="1994" spans="1:24">
      <c r="A1994" s="58" t="str">
        <f>IF($B1994="","",COUNTA($B$5:$B1994))</f>
        <v/>
      </c>
      <c r="B1994" s="53"/>
      <c r="C1994" s="46"/>
      <c r="D1994" s="63" t="str">
        <f>IFERROR(INDEX(基础资料!$F$4:$F$23,MATCH($C1994,基础资料!$E$4:$E$23,0)),IF($C1994="","","未匹配账户"))</f>
        <v/>
      </c>
      <c r="E1994" s="39"/>
      <c r="F1994" s="10"/>
      <c r="G1994" s="10"/>
      <c r="H1994" s="10"/>
      <c r="I1994" s="10"/>
      <c r="J1994" s="10"/>
      <c r="K1994" s="25"/>
      <c r="L1994" s="25"/>
      <c r="M1994" s="25" t="str">
        <f>IFERROR(VLOOKUP($C1994,$C$5:$M$24,11,0)+SUMIF($C$25:$C1994,$C1994,$K$25:$K1994)-SUMIF($C$25:$C1994,$C1994,$L$25:$L1994),"")</f>
        <v/>
      </c>
      <c r="N1994" s="10"/>
      <c r="O1994" s="10"/>
      <c r="P1994" s="65"/>
      <c r="Q1994" s="10"/>
      <c r="R1994" s="10"/>
      <c r="S1994" s="54" t="str">
        <f t="shared" si="99"/>
        <v/>
      </c>
      <c r="T1994" s="54" t="str">
        <f t="shared" si="100"/>
        <v/>
      </c>
      <c r="U1994" s="58" t="str">
        <f t="shared" si="101"/>
        <v/>
      </c>
      <c r="V1994" s="58">
        <f>IF(AND($B1994&lt;&gt;"",$F1994&lt;&gt;"",$F1994=项目明细账!$C$2),N(V1993)+1,N(V1993))</f>
        <v>0</v>
      </c>
      <c r="W1994" s="63" t="str">
        <f>IF($H1994&lt;&gt;"","项目成本",IFERROR(INDEX(基础资料!$W$4:$W$49,MATCH($I1994,基础资料!$V$4:$V$49,0)),""))</f>
        <v/>
      </c>
      <c r="X1994" s="63" t="str">
        <f>IFERROR(INDEX(基础资料!$R$4:$R$17,MATCH($G1994,基础资料!$Q$4:$Q$17,0)),"")</f>
        <v/>
      </c>
    </row>
    <row r="1995" spans="1:24">
      <c r="A1995" s="58" t="str">
        <f>IF($B1995="","",COUNTA($B$5:$B1995))</f>
        <v/>
      </c>
      <c r="B1995" s="53"/>
      <c r="C1995" s="46"/>
      <c r="D1995" s="63" t="str">
        <f>IFERROR(INDEX(基础资料!$F$4:$F$23,MATCH($C1995,基础资料!$E$4:$E$23,0)),IF($C1995="","","未匹配账户"))</f>
        <v/>
      </c>
      <c r="E1995" s="39"/>
      <c r="F1995" s="10"/>
      <c r="G1995" s="10"/>
      <c r="H1995" s="10"/>
      <c r="I1995" s="10"/>
      <c r="J1995" s="10"/>
      <c r="K1995" s="25"/>
      <c r="L1995" s="25"/>
      <c r="M1995" s="25" t="str">
        <f>IFERROR(VLOOKUP($C1995,$C$5:$M$24,11,0)+SUMIF($C$25:$C1995,$C1995,$K$25:$K1995)-SUMIF($C$25:$C1995,$C1995,$L$25:$L1995),"")</f>
        <v/>
      </c>
      <c r="N1995" s="10"/>
      <c r="O1995" s="10"/>
      <c r="P1995" s="65"/>
      <c r="Q1995" s="10"/>
      <c r="R1995" s="10"/>
      <c r="S1995" s="54" t="str">
        <f t="shared" si="99"/>
        <v/>
      </c>
      <c r="T1995" s="54" t="str">
        <f t="shared" si="100"/>
        <v/>
      </c>
      <c r="U1995" s="58" t="str">
        <f t="shared" si="101"/>
        <v/>
      </c>
      <c r="V1995" s="58">
        <f>IF(AND($B1995&lt;&gt;"",$F1995&lt;&gt;"",$F1995=项目明细账!$C$2),N(V1994)+1,N(V1994))</f>
        <v>0</v>
      </c>
      <c r="W1995" s="63" t="str">
        <f>IF($H1995&lt;&gt;"","项目成本",IFERROR(INDEX(基础资料!$W$4:$W$49,MATCH($I1995,基础资料!$V$4:$V$49,0)),""))</f>
        <v/>
      </c>
      <c r="X1995" s="63" t="str">
        <f>IFERROR(INDEX(基础资料!$R$4:$R$17,MATCH($G1995,基础资料!$Q$4:$Q$17,0)),"")</f>
        <v/>
      </c>
    </row>
    <row r="1996" spans="1:24">
      <c r="A1996" s="58" t="str">
        <f>IF($B1996="","",COUNTA($B$5:$B1996))</f>
        <v/>
      </c>
      <c r="B1996" s="53"/>
      <c r="C1996" s="46"/>
      <c r="D1996" s="63" t="str">
        <f>IFERROR(INDEX(基础资料!$F$4:$F$23,MATCH($C1996,基础资料!$E$4:$E$23,0)),IF($C1996="","","未匹配账户"))</f>
        <v/>
      </c>
      <c r="E1996" s="39"/>
      <c r="F1996" s="10"/>
      <c r="G1996" s="10"/>
      <c r="H1996" s="10"/>
      <c r="I1996" s="10"/>
      <c r="J1996" s="10"/>
      <c r="K1996" s="25"/>
      <c r="L1996" s="25"/>
      <c r="M1996" s="25" t="str">
        <f>IFERROR(VLOOKUP($C1996,$C$5:$M$24,11,0)+SUMIF($C$25:$C1996,$C1996,$K$25:$K1996)-SUMIF($C$25:$C1996,$C1996,$L$25:$L1996),"")</f>
        <v/>
      </c>
      <c r="N1996" s="10"/>
      <c r="O1996" s="10"/>
      <c r="P1996" s="65"/>
      <c r="Q1996" s="10"/>
      <c r="R1996" s="10"/>
      <c r="S1996" s="54" t="str">
        <f t="shared" si="99"/>
        <v/>
      </c>
      <c r="T1996" s="54" t="str">
        <f t="shared" si="100"/>
        <v/>
      </c>
      <c r="U1996" s="58" t="str">
        <f t="shared" si="101"/>
        <v/>
      </c>
      <c r="V1996" s="58">
        <f>IF(AND($B1996&lt;&gt;"",$F1996&lt;&gt;"",$F1996=项目明细账!$C$2),N(V1995)+1,N(V1995))</f>
        <v>0</v>
      </c>
      <c r="W1996" s="63" t="str">
        <f>IF($H1996&lt;&gt;"","项目成本",IFERROR(INDEX(基础资料!$W$4:$W$49,MATCH($I1996,基础资料!$V$4:$V$49,0)),""))</f>
        <v/>
      </c>
      <c r="X1996" s="63" t="str">
        <f>IFERROR(INDEX(基础资料!$R$4:$R$17,MATCH($G1996,基础资料!$Q$4:$Q$17,0)),"")</f>
        <v/>
      </c>
    </row>
    <row r="1997" spans="1:24">
      <c r="A1997" s="58" t="str">
        <f>IF($B1997="","",COUNTA($B$5:$B1997))</f>
        <v/>
      </c>
      <c r="B1997" s="53"/>
      <c r="C1997" s="46"/>
      <c r="D1997" s="63" t="str">
        <f>IFERROR(INDEX(基础资料!$F$4:$F$23,MATCH($C1997,基础资料!$E$4:$E$23,0)),IF($C1997="","","未匹配账户"))</f>
        <v/>
      </c>
      <c r="E1997" s="39"/>
      <c r="F1997" s="10"/>
      <c r="G1997" s="10"/>
      <c r="H1997" s="10"/>
      <c r="I1997" s="10"/>
      <c r="J1997" s="10"/>
      <c r="K1997" s="25"/>
      <c r="L1997" s="25"/>
      <c r="M1997" s="25" t="str">
        <f>IFERROR(VLOOKUP($C1997,$C$5:$M$24,11,0)+SUMIF($C$25:$C1997,$C1997,$K$25:$K1997)-SUMIF($C$25:$C1997,$C1997,$L$25:$L1997),"")</f>
        <v/>
      </c>
      <c r="N1997" s="10"/>
      <c r="O1997" s="10"/>
      <c r="P1997" s="65"/>
      <c r="Q1997" s="10"/>
      <c r="R1997" s="10"/>
      <c r="S1997" s="54" t="str">
        <f t="shared" si="99"/>
        <v/>
      </c>
      <c r="T1997" s="54" t="str">
        <f t="shared" si="100"/>
        <v/>
      </c>
      <c r="U1997" s="58" t="str">
        <f t="shared" si="101"/>
        <v/>
      </c>
      <c r="V1997" s="58">
        <f>IF(AND($B1997&lt;&gt;"",$F1997&lt;&gt;"",$F1997=项目明细账!$C$2),N(V1996)+1,N(V1996))</f>
        <v>0</v>
      </c>
      <c r="W1997" s="63" t="str">
        <f>IF($H1997&lt;&gt;"","项目成本",IFERROR(INDEX(基础资料!$W$4:$W$49,MATCH($I1997,基础资料!$V$4:$V$49,0)),""))</f>
        <v/>
      </c>
      <c r="X1997" s="63" t="str">
        <f>IFERROR(INDEX(基础资料!$R$4:$R$17,MATCH($G1997,基础资料!$Q$4:$Q$17,0)),"")</f>
        <v/>
      </c>
    </row>
    <row r="1998" spans="1:24">
      <c r="A1998" s="58" t="str">
        <f>IF($B1998="","",COUNTA($B$5:$B1998))</f>
        <v/>
      </c>
      <c r="B1998" s="53"/>
      <c r="C1998" s="46"/>
      <c r="D1998" s="63" t="str">
        <f>IFERROR(INDEX(基础资料!$F$4:$F$23,MATCH($C1998,基础资料!$E$4:$E$23,0)),IF($C1998="","","未匹配账户"))</f>
        <v/>
      </c>
      <c r="E1998" s="39"/>
      <c r="F1998" s="10"/>
      <c r="G1998" s="10"/>
      <c r="H1998" s="10"/>
      <c r="I1998" s="10"/>
      <c r="J1998" s="10"/>
      <c r="K1998" s="25"/>
      <c r="L1998" s="25"/>
      <c r="M1998" s="25" t="str">
        <f>IFERROR(VLOOKUP($C1998,$C$5:$M$24,11,0)+SUMIF($C$25:$C1998,$C1998,$K$25:$K1998)-SUMIF($C$25:$C1998,$C1998,$L$25:$L1998),"")</f>
        <v/>
      </c>
      <c r="N1998" s="10"/>
      <c r="O1998" s="10"/>
      <c r="P1998" s="65"/>
      <c r="Q1998" s="10"/>
      <c r="R1998" s="10"/>
      <c r="S1998" s="54" t="str">
        <f t="shared" si="99"/>
        <v/>
      </c>
      <c r="T1998" s="54" t="str">
        <f t="shared" si="100"/>
        <v/>
      </c>
      <c r="U1998" s="58" t="str">
        <f t="shared" si="101"/>
        <v/>
      </c>
      <c r="V1998" s="58">
        <f>IF(AND($B1998&lt;&gt;"",$F1998&lt;&gt;"",$F1998=项目明细账!$C$2),N(V1997)+1,N(V1997))</f>
        <v>0</v>
      </c>
      <c r="W1998" s="63" t="str">
        <f>IF($H1998&lt;&gt;"","项目成本",IFERROR(INDEX(基础资料!$W$4:$W$49,MATCH($I1998,基础资料!$V$4:$V$49,0)),""))</f>
        <v/>
      </c>
      <c r="X1998" s="63" t="str">
        <f>IFERROR(INDEX(基础资料!$R$4:$R$17,MATCH($G1998,基础资料!$Q$4:$Q$17,0)),"")</f>
        <v/>
      </c>
    </row>
    <row r="1999" spans="1:24">
      <c r="A1999" s="58" t="str">
        <f>IF($B1999="","",COUNTA($B$5:$B1999))</f>
        <v/>
      </c>
      <c r="B1999" s="53"/>
      <c r="C1999" s="46"/>
      <c r="D1999" s="63" t="str">
        <f>IFERROR(INDEX(基础资料!$F$4:$F$23,MATCH($C1999,基础资料!$E$4:$E$23,0)),IF($C1999="","","未匹配账户"))</f>
        <v/>
      </c>
      <c r="E1999" s="39"/>
      <c r="F1999" s="10"/>
      <c r="G1999" s="10"/>
      <c r="H1999" s="10"/>
      <c r="I1999" s="10"/>
      <c r="J1999" s="10"/>
      <c r="K1999" s="25"/>
      <c r="L1999" s="25"/>
      <c r="M1999" s="25" t="str">
        <f>IFERROR(VLOOKUP($C1999,$C$5:$M$24,11,0)+SUMIF($C$25:$C1999,$C1999,$K$25:$K1999)-SUMIF($C$25:$C1999,$C1999,$L$25:$L1999),"")</f>
        <v/>
      </c>
      <c r="N1999" s="10"/>
      <c r="O1999" s="10"/>
      <c r="P1999" s="65"/>
      <c r="Q1999" s="10"/>
      <c r="R1999" s="10"/>
      <c r="S1999" s="54" t="str">
        <f t="shared" si="99"/>
        <v/>
      </c>
      <c r="T1999" s="54" t="str">
        <f t="shared" si="100"/>
        <v/>
      </c>
      <c r="U1999" s="58" t="str">
        <f t="shared" si="101"/>
        <v/>
      </c>
      <c r="V1999" s="58">
        <f>IF(AND($B1999&lt;&gt;"",$F1999&lt;&gt;"",$F1999=项目明细账!$C$2),N(V1998)+1,N(V1998))</f>
        <v>0</v>
      </c>
      <c r="W1999" s="63" t="str">
        <f>IF($H1999&lt;&gt;"","项目成本",IFERROR(INDEX(基础资料!$W$4:$W$49,MATCH($I1999,基础资料!$V$4:$V$49,0)),""))</f>
        <v/>
      </c>
      <c r="X1999" s="63" t="str">
        <f>IFERROR(INDEX(基础资料!$R$4:$R$17,MATCH($G1999,基础资料!$Q$4:$Q$17,0)),"")</f>
        <v/>
      </c>
    </row>
    <row r="2000" spans="1:24">
      <c r="A2000" s="58" t="str">
        <f>IF($B2000="","",COUNTA($B$5:$B2000))</f>
        <v/>
      </c>
      <c r="B2000" s="53"/>
      <c r="C2000" s="46"/>
      <c r="D2000" s="63" t="str">
        <f>IFERROR(INDEX(基础资料!$F$4:$F$23,MATCH($C2000,基础资料!$E$4:$E$23,0)),IF($C2000="","","未匹配账户"))</f>
        <v/>
      </c>
      <c r="E2000" s="39"/>
      <c r="F2000" s="10"/>
      <c r="G2000" s="10"/>
      <c r="H2000" s="10"/>
      <c r="I2000" s="10"/>
      <c r="J2000" s="10"/>
      <c r="K2000" s="25"/>
      <c r="L2000" s="25"/>
      <c r="M2000" s="25" t="str">
        <f>IFERROR(VLOOKUP($C2000,$C$5:$M$24,11,0)+SUMIF($C$25:$C2000,$C2000,$K$25:$K2000)-SUMIF($C$25:$C2000,$C2000,$L$25:$L2000),"")</f>
        <v/>
      </c>
      <c r="N2000" s="10"/>
      <c r="O2000" s="10"/>
      <c r="P2000" s="65"/>
      <c r="Q2000" s="10"/>
      <c r="R2000" s="10"/>
      <c r="S2000" s="54" t="str">
        <f t="shared" si="99"/>
        <v/>
      </c>
      <c r="T2000" s="54" t="str">
        <f t="shared" si="100"/>
        <v/>
      </c>
      <c r="U2000" s="58" t="str">
        <f t="shared" si="101"/>
        <v/>
      </c>
      <c r="V2000" s="58">
        <f>IF(AND($B2000&lt;&gt;"",$F2000&lt;&gt;"",$F2000=项目明细账!$C$2),N(V1999)+1,N(V1999))</f>
        <v>0</v>
      </c>
      <c r="W2000" s="63" t="str">
        <f>IF($H2000&lt;&gt;"","项目成本",IFERROR(INDEX(基础资料!$W$4:$W$49,MATCH($I2000,基础资料!$V$4:$V$49,0)),""))</f>
        <v/>
      </c>
      <c r="X2000" s="63" t="str">
        <f>IFERROR(INDEX(基础资料!$R$4:$R$17,MATCH($G2000,基础资料!$Q$4:$Q$17,0)),"")</f>
        <v/>
      </c>
    </row>
    <row r="2001" spans="1:24">
      <c r="A2001" s="58" t="str">
        <f>IF($B2001="","",COUNTA($B$5:$B2001))</f>
        <v/>
      </c>
      <c r="B2001" s="53"/>
      <c r="C2001" s="46"/>
      <c r="D2001" s="63" t="str">
        <f>IFERROR(INDEX(基础资料!$F$4:$F$23,MATCH($C2001,基础资料!$E$4:$E$23,0)),IF($C2001="","","未匹配账户"))</f>
        <v/>
      </c>
      <c r="E2001" s="39"/>
      <c r="F2001" s="10"/>
      <c r="G2001" s="10"/>
      <c r="H2001" s="10"/>
      <c r="I2001" s="10"/>
      <c r="J2001" s="10"/>
      <c r="K2001" s="25"/>
      <c r="L2001" s="25"/>
      <c r="M2001" s="25" t="str">
        <f>IFERROR(VLOOKUP($C2001,$C$5:$M$24,11,0)+SUMIF($C$25:$C2001,$C2001,$K$25:$K2001)-SUMIF($C$25:$C2001,$C2001,$L$25:$L2001),"")</f>
        <v/>
      </c>
      <c r="N2001" s="10"/>
      <c r="O2001" s="10"/>
      <c r="P2001" s="65"/>
      <c r="Q2001" s="10"/>
      <c r="R2001" s="10"/>
      <c r="S2001" s="54" t="str">
        <f t="shared" si="99"/>
        <v/>
      </c>
      <c r="T2001" s="54" t="str">
        <f t="shared" si="100"/>
        <v/>
      </c>
      <c r="U2001" s="58" t="str">
        <f t="shared" si="101"/>
        <v/>
      </c>
      <c r="V2001" s="58">
        <f>IF(AND($B2001&lt;&gt;"",$F2001&lt;&gt;"",$F2001=项目明细账!$C$2),N(V2000)+1,N(V2000))</f>
        <v>0</v>
      </c>
      <c r="W2001" s="63" t="str">
        <f>IF($H2001&lt;&gt;"","项目成本",IFERROR(INDEX(基础资料!$W$4:$W$49,MATCH($I2001,基础资料!$V$4:$V$49,0)),""))</f>
        <v/>
      </c>
      <c r="X2001" s="63" t="str">
        <f>IFERROR(INDEX(基础资料!$R$4:$R$17,MATCH($G2001,基础资料!$Q$4:$Q$17,0)),"")</f>
        <v/>
      </c>
    </row>
    <row r="2002" spans="1:24">
      <c r="A2002" s="58" t="str">
        <f>IF($B2002="","",COUNTA($B$5:$B2002))</f>
        <v/>
      </c>
      <c r="B2002" s="53"/>
      <c r="C2002" s="46"/>
      <c r="D2002" s="63" t="str">
        <f>IFERROR(INDEX(基础资料!$F$4:$F$23,MATCH($C2002,基础资料!$E$4:$E$23,0)),IF($C2002="","","未匹配账户"))</f>
        <v/>
      </c>
      <c r="E2002" s="39"/>
      <c r="F2002" s="10"/>
      <c r="G2002" s="10"/>
      <c r="H2002" s="10"/>
      <c r="I2002" s="10"/>
      <c r="J2002" s="10"/>
      <c r="K2002" s="25"/>
      <c r="L2002" s="25"/>
      <c r="M2002" s="25" t="str">
        <f>IFERROR(VLOOKUP($C2002,$C$5:$M$24,11,0)+SUMIF($C$25:$C2002,$C2002,$K$25:$K2002)-SUMIF($C$25:$C2002,$C2002,$L$25:$L2002),"")</f>
        <v/>
      </c>
      <c r="N2002" s="10"/>
      <c r="O2002" s="10"/>
      <c r="P2002" s="65"/>
      <c r="Q2002" s="10"/>
      <c r="R2002" s="10"/>
      <c r="S2002" s="54" t="str">
        <f t="shared" si="99"/>
        <v/>
      </c>
      <c r="T2002" s="54" t="str">
        <f t="shared" si="100"/>
        <v/>
      </c>
      <c r="U2002" s="58" t="str">
        <f t="shared" si="101"/>
        <v/>
      </c>
      <c r="V2002" s="58">
        <f>IF(AND($B2002&lt;&gt;"",$F2002&lt;&gt;"",$F2002=项目明细账!$C$2),N(V2001)+1,N(V2001))</f>
        <v>0</v>
      </c>
      <c r="W2002" s="63" t="str">
        <f>IF($H2002&lt;&gt;"","项目成本",IFERROR(INDEX(基础资料!$W$4:$W$49,MATCH($I2002,基础资料!$V$4:$V$49,0)),""))</f>
        <v/>
      </c>
      <c r="X2002" s="63" t="str">
        <f>IFERROR(INDEX(基础资料!$R$4:$R$17,MATCH($G2002,基础资料!$Q$4:$Q$17,0)),"")</f>
        <v/>
      </c>
    </row>
    <row r="2003" spans="1:24">
      <c r="A2003" s="58" t="str">
        <f>IF($B2003="","",COUNTA($B$5:$B2003))</f>
        <v/>
      </c>
      <c r="B2003" s="53"/>
      <c r="C2003" s="46"/>
      <c r="D2003" s="63" t="str">
        <f>IFERROR(INDEX(基础资料!$F$4:$F$23,MATCH($C2003,基础资料!$E$4:$E$23,0)),IF($C2003="","","未匹配账户"))</f>
        <v/>
      </c>
      <c r="E2003" s="39"/>
      <c r="F2003" s="10"/>
      <c r="G2003" s="10"/>
      <c r="H2003" s="10"/>
      <c r="I2003" s="10"/>
      <c r="J2003" s="10"/>
      <c r="K2003" s="25"/>
      <c r="L2003" s="25"/>
      <c r="M2003" s="25" t="str">
        <f>IFERROR(VLOOKUP($C2003,$C$5:$M$24,11,0)+SUMIF($C$25:$C2003,$C2003,$K$25:$K2003)-SUMIF($C$25:$C2003,$C2003,$L$25:$L2003),"")</f>
        <v/>
      </c>
      <c r="N2003" s="10"/>
      <c r="O2003" s="10"/>
      <c r="P2003" s="65"/>
      <c r="Q2003" s="10"/>
      <c r="R2003" s="10"/>
      <c r="S2003" s="54" t="str">
        <f t="shared" si="99"/>
        <v/>
      </c>
      <c r="T2003" s="54" t="str">
        <f t="shared" si="100"/>
        <v/>
      </c>
      <c r="U2003" s="58" t="str">
        <f t="shared" si="101"/>
        <v/>
      </c>
      <c r="V2003" s="58">
        <f>IF(AND($B2003&lt;&gt;"",$F2003&lt;&gt;"",$F2003=项目明细账!$C$2),N(V2002)+1,N(V2002))</f>
        <v>0</v>
      </c>
      <c r="W2003" s="63" t="str">
        <f>IF($H2003&lt;&gt;"","项目成本",IFERROR(INDEX(基础资料!$W$4:$W$49,MATCH($I2003,基础资料!$V$4:$V$49,0)),""))</f>
        <v/>
      </c>
      <c r="X2003" s="63" t="str">
        <f>IFERROR(INDEX(基础资料!$R$4:$R$17,MATCH($G2003,基础资料!$Q$4:$Q$17,0)),"")</f>
        <v/>
      </c>
    </row>
    <row r="2004" spans="1:24">
      <c r="A2004" s="58" t="str">
        <f>IF($B2004="","",COUNTA($B$5:$B2004))</f>
        <v/>
      </c>
      <c r="B2004" s="53"/>
      <c r="C2004" s="46"/>
      <c r="D2004" s="63" t="str">
        <f>IFERROR(INDEX(基础资料!$F$4:$F$23,MATCH($C2004,基础资料!$E$4:$E$23,0)),IF($C2004="","","未匹配账户"))</f>
        <v/>
      </c>
      <c r="E2004" s="39"/>
      <c r="F2004" s="10"/>
      <c r="G2004" s="10"/>
      <c r="H2004" s="10"/>
      <c r="I2004" s="10"/>
      <c r="J2004" s="10"/>
      <c r="K2004" s="25"/>
      <c r="L2004" s="25"/>
      <c r="M2004" s="25" t="str">
        <f>IFERROR(VLOOKUP($C2004,$C$5:$M$24,11,0)+SUMIF($C$25:$C2004,$C2004,$K$25:$K2004)-SUMIF($C$25:$C2004,$C2004,$L$25:$L2004),"")</f>
        <v/>
      </c>
      <c r="N2004" s="10"/>
      <c r="O2004" s="10"/>
      <c r="P2004" s="65"/>
      <c r="Q2004" s="10"/>
      <c r="R2004" s="10"/>
      <c r="S2004" s="54" t="str">
        <f t="shared" si="99"/>
        <v/>
      </c>
      <c r="T2004" s="54" t="str">
        <f t="shared" si="100"/>
        <v/>
      </c>
      <c r="U2004" s="58" t="str">
        <f t="shared" si="101"/>
        <v/>
      </c>
      <c r="V2004" s="58">
        <f>IF(AND($B2004&lt;&gt;"",$F2004&lt;&gt;"",$F2004=项目明细账!$C$2),N(V2003)+1,N(V2003))</f>
        <v>0</v>
      </c>
      <c r="W2004" s="63" t="str">
        <f>IF($H2004&lt;&gt;"","项目成本",IFERROR(INDEX(基础资料!$W$4:$W$49,MATCH($I2004,基础资料!$V$4:$V$49,0)),""))</f>
        <v/>
      </c>
      <c r="X2004" s="63" t="str">
        <f>IFERROR(INDEX(基础资料!$R$4:$R$17,MATCH($G2004,基础资料!$Q$4:$Q$17,0)),"")</f>
        <v/>
      </c>
    </row>
    <row r="2005" spans="1:24">
      <c r="A2005" s="58" t="str">
        <f>IF($B2005="","",COUNTA($B$5:$B2005))</f>
        <v/>
      </c>
      <c r="B2005" s="53"/>
      <c r="C2005" s="46"/>
      <c r="D2005" s="63" t="str">
        <f>IFERROR(INDEX(基础资料!$F$4:$F$23,MATCH($C2005,基础资料!$E$4:$E$23,0)),IF($C2005="","","未匹配账户"))</f>
        <v/>
      </c>
      <c r="E2005" s="39"/>
      <c r="F2005" s="10"/>
      <c r="G2005" s="10"/>
      <c r="H2005" s="10"/>
      <c r="I2005" s="10"/>
      <c r="J2005" s="10"/>
      <c r="K2005" s="25"/>
      <c r="L2005" s="25"/>
      <c r="M2005" s="25" t="str">
        <f>IFERROR(VLOOKUP($C2005,$C$5:$M$24,11,0)+SUMIF($C$25:$C2005,$C2005,$K$25:$K2005)-SUMIF($C$25:$C2005,$C2005,$L$25:$L2005),"")</f>
        <v/>
      </c>
      <c r="N2005" s="10"/>
      <c r="O2005" s="10"/>
      <c r="P2005" s="65"/>
      <c r="Q2005" s="10"/>
      <c r="R2005" s="10"/>
      <c r="S2005" s="54" t="str">
        <f t="shared" si="99"/>
        <v/>
      </c>
      <c r="T2005" s="54" t="str">
        <f t="shared" si="100"/>
        <v/>
      </c>
      <c r="U2005" s="58" t="str">
        <f t="shared" si="101"/>
        <v/>
      </c>
      <c r="V2005" s="58">
        <f>IF(AND($B2005&lt;&gt;"",$F2005&lt;&gt;"",$F2005=项目明细账!$C$2),N(V2004)+1,N(V2004))</f>
        <v>0</v>
      </c>
      <c r="W2005" s="63" t="str">
        <f>IF($H2005&lt;&gt;"","项目成本",IFERROR(INDEX(基础资料!$W$4:$W$49,MATCH($I2005,基础资料!$V$4:$V$49,0)),""))</f>
        <v/>
      </c>
      <c r="X2005" s="63" t="str">
        <f>IFERROR(INDEX(基础资料!$R$4:$R$17,MATCH($G2005,基础资料!$Q$4:$Q$17,0)),"")</f>
        <v/>
      </c>
    </row>
    <row r="2006" spans="1:24">
      <c r="A2006" s="58" t="str">
        <f>IF($B2006="","",COUNTA($B$5:$B2006))</f>
        <v/>
      </c>
      <c r="B2006" s="53"/>
      <c r="C2006" s="46"/>
      <c r="D2006" s="63" t="str">
        <f>IFERROR(INDEX(基础资料!$F$4:$F$23,MATCH($C2006,基础资料!$E$4:$E$23,0)),IF($C2006="","","未匹配账户"))</f>
        <v/>
      </c>
      <c r="E2006" s="39"/>
      <c r="F2006" s="10"/>
      <c r="G2006" s="10"/>
      <c r="H2006" s="10"/>
      <c r="I2006" s="10"/>
      <c r="J2006" s="10"/>
      <c r="K2006" s="25"/>
      <c r="L2006" s="25"/>
      <c r="M2006" s="25" t="str">
        <f>IFERROR(VLOOKUP($C2006,$C$5:$M$24,11,0)+SUMIF($C$25:$C2006,$C2006,$K$25:$K2006)-SUMIF($C$25:$C2006,$C2006,$L$25:$L2006),"")</f>
        <v/>
      </c>
      <c r="N2006" s="10"/>
      <c r="O2006" s="10"/>
      <c r="P2006" s="65"/>
      <c r="Q2006" s="10"/>
      <c r="R2006" s="10"/>
      <c r="S2006" s="54" t="str">
        <f t="shared" si="99"/>
        <v/>
      </c>
      <c r="T2006" s="54" t="str">
        <f t="shared" si="100"/>
        <v/>
      </c>
      <c r="U2006" s="58" t="str">
        <f t="shared" si="101"/>
        <v/>
      </c>
      <c r="V2006" s="58">
        <f>IF(AND($B2006&lt;&gt;"",$F2006&lt;&gt;"",$F2006=项目明细账!$C$2),N(V2005)+1,N(V2005))</f>
        <v>0</v>
      </c>
      <c r="W2006" s="63" t="str">
        <f>IF($H2006&lt;&gt;"","项目成本",IFERROR(INDEX(基础资料!$W$4:$W$49,MATCH($I2006,基础资料!$V$4:$V$49,0)),""))</f>
        <v/>
      </c>
      <c r="X2006" s="63" t="str">
        <f>IFERROR(INDEX(基础资料!$R$4:$R$17,MATCH($G2006,基础资料!$Q$4:$Q$17,0)),"")</f>
        <v/>
      </c>
    </row>
    <row r="2007" spans="1:24">
      <c r="A2007" s="58" t="str">
        <f>IF($B2007="","",COUNTA($B$5:$B2007))</f>
        <v/>
      </c>
      <c r="B2007" s="53"/>
      <c r="C2007" s="46"/>
      <c r="D2007" s="63" t="str">
        <f>IFERROR(INDEX(基础资料!$F$4:$F$23,MATCH($C2007,基础资料!$E$4:$E$23,0)),IF($C2007="","","未匹配账户"))</f>
        <v/>
      </c>
      <c r="E2007" s="39"/>
      <c r="F2007" s="10"/>
      <c r="G2007" s="10"/>
      <c r="H2007" s="10"/>
      <c r="I2007" s="10"/>
      <c r="J2007" s="10"/>
      <c r="K2007" s="25"/>
      <c r="L2007" s="25"/>
      <c r="M2007" s="25" t="str">
        <f>IFERROR(VLOOKUP($C2007,$C$5:$M$24,11,0)+SUMIF($C$25:$C2007,$C2007,$K$25:$K2007)-SUMIF($C$25:$C2007,$C2007,$L$25:$L2007),"")</f>
        <v/>
      </c>
      <c r="N2007" s="10"/>
      <c r="O2007" s="10"/>
      <c r="P2007" s="65"/>
      <c r="Q2007" s="10"/>
      <c r="R2007" s="10"/>
      <c r="S2007" s="54" t="str">
        <f t="shared" si="99"/>
        <v/>
      </c>
      <c r="T2007" s="54" t="str">
        <f t="shared" si="100"/>
        <v/>
      </c>
      <c r="U2007" s="58" t="str">
        <f t="shared" si="101"/>
        <v/>
      </c>
      <c r="V2007" s="58">
        <f>IF(AND($B2007&lt;&gt;"",$F2007&lt;&gt;"",$F2007=项目明细账!$C$2),N(V2006)+1,N(V2006))</f>
        <v>0</v>
      </c>
      <c r="W2007" s="63" t="str">
        <f>IF($H2007&lt;&gt;"","项目成本",IFERROR(INDEX(基础资料!$W$4:$W$49,MATCH($I2007,基础资料!$V$4:$V$49,0)),""))</f>
        <v/>
      </c>
      <c r="X2007" s="63" t="str">
        <f>IFERROR(INDEX(基础资料!$R$4:$R$17,MATCH($G2007,基础资料!$Q$4:$Q$17,0)),"")</f>
        <v/>
      </c>
    </row>
    <row r="2008" spans="1:24">
      <c r="A2008" s="58" t="str">
        <f>IF($B2008="","",COUNTA($B$5:$B2008))</f>
        <v/>
      </c>
      <c r="B2008" s="53"/>
      <c r="C2008" s="46"/>
      <c r="D2008" s="63" t="str">
        <f>IFERROR(INDEX(基础资料!$F$4:$F$23,MATCH($C2008,基础资料!$E$4:$E$23,0)),IF($C2008="","","未匹配账户"))</f>
        <v/>
      </c>
      <c r="E2008" s="39"/>
      <c r="F2008" s="10"/>
      <c r="G2008" s="10"/>
      <c r="H2008" s="10"/>
      <c r="I2008" s="10"/>
      <c r="J2008" s="10"/>
      <c r="K2008" s="25"/>
      <c r="L2008" s="25"/>
      <c r="M2008" s="25" t="str">
        <f>IFERROR(VLOOKUP($C2008,$C$5:$M$24,11,0)+SUMIF($C$25:$C2008,$C2008,$K$25:$K2008)-SUMIF($C$25:$C2008,$C2008,$L$25:$L2008),"")</f>
        <v/>
      </c>
      <c r="N2008" s="10"/>
      <c r="O2008" s="10"/>
      <c r="P2008" s="65"/>
      <c r="Q2008" s="10"/>
      <c r="R2008" s="10"/>
      <c r="S2008" s="54" t="str">
        <f t="shared" si="99"/>
        <v/>
      </c>
      <c r="T2008" s="54" t="str">
        <f t="shared" si="100"/>
        <v/>
      </c>
      <c r="U2008" s="58" t="str">
        <f t="shared" si="101"/>
        <v/>
      </c>
      <c r="V2008" s="58">
        <f>IF(AND($B2008&lt;&gt;"",$F2008&lt;&gt;"",$F2008=项目明细账!$C$2),N(V2007)+1,N(V2007))</f>
        <v>0</v>
      </c>
      <c r="W2008" s="63" t="str">
        <f>IF($H2008&lt;&gt;"","项目成本",IFERROR(INDEX(基础资料!$W$4:$W$49,MATCH($I2008,基础资料!$V$4:$V$49,0)),""))</f>
        <v/>
      </c>
      <c r="X2008" s="63" t="str">
        <f>IFERROR(INDEX(基础资料!$R$4:$R$17,MATCH($G2008,基础资料!$Q$4:$Q$17,0)),"")</f>
        <v/>
      </c>
    </row>
    <row r="2009" spans="1:24">
      <c r="A2009" s="58" t="str">
        <f>IF($B2009="","",COUNTA($B$5:$B2009))</f>
        <v/>
      </c>
      <c r="B2009" s="53"/>
      <c r="C2009" s="46"/>
      <c r="D2009" s="63" t="str">
        <f>IFERROR(INDEX(基础资料!$F$4:$F$23,MATCH($C2009,基础资料!$E$4:$E$23,0)),IF($C2009="","","未匹配账户"))</f>
        <v/>
      </c>
      <c r="E2009" s="39"/>
      <c r="F2009" s="10"/>
      <c r="G2009" s="10"/>
      <c r="H2009" s="10"/>
      <c r="I2009" s="10"/>
      <c r="J2009" s="10"/>
      <c r="K2009" s="25"/>
      <c r="L2009" s="25"/>
      <c r="M2009" s="25" t="str">
        <f>IFERROR(VLOOKUP($C2009,$C$5:$M$24,11,0)+SUMIF($C$25:$C2009,$C2009,$K$25:$K2009)-SUMIF($C$25:$C2009,$C2009,$L$25:$L2009),"")</f>
        <v/>
      </c>
      <c r="N2009" s="10"/>
      <c r="O2009" s="10"/>
      <c r="P2009" s="65"/>
      <c r="Q2009" s="10"/>
      <c r="R2009" s="10"/>
      <c r="S2009" s="54" t="str">
        <f t="shared" si="99"/>
        <v/>
      </c>
      <c r="T2009" s="54" t="str">
        <f t="shared" si="100"/>
        <v/>
      </c>
      <c r="U2009" s="58" t="str">
        <f t="shared" si="101"/>
        <v/>
      </c>
      <c r="V2009" s="58">
        <f>IF(AND($B2009&lt;&gt;"",$F2009&lt;&gt;"",$F2009=项目明细账!$C$2),N(V2008)+1,N(V2008))</f>
        <v>0</v>
      </c>
      <c r="W2009" s="63" t="str">
        <f>IF($H2009&lt;&gt;"","项目成本",IFERROR(INDEX(基础资料!$W$4:$W$49,MATCH($I2009,基础资料!$V$4:$V$49,0)),""))</f>
        <v/>
      </c>
      <c r="X2009" s="63" t="str">
        <f>IFERROR(INDEX(基础资料!$R$4:$R$17,MATCH($G2009,基础资料!$Q$4:$Q$17,0)),"")</f>
        <v/>
      </c>
    </row>
    <row r="2010" spans="1:24">
      <c r="A2010" s="58" t="str">
        <f>IF($B2010="","",COUNTA($B$5:$B2010))</f>
        <v/>
      </c>
      <c r="B2010" s="53"/>
      <c r="C2010" s="46"/>
      <c r="D2010" s="63" t="str">
        <f>IFERROR(INDEX(基础资料!$F$4:$F$23,MATCH($C2010,基础资料!$E$4:$E$23,0)),IF($C2010="","","未匹配账户"))</f>
        <v/>
      </c>
      <c r="E2010" s="39"/>
      <c r="F2010" s="10"/>
      <c r="G2010" s="10"/>
      <c r="H2010" s="10"/>
      <c r="I2010" s="10"/>
      <c r="J2010" s="10"/>
      <c r="K2010" s="25"/>
      <c r="L2010" s="25"/>
      <c r="M2010" s="25" t="str">
        <f>IFERROR(VLOOKUP($C2010,$C$5:$M$24,11,0)+SUMIF($C$25:$C2010,$C2010,$K$25:$K2010)-SUMIF($C$25:$C2010,$C2010,$L$25:$L2010),"")</f>
        <v/>
      </c>
      <c r="N2010" s="10"/>
      <c r="O2010" s="10"/>
      <c r="P2010" s="65"/>
      <c r="Q2010" s="10"/>
      <c r="R2010" s="10"/>
      <c r="S2010" s="54" t="str">
        <f t="shared" si="99"/>
        <v/>
      </c>
      <c r="T2010" s="54" t="str">
        <f t="shared" si="100"/>
        <v/>
      </c>
      <c r="U2010" s="58" t="str">
        <f t="shared" si="101"/>
        <v/>
      </c>
      <c r="V2010" s="58">
        <f>IF(AND($B2010&lt;&gt;"",$F2010&lt;&gt;"",$F2010=项目明细账!$C$2),N(V2009)+1,N(V2009))</f>
        <v>0</v>
      </c>
      <c r="W2010" s="63" t="str">
        <f>IF($H2010&lt;&gt;"","项目成本",IFERROR(INDEX(基础资料!$W$4:$W$49,MATCH($I2010,基础资料!$V$4:$V$49,0)),""))</f>
        <v/>
      </c>
      <c r="X2010" s="63" t="str">
        <f>IFERROR(INDEX(基础资料!$R$4:$R$17,MATCH($G2010,基础资料!$Q$4:$Q$17,0)),"")</f>
        <v/>
      </c>
    </row>
    <row r="2011" spans="1:24">
      <c r="A2011" s="58" t="str">
        <f>IF($B2011="","",COUNTA($B$5:$B2011))</f>
        <v/>
      </c>
      <c r="B2011" s="53"/>
      <c r="C2011" s="46"/>
      <c r="D2011" s="63" t="str">
        <f>IFERROR(INDEX(基础资料!$F$4:$F$23,MATCH($C2011,基础资料!$E$4:$E$23,0)),IF($C2011="","","未匹配账户"))</f>
        <v/>
      </c>
      <c r="E2011" s="39"/>
      <c r="F2011" s="10"/>
      <c r="G2011" s="10"/>
      <c r="H2011" s="10"/>
      <c r="I2011" s="10"/>
      <c r="J2011" s="10"/>
      <c r="K2011" s="25"/>
      <c r="L2011" s="25"/>
      <c r="M2011" s="25" t="str">
        <f>IFERROR(VLOOKUP($C2011,$C$5:$M$24,11,0)+SUMIF($C$25:$C2011,$C2011,$K$25:$K2011)-SUMIF($C$25:$C2011,$C2011,$L$25:$L2011),"")</f>
        <v/>
      </c>
      <c r="N2011" s="10"/>
      <c r="O2011" s="10"/>
      <c r="P2011" s="65"/>
      <c r="Q2011" s="10"/>
      <c r="R2011" s="10"/>
      <c r="S2011" s="54" t="str">
        <f t="shared" si="99"/>
        <v/>
      </c>
      <c r="T2011" s="54" t="str">
        <f t="shared" si="100"/>
        <v/>
      </c>
      <c r="U2011" s="58" t="str">
        <f t="shared" si="101"/>
        <v/>
      </c>
      <c r="V2011" s="58">
        <f>IF(AND($B2011&lt;&gt;"",$F2011&lt;&gt;"",$F2011=项目明细账!$C$2),N(V2010)+1,N(V2010))</f>
        <v>0</v>
      </c>
      <c r="W2011" s="63" t="str">
        <f>IF($H2011&lt;&gt;"","项目成本",IFERROR(INDEX(基础资料!$W$4:$W$49,MATCH($I2011,基础资料!$V$4:$V$49,0)),""))</f>
        <v/>
      </c>
      <c r="X2011" s="63" t="str">
        <f>IFERROR(INDEX(基础资料!$R$4:$R$17,MATCH($G2011,基础资料!$Q$4:$Q$17,0)),"")</f>
        <v/>
      </c>
    </row>
    <row r="2012" spans="1:24">
      <c r="A2012" s="58" t="str">
        <f>IF($B2012="","",COUNTA($B$5:$B2012))</f>
        <v/>
      </c>
      <c r="B2012" s="53"/>
      <c r="C2012" s="46"/>
      <c r="D2012" s="63" t="str">
        <f>IFERROR(INDEX(基础资料!$F$4:$F$23,MATCH($C2012,基础资料!$E$4:$E$23,0)),IF($C2012="","","未匹配账户"))</f>
        <v/>
      </c>
      <c r="E2012" s="39"/>
      <c r="F2012" s="10"/>
      <c r="G2012" s="10"/>
      <c r="H2012" s="10"/>
      <c r="I2012" s="10"/>
      <c r="J2012" s="10"/>
      <c r="K2012" s="25"/>
      <c r="L2012" s="25"/>
      <c r="M2012" s="25" t="str">
        <f>IFERROR(VLOOKUP($C2012,$C$5:$M$24,11,0)+SUMIF($C$25:$C2012,$C2012,$K$25:$K2012)-SUMIF($C$25:$C2012,$C2012,$L$25:$L2012),"")</f>
        <v/>
      </c>
      <c r="N2012" s="10"/>
      <c r="O2012" s="10"/>
      <c r="P2012" s="65"/>
      <c r="Q2012" s="10"/>
      <c r="R2012" s="10"/>
      <c r="S2012" s="54" t="str">
        <f t="shared" si="99"/>
        <v/>
      </c>
      <c r="T2012" s="54" t="str">
        <f t="shared" si="100"/>
        <v/>
      </c>
      <c r="U2012" s="58" t="str">
        <f t="shared" si="101"/>
        <v/>
      </c>
      <c r="V2012" s="58">
        <f>IF(AND($B2012&lt;&gt;"",$F2012&lt;&gt;"",$F2012=项目明细账!$C$2),N(V2011)+1,N(V2011))</f>
        <v>0</v>
      </c>
      <c r="W2012" s="63" t="str">
        <f>IF($H2012&lt;&gt;"","项目成本",IFERROR(INDEX(基础资料!$W$4:$W$49,MATCH($I2012,基础资料!$V$4:$V$49,0)),""))</f>
        <v/>
      </c>
      <c r="X2012" s="63" t="str">
        <f>IFERROR(INDEX(基础资料!$R$4:$R$17,MATCH($G2012,基础资料!$Q$4:$Q$17,0)),"")</f>
        <v/>
      </c>
    </row>
    <row r="2013" spans="1:24">
      <c r="A2013" s="58" t="str">
        <f>IF($B2013="","",COUNTA($B$5:$B2013))</f>
        <v/>
      </c>
      <c r="B2013" s="53"/>
      <c r="C2013" s="46"/>
      <c r="D2013" s="63" t="str">
        <f>IFERROR(INDEX(基础资料!$F$4:$F$23,MATCH($C2013,基础资料!$E$4:$E$23,0)),IF($C2013="","","未匹配账户"))</f>
        <v/>
      </c>
      <c r="E2013" s="39"/>
      <c r="F2013" s="10"/>
      <c r="G2013" s="10"/>
      <c r="H2013" s="10"/>
      <c r="I2013" s="10"/>
      <c r="J2013" s="10"/>
      <c r="K2013" s="25"/>
      <c r="L2013" s="25"/>
      <c r="M2013" s="25" t="str">
        <f>IFERROR(VLOOKUP($C2013,$C$5:$M$24,11,0)+SUMIF($C$25:$C2013,$C2013,$K$25:$K2013)-SUMIF($C$25:$C2013,$C2013,$L$25:$L2013),"")</f>
        <v/>
      </c>
      <c r="N2013" s="10"/>
      <c r="O2013" s="10"/>
      <c r="P2013" s="65"/>
      <c r="Q2013" s="10"/>
      <c r="R2013" s="10"/>
      <c r="S2013" s="54" t="str">
        <f t="shared" si="99"/>
        <v/>
      </c>
      <c r="T2013" s="54" t="str">
        <f t="shared" si="100"/>
        <v/>
      </c>
      <c r="U2013" s="58" t="str">
        <f t="shared" si="101"/>
        <v/>
      </c>
      <c r="V2013" s="58">
        <f>IF(AND($B2013&lt;&gt;"",$F2013&lt;&gt;"",$F2013=项目明细账!$C$2),N(V2012)+1,N(V2012))</f>
        <v>0</v>
      </c>
      <c r="W2013" s="63" t="str">
        <f>IF($H2013&lt;&gt;"","项目成本",IFERROR(INDEX(基础资料!$W$4:$W$49,MATCH($I2013,基础资料!$V$4:$V$49,0)),""))</f>
        <v/>
      </c>
      <c r="X2013" s="63" t="str">
        <f>IFERROR(INDEX(基础资料!$R$4:$R$17,MATCH($G2013,基础资料!$Q$4:$Q$17,0)),"")</f>
        <v/>
      </c>
    </row>
    <row r="2014" spans="1:24">
      <c r="A2014" s="58" t="str">
        <f>IF($B2014="","",COUNTA($B$5:$B2014))</f>
        <v/>
      </c>
      <c r="B2014" s="53"/>
      <c r="C2014" s="46"/>
      <c r="D2014" s="63" t="str">
        <f>IFERROR(INDEX(基础资料!$F$4:$F$23,MATCH($C2014,基础资料!$E$4:$E$23,0)),IF($C2014="","","未匹配账户"))</f>
        <v/>
      </c>
      <c r="E2014" s="39"/>
      <c r="F2014" s="10"/>
      <c r="G2014" s="10"/>
      <c r="H2014" s="10"/>
      <c r="I2014" s="10"/>
      <c r="J2014" s="10"/>
      <c r="K2014" s="25"/>
      <c r="L2014" s="25"/>
      <c r="M2014" s="25" t="str">
        <f>IFERROR(VLOOKUP($C2014,$C$5:$M$24,11,0)+SUMIF($C$25:$C2014,$C2014,$K$25:$K2014)-SUMIF($C$25:$C2014,$C2014,$L$25:$L2014),"")</f>
        <v/>
      </c>
      <c r="N2014" s="10"/>
      <c r="O2014" s="10"/>
      <c r="P2014" s="65"/>
      <c r="Q2014" s="10"/>
      <c r="R2014" s="10"/>
      <c r="S2014" s="54" t="str">
        <f t="shared" si="99"/>
        <v/>
      </c>
      <c r="T2014" s="54" t="str">
        <f t="shared" si="100"/>
        <v/>
      </c>
      <c r="U2014" s="58" t="str">
        <f t="shared" si="101"/>
        <v/>
      </c>
      <c r="V2014" s="58">
        <f>IF(AND($B2014&lt;&gt;"",$F2014&lt;&gt;"",$F2014=项目明细账!$C$2),N(V2013)+1,N(V2013))</f>
        <v>0</v>
      </c>
      <c r="W2014" s="63" t="str">
        <f>IF($H2014&lt;&gt;"","项目成本",IFERROR(INDEX(基础资料!$W$4:$W$49,MATCH($I2014,基础资料!$V$4:$V$49,0)),""))</f>
        <v/>
      </c>
      <c r="X2014" s="63" t="str">
        <f>IFERROR(INDEX(基础资料!$R$4:$R$17,MATCH($G2014,基础资料!$Q$4:$Q$17,0)),"")</f>
        <v/>
      </c>
    </row>
    <row r="2015" spans="1:24">
      <c r="A2015" s="58" t="str">
        <f>IF($B2015="","",COUNTA($B$5:$B2015))</f>
        <v/>
      </c>
      <c r="B2015" s="53"/>
      <c r="C2015" s="46"/>
      <c r="D2015" s="63" t="str">
        <f>IFERROR(INDEX(基础资料!$F$4:$F$23,MATCH($C2015,基础资料!$E$4:$E$23,0)),IF($C2015="","","未匹配账户"))</f>
        <v/>
      </c>
      <c r="E2015" s="39"/>
      <c r="F2015" s="10"/>
      <c r="G2015" s="10"/>
      <c r="H2015" s="10"/>
      <c r="I2015" s="10"/>
      <c r="J2015" s="10"/>
      <c r="K2015" s="25"/>
      <c r="L2015" s="25"/>
      <c r="M2015" s="25" t="str">
        <f>IFERROR(VLOOKUP($C2015,$C$5:$M$24,11,0)+SUMIF($C$25:$C2015,$C2015,$K$25:$K2015)-SUMIF($C$25:$C2015,$C2015,$L$25:$L2015),"")</f>
        <v/>
      </c>
      <c r="N2015" s="10"/>
      <c r="O2015" s="10"/>
      <c r="P2015" s="65"/>
      <c r="Q2015" s="10"/>
      <c r="R2015" s="10"/>
      <c r="S2015" s="54" t="str">
        <f t="shared" si="99"/>
        <v/>
      </c>
      <c r="T2015" s="54" t="str">
        <f t="shared" si="100"/>
        <v/>
      </c>
      <c r="U2015" s="58" t="str">
        <f t="shared" si="101"/>
        <v/>
      </c>
      <c r="V2015" s="58">
        <f>IF(AND($B2015&lt;&gt;"",$F2015&lt;&gt;"",$F2015=项目明细账!$C$2),N(V2014)+1,N(V2014))</f>
        <v>0</v>
      </c>
      <c r="W2015" s="63" t="str">
        <f>IF($H2015&lt;&gt;"","项目成本",IFERROR(INDEX(基础资料!$W$4:$W$49,MATCH($I2015,基础资料!$V$4:$V$49,0)),""))</f>
        <v/>
      </c>
      <c r="X2015" s="63" t="str">
        <f>IFERROR(INDEX(基础资料!$R$4:$R$17,MATCH($G2015,基础资料!$Q$4:$Q$17,0)),"")</f>
        <v/>
      </c>
    </row>
    <row r="2016" spans="1:24">
      <c r="A2016" s="58" t="str">
        <f>IF($B2016="","",COUNTA($B$5:$B2016))</f>
        <v/>
      </c>
      <c r="B2016" s="53"/>
      <c r="C2016" s="46"/>
      <c r="D2016" s="63" t="str">
        <f>IFERROR(INDEX(基础资料!$F$4:$F$23,MATCH($C2016,基础资料!$E$4:$E$23,0)),IF($C2016="","","未匹配账户"))</f>
        <v/>
      </c>
      <c r="E2016" s="39"/>
      <c r="F2016" s="10"/>
      <c r="G2016" s="10"/>
      <c r="H2016" s="10"/>
      <c r="I2016" s="10"/>
      <c r="J2016" s="10"/>
      <c r="K2016" s="25"/>
      <c r="L2016" s="25"/>
      <c r="M2016" s="25" t="str">
        <f>IFERROR(VLOOKUP($C2016,$C$5:$M$24,11,0)+SUMIF($C$25:$C2016,$C2016,$K$25:$K2016)-SUMIF($C$25:$C2016,$C2016,$L$25:$L2016),"")</f>
        <v/>
      </c>
      <c r="N2016" s="10"/>
      <c r="O2016" s="10"/>
      <c r="P2016" s="65"/>
      <c r="Q2016" s="10"/>
      <c r="R2016" s="10"/>
      <c r="S2016" s="54" t="str">
        <f t="shared" si="99"/>
        <v/>
      </c>
      <c r="T2016" s="54" t="str">
        <f t="shared" si="100"/>
        <v/>
      </c>
      <c r="U2016" s="58" t="str">
        <f t="shared" si="101"/>
        <v/>
      </c>
      <c r="V2016" s="58">
        <f>IF(AND($B2016&lt;&gt;"",$F2016&lt;&gt;"",$F2016=项目明细账!$C$2),N(V2015)+1,N(V2015))</f>
        <v>0</v>
      </c>
      <c r="W2016" s="63" t="str">
        <f>IF($H2016&lt;&gt;"","项目成本",IFERROR(INDEX(基础资料!$W$4:$W$49,MATCH($I2016,基础资料!$V$4:$V$49,0)),""))</f>
        <v/>
      </c>
      <c r="X2016" s="63" t="str">
        <f>IFERROR(INDEX(基础资料!$R$4:$R$17,MATCH($G2016,基础资料!$Q$4:$Q$17,0)),"")</f>
        <v/>
      </c>
    </row>
    <row r="2017" spans="1:24">
      <c r="A2017" s="58" t="str">
        <f>IF($B2017="","",COUNTA($B$5:$B2017))</f>
        <v/>
      </c>
      <c r="B2017" s="53"/>
      <c r="C2017" s="46"/>
      <c r="D2017" s="63" t="str">
        <f>IFERROR(INDEX(基础资料!$F$4:$F$23,MATCH($C2017,基础资料!$E$4:$E$23,0)),IF($C2017="","","未匹配账户"))</f>
        <v/>
      </c>
      <c r="E2017" s="39"/>
      <c r="F2017" s="10"/>
      <c r="G2017" s="10"/>
      <c r="H2017" s="10"/>
      <c r="I2017" s="10"/>
      <c r="J2017" s="10"/>
      <c r="K2017" s="25"/>
      <c r="L2017" s="25"/>
      <c r="M2017" s="25" t="str">
        <f>IFERROR(VLOOKUP($C2017,$C$5:$M$24,11,0)+SUMIF($C$25:$C2017,$C2017,$K$25:$K2017)-SUMIF($C$25:$C2017,$C2017,$L$25:$L2017),"")</f>
        <v/>
      </c>
      <c r="N2017" s="10"/>
      <c r="O2017" s="10"/>
      <c r="P2017" s="65"/>
      <c r="Q2017" s="10"/>
      <c r="R2017" s="10"/>
      <c r="S2017" s="54" t="str">
        <f t="shared" si="99"/>
        <v/>
      </c>
      <c r="T2017" s="54" t="str">
        <f t="shared" si="100"/>
        <v/>
      </c>
      <c r="U2017" s="58" t="str">
        <f t="shared" si="101"/>
        <v/>
      </c>
      <c r="V2017" s="58">
        <f>IF(AND($B2017&lt;&gt;"",$F2017&lt;&gt;"",$F2017=项目明细账!$C$2),N(V2016)+1,N(V2016))</f>
        <v>0</v>
      </c>
      <c r="W2017" s="63" t="str">
        <f>IF($H2017&lt;&gt;"","项目成本",IFERROR(INDEX(基础资料!$W$4:$W$49,MATCH($I2017,基础资料!$V$4:$V$49,0)),""))</f>
        <v/>
      </c>
      <c r="X2017" s="63" t="str">
        <f>IFERROR(INDEX(基础资料!$R$4:$R$17,MATCH($G2017,基础资料!$Q$4:$Q$17,0)),"")</f>
        <v/>
      </c>
    </row>
    <row r="2018" spans="1:24">
      <c r="A2018" s="58" t="str">
        <f>IF($B2018="","",COUNTA($B$5:$B2018))</f>
        <v/>
      </c>
      <c r="B2018" s="53"/>
      <c r="C2018" s="46"/>
      <c r="D2018" s="63" t="str">
        <f>IFERROR(INDEX(基础资料!$F$4:$F$23,MATCH($C2018,基础资料!$E$4:$E$23,0)),IF($C2018="","","未匹配账户"))</f>
        <v/>
      </c>
      <c r="E2018" s="39"/>
      <c r="F2018" s="10"/>
      <c r="G2018" s="10"/>
      <c r="H2018" s="10"/>
      <c r="I2018" s="10"/>
      <c r="J2018" s="10"/>
      <c r="K2018" s="25"/>
      <c r="L2018" s="25"/>
      <c r="M2018" s="25" t="str">
        <f>IFERROR(VLOOKUP($C2018,$C$5:$M$24,11,0)+SUMIF($C$25:$C2018,$C2018,$K$25:$K2018)-SUMIF($C$25:$C2018,$C2018,$L$25:$L2018),"")</f>
        <v/>
      </c>
      <c r="N2018" s="10"/>
      <c r="O2018" s="10"/>
      <c r="P2018" s="65"/>
      <c r="Q2018" s="10"/>
      <c r="R2018" s="10"/>
      <c r="S2018" s="54" t="str">
        <f t="shared" si="99"/>
        <v/>
      </c>
      <c r="T2018" s="54" t="str">
        <f t="shared" si="100"/>
        <v/>
      </c>
      <c r="U2018" s="58" t="str">
        <f t="shared" si="101"/>
        <v/>
      </c>
      <c r="V2018" s="58">
        <f>IF(AND($B2018&lt;&gt;"",$F2018&lt;&gt;"",$F2018=项目明细账!$C$2),N(V2017)+1,N(V2017))</f>
        <v>0</v>
      </c>
      <c r="W2018" s="63" t="str">
        <f>IF($H2018&lt;&gt;"","项目成本",IFERROR(INDEX(基础资料!$W$4:$W$49,MATCH($I2018,基础资料!$V$4:$V$49,0)),""))</f>
        <v/>
      </c>
      <c r="X2018" s="63" t="str">
        <f>IFERROR(INDEX(基础资料!$R$4:$R$17,MATCH($G2018,基础资料!$Q$4:$Q$17,0)),"")</f>
        <v/>
      </c>
    </row>
    <row r="2019" spans="1:24">
      <c r="A2019" s="58" t="str">
        <f>IF($B2019="","",COUNTA($B$5:$B2019))</f>
        <v/>
      </c>
      <c r="B2019" s="53"/>
      <c r="C2019" s="46"/>
      <c r="D2019" s="63" t="str">
        <f>IFERROR(INDEX(基础资料!$F$4:$F$23,MATCH($C2019,基础资料!$E$4:$E$23,0)),IF($C2019="","","未匹配账户"))</f>
        <v/>
      </c>
      <c r="E2019" s="39"/>
      <c r="F2019" s="10"/>
      <c r="G2019" s="10"/>
      <c r="H2019" s="10"/>
      <c r="I2019" s="10"/>
      <c r="J2019" s="10"/>
      <c r="K2019" s="25"/>
      <c r="L2019" s="25"/>
      <c r="M2019" s="25" t="str">
        <f>IFERROR(VLOOKUP($C2019,$C$5:$M$24,11,0)+SUMIF($C$25:$C2019,$C2019,$K$25:$K2019)-SUMIF($C$25:$C2019,$C2019,$L$25:$L2019),"")</f>
        <v/>
      </c>
      <c r="N2019" s="10"/>
      <c r="O2019" s="10"/>
      <c r="P2019" s="65"/>
      <c r="Q2019" s="10"/>
      <c r="R2019" s="10"/>
      <c r="S2019" s="54" t="str">
        <f t="shared" si="99"/>
        <v/>
      </c>
      <c r="T2019" s="54" t="str">
        <f t="shared" si="100"/>
        <v/>
      </c>
      <c r="U2019" s="58" t="str">
        <f t="shared" si="101"/>
        <v/>
      </c>
      <c r="V2019" s="58">
        <f>IF(AND($B2019&lt;&gt;"",$F2019&lt;&gt;"",$F2019=项目明细账!$C$2),N(V2018)+1,N(V2018))</f>
        <v>0</v>
      </c>
      <c r="W2019" s="63" t="str">
        <f>IF($H2019&lt;&gt;"","项目成本",IFERROR(INDEX(基础资料!$W$4:$W$49,MATCH($I2019,基础资料!$V$4:$V$49,0)),""))</f>
        <v/>
      </c>
      <c r="X2019" s="63" t="str">
        <f>IFERROR(INDEX(基础资料!$R$4:$R$17,MATCH($G2019,基础资料!$Q$4:$Q$17,0)),"")</f>
        <v/>
      </c>
    </row>
    <row r="2020" spans="1:24">
      <c r="A2020" s="58" t="str">
        <f>IF($B2020="","",COUNTA($B$5:$B2020))</f>
        <v/>
      </c>
      <c r="B2020" s="53"/>
      <c r="C2020" s="46"/>
      <c r="D2020" s="63" t="str">
        <f>IFERROR(INDEX(基础资料!$F$4:$F$23,MATCH($C2020,基础资料!$E$4:$E$23,0)),IF($C2020="","","未匹配账户"))</f>
        <v/>
      </c>
      <c r="E2020" s="39"/>
      <c r="F2020" s="10"/>
      <c r="G2020" s="10"/>
      <c r="H2020" s="10"/>
      <c r="I2020" s="10"/>
      <c r="J2020" s="10"/>
      <c r="K2020" s="25"/>
      <c r="L2020" s="25"/>
      <c r="M2020" s="25" t="str">
        <f>IFERROR(VLOOKUP($C2020,$C$5:$M$24,11,0)+SUMIF($C$25:$C2020,$C2020,$K$25:$K2020)-SUMIF($C$25:$C2020,$C2020,$L$25:$L2020),"")</f>
        <v/>
      </c>
      <c r="N2020" s="10"/>
      <c r="O2020" s="10"/>
      <c r="P2020" s="65"/>
      <c r="Q2020" s="10"/>
      <c r="R2020" s="10"/>
      <c r="S2020" s="54" t="str">
        <f t="shared" si="99"/>
        <v/>
      </c>
      <c r="T2020" s="54" t="str">
        <f t="shared" si="100"/>
        <v/>
      </c>
      <c r="U2020" s="58" t="str">
        <f t="shared" si="101"/>
        <v/>
      </c>
      <c r="V2020" s="58">
        <f>IF(AND($B2020&lt;&gt;"",$F2020&lt;&gt;"",$F2020=项目明细账!$C$2),N(V2019)+1,N(V2019))</f>
        <v>0</v>
      </c>
      <c r="W2020" s="63" t="str">
        <f>IF($H2020&lt;&gt;"","项目成本",IFERROR(INDEX(基础资料!$W$4:$W$49,MATCH($I2020,基础资料!$V$4:$V$49,0)),""))</f>
        <v/>
      </c>
      <c r="X2020" s="63" t="str">
        <f>IFERROR(INDEX(基础资料!$R$4:$R$17,MATCH($G2020,基础资料!$Q$4:$Q$17,0)),"")</f>
        <v/>
      </c>
    </row>
    <row r="2021" spans="1:24">
      <c r="A2021" s="58" t="str">
        <f>IF($B2021="","",COUNTA($B$5:$B2021))</f>
        <v/>
      </c>
      <c r="B2021" s="53"/>
      <c r="C2021" s="46"/>
      <c r="D2021" s="63" t="str">
        <f>IFERROR(INDEX(基础资料!$F$4:$F$23,MATCH($C2021,基础资料!$E$4:$E$23,0)),IF($C2021="","","未匹配账户"))</f>
        <v/>
      </c>
      <c r="E2021" s="39"/>
      <c r="F2021" s="10"/>
      <c r="G2021" s="10"/>
      <c r="H2021" s="10"/>
      <c r="I2021" s="10"/>
      <c r="J2021" s="10"/>
      <c r="K2021" s="25"/>
      <c r="L2021" s="25"/>
      <c r="M2021" s="25" t="str">
        <f>IFERROR(VLOOKUP($C2021,$C$5:$M$24,11,0)+SUMIF($C$25:$C2021,$C2021,$K$25:$K2021)-SUMIF($C$25:$C2021,$C2021,$L$25:$L2021),"")</f>
        <v/>
      </c>
      <c r="N2021" s="10"/>
      <c r="O2021" s="10"/>
      <c r="P2021" s="65"/>
      <c r="Q2021" s="10"/>
      <c r="R2021" s="10"/>
      <c r="S2021" s="54" t="str">
        <f t="shared" si="99"/>
        <v/>
      </c>
      <c r="T2021" s="54" t="str">
        <f t="shared" si="100"/>
        <v/>
      </c>
      <c r="U2021" s="58" t="str">
        <f t="shared" si="101"/>
        <v/>
      </c>
      <c r="V2021" s="58">
        <f>IF(AND($B2021&lt;&gt;"",$F2021&lt;&gt;"",$F2021=项目明细账!$C$2),N(V2020)+1,N(V2020))</f>
        <v>0</v>
      </c>
      <c r="W2021" s="63" t="str">
        <f>IF($H2021&lt;&gt;"","项目成本",IFERROR(INDEX(基础资料!$W$4:$W$49,MATCH($I2021,基础资料!$V$4:$V$49,0)),""))</f>
        <v/>
      </c>
      <c r="X2021" s="63" t="str">
        <f>IFERROR(INDEX(基础资料!$R$4:$R$17,MATCH($G2021,基础资料!$Q$4:$Q$17,0)),"")</f>
        <v/>
      </c>
    </row>
    <row r="2022" spans="1:24">
      <c r="A2022" s="58" t="str">
        <f>IF($B2022="","",COUNTA($B$5:$B2022))</f>
        <v/>
      </c>
      <c r="B2022" s="53"/>
      <c r="C2022" s="46"/>
      <c r="D2022" s="63" t="str">
        <f>IFERROR(INDEX(基础资料!$F$4:$F$23,MATCH($C2022,基础资料!$E$4:$E$23,0)),IF($C2022="","","未匹配账户"))</f>
        <v/>
      </c>
      <c r="E2022" s="39"/>
      <c r="F2022" s="10"/>
      <c r="G2022" s="10"/>
      <c r="H2022" s="10"/>
      <c r="I2022" s="10"/>
      <c r="J2022" s="10"/>
      <c r="K2022" s="25"/>
      <c r="L2022" s="25"/>
      <c r="M2022" s="25" t="str">
        <f>IFERROR(VLOOKUP($C2022,$C$5:$M$24,11,0)+SUMIF($C$25:$C2022,$C2022,$K$25:$K2022)-SUMIF($C$25:$C2022,$C2022,$L$25:$L2022),"")</f>
        <v/>
      </c>
      <c r="N2022" s="10"/>
      <c r="O2022" s="10"/>
      <c r="P2022" s="65"/>
      <c r="Q2022" s="10"/>
      <c r="R2022" s="10"/>
      <c r="S2022" s="54" t="str">
        <f t="shared" si="99"/>
        <v/>
      </c>
      <c r="T2022" s="54" t="str">
        <f t="shared" si="100"/>
        <v/>
      </c>
      <c r="U2022" s="58" t="str">
        <f t="shared" si="101"/>
        <v/>
      </c>
      <c r="V2022" s="58">
        <f>IF(AND($B2022&lt;&gt;"",$F2022&lt;&gt;"",$F2022=项目明细账!$C$2),N(V2021)+1,N(V2021))</f>
        <v>0</v>
      </c>
      <c r="W2022" s="63" t="str">
        <f>IF($H2022&lt;&gt;"","项目成本",IFERROR(INDEX(基础资料!$W$4:$W$49,MATCH($I2022,基础资料!$V$4:$V$49,0)),""))</f>
        <v/>
      </c>
      <c r="X2022" s="63" t="str">
        <f>IFERROR(INDEX(基础资料!$R$4:$R$17,MATCH($G2022,基础资料!$Q$4:$Q$17,0)),"")</f>
        <v/>
      </c>
    </row>
    <row r="2023" spans="1:24">
      <c r="A2023" s="58" t="str">
        <f>IF($B2023="","",COUNTA($B$5:$B2023))</f>
        <v/>
      </c>
      <c r="B2023" s="53"/>
      <c r="C2023" s="46"/>
      <c r="D2023" s="63" t="str">
        <f>IFERROR(INDEX(基础资料!$F$4:$F$23,MATCH($C2023,基础资料!$E$4:$E$23,0)),IF($C2023="","","未匹配账户"))</f>
        <v/>
      </c>
      <c r="E2023" s="39"/>
      <c r="F2023" s="10"/>
      <c r="G2023" s="10"/>
      <c r="H2023" s="10"/>
      <c r="I2023" s="10"/>
      <c r="J2023" s="10"/>
      <c r="K2023" s="25"/>
      <c r="L2023" s="25"/>
      <c r="M2023" s="25" t="str">
        <f>IFERROR(VLOOKUP($C2023,$C$5:$M$24,11,0)+SUMIF($C$25:$C2023,$C2023,$K$25:$K2023)-SUMIF($C$25:$C2023,$C2023,$L$25:$L2023),"")</f>
        <v/>
      </c>
      <c r="N2023" s="10"/>
      <c r="O2023" s="10"/>
      <c r="P2023" s="65"/>
      <c r="Q2023" s="10"/>
      <c r="R2023" s="10"/>
      <c r="S2023" s="54" t="str">
        <f t="shared" si="99"/>
        <v/>
      </c>
      <c r="T2023" s="54" t="str">
        <f t="shared" si="100"/>
        <v/>
      </c>
      <c r="U2023" s="58" t="str">
        <f t="shared" si="101"/>
        <v/>
      </c>
      <c r="V2023" s="58">
        <f>IF(AND($B2023&lt;&gt;"",$F2023&lt;&gt;"",$F2023=项目明细账!$C$2),N(V2022)+1,N(V2022))</f>
        <v>0</v>
      </c>
      <c r="W2023" s="63" t="str">
        <f>IF($H2023&lt;&gt;"","项目成本",IFERROR(INDEX(基础资料!$W$4:$W$49,MATCH($I2023,基础资料!$V$4:$V$49,0)),""))</f>
        <v/>
      </c>
      <c r="X2023" s="63" t="str">
        <f>IFERROR(INDEX(基础资料!$R$4:$R$17,MATCH($G2023,基础资料!$Q$4:$Q$17,0)),"")</f>
        <v/>
      </c>
    </row>
    <row r="2024" spans="1:24">
      <c r="A2024" s="58" t="str">
        <f>IF($B2024="","",COUNTA($B$5:$B2024))</f>
        <v/>
      </c>
      <c r="B2024" s="53"/>
      <c r="C2024" s="46"/>
      <c r="D2024" s="63" t="str">
        <f>IFERROR(INDEX(基础资料!$F$4:$F$23,MATCH($C2024,基础资料!$E$4:$E$23,0)),IF($C2024="","","未匹配账户"))</f>
        <v/>
      </c>
      <c r="E2024" s="39"/>
      <c r="F2024" s="10"/>
      <c r="G2024" s="10"/>
      <c r="H2024" s="10"/>
      <c r="I2024" s="10"/>
      <c r="J2024" s="10"/>
      <c r="K2024" s="25"/>
      <c r="L2024" s="25"/>
      <c r="M2024" s="25" t="str">
        <f>IFERROR(VLOOKUP($C2024,$C$5:$M$24,11,0)+SUMIF($C$25:$C2024,$C2024,$K$25:$K2024)-SUMIF($C$25:$C2024,$C2024,$L$25:$L2024),"")</f>
        <v/>
      </c>
      <c r="N2024" s="10"/>
      <c r="O2024" s="10"/>
      <c r="P2024" s="65"/>
      <c r="Q2024" s="10"/>
      <c r="R2024" s="10"/>
      <c r="S2024" s="54" t="str">
        <f t="shared" si="99"/>
        <v/>
      </c>
      <c r="T2024" s="54" t="str">
        <f t="shared" si="100"/>
        <v/>
      </c>
      <c r="U2024" s="58" t="str">
        <f t="shared" si="101"/>
        <v/>
      </c>
      <c r="V2024" s="58">
        <f>IF(AND($B2024&lt;&gt;"",$F2024&lt;&gt;"",$F2024=项目明细账!$C$2),N(V2023)+1,N(V2023))</f>
        <v>0</v>
      </c>
      <c r="W2024" s="63" t="str">
        <f>IF($H2024&lt;&gt;"","项目成本",IFERROR(INDEX(基础资料!$W$4:$W$49,MATCH($I2024,基础资料!$V$4:$V$49,0)),""))</f>
        <v/>
      </c>
      <c r="X2024" s="63" t="str">
        <f>IFERROR(INDEX(基础资料!$R$4:$R$17,MATCH($G2024,基础资料!$Q$4:$Q$17,0)),"")</f>
        <v/>
      </c>
    </row>
    <row r="2025" spans="1:24">
      <c r="A2025" s="58" t="str">
        <f>IF($B2025="","",COUNTA($B$5:$B2025))</f>
        <v/>
      </c>
      <c r="B2025" s="53"/>
      <c r="C2025" s="46"/>
      <c r="D2025" s="63" t="str">
        <f>IFERROR(INDEX(基础资料!$F$4:$F$23,MATCH($C2025,基础资料!$E$4:$E$23,0)),IF($C2025="","","未匹配账户"))</f>
        <v/>
      </c>
      <c r="E2025" s="39"/>
      <c r="F2025" s="10"/>
      <c r="G2025" s="10"/>
      <c r="H2025" s="10"/>
      <c r="I2025" s="10"/>
      <c r="J2025" s="10"/>
      <c r="K2025" s="25"/>
      <c r="L2025" s="25"/>
      <c r="M2025" s="25" t="str">
        <f>IFERROR(VLOOKUP($C2025,$C$5:$M$24,11,0)+SUMIF($C$25:$C2025,$C2025,$K$25:$K2025)-SUMIF($C$25:$C2025,$C2025,$L$25:$L2025),"")</f>
        <v/>
      </c>
      <c r="N2025" s="10"/>
      <c r="O2025" s="10"/>
      <c r="P2025" s="65"/>
      <c r="Q2025" s="10"/>
      <c r="R2025" s="10"/>
      <c r="S2025" s="54" t="str">
        <f t="shared" si="99"/>
        <v/>
      </c>
      <c r="T2025" s="54" t="str">
        <f t="shared" si="100"/>
        <v/>
      </c>
      <c r="U2025" s="58" t="str">
        <f t="shared" si="101"/>
        <v/>
      </c>
      <c r="V2025" s="58">
        <f>IF(AND($B2025&lt;&gt;"",$F2025&lt;&gt;"",$F2025=项目明细账!$C$2),N(V2024)+1,N(V2024))</f>
        <v>0</v>
      </c>
      <c r="W2025" s="63" t="str">
        <f>IF($H2025&lt;&gt;"","项目成本",IFERROR(INDEX(基础资料!$W$4:$W$49,MATCH($I2025,基础资料!$V$4:$V$49,0)),""))</f>
        <v/>
      </c>
      <c r="X2025" s="63" t="str">
        <f>IFERROR(INDEX(基础资料!$R$4:$R$17,MATCH($G2025,基础资料!$Q$4:$Q$17,0)),"")</f>
        <v/>
      </c>
    </row>
    <row r="2026" spans="1:24">
      <c r="A2026" s="58" t="str">
        <f>IF($B2026="","",COUNTA($B$5:$B2026))</f>
        <v/>
      </c>
      <c r="B2026" s="53"/>
      <c r="C2026" s="46"/>
      <c r="D2026" s="63" t="str">
        <f>IFERROR(INDEX(基础资料!$F$4:$F$23,MATCH($C2026,基础资料!$E$4:$E$23,0)),IF($C2026="","","未匹配账户"))</f>
        <v/>
      </c>
      <c r="E2026" s="39"/>
      <c r="F2026" s="10"/>
      <c r="G2026" s="10"/>
      <c r="H2026" s="10"/>
      <c r="I2026" s="10"/>
      <c r="J2026" s="10"/>
      <c r="K2026" s="25"/>
      <c r="L2026" s="25"/>
      <c r="M2026" s="25" t="str">
        <f>IFERROR(VLOOKUP($C2026,$C$5:$M$24,11,0)+SUMIF($C$25:$C2026,$C2026,$K$25:$K2026)-SUMIF($C$25:$C2026,$C2026,$L$25:$L2026),"")</f>
        <v/>
      </c>
      <c r="N2026" s="10"/>
      <c r="O2026" s="10"/>
      <c r="P2026" s="65"/>
      <c r="Q2026" s="10"/>
      <c r="R2026" s="10"/>
      <c r="S2026" s="54" t="str">
        <f t="shared" si="99"/>
        <v/>
      </c>
      <c r="T2026" s="54" t="str">
        <f t="shared" si="100"/>
        <v/>
      </c>
      <c r="U2026" s="58" t="str">
        <f t="shared" si="101"/>
        <v/>
      </c>
      <c r="V2026" s="58">
        <f>IF(AND($B2026&lt;&gt;"",$F2026&lt;&gt;"",$F2026=项目明细账!$C$2),N(V2025)+1,N(V2025))</f>
        <v>0</v>
      </c>
      <c r="W2026" s="63" t="str">
        <f>IF($H2026&lt;&gt;"","项目成本",IFERROR(INDEX(基础资料!$W$4:$W$49,MATCH($I2026,基础资料!$V$4:$V$49,0)),""))</f>
        <v/>
      </c>
      <c r="X2026" s="63" t="str">
        <f>IFERROR(INDEX(基础资料!$R$4:$R$17,MATCH($G2026,基础资料!$Q$4:$Q$17,0)),"")</f>
        <v/>
      </c>
    </row>
    <row r="2027" spans="1:24">
      <c r="A2027" s="58" t="str">
        <f>IF($B2027="","",COUNTA($B$5:$B2027))</f>
        <v/>
      </c>
      <c r="B2027" s="53"/>
      <c r="C2027" s="46"/>
      <c r="D2027" s="63" t="str">
        <f>IFERROR(INDEX(基础资料!$F$4:$F$23,MATCH($C2027,基础资料!$E$4:$E$23,0)),IF($C2027="","","未匹配账户"))</f>
        <v/>
      </c>
      <c r="E2027" s="39"/>
      <c r="F2027" s="10"/>
      <c r="G2027" s="10"/>
      <c r="H2027" s="10"/>
      <c r="I2027" s="10"/>
      <c r="J2027" s="10"/>
      <c r="K2027" s="25"/>
      <c r="L2027" s="25"/>
      <c r="M2027" s="25" t="str">
        <f>IFERROR(VLOOKUP($C2027,$C$5:$M$24,11,0)+SUMIF($C$25:$C2027,$C2027,$K$25:$K2027)-SUMIF($C$25:$C2027,$C2027,$L$25:$L2027),"")</f>
        <v/>
      </c>
      <c r="N2027" s="10"/>
      <c r="O2027" s="10"/>
      <c r="P2027" s="65"/>
      <c r="Q2027" s="10"/>
      <c r="R2027" s="10"/>
      <c r="S2027" s="54" t="str">
        <f t="shared" si="99"/>
        <v/>
      </c>
      <c r="T2027" s="54" t="str">
        <f t="shared" si="100"/>
        <v/>
      </c>
      <c r="U2027" s="58" t="str">
        <f t="shared" si="101"/>
        <v/>
      </c>
      <c r="V2027" s="58">
        <f>IF(AND($B2027&lt;&gt;"",$F2027&lt;&gt;"",$F2027=项目明细账!$C$2),N(V2026)+1,N(V2026))</f>
        <v>0</v>
      </c>
      <c r="W2027" s="63" t="str">
        <f>IF($H2027&lt;&gt;"","项目成本",IFERROR(INDEX(基础资料!$W$4:$W$49,MATCH($I2027,基础资料!$V$4:$V$49,0)),""))</f>
        <v/>
      </c>
      <c r="X2027" s="63" t="str">
        <f>IFERROR(INDEX(基础资料!$R$4:$R$17,MATCH($G2027,基础资料!$Q$4:$Q$17,0)),"")</f>
        <v/>
      </c>
    </row>
    <row r="2028" spans="1:24">
      <c r="A2028" s="58" t="str">
        <f>IF($B2028="","",COUNTA($B$5:$B2028))</f>
        <v/>
      </c>
      <c r="B2028" s="53"/>
      <c r="C2028" s="46"/>
      <c r="D2028" s="63" t="str">
        <f>IFERROR(INDEX(基础资料!$F$4:$F$23,MATCH($C2028,基础资料!$E$4:$E$23,0)),IF($C2028="","","未匹配账户"))</f>
        <v/>
      </c>
      <c r="E2028" s="39"/>
      <c r="F2028" s="10"/>
      <c r="G2028" s="10"/>
      <c r="H2028" s="10"/>
      <c r="I2028" s="10"/>
      <c r="J2028" s="10"/>
      <c r="K2028" s="25"/>
      <c r="L2028" s="25"/>
      <c r="M2028" s="25" t="str">
        <f>IFERROR(VLOOKUP($C2028,$C$5:$M$24,11,0)+SUMIF($C$25:$C2028,$C2028,$K$25:$K2028)-SUMIF($C$25:$C2028,$C2028,$L$25:$L2028),"")</f>
        <v/>
      </c>
      <c r="N2028" s="10"/>
      <c r="O2028" s="10"/>
      <c r="P2028" s="65"/>
      <c r="Q2028" s="10"/>
      <c r="R2028" s="10"/>
      <c r="S2028" s="54" t="str">
        <f t="shared" si="99"/>
        <v/>
      </c>
      <c r="T2028" s="54" t="str">
        <f t="shared" si="100"/>
        <v/>
      </c>
      <c r="U2028" s="58" t="str">
        <f t="shared" si="101"/>
        <v/>
      </c>
      <c r="V2028" s="58">
        <f>IF(AND($B2028&lt;&gt;"",$F2028&lt;&gt;"",$F2028=项目明细账!$C$2),N(V2027)+1,N(V2027))</f>
        <v>0</v>
      </c>
      <c r="W2028" s="63" t="str">
        <f>IF($H2028&lt;&gt;"","项目成本",IFERROR(INDEX(基础资料!$W$4:$W$49,MATCH($I2028,基础资料!$V$4:$V$49,0)),""))</f>
        <v/>
      </c>
      <c r="X2028" s="63" t="str">
        <f>IFERROR(INDEX(基础资料!$R$4:$R$17,MATCH($G2028,基础资料!$Q$4:$Q$17,0)),"")</f>
        <v/>
      </c>
    </row>
    <row r="2029" spans="1:24">
      <c r="A2029" s="58" t="str">
        <f>IF($B2029="","",COUNTA($B$5:$B2029))</f>
        <v/>
      </c>
      <c r="B2029" s="53"/>
      <c r="C2029" s="46"/>
      <c r="D2029" s="63" t="str">
        <f>IFERROR(INDEX(基础资料!$F$4:$F$23,MATCH($C2029,基础资料!$E$4:$E$23,0)),IF($C2029="","","未匹配账户"))</f>
        <v/>
      </c>
      <c r="E2029" s="39"/>
      <c r="F2029" s="10"/>
      <c r="G2029" s="10"/>
      <c r="H2029" s="10"/>
      <c r="I2029" s="10"/>
      <c r="J2029" s="10"/>
      <c r="K2029" s="25"/>
      <c r="L2029" s="25"/>
      <c r="M2029" s="25" t="str">
        <f>IFERROR(VLOOKUP($C2029,$C$5:$M$24,11,0)+SUMIF($C$25:$C2029,$C2029,$K$25:$K2029)-SUMIF($C$25:$C2029,$C2029,$L$25:$L2029),"")</f>
        <v/>
      </c>
      <c r="N2029" s="10"/>
      <c r="O2029" s="10"/>
      <c r="P2029" s="65"/>
      <c r="Q2029" s="10"/>
      <c r="R2029" s="10"/>
      <c r="S2029" s="54" t="str">
        <f t="shared" si="99"/>
        <v/>
      </c>
      <c r="T2029" s="54" t="str">
        <f t="shared" si="100"/>
        <v/>
      </c>
      <c r="U2029" s="58" t="str">
        <f t="shared" si="101"/>
        <v/>
      </c>
      <c r="V2029" s="58">
        <f>IF(AND($B2029&lt;&gt;"",$F2029&lt;&gt;"",$F2029=项目明细账!$C$2),N(V2028)+1,N(V2028))</f>
        <v>0</v>
      </c>
      <c r="W2029" s="63" t="str">
        <f>IF($H2029&lt;&gt;"","项目成本",IFERROR(INDEX(基础资料!$W$4:$W$49,MATCH($I2029,基础资料!$V$4:$V$49,0)),""))</f>
        <v/>
      </c>
      <c r="X2029" s="63" t="str">
        <f>IFERROR(INDEX(基础资料!$R$4:$R$17,MATCH($G2029,基础资料!$Q$4:$Q$17,0)),"")</f>
        <v/>
      </c>
    </row>
    <row r="2030" spans="1:24">
      <c r="A2030" s="58" t="str">
        <f>IF($B2030="","",COUNTA($B$5:$B2030))</f>
        <v/>
      </c>
      <c r="B2030" s="53"/>
      <c r="C2030" s="46"/>
      <c r="D2030" s="63" t="str">
        <f>IFERROR(INDEX(基础资料!$F$4:$F$23,MATCH($C2030,基础资料!$E$4:$E$23,0)),IF($C2030="","","未匹配账户"))</f>
        <v/>
      </c>
      <c r="E2030" s="39"/>
      <c r="F2030" s="10"/>
      <c r="G2030" s="10"/>
      <c r="H2030" s="10"/>
      <c r="I2030" s="10"/>
      <c r="J2030" s="10"/>
      <c r="K2030" s="25"/>
      <c r="L2030" s="25"/>
      <c r="M2030" s="25" t="str">
        <f>IFERROR(VLOOKUP($C2030,$C$5:$M$24,11,0)+SUMIF($C$25:$C2030,$C2030,$K$25:$K2030)-SUMIF($C$25:$C2030,$C2030,$L$25:$L2030),"")</f>
        <v/>
      </c>
      <c r="N2030" s="10"/>
      <c r="O2030" s="10"/>
      <c r="P2030" s="65"/>
      <c r="Q2030" s="10"/>
      <c r="R2030" s="10"/>
      <c r="S2030" s="54" t="str">
        <f t="shared" si="99"/>
        <v/>
      </c>
      <c r="T2030" s="54" t="str">
        <f t="shared" si="100"/>
        <v/>
      </c>
      <c r="U2030" s="58" t="str">
        <f t="shared" si="101"/>
        <v/>
      </c>
      <c r="V2030" s="58">
        <f>IF(AND($B2030&lt;&gt;"",$F2030&lt;&gt;"",$F2030=项目明细账!$C$2),N(V2029)+1,N(V2029))</f>
        <v>0</v>
      </c>
      <c r="W2030" s="63" t="str">
        <f>IF($H2030&lt;&gt;"","项目成本",IFERROR(INDEX(基础资料!$W$4:$W$49,MATCH($I2030,基础资料!$V$4:$V$49,0)),""))</f>
        <v/>
      </c>
      <c r="X2030" s="63" t="str">
        <f>IFERROR(INDEX(基础资料!$R$4:$R$17,MATCH($G2030,基础资料!$Q$4:$Q$17,0)),"")</f>
        <v/>
      </c>
    </row>
    <row r="2031" spans="1:24">
      <c r="A2031" s="58" t="str">
        <f>IF($B2031="","",COUNTA($B$5:$B2031))</f>
        <v/>
      </c>
      <c r="B2031" s="53"/>
      <c r="C2031" s="46"/>
      <c r="D2031" s="63" t="str">
        <f>IFERROR(INDEX(基础资料!$F$4:$F$23,MATCH($C2031,基础资料!$E$4:$E$23,0)),IF($C2031="","","未匹配账户"))</f>
        <v/>
      </c>
      <c r="E2031" s="39"/>
      <c r="F2031" s="10"/>
      <c r="G2031" s="10"/>
      <c r="H2031" s="10"/>
      <c r="I2031" s="10"/>
      <c r="J2031" s="10"/>
      <c r="K2031" s="25"/>
      <c r="L2031" s="25"/>
      <c r="M2031" s="25" t="str">
        <f>IFERROR(VLOOKUP($C2031,$C$5:$M$24,11,0)+SUMIF($C$25:$C2031,$C2031,$K$25:$K2031)-SUMIF($C$25:$C2031,$C2031,$L$25:$L2031),"")</f>
        <v/>
      </c>
      <c r="N2031" s="10"/>
      <c r="O2031" s="10"/>
      <c r="P2031" s="65"/>
      <c r="Q2031" s="10"/>
      <c r="R2031" s="10"/>
      <c r="S2031" s="54" t="str">
        <f t="shared" si="99"/>
        <v/>
      </c>
      <c r="T2031" s="54" t="str">
        <f t="shared" si="100"/>
        <v/>
      </c>
      <c r="U2031" s="58" t="str">
        <f t="shared" si="101"/>
        <v/>
      </c>
      <c r="V2031" s="58">
        <f>IF(AND($B2031&lt;&gt;"",$F2031&lt;&gt;"",$F2031=项目明细账!$C$2),N(V2030)+1,N(V2030))</f>
        <v>0</v>
      </c>
      <c r="W2031" s="63" t="str">
        <f>IF($H2031&lt;&gt;"","项目成本",IFERROR(INDEX(基础资料!$W$4:$W$49,MATCH($I2031,基础资料!$V$4:$V$49,0)),""))</f>
        <v/>
      </c>
      <c r="X2031" s="63" t="str">
        <f>IFERROR(INDEX(基础资料!$R$4:$R$17,MATCH($G2031,基础资料!$Q$4:$Q$17,0)),"")</f>
        <v/>
      </c>
    </row>
    <row r="2032" spans="1:24">
      <c r="A2032" s="58" t="str">
        <f>IF($B2032="","",COUNTA($B$5:$B2032))</f>
        <v/>
      </c>
      <c r="B2032" s="53"/>
      <c r="C2032" s="46"/>
      <c r="D2032" s="63" t="str">
        <f>IFERROR(INDEX(基础资料!$F$4:$F$23,MATCH($C2032,基础资料!$E$4:$E$23,0)),IF($C2032="","","未匹配账户"))</f>
        <v/>
      </c>
      <c r="E2032" s="39"/>
      <c r="F2032" s="10"/>
      <c r="G2032" s="10"/>
      <c r="H2032" s="10"/>
      <c r="I2032" s="10"/>
      <c r="J2032" s="10"/>
      <c r="K2032" s="25"/>
      <c r="L2032" s="25"/>
      <c r="M2032" s="25" t="str">
        <f>IFERROR(VLOOKUP($C2032,$C$5:$M$24,11,0)+SUMIF($C$25:$C2032,$C2032,$K$25:$K2032)-SUMIF($C$25:$C2032,$C2032,$L$25:$L2032),"")</f>
        <v/>
      </c>
      <c r="N2032" s="10"/>
      <c r="O2032" s="10"/>
      <c r="P2032" s="65"/>
      <c r="Q2032" s="10"/>
      <c r="R2032" s="10"/>
      <c r="S2032" s="54" t="str">
        <f t="shared" si="99"/>
        <v/>
      </c>
      <c r="T2032" s="54" t="str">
        <f t="shared" si="100"/>
        <v/>
      </c>
      <c r="U2032" s="58" t="str">
        <f t="shared" si="101"/>
        <v/>
      </c>
      <c r="V2032" s="58">
        <f>IF(AND($B2032&lt;&gt;"",$F2032&lt;&gt;"",$F2032=项目明细账!$C$2),N(V2031)+1,N(V2031))</f>
        <v>0</v>
      </c>
      <c r="W2032" s="63" t="str">
        <f>IF($H2032&lt;&gt;"","项目成本",IFERROR(INDEX(基础资料!$W$4:$W$49,MATCH($I2032,基础资料!$V$4:$V$49,0)),""))</f>
        <v/>
      </c>
      <c r="X2032" s="63" t="str">
        <f>IFERROR(INDEX(基础资料!$R$4:$R$17,MATCH($G2032,基础资料!$Q$4:$Q$17,0)),"")</f>
        <v/>
      </c>
    </row>
    <row r="2033" spans="1:24">
      <c r="A2033" s="58" t="str">
        <f>IF($B2033="","",COUNTA($B$5:$B2033))</f>
        <v/>
      </c>
      <c r="B2033" s="53"/>
      <c r="C2033" s="46"/>
      <c r="D2033" s="63" t="str">
        <f>IFERROR(INDEX(基础资料!$F$4:$F$23,MATCH($C2033,基础资料!$E$4:$E$23,0)),IF($C2033="","","未匹配账户"))</f>
        <v/>
      </c>
      <c r="E2033" s="39"/>
      <c r="F2033" s="10"/>
      <c r="G2033" s="10"/>
      <c r="H2033" s="10"/>
      <c r="I2033" s="10"/>
      <c r="J2033" s="10"/>
      <c r="K2033" s="25"/>
      <c r="L2033" s="25"/>
      <c r="M2033" s="25" t="str">
        <f>IFERROR(VLOOKUP($C2033,$C$5:$M$24,11,0)+SUMIF($C$25:$C2033,$C2033,$K$25:$K2033)-SUMIF($C$25:$C2033,$C2033,$L$25:$L2033),"")</f>
        <v/>
      </c>
      <c r="N2033" s="10"/>
      <c r="O2033" s="10"/>
      <c r="P2033" s="65"/>
      <c r="Q2033" s="10"/>
      <c r="R2033" s="10"/>
      <c r="S2033" s="54" t="str">
        <f t="shared" si="99"/>
        <v/>
      </c>
      <c r="T2033" s="54" t="str">
        <f t="shared" si="100"/>
        <v/>
      </c>
      <c r="U2033" s="58" t="str">
        <f t="shared" si="101"/>
        <v/>
      </c>
      <c r="V2033" s="58">
        <f>IF(AND($B2033&lt;&gt;"",$F2033&lt;&gt;"",$F2033=项目明细账!$C$2),N(V2032)+1,N(V2032))</f>
        <v>0</v>
      </c>
      <c r="W2033" s="63" t="str">
        <f>IF($H2033&lt;&gt;"","项目成本",IFERROR(INDEX(基础资料!$W$4:$W$49,MATCH($I2033,基础资料!$V$4:$V$49,0)),""))</f>
        <v/>
      </c>
      <c r="X2033" s="63" t="str">
        <f>IFERROR(INDEX(基础资料!$R$4:$R$17,MATCH($G2033,基础资料!$Q$4:$Q$17,0)),"")</f>
        <v/>
      </c>
    </row>
    <row r="2034" spans="1:24">
      <c r="A2034" s="58" t="str">
        <f>IF($B2034="","",COUNTA($B$5:$B2034))</f>
        <v/>
      </c>
      <c r="B2034" s="53"/>
      <c r="C2034" s="46"/>
      <c r="D2034" s="63" t="str">
        <f>IFERROR(INDEX(基础资料!$F$4:$F$23,MATCH($C2034,基础资料!$E$4:$E$23,0)),IF($C2034="","","未匹配账户"))</f>
        <v/>
      </c>
      <c r="E2034" s="39"/>
      <c r="F2034" s="10"/>
      <c r="G2034" s="10"/>
      <c r="H2034" s="10"/>
      <c r="I2034" s="10"/>
      <c r="J2034" s="10"/>
      <c r="K2034" s="25"/>
      <c r="L2034" s="25"/>
      <c r="M2034" s="25" t="str">
        <f>IFERROR(VLOOKUP($C2034,$C$5:$M$24,11,0)+SUMIF($C$25:$C2034,$C2034,$K$25:$K2034)-SUMIF($C$25:$C2034,$C2034,$L$25:$L2034),"")</f>
        <v/>
      </c>
      <c r="N2034" s="10"/>
      <c r="O2034" s="10"/>
      <c r="P2034" s="65"/>
      <c r="Q2034" s="10"/>
      <c r="R2034" s="10"/>
      <c r="S2034" s="54" t="str">
        <f t="shared" si="99"/>
        <v/>
      </c>
      <c r="T2034" s="54" t="str">
        <f t="shared" si="100"/>
        <v/>
      </c>
      <c r="U2034" s="58" t="str">
        <f t="shared" si="101"/>
        <v/>
      </c>
      <c r="V2034" s="58">
        <f>IF(AND($B2034&lt;&gt;"",$F2034&lt;&gt;"",$F2034=项目明细账!$C$2),N(V2033)+1,N(V2033))</f>
        <v>0</v>
      </c>
      <c r="W2034" s="63" t="str">
        <f>IF($H2034&lt;&gt;"","项目成本",IFERROR(INDEX(基础资料!$W$4:$W$49,MATCH($I2034,基础资料!$V$4:$V$49,0)),""))</f>
        <v/>
      </c>
      <c r="X2034" s="63" t="str">
        <f>IFERROR(INDEX(基础资料!$R$4:$R$17,MATCH($G2034,基础资料!$Q$4:$Q$17,0)),"")</f>
        <v/>
      </c>
    </row>
    <row r="2035" spans="1:24">
      <c r="A2035" s="58" t="str">
        <f>IF($B2035="","",COUNTA($B$5:$B2035))</f>
        <v/>
      </c>
      <c r="B2035" s="53"/>
      <c r="C2035" s="46"/>
      <c r="D2035" s="63" t="str">
        <f>IFERROR(INDEX(基础资料!$F$4:$F$23,MATCH($C2035,基础资料!$E$4:$E$23,0)),IF($C2035="","","未匹配账户"))</f>
        <v/>
      </c>
      <c r="E2035" s="39"/>
      <c r="F2035" s="10"/>
      <c r="G2035" s="10"/>
      <c r="H2035" s="10"/>
      <c r="I2035" s="10"/>
      <c r="J2035" s="10"/>
      <c r="K2035" s="25"/>
      <c r="L2035" s="25"/>
      <c r="M2035" s="25" t="str">
        <f>IFERROR(VLOOKUP($C2035,$C$5:$M$24,11,0)+SUMIF($C$25:$C2035,$C2035,$K$25:$K2035)-SUMIF($C$25:$C2035,$C2035,$L$25:$L2035),"")</f>
        <v/>
      </c>
      <c r="N2035" s="10"/>
      <c r="O2035" s="10"/>
      <c r="P2035" s="65"/>
      <c r="Q2035" s="10"/>
      <c r="R2035" s="10"/>
      <c r="S2035" s="54" t="str">
        <f t="shared" si="99"/>
        <v/>
      </c>
      <c r="T2035" s="54" t="str">
        <f t="shared" si="100"/>
        <v/>
      </c>
      <c r="U2035" s="58" t="str">
        <f t="shared" si="101"/>
        <v/>
      </c>
      <c r="V2035" s="58">
        <f>IF(AND($B2035&lt;&gt;"",$F2035&lt;&gt;"",$F2035=项目明细账!$C$2),N(V2034)+1,N(V2034))</f>
        <v>0</v>
      </c>
      <c r="W2035" s="63" t="str">
        <f>IF($H2035&lt;&gt;"","项目成本",IFERROR(INDEX(基础资料!$W$4:$W$49,MATCH($I2035,基础资料!$V$4:$V$49,0)),""))</f>
        <v/>
      </c>
      <c r="X2035" s="63" t="str">
        <f>IFERROR(INDEX(基础资料!$R$4:$R$17,MATCH($G2035,基础资料!$Q$4:$Q$17,0)),"")</f>
        <v/>
      </c>
    </row>
    <row r="2036" spans="1:24">
      <c r="A2036" s="58" t="str">
        <f>IF($B2036="","",COUNTA($B$5:$B2036))</f>
        <v/>
      </c>
      <c r="B2036" s="53"/>
      <c r="C2036" s="46"/>
      <c r="D2036" s="63" t="str">
        <f>IFERROR(INDEX(基础资料!$F$4:$F$23,MATCH($C2036,基础资料!$E$4:$E$23,0)),IF($C2036="","","未匹配账户"))</f>
        <v/>
      </c>
      <c r="E2036" s="39"/>
      <c r="F2036" s="10"/>
      <c r="G2036" s="10"/>
      <c r="H2036" s="10"/>
      <c r="I2036" s="10"/>
      <c r="J2036" s="10"/>
      <c r="K2036" s="25"/>
      <c r="L2036" s="25"/>
      <c r="M2036" s="25" t="str">
        <f>IFERROR(VLOOKUP($C2036,$C$5:$M$24,11,0)+SUMIF($C$25:$C2036,$C2036,$K$25:$K2036)-SUMIF($C$25:$C2036,$C2036,$L$25:$L2036),"")</f>
        <v/>
      </c>
      <c r="N2036" s="10"/>
      <c r="O2036" s="10"/>
      <c r="P2036" s="65"/>
      <c r="Q2036" s="10"/>
      <c r="R2036" s="10"/>
      <c r="S2036" s="54" t="str">
        <f t="shared" si="99"/>
        <v/>
      </c>
      <c r="T2036" s="54" t="str">
        <f t="shared" si="100"/>
        <v/>
      </c>
      <c r="U2036" s="58" t="str">
        <f t="shared" si="101"/>
        <v/>
      </c>
      <c r="V2036" s="58">
        <f>IF(AND($B2036&lt;&gt;"",$F2036&lt;&gt;"",$F2036=项目明细账!$C$2),N(V2035)+1,N(V2035))</f>
        <v>0</v>
      </c>
      <c r="W2036" s="63" t="str">
        <f>IF($H2036&lt;&gt;"","项目成本",IFERROR(INDEX(基础资料!$W$4:$W$49,MATCH($I2036,基础资料!$V$4:$V$49,0)),""))</f>
        <v/>
      </c>
      <c r="X2036" s="63" t="str">
        <f>IFERROR(INDEX(基础资料!$R$4:$R$17,MATCH($G2036,基础资料!$Q$4:$Q$17,0)),"")</f>
        <v/>
      </c>
    </row>
    <row r="2037" spans="1:24">
      <c r="A2037" s="58" t="str">
        <f>IF($B2037="","",COUNTA($B$5:$B2037))</f>
        <v/>
      </c>
      <c r="B2037" s="53"/>
      <c r="C2037" s="46"/>
      <c r="D2037" s="63" t="str">
        <f>IFERROR(INDEX(基础资料!$F$4:$F$23,MATCH($C2037,基础资料!$E$4:$E$23,0)),IF($C2037="","","未匹配账户"))</f>
        <v/>
      </c>
      <c r="E2037" s="39"/>
      <c r="F2037" s="10"/>
      <c r="G2037" s="10"/>
      <c r="H2037" s="10"/>
      <c r="I2037" s="10"/>
      <c r="J2037" s="10"/>
      <c r="K2037" s="25"/>
      <c r="L2037" s="25"/>
      <c r="M2037" s="25" t="str">
        <f>IFERROR(VLOOKUP($C2037,$C$5:$M$24,11,0)+SUMIF($C$25:$C2037,$C2037,$K$25:$K2037)-SUMIF($C$25:$C2037,$C2037,$L$25:$L2037),"")</f>
        <v/>
      </c>
      <c r="N2037" s="10"/>
      <c r="O2037" s="10"/>
      <c r="P2037" s="65"/>
      <c r="Q2037" s="10"/>
      <c r="R2037" s="10"/>
      <c r="S2037" s="54" t="str">
        <f t="shared" si="99"/>
        <v/>
      </c>
      <c r="T2037" s="54" t="str">
        <f t="shared" si="100"/>
        <v/>
      </c>
      <c r="U2037" s="58" t="str">
        <f t="shared" si="101"/>
        <v/>
      </c>
      <c r="V2037" s="58">
        <f>IF(AND($B2037&lt;&gt;"",$F2037&lt;&gt;"",$F2037=项目明细账!$C$2),N(V2036)+1,N(V2036))</f>
        <v>0</v>
      </c>
      <c r="W2037" s="63" t="str">
        <f>IF($H2037&lt;&gt;"","项目成本",IFERROR(INDEX(基础资料!$W$4:$W$49,MATCH($I2037,基础资料!$V$4:$V$49,0)),""))</f>
        <v/>
      </c>
      <c r="X2037" s="63" t="str">
        <f>IFERROR(INDEX(基础资料!$R$4:$R$17,MATCH($G2037,基础资料!$Q$4:$Q$17,0)),"")</f>
        <v/>
      </c>
    </row>
    <row r="2038" spans="1:24">
      <c r="A2038" s="58" t="str">
        <f>IF($B2038="","",COUNTA($B$5:$B2038))</f>
        <v/>
      </c>
      <c r="B2038" s="53"/>
      <c r="C2038" s="46"/>
      <c r="D2038" s="63" t="str">
        <f>IFERROR(INDEX(基础资料!$F$4:$F$23,MATCH($C2038,基础资料!$E$4:$E$23,0)),IF($C2038="","","未匹配账户"))</f>
        <v/>
      </c>
      <c r="E2038" s="39"/>
      <c r="F2038" s="10"/>
      <c r="G2038" s="10"/>
      <c r="H2038" s="10"/>
      <c r="I2038" s="10"/>
      <c r="J2038" s="10"/>
      <c r="K2038" s="25"/>
      <c r="L2038" s="25"/>
      <c r="M2038" s="25" t="str">
        <f>IFERROR(VLOOKUP($C2038,$C$5:$M$24,11,0)+SUMIF($C$25:$C2038,$C2038,$K$25:$K2038)-SUMIF($C$25:$C2038,$C2038,$L$25:$L2038),"")</f>
        <v/>
      </c>
      <c r="N2038" s="10"/>
      <c r="O2038" s="10"/>
      <c r="P2038" s="65"/>
      <c r="Q2038" s="10"/>
      <c r="R2038" s="10"/>
      <c r="S2038" s="54" t="str">
        <f t="shared" si="99"/>
        <v/>
      </c>
      <c r="T2038" s="54" t="str">
        <f t="shared" si="100"/>
        <v/>
      </c>
      <c r="U2038" s="58" t="str">
        <f t="shared" si="101"/>
        <v/>
      </c>
      <c r="V2038" s="58">
        <f>IF(AND($B2038&lt;&gt;"",$F2038&lt;&gt;"",$F2038=项目明细账!$C$2),N(V2037)+1,N(V2037))</f>
        <v>0</v>
      </c>
      <c r="W2038" s="63" t="str">
        <f>IF($H2038&lt;&gt;"","项目成本",IFERROR(INDEX(基础资料!$W$4:$W$49,MATCH($I2038,基础资料!$V$4:$V$49,0)),""))</f>
        <v/>
      </c>
      <c r="X2038" s="63" t="str">
        <f>IFERROR(INDEX(基础资料!$R$4:$R$17,MATCH($G2038,基础资料!$Q$4:$Q$17,0)),"")</f>
        <v/>
      </c>
    </row>
    <row r="2039" spans="1:24">
      <c r="A2039" s="58" t="str">
        <f>IF($B2039="","",COUNTA($B$5:$B2039))</f>
        <v/>
      </c>
      <c r="B2039" s="53"/>
      <c r="C2039" s="46"/>
      <c r="D2039" s="63" t="str">
        <f>IFERROR(INDEX(基础资料!$F$4:$F$23,MATCH($C2039,基础资料!$E$4:$E$23,0)),IF($C2039="","","未匹配账户"))</f>
        <v/>
      </c>
      <c r="E2039" s="39"/>
      <c r="F2039" s="10"/>
      <c r="G2039" s="10"/>
      <c r="H2039" s="10"/>
      <c r="I2039" s="10"/>
      <c r="J2039" s="10"/>
      <c r="K2039" s="25"/>
      <c r="L2039" s="25"/>
      <c r="M2039" s="25" t="str">
        <f>IFERROR(VLOOKUP($C2039,$C$5:$M$24,11,0)+SUMIF($C$25:$C2039,$C2039,$K$25:$K2039)-SUMIF($C$25:$C2039,$C2039,$L$25:$L2039),"")</f>
        <v/>
      </c>
      <c r="N2039" s="10"/>
      <c r="O2039" s="10"/>
      <c r="P2039" s="65"/>
      <c r="Q2039" s="10"/>
      <c r="R2039" s="10"/>
      <c r="S2039" s="54" t="str">
        <f t="shared" si="99"/>
        <v/>
      </c>
      <c r="T2039" s="54" t="str">
        <f t="shared" si="100"/>
        <v/>
      </c>
      <c r="U2039" s="58" t="str">
        <f t="shared" si="101"/>
        <v/>
      </c>
      <c r="V2039" s="58">
        <f>IF(AND($B2039&lt;&gt;"",$F2039&lt;&gt;"",$F2039=项目明细账!$C$2),N(V2038)+1,N(V2038))</f>
        <v>0</v>
      </c>
      <c r="W2039" s="63" t="str">
        <f>IF($H2039&lt;&gt;"","项目成本",IFERROR(INDEX(基础资料!$W$4:$W$49,MATCH($I2039,基础资料!$V$4:$V$49,0)),""))</f>
        <v/>
      </c>
      <c r="X2039" s="63" t="str">
        <f>IFERROR(INDEX(基础资料!$R$4:$R$17,MATCH($G2039,基础资料!$Q$4:$Q$17,0)),"")</f>
        <v/>
      </c>
    </row>
    <row r="2040" spans="1:24">
      <c r="A2040" s="58" t="str">
        <f>IF($B2040="","",COUNTA($B$5:$B2040))</f>
        <v/>
      </c>
      <c r="B2040" s="53"/>
      <c r="C2040" s="46"/>
      <c r="D2040" s="63" t="str">
        <f>IFERROR(INDEX(基础资料!$F$4:$F$23,MATCH($C2040,基础资料!$E$4:$E$23,0)),IF($C2040="","","未匹配账户"))</f>
        <v/>
      </c>
      <c r="E2040" s="39"/>
      <c r="F2040" s="10"/>
      <c r="G2040" s="10"/>
      <c r="H2040" s="10"/>
      <c r="I2040" s="10"/>
      <c r="J2040" s="10"/>
      <c r="K2040" s="25"/>
      <c r="L2040" s="25"/>
      <c r="M2040" s="25" t="str">
        <f>IFERROR(VLOOKUP($C2040,$C$5:$M$24,11,0)+SUMIF($C$25:$C2040,$C2040,$K$25:$K2040)-SUMIF($C$25:$C2040,$C2040,$L$25:$L2040),"")</f>
        <v/>
      </c>
      <c r="N2040" s="10"/>
      <c r="O2040" s="10"/>
      <c r="P2040" s="65"/>
      <c r="Q2040" s="10"/>
      <c r="R2040" s="10"/>
      <c r="S2040" s="54" t="str">
        <f t="shared" si="99"/>
        <v/>
      </c>
      <c r="T2040" s="54" t="str">
        <f t="shared" si="100"/>
        <v/>
      </c>
      <c r="U2040" s="58" t="str">
        <f t="shared" si="101"/>
        <v/>
      </c>
      <c r="V2040" s="58">
        <f>IF(AND($B2040&lt;&gt;"",$F2040&lt;&gt;"",$F2040=项目明细账!$C$2),N(V2039)+1,N(V2039))</f>
        <v>0</v>
      </c>
      <c r="W2040" s="63" t="str">
        <f>IF($H2040&lt;&gt;"","项目成本",IFERROR(INDEX(基础资料!$W$4:$W$49,MATCH($I2040,基础资料!$V$4:$V$49,0)),""))</f>
        <v/>
      </c>
      <c r="X2040" s="63" t="str">
        <f>IFERROR(INDEX(基础资料!$R$4:$R$17,MATCH($G2040,基础资料!$Q$4:$Q$17,0)),"")</f>
        <v/>
      </c>
    </row>
    <row r="2041" spans="1:24">
      <c r="A2041" s="58" t="str">
        <f>IF($B2041="","",COUNTA($B$5:$B2041))</f>
        <v/>
      </c>
      <c r="B2041" s="53"/>
      <c r="C2041" s="46"/>
      <c r="D2041" s="63" t="str">
        <f>IFERROR(INDEX(基础资料!$F$4:$F$23,MATCH($C2041,基础资料!$E$4:$E$23,0)),IF($C2041="","","未匹配账户"))</f>
        <v/>
      </c>
      <c r="E2041" s="39"/>
      <c r="F2041" s="10"/>
      <c r="G2041" s="10"/>
      <c r="H2041" s="10"/>
      <c r="I2041" s="10"/>
      <c r="J2041" s="10"/>
      <c r="K2041" s="25"/>
      <c r="L2041" s="25"/>
      <c r="M2041" s="25" t="str">
        <f>IFERROR(VLOOKUP($C2041,$C$5:$M$24,11,0)+SUMIF($C$25:$C2041,$C2041,$K$25:$K2041)-SUMIF($C$25:$C2041,$C2041,$L$25:$L2041),"")</f>
        <v/>
      </c>
      <c r="N2041" s="10"/>
      <c r="O2041" s="10"/>
      <c r="P2041" s="65"/>
      <c r="Q2041" s="10"/>
      <c r="R2041" s="10"/>
      <c r="S2041" s="54" t="str">
        <f t="shared" si="99"/>
        <v/>
      </c>
      <c r="T2041" s="54" t="str">
        <f t="shared" si="100"/>
        <v/>
      </c>
      <c r="U2041" s="58" t="str">
        <f t="shared" si="101"/>
        <v/>
      </c>
      <c r="V2041" s="58">
        <f>IF(AND($B2041&lt;&gt;"",$F2041&lt;&gt;"",$F2041=项目明细账!$C$2),N(V2040)+1,N(V2040))</f>
        <v>0</v>
      </c>
      <c r="W2041" s="63" t="str">
        <f>IF($H2041&lt;&gt;"","项目成本",IFERROR(INDEX(基础资料!$W$4:$W$49,MATCH($I2041,基础资料!$V$4:$V$49,0)),""))</f>
        <v/>
      </c>
      <c r="X2041" s="63" t="str">
        <f>IFERROR(INDEX(基础资料!$R$4:$R$17,MATCH($G2041,基础资料!$Q$4:$Q$17,0)),"")</f>
        <v/>
      </c>
    </row>
    <row r="2042" spans="1:24">
      <c r="A2042" s="58" t="str">
        <f>IF($B2042="","",COUNTA($B$5:$B2042))</f>
        <v/>
      </c>
      <c r="B2042" s="53"/>
      <c r="C2042" s="46"/>
      <c r="D2042" s="63" t="str">
        <f>IFERROR(INDEX(基础资料!$F$4:$F$23,MATCH($C2042,基础资料!$E$4:$E$23,0)),IF($C2042="","","未匹配账户"))</f>
        <v/>
      </c>
      <c r="E2042" s="39"/>
      <c r="F2042" s="10"/>
      <c r="G2042" s="10"/>
      <c r="H2042" s="10"/>
      <c r="I2042" s="10"/>
      <c r="J2042" s="10"/>
      <c r="K2042" s="25"/>
      <c r="L2042" s="25"/>
      <c r="M2042" s="25" t="str">
        <f>IFERROR(VLOOKUP($C2042,$C$5:$M$24,11,0)+SUMIF($C$25:$C2042,$C2042,$K$25:$K2042)-SUMIF($C$25:$C2042,$C2042,$L$25:$L2042),"")</f>
        <v/>
      </c>
      <c r="N2042" s="10"/>
      <c r="O2042" s="10"/>
      <c r="P2042" s="65"/>
      <c r="Q2042" s="10"/>
      <c r="R2042" s="10"/>
      <c r="S2042" s="54" t="str">
        <f t="shared" si="99"/>
        <v/>
      </c>
      <c r="T2042" s="54" t="str">
        <f t="shared" si="100"/>
        <v/>
      </c>
      <c r="U2042" s="58" t="str">
        <f t="shared" si="101"/>
        <v/>
      </c>
      <c r="V2042" s="58">
        <f>IF(AND($B2042&lt;&gt;"",$F2042&lt;&gt;"",$F2042=项目明细账!$C$2),N(V2041)+1,N(V2041))</f>
        <v>0</v>
      </c>
      <c r="W2042" s="63" t="str">
        <f>IF($H2042&lt;&gt;"","项目成本",IFERROR(INDEX(基础资料!$W$4:$W$49,MATCH($I2042,基础资料!$V$4:$V$49,0)),""))</f>
        <v/>
      </c>
      <c r="X2042" s="63" t="str">
        <f>IFERROR(INDEX(基础资料!$R$4:$R$17,MATCH($G2042,基础资料!$Q$4:$Q$17,0)),"")</f>
        <v/>
      </c>
    </row>
    <row r="2043" spans="1:24">
      <c r="A2043" s="58" t="str">
        <f>IF($B2043="","",COUNTA($B$5:$B2043))</f>
        <v/>
      </c>
      <c r="B2043" s="53"/>
      <c r="C2043" s="46"/>
      <c r="D2043" s="63" t="str">
        <f>IFERROR(INDEX(基础资料!$F$4:$F$23,MATCH($C2043,基础资料!$E$4:$E$23,0)),IF($C2043="","","未匹配账户"))</f>
        <v/>
      </c>
      <c r="E2043" s="39"/>
      <c r="F2043" s="10"/>
      <c r="G2043" s="10"/>
      <c r="H2043" s="10"/>
      <c r="I2043" s="10"/>
      <c r="J2043" s="10"/>
      <c r="K2043" s="25"/>
      <c r="L2043" s="25"/>
      <c r="M2043" s="25" t="str">
        <f>IFERROR(VLOOKUP($C2043,$C$5:$M$24,11,0)+SUMIF($C$25:$C2043,$C2043,$K$25:$K2043)-SUMIF($C$25:$C2043,$C2043,$L$25:$L2043),"")</f>
        <v/>
      </c>
      <c r="N2043" s="10"/>
      <c r="O2043" s="10"/>
      <c r="P2043" s="65"/>
      <c r="Q2043" s="10"/>
      <c r="R2043" s="10"/>
      <c r="S2043" s="54" t="str">
        <f t="shared" si="99"/>
        <v/>
      </c>
      <c r="T2043" s="54" t="str">
        <f t="shared" si="100"/>
        <v/>
      </c>
      <c r="U2043" s="58" t="str">
        <f t="shared" si="101"/>
        <v/>
      </c>
      <c r="V2043" s="58">
        <f>IF(AND($B2043&lt;&gt;"",$F2043&lt;&gt;"",$F2043=项目明细账!$C$2),N(V2042)+1,N(V2042))</f>
        <v>0</v>
      </c>
      <c r="W2043" s="63" t="str">
        <f>IF($H2043&lt;&gt;"","项目成本",IFERROR(INDEX(基础资料!$W$4:$W$49,MATCH($I2043,基础资料!$V$4:$V$49,0)),""))</f>
        <v/>
      </c>
      <c r="X2043" s="63" t="str">
        <f>IFERROR(INDEX(基础资料!$R$4:$R$17,MATCH($G2043,基础资料!$Q$4:$Q$17,0)),"")</f>
        <v/>
      </c>
    </row>
    <row r="2044" spans="1:24">
      <c r="A2044" s="58" t="str">
        <f>IF($B2044="","",COUNTA($B$5:$B2044))</f>
        <v/>
      </c>
      <c r="B2044" s="53"/>
      <c r="C2044" s="46"/>
      <c r="D2044" s="63" t="str">
        <f>IFERROR(INDEX(基础资料!$F$4:$F$23,MATCH($C2044,基础资料!$E$4:$E$23,0)),IF($C2044="","","未匹配账户"))</f>
        <v/>
      </c>
      <c r="E2044" s="39"/>
      <c r="F2044" s="10"/>
      <c r="G2044" s="10"/>
      <c r="H2044" s="10"/>
      <c r="I2044" s="10"/>
      <c r="J2044" s="10"/>
      <c r="K2044" s="25"/>
      <c r="L2044" s="25"/>
      <c r="M2044" s="25" t="str">
        <f>IFERROR(VLOOKUP($C2044,$C$5:$M$24,11,0)+SUMIF($C$25:$C2044,$C2044,$K$25:$K2044)-SUMIF($C$25:$C2044,$C2044,$L$25:$L2044),"")</f>
        <v/>
      </c>
      <c r="N2044" s="10"/>
      <c r="O2044" s="10"/>
      <c r="P2044" s="65"/>
      <c r="Q2044" s="10"/>
      <c r="R2044" s="10"/>
      <c r="S2044" s="54" t="str">
        <f t="shared" si="99"/>
        <v/>
      </c>
      <c r="T2044" s="54" t="str">
        <f t="shared" si="100"/>
        <v/>
      </c>
      <c r="U2044" s="58" t="str">
        <f t="shared" si="101"/>
        <v/>
      </c>
      <c r="V2044" s="58">
        <f>IF(AND($B2044&lt;&gt;"",$F2044&lt;&gt;"",$F2044=项目明细账!$C$2),N(V2043)+1,N(V2043))</f>
        <v>0</v>
      </c>
      <c r="W2044" s="63" t="str">
        <f>IF($H2044&lt;&gt;"","项目成本",IFERROR(INDEX(基础资料!$W$4:$W$49,MATCH($I2044,基础资料!$V$4:$V$49,0)),""))</f>
        <v/>
      </c>
      <c r="X2044" s="63" t="str">
        <f>IFERROR(INDEX(基础资料!$R$4:$R$17,MATCH($G2044,基础资料!$Q$4:$Q$17,0)),"")</f>
        <v/>
      </c>
    </row>
    <row r="2045" spans="1:24">
      <c r="A2045" s="58" t="str">
        <f>IF($B2045="","",COUNTA($B$5:$B2045))</f>
        <v/>
      </c>
      <c r="B2045" s="53"/>
      <c r="C2045" s="46"/>
      <c r="D2045" s="63" t="str">
        <f>IFERROR(INDEX(基础资料!$F$4:$F$23,MATCH($C2045,基础资料!$E$4:$E$23,0)),IF($C2045="","","未匹配账户"))</f>
        <v/>
      </c>
      <c r="E2045" s="39"/>
      <c r="F2045" s="10"/>
      <c r="G2045" s="10"/>
      <c r="H2045" s="10"/>
      <c r="I2045" s="10"/>
      <c r="J2045" s="10"/>
      <c r="K2045" s="25"/>
      <c r="L2045" s="25"/>
      <c r="M2045" s="25" t="str">
        <f>IFERROR(VLOOKUP($C2045,$C$5:$M$24,11,0)+SUMIF($C$25:$C2045,$C2045,$K$25:$K2045)-SUMIF($C$25:$C2045,$C2045,$L$25:$L2045),"")</f>
        <v/>
      </c>
      <c r="N2045" s="10"/>
      <c r="O2045" s="10"/>
      <c r="P2045" s="65"/>
      <c r="Q2045" s="10"/>
      <c r="R2045" s="10"/>
      <c r="S2045" s="54" t="str">
        <f t="shared" si="99"/>
        <v/>
      </c>
      <c r="T2045" s="54" t="str">
        <f t="shared" si="100"/>
        <v/>
      </c>
      <c r="U2045" s="58" t="str">
        <f t="shared" si="101"/>
        <v/>
      </c>
      <c r="V2045" s="58">
        <f>IF(AND($B2045&lt;&gt;"",$F2045&lt;&gt;"",$F2045=项目明细账!$C$2),N(V2044)+1,N(V2044))</f>
        <v>0</v>
      </c>
      <c r="W2045" s="63" t="str">
        <f>IF($H2045&lt;&gt;"","项目成本",IFERROR(INDEX(基础资料!$W$4:$W$49,MATCH($I2045,基础资料!$V$4:$V$49,0)),""))</f>
        <v/>
      </c>
      <c r="X2045" s="63" t="str">
        <f>IFERROR(INDEX(基础资料!$R$4:$R$17,MATCH($G2045,基础资料!$Q$4:$Q$17,0)),"")</f>
        <v/>
      </c>
    </row>
    <row r="2046" spans="1:24">
      <c r="A2046" s="58" t="str">
        <f>IF($B2046="","",COUNTA($B$5:$B2046))</f>
        <v/>
      </c>
      <c r="B2046" s="53"/>
      <c r="C2046" s="46"/>
      <c r="D2046" s="63" t="str">
        <f>IFERROR(INDEX(基础资料!$F$4:$F$23,MATCH($C2046,基础资料!$E$4:$E$23,0)),IF($C2046="","","未匹配账户"))</f>
        <v/>
      </c>
      <c r="E2046" s="39"/>
      <c r="F2046" s="10"/>
      <c r="G2046" s="10"/>
      <c r="H2046" s="10"/>
      <c r="I2046" s="10"/>
      <c r="J2046" s="10"/>
      <c r="K2046" s="25"/>
      <c r="L2046" s="25"/>
      <c r="M2046" s="25" t="str">
        <f>IFERROR(VLOOKUP($C2046,$C$5:$M$24,11,0)+SUMIF($C$25:$C2046,$C2046,$K$25:$K2046)-SUMIF($C$25:$C2046,$C2046,$L$25:$L2046),"")</f>
        <v/>
      </c>
      <c r="N2046" s="10"/>
      <c r="O2046" s="10"/>
      <c r="P2046" s="65"/>
      <c r="Q2046" s="10"/>
      <c r="R2046" s="10"/>
      <c r="S2046" s="54" t="str">
        <f t="shared" si="99"/>
        <v/>
      </c>
      <c r="T2046" s="54" t="str">
        <f t="shared" si="100"/>
        <v/>
      </c>
      <c r="U2046" s="58" t="str">
        <f t="shared" si="101"/>
        <v/>
      </c>
      <c r="V2046" s="58">
        <f>IF(AND($B2046&lt;&gt;"",$F2046&lt;&gt;"",$F2046=项目明细账!$C$2),N(V2045)+1,N(V2045))</f>
        <v>0</v>
      </c>
      <c r="W2046" s="63" t="str">
        <f>IF($H2046&lt;&gt;"","项目成本",IFERROR(INDEX(基础资料!$W$4:$W$49,MATCH($I2046,基础资料!$V$4:$V$49,0)),""))</f>
        <v/>
      </c>
      <c r="X2046" s="63" t="str">
        <f>IFERROR(INDEX(基础资料!$R$4:$R$17,MATCH($G2046,基础资料!$Q$4:$Q$17,0)),"")</f>
        <v/>
      </c>
    </row>
    <row r="2047" spans="1:24">
      <c r="A2047" s="58" t="str">
        <f>IF($B2047="","",COUNTA($B$5:$B2047))</f>
        <v/>
      </c>
      <c r="B2047" s="53"/>
      <c r="C2047" s="46"/>
      <c r="D2047" s="63" t="str">
        <f>IFERROR(INDEX(基础资料!$F$4:$F$23,MATCH($C2047,基础资料!$E$4:$E$23,0)),IF($C2047="","","未匹配账户"))</f>
        <v/>
      </c>
      <c r="E2047" s="39"/>
      <c r="F2047" s="10"/>
      <c r="G2047" s="10"/>
      <c r="H2047" s="10"/>
      <c r="I2047" s="10"/>
      <c r="J2047" s="10"/>
      <c r="K2047" s="25"/>
      <c r="L2047" s="25"/>
      <c r="M2047" s="25" t="str">
        <f>IFERROR(VLOOKUP($C2047,$C$5:$M$24,11,0)+SUMIF($C$25:$C2047,$C2047,$K$25:$K2047)-SUMIF($C$25:$C2047,$C2047,$L$25:$L2047),"")</f>
        <v/>
      </c>
      <c r="N2047" s="10"/>
      <c r="O2047" s="10"/>
      <c r="P2047" s="65"/>
      <c r="Q2047" s="10"/>
      <c r="R2047" s="10"/>
      <c r="S2047" s="54" t="str">
        <f t="shared" si="99"/>
        <v/>
      </c>
      <c r="T2047" s="54" t="str">
        <f t="shared" si="100"/>
        <v/>
      </c>
      <c r="U2047" s="58" t="str">
        <f t="shared" si="101"/>
        <v/>
      </c>
      <c r="V2047" s="58">
        <f>IF(AND($B2047&lt;&gt;"",$F2047&lt;&gt;"",$F2047=项目明细账!$C$2),N(V2046)+1,N(V2046))</f>
        <v>0</v>
      </c>
      <c r="W2047" s="63" t="str">
        <f>IF($H2047&lt;&gt;"","项目成本",IFERROR(INDEX(基础资料!$W$4:$W$49,MATCH($I2047,基础资料!$V$4:$V$49,0)),""))</f>
        <v/>
      </c>
      <c r="X2047" s="63" t="str">
        <f>IFERROR(INDEX(基础资料!$R$4:$R$17,MATCH($G2047,基础资料!$Q$4:$Q$17,0)),"")</f>
        <v/>
      </c>
    </row>
    <row r="2048" spans="1:24">
      <c r="A2048" s="58" t="str">
        <f>IF($B2048="","",COUNTA($B$5:$B2048))</f>
        <v/>
      </c>
      <c r="B2048" s="53"/>
      <c r="C2048" s="46"/>
      <c r="D2048" s="63" t="str">
        <f>IFERROR(INDEX(基础资料!$F$4:$F$23,MATCH($C2048,基础资料!$E$4:$E$23,0)),IF($C2048="","","未匹配账户"))</f>
        <v/>
      </c>
      <c r="E2048" s="39"/>
      <c r="F2048" s="10"/>
      <c r="G2048" s="10"/>
      <c r="H2048" s="10"/>
      <c r="I2048" s="10"/>
      <c r="J2048" s="10"/>
      <c r="K2048" s="25"/>
      <c r="L2048" s="25"/>
      <c r="M2048" s="25" t="str">
        <f>IFERROR(VLOOKUP($C2048,$C$5:$M$24,11,0)+SUMIF($C$25:$C2048,$C2048,$K$25:$K2048)-SUMIF($C$25:$C2048,$C2048,$L$25:$L2048),"")</f>
        <v/>
      </c>
      <c r="N2048" s="10"/>
      <c r="O2048" s="10"/>
      <c r="P2048" s="65"/>
      <c r="Q2048" s="10"/>
      <c r="R2048" s="10"/>
      <c r="S2048" s="54" t="str">
        <f t="shared" si="99"/>
        <v/>
      </c>
      <c r="T2048" s="54" t="str">
        <f t="shared" si="100"/>
        <v/>
      </c>
      <c r="U2048" s="58" t="str">
        <f t="shared" si="101"/>
        <v/>
      </c>
      <c r="V2048" s="58">
        <f>IF(AND($B2048&lt;&gt;"",$F2048&lt;&gt;"",$F2048=项目明细账!$C$2),N(V2047)+1,N(V2047))</f>
        <v>0</v>
      </c>
      <c r="W2048" s="63" t="str">
        <f>IF($H2048&lt;&gt;"","项目成本",IFERROR(INDEX(基础资料!$W$4:$W$49,MATCH($I2048,基础资料!$V$4:$V$49,0)),""))</f>
        <v/>
      </c>
      <c r="X2048" s="63" t="str">
        <f>IFERROR(INDEX(基础资料!$R$4:$R$17,MATCH($G2048,基础资料!$Q$4:$Q$17,0)),"")</f>
        <v/>
      </c>
    </row>
    <row r="2049" spans="1:24">
      <c r="A2049" s="58" t="str">
        <f>IF($B2049="","",COUNTA($B$5:$B2049))</f>
        <v/>
      </c>
      <c r="B2049" s="53"/>
      <c r="C2049" s="46"/>
      <c r="D2049" s="63" t="str">
        <f>IFERROR(INDEX(基础资料!$F$4:$F$23,MATCH($C2049,基础资料!$E$4:$E$23,0)),IF($C2049="","","未匹配账户"))</f>
        <v/>
      </c>
      <c r="E2049" s="39"/>
      <c r="F2049" s="10"/>
      <c r="G2049" s="10"/>
      <c r="H2049" s="10"/>
      <c r="I2049" s="10"/>
      <c r="J2049" s="10"/>
      <c r="K2049" s="25"/>
      <c r="L2049" s="25"/>
      <c r="M2049" s="25" t="str">
        <f>IFERROR(VLOOKUP($C2049,$C$5:$M$24,11,0)+SUMIF($C$25:$C2049,$C2049,$K$25:$K2049)-SUMIF($C$25:$C2049,$C2049,$L$25:$L2049),"")</f>
        <v/>
      </c>
      <c r="N2049" s="10"/>
      <c r="O2049" s="10"/>
      <c r="P2049" s="65"/>
      <c r="Q2049" s="10"/>
      <c r="R2049" s="10"/>
      <c r="S2049" s="54" t="str">
        <f t="shared" si="99"/>
        <v/>
      </c>
      <c r="T2049" s="54" t="str">
        <f t="shared" si="100"/>
        <v/>
      </c>
      <c r="U2049" s="58" t="str">
        <f t="shared" si="101"/>
        <v/>
      </c>
      <c r="V2049" s="58">
        <f>IF(AND($B2049&lt;&gt;"",$F2049&lt;&gt;"",$F2049=项目明细账!$C$2),N(V2048)+1,N(V2048))</f>
        <v>0</v>
      </c>
      <c r="W2049" s="63" t="str">
        <f>IF($H2049&lt;&gt;"","项目成本",IFERROR(INDEX(基础资料!$W$4:$W$49,MATCH($I2049,基础资料!$V$4:$V$49,0)),""))</f>
        <v/>
      </c>
      <c r="X2049" s="63" t="str">
        <f>IFERROR(INDEX(基础资料!$R$4:$R$17,MATCH($G2049,基础资料!$Q$4:$Q$17,0)),"")</f>
        <v/>
      </c>
    </row>
    <row r="2050" spans="1:24">
      <c r="A2050" s="58" t="str">
        <f>IF($B2050="","",COUNTA($B$5:$B2050))</f>
        <v/>
      </c>
      <c r="B2050" s="53"/>
      <c r="C2050" s="46"/>
      <c r="D2050" s="63" t="str">
        <f>IFERROR(INDEX(基础资料!$F$4:$F$23,MATCH($C2050,基础资料!$E$4:$E$23,0)),IF($C2050="","","未匹配账户"))</f>
        <v/>
      </c>
      <c r="E2050" s="39"/>
      <c r="F2050" s="10"/>
      <c r="G2050" s="10"/>
      <c r="H2050" s="10"/>
      <c r="I2050" s="10"/>
      <c r="J2050" s="10"/>
      <c r="K2050" s="25"/>
      <c r="L2050" s="25"/>
      <c r="M2050" s="25" t="str">
        <f>IFERROR(VLOOKUP($C2050,$C$5:$M$24,11,0)+SUMIF($C$25:$C2050,$C2050,$K$25:$K2050)-SUMIF($C$25:$C2050,$C2050,$L$25:$L2050),"")</f>
        <v/>
      </c>
      <c r="N2050" s="10"/>
      <c r="O2050" s="10"/>
      <c r="P2050" s="65"/>
      <c r="Q2050" s="10"/>
      <c r="R2050" s="10"/>
      <c r="S2050" s="54" t="str">
        <f t="shared" si="99"/>
        <v/>
      </c>
      <c r="T2050" s="54" t="str">
        <f t="shared" si="100"/>
        <v/>
      </c>
      <c r="U2050" s="58" t="str">
        <f t="shared" si="101"/>
        <v/>
      </c>
      <c r="V2050" s="58">
        <f>IF(AND($B2050&lt;&gt;"",$F2050&lt;&gt;"",$F2050=项目明细账!$C$2),N(V2049)+1,N(V2049))</f>
        <v>0</v>
      </c>
      <c r="W2050" s="63" t="str">
        <f>IF($H2050&lt;&gt;"","项目成本",IFERROR(INDEX(基础资料!$W$4:$W$49,MATCH($I2050,基础资料!$V$4:$V$49,0)),""))</f>
        <v/>
      </c>
      <c r="X2050" s="63" t="str">
        <f>IFERROR(INDEX(基础资料!$R$4:$R$17,MATCH($G2050,基础资料!$Q$4:$Q$17,0)),"")</f>
        <v/>
      </c>
    </row>
    <row r="2051" spans="1:24">
      <c r="A2051" s="58" t="str">
        <f>IF($B2051="","",COUNTA($B$5:$B2051))</f>
        <v/>
      </c>
      <c r="B2051" s="53"/>
      <c r="C2051" s="46"/>
      <c r="D2051" s="63" t="str">
        <f>IFERROR(INDEX(基础资料!$F$4:$F$23,MATCH($C2051,基础资料!$E$4:$E$23,0)),IF($C2051="","","未匹配账户"))</f>
        <v/>
      </c>
      <c r="E2051" s="39"/>
      <c r="F2051" s="10"/>
      <c r="G2051" s="10"/>
      <c r="H2051" s="10"/>
      <c r="I2051" s="10"/>
      <c r="J2051" s="10"/>
      <c r="K2051" s="25"/>
      <c r="L2051" s="25"/>
      <c r="M2051" s="25" t="str">
        <f>IFERROR(VLOOKUP($C2051,$C$5:$M$24,11,0)+SUMIF($C$25:$C2051,$C2051,$K$25:$K2051)-SUMIF($C$25:$C2051,$C2051,$L$25:$L2051),"")</f>
        <v/>
      </c>
      <c r="N2051" s="10"/>
      <c r="O2051" s="10"/>
      <c r="P2051" s="65"/>
      <c r="Q2051" s="10"/>
      <c r="R2051" s="10"/>
      <c r="S2051" s="54" t="str">
        <f t="shared" si="99"/>
        <v/>
      </c>
      <c r="T2051" s="54" t="str">
        <f t="shared" si="100"/>
        <v/>
      </c>
      <c r="U2051" s="58" t="str">
        <f t="shared" si="101"/>
        <v/>
      </c>
      <c r="V2051" s="58">
        <f>IF(AND($B2051&lt;&gt;"",$F2051&lt;&gt;"",$F2051=项目明细账!$C$2),N(V2050)+1,N(V2050))</f>
        <v>0</v>
      </c>
      <c r="W2051" s="63" t="str">
        <f>IF($H2051&lt;&gt;"","项目成本",IFERROR(INDEX(基础资料!$W$4:$W$49,MATCH($I2051,基础资料!$V$4:$V$49,0)),""))</f>
        <v/>
      </c>
      <c r="X2051" s="63" t="str">
        <f>IFERROR(INDEX(基础资料!$R$4:$R$17,MATCH($G2051,基础资料!$Q$4:$Q$17,0)),"")</f>
        <v/>
      </c>
    </row>
    <row r="2052" spans="1:24">
      <c r="A2052" s="58" t="str">
        <f>IF($B2052="","",COUNTA($B$5:$B2052))</f>
        <v/>
      </c>
      <c r="B2052" s="53"/>
      <c r="C2052" s="46"/>
      <c r="D2052" s="63" t="str">
        <f>IFERROR(INDEX(基础资料!$F$4:$F$23,MATCH($C2052,基础资料!$E$4:$E$23,0)),IF($C2052="","","未匹配账户"))</f>
        <v/>
      </c>
      <c r="E2052" s="39"/>
      <c r="F2052" s="10"/>
      <c r="G2052" s="10"/>
      <c r="H2052" s="10"/>
      <c r="I2052" s="10"/>
      <c r="J2052" s="10"/>
      <c r="K2052" s="25"/>
      <c r="L2052" s="25"/>
      <c r="M2052" s="25" t="str">
        <f>IFERROR(VLOOKUP($C2052,$C$5:$M$24,11,0)+SUMIF($C$25:$C2052,$C2052,$K$25:$K2052)-SUMIF($C$25:$C2052,$C2052,$L$25:$L2052),"")</f>
        <v/>
      </c>
      <c r="N2052" s="10"/>
      <c r="O2052" s="10"/>
      <c r="P2052" s="65"/>
      <c r="Q2052" s="10"/>
      <c r="R2052" s="10"/>
      <c r="S2052" s="54" t="str">
        <f t="shared" si="99"/>
        <v/>
      </c>
      <c r="T2052" s="54" t="str">
        <f t="shared" si="100"/>
        <v/>
      </c>
      <c r="U2052" s="58" t="str">
        <f t="shared" si="101"/>
        <v/>
      </c>
      <c r="V2052" s="58">
        <f>IF(AND($B2052&lt;&gt;"",$F2052&lt;&gt;"",$F2052=项目明细账!$C$2),N(V2051)+1,N(V2051))</f>
        <v>0</v>
      </c>
      <c r="W2052" s="63" t="str">
        <f>IF($H2052&lt;&gt;"","项目成本",IFERROR(INDEX(基础资料!$W$4:$W$49,MATCH($I2052,基础资料!$V$4:$V$49,0)),""))</f>
        <v/>
      </c>
      <c r="X2052" s="63" t="str">
        <f>IFERROR(INDEX(基础资料!$R$4:$R$17,MATCH($G2052,基础资料!$Q$4:$Q$17,0)),"")</f>
        <v/>
      </c>
    </row>
    <row r="2053" spans="1:24">
      <c r="A2053" s="58" t="str">
        <f>IF($B2053="","",COUNTA($B$5:$B2053))</f>
        <v/>
      </c>
      <c r="B2053" s="53"/>
      <c r="C2053" s="46"/>
      <c r="D2053" s="63" t="str">
        <f>IFERROR(INDEX(基础资料!$F$4:$F$23,MATCH($C2053,基础资料!$E$4:$E$23,0)),IF($C2053="","","未匹配账户"))</f>
        <v/>
      </c>
      <c r="E2053" s="39"/>
      <c r="F2053" s="10"/>
      <c r="G2053" s="10"/>
      <c r="H2053" s="10"/>
      <c r="I2053" s="10"/>
      <c r="J2053" s="10"/>
      <c r="K2053" s="25"/>
      <c r="L2053" s="25"/>
      <c r="M2053" s="25" t="str">
        <f>IFERROR(VLOOKUP($C2053,$C$5:$M$24,11,0)+SUMIF($C$25:$C2053,$C2053,$K$25:$K2053)-SUMIF($C$25:$C2053,$C2053,$L$25:$L2053),"")</f>
        <v/>
      </c>
      <c r="N2053" s="10"/>
      <c r="O2053" s="10"/>
      <c r="P2053" s="65"/>
      <c r="Q2053" s="10"/>
      <c r="R2053" s="10"/>
      <c r="S2053" s="54" t="str">
        <f t="shared" si="99"/>
        <v/>
      </c>
      <c r="T2053" s="54" t="str">
        <f t="shared" si="100"/>
        <v/>
      </c>
      <c r="U2053" s="58" t="str">
        <f t="shared" si="101"/>
        <v/>
      </c>
      <c r="V2053" s="58">
        <f>IF(AND($B2053&lt;&gt;"",$F2053&lt;&gt;"",$F2053=项目明细账!$C$2),N(V2052)+1,N(V2052))</f>
        <v>0</v>
      </c>
      <c r="W2053" s="63" t="str">
        <f>IF($H2053&lt;&gt;"","项目成本",IFERROR(INDEX(基础资料!$W$4:$W$49,MATCH($I2053,基础资料!$V$4:$V$49,0)),""))</f>
        <v/>
      </c>
      <c r="X2053" s="63" t="str">
        <f>IFERROR(INDEX(基础资料!$R$4:$R$17,MATCH($G2053,基础资料!$Q$4:$Q$17,0)),"")</f>
        <v/>
      </c>
    </row>
    <row r="2054" spans="1:24">
      <c r="A2054" s="58" t="str">
        <f>IF($B2054="","",COUNTA($B$5:$B2054))</f>
        <v/>
      </c>
      <c r="B2054" s="53"/>
      <c r="C2054" s="46"/>
      <c r="D2054" s="63" t="str">
        <f>IFERROR(INDEX(基础资料!$F$4:$F$23,MATCH($C2054,基础资料!$E$4:$E$23,0)),IF($C2054="","","未匹配账户"))</f>
        <v/>
      </c>
      <c r="E2054" s="39"/>
      <c r="F2054" s="10"/>
      <c r="G2054" s="10"/>
      <c r="H2054" s="10"/>
      <c r="I2054" s="10"/>
      <c r="J2054" s="10"/>
      <c r="K2054" s="25"/>
      <c r="L2054" s="25"/>
      <c r="M2054" s="25" t="str">
        <f>IFERROR(VLOOKUP($C2054,$C$5:$M$24,11,0)+SUMIF($C$25:$C2054,$C2054,$K$25:$K2054)-SUMIF($C$25:$C2054,$C2054,$L$25:$L2054),"")</f>
        <v/>
      </c>
      <c r="N2054" s="10"/>
      <c r="O2054" s="10"/>
      <c r="P2054" s="65"/>
      <c r="Q2054" s="10"/>
      <c r="R2054" s="10"/>
      <c r="S2054" s="54" t="str">
        <f t="shared" si="99"/>
        <v/>
      </c>
      <c r="T2054" s="54" t="str">
        <f t="shared" si="100"/>
        <v/>
      </c>
      <c r="U2054" s="58" t="str">
        <f t="shared" si="101"/>
        <v/>
      </c>
      <c r="V2054" s="58">
        <f>IF(AND($B2054&lt;&gt;"",$F2054&lt;&gt;"",$F2054=项目明细账!$C$2),N(V2053)+1,N(V2053))</f>
        <v>0</v>
      </c>
      <c r="W2054" s="63" t="str">
        <f>IF($H2054&lt;&gt;"","项目成本",IFERROR(INDEX(基础资料!$W$4:$W$49,MATCH($I2054,基础资料!$V$4:$V$49,0)),""))</f>
        <v/>
      </c>
      <c r="X2054" s="63" t="str">
        <f>IFERROR(INDEX(基础资料!$R$4:$R$17,MATCH($G2054,基础资料!$Q$4:$Q$17,0)),"")</f>
        <v/>
      </c>
    </row>
    <row r="2055" spans="1:24">
      <c r="A2055" s="58" t="str">
        <f>IF($B2055="","",COUNTA($B$5:$B2055))</f>
        <v/>
      </c>
      <c r="B2055" s="53"/>
      <c r="C2055" s="46"/>
      <c r="D2055" s="63" t="str">
        <f>IFERROR(INDEX(基础资料!$F$4:$F$23,MATCH($C2055,基础资料!$E$4:$E$23,0)),IF($C2055="","","未匹配账户"))</f>
        <v/>
      </c>
      <c r="E2055" s="39"/>
      <c r="F2055" s="10"/>
      <c r="G2055" s="10"/>
      <c r="H2055" s="10"/>
      <c r="I2055" s="10"/>
      <c r="J2055" s="10"/>
      <c r="K2055" s="25"/>
      <c r="L2055" s="25"/>
      <c r="M2055" s="25" t="str">
        <f>IFERROR(VLOOKUP($C2055,$C$5:$M$24,11,0)+SUMIF($C$25:$C2055,$C2055,$K$25:$K2055)-SUMIF($C$25:$C2055,$C2055,$L$25:$L2055),"")</f>
        <v/>
      </c>
      <c r="N2055" s="10"/>
      <c r="O2055" s="10"/>
      <c r="P2055" s="65"/>
      <c r="Q2055" s="10"/>
      <c r="R2055" s="10"/>
      <c r="S2055" s="54" t="str">
        <f t="shared" ref="S2055:S2118" si="102">IF($B2055="","",--TEXT($B2055,"yyyymm"))</f>
        <v/>
      </c>
      <c r="T2055" s="54" t="str">
        <f t="shared" ref="T2055:T2118" si="103">IF($B2055="","",IF($P2055="",$S2055,IFERROR($P2055*1,$P2055)))</f>
        <v/>
      </c>
      <c r="U2055" s="58" t="str">
        <f t="shared" ref="U2055:U2118" si="104">IF($B2055="","",IF($T2055=$S2055,"","跨期"))</f>
        <v/>
      </c>
      <c r="V2055" s="58">
        <f>IF(AND($B2055&lt;&gt;"",$F2055&lt;&gt;"",$F2055=项目明细账!$C$2),N(V2054)+1,N(V2054))</f>
        <v>0</v>
      </c>
      <c r="W2055" s="63" t="str">
        <f>IF($H2055&lt;&gt;"","项目成本",IFERROR(INDEX(基础资料!$W$4:$W$49,MATCH($I2055,基础资料!$V$4:$V$49,0)),""))</f>
        <v/>
      </c>
      <c r="X2055" s="63" t="str">
        <f>IFERROR(INDEX(基础资料!$R$4:$R$17,MATCH($G2055,基础资料!$Q$4:$Q$17,0)),"")</f>
        <v/>
      </c>
    </row>
    <row r="2056" spans="1:24">
      <c r="A2056" s="58" t="str">
        <f>IF($B2056="","",COUNTA($B$5:$B2056))</f>
        <v/>
      </c>
      <c r="B2056" s="53"/>
      <c r="C2056" s="46"/>
      <c r="D2056" s="63" t="str">
        <f>IFERROR(INDEX(基础资料!$F$4:$F$23,MATCH($C2056,基础资料!$E$4:$E$23,0)),IF($C2056="","","未匹配账户"))</f>
        <v/>
      </c>
      <c r="E2056" s="39"/>
      <c r="F2056" s="10"/>
      <c r="G2056" s="10"/>
      <c r="H2056" s="10"/>
      <c r="I2056" s="10"/>
      <c r="J2056" s="10"/>
      <c r="K2056" s="25"/>
      <c r="L2056" s="25"/>
      <c r="M2056" s="25" t="str">
        <f>IFERROR(VLOOKUP($C2056,$C$5:$M$24,11,0)+SUMIF($C$25:$C2056,$C2056,$K$25:$K2056)-SUMIF($C$25:$C2056,$C2056,$L$25:$L2056),"")</f>
        <v/>
      </c>
      <c r="N2056" s="10"/>
      <c r="O2056" s="10"/>
      <c r="P2056" s="65"/>
      <c r="Q2056" s="10"/>
      <c r="R2056" s="10"/>
      <c r="S2056" s="54" t="str">
        <f t="shared" si="102"/>
        <v/>
      </c>
      <c r="T2056" s="54" t="str">
        <f t="shared" si="103"/>
        <v/>
      </c>
      <c r="U2056" s="58" t="str">
        <f t="shared" si="104"/>
        <v/>
      </c>
      <c r="V2056" s="58">
        <f>IF(AND($B2056&lt;&gt;"",$F2056&lt;&gt;"",$F2056=项目明细账!$C$2),N(V2055)+1,N(V2055))</f>
        <v>0</v>
      </c>
      <c r="W2056" s="63" t="str">
        <f>IF($H2056&lt;&gt;"","项目成本",IFERROR(INDEX(基础资料!$W$4:$W$49,MATCH($I2056,基础资料!$V$4:$V$49,0)),""))</f>
        <v/>
      </c>
      <c r="X2056" s="63" t="str">
        <f>IFERROR(INDEX(基础资料!$R$4:$R$17,MATCH($G2056,基础资料!$Q$4:$Q$17,0)),"")</f>
        <v/>
      </c>
    </row>
    <row r="2057" spans="1:24">
      <c r="A2057" s="58" t="str">
        <f>IF($B2057="","",COUNTA($B$5:$B2057))</f>
        <v/>
      </c>
      <c r="B2057" s="53"/>
      <c r="C2057" s="46"/>
      <c r="D2057" s="63" t="str">
        <f>IFERROR(INDEX(基础资料!$F$4:$F$23,MATCH($C2057,基础资料!$E$4:$E$23,0)),IF($C2057="","","未匹配账户"))</f>
        <v/>
      </c>
      <c r="E2057" s="39"/>
      <c r="F2057" s="10"/>
      <c r="G2057" s="10"/>
      <c r="H2057" s="10"/>
      <c r="I2057" s="10"/>
      <c r="J2057" s="10"/>
      <c r="K2057" s="25"/>
      <c r="L2057" s="25"/>
      <c r="M2057" s="25" t="str">
        <f>IFERROR(VLOOKUP($C2057,$C$5:$M$24,11,0)+SUMIF($C$25:$C2057,$C2057,$K$25:$K2057)-SUMIF($C$25:$C2057,$C2057,$L$25:$L2057),"")</f>
        <v/>
      </c>
      <c r="N2057" s="10"/>
      <c r="O2057" s="10"/>
      <c r="P2057" s="65"/>
      <c r="Q2057" s="10"/>
      <c r="R2057" s="10"/>
      <c r="S2057" s="54" t="str">
        <f t="shared" si="102"/>
        <v/>
      </c>
      <c r="T2057" s="54" t="str">
        <f t="shared" si="103"/>
        <v/>
      </c>
      <c r="U2057" s="58" t="str">
        <f t="shared" si="104"/>
        <v/>
      </c>
      <c r="V2057" s="58">
        <f>IF(AND($B2057&lt;&gt;"",$F2057&lt;&gt;"",$F2057=项目明细账!$C$2),N(V2056)+1,N(V2056))</f>
        <v>0</v>
      </c>
      <c r="W2057" s="63" t="str">
        <f>IF($H2057&lt;&gt;"","项目成本",IFERROR(INDEX(基础资料!$W$4:$W$49,MATCH($I2057,基础资料!$V$4:$V$49,0)),""))</f>
        <v/>
      </c>
      <c r="X2057" s="63" t="str">
        <f>IFERROR(INDEX(基础资料!$R$4:$R$17,MATCH($G2057,基础资料!$Q$4:$Q$17,0)),"")</f>
        <v/>
      </c>
    </row>
    <row r="2058" spans="1:24">
      <c r="A2058" s="58" t="str">
        <f>IF($B2058="","",COUNTA($B$5:$B2058))</f>
        <v/>
      </c>
      <c r="B2058" s="53"/>
      <c r="C2058" s="46"/>
      <c r="D2058" s="63" t="str">
        <f>IFERROR(INDEX(基础资料!$F$4:$F$23,MATCH($C2058,基础资料!$E$4:$E$23,0)),IF($C2058="","","未匹配账户"))</f>
        <v/>
      </c>
      <c r="E2058" s="39"/>
      <c r="F2058" s="10"/>
      <c r="G2058" s="10"/>
      <c r="H2058" s="10"/>
      <c r="I2058" s="10"/>
      <c r="J2058" s="10"/>
      <c r="K2058" s="25"/>
      <c r="L2058" s="25"/>
      <c r="M2058" s="25" t="str">
        <f>IFERROR(VLOOKUP($C2058,$C$5:$M$24,11,0)+SUMIF($C$25:$C2058,$C2058,$K$25:$K2058)-SUMIF($C$25:$C2058,$C2058,$L$25:$L2058),"")</f>
        <v/>
      </c>
      <c r="N2058" s="10"/>
      <c r="O2058" s="10"/>
      <c r="P2058" s="65"/>
      <c r="Q2058" s="10"/>
      <c r="R2058" s="10"/>
      <c r="S2058" s="54" t="str">
        <f t="shared" si="102"/>
        <v/>
      </c>
      <c r="T2058" s="54" t="str">
        <f t="shared" si="103"/>
        <v/>
      </c>
      <c r="U2058" s="58" t="str">
        <f t="shared" si="104"/>
        <v/>
      </c>
      <c r="V2058" s="58">
        <f>IF(AND($B2058&lt;&gt;"",$F2058&lt;&gt;"",$F2058=项目明细账!$C$2),N(V2057)+1,N(V2057))</f>
        <v>0</v>
      </c>
      <c r="W2058" s="63" t="str">
        <f>IF($H2058&lt;&gt;"","项目成本",IFERROR(INDEX(基础资料!$W$4:$W$49,MATCH($I2058,基础资料!$V$4:$V$49,0)),""))</f>
        <v/>
      </c>
      <c r="X2058" s="63" t="str">
        <f>IFERROR(INDEX(基础资料!$R$4:$R$17,MATCH($G2058,基础资料!$Q$4:$Q$17,0)),"")</f>
        <v/>
      </c>
    </row>
    <row r="2059" spans="1:24">
      <c r="A2059" s="58" t="str">
        <f>IF($B2059="","",COUNTA($B$5:$B2059))</f>
        <v/>
      </c>
      <c r="B2059" s="53"/>
      <c r="C2059" s="46"/>
      <c r="D2059" s="63" t="str">
        <f>IFERROR(INDEX(基础资料!$F$4:$F$23,MATCH($C2059,基础资料!$E$4:$E$23,0)),IF($C2059="","","未匹配账户"))</f>
        <v/>
      </c>
      <c r="E2059" s="39"/>
      <c r="F2059" s="10"/>
      <c r="G2059" s="10"/>
      <c r="H2059" s="10"/>
      <c r="I2059" s="10"/>
      <c r="J2059" s="10"/>
      <c r="K2059" s="25"/>
      <c r="L2059" s="25"/>
      <c r="M2059" s="25" t="str">
        <f>IFERROR(VLOOKUP($C2059,$C$5:$M$24,11,0)+SUMIF($C$25:$C2059,$C2059,$K$25:$K2059)-SUMIF($C$25:$C2059,$C2059,$L$25:$L2059),"")</f>
        <v/>
      </c>
      <c r="N2059" s="10"/>
      <c r="O2059" s="10"/>
      <c r="P2059" s="65"/>
      <c r="Q2059" s="10"/>
      <c r="R2059" s="10"/>
      <c r="S2059" s="54" t="str">
        <f t="shared" si="102"/>
        <v/>
      </c>
      <c r="T2059" s="54" t="str">
        <f t="shared" si="103"/>
        <v/>
      </c>
      <c r="U2059" s="58" t="str">
        <f t="shared" si="104"/>
        <v/>
      </c>
      <c r="V2059" s="58">
        <f>IF(AND($B2059&lt;&gt;"",$F2059&lt;&gt;"",$F2059=项目明细账!$C$2),N(V2058)+1,N(V2058))</f>
        <v>0</v>
      </c>
      <c r="W2059" s="63" t="str">
        <f>IF($H2059&lt;&gt;"","项目成本",IFERROR(INDEX(基础资料!$W$4:$W$49,MATCH($I2059,基础资料!$V$4:$V$49,0)),""))</f>
        <v/>
      </c>
      <c r="X2059" s="63" t="str">
        <f>IFERROR(INDEX(基础资料!$R$4:$R$17,MATCH($G2059,基础资料!$Q$4:$Q$17,0)),"")</f>
        <v/>
      </c>
    </row>
    <row r="2060" spans="1:24">
      <c r="A2060" s="58" t="str">
        <f>IF($B2060="","",COUNTA($B$5:$B2060))</f>
        <v/>
      </c>
      <c r="B2060" s="53"/>
      <c r="C2060" s="46"/>
      <c r="D2060" s="63" t="str">
        <f>IFERROR(INDEX(基础资料!$F$4:$F$23,MATCH($C2060,基础资料!$E$4:$E$23,0)),IF($C2060="","","未匹配账户"))</f>
        <v/>
      </c>
      <c r="E2060" s="39"/>
      <c r="F2060" s="10"/>
      <c r="G2060" s="10"/>
      <c r="H2060" s="10"/>
      <c r="I2060" s="10"/>
      <c r="J2060" s="10"/>
      <c r="K2060" s="25"/>
      <c r="L2060" s="25"/>
      <c r="M2060" s="25" t="str">
        <f>IFERROR(VLOOKUP($C2060,$C$5:$M$24,11,0)+SUMIF($C$25:$C2060,$C2060,$K$25:$K2060)-SUMIF($C$25:$C2060,$C2060,$L$25:$L2060),"")</f>
        <v/>
      </c>
      <c r="N2060" s="10"/>
      <c r="O2060" s="10"/>
      <c r="P2060" s="65"/>
      <c r="Q2060" s="10"/>
      <c r="R2060" s="10"/>
      <c r="S2060" s="54" t="str">
        <f t="shared" si="102"/>
        <v/>
      </c>
      <c r="T2060" s="54" t="str">
        <f t="shared" si="103"/>
        <v/>
      </c>
      <c r="U2060" s="58" t="str">
        <f t="shared" si="104"/>
        <v/>
      </c>
      <c r="V2060" s="58">
        <f>IF(AND($B2060&lt;&gt;"",$F2060&lt;&gt;"",$F2060=项目明细账!$C$2),N(V2059)+1,N(V2059))</f>
        <v>0</v>
      </c>
      <c r="W2060" s="63" t="str">
        <f>IF($H2060&lt;&gt;"","项目成本",IFERROR(INDEX(基础资料!$W$4:$W$49,MATCH($I2060,基础资料!$V$4:$V$49,0)),""))</f>
        <v/>
      </c>
      <c r="X2060" s="63" t="str">
        <f>IFERROR(INDEX(基础资料!$R$4:$R$17,MATCH($G2060,基础资料!$Q$4:$Q$17,0)),"")</f>
        <v/>
      </c>
    </row>
    <row r="2061" spans="1:24">
      <c r="A2061" s="58" t="str">
        <f>IF($B2061="","",COUNTA($B$5:$B2061))</f>
        <v/>
      </c>
      <c r="B2061" s="53"/>
      <c r="C2061" s="46"/>
      <c r="D2061" s="63" t="str">
        <f>IFERROR(INDEX(基础资料!$F$4:$F$23,MATCH($C2061,基础资料!$E$4:$E$23,0)),IF($C2061="","","未匹配账户"))</f>
        <v/>
      </c>
      <c r="E2061" s="39"/>
      <c r="F2061" s="10"/>
      <c r="G2061" s="10"/>
      <c r="H2061" s="10"/>
      <c r="I2061" s="10"/>
      <c r="J2061" s="10"/>
      <c r="K2061" s="25"/>
      <c r="L2061" s="25"/>
      <c r="M2061" s="25" t="str">
        <f>IFERROR(VLOOKUP($C2061,$C$5:$M$24,11,0)+SUMIF($C$25:$C2061,$C2061,$K$25:$K2061)-SUMIF($C$25:$C2061,$C2061,$L$25:$L2061),"")</f>
        <v/>
      </c>
      <c r="N2061" s="10"/>
      <c r="O2061" s="10"/>
      <c r="P2061" s="65"/>
      <c r="Q2061" s="10"/>
      <c r="R2061" s="10"/>
      <c r="S2061" s="54" t="str">
        <f t="shared" si="102"/>
        <v/>
      </c>
      <c r="T2061" s="54" t="str">
        <f t="shared" si="103"/>
        <v/>
      </c>
      <c r="U2061" s="58" t="str">
        <f t="shared" si="104"/>
        <v/>
      </c>
      <c r="V2061" s="58">
        <f>IF(AND($B2061&lt;&gt;"",$F2061&lt;&gt;"",$F2061=项目明细账!$C$2),N(V2060)+1,N(V2060))</f>
        <v>0</v>
      </c>
      <c r="W2061" s="63" t="str">
        <f>IF($H2061&lt;&gt;"","项目成本",IFERROR(INDEX(基础资料!$W$4:$W$49,MATCH($I2061,基础资料!$V$4:$V$49,0)),""))</f>
        <v/>
      </c>
      <c r="X2061" s="63" t="str">
        <f>IFERROR(INDEX(基础资料!$R$4:$R$17,MATCH($G2061,基础资料!$Q$4:$Q$17,0)),"")</f>
        <v/>
      </c>
    </row>
    <row r="2062" spans="1:24">
      <c r="A2062" s="58" t="str">
        <f>IF($B2062="","",COUNTA($B$5:$B2062))</f>
        <v/>
      </c>
      <c r="B2062" s="53"/>
      <c r="C2062" s="46"/>
      <c r="D2062" s="63" t="str">
        <f>IFERROR(INDEX(基础资料!$F$4:$F$23,MATCH($C2062,基础资料!$E$4:$E$23,0)),IF($C2062="","","未匹配账户"))</f>
        <v/>
      </c>
      <c r="E2062" s="39"/>
      <c r="F2062" s="10"/>
      <c r="G2062" s="10"/>
      <c r="H2062" s="10"/>
      <c r="I2062" s="10"/>
      <c r="J2062" s="10"/>
      <c r="K2062" s="25"/>
      <c r="L2062" s="25"/>
      <c r="M2062" s="25" t="str">
        <f>IFERROR(VLOOKUP($C2062,$C$5:$M$24,11,0)+SUMIF($C$25:$C2062,$C2062,$K$25:$K2062)-SUMIF($C$25:$C2062,$C2062,$L$25:$L2062),"")</f>
        <v/>
      </c>
      <c r="N2062" s="10"/>
      <c r="O2062" s="10"/>
      <c r="P2062" s="65"/>
      <c r="Q2062" s="10"/>
      <c r="R2062" s="10"/>
      <c r="S2062" s="54" t="str">
        <f t="shared" si="102"/>
        <v/>
      </c>
      <c r="T2062" s="54" t="str">
        <f t="shared" si="103"/>
        <v/>
      </c>
      <c r="U2062" s="58" t="str">
        <f t="shared" si="104"/>
        <v/>
      </c>
      <c r="V2062" s="58">
        <f>IF(AND($B2062&lt;&gt;"",$F2062&lt;&gt;"",$F2062=项目明细账!$C$2),N(V2061)+1,N(V2061))</f>
        <v>0</v>
      </c>
      <c r="W2062" s="63" t="str">
        <f>IF($H2062&lt;&gt;"","项目成本",IFERROR(INDEX(基础资料!$W$4:$W$49,MATCH($I2062,基础资料!$V$4:$V$49,0)),""))</f>
        <v/>
      </c>
      <c r="X2062" s="63" t="str">
        <f>IFERROR(INDEX(基础资料!$R$4:$R$17,MATCH($G2062,基础资料!$Q$4:$Q$17,0)),"")</f>
        <v/>
      </c>
    </row>
    <row r="2063" spans="1:24">
      <c r="A2063" s="58" t="str">
        <f>IF($B2063="","",COUNTA($B$5:$B2063))</f>
        <v/>
      </c>
      <c r="B2063" s="53"/>
      <c r="C2063" s="46"/>
      <c r="D2063" s="63" t="str">
        <f>IFERROR(INDEX(基础资料!$F$4:$F$23,MATCH($C2063,基础资料!$E$4:$E$23,0)),IF($C2063="","","未匹配账户"))</f>
        <v/>
      </c>
      <c r="E2063" s="39"/>
      <c r="F2063" s="10"/>
      <c r="G2063" s="10"/>
      <c r="H2063" s="10"/>
      <c r="I2063" s="10"/>
      <c r="J2063" s="10"/>
      <c r="K2063" s="25"/>
      <c r="L2063" s="25"/>
      <c r="M2063" s="25" t="str">
        <f>IFERROR(VLOOKUP($C2063,$C$5:$M$24,11,0)+SUMIF($C$25:$C2063,$C2063,$K$25:$K2063)-SUMIF($C$25:$C2063,$C2063,$L$25:$L2063),"")</f>
        <v/>
      </c>
      <c r="N2063" s="10"/>
      <c r="O2063" s="10"/>
      <c r="P2063" s="65"/>
      <c r="Q2063" s="10"/>
      <c r="R2063" s="10"/>
      <c r="S2063" s="54" t="str">
        <f t="shared" si="102"/>
        <v/>
      </c>
      <c r="T2063" s="54" t="str">
        <f t="shared" si="103"/>
        <v/>
      </c>
      <c r="U2063" s="58" t="str">
        <f t="shared" si="104"/>
        <v/>
      </c>
      <c r="V2063" s="58">
        <f>IF(AND($B2063&lt;&gt;"",$F2063&lt;&gt;"",$F2063=项目明细账!$C$2),N(V2062)+1,N(V2062))</f>
        <v>0</v>
      </c>
      <c r="W2063" s="63" t="str">
        <f>IF($H2063&lt;&gt;"","项目成本",IFERROR(INDEX(基础资料!$W$4:$W$49,MATCH($I2063,基础资料!$V$4:$V$49,0)),""))</f>
        <v/>
      </c>
      <c r="X2063" s="63" t="str">
        <f>IFERROR(INDEX(基础资料!$R$4:$R$17,MATCH($G2063,基础资料!$Q$4:$Q$17,0)),"")</f>
        <v/>
      </c>
    </row>
    <row r="2064" spans="1:24">
      <c r="A2064" s="58" t="str">
        <f>IF($B2064="","",COUNTA($B$5:$B2064))</f>
        <v/>
      </c>
      <c r="B2064" s="53"/>
      <c r="C2064" s="46"/>
      <c r="D2064" s="63" t="str">
        <f>IFERROR(INDEX(基础资料!$F$4:$F$23,MATCH($C2064,基础资料!$E$4:$E$23,0)),IF($C2064="","","未匹配账户"))</f>
        <v/>
      </c>
      <c r="E2064" s="39"/>
      <c r="F2064" s="10"/>
      <c r="G2064" s="10"/>
      <c r="H2064" s="10"/>
      <c r="I2064" s="10"/>
      <c r="J2064" s="10"/>
      <c r="K2064" s="25"/>
      <c r="L2064" s="25"/>
      <c r="M2064" s="25" t="str">
        <f>IFERROR(VLOOKUP($C2064,$C$5:$M$24,11,0)+SUMIF($C$25:$C2064,$C2064,$K$25:$K2064)-SUMIF($C$25:$C2064,$C2064,$L$25:$L2064),"")</f>
        <v/>
      </c>
      <c r="N2064" s="10"/>
      <c r="O2064" s="10"/>
      <c r="P2064" s="65"/>
      <c r="Q2064" s="10"/>
      <c r="R2064" s="10"/>
      <c r="S2064" s="54" t="str">
        <f t="shared" si="102"/>
        <v/>
      </c>
      <c r="T2064" s="54" t="str">
        <f t="shared" si="103"/>
        <v/>
      </c>
      <c r="U2064" s="58" t="str">
        <f t="shared" si="104"/>
        <v/>
      </c>
      <c r="V2064" s="58">
        <f>IF(AND($B2064&lt;&gt;"",$F2064&lt;&gt;"",$F2064=项目明细账!$C$2),N(V2063)+1,N(V2063))</f>
        <v>0</v>
      </c>
      <c r="W2064" s="63" t="str">
        <f>IF($H2064&lt;&gt;"","项目成本",IFERROR(INDEX(基础资料!$W$4:$W$49,MATCH($I2064,基础资料!$V$4:$V$49,0)),""))</f>
        <v/>
      </c>
      <c r="X2064" s="63" t="str">
        <f>IFERROR(INDEX(基础资料!$R$4:$R$17,MATCH($G2064,基础资料!$Q$4:$Q$17,0)),"")</f>
        <v/>
      </c>
    </row>
    <row r="2065" spans="1:24">
      <c r="A2065" s="58" t="str">
        <f>IF($B2065="","",COUNTA($B$5:$B2065))</f>
        <v/>
      </c>
      <c r="B2065" s="53"/>
      <c r="C2065" s="46"/>
      <c r="D2065" s="63" t="str">
        <f>IFERROR(INDEX(基础资料!$F$4:$F$23,MATCH($C2065,基础资料!$E$4:$E$23,0)),IF($C2065="","","未匹配账户"))</f>
        <v/>
      </c>
      <c r="E2065" s="39"/>
      <c r="F2065" s="10"/>
      <c r="G2065" s="10"/>
      <c r="H2065" s="10"/>
      <c r="I2065" s="10"/>
      <c r="J2065" s="10"/>
      <c r="K2065" s="25"/>
      <c r="L2065" s="25"/>
      <c r="M2065" s="25" t="str">
        <f>IFERROR(VLOOKUP($C2065,$C$5:$M$24,11,0)+SUMIF($C$25:$C2065,$C2065,$K$25:$K2065)-SUMIF($C$25:$C2065,$C2065,$L$25:$L2065),"")</f>
        <v/>
      </c>
      <c r="N2065" s="10"/>
      <c r="O2065" s="10"/>
      <c r="P2065" s="65"/>
      <c r="Q2065" s="10"/>
      <c r="R2065" s="10"/>
      <c r="S2065" s="54" t="str">
        <f t="shared" si="102"/>
        <v/>
      </c>
      <c r="T2065" s="54" t="str">
        <f t="shared" si="103"/>
        <v/>
      </c>
      <c r="U2065" s="58" t="str">
        <f t="shared" si="104"/>
        <v/>
      </c>
      <c r="V2065" s="58">
        <f>IF(AND($B2065&lt;&gt;"",$F2065&lt;&gt;"",$F2065=项目明细账!$C$2),N(V2064)+1,N(V2064))</f>
        <v>0</v>
      </c>
      <c r="W2065" s="63" t="str">
        <f>IF($H2065&lt;&gt;"","项目成本",IFERROR(INDEX(基础资料!$W$4:$W$49,MATCH($I2065,基础资料!$V$4:$V$49,0)),""))</f>
        <v/>
      </c>
      <c r="X2065" s="63" t="str">
        <f>IFERROR(INDEX(基础资料!$R$4:$R$17,MATCH($G2065,基础资料!$Q$4:$Q$17,0)),"")</f>
        <v/>
      </c>
    </row>
    <row r="2066" spans="1:24">
      <c r="A2066" s="58" t="str">
        <f>IF($B2066="","",COUNTA($B$5:$B2066))</f>
        <v/>
      </c>
      <c r="B2066" s="53"/>
      <c r="C2066" s="46"/>
      <c r="D2066" s="63" t="str">
        <f>IFERROR(INDEX(基础资料!$F$4:$F$23,MATCH($C2066,基础资料!$E$4:$E$23,0)),IF($C2066="","","未匹配账户"))</f>
        <v/>
      </c>
      <c r="E2066" s="39"/>
      <c r="F2066" s="10"/>
      <c r="G2066" s="10"/>
      <c r="H2066" s="10"/>
      <c r="I2066" s="10"/>
      <c r="J2066" s="10"/>
      <c r="K2066" s="25"/>
      <c r="L2066" s="25"/>
      <c r="M2066" s="25" t="str">
        <f>IFERROR(VLOOKUP($C2066,$C$5:$M$24,11,0)+SUMIF($C$25:$C2066,$C2066,$K$25:$K2066)-SUMIF($C$25:$C2066,$C2066,$L$25:$L2066),"")</f>
        <v/>
      </c>
      <c r="N2066" s="10"/>
      <c r="O2066" s="10"/>
      <c r="P2066" s="65"/>
      <c r="Q2066" s="10"/>
      <c r="R2066" s="10"/>
      <c r="S2066" s="54" t="str">
        <f t="shared" si="102"/>
        <v/>
      </c>
      <c r="T2066" s="54" t="str">
        <f t="shared" si="103"/>
        <v/>
      </c>
      <c r="U2066" s="58" t="str">
        <f t="shared" si="104"/>
        <v/>
      </c>
      <c r="V2066" s="58">
        <f>IF(AND($B2066&lt;&gt;"",$F2066&lt;&gt;"",$F2066=项目明细账!$C$2),N(V2065)+1,N(V2065))</f>
        <v>0</v>
      </c>
      <c r="W2066" s="63" t="str">
        <f>IF($H2066&lt;&gt;"","项目成本",IFERROR(INDEX(基础资料!$W$4:$W$49,MATCH($I2066,基础资料!$V$4:$V$49,0)),""))</f>
        <v/>
      </c>
      <c r="X2066" s="63" t="str">
        <f>IFERROR(INDEX(基础资料!$R$4:$R$17,MATCH($G2066,基础资料!$Q$4:$Q$17,0)),"")</f>
        <v/>
      </c>
    </row>
    <row r="2067" spans="1:24">
      <c r="A2067" s="58" t="str">
        <f>IF($B2067="","",COUNTA($B$5:$B2067))</f>
        <v/>
      </c>
      <c r="B2067" s="53"/>
      <c r="C2067" s="46"/>
      <c r="D2067" s="63" t="str">
        <f>IFERROR(INDEX(基础资料!$F$4:$F$23,MATCH($C2067,基础资料!$E$4:$E$23,0)),IF($C2067="","","未匹配账户"))</f>
        <v/>
      </c>
      <c r="E2067" s="39"/>
      <c r="F2067" s="10"/>
      <c r="G2067" s="10"/>
      <c r="H2067" s="10"/>
      <c r="I2067" s="10"/>
      <c r="J2067" s="10"/>
      <c r="K2067" s="25"/>
      <c r="L2067" s="25"/>
      <c r="M2067" s="25" t="str">
        <f>IFERROR(VLOOKUP($C2067,$C$5:$M$24,11,0)+SUMIF($C$25:$C2067,$C2067,$K$25:$K2067)-SUMIF($C$25:$C2067,$C2067,$L$25:$L2067),"")</f>
        <v/>
      </c>
      <c r="N2067" s="10"/>
      <c r="O2067" s="10"/>
      <c r="P2067" s="65"/>
      <c r="Q2067" s="10"/>
      <c r="R2067" s="10"/>
      <c r="S2067" s="54" t="str">
        <f t="shared" si="102"/>
        <v/>
      </c>
      <c r="T2067" s="54" t="str">
        <f t="shared" si="103"/>
        <v/>
      </c>
      <c r="U2067" s="58" t="str">
        <f t="shared" si="104"/>
        <v/>
      </c>
      <c r="V2067" s="58">
        <f>IF(AND($B2067&lt;&gt;"",$F2067&lt;&gt;"",$F2067=项目明细账!$C$2),N(V2066)+1,N(V2066))</f>
        <v>0</v>
      </c>
      <c r="W2067" s="63" t="str">
        <f>IF($H2067&lt;&gt;"","项目成本",IFERROR(INDEX(基础资料!$W$4:$W$49,MATCH($I2067,基础资料!$V$4:$V$49,0)),""))</f>
        <v/>
      </c>
      <c r="X2067" s="63" t="str">
        <f>IFERROR(INDEX(基础资料!$R$4:$R$17,MATCH($G2067,基础资料!$Q$4:$Q$17,0)),"")</f>
        <v/>
      </c>
    </row>
    <row r="2068" spans="1:24">
      <c r="A2068" s="58" t="str">
        <f>IF($B2068="","",COUNTA($B$5:$B2068))</f>
        <v/>
      </c>
      <c r="B2068" s="53"/>
      <c r="C2068" s="46"/>
      <c r="D2068" s="63" t="str">
        <f>IFERROR(INDEX(基础资料!$F$4:$F$23,MATCH($C2068,基础资料!$E$4:$E$23,0)),IF($C2068="","","未匹配账户"))</f>
        <v/>
      </c>
      <c r="E2068" s="39"/>
      <c r="F2068" s="10"/>
      <c r="G2068" s="10"/>
      <c r="H2068" s="10"/>
      <c r="I2068" s="10"/>
      <c r="J2068" s="10"/>
      <c r="K2068" s="25"/>
      <c r="L2068" s="25"/>
      <c r="M2068" s="25" t="str">
        <f>IFERROR(VLOOKUP($C2068,$C$5:$M$24,11,0)+SUMIF($C$25:$C2068,$C2068,$K$25:$K2068)-SUMIF($C$25:$C2068,$C2068,$L$25:$L2068),"")</f>
        <v/>
      </c>
      <c r="N2068" s="10"/>
      <c r="O2068" s="10"/>
      <c r="P2068" s="65"/>
      <c r="Q2068" s="10"/>
      <c r="R2068" s="10"/>
      <c r="S2068" s="54" t="str">
        <f t="shared" si="102"/>
        <v/>
      </c>
      <c r="T2068" s="54" t="str">
        <f t="shared" si="103"/>
        <v/>
      </c>
      <c r="U2068" s="58" t="str">
        <f t="shared" si="104"/>
        <v/>
      </c>
      <c r="V2068" s="58">
        <f>IF(AND($B2068&lt;&gt;"",$F2068&lt;&gt;"",$F2068=项目明细账!$C$2),N(V2067)+1,N(V2067))</f>
        <v>0</v>
      </c>
      <c r="W2068" s="63" t="str">
        <f>IF($H2068&lt;&gt;"","项目成本",IFERROR(INDEX(基础资料!$W$4:$W$49,MATCH($I2068,基础资料!$V$4:$V$49,0)),""))</f>
        <v/>
      </c>
      <c r="X2068" s="63" t="str">
        <f>IFERROR(INDEX(基础资料!$R$4:$R$17,MATCH($G2068,基础资料!$Q$4:$Q$17,0)),"")</f>
        <v/>
      </c>
    </row>
    <row r="2069" spans="1:24">
      <c r="A2069" s="58" t="str">
        <f>IF($B2069="","",COUNTA($B$5:$B2069))</f>
        <v/>
      </c>
      <c r="B2069" s="53"/>
      <c r="C2069" s="46"/>
      <c r="D2069" s="63" t="str">
        <f>IFERROR(INDEX(基础资料!$F$4:$F$23,MATCH($C2069,基础资料!$E$4:$E$23,0)),IF($C2069="","","未匹配账户"))</f>
        <v/>
      </c>
      <c r="E2069" s="39"/>
      <c r="F2069" s="10"/>
      <c r="G2069" s="10"/>
      <c r="H2069" s="10"/>
      <c r="I2069" s="10"/>
      <c r="J2069" s="10"/>
      <c r="K2069" s="25"/>
      <c r="L2069" s="25"/>
      <c r="M2069" s="25" t="str">
        <f>IFERROR(VLOOKUP($C2069,$C$5:$M$24,11,0)+SUMIF($C$25:$C2069,$C2069,$K$25:$K2069)-SUMIF($C$25:$C2069,$C2069,$L$25:$L2069),"")</f>
        <v/>
      </c>
      <c r="N2069" s="10"/>
      <c r="O2069" s="10"/>
      <c r="P2069" s="65"/>
      <c r="Q2069" s="10"/>
      <c r="R2069" s="10"/>
      <c r="S2069" s="54" t="str">
        <f t="shared" si="102"/>
        <v/>
      </c>
      <c r="T2069" s="54" t="str">
        <f t="shared" si="103"/>
        <v/>
      </c>
      <c r="U2069" s="58" t="str">
        <f t="shared" si="104"/>
        <v/>
      </c>
      <c r="V2069" s="58">
        <f>IF(AND($B2069&lt;&gt;"",$F2069&lt;&gt;"",$F2069=项目明细账!$C$2),N(V2068)+1,N(V2068))</f>
        <v>0</v>
      </c>
      <c r="W2069" s="63" t="str">
        <f>IF($H2069&lt;&gt;"","项目成本",IFERROR(INDEX(基础资料!$W$4:$W$49,MATCH($I2069,基础资料!$V$4:$V$49,0)),""))</f>
        <v/>
      </c>
      <c r="X2069" s="63" t="str">
        <f>IFERROR(INDEX(基础资料!$R$4:$R$17,MATCH($G2069,基础资料!$Q$4:$Q$17,0)),"")</f>
        <v/>
      </c>
    </row>
    <row r="2070" spans="1:24">
      <c r="A2070" s="58" t="str">
        <f>IF($B2070="","",COUNTA($B$5:$B2070))</f>
        <v/>
      </c>
      <c r="B2070" s="53"/>
      <c r="C2070" s="46"/>
      <c r="D2070" s="63" t="str">
        <f>IFERROR(INDEX(基础资料!$F$4:$F$23,MATCH($C2070,基础资料!$E$4:$E$23,0)),IF($C2070="","","未匹配账户"))</f>
        <v/>
      </c>
      <c r="E2070" s="39"/>
      <c r="F2070" s="10"/>
      <c r="G2070" s="10"/>
      <c r="H2070" s="10"/>
      <c r="I2070" s="10"/>
      <c r="J2070" s="10"/>
      <c r="K2070" s="25"/>
      <c r="L2070" s="25"/>
      <c r="M2070" s="25" t="str">
        <f>IFERROR(VLOOKUP($C2070,$C$5:$M$24,11,0)+SUMIF($C$25:$C2070,$C2070,$K$25:$K2070)-SUMIF($C$25:$C2070,$C2070,$L$25:$L2070),"")</f>
        <v/>
      </c>
      <c r="N2070" s="10"/>
      <c r="O2070" s="10"/>
      <c r="P2070" s="65"/>
      <c r="Q2070" s="10"/>
      <c r="R2070" s="10"/>
      <c r="S2070" s="54" t="str">
        <f t="shared" si="102"/>
        <v/>
      </c>
      <c r="T2070" s="54" t="str">
        <f t="shared" si="103"/>
        <v/>
      </c>
      <c r="U2070" s="58" t="str">
        <f t="shared" si="104"/>
        <v/>
      </c>
      <c r="V2070" s="58">
        <f>IF(AND($B2070&lt;&gt;"",$F2070&lt;&gt;"",$F2070=项目明细账!$C$2),N(V2069)+1,N(V2069))</f>
        <v>0</v>
      </c>
      <c r="W2070" s="63" t="str">
        <f>IF($H2070&lt;&gt;"","项目成本",IFERROR(INDEX(基础资料!$W$4:$W$49,MATCH($I2070,基础资料!$V$4:$V$49,0)),""))</f>
        <v/>
      </c>
      <c r="X2070" s="63" t="str">
        <f>IFERROR(INDEX(基础资料!$R$4:$R$17,MATCH($G2070,基础资料!$Q$4:$Q$17,0)),"")</f>
        <v/>
      </c>
    </row>
    <row r="2071" spans="1:24">
      <c r="A2071" s="58" t="str">
        <f>IF($B2071="","",COUNTA($B$5:$B2071))</f>
        <v/>
      </c>
      <c r="B2071" s="53"/>
      <c r="C2071" s="46"/>
      <c r="D2071" s="63" t="str">
        <f>IFERROR(INDEX(基础资料!$F$4:$F$23,MATCH($C2071,基础资料!$E$4:$E$23,0)),IF($C2071="","","未匹配账户"))</f>
        <v/>
      </c>
      <c r="E2071" s="39"/>
      <c r="F2071" s="10"/>
      <c r="G2071" s="10"/>
      <c r="H2071" s="10"/>
      <c r="I2071" s="10"/>
      <c r="J2071" s="10"/>
      <c r="K2071" s="25"/>
      <c r="L2071" s="25"/>
      <c r="M2071" s="25" t="str">
        <f>IFERROR(VLOOKUP($C2071,$C$5:$M$24,11,0)+SUMIF($C$25:$C2071,$C2071,$K$25:$K2071)-SUMIF($C$25:$C2071,$C2071,$L$25:$L2071),"")</f>
        <v/>
      </c>
      <c r="N2071" s="10"/>
      <c r="O2071" s="10"/>
      <c r="P2071" s="65"/>
      <c r="Q2071" s="10"/>
      <c r="R2071" s="10"/>
      <c r="S2071" s="54" t="str">
        <f t="shared" si="102"/>
        <v/>
      </c>
      <c r="T2071" s="54" t="str">
        <f t="shared" si="103"/>
        <v/>
      </c>
      <c r="U2071" s="58" t="str">
        <f t="shared" si="104"/>
        <v/>
      </c>
      <c r="V2071" s="58">
        <f>IF(AND($B2071&lt;&gt;"",$F2071&lt;&gt;"",$F2071=项目明细账!$C$2),N(V2070)+1,N(V2070))</f>
        <v>0</v>
      </c>
      <c r="W2071" s="63" t="str">
        <f>IF($H2071&lt;&gt;"","项目成本",IFERROR(INDEX(基础资料!$W$4:$W$49,MATCH($I2071,基础资料!$V$4:$V$49,0)),""))</f>
        <v/>
      </c>
      <c r="X2071" s="63" t="str">
        <f>IFERROR(INDEX(基础资料!$R$4:$R$17,MATCH($G2071,基础资料!$Q$4:$Q$17,0)),"")</f>
        <v/>
      </c>
    </row>
    <row r="2072" spans="1:24">
      <c r="A2072" s="58" t="str">
        <f>IF($B2072="","",COUNTA($B$5:$B2072))</f>
        <v/>
      </c>
      <c r="B2072" s="53"/>
      <c r="C2072" s="46"/>
      <c r="D2072" s="63" t="str">
        <f>IFERROR(INDEX(基础资料!$F$4:$F$23,MATCH($C2072,基础资料!$E$4:$E$23,0)),IF($C2072="","","未匹配账户"))</f>
        <v/>
      </c>
      <c r="E2072" s="39"/>
      <c r="F2072" s="10"/>
      <c r="G2072" s="10"/>
      <c r="H2072" s="10"/>
      <c r="I2072" s="10"/>
      <c r="J2072" s="10"/>
      <c r="K2072" s="25"/>
      <c r="L2072" s="25"/>
      <c r="M2072" s="25" t="str">
        <f>IFERROR(VLOOKUP($C2072,$C$5:$M$24,11,0)+SUMIF($C$25:$C2072,$C2072,$K$25:$K2072)-SUMIF($C$25:$C2072,$C2072,$L$25:$L2072),"")</f>
        <v/>
      </c>
      <c r="N2072" s="10"/>
      <c r="O2072" s="10"/>
      <c r="P2072" s="65"/>
      <c r="Q2072" s="10"/>
      <c r="R2072" s="10"/>
      <c r="S2072" s="54" t="str">
        <f t="shared" si="102"/>
        <v/>
      </c>
      <c r="T2072" s="54" t="str">
        <f t="shared" si="103"/>
        <v/>
      </c>
      <c r="U2072" s="58" t="str">
        <f t="shared" si="104"/>
        <v/>
      </c>
      <c r="V2072" s="58">
        <f>IF(AND($B2072&lt;&gt;"",$F2072&lt;&gt;"",$F2072=项目明细账!$C$2),N(V2071)+1,N(V2071))</f>
        <v>0</v>
      </c>
      <c r="W2072" s="63" t="str">
        <f>IF($H2072&lt;&gt;"","项目成本",IFERROR(INDEX(基础资料!$W$4:$W$49,MATCH($I2072,基础资料!$V$4:$V$49,0)),""))</f>
        <v/>
      </c>
      <c r="X2072" s="63" t="str">
        <f>IFERROR(INDEX(基础资料!$R$4:$R$17,MATCH($G2072,基础资料!$Q$4:$Q$17,0)),"")</f>
        <v/>
      </c>
    </row>
    <row r="2073" spans="1:24">
      <c r="A2073" s="58" t="str">
        <f>IF($B2073="","",COUNTA($B$5:$B2073))</f>
        <v/>
      </c>
      <c r="B2073" s="53"/>
      <c r="C2073" s="46"/>
      <c r="D2073" s="63" t="str">
        <f>IFERROR(INDEX(基础资料!$F$4:$F$23,MATCH($C2073,基础资料!$E$4:$E$23,0)),IF($C2073="","","未匹配账户"))</f>
        <v/>
      </c>
      <c r="E2073" s="39"/>
      <c r="F2073" s="10"/>
      <c r="G2073" s="10"/>
      <c r="H2073" s="10"/>
      <c r="I2073" s="10"/>
      <c r="J2073" s="10"/>
      <c r="K2073" s="25"/>
      <c r="L2073" s="25"/>
      <c r="M2073" s="25" t="str">
        <f>IFERROR(VLOOKUP($C2073,$C$5:$M$24,11,0)+SUMIF($C$25:$C2073,$C2073,$K$25:$K2073)-SUMIF($C$25:$C2073,$C2073,$L$25:$L2073),"")</f>
        <v/>
      </c>
      <c r="N2073" s="10"/>
      <c r="O2073" s="10"/>
      <c r="P2073" s="65"/>
      <c r="Q2073" s="10"/>
      <c r="R2073" s="10"/>
      <c r="S2073" s="54" t="str">
        <f t="shared" si="102"/>
        <v/>
      </c>
      <c r="T2073" s="54" t="str">
        <f t="shared" si="103"/>
        <v/>
      </c>
      <c r="U2073" s="58" t="str">
        <f t="shared" si="104"/>
        <v/>
      </c>
      <c r="V2073" s="58">
        <f>IF(AND($B2073&lt;&gt;"",$F2073&lt;&gt;"",$F2073=项目明细账!$C$2),N(V2072)+1,N(V2072))</f>
        <v>0</v>
      </c>
      <c r="W2073" s="63" t="str">
        <f>IF($H2073&lt;&gt;"","项目成本",IFERROR(INDEX(基础资料!$W$4:$W$49,MATCH($I2073,基础资料!$V$4:$V$49,0)),""))</f>
        <v/>
      </c>
      <c r="X2073" s="63" t="str">
        <f>IFERROR(INDEX(基础资料!$R$4:$R$17,MATCH($G2073,基础资料!$Q$4:$Q$17,0)),"")</f>
        <v/>
      </c>
    </row>
    <row r="2074" spans="1:24">
      <c r="A2074" s="58" t="str">
        <f>IF($B2074="","",COUNTA($B$5:$B2074))</f>
        <v/>
      </c>
      <c r="B2074" s="53"/>
      <c r="C2074" s="46"/>
      <c r="D2074" s="63" t="str">
        <f>IFERROR(INDEX(基础资料!$F$4:$F$23,MATCH($C2074,基础资料!$E$4:$E$23,0)),IF($C2074="","","未匹配账户"))</f>
        <v/>
      </c>
      <c r="E2074" s="39"/>
      <c r="F2074" s="10"/>
      <c r="G2074" s="10"/>
      <c r="H2074" s="10"/>
      <c r="I2074" s="10"/>
      <c r="J2074" s="10"/>
      <c r="K2074" s="25"/>
      <c r="L2074" s="25"/>
      <c r="M2074" s="25" t="str">
        <f>IFERROR(VLOOKUP($C2074,$C$5:$M$24,11,0)+SUMIF($C$25:$C2074,$C2074,$K$25:$K2074)-SUMIF($C$25:$C2074,$C2074,$L$25:$L2074),"")</f>
        <v/>
      </c>
      <c r="N2074" s="10"/>
      <c r="O2074" s="10"/>
      <c r="P2074" s="65"/>
      <c r="Q2074" s="10"/>
      <c r="R2074" s="10"/>
      <c r="S2074" s="54" t="str">
        <f t="shared" si="102"/>
        <v/>
      </c>
      <c r="T2074" s="54" t="str">
        <f t="shared" si="103"/>
        <v/>
      </c>
      <c r="U2074" s="58" t="str">
        <f t="shared" si="104"/>
        <v/>
      </c>
      <c r="V2074" s="58">
        <f>IF(AND($B2074&lt;&gt;"",$F2074&lt;&gt;"",$F2074=项目明细账!$C$2),N(V2073)+1,N(V2073))</f>
        <v>0</v>
      </c>
      <c r="W2074" s="63" t="str">
        <f>IF($H2074&lt;&gt;"","项目成本",IFERROR(INDEX(基础资料!$W$4:$W$49,MATCH($I2074,基础资料!$V$4:$V$49,0)),""))</f>
        <v/>
      </c>
      <c r="X2074" s="63" t="str">
        <f>IFERROR(INDEX(基础资料!$R$4:$R$17,MATCH($G2074,基础资料!$Q$4:$Q$17,0)),"")</f>
        <v/>
      </c>
    </row>
    <row r="2075" spans="1:24">
      <c r="A2075" s="58" t="str">
        <f>IF($B2075="","",COUNTA($B$5:$B2075))</f>
        <v/>
      </c>
      <c r="B2075" s="53"/>
      <c r="C2075" s="46"/>
      <c r="D2075" s="63" t="str">
        <f>IFERROR(INDEX(基础资料!$F$4:$F$23,MATCH($C2075,基础资料!$E$4:$E$23,0)),IF($C2075="","","未匹配账户"))</f>
        <v/>
      </c>
      <c r="E2075" s="39"/>
      <c r="F2075" s="10"/>
      <c r="G2075" s="10"/>
      <c r="H2075" s="10"/>
      <c r="I2075" s="10"/>
      <c r="J2075" s="10"/>
      <c r="K2075" s="25"/>
      <c r="L2075" s="25"/>
      <c r="M2075" s="25" t="str">
        <f>IFERROR(VLOOKUP($C2075,$C$5:$M$24,11,0)+SUMIF($C$25:$C2075,$C2075,$K$25:$K2075)-SUMIF($C$25:$C2075,$C2075,$L$25:$L2075),"")</f>
        <v/>
      </c>
      <c r="N2075" s="10"/>
      <c r="O2075" s="10"/>
      <c r="P2075" s="65"/>
      <c r="Q2075" s="10"/>
      <c r="R2075" s="10"/>
      <c r="S2075" s="54" t="str">
        <f t="shared" si="102"/>
        <v/>
      </c>
      <c r="T2075" s="54" t="str">
        <f t="shared" si="103"/>
        <v/>
      </c>
      <c r="U2075" s="58" t="str">
        <f t="shared" si="104"/>
        <v/>
      </c>
      <c r="V2075" s="58">
        <f>IF(AND($B2075&lt;&gt;"",$F2075&lt;&gt;"",$F2075=项目明细账!$C$2),N(V2074)+1,N(V2074))</f>
        <v>0</v>
      </c>
      <c r="W2075" s="63" t="str">
        <f>IF($H2075&lt;&gt;"","项目成本",IFERROR(INDEX(基础资料!$W$4:$W$49,MATCH($I2075,基础资料!$V$4:$V$49,0)),""))</f>
        <v/>
      </c>
      <c r="X2075" s="63" t="str">
        <f>IFERROR(INDEX(基础资料!$R$4:$R$17,MATCH($G2075,基础资料!$Q$4:$Q$17,0)),"")</f>
        <v/>
      </c>
    </row>
    <row r="2076" spans="1:24">
      <c r="A2076" s="58" t="str">
        <f>IF($B2076="","",COUNTA($B$5:$B2076))</f>
        <v/>
      </c>
      <c r="B2076" s="53"/>
      <c r="C2076" s="46"/>
      <c r="D2076" s="63" t="str">
        <f>IFERROR(INDEX(基础资料!$F$4:$F$23,MATCH($C2076,基础资料!$E$4:$E$23,0)),IF($C2076="","","未匹配账户"))</f>
        <v/>
      </c>
      <c r="E2076" s="39"/>
      <c r="F2076" s="10"/>
      <c r="G2076" s="10"/>
      <c r="H2076" s="10"/>
      <c r="I2076" s="10"/>
      <c r="J2076" s="10"/>
      <c r="K2076" s="25"/>
      <c r="L2076" s="25"/>
      <c r="M2076" s="25" t="str">
        <f>IFERROR(VLOOKUP($C2076,$C$5:$M$24,11,0)+SUMIF($C$25:$C2076,$C2076,$K$25:$K2076)-SUMIF($C$25:$C2076,$C2076,$L$25:$L2076),"")</f>
        <v/>
      </c>
      <c r="N2076" s="10"/>
      <c r="O2076" s="10"/>
      <c r="P2076" s="65"/>
      <c r="Q2076" s="10"/>
      <c r="R2076" s="10"/>
      <c r="S2076" s="54" t="str">
        <f t="shared" si="102"/>
        <v/>
      </c>
      <c r="T2076" s="54" t="str">
        <f t="shared" si="103"/>
        <v/>
      </c>
      <c r="U2076" s="58" t="str">
        <f t="shared" si="104"/>
        <v/>
      </c>
      <c r="V2076" s="58">
        <f>IF(AND($B2076&lt;&gt;"",$F2076&lt;&gt;"",$F2076=项目明细账!$C$2),N(V2075)+1,N(V2075))</f>
        <v>0</v>
      </c>
      <c r="W2076" s="63" t="str">
        <f>IF($H2076&lt;&gt;"","项目成本",IFERROR(INDEX(基础资料!$W$4:$W$49,MATCH($I2076,基础资料!$V$4:$V$49,0)),""))</f>
        <v/>
      </c>
      <c r="X2076" s="63" t="str">
        <f>IFERROR(INDEX(基础资料!$R$4:$R$17,MATCH($G2076,基础资料!$Q$4:$Q$17,0)),"")</f>
        <v/>
      </c>
    </row>
    <row r="2077" spans="1:24">
      <c r="A2077" s="58" t="str">
        <f>IF($B2077="","",COUNTA($B$5:$B2077))</f>
        <v/>
      </c>
      <c r="B2077" s="53"/>
      <c r="C2077" s="46"/>
      <c r="D2077" s="63" t="str">
        <f>IFERROR(INDEX(基础资料!$F$4:$F$23,MATCH($C2077,基础资料!$E$4:$E$23,0)),IF($C2077="","","未匹配账户"))</f>
        <v/>
      </c>
      <c r="E2077" s="39"/>
      <c r="F2077" s="10"/>
      <c r="G2077" s="10"/>
      <c r="H2077" s="10"/>
      <c r="I2077" s="10"/>
      <c r="J2077" s="10"/>
      <c r="K2077" s="25"/>
      <c r="L2077" s="25"/>
      <c r="M2077" s="25" t="str">
        <f>IFERROR(VLOOKUP($C2077,$C$5:$M$24,11,0)+SUMIF($C$25:$C2077,$C2077,$K$25:$K2077)-SUMIF($C$25:$C2077,$C2077,$L$25:$L2077),"")</f>
        <v/>
      </c>
      <c r="N2077" s="10"/>
      <c r="O2077" s="10"/>
      <c r="P2077" s="65"/>
      <c r="Q2077" s="10"/>
      <c r="R2077" s="10"/>
      <c r="S2077" s="54" t="str">
        <f t="shared" si="102"/>
        <v/>
      </c>
      <c r="T2077" s="54" t="str">
        <f t="shared" si="103"/>
        <v/>
      </c>
      <c r="U2077" s="58" t="str">
        <f t="shared" si="104"/>
        <v/>
      </c>
      <c r="V2077" s="58">
        <f>IF(AND($B2077&lt;&gt;"",$F2077&lt;&gt;"",$F2077=项目明细账!$C$2),N(V2076)+1,N(V2076))</f>
        <v>0</v>
      </c>
      <c r="W2077" s="63" t="str">
        <f>IF($H2077&lt;&gt;"","项目成本",IFERROR(INDEX(基础资料!$W$4:$W$49,MATCH($I2077,基础资料!$V$4:$V$49,0)),""))</f>
        <v/>
      </c>
      <c r="X2077" s="63" t="str">
        <f>IFERROR(INDEX(基础资料!$R$4:$R$17,MATCH($G2077,基础资料!$Q$4:$Q$17,0)),"")</f>
        <v/>
      </c>
    </row>
    <row r="2078" spans="1:24">
      <c r="A2078" s="58" t="str">
        <f>IF($B2078="","",COUNTA($B$5:$B2078))</f>
        <v/>
      </c>
      <c r="B2078" s="53"/>
      <c r="C2078" s="46"/>
      <c r="D2078" s="63" t="str">
        <f>IFERROR(INDEX(基础资料!$F$4:$F$23,MATCH($C2078,基础资料!$E$4:$E$23,0)),IF($C2078="","","未匹配账户"))</f>
        <v/>
      </c>
      <c r="E2078" s="39"/>
      <c r="F2078" s="10"/>
      <c r="G2078" s="10"/>
      <c r="H2078" s="10"/>
      <c r="I2078" s="10"/>
      <c r="J2078" s="10"/>
      <c r="K2078" s="25"/>
      <c r="L2078" s="25"/>
      <c r="M2078" s="25" t="str">
        <f>IFERROR(VLOOKUP($C2078,$C$5:$M$24,11,0)+SUMIF($C$25:$C2078,$C2078,$K$25:$K2078)-SUMIF($C$25:$C2078,$C2078,$L$25:$L2078),"")</f>
        <v/>
      </c>
      <c r="N2078" s="10"/>
      <c r="O2078" s="10"/>
      <c r="P2078" s="65"/>
      <c r="Q2078" s="10"/>
      <c r="R2078" s="10"/>
      <c r="S2078" s="54" t="str">
        <f t="shared" si="102"/>
        <v/>
      </c>
      <c r="T2078" s="54" t="str">
        <f t="shared" si="103"/>
        <v/>
      </c>
      <c r="U2078" s="58" t="str">
        <f t="shared" si="104"/>
        <v/>
      </c>
      <c r="V2078" s="58">
        <f>IF(AND($B2078&lt;&gt;"",$F2078&lt;&gt;"",$F2078=项目明细账!$C$2),N(V2077)+1,N(V2077))</f>
        <v>0</v>
      </c>
      <c r="W2078" s="63" t="str">
        <f>IF($H2078&lt;&gt;"","项目成本",IFERROR(INDEX(基础资料!$W$4:$W$49,MATCH($I2078,基础资料!$V$4:$V$49,0)),""))</f>
        <v/>
      </c>
      <c r="X2078" s="63" t="str">
        <f>IFERROR(INDEX(基础资料!$R$4:$R$17,MATCH($G2078,基础资料!$Q$4:$Q$17,0)),"")</f>
        <v/>
      </c>
    </row>
    <row r="2079" spans="1:24">
      <c r="A2079" s="58" t="str">
        <f>IF($B2079="","",COUNTA($B$5:$B2079))</f>
        <v/>
      </c>
      <c r="B2079" s="53"/>
      <c r="C2079" s="46"/>
      <c r="D2079" s="63" t="str">
        <f>IFERROR(INDEX(基础资料!$F$4:$F$23,MATCH($C2079,基础资料!$E$4:$E$23,0)),IF($C2079="","","未匹配账户"))</f>
        <v/>
      </c>
      <c r="E2079" s="39"/>
      <c r="F2079" s="10"/>
      <c r="G2079" s="10"/>
      <c r="H2079" s="10"/>
      <c r="I2079" s="10"/>
      <c r="J2079" s="10"/>
      <c r="K2079" s="25"/>
      <c r="L2079" s="25"/>
      <c r="M2079" s="25" t="str">
        <f>IFERROR(VLOOKUP($C2079,$C$5:$M$24,11,0)+SUMIF($C$25:$C2079,$C2079,$K$25:$K2079)-SUMIF($C$25:$C2079,$C2079,$L$25:$L2079),"")</f>
        <v/>
      </c>
      <c r="N2079" s="10"/>
      <c r="O2079" s="10"/>
      <c r="P2079" s="65"/>
      <c r="Q2079" s="10"/>
      <c r="R2079" s="10"/>
      <c r="S2079" s="54" t="str">
        <f t="shared" si="102"/>
        <v/>
      </c>
      <c r="T2079" s="54" t="str">
        <f t="shared" si="103"/>
        <v/>
      </c>
      <c r="U2079" s="58" t="str">
        <f t="shared" si="104"/>
        <v/>
      </c>
      <c r="V2079" s="58">
        <f>IF(AND($B2079&lt;&gt;"",$F2079&lt;&gt;"",$F2079=项目明细账!$C$2),N(V2078)+1,N(V2078))</f>
        <v>0</v>
      </c>
      <c r="W2079" s="63" t="str">
        <f>IF($H2079&lt;&gt;"","项目成本",IFERROR(INDEX(基础资料!$W$4:$W$49,MATCH($I2079,基础资料!$V$4:$V$49,0)),""))</f>
        <v/>
      </c>
      <c r="X2079" s="63" t="str">
        <f>IFERROR(INDEX(基础资料!$R$4:$R$17,MATCH($G2079,基础资料!$Q$4:$Q$17,0)),"")</f>
        <v/>
      </c>
    </row>
    <row r="2080" spans="1:24">
      <c r="A2080" s="58" t="str">
        <f>IF($B2080="","",COUNTA($B$5:$B2080))</f>
        <v/>
      </c>
      <c r="B2080" s="53"/>
      <c r="C2080" s="46"/>
      <c r="D2080" s="63" t="str">
        <f>IFERROR(INDEX(基础资料!$F$4:$F$23,MATCH($C2080,基础资料!$E$4:$E$23,0)),IF($C2080="","","未匹配账户"))</f>
        <v/>
      </c>
      <c r="E2080" s="39"/>
      <c r="F2080" s="10"/>
      <c r="G2080" s="10"/>
      <c r="H2080" s="10"/>
      <c r="I2080" s="10"/>
      <c r="J2080" s="10"/>
      <c r="K2080" s="25"/>
      <c r="L2080" s="25"/>
      <c r="M2080" s="25" t="str">
        <f>IFERROR(VLOOKUP($C2080,$C$5:$M$24,11,0)+SUMIF($C$25:$C2080,$C2080,$K$25:$K2080)-SUMIF($C$25:$C2080,$C2080,$L$25:$L2080),"")</f>
        <v/>
      </c>
      <c r="N2080" s="10"/>
      <c r="O2080" s="10"/>
      <c r="P2080" s="65"/>
      <c r="Q2080" s="10"/>
      <c r="R2080" s="10"/>
      <c r="S2080" s="54" t="str">
        <f t="shared" si="102"/>
        <v/>
      </c>
      <c r="T2080" s="54" t="str">
        <f t="shared" si="103"/>
        <v/>
      </c>
      <c r="U2080" s="58" t="str">
        <f t="shared" si="104"/>
        <v/>
      </c>
      <c r="V2080" s="58">
        <f>IF(AND($B2080&lt;&gt;"",$F2080&lt;&gt;"",$F2080=项目明细账!$C$2),N(V2079)+1,N(V2079))</f>
        <v>0</v>
      </c>
      <c r="W2080" s="63" t="str">
        <f>IF($H2080&lt;&gt;"","项目成本",IFERROR(INDEX(基础资料!$W$4:$W$49,MATCH($I2080,基础资料!$V$4:$V$49,0)),""))</f>
        <v/>
      </c>
      <c r="X2080" s="63" t="str">
        <f>IFERROR(INDEX(基础资料!$R$4:$R$17,MATCH($G2080,基础资料!$Q$4:$Q$17,0)),"")</f>
        <v/>
      </c>
    </row>
    <row r="2081" spans="1:24">
      <c r="A2081" s="58" t="str">
        <f>IF($B2081="","",COUNTA($B$5:$B2081))</f>
        <v/>
      </c>
      <c r="B2081" s="53"/>
      <c r="C2081" s="46"/>
      <c r="D2081" s="63" t="str">
        <f>IFERROR(INDEX(基础资料!$F$4:$F$23,MATCH($C2081,基础资料!$E$4:$E$23,0)),IF($C2081="","","未匹配账户"))</f>
        <v/>
      </c>
      <c r="E2081" s="39"/>
      <c r="F2081" s="10"/>
      <c r="G2081" s="10"/>
      <c r="H2081" s="10"/>
      <c r="I2081" s="10"/>
      <c r="J2081" s="10"/>
      <c r="K2081" s="25"/>
      <c r="L2081" s="25"/>
      <c r="M2081" s="25" t="str">
        <f>IFERROR(VLOOKUP($C2081,$C$5:$M$24,11,0)+SUMIF($C$25:$C2081,$C2081,$K$25:$K2081)-SUMIF($C$25:$C2081,$C2081,$L$25:$L2081),"")</f>
        <v/>
      </c>
      <c r="N2081" s="10"/>
      <c r="O2081" s="10"/>
      <c r="P2081" s="65"/>
      <c r="Q2081" s="10"/>
      <c r="R2081" s="10"/>
      <c r="S2081" s="54" t="str">
        <f t="shared" si="102"/>
        <v/>
      </c>
      <c r="T2081" s="54" t="str">
        <f t="shared" si="103"/>
        <v/>
      </c>
      <c r="U2081" s="58" t="str">
        <f t="shared" si="104"/>
        <v/>
      </c>
      <c r="V2081" s="58">
        <f>IF(AND($B2081&lt;&gt;"",$F2081&lt;&gt;"",$F2081=项目明细账!$C$2),N(V2080)+1,N(V2080))</f>
        <v>0</v>
      </c>
      <c r="W2081" s="63" t="str">
        <f>IF($H2081&lt;&gt;"","项目成本",IFERROR(INDEX(基础资料!$W$4:$W$49,MATCH($I2081,基础资料!$V$4:$V$49,0)),""))</f>
        <v/>
      </c>
      <c r="X2081" s="63" t="str">
        <f>IFERROR(INDEX(基础资料!$R$4:$R$17,MATCH($G2081,基础资料!$Q$4:$Q$17,0)),"")</f>
        <v/>
      </c>
    </row>
    <row r="2082" spans="1:24">
      <c r="A2082" s="58" t="str">
        <f>IF($B2082="","",COUNTA($B$5:$B2082))</f>
        <v/>
      </c>
      <c r="B2082" s="53"/>
      <c r="C2082" s="46"/>
      <c r="D2082" s="63" t="str">
        <f>IFERROR(INDEX(基础资料!$F$4:$F$23,MATCH($C2082,基础资料!$E$4:$E$23,0)),IF($C2082="","","未匹配账户"))</f>
        <v/>
      </c>
      <c r="E2082" s="39"/>
      <c r="F2082" s="10"/>
      <c r="G2082" s="10"/>
      <c r="H2082" s="10"/>
      <c r="I2082" s="10"/>
      <c r="J2082" s="10"/>
      <c r="K2082" s="25"/>
      <c r="L2082" s="25"/>
      <c r="M2082" s="25" t="str">
        <f>IFERROR(VLOOKUP($C2082,$C$5:$M$24,11,0)+SUMIF($C$25:$C2082,$C2082,$K$25:$K2082)-SUMIF($C$25:$C2082,$C2082,$L$25:$L2082),"")</f>
        <v/>
      </c>
      <c r="N2082" s="10"/>
      <c r="O2082" s="10"/>
      <c r="P2082" s="65"/>
      <c r="Q2082" s="10"/>
      <c r="R2082" s="10"/>
      <c r="S2082" s="54" t="str">
        <f t="shared" si="102"/>
        <v/>
      </c>
      <c r="T2082" s="54" t="str">
        <f t="shared" si="103"/>
        <v/>
      </c>
      <c r="U2082" s="58" t="str">
        <f t="shared" si="104"/>
        <v/>
      </c>
      <c r="V2082" s="58">
        <f>IF(AND($B2082&lt;&gt;"",$F2082&lt;&gt;"",$F2082=项目明细账!$C$2),N(V2081)+1,N(V2081))</f>
        <v>0</v>
      </c>
      <c r="W2082" s="63" t="str">
        <f>IF($H2082&lt;&gt;"","项目成本",IFERROR(INDEX(基础资料!$W$4:$W$49,MATCH($I2082,基础资料!$V$4:$V$49,0)),""))</f>
        <v/>
      </c>
      <c r="X2082" s="63" t="str">
        <f>IFERROR(INDEX(基础资料!$R$4:$R$17,MATCH($G2082,基础资料!$Q$4:$Q$17,0)),"")</f>
        <v/>
      </c>
    </row>
    <row r="2083" spans="1:24">
      <c r="A2083" s="58" t="str">
        <f>IF($B2083="","",COUNTA($B$5:$B2083))</f>
        <v/>
      </c>
      <c r="B2083" s="53"/>
      <c r="C2083" s="46"/>
      <c r="D2083" s="63" t="str">
        <f>IFERROR(INDEX(基础资料!$F$4:$F$23,MATCH($C2083,基础资料!$E$4:$E$23,0)),IF($C2083="","","未匹配账户"))</f>
        <v/>
      </c>
      <c r="E2083" s="39"/>
      <c r="F2083" s="10"/>
      <c r="G2083" s="10"/>
      <c r="H2083" s="10"/>
      <c r="I2083" s="10"/>
      <c r="J2083" s="10"/>
      <c r="K2083" s="25"/>
      <c r="L2083" s="25"/>
      <c r="M2083" s="25" t="str">
        <f>IFERROR(VLOOKUP($C2083,$C$5:$M$24,11,0)+SUMIF($C$25:$C2083,$C2083,$K$25:$K2083)-SUMIF($C$25:$C2083,$C2083,$L$25:$L2083),"")</f>
        <v/>
      </c>
      <c r="N2083" s="10"/>
      <c r="O2083" s="10"/>
      <c r="P2083" s="65"/>
      <c r="Q2083" s="10"/>
      <c r="R2083" s="10"/>
      <c r="S2083" s="54" t="str">
        <f t="shared" si="102"/>
        <v/>
      </c>
      <c r="T2083" s="54" t="str">
        <f t="shared" si="103"/>
        <v/>
      </c>
      <c r="U2083" s="58" t="str">
        <f t="shared" si="104"/>
        <v/>
      </c>
      <c r="V2083" s="58">
        <f>IF(AND($B2083&lt;&gt;"",$F2083&lt;&gt;"",$F2083=项目明细账!$C$2),N(V2082)+1,N(V2082))</f>
        <v>0</v>
      </c>
      <c r="W2083" s="63" t="str">
        <f>IF($H2083&lt;&gt;"","项目成本",IFERROR(INDEX(基础资料!$W$4:$W$49,MATCH($I2083,基础资料!$V$4:$V$49,0)),""))</f>
        <v/>
      </c>
      <c r="X2083" s="63" t="str">
        <f>IFERROR(INDEX(基础资料!$R$4:$R$17,MATCH($G2083,基础资料!$Q$4:$Q$17,0)),"")</f>
        <v/>
      </c>
    </row>
    <row r="2084" spans="1:24">
      <c r="A2084" s="58" t="str">
        <f>IF($B2084="","",COUNTA($B$5:$B2084))</f>
        <v/>
      </c>
      <c r="B2084" s="53"/>
      <c r="C2084" s="46"/>
      <c r="D2084" s="63" t="str">
        <f>IFERROR(INDEX(基础资料!$F$4:$F$23,MATCH($C2084,基础资料!$E$4:$E$23,0)),IF($C2084="","","未匹配账户"))</f>
        <v/>
      </c>
      <c r="E2084" s="39"/>
      <c r="F2084" s="10"/>
      <c r="G2084" s="10"/>
      <c r="H2084" s="10"/>
      <c r="I2084" s="10"/>
      <c r="J2084" s="10"/>
      <c r="K2084" s="25"/>
      <c r="L2084" s="25"/>
      <c r="M2084" s="25" t="str">
        <f>IFERROR(VLOOKUP($C2084,$C$5:$M$24,11,0)+SUMIF($C$25:$C2084,$C2084,$K$25:$K2084)-SUMIF($C$25:$C2084,$C2084,$L$25:$L2084),"")</f>
        <v/>
      </c>
      <c r="N2084" s="10"/>
      <c r="O2084" s="10"/>
      <c r="P2084" s="65"/>
      <c r="Q2084" s="10"/>
      <c r="R2084" s="10"/>
      <c r="S2084" s="54" t="str">
        <f t="shared" si="102"/>
        <v/>
      </c>
      <c r="T2084" s="54" t="str">
        <f t="shared" si="103"/>
        <v/>
      </c>
      <c r="U2084" s="58" t="str">
        <f t="shared" si="104"/>
        <v/>
      </c>
      <c r="V2084" s="58">
        <f>IF(AND($B2084&lt;&gt;"",$F2084&lt;&gt;"",$F2084=项目明细账!$C$2),N(V2083)+1,N(V2083))</f>
        <v>0</v>
      </c>
      <c r="W2084" s="63" t="str">
        <f>IF($H2084&lt;&gt;"","项目成本",IFERROR(INDEX(基础资料!$W$4:$W$49,MATCH($I2084,基础资料!$V$4:$V$49,0)),""))</f>
        <v/>
      </c>
      <c r="X2084" s="63" t="str">
        <f>IFERROR(INDEX(基础资料!$R$4:$R$17,MATCH($G2084,基础资料!$Q$4:$Q$17,0)),"")</f>
        <v/>
      </c>
    </row>
    <row r="2085" spans="1:24">
      <c r="A2085" s="58" t="str">
        <f>IF($B2085="","",COUNTA($B$5:$B2085))</f>
        <v/>
      </c>
      <c r="B2085" s="53"/>
      <c r="C2085" s="46"/>
      <c r="D2085" s="63" t="str">
        <f>IFERROR(INDEX(基础资料!$F$4:$F$23,MATCH($C2085,基础资料!$E$4:$E$23,0)),IF($C2085="","","未匹配账户"))</f>
        <v/>
      </c>
      <c r="E2085" s="39"/>
      <c r="F2085" s="10"/>
      <c r="G2085" s="10"/>
      <c r="H2085" s="10"/>
      <c r="I2085" s="10"/>
      <c r="J2085" s="10"/>
      <c r="K2085" s="25"/>
      <c r="L2085" s="25"/>
      <c r="M2085" s="25" t="str">
        <f>IFERROR(VLOOKUP($C2085,$C$5:$M$24,11,0)+SUMIF($C$25:$C2085,$C2085,$K$25:$K2085)-SUMIF($C$25:$C2085,$C2085,$L$25:$L2085),"")</f>
        <v/>
      </c>
      <c r="N2085" s="10"/>
      <c r="O2085" s="10"/>
      <c r="P2085" s="65"/>
      <c r="Q2085" s="10"/>
      <c r="R2085" s="10"/>
      <c r="S2085" s="54" t="str">
        <f t="shared" si="102"/>
        <v/>
      </c>
      <c r="T2085" s="54" t="str">
        <f t="shared" si="103"/>
        <v/>
      </c>
      <c r="U2085" s="58" t="str">
        <f t="shared" si="104"/>
        <v/>
      </c>
      <c r="V2085" s="58">
        <f>IF(AND($B2085&lt;&gt;"",$F2085&lt;&gt;"",$F2085=项目明细账!$C$2),N(V2084)+1,N(V2084))</f>
        <v>0</v>
      </c>
      <c r="W2085" s="63" t="str">
        <f>IF($H2085&lt;&gt;"","项目成本",IFERROR(INDEX(基础资料!$W$4:$W$49,MATCH($I2085,基础资料!$V$4:$V$49,0)),""))</f>
        <v/>
      </c>
      <c r="X2085" s="63" t="str">
        <f>IFERROR(INDEX(基础资料!$R$4:$R$17,MATCH($G2085,基础资料!$Q$4:$Q$17,0)),"")</f>
        <v/>
      </c>
    </row>
    <row r="2086" spans="1:24">
      <c r="A2086" s="58" t="str">
        <f>IF($B2086="","",COUNTA($B$5:$B2086))</f>
        <v/>
      </c>
      <c r="B2086" s="53"/>
      <c r="C2086" s="46"/>
      <c r="D2086" s="63" t="str">
        <f>IFERROR(INDEX(基础资料!$F$4:$F$23,MATCH($C2086,基础资料!$E$4:$E$23,0)),IF($C2086="","","未匹配账户"))</f>
        <v/>
      </c>
      <c r="E2086" s="39"/>
      <c r="F2086" s="10"/>
      <c r="G2086" s="10"/>
      <c r="H2086" s="10"/>
      <c r="I2086" s="10"/>
      <c r="J2086" s="10"/>
      <c r="K2086" s="25"/>
      <c r="L2086" s="25"/>
      <c r="M2086" s="25" t="str">
        <f>IFERROR(VLOOKUP($C2086,$C$5:$M$24,11,0)+SUMIF($C$25:$C2086,$C2086,$K$25:$K2086)-SUMIF($C$25:$C2086,$C2086,$L$25:$L2086),"")</f>
        <v/>
      </c>
      <c r="N2086" s="10"/>
      <c r="O2086" s="10"/>
      <c r="P2086" s="65"/>
      <c r="Q2086" s="10"/>
      <c r="R2086" s="10"/>
      <c r="S2086" s="54" t="str">
        <f t="shared" si="102"/>
        <v/>
      </c>
      <c r="T2086" s="54" t="str">
        <f t="shared" si="103"/>
        <v/>
      </c>
      <c r="U2086" s="58" t="str">
        <f t="shared" si="104"/>
        <v/>
      </c>
      <c r="V2086" s="58">
        <f>IF(AND($B2086&lt;&gt;"",$F2086&lt;&gt;"",$F2086=项目明细账!$C$2),N(V2085)+1,N(V2085))</f>
        <v>0</v>
      </c>
      <c r="W2086" s="63" t="str">
        <f>IF($H2086&lt;&gt;"","项目成本",IFERROR(INDEX(基础资料!$W$4:$W$49,MATCH($I2086,基础资料!$V$4:$V$49,0)),""))</f>
        <v/>
      </c>
      <c r="X2086" s="63" t="str">
        <f>IFERROR(INDEX(基础资料!$R$4:$R$17,MATCH($G2086,基础资料!$Q$4:$Q$17,0)),"")</f>
        <v/>
      </c>
    </row>
    <row r="2087" spans="1:24">
      <c r="A2087" s="58" t="str">
        <f>IF($B2087="","",COUNTA($B$5:$B2087))</f>
        <v/>
      </c>
      <c r="B2087" s="53"/>
      <c r="C2087" s="46"/>
      <c r="D2087" s="63" t="str">
        <f>IFERROR(INDEX(基础资料!$F$4:$F$23,MATCH($C2087,基础资料!$E$4:$E$23,0)),IF($C2087="","","未匹配账户"))</f>
        <v/>
      </c>
      <c r="E2087" s="39"/>
      <c r="F2087" s="10"/>
      <c r="G2087" s="10"/>
      <c r="H2087" s="10"/>
      <c r="I2087" s="10"/>
      <c r="J2087" s="10"/>
      <c r="K2087" s="25"/>
      <c r="L2087" s="25"/>
      <c r="M2087" s="25" t="str">
        <f>IFERROR(VLOOKUP($C2087,$C$5:$M$24,11,0)+SUMIF($C$25:$C2087,$C2087,$K$25:$K2087)-SUMIF($C$25:$C2087,$C2087,$L$25:$L2087),"")</f>
        <v/>
      </c>
      <c r="N2087" s="10"/>
      <c r="O2087" s="10"/>
      <c r="P2087" s="65"/>
      <c r="Q2087" s="10"/>
      <c r="R2087" s="10"/>
      <c r="S2087" s="54" t="str">
        <f t="shared" si="102"/>
        <v/>
      </c>
      <c r="T2087" s="54" t="str">
        <f t="shared" si="103"/>
        <v/>
      </c>
      <c r="U2087" s="58" t="str">
        <f t="shared" si="104"/>
        <v/>
      </c>
      <c r="V2087" s="58">
        <f>IF(AND($B2087&lt;&gt;"",$F2087&lt;&gt;"",$F2087=项目明细账!$C$2),N(V2086)+1,N(V2086))</f>
        <v>0</v>
      </c>
      <c r="W2087" s="63" t="str">
        <f>IF($H2087&lt;&gt;"","项目成本",IFERROR(INDEX(基础资料!$W$4:$W$49,MATCH($I2087,基础资料!$V$4:$V$49,0)),""))</f>
        <v/>
      </c>
      <c r="X2087" s="63" t="str">
        <f>IFERROR(INDEX(基础资料!$R$4:$R$17,MATCH($G2087,基础资料!$Q$4:$Q$17,0)),"")</f>
        <v/>
      </c>
    </row>
    <row r="2088" spans="1:24">
      <c r="A2088" s="58" t="str">
        <f>IF($B2088="","",COUNTA($B$5:$B2088))</f>
        <v/>
      </c>
      <c r="B2088" s="53"/>
      <c r="C2088" s="46"/>
      <c r="D2088" s="63" t="str">
        <f>IFERROR(INDEX(基础资料!$F$4:$F$23,MATCH($C2088,基础资料!$E$4:$E$23,0)),IF($C2088="","","未匹配账户"))</f>
        <v/>
      </c>
      <c r="E2088" s="39"/>
      <c r="F2088" s="10"/>
      <c r="G2088" s="10"/>
      <c r="H2088" s="10"/>
      <c r="I2088" s="10"/>
      <c r="J2088" s="10"/>
      <c r="K2088" s="25"/>
      <c r="L2088" s="25"/>
      <c r="M2088" s="25" t="str">
        <f>IFERROR(VLOOKUP($C2088,$C$5:$M$24,11,0)+SUMIF($C$25:$C2088,$C2088,$K$25:$K2088)-SUMIF($C$25:$C2088,$C2088,$L$25:$L2088),"")</f>
        <v/>
      </c>
      <c r="N2088" s="10"/>
      <c r="O2088" s="10"/>
      <c r="P2088" s="65"/>
      <c r="Q2088" s="10"/>
      <c r="R2088" s="10"/>
      <c r="S2088" s="54" t="str">
        <f t="shared" si="102"/>
        <v/>
      </c>
      <c r="T2088" s="54" t="str">
        <f t="shared" si="103"/>
        <v/>
      </c>
      <c r="U2088" s="58" t="str">
        <f t="shared" si="104"/>
        <v/>
      </c>
      <c r="V2088" s="58">
        <f>IF(AND($B2088&lt;&gt;"",$F2088&lt;&gt;"",$F2088=项目明细账!$C$2),N(V2087)+1,N(V2087))</f>
        <v>0</v>
      </c>
      <c r="W2088" s="63" t="str">
        <f>IF($H2088&lt;&gt;"","项目成本",IFERROR(INDEX(基础资料!$W$4:$W$49,MATCH($I2088,基础资料!$V$4:$V$49,0)),""))</f>
        <v/>
      </c>
      <c r="X2088" s="63" t="str">
        <f>IFERROR(INDEX(基础资料!$R$4:$R$17,MATCH($G2088,基础资料!$Q$4:$Q$17,0)),"")</f>
        <v/>
      </c>
    </row>
    <row r="2089" spans="1:24">
      <c r="A2089" s="58" t="str">
        <f>IF($B2089="","",COUNTA($B$5:$B2089))</f>
        <v/>
      </c>
      <c r="B2089" s="53"/>
      <c r="C2089" s="46"/>
      <c r="D2089" s="63" t="str">
        <f>IFERROR(INDEX(基础资料!$F$4:$F$23,MATCH($C2089,基础资料!$E$4:$E$23,0)),IF($C2089="","","未匹配账户"))</f>
        <v/>
      </c>
      <c r="E2089" s="39"/>
      <c r="F2089" s="10"/>
      <c r="G2089" s="10"/>
      <c r="H2089" s="10"/>
      <c r="I2089" s="10"/>
      <c r="J2089" s="10"/>
      <c r="K2089" s="25"/>
      <c r="L2089" s="25"/>
      <c r="M2089" s="25" t="str">
        <f>IFERROR(VLOOKUP($C2089,$C$5:$M$24,11,0)+SUMIF($C$25:$C2089,$C2089,$K$25:$K2089)-SUMIF($C$25:$C2089,$C2089,$L$25:$L2089),"")</f>
        <v/>
      </c>
      <c r="N2089" s="10"/>
      <c r="O2089" s="10"/>
      <c r="P2089" s="65"/>
      <c r="Q2089" s="10"/>
      <c r="R2089" s="10"/>
      <c r="S2089" s="54" t="str">
        <f t="shared" si="102"/>
        <v/>
      </c>
      <c r="T2089" s="54" t="str">
        <f t="shared" si="103"/>
        <v/>
      </c>
      <c r="U2089" s="58" t="str">
        <f t="shared" si="104"/>
        <v/>
      </c>
      <c r="V2089" s="58">
        <f>IF(AND($B2089&lt;&gt;"",$F2089&lt;&gt;"",$F2089=项目明细账!$C$2),N(V2088)+1,N(V2088))</f>
        <v>0</v>
      </c>
      <c r="W2089" s="63" t="str">
        <f>IF($H2089&lt;&gt;"","项目成本",IFERROR(INDEX(基础资料!$W$4:$W$49,MATCH($I2089,基础资料!$V$4:$V$49,0)),""))</f>
        <v/>
      </c>
      <c r="X2089" s="63" t="str">
        <f>IFERROR(INDEX(基础资料!$R$4:$R$17,MATCH($G2089,基础资料!$Q$4:$Q$17,0)),"")</f>
        <v/>
      </c>
    </row>
    <row r="2090" spans="1:24">
      <c r="A2090" s="58" t="str">
        <f>IF($B2090="","",COUNTA($B$5:$B2090))</f>
        <v/>
      </c>
      <c r="B2090" s="53"/>
      <c r="C2090" s="46"/>
      <c r="D2090" s="63" t="str">
        <f>IFERROR(INDEX(基础资料!$F$4:$F$23,MATCH($C2090,基础资料!$E$4:$E$23,0)),IF($C2090="","","未匹配账户"))</f>
        <v/>
      </c>
      <c r="E2090" s="39"/>
      <c r="F2090" s="10"/>
      <c r="G2090" s="10"/>
      <c r="H2090" s="10"/>
      <c r="I2090" s="10"/>
      <c r="J2090" s="10"/>
      <c r="K2090" s="25"/>
      <c r="L2090" s="25"/>
      <c r="M2090" s="25" t="str">
        <f>IFERROR(VLOOKUP($C2090,$C$5:$M$24,11,0)+SUMIF($C$25:$C2090,$C2090,$K$25:$K2090)-SUMIF($C$25:$C2090,$C2090,$L$25:$L2090),"")</f>
        <v/>
      </c>
      <c r="N2090" s="10"/>
      <c r="O2090" s="10"/>
      <c r="P2090" s="65"/>
      <c r="Q2090" s="10"/>
      <c r="R2090" s="10"/>
      <c r="S2090" s="54" t="str">
        <f t="shared" si="102"/>
        <v/>
      </c>
      <c r="T2090" s="54" t="str">
        <f t="shared" si="103"/>
        <v/>
      </c>
      <c r="U2090" s="58" t="str">
        <f t="shared" si="104"/>
        <v/>
      </c>
      <c r="V2090" s="58">
        <f>IF(AND($B2090&lt;&gt;"",$F2090&lt;&gt;"",$F2090=项目明细账!$C$2),N(V2089)+1,N(V2089))</f>
        <v>0</v>
      </c>
      <c r="W2090" s="63" t="str">
        <f>IF($H2090&lt;&gt;"","项目成本",IFERROR(INDEX(基础资料!$W$4:$W$49,MATCH($I2090,基础资料!$V$4:$V$49,0)),""))</f>
        <v/>
      </c>
      <c r="X2090" s="63" t="str">
        <f>IFERROR(INDEX(基础资料!$R$4:$R$17,MATCH($G2090,基础资料!$Q$4:$Q$17,0)),"")</f>
        <v/>
      </c>
    </row>
    <row r="2091" spans="1:24">
      <c r="A2091" s="58" t="str">
        <f>IF($B2091="","",COUNTA($B$5:$B2091))</f>
        <v/>
      </c>
      <c r="B2091" s="53"/>
      <c r="C2091" s="46"/>
      <c r="D2091" s="63" t="str">
        <f>IFERROR(INDEX(基础资料!$F$4:$F$23,MATCH($C2091,基础资料!$E$4:$E$23,0)),IF($C2091="","","未匹配账户"))</f>
        <v/>
      </c>
      <c r="E2091" s="39"/>
      <c r="F2091" s="10"/>
      <c r="G2091" s="10"/>
      <c r="H2091" s="10"/>
      <c r="I2091" s="10"/>
      <c r="J2091" s="10"/>
      <c r="K2091" s="25"/>
      <c r="L2091" s="25"/>
      <c r="M2091" s="25" t="str">
        <f>IFERROR(VLOOKUP($C2091,$C$5:$M$24,11,0)+SUMIF($C$25:$C2091,$C2091,$K$25:$K2091)-SUMIF($C$25:$C2091,$C2091,$L$25:$L2091),"")</f>
        <v/>
      </c>
      <c r="N2091" s="10"/>
      <c r="O2091" s="10"/>
      <c r="P2091" s="65"/>
      <c r="Q2091" s="10"/>
      <c r="R2091" s="10"/>
      <c r="S2091" s="54" t="str">
        <f t="shared" si="102"/>
        <v/>
      </c>
      <c r="T2091" s="54" t="str">
        <f t="shared" si="103"/>
        <v/>
      </c>
      <c r="U2091" s="58" t="str">
        <f t="shared" si="104"/>
        <v/>
      </c>
      <c r="V2091" s="58">
        <f>IF(AND($B2091&lt;&gt;"",$F2091&lt;&gt;"",$F2091=项目明细账!$C$2),N(V2090)+1,N(V2090))</f>
        <v>0</v>
      </c>
      <c r="W2091" s="63" t="str">
        <f>IF($H2091&lt;&gt;"","项目成本",IFERROR(INDEX(基础资料!$W$4:$W$49,MATCH($I2091,基础资料!$V$4:$V$49,0)),""))</f>
        <v/>
      </c>
      <c r="X2091" s="63" t="str">
        <f>IFERROR(INDEX(基础资料!$R$4:$R$17,MATCH($G2091,基础资料!$Q$4:$Q$17,0)),"")</f>
        <v/>
      </c>
    </row>
    <row r="2092" spans="1:24">
      <c r="A2092" s="58" t="str">
        <f>IF($B2092="","",COUNTA($B$5:$B2092))</f>
        <v/>
      </c>
      <c r="B2092" s="53"/>
      <c r="C2092" s="46"/>
      <c r="D2092" s="63" t="str">
        <f>IFERROR(INDEX(基础资料!$F$4:$F$23,MATCH($C2092,基础资料!$E$4:$E$23,0)),IF($C2092="","","未匹配账户"))</f>
        <v/>
      </c>
      <c r="E2092" s="39"/>
      <c r="F2092" s="10"/>
      <c r="G2092" s="10"/>
      <c r="H2092" s="10"/>
      <c r="I2092" s="10"/>
      <c r="J2092" s="10"/>
      <c r="K2092" s="25"/>
      <c r="L2092" s="25"/>
      <c r="M2092" s="25" t="str">
        <f>IFERROR(VLOOKUP($C2092,$C$5:$M$24,11,0)+SUMIF($C$25:$C2092,$C2092,$K$25:$K2092)-SUMIF($C$25:$C2092,$C2092,$L$25:$L2092),"")</f>
        <v/>
      </c>
      <c r="N2092" s="10"/>
      <c r="O2092" s="10"/>
      <c r="P2092" s="65"/>
      <c r="Q2092" s="10"/>
      <c r="R2092" s="10"/>
      <c r="S2092" s="54" t="str">
        <f t="shared" si="102"/>
        <v/>
      </c>
      <c r="T2092" s="54" t="str">
        <f t="shared" si="103"/>
        <v/>
      </c>
      <c r="U2092" s="58" t="str">
        <f t="shared" si="104"/>
        <v/>
      </c>
      <c r="V2092" s="58">
        <f>IF(AND($B2092&lt;&gt;"",$F2092&lt;&gt;"",$F2092=项目明细账!$C$2),N(V2091)+1,N(V2091))</f>
        <v>0</v>
      </c>
      <c r="W2092" s="63" t="str">
        <f>IF($H2092&lt;&gt;"","项目成本",IFERROR(INDEX(基础资料!$W$4:$W$49,MATCH($I2092,基础资料!$V$4:$V$49,0)),""))</f>
        <v/>
      </c>
      <c r="X2092" s="63" t="str">
        <f>IFERROR(INDEX(基础资料!$R$4:$R$17,MATCH($G2092,基础资料!$Q$4:$Q$17,0)),"")</f>
        <v/>
      </c>
    </row>
    <row r="2093" spans="1:24">
      <c r="A2093" s="58" t="str">
        <f>IF($B2093="","",COUNTA($B$5:$B2093))</f>
        <v/>
      </c>
      <c r="B2093" s="53"/>
      <c r="C2093" s="46"/>
      <c r="D2093" s="63" t="str">
        <f>IFERROR(INDEX(基础资料!$F$4:$F$23,MATCH($C2093,基础资料!$E$4:$E$23,0)),IF($C2093="","","未匹配账户"))</f>
        <v/>
      </c>
      <c r="E2093" s="39"/>
      <c r="F2093" s="10"/>
      <c r="G2093" s="10"/>
      <c r="H2093" s="10"/>
      <c r="I2093" s="10"/>
      <c r="J2093" s="10"/>
      <c r="K2093" s="25"/>
      <c r="L2093" s="25"/>
      <c r="M2093" s="25" t="str">
        <f>IFERROR(VLOOKUP($C2093,$C$5:$M$24,11,0)+SUMIF($C$25:$C2093,$C2093,$K$25:$K2093)-SUMIF($C$25:$C2093,$C2093,$L$25:$L2093),"")</f>
        <v/>
      </c>
      <c r="N2093" s="10"/>
      <c r="O2093" s="10"/>
      <c r="P2093" s="65"/>
      <c r="Q2093" s="10"/>
      <c r="R2093" s="10"/>
      <c r="S2093" s="54" t="str">
        <f t="shared" si="102"/>
        <v/>
      </c>
      <c r="T2093" s="54" t="str">
        <f t="shared" si="103"/>
        <v/>
      </c>
      <c r="U2093" s="58" t="str">
        <f t="shared" si="104"/>
        <v/>
      </c>
      <c r="V2093" s="58">
        <f>IF(AND($B2093&lt;&gt;"",$F2093&lt;&gt;"",$F2093=项目明细账!$C$2),N(V2092)+1,N(V2092))</f>
        <v>0</v>
      </c>
      <c r="W2093" s="63" t="str">
        <f>IF($H2093&lt;&gt;"","项目成本",IFERROR(INDEX(基础资料!$W$4:$W$49,MATCH($I2093,基础资料!$V$4:$V$49,0)),""))</f>
        <v/>
      </c>
      <c r="X2093" s="63" t="str">
        <f>IFERROR(INDEX(基础资料!$R$4:$R$17,MATCH($G2093,基础资料!$Q$4:$Q$17,0)),"")</f>
        <v/>
      </c>
    </row>
    <row r="2094" spans="1:24">
      <c r="A2094" s="58" t="str">
        <f>IF($B2094="","",COUNTA($B$5:$B2094))</f>
        <v/>
      </c>
      <c r="B2094" s="53"/>
      <c r="C2094" s="46"/>
      <c r="D2094" s="63" t="str">
        <f>IFERROR(INDEX(基础资料!$F$4:$F$23,MATCH($C2094,基础资料!$E$4:$E$23,0)),IF($C2094="","","未匹配账户"))</f>
        <v/>
      </c>
      <c r="E2094" s="39"/>
      <c r="F2094" s="10"/>
      <c r="G2094" s="10"/>
      <c r="H2094" s="10"/>
      <c r="I2094" s="10"/>
      <c r="J2094" s="10"/>
      <c r="K2094" s="25"/>
      <c r="L2094" s="25"/>
      <c r="M2094" s="25" t="str">
        <f>IFERROR(VLOOKUP($C2094,$C$5:$M$24,11,0)+SUMIF($C$25:$C2094,$C2094,$K$25:$K2094)-SUMIF($C$25:$C2094,$C2094,$L$25:$L2094),"")</f>
        <v/>
      </c>
      <c r="N2094" s="10"/>
      <c r="O2094" s="10"/>
      <c r="P2094" s="65"/>
      <c r="Q2094" s="10"/>
      <c r="R2094" s="10"/>
      <c r="S2094" s="54" t="str">
        <f t="shared" si="102"/>
        <v/>
      </c>
      <c r="T2094" s="54" t="str">
        <f t="shared" si="103"/>
        <v/>
      </c>
      <c r="U2094" s="58" t="str">
        <f t="shared" si="104"/>
        <v/>
      </c>
      <c r="V2094" s="58">
        <f>IF(AND($B2094&lt;&gt;"",$F2094&lt;&gt;"",$F2094=项目明细账!$C$2),N(V2093)+1,N(V2093))</f>
        <v>0</v>
      </c>
      <c r="W2094" s="63" t="str">
        <f>IF($H2094&lt;&gt;"","项目成本",IFERROR(INDEX(基础资料!$W$4:$W$49,MATCH($I2094,基础资料!$V$4:$V$49,0)),""))</f>
        <v/>
      </c>
      <c r="X2094" s="63" t="str">
        <f>IFERROR(INDEX(基础资料!$R$4:$R$17,MATCH($G2094,基础资料!$Q$4:$Q$17,0)),"")</f>
        <v/>
      </c>
    </row>
    <row r="2095" spans="1:24">
      <c r="A2095" s="58" t="str">
        <f>IF($B2095="","",COUNTA($B$5:$B2095))</f>
        <v/>
      </c>
      <c r="B2095" s="53"/>
      <c r="C2095" s="46"/>
      <c r="D2095" s="63" t="str">
        <f>IFERROR(INDEX(基础资料!$F$4:$F$23,MATCH($C2095,基础资料!$E$4:$E$23,0)),IF($C2095="","","未匹配账户"))</f>
        <v/>
      </c>
      <c r="E2095" s="39"/>
      <c r="F2095" s="10"/>
      <c r="G2095" s="10"/>
      <c r="H2095" s="10"/>
      <c r="I2095" s="10"/>
      <c r="J2095" s="10"/>
      <c r="K2095" s="25"/>
      <c r="L2095" s="25"/>
      <c r="M2095" s="25" t="str">
        <f>IFERROR(VLOOKUP($C2095,$C$5:$M$24,11,0)+SUMIF($C$25:$C2095,$C2095,$K$25:$K2095)-SUMIF($C$25:$C2095,$C2095,$L$25:$L2095),"")</f>
        <v/>
      </c>
      <c r="N2095" s="10"/>
      <c r="O2095" s="10"/>
      <c r="P2095" s="65"/>
      <c r="Q2095" s="10"/>
      <c r="R2095" s="10"/>
      <c r="S2095" s="54" t="str">
        <f t="shared" si="102"/>
        <v/>
      </c>
      <c r="T2095" s="54" t="str">
        <f t="shared" si="103"/>
        <v/>
      </c>
      <c r="U2095" s="58" t="str">
        <f t="shared" si="104"/>
        <v/>
      </c>
      <c r="V2095" s="58">
        <f>IF(AND($B2095&lt;&gt;"",$F2095&lt;&gt;"",$F2095=项目明细账!$C$2),N(V2094)+1,N(V2094))</f>
        <v>0</v>
      </c>
      <c r="W2095" s="63" t="str">
        <f>IF($H2095&lt;&gt;"","项目成本",IFERROR(INDEX(基础资料!$W$4:$W$49,MATCH($I2095,基础资料!$V$4:$V$49,0)),""))</f>
        <v/>
      </c>
      <c r="X2095" s="63" t="str">
        <f>IFERROR(INDEX(基础资料!$R$4:$R$17,MATCH($G2095,基础资料!$Q$4:$Q$17,0)),"")</f>
        <v/>
      </c>
    </row>
    <row r="2096" spans="1:24">
      <c r="A2096" s="58" t="str">
        <f>IF($B2096="","",COUNTA($B$5:$B2096))</f>
        <v/>
      </c>
      <c r="B2096" s="53"/>
      <c r="C2096" s="46"/>
      <c r="D2096" s="63" t="str">
        <f>IFERROR(INDEX(基础资料!$F$4:$F$23,MATCH($C2096,基础资料!$E$4:$E$23,0)),IF($C2096="","","未匹配账户"))</f>
        <v/>
      </c>
      <c r="E2096" s="39"/>
      <c r="F2096" s="10"/>
      <c r="G2096" s="10"/>
      <c r="H2096" s="10"/>
      <c r="I2096" s="10"/>
      <c r="J2096" s="10"/>
      <c r="K2096" s="25"/>
      <c r="L2096" s="25"/>
      <c r="M2096" s="25" t="str">
        <f>IFERROR(VLOOKUP($C2096,$C$5:$M$24,11,0)+SUMIF($C$25:$C2096,$C2096,$K$25:$K2096)-SUMIF($C$25:$C2096,$C2096,$L$25:$L2096),"")</f>
        <v/>
      </c>
      <c r="N2096" s="10"/>
      <c r="O2096" s="10"/>
      <c r="P2096" s="65"/>
      <c r="Q2096" s="10"/>
      <c r="R2096" s="10"/>
      <c r="S2096" s="54" t="str">
        <f t="shared" si="102"/>
        <v/>
      </c>
      <c r="T2096" s="54" t="str">
        <f t="shared" si="103"/>
        <v/>
      </c>
      <c r="U2096" s="58" t="str">
        <f t="shared" si="104"/>
        <v/>
      </c>
      <c r="V2096" s="58">
        <f>IF(AND($B2096&lt;&gt;"",$F2096&lt;&gt;"",$F2096=项目明细账!$C$2),N(V2095)+1,N(V2095))</f>
        <v>0</v>
      </c>
      <c r="W2096" s="63" t="str">
        <f>IF($H2096&lt;&gt;"","项目成本",IFERROR(INDEX(基础资料!$W$4:$W$49,MATCH($I2096,基础资料!$V$4:$V$49,0)),""))</f>
        <v/>
      </c>
      <c r="X2096" s="63" t="str">
        <f>IFERROR(INDEX(基础资料!$R$4:$R$17,MATCH($G2096,基础资料!$Q$4:$Q$17,0)),"")</f>
        <v/>
      </c>
    </row>
    <row r="2097" spans="1:24">
      <c r="A2097" s="58" t="str">
        <f>IF($B2097="","",COUNTA($B$5:$B2097))</f>
        <v/>
      </c>
      <c r="B2097" s="53"/>
      <c r="C2097" s="46"/>
      <c r="D2097" s="63" t="str">
        <f>IFERROR(INDEX(基础资料!$F$4:$F$23,MATCH($C2097,基础资料!$E$4:$E$23,0)),IF($C2097="","","未匹配账户"))</f>
        <v/>
      </c>
      <c r="E2097" s="39"/>
      <c r="F2097" s="10"/>
      <c r="G2097" s="10"/>
      <c r="H2097" s="10"/>
      <c r="I2097" s="10"/>
      <c r="J2097" s="10"/>
      <c r="K2097" s="25"/>
      <c r="L2097" s="25"/>
      <c r="M2097" s="25" t="str">
        <f>IFERROR(VLOOKUP($C2097,$C$5:$M$24,11,0)+SUMIF($C$25:$C2097,$C2097,$K$25:$K2097)-SUMIF($C$25:$C2097,$C2097,$L$25:$L2097),"")</f>
        <v/>
      </c>
      <c r="N2097" s="10"/>
      <c r="O2097" s="10"/>
      <c r="P2097" s="65"/>
      <c r="Q2097" s="10"/>
      <c r="R2097" s="10"/>
      <c r="S2097" s="54" t="str">
        <f t="shared" si="102"/>
        <v/>
      </c>
      <c r="T2097" s="54" t="str">
        <f t="shared" si="103"/>
        <v/>
      </c>
      <c r="U2097" s="58" t="str">
        <f t="shared" si="104"/>
        <v/>
      </c>
      <c r="V2097" s="58">
        <f>IF(AND($B2097&lt;&gt;"",$F2097&lt;&gt;"",$F2097=项目明细账!$C$2),N(V2096)+1,N(V2096))</f>
        <v>0</v>
      </c>
      <c r="W2097" s="63" t="str">
        <f>IF($H2097&lt;&gt;"","项目成本",IFERROR(INDEX(基础资料!$W$4:$W$49,MATCH($I2097,基础资料!$V$4:$V$49,0)),""))</f>
        <v/>
      </c>
      <c r="X2097" s="63" t="str">
        <f>IFERROR(INDEX(基础资料!$R$4:$R$17,MATCH($G2097,基础资料!$Q$4:$Q$17,0)),"")</f>
        <v/>
      </c>
    </row>
    <row r="2098" spans="1:24">
      <c r="A2098" s="58" t="str">
        <f>IF($B2098="","",COUNTA($B$5:$B2098))</f>
        <v/>
      </c>
      <c r="B2098" s="53"/>
      <c r="C2098" s="46"/>
      <c r="D2098" s="63" t="str">
        <f>IFERROR(INDEX(基础资料!$F$4:$F$23,MATCH($C2098,基础资料!$E$4:$E$23,0)),IF($C2098="","","未匹配账户"))</f>
        <v/>
      </c>
      <c r="E2098" s="39"/>
      <c r="F2098" s="10"/>
      <c r="G2098" s="10"/>
      <c r="H2098" s="10"/>
      <c r="I2098" s="10"/>
      <c r="J2098" s="10"/>
      <c r="K2098" s="25"/>
      <c r="L2098" s="25"/>
      <c r="M2098" s="25" t="str">
        <f>IFERROR(VLOOKUP($C2098,$C$5:$M$24,11,0)+SUMIF($C$25:$C2098,$C2098,$K$25:$K2098)-SUMIF($C$25:$C2098,$C2098,$L$25:$L2098),"")</f>
        <v/>
      </c>
      <c r="N2098" s="10"/>
      <c r="O2098" s="10"/>
      <c r="P2098" s="65"/>
      <c r="Q2098" s="10"/>
      <c r="R2098" s="10"/>
      <c r="S2098" s="54" t="str">
        <f t="shared" si="102"/>
        <v/>
      </c>
      <c r="T2098" s="54" t="str">
        <f t="shared" si="103"/>
        <v/>
      </c>
      <c r="U2098" s="58" t="str">
        <f t="shared" si="104"/>
        <v/>
      </c>
      <c r="V2098" s="58">
        <f>IF(AND($B2098&lt;&gt;"",$F2098&lt;&gt;"",$F2098=项目明细账!$C$2),N(V2097)+1,N(V2097))</f>
        <v>0</v>
      </c>
      <c r="W2098" s="63" t="str">
        <f>IF($H2098&lt;&gt;"","项目成本",IFERROR(INDEX(基础资料!$W$4:$W$49,MATCH($I2098,基础资料!$V$4:$V$49,0)),""))</f>
        <v/>
      </c>
      <c r="X2098" s="63" t="str">
        <f>IFERROR(INDEX(基础资料!$R$4:$R$17,MATCH($G2098,基础资料!$Q$4:$Q$17,0)),"")</f>
        <v/>
      </c>
    </row>
    <row r="2099" spans="1:24">
      <c r="A2099" s="58" t="str">
        <f>IF($B2099="","",COUNTA($B$5:$B2099))</f>
        <v/>
      </c>
      <c r="B2099" s="53"/>
      <c r="C2099" s="46"/>
      <c r="D2099" s="63" t="str">
        <f>IFERROR(INDEX(基础资料!$F$4:$F$23,MATCH($C2099,基础资料!$E$4:$E$23,0)),IF($C2099="","","未匹配账户"))</f>
        <v/>
      </c>
      <c r="E2099" s="39"/>
      <c r="F2099" s="10"/>
      <c r="G2099" s="10"/>
      <c r="H2099" s="10"/>
      <c r="I2099" s="10"/>
      <c r="J2099" s="10"/>
      <c r="K2099" s="25"/>
      <c r="L2099" s="25"/>
      <c r="M2099" s="25" t="str">
        <f>IFERROR(VLOOKUP($C2099,$C$5:$M$24,11,0)+SUMIF($C$25:$C2099,$C2099,$K$25:$K2099)-SUMIF($C$25:$C2099,$C2099,$L$25:$L2099),"")</f>
        <v/>
      </c>
      <c r="N2099" s="10"/>
      <c r="O2099" s="10"/>
      <c r="P2099" s="65"/>
      <c r="Q2099" s="10"/>
      <c r="R2099" s="10"/>
      <c r="S2099" s="54" t="str">
        <f t="shared" si="102"/>
        <v/>
      </c>
      <c r="T2099" s="54" t="str">
        <f t="shared" si="103"/>
        <v/>
      </c>
      <c r="U2099" s="58" t="str">
        <f t="shared" si="104"/>
        <v/>
      </c>
      <c r="V2099" s="58">
        <f>IF(AND($B2099&lt;&gt;"",$F2099&lt;&gt;"",$F2099=项目明细账!$C$2),N(V2098)+1,N(V2098))</f>
        <v>0</v>
      </c>
      <c r="W2099" s="63" t="str">
        <f>IF($H2099&lt;&gt;"","项目成本",IFERROR(INDEX(基础资料!$W$4:$W$49,MATCH($I2099,基础资料!$V$4:$V$49,0)),""))</f>
        <v/>
      </c>
      <c r="X2099" s="63" t="str">
        <f>IFERROR(INDEX(基础资料!$R$4:$R$17,MATCH($G2099,基础资料!$Q$4:$Q$17,0)),"")</f>
        <v/>
      </c>
    </row>
    <row r="2100" spans="1:24">
      <c r="A2100" s="58" t="str">
        <f>IF($B2100="","",COUNTA($B$5:$B2100))</f>
        <v/>
      </c>
      <c r="B2100" s="53"/>
      <c r="C2100" s="46"/>
      <c r="D2100" s="63" t="str">
        <f>IFERROR(INDEX(基础资料!$F$4:$F$23,MATCH($C2100,基础资料!$E$4:$E$23,0)),IF($C2100="","","未匹配账户"))</f>
        <v/>
      </c>
      <c r="E2100" s="39"/>
      <c r="F2100" s="10"/>
      <c r="G2100" s="10"/>
      <c r="H2100" s="10"/>
      <c r="I2100" s="10"/>
      <c r="J2100" s="10"/>
      <c r="K2100" s="25"/>
      <c r="L2100" s="25"/>
      <c r="M2100" s="25" t="str">
        <f>IFERROR(VLOOKUP($C2100,$C$5:$M$24,11,0)+SUMIF($C$25:$C2100,$C2100,$K$25:$K2100)-SUMIF($C$25:$C2100,$C2100,$L$25:$L2100),"")</f>
        <v/>
      </c>
      <c r="N2100" s="10"/>
      <c r="O2100" s="10"/>
      <c r="P2100" s="65"/>
      <c r="Q2100" s="10"/>
      <c r="R2100" s="10"/>
      <c r="S2100" s="54" t="str">
        <f t="shared" si="102"/>
        <v/>
      </c>
      <c r="T2100" s="54" t="str">
        <f t="shared" si="103"/>
        <v/>
      </c>
      <c r="U2100" s="58" t="str">
        <f t="shared" si="104"/>
        <v/>
      </c>
      <c r="V2100" s="58">
        <f>IF(AND($B2100&lt;&gt;"",$F2100&lt;&gt;"",$F2100=项目明细账!$C$2),N(V2099)+1,N(V2099))</f>
        <v>0</v>
      </c>
      <c r="W2100" s="63" t="str">
        <f>IF($H2100&lt;&gt;"","项目成本",IFERROR(INDEX(基础资料!$W$4:$W$49,MATCH($I2100,基础资料!$V$4:$V$49,0)),""))</f>
        <v/>
      </c>
      <c r="X2100" s="63" t="str">
        <f>IFERROR(INDEX(基础资料!$R$4:$R$17,MATCH($G2100,基础资料!$Q$4:$Q$17,0)),"")</f>
        <v/>
      </c>
    </row>
    <row r="2101" spans="1:24">
      <c r="A2101" s="58" t="str">
        <f>IF($B2101="","",COUNTA($B$5:$B2101))</f>
        <v/>
      </c>
      <c r="B2101" s="53"/>
      <c r="C2101" s="46"/>
      <c r="D2101" s="63" t="str">
        <f>IFERROR(INDEX(基础资料!$F$4:$F$23,MATCH($C2101,基础资料!$E$4:$E$23,0)),IF($C2101="","","未匹配账户"))</f>
        <v/>
      </c>
      <c r="E2101" s="39"/>
      <c r="F2101" s="10"/>
      <c r="G2101" s="10"/>
      <c r="H2101" s="10"/>
      <c r="I2101" s="10"/>
      <c r="J2101" s="10"/>
      <c r="K2101" s="25"/>
      <c r="L2101" s="25"/>
      <c r="M2101" s="25" t="str">
        <f>IFERROR(VLOOKUP($C2101,$C$5:$M$24,11,0)+SUMIF($C$25:$C2101,$C2101,$K$25:$K2101)-SUMIF($C$25:$C2101,$C2101,$L$25:$L2101),"")</f>
        <v/>
      </c>
      <c r="N2101" s="10"/>
      <c r="O2101" s="10"/>
      <c r="P2101" s="65"/>
      <c r="Q2101" s="10"/>
      <c r="R2101" s="10"/>
      <c r="S2101" s="54" t="str">
        <f t="shared" si="102"/>
        <v/>
      </c>
      <c r="T2101" s="54" t="str">
        <f t="shared" si="103"/>
        <v/>
      </c>
      <c r="U2101" s="58" t="str">
        <f t="shared" si="104"/>
        <v/>
      </c>
      <c r="V2101" s="58">
        <f>IF(AND($B2101&lt;&gt;"",$F2101&lt;&gt;"",$F2101=项目明细账!$C$2),N(V2100)+1,N(V2100))</f>
        <v>0</v>
      </c>
      <c r="W2101" s="63" t="str">
        <f>IF($H2101&lt;&gt;"","项目成本",IFERROR(INDEX(基础资料!$W$4:$W$49,MATCH($I2101,基础资料!$V$4:$V$49,0)),""))</f>
        <v/>
      </c>
      <c r="X2101" s="63" t="str">
        <f>IFERROR(INDEX(基础资料!$R$4:$R$17,MATCH($G2101,基础资料!$Q$4:$Q$17,0)),"")</f>
        <v/>
      </c>
    </row>
    <row r="2102" spans="1:24">
      <c r="A2102" s="58" t="str">
        <f>IF($B2102="","",COUNTA($B$5:$B2102))</f>
        <v/>
      </c>
      <c r="B2102" s="53"/>
      <c r="C2102" s="46"/>
      <c r="D2102" s="63" t="str">
        <f>IFERROR(INDEX(基础资料!$F$4:$F$23,MATCH($C2102,基础资料!$E$4:$E$23,0)),IF($C2102="","","未匹配账户"))</f>
        <v/>
      </c>
      <c r="E2102" s="39"/>
      <c r="F2102" s="10"/>
      <c r="G2102" s="10"/>
      <c r="H2102" s="10"/>
      <c r="I2102" s="10"/>
      <c r="J2102" s="10"/>
      <c r="K2102" s="25"/>
      <c r="L2102" s="25"/>
      <c r="M2102" s="25" t="str">
        <f>IFERROR(VLOOKUP($C2102,$C$5:$M$24,11,0)+SUMIF($C$25:$C2102,$C2102,$K$25:$K2102)-SUMIF($C$25:$C2102,$C2102,$L$25:$L2102),"")</f>
        <v/>
      </c>
      <c r="N2102" s="10"/>
      <c r="O2102" s="10"/>
      <c r="P2102" s="65"/>
      <c r="Q2102" s="10"/>
      <c r="R2102" s="10"/>
      <c r="S2102" s="54" t="str">
        <f t="shared" si="102"/>
        <v/>
      </c>
      <c r="T2102" s="54" t="str">
        <f t="shared" si="103"/>
        <v/>
      </c>
      <c r="U2102" s="58" t="str">
        <f t="shared" si="104"/>
        <v/>
      </c>
      <c r="V2102" s="58">
        <f>IF(AND($B2102&lt;&gt;"",$F2102&lt;&gt;"",$F2102=项目明细账!$C$2),N(V2101)+1,N(V2101))</f>
        <v>0</v>
      </c>
      <c r="W2102" s="63" t="str">
        <f>IF($H2102&lt;&gt;"","项目成本",IFERROR(INDEX(基础资料!$W$4:$W$49,MATCH($I2102,基础资料!$V$4:$V$49,0)),""))</f>
        <v/>
      </c>
      <c r="X2102" s="63" t="str">
        <f>IFERROR(INDEX(基础资料!$R$4:$R$17,MATCH($G2102,基础资料!$Q$4:$Q$17,0)),"")</f>
        <v/>
      </c>
    </row>
    <row r="2103" spans="1:24">
      <c r="A2103" s="58" t="str">
        <f>IF($B2103="","",COUNTA($B$5:$B2103))</f>
        <v/>
      </c>
      <c r="B2103" s="53"/>
      <c r="C2103" s="46"/>
      <c r="D2103" s="63" t="str">
        <f>IFERROR(INDEX(基础资料!$F$4:$F$23,MATCH($C2103,基础资料!$E$4:$E$23,0)),IF($C2103="","","未匹配账户"))</f>
        <v/>
      </c>
      <c r="E2103" s="39"/>
      <c r="F2103" s="10"/>
      <c r="G2103" s="10"/>
      <c r="H2103" s="10"/>
      <c r="I2103" s="10"/>
      <c r="J2103" s="10"/>
      <c r="K2103" s="25"/>
      <c r="L2103" s="25"/>
      <c r="M2103" s="25" t="str">
        <f>IFERROR(VLOOKUP($C2103,$C$5:$M$24,11,0)+SUMIF($C$25:$C2103,$C2103,$K$25:$K2103)-SUMIF($C$25:$C2103,$C2103,$L$25:$L2103),"")</f>
        <v/>
      </c>
      <c r="N2103" s="10"/>
      <c r="O2103" s="10"/>
      <c r="P2103" s="65"/>
      <c r="Q2103" s="10"/>
      <c r="R2103" s="10"/>
      <c r="S2103" s="54" t="str">
        <f t="shared" si="102"/>
        <v/>
      </c>
      <c r="T2103" s="54" t="str">
        <f t="shared" si="103"/>
        <v/>
      </c>
      <c r="U2103" s="58" t="str">
        <f t="shared" si="104"/>
        <v/>
      </c>
      <c r="V2103" s="58">
        <f>IF(AND($B2103&lt;&gt;"",$F2103&lt;&gt;"",$F2103=项目明细账!$C$2),N(V2102)+1,N(V2102))</f>
        <v>0</v>
      </c>
      <c r="W2103" s="63" t="str">
        <f>IF($H2103&lt;&gt;"","项目成本",IFERROR(INDEX(基础资料!$W$4:$W$49,MATCH($I2103,基础资料!$V$4:$V$49,0)),""))</f>
        <v/>
      </c>
      <c r="X2103" s="63" t="str">
        <f>IFERROR(INDEX(基础资料!$R$4:$R$17,MATCH($G2103,基础资料!$Q$4:$Q$17,0)),"")</f>
        <v/>
      </c>
    </row>
    <row r="2104" spans="1:24">
      <c r="A2104" s="58" t="str">
        <f>IF($B2104="","",COUNTA($B$5:$B2104))</f>
        <v/>
      </c>
      <c r="B2104" s="53"/>
      <c r="C2104" s="46"/>
      <c r="D2104" s="63" t="str">
        <f>IFERROR(INDEX(基础资料!$F$4:$F$23,MATCH($C2104,基础资料!$E$4:$E$23,0)),IF($C2104="","","未匹配账户"))</f>
        <v/>
      </c>
      <c r="E2104" s="39"/>
      <c r="F2104" s="10"/>
      <c r="G2104" s="10"/>
      <c r="H2104" s="10"/>
      <c r="I2104" s="10"/>
      <c r="J2104" s="10"/>
      <c r="K2104" s="25"/>
      <c r="L2104" s="25"/>
      <c r="M2104" s="25" t="str">
        <f>IFERROR(VLOOKUP($C2104,$C$5:$M$24,11,0)+SUMIF($C$25:$C2104,$C2104,$K$25:$K2104)-SUMIF($C$25:$C2104,$C2104,$L$25:$L2104),"")</f>
        <v/>
      </c>
      <c r="N2104" s="10"/>
      <c r="O2104" s="10"/>
      <c r="P2104" s="65"/>
      <c r="Q2104" s="10"/>
      <c r="R2104" s="10"/>
      <c r="S2104" s="54" t="str">
        <f t="shared" si="102"/>
        <v/>
      </c>
      <c r="T2104" s="54" t="str">
        <f t="shared" si="103"/>
        <v/>
      </c>
      <c r="U2104" s="58" t="str">
        <f t="shared" si="104"/>
        <v/>
      </c>
      <c r="V2104" s="58">
        <f>IF(AND($B2104&lt;&gt;"",$F2104&lt;&gt;"",$F2104=项目明细账!$C$2),N(V2103)+1,N(V2103))</f>
        <v>0</v>
      </c>
      <c r="W2104" s="63" t="str">
        <f>IF($H2104&lt;&gt;"","项目成本",IFERROR(INDEX(基础资料!$W$4:$W$49,MATCH($I2104,基础资料!$V$4:$V$49,0)),""))</f>
        <v/>
      </c>
      <c r="X2104" s="63" t="str">
        <f>IFERROR(INDEX(基础资料!$R$4:$R$17,MATCH($G2104,基础资料!$Q$4:$Q$17,0)),"")</f>
        <v/>
      </c>
    </row>
    <row r="2105" spans="1:24">
      <c r="A2105" s="58" t="str">
        <f>IF($B2105="","",COUNTA($B$5:$B2105))</f>
        <v/>
      </c>
      <c r="B2105" s="53"/>
      <c r="C2105" s="46"/>
      <c r="D2105" s="63" t="str">
        <f>IFERROR(INDEX(基础资料!$F$4:$F$23,MATCH($C2105,基础资料!$E$4:$E$23,0)),IF($C2105="","","未匹配账户"))</f>
        <v/>
      </c>
      <c r="E2105" s="39"/>
      <c r="F2105" s="10"/>
      <c r="G2105" s="10"/>
      <c r="H2105" s="10"/>
      <c r="I2105" s="10"/>
      <c r="J2105" s="10"/>
      <c r="K2105" s="25"/>
      <c r="L2105" s="25"/>
      <c r="M2105" s="25" t="str">
        <f>IFERROR(VLOOKUP($C2105,$C$5:$M$24,11,0)+SUMIF($C$25:$C2105,$C2105,$K$25:$K2105)-SUMIF($C$25:$C2105,$C2105,$L$25:$L2105),"")</f>
        <v/>
      </c>
      <c r="N2105" s="10"/>
      <c r="O2105" s="10"/>
      <c r="P2105" s="65"/>
      <c r="Q2105" s="10"/>
      <c r="R2105" s="10"/>
      <c r="S2105" s="54" t="str">
        <f t="shared" si="102"/>
        <v/>
      </c>
      <c r="T2105" s="54" t="str">
        <f t="shared" si="103"/>
        <v/>
      </c>
      <c r="U2105" s="58" t="str">
        <f t="shared" si="104"/>
        <v/>
      </c>
      <c r="V2105" s="58">
        <f>IF(AND($B2105&lt;&gt;"",$F2105&lt;&gt;"",$F2105=项目明细账!$C$2),N(V2104)+1,N(V2104))</f>
        <v>0</v>
      </c>
      <c r="W2105" s="63" t="str">
        <f>IF($H2105&lt;&gt;"","项目成本",IFERROR(INDEX(基础资料!$W$4:$W$49,MATCH($I2105,基础资料!$V$4:$V$49,0)),""))</f>
        <v/>
      </c>
      <c r="X2105" s="63" t="str">
        <f>IFERROR(INDEX(基础资料!$R$4:$R$17,MATCH($G2105,基础资料!$Q$4:$Q$17,0)),"")</f>
        <v/>
      </c>
    </row>
    <row r="2106" spans="1:24">
      <c r="A2106" s="58" t="str">
        <f>IF($B2106="","",COUNTA($B$5:$B2106))</f>
        <v/>
      </c>
      <c r="B2106" s="53"/>
      <c r="C2106" s="46"/>
      <c r="D2106" s="63" t="str">
        <f>IFERROR(INDEX(基础资料!$F$4:$F$23,MATCH($C2106,基础资料!$E$4:$E$23,0)),IF($C2106="","","未匹配账户"))</f>
        <v/>
      </c>
      <c r="E2106" s="39"/>
      <c r="F2106" s="10"/>
      <c r="G2106" s="10"/>
      <c r="H2106" s="10"/>
      <c r="I2106" s="10"/>
      <c r="J2106" s="10"/>
      <c r="K2106" s="25"/>
      <c r="L2106" s="25"/>
      <c r="M2106" s="25" t="str">
        <f>IFERROR(VLOOKUP($C2106,$C$5:$M$24,11,0)+SUMIF($C$25:$C2106,$C2106,$K$25:$K2106)-SUMIF($C$25:$C2106,$C2106,$L$25:$L2106),"")</f>
        <v/>
      </c>
      <c r="N2106" s="10"/>
      <c r="O2106" s="10"/>
      <c r="P2106" s="65"/>
      <c r="Q2106" s="10"/>
      <c r="R2106" s="10"/>
      <c r="S2106" s="54" t="str">
        <f t="shared" si="102"/>
        <v/>
      </c>
      <c r="T2106" s="54" t="str">
        <f t="shared" si="103"/>
        <v/>
      </c>
      <c r="U2106" s="58" t="str">
        <f t="shared" si="104"/>
        <v/>
      </c>
      <c r="V2106" s="58">
        <f>IF(AND($B2106&lt;&gt;"",$F2106&lt;&gt;"",$F2106=项目明细账!$C$2),N(V2105)+1,N(V2105))</f>
        <v>0</v>
      </c>
      <c r="W2106" s="63" t="str">
        <f>IF($H2106&lt;&gt;"","项目成本",IFERROR(INDEX(基础资料!$W$4:$W$49,MATCH($I2106,基础资料!$V$4:$V$49,0)),""))</f>
        <v/>
      </c>
      <c r="X2106" s="63" t="str">
        <f>IFERROR(INDEX(基础资料!$R$4:$R$17,MATCH($G2106,基础资料!$Q$4:$Q$17,0)),"")</f>
        <v/>
      </c>
    </row>
    <row r="2107" spans="1:24">
      <c r="A2107" s="58" t="str">
        <f>IF($B2107="","",COUNTA($B$5:$B2107))</f>
        <v/>
      </c>
      <c r="B2107" s="53"/>
      <c r="C2107" s="46"/>
      <c r="D2107" s="63" t="str">
        <f>IFERROR(INDEX(基础资料!$F$4:$F$23,MATCH($C2107,基础资料!$E$4:$E$23,0)),IF($C2107="","","未匹配账户"))</f>
        <v/>
      </c>
      <c r="E2107" s="39"/>
      <c r="F2107" s="10"/>
      <c r="G2107" s="10"/>
      <c r="H2107" s="10"/>
      <c r="I2107" s="10"/>
      <c r="J2107" s="10"/>
      <c r="K2107" s="25"/>
      <c r="L2107" s="25"/>
      <c r="M2107" s="25" t="str">
        <f>IFERROR(VLOOKUP($C2107,$C$5:$M$24,11,0)+SUMIF($C$25:$C2107,$C2107,$K$25:$K2107)-SUMIF($C$25:$C2107,$C2107,$L$25:$L2107),"")</f>
        <v/>
      </c>
      <c r="N2107" s="10"/>
      <c r="O2107" s="10"/>
      <c r="P2107" s="65"/>
      <c r="Q2107" s="10"/>
      <c r="R2107" s="10"/>
      <c r="S2107" s="54" t="str">
        <f t="shared" si="102"/>
        <v/>
      </c>
      <c r="T2107" s="54" t="str">
        <f t="shared" si="103"/>
        <v/>
      </c>
      <c r="U2107" s="58" t="str">
        <f t="shared" si="104"/>
        <v/>
      </c>
      <c r="V2107" s="58">
        <f>IF(AND($B2107&lt;&gt;"",$F2107&lt;&gt;"",$F2107=项目明细账!$C$2),N(V2106)+1,N(V2106))</f>
        <v>0</v>
      </c>
      <c r="W2107" s="63" t="str">
        <f>IF($H2107&lt;&gt;"","项目成本",IFERROR(INDEX(基础资料!$W$4:$W$49,MATCH($I2107,基础资料!$V$4:$V$49,0)),""))</f>
        <v/>
      </c>
      <c r="X2107" s="63" t="str">
        <f>IFERROR(INDEX(基础资料!$R$4:$R$17,MATCH($G2107,基础资料!$Q$4:$Q$17,0)),"")</f>
        <v/>
      </c>
    </row>
    <row r="2108" spans="1:24">
      <c r="A2108" s="58" t="str">
        <f>IF($B2108="","",COUNTA($B$5:$B2108))</f>
        <v/>
      </c>
      <c r="B2108" s="53"/>
      <c r="C2108" s="46"/>
      <c r="D2108" s="63" t="str">
        <f>IFERROR(INDEX(基础资料!$F$4:$F$23,MATCH($C2108,基础资料!$E$4:$E$23,0)),IF($C2108="","","未匹配账户"))</f>
        <v/>
      </c>
      <c r="E2108" s="39"/>
      <c r="F2108" s="10"/>
      <c r="G2108" s="10"/>
      <c r="H2108" s="10"/>
      <c r="I2108" s="10"/>
      <c r="J2108" s="10"/>
      <c r="K2108" s="25"/>
      <c r="L2108" s="25"/>
      <c r="M2108" s="25" t="str">
        <f>IFERROR(VLOOKUP($C2108,$C$5:$M$24,11,0)+SUMIF($C$25:$C2108,$C2108,$K$25:$K2108)-SUMIF($C$25:$C2108,$C2108,$L$25:$L2108),"")</f>
        <v/>
      </c>
      <c r="N2108" s="10"/>
      <c r="O2108" s="10"/>
      <c r="P2108" s="65"/>
      <c r="Q2108" s="10"/>
      <c r="R2108" s="10"/>
      <c r="S2108" s="54" t="str">
        <f t="shared" si="102"/>
        <v/>
      </c>
      <c r="T2108" s="54" t="str">
        <f t="shared" si="103"/>
        <v/>
      </c>
      <c r="U2108" s="58" t="str">
        <f t="shared" si="104"/>
        <v/>
      </c>
      <c r="V2108" s="58">
        <f>IF(AND($B2108&lt;&gt;"",$F2108&lt;&gt;"",$F2108=项目明细账!$C$2),N(V2107)+1,N(V2107))</f>
        <v>0</v>
      </c>
      <c r="W2108" s="63" t="str">
        <f>IF($H2108&lt;&gt;"","项目成本",IFERROR(INDEX(基础资料!$W$4:$W$49,MATCH($I2108,基础资料!$V$4:$V$49,0)),""))</f>
        <v/>
      </c>
      <c r="X2108" s="63" t="str">
        <f>IFERROR(INDEX(基础资料!$R$4:$R$17,MATCH($G2108,基础资料!$Q$4:$Q$17,0)),"")</f>
        <v/>
      </c>
    </row>
    <row r="2109" spans="1:24">
      <c r="A2109" s="58" t="str">
        <f>IF($B2109="","",COUNTA($B$5:$B2109))</f>
        <v/>
      </c>
      <c r="B2109" s="53"/>
      <c r="C2109" s="46"/>
      <c r="D2109" s="63" t="str">
        <f>IFERROR(INDEX(基础资料!$F$4:$F$23,MATCH($C2109,基础资料!$E$4:$E$23,0)),IF($C2109="","","未匹配账户"))</f>
        <v/>
      </c>
      <c r="E2109" s="39"/>
      <c r="F2109" s="10"/>
      <c r="G2109" s="10"/>
      <c r="H2109" s="10"/>
      <c r="I2109" s="10"/>
      <c r="J2109" s="10"/>
      <c r="K2109" s="25"/>
      <c r="L2109" s="25"/>
      <c r="M2109" s="25" t="str">
        <f>IFERROR(VLOOKUP($C2109,$C$5:$M$24,11,0)+SUMIF($C$25:$C2109,$C2109,$K$25:$K2109)-SUMIF($C$25:$C2109,$C2109,$L$25:$L2109),"")</f>
        <v/>
      </c>
      <c r="N2109" s="10"/>
      <c r="O2109" s="10"/>
      <c r="P2109" s="65"/>
      <c r="Q2109" s="10"/>
      <c r="R2109" s="10"/>
      <c r="S2109" s="54" t="str">
        <f t="shared" si="102"/>
        <v/>
      </c>
      <c r="T2109" s="54" t="str">
        <f t="shared" si="103"/>
        <v/>
      </c>
      <c r="U2109" s="58" t="str">
        <f t="shared" si="104"/>
        <v/>
      </c>
      <c r="V2109" s="58">
        <f>IF(AND($B2109&lt;&gt;"",$F2109&lt;&gt;"",$F2109=项目明细账!$C$2),N(V2108)+1,N(V2108))</f>
        <v>0</v>
      </c>
      <c r="W2109" s="63" t="str">
        <f>IF($H2109&lt;&gt;"","项目成本",IFERROR(INDEX(基础资料!$W$4:$W$49,MATCH($I2109,基础资料!$V$4:$V$49,0)),""))</f>
        <v/>
      </c>
      <c r="X2109" s="63" t="str">
        <f>IFERROR(INDEX(基础资料!$R$4:$R$17,MATCH($G2109,基础资料!$Q$4:$Q$17,0)),"")</f>
        <v/>
      </c>
    </row>
    <row r="2110" spans="1:24">
      <c r="A2110" s="58" t="str">
        <f>IF($B2110="","",COUNTA($B$5:$B2110))</f>
        <v/>
      </c>
      <c r="B2110" s="53"/>
      <c r="C2110" s="46"/>
      <c r="D2110" s="63" t="str">
        <f>IFERROR(INDEX(基础资料!$F$4:$F$23,MATCH($C2110,基础资料!$E$4:$E$23,0)),IF($C2110="","","未匹配账户"))</f>
        <v/>
      </c>
      <c r="E2110" s="39"/>
      <c r="F2110" s="10"/>
      <c r="G2110" s="10"/>
      <c r="H2110" s="10"/>
      <c r="I2110" s="10"/>
      <c r="J2110" s="10"/>
      <c r="K2110" s="25"/>
      <c r="L2110" s="25"/>
      <c r="M2110" s="25" t="str">
        <f>IFERROR(VLOOKUP($C2110,$C$5:$M$24,11,0)+SUMIF($C$25:$C2110,$C2110,$K$25:$K2110)-SUMIF($C$25:$C2110,$C2110,$L$25:$L2110),"")</f>
        <v/>
      </c>
      <c r="N2110" s="10"/>
      <c r="O2110" s="10"/>
      <c r="P2110" s="65"/>
      <c r="Q2110" s="10"/>
      <c r="R2110" s="10"/>
      <c r="S2110" s="54" t="str">
        <f t="shared" si="102"/>
        <v/>
      </c>
      <c r="T2110" s="54" t="str">
        <f t="shared" si="103"/>
        <v/>
      </c>
      <c r="U2110" s="58" t="str">
        <f t="shared" si="104"/>
        <v/>
      </c>
      <c r="V2110" s="58">
        <f>IF(AND($B2110&lt;&gt;"",$F2110&lt;&gt;"",$F2110=项目明细账!$C$2),N(V2109)+1,N(V2109))</f>
        <v>0</v>
      </c>
      <c r="W2110" s="63" t="str">
        <f>IF($H2110&lt;&gt;"","项目成本",IFERROR(INDEX(基础资料!$W$4:$W$49,MATCH($I2110,基础资料!$V$4:$V$49,0)),""))</f>
        <v/>
      </c>
      <c r="X2110" s="63" t="str">
        <f>IFERROR(INDEX(基础资料!$R$4:$R$17,MATCH($G2110,基础资料!$Q$4:$Q$17,0)),"")</f>
        <v/>
      </c>
    </row>
    <row r="2111" spans="1:24">
      <c r="A2111" s="58" t="str">
        <f>IF($B2111="","",COUNTA($B$5:$B2111))</f>
        <v/>
      </c>
      <c r="B2111" s="53"/>
      <c r="C2111" s="46"/>
      <c r="D2111" s="63" t="str">
        <f>IFERROR(INDEX(基础资料!$F$4:$F$23,MATCH($C2111,基础资料!$E$4:$E$23,0)),IF($C2111="","","未匹配账户"))</f>
        <v/>
      </c>
      <c r="E2111" s="39"/>
      <c r="F2111" s="10"/>
      <c r="G2111" s="10"/>
      <c r="H2111" s="10"/>
      <c r="I2111" s="10"/>
      <c r="J2111" s="10"/>
      <c r="K2111" s="25"/>
      <c r="L2111" s="25"/>
      <c r="M2111" s="25" t="str">
        <f>IFERROR(VLOOKUP($C2111,$C$5:$M$24,11,0)+SUMIF($C$25:$C2111,$C2111,$K$25:$K2111)-SUMIF($C$25:$C2111,$C2111,$L$25:$L2111),"")</f>
        <v/>
      </c>
      <c r="N2111" s="10"/>
      <c r="O2111" s="10"/>
      <c r="P2111" s="65"/>
      <c r="Q2111" s="10"/>
      <c r="R2111" s="10"/>
      <c r="S2111" s="54" t="str">
        <f t="shared" si="102"/>
        <v/>
      </c>
      <c r="T2111" s="54" t="str">
        <f t="shared" si="103"/>
        <v/>
      </c>
      <c r="U2111" s="58" t="str">
        <f t="shared" si="104"/>
        <v/>
      </c>
      <c r="V2111" s="58">
        <f>IF(AND($B2111&lt;&gt;"",$F2111&lt;&gt;"",$F2111=项目明细账!$C$2),N(V2110)+1,N(V2110))</f>
        <v>0</v>
      </c>
      <c r="W2111" s="63" t="str">
        <f>IF($H2111&lt;&gt;"","项目成本",IFERROR(INDEX(基础资料!$W$4:$W$49,MATCH($I2111,基础资料!$V$4:$V$49,0)),""))</f>
        <v/>
      </c>
      <c r="X2111" s="63" t="str">
        <f>IFERROR(INDEX(基础资料!$R$4:$R$17,MATCH($G2111,基础资料!$Q$4:$Q$17,0)),"")</f>
        <v/>
      </c>
    </row>
    <row r="2112" spans="1:24">
      <c r="A2112" s="58" t="str">
        <f>IF($B2112="","",COUNTA($B$5:$B2112))</f>
        <v/>
      </c>
      <c r="B2112" s="53"/>
      <c r="C2112" s="46"/>
      <c r="D2112" s="63" t="str">
        <f>IFERROR(INDEX(基础资料!$F$4:$F$23,MATCH($C2112,基础资料!$E$4:$E$23,0)),IF($C2112="","","未匹配账户"))</f>
        <v/>
      </c>
      <c r="E2112" s="39"/>
      <c r="F2112" s="10"/>
      <c r="G2112" s="10"/>
      <c r="H2112" s="10"/>
      <c r="I2112" s="10"/>
      <c r="J2112" s="10"/>
      <c r="K2112" s="25"/>
      <c r="L2112" s="25"/>
      <c r="M2112" s="25" t="str">
        <f>IFERROR(VLOOKUP($C2112,$C$5:$M$24,11,0)+SUMIF($C$25:$C2112,$C2112,$K$25:$K2112)-SUMIF($C$25:$C2112,$C2112,$L$25:$L2112),"")</f>
        <v/>
      </c>
      <c r="N2112" s="10"/>
      <c r="O2112" s="10"/>
      <c r="P2112" s="65"/>
      <c r="Q2112" s="10"/>
      <c r="R2112" s="10"/>
      <c r="S2112" s="54" t="str">
        <f t="shared" si="102"/>
        <v/>
      </c>
      <c r="T2112" s="54" t="str">
        <f t="shared" si="103"/>
        <v/>
      </c>
      <c r="U2112" s="58" t="str">
        <f t="shared" si="104"/>
        <v/>
      </c>
      <c r="V2112" s="58">
        <f>IF(AND($B2112&lt;&gt;"",$F2112&lt;&gt;"",$F2112=项目明细账!$C$2),N(V2111)+1,N(V2111))</f>
        <v>0</v>
      </c>
      <c r="W2112" s="63" t="str">
        <f>IF($H2112&lt;&gt;"","项目成本",IFERROR(INDEX(基础资料!$W$4:$W$49,MATCH($I2112,基础资料!$V$4:$V$49,0)),""))</f>
        <v/>
      </c>
      <c r="X2112" s="63" t="str">
        <f>IFERROR(INDEX(基础资料!$R$4:$R$17,MATCH($G2112,基础资料!$Q$4:$Q$17,0)),"")</f>
        <v/>
      </c>
    </row>
    <row r="2113" spans="1:24">
      <c r="A2113" s="58" t="str">
        <f>IF($B2113="","",COUNTA($B$5:$B2113))</f>
        <v/>
      </c>
      <c r="B2113" s="53"/>
      <c r="C2113" s="46"/>
      <c r="D2113" s="63" t="str">
        <f>IFERROR(INDEX(基础资料!$F$4:$F$23,MATCH($C2113,基础资料!$E$4:$E$23,0)),IF($C2113="","","未匹配账户"))</f>
        <v/>
      </c>
      <c r="E2113" s="39"/>
      <c r="F2113" s="10"/>
      <c r="G2113" s="10"/>
      <c r="H2113" s="10"/>
      <c r="I2113" s="10"/>
      <c r="J2113" s="10"/>
      <c r="K2113" s="25"/>
      <c r="L2113" s="25"/>
      <c r="M2113" s="25" t="str">
        <f>IFERROR(VLOOKUP($C2113,$C$5:$M$24,11,0)+SUMIF($C$25:$C2113,$C2113,$K$25:$K2113)-SUMIF($C$25:$C2113,$C2113,$L$25:$L2113),"")</f>
        <v/>
      </c>
      <c r="N2113" s="10"/>
      <c r="O2113" s="10"/>
      <c r="P2113" s="65"/>
      <c r="Q2113" s="10"/>
      <c r="R2113" s="10"/>
      <c r="S2113" s="54" t="str">
        <f t="shared" si="102"/>
        <v/>
      </c>
      <c r="T2113" s="54" t="str">
        <f t="shared" si="103"/>
        <v/>
      </c>
      <c r="U2113" s="58" t="str">
        <f t="shared" si="104"/>
        <v/>
      </c>
      <c r="V2113" s="58">
        <f>IF(AND($B2113&lt;&gt;"",$F2113&lt;&gt;"",$F2113=项目明细账!$C$2),N(V2112)+1,N(V2112))</f>
        <v>0</v>
      </c>
      <c r="W2113" s="63" t="str">
        <f>IF($H2113&lt;&gt;"","项目成本",IFERROR(INDEX(基础资料!$W$4:$W$49,MATCH($I2113,基础资料!$V$4:$V$49,0)),""))</f>
        <v/>
      </c>
      <c r="X2113" s="63" t="str">
        <f>IFERROR(INDEX(基础资料!$R$4:$R$17,MATCH($G2113,基础资料!$Q$4:$Q$17,0)),"")</f>
        <v/>
      </c>
    </row>
    <row r="2114" spans="1:24">
      <c r="A2114" s="58" t="str">
        <f>IF($B2114="","",COUNTA($B$5:$B2114))</f>
        <v/>
      </c>
      <c r="B2114" s="53"/>
      <c r="C2114" s="46"/>
      <c r="D2114" s="63" t="str">
        <f>IFERROR(INDEX(基础资料!$F$4:$F$23,MATCH($C2114,基础资料!$E$4:$E$23,0)),IF($C2114="","","未匹配账户"))</f>
        <v/>
      </c>
      <c r="E2114" s="39"/>
      <c r="F2114" s="10"/>
      <c r="G2114" s="10"/>
      <c r="H2114" s="10"/>
      <c r="I2114" s="10"/>
      <c r="J2114" s="10"/>
      <c r="K2114" s="25"/>
      <c r="L2114" s="25"/>
      <c r="M2114" s="25" t="str">
        <f>IFERROR(VLOOKUP($C2114,$C$5:$M$24,11,0)+SUMIF($C$25:$C2114,$C2114,$K$25:$K2114)-SUMIF($C$25:$C2114,$C2114,$L$25:$L2114),"")</f>
        <v/>
      </c>
      <c r="N2114" s="10"/>
      <c r="O2114" s="10"/>
      <c r="P2114" s="65"/>
      <c r="Q2114" s="10"/>
      <c r="R2114" s="10"/>
      <c r="S2114" s="54" t="str">
        <f t="shared" si="102"/>
        <v/>
      </c>
      <c r="T2114" s="54" t="str">
        <f t="shared" si="103"/>
        <v/>
      </c>
      <c r="U2114" s="58" t="str">
        <f t="shared" si="104"/>
        <v/>
      </c>
      <c r="V2114" s="58">
        <f>IF(AND($B2114&lt;&gt;"",$F2114&lt;&gt;"",$F2114=项目明细账!$C$2),N(V2113)+1,N(V2113))</f>
        <v>0</v>
      </c>
      <c r="W2114" s="63" t="str">
        <f>IF($H2114&lt;&gt;"","项目成本",IFERROR(INDEX(基础资料!$W$4:$W$49,MATCH($I2114,基础资料!$V$4:$V$49,0)),""))</f>
        <v/>
      </c>
      <c r="X2114" s="63" t="str">
        <f>IFERROR(INDEX(基础资料!$R$4:$R$17,MATCH($G2114,基础资料!$Q$4:$Q$17,0)),"")</f>
        <v/>
      </c>
    </row>
    <row r="2115" spans="1:24">
      <c r="A2115" s="58" t="str">
        <f>IF($B2115="","",COUNTA($B$5:$B2115))</f>
        <v/>
      </c>
      <c r="B2115" s="53"/>
      <c r="C2115" s="46"/>
      <c r="D2115" s="63" t="str">
        <f>IFERROR(INDEX(基础资料!$F$4:$F$23,MATCH($C2115,基础资料!$E$4:$E$23,0)),IF($C2115="","","未匹配账户"))</f>
        <v/>
      </c>
      <c r="E2115" s="39"/>
      <c r="F2115" s="10"/>
      <c r="G2115" s="10"/>
      <c r="H2115" s="10"/>
      <c r="I2115" s="10"/>
      <c r="J2115" s="10"/>
      <c r="K2115" s="25"/>
      <c r="L2115" s="25"/>
      <c r="M2115" s="25" t="str">
        <f>IFERROR(VLOOKUP($C2115,$C$5:$M$24,11,0)+SUMIF($C$25:$C2115,$C2115,$K$25:$K2115)-SUMIF($C$25:$C2115,$C2115,$L$25:$L2115),"")</f>
        <v/>
      </c>
      <c r="N2115" s="10"/>
      <c r="O2115" s="10"/>
      <c r="P2115" s="65"/>
      <c r="Q2115" s="10"/>
      <c r="R2115" s="10"/>
      <c r="S2115" s="54" t="str">
        <f t="shared" si="102"/>
        <v/>
      </c>
      <c r="T2115" s="54" t="str">
        <f t="shared" si="103"/>
        <v/>
      </c>
      <c r="U2115" s="58" t="str">
        <f t="shared" si="104"/>
        <v/>
      </c>
      <c r="V2115" s="58">
        <f>IF(AND($B2115&lt;&gt;"",$F2115&lt;&gt;"",$F2115=项目明细账!$C$2),N(V2114)+1,N(V2114))</f>
        <v>0</v>
      </c>
      <c r="W2115" s="63" t="str">
        <f>IF($H2115&lt;&gt;"","项目成本",IFERROR(INDEX(基础资料!$W$4:$W$49,MATCH($I2115,基础资料!$V$4:$V$49,0)),""))</f>
        <v/>
      </c>
      <c r="X2115" s="63" t="str">
        <f>IFERROR(INDEX(基础资料!$R$4:$R$17,MATCH($G2115,基础资料!$Q$4:$Q$17,0)),"")</f>
        <v/>
      </c>
    </row>
    <row r="2116" spans="1:24">
      <c r="A2116" s="58" t="str">
        <f>IF($B2116="","",COUNTA($B$5:$B2116))</f>
        <v/>
      </c>
      <c r="B2116" s="53"/>
      <c r="C2116" s="46"/>
      <c r="D2116" s="63" t="str">
        <f>IFERROR(INDEX(基础资料!$F$4:$F$23,MATCH($C2116,基础资料!$E$4:$E$23,0)),IF($C2116="","","未匹配账户"))</f>
        <v/>
      </c>
      <c r="E2116" s="39"/>
      <c r="F2116" s="10"/>
      <c r="G2116" s="10"/>
      <c r="H2116" s="10"/>
      <c r="I2116" s="10"/>
      <c r="J2116" s="10"/>
      <c r="K2116" s="25"/>
      <c r="L2116" s="25"/>
      <c r="M2116" s="25" t="str">
        <f>IFERROR(VLOOKUP($C2116,$C$5:$M$24,11,0)+SUMIF($C$25:$C2116,$C2116,$K$25:$K2116)-SUMIF($C$25:$C2116,$C2116,$L$25:$L2116),"")</f>
        <v/>
      </c>
      <c r="N2116" s="10"/>
      <c r="O2116" s="10"/>
      <c r="P2116" s="65"/>
      <c r="Q2116" s="10"/>
      <c r="R2116" s="10"/>
      <c r="S2116" s="54" t="str">
        <f t="shared" si="102"/>
        <v/>
      </c>
      <c r="T2116" s="54" t="str">
        <f t="shared" si="103"/>
        <v/>
      </c>
      <c r="U2116" s="58" t="str">
        <f t="shared" si="104"/>
        <v/>
      </c>
      <c r="V2116" s="58">
        <f>IF(AND($B2116&lt;&gt;"",$F2116&lt;&gt;"",$F2116=项目明细账!$C$2),N(V2115)+1,N(V2115))</f>
        <v>0</v>
      </c>
      <c r="W2116" s="63" t="str">
        <f>IF($H2116&lt;&gt;"","项目成本",IFERROR(INDEX(基础资料!$W$4:$W$49,MATCH($I2116,基础资料!$V$4:$V$49,0)),""))</f>
        <v/>
      </c>
      <c r="X2116" s="63" t="str">
        <f>IFERROR(INDEX(基础资料!$R$4:$R$17,MATCH($G2116,基础资料!$Q$4:$Q$17,0)),"")</f>
        <v/>
      </c>
    </row>
    <row r="2117" spans="1:24">
      <c r="A2117" s="58" t="str">
        <f>IF($B2117="","",COUNTA($B$5:$B2117))</f>
        <v/>
      </c>
      <c r="B2117" s="53"/>
      <c r="C2117" s="46"/>
      <c r="D2117" s="63" t="str">
        <f>IFERROR(INDEX(基础资料!$F$4:$F$23,MATCH($C2117,基础资料!$E$4:$E$23,0)),IF($C2117="","","未匹配账户"))</f>
        <v/>
      </c>
      <c r="E2117" s="39"/>
      <c r="F2117" s="10"/>
      <c r="G2117" s="10"/>
      <c r="H2117" s="10"/>
      <c r="I2117" s="10"/>
      <c r="J2117" s="10"/>
      <c r="K2117" s="25"/>
      <c r="L2117" s="25"/>
      <c r="M2117" s="25" t="str">
        <f>IFERROR(VLOOKUP($C2117,$C$5:$M$24,11,0)+SUMIF($C$25:$C2117,$C2117,$K$25:$K2117)-SUMIF($C$25:$C2117,$C2117,$L$25:$L2117),"")</f>
        <v/>
      </c>
      <c r="N2117" s="10"/>
      <c r="O2117" s="10"/>
      <c r="P2117" s="65"/>
      <c r="Q2117" s="10"/>
      <c r="R2117" s="10"/>
      <c r="S2117" s="54" t="str">
        <f t="shared" si="102"/>
        <v/>
      </c>
      <c r="T2117" s="54" t="str">
        <f t="shared" si="103"/>
        <v/>
      </c>
      <c r="U2117" s="58" t="str">
        <f t="shared" si="104"/>
        <v/>
      </c>
      <c r="V2117" s="58">
        <f>IF(AND($B2117&lt;&gt;"",$F2117&lt;&gt;"",$F2117=项目明细账!$C$2),N(V2116)+1,N(V2116))</f>
        <v>0</v>
      </c>
      <c r="W2117" s="63" t="str">
        <f>IF($H2117&lt;&gt;"","项目成本",IFERROR(INDEX(基础资料!$W$4:$W$49,MATCH($I2117,基础资料!$V$4:$V$49,0)),""))</f>
        <v/>
      </c>
      <c r="X2117" s="63" t="str">
        <f>IFERROR(INDEX(基础资料!$R$4:$R$17,MATCH($G2117,基础资料!$Q$4:$Q$17,0)),"")</f>
        <v/>
      </c>
    </row>
    <row r="2118" spans="1:24">
      <c r="A2118" s="58" t="str">
        <f>IF($B2118="","",COUNTA($B$5:$B2118))</f>
        <v/>
      </c>
      <c r="B2118" s="53"/>
      <c r="C2118" s="46"/>
      <c r="D2118" s="63" t="str">
        <f>IFERROR(INDEX(基础资料!$F$4:$F$23,MATCH($C2118,基础资料!$E$4:$E$23,0)),IF($C2118="","","未匹配账户"))</f>
        <v/>
      </c>
      <c r="E2118" s="39"/>
      <c r="F2118" s="10"/>
      <c r="G2118" s="10"/>
      <c r="H2118" s="10"/>
      <c r="I2118" s="10"/>
      <c r="J2118" s="10"/>
      <c r="K2118" s="25"/>
      <c r="L2118" s="25"/>
      <c r="M2118" s="25" t="str">
        <f>IFERROR(VLOOKUP($C2118,$C$5:$M$24,11,0)+SUMIF($C$25:$C2118,$C2118,$K$25:$K2118)-SUMIF($C$25:$C2118,$C2118,$L$25:$L2118),"")</f>
        <v/>
      </c>
      <c r="N2118" s="10"/>
      <c r="O2118" s="10"/>
      <c r="P2118" s="65"/>
      <c r="Q2118" s="10"/>
      <c r="R2118" s="10"/>
      <c r="S2118" s="54" t="str">
        <f t="shared" si="102"/>
        <v/>
      </c>
      <c r="T2118" s="54" t="str">
        <f t="shared" si="103"/>
        <v/>
      </c>
      <c r="U2118" s="58" t="str">
        <f t="shared" si="104"/>
        <v/>
      </c>
      <c r="V2118" s="58">
        <f>IF(AND($B2118&lt;&gt;"",$F2118&lt;&gt;"",$F2118=项目明细账!$C$2),N(V2117)+1,N(V2117))</f>
        <v>0</v>
      </c>
      <c r="W2118" s="63" t="str">
        <f>IF($H2118&lt;&gt;"","项目成本",IFERROR(INDEX(基础资料!$W$4:$W$49,MATCH($I2118,基础资料!$V$4:$V$49,0)),""))</f>
        <v/>
      </c>
      <c r="X2118" s="63" t="str">
        <f>IFERROR(INDEX(基础资料!$R$4:$R$17,MATCH($G2118,基础资料!$Q$4:$Q$17,0)),"")</f>
        <v/>
      </c>
    </row>
    <row r="2119" spans="1:24">
      <c r="A2119" s="58" t="str">
        <f>IF($B2119="","",COUNTA($B$5:$B2119))</f>
        <v/>
      </c>
      <c r="B2119" s="53"/>
      <c r="C2119" s="46"/>
      <c r="D2119" s="63" t="str">
        <f>IFERROR(INDEX(基础资料!$F$4:$F$23,MATCH($C2119,基础资料!$E$4:$E$23,0)),IF($C2119="","","未匹配账户"))</f>
        <v/>
      </c>
      <c r="E2119" s="39"/>
      <c r="F2119" s="10"/>
      <c r="G2119" s="10"/>
      <c r="H2119" s="10"/>
      <c r="I2119" s="10"/>
      <c r="J2119" s="10"/>
      <c r="K2119" s="25"/>
      <c r="L2119" s="25"/>
      <c r="M2119" s="25" t="str">
        <f>IFERROR(VLOOKUP($C2119,$C$5:$M$24,11,0)+SUMIF($C$25:$C2119,$C2119,$K$25:$K2119)-SUMIF($C$25:$C2119,$C2119,$L$25:$L2119),"")</f>
        <v/>
      </c>
      <c r="N2119" s="10"/>
      <c r="O2119" s="10"/>
      <c r="P2119" s="65"/>
      <c r="Q2119" s="10"/>
      <c r="R2119" s="10"/>
      <c r="S2119" s="54" t="str">
        <f t="shared" ref="S2119:S2182" si="105">IF($B2119="","",--TEXT($B2119,"yyyymm"))</f>
        <v/>
      </c>
      <c r="T2119" s="54" t="str">
        <f t="shared" ref="T2119:T2182" si="106">IF($B2119="","",IF($P2119="",$S2119,IFERROR($P2119*1,$P2119)))</f>
        <v/>
      </c>
      <c r="U2119" s="58" t="str">
        <f t="shared" ref="U2119:U2182" si="107">IF($B2119="","",IF($T2119=$S2119,"","跨期"))</f>
        <v/>
      </c>
      <c r="V2119" s="58">
        <f>IF(AND($B2119&lt;&gt;"",$F2119&lt;&gt;"",$F2119=项目明细账!$C$2),N(V2118)+1,N(V2118))</f>
        <v>0</v>
      </c>
      <c r="W2119" s="63" t="str">
        <f>IF($H2119&lt;&gt;"","项目成本",IFERROR(INDEX(基础资料!$W$4:$W$49,MATCH($I2119,基础资料!$V$4:$V$49,0)),""))</f>
        <v/>
      </c>
      <c r="X2119" s="63" t="str">
        <f>IFERROR(INDEX(基础资料!$R$4:$R$17,MATCH($G2119,基础资料!$Q$4:$Q$17,0)),"")</f>
        <v/>
      </c>
    </row>
    <row r="2120" spans="1:24">
      <c r="A2120" s="58" t="str">
        <f>IF($B2120="","",COUNTA($B$5:$B2120))</f>
        <v/>
      </c>
      <c r="B2120" s="53"/>
      <c r="C2120" s="46"/>
      <c r="D2120" s="63" t="str">
        <f>IFERROR(INDEX(基础资料!$F$4:$F$23,MATCH($C2120,基础资料!$E$4:$E$23,0)),IF($C2120="","","未匹配账户"))</f>
        <v/>
      </c>
      <c r="E2120" s="39"/>
      <c r="F2120" s="10"/>
      <c r="G2120" s="10"/>
      <c r="H2120" s="10"/>
      <c r="I2120" s="10"/>
      <c r="J2120" s="10"/>
      <c r="K2120" s="25"/>
      <c r="L2120" s="25"/>
      <c r="M2120" s="25" t="str">
        <f>IFERROR(VLOOKUP($C2120,$C$5:$M$24,11,0)+SUMIF($C$25:$C2120,$C2120,$K$25:$K2120)-SUMIF($C$25:$C2120,$C2120,$L$25:$L2120),"")</f>
        <v/>
      </c>
      <c r="N2120" s="10"/>
      <c r="O2120" s="10"/>
      <c r="P2120" s="65"/>
      <c r="Q2120" s="10"/>
      <c r="R2120" s="10"/>
      <c r="S2120" s="54" t="str">
        <f t="shared" si="105"/>
        <v/>
      </c>
      <c r="T2120" s="54" t="str">
        <f t="shared" si="106"/>
        <v/>
      </c>
      <c r="U2120" s="58" t="str">
        <f t="shared" si="107"/>
        <v/>
      </c>
      <c r="V2120" s="58">
        <f>IF(AND($B2120&lt;&gt;"",$F2120&lt;&gt;"",$F2120=项目明细账!$C$2),N(V2119)+1,N(V2119))</f>
        <v>0</v>
      </c>
      <c r="W2120" s="63" t="str">
        <f>IF($H2120&lt;&gt;"","项目成本",IFERROR(INDEX(基础资料!$W$4:$W$49,MATCH($I2120,基础资料!$V$4:$V$49,0)),""))</f>
        <v/>
      </c>
      <c r="X2120" s="63" t="str">
        <f>IFERROR(INDEX(基础资料!$R$4:$R$17,MATCH($G2120,基础资料!$Q$4:$Q$17,0)),"")</f>
        <v/>
      </c>
    </row>
    <row r="2121" spans="1:24">
      <c r="A2121" s="58" t="str">
        <f>IF($B2121="","",COUNTA($B$5:$B2121))</f>
        <v/>
      </c>
      <c r="B2121" s="53"/>
      <c r="C2121" s="46"/>
      <c r="D2121" s="63" t="str">
        <f>IFERROR(INDEX(基础资料!$F$4:$F$23,MATCH($C2121,基础资料!$E$4:$E$23,0)),IF($C2121="","","未匹配账户"))</f>
        <v/>
      </c>
      <c r="E2121" s="39"/>
      <c r="F2121" s="10"/>
      <c r="G2121" s="10"/>
      <c r="H2121" s="10"/>
      <c r="I2121" s="10"/>
      <c r="J2121" s="10"/>
      <c r="K2121" s="25"/>
      <c r="L2121" s="25"/>
      <c r="M2121" s="25" t="str">
        <f>IFERROR(VLOOKUP($C2121,$C$5:$M$24,11,0)+SUMIF($C$25:$C2121,$C2121,$K$25:$K2121)-SUMIF($C$25:$C2121,$C2121,$L$25:$L2121),"")</f>
        <v/>
      </c>
      <c r="N2121" s="10"/>
      <c r="O2121" s="10"/>
      <c r="P2121" s="65"/>
      <c r="Q2121" s="10"/>
      <c r="R2121" s="10"/>
      <c r="S2121" s="54" t="str">
        <f t="shared" si="105"/>
        <v/>
      </c>
      <c r="T2121" s="54" t="str">
        <f t="shared" si="106"/>
        <v/>
      </c>
      <c r="U2121" s="58" t="str">
        <f t="shared" si="107"/>
        <v/>
      </c>
      <c r="V2121" s="58">
        <f>IF(AND($B2121&lt;&gt;"",$F2121&lt;&gt;"",$F2121=项目明细账!$C$2),N(V2120)+1,N(V2120))</f>
        <v>0</v>
      </c>
      <c r="W2121" s="63" t="str">
        <f>IF($H2121&lt;&gt;"","项目成本",IFERROR(INDEX(基础资料!$W$4:$W$49,MATCH($I2121,基础资料!$V$4:$V$49,0)),""))</f>
        <v/>
      </c>
      <c r="X2121" s="63" t="str">
        <f>IFERROR(INDEX(基础资料!$R$4:$R$17,MATCH($G2121,基础资料!$Q$4:$Q$17,0)),"")</f>
        <v/>
      </c>
    </row>
    <row r="2122" spans="1:24">
      <c r="A2122" s="58" t="str">
        <f>IF($B2122="","",COUNTA($B$5:$B2122))</f>
        <v/>
      </c>
      <c r="B2122" s="53"/>
      <c r="C2122" s="46"/>
      <c r="D2122" s="63" t="str">
        <f>IFERROR(INDEX(基础资料!$F$4:$F$23,MATCH($C2122,基础资料!$E$4:$E$23,0)),IF($C2122="","","未匹配账户"))</f>
        <v/>
      </c>
      <c r="E2122" s="39"/>
      <c r="F2122" s="10"/>
      <c r="G2122" s="10"/>
      <c r="H2122" s="10"/>
      <c r="I2122" s="10"/>
      <c r="J2122" s="10"/>
      <c r="K2122" s="25"/>
      <c r="L2122" s="25"/>
      <c r="M2122" s="25" t="str">
        <f>IFERROR(VLOOKUP($C2122,$C$5:$M$24,11,0)+SUMIF($C$25:$C2122,$C2122,$K$25:$K2122)-SUMIF($C$25:$C2122,$C2122,$L$25:$L2122),"")</f>
        <v/>
      </c>
      <c r="N2122" s="10"/>
      <c r="O2122" s="10"/>
      <c r="P2122" s="65"/>
      <c r="Q2122" s="10"/>
      <c r="R2122" s="10"/>
      <c r="S2122" s="54" t="str">
        <f t="shared" si="105"/>
        <v/>
      </c>
      <c r="T2122" s="54" t="str">
        <f t="shared" si="106"/>
        <v/>
      </c>
      <c r="U2122" s="58" t="str">
        <f t="shared" si="107"/>
        <v/>
      </c>
      <c r="V2122" s="58">
        <f>IF(AND($B2122&lt;&gt;"",$F2122&lt;&gt;"",$F2122=项目明细账!$C$2),N(V2121)+1,N(V2121))</f>
        <v>0</v>
      </c>
      <c r="W2122" s="63" t="str">
        <f>IF($H2122&lt;&gt;"","项目成本",IFERROR(INDEX(基础资料!$W$4:$W$49,MATCH($I2122,基础资料!$V$4:$V$49,0)),""))</f>
        <v/>
      </c>
      <c r="X2122" s="63" t="str">
        <f>IFERROR(INDEX(基础资料!$R$4:$R$17,MATCH($G2122,基础资料!$Q$4:$Q$17,0)),"")</f>
        <v/>
      </c>
    </row>
    <row r="2123" spans="1:24">
      <c r="A2123" s="58" t="str">
        <f>IF($B2123="","",COUNTA($B$5:$B2123))</f>
        <v/>
      </c>
      <c r="B2123" s="53"/>
      <c r="C2123" s="46"/>
      <c r="D2123" s="63" t="str">
        <f>IFERROR(INDEX(基础资料!$F$4:$F$23,MATCH($C2123,基础资料!$E$4:$E$23,0)),IF($C2123="","","未匹配账户"))</f>
        <v/>
      </c>
      <c r="E2123" s="39"/>
      <c r="F2123" s="10"/>
      <c r="G2123" s="10"/>
      <c r="H2123" s="10"/>
      <c r="I2123" s="10"/>
      <c r="J2123" s="10"/>
      <c r="K2123" s="25"/>
      <c r="L2123" s="25"/>
      <c r="M2123" s="25" t="str">
        <f>IFERROR(VLOOKUP($C2123,$C$5:$M$24,11,0)+SUMIF($C$25:$C2123,$C2123,$K$25:$K2123)-SUMIF($C$25:$C2123,$C2123,$L$25:$L2123),"")</f>
        <v/>
      </c>
      <c r="N2123" s="10"/>
      <c r="O2123" s="10"/>
      <c r="P2123" s="65"/>
      <c r="Q2123" s="10"/>
      <c r="R2123" s="10"/>
      <c r="S2123" s="54" t="str">
        <f t="shared" si="105"/>
        <v/>
      </c>
      <c r="T2123" s="54" t="str">
        <f t="shared" si="106"/>
        <v/>
      </c>
      <c r="U2123" s="58" t="str">
        <f t="shared" si="107"/>
        <v/>
      </c>
      <c r="V2123" s="58">
        <f>IF(AND($B2123&lt;&gt;"",$F2123&lt;&gt;"",$F2123=项目明细账!$C$2),N(V2122)+1,N(V2122))</f>
        <v>0</v>
      </c>
      <c r="W2123" s="63" t="str">
        <f>IF($H2123&lt;&gt;"","项目成本",IFERROR(INDEX(基础资料!$W$4:$W$49,MATCH($I2123,基础资料!$V$4:$V$49,0)),""))</f>
        <v/>
      </c>
      <c r="X2123" s="63" t="str">
        <f>IFERROR(INDEX(基础资料!$R$4:$R$17,MATCH($G2123,基础资料!$Q$4:$Q$17,0)),"")</f>
        <v/>
      </c>
    </row>
    <row r="2124" spans="1:24">
      <c r="A2124" s="58" t="str">
        <f>IF($B2124="","",COUNTA($B$5:$B2124))</f>
        <v/>
      </c>
      <c r="B2124" s="53"/>
      <c r="C2124" s="46"/>
      <c r="D2124" s="63" t="str">
        <f>IFERROR(INDEX(基础资料!$F$4:$F$23,MATCH($C2124,基础资料!$E$4:$E$23,0)),IF($C2124="","","未匹配账户"))</f>
        <v/>
      </c>
      <c r="E2124" s="39"/>
      <c r="F2124" s="10"/>
      <c r="G2124" s="10"/>
      <c r="H2124" s="10"/>
      <c r="I2124" s="10"/>
      <c r="J2124" s="10"/>
      <c r="K2124" s="25"/>
      <c r="L2124" s="25"/>
      <c r="M2124" s="25" t="str">
        <f>IFERROR(VLOOKUP($C2124,$C$5:$M$24,11,0)+SUMIF($C$25:$C2124,$C2124,$K$25:$K2124)-SUMIF($C$25:$C2124,$C2124,$L$25:$L2124),"")</f>
        <v/>
      </c>
      <c r="N2124" s="10"/>
      <c r="O2124" s="10"/>
      <c r="P2124" s="65"/>
      <c r="Q2124" s="10"/>
      <c r="R2124" s="10"/>
      <c r="S2124" s="54" t="str">
        <f t="shared" si="105"/>
        <v/>
      </c>
      <c r="T2124" s="54" t="str">
        <f t="shared" si="106"/>
        <v/>
      </c>
      <c r="U2124" s="58" t="str">
        <f t="shared" si="107"/>
        <v/>
      </c>
      <c r="V2124" s="58">
        <f>IF(AND($B2124&lt;&gt;"",$F2124&lt;&gt;"",$F2124=项目明细账!$C$2),N(V2123)+1,N(V2123))</f>
        <v>0</v>
      </c>
      <c r="W2124" s="63" t="str">
        <f>IF($H2124&lt;&gt;"","项目成本",IFERROR(INDEX(基础资料!$W$4:$W$49,MATCH($I2124,基础资料!$V$4:$V$49,0)),""))</f>
        <v/>
      </c>
      <c r="X2124" s="63" t="str">
        <f>IFERROR(INDEX(基础资料!$R$4:$R$17,MATCH($G2124,基础资料!$Q$4:$Q$17,0)),"")</f>
        <v/>
      </c>
    </row>
    <row r="2125" spans="1:24">
      <c r="A2125" s="58" t="str">
        <f>IF($B2125="","",COUNTA($B$5:$B2125))</f>
        <v/>
      </c>
      <c r="B2125" s="53"/>
      <c r="C2125" s="46"/>
      <c r="D2125" s="63" t="str">
        <f>IFERROR(INDEX(基础资料!$F$4:$F$23,MATCH($C2125,基础资料!$E$4:$E$23,0)),IF($C2125="","","未匹配账户"))</f>
        <v/>
      </c>
      <c r="E2125" s="39"/>
      <c r="F2125" s="10"/>
      <c r="G2125" s="10"/>
      <c r="H2125" s="10"/>
      <c r="I2125" s="10"/>
      <c r="J2125" s="10"/>
      <c r="K2125" s="25"/>
      <c r="L2125" s="25"/>
      <c r="M2125" s="25" t="str">
        <f>IFERROR(VLOOKUP($C2125,$C$5:$M$24,11,0)+SUMIF($C$25:$C2125,$C2125,$K$25:$K2125)-SUMIF($C$25:$C2125,$C2125,$L$25:$L2125),"")</f>
        <v/>
      </c>
      <c r="N2125" s="10"/>
      <c r="O2125" s="10"/>
      <c r="P2125" s="65"/>
      <c r="Q2125" s="10"/>
      <c r="R2125" s="10"/>
      <c r="S2125" s="54" t="str">
        <f t="shared" si="105"/>
        <v/>
      </c>
      <c r="T2125" s="54" t="str">
        <f t="shared" si="106"/>
        <v/>
      </c>
      <c r="U2125" s="58" t="str">
        <f t="shared" si="107"/>
        <v/>
      </c>
      <c r="V2125" s="58">
        <f>IF(AND($B2125&lt;&gt;"",$F2125&lt;&gt;"",$F2125=项目明细账!$C$2),N(V2124)+1,N(V2124))</f>
        <v>0</v>
      </c>
      <c r="W2125" s="63" t="str">
        <f>IF($H2125&lt;&gt;"","项目成本",IFERROR(INDEX(基础资料!$W$4:$W$49,MATCH($I2125,基础资料!$V$4:$V$49,0)),""))</f>
        <v/>
      </c>
      <c r="X2125" s="63" t="str">
        <f>IFERROR(INDEX(基础资料!$R$4:$R$17,MATCH($G2125,基础资料!$Q$4:$Q$17,0)),"")</f>
        <v/>
      </c>
    </row>
    <row r="2126" spans="1:24">
      <c r="A2126" s="58" t="str">
        <f>IF($B2126="","",COUNTA($B$5:$B2126))</f>
        <v/>
      </c>
      <c r="B2126" s="53"/>
      <c r="C2126" s="46"/>
      <c r="D2126" s="63" t="str">
        <f>IFERROR(INDEX(基础资料!$F$4:$F$23,MATCH($C2126,基础资料!$E$4:$E$23,0)),IF($C2126="","","未匹配账户"))</f>
        <v/>
      </c>
      <c r="E2126" s="39"/>
      <c r="F2126" s="10"/>
      <c r="G2126" s="10"/>
      <c r="H2126" s="10"/>
      <c r="I2126" s="10"/>
      <c r="J2126" s="10"/>
      <c r="K2126" s="25"/>
      <c r="L2126" s="25"/>
      <c r="M2126" s="25" t="str">
        <f>IFERROR(VLOOKUP($C2126,$C$5:$M$24,11,0)+SUMIF($C$25:$C2126,$C2126,$K$25:$K2126)-SUMIF($C$25:$C2126,$C2126,$L$25:$L2126),"")</f>
        <v/>
      </c>
      <c r="N2126" s="10"/>
      <c r="O2126" s="10"/>
      <c r="P2126" s="65"/>
      <c r="Q2126" s="10"/>
      <c r="R2126" s="10"/>
      <c r="S2126" s="54" t="str">
        <f t="shared" si="105"/>
        <v/>
      </c>
      <c r="T2126" s="54" t="str">
        <f t="shared" si="106"/>
        <v/>
      </c>
      <c r="U2126" s="58" t="str">
        <f t="shared" si="107"/>
        <v/>
      </c>
      <c r="V2126" s="58">
        <f>IF(AND($B2126&lt;&gt;"",$F2126&lt;&gt;"",$F2126=项目明细账!$C$2),N(V2125)+1,N(V2125))</f>
        <v>0</v>
      </c>
      <c r="W2126" s="63" t="str">
        <f>IF($H2126&lt;&gt;"","项目成本",IFERROR(INDEX(基础资料!$W$4:$W$49,MATCH($I2126,基础资料!$V$4:$V$49,0)),""))</f>
        <v/>
      </c>
      <c r="X2126" s="63" t="str">
        <f>IFERROR(INDEX(基础资料!$R$4:$R$17,MATCH($G2126,基础资料!$Q$4:$Q$17,0)),"")</f>
        <v/>
      </c>
    </row>
    <row r="2127" spans="1:24">
      <c r="A2127" s="58" t="str">
        <f>IF($B2127="","",COUNTA($B$5:$B2127))</f>
        <v/>
      </c>
      <c r="B2127" s="53"/>
      <c r="C2127" s="46"/>
      <c r="D2127" s="63" t="str">
        <f>IFERROR(INDEX(基础资料!$F$4:$F$23,MATCH($C2127,基础资料!$E$4:$E$23,0)),IF($C2127="","","未匹配账户"))</f>
        <v/>
      </c>
      <c r="E2127" s="39"/>
      <c r="F2127" s="10"/>
      <c r="G2127" s="10"/>
      <c r="H2127" s="10"/>
      <c r="I2127" s="10"/>
      <c r="J2127" s="10"/>
      <c r="K2127" s="25"/>
      <c r="L2127" s="25"/>
      <c r="M2127" s="25" t="str">
        <f>IFERROR(VLOOKUP($C2127,$C$5:$M$24,11,0)+SUMIF($C$25:$C2127,$C2127,$K$25:$K2127)-SUMIF($C$25:$C2127,$C2127,$L$25:$L2127),"")</f>
        <v/>
      </c>
      <c r="N2127" s="10"/>
      <c r="O2127" s="10"/>
      <c r="P2127" s="65"/>
      <c r="Q2127" s="10"/>
      <c r="R2127" s="10"/>
      <c r="S2127" s="54" t="str">
        <f t="shared" si="105"/>
        <v/>
      </c>
      <c r="T2127" s="54" t="str">
        <f t="shared" si="106"/>
        <v/>
      </c>
      <c r="U2127" s="58" t="str">
        <f t="shared" si="107"/>
        <v/>
      </c>
      <c r="V2127" s="58">
        <f>IF(AND($B2127&lt;&gt;"",$F2127&lt;&gt;"",$F2127=项目明细账!$C$2),N(V2126)+1,N(V2126))</f>
        <v>0</v>
      </c>
      <c r="W2127" s="63" t="str">
        <f>IF($H2127&lt;&gt;"","项目成本",IFERROR(INDEX(基础资料!$W$4:$W$49,MATCH($I2127,基础资料!$V$4:$V$49,0)),""))</f>
        <v/>
      </c>
      <c r="X2127" s="63" t="str">
        <f>IFERROR(INDEX(基础资料!$R$4:$R$17,MATCH($G2127,基础资料!$Q$4:$Q$17,0)),"")</f>
        <v/>
      </c>
    </row>
    <row r="2128" spans="1:24">
      <c r="A2128" s="58" t="str">
        <f>IF($B2128="","",COUNTA($B$5:$B2128))</f>
        <v/>
      </c>
      <c r="B2128" s="53"/>
      <c r="C2128" s="46"/>
      <c r="D2128" s="63" t="str">
        <f>IFERROR(INDEX(基础资料!$F$4:$F$23,MATCH($C2128,基础资料!$E$4:$E$23,0)),IF($C2128="","","未匹配账户"))</f>
        <v/>
      </c>
      <c r="E2128" s="39"/>
      <c r="F2128" s="10"/>
      <c r="G2128" s="10"/>
      <c r="H2128" s="10"/>
      <c r="I2128" s="10"/>
      <c r="J2128" s="10"/>
      <c r="K2128" s="25"/>
      <c r="L2128" s="25"/>
      <c r="M2128" s="25" t="str">
        <f>IFERROR(VLOOKUP($C2128,$C$5:$M$24,11,0)+SUMIF($C$25:$C2128,$C2128,$K$25:$K2128)-SUMIF($C$25:$C2128,$C2128,$L$25:$L2128),"")</f>
        <v/>
      </c>
      <c r="N2128" s="10"/>
      <c r="O2128" s="10"/>
      <c r="P2128" s="65"/>
      <c r="Q2128" s="10"/>
      <c r="R2128" s="10"/>
      <c r="S2128" s="54" t="str">
        <f t="shared" si="105"/>
        <v/>
      </c>
      <c r="T2128" s="54" t="str">
        <f t="shared" si="106"/>
        <v/>
      </c>
      <c r="U2128" s="58" t="str">
        <f t="shared" si="107"/>
        <v/>
      </c>
      <c r="V2128" s="58">
        <f>IF(AND($B2128&lt;&gt;"",$F2128&lt;&gt;"",$F2128=项目明细账!$C$2),N(V2127)+1,N(V2127))</f>
        <v>0</v>
      </c>
      <c r="W2128" s="63" t="str">
        <f>IF($H2128&lt;&gt;"","项目成本",IFERROR(INDEX(基础资料!$W$4:$W$49,MATCH($I2128,基础资料!$V$4:$V$49,0)),""))</f>
        <v/>
      </c>
      <c r="X2128" s="63" t="str">
        <f>IFERROR(INDEX(基础资料!$R$4:$R$17,MATCH($G2128,基础资料!$Q$4:$Q$17,0)),"")</f>
        <v/>
      </c>
    </row>
    <row r="2129" spans="1:24">
      <c r="A2129" s="58" t="str">
        <f>IF($B2129="","",COUNTA($B$5:$B2129))</f>
        <v/>
      </c>
      <c r="B2129" s="53"/>
      <c r="C2129" s="46"/>
      <c r="D2129" s="63" t="str">
        <f>IFERROR(INDEX(基础资料!$F$4:$F$23,MATCH($C2129,基础资料!$E$4:$E$23,0)),IF($C2129="","","未匹配账户"))</f>
        <v/>
      </c>
      <c r="E2129" s="39"/>
      <c r="F2129" s="10"/>
      <c r="G2129" s="10"/>
      <c r="H2129" s="10"/>
      <c r="I2129" s="10"/>
      <c r="J2129" s="10"/>
      <c r="K2129" s="25"/>
      <c r="L2129" s="25"/>
      <c r="M2129" s="25" t="str">
        <f>IFERROR(VLOOKUP($C2129,$C$5:$M$24,11,0)+SUMIF($C$25:$C2129,$C2129,$K$25:$K2129)-SUMIF($C$25:$C2129,$C2129,$L$25:$L2129),"")</f>
        <v/>
      </c>
      <c r="N2129" s="10"/>
      <c r="O2129" s="10"/>
      <c r="P2129" s="65"/>
      <c r="Q2129" s="10"/>
      <c r="R2129" s="10"/>
      <c r="S2129" s="54" t="str">
        <f t="shared" si="105"/>
        <v/>
      </c>
      <c r="T2129" s="54" t="str">
        <f t="shared" si="106"/>
        <v/>
      </c>
      <c r="U2129" s="58" t="str">
        <f t="shared" si="107"/>
        <v/>
      </c>
      <c r="V2129" s="58">
        <f>IF(AND($B2129&lt;&gt;"",$F2129&lt;&gt;"",$F2129=项目明细账!$C$2),N(V2128)+1,N(V2128))</f>
        <v>0</v>
      </c>
      <c r="W2129" s="63" t="str">
        <f>IF($H2129&lt;&gt;"","项目成本",IFERROR(INDEX(基础资料!$W$4:$W$49,MATCH($I2129,基础资料!$V$4:$V$49,0)),""))</f>
        <v/>
      </c>
      <c r="X2129" s="63" t="str">
        <f>IFERROR(INDEX(基础资料!$R$4:$R$17,MATCH($G2129,基础资料!$Q$4:$Q$17,0)),"")</f>
        <v/>
      </c>
    </row>
    <row r="2130" spans="1:24">
      <c r="A2130" s="58" t="str">
        <f>IF($B2130="","",COUNTA($B$5:$B2130))</f>
        <v/>
      </c>
      <c r="B2130" s="53"/>
      <c r="C2130" s="46"/>
      <c r="D2130" s="63" t="str">
        <f>IFERROR(INDEX(基础资料!$F$4:$F$23,MATCH($C2130,基础资料!$E$4:$E$23,0)),IF($C2130="","","未匹配账户"))</f>
        <v/>
      </c>
      <c r="E2130" s="39"/>
      <c r="F2130" s="10"/>
      <c r="G2130" s="10"/>
      <c r="H2130" s="10"/>
      <c r="I2130" s="10"/>
      <c r="J2130" s="10"/>
      <c r="K2130" s="25"/>
      <c r="L2130" s="25"/>
      <c r="M2130" s="25" t="str">
        <f>IFERROR(VLOOKUP($C2130,$C$5:$M$24,11,0)+SUMIF($C$25:$C2130,$C2130,$K$25:$K2130)-SUMIF($C$25:$C2130,$C2130,$L$25:$L2130),"")</f>
        <v/>
      </c>
      <c r="N2130" s="10"/>
      <c r="O2130" s="10"/>
      <c r="P2130" s="65"/>
      <c r="Q2130" s="10"/>
      <c r="R2130" s="10"/>
      <c r="S2130" s="54" t="str">
        <f t="shared" si="105"/>
        <v/>
      </c>
      <c r="T2130" s="54" t="str">
        <f t="shared" si="106"/>
        <v/>
      </c>
      <c r="U2130" s="58" t="str">
        <f t="shared" si="107"/>
        <v/>
      </c>
      <c r="V2130" s="58">
        <f>IF(AND($B2130&lt;&gt;"",$F2130&lt;&gt;"",$F2130=项目明细账!$C$2),N(V2129)+1,N(V2129))</f>
        <v>0</v>
      </c>
      <c r="W2130" s="63" t="str">
        <f>IF($H2130&lt;&gt;"","项目成本",IFERROR(INDEX(基础资料!$W$4:$W$49,MATCH($I2130,基础资料!$V$4:$V$49,0)),""))</f>
        <v/>
      </c>
      <c r="X2130" s="63" t="str">
        <f>IFERROR(INDEX(基础资料!$R$4:$R$17,MATCH($G2130,基础资料!$Q$4:$Q$17,0)),"")</f>
        <v/>
      </c>
    </row>
    <row r="2131" spans="1:24">
      <c r="A2131" s="58" t="str">
        <f>IF($B2131="","",COUNTA($B$5:$B2131))</f>
        <v/>
      </c>
      <c r="B2131" s="53"/>
      <c r="C2131" s="46"/>
      <c r="D2131" s="63" t="str">
        <f>IFERROR(INDEX(基础资料!$F$4:$F$23,MATCH($C2131,基础资料!$E$4:$E$23,0)),IF($C2131="","","未匹配账户"))</f>
        <v/>
      </c>
      <c r="E2131" s="39"/>
      <c r="F2131" s="10"/>
      <c r="G2131" s="10"/>
      <c r="H2131" s="10"/>
      <c r="I2131" s="10"/>
      <c r="J2131" s="10"/>
      <c r="K2131" s="25"/>
      <c r="L2131" s="25"/>
      <c r="M2131" s="25" t="str">
        <f>IFERROR(VLOOKUP($C2131,$C$5:$M$24,11,0)+SUMIF($C$25:$C2131,$C2131,$K$25:$K2131)-SUMIF($C$25:$C2131,$C2131,$L$25:$L2131),"")</f>
        <v/>
      </c>
      <c r="N2131" s="10"/>
      <c r="O2131" s="10"/>
      <c r="P2131" s="65"/>
      <c r="Q2131" s="10"/>
      <c r="R2131" s="10"/>
      <c r="S2131" s="54" t="str">
        <f t="shared" si="105"/>
        <v/>
      </c>
      <c r="T2131" s="54" t="str">
        <f t="shared" si="106"/>
        <v/>
      </c>
      <c r="U2131" s="58" t="str">
        <f t="shared" si="107"/>
        <v/>
      </c>
      <c r="V2131" s="58">
        <f>IF(AND($B2131&lt;&gt;"",$F2131&lt;&gt;"",$F2131=项目明细账!$C$2),N(V2130)+1,N(V2130))</f>
        <v>0</v>
      </c>
      <c r="W2131" s="63" t="str">
        <f>IF($H2131&lt;&gt;"","项目成本",IFERROR(INDEX(基础资料!$W$4:$W$49,MATCH($I2131,基础资料!$V$4:$V$49,0)),""))</f>
        <v/>
      </c>
      <c r="X2131" s="63" t="str">
        <f>IFERROR(INDEX(基础资料!$R$4:$R$17,MATCH($G2131,基础资料!$Q$4:$Q$17,0)),"")</f>
        <v/>
      </c>
    </row>
    <row r="2132" spans="1:24">
      <c r="A2132" s="58" t="str">
        <f>IF($B2132="","",COUNTA($B$5:$B2132))</f>
        <v/>
      </c>
      <c r="B2132" s="53"/>
      <c r="C2132" s="46"/>
      <c r="D2132" s="63" t="str">
        <f>IFERROR(INDEX(基础资料!$F$4:$F$23,MATCH($C2132,基础资料!$E$4:$E$23,0)),IF($C2132="","","未匹配账户"))</f>
        <v/>
      </c>
      <c r="E2132" s="39"/>
      <c r="F2132" s="10"/>
      <c r="G2132" s="10"/>
      <c r="H2132" s="10"/>
      <c r="I2132" s="10"/>
      <c r="J2132" s="10"/>
      <c r="K2132" s="25"/>
      <c r="L2132" s="25"/>
      <c r="M2132" s="25" t="str">
        <f>IFERROR(VLOOKUP($C2132,$C$5:$M$24,11,0)+SUMIF($C$25:$C2132,$C2132,$K$25:$K2132)-SUMIF($C$25:$C2132,$C2132,$L$25:$L2132),"")</f>
        <v/>
      </c>
      <c r="N2132" s="10"/>
      <c r="O2132" s="10"/>
      <c r="P2132" s="65"/>
      <c r="Q2132" s="10"/>
      <c r="R2132" s="10"/>
      <c r="S2132" s="54" t="str">
        <f t="shared" si="105"/>
        <v/>
      </c>
      <c r="T2132" s="54" t="str">
        <f t="shared" si="106"/>
        <v/>
      </c>
      <c r="U2132" s="58" t="str">
        <f t="shared" si="107"/>
        <v/>
      </c>
      <c r="V2132" s="58">
        <f>IF(AND($B2132&lt;&gt;"",$F2132&lt;&gt;"",$F2132=项目明细账!$C$2),N(V2131)+1,N(V2131))</f>
        <v>0</v>
      </c>
      <c r="W2132" s="63" t="str">
        <f>IF($H2132&lt;&gt;"","项目成本",IFERROR(INDEX(基础资料!$W$4:$W$49,MATCH($I2132,基础资料!$V$4:$V$49,0)),""))</f>
        <v/>
      </c>
      <c r="X2132" s="63" t="str">
        <f>IFERROR(INDEX(基础资料!$R$4:$R$17,MATCH($G2132,基础资料!$Q$4:$Q$17,0)),"")</f>
        <v/>
      </c>
    </row>
    <row r="2133" spans="1:24">
      <c r="A2133" s="58" t="str">
        <f>IF($B2133="","",COUNTA($B$5:$B2133))</f>
        <v/>
      </c>
      <c r="B2133" s="53"/>
      <c r="C2133" s="46"/>
      <c r="D2133" s="63" t="str">
        <f>IFERROR(INDEX(基础资料!$F$4:$F$23,MATCH($C2133,基础资料!$E$4:$E$23,0)),IF($C2133="","","未匹配账户"))</f>
        <v/>
      </c>
      <c r="E2133" s="39"/>
      <c r="F2133" s="10"/>
      <c r="G2133" s="10"/>
      <c r="H2133" s="10"/>
      <c r="I2133" s="10"/>
      <c r="J2133" s="10"/>
      <c r="K2133" s="25"/>
      <c r="L2133" s="25"/>
      <c r="M2133" s="25" t="str">
        <f>IFERROR(VLOOKUP($C2133,$C$5:$M$24,11,0)+SUMIF($C$25:$C2133,$C2133,$K$25:$K2133)-SUMIF($C$25:$C2133,$C2133,$L$25:$L2133),"")</f>
        <v/>
      </c>
      <c r="N2133" s="10"/>
      <c r="O2133" s="10"/>
      <c r="P2133" s="65"/>
      <c r="Q2133" s="10"/>
      <c r="R2133" s="10"/>
      <c r="S2133" s="54" t="str">
        <f t="shared" si="105"/>
        <v/>
      </c>
      <c r="T2133" s="54" t="str">
        <f t="shared" si="106"/>
        <v/>
      </c>
      <c r="U2133" s="58" t="str">
        <f t="shared" si="107"/>
        <v/>
      </c>
      <c r="V2133" s="58">
        <f>IF(AND($B2133&lt;&gt;"",$F2133&lt;&gt;"",$F2133=项目明细账!$C$2),N(V2132)+1,N(V2132))</f>
        <v>0</v>
      </c>
      <c r="W2133" s="63" t="str">
        <f>IF($H2133&lt;&gt;"","项目成本",IFERROR(INDEX(基础资料!$W$4:$W$49,MATCH($I2133,基础资料!$V$4:$V$49,0)),""))</f>
        <v/>
      </c>
      <c r="X2133" s="63" t="str">
        <f>IFERROR(INDEX(基础资料!$R$4:$R$17,MATCH($G2133,基础资料!$Q$4:$Q$17,0)),"")</f>
        <v/>
      </c>
    </row>
    <row r="2134" spans="1:24">
      <c r="A2134" s="58" t="str">
        <f>IF($B2134="","",COUNTA($B$5:$B2134))</f>
        <v/>
      </c>
      <c r="B2134" s="53"/>
      <c r="C2134" s="46"/>
      <c r="D2134" s="63" t="str">
        <f>IFERROR(INDEX(基础资料!$F$4:$F$23,MATCH($C2134,基础资料!$E$4:$E$23,0)),IF($C2134="","","未匹配账户"))</f>
        <v/>
      </c>
      <c r="E2134" s="39"/>
      <c r="F2134" s="10"/>
      <c r="G2134" s="10"/>
      <c r="H2134" s="10"/>
      <c r="I2134" s="10"/>
      <c r="J2134" s="10"/>
      <c r="K2134" s="25"/>
      <c r="L2134" s="25"/>
      <c r="M2134" s="25" t="str">
        <f>IFERROR(VLOOKUP($C2134,$C$5:$M$24,11,0)+SUMIF($C$25:$C2134,$C2134,$K$25:$K2134)-SUMIF($C$25:$C2134,$C2134,$L$25:$L2134),"")</f>
        <v/>
      </c>
      <c r="N2134" s="10"/>
      <c r="O2134" s="10"/>
      <c r="P2134" s="65"/>
      <c r="Q2134" s="10"/>
      <c r="R2134" s="10"/>
      <c r="S2134" s="54" t="str">
        <f t="shared" si="105"/>
        <v/>
      </c>
      <c r="T2134" s="54" t="str">
        <f t="shared" si="106"/>
        <v/>
      </c>
      <c r="U2134" s="58" t="str">
        <f t="shared" si="107"/>
        <v/>
      </c>
      <c r="V2134" s="58">
        <f>IF(AND($B2134&lt;&gt;"",$F2134&lt;&gt;"",$F2134=项目明细账!$C$2),N(V2133)+1,N(V2133))</f>
        <v>0</v>
      </c>
      <c r="W2134" s="63" t="str">
        <f>IF($H2134&lt;&gt;"","项目成本",IFERROR(INDEX(基础资料!$W$4:$W$49,MATCH($I2134,基础资料!$V$4:$V$49,0)),""))</f>
        <v/>
      </c>
      <c r="X2134" s="63" t="str">
        <f>IFERROR(INDEX(基础资料!$R$4:$R$17,MATCH($G2134,基础资料!$Q$4:$Q$17,0)),"")</f>
        <v/>
      </c>
    </row>
    <row r="2135" spans="1:24">
      <c r="A2135" s="58" t="str">
        <f>IF($B2135="","",COUNTA($B$5:$B2135))</f>
        <v/>
      </c>
      <c r="B2135" s="53"/>
      <c r="C2135" s="46"/>
      <c r="D2135" s="63" t="str">
        <f>IFERROR(INDEX(基础资料!$F$4:$F$23,MATCH($C2135,基础资料!$E$4:$E$23,0)),IF($C2135="","","未匹配账户"))</f>
        <v/>
      </c>
      <c r="E2135" s="39"/>
      <c r="F2135" s="10"/>
      <c r="G2135" s="10"/>
      <c r="H2135" s="10"/>
      <c r="I2135" s="10"/>
      <c r="J2135" s="10"/>
      <c r="K2135" s="25"/>
      <c r="L2135" s="25"/>
      <c r="M2135" s="25" t="str">
        <f>IFERROR(VLOOKUP($C2135,$C$5:$M$24,11,0)+SUMIF($C$25:$C2135,$C2135,$K$25:$K2135)-SUMIF($C$25:$C2135,$C2135,$L$25:$L2135),"")</f>
        <v/>
      </c>
      <c r="N2135" s="10"/>
      <c r="O2135" s="10"/>
      <c r="P2135" s="65"/>
      <c r="Q2135" s="10"/>
      <c r="R2135" s="10"/>
      <c r="S2135" s="54" t="str">
        <f t="shared" si="105"/>
        <v/>
      </c>
      <c r="T2135" s="54" t="str">
        <f t="shared" si="106"/>
        <v/>
      </c>
      <c r="U2135" s="58" t="str">
        <f t="shared" si="107"/>
        <v/>
      </c>
      <c r="V2135" s="58">
        <f>IF(AND($B2135&lt;&gt;"",$F2135&lt;&gt;"",$F2135=项目明细账!$C$2),N(V2134)+1,N(V2134))</f>
        <v>0</v>
      </c>
      <c r="W2135" s="63" t="str">
        <f>IF($H2135&lt;&gt;"","项目成本",IFERROR(INDEX(基础资料!$W$4:$W$49,MATCH($I2135,基础资料!$V$4:$V$49,0)),""))</f>
        <v/>
      </c>
      <c r="X2135" s="63" t="str">
        <f>IFERROR(INDEX(基础资料!$R$4:$R$17,MATCH($G2135,基础资料!$Q$4:$Q$17,0)),"")</f>
        <v/>
      </c>
    </row>
    <row r="2136" spans="1:24">
      <c r="A2136" s="58" t="str">
        <f>IF($B2136="","",COUNTA($B$5:$B2136))</f>
        <v/>
      </c>
      <c r="B2136" s="53"/>
      <c r="C2136" s="46"/>
      <c r="D2136" s="63" t="str">
        <f>IFERROR(INDEX(基础资料!$F$4:$F$23,MATCH($C2136,基础资料!$E$4:$E$23,0)),IF($C2136="","","未匹配账户"))</f>
        <v/>
      </c>
      <c r="E2136" s="39"/>
      <c r="F2136" s="10"/>
      <c r="G2136" s="10"/>
      <c r="H2136" s="10"/>
      <c r="I2136" s="10"/>
      <c r="J2136" s="10"/>
      <c r="K2136" s="25"/>
      <c r="L2136" s="25"/>
      <c r="M2136" s="25" t="str">
        <f>IFERROR(VLOOKUP($C2136,$C$5:$M$24,11,0)+SUMIF($C$25:$C2136,$C2136,$K$25:$K2136)-SUMIF($C$25:$C2136,$C2136,$L$25:$L2136),"")</f>
        <v/>
      </c>
      <c r="N2136" s="10"/>
      <c r="O2136" s="10"/>
      <c r="P2136" s="65"/>
      <c r="Q2136" s="10"/>
      <c r="R2136" s="10"/>
      <c r="S2136" s="54" t="str">
        <f t="shared" si="105"/>
        <v/>
      </c>
      <c r="T2136" s="54" t="str">
        <f t="shared" si="106"/>
        <v/>
      </c>
      <c r="U2136" s="58" t="str">
        <f t="shared" si="107"/>
        <v/>
      </c>
      <c r="V2136" s="58">
        <f>IF(AND($B2136&lt;&gt;"",$F2136&lt;&gt;"",$F2136=项目明细账!$C$2),N(V2135)+1,N(V2135))</f>
        <v>0</v>
      </c>
      <c r="W2136" s="63" t="str">
        <f>IF($H2136&lt;&gt;"","项目成本",IFERROR(INDEX(基础资料!$W$4:$W$49,MATCH($I2136,基础资料!$V$4:$V$49,0)),""))</f>
        <v/>
      </c>
      <c r="X2136" s="63" t="str">
        <f>IFERROR(INDEX(基础资料!$R$4:$R$17,MATCH($G2136,基础资料!$Q$4:$Q$17,0)),"")</f>
        <v/>
      </c>
    </row>
    <row r="2137" spans="1:24">
      <c r="A2137" s="58" t="str">
        <f>IF($B2137="","",COUNTA($B$5:$B2137))</f>
        <v/>
      </c>
      <c r="B2137" s="53"/>
      <c r="C2137" s="46"/>
      <c r="D2137" s="63" t="str">
        <f>IFERROR(INDEX(基础资料!$F$4:$F$23,MATCH($C2137,基础资料!$E$4:$E$23,0)),IF($C2137="","","未匹配账户"))</f>
        <v/>
      </c>
      <c r="E2137" s="39"/>
      <c r="F2137" s="10"/>
      <c r="G2137" s="10"/>
      <c r="H2137" s="10"/>
      <c r="I2137" s="10"/>
      <c r="J2137" s="10"/>
      <c r="K2137" s="25"/>
      <c r="L2137" s="25"/>
      <c r="M2137" s="25" t="str">
        <f>IFERROR(VLOOKUP($C2137,$C$5:$M$24,11,0)+SUMIF($C$25:$C2137,$C2137,$K$25:$K2137)-SUMIF($C$25:$C2137,$C2137,$L$25:$L2137),"")</f>
        <v/>
      </c>
      <c r="N2137" s="10"/>
      <c r="O2137" s="10"/>
      <c r="P2137" s="65"/>
      <c r="Q2137" s="10"/>
      <c r="R2137" s="10"/>
      <c r="S2137" s="54" t="str">
        <f t="shared" si="105"/>
        <v/>
      </c>
      <c r="T2137" s="54" t="str">
        <f t="shared" si="106"/>
        <v/>
      </c>
      <c r="U2137" s="58" t="str">
        <f t="shared" si="107"/>
        <v/>
      </c>
      <c r="V2137" s="58">
        <f>IF(AND($B2137&lt;&gt;"",$F2137&lt;&gt;"",$F2137=项目明细账!$C$2),N(V2136)+1,N(V2136))</f>
        <v>0</v>
      </c>
      <c r="W2137" s="63" t="str">
        <f>IF($H2137&lt;&gt;"","项目成本",IFERROR(INDEX(基础资料!$W$4:$W$49,MATCH($I2137,基础资料!$V$4:$V$49,0)),""))</f>
        <v/>
      </c>
      <c r="X2137" s="63" t="str">
        <f>IFERROR(INDEX(基础资料!$R$4:$R$17,MATCH($G2137,基础资料!$Q$4:$Q$17,0)),"")</f>
        <v/>
      </c>
    </row>
    <row r="2138" spans="1:24">
      <c r="A2138" s="58" t="str">
        <f>IF($B2138="","",COUNTA($B$5:$B2138))</f>
        <v/>
      </c>
      <c r="B2138" s="53"/>
      <c r="C2138" s="46"/>
      <c r="D2138" s="63" t="str">
        <f>IFERROR(INDEX(基础资料!$F$4:$F$23,MATCH($C2138,基础资料!$E$4:$E$23,0)),IF($C2138="","","未匹配账户"))</f>
        <v/>
      </c>
      <c r="E2138" s="39"/>
      <c r="F2138" s="10"/>
      <c r="G2138" s="10"/>
      <c r="H2138" s="10"/>
      <c r="I2138" s="10"/>
      <c r="J2138" s="10"/>
      <c r="K2138" s="25"/>
      <c r="L2138" s="25"/>
      <c r="M2138" s="25" t="str">
        <f>IFERROR(VLOOKUP($C2138,$C$5:$M$24,11,0)+SUMIF($C$25:$C2138,$C2138,$K$25:$K2138)-SUMIF($C$25:$C2138,$C2138,$L$25:$L2138),"")</f>
        <v/>
      </c>
      <c r="N2138" s="10"/>
      <c r="O2138" s="10"/>
      <c r="P2138" s="65"/>
      <c r="Q2138" s="10"/>
      <c r="R2138" s="10"/>
      <c r="S2138" s="54" t="str">
        <f t="shared" si="105"/>
        <v/>
      </c>
      <c r="T2138" s="54" t="str">
        <f t="shared" si="106"/>
        <v/>
      </c>
      <c r="U2138" s="58" t="str">
        <f t="shared" si="107"/>
        <v/>
      </c>
      <c r="V2138" s="58">
        <f>IF(AND($B2138&lt;&gt;"",$F2138&lt;&gt;"",$F2138=项目明细账!$C$2),N(V2137)+1,N(V2137))</f>
        <v>0</v>
      </c>
      <c r="W2138" s="63" t="str">
        <f>IF($H2138&lt;&gt;"","项目成本",IFERROR(INDEX(基础资料!$W$4:$W$49,MATCH($I2138,基础资料!$V$4:$V$49,0)),""))</f>
        <v/>
      </c>
      <c r="X2138" s="63" t="str">
        <f>IFERROR(INDEX(基础资料!$R$4:$R$17,MATCH($G2138,基础资料!$Q$4:$Q$17,0)),"")</f>
        <v/>
      </c>
    </row>
    <row r="2139" spans="1:24">
      <c r="A2139" s="58" t="str">
        <f>IF($B2139="","",COUNTA($B$5:$B2139))</f>
        <v/>
      </c>
      <c r="B2139" s="53"/>
      <c r="C2139" s="46"/>
      <c r="D2139" s="63" t="str">
        <f>IFERROR(INDEX(基础资料!$F$4:$F$23,MATCH($C2139,基础资料!$E$4:$E$23,0)),IF($C2139="","","未匹配账户"))</f>
        <v/>
      </c>
      <c r="E2139" s="39"/>
      <c r="F2139" s="10"/>
      <c r="G2139" s="10"/>
      <c r="H2139" s="10"/>
      <c r="I2139" s="10"/>
      <c r="J2139" s="10"/>
      <c r="K2139" s="25"/>
      <c r="L2139" s="25"/>
      <c r="M2139" s="25" t="str">
        <f>IFERROR(VLOOKUP($C2139,$C$5:$M$24,11,0)+SUMIF($C$25:$C2139,$C2139,$K$25:$K2139)-SUMIF($C$25:$C2139,$C2139,$L$25:$L2139),"")</f>
        <v/>
      </c>
      <c r="N2139" s="10"/>
      <c r="O2139" s="10"/>
      <c r="P2139" s="65"/>
      <c r="Q2139" s="10"/>
      <c r="R2139" s="10"/>
      <c r="S2139" s="54" t="str">
        <f t="shared" si="105"/>
        <v/>
      </c>
      <c r="T2139" s="54" t="str">
        <f t="shared" si="106"/>
        <v/>
      </c>
      <c r="U2139" s="58" t="str">
        <f t="shared" si="107"/>
        <v/>
      </c>
      <c r="V2139" s="58">
        <f>IF(AND($B2139&lt;&gt;"",$F2139&lt;&gt;"",$F2139=项目明细账!$C$2),N(V2138)+1,N(V2138))</f>
        <v>0</v>
      </c>
      <c r="W2139" s="63" t="str">
        <f>IF($H2139&lt;&gt;"","项目成本",IFERROR(INDEX(基础资料!$W$4:$W$49,MATCH($I2139,基础资料!$V$4:$V$49,0)),""))</f>
        <v/>
      </c>
      <c r="X2139" s="63" t="str">
        <f>IFERROR(INDEX(基础资料!$R$4:$R$17,MATCH($G2139,基础资料!$Q$4:$Q$17,0)),"")</f>
        <v/>
      </c>
    </row>
    <row r="2140" spans="1:24">
      <c r="A2140" s="58" t="str">
        <f>IF($B2140="","",COUNTA($B$5:$B2140))</f>
        <v/>
      </c>
      <c r="B2140" s="53"/>
      <c r="C2140" s="46"/>
      <c r="D2140" s="63" t="str">
        <f>IFERROR(INDEX(基础资料!$F$4:$F$23,MATCH($C2140,基础资料!$E$4:$E$23,0)),IF($C2140="","","未匹配账户"))</f>
        <v/>
      </c>
      <c r="E2140" s="39"/>
      <c r="F2140" s="10"/>
      <c r="G2140" s="10"/>
      <c r="H2140" s="10"/>
      <c r="I2140" s="10"/>
      <c r="J2140" s="10"/>
      <c r="K2140" s="25"/>
      <c r="L2140" s="25"/>
      <c r="M2140" s="25" t="str">
        <f>IFERROR(VLOOKUP($C2140,$C$5:$M$24,11,0)+SUMIF($C$25:$C2140,$C2140,$K$25:$K2140)-SUMIF($C$25:$C2140,$C2140,$L$25:$L2140),"")</f>
        <v/>
      </c>
      <c r="N2140" s="10"/>
      <c r="O2140" s="10"/>
      <c r="P2140" s="65"/>
      <c r="Q2140" s="10"/>
      <c r="R2140" s="10"/>
      <c r="S2140" s="54" t="str">
        <f t="shared" si="105"/>
        <v/>
      </c>
      <c r="T2140" s="54" t="str">
        <f t="shared" si="106"/>
        <v/>
      </c>
      <c r="U2140" s="58" t="str">
        <f t="shared" si="107"/>
        <v/>
      </c>
      <c r="V2140" s="58">
        <f>IF(AND($B2140&lt;&gt;"",$F2140&lt;&gt;"",$F2140=项目明细账!$C$2),N(V2139)+1,N(V2139))</f>
        <v>0</v>
      </c>
      <c r="W2140" s="63" t="str">
        <f>IF($H2140&lt;&gt;"","项目成本",IFERROR(INDEX(基础资料!$W$4:$W$49,MATCH($I2140,基础资料!$V$4:$V$49,0)),""))</f>
        <v/>
      </c>
      <c r="X2140" s="63" t="str">
        <f>IFERROR(INDEX(基础资料!$R$4:$R$17,MATCH($G2140,基础资料!$Q$4:$Q$17,0)),"")</f>
        <v/>
      </c>
    </row>
    <row r="2141" spans="1:24">
      <c r="A2141" s="58" t="str">
        <f>IF($B2141="","",COUNTA($B$5:$B2141))</f>
        <v/>
      </c>
      <c r="B2141" s="53"/>
      <c r="C2141" s="46"/>
      <c r="D2141" s="63" t="str">
        <f>IFERROR(INDEX(基础资料!$F$4:$F$23,MATCH($C2141,基础资料!$E$4:$E$23,0)),IF($C2141="","","未匹配账户"))</f>
        <v/>
      </c>
      <c r="E2141" s="39"/>
      <c r="F2141" s="10"/>
      <c r="G2141" s="10"/>
      <c r="H2141" s="10"/>
      <c r="I2141" s="10"/>
      <c r="J2141" s="10"/>
      <c r="K2141" s="25"/>
      <c r="L2141" s="25"/>
      <c r="M2141" s="25" t="str">
        <f>IFERROR(VLOOKUP($C2141,$C$5:$M$24,11,0)+SUMIF($C$25:$C2141,$C2141,$K$25:$K2141)-SUMIF($C$25:$C2141,$C2141,$L$25:$L2141),"")</f>
        <v/>
      </c>
      <c r="N2141" s="10"/>
      <c r="O2141" s="10"/>
      <c r="P2141" s="65"/>
      <c r="Q2141" s="10"/>
      <c r="R2141" s="10"/>
      <c r="S2141" s="54" t="str">
        <f t="shared" si="105"/>
        <v/>
      </c>
      <c r="T2141" s="54" t="str">
        <f t="shared" si="106"/>
        <v/>
      </c>
      <c r="U2141" s="58" t="str">
        <f t="shared" si="107"/>
        <v/>
      </c>
      <c r="V2141" s="58">
        <f>IF(AND($B2141&lt;&gt;"",$F2141&lt;&gt;"",$F2141=项目明细账!$C$2),N(V2140)+1,N(V2140))</f>
        <v>0</v>
      </c>
      <c r="W2141" s="63" t="str">
        <f>IF($H2141&lt;&gt;"","项目成本",IFERROR(INDEX(基础资料!$W$4:$W$49,MATCH($I2141,基础资料!$V$4:$V$49,0)),""))</f>
        <v/>
      </c>
      <c r="X2141" s="63" t="str">
        <f>IFERROR(INDEX(基础资料!$R$4:$R$17,MATCH($G2141,基础资料!$Q$4:$Q$17,0)),"")</f>
        <v/>
      </c>
    </row>
    <row r="2142" spans="1:24">
      <c r="A2142" s="58" t="str">
        <f>IF($B2142="","",COUNTA($B$5:$B2142))</f>
        <v/>
      </c>
      <c r="B2142" s="53"/>
      <c r="C2142" s="46"/>
      <c r="D2142" s="63" t="str">
        <f>IFERROR(INDEX(基础资料!$F$4:$F$23,MATCH($C2142,基础资料!$E$4:$E$23,0)),IF($C2142="","","未匹配账户"))</f>
        <v/>
      </c>
      <c r="E2142" s="39"/>
      <c r="F2142" s="10"/>
      <c r="G2142" s="10"/>
      <c r="H2142" s="10"/>
      <c r="I2142" s="10"/>
      <c r="J2142" s="10"/>
      <c r="K2142" s="25"/>
      <c r="L2142" s="25"/>
      <c r="M2142" s="25" t="str">
        <f>IFERROR(VLOOKUP($C2142,$C$5:$M$24,11,0)+SUMIF($C$25:$C2142,$C2142,$K$25:$K2142)-SUMIF($C$25:$C2142,$C2142,$L$25:$L2142),"")</f>
        <v/>
      </c>
      <c r="N2142" s="10"/>
      <c r="O2142" s="10"/>
      <c r="P2142" s="65"/>
      <c r="Q2142" s="10"/>
      <c r="R2142" s="10"/>
      <c r="S2142" s="54" t="str">
        <f t="shared" si="105"/>
        <v/>
      </c>
      <c r="T2142" s="54" t="str">
        <f t="shared" si="106"/>
        <v/>
      </c>
      <c r="U2142" s="58" t="str">
        <f t="shared" si="107"/>
        <v/>
      </c>
      <c r="V2142" s="58">
        <f>IF(AND($B2142&lt;&gt;"",$F2142&lt;&gt;"",$F2142=项目明细账!$C$2),N(V2141)+1,N(V2141))</f>
        <v>0</v>
      </c>
      <c r="W2142" s="63" t="str">
        <f>IF($H2142&lt;&gt;"","项目成本",IFERROR(INDEX(基础资料!$W$4:$W$49,MATCH($I2142,基础资料!$V$4:$V$49,0)),""))</f>
        <v/>
      </c>
      <c r="X2142" s="63" t="str">
        <f>IFERROR(INDEX(基础资料!$R$4:$R$17,MATCH($G2142,基础资料!$Q$4:$Q$17,0)),"")</f>
        <v/>
      </c>
    </row>
    <row r="2143" spans="1:24">
      <c r="A2143" s="58" t="str">
        <f>IF($B2143="","",COUNTA($B$5:$B2143))</f>
        <v/>
      </c>
      <c r="B2143" s="53"/>
      <c r="C2143" s="46"/>
      <c r="D2143" s="63" t="str">
        <f>IFERROR(INDEX(基础资料!$F$4:$F$23,MATCH($C2143,基础资料!$E$4:$E$23,0)),IF($C2143="","","未匹配账户"))</f>
        <v/>
      </c>
      <c r="E2143" s="39"/>
      <c r="F2143" s="10"/>
      <c r="G2143" s="10"/>
      <c r="H2143" s="10"/>
      <c r="I2143" s="10"/>
      <c r="J2143" s="10"/>
      <c r="K2143" s="25"/>
      <c r="L2143" s="25"/>
      <c r="M2143" s="25" t="str">
        <f>IFERROR(VLOOKUP($C2143,$C$5:$M$24,11,0)+SUMIF($C$25:$C2143,$C2143,$K$25:$K2143)-SUMIF($C$25:$C2143,$C2143,$L$25:$L2143),"")</f>
        <v/>
      </c>
      <c r="N2143" s="10"/>
      <c r="O2143" s="10"/>
      <c r="P2143" s="65"/>
      <c r="Q2143" s="10"/>
      <c r="R2143" s="10"/>
      <c r="S2143" s="54" t="str">
        <f t="shared" si="105"/>
        <v/>
      </c>
      <c r="T2143" s="54" t="str">
        <f t="shared" si="106"/>
        <v/>
      </c>
      <c r="U2143" s="58" t="str">
        <f t="shared" si="107"/>
        <v/>
      </c>
      <c r="V2143" s="58">
        <f>IF(AND($B2143&lt;&gt;"",$F2143&lt;&gt;"",$F2143=项目明细账!$C$2),N(V2142)+1,N(V2142))</f>
        <v>0</v>
      </c>
      <c r="W2143" s="63" t="str">
        <f>IF($H2143&lt;&gt;"","项目成本",IFERROR(INDEX(基础资料!$W$4:$W$49,MATCH($I2143,基础资料!$V$4:$V$49,0)),""))</f>
        <v/>
      </c>
      <c r="X2143" s="63" t="str">
        <f>IFERROR(INDEX(基础资料!$R$4:$R$17,MATCH($G2143,基础资料!$Q$4:$Q$17,0)),"")</f>
        <v/>
      </c>
    </row>
    <row r="2144" spans="1:24">
      <c r="A2144" s="58" t="str">
        <f>IF($B2144="","",COUNTA($B$5:$B2144))</f>
        <v/>
      </c>
      <c r="B2144" s="53"/>
      <c r="C2144" s="46"/>
      <c r="D2144" s="63" t="str">
        <f>IFERROR(INDEX(基础资料!$F$4:$F$23,MATCH($C2144,基础资料!$E$4:$E$23,0)),IF($C2144="","","未匹配账户"))</f>
        <v/>
      </c>
      <c r="E2144" s="39"/>
      <c r="F2144" s="10"/>
      <c r="G2144" s="10"/>
      <c r="H2144" s="10"/>
      <c r="I2144" s="10"/>
      <c r="J2144" s="10"/>
      <c r="K2144" s="25"/>
      <c r="L2144" s="25"/>
      <c r="M2144" s="25" t="str">
        <f>IFERROR(VLOOKUP($C2144,$C$5:$M$24,11,0)+SUMIF($C$25:$C2144,$C2144,$K$25:$K2144)-SUMIF($C$25:$C2144,$C2144,$L$25:$L2144),"")</f>
        <v/>
      </c>
      <c r="N2144" s="10"/>
      <c r="O2144" s="10"/>
      <c r="P2144" s="65"/>
      <c r="Q2144" s="10"/>
      <c r="R2144" s="10"/>
      <c r="S2144" s="54" t="str">
        <f t="shared" si="105"/>
        <v/>
      </c>
      <c r="T2144" s="54" t="str">
        <f t="shared" si="106"/>
        <v/>
      </c>
      <c r="U2144" s="58" t="str">
        <f t="shared" si="107"/>
        <v/>
      </c>
      <c r="V2144" s="58">
        <f>IF(AND($B2144&lt;&gt;"",$F2144&lt;&gt;"",$F2144=项目明细账!$C$2),N(V2143)+1,N(V2143))</f>
        <v>0</v>
      </c>
      <c r="W2144" s="63" t="str">
        <f>IF($H2144&lt;&gt;"","项目成本",IFERROR(INDEX(基础资料!$W$4:$W$49,MATCH($I2144,基础资料!$V$4:$V$49,0)),""))</f>
        <v/>
      </c>
      <c r="X2144" s="63" t="str">
        <f>IFERROR(INDEX(基础资料!$R$4:$R$17,MATCH($G2144,基础资料!$Q$4:$Q$17,0)),"")</f>
        <v/>
      </c>
    </row>
    <row r="2145" spans="1:24">
      <c r="A2145" s="58" t="str">
        <f>IF($B2145="","",COUNTA($B$5:$B2145))</f>
        <v/>
      </c>
      <c r="B2145" s="53"/>
      <c r="C2145" s="46"/>
      <c r="D2145" s="63" t="str">
        <f>IFERROR(INDEX(基础资料!$F$4:$F$23,MATCH($C2145,基础资料!$E$4:$E$23,0)),IF($C2145="","","未匹配账户"))</f>
        <v/>
      </c>
      <c r="E2145" s="39"/>
      <c r="F2145" s="10"/>
      <c r="G2145" s="10"/>
      <c r="H2145" s="10"/>
      <c r="I2145" s="10"/>
      <c r="J2145" s="10"/>
      <c r="K2145" s="25"/>
      <c r="L2145" s="25"/>
      <c r="M2145" s="25" t="str">
        <f>IFERROR(VLOOKUP($C2145,$C$5:$M$24,11,0)+SUMIF($C$25:$C2145,$C2145,$K$25:$K2145)-SUMIF($C$25:$C2145,$C2145,$L$25:$L2145),"")</f>
        <v/>
      </c>
      <c r="N2145" s="10"/>
      <c r="O2145" s="10"/>
      <c r="P2145" s="65"/>
      <c r="Q2145" s="10"/>
      <c r="R2145" s="10"/>
      <c r="S2145" s="54" t="str">
        <f t="shared" si="105"/>
        <v/>
      </c>
      <c r="T2145" s="54" t="str">
        <f t="shared" si="106"/>
        <v/>
      </c>
      <c r="U2145" s="58" t="str">
        <f t="shared" si="107"/>
        <v/>
      </c>
      <c r="V2145" s="58">
        <f>IF(AND($B2145&lt;&gt;"",$F2145&lt;&gt;"",$F2145=项目明细账!$C$2),N(V2144)+1,N(V2144))</f>
        <v>0</v>
      </c>
      <c r="W2145" s="63" t="str">
        <f>IF($H2145&lt;&gt;"","项目成本",IFERROR(INDEX(基础资料!$W$4:$W$49,MATCH($I2145,基础资料!$V$4:$V$49,0)),""))</f>
        <v/>
      </c>
      <c r="X2145" s="63" t="str">
        <f>IFERROR(INDEX(基础资料!$R$4:$R$17,MATCH($G2145,基础资料!$Q$4:$Q$17,0)),"")</f>
        <v/>
      </c>
    </row>
    <row r="2146" spans="1:24">
      <c r="A2146" s="58" t="str">
        <f>IF($B2146="","",COUNTA($B$5:$B2146))</f>
        <v/>
      </c>
      <c r="B2146" s="53"/>
      <c r="C2146" s="46"/>
      <c r="D2146" s="63" t="str">
        <f>IFERROR(INDEX(基础资料!$F$4:$F$23,MATCH($C2146,基础资料!$E$4:$E$23,0)),IF($C2146="","","未匹配账户"))</f>
        <v/>
      </c>
      <c r="E2146" s="39"/>
      <c r="F2146" s="10"/>
      <c r="G2146" s="10"/>
      <c r="H2146" s="10"/>
      <c r="I2146" s="10"/>
      <c r="J2146" s="10"/>
      <c r="K2146" s="25"/>
      <c r="L2146" s="25"/>
      <c r="M2146" s="25" t="str">
        <f>IFERROR(VLOOKUP($C2146,$C$5:$M$24,11,0)+SUMIF($C$25:$C2146,$C2146,$K$25:$K2146)-SUMIF($C$25:$C2146,$C2146,$L$25:$L2146),"")</f>
        <v/>
      </c>
      <c r="N2146" s="10"/>
      <c r="O2146" s="10"/>
      <c r="P2146" s="65"/>
      <c r="Q2146" s="10"/>
      <c r="R2146" s="10"/>
      <c r="S2146" s="54" t="str">
        <f t="shared" si="105"/>
        <v/>
      </c>
      <c r="T2146" s="54" t="str">
        <f t="shared" si="106"/>
        <v/>
      </c>
      <c r="U2146" s="58" t="str">
        <f t="shared" si="107"/>
        <v/>
      </c>
      <c r="V2146" s="58">
        <f>IF(AND($B2146&lt;&gt;"",$F2146&lt;&gt;"",$F2146=项目明细账!$C$2),N(V2145)+1,N(V2145))</f>
        <v>0</v>
      </c>
      <c r="W2146" s="63" t="str">
        <f>IF($H2146&lt;&gt;"","项目成本",IFERROR(INDEX(基础资料!$W$4:$W$49,MATCH($I2146,基础资料!$V$4:$V$49,0)),""))</f>
        <v/>
      </c>
      <c r="X2146" s="63" t="str">
        <f>IFERROR(INDEX(基础资料!$R$4:$R$17,MATCH($G2146,基础资料!$Q$4:$Q$17,0)),"")</f>
        <v/>
      </c>
    </row>
    <row r="2147" spans="1:24">
      <c r="A2147" s="58" t="str">
        <f>IF($B2147="","",COUNTA($B$5:$B2147))</f>
        <v/>
      </c>
      <c r="B2147" s="53"/>
      <c r="C2147" s="46"/>
      <c r="D2147" s="63" t="str">
        <f>IFERROR(INDEX(基础资料!$F$4:$F$23,MATCH($C2147,基础资料!$E$4:$E$23,0)),IF($C2147="","","未匹配账户"))</f>
        <v/>
      </c>
      <c r="E2147" s="39"/>
      <c r="F2147" s="10"/>
      <c r="G2147" s="10"/>
      <c r="H2147" s="10"/>
      <c r="I2147" s="10"/>
      <c r="J2147" s="10"/>
      <c r="K2147" s="25"/>
      <c r="L2147" s="25"/>
      <c r="M2147" s="25" t="str">
        <f>IFERROR(VLOOKUP($C2147,$C$5:$M$24,11,0)+SUMIF($C$25:$C2147,$C2147,$K$25:$K2147)-SUMIF($C$25:$C2147,$C2147,$L$25:$L2147),"")</f>
        <v/>
      </c>
      <c r="N2147" s="10"/>
      <c r="O2147" s="10"/>
      <c r="P2147" s="65"/>
      <c r="Q2147" s="10"/>
      <c r="R2147" s="10"/>
      <c r="S2147" s="54" t="str">
        <f t="shared" si="105"/>
        <v/>
      </c>
      <c r="T2147" s="54" t="str">
        <f t="shared" si="106"/>
        <v/>
      </c>
      <c r="U2147" s="58" t="str">
        <f t="shared" si="107"/>
        <v/>
      </c>
      <c r="V2147" s="58">
        <f>IF(AND($B2147&lt;&gt;"",$F2147&lt;&gt;"",$F2147=项目明细账!$C$2),N(V2146)+1,N(V2146))</f>
        <v>0</v>
      </c>
      <c r="W2147" s="63" t="str">
        <f>IF($H2147&lt;&gt;"","项目成本",IFERROR(INDEX(基础资料!$W$4:$W$49,MATCH($I2147,基础资料!$V$4:$V$49,0)),""))</f>
        <v/>
      </c>
      <c r="X2147" s="63" t="str">
        <f>IFERROR(INDEX(基础资料!$R$4:$R$17,MATCH($G2147,基础资料!$Q$4:$Q$17,0)),"")</f>
        <v/>
      </c>
    </row>
    <row r="2148" spans="1:24">
      <c r="A2148" s="58" t="str">
        <f>IF($B2148="","",COUNTA($B$5:$B2148))</f>
        <v/>
      </c>
      <c r="B2148" s="53"/>
      <c r="C2148" s="46"/>
      <c r="D2148" s="63" t="str">
        <f>IFERROR(INDEX(基础资料!$F$4:$F$23,MATCH($C2148,基础资料!$E$4:$E$23,0)),IF($C2148="","","未匹配账户"))</f>
        <v/>
      </c>
      <c r="E2148" s="39"/>
      <c r="F2148" s="10"/>
      <c r="G2148" s="10"/>
      <c r="H2148" s="10"/>
      <c r="I2148" s="10"/>
      <c r="J2148" s="10"/>
      <c r="K2148" s="25"/>
      <c r="L2148" s="25"/>
      <c r="M2148" s="25" t="str">
        <f>IFERROR(VLOOKUP($C2148,$C$5:$M$24,11,0)+SUMIF($C$25:$C2148,$C2148,$K$25:$K2148)-SUMIF($C$25:$C2148,$C2148,$L$25:$L2148),"")</f>
        <v/>
      </c>
      <c r="N2148" s="10"/>
      <c r="O2148" s="10"/>
      <c r="P2148" s="65"/>
      <c r="Q2148" s="10"/>
      <c r="R2148" s="10"/>
      <c r="S2148" s="54" t="str">
        <f t="shared" si="105"/>
        <v/>
      </c>
      <c r="T2148" s="54" t="str">
        <f t="shared" si="106"/>
        <v/>
      </c>
      <c r="U2148" s="58" t="str">
        <f t="shared" si="107"/>
        <v/>
      </c>
      <c r="V2148" s="58">
        <f>IF(AND($B2148&lt;&gt;"",$F2148&lt;&gt;"",$F2148=项目明细账!$C$2),N(V2147)+1,N(V2147))</f>
        <v>0</v>
      </c>
      <c r="W2148" s="63" t="str">
        <f>IF($H2148&lt;&gt;"","项目成本",IFERROR(INDEX(基础资料!$W$4:$W$49,MATCH($I2148,基础资料!$V$4:$V$49,0)),""))</f>
        <v/>
      </c>
      <c r="X2148" s="63" t="str">
        <f>IFERROR(INDEX(基础资料!$R$4:$R$17,MATCH($G2148,基础资料!$Q$4:$Q$17,0)),"")</f>
        <v/>
      </c>
    </row>
    <row r="2149" spans="1:24">
      <c r="A2149" s="58" t="str">
        <f>IF($B2149="","",COUNTA($B$5:$B2149))</f>
        <v/>
      </c>
      <c r="B2149" s="53"/>
      <c r="C2149" s="46"/>
      <c r="D2149" s="63" t="str">
        <f>IFERROR(INDEX(基础资料!$F$4:$F$23,MATCH($C2149,基础资料!$E$4:$E$23,0)),IF($C2149="","","未匹配账户"))</f>
        <v/>
      </c>
      <c r="E2149" s="39"/>
      <c r="F2149" s="10"/>
      <c r="G2149" s="10"/>
      <c r="H2149" s="10"/>
      <c r="I2149" s="10"/>
      <c r="J2149" s="10"/>
      <c r="K2149" s="25"/>
      <c r="L2149" s="25"/>
      <c r="M2149" s="25" t="str">
        <f>IFERROR(VLOOKUP($C2149,$C$5:$M$24,11,0)+SUMIF($C$25:$C2149,$C2149,$K$25:$K2149)-SUMIF($C$25:$C2149,$C2149,$L$25:$L2149),"")</f>
        <v/>
      </c>
      <c r="N2149" s="10"/>
      <c r="O2149" s="10"/>
      <c r="P2149" s="65"/>
      <c r="Q2149" s="10"/>
      <c r="R2149" s="10"/>
      <c r="S2149" s="54" t="str">
        <f t="shared" si="105"/>
        <v/>
      </c>
      <c r="T2149" s="54" t="str">
        <f t="shared" si="106"/>
        <v/>
      </c>
      <c r="U2149" s="58" t="str">
        <f t="shared" si="107"/>
        <v/>
      </c>
      <c r="V2149" s="58">
        <f>IF(AND($B2149&lt;&gt;"",$F2149&lt;&gt;"",$F2149=项目明细账!$C$2),N(V2148)+1,N(V2148))</f>
        <v>0</v>
      </c>
      <c r="W2149" s="63" t="str">
        <f>IF($H2149&lt;&gt;"","项目成本",IFERROR(INDEX(基础资料!$W$4:$W$49,MATCH($I2149,基础资料!$V$4:$V$49,0)),""))</f>
        <v/>
      </c>
      <c r="X2149" s="63" t="str">
        <f>IFERROR(INDEX(基础资料!$R$4:$R$17,MATCH($G2149,基础资料!$Q$4:$Q$17,0)),"")</f>
        <v/>
      </c>
    </row>
    <row r="2150" spans="1:24">
      <c r="A2150" s="58" t="str">
        <f>IF($B2150="","",COUNTA($B$5:$B2150))</f>
        <v/>
      </c>
      <c r="B2150" s="53"/>
      <c r="C2150" s="46"/>
      <c r="D2150" s="63" t="str">
        <f>IFERROR(INDEX(基础资料!$F$4:$F$23,MATCH($C2150,基础资料!$E$4:$E$23,0)),IF($C2150="","","未匹配账户"))</f>
        <v/>
      </c>
      <c r="E2150" s="39"/>
      <c r="F2150" s="10"/>
      <c r="G2150" s="10"/>
      <c r="H2150" s="10"/>
      <c r="I2150" s="10"/>
      <c r="J2150" s="10"/>
      <c r="K2150" s="25"/>
      <c r="L2150" s="25"/>
      <c r="M2150" s="25" t="str">
        <f>IFERROR(VLOOKUP($C2150,$C$5:$M$24,11,0)+SUMIF($C$25:$C2150,$C2150,$K$25:$K2150)-SUMIF($C$25:$C2150,$C2150,$L$25:$L2150),"")</f>
        <v/>
      </c>
      <c r="N2150" s="10"/>
      <c r="O2150" s="10"/>
      <c r="P2150" s="65"/>
      <c r="Q2150" s="10"/>
      <c r="R2150" s="10"/>
      <c r="S2150" s="54" t="str">
        <f t="shared" si="105"/>
        <v/>
      </c>
      <c r="T2150" s="54" t="str">
        <f t="shared" si="106"/>
        <v/>
      </c>
      <c r="U2150" s="58" t="str">
        <f t="shared" si="107"/>
        <v/>
      </c>
      <c r="V2150" s="58">
        <f>IF(AND($B2150&lt;&gt;"",$F2150&lt;&gt;"",$F2150=项目明细账!$C$2),N(V2149)+1,N(V2149))</f>
        <v>0</v>
      </c>
      <c r="W2150" s="63" t="str">
        <f>IF($H2150&lt;&gt;"","项目成本",IFERROR(INDEX(基础资料!$W$4:$W$49,MATCH($I2150,基础资料!$V$4:$V$49,0)),""))</f>
        <v/>
      </c>
      <c r="X2150" s="63" t="str">
        <f>IFERROR(INDEX(基础资料!$R$4:$R$17,MATCH($G2150,基础资料!$Q$4:$Q$17,0)),"")</f>
        <v/>
      </c>
    </row>
    <row r="2151" spans="1:24">
      <c r="A2151" s="58" t="str">
        <f>IF($B2151="","",COUNTA($B$5:$B2151))</f>
        <v/>
      </c>
      <c r="B2151" s="53"/>
      <c r="C2151" s="46"/>
      <c r="D2151" s="63" t="str">
        <f>IFERROR(INDEX(基础资料!$F$4:$F$23,MATCH($C2151,基础资料!$E$4:$E$23,0)),IF($C2151="","","未匹配账户"))</f>
        <v/>
      </c>
      <c r="E2151" s="39"/>
      <c r="F2151" s="10"/>
      <c r="G2151" s="10"/>
      <c r="H2151" s="10"/>
      <c r="I2151" s="10"/>
      <c r="J2151" s="10"/>
      <c r="K2151" s="25"/>
      <c r="L2151" s="25"/>
      <c r="M2151" s="25" t="str">
        <f>IFERROR(VLOOKUP($C2151,$C$5:$M$24,11,0)+SUMIF($C$25:$C2151,$C2151,$K$25:$K2151)-SUMIF($C$25:$C2151,$C2151,$L$25:$L2151),"")</f>
        <v/>
      </c>
      <c r="N2151" s="10"/>
      <c r="O2151" s="10"/>
      <c r="P2151" s="65"/>
      <c r="Q2151" s="10"/>
      <c r="R2151" s="10"/>
      <c r="S2151" s="54" t="str">
        <f t="shared" si="105"/>
        <v/>
      </c>
      <c r="T2151" s="54" t="str">
        <f t="shared" si="106"/>
        <v/>
      </c>
      <c r="U2151" s="58" t="str">
        <f t="shared" si="107"/>
        <v/>
      </c>
      <c r="V2151" s="58">
        <f>IF(AND($B2151&lt;&gt;"",$F2151&lt;&gt;"",$F2151=项目明细账!$C$2),N(V2150)+1,N(V2150))</f>
        <v>0</v>
      </c>
      <c r="W2151" s="63" t="str">
        <f>IF($H2151&lt;&gt;"","项目成本",IFERROR(INDEX(基础资料!$W$4:$W$49,MATCH($I2151,基础资料!$V$4:$V$49,0)),""))</f>
        <v/>
      </c>
      <c r="X2151" s="63" t="str">
        <f>IFERROR(INDEX(基础资料!$R$4:$R$17,MATCH($G2151,基础资料!$Q$4:$Q$17,0)),"")</f>
        <v/>
      </c>
    </row>
    <row r="2152" spans="1:24">
      <c r="A2152" s="58" t="str">
        <f>IF($B2152="","",COUNTA($B$5:$B2152))</f>
        <v/>
      </c>
      <c r="B2152" s="53"/>
      <c r="C2152" s="46"/>
      <c r="D2152" s="63" t="str">
        <f>IFERROR(INDEX(基础资料!$F$4:$F$23,MATCH($C2152,基础资料!$E$4:$E$23,0)),IF($C2152="","","未匹配账户"))</f>
        <v/>
      </c>
      <c r="E2152" s="39"/>
      <c r="F2152" s="10"/>
      <c r="G2152" s="10"/>
      <c r="H2152" s="10"/>
      <c r="I2152" s="10"/>
      <c r="J2152" s="10"/>
      <c r="K2152" s="25"/>
      <c r="L2152" s="25"/>
      <c r="M2152" s="25" t="str">
        <f>IFERROR(VLOOKUP($C2152,$C$5:$M$24,11,0)+SUMIF($C$25:$C2152,$C2152,$K$25:$K2152)-SUMIF($C$25:$C2152,$C2152,$L$25:$L2152),"")</f>
        <v/>
      </c>
      <c r="N2152" s="10"/>
      <c r="O2152" s="10"/>
      <c r="P2152" s="65"/>
      <c r="Q2152" s="10"/>
      <c r="R2152" s="10"/>
      <c r="S2152" s="54" t="str">
        <f t="shared" si="105"/>
        <v/>
      </c>
      <c r="T2152" s="54" t="str">
        <f t="shared" si="106"/>
        <v/>
      </c>
      <c r="U2152" s="58" t="str">
        <f t="shared" si="107"/>
        <v/>
      </c>
      <c r="V2152" s="58">
        <f>IF(AND($B2152&lt;&gt;"",$F2152&lt;&gt;"",$F2152=项目明细账!$C$2),N(V2151)+1,N(V2151))</f>
        <v>0</v>
      </c>
      <c r="W2152" s="63" t="str">
        <f>IF($H2152&lt;&gt;"","项目成本",IFERROR(INDEX(基础资料!$W$4:$W$49,MATCH($I2152,基础资料!$V$4:$V$49,0)),""))</f>
        <v/>
      </c>
      <c r="X2152" s="63" t="str">
        <f>IFERROR(INDEX(基础资料!$R$4:$R$17,MATCH($G2152,基础资料!$Q$4:$Q$17,0)),"")</f>
        <v/>
      </c>
    </row>
    <row r="2153" spans="1:24">
      <c r="A2153" s="58" t="str">
        <f>IF($B2153="","",COUNTA($B$5:$B2153))</f>
        <v/>
      </c>
      <c r="B2153" s="53"/>
      <c r="C2153" s="46"/>
      <c r="D2153" s="63" t="str">
        <f>IFERROR(INDEX(基础资料!$F$4:$F$23,MATCH($C2153,基础资料!$E$4:$E$23,0)),IF($C2153="","","未匹配账户"))</f>
        <v/>
      </c>
      <c r="E2153" s="39"/>
      <c r="F2153" s="10"/>
      <c r="G2153" s="10"/>
      <c r="H2153" s="10"/>
      <c r="I2153" s="10"/>
      <c r="J2153" s="10"/>
      <c r="K2153" s="25"/>
      <c r="L2153" s="25"/>
      <c r="M2153" s="25" t="str">
        <f>IFERROR(VLOOKUP($C2153,$C$5:$M$24,11,0)+SUMIF($C$25:$C2153,$C2153,$K$25:$K2153)-SUMIF($C$25:$C2153,$C2153,$L$25:$L2153),"")</f>
        <v/>
      </c>
      <c r="N2153" s="10"/>
      <c r="O2153" s="10"/>
      <c r="P2153" s="65"/>
      <c r="Q2153" s="10"/>
      <c r="R2153" s="10"/>
      <c r="S2153" s="54" t="str">
        <f t="shared" si="105"/>
        <v/>
      </c>
      <c r="T2153" s="54" t="str">
        <f t="shared" si="106"/>
        <v/>
      </c>
      <c r="U2153" s="58" t="str">
        <f t="shared" si="107"/>
        <v/>
      </c>
      <c r="V2153" s="58">
        <f>IF(AND($B2153&lt;&gt;"",$F2153&lt;&gt;"",$F2153=项目明细账!$C$2),N(V2152)+1,N(V2152))</f>
        <v>0</v>
      </c>
      <c r="W2153" s="63" t="str">
        <f>IF($H2153&lt;&gt;"","项目成本",IFERROR(INDEX(基础资料!$W$4:$W$49,MATCH($I2153,基础资料!$V$4:$V$49,0)),""))</f>
        <v/>
      </c>
      <c r="X2153" s="63" t="str">
        <f>IFERROR(INDEX(基础资料!$R$4:$R$17,MATCH($G2153,基础资料!$Q$4:$Q$17,0)),"")</f>
        <v/>
      </c>
    </row>
    <row r="2154" spans="1:24">
      <c r="A2154" s="58" t="str">
        <f>IF($B2154="","",COUNTA($B$5:$B2154))</f>
        <v/>
      </c>
      <c r="B2154" s="53"/>
      <c r="C2154" s="46"/>
      <c r="D2154" s="63" t="str">
        <f>IFERROR(INDEX(基础资料!$F$4:$F$23,MATCH($C2154,基础资料!$E$4:$E$23,0)),IF($C2154="","","未匹配账户"))</f>
        <v/>
      </c>
      <c r="E2154" s="39"/>
      <c r="F2154" s="10"/>
      <c r="G2154" s="10"/>
      <c r="H2154" s="10"/>
      <c r="I2154" s="10"/>
      <c r="J2154" s="10"/>
      <c r="K2154" s="25"/>
      <c r="L2154" s="25"/>
      <c r="M2154" s="25" t="str">
        <f>IFERROR(VLOOKUP($C2154,$C$5:$M$24,11,0)+SUMIF($C$25:$C2154,$C2154,$K$25:$K2154)-SUMIF($C$25:$C2154,$C2154,$L$25:$L2154),"")</f>
        <v/>
      </c>
      <c r="N2154" s="10"/>
      <c r="O2154" s="10"/>
      <c r="P2154" s="65"/>
      <c r="Q2154" s="10"/>
      <c r="R2154" s="10"/>
      <c r="S2154" s="54" t="str">
        <f t="shared" si="105"/>
        <v/>
      </c>
      <c r="T2154" s="54" t="str">
        <f t="shared" si="106"/>
        <v/>
      </c>
      <c r="U2154" s="58" t="str">
        <f t="shared" si="107"/>
        <v/>
      </c>
      <c r="V2154" s="58">
        <f>IF(AND($B2154&lt;&gt;"",$F2154&lt;&gt;"",$F2154=项目明细账!$C$2),N(V2153)+1,N(V2153))</f>
        <v>0</v>
      </c>
      <c r="W2154" s="63" t="str">
        <f>IF($H2154&lt;&gt;"","项目成本",IFERROR(INDEX(基础资料!$W$4:$W$49,MATCH($I2154,基础资料!$V$4:$V$49,0)),""))</f>
        <v/>
      </c>
      <c r="X2154" s="63" t="str">
        <f>IFERROR(INDEX(基础资料!$R$4:$R$17,MATCH($G2154,基础资料!$Q$4:$Q$17,0)),"")</f>
        <v/>
      </c>
    </row>
    <row r="2155" spans="1:24">
      <c r="A2155" s="58" t="str">
        <f>IF($B2155="","",COUNTA($B$5:$B2155))</f>
        <v/>
      </c>
      <c r="B2155" s="53"/>
      <c r="C2155" s="46"/>
      <c r="D2155" s="63" t="str">
        <f>IFERROR(INDEX(基础资料!$F$4:$F$23,MATCH($C2155,基础资料!$E$4:$E$23,0)),IF($C2155="","","未匹配账户"))</f>
        <v/>
      </c>
      <c r="E2155" s="39"/>
      <c r="F2155" s="10"/>
      <c r="G2155" s="10"/>
      <c r="H2155" s="10"/>
      <c r="I2155" s="10"/>
      <c r="J2155" s="10"/>
      <c r="K2155" s="25"/>
      <c r="L2155" s="25"/>
      <c r="M2155" s="25" t="str">
        <f>IFERROR(VLOOKUP($C2155,$C$5:$M$24,11,0)+SUMIF($C$25:$C2155,$C2155,$K$25:$K2155)-SUMIF($C$25:$C2155,$C2155,$L$25:$L2155),"")</f>
        <v/>
      </c>
      <c r="N2155" s="10"/>
      <c r="O2155" s="10"/>
      <c r="P2155" s="65"/>
      <c r="Q2155" s="10"/>
      <c r="R2155" s="10"/>
      <c r="S2155" s="54" t="str">
        <f t="shared" si="105"/>
        <v/>
      </c>
      <c r="T2155" s="54" t="str">
        <f t="shared" si="106"/>
        <v/>
      </c>
      <c r="U2155" s="58" t="str">
        <f t="shared" si="107"/>
        <v/>
      </c>
      <c r="V2155" s="58">
        <f>IF(AND($B2155&lt;&gt;"",$F2155&lt;&gt;"",$F2155=项目明细账!$C$2),N(V2154)+1,N(V2154))</f>
        <v>0</v>
      </c>
      <c r="W2155" s="63" t="str">
        <f>IF($H2155&lt;&gt;"","项目成本",IFERROR(INDEX(基础资料!$W$4:$W$49,MATCH($I2155,基础资料!$V$4:$V$49,0)),""))</f>
        <v/>
      </c>
      <c r="X2155" s="63" t="str">
        <f>IFERROR(INDEX(基础资料!$R$4:$R$17,MATCH($G2155,基础资料!$Q$4:$Q$17,0)),"")</f>
        <v/>
      </c>
    </row>
    <row r="2156" spans="1:24">
      <c r="A2156" s="58" t="str">
        <f>IF($B2156="","",COUNTA($B$5:$B2156))</f>
        <v/>
      </c>
      <c r="B2156" s="53"/>
      <c r="C2156" s="46"/>
      <c r="D2156" s="63" t="str">
        <f>IFERROR(INDEX(基础资料!$F$4:$F$23,MATCH($C2156,基础资料!$E$4:$E$23,0)),IF($C2156="","","未匹配账户"))</f>
        <v/>
      </c>
      <c r="E2156" s="39"/>
      <c r="F2156" s="10"/>
      <c r="G2156" s="10"/>
      <c r="H2156" s="10"/>
      <c r="I2156" s="10"/>
      <c r="J2156" s="10"/>
      <c r="K2156" s="25"/>
      <c r="L2156" s="25"/>
      <c r="M2156" s="25" t="str">
        <f>IFERROR(VLOOKUP($C2156,$C$5:$M$24,11,0)+SUMIF($C$25:$C2156,$C2156,$K$25:$K2156)-SUMIF($C$25:$C2156,$C2156,$L$25:$L2156),"")</f>
        <v/>
      </c>
      <c r="N2156" s="10"/>
      <c r="O2156" s="10"/>
      <c r="P2156" s="65"/>
      <c r="Q2156" s="10"/>
      <c r="R2156" s="10"/>
      <c r="S2156" s="54" t="str">
        <f t="shared" si="105"/>
        <v/>
      </c>
      <c r="T2156" s="54" t="str">
        <f t="shared" si="106"/>
        <v/>
      </c>
      <c r="U2156" s="58" t="str">
        <f t="shared" si="107"/>
        <v/>
      </c>
      <c r="V2156" s="58">
        <f>IF(AND($B2156&lt;&gt;"",$F2156&lt;&gt;"",$F2156=项目明细账!$C$2),N(V2155)+1,N(V2155))</f>
        <v>0</v>
      </c>
      <c r="W2156" s="63" t="str">
        <f>IF($H2156&lt;&gt;"","项目成本",IFERROR(INDEX(基础资料!$W$4:$W$49,MATCH($I2156,基础资料!$V$4:$V$49,0)),""))</f>
        <v/>
      </c>
      <c r="X2156" s="63" t="str">
        <f>IFERROR(INDEX(基础资料!$R$4:$R$17,MATCH($G2156,基础资料!$Q$4:$Q$17,0)),"")</f>
        <v/>
      </c>
    </row>
    <row r="2157" spans="1:24">
      <c r="A2157" s="58" t="str">
        <f>IF($B2157="","",COUNTA($B$5:$B2157))</f>
        <v/>
      </c>
      <c r="B2157" s="53"/>
      <c r="C2157" s="46"/>
      <c r="D2157" s="63" t="str">
        <f>IFERROR(INDEX(基础资料!$F$4:$F$23,MATCH($C2157,基础资料!$E$4:$E$23,0)),IF($C2157="","","未匹配账户"))</f>
        <v/>
      </c>
      <c r="E2157" s="39"/>
      <c r="F2157" s="10"/>
      <c r="G2157" s="10"/>
      <c r="H2157" s="10"/>
      <c r="I2157" s="10"/>
      <c r="J2157" s="10"/>
      <c r="K2157" s="25"/>
      <c r="L2157" s="25"/>
      <c r="M2157" s="25" t="str">
        <f>IFERROR(VLOOKUP($C2157,$C$5:$M$24,11,0)+SUMIF($C$25:$C2157,$C2157,$K$25:$K2157)-SUMIF($C$25:$C2157,$C2157,$L$25:$L2157),"")</f>
        <v/>
      </c>
      <c r="N2157" s="10"/>
      <c r="O2157" s="10"/>
      <c r="P2157" s="65"/>
      <c r="Q2157" s="10"/>
      <c r="R2157" s="10"/>
      <c r="S2157" s="54" t="str">
        <f t="shared" si="105"/>
        <v/>
      </c>
      <c r="T2157" s="54" t="str">
        <f t="shared" si="106"/>
        <v/>
      </c>
      <c r="U2157" s="58" t="str">
        <f t="shared" si="107"/>
        <v/>
      </c>
      <c r="V2157" s="58">
        <f>IF(AND($B2157&lt;&gt;"",$F2157&lt;&gt;"",$F2157=项目明细账!$C$2),N(V2156)+1,N(V2156))</f>
        <v>0</v>
      </c>
      <c r="W2157" s="63" t="str">
        <f>IF($H2157&lt;&gt;"","项目成本",IFERROR(INDEX(基础资料!$W$4:$W$49,MATCH($I2157,基础资料!$V$4:$V$49,0)),""))</f>
        <v/>
      </c>
      <c r="X2157" s="63" t="str">
        <f>IFERROR(INDEX(基础资料!$R$4:$R$17,MATCH($G2157,基础资料!$Q$4:$Q$17,0)),"")</f>
        <v/>
      </c>
    </row>
    <row r="2158" spans="1:24">
      <c r="A2158" s="58" t="str">
        <f>IF($B2158="","",COUNTA($B$5:$B2158))</f>
        <v/>
      </c>
      <c r="B2158" s="53"/>
      <c r="C2158" s="46"/>
      <c r="D2158" s="63" t="str">
        <f>IFERROR(INDEX(基础资料!$F$4:$F$23,MATCH($C2158,基础资料!$E$4:$E$23,0)),IF($C2158="","","未匹配账户"))</f>
        <v/>
      </c>
      <c r="E2158" s="39"/>
      <c r="F2158" s="10"/>
      <c r="G2158" s="10"/>
      <c r="H2158" s="10"/>
      <c r="I2158" s="10"/>
      <c r="J2158" s="10"/>
      <c r="K2158" s="25"/>
      <c r="L2158" s="25"/>
      <c r="M2158" s="25" t="str">
        <f>IFERROR(VLOOKUP($C2158,$C$5:$M$24,11,0)+SUMIF($C$25:$C2158,$C2158,$K$25:$K2158)-SUMIF($C$25:$C2158,$C2158,$L$25:$L2158),"")</f>
        <v/>
      </c>
      <c r="N2158" s="10"/>
      <c r="O2158" s="10"/>
      <c r="P2158" s="65"/>
      <c r="Q2158" s="10"/>
      <c r="R2158" s="10"/>
      <c r="S2158" s="54" t="str">
        <f t="shared" si="105"/>
        <v/>
      </c>
      <c r="T2158" s="54" t="str">
        <f t="shared" si="106"/>
        <v/>
      </c>
      <c r="U2158" s="58" t="str">
        <f t="shared" si="107"/>
        <v/>
      </c>
      <c r="V2158" s="58">
        <f>IF(AND($B2158&lt;&gt;"",$F2158&lt;&gt;"",$F2158=项目明细账!$C$2),N(V2157)+1,N(V2157))</f>
        <v>0</v>
      </c>
      <c r="W2158" s="63" t="str">
        <f>IF($H2158&lt;&gt;"","项目成本",IFERROR(INDEX(基础资料!$W$4:$W$49,MATCH($I2158,基础资料!$V$4:$V$49,0)),""))</f>
        <v/>
      </c>
      <c r="X2158" s="63" t="str">
        <f>IFERROR(INDEX(基础资料!$R$4:$R$17,MATCH($G2158,基础资料!$Q$4:$Q$17,0)),"")</f>
        <v/>
      </c>
    </row>
    <row r="2159" spans="1:24">
      <c r="A2159" s="58" t="str">
        <f>IF($B2159="","",COUNTA($B$5:$B2159))</f>
        <v/>
      </c>
      <c r="B2159" s="53"/>
      <c r="C2159" s="46"/>
      <c r="D2159" s="63" t="str">
        <f>IFERROR(INDEX(基础资料!$F$4:$F$23,MATCH($C2159,基础资料!$E$4:$E$23,0)),IF($C2159="","","未匹配账户"))</f>
        <v/>
      </c>
      <c r="E2159" s="39"/>
      <c r="F2159" s="10"/>
      <c r="G2159" s="10"/>
      <c r="H2159" s="10"/>
      <c r="I2159" s="10"/>
      <c r="J2159" s="10"/>
      <c r="K2159" s="25"/>
      <c r="L2159" s="25"/>
      <c r="M2159" s="25" t="str">
        <f>IFERROR(VLOOKUP($C2159,$C$5:$M$24,11,0)+SUMIF($C$25:$C2159,$C2159,$K$25:$K2159)-SUMIF($C$25:$C2159,$C2159,$L$25:$L2159),"")</f>
        <v/>
      </c>
      <c r="N2159" s="10"/>
      <c r="O2159" s="10"/>
      <c r="P2159" s="65"/>
      <c r="Q2159" s="10"/>
      <c r="R2159" s="10"/>
      <c r="S2159" s="54" t="str">
        <f t="shared" si="105"/>
        <v/>
      </c>
      <c r="T2159" s="54" t="str">
        <f t="shared" si="106"/>
        <v/>
      </c>
      <c r="U2159" s="58" t="str">
        <f t="shared" si="107"/>
        <v/>
      </c>
      <c r="V2159" s="58">
        <f>IF(AND($B2159&lt;&gt;"",$F2159&lt;&gt;"",$F2159=项目明细账!$C$2),N(V2158)+1,N(V2158))</f>
        <v>0</v>
      </c>
      <c r="W2159" s="63" t="str">
        <f>IF($H2159&lt;&gt;"","项目成本",IFERROR(INDEX(基础资料!$W$4:$W$49,MATCH($I2159,基础资料!$V$4:$V$49,0)),""))</f>
        <v/>
      </c>
      <c r="X2159" s="63" t="str">
        <f>IFERROR(INDEX(基础资料!$R$4:$R$17,MATCH($G2159,基础资料!$Q$4:$Q$17,0)),"")</f>
        <v/>
      </c>
    </row>
    <row r="2160" spans="1:24">
      <c r="A2160" s="58" t="str">
        <f>IF($B2160="","",COUNTA($B$5:$B2160))</f>
        <v/>
      </c>
      <c r="B2160" s="53"/>
      <c r="C2160" s="46"/>
      <c r="D2160" s="63" t="str">
        <f>IFERROR(INDEX(基础资料!$F$4:$F$23,MATCH($C2160,基础资料!$E$4:$E$23,0)),IF($C2160="","","未匹配账户"))</f>
        <v/>
      </c>
      <c r="E2160" s="39"/>
      <c r="F2160" s="10"/>
      <c r="G2160" s="10"/>
      <c r="H2160" s="10"/>
      <c r="I2160" s="10"/>
      <c r="J2160" s="10"/>
      <c r="K2160" s="25"/>
      <c r="L2160" s="25"/>
      <c r="M2160" s="25" t="str">
        <f>IFERROR(VLOOKUP($C2160,$C$5:$M$24,11,0)+SUMIF($C$25:$C2160,$C2160,$K$25:$K2160)-SUMIF($C$25:$C2160,$C2160,$L$25:$L2160),"")</f>
        <v/>
      </c>
      <c r="N2160" s="10"/>
      <c r="O2160" s="10"/>
      <c r="P2160" s="65"/>
      <c r="Q2160" s="10"/>
      <c r="R2160" s="10"/>
      <c r="S2160" s="54" t="str">
        <f t="shared" si="105"/>
        <v/>
      </c>
      <c r="T2160" s="54" t="str">
        <f t="shared" si="106"/>
        <v/>
      </c>
      <c r="U2160" s="58" t="str">
        <f t="shared" si="107"/>
        <v/>
      </c>
      <c r="V2160" s="58">
        <f>IF(AND($B2160&lt;&gt;"",$F2160&lt;&gt;"",$F2160=项目明细账!$C$2),N(V2159)+1,N(V2159))</f>
        <v>0</v>
      </c>
      <c r="W2160" s="63" t="str">
        <f>IF($H2160&lt;&gt;"","项目成本",IFERROR(INDEX(基础资料!$W$4:$W$49,MATCH($I2160,基础资料!$V$4:$V$49,0)),""))</f>
        <v/>
      </c>
      <c r="X2160" s="63" t="str">
        <f>IFERROR(INDEX(基础资料!$R$4:$R$17,MATCH($G2160,基础资料!$Q$4:$Q$17,0)),"")</f>
        <v/>
      </c>
    </row>
    <row r="2161" spans="1:24">
      <c r="A2161" s="58" t="str">
        <f>IF($B2161="","",COUNTA($B$5:$B2161))</f>
        <v/>
      </c>
      <c r="B2161" s="53"/>
      <c r="C2161" s="46"/>
      <c r="D2161" s="63" t="str">
        <f>IFERROR(INDEX(基础资料!$F$4:$F$23,MATCH($C2161,基础资料!$E$4:$E$23,0)),IF($C2161="","","未匹配账户"))</f>
        <v/>
      </c>
      <c r="E2161" s="39"/>
      <c r="F2161" s="10"/>
      <c r="G2161" s="10"/>
      <c r="H2161" s="10"/>
      <c r="I2161" s="10"/>
      <c r="J2161" s="10"/>
      <c r="K2161" s="25"/>
      <c r="L2161" s="25"/>
      <c r="M2161" s="25" t="str">
        <f>IFERROR(VLOOKUP($C2161,$C$5:$M$24,11,0)+SUMIF($C$25:$C2161,$C2161,$K$25:$K2161)-SUMIF($C$25:$C2161,$C2161,$L$25:$L2161),"")</f>
        <v/>
      </c>
      <c r="N2161" s="10"/>
      <c r="O2161" s="10"/>
      <c r="P2161" s="65"/>
      <c r="Q2161" s="10"/>
      <c r="R2161" s="10"/>
      <c r="S2161" s="54" t="str">
        <f t="shared" si="105"/>
        <v/>
      </c>
      <c r="T2161" s="54" t="str">
        <f t="shared" si="106"/>
        <v/>
      </c>
      <c r="U2161" s="58" t="str">
        <f t="shared" si="107"/>
        <v/>
      </c>
      <c r="V2161" s="58">
        <f>IF(AND($B2161&lt;&gt;"",$F2161&lt;&gt;"",$F2161=项目明细账!$C$2),N(V2160)+1,N(V2160))</f>
        <v>0</v>
      </c>
      <c r="W2161" s="63" t="str">
        <f>IF($H2161&lt;&gt;"","项目成本",IFERROR(INDEX(基础资料!$W$4:$W$49,MATCH($I2161,基础资料!$V$4:$V$49,0)),""))</f>
        <v/>
      </c>
      <c r="X2161" s="63" t="str">
        <f>IFERROR(INDEX(基础资料!$R$4:$R$17,MATCH($G2161,基础资料!$Q$4:$Q$17,0)),"")</f>
        <v/>
      </c>
    </row>
    <row r="2162" spans="1:24">
      <c r="A2162" s="58" t="str">
        <f>IF($B2162="","",COUNTA($B$5:$B2162))</f>
        <v/>
      </c>
      <c r="B2162" s="53"/>
      <c r="C2162" s="46"/>
      <c r="D2162" s="63" t="str">
        <f>IFERROR(INDEX(基础资料!$F$4:$F$23,MATCH($C2162,基础资料!$E$4:$E$23,0)),IF($C2162="","","未匹配账户"))</f>
        <v/>
      </c>
      <c r="E2162" s="39"/>
      <c r="F2162" s="10"/>
      <c r="G2162" s="10"/>
      <c r="H2162" s="10"/>
      <c r="I2162" s="10"/>
      <c r="J2162" s="10"/>
      <c r="K2162" s="25"/>
      <c r="L2162" s="25"/>
      <c r="M2162" s="25" t="str">
        <f>IFERROR(VLOOKUP($C2162,$C$5:$M$24,11,0)+SUMIF($C$25:$C2162,$C2162,$K$25:$K2162)-SUMIF($C$25:$C2162,$C2162,$L$25:$L2162),"")</f>
        <v/>
      </c>
      <c r="N2162" s="10"/>
      <c r="O2162" s="10"/>
      <c r="P2162" s="65"/>
      <c r="Q2162" s="10"/>
      <c r="R2162" s="10"/>
      <c r="S2162" s="54" t="str">
        <f t="shared" si="105"/>
        <v/>
      </c>
      <c r="T2162" s="54" t="str">
        <f t="shared" si="106"/>
        <v/>
      </c>
      <c r="U2162" s="58" t="str">
        <f t="shared" si="107"/>
        <v/>
      </c>
      <c r="V2162" s="58">
        <f>IF(AND($B2162&lt;&gt;"",$F2162&lt;&gt;"",$F2162=项目明细账!$C$2),N(V2161)+1,N(V2161))</f>
        <v>0</v>
      </c>
      <c r="W2162" s="63" t="str">
        <f>IF($H2162&lt;&gt;"","项目成本",IFERROR(INDEX(基础资料!$W$4:$W$49,MATCH($I2162,基础资料!$V$4:$V$49,0)),""))</f>
        <v/>
      </c>
      <c r="X2162" s="63" t="str">
        <f>IFERROR(INDEX(基础资料!$R$4:$R$17,MATCH($G2162,基础资料!$Q$4:$Q$17,0)),"")</f>
        <v/>
      </c>
    </row>
    <row r="2163" spans="1:24">
      <c r="A2163" s="58" t="str">
        <f>IF($B2163="","",COUNTA($B$5:$B2163))</f>
        <v/>
      </c>
      <c r="B2163" s="53"/>
      <c r="C2163" s="46"/>
      <c r="D2163" s="63" t="str">
        <f>IFERROR(INDEX(基础资料!$F$4:$F$23,MATCH($C2163,基础资料!$E$4:$E$23,0)),IF($C2163="","","未匹配账户"))</f>
        <v/>
      </c>
      <c r="E2163" s="39"/>
      <c r="F2163" s="10"/>
      <c r="G2163" s="10"/>
      <c r="H2163" s="10"/>
      <c r="I2163" s="10"/>
      <c r="J2163" s="10"/>
      <c r="K2163" s="25"/>
      <c r="L2163" s="25"/>
      <c r="M2163" s="25" t="str">
        <f>IFERROR(VLOOKUP($C2163,$C$5:$M$24,11,0)+SUMIF($C$25:$C2163,$C2163,$K$25:$K2163)-SUMIF($C$25:$C2163,$C2163,$L$25:$L2163),"")</f>
        <v/>
      </c>
      <c r="N2163" s="10"/>
      <c r="O2163" s="10"/>
      <c r="P2163" s="65"/>
      <c r="Q2163" s="10"/>
      <c r="R2163" s="10"/>
      <c r="S2163" s="54" t="str">
        <f t="shared" si="105"/>
        <v/>
      </c>
      <c r="T2163" s="54" t="str">
        <f t="shared" si="106"/>
        <v/>
      </c>
      <c r="U2163" s="58" t="str">
        <f t="shared" si="107"/>
        <v/>
      </c>
      <c r="V2163" s="58">
        <f>IF(AND($B2163&lt;&gt;"",$F2163&lt;&gt;"",$F2163=项目明细账!$C$2),N(V2162)+1,N(V2162))</f>
        <v>0</v>
      </c>
      <c r="W2163" s="63" t="str">
        <f>IF($H2163&lt;&gt;"","项目成本",IFERROR(INDEX(基础资料!$W$4:$W$49,MATCH($I2163,基础资料!$V$4:$V$49,0)),""))</f>
        <v/>
      </c>
      <c r="X2163" s="63" t="str">
        <f>IFERROR(INDEX(基础资料!$R$4:$R$17,MATCH($G2163,基础资料!$Q$4:$Q$17,0)),"")</f>
        <v/>
      </c>
    </row>
    <row r="2164" spans="1:24">
      <c r="A2164" s="58" t="str">
        <f>IF($B2164="","",COUNTA($B$5:$B2164))</f>
        <v/>
      </c>
      <c r="B2164" s="53"/>
      <c r="C2164" s="46"/>
      <c r="D2164" s="63" t="str">
        <f>IFERROR(INDEX(基础资料!$F$4:$F$23,MATCH($C2164,基础资料!$E$4:$E$23,0)),IF($C2164="","","未匹配账户"))</f>
        <v/>
      </c>
      <c r="E2164" s="39"/>
      <c r="F2164" s="10"/>
      <c r="G2164" s="10"/>
      <c r="H2164" s="10"/>
      <c r="I2164" s="10"/>
      <c r="J2164" s="10"/>
      <c r="K2164" s="25"/>
      <c r="L2164" s="25"/>
      <c r="M2164" s="25" t="str">
        <f>IFERROR(VLOOKUP($C2164,$C$5:$M$24,11,0)+SUMIF($C$25:$C2164,$C2164,$K$25:$K2164)-SUMIF($C$25:$C2164,$C2164,$L$25:$L2164),"")</f>
        <v/>
      </c>
      <c r="N2164" s="10"/>
      <c r="O2164" s="10"/>
      <c r="P2164" s="65"/>
      <c r="Q2164" s="10"/>
      <c r="R2164" s="10"/>
      <c r="S2164" s="54" t="str">
        <f t="shared" si="105"/>
        <v/>
      </c>
      <c r="T2164" s="54" t="str">
        <f t="shared" si="106"/>
        <v/>
      </c>
      <c r="U2164" s="58" t="str">
        <f t="shared" si="107"/>
        <v/>
      </c>
      <c r="V2164" s="58">
        <f>IF(AND($B2164&lt;&gt;"",$F2164&lt;&gt;"",$F2164=项目明细账!$C$2),N(V2163)+1,N(V2163))</f>
        <v>0</v>
      </c>
      <c r="W2164" s="63" t="str">
        <f>IF($H2164&lt;&gt;"","项目成本",IFERROR(INDEX(基础资料!$W$4:$W$49,MATCH($I2164,基础资料!$V$4:$V$49,0)),""))</f>
        <v/>
      </c>
      <c r="X2164" s="63" t="str">
        <f>IFERROR(INDEX(基础资料!$R$4:$R$17,MATCH($G2164,基础资料!$Q$4:$Q$17,0)),"")</f>
        <v/>
      </c>
    </row>
    <row r="2165" spans="1:24">
      <c r="A2165" s="58" t="str">
        <f>IF($B2165="","",COUNTA($B$5:$B2165))</f>
        <v/>
      </c>
      <c r="B2165" s="53"/>
      <c r="C2165" s="46"/>
      <c r="D2165" s="63" t="str">
        <f>IFERROR(INDEX(基础资料!$F$4:$F$23,MATCH($C2165,基础资料!$E$4:$E$23,0)),IF($C2165="","","未匹配账户"))</f>
        <v/>
      </c>
      <c r="E2165" s="39"/>
      <c r="F2165" s="10"/>
      <c r="G2165" s="10"/>
      <c r="H2165" s="10"/>
      <c r="I2165" s="10"/>
      <c r="J2165" s="10"/>
      <c r="K2165" s="25"/>
      <c r="L2165" s="25"/>
      <c r="M2165" s="25" t="str">
        <f>IFERROR(VLOOKUP($C2165,$C$5:$M$24,11,0)+SUMIF($C$25:$C2165,$C2165,$K$25:$K2165)-SUMIF($C$25:$C2165,$C2165,$L$25:$L2165),"")</f>
        <v/>
      </c>
      <c r="N2165" s="10"/>
      <c r="O2165" s="10"/>
      <c r="P2165" s="65"/>
      <c r="Q2165" s="10"/>
      <c r="R2165" s="10"/>
      <c r="S2165" s="54" t="str">
        <f t="shared" si="105"/>
        <v/>
      </c>
      <c r="T2165" s="54" t="str">
        <f t="shared" si="106"/>
        <v/>
      </c>
      <c r="U2165" s="58" t="str">
        <f t="shared" si="107"/>
        <v/>
      </c>
      <c r="V2165" s="58">
        <f>IF(AND($B2165&lt;&gt;"",$F2165&lt;&gt;"",$F2165=项目明细账!$C$2),N(V2164)+1,N(V2164))</f>
        <v>0</v>
      </c>
      <c r="W2165" s="63" t="str">
        <f>IF($H2165&lt;&gt;"","项目成本",IFERROR(INDEX(基础资料!$W$4:$W$49,MATCH($I2165,基础资料!$V$4:$V$49,0)),""))</f>
        <v/>
      </c>
      <c r="X2165" s="63" t="str">
        <f>IFERROR(INDEX(基础资料!$R$4:$R$17,MATCH($G2165,基础资料!$Q$4:$Q$17,0)),"")</f>
        <v/>
      </c>
    </row>
    <row r="2166" spans="1:24">
      <c r="A2166" s="58" t="str">
        <f>IF($B2166="","",COUNTA($B$5:$B2166))</f>
        <v/>
      </c>
      <c r="B2166" s="53"/>
      <c r="C2166" s="46"/>
      <c r="D2166" s="63" t="str">
        <f>IFERROR(INDEX(基础资料!$F$4:$F$23,MATCH($C2166,基础资料!$E$4:$E$23,0)),IF($C2166="","","未匹配账户"))</f>
        <v/>
      </c>
      <c r="E2166" s="39"/>
      <c r="F2166" s="10"/>
      <c r="G2166" s="10"/>
      <c r="H2166" s="10"/>
      <c r="I2166" s="10"/>
      <c r="J2166" s="10"/>
      <c r="K2166" s="25"/>
      <c r="L2166" s="25"/>
      <c r="M2166" s="25" t="str">
        <f>IFERROR(VLOOKUP($C2166,$C$5:$M$24,11,0)+SUMIF($C$25:$C2166,$C2166,$K$25:$K2166)-SUMIF($C$25:$C2166,$C2166,$L$25:$L2166),"")</f>
        <v/>
      </c>
      <c r="N2166" s="10"/>
      <c r="O2166" s="10"/>
      <c r="P2166" s="65"/>
      <c r="Q2166" s="10"/>
      <c r="R2166" s="10"/>
      <c r="S2166" s="54" t="str">
        <f t="shared" si="105"/>
        <v/>
      </c>
      <c r="T2166" s="54" t="str">
        <f t="shared" si="106"/>
        <v/>
      </c>
      <c r="U2166" s="58" t="str">
        <f t="shared" si="107"/>
        <v/>
      </c>
      <c r="V2166" s="58">
        <f>IF(AND($B2166&lt;&gt;"",$F2166&lt;&gt;"",$F2166=项目明细账!$C$2),N(V2165)+1,N(V2165))</f>
        <v>0</v>
      </c>
      <c r="W2166" s="63" t="str">
        <f>IF($H2166&lt;&gt;"","项目成本",IFERROR(INDEX(基础资料!$W$4:$W$49,MATCH($I2166,基础资料!$V$4:$V$49,0)),""))</f>
        <v/>
      </c>
      <c r="X2166" s="63" t="str">
        <f>IFERROR(INDEX(基础资料!$R$4:$R$17,MATCH($G2166,基础资料!$Q$4:$Q$17,0)),"")</f>
        <v/>
      </c>
    </row>
    <row r="2167" spans="1:24">
      <c r="A2167" s="58" t="str">
        <f>IF($B2167="","",COUNTA($B$5:$B2167))</f>
        <v/>
      </c>
      <c r="B2167" s="53"/>
      <c r="C2167" s="46"/>
      <c r="D2167" s="63" t="str">
        <f>IFERROR(INDEX(基础资料!$F$4:$F$23,MATCH($C2167,基础资料!$E$4:$E$23,0)),IF($C2167="","","未匹配账户"))</f>
        <v/>
      </c>
      <c r="E2167" s="39"/>
      <c r="F2167" s="10"/>
      <c r="G2167" s="10"/>
      <c r="H2167" s="10"/>
      <c r="I2167" s="10"/>
      <c r="J2167" s="10"/>
      <c r="K2167" s="25"/>
      <c r="L2167" s="25"/>
      <c r="M2167" s="25" t="str">
        <f>IFERROR(VLOOKUP($C2167,$C$5:$M$24,11,0)+SUMIF($C$25:$C2167,$C2167,$K$25:$K2167)-SUMIF($C$25:$C2167,$C2167,$L$25:$L2167),"")</f>
        <v/>
      </c>
      <c r="N2167" s="10"/>
      <c r="O2167" s="10"/>
      <c r="P2167" s="65"/>
      <c r="Q2167" s="10"/>
      <c r="R2167" s="10"/>
      <c r="S2167" s="54" t="str">
        <f t="shared" si="105"/>
        <v/>
      </c>
      <c r="T2167" s="54" t="str">
        <f t="shared" si="106"/>
        <v/>
      </c>
      <c r="U2167" s="58" t="str">
        <f t="shared" si="107"/>
        <v/>
      </c>
      <c r="V2167" s="58">
        <f>IF(AND($B2167&lt;&gt;"",$F2167&lt;&gt;"",$F2167=项目明细账!$C$2),N(V2166)+1,N(V2166))</f>
        <v>0</v>
      </c>
      <c r="W2167" s="63" t="str">
        <f>IF($H2167&lt;&gt;"","项目成本",IFERROR(INDEX(基础资料!$W$4:$W$49,MATCH($I2167,基础资料!$V$4:$V$49,0)),""))</f>
        <v/>
      </c>
      <c r="X2167" s="63" t="str">
        <f>IFERROR(INDEX(基础资料!$R$4:$R$17,MATCH($G2167,基础资料!$Q$4:$Q$17,0)),"")</f>
        <v/>
      </c>
    </row>
    <row r="2168" spans="1:24">
      <c r="A2168" s="58" t="str">
        <f>IF($B2168="","",COUNTA($B$5:$B2168))</f>
        <v/>
      </c>
      <c r="B2168" s="53"/>
      <c r="C2168" s="46"/>
      <c r="D2168" s="63" t="str">
        <f>IFERROR(INDEX(基础资料!$F$4:$F$23,MATCH($C2168,基础资料!$E$4:$E$23,0)),IF($C2168="","","未匹配账户"))</f>
        <v/>
      </c>
      <c r="E2168" s="39"/>
      <c r="F2168" s="10"/>
      <c r="G2168" s="10"/>
      <c r="H2168" s="10"/>
      <c r="I2168" s="10"/>
      <c r="J2168" s="10"/>
      <c r="K2168" s="25"/>
      <c r="L2168" s="25"/>
      <c r="M2168" s="25" t="str">
        <f>IFERROR(VLOOKUP($C2168,$C$5:$M$24,11,0)+SUMIF($C$25:$C2168,$C2168,$K$25:$K2168)-SUMIF($C$25:$C2168,$C2168,$L$25:$L2168),"")</f>
        <v/>
      </c>
      <c r="N2168" s="10"/>
      <c r="O2168" s="10"/>
      <c r="P2168" s="65"/>
      <c r="Q2168" s="10"/>
      <c r="R2168" s="10"/>
      <c r="S2168" s="54" t="str">
        <f t="shared" si="105"/>
        <v/>
      </c>
      <c r="T2168" s="54" t="str">
        <f t="shared" si="106"/>
        <v/>
      </c>
      <c r="U2168" s="58" t="str">
        <f t="shared" si="107"/>
        <v/>
      </c>
      <c r="V2168" s="58">
        <f>IF(AND($B2168&lt;&gt;"",$F2168&lt;&gt;"",$F2168=项目明细账!$C$2),N(V2167)+1,N(V2167))</f>
        <v>0</v>
      </c>
      <c r="W2168" s="63" t="str">
        <f>IF($H2168&lt;&gt;"","项目成本",IFERROR(INDEX(基础资料!$W$4:$W$49,MATCH($I2168,基础资料!$V$4:$V$49,0)),""))</f>
        <v/>
      </c>
      <c r="X2168" s="63" t="str">
        <f>IFERROR(INDEX(基础资料!$R$4:$R$17,MATCH($G2168,基础资料!$Q$4:$Q$17,0)),"")</f>
        <v/>
      </c>
    </row>
    <row r="2169" spans="1:24">
      <c r="A2169" s="58" t="str">
        <f>IF($B2169="","",COUNTA($B$5:$B2169))</f>
        <v/>
      </c>
      <c r="B2169" s="53"/>
      <c r="C2169" s="46"/>
      <c r="D2169" s="63" t="str">
        <f>IFERROR(INDEX(基础资料!$F$4:$F$23,MATCH($C2169,基础资料!$E$4:$E$23,0)),IF($C2169="","","未匹配账户"))</f>
        <v/>
      </c>
      <c r="E2169" s="39"/>
      <c r="F2169" s="10"/>
      <c r="G2169" s="10"/>
      <c r="H2169" s="10"/>
      <c r="I2169" s="10"/>
      <c r="J2169" s="10"/>
      <c r="K2169" s="25"/>
      <c r="L2169" s="25"/>
      <c r="M2169" s="25" t="str">
        <f>IFERROR(VLOOKUP($C2169,$C$5:$M$24,11,0)+SUMIF($C$25:$C2169,$C2169,$K$25:$K2169)-SUMIF($C$25:$C2169,$C2169,$L$25:$L2169),"")</f>
        <v/>
      </c>
      <c r="N2169" s="10"/>
      <c r="O2169" s="10"/>
      <c r="P2169" s="65"/>
      <c r="Q2169" s="10"/>
      <c r="R2169" s="10"/>
      <c r="S2169" s="54" t="str">
        <f t="shared" si="105"/>
        <v/>
      </c>
      <c r="T2169" s="54" t="str">
        <f t="shared" si="106"/>
        <v/>
      </c>
      <c r="U2169" s="58" t="str">
        <f t="shared" si="107"/>
        <v/>
      </c>
      <c r="V2169" s="58">
        <f>IF(AND($B2169&lt;&gt;"",$F2169&lt;&gt;"",$F2169=项目明细账!$C$2),N(V2168)+1,N(V2168))</f>
        <v>0</v>
      </c>
      <c r="W2169" s="63" t="str">
        <f>IF($H2169&lt;&gt;"","项目成本",IFERROR(INDEX(基础资料!$W$4:$W$49,MATCH($I2169,基础资料!$V$4:$V$49,0)),""))</f>
        <v/>
      </c>
      <c r="X2169" s="63" t="str">
        <f>IFERROR(INDEX(基础资料!$R$4:$R$17,MATCH($G2169,基础资料!$Q$4:$Q$17,0)),"")</f>
        <v/>
      </c>
    </row>
    <row r="2170" spans="1:24">
      <c r="A2170" s="58" t="str">
        <f>IF($B2170="","",COUNTA($B$5:$B2170))</f>
        <v/>
      </c>
      <c r="B2170" s="53"/>
      <c r="C2170" s="46"/>
      <c r="D2170" s="63" t="str">
        <f>IFERROR(INDEX(基础资料!$F$4:$F$23,MATCH($C2170,基础资料!$E$4:$E$23,0)),IF($C2170="","","未匹配账户"))</f>
        <v/>
      </c>
      <c r="E2170" s="39"/>
      <c r="F2170" s="10"/>
      <c r="G2170" s="10"/>
      <c r="H2170" s="10"/>
      <c r="I2170" s="10"/>
      <c r="J2170" s="10"/>
      <c r="K2170" s="25"/>
      <c r="L2170" s="25"/>
      <c r="M2170" s="25" t="str">
        <f>IFERROR(VLOOKUP($C2170,$C$5:$M$24,11,0)+SUMIF($C$25:$C2170,$C2170,$K$25:$K2170)-SUMIF($C$25:$C2170,$C2170,$L$25:$L2170),"")</f>
        <v/>
      </c>
      <c r="N2170" s="10"/>
      <c r="O2170" s="10"/>
      <c r="P2170" s="65"/>
      <c r="Q2170" s="10"/>
      <c r="R2170" s="10"/>
      <c r="S2170" s="54" t="str">
        <f t="shared" si="105"/>
        <v/>
      </c>
      <c r="T2170" s="54" t="str">
        <f t="shared" si="106"/>
        <v/>
      </c>
      <c r="U2170" s="58" t="str">
        <f t="shared" si="107"/>
        <v/>
      </c>
      <c r="V2170" s="58">
        <f>IF(AND($B2170&lt;&gt;"",$F2170&lt;&gt;"",$F2170=项目明细账!$C$2),N(V2169)+1,N(V2169))</f>
        <v>0</v>
      </c>
      <c r="W2170" s="63" t="str">
        <f>IF($H2170&lt;&gt;"","项目成本",IFERROR(INDEX(基础资料!$W$4:$W$49,MATCH($I2170,基础资料!$V$4:$V$49,0)),""))</f>
        <v/>
      </c>
      <c r="X2170" s="63" t="str">
        <f>IFERROR(INDEX(基础资料!$R$4:$R$17,MATCH($G2170,基础资料!$Q$4:$Q$17,0)),"")</f>
        <v/>
      </c>
    </row>
    <row r="2171" spans="1:24">
      <c r="A2171" s="58" t="str">
        <f>IF($B2171="","",COUNTA($B$5:$B2171))</f>
        <v/>
      </c>
      <c r="B2171" s="53"/>
      <c r="C2171" s="46"/>
      <c r="D2171" s="63" t="str">
        <f>IFERROR(INDEX(基础资料!$F$4:$F$23,MATCH($C2171,基础资料!$E$4:$E$23,0)),IF($C2171="","","未匹配账户"))</f>
        <v/>
      </c>
      <c r="E2171" s="39"/>
      <c r="F2171" s="10"/>
      <c r="G2171" s="10"/>
      <c r="H2171" s="10"/>
      <c r="I2171" s="10"/>
      <c r="J2171" s="10"/>
      <c r="K2171" s="25"/>
      <c r="L2171" s="25"/>
      <c r="M2171" s="25" t="str">
        <f>IFERROR(VLOOKUP($C2171,$C$5:$M$24,11,0)+SUMIF($C$25:$C2171,$C2171,$K$25:$K2171)-SUMIF($C$25:$C2171,$C2171,$L$25:$L2171),"")</f>
        <v/>
      </c>
      <c r="N2171" s="10"/>
      <c r="O2171" s="10"/>
      <c r="P2171" s="65"/>
      <c r="Q2171" s="10"/>
      <c r="R2171" s="10"/>
      <c r="S2171" s="54" t="str">
        <f t="shared" si="105"/>
        <v/>
      </c>
      <c r="T2171" s="54" t="str">
        <f t="shared" si="106"/>
        <v/>
      </c>
      <c r="U2171" s="58" t="str">
        <f t="shared" si="107"/>
        <v/>
      </c>
      <c r="V2171" s="58">
        <f>IF(AND($B2171&lt;&gt;"",$F2171&lt;&gt;"",$F2171=项目明细账!$C$2),N(V2170)+1,N(V2170))</f>
        <v>0</v>
      </c>
      <c r="W2171" s="63" t="str">
        <f>IF($H2171&lt;&gt;"","项目成本",IFERROR(INDEX(基础资料!$W$4:$W$49,MATCH($I2171,基础资料!$V$4:$V$49,0)),""))</f>
        <v/>
      </c>
      <c r="X2171" s="63" t="str">
        <f>IFERROR(INDEX(基础资料!$R$4:$R$17,MATCH($G2171,基础资料!$Q$4:$Q$17,0)),"")</f>
        <v/>
      </c>
    </row>
    <row r="2172" spans="1:24">
      <c r="A2172" s="58" t="str">
        <f>IF($B2172="","",COUNTA($B$5:$B2172))</f>
        <v/>
      </c>
      <c r="B2172" s="53"/>
      <c r="C2172" s="46"/>
      <c r="D2172" s="63" t="str">
        <f>IFERROR(INDEX(基础资料!$F$4:$F$23,MATCH($C2172,基础资料!$E$4:$E$23,0)),IF($C2172="","","未匹配账户"))</f>
        <v/>
      </c>
      <c r="E2172" s="39"/>
      <c r="F2172" s="10"/>
      <c r="G2172" s="10"/>
      <c r="H2172" s="10"/>
      <c r="I2172" s="10"/>
      <c r="J2172" s="10"/>
      <c r="K2172" s="25"/>
      <c r="L2172" s="25"/>
      <c r="M2172" s="25" t="str">
        <f>IFERROR(VLOOKUP($C2172,$C$5:$M$24,11,0)+SUMIF($C$25:$C2172,$C2172,$K$25:$K2172)-SUMIF($C$25:$C2172,$C2172,$L$25:$L2172),"")</f>
        <v/>
      </c>
      <c r="N2172" s="10"/>
      <c r="O2172" s="10"/>
      <c r="P2172" s="65"/>
      <c r="Q2172" s="10"/>
      <c r="R2172" s="10"/>
      <c r="S2172" s="54" t="str">
        <f t="shared" si="105"/>
        <v/>
      </c>
      <c r="T2172" s="54" t="str">
        <f t="shared" si="106"/>
        <v/>
      </c>
      <c r="U2172" s="58" t="str">
        <f t="shared" si="107"/>
        <v/>
      </c>
      <c r="V2172" s="58">
        <f>IF(AND($B2172&lt;&gt;"",$F2172&lt;&gt;"",$F2172=项目明细账!$C$2),N(V2171)+1,N(V2171))</f>
        <v>0</v>
      </c>
      <c r="W2172" s="63" t="str">
        <f>IF($H2172&lt;&gt;"","项目成本",IFERROR(INDEX(基础资料!$W$4:$W$49,MATCH($I2172,基础资料!$V$4:$V$49,0)),""))</f>
        <v/>
      </c>
      <c r="X2172" s="63" t="str">
        <f>IFERROR(INDEX(基础资料!$R$4:$R$17,MATCH($G2172,基础资料!$Q$4:$Q$17,0)),"")</f>
        <v/>
      </c>
    </row>
    <row r="2173" spans="1:24">
      <c r="A2173" s="58" t="str">
        <f>IF($B2173="","",COUNTA($B$5:$B2173))</f>
        <v/>
      </c>
      <c r="B2173" s="53"/>
      <c r="C2173" s="46"/>
      <c r="D2173" s="63" t="str">
        <f>IFERROR(INDEX(基础资料!$F$4:$F$23,MATCH($C2173,基础资料!$E$4:$E$23,0)),IF($C2173="","","未匹配账户"))</f>
        <v/>
      </c>
      <c r="E2173" s="39"/>
      <c r="F2173" s="10"/>
      <c r="G2173" s="10"/>
      <c r="H2173" s="10"/>
      <c r="I2173" s="10"/>
      <c r="J2173" s="10"/>
      <c r="K2173" s="25"/>
      <c r="L2173" s="25"/>
      <c r="M2173" s="25" t="str">
        <f>IFERROR(VLOOKUP($C2173,$C$5:$M$24,11,0)+SUMIF($C$25:$C2173,$C2173,$K$25:$K2173)-SUMIF($C$25:$C2173,$C2173,$L$25:$L2173),"")</f>
        <v/>
      </c>
      <c r="N2173" s="10"/>
      <c r="O2173" s="10"/>
      <c r="P2173" s="65"/>
      <c r="Q2173" s="10"/>
      <c r="R2173" s="10"/>
      <c r="S2173" s="54" t="str">
        <f t="shared" si="105"/>
        <v/>
      </c>
      <c r="T2173" s="54" t="str">
        <f t="shared" si="106"/>
        <v/>
      </c>
      <c r="U2173" s="58" t="str">
        <f t="shared" si="107"/>
        <v/>
      </c>
      <c r="V2173" s="58">
        <f>IF(AND($B2173&lt;&gt;"",$F2173&lt;&gt;"",$F2173=项目明细账!$C$2),N(V2172)+1,N(V2172))</f>
        <v>0</v>
      </c>
      <c r="W2173" s="63" t="str">
        <f>IF($H2173&lt;&gt;"","项目成本",IFERROR(INDEX(基础资料!$W$4:$W$49,MATCH($I2173,基础资料!$V$4:$V$49,0)),""))</f>
        <v/>
      </c>
      <c r="X2173" s="63" t="str">
        <f>IFERROR(INDEX(基础资料!$R$4:$R$17,MATCH($G2173,基础资料!$Q$4:$Q$17,0)),"")</f>
        <v/>
      </c>
    </row>
    <row r="2174" spans="1:24">
      <c r="A2174" s="58" t="str">
        <f>IF($B2174="","",COUNTA($B$5:$B2174))</f>
        <v/>
      </c>
      <c r="B2174" s="53"/>
      <c r="C2174" s="46"/>
      <c r="D2174" s="63" t="str">
        <f>IFERROR(INDEX(基础资料!$F$4:$F$23,MATCH($C2174,基础资料!$E$4:$E$23,0)),IF($C2174="","","未匹配账户"))</f>
        <v/>
      </c>
      <c r="E2174" s="39"/>
      <c r="F2174" s="10"/>
      <c r="G2174" s="10"/>
      <c r="H2174" s="10"/>
      <c r="I2174" s="10"/>
      <c r="J2174" s="10"/>
      <c r="K2174" s="25"/>
      <c r="L2174" s="25"/>
      <c r="M2174" s="25" t="str">
        <f>IFERROR(VLOOKUP($C2174,$C$5:$M$24,11,0)+SUMIF($C$25:$C2174,$C2174,$K$25:$K2174)-SUMIF($C$25:$C2174,$C2174,$L$25:$L2174),"")</f>
        <v/>
      </c>
      <c r="N2174" s="10"/>
      <c r="O2174" s="10"/>
      <c r="P2174" s="65"/>
      <c r="Q2174" s="10"/>
      <c r="R2174" s="10"/>
      <c r="S2174" s="54" t="str">
        <f t="shared" si="105"/>
        <v/>
      </c>
      <c r="T2174" s="54" t="str">
        <f t="shared" si="106"/>
        <v/>
      </c>
      <c r="U2174" s="58" t="str">
        <f t="shared" si="107"/>
        <v/>
      </c>
      <c r="V2174" s="58">
        <f>IF(AND($B2174&lt;&gt;"",$F2174&lt;&gt;"",$F2174=项目明细账!$C$2),N(V2173)+1,N(V2173))</f>
        <v>0</v>
      </c>
      <c r="W2174" s="63" t="str">
        <f>IF($H2174&lt;&gt;"","项目成本",IFERROR(INDEX(基础资料!$W$4:$W$49,MATCH($I2174,基础资料!$V$4:$V$49,0)),""))</f>
        <v/>
      </c>
      <c r="X2174" s="63" t="str">
        <f>IFERROR(INDEX(基础资料!$R$4:$R$17,MATCH($G2174,基础资料!$Q$4:$Q$17,0)),"")</f>
        <v/>
      </c>
    </row>
    <row r="2175" spans="1:24">
      <c r="A2175" s="58" t="str">
        <f>IF($B2175="","",COUNTA($B$5:$B2175))</f>
        <v/>
      </c>
      <c r="B2175" s="53"/>
      <c r="C2175" s="46"/>
      <c r="D2175" s="63" t="str">
        <f>IFERROR(INDEX(基础资料!$F$4:$F$23,MATCH($C2175,基础资料!$E$4:$E$23,0)),IF($C2175="","","未匹配账户"))</f>
        <v/>
      </c>
      <c r="E2175" s="39"/>
      <c r="F2175" s="10"/>
      <c r="G2175" s="10"/>
      <c r="H2175" s="10"/>
      <c r="I2175" s="10"/>
      <c r="J2175" s="10"/>
      <c r="K2175" s="25"/>
      <c r="L2175" s="25"/>
      <c r="M2175" s="25" t="str">
        <f>IFERROR(VLOOKUP($C2175,$C$5:$M$24,11,0)+SUMIF($C$25:$C2175,$C2175,$K$25:$K2175)-SUMIF($C$25:$C2175,$C2175,$L$25:$L2175),"")</f>
        <v/>
      </c>
      <c r="N2175" s="10"/>
      <c r="O2175" s="10"/>
      <c r="P2175" s="65"/>
      <c r="Q2175" s="10"/>
      <c r="R2175" s="10"/>
      <c r="S2175" s="54" t="str">
        <f t="shared" si="105"/>
        <v/>
      </c>
      <c r="T2175" s="54" t="str">
        <f t="shared" si="106"/>
        <v/>
      </c>
      <c r="U2175" s="58" t="str">
        <f t="shared" si="107"/>
        <v/>
      </c>
      <c r="V2175" s="58">
        <f>IF(AND($B2175&lt;&gt;"",$F2175&lt;&gt;"",$F2175=项目明细账!$C$2),N(V2174)+1,N(V2174))</f>
        <v>0</v>
      </c>
      <c r="W2175" s="63" t="str">
        <f>IF($H2175&lt;&gt;"","项目成本",IFERROR(INDEX(基础资料!$W$4:$W$49,MATCH($I2175,基础资料!$V$4:$V$49,0)),""))</f>
        <v/>
      </c>
      <c r="X2175" s="63" t="str">
        <f>IFERROR(INDEX(基础资料!$R$4:$R$17,MATCH($G2175,基础资料!$Q$4:$Q$17,0)),"")</f>
        <v/>
      </c>
    </row>
    <row r="2176" spans="1:24">
      <c r="A2176" s="58" t="str">
        <f>IF($B2176="","",COUNTA($B$5:$B2176))</f>
        <v/>
      </c>
      <c r="B2176" s="53"/>
      <c r="C2176" s="46"/>
      <c r="D2176" s="63" t="str">
        <f>IFERROR(INDEX(基础资料!$F$4:$F$23,MATCH($C2176,基础资料!$E$4:$E$23,0)),IF($C2176="","","未匹配账户"))</f>
        <v/>
      </c>
      <c r="E2176" s="39"/>
      <c r="F2176" s="10"/>
      <c r="G2176" s="10"/>
      <c r="H2176" s="10"/>
      <c r="I2176" s="10"/>
      <c r="J2176" s="10"/>
      <c r="K2176" s="25"/>
      <c r="L2176" s="25"/>
      <c r="M2176" s="25" t="str">
        <f>IFERROR(VLOOKUP($C2176,$C$5:$M$24,11,0)+SUMIF($C$25:$C2176,$C2176,$K$25:$K2176)-SUMIF($C$25:$C2176,$C2176,$L$25:$L2176),"")</f>
        <v/>
      </c>
      <c r="N2176" s="10"/>
      <c r="O2176" s="10"/>
      <c r="P2176" s="65"/>
      <c r="Q2176" s="10"/>
      <c r="R2176" s="10"/>
      <c r="S2176" s="54" t="str">
        <f t="shared" si="105"/>
        <v/>
      </c>
      <c r="T2176" s="54" t="str">
        <f t="shared" si="106"/>
        <v/>
      </c>
      <c r="U2176" s="58" t="str">
        <f t="shared" si="107"/>
        <v/>
      </c>
      <c r="V2176" s="58">
        <f>IF(AND($B2176&lt;&gt;"",$F2176&lt;&gt;"",$F2176=项目明细账!$C$2),N(V2175)+1,N(V2175))</f>
        <v>0</v>
      </c>
      <c r="W2176" s="63" t="str">
        <f>IF($H2176&lt;&gt;"","项目成本",IFERROR(INDEX(基础资料!$W$4:$W$49,MATCH($I2176,基础资料!$V$4:$V$49,0)),""))</f>
        <v/>
      </c>
      <c r="X2176" s="63" t="str">
        <f>IFERROR(INDEX(基础资料!$R$4:$R$17,MATCH($G2176,基础资料!$Q$4:$Q$17,0)),"")</f>
        <v/>
      </c>
    </row>
    <row r="2177" spans="1:24">
      <c r="A2177" s="58" t="str">
        <f>IF($B2177="","",COUNTA($B$5:$B2177))</f>
        <v/>
      </c>
      <c r="B2177" s="53"/>
      <c r="C2177" s="46"/>
      <c r="D2177" s="63" t="str">
        <f>IFERROR(INDEX(基础资料!$F$4:$F$23,MATCH($C2177,基础资料!$E$4:$E$23,0)),IF($C2177="","","未匹配账户"))</f>
        <v/>
      </c>
      <c r="E2177" s="39"/>
      <c r="F2177" s="10"/>
      <c r="G2177" s="10"/>
      <c r="H2177" s="10"/>
      <c r="I2177" s="10"/>
      <c r="J2177" s="10"/>
      <c r="K2177" s="25"/>
      <c r="L2177" s="25"/>
      <c r="M2177" s="25" t="str">
        <f>IFERROR(VLOOKUP($C2177,$C$5:$M$24,11,0)+SUMIF($C$25:$C2177,$C2177,$K$25:$K2177)-SUMIF($C$25:$C2177,$C2177,$L$25:$L2177),"")</f>
        <v/>
      </c>
      <c r="N2177" s="10"/>
      <c r="O2177" s="10"/>
      <c r="P2177" s="65"/>
      <c r="Q2177" s="10"/>
      <c r="R2177" s="10"/>
      <c r="S2177" s="54" t="str">
        <f t="shared" si="105"/>
        <v/>
      </c>
      <c r="T2177" s="54" t="str">
        <f t="shared" si="106"/>
        <v/>
      </c>
      <c r="U2177" s="58" t="str">
        <f t="shared" si="107"/>
        <v/>
      </c>
      <c r="V2177" s="58">
        <f>IF(AND($B2177&lt;&gt;"",$F2177&lt;&gt;"",$F2177=项目明细账!$C$2),N(V2176)+1,N(V2176))</f>
        <v>0</v>
      </c>
      <c r="W2177" s="63" t="str">
        <f>IF($H2177&lt;&gt;"","项目成本",IFERROR(INDEX(基础资料!$W$4:$W$49,MATCH($I2177,基础资料!$V$4:$V$49,0)),""))</f>
        <v/>
      </c>
      <c r="X2177" s="63" t="str">
        <f>IFERROR(INDEX(基础资料!$R$4:$R$17,MATCH($G2177,基础资料!$Q$4:$Q$17,0)),"")</f>
        <v/>
      </c>
    </row>
    <row r="2178" spans="1:24">
      <c r="A2178" s="58" t="str">
        <f>IF($B2178="","",COUNTA($B$5:$B2178))</f>
        <v/>
      </c>
      <c r="B2178" s="53"/>
      <c r="C2178" s="46"/>
      <c r="D2178" s="63" t="str">
        <f>IFERROR(INDEX(基础资料!$F$4:$F$23,MATCH($C2178,基础资料!$E$4:$E$23,0)),IF($C2178="","","未匹配账户"))</f>
        <v/>
      </c>
      <c r="E2178" s="39"/>
      <c r="F2178" s="10"/>
      <c r="G2178" s="10"/>
      <c r="H2178" s="10"/>
      <c r="I2178" s="10"/>
      <c r="J2178" s="10"/>
      <c r="K2178" s="25"/>
      <c r="L2178" s="25"/>
      <c r="M2178" s="25" t="str">
        <f>IFERROR(VLOOKUP($C2178,$C$5:$M$24,11,0)+SUMIF($C$25:$C2178,$C2178,$K$25:$K2178)-SUMIF($C$25:$C2178,$C2178,$L$25:$L2178),"")</f>
        <v/>
      </c>
      <c r="N2178" s="10"/>
      <c r="O2178" s="10"/>
      <c r="P2178" s="65"/>
      <c r="Q2178" s="10"/>
      <c r="R2178" s="10"/>
      <c r="S2178" s="54" t="str">
        <f t="shared" si="105"/>
        <v/>
      </c>
      <c r="T2178" s="54" t="str">
        <f t="shared" si="106"/>
        <v/>
      </c>
      <c r="U2178" s="58" t="str">
        <f t="shared" si="107"/>
        <v/>
      </c>
      <c r="V2178" s="58">
        <f>IF(AND($B2178&lt;&gt;"",$F2178&lt;&gt;"",$F2178=项目明细账!$C$2),N(V2177)+1,N(V2177))</f>
        <v>0</v>
      </c>
      <c r="W2178" s="63" t="str">
        <f>IF($H2178&lt;&gt;"","项目成本",IFERROR(INDEX(基础资料!$W$4:$W$49,MATCH($I2178,基础资料!$V$4:$V$49,0)),""))</f>
        <v/>
      </c>
      <c r="X2178" s="63" t="str">
        <f>IFERROR(INDEX(基础资料!$R$4:$R$17,MATCH($G2178,基础资料!$Q$4:$Q$17,0)),"")</f>
        <v/>
      </c>
    </row>
    <row r="2179" spans="1:24">
      <c r="A2179" s="58" t="str">
        <f>IF($B2179="","",COUNTA($B$5:$B2179))</f>
        <v/>
      </c>
      <c r="B2179" s="53"/>
      <c r="C2179" s="46"/>
      <c r="D2179" s="63" t="str">
        <f>IFERROR(INDEX(基础资料!$F$4:$F$23,MATCH($C2179,基础资料!$E$4:$E$23,0)),IF($C2179="","","未匹配账户"))</f>
        <v/>
      </c>
      <c r="E2179" s="39"/>
      <c r="F2179" s="10"/>
      <c r="G2179" s="10"/>
      <c r="H2179" s="10"/>
      <c r="I2179" s="10"/>
      <c r="J2179" s="10"/>
      <c r="K2179" s="25"/>
      <c r="L2179" s="25"/>
      <c r="M2179" s="25" t="str">
        <f>IFERROR(VLOOKUP($C2179,$C$5:$M$24,11,0)+SUMIF($C$25:$C2179,$C2179,$K$25:$K2179)-SUMIF($C$25:$C2179,$C2179,$L$25:$L2179),"")</f>
        <v/>
      </c>
      <c r="N2179" s="10"/>
      <c r="O2179" s="10"/>
      <c r="P2179" s="65"/>
      <c r="Q2179" s="10"/>
      <c r="R2179" s="10"/>
      <c r="S2179" s="54" t="str">
        <f t="shared" si="105"/>
        <v/>
      </c>
      <c r="T2179" s="54" t="str">
        <f t="shared" si="106"/>
        <v/>
      </c>
      <c r="U2179" s="58" t="str">
        <f t="shared" si="107"/>
        <v/>
      </c>
      <c r="V2179" s="58">
        <f>IF(AND($B2179&lt;&gt;"",$F2179&lt;&gt;"",$F2179=项目明细账!$C$2),N(V2178)+1,N(V2178))</f>
        <v>0</v>
      </c>
      <c r="W2179" s="63" t="str">
        <f>IF($H2179&lt;&gt;"","项目成本",IFERROR(INDEX(基础资料!$W$4:$W$49,MATCH($I2179,基础资料!$V$4:$V$49,0)),""))</f>
        <v/>
      </c>
      <c r="X2179" s="63" t="str">
        <f>IFERROR(INDEX(基础资料!$R$4:$R$17,MATCH($G2179,基础资料!$Q$4:$Q$17,0)),"")</f>
        <v/>
      </c>
    </row>
    <row r="2180" spans="1:24">
      <c r="A2180" s="58" t="str">
        <f>IF($B2180="","",COUNTA($B$5:$B2180))</f>
        <v/>
      </c>
      <c r="B2180" s="53"/>
      <c r="C2180" s="46"/>
      <c r="D2180" s="63" t="str">
        <f>IFERROR(INDEX(基础资料!$F$4:$F$23,MATCH($C2180,基础资料!$E$4:$E$23,0)),IF($C2180="","","未匹配账户"))</f>
        <v/>
      </c>
      <c r="E2180" s="39"/>
      <c r="F2180" s="10"/>
      <c r="G2180" s="10"/>
      <c r="H2180" s="10"/>
      <c r="I2180" s="10"/>
      <c r="J2180" s="10"/>
      <c r="K2180" s="25"/>
      <c r="L2180" s="25"/>
      <c r="M2180" s="25" t="str">
        <f>IFERROR(VLOOKUP($C2180,$C$5:$M$24,11,0)+SUMIF($C$25:$C2180,$C2180,$K$25:$K2180)-SUMIF($C$25:$C2180,$C2180,$L$25:$L2180),"")</f>
        <v/>
      </c>
      <c r="N2180" s="10"/>
      <c r="O2180" s="10"/>
      <c r="P2180" s="65"/>
      <c r="Q2180" s="10"/>
      <c r="R2180" s="10"/>
      <c r="S2180" s="54" t="str">
        <f t="shared" si="105"/>
        <v/>
      </c>
      <c r="T2180" s="54" t="str">
        <f t="shared" si="106"/>
        <v/>
      </c>
      <c r="U2180" s="58" t="str">
        <f t="shared" si="107"/>
        <v/>
      </c>
      <c r="V2180" s="58">
        <f>IF(AND($B2180&lt;&gt;"",$F2180&lt;&gt;"",$F2180=项目明细账!$C$2),N(V2179)+1,N(V2179))</f>
        <v>0</v>
      </c>
      <c r="W2180" s="63" t="str">
        <f>IF($H2180&lt;&gt;"","项目成本",IFERROR(INDEX(基础资料!$W$4:$W$49,MATCH($I2180,基础资料!$V$4:$V$49,0)),""))</f>
        <v/>
      </c>
      <c r="X2180" s="63" t="str">
        <f>IFERROR(INDEX(基础资料!$R$4:$R$17,MATCH($G2180,基础资料!$Q$4:$Q$17,0)),"")</f>
        <v/>
      </c>
    </row>
    <row r="2181" spans="1:24">
      <c r="A2181" s="58" t="str">
        <f>IF($B2181="","",COUNTA($B$5:$B2181))</f>
        <v/>
      </c>
      <c r="B2181" s="53"/>
      <c r="C2181" s="46"/>
      <c r="D2181" s="63" t="str">
        <f>IFERROR(INDEX(基础资料!$F$4:$F$23,MATCH($C2181,基础资料!$E$4:$E$23,0)),IF($C2181="","","未匹配账户"))</f>
        <v/>
      </c>
      <c r="E2181" s="39"/>
      <c r="F2181" s="10"/>
      <c r="G2181" s="10"/>
      <c r="H2181" s="10"/>
      <c r="I2181" s="10"/>
      <c r="J2181" s="10"/>
      <c r="K2181" s="25"/>
      <c r="L2181" s="25"/>
      <c r="M2181" s="25" t="str">
        <f>IFERROR(VLOOKUP($C2181,$C$5:$M$24,11,0)+SUMIF($C$25:$C2181,$C2181,$K$25:$K2181)-SUMIF($C$25:$C2181,$C2181,$L$25:$L2181),"")</f>
        <v/>
      </c>
      <c r="N2181" s="10"/>
      <c r="O2181" s="10"/>
      <c r="P2181" s="65"/>
      <c r="Q2181" s="10"/>
      <c r="R2181" s="10"/>
      <c r="S2181" s="54" t="str">
        <f t="shared" si="105"/>
        <v/>
      </c>
      <c r="T2181" s="54" t="str">
        <f t="shared" si="106"/>
        <v/>
      </c>
      <c r="U2181" s="58" t="str">
        <f t="shared" si="107"/>
        <v/>
      </c>
      <c r="V2181" s="58">
        <f>IF(AND($B2181&lt;&gt;"",$F2181&lt;&gt;"",$F2181=项目明细账!$C$2),N(V2180)+1,N(V2180))</f>
        <v>0</v>
      </c>
      <c r="W2181" s="63" t="str">
        <f>IF($H2181&lt;&gt;"","项目成本",IFERROR(INDEX(基础资料!$W$4:$W$49,MATCH($I2181,基础资料!$V$4:$V$49,0)),""))</f>
        <v/>
      </c>
      <c r="X2181" s="63" t="str">
        <f>IFERROR(INDEX(基础资料!$R$4:$R$17,MATCH($G2181,基础资料!$Q$4:$Q$17,0)),"")</f>
        <v/>
      </c>
    </row>
    <row r="2182" spans="1:24">
      <c r="A2182" s="58" t="str">
        <f>IF($B2182="","",COUNTA($B$5:$B2182))</f>
        <v/>
      </c>
      <c r="B2182" s="53"/>
      <c r="C2182" s="46"/>
      <c r="D2182" s="63" t="str">
        <f>IFERROR(INDEX(基础资料!$F$4:$F$23,MATCH($C2182,基础资料!$E$4:$E$23,0)),IF($C2182="","","未匹配账户"))</f>
        <v/>
      </c>
      <c r="E2182" s="39"/>
      <c r="F2182" s="10"/>
      <c r="G2182" s="10"/>
      <c r="H2182" s="10"/>
      <c r="I2182" s="10"/>
      <c r="J2182" s="10"/>
      <c r="K2182" s="25"/>
      <c r="L2182" s="25"/>
      <c r="M2182" s="25" t="str">
        <f>IFERROR(VLOOKUP($C2182,$C$5:$M$24,11,0)+SUMIF($C$25:$C2182,$C2182,$K$25:$K2182)-SUMIF($C$25:$C2182,$C2182,$L$25:$L2182),"")</f>
        <v/>
      </c>
      <c r="N2182" s="10"/>
      <c r="O2182" s="10"/>
      <c r="P2182" s="65"/>
      <c r="Q2182" s="10"/>
      <c r="R2182" s="10"/>
      <c r="S2182" s="54" t="str">
        <f t="shared" si="105"/>
        <v/>
      </c>
      <c r="T2182" s="54" t="str">
        <f t="shared" si="106"/>
        <v/>
      </c>
      <c r="U2182" s="58" t="str">
        <f t="shared" si="107"/>
        <v/>
      </c>
      <c r="V2182" s="58">
        <f>IF(AND($B2182&lt;&gt;"",$F2182&lt;&gt;"",$F2182=项目明细账!$C$2),N(V2181)+1,N(V2181))</f>
        <v>0</v>
      </c>
      <c r="W2182" s="63" t="str">
        <f>IF($H2182&lt;&gt;"","项目成本",IFERROR(INDEX(基础资料!$W$4:$W$49,MATCH($I2182,基础资料!$V$4:$V$49,0)),""))</f>
        <v/>
      </c>
      <c r="X2182" s="63" t="str">
        <f>IFERROR(INDEX(基础资料!$R$4:$R$17,MATCH($G2182,基础资料!$Q$4:$Q$17,0)),"")</f>
        <v/>
      </c>
    </row>
    <row r="2183" spans="1:24">
      <c r="A2183" s="58" t="str">
        <f>IF($B2183="","",COUNTA($B$5:$B2183))</f>
        <v/>
      </c>
      <c r="B2183" s="53"/>
      <c r="C2183" s="46"/>
      <c r="D2183" s="63" t="str">
        <f>IFERROR(INDEX(基础资料!$F$4:$F$23,MATCH($C2183,基础资料!$E$4:$E$23,0)),IF($C2183="","","未匹配账户"))</f>
        <v/>
      </c>
      <c r="E2183" s="39"/>
      <c r="F2183" s="10"/>
      <c r="G2183" s="10"/>
      <c r="H2183" s="10"/>
      <c r="I2183" s="10"/>
      <c r="J2183" s="10"/>
      <c r="K2183" s="25"/>
      <c r="L2183" s="25"/>
      <c r="M2183" s="25" t="str">
        <f>IFERROR(VLOOKUP($C2183,$C$5:$M$24,11,0)+SUMIF($C$25:$C2183,$C2183,$K$25:$K2183)-SUMIF($C$25:$C2183,$C2183,$L$25:$L2183),"")</f>
        <v/>
      </c>
      <c r="N2183" s="10"/>
      <c r="O2183" s="10"/>
      <c r="P2183" s="65"/>
      <c r="Q2183" s="10"/>
      <c r="R2183" s="10"/>
      <c r="S2183" s="54" t="str">
        <f t="shared" ref="S2183:S2246" si="108">IF($B2183="","",--TEXT($B2183,"yyyymm"))</f>
        <v/>
      </c>
      <c r="T2183" s="54" t="str">
        <f t="shared" ref="T2183:T2246" si="109">IF($B2183="","",IF($P2183="",$S2183,IFERROR($P2183*1,$P2183)))</f>
        <v/>
      </c>
      <c r="U2183" s="58" t="str">
        <f t="shared" ref="U2183:U2246" si="110">IF($B2183="","",IF($T2183=$S2183,"","跨期"))</f>
        <v/>
      </c>
      <c r="V2183" s="58">
        <f>IF(AND($B2183&lt;&gt;"",$F2183&lt;&gt;"",$F2183=项目明细账!$C$2),N(V2182)+1,N(V2182))</f>
        <v>0</v>
      </c>
      <c r="W2183" s="63" t="str">
        <f>IF($H2183&lt;&gt;"","项目成本",IFERROR(INDEX(基础资料!$W$4:$W$49,MATCH($I2183,基础资料!$V$4:$V$49,0)),""))</f>
        <v/>
      </c>
      <c r="X2183" s="63" t="str">
        <f>IFERROR(INDEX(基础资料!$R$4:$R$17,MATCH($G2183,基础资料!$Q$4:$Q$17,0)),"")</f>
        <v/>
      </c>
    </row>
    <row r="2184" spans="1:24">
      <c r="A2184" s="58" t="str">
        <f>IF($B2184="","",COUNTA($B$5:$B2184))</f>
        <v/>
      </c>
      <c r="B2184" s="53"/>
      <c r="C2184" s="46"/>
      <c r="D2184" s="63" t="str">
        <f>IFERROR(INDEX(基础资料!$F$4:$F$23,MATCH($C2184,基础资料!$E$4:$E$23,0)),IF($C2184="","","未匹配账户"))</f>
        <v/>
      </c>
      <c r="E2184" s="39"/>
      <c r="F2184" s="10"/>
      <c r="G2184" s="10"/>
      <c r="H2184" s="10"/>
      <c r="I2184" s="10"/>
      <c r="J2184" s="10"/>
      <c r="K2184" s="25"/>
      <c r="L2184" s="25"/>
      <c r="M2184" s="25" t="str">
        <f>IFERROR(VLOOKUP($C2184,$C$5:$M$24,11,0)+SUMIF($C$25:$C2184,$C2184,$K$25:$K2184)-SUMIF($C$25:$C2184,$C2184,$L$25:$L2184),"")</f>
        <v/>
      </c>
      <c r="N2184" s="10"/>
      <c r="O2184" s="10"/>
      <c r="P2184" s="65"/>
      <c r="Q2184" s="10"/>
      <c r="R2184" s="10"/>
      <c r="S2184" s="54" t="str">
        <f t="shared" si="108"/>
        <v/>
      </c>
      <c r="T2184" s="54" t="str">
        <f t="shared" si="109"/>
        <v/>
      </c>
      <c r="U2184" s="58" t="str">
        <f t="shared" si="110"/>
        <v/>
      </c>
      <c r="V2184" s="58">
        <f>IF(AND($B2184&lt;&gt;"",$F2184&lt;&gt;"",$F2184=项目明细账!$C$2),N(V2183)+1,N(V2183))</f>
        <v>0</v>
      </c>
      <c r="W2184" s="63" t="str">
        <f>IF($H2184&lt;&gt;"","项目成本",IFERROR(INDEX(基础资料!$W$4:$W$49,MATCH($I2184,基础资料!$V$4:$V$49,0)),""))</f>
        <v/>
      </c>
      <c r="X2184" s="63" t="str">
        <f>IFERROR(INDEX(基础资料!$R$4:$R$17,MATCH($G2184,基础资料!$Q$4:$Q$17,0)),"")</f>
        <v/>
      </c>
    </row>
    <row r="2185" spans="1:24">
      <c r="A2185" s="58" t="str">
        <f>IF($B2185="","",COUNTA($B$5:$B2185))</f>
        <v/>
      </c>
      <c r="B2185" s="53"/>
      <c r="C2185" s="46"/>
      <c r="D2185" s="63" t="str">
        <f>IFERROR(INDEX(基础资料!$F$4:$F$23,MATCH($C2185,基础资料!$E$4:$E$23,0)),IF($C2185="","","未匹配账户"))</f>
        <v/>
      </c>
      <c r="E2185" s="39"/>
      <c r="F2185" s="10"/>
      <c r="G2185" s="10"/>
      <c r="H2185" s="10"/>
      <c r="I2185" s="10"/>
      <c r="J2185" s="10"/>
      <c r="K2185" s="25"/>
      <c r="L2185" s="25"/>
      <c r="M2185" s="25" t="str">
        <f>IFERROR(VLOOKUP($C2185,$C$5:$M$24,11,0)+SUMIF($C$25:$C2185,$C2185,$K$25:$K2185)-SUMIF($C$25:$C2185,$C2185,$L$25:$L2185),"")</f>
        <v/>
      </c>
      <c r="N2185" s="10"/>
      <c r="O2185" s="10"/>
      <c r="P2185" s="65"/>
      <c r="Q2185" s="10"/>
      <c r="R2185" s="10"/>
      <c r="S2185" s="54" t="str">
        <f t="shared" si="108"/>
        <v/>
      </c>
      <c r="T2185" s="54" t="str">
        <f t="shared" si="109"/>
        <v/>
      </c>
      <c r="U2185" s="58" t="str">
        <f t="shared" si="110"/>
        <v/>
      </c>
      <c r="V2185" s="58">
        <f>IF(AND($B2185&lt;&gt;"",$F2185&lt;&gt;"",$F2185=项目明细账!$C$2),N(V2184)+1,N(V2184))</f>
        <v>0</v>
      </c>
      <c r="W2185" s="63" t="str">
        <f>IF($H2185&lt;&gt;"","项目成本",IFERROR(INDEX(基础资料!$W$4:$W$49,MATCH($I2185,基础资料!$V$4:$V$49,0)),""))</f>
        <v/>
      </c>
      <c r="X2185" s="63" t="str">
        <f>IFERROR(INDEX(基础资料!$R$4:$R$17,MATCH($G2185,基础资料!$Q$4:$Q$17,0)),"")</f>
        <v/>
      </c>
    </row>
    <row r="2186" spans="1:24">
      <c r="A2186" s="58" t="str">
        <f>IF($B2186="","",COUNTA($B$5:$B2186))</f>
        <v/>
      </c>
      <c r="B2186" s="53"/>
      <c r="C2186" s="46"/>
      <c r="D2186" s="63" t="str">
        <f>IFERROR(INDEX(基础资料!$F$4:$F$23,MATCH($C2186,基础资料!$E$4:$E$23,0)),IF($C2186="","","未匹配账户"))</f>
        <v/>
      </c>
      <c r="E2186" s="39"/>
      <c r="F2186" s="10"/>
      <c r="G2186" s="10"/>
      <c r="H2186" s="10"/>
      <c r="I2186" s="10"/>
      <c r="J2186" s="10"/>
      <c r="K2186" s="25"/>
      <c r="L2186" s="25"/>
      <c r="M2186" s="25" t="str">
        <f>IFERROR(VLOOKUP($C2186,$C$5:$M$24,11,0)+SUMIF($C$25:$C2186,$C2186,$K$25:$K2186)-SUMIF($C$25:$C2186,$C2186,$L$25:$L2186),"")</f>
        <v/>
      </c>
      <c r="N2186" s="10"/>
      <c r="O2186" s="10"/>
      <c r="P2186" s="65"/>
      <c r="Q2186" s="10"/>
      <c r="R2186" s="10"/>
      <c r="S2186" s="54" t="str">
        <f t="shared" si="108"/>
        <v/>
      </c>
      <c r="T2186" s="54" t="str">
        <f t="shared" si="109"/>
        <v/>
      </c>
      <c r="U2186" s="58" t="str">
        <f t="shared" si="110"/>
        <v/>
      </c>
      <c r="V2186" s="58">
        <f>IF(AND($B2186&lt;&gt;"",$F2186&lt;&gt;"",$F2186=项目明细账!$C$2),N(V2185)+1,N(V2185))</f>
        <v>0</v>
      </c>
      <c r="W2186" s="63" t="str">
        <f>IF($H2186&lt;&gt;"","项目成本",IFERROR(INDEX(基础资料!$W$4:$W$49,MATCH($I2186,基础资料!$V$4:$V$49,0)),""))</f>
        <v/>
      </c>
      <c r="X2186" s="63" t="str">
        <f>IFERROR(INDEX(基础资料!$R$4:$R$17,MATCH($G2186,基础资料!$Q$4:$Q$17,0)),"")</f>
        <v/>
      </c>
    </row>
    <row r="2187" spans="1:24">
      <c r="A2187" s="58" t="str">
        <f>IF($B2187="","",COUNTA($B$5:$B2187))</f>
        <v/>
      </c>
      <c r="B2187" s="53"/>
      <c r="C2187" s="46"/>
      <c r="D2187" s="63" t="str">
        <f>IFERROR(INDEX(基础资料!$F$4:$F$23,MATCH($C2187,基础资料!$E$4:$E$23,0)),IF($C2187="","","未匹配账户"))</f>
        <v/>
      </c>
      <c r="E2187" s="39"/>
      <c r="F2187" s="10"/>
      <c r="G2187" s="10"/>
      <c r="H2187" s="10"/>
      <c r="I2187" s="10"/>
      <c r="J2187" s="10"/>
      <c r="K2187" s="25"/>
      <c r="L2187" s="25"/>
      <c r="M2187" s="25" t="str">
        <f>IFERROR(VLOOKUP($C2187,$C$5:$M$24,11,0)+SUMIF($C$25:$C2187,$C2187,$K$25:$K2187)-SUMIF($C$25:$C2187,$C2187,$L$25:$L2187),"")</f>
        <v/>
      </c>
      <c r="N2187" s="10"/>
      <c r="O2187" s="10"/>
      <c r="P2187" s="65"/>
      <c r="Q2187" s="10"/>
      <c r="R2187" s="10"/>
      <c r="S2187" s="54" t="str">
        <f t="shared" si="108"/>
        <v/>
      </c>
      <c r="T2187" s="54" t="str">
        <f t="shared" si="109"/>
        <v/>
      </c>
      <c r="U2187" s="58" t="str">
        <f t="shared" si="110"/>
        <v/>
      </c>
      <c r="V2187" s="58">
        <f>IF(AND($B2187&lt;&gt;"",$F2187&lt;&gt;"",$F2187=项目明细账!$C$2),N(V2186)+1,N(V2186))</f>
        <v>0</v>
      </c>
      <c r="W2187" s="63" t="str">
        <f>IF($H2187&lt;&gt;"","项目成本",IFERROR(INDEX(基础资料!$W$4:$W$49,MATCH($I2187,基础资料!$V$4:$V$49,0)),""))</f>
        <v/>
      </c>
      <c r="X2187" s="63" t="str">
        <f>IFERROR(INDEX(基础资料!$R$4:$R$17,MATCH($G2187,基础资料!$Q$4:$Q$17,0)),"")</f>
        <v/>
      </c>
    </row>
    <row r="2188" spans="1:24">
      <c r="A2188" s="58" t="str">
        <f>IF($B2188="","",COUNTA($B$5:$B2188))</f>
        <v/>
      </c>
      <c r="B2188" s="53"/>
      <c r="C2188" s="46"/>
      <c r="D2188" s="63" t="str">
        <f>IFERROR(INDEX(基础资料!$F$4:$F$23,MATCH($C2188,基础资料!$E$4:$E$23,0)),IF($C2188="","","未匹配账户"))</f>
        <v/>
      </c>
      <c r="E2188" s="39"/>
      <c r="F2188" s="10"/>
      <c r="G2188" s="10"/>
      <c r="H2188" s="10"/>
      <c r="I2188" s="10"/>
      <c r="J2188" s="10"/>
      <c r="K2188" s="25"/>
      <c r="L2188" s="25"/>
      <c r="M2188" s="25" t="str">
        <f>IFERROR(VLOOKUP($C2188,$C$5:$M$24,11,0)+SUMIF($C$25:$C2188,$C2188,$K$25:$K2188)-SUMIF($C$25:$C2188,$C2188,$L$25:$L2188),"")</f>
        <v/>
      </c>
      <c r="N2188" s="10"/>
      <c r="O2188" s="10"/>
      <c r="P2188" s="65"/>
      <c r="Q2188" s="10"/>
      <c r="R2188" s="10"/>
      <c r="S2188" s="54" t="str">
        <f t="shared" si="108"/>
        <v/>
      </c>
      <c r="T2188" s="54" t="str">
        <f t="shared" si="109"/>
        <v/>
      </c>
      <c r="U2188" s="58" t="str">
        <f t="shared" si="110"/>
        <v/>
      </c>
      <c r="V2188" s="58">
        <f>IF(AND($B2188&lt;&gt;"",$F2188&lt;&gt;"",$F2188=项目明细账!$C$2),N(V2187)+1,N(V2187))</f>
        <v>0</v>
      </c>
      <c r="W2188" s="63" t="str">
        <f>IF($H2188&lt;&gt;"","项目成本",IFERROR(INDEX(基础资料!$W$4:$W$49,MATCH($I2188,基础资料!$V$4:$V$49,0)),""))</f>
        <v/>
      </c>
      <c r="X2188" s="63" t="str">
        <f>IFERROR(INDEX(基础资料!$R$4:$R$17,MATCH($G2188,基础资料!$Q$4:$Q$17,0)),"")</f>
        <v/>
      </c>
    </row>
    <row r="2189" spans="1:24">
      <c r="A2189" s="58" t="str">
        <f>IF($B2189="","",COUNTA($B$5:$B2189))</f>
        <v/>
      </c>
      <c r="B2189" s="53"/>
      <c r="C2189" s="46"/>
      <c r="D2189" s="63" t="str">
        <f>IFERROR(INDEX(基础资料!$F$4:$F$23,MATCH($C2189,基础资料!$E$4:$E$23,0)),IF($C2189="","","未匹配账户"))</f>
        <v/>
      </c>
      <c r="E2189" s="39"/>
      <c r="F2189" s="10"/>
      <c r="G2189" s="10"/>
      <c r="H2189" s="10"/>
      <c r="I2189" s="10"/>
      <c r="J2189" s="10"/>
      <c r="K2189" s="25"/>
      <c r="L2189" s="25"/>
      <c r="M2189" s="25" t="str">
        <f>IFERROR(VLOOKUP($C2189,$C$5:$M$24,11,0)+SUMIF($C$25:$C2189,$C2189,$K$25:$K2189)-SUMIF($C$25:$C2189,$C2189,$L$25:$L2189),"")</f>
        <v/>
      </c>
      <c r="N2189" s="10"/>
      <c r="O2189" s="10"/>
      <c r="P2189" s="65"/>
      <c r="Q2189" s="10"/>
      <c r="R2189" s="10"/>
      <c r="S2189" s="54" t="str">
        <f t="shared" si="108"/>
        <v/>
      </c>
      <c r="T2189" s="54" t="str">
        <f t="shared" si="109"/>
        <v/>
      </c>
      <c r="U2189" s="58" t="str">
        <f t="shared" si="110"/>
        <v/>
      </c>
      <c r="V2189" s="58">
        <f>IF(AND($B2189&lt;&gt;"",$F2189&lt;&gt;"",$F2189=项目明细账!$C$2),N(V2188)+1,N(V2188))</f>
        <v>0</v>
      </c>
      <c r="W2189" s="63" t="str">
        <f>IF($H2189&lt;&gt;"","项目成本",IFERROR(INDEX(基础资料!$W$4:$W$49,MATCH($I2189,基础资料!$V$4:$V$49,0)),""))</f>
        <v/>
      </c>
      <c r="X2189" s="63" t="str">
        <f>IFERROR(INDEX(基础资料!$R$4:$R$17,MATCH($G2189,基础资料!$Q$4:$Q$17,0)),"")</f>
        <v/>
      </c>
    </row>
    <row r="2190" spans="1:24">
      <c r="A2190" s="58" t="str">
        <f>IF($B2190="","",COUNTA($B$5:$B2190))</f>
        <v/>
      </c>
      <c r="B2190" s="53"/>
      <c r="C2190" s="46"/>
      <c r="D2190" s="63" t="str">
        <f>IFERROR(INDEX(基础资料!$F$4:$F$23,MATCH($C2190,基础资料!$E$4:$E$23,0)),IF($C2190="","","未匹配账户"))</f>
        <v/>
      </c>
      <c r="E2190" s="39"/>
      <c r="F2190" s="10"/>
      <c r="G2190" s="10"/>
      <c r="H2190" s="10"/>
      <c r="I2190" s="10"/>
      <c r="J2190" s="10"/>
      <c r="K2190" s="25"/>
      <c r="L2190" s="25"/>
      <c r="M2190" s="25" t="str">
        <f>IFERROR(VLOOKUP($C2190,$C$5:$M$24,11,0)+SUMIF($C$25:$C2190,$C2190,$K$25:$K2190)-SUMIF($C$25:$C2190,$C2190,$L$25:$L2190),"")</f>
        <v/>
      </c>
      <c r="N2190" s="10"/>
      <c r="O2190" s="10"/>
      <c r="P2190" s="65"/>
      <c r="Q2190" s="10"/>
      <c r="R2190" s="10"/>
      <c r="S2190" s="54" t="str">
        <f t="shared" si="108"/>
        <v/>
      </c>
      <c r="T2190" s="54" t="str">
        <f t="shared" si="109"/>
        <v/>
      </c>
      <c r="U2190" s="58" t="str">
        <f t="shared" si="110"/>
        <v/>
      </c>
      <c r="V2190" s="58">
        <f>IF(AND($B2190&lt;&gt;"",$F2190&lt;&gt;"",$F2190=项目明细账!$C$2),N(V2189)+1,N(V2189))</f>
        <v>0</v>
      </c>
      <c r="W2190" s="63" t="str">
        <f>IF($H2190&lt;&gt;"","项目成本",IFERROR(INDEX(基础资料!$W$4:$W$49,MATCH($I2190,基础资料!$V$4:$V$49,0)),""))</f>
        <v/>
      </c>
      <c r="X2190" s="63" t="str">
        <f>IFERROR(INDEX(基础资料!$R$4:$R$17,MATCH($G2190,基础资料!$Q$4:$Q$17,0)),"")</f>
        <v/>
      </c>
    </row>
    <row r="2191" spans="1:24">
      <c r="A2191" s="58" t="str">
        <f>IF($B2191="","",COUNTA($B$5:$B2191))</f>
        <v/>
      </c>
      <c r="B2191" s="53"/>
      <c r="C2191" s="46"/>
      <c r="D2191" s="63" t="str">
        <f>IFERROR(INDEX(基础资料!$F$4:$F$23,MATCH($C2191,基础资料!$E$4:$E$23,0)),IF($C2191="","","未匹配账户"))</f>
        <v/>
      </c>
      <c r="E2191" s="39"/>
      <c r="F2191" s="10"/>
      <c r="G2191" s="10"/>
      <c r="H2191" s="10"/>
      <c r="I2191" s="10"/>
      <c r="J2191" s="10"/>
      <c r="K2191" s="25"/>
      <c r="L2191" s="25"/>
      <c r="M2191" s="25" t="str">
        <f>IFERROR(VLOOKUP($C2191,$C$5:$M$24,11,0)+SUMIF($C$25:$C2191,$C2191,$K$25:$K2191)-SUMIF($C$25:$C2191,$C2191,$L$25:$L2191),"")</f>
        <v/>
      </c>
      <c r="N2191" s="10"/>
      <c r="O2191" s="10"/>
      <c r="P2191" s="65"/>
      <c r="Q2191" s="10"/>
      <c r="R2191" s="10"/>
      <c r="S2191" s="54" t="str">
        <f t="shared" si="108"/>
        <v/>
      </c>
      <c r="T2191" s="54" t="str">
        <f t="shared" si="109"/>
        <v/>
      </c>
      <c r="U2191" s="58" t="str">
        <f t="shared" si="110"/>
        <v/>
      </c>
      <c r="V2191" s="58">
        <f>IF(AND($B2191&lt;&gt;"",$F2191&lt;&gt;"",$F2191=项目明细账!$C$2),N(V2190)+1,N(V2190))</f>
        <v>0</v>
      </c>
      <c r="W2191" s="63" t="str">
        <f>IF($H2191&lt;&gt;"","项目成本",IFERROR(INDEX(基础资料!$W$4:$W$49,MATCH($I2191,基础资料!$V$4:$V$49,0)),""))</f>
        <v/>
      </c>
      <c r="X2191" s="63" t="str">
        <f>IFERROR(INDEX(基础资料!$R$4:$R$17,MATCH($G2191,基础资料!$Q$4:$Q$17,0)),"")</f>
        <v/>
      </c>
    </row>
    <row r="2192" spans="1:24">
      <c r="A2192" s="58" t="str">
        <f>IF($B2192="","",COUNTA($B$5:$B2192))</f>
        <v/>
      </c>
      <c r="B2192" s="53"/>
      <c r="C2192" s="46"/>
      <c r="D2192" s="63" t="str">
        <f>IFERROR(INDEX(基础资料!$F$4:$F$23,MATCH($C2192,基础资料!$E$4:$E$23,0)),IF($C2192="","","未匹配账户"))</f>
        <v/>
      </c>
      <c r="E2192" s="39"/>
      <c r="F2192" s="10"/>
      <c r="G2192" s="10"/>
      <c r="H2192" s="10"/>
      <c r="I2192" s="10"/>
      <c r="J2192" s="10"/>
      <c r="K2192" s="25"/>
      <c r="L2192" s="25"/>
      <c r="M2192" s="25" t="str">
        <f>IFERROR(VLOOKUP($C2192,$C$5:$M$24,11,0)+SUMIF($C$25:$C2192,$C2192,$K$25:$K2192)-SUMIF($C$25:$C2192,$C2192,$L$25:$L2192),"")</f>
        <v/>
      </c>
      <c r="N2192" s="10"/>
      <c r="O2192" s="10"/>
      <c r="P2192" s="65"/>
      <c r="Q2192" s="10"/>
      <c r="R2192" s="10"/>
      <c r="S2192" s="54" t="str">
        <f t="shared" si="108"/>
        <v/>
      </c>
      <c r="T2192" s="54" t="str">
        <f t="shared" si="109"/>
        <v/>
      </c>
      <c r="U2192" s="58" t="str">
        <f t="shared" si="110"/>
        <v/>
      </c>
      <c r="V2192" s="58">
        <f>IF(AND($B2192&lt;&gt;"",$F2192&lt;&gt;"",$F2192=项目明细账!$C$2),N(V2191)+1,N(V2191))</f>
        <v>0</v>
      </c>
      <c r="W2192" s="63" t="str">
        <f>IF($H2192&lt;&gt;"","项目成本",IFERROR(INDEX(基础资料!$W$4:$W$49,MATCH($I2192,基础资料!$V$4:$V$49,0)),""))</f>
        <v/>
      </c>
      <c r="X2192" s="63" t="str">
        <f>IFERROR(INDEX(基础资料!$R$4:$R$17,MATCH($G2192,基础资料!$Q$4:$Q$17,0)),"")</f>
        <v/>
      </c>
    </row>
    <row r="2193" spans="1:24">
      <c r="A2193" s="58" t="str">
        <f>IF($B2193="","",COUNTA($B$5:$B2193))</f>
        <v/>
      </c>
      <c r="B2193" s="53"/>
      <c r="C2193" s="46"/>
      <c r="D2193" s="63" t="str">
        <f>IFERROR(INDEX(基础资料!$F$4:$F$23,MATCH($C2193,基础资料!$E$4:$E$23,0)),IF($C2193="","","未匹配账户"))</f>
        <v/>
      </c>
      <c r="E2193" s="39"/>
      <c r="F2193" s="10"/>
      <c r="G2193" s="10"/>
      <c r="H2193" s="10"/>
      <c r="I2193" s="10"/>
      <c r="J2193" s="10"/>
      <c r="K2193" s="25"/>
      <c r="L2193" s="25"/>
      <c r="M2193" s="25" t="str">
        <f>IFERROR(VLOOKUP($C2193,$C$5:$M$24,11,0)+SUMIF($C$25:$C2193,$C2193,$K$25:$K2193)-SUMIF($C$25:$C2193,$C2193,$L$25:$L2193),"")</f>
        <v/>
      </c>
      <c r="N2193" s="10"/>
      <c r="O2193" s="10"/>
      <c r="P2193" s="65"/>
      <c r="Q2193" s="10"/>
      <c r="R2193" s="10"/>
      <c r="S2193" s="54" t="str">
        <f t="shared" si="108"/>
        <v/>
      </c>
      <c r="T2193" s="54" t="str">
        <f t="shared" si="109"/>
        <v/>
      </c>
      <c r="U2193" s="58" t="str">
        <f t="shared" si="110"/>
        <v/>
      </c>
      <c r="V2193" s="58">
        <f>IF(AND($B2193&lt;&gt;"",$F2193&lt;&gt;"",$F2193=项目明细账!$C$2),N(V2192)+1,N(V2192))</f>
        <v>0</v>
      </c>
      <c r="W2193" s="63" t="str">
        <f>IF($H2193&lt;&gt;"","项目成本",IFERROR(INDEX(基础资料!$W$4:$W$49,MATCH($I2193,基础资料!$V$4:$V$49,0)),""))</f>
        <v/>
      </c>
      <c r="X2193" s="63" t="str">
        <f>IFERROR(INDEX(基础资料!$R$4:$R$17,MATCH($G2193,基础资料!$Q$4:$Q$17,0)),"")</f>
        <v/>
      </c>
    </row>
    <row r="2194" spans="1:24">
      <c r="A2194" s="58" t="str">
        <f>IF($B2194="","",COUNTA($B$5:$B2194))</f>
        <v/>
      </c>
      <c r="B2194" s="53"/>
      <c r="C2194" s="46"/>
      <c r="D2194" s="63" t="str">
        <f>IFERROR(INDEX(基础资料!$F$4:$F$23,MATCH($C2194,基础资料!$E$4:$E$23,0)),IF($C2194="","","未匹配账户"))</f>
        <v/>
      </c>
      <c r="E2194" s="39"/>
      <c r="F2194" s="10"/>
      <c r="G2194" s="10"/>
      <c r="H2194" s="10"/>
      <c r="I2194" s="10"/>
      <c r="J2194" s="10"/>
      <c r="K2194" s="25"/>
      <c r="L2194" s="25"/>
      <c r="M2194" s="25" t="str">
        <f>IFERROR(VLOOKUP($C2194,$C$5:$M$24,11,0)+SUMIF($C$25:$C2194,$C2194,$K$25:$K2194)-SUMIF($C$25:$C2194,$C2194,$L$25:$L2194),"")</f>
        <v/>
      </c>
      <c r="N2194" s="10"/>
      <c r="O2194" s="10"/>
      <c r="P2194" s="65"/>
      <c r="Q2194" s="10"/>
      <c r="R2194" s="10"/>
      <c r="S2194" s="54" t="str">
        <f t="shared" si="108"/>
        <v/>
      </c>
      <c r="T2194" s="54" t="str">
        <f t="shared" si="109"/>
        <v/>
      </c>
      <c r="U2194" s="58" t="str">
        <f t="shared" si="110"/>
        <v/>
      </c>
      <c r="V2194" s="58">
        <f>IF(AND($B2194&lt;&gt;"",$F2194&lt;&gt;"",$F2194=项目明细账!$C$2),N(V2193)+1,N(V2193))</f>
        <v>0</v>
      </c>
      <c r="W2194" s="63" t="str">
        <f>IF($H2194&lt;&gt;"","项目成本",IFERROR(INDEX(基础资料!$W$4:$W$49,MATCH($I2194,基础资料!$V$4:$V$49,0)),""))</f>
        <v/>
      </c>
      <c r="X2194" s="63" t="str">
        <f>IFERROR(INDEX(基础资料!$R$4:$R$17,MATCH($G2194,基础资料!$Q$4:$Q$17,0)),"")</f>
        <v/>
      </c>
    </row>
    <row r="2195" spans="1:24">
      <c r="A2195" s="58" t="str">
        <f>IF($B2195="","",COUNTA($B$5:$B2195))</f>
        <v/>
      </c>
      <c r="B2195" s="53"/>
      <c r="C2195" s="46"/>
      <c r="D2195" s="63" t="str">
        <f>IFERROR(INDEX(基础资料!$F$4:$F$23,MATCH($C2195,基础资料!$E$4:$E$23,0)),IF($C2195="","","未匹配账户"))</f>
        <v/>
      </c>
      <c r="E2195" s="39"/>
      <c r="F2195" s="10"/>
      <c r="G2195" s="10"/>
      <c r="H2195" s="10"/>
      <c r="I2195" s="10"/>
      <c r="J2195" s="10"/>
      <c r="K2195" s="25"/>
      <c r="L2195" s="25"/>
      <c r="M2195" s="25" t="str">
        <f>IFERROR(VLOOKUP($C2195,$C$5:$M$24,11,0)+SUMIF($C$25:$C2195,$C2195,$K$25:$K2195)-SUMIF($C$25:$C2195,$C2195,$L$25:$L2195),"")</f>
        <v/>
      </c>
      <c r="N2195" s="10"/>
      <c r="O2195" s="10"/>
      <c r="P2195" s="65"/>
      <c r="Q2195" s="10"/>
      <c r="R2195" s="10"/>
      <c r="S2195" s="54" t="str">
        <f t="shared" si="108"/>
        <v/>
      </c>
      <c r="T2195" s="54" t="str">
        <f t="shared" si="109"/>
        <v/>
      </c>
      <c r="U2195" s="58" t="str">
        <f t="shared" si="110"/>
        <v/>
      </c>
      <c r="V2195" s="58">
        <f>IF(AND($B2195&lt;&gt;"",$F2195&lt;&gt;"",$F2195=项目明细账!$C$2),N(V2194)+1,N(V2194))</f>
        <v>0</v>
      </c>
      <c r="W2195" s="63" t="str">
        <f>IF($H2195&lt;&gt;"","项目成本",IFERROR(INDEX(基础资料!$W$4:$W$49,MATCH($I2195,基础资料!$V$4:$V$49,0)),""))</f>
        <v/>
      </c>
      <c r="X2195" s="63" t="str">
        <f>IFERROR(INDEX(基础资料!$R$4:$R$17,MATCH($G2195,基础资料!$Q$4:$Q$17,0)),"")</f>
        <v/>
      </c>
    </row>
    <row r="2196" spans="1:24">
      <c r="A2196" s="58" t="str">
        <f>IF($B2196="","",COUNTA($B$5:$B2196))</f>
        <v/>
      </c>
      <c r="B2196" s="53"/>
      <c r="C2196" s="46"/>
      <c r="D2196" s="63" t="str">
        <f>IFERROR(INDEX(基础资料!$F$4:$F$23,MATCH($C2196,基础资料!$E$4:$E$23,0)),IF($C2196="","","未匹配账户"))</f>
        <v/>
      </c>
      <c r="E2196" s="39"/>
      <c r="F2196" s="10"/>
      <c r="G2196" s="10"/>
      <c r="H2196" s="10"/>
      <c r="I2196" s="10"/>
      <c r="J2196" s="10"/>
      <c r="K2196" s="25"/>
      <c r="L2196" s="25"/>
      <c r="M2196" s="25" t="str">
        <f>IFERROR(VLOOKUP($C2196,$C$5:$M$24,11,0)+SUMIF($C$25:$C2196,$C2196,$K$25:$K2196)-SUMIF($C$25:$C2196,$C2196,$L$25:$L2196),"")</f>
        <v/>
      </c>
      <c r="N2196" s="10"/>
      <c r="O2196" s="10"/>
      <c r="P2196" s="65"/>
      <c r="Q2196" s="10"/>
      <c r="R2196" s="10"/>
      <c r="S2196" s="54" t="str">
        <f t="shared" si="108"/>
        <v/>
      </c>
      <c r="T2196" s="54" t="str">
        <f t="shared" si="109"/>
        <v/>
      </c>
      <c r="U2196" s="58" t="str">
        <f t="shared" si="110"/>
        <v/>
      </c>
      <c r="V2196" s="58">
        <f>IF(AND($B2196&lt;&gt;"",$F2196&lt;&gt;"",$F2196=项目明细账!$C$2),N(V2195)+1,N(V2195))</f>
        <v>0</v>
      </c>
      <c r="W2196" s="63" t="str">
        <f>IF($H2196&lt;&gt;"","项目成本",IFERROR(INDEX(基础资料!$W$4:$W$49,MATCH($I2196,基础资料!$V$4:$V$49,0)),""))</f>
        <v/>
      </c>
      <c r="X2196" s="63" t="str">
        <f>IFERROR(INDEX(基础资料!$R$4:$R$17,MATCH($G2196,基础资料!$Q$4:$Q$17,0)),"")</f>
        <v/>
      </c>
    </row>
    <row r="2197" spans="1:24">
      <c r="A2197" s="58" t="str">
        <f>IF($B2197="","",COUNTA($B$5:$B2197))</f>
        <v/>
      </c>
      <c r="B2197" s="53"/>
      <c r="C2197" s="46"/>
      <c r="D2197" s="63" t="str">
        <f>IFERROR(INDEX(基础资料!$F$4:$F$23,MATCH($C2197,基础资料!$E$4:$E$23,0)),IF($C2197="","","未匹配账户"))</f>
        <v/>
      </c>
      <c r="E2197" s="39"/>
      <c r="F2197" s="10"/>
      <c r="G2197" s="10"/>
      <c r="H2197" s="10"/>
      <c r="I2197" s="10"/>
      <c r="J2197" s="10"/>
      <c r="K2197" s="25"/>
      <c r="L2197" s="25"/>
      <c r="M2197" s="25" t="str">
        <f>IFERROR(VLOOKUP($C2197,$C$5:$M$24,11,0)+SUMIF($C$25:$C2197,$C2197,$K$25:$K2197)-SUMIF($C$25:$C2197,$C2197,$L$25:$L2197),"")</f>
        <v/>
      </c>
      <c r="N2197" s="10"/>
      <c r="O2197" s="10"/>
      <c r="P2197" s="65"/>
      <c r="Q2197" s="10"/>
      <c r="R2197" s="10"/>
      <c r="S2197" s="54" t="str">
        <f t="shared" si="108"/>
        <v/>
      </c>
      <c r="T2197" s="54" t="str">
        <f t="shared" si="109"/>
        <v/>
      </c>
      <c r="U2197" s="58" t="str">
        <f t="shared" si="110"/>
        <v/>
      </c>
      <c r="V2197" s="58">
        <f>IF(AND($B2197&lt;&gt;"",$F2197&lt;&gt;"",$F2197=项目明细账!$C$2),N(V2196)+1,N(V2196))</f>
        <v>0</v>
      </c>
      <c r="W2197" s="63" t="str">
        <f>IF($H2197&lt;&gt;"","项目成本",IFERROR(INDEX(基础资料!$W$4:$W$49,MATCH($I2197,基础资料!$V$4:$V$49,0)),""))</f>
        <v/>
      </c>
      <c r="X2197" s="63" t="str">
        <f>IFERROR(INDEX(基础资料!$R$4:$R$17,MATCH($G2197,基础资料!$Q$4:$Q$17,0)),"")</f>
        <v/>
      </c>
    </row>
    <row r="2198" spans="1:24">
      <c r="A2198" s="58" t="str">
        <f>IF($B2198="","",COUNTA($B$5:$B2198))</f>
        <v/>
      </c>
      <c r="B2198" s="53"/>
      <c r="C2198" s="46"/>
      <c r="D2198" s="63" t="str">
        <f>IFERROR(INDEX(基础资料!$F$4:$F$23,MATCH($C2198,基础资料!$E$4:$E$23,0)),IF($C2198="","","未匹配账户"))</f>
        <v/>
      </c>
      <c r="E2198" s="39"/>
      <c r="F2198" s="10"/>
      <c r="G2198" s="10"/>
      <c r="H2198" s="10"/>
      <c r="I2198" s="10"/>
      <c r="J2198" s="10"/>
      <c r="K2198" s="25"/>
      <c r="L2198" s="25"/>
      <c r="M2198" s="25" t="str">
        <f>IFERROR(VLOOKUP($C2198,$C$5:$M$24,11,0)+SUMIF($C$25:$C2198,$C2198,$K$25:$K2198)-SUMIF($C$25:$C2198,$C2198,$L$25:$L2198),"")</f>
        <v/>
      </c>
      <c r="N2198" s="10"/>
      <c r="O2198" s="10"/>
      <c r="P2198" s="65"/>
      <c r="Q2198" s="10"/>
      <c r="R2198" s="10"/>
      <c r="S2198" s="54" t="str">
        <f t="shared" si="108"/>
        <v/>
      </c>
      <c r="T2198" s="54" t="str">
        <f t="shared" si="109"/>
        <v/>
      </c>
      <c r="U2198" s="58" t="str">
        <f t="shared" si="110"/>
        <v/>
      </c>
      <c r="V2198" s="58">
        <f>IF(AND($B2198&lt;&gt;"",$F2198&lt;&gt;"",$F2198=项目明细账!$C$2),N(V2197)+1,N(V2197))</f>
        <v>0</v>
      </c>
      <c r="W2198" s="63" t="str">
        <f>IF($H2198&lt;&gt;"","项目成本",IFERROR(INDEX(基础资料!$W$4:$W$49,MATCH($I2198,基础资料!$V$4:$V$49,0)),""))</f>
        <v/>
      </c>
      <c r="X2198" s="63" t="str">
        <f>IFERROR(INDEX(基础资料!$R$4:$R$17,MATCH($G2198,基础资料!$Q$4:$Q$17,0)),"")</f>
        <v/>
      </c>
    </row>
    <row r="2199" spans="1:24">
      <c r="A2199" s="58" t="str">
        <f>IF($B2199="","",COUNTA($B$5:$B2199))</f>
        <v/>
      </c>
      <c r="B2199" s="53"/>
      <c r="C2199" s="46"/>
      <c r="D2199" s="63" t="str">
        <f>IFERROR(INDEX(基础资料!$F$4:$F$23,MATCH($C2199,基础资料!$E$4:$E$23,0)),IF($C2199="","","未匹配账户"))</f>
        <v/>
      </c>
      <c r="E2199" s="39"/>
      <c r="F2199" s="10"/>
      <c r="G2199" s="10"/>
      <c r="H2199" s="10"/>
      <c r="I2199" s="10"/>
      <c r="J2199" s="10"/>
      <c r="K2199" s="25"/>
      <c r="L2199" s="25"/>
      <c r="M2199" s="25" t="str">
        <f>IFERROR(VLOOKUP($C2199,$C$5:$M$24,11,0)+SUMIF($C$25:$C2199,$C2199,$K$25:$K2199)-SUMIF($C$25:$C2199,$C2199,$L$25:$L2199),"")</f>
        <v/>
      </c>
      <c r="N2199" s="10"/>
      <c r="O2199" s="10"/>
      <c r="P2199" s="65"/>
      <c r="Q2199" s="10"/>
      <c r="R2199" s="10"/>
      <c r="S2199" s="54" t="str">
        <f t="shared" si="108"/>
        <v/>
      </c>
      <c r="T2199" s="54" t="str">
        <f t="shared" si="109"/>
        <v/>
      </c>
      <c r="U2199" s="58" t="str">
        <f t="shared" si="110"/>
        <v/>
      </c>
      <c r="V2199" s="58">
        <f>IF(AND($B2199&lt;&gt;"",$F2199&lt;&gt;"",$F2199=项目明细账!$C$2),N(V2198)+1,N(V2198))</f>
        <v>0</v>
      </c>
      <c r="W2199" s="63" t="str">
        <f>IF($H2199&lt;&gt;"","项目成本",IFERROR(INDEX(基础资料!$W$4:$W$49,MATCH($I2199,基础资料!$V$4:$V$49,0)),""))</f>
        <v/>
      </c>
      <c r="X2199" s="63" t="str">
        <f>IFERROR(INDEX(基础资料!$R$4:$R$17,MATCH($G2199,基础资料!$Q$4:$Q$17,0)),"")</f>
        <v/>
      </c>
    </row>
    <row r="2200" spans="1:24">
      <c r="A2200" s="58" t="str">
        <f>IF($B2200="","",COUNTA($B$5:$B2200))</f>
        <v/>
      </c>
      <c r="B2200" s="53"/>
      <c r="C2200" s="46"/>
      <c r="D2200" s="63" t="str">
        <f>IFERROR(INDEX(基础资料!$F$4:$F$23,MATCH($C2200,基础资料!$E$4:$E$23,0)),IF($C2200="","","未匹配账户"))</f>
        <v/>
      </c>
      <c r="E2200" s="39"/>
      <c r="F2200" s="10"/>
      <c r="G2200" s="10"/>
      <c r="H2200" s="10"/>
      <c r="I2200" s="10"/>
      <c r="J2200" s="10"/>
      <c r="K2200" s="25"/>
      <c r="L2200" s="25"/>
      <c r="M2200" s="25" t="str">
        <f>IFERROR(VLOOKUP($C2200,$C$5:$M$24,11,0)+SUMIF($C$25:$C2200,$C2200,$K$25:$K2200)-SUMIF($C$25:$C2200,$C2200,$L$25:$L2200),"")</f>
        <v/>
      </c>
      <c r="N2200" s="10"/>
      <c r="O2200" s="10"/>
      <c r="P2200" s="65"/>
      <c r="Q2200" s="10"/>
      <c r="R2200" s="10"/>
      <c r="S2200" s="54" t="str">
        <f t="shared" si="108"/>
        <v/>
      </c>
      <c r="T2200" s="54" t="str">
        <f t="shared" si="109"/>
        <v/>
      </c>
      <c r="U2200" s="58" t="str">
        <f t="shared" si="110"/>
        <v/>
      </c>
      <c r="V2200" s="58">
        <f>IF(AND($B2200&lt;&gt;"",$F2200&lt;&gt;"",$F2200=项目明细账!$C$2),N(V2199)+1,N(V2199))</f>
        <v>0</v>
      </c>
      <c r="W2200" s="63" t="str">
        <f>IF($H2200&lt;&gt;"","项目成本",IFERROR(INDEX(基础资料!$W$4:$W$49,MATCH($I2200,基础资料!$V$4:$V$49,0)),""))</f>
        <v/>
      </c>
      <c r="X2200" s="63" t="str">
        <f>IFERROR(INDEX(基础资料!$R$4:$R$17,MATCH($G2200,基础资料!$Q$4:$Q$17,0)),"")</f>
        <v/>
      </c>
    </row>
    <row r="2201" spans="1:24">
      <c r="A2201" s="58" t="str">
        <f>IF($B2201="","",COUNTA($B$5:$B2201))</f>
        <v/>
      </c>
      <c r="B2201" s="53"/>
      <c r="C2201" s="46"/>
      <c r="D2201" s="63" t="str">
        <f>IFERROR(INDEX(基础资料!$F$4:$F$23,MATCH($C2201,基础资料!$E$4:$E$23,0)),IF($C2201="","","未匹配账户"))</f>
        <v/>
      </c>
      <c r="E2201" s="39"/>
      <c r="F2201" s="10"/>
      <c r="G2201" s="10"/>
      <c r="H2201" s="10"/>
      <c r="I2201" s="10"/>
      <c r="J2201" s="10"/>
      <c r="K2201" s="25"/>
      <c r="L2201" s="25"/>
      <c r="M2201" s="25" t="str">
        <f>IFERROR(VLOOKUP($C2201,$C$5:$M$24,11,0)+SUMIF($C$25:$C2201,$C2201,$K$25:$K2201)-SUMIF($C$25:$C2201,$C2201,$L$25:$L2201),"")</f>
        <v/>
      </c>
      <c r="N2201" s="10"/>
      <c r="O2201" s="10"/>
      <c r="P2201" s="65"/>
      <c r="Q2201" s="10"/>
      <c r="R2201" s="10"/>
      <c r="S2201" s="54" t="str">
        <f t="shared" si="108"/>
        <v/>
      </c>
      <c r="T2201" s="54" t="str">
        <f t="shared" si="109"/>
        <v/>
      </c>
      <c r="U2201" s="58" t="str">
        <f t="shared" si="110"/>
        <v/>
      </c>
      <c r="V2201" s="58">
        <f>IF(AND($B2201&lt;&gt;"",$F2201&lt;&gt;"",$F2201=项目明细账!$C$2),N(V2200)+1,N(V2200))</f>
        <v>0</v>
      </c>
      <c r="W2201" s="63" t="str">
        <f>IF($H2201&lt;&gt;"","项目成本",IFERROR(INDEX(基础资料!$W$4:$W$49,MATCH($I2201,基础资料!$V$4:$V$49,0)),""))</f>
        <v/>
      </c>
      <c r="X2201" s="63" t="str">
        <f>IFERROR(INDEX(基础资料!$R$4:$R$17,MATCH($G2201,基础资料!$Q$4:$Q$17,0)),"")</f>
        <v/>
      </c>
    </row>
    <row r="2202" spans="1:24">
      <c r="A2202" s="58" t="str">
        <f>IF($B2202="","",COUNTA($B$5:$B2202))</f>
        <v/>
      </c>
      <c r="B2202" s="53"/>
      <c r="C2202" s="46"/>
      <c r="D2202" s="63" t="str">
        <f>IFERROR(INDEX(基础资料!$F$4:$F$23,MATCH($C2202,基础资料!$E$4:$E$23,0)),IF($C2202="","","未匹配账户"))</f>
        <v/>
      </c>
      <c r="E2202" s="39"/>
      <c r="F2202" s="10"/>
      <c r="G2202" s="10"/>
      <c r="H2202" s="10"/>
      <c r="I2202" s="10"/>
      <c r="J2202" s="10"/>
      <c r="K2202" s="25"/>
      <c r="L2202" s="25"/>
      <c r="M2202" s="25" t="str">
        <f>IFERROR(VLOOKUP($C2202,$C$5:$M$24,11,0)+SUMIF($C$25:$C2202,$C2202,$K$25:$K2202)-SUMIF($C$25:$C2202,$C2202,$L$25:$L2202),"")</f>
        <v/>
      </c>
      <c r="N2202" s="10"/>
      <c r="O2202" s="10"/>
      <c r="P2202" s="65"/>
      <c r="Q2202" s="10"/>
      <c r="R2202" s="10"/>
      <c r="S2202" s="54" t="str">
        <f t="shared" si="108"/>
        <v/>
      </c>
      <c r="T2202" s="54" t="str">
        <f t="shared" si="109"/>
        <v/>
      </c>
      <c r="U2202" s="58" t="str">
        <f t="shared" si="110"/>
        <v/>
      </c>
      <c r="V2202" s="58">
        <f>IF(AND($B2202&lt;&gt;"",$F2202&lt;&gt;"",$F2202=项目明细账!$C$2),N(V2201)+1,N(V2201))</f>
        <v>0</v>
      </c>
      <c r="W2202" s="63" t="str">
        <f>IF($H2202&lt;&gt;"","项目成本",IFERROR(INDEX(基础资料!$W$4:$W$49,MATCH($I2202,基础资料!$V$4:$V$49,0)),""))</f>
        <v/>
      </c>
      <c r="X2202" s="63" t="str">
        <f>IFERROR(INDEX(基础资料!$R$4:$R$17,MATCH($G2202,基础资料!$Q$4:$Q$17,0)),"")</f>
        <v/>
      </c>
    </row>
    <row r="2203" spans="1:24">
      <c r="A2203" s="58" t="str">
        <f>IF($B2203="","",COUNTA($B$5:$B2203))</f>
        <v/>
      </c>
      <c r="B2203" s="53"/>
      <c r="C2203" s="46"/>
      <c r="D2203" s="63" t="str">
        <f>IFERROR(INDEX(基础资料!$F$4:$F$23,MATCH($C2203,基础资料!$E$4:$E$23,0)),IF($C2203="","","未匹配账户"))</f>
        <v/>
      </c>
      <c r="E2203" s="39"/>
      <c r="F2203" s="10"/>
      <c r="G2203" s="10"/>
      <c r="H2203" s="10"/>
      <c r="I2203" s="10"/>
      <c r="J2203" s="10"/>
      <c r="K2203" s="25"/>
      <c r="L2203" s="25"/>
      <c r="M2203" s="25" t="str">
        <f>IFERROR(VLOOKUP($C2203,$C$5:$M$24,11,0)+SUMIF($C$25:$C2203,$C2203,$K$25:$K2203)-SUMIF($C$25:$C2203,$C2203,$L$25:$L2203),"")</f>
        <v/>
      </c>
      <c r="N2203" s="10"/>
      <c r="O2203" s="10"/>
      <c r="P2203" s="65"/>
      <c r="Q2203" s="10"/>
      <c r="R2203" s="10"/>
      <c r="S2203" s="54" t="str">
        <f t="shared" si="108"/>
        <v/>
      </c>
      <c r="T2203" s="54" t="str">
        <f t="shared" si="109"/>
        <v/>
      </c>
      <c r="U2203" s="58" t="str">
        <f t="shared" si="110"/>
        <v/>
      </c>
      <c r="V2203" s="58">
        <f>IF(AND($B2203&lt;&gt;"",$F2203&lt;&gt;"",$F2203=项目明细账!$C$2),N(V2202)+1,N(V2202))</f>
        <v>0</v>
      </c>
      <c r="W2203" s="63" t="str">
        <f>IF($H2203&lt;&gt;"","项目成本",IFERROR(INDEX(基础资料!$W$4:$W$49,MATCH($I2203,基础资料!$V$4:$V$49,0)),""))</f>
        <v/>
      </c>
      <c r="X2203" s="63" t="str">
        <f>IFERROR(INDEX(基础资料!$R$4:$R$17,MATCH($G2203,基础资料!$Q$4:$Q$17,0)),"")</f>
        <v/>
      </c>
    </row>
    <row r="2204" spans="1:24">
      <c r="A2204" s="58" t="str">
        <f>IF($B2204="","",COUNTA($B$5:$B2204))</f>
        <v/>
      </c>
      <c r="B2204" s="53"/>
      <c r="C2204" s="46"/>
      <c r="D2204" s="63" t="str">
        <f>IFERROR(INDEX(基础资料!$F$4:$F$23,MATCH($C2204,基础资料!$E$4:$E$23,0)),IF($C2204="","","未匹配账户"))</f>
        <v/>
      </c>
      <c r="E2204" s="39"/>
      <c r="F2204" s="10"/>
      <c r="G2204" s="10"/>
      <c r="H2204" s="10"/>
      <c r="I2204" s="10"/>
      <c r="J2204" s="10"/>
      <c r="K2204" s="25"/>
      <c r="L2204" s="25"/>
      <c r="M2204" s="25" t="str">
        <f>IFERROR(VLOOKUP($C2204,$C$5:$M$24,11,0)+SUMIF($C$25:$C2204,$C2204,$K$25:$K2204)-SUMIF($C$25:$C2204,$C2204,$L$25:$L2204),"")</f>
        <v/>
      </c>
      <c r="N2204" s="10"/>
      <c r="O2204" s="10"/>
      <c r="P2204" s="65"/>
      <c r="Q2204" s="10"/>
      <c r="R2204" s="10"/>
      <c r="S2204" s="54" t="str">
        <f t="shared" si="108"/>
        <v/>
      </c>
      <c r="T2204" s="54" t="str">
        <f t="shared" si="109"/>
        <v/>
      </c>
      <c r="U2204" s="58" t="str">
        <f t="shared" si="110"/>
        <v/>
      </c>
      <c r="V2204" s="58">
        <f>IF(AND($B2204&lt;&gt;"",$F2204&lt;&gt;"",$F2204=项目明细账!$C$2),N(V2203)+1,N(V2203))</f>
        <v>0</v>
      </c>
      <c r="W2204" s="63" t="str">
        <f>IF($H2204&lt;&gt;"","项目成本",IFERROR(INDEX(基础资料!$W$4:$W$49,MATCH($I2204,基础资料!$V$4:$V$49,0)),""))</f>
        <v/>
      </c>
      <c r="X2204" s="63" t="str">
        <f>IFERROR(INDEX(基础资料!$R$4:$R$17,MATCH($G2204,基础资料!$Q$4:$Q$17,0)),"")</f>
        <v/>
      </c>
    </row>
    <row r="2205" spans="1:24">
      <c r="A2205" s="58" t="str">
        <f>IF($B2205="","",COUNTA($B$5:$B2205))</f>
        <v/>
      </c>
      <c r="B2205" s="53"/>
      <c r="C2205" s="46"/>
      <c r="D2205" s="63" t="str">
        <f>IFERROR(INDEX(基础资料!$F$4:$F$23,MATCH($C2205,基础资料!$E$4:$E$23,0)),IF($C2205="","","未匹配账户"))</f>
        <v/>
      </c>
      <c r="E2205" s="39"/>
      <c r="F2205" s="10"/>
      <c r="G2205" s="10"/>
      <c r="H2205" s="10"/>
      <c r="I2205" s="10"/>
      <c r="J2205" s="10"/>
      <c r="K2205" s="25"/>
      <c r="L2205" s="25"/>
      <c r="M2205" s="25" t="str">
        <f>IFERROR(VLOOKUP($C2205,$C$5:$M$24,11,0)+SUMIF($C$25:$C2205,$C2205,$K$25:$K2205)-SUMIF($C$25:$C2205,$C2205,$L$25:$L2205),"")</f>
        <v/>
      </c>
      <c r="N2205" s="10"/>
      <c r="O2205" s="10"/>
      <c r="P2205" s="65"/>
      <c r="Q2205" s="10"/>
      <c r="R2205" s="10"/>
      <c r="S2205" s="54" t="str">
        <f t="shared" si="108"/>
        <v/>
      </c>
      <c r="T2205" s="54" t="str">
        <f t="shared" si="109"/>
        <v/>
      </c>
      <c r="U2205" s="58" t="str">
        <f t="shared" si="110"/>
        <v/>
      </c>
      <c r="V2205" s="58">
        <f>IF(AND($B2205&lt;&gt;"",$F2205&lt;&gt;"",$F2205=项目明细账!$C$2),N(V2204)+1,N(V2204))</f>
        <v>0</v>
      </c>
      <c r="W2205" s="63" t="str">
        <f>IF($H2205&lt;&gt;"","项目成本",IFERROR(INDEX(基础资料!$W$4:$W$49,MATCH($I2205,基础资料!$V$4:$V$49,0)),""))</f>
        <v/>
      </c>
      <c r="X2205" s="63" t="str">
        <f>IFERROR(INDEX(基础资料!$R$4:$R$17,MATCH($G2205,基础资料!$Q$4:$Q$17,0)),"")</f>
        <v/>
      </c>
    </row>
    <row r="2206" spans="1:24">
      <c r="A2206" s="58" t="str">
        <f>IF($B2206="","",COUNTA($B$5:$B2206))</f>
        <v/>
      </c>
      <c r="B2206" s="53"/>
      <c r="C2206" s="46"/>
      <c r="D2206" s="63" t="str">
        <f>IFERROR(INDEX(基础资料!$F$4:$F$23,MATCH($C2206,基础资料!$E$4:$E$23,0)),IF($C2206="","","未匹配账户"))</f>
        <v/>
      </c>
      <c r="E2206" s="39"/>
      <c r="F2206" s="10"/>
      <c r="G2206" s="10"/>
      <c r="H2206" s="10"/>
      <c r="I2206" s="10"/>
      <c r="J2206" s="10"/>
      <c r="K2206" s="25"/>
      <c r="L2206" s="25"/>
      <c r="M2206" s="25" t="str">
        <f>IFERROR(VLOOKUP($C2206,$C$5:$M$24,11,0)+SUMIF($C$25:$C2206,$C2206,$K$25:$K2206)-SUMIF($C$25:$C2206,$C2206,$L$25:$L2206),"")</f>
        <v/>
      </c>
      <c r="N2206" s="10"/>
      <c r="O2206" s="10"/>
      <c r="P2206" s="65"/>
      <c r="Q2206" s="10"/>
      <c r="R2206" s="10"/>
      <c r="S2206" s="54" t="str">
        <f t="shared" si="108"/>
        <v/>
      </c>
      <c r="T2206" s="54" t="str">
        <f t="shared" si="109"/>
        <v/>
      </c>
      <c r="U2206" s="58" t="str">
        <f t="shared" si="110"/>
        <v/>
      </c>
      <c r="V2206" s="58">
        <f>IF(AND($B2206&lt;&gt;"",$F2206&lt;&gt;"",$F2206=项目明细账!$C$2),N(V2205)+1,N(V2205))</f>
        <v>0</v>
      </c>
      <c r="W2206" s="63" t="str">
        <f>IF($H2206&lt;&gt;"","项目成本",IFERROR(INDEX(基础资料!$W$4:$W$49,MATCH($I2206,基础资料!$V$4:$V$49,0)),""))</f>
        <v/>
      </c>
      <c r="X2206" s="63" t="str">
        <f>IFERROR(INDEX(基础资料!$R$4:$R$17,MATCH($G2206,基础资料!$Q$4:$Q$17,0)),"")</f>
        <v/>
      </c>
    </row>
    <row r="2207" spans="1:24">
      <c r="A2207" s="58" t="str">
        <f>IF($B2207="","",COUNTA($B$5:$B2207))</f>
        <v/>
      </c>
      <c r="B2207" s="53"/>
      <c r="C2207" s="46"/>
      <c r="D2207" s="63" t="str">
        <f>IFERROR(INDEX(基础资料!$F$4:$F$23,MATCH($C2207,基础资料!$E$4:$E$23,0)),IF($C2207="","","未匹配账户"))</f>
        <v/>
      </c>
      <c r="E2207" s="39"/>
      <c r="F2207" s="10"/>
      <c r="G2207" s="10"/>
      <c r="H2207" s="10"/>
      <c r="I2207" s="10"/>
      <c r="J2207" s="10"/>
      <c r="K2207" s="25"/>
      <c r="L2207" s="25"/>
      <c r="M2207" s="25" t="str">
        <f>IFERROR(VLOOKUP($C2207,$C$5:$M$24,11,0)+SUMIF($C$25:$C2207,$C2207,$K$25:$K2207)-SUMIF($C$25:$C2207,$C2207,$L$25:$L2207),"")</f>
        <v/>
      </c>
      <c r="N2207" s="10"/>
      <c r="O2207" s="10"/>
      <c r="P2207" s="65"/>
      <c r="Q2207" s="10"/>
      <c r="R2207" s="10"/>
      <c r="S2207" s="54" t="str">
        <f t="shared" si="108"/>
        <v/>
      </c>
      <c r="T2207" s="54" t="str">
        <f t="shared" si="109"/>
        <v/>
      </c>
      <c r="U2207" s="58" t="str">
        <f t="shared" si="110"/>
        <v/>
      </c>
      <c r="V2207" s="58">
        <f>IF(AND($B2207&lt;&gt;"",$F2207&lt;&gt;"",$F2207=项目明细账!$C$2),N(V2206)+1,N(V2206))</f>
        <v>0</v>
      </c>
      <c r="W2207" s="63" t="str">
        <f>IF($H2207&lt;&gt;"","项目成本",IFERROR(INDEX(基础资料!$W$4:$W$49,MATCH($I2207,基础资料!$V$4:$V$49,0)),""))</f>
        <v/>
      </c>
      <c r="X2207" s="63" t="str">
        <f>IFERROR(INDEX(基础资料!$R$4:$R$17,MATCH($G2207,基础资料!$Q$4:$Q$17,0)),"")</f>
        <v/>
      </c>
    </row>
    <row r="2208" spans="1:24">
      <c r="A2208" s="58" t="str">
        <f>IF($B2208="","",COUNTA($B$5:$B2208))</f>
        <v/>
      </c>
      <c r="B2208" s="53"/>
      <c r="C2208" s="46"/>
      <c r="D2208" s="63" t="str">
        <f>IFERROR(INDEX(基础资料!$F$4:$F$23,MATCH($C2208,基础资料!$E$4:$E$23,0)),IF($C2208="","","未匹配账户"))</f>
        <v/>
      </c>
      <c r="E2208" s="39"/>
      <c r="F2208" s="10"/>
      <c r="G2208" s="10"/>
      <c r="H2208" s="10"/>
      <c r="I2208" s="10"/>
      <c r="J2208" s="10"/>
      <c r="K2208" s="25"/>
      <c r="L2208" s="25"/>
      <c r="M2208" s="25" t="str">
        <f>IFERROR(VLOOKUP($C2208,$C$5:$M$24,11,0)+SUMIF($C$25:$C2208,$C2208,$K$25:$K2208)-SUMIF($C$25:$C2208,$C2208,$L$25:$L2208),"")</f>
        <v/>
      </c>
      <c r="N2208" s="10"/>
      <c r="O2208" s="10"/>
      <c r="P2208" s="65"/>
      <c r="Q2208" s="10"/>
      <c r="R2208" s="10"/>
      <c r="S2208" s="54" t="str">
        <f t="shared" si="108"/>
        <v/>
      </c>
      <c r="T2208" s="54" t="str">
        <f t="shared" si="109"/>
        <v/>
      </c>
      <c r="U2208" s="58" t="str">
        <f t="shared" si="110"/>
        <v/>
      </c>
      <c r="V2208" s="58">
        <f>IF(AND($B2208&lt;&gt;"",$F2208&lt;&gt;"",$F2208=项目明细账!$C$2),N(V2207)+1,N(V2207))</f>
        <v>0</v>
      </c>
      <c r="W2208" s="63" t="str">
        <f>IF($H2208&lt;&gt;"","项目成本",IFERROR(INDEX(基础资料!$W$4:$W$49,MATCH($I2208,基础资料!$V$4:$V$49,0)),""))</f>
        <v/>
      </c>
      <c r="X2208" s="63" t="str">
        <f>IFERROR(INDEX(基础资料!$R$4:$R$17,MATCH($G2208,基础资料!$Q$4:$Q$17,0)),"")</f>
        <v/>
      </c>
    </row>
    <row r="2209" spans="1:24">
      <c r="A2209" s="58" t="str">
        <f>IF($B2209="","",COUNTA($B$5:$B2209))</f>
        <v/>
      </c>
      <c r="B2209" s="53"/>
      <c r="C2209" s="46"/>
      <c r="D2209" s="63" t="str">
        <f>IFERROR(INDEX(基础资料!$F$4:$F$23,MATCH($C2209,基础资料!$E$4:$E$23,0)),IF($C2209="","","未匹配账户"))</f>
        <v/>
      </c>
      <c r="E2209" s="39"/>
      <c r="F2209" s="10"/>
      <c r="G2209" s="10"/>
      <c r="H2209" s="10"/>
      <c r="I2209" s="10"/>
      <c r="J2209" s="10"/>
      <c r="K2209" s="25"/>
      <c r="L2209" s="25"/>
      <c r="M2209" s="25" t="str">
        <f>IFERROR(VLOOKUP($C2209,$C$5:$M$24,11,0)+SUMIF($C$25:$C2209,$C2209,$K$25:$K2209)-SUMIF($C$25:$C2209,$C2209,$L$25:$L2209),"")</f>
        <v/>
      </c>
      <c r="N2209" s="10"/>
      <c r="O2209" s="10"/>
      <c r="P2209" s="65"/>
      <c r="Q2209" s="10"/>
      <c r="R2209" s="10"/>
      <c r="S2209" s="54" t="str">
        <f t="shared" si="108"/>
        <v/>
      </c>
      <c r="T2209" s="54" t="str">
        <f t="shared" si="109"/>
        <v/>
      </c>
      <c r="U2209" s="58" t="str">
        <f t="shared" si="110"/>
        <v/>
      </c>
      <c r="V2209" s="58">
        <f>IF(AND($B2209&lt;&gt;"",$F2209&lt;&gt;"",$F2209=项目明细账!$C$2),N(V2208)+1,N(V2208))</f>
        <v>0</v>
      </c>
      <c r="W2209" s="63" t="str">
        <f>IF($H2209&lt;&gt;"","项目成本",IFERROR(INDEX(基础资料!$W$4:$W$49,MATCH($I2209,基础资料!$V$4:$V$49,0)),""))</f>
        <v/>
      </c>
      <c r="X2209" s="63" t="str">
        <f>IFERROR(INDEX(基础资料!$R$4:$R$17,MATCH($G2209,基础资料!$Q$4:$Q$17,0)),"")</f>
        <v/>
      </c>
    </row>
    <row r="2210" spans="1:24">
      <c r="A2210" s="58" t="str">
        <f>IF($B2210="","",COUNTA($B$5:$B2210))</f>
        <v/>
      </c>
      <c r="B2210" s="53"/>
      <c r="C2210" s="46"/>
      <c r="D2210" s="63" t="str">
        <f>IFERROR(INDEX(基础资料!$F$4:$F$23,MATCH($C2210,基础资料!$E$4:$E$23,0)),IF($C2210="","","未匹配账户"))</f>
        <v/>
      </c>
      <c r="E2210" s="39"/>
      <c r="F2210" s="10"/>
      <c r="G2210" s="10"/>
      <c r="H2210" s="10"/>
      <c r="I2210" s="10"/>
      <c r="J2210" s="10"/>
      <c r="K2210" s="25"/>
      <c r="L2210" s="25"/>
      <c r="M2210" s="25" t="str">
        <f>IFERROR(VLOOKUP($C2210,$C$5:$M$24,11,0)+SUMIF($C$25:$C2210,$C2210,$K$25:$K2210)-SUMIF($C$25:$C2210,$C2210,$L$25:$L2210),"")</f>
        <v/>
      </c>
      <c r="N2210" s="10"/>
      <c r="O2210" s="10"/>
      <c r="P2210" s="65"/>
      <c r="Q2210" s="10"/>
      <c r="R2210" s="10"/>
      <c r="S2210" s="54" t="str">
        <f t="shared" si="108"/>
        <v/>
      </c>
      <c r="T2210" s="54" t="str">
        <f t="shared" si="109"/>
        <v/>
      </c>
      <c r="U2210" s="58" t="str">
        <f t="shared" si="110"/>
        <v/>
      </c>
      <c r="V2210" s="58">
        <f>IF(AND($B2210&lt;&gt;"",$F2210&lt;&gt;"",$F2210=项目明细账!$C$2),N(V2209)+1,N(V2209))</f>
        <v>0</v>
      </c>
      <c r="W2210" s="63" t="str">
        <f>IF($H2210&lt;&gt;"","项目成本",IFERROR(INDEX(基础资料!$W$4:$W$49,MATCH($I2210,基础资料!$V$4:$V$49,0)),""))</f>
        <v/>
      </c>
      <c r="X2210" s="63" t="str">
        <f>IFERROR(INDEX(基础资料!$R$4:$R$17,MATCH($G2210,基础资料!$Q$4:$Q$17,0)),"")</f>
        <v/>
      </c>
    </row>
    <row r="2211" spans="1:24">
      <c r="A2211" s="58" t="str">
        <f>IF($B2211="","",COUNTA($B$5:$B2211))</f>
        <v/>
      </c>
      <c r="B2211" s="53"/>
      <c r="C2211" s="46"/>
      <c r="D2211" s="63" t="str">
        <f>IFERROR(INDEX(基础资料!$F$4:$F$23,MATCH($C2211,基础资料!$E$4:$E$23,0)),IF($C2211="","","未匹配账户"))</f>
        <v/>
      </c>
      <c r="E2211" s="39"/>
      <c r="F2211" s="10"/>
      <c r="G2211" s="10"/>
      <c r="H2211" s="10"/>
      <c r="I2211" s="10"/>
      <c r="J2211" s="10"/>
      <c r="K2211" s="25"/>
      <c r="L2211" s="25"/>
      <c r="M2211" s="25" t="str">
        <f>IFERROR(VLOOKUP($C2211,$C$5:$M$24,11,0)+SUMIF($C$25:$C2211,$C2211,$K$25:$K2211)-SUMIF($C$25:$C2211,$C2211,$L$25:$L2211),"")</f>
        <v/>
      </c>
      <c r="N2211" s="10"/>
      <c r="O2211" s="10"/>
      <c r="P2211" s="65"/>
      <c r="Q2211" s="10"/>
      <c r="R2211" s="10"/>
      <c r="S2211" s="54" t="str">
        <f t="shared" si="108"/>
        <v/>
      </c>
      <c r="T2211" s="54" t="str">
        <f t="shared" si="109"/>
        <v/>
      </c>
      <c r="U2211" s="58" t="str">
        <f t="shared" si="110"/>
        <v/>
      </c>
      <c r="V2211" s="58">
        <f>IF(AND($B2211&lt;&gt;"",$F2211&lt;&gt;"",$F2211=项目明细账!$C$2),N(V2210)+1,N(V2210))</f>
        <v>0</v>
      </c>
      <c r="W2211" s="63" t="str">
        <f>IF($H2211&lt;&gt;"","项目成本",IFERROR(INDEX(基础资料!$W$4:$W$49,MATCH($I2211,基础资料!$V$4:$V$49,0)),""))</f>
        <v/>
      </c>
      <c r="X2211" s="63" t="str">
        <f>IFERROR(INDEX(基础资料!$R$4:$R$17,MATCH($G2211,基础资料!$Q$4:$Q$17,0)),"")</f>
        <v/>
      </c>
    </row>
    <row r="2212" spans="1:24">
      <c r="A2212" s="58" t="str">
        <f>IF($B2212="","",COUNTA($B$5:$B2212))</f>
        <v/>
      </c>
      <c r="B2212" s="53"/>
      <c r="C2212" s="46"/>
      <c r="D2212" s="63" t="str">
        <f>IFERROR(INDEX(基础资料!$F$4:$F$23,MATCH($C2212,基础资料!$E$4:$E$23,0)),IF($C2212="","","未匹配账户"))</f>
        <v/>
      </c>
      <c r="E2212" s="39"/>
      <c r="F2212" s="10"/>
      <c r="G2212" s="10"/>
      <c r="H2212" s="10"/>
      <c r="I2212" s="10"/>
      <c r="J2212" s="10"/>
      <c r="K2212" s="25"/>
      <c r="L2212" s="25"/>
      <c r="M2212" s="25" t="str">
        <f>IFERROR(VLOOKUP($C2212,$C$5:$M$24,11,0)+SUMIF($C$25:$C2212,$C2212,$K$25:$K2212)-SUMIF($C$25:$C2212,$C2212,$L$25:$L2212),"")</f>
        <v/>
      </c>
      <c r="N2212" s="10"/>
      <c r="O2212" s="10"/>
      <c r="P2212" s="65"/>
      <c r="Q2212" s="10"/>
      <c r="R2212" s="10"/>
      <c r="S2212" s="54" t="str">
        <f t="shared" si="108"/>
        <v/>
      </c>
      <c r="T2212" s="54" t="str">
        <f t="shared" si="109"/>
        <v/>
      </c>
      <c r="U2212" s="58" t="str">
        <f t="shared" si="110"/>
        <v/>
      </c>
      <c r="V2212" s="58">
        <f>IF(AND($B2212&lt;&gt;"",$F2212&lt;&gt;"",$F2212=项目明细账!$C$2),N(V2211)+1,N(V2211))</f>
        <v>0</v>
      </c>
      <c r="W2212" s="63" t="str">
        <f>IF($H2212&lt;&gt;"","项目成本",IFERROR(INDEX(基础资料!$W$4:$W$49,MATCH($I2212,基础资料!$V$4:$V$49,0)),""))</f>
        <v/>
      </c>
      <c r="X2212" s="63" t="str">
        <f>IFERROR(INDEX(基础资料!$R$4:$R$17,MATCH($G2212,基础资料!$Q$4:$Q$17,0)),"")</f>
        <v/>
      </c>
    </row>
    <row r="2213" spans="1:24">
      <c r="A2213" s="58" t="str">
        <f>IF($B2213="","",COUNTA($B$5:$B2213))</f>
        <v/>
      </c>
      <c r="B2213" s="53"/>
      <c r="C2213" s="46"/>
      <c r="D2213" s="63" t="str">
        <f>IFERROR(INDEX(基础资料!$F$4:$F$23,MATCH($C2213,基础资料!$E$4:$E$23,0)),IF($C2213="","","未匹配账户"))</f>
        <v/>
      </c>
      <c r="E2213" s="39"/>
      <c r="F2213" s="10"/>
      <c r="G2213" s="10"/>
      <c r="H2213" s="10"/>
      <c r="I2213" s="10"/>
      <c r="J2213" s="10"/>
      <c r="K2213" s="25"/>
      <c r="L2213" s="25"/>
      <c r="M2213" s="25" t="str">
        <f>IFERROR(VLOOKUP($C2213,$C$5:$M$24,11,0)+SUMIF($C$25:$C2213,$C2213,$K$25:$K2213)-SUMIF($C$25:$C2213,$C2213,$L$25:$L2213),"")</f>
        <v/>
      </c>
      <c r="N2213" s="10"/>
      <c r="O2213" s="10"/>
      <c r="P2213" s="65"/>
      <c r="Q2213" s="10"/>
      <c r="R2213" s="10"/>
      <c r="S2213" s="54" t="str">
        <f t="shared" si="108"/>
        <v/>
      </c>
      <c r="T2213" s="54" t="str">
        <f t="shared" si="109"/>
        <v/>
      </c>
      <c r="U2213" s="58" t="str">
        <f t="shared" si="110"/>
        <v/>
      </c>
      <c r="V2213" s="58">
        <f>IF(AND($B2213&lt;&gt;"",$F2213&lt;&gt;"",$F2213=项目明细账!$C$2),N(V2212)+1,N(V2212))</f>
        <v>0</v>
      </c>
      <c r="W2213" s="63" t="str">
        <f>IF($H2213&lt;&gt;"","项目成本",IFERROR(INDEX(基础资料!$W$4:$W$49,MATCH($I2213,基础资料!$V$4:$V$49,0)),""))</f>
        <v/>
      </c>
      <c r="X2213" s="63" t="str">
        <f>IFERROR(INDEX(基础资料!$R$4:$R$17,MATCH($G2213,基础资料!$Q$4:$Q$17,0)),"")</f>
        <v/>
      </c>
    </row>
    <row r="2214" spans="1:24">
      <c r="A2214" s="58" t="str">
        <f>IF($B2214="","",COUNTA($B$5:$B2214))</f>
        <v/>
      </c>
      <c r="B2214" s="53"/>
      <c r="C2214" s="46"/>
      <c r="D2214" s="63" t="str">
        <f>IFERROR(INDEX(基础资料!$F$4:$F$23,MATCH($C2214,基础资料!$E$4:$E$23,0)),IF($C2214="","","未匹配账户"))</f>
        <v/>
      </c>
      <c r="E2214" s="39"/>
      <c r="F2214" s="10"/>
      <c r="G2214" s="10"/>
      <c r="H2214" s="10"/>
      <c r="I2214" s="10"/>
      <c r="J2214" s="10"/>
      <c r="K2214" s="25"/>
      <c r="L2214" s="25"/>
      <c r="M2214" s="25" t="str">
        <f>IFERROR(VLOOKUP($C2214,$C$5:$M$24,11,0)+SUMIF($C$25:$C2214,$C2214,$K$25:$K2214)-SUMIF($C$25:$C2214,$C2214,$L$25:$L2214),"")</f>
        <v/>
      </c>
      <c r="N2214" s="10"/>
      <c r="O2214" s="10"/>
      <c r="P2214" s="65"/>
      <c r="Q2214" s="10"/>
      <c r="R2214" s="10"/>
      <c r="S2214" s="54" t="str">
        <f t="shared" si="108"/>
        <v/>
      </c>
      <c r="T2214" s="54" t="str">
        <f t="shared" si="109"/>
        <v/>
      </c>
      <c r="U2214" s="58" t="str">
        <f t="shared" si="110"/>
        <v/>
      </c>
      <c r="V2214" s="58">
        <f>IF(AND($B2214&lt;&gt;"",$F2214&lt;&gt;"",$F2214=项目明细账!$C$2),N(V2213)+1,N(V2213))</f>
        <v>0</v>
      </c>
      <c r="W2214" s="63" t="str">
        <f>IF($H2214&lt;&gt;"","项目成本",IFERROR(INDEX(基础资料!$W$4:$W$49,MATCH($I2214,基础资料!$V$4:$V$49,0)),""))</f>
        <v/>
      </c>
      <c r="X2214" s="63" t="str">
        <f>IFERROR(INDEX(基础资料!$R$4:$R$17,MATCH($G2214,基础资料!$Q$4:$Q$17,0)),"")</f>
        <v/>
      </c>
    </row>
    <row r="2215" spans="1:24">
      <c r="A2215" s="58" t="str">
        <f>IF($B2215="","",COUNTA($B$5:$B2215))</f>
        <v/>
      </c>
      <c r="B2215" s="53"/>
      <c r="C2215" s="46"/>
      <c r="D2215" s="63" t="str">
        <f>IFERROR(INDEX(基础资料!$F$4:$F$23,MATCH($C2215,基础资料!$E$4:$E$23,0)),IF($C2215="","","未匹配账户"))</f>
        <v/>
      </c>
      <c r="E2215" s="39"/>
      <c r="F2215" s="10"/>
      <c r="G2215" s="10"/>
      <c r="H2215" s="10"/>
      <c r="I2215" s="10"/>
      <c r="J2215" s="10"/>
      <c r="K2215" s="25"/>
      <c r="L2215" s="25"/>
      <c r="M2215" s="25" t="str">
        <f>IFERROR(VLOOKUP($C2215,$C$5:$M$24,11,0)+SUMIF($C$25:$C2215,$C2215,$K$25:$K2215)-SUMIF($C$25:$C2215,$C2215,$L$25:$L2215),"")</f>
        <v/>
      </c>
      <c r="N2215" s="10"/>
      <c r="O2215" s="10"/>
      <c r="P2215" s="65"/>
      <c r="Q2215" s="10"/>
      <c r="R2215" s="10"/>
      <c r="S2215" s="54" t="str">
        <f t="shared" si="108"/>
        <v/>
      </c>
      <c r="T2215" s="54" t="str">
        <f t="shared" si="109"/>
        <v/>
      </c>
      <c r="U2215" s="58" t="str">
        <f t="shared" si="110"/>
        <v/>
      </c>
      <c r="V2215" s="58">
        <f>IF(AND($B2215&lt;&gt;"",$F2215&lt;&gt;"",$F2215=项目明细账!$C$2),N(V2214)+1,N(V2214))</f>
        <v>0</v>
      </c>
      <c r="W2215" s="63" t="str">
        <f>IF($H2215&lt;&gt;"","项目成本",IFERROR(INDEX(基础资料!$W$4:$W$49,MATCH($I2215,基础资料!$V$4:$V$49,0)),""))</f>
        <v/>
      </c>
      <c r="X2215" s="63" t="str">
        <f>IFERROR(INDEX(基础资料!$R$4:$R$17,MATCH($G2215,基础资料!$Q$4:$Q$17,0)),"")</f>
        <v/>
      </c>
    </row>
    <row r="2216" spans="1:24">
      <c r="A2216" s="58" t="str">
        <f>IF($B2216="","",COUNTA($B$5:$B2216))</f>
        <v/>
      </c>
      <c r="B2216" s="53"/>
      <c r="C2216" s="46"/>
      <c r="D2216" s="63" t="str">
        <f>IFERROR(INDEX(基础资料!$F$4:$F$23,MATCH($C2216,基础资料!$E$4:$E$23,0)),IF($C2216="","","未匹配账户"))</f>
        <v/>
      </c>
      <c r="E2216" s="39"/>
      <c r="F2216" s="10"/>
      <c r="G2216" s="10"/>
      <c r="H2216" s="10"/>
      <c r="I2216" s="10"/>
      <c r="J2216" s="10"/>
      <c r="K2216" s="25"/>
      <c r="L2216" s="25"/>
      <c r="M2216" s="25" t="str">
        <f>IFERROR(VLOOKUP($C2216,$C$5:$M$24,11,0)+SUMIF($C$25:$C2216,$C2216,$K$25:$K2216)-SUMIF($C$25:$C2216,$C2216,$L$25:$L2216),"")</f>
        <v/>
      </c>
      <c r="N2216" s="10"/>
      <c r="O2216" s="10"/>
      <c r="P2216" s="65"/>
      <c r="Q2216" s="10"/>
      <c r="R2216" s="10"/>
      <c r="S2216" s="54" t="str">
        <f t="shared" si="108"/>
        <v/>
      </c>
      <c r="T2216" s="54" t="str">
        <f t="shared" si="109"/>
        <v/>
      </c>
      <c r="U2216" s="58" t="str">
        <f t="shared" si="110"/>
        <v/>
      </c>
      <c r="V2216" s="58">
        <f>IF(AND($B2216&lt;&gt;"",$F2216&lt;&gt;"",$F2216=项目明细账!$C$2),N(V2215)+1,N(V2215))</f>
        <v>0</v>
      </c>
      <c r="W2216" s="63" t="str">
        <f>IF($H2216&lt;&gt;"","项目成本",IFERROR(INDEX(基础资料!$W$4:$W$49,MATCH($I2216,基础资料!$V$4:$V$49,0)),""))</f>
        <v/>
      </c>
      <c r="X2216" s="63" t="str">
        <f>IFERROR(INDEX(基础资料!$R$4:$R$17,MATCH($G2216,基础资料!$Q$4:$Q$17,0)),"")</f>
        <v/>
      </c>
    </row>
    <row r="2217" spans="1:24">
      <c r="A2217" s="58" t="str">
        <f>IF($B2217="","",COUNTA($B$5:$B2217))</f>
        <v/>
      </c>
      <c r="B2217" s="53"/>
      <c r="C2217" s="46"/>
      <c r="D2217" s="63" t="str">
        <f>IFERROR(INDEX(基础资料!$F$4:$F$23,MATCH($C2217,基础资料!$E$4:$E$23,0)),IF($C2217="","","未匹配账户"))</f>
        <v/>
      </c>
      <c r="E2217" s="39"/>
      <c r="F2217" s="10"/>
      <c r="G2217" s="10"/>
      <c r="H2217" s="10"/>
      <c r="I2217" s="10"/>
      <c r="J2217" s="10"/>
      <c r="K2217" s="25"/>
      <c r="L2217" s="25"/>
      <c r="M2217" s="25" t="str">
        <f>IFERROR(VLOOKUP($C2217,$C$5:$M$24,11,0)+SUMIF($C$25:$C2217,$C2217,$K$25:$K2217)-SUMIF($C$25:$C2217,$C2217,$L$25:$L2217),"")</f>
        <v/>
      </c>
      <c r="N2217" s="10"/>
      <c r="O2217" s="10"/>
      <c r="P2217" s="65"/>
      <c r="Q2217" s="10"/>
      <c r="R2217" s="10"/>
      <c r="S2217" s="54" t="str">
        <f t="shared" si="108"/>
        <v/>
      </c>
      <c r="T2217" s="54" t="str">
        <f t="shared" si="109"/>
        <v/>
      </c>
      <c r="U2217" s="58" t="str">
        <f t="shared" si="110"/>
        <v/>
      </c>
      <c r="V2217" s="58">
        <f>IF(AND($B2217&lt;&gt;"",$F2217&lt;&gt;"",$F2217=项目明细账!$C$2),N(V2216)+1,N(V2216))</f>
        <v>0</v>
      </c>
      <c r="W2217" s="63" t="str">
        <f>IF($H2217&lt;&gt;"","项目成本",IFERROR(INDEX(基础资料!$W$4:$W$49,MATCH($I2217,基础资料!$V$4:$V$49,0)),""))</f>
        <v/>
      </c>
      <c r="X2217" s="63" t="str">
        <f>IFERROR(INDEX(基础资料!$R$4:$R$17,MATCH($G2217,基础资料!$Q$4:$Q$17,0)),"")</f>
        <v/>
      </c>
    </row>
    <row r="2218" spans="1:24">
      <c r="A2218" s="58" t="str">
        <f>IF($B2218="","",COUNTA($B$5:$B2218))</f>
        <v/>
      </c>
      <c r="B2218" s="53"/>
      <c r="C2218" s="46"/>
      <c r="D2218" s="63" t="str">
        <f>IFERROR(INDEX(基础资料!$F$4:$F$23,MATCH($C2218,基础资料!$E$4:$E$23,0)),IF($C2218="","","未匹配账户"))</f>
        <v/>
      </c>
      <c r="E2218" s="39"/>
      <c r="F2218" s="10"/>
      <c r="G2218" s="10"/>
      <c r="H2218" s="10"/>
      <c r="I2218" s="10"/>
      <c r="J2218" s="10"/>
      <c r="K2218" s="25"/>
      <c r="L2218" s="25"/>
      <c r="M2218" s="25" t="str">
        <f>IFERROR(VLOOKUP($C2218,$C$5:$M$24,11,0)+SUMIF($C$25:$C2218,$C2218,$K$25:$K2218)-SUMIF($C$25:$C2218,$C2218,$L$25:$L2218),"")</f>
        <v/>
      </c>
      <c r="N2218" s="10"/>
      <c r="O2218" s="10"/>
      <c r="P2218" s="65"/>
      <c r="Q2218" s="10"/>
      <c r="R2218" s="10"/>
      <c r="S2218" s="54" t="str">
        <f t="shared" si="108"/>
        <v/>
      </c>
      <c r="T2218" s="54" t="str">
        <f t="shared" si="109"/>
        <v/>
      </c>
      <c r="U2218" s="58" t="str">
        <f t="shared" si="110"/>
        <v/>
      </c>
      <c r="V2218" s="58">
        <f>IF(AND($B2218&lt;&gt;"",$F2218&lt;&gt;"",$F2218=项目明细账!$C$2),N(V2217)+1,N(V2217))</f>
        <v>0</v>
      </c>
      <c r="W2218" s="63" t="str">
        <f>IF($H2218&lt;&gt;"","项目成本",IFERROR(INDEX(基础资料!$W$4:$W$49,MATCH($I2218,基础资料!$V$4:$V$49,0)),""))</f>
        <v/>
      </c>
      <c r="X2218" s="63" t="str">
        <f>IFERROR(INDEX(基础资料!$R$4:$R$17,MATCH($G2218,基础资料!$Q$4:$Q$17,0)),"")</f>
        <v/>
      </c>
    </row>
    <row r="2219" spans="1:24">
      <c r="A2219" s="58" t="str">
        <f>IF($B2219="","",COUNTA($B$5:$B2219))</f>
        <v/>
      </c>
      <c r="B2219" s="53"/>
      <c r="C2219" s="46"/>
      <c r="D2219" s="63" t="str">
        <f>IFERROR(INDEX(基础资料!$F$4:$F$23,MATCH($C2219,基础资料!$E$4:$E$23,0)),IF($C2219="","","未匹配账户"))</f>
        <v/>
      </c>
      <c r="E2219" s="39"/>
      <c r="F2219" s="10"/>
      <c r="G2219" s="10"/>
      <c r="H2219" s="10"/>
      <c r="I2219" s="10"/>
      <c r="J2219" s="10"/>
      <c r="K2219" s="25"/>
      <c r="L2219" s="25"/>
      <c r="M2219" s="25" t="str">
        <f>IFERROR(VLOOKUP($C2219,$C$5:$M$24,11,0)+SUMIF($C$25:$C2219,$C2219,$K$25:$K2219)-SUMIF($C$25:$C2219,$C2219,$L$25:$L2219),"")</f>
        <v/>
      </c>
      <c r="N2219" s="10"/>
      <c r="O2219" s="10"/>
      <c r="P2219" s="65"/>
      <c r="Q2219" s="10"/>
      <c r="R2219" s="10"/>
      <c r="S2219" s="54" t="str">
        <f t="shared" si="108"/>
        <v/>
      </c>
      <c r="T2219" s="54" t="str">
        <f t="shared" si="109"/>
        <v/>
      </c>
      <c r="U2219" s="58" t="str">
        <f t="shared" si="110"/>
        <v/>
      </c>
      <c r="V2219" s="58">
        <f>IF(AND($B2219&lt;&gt;"",$F2219&lt;&gt;"",$F2219=项目明细账!$C$2),N(V2218)+1,N(V2218))</f>
        <v>0</v>
      </c>
      <c r="W2219" s="63" t="str">
        <f>IF($H2219&lt;&gt;"","项目成本",IFERROR(INDEX(基础资料!$W$4:$W$49,MATCH($I2219,基础资料!$V$4:$V$49,0)),""))</f>
        <v/>
      </c>
      <c r="X2219" s="63" t="str">
        <f>IFERROR(INDEX(基础资料!$R$4:$R$17,MATCH($G2219,基础资料!$Q$4:$Q$17,0)),"")</f>
        <v/>
      </c>
    </row>
    <row r="2220" spans="1:24">
      <c r="A2220" s="58" t="str">
        <f>IF($B2220="","",COUNTA($B$5:$B2220))</f>
        <v/>
      </c>
      <c r="B2220" s="53"/>
      <c r="C2220" s="46"/>
      <c r="D2220" s="63" t="str">
        <f>IFERROR(INDEX(基础资料!$F$4:$F$23,MATCH($C2220,基础资料!$E$4:$E$23,0)),IF($C2220="","","未匹配账户"))</f>
        <v/>
      </c>
      <c r="E2220" s="39"/>
      <c r="F2220" s="10"/>
      <c r="G2220" s="10"/>
      <c r="H2220" s="10"/>
      <c r="I2220" s="10"/>
      <c r="J2220" s="10"/>
      <c r="K2220" s="25"/>
      <c r="L2220" s="25"/>
      <c r="M2220" s="25" t="str">
        <f>IFERROR(VLOOKUP($C2220,$C$5:$M$24,11,0)+SUMIF($C$25:$C2220,$C2220,$K$25:$K2220)-SUMIF($C$25:$C2220,$C2220,$L$25:$L2220),"")</f>
        <v/>
      </c>
      <c r="N2220" s="10"/>
      <c r="O2220" s="10"/>
      <c r="P2220" s="65"/>
      <c r="Q2220" s="10"/>
      <c r="R2220" s="10"/>
      <c r="S2220" s="54" t="str">
        <f t="shared" si="108"/>
        <v/>
      </c>
      <c r="T2220" s="54" t="str">
        <f t="shared" si="109"/>
        <v/>
      </c>
      <c r="U2220" s="58" t="str">
        <f t="shared" si="110"/>
        <v/>
      </c>
      <c r="V2220" s="58">
        <f>IF(AND($B2220&lt;&gt;"",$F2220&lt;&gt;"",$F2220=项目明细账!$C$2),N(V2219)+1,N(V2219))</f>
        <v>0</v>
      </c>
      <c r="W2220" s="63" t="str">
        <f>IF($H2220&lt;&gt;"","项目成本",IFERROR(INDEX(基础资料!$W$4:$W$49,MATCH($I2220,基础资料!$V$4:$V$49,0)),""))</f>
        <v/>
      </c>
      <c r="X2220" s="63" t="str">
        <f>IFERROR(INDEX(基础资料!$R$4:$R$17,MATCH($G2220,基础资料!$Q$4:$Q$17,0)),"")</f>
        <v/>
      </c>
    </row>
    <row r="2221" spans="1:24">
      <c r="A2221" s="58" t="str">
        <f>IF($B2221="","",COUNTA($B$5:$B2221))</f>
        <v/>
      </c>
      <c r="B2221" s="53"/>
      <c r="C2221" s="46"/>
      <c r="D2221" s="63" t="str">
        <f>IFERROR(INDEX(基础资料!$F$4:$F$23,MATCH($C2221,基础资料!$E$4:$E$23,0)),IF($C2221="","","未匹配账户"))</f>
        <v/>
      </c>
      <c r="E2221" s="39"/>
      <c r="F2221" s="10"/>
      <c r="G2221" s="10"/>
      <c r="H2221" s="10"/>
      <c r="I2221" s="10"/>
      <c r="J2221" s="10"/>
      <c r="K2221" s="25"/>
      <c r="L2221" s="25"/>
      <c r="M2221" s="25" t="str">
        <f>IFERROR(VLOOKUP($C2221,$C$5:$M$24,11,0)+SUMIF($C$25:$C2221,$C2221,$K$25:$K2221)-SUMIF($C$25:$C2221,$C2221,$L$25:$L2221),"")</f>
        <v/>
      </c>
      <c r="N2221" s="10"/>
      <c r="O2221" s="10"/>
      <c r="P2221" s="65"/>
      <c r="Q2221" s="10"/>
      <c r="R2221" s="10"/>
      <c r="S2221" s="54" t="str">
        <f t="shared" si="108"/>
        <v/>
      </c>
      <c r="T2221" s="54" t="str">
        <f t="shared" si="109"/>
        <v/>
      </c>
      <c r="U2221" s="58" t="str">
        <f t="shared" si="110"/>
        <v/>
      </c>
      <c r="V2221" s="58">
        <f>IF(AND($B2221&lt;&gt;"",$F2221&lt;&gt;"",$F2221=项目明细账!$C$2),N(V2220)+1,N(V2220))</f>
        <v>0</v>
      </c>
      <c r="W2221" s="63" t="str">
        <f>IF($H2221&lt;&gt;"","项目成本",IFERROR(INDEX(基础资料!$W$4:$W$49,MATCH($I2221,基础资料!$V$4:$V$49,0)),""))</f>
        <v/>
      </c>
      <c r="X2221" s="63" t="str">
        <f>IFERROR(INDEX(基础资料!$R$4:$R$17,MATCH($G2221,基础资料!$Q$4:$Q$17,0)),"")</f>
        <v/>
      </c>
    </row>
    <row r="2222" spans="1:24">
      <c r="A2222" s="58" t="str">
        <f>IF($B2222="","",COUNTA($B$5:$B2222))</f>
        <v/>
      </c>
      <c r="B2222" s="53"/>
      <c r="C2222" s="46"/>
      <c r="D2222" s="63" t="str">
        <f>IFERROR(INDEX(基础资料!$F$4:$F$23,MATCH($C2222,基础资料!$E$4:$E$23,0)),IF($C2222="","","未匹配账户"))</f>
        <v/>
      </c>
      <c r="E2222" s="39"/>
      <c r="F2222" s="10"/>
      <c r="G2222" s="10"/>
      <c r="H2222" s="10"/>
      <c r="I2222" s="10"/>
      <c r="J2222" s="10"/>
      <c r="K2222" s="25"/>
      <c r="L2222" s="25"/>
      <c r="M2222" s="25" t="str">
        <f>IFERROR(VLOOKUP($C2222,$C$5:$M$24,11,0)+SUMIF($C$25:$C2222,$C2222,$K$25:$K2222)-SUMIF($C$25:$C2222,$C2222,$L$25:$L2222),"")</f>
        <v/>
      </c>
      <c r="N2222" s="10"/>
      <c r="O2222" s="10"/>
      <c r="P2222" s="65"/>
      <c r="Q2222" s="10"/>
      <c r="R2222" s="10"/>
      <c r="S2222" s="54" t="str">
        <f t="shared" si="108"/>
        <v/>
      </c>
      <c r="T2222" s="54" t="str">
        <f t="shared" si="109"/>
        <v/>
      </c>
      <c r="U2222" s="58" t="str">
        <f t="shared" si="110"/>
        <v/>
      </c>
      <c r="V2222" s="58">
        <f>IF(AND($B2222&lt;&gt;"",$F2222&lt;&gt;"",$F2222=项目明细账!$C$2),N(V2221)+1,N(V2221))</f>
        <v>0</v>
      </c>
      <c r="W2222" s="63" t="str">
        <f>IF($H2222&lt;&gt;"","项目成本",IFERROR(INDEX(基础资料!$W$4:$W$49,MATCH($I2222,基础资料!$V$4:$V$49,0)),""))</f>
        <v/>
      </c>
      <c r="X2222" s="63" t="str">
        <f>IFERROR(INDEX(基础资料!$R$4:$R$17,MATCH($G2222,基础资料!$Q$4:$Q$17,0)),"")</f>
        <v/>
      </c>
    </row>
    <row r="2223" spans="1:24">
      <c r="A2223" s="58" t="str">
        <f>IF($B2223="","",COUNTA($B$5:$B2223))</f>
        <v/>
      </c>
      <c r="B2223" s="53"/>
      <c r="C2223" s="46"/>
      <c r="D2223" s="63" t="str">
        <f>IFERROR(INDEX(基础资料!$F$4:$F$23,MATCH($C2223,基础资料!$E$4:$E$23,0)),IF($C2223="","","未匹配账户"))</f>
        <v/>
      </c>
      <c r="E2223" s="39"/>
      <c r="F2223" s="10"/>
      <c r="G2223" s="10"/>
      <c r="H2223" s="10"/>
      <c r="I2223" s="10"/>
      <c r="J2223" s="10"/>
      <c r="K2223" s="25"/>
      <c r="L2223" s="25"/>
      <c r="M2223" s="25" t="str">
        <f>IFERROR(VLOOKUP($C2223,$C$5:$M$24,11,0)+SUMIF($C$25:$C2223,$C2223,$K$25:$K2223)-SUMIF($C$25:$C2223,$C2223,$L$25:$L2223),"")</f>
        <v/>
      </c>
      <c r="N2223" s="10"/>
      <c r="O2223" s="10"/>
      <c r="P2223" s="65"/>
      <c r="Q2223" s="10"/>
      <c r="R2223" s="10"/>
      <c r="S2223" s="54" t="str">
        <f t="shared" si="108"/>
        <v/>
      </c>
      <c r="T2223" s="54" t="str">
        <f t="shared" si="109"/>
        <v/>
      </c>
      <c r="U2223" s="58" t="str">
        <f t="shared" si="110"/>
        <v/>
      </c>
      <c r="V2223" s="58">
        <f>IF(AND($B2223&lt;&gt;"",$F2223&lt;&gt;"",$F2223=项目明细账!$C$2),N(V2222)+1,N(V2222))</f>
        <v>0</v>
      </c>
      <c r="W2223" s="63" t="str">
        <f>IF($H2223&lt;&gt;"","项目成本",IFERROR(INDEX(基础资料!$W$4:$W$49,MATCH($I2223,基础资料!$V$4:$V$49,0)),""))</f>
        <v/>
      </c>
      <c r="X2223" s="63" t="str">
        <f>IFERROR(INDEX(基础资料!$R$4:$R$17,MATCH($G2223,基础资料!$Q$4:$Q$17,0)),"")</f>
        <v/>
      </c>
    </row>
    <row r="2224" spans="1:24">
      <c r="A2224" s="58" t="str">
        <f>IF($B2224="","",COUNTA($B$5:$B2224))</f>
        <v/>
      </c>
      <c r="B2224" s="53"/>
      <c r="C2224" s="46"/>
      <c r="D2224" s="63" t="str">
        <f>IFERROR(INDEX(基础资料!$F$4:$F$23,MATCH($C2224,基础资料!$E$4:$E$23,0)),IF($C2224="","","未匹配账户"))</f>
        <v/>
      </c>
      <c r="E2224" s="39"/>
      <c r="F2224" s="10"/>
      <c r="G2224" s="10"/>
      <c r="H2224" s="10"/>
      <c r="I2224" s="10"/>
      <c r="J2224" s="10"/>
      <c r="K2224" s="25"/>
      <c r="L2224" s="25"/>
      <c r="M2224" s="25" t="str">
        <f>IFERROR(VLOOKUP($C2224,$C$5:$M$24,11,0)+SUMIF($C$25:$C2224,$C2224,$K$25:$K2224)-SUMIF($C$25:$C2224,$C2224,$L$25:$L2224),"")</f>
        <v/>
      </c>
      <c r="N2224" s="10"/>
      <c r="O2224" s="10"/>
      <c r="P2224" s="65"/>
      <c r="Q2224" s="10"/>
      <c r="R2224" s="10"/>
      <c r="S2224" s="54" t="str">
        <f t="shared" si="108"/>
        <v/>
      </c>
      <c r="T2224" s="54" t="str">
        <f t="shared" si="109"/>
        <v/>
      </c>
      <c r="U2224" s="58" t="str">
        <f t="shared" si="110"/>
        <v/>
      </c>
      <c r="V2224" s="58">
        <f>IF(AND($B2224&lt;&gt;"",$F2224&lt;&gt;"",$F2224=项目明细账!$C$2),N(V2223)+1,N(V2223))</f>
        <v>0</v>
      </c>
      <c r="W2224" s="63" t="str">
        <f>IF($H2224&lt;&gt;"","项目成本",IFERROR(INDEX(基础资料!$W$4:$W$49,MATCH($I2224,基础资料!$V$4:$V$49,0)),""))</f>
        <v/>
      </c>
      <c r="X2224" s="63" t="str">
        <f>IFERROR(INDEX(基础资料!$R$4:$R$17,MATCH($G2224,基础资料!$Q$4:$Q$17,0)),"")</f>
        <v/>
      </c>
    </row>
    <row r="2225" spans="1:24">
      <c r="A2225" s="58" t="str">
        <f>IF($B2225="","",COUNTA($B$5:$B2225))</f>
        <v/>
      </c>
      <c r="B2225" s="53"/>
      <c r="C2225" s="46"/>
      <c r="D2225" s="63" t="str">
        <f>IFERROR(INDEX(基础资料!$F$4:$F$23,MATCH($C2225,基础资料!$E$4:$E$23,0)),IF($C2225="","","未匹配账户"))</f>
        <v/>
      </c>
      <c r="E2225" s="39"/>
      <c r="F2225" s="10"/>
      <c r="G2225" s="10"/>
      <c r="H2225" s="10"/>
      <c r="I2225" s="10"/>
      <c r="J2225" s="10"/>
      <c r="K2225" s="25"/>
      <c r="L2225" s="25"/>
      <c r="M2225" s="25" t="str">
        <f>IFERROR(VLOOKUP($C2225,$C$5:$M$24,11,0)+SUMIF($C$25:$C2225,$C2225,$K$25:$K2225)-SUMIF($C$25:$C2225,$C2225,$L$25:$L2225),"")</f>
        <v/>
      </c>
      <c r="N2225" s="10"/>
      <c r="O2225" s="10"/>
      <c r="P2225" s="65"/>
      <c r="Q2225" s="10"/>
      <c r="R2225" s="10"/>
      <c r="S2225" s="54" t="str">
        <f t="shared" si="108"/>
        <v/>
      </c>
      <c r="T2225" s="54" t="str">
        <f t="shared" si="109"/>
        <v/>
      </c>
      <c r="U2225" s="58" t="str">
        <f t="shared" si="110"/>
        <v/>
      </c>
      <c r="V2225" s="58">
        <f>IF(AND($B2225&lt;&gt;"",$F2225&lt;&gt;"",$F2225=项目明细账!$C$2),N(V2224)+1,N(V2224))</f>
        <v>0</v>
      </c>
      <c r="W2225" s="63" t="str">
        <f>IF($H2225&lt;&gt;"","项目成本",IFERROR(INDEX(基础资料!$W$4:$W$49,MATCH($I2225,基础资料!$V$4:$V$49,0)),""))</f>
        <v/>
      </c>
      <c r="X2225" s="63" t="str">
        <f>IFERROR(INDEX(基础资料!$R$4:$R$17,MATCH($G2225,基础资料!$Q$4:$Q$17,0)),"")</f>
        <v/>
      </c>
    </row>
    <row r="2226" spans="1:24">
      <c r="A2226" s="58" t="str">
        <f>IF($B2226="","",COUNTA($B$5:$B2226))</f>
        <v/>
      </c>
      <c r="B2226" s="53"/>
      <c r="C2226" s="46"/>
      <c r="D2226" s="63" t="str">
        <f>IFERROR(INDEX(基础资料!$F$4:$F$23,MATCH($C2226,基础资料!$E$4:$E$23,0)),IF($C2226="","","未匹配账户"))</f>
        <v/>
      </c>
      <c r="E2226" s="39"/>
      <c r="F2226" s="10"/>
      <c r="G2226" s="10"/>
      <c r="H2226" s="10"/>
      <c r="I2226" s="10"/>
      <c r="J2226" s="10"/>
      <c r="K2226" s="25"/>
      <c r="L2226" s="25"/>
      <c r="M2226" s="25" t="str">
        <f>IFERROR(VLOOKUP($C2226,$C$5:$M$24,11,0)+SUMIF($C$25:$C2226,$C2226,$K$25:$K2226)-SUMIF($C$25:$C2226,$C2226,$L$25:$L2226),"")</f>
        <v/>
      </c>
      <c r="N2226" s="10"/>
      <c r="O2226" s="10"/>
      <c r="P2226" s="65"/>
      <c r="Q2226" s="10"/>
      <c r="R2226" s="10"/>
      <c r="S2226" s="54" t="str">
        <f t="shared" si="108"/>
        <v/>
      </c>
      <c r="T2226" s="54" t="str">
        <f t="shared" si="109"/>
        <v/>
      </c>
      <c r="U2226" s="58" t="str">
        <f t="shared" si="110"/>
        <v/>
      </c>
      <c r="V2226" s="58">
        <f>IF(AND($B2226&lt;&gt;"",$F2226&lt;&gt;"",$F2226=项目明细账!$C$2),N(V2225)+1,N(V2225))</f>
        <v>0</v>
      </c>
      <c r="W2226" s="63" t="str">
        <f>IF($H2226&lt;&gt;"","项目成本",IFERROR(INDEX(基础资料!$W$4:$W$49,MATCH($I2226,基础资料!$V$4:$V$49,0)),""))</f>
        <v/>
      </c>
      <c r="X2226" s="63" t="str">
        <f>IFERROR(INDEX(基础资料!$R$4:$R$17,MATCH($G2226,基础资料!$Q$4:$Q$17,0)),"")</f>
        <v/>
      </c>
    </row>
    <row r="2227" spans="1:24">
      <c r="A2227" s="58" t="str">
        <f>IF($B2227="","",COUNTA($B$5:$B2227))</f>
        <v/>
      </c>
      <c r="B2227" s="53"/>
      <c r="C2227" s="46"/>
      <c r="D2227" s="63" t="str">
        <f>IFERROR(INDEX(基础资料!$F$4:$F$23,MATCH($C2227,基础资料!$E$4:$E$23,0)),IF($C2227="","","未匹配账户"))</f>
        <v/>
      </c>
      <c r="E2227" s="39"/>
      <c r="F2227" s="10"/>
      <c r="G2227" s="10"/>
      <c r="H2227" s="10"/>
      <c r="I2227" s="10"/>
      <c r="J2227" s="10"/>
      <c r="K2227" s="25"/>
      <c r="L2227" s="25"/>
      <c r="M2227" s="25" t="str">
        <f>IFERROR(VLOOKUP($C2227,$C$5:$M$24,11,0)+SUMIF($C$25:$C2227,$C2227,$K$25:$K2227)-SUMIF($C$25:$C2227,$C2227,$L$25:$L2227),"")</f>
        <v/>
      </c>
      <c r="N2227" s="10"/>
      <c r="O2227" s="10"/>
      <c r="P2227" s="65"/>
      <c r="Q2227" s="10"/>
      <c r="R2227" s="10"/>
      <c r="S2227" s="54" t="str">
        <f t="shared" si="108"/>
        <v/>
      </c>
      <c r="T2227" s="54" t="str">
        <f t="shared" si="109"/>
        <v/>
      </c>
      <c r="U2227" s="58" t="str">
        <f t="shared" si="110"/>
        <v/>
      </c>
      <c r="V2227" s="58">
        <f>IF(AND($B2227&lt;&gt;"",$F2227&lt;&gt;"",$F2227=项目明细账!$C$2),N(V2226)+1,N(V2226))</f>
        <v>0</v>
      </c>
      <c r="W2227" s="63" t="str">
        <f>IF($H2227&lt;&gt;"","项目成本",IFERROR(INDEX(基础资料!$W$4:$W$49,MATCH($I2227,基础资料!$V$4:$V$49,0)),""))</f>
        <v/>
      </c>
      <c r="X2227" s="63" t="str">
        <f>IFERROR(INDEX(基础资料!$R$4:$R$17,MATCH($G2227,基础资料!$Q$4:$Q$17,0)),"")</f>
        <v/>
      </c>
    </row>
    <row r="2228" spans="1:24">
      <c r="A2228" s="58" t="str">
        <f>IF($B2228="","",COUNTA($B$5:$B2228))</f>
        <v/>
      </c>
      <c r="B2228" s="53"/>
      <c r="C2228" s="46"/>
      <c r="D2228" s="63" t="str">
        <f>IFERROR(INDEX(基础资料!$F$4:$F$23,MATCH($C2228,基础资料!$E$4:$E$23,0)),IF($C2228="","","未匹配账户"))</f>
        <v/>
      </c>
      <c r="E2228" s="39"/>
      <c r="F2228" s="10"/>
      <c r="G2228" s="10"/>
      <c r="H2228" s="10"/>
      <c r="I2228" s="10"/>
      <c r="J2228" s="10"/>
      <c r="K2228" s="25"/>
      <c r="L2228" s="25"/>
      <c r="M2228" s="25" t="str">
        <f>IFERROR(VLOOKUP($C2228,$C$5:$M$24,11,0)+SUMIF($C$25:$C2228,$C2228,$K$25:$K2228)-SUMIF($C$25:$C2228,$C2228,$L$25:$L2228),"")</f>
        <v/>
      </c>
      <c r="N2228" s="10"/>
      <c r="O2228" s="10"/>
      <c r="P2228" s="65"/>
      <c r="Q2228" s="10"/>
      <c r="R2228" s="10"/>
      <c r="S2228" s="54" t="str">
        <f t="shared" si="108"/>
        <v/>
      </c>
      <c r="T2228" s="54" t="str">
        <f t="shared" si="109"/>
        <v/>
      </c>
      <c r="U2228" s="58" t="str">
        <f t="shared" si="110"/>
        <v/>
      </c>
      <c r="V2228" s="58">
        <f>IF(AND($B2228&lt;&gt;"",$F2228&lt;&gt;"",$F2228=项目明细账!$C$2),N(V2227)+1,N(V2227))</f>
        <v>0</v>
      </c>
      <c r="W2228" s="63" t="str">
        <f>IF($H2228&lt;&gt;"","项目成本",IFERROR(INDEX(基础资料!$W$4:$W$49,MATCH($I2228,基础资料!$V$4:$V$49,0)),""))</f>
        <v/>
      </c>
      <c r="X2228" s="63" t="str">
        <f>IFERROR(INDEX(基础资料!$R$4:$R$17,MATCH($G2228,基础资料!$Q$4:$Q$17,0)),"")</f>
        <v/>
      </c>
    </row>
    <row r="2229" spans="1:24">
      <c r="A2229" s="58" t="str">
        <f>IF($B2229="","",COUNTA($B$5:$B2229))</f>
        <v/>
      </c>
      <c r="B2229" s="53"/>
      <c r="C2229" s="46"/>
      <c r="D2229" s="63" t="str">
        <f>IFERROR(INDEX(基础资料!$F$4:$F$23,MATCH($C2229,基础资料!$E$4:$E$23,0)),IF($C2229="","","未匹配账户"))</f>
        <v/>
      </c>
      <c r="E2229" s="39"/>
      <c r="F2229" s="10"/>
      <c r="G2229" s="10"/>
      <c r="H2229" s="10"/>
      <c r="I2229" s="10"/>
      <c r="J2229" s="10"/>
      <c r="K2229" s="25"/>
      <c r="L2229" s="25"/>
      <c r="M2229" s="25" t="str">
        <f>IFERROR(VLOOKUP($C2229,$C$5:$M$24,11,0)+SUMIF($C$25:$C2229,$C2229,$K$25:$K2229)-SUMIF($C$25:$C2229,$C2229,$L$25:$L2229),"")</f>
        <v/>
      </c>
      <c r="N2229" s="10"/>
      <c r="O2229" s="10"/>
      <c r="P2229" s="65"/>
      <c r="Q2229" s="10"/>
      <c r="R2229" s="10"/>
      <c r="S2229" s="54" t="str">
        <f t="shared" si="108"/>
        <v/>
      </c>
      <c r="T2229" s="54" t="str">
        <f t="shared" si="109"/>
        <v/>
      </c>
      <c r="U2229" s="58" t="str">
        <f t="shared" si="110"/>
        <v/>
      </c>
      <c r="V2229" s="58">
        <f>IF(AND($B2229&lt;&gt;"",$F2229&lt;&gt;"",$F2229=项目明细账!$C$2),N(V2228)+1,N(V2228))</f>
        <v>0</v>
      </c>
      <c r="W2229" s="63" t="str">
        <f>IF($H2229&lt;&gt;"","项目成本",IFERROR(INDEX(基础资料!$W$4:$W$49,MATCH($I2229,基础资料!$V$4:$V$49,0)),""))</f>
        <v/>
      </c>
      <c r="X2229" s="63" t="str">
        <f>IFERROR(INDEX(基础资料!$R$4:$R$17,MATCH($G2229,基础资料!$Q$4:$Q$17,0)),"")</f>
        <v/>
      </c>
    </row>
    <row r="2230" spans="1:24">
      <c r="A2230" s="58" t="str">
        <f>IF($B2230="","",COUNTA($B$5:$B2230))</f>
        <v/>
      </c>
      <c r="B2230" s="53"/>
      <c r="C2230" s="46"/>
      <c r="D2230" s="63" t="str">
        <f>IFERROR(INDEX(基础资料!$F$4:$F$23,MATCH($C2230,基础资料!$E$4:$E$23,0)),IF($C2230="","","未匹配账户"))</f>
        <v/>
      </c>
      <c r="E2230" s="39"/>
      <c r="F2230" s="10"/>
      <c r="G2230" s="10"/>
      <c r="H2230" s="10"/>
      <c r="I2230" s="10"/>
      <c r="J2230" s="10"/>
      <c r="K2230" s="25"/>
      <c r="L2230" s="25"/>
      <c r="M2230" s="25" t="str">
        <f>IFERROR(VLOOKUP($C2230,$C$5:$M$24,11,0)+SUMIF($C$25:$C2230,$C2230,$K$25:$K2230)-SUMIF($C$25:$C2230,$C2230,$L$25:$L2230),"")</f>
        <v/>
      </c>
      <c r="N2230" s="10"/>
      <c r="O2230" s="10"/>
      <c r="P2230" s="65"/>
      <c r="Q2230" s="10"/>
      <c r="R2230" s="10"/>
      <c r="S2230" s="54" t="str">
        <f t="shared" si="108"/>
        <v/>
      </c>
      <c r="T2230" s="54" t="str">
        <f t="shared" si="109"/>
        <v/>
      </c>
      <c r="U2230" s="58" t="str">
        <f t="shared" si="110"/>
        <v/>
      </c>
      <c r="V2230" s="58">
        <f>IF(AND($B2230&lt;&gt;"",$F2230&lt;&gt;"",$F2230=项目明细账!$C$2),N(V2229)+1,N(V2229))</f>
        <v>0</v>
      </c>
      <c r="W2230" s="63" t="str">
        <f>IF($H2230&lt;&gt;"","项目成本",IFERROR(INDEX(基础资料!$W$4:$W$49,MATCH($I2230,基础资料!$V$4:$V$49,0)),""))</f>
        <v/>
      </c>
      <c r="X2230" s="63" t="str">
        <f>IFERROR(INDEX(基础资料!$R$4:$R$17,MATCH($G2230,基础资料!$Q$4:$Q$17,0)),"")</f>
        <v/>
      </c>
    </row>
    <row r="2231" spans="1:24">
      <c r="A2231" s="58" t="str">
        <f>IF($B2231="","",COUNTA($B$5:$B2231))</f>
        <v/>
      </c>
      <c r="B2231" s="53"/>
      <c r="C2231" s="46"/>
      <c r="D2231" s="63" t="str">
        <f>IFERROR(INDEX(基础资料!$F$4:$F$23,MATCH($C2231,基础资料!$E$4:$E$23,0)),IF($C2231="","","未匹配账户"))</f>
        <v/>
      </c>
      <c r="E2231" s="39"/>
      <c r="F2231" s="10"/>
      <c r="G2231" s="10"/>
      <c r="H2231" s="10"/>
      <c r="I2231" s="10"/>
      <c r="J2231" s="10"/>
      <c r="K2231" s="25"/>
      <c r="L2231" s="25"/>
      <c r="M2231" s="25" t="str">
        <f>IFERROR(VLOOKUP($C2231,$C$5:$M$24,11,0)+SUMIF($C$25:$C2231,$C2231,$K$25:$K2231)-SUMIF($C$25:$C2231,$C2231,$L$25:$L2231),"")</f>
        <v/>
      </c>
      <c r="N2231" s="10"/>
      <c r="O2231" s="10"/>
      <c r="P2231" s="65"/>
      <c r="Q2231" s="10"/>
      <c r="R2231" s="10"/>
      <c r="S2231" s="54" t="str">
        <f t="shared" si="108"/>
        <v/>
      </c>
      <c r="T2231" s="54" t="str">
        <f t="shared" si="109"/>
        <v/>
      </c>
      <c r="U2231" s="58" t="str">
        <f t="shared" si="110"/>
        <v/>
      </c>
      <c r="V2231" s="58">
        <f>IF(AND($B2231&lt;&gt;"",$F2231&lt;&gt;"",$F2231=项目明细账!$C$2),N(V2230)+1,N(V2230))</f>
        <v>0</v>
      </c>
      <c r="W2231" s="63" t="str">
        <f>IF($H2231&lt;&gt;"","项目成本",IFERROR(INDEX(基础资料!$W$4:$W$49,MATCH($I2231,基础资料!$V$4:$V$49,0)),""))</f>
        <v/>
      </c>
      <c r="X2231" s="63" t="str">
        <f>IFERROR(INDEX(基础资料!$R$4:$R$17,MATCH($G2231,基础资料!$Q$4:$Q$17,0)),"")</f>
        <v/>
      </c>
    </row>
    <row r="2232" spans="1:24">
      <c r="A2232" s="58" t="str">
        <f>IF($B2232="","",COUNTA($B$5:$B2232))</f>
        <v/>
      </c>
      <c r="B2232" s="53"/>
      <c r="C2232" s="46"/>
      <c r="D2232" s="63" t="str">
        <f>IFERROR(INDEX(基础资料!$F$4:$F$23,MATCH($C2232,基础资料!$E$4:$E$23,0)),IF($C2232="","","未匹配账户"))</f>
        <v/>
      </c>
      <c r="E2232" s="39"/>
      <c r="F2232" s="10"/>
      <c r="G2232" s="10"/>
      <c r="H2232" s="10"/>
      <c r="I2232" s="10"/>
      <c r="J2232" s="10"/>
      <c r="K2232" s="25"/>
      <c r="L2232" s="25"/>
      <c r="M2232" s="25" t="str">
        <f>IFERROR(VLOOKUP($C2232,$C$5:$M$24,11,0)+SUMIF($C$25:$C2232,$C2232,$K$25:$K2232)-SUMIF($C$25:$C2232,$C2232,$L$25:$L2232),"")</f>
        <v/>
      </c>
      <c r="N2232" s="10"/>
      <c r="O2232" s="10"/>
      <c r="P2232" s="65"/>
      <c r="Q2232" s="10"/>
      <c r="R2232" s="10"/>
      <c r="S2232" s="54" t="str">
        <f t="shared" si="108"/>
        <v/>
      </c>
      <c r="T2232" s="54" t="str">
        <f t="shared" si="109"/>
        <v/>
      </c>
      <c r="U2232" s="58" t="str">
        <f t="shared" si="110"/>
        <v/>
      </c>
      <c r="V2232" s="58">
        <f>IF(AND($B2232&lt;&gt;"",$F2232&lt;&gt;"",$F2232=项目明细账!$C$2),N(V2231)+1,N(V2231))</f>
        <v>0</v>
      </c>
      <c r="W2232" s="63" t="str">
        <f>IF($H2232&lt;&gt;"","项目成本",IFERROR(INDEX(基础资料!$W$4:$W$49,MATCH($I2232,基础资料!$V$4:$V$49,0)),""))</f>
        <v/>
      </c>
      <c r="X2232" s="63" t="str">
        <f>IFERROR(INDEX(基础资料!$R$4:$R$17,MATCH($G2232,基础资料!$Q$4:$Q$17,0)),"")</f>
        <v/>
      </c>
    </row>
    <row r="2233" spans="1:24">
      <c r="A2233" s="58" t="str">
        <f>IF($B2233="","",COUNTA($B$5:$B2233))</f>
        <v/>
      </c>
      <c r="B2233" s="53"/>
      <c r="C2233" s="46"/>
      <c r="D2233" s="63" t="str">
        <f>IFERROR(INDEX(基础资料!$F$4:$F$23,MATCH($C2233,基础资料!$E$4:$E$23,0)),IF($C2233="","","未匹配账户"))</f>
        <v/>
      </c>
      <c r="E2233" s="39"/>
      <c r="F2233" s="10"/>
      <c r="G2233" s="10"/>
      <c r="H2233" s="10"/>
      <c r="I2233" s="10"/>
      <c r="J2233" s="10"/>
      <c r="K2233" s="25"/>
      <c r="L2233" s="25"/>
      <c r="M2233" s="25" t="str">
        <f>IFERROR(VLOOKUP($C2233,$C$5:$M$24,11,0)+SUMIF($C$25:$C2233,$C2233,$K$25:$K2233)-SUMIF($C$25:$C2233,$C2233,$L$25:$L2233),"")</f>
        <v/>
      </c>
      <c r="N2233" s="10"/>
      <c r="O2233" s="10"/>
      <c r="P2233" s="65"/>
      <c r="Q2233" s="10"/>
      <c r="R2233" s="10"/>
      <c r="S2233" s="54" t="str">
        <f t="shared" si="108"/>
        <v/>
      </c>
      <c r="T2233" s="54" t="str">
        <f t="shared" si="109"/>
        <v/>
      </c>
      <c r="U2233" s="58" t="str">
        <f t="shared" si="110"/>
        <v/>
      </c>
      <c r="V2233" s="58">
        <f>IF(AND($B2233&lt;&gt;"",$F2233&lt;&gt;"",$F2233=项目明细账!$C$2),N(V2232)+1,N(V2232))</f>
        <v>0</v>
      </c>
      <c r="W2233" s="63" t="str">
        <f>IF($H2233&lt;&gt;"","项目成本",IFERROR(INDEX(基础资料!$W$4:$W$49,MATCH($I2233,基础资料!$V$4:$V$49,0)),""))</f>
        <v/>
      </c>
      <c r="X2233" s="63" t="str">
        <f>IFERROR(INDEX(基础资料!$R$4:$R$17,MATCH($G2233,基础资料!$Q$4:$Q$17,0)),"")</f>
        <v/>
      </c>
    </row>
    <row r="2234" spans="1:24">
      <c r="A2234" s="58" t="str">
        <f>IF($B2234="","",COUNTA($B$5:$B2234))</f>
        <v/>
      </c>
      <c r="B2234" s="53"/>
      <c r="C2234" s="46"/>
      <c r="D2234" s="63" t="str">
        <f>IFERROR(INDEX(基础资料!$F$4:$F$23,MATCH($C2234,基础资料!$E$4:$E$23,0)),IF($C2234="","","未匹配账户"))</f>
        <v/>
      </c>
      <c r="E2234" s="39"/>
      <c r="F2234" s="10"/>
      <c r="G2234" s="10"/>
      <c r="H2234" s="10"/>
      <c r="I2234" s="10"/>
      <c r="J2234" s="10"/>
      <c r="K2234" s="25"/>
      <c r="L2234" s="25"/>
      <c r="M2234" s="25" t="str">
        <f>IFERROR(VLOOKUP($C2234,$C$5:$M$24,11,0)+SUMIF($C$25:$C2234,$C2234,$K$25:$K2234)-SUMIF($C$25:$C2234,$C2234,$L$25:$L2234),"")</f>
        <v/>
      </c>
      <c r="N2234" s="10"/>
      <c r="O2234" s="10"/>
      <c r="P2234" s="65"/>
      <c r="Q2234" s="10"/>
      <c r="R2234" s="10"/>
      <c r="S2234" s="54" t="str">
        <f t="shared" si="108"/>
        <v/>
      </c>
      <c r="T2234" s="54" t="str">
        <f t="shared" si="109"/>
        <v/>
      </c>
      <c r="U2234" s="58" t="str">
        <f t="shared" si="110"/>
        <v/>
      </c>
      <c r="V2234" s="58">
        <f>IF(AND($B2234&lt;&gt;"",$F2234&lt;&gt;"",$F2234=项目明细账!$C$2),N(V2233)+1,N(V2233))</f>
        <v>0</v>
      </c>
      <c r="W2234" s="63" t="str">
        <f>IF($H2234&lt;&gt;"","项目成本",IFERROR(INDEX(基础资料!$W$4:$W$49,MATCH($I2234,基础资料!$V$4:$V$49,0)),""))</f>
        <v/>
      </c>
      <c r="X2234" s="63" t="str">
        <f>IFERROR(INDEX(基础资料!$R$4:$R$17,MATCH($G2234,基础资料!$Q$4:$Q$17,0)),"")</f>
        <v/>
      </c>
    </row>
    <row r="2235" spans="1:24">
      <c r="A2235" s="58" t="str">
        <f>IF($B2235="","",COUNTA($B$5:$B2235))</f>
        <v/>
      </c>
      <c r="B2235" s="53"/>
      <c r="C2235" s="46"/>
      <c r="D2235" s="63" t="str">
        <f>IFERROR(INDEX(基础资料!$F$4:$F$23,MATCH($C2235,基础资料!$E$4:$E$23,0)),IF($C2235="","","未匹配账户"))</f>
        <v/>
      </c>
      <c r="E2235" s="39"/>
      <c r="F2235" s="10"/>
      <c r="G2235" s="10"/>
      <c r="H2235" s="10"/>
      <c r="I2235" s="10"/>
      <c r="J2235" s="10"/>
      <c r="K2235" s="25"/>
      <c r="L2235" s="25"/>
      <c r="M2235" s="25" t="str">
        <f>IFERROR(VLOOKUP($C2235,$C$5:$M$24,11,0)+SUMIF($C$25:$C2235,$C2235,$K$25:$K2235)-SUMIF($C$25:$C2235,$C2235,$L$25:$L2235),"")</f>
        <v/>
      </c>
      <c r="N2235" s="10"/>
      <c r="O2235" s="10"/>
      <c r="P2235" s="65"/>
      <c r="Q2235" s="10"/>
      <c r="R2235" s="10"/>
      <c r="S2235" s="54" t="str">
        <f t="shared" si="108"/>
        <v/>
      </c>
      <c r="T2235" s="54" t="str">
        <f t="shared" si="109"/>
        <v/>
      </c>
      <c r="U2235" s="58" t="str">
        <f t="shared" si="110"/>
        <v/>
      </c>
      <c r="V2235" s="58">
        <f>IF(AND($B2235&lt;&gt;"",$F2235&lt;&gt;"",$F2235=项目明细账!$C$2),N(V2234)+1,N(V2234))</f>
        <v>0</v>
      </c>
      <c r="W2235" s="63" t="str">
        <f>IF($H2235&lt;&gt;"","项目成本",IFERROR(INDEX(基础资料!$W$4:$W$49,MATCH($I2235,基础资料!$V$4:$V$49,0)),""))</f>
        <v/>
      </c>
      <c r="X2235" s="63" t="str">
        <f>IFERROR(INDEX(基础资料!$R$4:$R$17,MATCH($G2235,基础资料!$Q$4:$Q$17,0)),"")</f>
        <v/>
      </c>
    </row>
    <row r="2236" spans="1:24">
      <c r="A2236" s="58" t="str">
        <f>IF($B2236="","",COUNTA($B$5:$B2236))</f>
        <v/>
      </c>
      <c r="B2236" s="53"/>
      <c r="C2236" s="46"/>
      <c r="D2236" s="63" t="str">
        <f>IFERROR(INDEX(基础资料!$F$4:$F$23,MATCH($C2236,基础资料!$E$4:$E$23,0)),IF($C2236="","","未匹配账户"))</f>
        <v/>
      </c>
      <c r="E2236" s="39"/>
      <c r="F2236" s="10"/>
      <c r="G2236" s="10"/>
      <c r="H2236" s="10"/>
      <c r="I2236" s="10"/>
      <c r="J2236" s="10"/>
      <c r="K2236" s="25"/>
      <c r="L2236" s="25"/>
      <c r="M2236" s="25" t="str">
        <f>IFERROR(VLOOKUP($C2236,$C$5:$M$24,11,0)+SUMIF($C$25:$C2236,$C2236,$K$25:$K2236)-SUMIF($C$25:$C2236,$C2236,$L$25:$L2236),"")</f>
        <v/>
      </c>
      <c r="N2236" s="10"/>
      <c r="O2236" s="10"/>
      <c r="P2236" s="65"/>
      <c r="Q2236" s="10"/>
      <c r="R2236" s="10"/>
      <c r="S2236" s="54" t="str">
        <f t="shared" si="108"/>
        <v/>
      </c>
      <c r="T2236" s="54" t="str">
        <f t="shared" si="109"/>
        <v/>
      </c>
      <c r="U2236" s="58" t="str">
        <f t="shared" si="110"/>
        <v/>
      </c>
      <c r="V2236" s="58">
        <f>IF(AND($B2236&lt;&gt;"",$F2236&lt;&gt;"",$F2236=项目明细账!$C$2),N(V2235)+1,N(V2235))</f>
        <v>0</v>
      </c>
      <c r="W2236" s="63" t="str">
        <f>IF($H2236&lt;&gt;"","项目成本",IFERROR(INDEX(基础资料!$W$4:$W$49,MATCH($I2236,基础资料!$V$4:$V$49,0)),""))</f>
        <v/>
      </c>
      <c r="X2236" s="63" t="str">
        <f>IFERROR(INDEX(基础资料!$R$4:$R$17,MATCH($G2236,基础资料!$Q$4:$Q$17,0)),"")</f>
        <v/>
      </c>
    </row>
    <row r="2237" spans="1:24">
      <c r="A2237" s="58" t="str">
        <f>IF($B2237="","",COUNTA($B$5:$B2237))</f>
        <v/>
      </c>
      <c r="B2237" s="53"/>
      <c r="C2237" s="46"/>
      <c r="D2237" s="63" t="str">
        <f>IFERROR(INDEX(基础资料!$F$4:$F$23,MATCH($C2237,基础资料!$E$4:$E$23,0)),IF($C2237="","","未匹配账户"))</f>
        <v/>
      </c>
      <c r="E2237" s="39"/>
      <c r="F2237" s="10"/>
      <c r="G2237" s="10"/>
      <c r="H2237" s="10"/>
      <c r="I2237" s="10"/>
      <c r="J2237" s="10"/>
      <c r="K2237" s="25"/>
      <c r="L2237" s="25"/>
      <c r="M2237" s="25" t="str">
        <f>IFERROR(VLOOKUP($C2237,$C$5:$M$24,11,0)+SUMIF($C$25:$C2237,$C2237,$K$25:$K2237)-SUMIF($C$25:$C2237,$C2237,$L$25:$L2237),"")</f>
        <v/>
      </c>
      <c r="N2237" s="10"/>
      <c r="O2237" s="10"/>
      <c r="P2237" s="65"/>
      <c r="Q2237" s="10"/>
      <c r="R2237" s="10"/>
      <c r="S2237" s="54" t="str">
        <f t="shared" si="108"/>
        <v/>
      </c>
      <c r="T2237" s="54" t="str">
        <f t="shared" si="109"/>
        <v/>
      </c>
      <c r="U2237" s="58" t="str">
        <f t="shared" si="110"/>
        <v/>
      </c>
      <c r="V2237" s="58">
        <f>IF(AND($B2237&lt;&gt;"",$F2237&lt;&gt;"",$F2237=项目明细账!$C$2),N(V2236)+1,N(V2236))</f>
        <v>0</v>
      </c>
      <c r="W2237" s="63" t="str">
        <f>IF($H2237&lt;&gt;"","项目成本",IFERROR(INDEX(基础资料!$W$4:$W$49,MATCH($I2237,基础资料!$V$4:$V$49,0)),""))</f>
        <v/>
      </c>
      <c r="X2237" s="63" t="str">
        <f>IFERROR(INDEX(基础资料!$R$4:$R$17,MATCH($G2237,基础资料!$Q$4:$Q$17,0)),"")</f>
        <v/>
      </c>
    </row>
    <row r="2238" spans="1:24">
      <c r="A2238" s="58" t="str">
        <f>IF($B2238="","",COUNTA($B$5:$B2238))</f>
        <v/>
      </c>
      <c r="B2238" s="53"/>
      <c r="C2238" s="46"/>
      <c r="D2238" s="63" t="str">
        <f>IFERROR(INDEX(基础资料!$F$4:$F$23,MATCH($C2238,基础资料!$E$4:$E$23,0)),IF($C2238="","","未匹配账户"))</f>
        <v/>
      </c>
      <c r="E2238" s="39"/>
      <c r="F2238" s="10"/>
      <c r="G2238" s="10"/>
      <c r="H2238" s="10"/>
      <c r="I2238" s="10"/>
      <c r="J2238" s="10"/>
      <c r="K2238" s="25"/>
      <c r="L2238" s="25"/>
      <c r="M2238" s="25" t="str">
        <f>IFERROR(VLOOKUP($C2238,$C$5:$M$24,11,0)+SUMIF($C$25:$C2238,$C2238,$K$25:$K2238)-SUMIF($C$25:$C2238,$C2238,$L$25:$L2238),"")</f>
        <v/>
      </c>
      <c r="N2238" s="10"/>
      <c r="O2238" s="10"/>
      <c r="P2238" s="65"/>
      <c r="Q2238" s="10"/>
      <c r="R2238" s="10"/>
      <c r="S2238" s="54" t="str">
        <f t="shared" si="108"/>
        <v/>
      </c>
      <c r="T2238" s="54" t="str">
        <f t="shared" si="109"/>
        <v/>
      </c>
      <c r="U2238" s="58" t="str">
        <f t="shared" si="110"/>
        <v/>
      </c>
      <c r="V2238" s="58">
        <f>IF(AND($B2238&lt;&gt;"",$F2238&lt;&gt;"",$F2238=项目明细账!$C$2),N(V2237)+1,N(V2237))</f>
        <v>0</v>
      </c>
      <c r="W2238" s="63" t="str">
        <f>IF($H2238&lt;&gt;"","项目成本",IFERROR(INDEX(基础资料!$W$4:$W$49,MATCH($I2238,基础资料!$V$4:$V$49,0)),""))</f>
        <v/>
      </c>
      <c r="X2238" s="63" t="str">
        <f>IFERROR(INDEX(基础资料!$R$4:$R$17,MATCH($G2238,基础资料!$Q$4:$Q$17,0)),"")</f>
        <v/>
      </c>
    </row>
    <row r="2239" spans="1:24">
      <c r="A2239" s="58" t="str">
        <f>IF($B2239="","",COUNTA($B$5:$B2239))</f>
        <v/>
      </c>
      <c r="B2239" s="53"/>
      <c r="C2239" s="46"/>
      <c r="D2239" s="63" t="str">
        <f>IFERROR(INDEX(基础资料!$F$4:$F$23,MATCH($C2239,基础资料!$E$4:$E$23,0)),IF($C2239="","","未匹配账户"))</f>
        <v/>
      </c>
      <c r="E2239" s="39"/>
      <c r="F2239" s="10"/>
      <c r="G2239" s="10"/>
      <c r="H2239" s="10"/>
      <c r="I2239" s="10"/>
      <c r="J2239" s="10"/>
      <c r="K2239" s="25"/>
      <c r="L2239" s="25"/>
      <c r="M2239" s="25" t="str">
        <f>IFERROR(VLOOKUP($C2239,$C$5:$M$24,11,0)+SUMIF($C$25:$C2239,$C2239,$K$25:$K2239)-SUMIF($C$25:$C2239,$C2239,$L$25:$L2239),"")</f>
        <v/>
      </c>
      <c r="N2239" s="10"/>
      <c r="O2239" s="10"/>
      <c r="P2239" s="65"/>
      <c r="Q2239" s="10"/>
      <c r="R2239" s="10"/>
      <c r="S2239" s="54" t="str">
        <f t="shared" si="108"/>
        <v/>
      </c>
      <c r="T2239" s="54" t="str">
        <f t="shared" si="109"/>
        <v/>
      </c>
      <c r="U2239" s="58" t="str">
        <f t="shared" si="110"/>
        <v/>
      </c>
      <c r="V2239" s="58">
        <f>IF(AND($B2239&lt;&gt;"",$F2239&lt;&gt;"",$F2239=项目明细账!$C$2),N(V2238)+1,N(V2238))</f>
        <v>0</v>
      </c>
      <c r="W2239" s="63" t="str">
        <f>IF($H2239&lt;&gt;"","项目成本",IFERROR(INDEX(基础资料!$W$4:$W$49,MATCH($I2239,基础资料!$V$4:$V$49,0)),""))</f>
        <v/>
      </c>
      <c r="X2239" s="63" t="str">
        <f>IFERROR(INDEX(基础资料!$R$4:$R$17,MATCH($G2239,基础资料!$Q$4:$Q$17,0)),"")</f>
        <v/>
      </c>
    </row>
    <row r="2240" spans="1:24">
      <c r="A2240" s="58" t="str">
        <f>IF($B2240="","",COUNTA($B$5:$B2240))</f>
        <v/>
      </c>
      <c r="B2240" s="53"/>
      <c r="C2240" s="46"/>
      <c r="D2240" s="63" t="str">
        <f>IFERROR(INDEX(基础资料!$F$4:$F$23,MATCH($C2240,基础资料!$E$4:$E$23,0)),IF($C2240="","","未匹配账户"))</f>
        <v/>
      </c>
      <c r="E2240" s="39"/>
      <c r="F2240" s="10"/>
      <c r="G2240" s="10"/>
      <c r="H2240" s="10"/>
      <c r="I2240" s="10"/>
      <c r="J2240" s="10"/>
      <c r="K2240" s="25"/>
      <c r="L2240" s="25"/>
      <c r="M2240" s="25" t="str">
        <f>IFERROR(VLOOKUP($C2240,$C$5:$M$24,11,0)+SUMIF($C$25:$C2240,$C2240,$K$25:$K2240)-SUMIF($C$25:$C2240,$C2240,$L$25:$L2240),"")</f>
        <v/>
      </c>
      <c r="N2240" s="10"/>
      <c r="O2240" s="10"/>
      <c r="P2240" s="65"/>
      <c r="Q2240" s="10"/>
      <c r="R2240" s="10"/>
      <c r="S2240" s="54" t="str">
        <f t="shared" si="108"/>
        <v/>
      </c>
      <c r="T2240" s="54" t="str">
        <f t="shared" si="109"/>
        <v/>
      </c>
      <c r="U2240" s="58" t="str">
        <f t="shared" si="110"/>
        <v/>
      </c>
      <c r="V2240" s="58">
        <f>IF(AND($B2240&lt;&gt;"",$F2240&lt;&gt;"",$F2240=项目明细账!$C$2),N(V2239)+1,N(V2239))</f>
        <v>0</v>
      </c>
      <c r="W2240" s="63" t="str">
        <f>IF($H2240&lt;&gt;"","项目成本",IFERROR(INDEX(基础资料!$W$4:$W$49,MATCH($I2240,基础资料!$V$4:$V$49,0)),""))</f>
        <v/>
      </c>
      <c r="X2240" s="63" t="str">
        <f>IFERROR(INDEX(基础资料!$R$4:$R$17,MATCH($G2240,基础资料!$Q$4:$Q$17,0)),"")</f>
        <v/>
      </c>
    </row>
    <row r="2241" spans="1:24">
      <c r="A2241" s="58" t="str">
        <f>IF($B2241="","",COUNTA($B$5:$B2241))</f>
        <v/>
      </c>
      <c r="B2241" s="53"/>
      <c r="C2241" s="46"/>
      <c r="D2241" s="63" t="str">
        <f>IFERROR(INDEX(基础资料!$F$4:$F$23,MATCH($C2241,基础资料!$E$4:$E$23,0)),IF($C2241="","","未匹配账户"))</f>
        <v/>
      </c>
      <c r="E2241" s="39"/>
      <c r="F2241" s="10"/>
      <c r="G2241" s="10"/>
      <c r="H2241" s="10"/>
      <c r="I2241" s="10"/>
      <c r="J2241" s="10"/>
      <c r="K2241" s="25"/>
      <c r="L2241" s="25"/>
      <c r="M2241" s="25" t="str">
        <f>IFERROR(VLOOKUP($C2241,$C$5:$M$24,11,0)+SUMIF($C$25:$C2241,$C2241,$K$25:$K2241)-SUMIF($C$25:$C2241,$C2241,$L$25:$L2241),"")</f>
        <v/>
      </c>
      <c r="N2241" s="10"/>
      <c r="O2241" s="10"/>
      <c r="P2241" s="65"/>
      <c r="Q2241" s="10"/>
      <c r="R2241" s="10"/>
      <c r="S2241" s="54" t="str">
        <f t="shared" si="108"/>
        <v/>
      </c>
      <c r="T2241" s="54" t="str">
        <f t="shared" si="109"/>
        <v/>
      </c>
      <c r="U2241" s="58" t="str">
        <f t="shared" si="110"/>
        <v/>
      </c>
      <c r="V2241" s="58">
        <f>IF(AND($B2241&lt;&gt;"",$F2241&lt;&gt;"",$F2241=项目明细账!$C$2),N(V2240)+1,N(V2240))</f>
        <v>0</v>
      </c>
      <c r="W2241" s="63" t="str">
        <f>IF($H2241&lt;&gt;"","项目成本",IFERROR(INDEX(基础资料!$W$4:$W$49,MATCH($I2241,基础资料!$V$4:$V$49,0)),""))</f>
        <v/>
      </c>
      <c r="X2241" s="63" t="str">
        <f>IFERROR(INDEX(基础资料!$R$4:$R$17,MATCH($G2241,基础资料!$Q$4:$Q$17,0)),"")</f>
        <v/>
      </c>
    </row>
    <row r="2242" spans="1:24">
      <c r="A2242" s="58" t="str">
        <f>IF($B2242="","",COUNTA($B$5:$B2242))</f>
        <v/>
      </c>
      <c r="B2242" s="53"/>
      <c r="C2242" s="46"/>
      <c r="D2242" s="63" t="str">
        <f>IFERROR(INDEX(基础资料!$F$4:$F$23,MATCH($C2242,基础资料!$E$4:$E$23,0)),IF($C2242="","","未匹配账户"))</f>
        <v/>
      </c>
      <c r="E2242" s="39"/>
      <c r="F2242" s="10"/>
      <c r="G2242" s="10"/>
      <c r="H2242" s="10"/>
      <c r="I2242" s="10"/>
      <c r="J2242" s="10"/>
      <c r="K2242" s="25"/>
      <c r="L2242" s="25"/>
      <c r="M2242" s="25" t="str">
        <f>IFERROR(VLOOKUP($C2242,$C$5:$M$24,11,0)+SUMIF($C$25:$C2242,$C2242,$K$25:$K2242)-SUMIF($C$25:$C2242,$C2242,$L$25:$L2242),"")</f>
        <v/>
      </c>
      <c r="N2242" s="10"/>
      <c r="O2242" s="10"/>
      <c r="P2242" s="65"/>
      <c r="Q2242" s="10"/>
      <c r="R2242" s="10"/>
      <c r="S2242" s="54" t="str">
        <f t="shared" si="108"/>
        <v/>
      </c>
      <c r="T2242" s="54" t="str">
        <f t="shared" si="109"/>
        <v/>
      </c>
      <c r="U2242" s="58" t="str">
        <f t="shared" si="110"/>
        <v/>
      </c>
      <c r="V2242" s="58">
        <f>IF(AND($B2242&lt;&gt;"",$F2242&lt;&gt;"",$F2242=项目明细账!$C$2),N(V2241)+1,N(V2241))</f>
        <v>0</v>
      </c>
      <c r="W2242" s="63" t="str">
        <f>IF($H2242&lt;&gt;"","项目成本",IFERROR(INDEX(基础资料!$W$4:$W$49,MATCH($I2242,基础资料!$V$4:$V$49,0)),""))</f>
        <v/>
      </c>
      <c r="X2242" s="63" t="str">
        <f>IFERROR(INDEX(基础资料!$R$4:$R$17,MATCH($G2242,基础资料!$Q$4:$Q$17,0)),"")</f>
        <v/>
      </c>
    </row>
    <row r="2243" spans="1:24">
      <c r="A2243" s="58" t="str">
        <f>IF($B2243="","",COUNTA($B$5:$B2243))</f>
        <v/>
      </c>
      <c r="B2243" s="53"/>
      <c r="C2243" s="46"/>
      <c r="D2243" s="63" t="str">
        <f>IFERROR(INDEX(基础资料!$F$4:$F$23,MATCH($C2243,基础资料!$E$4:$E$23,0)),IF($C2243="","","未匹配账户"))</f>
        <v/>
      </c>
      <c r="E2243" s="39"/>
      <c r="F2243" s="10"/>
      <c r="G2243" s="10"/>
      <c r="H2243" s="10"/>
      <c r="I2243" s="10"/>
      <c r="J2243" s="10"/>
      <c r="K2243" s="25"/>
      <c r="L2243" s="25"/>
      <c r="M2243" s="25" t="str">
        <f>IFERROR(VLOOKUP($C2243,$C$5:$M$24,11,0)+SUMIF($C$25:$C2243,$C2243,$K$25:$K2243)-SUMIF($C$25:$C2243,$C2243,$L$25:$L2243),"")</f>
        <v/>
      </c>
      <c r="N2243" s="10"/>
      <c r="O2243" s="10"/>
      <c r="P2243" s="65"/>
      <c r="Q2243" s="10"/>
      <c r="R2243" s="10"/>
      <c r="S2243" s="54" t="str">
        <f t="shared" si="108"/>
        <v/>
      </c>
      <c r="T2243" s="54" t="str">
        <f t="shared" si="109"/>
        <v/>
      </c>
      <c r="U2243" s="58" t="str">
        <f t="shared" si="110"/>
        <v/>
      </c>
      <c r="V2243" s="58">
        <f>IF(AND($B2243&lt;&gt;"",$F2243&lt;&gt;"",$F2243=项目明细账!$C$2),N(V2242)+1,N(V2242))</f>
        <v>0</v>
      </c>
      <c r="W2243" s="63" t="str">
        <f>IF($H2243&lt;&gt;"","项目成本",IFERROR(INDEX(基础资料!$W$4:$W$49,MATCH($I2243,基础资料!$V$4:$V$49,0)),""))</f>
        <v/>
      </c>
      <c r="X2243" s="63" t="str">
        <f>IFERROR(INDEX(基础资料!$R$4:$R$17,MATCH($G2243,基础资料!$Q$4:$Q$17,0)),"")</f>
        <v/>
      </c>
    </row>
    <row r="2244" spans="1:24">
      <c r="A2244" s="58" t="str">
        <f>IF($B2244="","",COUNTA($B$5:$B2244))</f>
        <v/>
      </c>
      <c r="B2244" s="53"/>
      <c r="C2244" s="46"/>
      <c r="D2244" s="63" t="str">
        <f>IFERROR(INDEX(基础资料!$F$4:$F$23,MATCH($C2244,基础资料!$E$4:$E$23,0)),IF($C2244="","","未匹配账户"))</f>
        <v/>
      </c>
      <c r="E2244" s="39"/>
      <c r="F2244" s="10"/>
      <c r="G2244" s="10"/>
      <c r="H2244" s="10"/>
      <c r="I2244" s="10"/>
      <c r="J2244" s="10"/>
      <c r="K2244" s="25"/>
      <c r="L2244" s="25"/>
      <c r="M2244" s="25" t="str">
        <f>IFERROR(VLOOKUP($C2244,$C$5:$M$24,11,0)+SUMIF($C$25:$C2244,$C2244,$K$25:$K2244)-SUMIF($C$25:$C2244,$C2244,$L$25:$L2244),"")</f>
        <v/>
      </c>
      <c r="N2244" s="10"/>
      <c r="O2244" s="10"/>
      <c r="P2244" s="65"/>
      <c r="Q2244" s="10"/>
      <c r="R2244" s="10"/>
      <c r="S2244" s="54" t="str">
        <f t="shared" si="108"/>
        <v/>
      </c>
      <c r="T2244" s="54" t="str">
        <f t="shared" si="109"/>
        <v/>
      </c>
      <c r="U2244" s="58" t="str">
        <f t="shared" si="110"/>
        <v/>
      </c>
      <c r="V2244" s="58">
        <f>IF(AND($B2244&lt;&gt;"",$F2244&lt;&gt;"",$F2244=项目明细账!$C$2),N(V2243)+1,N(V2243))</f>
        <v>0</v>
      </c>
      <c r="W2244" s="63" t="str">
        <f>IF($H2244&lt;&gt;"","项目成本",IFERROR(INDEX(基础资料!$W$4:$W$49,MATCH($I2244,基础资料!$V$4:$V$49,0)),""))</f>
        <v/>
      </c>
      <c r="X2244" s="63" t="str">
        <f>IFERROR(INDEX(基础资料!$R$4:$R$17,MATCH($G2244,基础资料!$Q$4:$Q$17,0)),"")</f>
        <v/>
      </c>
    </row>
    <row r="2245" spans="1:24">
      <c r="A2245" s="58" t="str">
        <f>IF($B2245="","",COUNTA($B$5:$B2245))</f>
        <v/>
      </c>
      <c r="B2245" s="53"/>
      <c r="C2245" s="46"/>
      <c r="D2245" s="63" t="str">
        <f>IFERROR(INDEX(基础资料!$F$4:$F$23,MATCH($C2245,基础资料!$E$4:$E$23,0)),IF($C2245="","","未匹配账户"))</f>
        <v/>
      </c>
      <c r="E2245" s="39"/>
      <c r="F2245" s="10"/>
      <c r="G2245" s="10"/>
      <c r="H2245" s="10"/>
      <c r="I2245" s="10"/>
      <c r="J2245" s="10"/>
      <c r="K2245" s="25"/>
      <c r="L2245" s="25"/>
      <c r="M2245" s="25" t="str">
        <f>IFERROR(VLOOKUP($C2245,$C$5:$M$24,11,0)+SUMIF($C$25:$C2245,$C2245,$K$25:$K2245)-SUMIF($C$25:$C2245,$C2245,$L$25:$L2245),"")</f>
        <v/>
      </c>
      <c r="N2245" s="10"/>
      <c r="O2245" s="10"/>
      <c r="P2245" s="65"/>
      <c r="Q2245" s="10"/>
      <c r="R2245" s="10"/>
      <c r="S2245" s="54" t="str">
        <f t="shared" si="108"/>
        <v/>
      </c>
      <c r="T2245" s="54" t="str">
        <f t="shared" si="109"/>
        <v/>
      </c>
      <c r="U2245" s="58" t="str">
        <f t="shared" si="110"/>
        <v/>
      </c>
      <c r="V2245" s="58">
        <f>IF(AND($B2245&lt;&gt;"",$F2245&lt;&gt;"",$F2245=项目明细账!$C$2),N(V2244)+1,N(V2244))</f>
        <v>0</v>
      </c>
      <c r="W2245" s="63" t="str">
        <f>IF($H2245&lt;&gt;"","项目成本",IFERROR(INDEX(基础资料!$W$4:$W$49,MATCH($I2245,基础资料!$V$4:$V$49,0)),""))</f>
        <v/>
      </c>
      <c r="X2245" s="63" t="str">
        <f>IFERROR(INDEX(基础资料!$R$4:$R$17,MATCH($G2245,基础资料!$Q$4:$Q$17,0)),"")</f>
        <v/>
      </c>
    </row>
    <row r="2246" spans="1:24">
      <c r="A2246" s="58" t="str">
        <f>IF($B2246="","",COUNTA($B$5:$B2246))</f>
        <v/>
      </c>
      <c r="B2246" s="53"/>
      <c r="C2246" s="46"/>
      <c r="D2246" s="63" t="str">
        <f>IFERROR(INDEX(基础资料!$F$4:$F$23,MATCH($C2246,基础资料!$E$4:$E$23,0)),IF($C2246="","","未匹配账户"))</f>
        <v/>
      </c>
      <c r="E2246" s="39"/>
      <c r="F2246" s="10"/>
      <c r="G2246" s="10"/>
      <c r="H2246" s="10"/>
      <c r="I2246" s="10"/>
      <c r="J2246" s="10"/>
      <c r="K2246" s="25"/>
      <c r="L2246" s="25"/>
      <c r="M2246" s="25" t="str">
        <f>IFERROR(VLOOKUP($C2246,$C$5:$M$24,11,0)+SUMIF($C$25:$C2246,$C2246,$K$25:$K2246)-SUMIF($C$25:$C2246,$C2246,$L$25:$L2246),"")</f>
        <v/>
      </c>
      <c r="N2246" s="10"/>
      <c r="O2246" s="10"/>
      <c r="P2246" s="65"/>
      <c r="Q2246" s="10"/>
      <c r="R2246" s="10"/>
      <c r="S2246" s="54" t="str">
        <f t="shared" si="108"/>
        <v/>
      </c>
      <c r="T2246" s="54" t="str">
        <f t="shared" si="109"/>
        <v/>
      </c>
      <c r="U2246" s="58" t="str">
        <f t="shared" si="110"/>
        <v/>
      </c>
      <c r="V2246" s="58">
        <f>IF(AND($B2246&lt;&gt;"",$F2246&lt;&gt;"",$F2246=项目明细账!$C$2),N(V2245)+1,N(V2245))</f>
        <v>0</v>
      </c>
      <c r="W2246" s="63" t="str">
        <f>IF($H2246&lt;&gt;"","项目成本",IFERROR(INDEX(基础资料!$W$4:$W$49,MATCH($I2246,基础资料!$V$4:$V$49,0)),""))</f>
        <v/>
      </c>
      <c r="X2246" s="63" t="str">
        <f>IFERROR(INDEX(基础资料!$R$4:$R$17,MATCH($G2246,基础资料!$Q$4:$Q$17,0)),"")</f>
        <v/>
      </c>
    </row>
    <row r="2247" spans="1:24">
      <c r="A2247" s="58" t="str">
        <f>IF($B2247="","",COUNTA($B$5:$B2247))</f>
        <v/>
      </c>
      <c r="B2247" s="53"/>
      <c r="C2247" s="46"/>
      <c r="D2247" s="63" t="str">
        <f>IFERROR(INDEX(基础资料!$F$4:$F$23,MATCH($C2247,基础资料!$E$4:$E$23,0)),IF($C2247="","","未匹配账户"))</f>
        <v/>
      </c>
      <c r="E2247" s="39"/>
      <c r="F2247" s="10"/>
      <c r="G2247" s="10"/>
      <c r="H2247" s="10"/>
      <c r="I2247" s="10"/>
      <c r="J2247" s="10"/>
      <c r="K2247" s="25"/>
      <c r="L2247" s="25"/>
      <c r="M2247" s="25" t="str">
        <f>IFERROR(VLOOKUP($C2247,$C$5:$M$24,11,0)+SUMIF($C$25:$C2247,$C2247,$K$25:$K2247)-SUMIF($C$25:$C2247,$C2247,$L$25:$L2247),"")</f>
        <v/>
      </c>
      <c r="N2247" s="10"/>
      <c r="O2247" s="10"/>
      <c r="P2247" s="65"/>
      <c r="Q2247" s="10"/>
      <c r="R2247" s="10"/>
      <c r="S2247" s="54" t="str">
        <f t="shared" ref="S2247:S2310" si="111">IF($B2247="","",--TEXT($B2247,"yyyymm"))</f>
        <v/>
      </c>
      <c r="T2247" s="54" t="str">
        <f t="shared" ref="T2247:T2310" si="112">IF($B2247="","",IF($P2247="",$S2247,IFERROR($P2247*1,$P2247)))</f>
        <v/>
      </c>
      <c r="U2247" s="58" t="str">
        <f t="shared" ref="U2247:U2310" si="113">IF($B2247="","",IF($T2247=$S2247,"","跨期"))</f>
        <v/>
      </c>
      <c r="V2247" s="58">
        <f>IF(AND($B2247&lt;&gt;"",$F2247&lt;&gt;"",$F2247=项目明细账!$C$2),N(V2246)+1,N(V2246))</f>
        <v>0</v>
      </c>
      <c r="W2247" s="63" t="str">
        <f>IF($H2247&lt;&gt;"","项目成本",IFERROR(INDEX(基础资料!$W$4:$W$49,MATCH($I2247,基础资料!$V$4:$V$49,0)),""))</f>
        <v/>
      </c>
      <c r="X2247" s="63" t="str">
        <f>IFERROR(INDEX(基础资料!$R$4:$R$17,MATCH($G2247,基础资料!$Q$4:$Q$17,0)),"")</f>
        <v/>
      </c>
    </row>
    <row r="2248" spans="1:24">
      <c r="A2248" s="58" t="str">
        <f>IF($B2248="","",COUNTA($B$5:$B2248))</f>
        <v/>
      </c>
      <c r="B2248" s="53"/>
      <c r="C2248" s="46"/>
      <c r="D2248" s="63" t="str">
        <f>IFERROR(INDEX(基础资料!$F$4:$F$23,MATCH($C2248,基础资料!$E$4:$E$23,0)),IF($C2248="","","未匹配账户"))</f>
        <v/>
      </c>
      <c r="E2248" s="39"/>
      <c r="F2248" s="10"/>
      <c r="G2248" s="10"/>
      <c r="H2248" s="10"/>
      <c r="I2248" s="10"/>
      <c r="J2248" s="10"/>
      <c r="K2248" s="25"/>
      <c r="L2248" s="25"/>
      <c r="M2248" s="25" t="str">
        <f>IFERROR(VLOOKUP($C2248,$C$5:$M$24,11,0)+SUMIF($C$25:$C2248,$C2248,$K$25:$K2248)-SUMIF($C$25:$C2248,$C2248,$L$25:$L2248),"")</f>
        <v/>
      </c>
      <c r="N2248" s="10"/>
      <c r="O2248" s="10"/>
      <c r="P2248" s="65"/>
      <c r="Q2248" s="10"/>
      <c r="R2248" s="10"/>
      <c r="S2248" s="54" t="str">
        <f t="shared" si="111"/>
        <v/>
      </c>
      <c r="T2248" s="54" t="str">
        <f t="shared" si="112"/>
        <v/>
      </c>
      <c r="U2248" s="58" t="str">
        <f t="shared" si="113"/>
        <v/>
      </c>
      <c r="V2248" s="58">
        <f>IF(AND($B2248&lt;&gt;"",$F2248&lt;&gt;"",$F2248=项目明细账!$C$2),N(V2247)+1,N(V2247))</f>
        <v>0</v>
      </c>
      <c r="W2248" s="63" t="str">
        <f>IF($H2248&lt;&gt;"","项目成本",IFERROR(INDEX(基础资料!$W$4:$W$49,MATCH($I2248,基础资料!$V$4:$V$49,0)),""))</f>
        <v/>
      </c>
      <c r="X2248" s="63" t="str">
        <f>IFERROR(INDEX(基础资料!$R$4:$R$17,MATCH($G2248,基础资料!$Q$4:$Q$17,0)),"")</f>
        <v/>
      </c>
    </row>
    <row r="2249" spans="1:24">
      <c r="A2249" s="58" t="str">
        <f>IF($B2249="","",COUNTA($B$5:$B2249))</f>
        <v/>
      </c>
      <c r="B2249" s="53"/>
      <c r="C2249" s="46"/>
      <c r="D2249" s="63" t="str">
        <f>IFERROR(INDEX(基础资料!$F$4:$F$23,MATCH($C2249,基础资料!$E$4:$E$23,0)),IF($C2249="","","未匹配账户"))</f>
        <v/>
      </c>
      <c r="E2249" s="39"/>
      <c r="F2249" s="10"/>
      <c r="G2249" s="10"/>
      <c r="H2249" s="10"/>
      <c r="I2249" s="10"/>
      <c r="J2249" s="10"/>
      <c r="K2249" s="25"/>
      <c r="L2249" s="25"/>
      <c r="M2249" s="25" t="str">
        <f>IFERROR(VLOOKUP($C2249,$C$5:$M$24,11,0)+SUMIF($C$25:$C2249,$C2249,$K$25:$K2249)-SUMIF($C$25:$C2249,$C2249,$L$25:$L2249),"")</f>
        <v/>
      </c>
      <c r="N2249" s="10"/>
      <c r="O2249" s="10"/>
      <c r="P2249" s="65"/>
      <c r="Q2249" s="10"/>
      <c r="R2249" s="10"/>
      <c r="S2249" s="54" t="str">
        <f t="shared" si="111"/>
        <v/>
      </c>
      <c r="T2249" s="54" t="str">
        <f t="shared" si="112"/>
        <v/>
      </c>
      <c r="U2249" s="58" t="str">
        <f t="shared" si="113"/>
        <v/>
      </c>
      <c r="V2249" s="58">
        <f>IF(AND($B2249&lt;&gt;"",$F2249&lt;&gt;"",$F2249=项目明细账!$C$2),N(V2248)+1,N(V2248))</f>
        <v>0</v>
      </c>
      <c r="W2249" s="63" t="str">
        <f>IF($H2249&lt;&gt;"","项目成本",IFERROR(INDEX(基础资料!$W$4:$W$49,MATCH($I2249,基础资料!$V$4:$V$49,0)),""))</f>
        <v/>
      </c>
      <c r="X2249" s="63" t="str">
        <f>IFERROR(INDEX(基础资料!$R$4:$R$17,MATCH($G2249,基础资料!$Q$4:$Q$17,0)),"")</f>
        <v/>
      </c>
    </row>
    <row r="2250" spans="1:24">
      <c r="A2250" s="58" t="str">
        <f>IF($B2250="","",COUNTA($B$5:$B2250))</f>
        <v/>
      </c>
      <c r="B2250" s="53"/>
      <c r="C2250" s="46"/>
      <c r="D2250" s="63" t="str">
        <f>IFERROR(INDEX(基础资料!$F$4:$F$23,MATCH($C2250,基础资料!$E$4:$E$23,0)),IF($C2250="","","未匹配账户"))</f>
        <v/>
      </c>
      <c r="E2250" s="39"/>
      <c r="F2250" s="10"/>
      <c r="G2250" s="10"/>
      <c r="H2250" s="10"/>
      <c r="I2250" s="10"/>
      <c r="J2250" s="10"/>
      <c r="K2250" s="25"/>
      <c r="L2250" s="25"/>
      <c r="M2250" s="25" t="str">
        <f>IFERROR(VLOOKUP($C2250,$C$5:$M$24,11,0)+SUMIF($C$25:$C2250,$C2250,$K$25:$K2250)-SUMIF($C$25:$C2250,$C2250,$L$25:$L2250),"")</f>
        <v/>
      </c>
      <c r="N2250" s="10"/>
      <c r="O2250" s="10"/>
      <c r="P2250" s="65"/>
      <c r="Q2250" s="10"/>
      <c r="R2250" s="10"/>
      <c r="S2250" s="54" t="str">
        <f t="shared" si="111"/>
        <v/>
      </c>
      <c r="T2250" s="54" t="str">
        <f t="shared" si="112"/>
        <v/>
      </c>
      <c r="U2250" s="58" t="str">
        <f t="shared" si="113"/>
        <v/>
      </c>
      <c r="V2250" s="58">
        <f>IF(AND($B2250&lt;&gt;"",$F2250&lt;&gt;"",$F2250=项目明细账!$C$2),N(V2249)+1,N(V2249))</f>
        <v>0</v>
      </c>
      <c r="W2250" s="63" t="str">
        <f>IF($H2250&lt;&gt;"","项目成本",IFERROR(INDEX(基础资料!$W$4:$W$49,MATCH($I2250,基础资料!$V$4:$V$49,0)),""))</f>
        <v/>
      </c>
      <c r="X2250" s="63" t="str">
        <f>IFERROR(INDEX(基础资料!$R$4:$R$17,MATCH($G2250,基础资料!$Q$4:$Q$17,0)),"")</f>
        <v/>
      </c>
    </row>
    <row r="2251" spans="1:24">
      <c r="A2251" s="58" t="str">
        <f>IF($B2251="","",COUNTA($B$5:$B2251))</f>
        <v/>
      </c>
      <c r="B2251" s="53"/>
      <c r="C2251" s="46"/>
      <c r="D2251" s="63" t="str">
        <f>IFERROR(INDEX(基础资料!$F$4:$F$23,MATCH($C2251,基础资料!$E$4:$E$23,0)),IF($C2251="","","未匹配账户"))</f>
        <v/>
      </c>
      <c r="E2251" s="39"/>
      <c r="F2251" s="10"/>
      <c r="G2251" s="10"/>
      <c r="H2251" s="10"/>
      <c r="I2251" s="10"/>
      <c r="J2251" s="10"/>
      <c r="K2251" s="25"/>
      <c r="L2251" s="25"/>
      <c r="M2251" s="25" t="str">
        <f>IFERROR(VLOOKUP($C2251,$C$5:$M$24,11,0)+SUMIF($C$25:$C2251,$C2251,$K$25:$K2251)-SUMIF($C$25:$C2251,$C2251,$L$25:$L2251),"")</f>
        <v/>
      </c>
      <c r="N2251" s="10"/>
      <c r="O2251" s="10"/>
      <c r="P2251" s="65"/>
      <c r="Q2251" s="10"/>
      <c r="R2251" s="10"/>
      <c r="S2251" s="54" t="str">
        <f t="shared" si="111"/>
        <v/>
      </c>
      <c r="T2251" s="54" t="str">
        <f t="shared" si="112"/>
        <v/>
      </c>
      <c r="U2251" s="58" t="str">
        <f t="shared" si="113"/>
        <v/>
      </c>
      <c r="V2251" s="58">
        <f>IF(AND($B2251&lt;&gt;"",$F2251&lt;&gt;"",$F2251=项目明细账!$C$2),N(V2250)+1,N(V2250))</f>
        <v>0</v>
      </c>
      <c r="W2251" s="63" t="str">
        <f>IF($H2251&lt;&gt;"","项目成本",IFERROR(INDEX(基础资料!$W$4:$W$49,MATCH($I2251,基础资料!$V$4:$V$49,0)),""))</f>
        <v/>
      </c>
      <c r="X2251" s="63" t="str">
        <f>IFERROR(INDEX(基础资料!$R$4:$R$17,MATCH($G2251,基础资料!$Q$4:$Q$17,0)),"")</f>
        <v/>
      </c>
    </row>
    <row r="2252" spans="1:24">
      <c r="A2252" s="58" t="str">
        <f>IF($B2252="","",COUNTA($B$5:$B2252))</f>
        <v/>
      </c>
      <c r="B2252" s="53"/>
      <c r="C2252" s="46"/>
      <c r="D2252" s="63" t="str">
        <f>IFERROR(INDEX(基础资料!$F$4:$F$23,MATCH($C2252,基础资料!$E$4:$E$23,0)),IF($C2252="","","未匹配账户"))</f>
        <v/>
      </c>
      <c r="E2252" s="39"/>
      <c r="F2252" s="10"/>
      <c r="G2252" s="10"/>
      <c r="H2252" s="10"/>
      <c r="I2252" s="10"/>
      <c r="J2252" s="10"/>
      <c r="K2252" s="25"/>
      <c r="L2252" s="25"/>
      <c r="M2252" s="25" t="str">
        <f>IFERROR(VLOOKUP($C2252,$C$5:$M$24,11,0)+SUMIF($C$25:$C2252,$C2252,$K$25:$K2252)-SUMIF($C$25:$C2252,$C2252,$L$25:$L2252),"")</f>
        <v/>
      </c>
      <c r="N2252" s="10"/>
      <c r="O2252" s="10"/>
      <c r="P2252" s="65"/>
      <c r="Q2252" s="10"/>
      <c r="R2252" s="10"/>
      <c r="S2252" s="54" t="str">
        <f t="shared" si="111"/>
        <v/>
      </c>
      <c r="T2252" s="54" t="str">
        <f t="shared" si="112"/>
        <v/>
      </c>
      <c r="U2252" s="58" t="str">
        <f t="shared" si="113"/>
        <v/>
      </c>
      <c r="V2252" s="58">
        <f>IF(AND($B2252&lt;&gt;"",$F2252&lt;&gt;"",$F2252=项目明细账!$C$2),N(V2251)+1,N(V2251))</f>
        <v>0</v>
      </c>
      <c r="W2252" s="63" t="str">
        <f>IF($H2252&lt;&gt;"","项目成本",IFERROR(INDEX(基础资料!$W$4:$W$49,MATCH($I2252,基础资料!$V$4:$V$49,0)),""))</f>
        <v/>
      </c>
      <c r="X2252" s="63" t="str">
        <f>IFERROR(INDEX(基础资料!$R$4:$R$17,MATCH($G2252,基础资料!$Q$4:$Q$17,0)),"")</f>
        <v/>
      </c>
    </row>
    <row r="2253" spans="1:24">
      <c r="A2253" s="58" t="str">
        <f>IF($B2253="","",COUNTA($B$5:$B2253))</f>
        <v/>
      </c>
      <c r="B2253" s="53"/>
      <c r="C2253" s="46"/>
      <c r="D2253" s="63" t="str">
        <f>IFERROR(INDEX(基础资料!$F$4:$F$23,MATCH($C2253,基础资料!$E$4:$E$23,0)),IF($C2253="","","未匹配账户"))</f>
        <v/>
      </c>
      <c r="E2253" s="39"/>
      <c r="F2253" s="10"/>
      <c r="G2253" s="10"/>
      <c r="H2253" s="10"/>
      <c r="I2253" s="10"/>
      <c r="J2253" s="10"/>
      <c r="K2253" s="25"/>
      <c r="L2253" s="25"/>
      <c r="M2253" s="25" t="str">
        <f>IFERROR(VLOOKUP($C2253,$C$5:$M$24,11,0)+SUMIF($C$25:$C2253,$C2253,$K$25:$K2253)-SUMIF($C$25:$C2253,$C2253,$L$25:$L2253),"")</f>
        <v/>
      </c>
      <c r="N2253" s="10"/>
      <c r="O2253" s="10"/>
      <c r="P2253" s="65"/>
      <c r="Q2253" s="10"/>
      <c r="R2253" s="10"/>
      <c r="S2253" s="54" t="str">
        <f t="shared" si="111"/>
        <v/>
      </c>
      <c r="T2253" s="54" t="str">
        <f t="shared" si="112"/>
        <v/>
      </c>
      <c r="U2253" s="58" t="str">
        <f t="shared" si="113"/>
        <v/>
      </c>
      <c r="V2253" s="58">
        <f>IF(AND($B2253&lt;&gt;"",$F2253&lt;&gt;"",$F2253=项目明细账!$C$2),N(V2252)+1,N(V2252))</f>
        <v>0</v>
      </c>
      <c r="W2253" s="63" t="str">
        <f>IF($H2253&lt;&gt;"","项目成本",IFERROR(INDEX(基础资料!$W$4:$W$49,MATCH($I2253,基础资料!$V$4:$V$49,0)),""))</f>
        <v/>
      </c>
      <c r="X2253" s="63" t="str">
        <f>IFERROR(INDEX(基础资料!$R$4:$R$17,MATCH($G2253,基础资料!$Q$4:$Q$17,0)),"")</f>
        <v/>
      </c>
    </row>
    <row r="2254" spans="1:24">
      <c r="A2254" s="58" t="str">
        <f>IF($B2254="","",COUNTA($B$5:$B2254))</f>
        <v/>
      </c>
      <c r="B2254" s="53"/>
      <c r="C2254" s="46"/>
      <c r="D2254" s="63" t="str">
        <f>IFERROR(INDEX(基础资料!$F$4:$F$23,MATCH($C2254,基础资料!$E$4:$E$23,0)),IF($C2254="","","未匹配账户"))</f>
        <v/>
      </c>
      <c r="E2254" s="39"/>
      <c r="F2254" s="10"/>
      <c r="G2254" s="10"/>
      <c r="H2254" s="10"/>
      <c r="I2254" s="10"/>
      <c r="J2254" s="10"/>
      <c r="K2254" s="25"/>
      <c r="L2254" s="25"/>
      <c r="M2254" s="25" t="str">
        <f>IFERROR(VLOOKUP($C2254,$C$5:$M$24,11,0)+SUMIF($C$25:$C2254,$C2254,$K$25:$K2254)-SUMIF($C$25:$C2254,$C2254,$L$25:$L2254),"")</f>
        <v/>
      </c>
      <c r="N2254" s="10"/>
      <c r="O2254" s="10"/>
      <c r="P2254" s="65"/>
      <c r="Q2254" s="10"/>
      <c r="R2254" s="10"/>
      <c r="S2254" s="54" t="str">
        <f t="shared" si="111"/>
        <v/>
      </c>
      <c r="T2254" s="54" t="str">
        <f t="shared" si="112"/>
        <v/>
      </c>
      <c r="U2254" s="58" t="str">
        <f t="shared" si="113"/>
        <v/>
      </c>
      <c r="V2254" s="58">
        <f>IF(AND($B2254&lt;&gt;"",$F2254&lt;&gt;"",$F2254=项目明细账!$C$2),N(V2253)+1,N(V2253))</f>
        <v>0</v>
      </c>
      <c r="W2254" s="63" t="str">
        <f>IF($H2254&lt;&gt;"","项目成本",IFERROR(INDEX(基础资料!$W$4:$W$49,MATCH($I2254,基础资料!$V$4:$V$49,0)),""))</f>
        <v/>
      </c>
      <c r="X2254" s="63" t="str">
        <f>IFERROR(INDEX(基础资料!$R$4:$R$17,MATCH($G2254,基础资料!$Q$4:$Q$17,0)),"")</f>
        <v/>
      </c>
    </row>
    <row r="2255" spans="1:24">
      <c r="A2255" s="58" t="str">
        <f>IF($B2255="","",COUNTA($B$5:$B2255))</f>
        <v/>
      </c>
      <c r="B2255" s="53"/>
      <c r="C2255" s="46"/>
      <c r="D2255" s="63" t="str">
        <f>IFERROR(INDEX(基础资料!$F$4:$F$23,MATCH($C2255,基础资料!$E$4:$E$23,0)),IF($C2255="","","未匹配账户"))</f>
        <v/>
      </c>
      <c r="E2255" s="39"/>
      <c r="F2255" s="10"/>
      <c r="G2255" s="10"/>
      <c r="H2255" s="10"/>
      <c r="I2255" s="10"/>
      <c r="J2255" s="10"/>
      <c r="K2255" s="25"/>
      <c r="L2255" s="25"/>
      <c r="M2255" s="25" t="str">
        <f>IFERROR(VLOOKUP($C2255,$C$5:$M$24,11,0)+SUMIF($C$25:$C2255,$C2255,$K$25:$K2255)-SUMIF($C$25:$C2255,$C2255,$L$25:$L2255),"")</f>
        <v/>
      </c>
      <c r="N2255" s="10"/>
      <c r="O2255" s="10"/>
      <c r="P2255" s="65"/>
      <c r="Q2255" s="10"/>
      <c r="R2255" s="10"/>
      <c r="S2255" s="54" t="str">
        <f t="shared" si="111"/>
        <v/>
      </c>
      <c r="T2255" s="54" t="str">
        <f t="shared" si="112"/>
        <v/>
      </c>
      <c r="U2255" s="58" t="str">
        <f t="shared" si="113"/>
        <v/>
      </c>
      <c r="V2255" s="58">
        <f>IF(AND($B2255&lt;&gt;"",$F2255&lt;&gt;"",$F2255=项目明细账!$C$2),N(V2254)+1,N(V2254))</f>
        <v>0</v>
      </c>
      <c r="W2255" s="63" t="str">
        <f>IF($H2255&lt;&gt;"","项目成本",IFERROR(INDEX(基础资料!$W$4:$W$49,MATCH($I2255,基础资料!$V$4:$V$49,0)),""))</f>
        <v/>
      </c>
      <c r="X2255" s="63" t="str">
        <f>IFERROR(INDEX(基础资料!$R$4:$R$17,MATCH($G2255,基础资料!$Q$4:$Q$17,0)),"")</f>
        <v/>
      </c>
    </row>
    <row r="2256" spans="1:24">
      <c r="A2256" s="58" t="str">
        <f>IF($B2256="","",COUNTA($B$5:$B2256))</f>
        <v/>
      </c>
      <c r="B2256" s="53"/>
      <c r="C2256" s="46"/>
      <c r="D2256" s="63" t="str">
        <f>IFERROR(INDEX(基础资料!$F$4:$F$23,MATCH($C2256,基础资料!$E$4:$E$23,0)),IF($C2256="","","未匹配账户"))</f>
        <v/>
      </c>
      <c r="E2256" s="39"/>
      <c r="F2256" s="10"/>
      <c r="G2256" s="10"/>
      <c r="H2256" s="10"/>
      <c r="I2256" s="10"/>
      <c r="J2256" s="10"/>
      <c r="K2256" s="25"/>
      <c r="L2256" s="25"/>
      <c r="M2256" s="25" t="str">
        <f>IFERROR(VLOOKUP($C2256,$C$5:$M$24,11,0)+SUMIF($C$25:$C2256,$C2256,$K$25:$K2256)-SUMIF($C$25:$C2256,$C2256,$L$25:$L2256),"")</f>
        <v/>
      </c>
      <c r="N2256" s="10"/>
      <c r="O2256" s="10"/>
      <c r="P2256" s="65"/>
      <c r="Q2256" s="10"/>
      <c r="R2256" s="10"/>
      <c r="S2256" s="54" t="str">
        <f t="shared" si="111"/>
        <v/>
      </c>
      <c r="T2256" s="54" t="str">
        <f t="shared" si="112"/>
        <v/>
      </c>
      <c r="U2256" s="58" t="str">
        <f t="shared" si="113"/>
        <v/>
      </c>
      <c r="V2256" s="58">
        <f>IF(AND($B2256&lt;&gt;"",$F2256&lt;&gt;"",$F2256=项目明细账!$C$2),N(V2255)+1,N(V2255))</f>
        <v>0</v>
      </c>
      <c r="W2256" s="63" t="str">
        <f>IF($H2256&lt;&gt;"","项目成本",IFERROR(INDEX(基础资料!$W$4:$W$49,MATCH($I2256,基础资料!$V$4:$V$49,0)),""))</f>
        <v/>
      </c>
      <c r="X2256" s="63" t="str">
        <f>IFERROR(INDEX(基础资料!$R$4:$R$17,MATCH($G2256,基础资料!$Q$4:$Q$17,0)),"")</f>
        <v/>
      </c>
    </row>
    <row r="2257" spans="1:24">
      <c r="A2257" s="58" t="str">
        <f>IF($B2257="","",COUNTA($B$5:$B2257))</f>
        <v/>
      </c>
      <c r="B2257" s="53"/>
      <c r="C2257" s="46"/>
      <c r="D2257" s="63" t="str">
        <f>IFERROR(INDEX(基础资料!$F$4:$F$23,MATCH($C2257,基础资料!$E$4:$E$23,0)),IF($C2257="","","未匹配账户"))</f>
        <v/>
      </c>
      <c r="E2257" s="39"/>
      <c r="F2257" s="10"/>
      <c r="G2257" s="10"/>
      <c r="H2257" s="10"/>
      <c r="I2257" s="10"/>
      <c r="J2257" s="10"/>
      <c r="K2257" s="25"/>
      <c r="L2257" s="25"/>
      <c r="M2257" s="25" t="str">
        <f>IFERROR(VLOOKUP($C2257,$C$5:$M$24,11,0)+SUMIF($C$25:$C2257,$C2257,$K$25:$K2257)-SUMIF($C$25:$C2257,$C2257,$L$25:$L2257),"")</f>
        <v/>
      </c>
      <c r="N2257" s="10"/>
      <c r="O2257" s="10"/>
      <c r="P2257" s="65"/>
      <c r="Q2257" s="10"/>
      <c r="R2257" s="10"/>
      <c r="S2257" s="54" t="str">
        <f t="shared" si="111"/>
        <v/>
      </c>
      <c r="T2257" s="54" t="str">
        <f t="shared" si="112"/>
        <v/>
      </c>
      <c r="U2257" s="58" t="str">
        <f t="shared" si="113"/>
        <v/>
      </c>
      <c r="V2257" s="58">
        <f>IF(AND($B2257&lt;&gt;"",$F2257&lt;&gt;"",$F2257=项目明细账!$C$2),N(V2256)+1,N(V2256))</f>
        <v>0</v>
      </c>
      <c r="W2257" s="63" t="str">
        <f>IF($H2257&lt;&gt;"","项目成本",IFERROR(INDEX(基础资料!$W$4:$W$49,MATCH($I2257,基础资料!$V$4:$V$49,0)),""))</f>
        <v/>
      </c>
      <c r="X2257" s="63" t="str">
        <f>IFERROR(INDEX(基础资料!$R$4:$R$17,MATCH($G2257,基础资料!$Q$4:$Q$17,0)),"")</f>
        <v/>
      </c>
    </row>
    <row r="2258" spans="1:24">
      <c r="A2258" s="58" t="str">
        <f>IF($B2258="","",COUNTA($B$5:$B2258))</f>
        <v/>
      </c>
      <c r="B2258" s="53"/>
      <c r="C2258" s="46"/>
      <c r="D2258" s="63" t="str">
        <f>IFERROR(INDEX(基础资料!$F$4:$F$23,MATCH($C2258,基础资料!$E$4:$E$23,0)),IF($C2258="","","未匹配账户"))</f>
        <v/>
      </c>
      <c r="E2258" s="39"/>
      <c r="F2258" s="10"/>
      <c r="G2258" s="10"/>
      <c r="H2258" s="10"/>
      <c r="I2258" s="10"/>
      <c r="J2258" s="10"/>
      <c r="K2258" s="25"/>
      <c r="L2258" s="25"/>
      <c r="M2258" s="25" t="str">
        <f>IFERROR(VLOOKUP($C2258,$C$5:$M$24,11,0)+SUMIF($C$25:$C2258,$C2258,$K$25:$K2258)-SUMIF($C$25:$C2258,$C2258,$L$25:$L2258),"")</f>
        <v/>
      </c>
      <c r="N2258" s="10"/>
      <c r="O2258" s="10"/>
      <c r="P2258" s="65"/>
      <c r="Q2258" s="10"/>
      <c r="R2258" s="10"/>
      <c r="S2258" s="54" t="str">
        <f t="shared" si="111"/>
        <v/>
      </c>
      <c r="T2258" s="54" t="str">
        <f t="shared" si="112"/>
        <v/>
      </c>
      <c r="U2258" s="58" t="str">
        <f t="shared" si="113"/>
        <v/>
      </c>
      <c r="V2258" s="58">
        <f>IF(AND($B2258&lt;&gt;"",$F2258&lt;&gt;"",$F2258=项目明细账!$C$2),N(V2257)+1,N(V2257))</f>
        <v>0</v>
      </c>
      <c r="W2258" s="63" t="str">
        <f>IF($H2258&lt;&gt;"","项目成本",IFERROR(INDEX(基础资料!$W$4:$W$49,MATCH($I2258,基础资料!$V$4:$V$49,0)),""))</f>
        <v/>
      </c>
      <c r="X2258" s="63" t="str">
        <f>IFERROR(INDEX(基础资料!$R$4:$R$17,MATCH($G2258,基础资料!$Q$4:$Q$17,0)),"")</f>
        <v/>
      </c>
    </row>
    <row r="2259" spans="1:24">
      <c r="A2259" s="58" t="str">
        <f>IF($B2259="","",COUNTA($B$5:$B2259))</f>
        <v/>
      </c>
      <c r="B2259" s="53"/>
      <c r="C2259" s="46"/>
      <c r="D2259" s="63" t="str">
        <f>IFERROR(INDEX(基础资料!$F$4:$F$23,MATCH($C2259,基础资料!$E$4:$E$23,0)),IF($C2259="","","未匹配账户"))</f>
        <v/>
      </c>
      <c r="E2259" s="39"/>
      <c r="F2259" s="10"/>
      <c r="G2259" s="10"/>
      <c r="H2259" s="10"/>
      <c r="I2259" s="10"/>
      <c r="J2259" s="10"/>
      <c r="K2259" s="25"/>
      <c r="L2259" s="25"/>
      <c r="M2259" s="25" t="str">
        <f>IFERROR(VLOOKUP($C2259,$C$5:$M$24,11,0)+SUMIF($C$25:$C2259,$C2259,$K$25:$K2259)-SUMIF($C$25:$C2259,$C2259,$L$25:$L2259),"")</f>
        <v/>
      </c>
      <c r="N2259" s="10"/>
      <c r="O2259" s="10"/>
      <c r="P2259" s="65"/>
      <c r="Q2259" s="10"/>
      <c r="R2259" s="10"/>
      <c r="S2259" s="54" t="str">
        <f t="shared" si="111"/>
        <v/>
      </c>
      <c r="T2259" s="54" t="str">
        <f t="shared" si="112"/>
        <v/>
      </c>
      <c r="U2259" s="58" t="str">
        <f t="shared" si="113"/>
        <v/>
      </c>
      <c r="V2259" s="58">
        <f>IF(AND($B2259&lt;&gt;"",$F2259&lt;&gt;"",$F2259=项目明细账!$C$2),N(V2258)+1,N(V2258))</f>
        <v>0</v>
      </c>
      <c r="W2259" s="63" t="str">
        <f>IF($H2259&lt;&gt;"","项目成本",IFERROR(INDEX(基础资料!$W$4:$W$49,MATCH($I2259,基础资料!$V$4:$V$49,0)),""))</f>
        <v/>
      </c>
      <c r="X2259" s="63" t="str">
        <f>IFERROR(INDEX(基础资料!$R$4:$R$17,MATCH($G2259,基础资料!$Q$4:$Q$17,0)),"")</f>
        <v/>
      </c>
    </row>
    <row r="2260" spans="1:24">
      <c r="A2260" s="58" t="str">
        <f>IF($B2260="","",COUNTA($B$5:$B2260))</f>
        <v/>
      </c>
      <c r="B2260" s="53"/>
      <c r="C2260" s="46"/>
      <c r="D2260" s="63" t="str">
        <f>IFERROR(INDEX(基础资料!$F$4:$F$23,MATCH($C2260,基础资料!$E$4:$E$23,0)),IF($C2260="","","未匹配账户"))</f>
        <v/>
      </c>
      <c r="E2260" s="39"/>
      <c r="F2260" s="10"/>
      <c r="G2260" s="10"/>
      <c r="H2260" s="10"/>
      <c r="I2260" s="10"/>
      <c r="J2260" s="10"/>
      <c r="K2260" s="25"/>
      <c r="L2260" s="25"/>
      <c r="M2260" s="25" t="str">
        <f>IFERROR(VLOOKUP($C2260,$C$5:$M$24,11,0)+SUMIF($C$25:$C2260,$C2260,$K$25:$K2260)-SUMIF($C$25:$C2260,$C2260,$L$25:$L2260),"")</f>
        <v/>
      </c>
      <c r="N2260" s="10"/>
      <c r="O2260" s="10"/>
      <c r="P2260" s="65"/>
      <c r="Q2260" s="10"/>
      <c r="R2260" s="10"/>
      <c r="S2260" s="54" t="str">
        <f t="shared" si="111"/>
        <v/>
      </c>
      <c r="T2260" s="54" t="str">
        <f t="shared" si="112"/>
        <v/>
      </c>
      <c r="U2260" s="58" t="str">
        <f t="shared" si="113"/>
        <v/>
      </c>
      <c r="V2260" s="58">
        <f>IF(AND($B2260&lt;&gt;"",$F2260&lt;&gt;"",$F2260=项目明细账!$C$2),N(V2259)+1,N(V2259))</f>
        <v>0</v>
      </c>
      <c r="W2260" s="63" t="str">
        <f>IF($H2260&lt;&gt;"","项目成本",IFERROR(INDEX(基础资料!$W$4:$W$49,MATCH($I2260,基础资料!$V$4:$V$49,0)),""))</f>
        <v/>
      </c>
      <c r="X2260" s="63" t="str">
        <f>IFERROR(INDEX(基础资料!$R$4:$R$17,MATCH($G2260,基础资料!$Q$4:$Q$17,0)),"")</f>
        <v/>
      </c>
    </row>
    <row r="2261" spans="1:24">
      <c r="A2261" s="58" t="str">
        <f>IF($B2261="","",COUNTA($B$5:$B2261))</f>
        <v/>
      </c>
      <c r="B2261" s="53"/>
      <c r="C2261" s="46"/>
      <c r="D2261" s="63" t="str">
        <f>IFERROR(INDEX(基础资料!$F$4:$F$23,MATCH($C2261,基础资料!$E$4:$E$23,0)),IF($C2261="","","未匹配账户"))</f>
        <v/>
      </c>
      <c r="E2261" s="39"/>
      <c r="F2261" s="10"/>
      <c r="G2261" s="10"/>
      <c r="H2261" s="10"/>
      <c r="I2261" s="10"/>
      <c r="J2261" s="10"/>
      <c r="K2261" s="25"/>
      <c r="L2261" s="25"/>
      <c r="M2261" s="25" t="str">
        <f>IFERROR(VLOOKUP($C2261,$C$5:$M$24,11,0)+SUMIF($C$25:$C2261,$C2261,$K$25:$K2261)-SUMIF($C$25:$C2261,$C2261,$L$25:$L2261),"")</f>
        <v/>
      </c>
      <c r="N2261" s="10"/>
      <c r="O2261" s="10"/>
      <c r="P2261" s="65"/>
      <c r="Q2261" s="10"/>
      <c r="R2261" s="10"/>
      <c r="S2261" s="54" t="str">
        <f t="shared" si="111"/>
        <v/>
      </c>
      <c r="T2261" s="54" t="str">
        <f t="shared" si="112"/>
        <v/>
      </c>
      <c r="U2261" s="58" t="str">
        <f t="shared" si="113"/>
        <v/>
      </c>
      <c r="V2261" s="58">
        <f>IF(AND($B2261&lt;&gt;"",$F2261&lt;&gt;"",$F2261=项目明细账!$C$2),N(V2260)+1,N(V2260))</f>
        <v>0</v>
      </c>
      <c r="W2261" s="63" t="str">
        <f>IF($H2261&lt;&gt;"","项目成本",IFERROR(INDEX(基础资料!$W$4:$W$49,MATCH($I2261,基础资料!$V$4:$V$49,0)),""))</f>
        <v/>
      </c>
      <c r="X2261" s="63" t="str">
        <f>IFERROR(INDEX(基础资料!$R$4:$R$17,MATCH($G2261,基础资料!$Q$4:$Q$17,0)),"")</f>
        <v/>
      </c>
    </row>
    <row r="2262" spans="1:24">
      <c r="A2262" s="58" t="str">
        <f>IF($B2262="","",COUNTA($B$5:$B2262))</f>
        <v/>
      </c>
      <c r="B2262" s="53"/>
      <c r="C2262" s="46"/>
      <c r="D2262" s="63" t="str">
        <f>IFERROR(INDEX(基础资料!$F$4:$F$23,MATCH($C2262,基础资料!$E$4:$E$23,0)),IF($C2262="","","未匹配账户"))</f>
        <v/>
      </c>
      <c r="E2262" s="39"/>
      <c r="F2262" s="10"/>
      <c r="G2262" s="10"/>
      <c r="H2262" s="10"/>
      <c r="I2262" s="10"/>
      <c r="J2262" s="10"/>
      <c r="K2262" s="25"/>
      <c r="L2262" s="25"/>
      <c r="M2262" s="25" t="str">
        <f>IFERROR(VLOOKUP($C2262,$C$5:$M$24,11,0)+SUMIF($C$25:$C2262,$C2262,$K$25:$K2262)-SUMIF($C$25:$C2262,$C2262,$L$25:$L2262),"")</f>
        <v/>
      </c>
      <c r="N2262" s="10"/>
      <c r="O2262" s="10"/>
      <c r="P2262" s="65"/>
      <c r="Q2262" s="10"/>
      <c r="R2262" s="10"/>
      <c r="S2262" s="54" t="str">
        <f t="shared" si="111"/>
        <v/>
      </c>
      <c r="T2262" s="54" t="str">
        <f t="shared" si="112"/>
        <v/>
      </c>
      <c r="U2262" s="58" t="str">
        <f t="shared" si="113"/>
        <v/>
      </c>
      <c r="V2262" s="58">
        <f>IF(AND($B2262&lt;&gt;"",$F2262&lt;&gt;"",$F2262=项目明细账!$C$2),N(V2261)+1,N(V2261))</f>
        <v>0</v>
      </c>
      <c r="W2262" s="63" t="str">
        <f>IF($H2262&lt;&gt;"","项目成本",IFERROR(INDEX(基础资料!$W$4:$W$49,MATCH($I2262,基础资料!$V$4:$V$49,0)),""))</f>
        <v/>
      </c>
      <c r="X2262" s="63" t="str">
        <f>IFERROR(INDEX(基础资料!$R$4:$R$17,MATCH($G2262,基础资料!$Q$4:$Q$17,0)),"")</f>
        <v/>
      </c>
    </row>
    <row r="2263" spans="1:24">
      <c r="A2263" s="58" t="str">
        <f>IF($B2263="","",COUNTA($B$5:$B2263))</f>
        <v/>
      </c>
      <c r="B2263" s="53"/>
      <c r="C2263" s="46"/>
      <c r="D2263" s="63" t="str">
        <f>IFERROR(INDEX(基础资料!$F$4:$F$23,MATCH($C2263,基础资料!$E$4:$E$23,0)),IF($C2263="","","未匹配账户"))</f>
        <v/>
      </c>
      <c r="E2263" s="39"/>
      <c r="F2263" s="10"/>
      <c r="G2263" s="10"/>
      <c r="H2263" s="10"/>
      <c r="I2263" s="10"/>
      <c r="J2263" s="10"/>
      <c r="K2263" s="25"/>
      <c r="L2263" s="25"/>
      <c r="M2263" s="25" t="str">
        <f>IFERROR(VLOOKUP($C2263,$C$5:$M$24,11,0)+SUMIF($C$25:$C2263,$C2263,$K$25:$K2263)-SUMIF($C$25:$C2263,$C2263,$L$25:$L2263),"")</f>
        <v/>
      </c>
      <c r="N2263" s="10"/>
      <c r="O2263" s="10"/>
      <c r="P2263" s="65"/>
      <c r="Q2263" s="10"/>
      <c r="R2263" s="10"/>
      <c r="S2263" s="54" t="str">
        <f t="shared" si="111"/>
        <v/>
      </c>
      <c r="T2263" s="54" t="str">
        <f t="shared" si="112"/>
        <v/>
      </c>
      <c r="U2263" s="58" t="str">
        <f t="shared" si="113"/>
        <v/>
      </c>
      <c r="V2263" s="58">
        <f>IF(AND($B2263&lt;&gt;"",$F2263&lt;&gt;"",$F2263=项目明细账!$C$2),N(V2262)+1,N(V2262))</f>
        <v>0</v>
      </c>
      <c r="W2263" s="63" t="str">
        <f>IF($H2263&lt;&gt;"","项目成本",IFERROR(INDEX(基础资料!$W$4:$W$49,MATCH($I2263,基础资料!$V$4:$V$49,0)),""))</f>
        <v/>
      </c>
      <c r="X2263" s="63" t="str">
        <f>IFERROR(INDEX(基础资料!$R$4:$R$17,MATCH($G2263,基础资料!$Q$4:$Q$17,0)),"")</f>
        <v/>
      </c>
    </row>
    <row r="2264" spans="1:24">
      <c r="A2264" s="58" t="str">
        <f>IF($B2264="","",COUNTA($B$5:$B2264))</f>
        <v/>
      </c>
      <c r="B2264" s="53"/>
      <c r="C2264" s="46"/>
      <c r="D2264" s="63" t="str">
        <f>IFERROR(INDEX(基础资料!$F$4:$F$23,MATCH($C2264,基础资料!$E$4:$E$23,0)),IF($C2264="","","未匹配账户"))</f>
        <v/>
      </c>
      <c r="E2264" s="39"/>
      <c r="F2264" s="10"/>
      <c r="G2264" s="10"/>
      <c r="H2264" s="10"/>
      <c r="I2264" s="10"/>
      <c r="J2264" s="10"/>
      <c r="K2264" s="25"/>
      <c r="L2264" s="25"/>
      <c r="M2264" s="25" t="str">
        <f>IFERROR(VLOOKUP($C2264,$C$5:$M$24,11,0)+SUMIF($C$25:$C2264,$C2264,$K$25:$K2264)-SUMIF($C$25:$C2264,$C2264,$L$25:$L2264),"")</f>
        <v/>
      </c>
      <c r="N2264" s="10"/>
      <c r="O2264" s="10"/>
      <c r="P2264" s="65"/>
      <c r="Q2264" s="10"/>
      <c r="R2264" s="10"/>
      <c r="S2264" s="54" t="str">
        <f t="shared" si="111"/>
        <v/>
      </c>
      <c r="T2264" s="54" t="str">
        <f t="shared" si="112"/>
        <v/>
      </c>
      <c r="U2264" s="58" t="str">
        <f t="shared" si="113"/>
        <v/>
      </c>
      <c r="V2264" s="58">
        <f>IF(AND($B2264&lt;&gt;"",$F2264&lt;&gt;"",$F2264=项目明细账!$C$2),N(V2263)+1,N(V2263))</f>
        <v>0</v>
      </c>
      <c r="W2264" s="63" t="str">
        <f>IF($H2264&lt;&gt;"","项目成本",IFERROR(INDEX(基础资料!$W$4:$W$49,MATCH($I2264,基础资料!$V$4:$V$49,0)),""))</f>
        <v/>
      </c>
      <c r="X2264" s="63" t="str">
        <f>IFERROR(INDEX(基础资料!$R$4:$R$17,MATCH($G2264,基础资料!$Q$4:$Q$17,0)),"")</f>
        <v/>
      </c>
    </row>
    <row r="2265" spans="1:24">
      <c r="A2265" s="58" t="str">
        <f>IF($B2265="","",COUNTA($B$5:$B2265))</f>
        <v/>
      </c>
      <c r="B2265" s="53"/>
      <c r="C2265" s="46"/>
      <c r="D2265" s="63" t="str">
        <f>IFERROR(INDEX(基础资料!$F$4:$F$23,MATCH($C2265,基础资料!$E$4:$E$23,0)),IF($C2265="","","未匹配账户"))</f>
        <v/>
      </c>
      <c r="E2265" s="39"/>
      <c r="F2265" s="10"/>
      <c r="G2265" s="10"/>
      <c r="H2265" s="10"/>
      <c r="I2265" s="10"/>
      <c r="J2265" s="10"/>
      <c r="K2265" s="25"/>
      <c r="L2265" s="25"/>
      <c r="M2265" s="25" t="str">
        <f>IFERROR(VLOOKUP($C2265,$C$5:$M$24,11,0)+SUMIF($C$25:$C2265,$C2265,$K$25:$K2265)-SUMIF($C$25:$C2265,$C2265,$L$25:$L2265),"")</f>
        <v/>
      </c>
      <c r="N2265" s="10"/>
      <c r="O2265" s="10"/>
      <c r="P2265" s="65"/>
      <c r="Q2265" s="10"/>
      <c r="R2265" s="10"/>
      <c r="S2265" s="54" t="str">
        <f t="shared" si="111"/>
        <v/>
      </c>
      <c r="T2265" s="54" t="str">
        <f t="shared" si="112"/>
        <v/>
      </c>
      <c r="U2265" s="58" t="str">
        <f t="shared" si="113"/>
        <v/>
      </c>
      <c r="V2265" s="58">
        <f>IF(AND($B2265&lt;&gt;"",$F2265&lt;&gt;"",$F2265=项目明细账!$C$2),N(V2264)+1,N(V2264))</f>
        <v>0</v>
      </c>
      <c r="W2265" s="63" t="str">
        <f>IF($H2265&lt;&gt;"","项目成本",IFERROR(INDEX(基础资料!$W$4:$W$49,MATCH($I2265,基础资料!$V$4:$V$49,0)),""))</f>
        <v/>
      </c>
      <c r="X2265" s="63" t="str">
        <f>IFERROR(INDEX(基础资料!$R$4:$R$17,MATCH($G2265,基础资料!$Q$4:$Q$17,0)),"")</f>
        <v/>
      </c>
    </row>
    <row r="2266" spans="1:24">
      <c r="A2266" s="58" t="str">
        <f>IF($B2266="","",COUNTA($B$5:$B2266))</f>
        <v/>
      </c>
      <c r="B2266" s="53"/>
      <c r="C2266" s="46"/>
      <c r="D2266" s="63" t="str">
        <f>IFERROR(INDEX(基础资料!$F$4:$F$23,MATCH($C2266,基础资料!$E$4:$E$23,0)),IF($C2266="","","未匹配账户"))</f>
        <v/>
      </c>
      <c r="E2266" s="39"/>
      <c r="F2266" s="10"/>
      <c r="G2266" s="10"/>
      <c r="H2266" s="10"/>
      <c r="I2266" s="10"/>
      <c r="J2266" s="10"/>
      <c r="K2266" s="25"/>
      <c r="L2266" s="25"/>
      <c r="M2266" s="25" t="str">
        <f>IFERROR(VLOOKUP($C2266,$C$5:$M$24,11,0)+SUMIF($C$25:$C2266,$C2266,$K$25:$K2266)-SUMIF($C$25:$C2266,$C2266,$L$25:$L2266),"")</f>
        <v/>
      </c>
      <c r="N2266" s="10"/>
      <c r="O2266" s="10"/>
      <c r="P2266" s="65"/>
      <c r="Q2266" s="10"/>
      <c r="R2266" s="10"/>
      <c r="S2266" s="54" t="str">
        <f t="shared" si="111"/>
        <v/>
      </c>
      <c r="T2266" s="54" t="str">
        <f t="shared" si="112"/>
        <v/>
      </c>
      <c r="U2266" s="58" t="str">
        <f t="shared" si="113"/>
        <v/>
      </c>
      <c r="V2266" s="58">
        <f>IF(AND($B2266&lt;&gt;"",$F2266&lt;&gt;"",$F2266=项目明细账!$C$2),N(V2265)+1,N(V2265))</f>
        <v>0</v>
      </c>
      <c r="W2266" s="63" t="str">
        <f>IF($H2266&lt;&gt;"","项目成本",IFERROR(INDEX(基础资料!$W$4:$W$49,MATCH($I2266,基础资料!$V$4:$V$49,0)),""))</f>
        <v/>
      </c>
      <c r="X2266" s="63" t="str">
        <f>IFERROR(INDEX(基础资料!$R$4:$R$17,MATCH($G2266,基础资料!$Q$4:$Q$17,0)),"")</f>
        <v/>
      </c>
    </row>
    <row r="2267" spans="1:24">
      <c r="A2267" s="58" t="str">
        <f>IF($B2267="","",COUNTA($B$5:$B2267))</f>
        <v/>
      </c>
      <c r="B2267" s="53"/>
      <c r="C2267" s="46"/>
      <c r="D2267" s="63" t="str">
        <f>IFERROR(INDEX(基础资料!$F$4:$F$23,MATCH($C2267,基础资料!$E$4:$E$23,0)),IF($C2267="","","未匹配账户"))</f>
        <v/>
      </c>
      <c r="E2267" s="39"/>
      <c r="F2267" s="10"/>
      <c r="G2267" s="10"/>
      <c r="H2267" s="10"/>
      <c r="I2267" s="10"/>
      <c r="J2267" s="10"/>
      <c r="K2267" s="25"/>
      <c r="L2267" s="25"/>
      <c r="M2267" s="25" t="str">
        <f>IFERROR(VLOOKUP($C2267,$C$5:$M$24,11,0)+SUMIF($C$25:$C2267,$C2267,$K$25:$K2267)-SUMIF($C$25:$C2267,$C2267,$L$25:$L2267),"")</f>
        <v/>
      </c>
      <c r="N2267" s="10"/>
      <c r="O2267" s="10"/>
      <c r="P2267" s="65"/>
      <c r="Q2267" s="10"/>
      <c r="R2267" s="10"/>
      <c r="S2267" s="54" t="str">
        <f t="shared" si="111"/>
        <v/>
      </c>
      <c r="T2267" s="54" t="str">
        <f t="shared" si="112"/>
        <v/>
      </c>
      <c r="U2267" s="58" t="str">
        <f t="shared" si="113"/>
        <v/>
      </c>
      <c r="V2267" s="58">
        <f>IF(AND($B2267&lt;&gt;"",$F2267&lt;&gt;"",$F2267=项目明细账!$C$2),N(V2266)+1,N(V2266))</f>
        <v>0</v>
      </c>
      <c r="W2267" s="63" t="str">
        <f>IF($H2267&lt;&gt;"","项目成本",IFERROR(INDEX(基础资料!$W$4:$W$49,MATCH($I2267,基础资料!$V$4:$V$49,0)),""))</f>
        <v/>
      </c>
      <c r="X2267" s="63" t="str">
        <f>IFERROR(INDEX(基础资料!$R$4:$R$17,MATCH($G2267,基础资料!$Q$4:$Q$17,0)),"")</f>
        <v/>
      </c>
    </row>
    <row r="2268" spans="1:24">
      <c r="A2268" s="58" t="str">
        <f>IF($B2268="","",COUNTA($B$5:$B2268))</f>
        <v/>
      </c>
      <c r="B2268" s="53"/>
      <c r="C2268" s="46"/>
      <c r="D2268" s="63" t="str">
        <f>IFERROR(INDEX(基础资料!$F$4:$F$23,MATCH($C2268,基础资料!$E$4:$E$23,0)),IF($C2268="","","未匹配账户"))</f>
        <v/>
      </c>
      <c r="E2268" s="39"/>
      <c r="F2268" s="10"/>
      <c r="G2268" s="10"/>
      <c r="H2268" s="10"/>
      <c r="I2268" s="10"/>
      <c r="J2268" s="10"/>
      <c r="K2268" s="25"/>
      <c r="L2268" s="25"/>
      <c r="M2268" s="25" t="str">
        <f>IFERROR(VLOOKUP($C2268,$C$5:$M$24,11,0)+SUMIF($C$25:$C2268,$C2268,$K$25:$K2268)-SUMIF($C$25:$C2268,$C2268,$L$25:$L2268),"")</f>
        <v/>
      </c>
      <c r="N2268" s="10"/>
      <c r="O2268" s="10"/>
      <c r="P2268" s="65"/>
      <c r="Q2268" s="10"/>
      <c r="R2268" s="10"/>
      <c r="S2268" s="54" t="str">
        <f t="shared" si="111"/>
        <v/>
      </c>
      <c r="T2268" s="54" t="str">
        <f t="shared" si="112"/>
        <v/>
      </c>
      <c r="U2268" s="58" t="str">
        <f t="shared" si="113"/>
        <v/>
      </c>
      <c r="V2268" s="58">
        <f>IF(AND($B2268&lt;&gt;"",$F2268&lt;&gt;"",$F2268=项目明细账!$C$2),N(V2267)+1,N(V2267))</f>
        <v>0</v>
      </c>
      <c r="W2268" s="63" t="str">
        <f>IF($H2268&lt;&gt;"","项目成本",IFERROR(INDEX(基础资料!$W$4:$W$49,MATCH($I2268,基础资料!$V$4:$V$49,0)),""))</f>
        <v/>
      </c>
      <c r="X2268" s="63" t="str">
        <f>IFERROR(INDEX(基础资料!$R$4:$R$17,MATCH($G2268,基础资料!$Q$4:$Q$17,0)),"")</f>
        <v/>
      </c>
    </row>
    <row r="2269" spans="1:24">
      <c r="A2269" s="58" t="str">
        <f>IF($B2269="","",COUNTA($B$5:$B2269))</f>
        <v/>
      </c>
      <c r="B2269" s="53"/>
      <c r="C2269" s="46"/>
      <c r="D2269" s="63" t="str">
        <f>IFERROR(INDEX(基础资料!$F$4:$F$23,MATCH($C2269,基础资料!$E$4:$E$23,0)),IF($C2269="","","未匹配账户"))</f>
        <v/>
      </c>
      <c r="E2269" s="39"/>
      <c r="F2269" s="10"/>
      <c r="G2269" s="10"/>
      <c r="H2269" s="10"/>
      <c r="I2269" s="10"/>
      <c r="J2269" s="10"/>
      <c r="K2269" s="25"/>
      <c r="L2269" s="25"/>
      <c r="M2269" s="25" t="str">
        <f>IFERROR(VLOOKUP($C2269,$C$5:$M$24,11,0)+SUMIF($C$25:$C2269,$C2269,$K$25:$K2269)-SUMIF($C$25:$C2269,$C2269,$L$25:$L2269),"")</f>
        <v/>
      </c>
      <c r="N2269" s="10"/>
      <c r="O2269" s="10"/>
      <c r="P2269" s="65"/>
      <c r="Q2269" s="10"/>
      <c r="R2269" s="10"/>
      <c r="S2269" s="54" t="str">
        <f t="shared" si="111"/>
        <v/>
      </c>
      <c r="T2269" s="54" t="str">
        <f t="shared" si="112"/>
        <v/>
      </c>
      <c r="U2269" s="58" t="str">
        <f t="shared" si="113"/>
        <v/>
      </c>
      <c r="V2269" s="58">
        <f>IF(AND($B2269&lt;&gt;"",$F2269&lt;&gt;"",$F2269=项目明细账!$C$2),N(V2268)+1,N(V2268))</f>
        <v>0</v>
      </c>
      <c r="W2269" s="63" t="str">
        <f>IF($H2269&lt;&gt;"","项目成本",IFERROR(INDEX(基础资料!$W$4:$W$49,MATCH($I2269,基础资料!$V$4:$V$49,0)),""))</f>
        <v/>
      </c>
      <c r="X2269" s="63" t="str">
        <f>IFERROR(INDEX(基础资料!$R$4:$R$17,MATCH($G2269,基础资料!$Q$4:$Q$17,0)),"")</f>
        <v/>
      </c>
    </row>
    <row r="2270" spans="1:24">
      <c r="A2270" s="58" t="str">
        <f>IF($B2270="","",COUNTA($B$5:$B2270))</f>
        <v/>
      </c>
      <c r="B2270" s="53"/>
      <c r="C2270" s="46"/>
      <c r="D2270" s="63" t="str">
        <f>IFERROR(INDEX(基础资料!$F$4:$F$23,MATCH($C2270,基础资料!$E$4:$E$23,0)),IF($C2270="","","未匹配账户"))</f>
        <v/>
      </c>
      <c r="E2270" s="39"/>
      <c r="F2270" s="10"/>
      <c r="G2270" s="10"/>
      <c r="H2270" s="10"/>
      <c r="I2270" s="10"/>
      <c r="J2270" s="10"/>
      <c r="K2270" s="25"/>
      <c r="L2270" s="25"/>
      <c r="M2270" s="25" t="str">
        <f>IFERROR(VLOOKUP($C2270,$C$5:$M$24,11,0)+SUMIF($C$25:$C2270,$C2270,$K$25:$K2270)-SUMIF($C$25:$C2270,$C2270,$L$25:$L2270),"")</f>
        <v/>
      </c>
      <c r="N2270" s="10"/>
      <c r="O2270" s="10"/>
      <c r="P2270" s="65"/>
      <c r="Q2270" s="10"/>
      <c r="R2270" s="10"/>
      <c r="S2270" s="54" t="str">
        <f t="shared" si="111"/>
        <v/>
      </c>
      <c r="T2270" s="54" t="str">
        <f t="shared" si="112"/>
        <v/>
      </c>
      <c r="U2270" s="58" t="str">
        <f t="shared" si="113"/>
        <v/>
      </c>
      <c r="V2270" s="58">
        <f>IF(AND($B2270&lt;&gt;"",$F2270&lt;&gt;"",$F2270=项目明细账!$C$2),N(V2269)+1,N(V2269))</f>
        <v>0</v>
      </c>
      <c r="W2270" s="63" t="str">
        <f>IF($H2270&lt;&gt;"","项目成本",IFERROR(INDEX(基础资料!$W$4:$W$49,MATCH($I2270,基础资料!$V$4:$V$49,0)),""))</f>
        <v/>
      </c>
      <c r="X2270" s="63" t="str">
        <f>IFERROR(INDEX(基础资料!$R$4:$R$17,MATCH($G2270,基础资料!$Q$4:$Q$17,0)),"")</f>
        <v/>
      </c>
    </row>
    <row r="2271" spans="1:24">
      <c r="A2271" s="58" t="str">
        <f>IF($B2271="","",COUNTA($B$5:$B2271))</f>
        <v/>
      </c>
      <c r="B2271" s="53"/>
      <c r="C2271" s="46"/>
      <c r="D2271" s="63" t="str">
        <f>IFERROR(INDEX(基础资料!$F$4:$F$23,MATCH($C2271,基础资料!$E$4:$E$23,0)),IF($C2271="","","未匹配账户"))</f>
        <v/>
      </c>
      <c r="E2271" s="39"/>
      <c r="F2271" s="10"/>
      <c r="G2271" s="10"/>
      <c r="H2271" s="10"/>
      <c r="I2271" s="10"/>
      <c r="J2271" s="10"/>
      <c r="K2271" s="25"/>
      <c r="L2271" s="25"/>
      <c r="M2271" s="25" t="str">
        <f>IFERROR(VLOOKUP($C2271,$C$5:$M$24,11,0)+SUMIF($C$25:$C2271,$C2271,$K$25:$K2271)-SUMIF($C$25:$C2271,$C2271,$L$25:$L2271),"")</f>
        <v/>
      </c>
      <c r="N2271" s="10"/>
      <c r="O2271" s="10"/>
      <c r="P2271" s="65"/>
      <c r="Q2271" s="10"/>
      <c r="R2271" s="10"/>
      <c r="S2271" s="54" t="str">
        <f t="shared" si="111"/>
        <v/>
      </c>
      <c r="T2271" s="54" t="str">
        <f t="shared" si="112"/>
        <v/>
      </c>
      <c r="U2271" s="58" t="str">
        <f t="shared" si="113"/>
        <v/>
      </c>
      <c r="V2271" s="58">
        <f>IF(AND($B2271&lt;&gt;"",$F2271&lt;&gt;"",$F2271=项目明细账!$C$2),N(V2270)+1,N(V2270))</f>
        <v>0</v>
      </c>
      <c r="W2271" s="63" t="str">
        <f>IF($H2271&lt;&gt;"","项目成本",IFERROR(INDEX(基础资料!$W$4:$W$49,MATCH($I2271,基础资料!$V$4:$V$49,0)),""))</f>
        <v/>
      </c>
      <c r="X2271" s="63" t="str">
        <f>IFERROR(INDEX(基础资料!$R$4:$R$17,MATCH($G2271,基础资料!$Q$4:$Q$17,0)),"")</f>
        <v/>
      </c>
    </row>
    <row r="2272" spans="1:24">
      <c r="A2272" s="58" t="str">
        <f>IF($B2272="","",COUNTA($B$5:$B2272))</f>
        <v/>
      </c>
      <c r="B2272" s="53"/>
      <c r="C2272" s="46"/>
      <c r="D2272" s="63" t="str">
        <f>IFERROR(INDEX(基础资料!$F$4:$F$23,MATCH($C2272,基础资料!$E$4:$E$23,0)),IF($C2272="","","未匹配账户"))</f>
        <v/>
      </c>
      <c r="E2272" s="39"/>
      <c r="F2272" s="10"/>
      <c r="G2272" s="10"/>
      <c r="H2272" s="10"/>
      <c r="I2272" s="10"/>
      <c r="J2272" s="10"/>
      <c r="K2272" s="25"/>
      <c r="L2272" s="25"/>
      <c r="M2272" s="25" t="str">
        <f>IFERROR(VLOOKUP($C2272,$C$5:$M$24,11,0)+SUMIF($C$25:$C2272,$C2272,$K$25:$K2272)-SUMIF($C$25:$C2272,$C2272,$L$25:$L2272),"")</f>
        <v/>
      </c>
      <c r="N2272" s="10"/>
      <c r="O2272" s="10"/>
      <c r="P2272" s="65"/>
      <c r="Q2272" s="10"/>
      <c r="R2272" s="10"/>
      <c r="S2272" s="54" t="str">
        <f t="shared" si="111"/>
        <v/>
      </c>
      <c r="T2272" s="54" t="str">
        <f t="shared" si="112"/>
        <v/>
      </c>
      <c r="U2272" s="58" t="str">
        <f t="shared" si="113"/>
        <v/>
      </c>
      <c r="V2272" s="58">
        <f>IF(AND($B2272&lt;&gt;"",$F2272&lt;&gt;"",$F2272=项目明细账!$C$2),N(V2271)+1,N(V2271))</f>
        <v>0</v>
      </c>
      <c r="W2272" s="63" t="str">
        <f>IF($H2272&lt;&gt;"","项目成本",IFERROR(INDEX(基础资料!$W$4:$W$49,MATCH($I2272,基础资料!$V$4:$V$49,0)),""))</f>
        <v/>
      </c>
      <c r="X2272" s="63" t="str">
        <f>IFERROR(INDEX(基础资料!$R$4:$R$17,MATCH($G2272,基础资料!$Q$4:$Q$17,0)),"")</f>
        <v/>
      </c>
    </row>
    <row r="2273" spans="1:24">
      <c r="A2273" s="58" t="str">
        <f>IF($B2273="","",COUNTA($B$5:$B2273))</f>
        <v/>
      </c>
      <c r="B2273" s="53"/>
      <c r="C2273" s="46"/>
      <c r="D2273" s="63" t="str">
        <f>IFERROR(INDEX(基础资料!$F$4:$F$23,MATCH($C2273,基础资料!$E$4:$E$23,0)),IF($C2273="","","未匹配账户"))</f>
        <v/>
      </c>
      <c r="E2273" s="39"/>
      <c r="F2273" s="10"/>
      <c r="G2273" s="10"/>
      <c r="H2273" s="10"/>
      <c r="I2273" s="10"/>
      <c r="J2273" s="10"/>
      <c r="K2273" s="25"/>
      <c r="L2273" s="25"/>
      <c r="M2273" s="25" t="str">
        <f>IFERROR(VLOOKUP($C2273,$C$5:$M$24,11,0)+SUMIF($C$25:$C2273,$C2273,$K$25:$K2273)-SUMIF($C$25:$C2273,$C2273,$L$25:$L2273),"")</f>
        <v/>
      </c>
      <c r="N2273" s="10"/>
      <c r="O2273" s="10"/>
      <c r="P2273" s="65"/>
      <c r="Q2273" s="10"/>
      <c r="R2273" s="10"/>
      <c r="S2273" s="54" t="str">
        <f t="shared" si="111"/>
        <v/>
      </c>
      <c r="T2273" s="54" t="str">
        <f t="shared" si="112"/>
        <v/>
      </c>
      <c r="U2273" s="58" t="str">
        <f t="shared" si="113"/>
        <v/>
      </c>
      <c r="V2273" s="58">
        <f>IF(AND($B2273&lt;&gt;"",$F2273&lt;&gt;"",$F2273=项目明细账!$C$2),N(V2272)+1,N(V2272))</f>
        <v>0</v>
      </c>
      <c r="W2273" s="63" t="str">
        <f>IF($H2273&lt;&gt;"","项目成本",IFERROR(INDEX(基础资料!$W$4:$W$49,MATCH($I2273,基础资料!$V$4:$V$49,0)),""))</f>
        <v/>
      </c>
      <c r="X2273" s="63" t="str">
        <f>IFERROR(INDEX(基础资料!$R$4:$R$17,MATCH($G2273,基础资料!$Q$4:$Q$17,0)),"")</f>
        <v/>
      </c>
    </row>
    <row r="2274" spans="1:24">
      <c r="A2274" s="58" t="str">
        <f>IF($B2274="","",COUNTA($B$5:$B2274))</f>
        <v/>
      </c>
      <c r="B2274" s="53"/>
      <c r="C2274" s="46"/>
      <c r="D2274" s="63" t="str">
        <f>IFERROR(INDEX(基础资料!$F$4:$F$23,MATCH($C2274,基础资料!$E$4:$E$23,0)),IF($C2274="","","未匹配账户"))</f>
        <v/>
      </c>
      <c r="E2274" s="39"/>
      <c r="F2274" s="10"/>
      <c r="G2274" s="10"/>
      <c r="H2274" s="10"/>
      <c r="I2274" s="10"/>
      <c r="J2274" s="10"/>
      <c r="K2274" s="25"/>
      <c r="L2274" s="25"/>
      <c r="M2274" s="25" t="str">
        <f>IFERROR(VLOOKUP($C2274,$C$5:$M$24,11,0)+SUMIF($C$25:$C2274,$C2274,$K$25:$K2274)-SUMIF($C$25:$C2274,$C2274,$L$25:$L2274),"")</f>
        <v/>
      </c>
      <c r="N2274" s="10"/>
      <c r="O2274" s="10"/>
      <c r="P2274" s="65"/>
      <c r="Q2274" s="10"/>
      <c r="R2274" s="10"/>
      <c r="S2274" s="54" t="str">
        <f t="shared" si="111"/>
        <v/>
      </c>
      <c r="T2274" s="54" t="str">
        <f t="shared" si="112"/>
        <v/>
      </c>
      <c r="U2274" s="58" t="str">
        <f t="shared" si="113"/>
        <v/>
      </c>
      <c r="V2274" s="58">
        <f>IF(AND($B2274&lt;&gt;"",$F2274&lt;&gt;"",$F2274=项目明细账!$C$2),N(V2273)+1,N(V2273))</f>
        <v>0</v>
      </c>
      <c r="W2274" s="63" t="str">
        <f>IF($H2274&lt;&gt;"","项目成本",IFERROR(INDEX(基础资料!$W$4:$W$49,MATCH($I2274,基础资料!$V$4:$V$49,0)),""))</f>
        <v/>
      </c>
      <c r="X2274" s="63" t="str">
        <f>IFERROR(INDEX(基础资料!$R$4:$R$17,MATCH($G2274,基础资料!$Q$4:$Q$17,0)),"")</f>
        <v/>
      </c>
    </row>
    <row r="2275" spans="1:24">
      <c r="A2275" s="58" t="str">
        <f>IF($B2275="","",COUNTA($B$5:$B2275))</f>
        <v/>
      </c>
      <c r="B2275" s="53"/>
      <c r="C2275" s="46"/>
      <c r="D2275" s="63" t="str">
        <f>IFERROR(INDEX(基础资料!$F$4:$F$23,MATCH($C2275,基础资料!$E$4:$E$23,0)),IF($C2275="","","未匹配账户"))</f>
        <v/>
      </c>
      <c r="E2275" s="39"/>
      <c r="F2275" s="10"/>
      <c r="G2275" s="10"/>
      <c r="H2275" s="10"/>
      <c r="I2275" s="10"/>
      <c r="J2275" s="10"/>
      <c r="K2275" s="25"/>
      <c r="L2275" s="25"/>
      <c r="M2275" s="25" t="str">
        <f>IFERROR(VLOOKUP($C2275,$C$5:$M$24,11,0)+SUMIF($C$25:$C2275,$C2275,$K$25:$K2275)-SUMIF($C$25:$C2275,$C2275,$L$25:$L2275),"")</f>
        <v/>
      </c>
      <c r="N2275" s="10"/>
      <c r="O2275" s="10"/>
      <c r="P2275" s="65"/>
      <c r="Q2275" s="10"/>
      <c r="R2275" s="10"/>
      <c r="S2275" s="54" t="str">
        <f t="shared" si="111"/>
        <v/>
      </c>
      <c r="T2275" s="54" t="str">
        <f t="shared" si="112"/>
        <v/>
      </c>
      <c r="U2275" s="58" t="str">
        <f t="shared" si="113"/>
        <v/>
      </c>
      <c r="V2275" s="58">
        <f>IF(AND($B2275&lt;&gt;"",$F2275&lt;&gt;"",$F2275=项目明细账!$C$2),N(V2274)+1,N(V2274))</f>
        <v>0</v>
      </c>
      <c r="W2275" s="63" t="str">
        <f>IF($H2275&lt;&gt;"","项目成本",IFERROR(INDEX(基础资料!$W$4:$W$49,MATCH($I2275,基础资料!$V$4:$V$49,0)),""))</f>
        <v/>
      </c>
      <c r="X2275" s="63" t="str">
        <f>IFERROR(INDEX(基础资料!$R$4:$R$17,MATCH($G2275,基础资料!$Q$4:$Q$17,0)),"")</f>
        <v/>
      </c>
    </row>
    <row r="2276" spans="1:24">
      <c r="A2276" s="58" t="str">
        <f>IF($B2276="","",COUNTA($B$5:$B2276))</f>
        <v/>
      </c>
      <c r="B2276" s="53"/>
      <c r="C2276" s="46"/>
      <c r="D2276" s="63" t="str">
        <f>IFERROR(INDEX(基础资料!$F$4:$F$23,MATCH($C2276,基础资料!$E$4:$E$23,0)),IF($C2276="","","未匹配账户"))</f>
        <v/>
      </c>
      <c r="E2276" s="39"/>
      <c r="F2276" s="10"/>
      <c r="G2276" s="10"/>
      <c r="H2276" s="10"/>
      <c r="I2276" s="10"/>
      <c r="J2276" s="10"/>
      <c r="K2276" s="25"/>
      <c r="L2276" s="25"/>
      <c r="M2276" s="25" t="str">
        <f>IFERROR(VLOOKUP($C2276,$C$5:$M$24,11,0)+SUMIF($C$25:$C2276,$C2276,$K$25:$K2276)-SUMIF($C$25:$C2276,$C2276,$L$25:$L2276),"")</f>
        <v/>
      </c>
      <c r="N2276" s="10"/>
      <c r="O2276" s="10"/>
      <c r="P2276" s="65"/>
      <c r="Q2276" s="10"/>
      <c r="R2276" s="10"/>
      <c r="S2276" s="54" t="str">
        <f t="shared" si="111"/>
        <v/>
      </c>
      <c r="T2276" s="54" t="str">
        <f t="shared" si="112"/>
        <v/>
      </c>
      <c r="U2276" s="58" t="str">
        <f t="shared" si="113"/>
        <v/>
      </c>
      <c r="V2276" s="58">
        <f>IF(AND($B2276&lt;&gt;"",$F2276&lt;&gt;"",$F2276=项目明细账!$C$2),N(V2275)+1,N(V2275))</f>
        <v>0</v>
      </c>
      <c r="W2276" s="63" t="str">
        <f>IF($H2276&lt;&gt;"","项目成本",IFERROR(INDEX(基础资料!$W$4:$W$49,MATCH($I2276,基础资料!$V$4:$V$49,0)),""))</f>
        <v/>
      </c>
      <c r="X2276" s="63" t="str">
        <f>IFERROR(INDEX(基础资料!$R$4:$R$17,MATCH($G2276,基础资料!$Q$4:$Q$17,0)),"")</f>
        <v/>
      </c>
    </row>
    <row r="2277" spans="1:24">
      <c r="A2277" s="58" t="str">
        <f>IF($B2277="","",COUNTA($B$5:$B2277))</f>
        <v/>
      </c>
      <c r="B2277" s="53"/>
      <c r="C2277" s="46"/>
      <c r="D2277" s="63" t="str">
        <f>IFERROR(INDEX(基础资料!$F$4:$F$23,MATCH($C2277,基础资料!$E$4:$E$23,0)),IF($C2277="","","未匹配账户"))</f>
        <v/>
      </c>
      <c r="E2277" s="39"/>
      <c r="F2277" s="10"/>
      <c r="G2277" s="10"/>
      <c r="H2277" s="10"/>
      <c r="I2277" s="10"/>
      <c r="J2277" s="10"/>
      <c r="K2277" s="25"/>
      <c r="L2277" s="25"/>
      <c r="M2277" s="25" t="str">
        <f>IFERROR(VLOOKUP($C2277,$C$5:$M$24,11,0)+SUMIF($C$25:$C2277,$C2277,$K$25:$K2277)-SUMIF($C$25:$C2277,$C2277,$L$25:$L2277),"")</f>
        <v/>
      </c>
      <c r="N2277" s="10"/>
      <c r="O2277" s="10"/>
      <c r="P2277" s="65"/>
      <c r="Q2277" s="10"/>
      <c r="R2277" s="10"/>
      <c r="S2277" s="54" t="str">
        <f t="shared" si="111"/>
        <v/>
      </c>
      <c r="T2277" s="54" t="str">
        <f t="shared" si="112"/>
        <v/>
      </c>
      <c r="U2277" s="58" t="str">
        <f t="shared" si="113"/>
        <v/>
      </c>
      <c r="V2277" s="58">
        <f>IF(AND($B2277&lt;&gt;"",$F2277&lt;&gt;"",$F2277=项目明细账!$C$2),N(V2276)+1,N(V2276))</f>
        <v>0</v>
      </c>
      <c r="W2277" s="63" t="str">
        <f>IF($H2277&lt;&gt;"","项目成本",IFERROR(INDEX(基础资料!$W$4:$W$49,MATCH($I2277,基础资料!$V$4:$V$49,0)),""))</f>
        <v/>
      </c>
      <c r="X2277" s="63" t="str">
        <f>IFERROR(INDEX(基础资料!$R$4:$R$17,MATCH($G2277,基础资料!$Q$4:$Q$17,0)),"")</f>
        <v/>
      </c>
    </row>
    <row r="2278" spans="1:24">
      <c r="A2278" s="58" t="str">
        <f>IF($B2278="","",COUNTA($B$5:$B2278))</f>
        <v/>
      </c>
      <c r="B2278" s="53"/>
      <c r="C2278" s="46"/>
      <c r="D2278" s="63" t="str">
        <f>IFERROR(INDEX(基础资料!$F$4:$F$23,MATCH($C2278,基础资料!$E$4:$E$23,0)),IF($C2278="","","未匹配账户"))</f>
        <v/>
      </c>
      <c r="E2278" s="39"/>
      <c r="F2278" s="10"/>
      <c r="G2278" s="10"/>
      <c r="H2278" s="10"/>
      <c r="I2278" s="10"/>
      <c r="J2278" s="10"/>
      <c r="K2278" s="25"/>
      <c r="L2278" s="25"/>
      <c r="M2278" s="25" t="str">
        <f>IFERROR(VLOOKUP($C2278,$C$5:$M$24,11,0)+SUMIF($C$25:$C2278,$C2278,$K$25:$K2278)-SUMIF($C$25:$C2278,$C2278,$L$25:$L2278),"")</f>
        <v/>
      </c>
      <c r="N2278" s="10"/>
      <c r="O2278" s="10"/>
      <c r="P2278" s="65"/>
      <c r="Q2278" s="10"/>
      <c r="R2278" s="10"/>
      <c r="S2278" s="54" t="str">
        <f t="shared" si="111"/>
        <v/>
      </c>
      <c r="T2278" s="54" t="str">
        <f t="shared" si="112"/>
        <v/>
      </c>
      <c r="U2278" s="58" t="str">
        <f t="shared" si="113"/>
        <v/>
      </c>
      <c r="V2278" s="58">
        <f>IF(AND($B2278&lt;&gt;"",$F2278&lt;&gt;"",$F2278=项目明细账!$C$2),N(V2277)+1,N(V2277))</f>
        <v>0</v>
      </c>
      <c r="W2278" s="63" t="str">
        <f>IF($H2278&lt;&gt;"","项目成本",IFERROR(INDEX(基础资料!$W$4:$W$49,MATCH($I2278,基础资料!$V$4:$V$49,0)),""))</f>
        <v/>
      </c>
      <c r="X2278" s="63" t="str">
        <f>IFERROR(INDEX(基础资料!$R$4:$R$17,MATCH($G2278,基础资料!$Q$4:$Q$17,0)),"")</f>
        <v/>
      </c>
    </row>
    <row r="2279" spans="1:24">
      <c r="A2279" s="58" t="str">
        <f>IF($B2279="","",COUNTA($B$5:$B2279))</f>
        <v/>
      </c>
      <c r="B2279" s="53"/>
      <c r="C2279" s="46"/>
      <c r="D2279" s="63" t="str">
        <f>IFERROR(INDEX(基础资料!$F$4:$F$23,MATCH($C2279,基础资料!$E$4:$E$23,0)),IF($C2279="","","未匹配账户"))</f>
        <v/>
      </c>
      <c r="E2279" s="39"/>
      <c r="F2279" s="10"/>
      <c r="G2279" s="10"/>
      <c r="H2279" s="10"/>
      <c r="I2279" s="10"/>
      <c r="J2279" s="10"/>
      <c r="K2279" s="25"/>
      <c r="L2279" s="25"/>
      <c r="M2279" s="25" t="str">
        <f>IFERROR(VLOOKUP($C2279,$C$5:$M$24,11,0)+SUMIF($C$25:$C2279,$C2279,$K$25:$K2279)-SUMIF($C$25:$C2279,$C2279,$L$25:$L2279),"")</f>
        <v/>
      </c>
      <c r="N2279" s="10"/>
      <c r="O2279" s="10"/>
      <c r="P2279" s="65"/>
      <c r="Q2279" s="10"/>
      <c r="R2279" s="10"/>
      <c r="S2279" s="54" t="str">
        <f t="shared" si="111"/>
        <v/>
      </c>
      <c r="T2279" s="54" t="str">
        <f t="shared" si="112"/>
        <v/>
      </c>
      <c r="U2279" s="58" t="str">
        <f t="shared" si="113"/>
        <v/>
      </c>
      <c r="V2279" s="58">
        <f>IF(AND($B2279&lt;&gt;"",$F2279&lt;&gt;"",$F2279=项目明细账!$C$2),N(V2278)+1,N(V2278))</f>
        <v>0</v>
      </c>
      <c r="W2279" s="63" t="str">
        <f>IF($H2279&lt;&gt;"","项目成本",IFERROR(INDEX(基础资料!$W$4:$W$49,MATCH($I2279,基础资料!$V$4:$V$49,0)),""))</f>
        <v/>
      </c>
      <c r="X2279" s="63" t="str">
        <f>IFERROR(INDEX(基础资料!$R$4:$R$17,MATCH($G2279,基础资料!$Q$4:$Q$17,0)),"")</f>
        <v/>
      </c>
    </row>
    <row r="2280" spans="1:24">
      <c r="A2280" s="58" t="str">
        <f>IF($B2280="","",COUNTA($B$5:$B2280))</f>
        <v/>
      </c>
      <c r="B2280" s="53"/>
      <c r="C2280" s="46"/>
      <c r="D2280" s="63" t="str">
        <f>IFERROR(INDEX(基础资料!$F$4:$F$23,MATCH($C2280,基础资料!$E$4:$E$23,0)),IF($C2280="","","未匹配账户"))</f>
        <v/>
      </c>
      <c r="E2280" s="39"/>
      <c r="F2280" s="10"/>
      <c r="G2280" s="10"/>
      <c r="H2280" s="10"/>
      <c r="I2280" s="10"/>
      <c r="J2280" s="10"/>
      <c r="K2280" s="25"/>
      <c r="L2280" s="25"/>
      <c r="M2280" s="25" t="str">
        <f>IFERROR(VLOOKUP($C2280,$C$5:$M$24,11,0)+SUMIF($C$25:$C2280,$C2280,$K$25:$K2280)-SUMIF($C$25:$C2280,$C2280,$L$25:$L2280),"")</f>
        <v/>
      </c>
      <c r="N2280" s="10"/>
      <c r="O2280" s="10"/>
      <c r="P2280" s="65"/>
      <c r="Q2280" s="10"/>
      <c r="R2280" s="10"/>
      <c r="S2280" s="54" t="str">
        <f t="shared" si="111"/>
        <v/>
      </c>
      <c r="T2280" s="54" t="str">
        <f t="shared" si="112"/>
        <v/>
      </c>
      <c r="U2280" s="58" t="str">
        <f t="shared" si="113"/>
        <v/>
      </c>
      <c r="V2280" s="58">
        <f>IF(AND($B2280&lt;&gt;"",$F2280&lt;&gt;"",$F2280=项目明细账!$C$2),N(V2279)+1,N(V2279))</f>
        <v>0</v>
      </c>
      <c r="W2280" s="63" t="str">
        <f>IF($H2280&lt;&gt;"","项目成本",IFERROR(INDEX(基础资料!$W$4:$W$49,MATCH($I2280,基础资料!$V$4:$V$49,0)),""))</f>
        <v/>
      </c>
      <c r="X2280" s="63" t="str">
        <f>IFERROR(INDEX(基础资料!$R$4:$R$17,MATCH($G2280,基础资料!$Q$4:$Q$17,0)),"")</f>
        <v/>
      </c>
    </row>
    <row r="2281" spans="1:24">
      <c r="A2281" s="58" t="str">
        <f>IF($B2281="","",COUNTA($B$5:$B2281))</f>
        <v/>
      </c>
      <c r="B2281" s="53"/>
      <c r="C2281" s="46"/>
      <c r="D2281" s="63" t="str">
        <f>IFERROR(INDEX(基础资料!$F$4:$F$23,MATCH($C2281,基础资料!$E$4:$E$23,0)),IF($C2281="","","未匹配账户"))</f>
        <v/>
      </c>
      <c r="E2281" s="39"/>
      <c r="F2281" s="10"/>
      <c r="G2281" s="10"/>
      <c r="H2281" s="10"/>
      <c r="I2281" s="10"/>
      <c r="J2281" s="10"/>
      <c r="K2281" s="25"/>
      <c r="L2281" s="25"/>
      <c r="M2281" s="25" t="str">
        <f>IFERROR(VLOOKUP($C2281,$C$5:$M$24,11,0)+SUMIF($C$25:$C2281,$C2281,$K$25:$K2281)-SUMIF($C$25:$C2281,$C2281,$L$25:$L2281),"")</f>
        <v/>
      </c>
      <c r="N2281" s="10"/>
      <c r="O2281" s="10"/>
      <c r="P2281" s="65"/>
      <c r="Q2281" s="10"/>
      <c r="R2281" s="10"/>
      <c r="S2281" s="54" t="str">
        <f t="shared" si="111"/>
        <v/>
      </c>
      <c r="T2281" s="54" t="str">
        <f t="shared" si="112"/>
        <v/>
      </c>
      <c r="U2281" s="58" t="str">
        <f t="shared" si="113"/>
        <v/>
      </c>
      <c r="V2281" s="58">
        <f>IF(AND($B2281&lt;&gt;"",$F2281&lt;&gt;"",$F2281=项目明细账!$C$2),N(V2280)+1,N(V2280))</f>
        <v>0</v>
      </c>
      <c r="W2281" s="63" t="str">
        <f>IF($H2281&lt;&gt;"","项目成本",IFERROR(INDEX(基础资料!$W$4:$W$49,MATCH($I2281,基础资料!$V$4:$V$49,0)),""))</f>
        <v/>
      </c>
      <c r="X2281" s="63" t="str">
        <f>IFERROR(INDEX(基础资料!$R$4:$R$17,MATCH($G2281,基础资料!$Q$4:$Q$17,0)),"")</f>
        <v/>
      </c>
    </row>
    <row r="2282" spans="1:24">
      <c r="A2282" s="58" t="str">
        <f>IF($B2282="","",COUNTA($B$5:$B2282))</f>
        <v/>
      </c>
      <c r="B2282" s="53"/>
      <c r="C2282" s="46"/>
      <c r="D2282" s="63" t="str">
        <f>IFERROR(INDEX(基础资料!$F$4:$F$23,MATCH($C2282,基础资料!$E$4:$E$23,0)),IF($C2282="","","未匹配账户"))</f>
        <v/>
      </c>
      <c r="E2282" s="39"/>
      <c r="F2282" s="10"/>
      <c r="G2282" s="10"/>
      <c r="H2282" s="10"/>
      <c r="I2282" s="10"/>
      <c r="J2282" s="10"/>
      <c r="K2282" s="25"/>
      <c r="L2282" s="25"/>
      <c r="M2282" s="25" t="str">
        <f>IFERROR(VLOOKUP($C2282,$C$5:$M$24,11,0)+SUMIF($C$25:$C2282,$C2282,$K$25:$K2282)-SUMIF($C$25:$C2282,$C2282,$L$25:$L2282),"")</f>
        <v/>
      </c>
      <c r="N2282" s="10"/>
      <c r="O2282" s="10"/>
      <c r="P2282" s="65"/>
      <c r="Q2282" s="10"/>
      <c r="R2282" s="10"/>
      <c r="S2282" s="54" t="str">
        <f t="shared" si="111"/>
        <v/>
      </c>
      <c r="T2282" s="54" t="str">
        <f t="shared" si="112"/>
        <v/>
      </c>
      <c r="U2282" s="58" t="str">
        <f t="shared" si="113"/>
        <v/>
      </c>
      <c r="V2282" s="58">
        <f>IF(AND($B2282&lt;&gt;"",$F2282&lt;&gt;"",$F2282=项目明细账!$C$2),N(V2281)+1,N(V2281))</f>
        <v>0</v>
      </c>
      <c r="W2282" s="63" t="str">
        <f>IF($H2282&lt;&gt;"","项目成本",IFERROR(INDEX(基础资料!$W$4:$W$49,MATCH($I2282,基础资料!$V$4:$V$49,0)),""))</f>
        <v/>
      </c>
      <c r="X2282" s="63" t="str">
        <f>IFERROR(INDEX(基础资料!$R$4:$R$17,MATCH($G2282,基础资料!$Q$4:$Q$17,0)),"")</f>
        <v/>
      </c>
    </row>
    <row r="2283" spans="1:24">
      <c r="A2283" s="58" t="str">
        <f>IF($B2283="","",COUNTA($B$5:$B2283))</f>
        <v/>
      </c>
      <c r="B2283" s="53"/>
      <c r="C2283" s="46"/>
      <c r="D2283" s="63" t="str">
        <f>IFERROR(INDEX(基础资料!$F$4:$F$23,MATCH($C2283,基础资料!$E$4:$E$23,0)),IF($C2283="","","未匹配账户"))</f>
        <v/>
      </c>
      <c r="E2283" s="39"/>
      <c r="F2283" s="10"/>
      <c r="G2283" s="10"/>
      <c r="H2283" s="10"/>
      <c r="I2283" s="10"/>
      <c r="J2283" s="10"/>
      <c r="K2283" s="25"/>
      <c r="L2283" s="25"/>
      <c r="M2283" s="25" t="str">
        <f>IFERROR(VLOOKUP($C2283,$C$5:$M$24,11,0)+SUMIF($C$25:$C2283,$C2283,$K$25:$K2283)-SUMIF($C$25:$C2283,$C2283,$L$25:$L2283),"")</f>
        <v/>
      </c>
      <c r="N2283" s="10"/>
      <c r="O2283" s="10"/>
      <c r="P2283" s="65"/>
      <c r="Q2283" s="10"/>
      <c r="R2283" s="10"/>
      <c r="S2283" s="54" t="str">
        <f t="shared" si="111"/>
        <v/>
      </c>
      <c r="T2283" s="54" t="str">
        <f t="shared" si="112"/>
        <v/>
      </c>
      <c r="U2283" s="58" t="str">
        <f t="shared" si="113"/>
        <v/>
      </c>
      <c r="V2283" s="58">
        <f>IF(AND($B2283&lt;&gt;"",$F2283&lt;&gt;"",$F2283=项目明细账!$C$2),N(V2282)+1,N(V2282))</f>
        <v>0</v>
      </c>
      <c r="W2283" s="63" t="str">
        <f>IF($H2283&lt;&gt;"","项目成本",IFERROR(INDEX(基础资料!$W$4:$W$49,MATCH($I2283,基础资料!$V$4:$V$49,0)),""))</f>
        <v/>
      </c>
      <c r="X2283" s="63" t="str">
        <f>IFERROR(INDEX(基础资料!$R$4:$R$17,MATCH($G2283,基础资料!$Q$4:$Q$17,0)),"")</f>
        <v/>
      </c>
    </row>
    <row r="2284" spans="1:24">
      <c r="A2284" s="58" t="str">
        <f>IF($B2284="","",COUNTA($B$5:$B2284))</f>
        <v/>
      </c>
      <c r="B2284" s="53"/>
      <c r="C2284" s="46"/>
      <c r="D2284" s="63" t="str">
        <f>IFERROR(INDEX(基础资料!$F$4:$F$23,MATCH($C2284,基础资料!$E$4:$E$23,0)),IF($C2284="","","未匹配账户"))</f>
        <v/>
      </c>
      <c r="E2284" s="39"/>
      <c r="F2284" s="10"/>
      <c r="G2284" s="10"/>
      <c r="H2284" s="10"/>
      <c r="I2284" s="10"/>
      <c r="J2284" s="10"/>
      <c r="K2284" s="25"/>
      <c r="L2284" s="25"/>
      <c r="M2284" s="25" t="str">
        <f>IFERROR(VLOOKUP($C2284,$C$5:$M$24,11,0)+SUMIF($C$25:$C2284,$C2284,$K$25:$K2284)-SUMIF($C$25:$C2284,$C2284,$L$25:$L2284),"")</f>
        <v/>
      </c>
      <c r="N2284" s="10"/>
      <c r="O2284" s="10"/>
      <c r="P2284" s="65"/>
      <c r="Q2284" s="10"/>
      <c r="R2284" s="10"/>
      <c r="S2284" s="54" t="str">
        <f t="shared" si="111"/>
        <v/>
      </c>
      <c r="T2284" s="54" t="str">
        <f t="shared" si="112"/>
        <v/>
      </c>
      <c r="U2284" s="58" t="str">
        <f t="shared" si="113"/>
        <v/>
      </c>
      <c r="V2284" s="58">
        <f>IF(AND($B2284&lt;&gt;"",$F2284&lt;&gt;"",$F2284=项目明细账!$C$2),N(V2283)+1,N(V2283))</f>
        <v>0</v>
      </c>
      <c r="W2284" s="63" t="str">
        <f>IF($H2284&lt;&gt;"","项目成本",IFERROR(INDEX(基础资料!$W$4:$W$49,MATCH($I2284,基础资料!$V$4:$V$49,0)),""))</f>
        <v/>
      </c>
      <c r="X2284" s="63" t="str">
        <f>IFERROR(INDEX(基础资料!$R$4:$R$17,MATCH($G2284,基础资料!$Q$4:$Q$17,0)),"")</f>
        <v/>
      </c>
    </row>
    <row r="2285" spans="1:24">
      <c r="A2285" s="58" t="str">
        <f>IF($B2285="","",COUNTA($B$5:$B2285))</f>
        <v/>
      </c>
      <c r="B2285" s="53"/>
      <c r="C2285" s="46"/>
      <c r="D2285" s="63" t="str">
        <f>IFERROR(INDEX(基础资料!$F$4:$F$23,MATCH($C2285,基础资料!$E$4:$E$23,0)),IF($C2285="","","未匹配账户"))</f>
        <v/>
      </c>
      <c r="E2285" s="39"/>
      <c r="F2285" s="10"/>
      <c r="G2285" s="10"/>
      <c r="H2285" s="10"/>
      <c r="I2285" s="10"/>
      <c r="J2285" s="10"/>
      <c r="K2285" s="25"/>
      <c r="L2285" s="25"/>
      <c r="M2285" s="25" t="str">
        <f>IFERROR(VLOOKUP($C2285,$C$5:$M$24,11,0)+SUMIF($C$25:$C2285,$C2285,$K$25:$K2285)-SUMIF($C$25:$C2285,$C2285,$L$25:$L2285),"")</f>
        <v/>
      </c>
      <c r="N2285" s="10"/>
      <c r="O2285" s="10"/>
      <c r="P2285" s="65"/>
      <c r="Q2285" s="10"/>
      <c r="R2285" s="10"/>
      <c r="S2285" s="54" t="str">
        <f t="shared" si="111"/>
        <v/>
      </c>
      <c r="T2285" s="54" t="str">
        <f t="shared" si="112"/>
        <v/>
      </c>
      <c r="U2285" s="58" t="str">
        <f t="shared" si="113"/>
        <v/>
      </c>
      <c r="V2285" s="58">
        <f>IF(AND($B2285&lt;&gt;"",$F2285&lt;&gt;"",$F2285=项目明细账!$C$2),N(V2284)+1,N(V2284))</f>
        <v>0</v>
      </c>
      <c r="W2285" s="63" t="str">
        <f>IF($H2285&lt;&gt;"","项目成本",IFERROR(INDEX(基础资料!$W$4:$W$49,MATCH($I2285,基础资料!$V$4:$V$49,0)),""))</f>
        <v/>
      </c>
      <c r="X2285" s="63" t="str">
        <f>IFERROR(INDEX(基础资料!$R$4:$R$17,MATCH($G2285,基础资料!$Q$4:$Q$17,0)),"")</f>
        <v/>
      </c>
    </row>
    <row r="2286" spans="1:24">
      <c r="A2286" s="58" t="str">
        <f>IF($B2286="","",COUNTA($B$5:$B2286))</f>
        <v/>
      </c>
      <c r="B2286" s="53"/>
      <c r="C2286" s="46"/>
      <c r="D2286" s="63" t="str">
        <f>IFERROR(INDEX(基础资料!$F$4:$F$23,MATCH($C2286,基础资料!$E$4:$E$23,0)),IF($C2286="","","未匹配账户"))</f>
        <v/>
      </c>
      <c r="E2286" s="39"/>
      <c r="F2286" s="10"/>
      <c r="G2286" s="10"/>
      <c r="H2286" s="10"/>
      <c r="I2286" s="10"/>
      <c r="J2286" s="10"/>
      <c r="K2286" s="25"/>
      <c r="L2286" s="25"/>
      <c r="M2286" s="25" t="str">
        <f>IFERROR(VLOOKUP($C2286,$C$5:$M$24,11,0)+SUMIF($C$25:$C2286,$C2286,$K$25:$K2286)-SUMIF($C$25:$C2286,$C2286,$L$25:$L2286),"")</f>
        <v/>
      </c>
      <c r="N2286" s="10"/>
      <c r="O2286" s="10"/>
      <c r="P2286" s="65"/>
      <c r="Q2286" s="10"/>
      <c r="R2286" s="10"/>
      <c r="S2286" s="54" t="str">
        <f t="shared" si="111"/>
        <v/>
      </c>
      <c r="T2286" s="54" t="str">
        <f t="shared" si="112"/>
        <v/>
      </c>
      <c r="U2286" s="58" t="str">
        <f t="shared" si="113"/>
        <v/>
      </c>
      <c r="V2286" s="58">
        <f>IF(AND($B2286&lt;&gt;"",$F2286&lt;&gt;"",$F2286=项目明细账!$C$2),N(V2285)+1,N(V2285))</f>
        <v>0</v>
      </c>
      <c r="W2286" s="63" t="str">
        <f>IF($H2286&lt;&gt;"","项目成本",IFERROR(INDEX(基础资料!$W$4:$W$49,MATCH($I2286,基础资料!$V$4:$V$49,0)),""))</f>
        <v/>
      </c>
      <c r="X2286" s="63" t="str">
        <f>IFERROR(INDEX(基础资料!$R$4:$R$17,MATCH($G2286,基础资料!$Q$4:$Q$17,0)),"")</f>
        <v/>
      </c>
    </row>
    <row r="2287" spans="1:24">
      <c r="A2287" s="58" t="str">
        <f>IF($B2287="","",COUNTA($B$5:$B2287))</f>
        <v/>
      </c>
      <c r="B2287" s="53"/>
      <c r="C2287" s="46"/>
      <c r="D2287" s="63" t="str">
        <f>IFERROR(INDEX(基础资料!$F$4:$F$23,MATCH($C2287,基础资料!$E$4:$E$23,0)),IF($C2287="","","未匹配账户"))</f>
        <v/>
      </c>
      <c r="E2287" s="39"/>
      <c r="F2287" s="10"/>
      <c r="G2287" s="10"/>
      <c r="H2287" s="10"/>
      <c r="I2287" s="10"/>
      <c r="J2287" s="10"/>
      <c r="K2287" s="25"/>
      <c r="L2287" s="25"/>
      <c r="M2287" s="25" t="str">
        <f>IFERROR(VLOOKUP($C2287,$C$5:$M$24,11,0)+SUMIF($C$25:$C2287,$C2287,$K$25:$K2287)-SUMIF($C$25:$C2287,$C2287,$L$25:$L2287),"")</f>
        <v/>
      </c>
      <c r="N2287" s="10"/>
      <c r="O2287" s="10"/>
      <c r="P2287" s="65"/>
      <c r="Q2287" s="10"/>
      <c r="R2287" s="10"/>
      <c r="S2287" s="54" t="str">
        <f t="shared" si="111"/>
        <v/>
      </c>
      <c r="T2287" s="54" t="str">
        <f t="shared" si="112"/>
        <v/>
      </c>
      <c r="U2287" s="58" t="str">
        <f t="shared" si="113"/>
        <v/>
      </c>
      <c r="V2287" s="58">
        <f>IF(AND($B2287&lt;&gt;"",$F2287&lt;&gt;"",$F2287=项目明细账!$C$2),N(V2286)+1,N(V2286))</f>
        <v>0</v>
      </c>
      <c r="W2287" s="63" t="str">
        <f>IF($H2287&lt;&gt;"","项目成本",IFERROR(INDEX(基础资料!$W$4:$W$49,MATCH($I2287,基础资料!$V$4:$V$49,0)),""))</f>
        <v/>
      </c>
      <c r="X2287" s="63" t="str">
        <f>IFERROR(INDEX(基础资料!$R$4:$R$17,MATCH($G2287,基础资料!$Q$4:$Q$17,0)),"")</f>
        <v/>
      </c>
    </row>
    <row r="2288" spans="1:24">
      <c r="A2288" s="58" t="str">
        <f>IF($B2288="","",COUNTA($B$5:$B2288))</f>
        <v/>
      </c>
      <c r="B2288" s="53"/>
      <c r="C2288" s="46"/>
      <c r="D2288" s="63" t="str">
        <f>IFERROR(INDEX(基础资料!$F$4:$F$23,MATCH($C2288,基础资料!$E$4:$E$23,0)),IF($C2288="","","未匹配账户"))</f>
        <v/>
      </c>
      <c r="E2288" s="39"/>
      <c r="F2288" s="10"/>
      <c r="G2288" s="10"/>
      <c r="H2288" s="10"/>
      <c r="I2288" s="10"/>
      <c r="J2288" s="10"/>
      <c r="K2288" s="25"/>
      <c r="L2288" s="25"/>
      <c r="M2288" s="25" t="str">
        <f>IFERROR(VLOOKUP($C2288,$C$5:$M$24,11,0)+SUMIF($C$25:$C2288,$C2288,$K$25:$K2288)-SUMIF($C$25:$C2288,$C2288,$L$25:$L2288),"")</f>
        <v/>
      </c>
      <c r="N2288" s="10"/>
      <c r="O2288" s="10"/>
      <c r="P2288" s="65"/>
      <c r="Q2288" s="10"/>
      <c r="R2288" s="10"/>
      <c r="S2288" s="54" t="str">
        <f t="shared" si="111"/>
        <v/>
      </c>
      <c r="T2288" s="54" t="str">
        <f t="shared" si="112"/>
        <v/>
      </c>
      <c r="U2288" s="58" t="str">
        <f t="shared" si="113"/>
        <v/>
      </c>
      <c r="V2288" s="58">
        <f>IF(AND($B2288&lt;&gt;"",$F2288&lt;&gt;"",$F2288=项目明细账!$C$2),N(V2287)+1,N(V2287))</f>
        <v>0</v>
      </c>
      <c r="W2288" s="63" t="str">
        <f>IF($H2288&lt;&gt;"","项目成本",IFERROR(INDEX(基础资料!$W$4:$W$49,MATCH($I2288,基础资料!$V$4:$V$49,0)),""))</f>
        <v/>
      </c>
      <c r="X2288" s="63" t="str">
        <f>IFERROR(INDEX(基础资料!$R$4:$R$17,MATCH($G2288,基础资料!$Q$4:$Q$17,0)),"")</f>
        <v/>
      </c>
    </row>
    <row r="2289" spans="1:24">
      <c r="A2289" s="58" t="str">
        <f>IF($B2289="","",COUNTA($B$5:$B2289))</f>
        <v/>
      </c>
      <c r="B2289" s="53"/>
      <c r="C2289" s="46"/>
      <c r="D2289" s="63" t="str">
        <f>IFERROR(INDEX(基础资料!$F$4:$F$23,MATCH($C2289,基础资料!$E$4:$E$23,0)),IF($C2289="","","未匹配账户"))</f>
        <v/>
      </c>
      <c r="E2289" s="39"/>
      <c r="F2289" s="10"/>
      <c r="G2289" s="10"/>
      <c r="H2289" s="10"/>
      <c r="I2289" s="10"/>
      <c r="J2289" s="10"/>
      <c r="K2289" s="25"/>
      <c r="L2289" s="25"/>
      <c r="M2289" s="25" t="str">
        <f>IFERROR(VLOOKUP($C2289,$C$5:$M$24,11,0)+SUMIF($C$25:$C2289,$C2289,$K$25:$K2289)-SUMIF($C$25:$C2289,$C2289,$L$25:$L2289),"")</f>
        <v/>
      </c>
      <c r="N2289" s="10"/>
      <c r="O2289" s="10"/>
      <c r="P2289" s="65"/>
      <c r="Q2289" s="10"/>
      <c r="R2289" s="10"/>
      <c r="S2289" s="54" t="str">
        <f t="shared" si="111"/>
        <v/>
      </c>
      <c r="T2289" s="54" t="str">
        <f t="shared" si="112"/>
        <v/>
      </c>
      <c r="U2289" s="58" t="str">
        <f t="shared" si="113"/>
        <v/>
      </c>
      <c r="V2289" s="58">
        <f>IF(AND($B2289&lt;&gt;"",$F2289&lt;&gt;"",$F2289=项目明细账!$C$2),N(V2288)+1,N(V2288))</f>
        <v>0</v>
      </c>
      <c r="W2289" s="63" t="str">
        <f>IF($H2289&lt;&gt;"","项目成本",IFERROR(INDEX(基础资料!$W$4:$W$49,MATCH($I2289,基础资料!$V$4:$V$49,0)),""))</f>
        <v/>
      </c>
      <c r="X2289" s="63" t="str">
        <f>IFERROR(INDEX(基础资料!$R$4:$R$17,MATCH($G2289,基础资料!$Q$4:$Q$17,0)),"")</f>
        <v/>
      </c>
    </row>
    <row r="2290" spans="1:24">
      <c r="A2290" s="58" t="str">
        <f>IF($B2290="","",COUNTA($B$5:$B2290))</f>
        <v/>
      </c>
      <c r="B2290" s="53"/>
      <c r="C2290" s="46"/>
      <c r="D2290" s="63" t="str">
        <f>IFERROR(INDEX(基础资料!$F$4:$F$23,MATCH($C2290,基础资料!$E$4:$E$23,0)),IF($C2290="","","未匹配账户"))</f>
        <v/>
      </c>
      <c r="E2290" s="39"/>
      <c r="F2290" s="10"/>
      <c r="G2290" s="10"/>
      <c r="H2290" s="10"/>
      <c r="I2290" s="10"/>
      <c r="J2290" s="10"/>
      <c r="K2290" s="25"/>
      <c r="L2290" s="25"/>
      <c r="M2290" s="25" t="str">
        <f>IFERROR(VLOOKUP($C2290,$C$5:$M$24,11,0)+SUMIF($C$25:$C2290,$C2290,$K$25:$K2290)-SUMIF($C$25:$C2290,$C2290,$L$25:$L2290),"")</f>
        <v/>
      </c>
      <c r="N2290" s="10"/>
      <c r="O2290" s="10"/>
      <c r="P2290" s="65"/>
      <c r="Q2290" s="10"/>
      <c r="R2290" s="10"/>
      <c r="S2290" s="54" t="str">
        <f t="shared" si="111"/>
        <v/>
      </c>
      <c r="T2290" s="54" t="str">
        <f t="shared" si="112"/>
        <v/>
      </c>
      <c r="U2290" s="58" t="str">
        <f t="shared" si="113"/>
        <v/>
      </c>
      <c r="V2290" s="58">
        <f>IF(AND($B2290&lt;&gt;"",$F2290&lt;&gt;"",$F2290=项目明细账!$C$2),N(V2289)+1,N(V2289))</f>
        <v>0</v>
      </c>
      <c r="W2290" s="63" t="str">
        <f>IF($H2290&lt;&gt;"","项目成本",IFERROR(INDEX(基础资料!$W$4:$W$49,MATCH($I2290,基础资料!$V$4:$V$49,0)),""))</f>
        <v/>
      </c>
      <c r="X2290" s="63" t="str">
        <f>IFERROR(INDEX(基础资料!$R$4:$R$17,MATCH($G2290,基础资料!$Q$4:$Q$17,0)),"")</f>
        <v/>
      </c>
    </row>
    <row r="2291" spans="1:24">
      <c r="A2291" s="58" t="str">
        <f>IF($B2291="","",COUNTA($B$5:$B2291))</f>
        <v/>
      </c>
      <c r="B2291" s="53"/>
      <c r="C2291" s="46"/>
      <c r="D2291" s="63" t="str">
        <f>IFERROR(INDEX(基础资料!$F$4:$F$23,MATCH($C2291,基础资料!$E$4:$E$23,0)),IF($C2291="","","未匹配账户"))</f>
        <v/>
      </c>
      <c r="E2291" s="39"/>
      <c r="F2291" s="10"/>
      <c r="G2291" s="10"/>
      <c r="H2291" s="10"/>
      <c r="I2291" s="10"/>
      <c r="J2291" s="10"/>
      <c r="K2291" s="25"/>
      <c r="L2291" s="25"/>
      <c r="M2291" s="25" t="str">
        <f>IFERROR(VLOOKUP($C2291,$C$5:$M$24,11,0)+SUMIF($C$25:$C2291,$C2291,$K$25:$K2291)-SUMIF($C$25:$C2291,$C2291,$L$25:$L2291),"")</f>
        <v/>
      </c>
      <c r="N2291" s="10"/>
      <c r="O2291" s="10"/>
      <c r="P2291" s="65"/>
      <c r="Q2291" s="10"/>
      <c r="R2291" s="10"/>
      <c r="S2291" s="54" t="str">
        <f t="shared" si="111"/>
        <v/>
      </c>
      <c r="T2291" s="54" t="str">
        <f t="shared" si="112"/>
        <v/>
      </c>
      <c r="U2291" s="58" t="str">
        <f t="shared" si="113"/>
        <v/>
      </c>
      <c r="V2291" s="58">
        <f>IF(AND($B2291&lt;&gt;"",$F2291&lt;&gt;"",$F2291=项目明细账!$C$2),N(V2290)+1,N(V2290))</f>
        <v>0</v>
      </c>
      <c r="W2291" s="63" t="str">
        <f>IF($H2291&lt;&gt;"","项目成本",IFERROR(INDEX(基础资料!$W$4:$W$49,MATCH($I2291,基础资料!$V$4:$V$49,0)),""))</f>
        <v/>
      </c>
      <c r="X2291" s="63" t="str">
        <f>IFERROR(INDEX(基础资料!$R$4:$R$17,MATCH($G2291,基础资料!$Q$4:$Q$17,0)),"")</f>
        <v/>
      </c>
    </row>
    <row r="2292" spans="1:24">
      <c r="A2292" s="58" t="str">
        <f>IF($B2292="","",COUNTA($B$5:$B2292))</f>
        <v/>
      </c>
      <c r="B2292" s="53"/>
      <c r="C2292" s="46"/>
      <c r="D2292" s="63" t="str">
        <f>IFERROR(INDEX(基础资料!$F$4:$F$23,MATCH($C2292,基础资料!$E$4:$E$23,0)),IF($C2292="","","未匹配账户"))</f>
        <v/>
      </c>
      <c r="E2292" s="39"/>
      <c r="F2292" s="10"/>
      <c r="G2292" s="10"/>
      <c r="H2292" s="10"/>
      <c r="I2292" s="10"/>
      <c r="J2292" s="10"/>
      <c r="K2292" s="25"/>
      <c r="L2292" s="25"/>
      <c r="M2292" s="25" t="str">
        <f>IFERROR(VLOOKUP($C2292,$C$5:$M$24,11,0)+SUMIF($C$25:$C2292,$C2292,$K$25:$K2292)-SUMIF($C$25:$C2292,$C2292,$L$25:$L2292),"")</f>
        <v/>
      </c>
      <c r="N2292" s="10"/>
      <c r="O2292" s="10"/>
      <c r="P2292" s="65"/>
      <c r="Q2292" s="10"/>
      <c r="R2292" s="10"/>
      <c r="S2292" s="54" t="str">
        <f t="shared" si="111"/>
        <v/>
      </c>
      <c r="T2292" s="54" t="str">
        <f t="shared" si="112"/>
        <v/>
      </c>
      <c r="U2292" s="58" t="str">
        <f t="shared" si="113"/>
        <v/>
      </c>
      <c r="V2292" s="58">
        <f>IF(AND($B2292&lt;&gt;"",$F2292&lt;&gt;"",$F2292=项目明细账!$C$2),N(V2291)+1,N(V2291))</f>
        <v>0</v>
      </c>
      <c r="W2292" s="63" t="str">
        <f>IF($H2292&lt;&gt;"","项目成本",IFERROR(INDEX(基础资料!$W$4:$W$49,MATCH($I2292,基础资料!$V$4:$V$49,0)),""))</f>
        <v/>
      </c>
      <c r="X2292" s="63" t="str">
        <f>IFERROR(INDEX(基础资料!$R$4:$R$17,MATCH($G2292,基础资料!$Q$4:$Q$17,0)),"")</f>
        <v/>
      </c>
    </row>
    <row r="2293" spans="1:24">
      <c r="A2293" s="58" t="str">
        <f>IF($B2293="","",COUNTA($B$5:$B2293))</f>
        <v/>
      </c>
      <c r="B2293" s="53"/>
      <c r="C2293" s="46"/>
      <c r="D2293" s="63" t="str">
        <f>IFERROR(INDEX(基础资料!$F$4:$F$23,MATCH($C2293,基础资料!$E$4:$E$23,0)),IF($C2293="","","未匹配账户"))</f>
        <v/>
      </c>
      <c r="E2293" s="39"/>
      <c r="F2293" s="10"/>
      <c r="G2293" s="10"/>
      <c r="H2293" s="10"/>
      <c r="I2293" s="10"/>
      <c r="J2293" s="10"/>
      <c r="K2293" s="25"/>
      <c r="L2293" s="25"/>
      <c r="M2293" s="25" t="str">
        <f>IFERROR(VLOOKUP($C2293,$C$5:$M$24,11,0)+SUMIF($C$25:$C2293,$C2293,$K$25:$K2293)-SUMIF($C$25:$C2293,$C2293,$L$25:$L2293),"")</f>
        <v/>
      </c>
      <c r="N2293" s="10"/>
      <c r="O2293" s="10"/>
      <c r="P2293" s="65"/>
      <c r="Q2293" s="10"/>
      <c r="R2293" s="10"/>
      <c r="S2293" s="54" t="str">
        <f t="shared" si="111"/>
        <v/>
      </c>
      <c r="T2293" s="54" t="str">
        <f t="shared" si="112"/>
        <v/>
      </c>
      <c r="U2293" s="58" t="str">
        <f t="shared" si="113"/>
        <v/>
      </c>
      <c r="V2293" s="58">
        <f>IF(AND($B2293&lt;&gt;"",$F2293&lt;&gt;"",$F2293=项目明细账!$C$2),N(V2292)+1,N(V2292))</f>
        <v>0</v>
      </c>
      <c r="W2293" s="63" t="str">
        <f>IF($H2293&lt;&gt;"","项目成本",IFERROR(INDEX(基础资料!$W$4:$W$49,MATCH($I2293,基础资料!$V$4:$V$49,0)),""))</f>
        <v/>
      </c>
      <c r="X2293" s="63" t="str">
        <f>IFERROR(INDEX(基础资料!$R$4:$R$17,MATCH($G2293,基础资料!$Q$4:$Q$17,0)),"")</f>
        <v/>
      </c>
    </row>
    <row r="2294" spans="1:24">
      <c r="A2294" s="58" t="str">
        <f>IF($B2294="","",COUNTA($B$5:$B2294))</f>
        <v/>
      </c>
      <c r="B2294" s="53"/>
      <c r="C2294" s="46"/>
      <c r="D2294" s="63" t="str">
        <f>IFERROR(INDEX(基础资料!$F$4:$F$23,MATCH($C2294,基础资料!$E$4:$E$23,0)),IF($C2294="","","未匹配账户"))</f>
        <v/>
      </c>
      <c r="E2294" s="39"/>
      <c r="F2294" s="10"/>
      <c r="G2294" s="10"/>
      <c r="H2294" s="10"/>
      <c r="I2294" s="10"/>
      <c r="J2294" s="10"/>
      <c r="K2294" s="25"/>
      <c r="L2294" s="25"/>
      <c r="M2294" s="25" t="str">
        <f>IFERROR(VLOOKUP($C2294,$C$5:$M$24,11,0)+SUMIF($C$25:$C2294,$C2294,$K$25:$K2294)-SUMIF($C$25:$C2294,$C2294,$L$25:$L2294),"")</f>
        <v/>
      </c>
      <c r="N2294" s="10"/>
      <c r="O2294" s="10"/>
      <c r="P2294" s="65"/>
      <c r="Q2294" s="10"/>
      <c r="R2294" s="10"/>
      <c r="S2294" s="54" t="str">
        <f t="shared" si="111"/>
        <v/>
      </c>
      <c r="T2294" s="54" t="str">
        <f t="shared" si="112"/>
        <v/>
      </c>
      <c r="U2294" s="58" t="str">
        <f t="shared" si="113"/>
        <v/>
      </c>
      <c r="V2294" s="58">
        <f>IF(AND($B2294&lt;&gt;"",$F2294&lt;&gt;"",$F2294=项目明细账!$C$2),N(V2293)+1,N(V2293))</f>
        <v>0</v>
      </c>
      <c r="W2294" s="63" t="str">
        <f>IF($H2294&lt;&gt;"","项目成本",IFERROR(INDEX(基础资料!$W$4:$W$49,MATCH($I2294,基础资料!$V$4:$V$49,0)),""))</f>
        <v/>
      </c>
      <c r="X2294" s="63" t="str">
        <f>IFERROR(INDEX(基础资料!$R$4:$R$17,MATCH($G2294,基础资料!$Q$4:$Q$17,0)),"")</f>
        <v/>
      </c>
    </row>
    <row r="2295" spans="1:24">
      <c r="A2295" s="58" t="str">
        <f>IF($B2295="","",COUNTA($B$5:$B2295))</f>
        <v/>
      </c>
      <c r="B2295" s="53"/>
      <c r="C2295" s="46"/>
      <c r="D2295" s="63" t="str">
        <f>IFERROR(INDEX(基础资料!$F$4:$F$23,MATCH($C2295,基础资料!$E$4:$E$23,0)),IF($C2295="","","未匹配账户"))</f>
        <v/>
      </c>
      <c r="E2295" s="39"/>
      <c r="F2295" s="10"/>
      <c r="G2295" s="10"/>
      <c r="H2295" s="10"/>
      <c r="I2295" s="10"/>
      <c r="J2295" s="10"/>
      <c r="K2295" s="25"/>
      <c r="L2295" s="25"/>
      <c r="M2295" s="25" t="str">
        <f>IFERROR(VLOOKUP($C2295,$C$5:$M$24,11,0)+SUMIF($C$25:$C2295,$C2295,$K$25:$K2295)-SUMIF($C$25:$C2295,$C2295,$L$25:$L2295),"")</f>
        <v/>
      </c>
      <c r="N2295" s="10"/>
      <c r="O2295" s="10"/>
      <c r="P2295" s="65"/>
      <c r="Q2295" s="10"/>
      <c r="R2295" s="10"/>
      <c r="S2295" s="54" t="str">
        <f t="shared" si="111"/>
        <v/>
      </c>
      <c r="T2295" s="54" t="str">
        <f t="shared" si="112"/>
        <v/>
      </c>
      <c r="U2295" s="58" t="str">
        <f t="shared" si="113"/>
        <v/>
      </c>
      <c r="V2295" s="58">
        <f>IF(AND($B2295&lt;&gt;"",$F2295&lt;&gt;"",$F2295=项目明细账!$C$2),N(V2294)+1,N(V2294))</f>
        <v>0</v>
      </c>
      <c r="W2295" s="63" t="str">
        <f>IF($H2295&lt;&gt;"","项目成本",IFERROR(INDEX(基础资料!$W$4:$W$49,MATCH($I2295,基础资料!$V$4:$V$49,0)),""))</f>
        <v/>
      </c>
      <c r="X2295" s="63" t="str">
        <f>IFERROR(INDEX(基础资料!$R$4:$R$17,MATCH($G2295,基础资料!$Q$4:$Q$17,0)),"")</f>
        <v/>
      </c>
    </row>
    <row r="2296" spans="1:24">
      <c r="A2296" s="58" t="str">
        <f>IF($B2296="","",COUNTA($B$5:$B2296))</f>
        <v/>
      </c>
      <c r="B2296" s="53"/>
      <c r="C2296" s="46"/>
      <c r="D2296" s="63" t="str">
        <f>IFERROR(INDEX(基础资料!$F$4:$F$23,MATCH($C2296,基础资料!$E$4:$E$23,0)),IF($C2296="","","未匹配账户"))</f>
        <v/>
      </c>
      <c r="E2296" s="39"/>
      <c r="F2296" s="10"/>
      <c r="G2296" s="10"/>
      <c r="H2296" s="10"/>
      <c r="I2296" s="10"/>
      <c r="J2296" s="10"/>
      <c r="K2296" s="25"/>
      <c r="L2296" s="25"/>
      <c r="M2296" s="25" t="str">
        <f>IFERROR(VLOOKUP($C2296,$C$5:$M$24,11,0)+SUMIF($C$25:$C2296,$C2296,$K$25:$K2296)-SUMIF($C$25:$C2296,$C2296,$L$25:$L2296),"")</f>
        <v/>
      </c>
      <c r="N2296" s="10"/>
      <c r="O2296" s="10"/>
      <c r="P2296" s="65"/>
      <c r="Q2296" s="10"/>
      <c r="R2296" s="10"/>
      <c r="S2296" s="54" t="str">
        <f t="shared" si="111"/>
        <v/>
      </c>
      <c r="T2296" s="54" t="str">
        <f t="shared" si="112"/>
        <v/>
      </c>
      <c r="U2296" s="58" t="str">
        <f t="shared" si="113"/>
        <v/>
      </c>
      <c r="V2296" s="58">
        <f>IF(AND($B2296&lt;&gt;"",$F2296&lt;&gt;"",$F2296=项目明细账!$C$2),N(V2295)+1,N(V2295))</f>
        <v>0</v>
      </c>
      <c r="W2296" s="63" t="str">
        <f>IF($H2296&lt;&gt;"","项目成本",IFERROR(INDEX(基础资料!$W$4:$W$49,MATCH($I2296,基础资料!$V$4:$V$49,0)),""))</f>
        <v/>
      </c>
      <c r="X2296" s="63" t="str">
        <f>IFERROR(INDEX(基础资料!$R$4:$R$17,MATCH($G2296,基础资料!$Q$4:$Q$17,0)),"")</f>
        <v/>
      </c>
    </row>
    <row r="2297" spans="1:24">
      <c r="A2297" s="58" t="str">
        <f>IF($B2297="","",COUNTA($B$5:$B2297))</f>
        <v/>
      </c>
      <c r="B2297" s="53"/>
      <c r="C2297" s="46"/>
      <c r="D2297" s="63" t="str">
        <f>IFERROR(INDEX(基础资料!$F$4:$F$23,MATCH($C2297,基础资料!$E$4:$E$23,0)),IF($C2297="","","未匹配账户"))</f>
        <v/>
      </c>
      <c r="E2297" s="39"/>
      <c r="F2297" s="10"/>
      <c r="G2297" s="10"/>
      <c r="H2297" s="10"/>
      <c r="I2297" s="10"/>
      <c r="J2297" s="10"/>
      <c r="K2297" s="25"/>
      <c r="L2297" s="25"/>
      <c r="M2297" s="25" t="str">
        <f>IFERROR(VLOOKUP($C2297,$C$5:$M$24,11,0)+SUMIF($C$25:$C2297,$C2297,$K$25:$K2297)-SUMIF($C$25:$C2297,$C2297,$L$25:$L2297),"")</f>
        <v/>
      </c>
      <c r="N2297" s="10"/>
      <c r="O2297" s="10"/>
      <c r="P2297" s="65"/>
      <c r="Q2297" s="10"/>
      <c r="R2297" s="10"/>
      <c r="S2297" s="54" t="str">
        <f t="shared" si="111"/>
        <v/>
      </c>
      <c r="T2297" s="54" t="str">
        <f t="shared" si="112"/>
        <v/>
      </c>
      <c r="U2297" s="58" t="str">
        <f t="shared" si="113"/>
        <v/>
      </c>
      <c r="V2297" s="58">
        <f>IF(AND($B2297&lt;&gt;"",$F2297&lt;&gt;"",$F2297=项目明细账!$C$2),N(V2296)+1,N(V2296))</f>
        <v>0</v>
      </c>
      <c r="W2297" s="63" t="str">
        <f>IF($H2297&lt;&gt;"","项目成本",IFERROR(INDEX(基础资料!$W$4:$W$49,MATCH($I2297,基础资料!$V$4:$V$49,0)),""))</f>
        <v/>
      </c>
      <c r="X2297" s="63" t="str">
        <f>IFERROR(INDEX(基础资料!$R$4:$R$17,MATCH($G2297,基础资料!$Q$4:$Q$17,0)),"")</f>
        <v/>
      </c>
    </row>
    <row r="2298" spans="1:24">
      <c r="A2298" s="58" t="str">
        <f>IF($B2298="","",COUNTA($B$5:$B2298))</f>
        <v/>
      </c>
      <c r="B2298" s="53"/>
      <c r="C2298" s="46"/>
      <c r="D2298" s="63" t="str">
        <f>IFERROR(INDEX(基础资料!$F$4:$F$23,MATCH($C2298,基础资料!$E$4:$E$23,0)),IF($C2298="","","未匹配账户"))</f>
        <v/>
      </c>
      <c r="E2298" s="39"/>
      <c r="F2298" s="10"/>
      <c r="G2298" s="10"/>
      <c r="H2298" s="10"/>
      <c r="I2298" s="10"/>
      <c r="J2298" s="10"/>
      <c r="K2298" s="25"/>
      <c r="L2298" s="25"/>
      <c r="M2298" s="25" t="str">
        <f>IFERROR(VLOOKUP($C2298,$C$5:$M$24,11,0)+SUMIF($C$25:$C2298,$C2298,$K$25:$K2298)-SUMIF($C$25:$C2298,$C2298,$L$25:$L2298),"")</f>
        <v/>
      </c>
      <c r="N2298" s="10"/>
      <c r="O2298" s="10"/>
      <c r="P2298" s="65"/>
      <c r="Q2298" s="10"/>
      <c r="R2298" s="10"/>
      <c r="S2298" s="54" t="str">
        <f t="shared" si="111"/>
        <v/>
      </c>
      <c r="T2298" s="54" t="str">
        <f t="shared" si="112"/>
        <v/>
      </c>
      <c r="U2298" s="58" t="str">
        <f t="shared" si="113"/>
        <v/>
      </c>
      <c r="V2298" s="58">
        <f>IF(AND($B2298&lt;&gt;"",$F2298&lt;&gt;"",$F2298=项目明细账!$C$2),N(V2297)+1,N(V2297))</f>
        <v>0</v>
      </c>
      <c r="W2298" s="63" t="str">
        <f>IF($H2298&lt;&gt;"","项目成本",IFERROR(INDEX(基础资料!$W$4:$W$49,MATCH($I2298,基础资料!$V$4:$V$49,0)),""))</f>
        <v/>
      </c>
      <c r="X2298" s="63" t="str">
        <f>IFERROR(INDEX(基础资料!$R$4:$R$17,MATCH($G2298,基础资料!$Q$4:$Q$17,0)),"")</f>
        <v/>
      </c>
    </row>
    <row r="2299" spans="1:24">
      <c r="A2299" s="58" t="str">
        <f>IF($B2299="","",COUNTA($B$5:$B2299))</f>
        <v/>
      </c>
      <c r="B2299" s="53"/>
      <c r="C2299" s="46"/>
      <c r="D2299" s="63" t="str">
        <f>IFERROR(INDEX(基础资料!$F$4:$F$23,MATCH($C2299,基础资料!$E$4:$E$23,0)),IF($C2299="","","未匹配账户"))</f>
        <v/>
      </c>
      <c r="E2299" s="39"/>
      <c r="F2299" s="10"/>
      <c r="G2299" s="10"/>
      <c r="H2299" s="10"/>
      <c r="I2299" s="10"/>
      <c r="J2299" s="10"/>
      <c r="K2299" s="25"/>
      <c r="L2299" s="25"/>
      <c r="M2299" s="25" t="str">
        <f>IFERROR(VLOOKUP($C2299,$C$5:$M$24,11,0)+SUMIF($C$25:$C2299,$C2299,$K$25:$K2299)-SUMIF($C$25:$C2299,$C2299,$L$25:$L2299),"")</f>
        <v/>
      </c>
      <c r="N2299" s="10"/>
      <c r="O2299" s="10"/>
      <c r="P2299" s="65"/>
      <c r="Q2299" s="10"/>
      <c r="R2299" s="10"/>
      <c r="S2299" s="54" t="str">
        <f t="shared" si="111"/>
        <v/>
      </c>
      <c r="T2299" s="54" t="str">
        <f t="shared" si="112"/>
        <v/>
      </c>
      <c r="U2299" s="58" t="str">
        <f t="shared" si="113"/>
        <v/>
      </c>
      <c r="V2299" s="58">
        <f>IF(AND($B2299&lt;&gt;"",$F2299&lt;&gt;"",$F2299=项目明细账!$C$2),N(V2298)+1,N(V2298))</f>
        <v>0</v>
      </c>
      <c r="W2299" s="63" t="str">
        <f>IF($H2299&lt;&gt;"","项目成本",IFERROR(INDEX(基础资料!$W$4:$W$49,MATCH($I2299,基础资料!$V$4:$V$49,0)),""))</f>
        <v/>
      </c>
      <c r="X2299" s="63" t="str">
        <f>IFERROR(INDEX(基础资料!$R$4:$R$17,MATCH($G2299,基础资料!$Q$4:$Q$17,0)),"")</f>
        <v/>
      </c>
    </row>
    <row r="2300" spans="1:24">
      <c r="A2300" s="58" t="str">
        <f>IF($B2300="","",COUNTA($B$5:$B2300))</f>
        <v/>
      </c>
      <c r="B2300" s="53"/>
      <c r="C2300" s="46"/>
      <c r="D2300" s="63" t="str">
        <f>IFERROR(INDEX(基础资料!$F$4:$F$23,MATCH($C2300,基础资料!$E$4:$E$23,0)),IF($C2300="","","未匹配账户"))</f>
        <v/>
      </c>
      <c r="E2300" s="39"/>
      <c r="F2300" s="10"/>
      <c r="G2300" s="10"/>
      <c r="H2300" s="10"/>
      <c r="I2300" s="10"/>
      <c r="J2300" s="10"/>
      <c r="K2300" s="25"/>
      <c r="L2300" s="25"/>
      <c r="M2300" s="25" t="str">
        <f>IFERROR(VLOOKUP($C2300,$C$5:$M$24,11,0)+SUMIF($C$25:$C2300,$C2300,$K$25:$K2300)-SUMIF($C$25:$C2300,$C2300,$L$25:$L2300),"")</f>
        <v/>
      </c>
      <c r="N2300" s="10"/>
      <c r="O2300" s="10"/>
      <c r="P2300" s="65"/>
      <c r="Q2300" s="10"/>
      <c r="R2300" s="10"/>
      <c r="S2300" s="54" t="str">
        <f t="shared" si="111"/>
        <v/>
      </c>
      <c r="T2300" s="54" t="str">
        <f t="shared" si="112"/>
        <v/>
      </c>
      <c r="U2300" s="58" t="str">
        <f t="shared" si="113"/>
        <v/>
      </c>
      <c r="V2300" s="58">
        <f>IF(AND($B2300&lt;&gt;"",$F2300&lt;&gt;"",$F2300=项目明细账!$C$2),N(V2299)+1,N(V2299))</f>
        <v>0</v>
      </c>
      <c r="W2300" s="63" t="str">
        <f>IF($H2300&lt;&gt;"","项目成本",IFERROR(INDEX(基础资料!$W$4:$W$49,MATCH($I2300,基础资料!$V$4:$V$49,0)),""))</f>
        <v/>
      </c>
      <c r="X2300" s="63" t="str">
        <f>IFERROR(INDEX(基础资料!$R$4:$R$17,MATCH($G2300,基础资料!$Q$4:$Q$17,0)),"")</f>
        <v/>
      </c>
    </row>
    <row r="2301" spans="1:24">
      <c r="A2301" s="58" t="str">
        <f>IF($B2301="","",COUNTA($B$5:$B2301))</f>
        <v/>
      </c>
      <c r="B2301" s="53"/>
      <c r="C2301" s="46"/>
      <c r="D2301" s="63" t="str">
        <f>IFERROR(INDEX(基础资料!$F$4:$F$23,MATCH($C2301,基础资料!$E$4:$E$23,0)),IF($C2301="","","未匹配账户"))</f>
        <v/>
      </c>
      <c r="E2301" s="39"/>
      <c r="F2301" s="10"/>
      <c r="G2301" s="10"/>
      <c r="H2301" s="10"/>
      <c r="I2301" s="10"/>
      <c r="J2301" s="10"/>
      <c r="K2301" s="25"/>
      <c r="L2301" s="25"/>
      <c r="M2301" s="25" t="str">
        <f>IFERROR(VLOOKUP($C2301,$C$5:$M$24,11,0)+SUMIF($C$25:$C2301,$C2301,$K$25:$K2301)-SUMIF($C$25:$C2301,$C2301,$L$25:$L2301),"")</f>
        <v/>
      </c>
      <c r="N2301" s="10"/>
      <c r="O2301" s="10"/>
      <c r="P2301" s="65"/>
      <c r="Q2301" s="10"/>
      <c r="R2301" s="10"/>
      <c r="S2301" s="54" t="str">
        <f t="shared" si="111"/>
        <v/>
      </c>
      <c r="T2301" s="54" t="str">
        <f t="shared" si="112"/>
        <v/>
      </c>
      <c r="U2301" s="58" t="str">
        <f t="shared" si="113"/>
        <v/>
      </c>
      <c r="V2301" s="58">
        <f>IF(AND($B2301&lt;&gt;"",$F2301&lt;&gt;"",$F2301=项目明细账!$C$2),N(V2300)+1,N(V2300))</f>
        <v>0</v>
      </c>
      <c r="W2301" s="63" t="str">
        <f>IF($H2301&lt;&gt;"","项目成本",IFERROR(INDEX(基础资料!$W$4:$W$49,MATCH($I2301,基础资料!$V$4:$V$49,0)),""))</f>
        <v/>
      </c>
      <c r="X2301" s="63" t="str">
        <f>IFERROR(INDEX(基础资料!$R$4:$R$17,MATCH($G2301,基础资料!$Q$4:$Q$17,0)),"")</f>
        <v/>
      </c>
    </row>
    <row r="2302" spans="1:24">
      <c r="A2302" s="58" t="str">
        <f>IF($B2302="","",COUNTA($B$5:$B2302))</f>
        <v/>
      </c>
      <c r="B2302" s="53"/>
      <c r="C2302" s="46"/>
      <c r="D2302" s="63" t="str">
        <f>IFERROR(INDEX(基础资料!$F$4:$F$23,MATCH($C2302,基础资料!$E$4:$E$23,0)),IF($C2302="","","未匹配账户"))</f>
        <v/>
      </c>
      <c r="E2302" s="39"/>
      <c r="F2302" s="10"/>
      <c r="G2302" s="10"/>
      <c r="H2302" s="10"/>
      <c r="I2302" s="10"/>
      <c r="J2302" s="10"/>
      <c r="K2302" s="25"/>
      <c r="L2302" s="25"/>
      <c r="M2302" s="25" t="str">
        <f>IFERROR(VLOOKUP($C2302,$C$5:$M$24,11,0)+SUMIF($C$25:$C2302,$C2302,$K$25:$K2302)-SUMIF($C$25:$C2302,$C2302,$L$25:$L2302),"")</f>
        <v/>
      </c>
      <c r="N2302" s="10"/>
      <c r="O2302" s="10"/>
      <c r="P2302" s="65"/>
      <c r="Q2302" s="10"/>
      <c r="R2302" s="10"/>
      <c r="S2302" s="54" t="str">
        <f t="shared" si="111"/>
        <v/>
      </c>
      <c r="T2302" s="54" t="str">
        <f t="shared" si="112"/>
        <v/>
      </c>
      <c r="U2302" s="58" t="str">
        <f t="shared" si="113"/>
        <v/>
      </c>
      <c r="V2302" s="58">
        <f>IF(AND($B2302&lt;&gt;"",$F2302&lt;&gt;"",$F2302=项目明细账!$C$2),N(V2301)+1,N(V2301))</f>
        <v>0</v>
      </c>
      <c r="W2302" s="63" t="str">
        <f>IF($H2302&lt;&gt;"","项目成本",IFERROR(INDEX(基础资料!$W$4:$W$49,MATCH($I2302,基础资料!$V$4:$V$49,0)),""))</f>
        <v/>
      </c>
      <c r="X2302" s="63" t="str">
        <f>IFERROR(INDEX(基础资料!$R$4:$R$17,MATCH($G2302,基础资料!$Q$4:$Q$17,0)),"")</f>
        <v/>
      </c>
    </row>
    <row r="2303" spans="1:24">
      <c r="A2303" s="58" t="str">
        <f>IF($B2303="","",COUNTA($B$5:$B2303))</f>
        <v/>
      </c>
      <c r="B2303" s="53"/>
      <c r="C2303" s="46"/>
      <c r="D2303" s="63" t="str">
        <f>IFERROR(INDEX(基础资料!$F$4:$F$23,MATCH($C2303,基础资料!$E$4:$E$23,0)),IF($C2303="","","未匹配账户"))</f>
        <v/>
      </c>
      <c r="E2303" s="39"/>
      <c r="F2303" s="10"/>
      <c r="G2303" s="10"/>
      <c r="H2303" s="10"/>
      <c r="I2303" s="10"/>
      <c r="J2303" s="10"/>
      <c r="K2303" s="25"/>
      <c r="L2303" s="25"/>
      <c r="M2303" s="25" t="str">
        <f>IFERROR(VLOOKUP($C2303,$C$5:$M$24,11,0)+SUMIF($C$25:$C2303,$C2303,$K$25:$K2303)-SUMIF($C$25:$C2303,$C2303,$L$25:$L2303),"")</f>
        <v/>
      </c>
      <c r="N2303" s="10"/>
      <c r="O2303" s="10"/>
      <c r="P2303" s="65"/>
      <c r="Q2303" s="10"/>
      <c r="R2303" s="10"/>
      <c r="S2303" s="54" t="str">
        <f t="shared" si="111"/>
        <v/>
      </c>
      <c r="T2303" s="54" t="str">
        <f t="shared" si="112"/>
        <v/>
      </c>
      <c r="U2303" s="58" t="str">
        <f t="shared" si="113"/>
        <v/>
      </c>
      <c r="V2303" s="58">
        <f>IF(AND($B2303&lt;&gt;"",$F2303&lt;&gt;"",$F2303=项目明细账!$C$2),N(V2302)+1,N(V2302))</f>
        <v>0</v>
      </c>
      <c r="W2303" s="63" t="str">
        <f>IF($H2303&lt;&gt;"","项目成本",IFERROR(INDEX(基础资料!$W$4:$W$49,MATCH($I2303,基础资料!$V$4:$V$49,0)),""))</f>
        <v/>
      </c>
      <c r="X2303" s="63" t="str">
        <f>IFERROR(INDEX(基础资料!$R$4:$R$17,MATCH($G2303,基础资料!$Q$4:$Q$17,0)),"")</f>
        <v/>
      </c>
    </row>
    <row r="2304" spans="1:24">
      <c r="A2304" s="58" t="str">
        <f>IF($B2304="","",COUNTA($B$5:$B2304))</f>
        <v/>
      </c>
      <c r="B2304" s="53"/>
      <c r="C2304" s="46"/>
      <c r="D2304" s="63" t="str">
        <f>IFERROR(INDEX(基础资料!$F$4:$F$23,MATCH($C2304,基础资料!$E$4:$E$23,0)),IF($C2304="","","未匹配账户"))</f>
        <v/>
      </c>
      <c r="E2304" s="39"/>
      <c r="F2304" s="10"/>
      <c r="G2304" s="10"/>
      <c r="H2304" s="10"/>
      <c r="I2304" s="10"/>
      <c r="J2304" s="10"/>
      <c r="K2304" s="25"/>
      <c r="L2304" s="25"/>
      <c r="M2304" s="25" t="str">
        <f>IFERROR(VLOOKUP($C2304,$C$5:$M$24,11,0)+SUMIF($C$25:$C2304,$C2304,$K$25:$K2304)-SUMIF($C$25:$C2304,$C2304,$L$25:$L2304),"")</f>
        <v/>
      </c>
      <c r="N2304" s="10"/>
      <c r="O2304" s="10"/>
      <c r="P2304" s="65"/>
      <c r="Q2304" s="10"/>
      <c r="R2304" s="10"/>
      <c r="S2304" s="54" t="str">
        <f t="shared" si="111"/>
        <v/>
      </c>
      <c r="T2304" s="54" t="str">
        <f t="shared" si="112"/>
        <v/>
      </c>
      <c r="U2304" s="58" t="str">
        <f t="shared" si="113"/>
        <v/>
      </c>
      <c r="V2304" s="58">
        <f>IF(AND($B2304&lt;&gt;"",$F2304&lt;&gt;"",$F2304=项目明细账!$C$2),N(V2303)+1,N(V2303))</f>
        <v>0</v>
      </c>
      <c r="W2304" s="63" t="str">
        <f>IF($H2304&lt;&gt;"","项目成本",IFERROR(INDEX(基础资料!$W$4:$W$49,MATCH($I2304,基础资料!$V$4:$V$49,0)),""))</f>
        <v/>
      </c>
      <c r="X2304" s="63" t="str">
        <f>IFERROR(INDEX(基础资料!$R$4:$R$17,MATCH($G2304,基础资料!$Q$4:$Q$17,0)),"")</f>
        <v/>
      </c>
    </row>
    <row r="2305" spans="1:24">
      <c r="A2305" s="58" t="str">
        <f>IF($B2305="","",COUNTA($B$5:$B2305))</f>
        <v/>
      </c>
      <c r="B2305" s="53"/>
      <c r="C2305" s="46"/>
      <c r="D2305" s="63" t="str">
        <f>IFERROR(INDEX(基础资料!$F$4:$F$23,MATCH($C2305,基础资料!$E$4:$E$23,0)),IF($C2305="","","未匹配账户"))</f>
        <v/>
      </c>
      <c r="E2305" s="39"/>
      <c r="F2305" s="10"/>
      <c r="G2305" s="10"/>
      <c r="H2305" s="10"/>
      <c r="I2305" s="10"/>
      <c r="J2305" s="10"/>
      <c r="K2305" s="25"/>
      <c r="L2305" s="25"/>
      <c r="M2305" s="25" t="str">
        <f>IFERROR(VLOOKUP($C2305,$C$5:$M$24,11,0)+SUMIF($C$25:$C2305,$C2305,$K$25:$K2305)-SUMIF($C$25:$C2305,$C2305,$L$25:$L2305),"")</f>
        <v/>
      </c>
      <c r="N2305" s="10"/>
      <c r="O2305" s="10"/>
      <c r="P2305" s="65"/>
      <c r="Q2305" s="10"/>
      <c r="R2305" s="10"/>
      <c r="S2305" s="54" t="str">
        <f t="shared" si="111"/>
        <v/>
      </c>
      <c r="T2305" s="54" t="str">
        <f t="shared" si="112"/>
        <v/>
      </c>
      <c r="U2305" s="58" t="str">
        <f t="shared" si="113"/>
        <v/>
      </c>
      <c r="V2305" s="58">
        <f>IF(AND($B2305&lt;&gt;"",$F2305&lt;&gt;"",$F2305=项目明细账!$C$2),N(V2304)+1,N(V2304))</f>
        <v>0</v>
      </c>
      <c r="W2305" s="63" t="str">
        <f>IF($H2305&lt;&gt;"","项目成本",IFERROR(INDEX(基础资料!$W$4:$W$49,MATCH($I2305,基础资料!$V$4:$V$49,0)),""))</f>
        <v/>
      </c>
      <c r="X2305" s="63" t="str">
        <f>IFERROR(INDEX(基础资料!$R$4:$R$17,MATCH($G2305,基础资料!$Q$4:$Q$17,0)),"")</f>
        <v/>
      </c>
    </row>
    <row r="2306" spans="1:24">
      <c r="A2306" s="58" t="str">
        <f>IF($B2306="","",COUNTA($B$5:$B2306))</f>
        <v/>
      </c>
      <c r="B2306" s="53"/>
      <c r="C2306" s="46"/>
      <c r="D2306" s="63" t="str">
        <f>IFERROR(INDEX(基础资料!$F$4:$F$23,MATCH($C2306,基础资料!$E$4:$E$23,0)),IF($C2306="","","未匹配账户"))</f>
        <v/>
      </c>
      <c r="E2306" s="39"/>
      <c r="F2306" s="10"/>
      <c r="G2306" s="10"/>
      <c r="H2306" s="10"/>
      <c r="I2306" s="10"/>
      <c r="J2306" s="10"/>
      <c r="K2306" s="25"/>
      <c r="L2306" s="25"/>
      <c r="M2306" s="25" t="str">
        <f>IFERROR(VLOOKUP($C2306,$C$5:$M$24,11,0)+SUMIF($C$25:$C2306,$C2306,$K$25:$K2306)-SUMIF($C$25:$C2306,$C2306,$L$25:$L2306),"")</f>
        <v/>
      </c>
      <c r="N2306" s="10"/>
      <c r="O2306" s="10"/>
      <c r="P2306" s="65"/>
      <c r="Q2306" s="10"/>
      <c r="R2306" s="10"/>
      <c r="S2306" s="54" t="str">
        <f t="shared" si="111"/>
        <v/>
      </c>
      <c r="T2306" s="54" t="str">
        <f t="shared" si="112"/>
        <v/>
      </c>
      <c r="U2306" s="58" t="str">
        <f t="shared" si="113"/>
        <v/>
      </c>
      <c r="V2306" s="58">
        <f>IF(AND($B2306&lt;&gt;"",$F2306&lt;&gt;"",$F2306=项目明细账!$C$2),N(V2305)+1,N(V2305))</f>
        <v>0</v>
      </c>
      <c r="W2306" s="63" t="str">
        <f>IF($H2306&lt;&gt;"","项目成本",IFERROR(INDEX(基础资料!$W$4:$W$49,MATCH($I2306,基础资料!$V$4:$V$49,0)),""))</f>
        <v/>
      </c>
      <c r="X2306" s="63" t="str">
        <f>IFERROR(INDEX(基础资料!$R$4:$R$17,MATCH($G2306,基础资料!$Q$4:$Q$17,0)),"")</f>
        <v/>
      </c>
    </row>
    <row r="2307" spans="1:24">
      <c r="A2307" s="58" t="str">
        <f>IF($B2307="","",COUNTA($B$5:$B2307))</f>
        <v/>
      </c>
      <c r="B2307" s="53"/>
      <c r="C2307" s="46"/>
      <c r="D2307" s="63" t="str">
        <f>IFERROR(INDEX(基础资料!$F$4:$F$23,MATCH($C2307,基础资料!$E$4:$E$23,0)),IF($C2307="","","未匹配账户"))</f>
        <v/>
      </c>
      <c r="E2307" s="39"/>
      <c r="F2307" s="10"/>
      <c r="G2307" s="10"/>
      <c r="H2307" s="10"/>
      <c r="I2307" s="10"/>
      <c r="J2307" s="10"/>
      <c r="K2307" s="25"/>
      <c r="L2307" s="25"/>
      <c r="M2307" s="25" t="str">
        <f>IFERROR(VLOOKUP($C2307,$C$5:$M$24,11,0)+SUMIF($C$25:$C2307,$C2307,$K$25:$K2307)-SUMIF($C$25:$C2307,$C2307,$L$25:$L2307),"")</f>
        <v/>
      </c>
      <c r="N2307" s="10"/>
      <c r="O2307" s="10"/>
      <c r="P2307" s="65"/>
      <c r="Q2307" s="10"/>
      <c r="R2307" s="10"/>
      <c r="S2307" s="54" t="str">
        <f t="shared" si="111"/>
        <v/>
      </c>
      <c r="T2307" s="54" t="str">
        <f t="shared" si="112"/>
        <v/>
      </c>
      <c r="U2307" s="58" t="str">
        <f t="shared" si="113"/>
        <v/>
      </c>
      <c r="V2307" s="58">
        <f>IF(AND($B2307&lt;&gt;"",$F2307&lt;&gt;"",$F2307=项目明细账!$C$2),N(V2306)+1,N(V2306))</f>
        <v>0</v>
      </c>
      <c r="W2307" s="63" t="str">
        <f>IF($H2307&lt;&gt;"","项目成本",IFERROR(INDEX(基础资料!$W$4:$W$49,MATCH($I2307,基础资料!$V$4:$V$49,0)),""))</f>
        <v/>
      </c>
      <c r="X2307" s="63" t="str">
        <f>IFERROR(INDEX(基础资料!$R$4:$R$17,MATCH($G2307,基础资料!$Q$4:$Q$17,0)),"")</f>
        <v/>
      </c>
    </row>
    <row r="2308" spans="1:24">
      <c r="A2308" s="58" t="str">
        <f>IF($B2308="","",COUNTA($B$5:$B2308))</f>
        <v/>
      </c>
      <c r="B2308" s="53"/>
      <c r="C2308" s="46"/>
      <c r="D2308" s="63" t="str">
        <f>IFERROR(INDEX(基础资料!$F$4:$F$23,MATCH($C2308,基础资料!$E$4:$E$23,0)),IF($C2308="","","未匹配账户"))</f>
        <v/>
      </c>
      <c r="E2308" s="39"/>
      <c r="F2308" s="10"/>
      <c r="G2308" s="10"/>
      <c r="H2308" s="10"/>
      <c r="I2308" s="10"/>
      <c r="J2308" s="10"/>
      <c r="K2308" s="25"/>
      <c r="L2308" s="25"/>
      <c r="M2308" s="25" t="str">
        <f>IFERROR(VLOOKUP($C2308,$C$5:$M$24,11,0)+SUMIF($C$25:$C2308,$C2308,$K$25:$K2308)-SUMIF($C$25:$C2308,$C2308,$L$25:$L2308),"")</f>
        <v/>
      </c>
      <c r="N2308" s="10"/>
      <c r="O2308" s="10"/>
      <c r="P2308" s="65"/>
      <c r="Q2308" s="10"/>
      <c r="R2308" s="10"/>
      <c r="S2308" s="54" t="str">
        <f t="shared" si="111"/>
        <v/>
      </c>
      <c r="T2308" s="54" t="str">
        <f t="shared" si="112"/>
        <v/>
      </c>
      <c r="U2308" s="58" t="str">
        <f t="shared" si="113"/>
        <v/>
      </c>
      <c r="V2308" s="58">
        <f>IF(AND($B2308&lt;&gt;"",$F2308&lt;&gt;"",$F2308=项目明细账!$C$2),N(V2307)+1,N(V2307))</f>
        <v>0</v>
      </c>
      <c r="W2308" s="63" t="str">
        <f>IF($H2308&lt;&gt;"","项目成本",IFERROR(INDEX(基础资料!$W$4:$W$49,MATCH($I2308,基础资料!$V$4:$V$49,0)),""))</f>
        <v/>
      </c>
      <c r="X2308" s="63" t="str">
        <f>IFERROR(INDEX(基础资料!$R$4:$R$17,MATCH($G2308,基础资料!$Q$4:$Q$17,0)),"")</f>
        <v/>
      </c>
    </row>
    <row r="2309" spans="1:24">
      <c r="A2309" s="58" t="str">
        <f>IF($B2309="","",COUNTA($B$5:$B2309))</f>
        <v/>
      </c>
      <c r="B2309" s="53"/>
      <c r="C2309" s="46"/>
      <c r="D2309" s="63" t="str">
        <f>IFERROR(INDEX(基础资料!$F$4:$F$23,MATCH($C2309,基础资料!$E$4:$E$23,0)),IF($C2309="","","未匹配账户"))</f>
        <v/>
      </c>
      <c r="E2309" s="39"/>
      <c r="F2309" s="10"/>
      <c r="G2309" s="10"/>
      <c r="H2309" s="10"/>
      <c r="I2309" s="10"/>
      <c r="J2309" s="10"/>
      <c r="K2309" s="25"/>
      <c r="L2309" s="25"/>
      <c r="M2309" s="25" t="str">
        <f>IFERROR(VLOOKUP($C2309,$C$5:$M$24,11,0)+SUMIF($C$25:$C2309,$C2309,$K$25:$K2309)-SUMIF($C$25:$C2309,$C2309,$L$25:$L2309),"")</f>
        <v/>
      </c>
      <c r="N2309" s="10"/>
      <c r="O2309" s="10"/>
      <c r="P2309" s="65"/>
      <c r="Q2309" s="10"/>
      <c r="R2309" s="10"/>
      <c r="S2309" s="54" t="str">
        <f t="shared" si="111"/>
        <v/>
      </c>
      <c r="T2309" s="54" t="str">
        <f t="shared" si="112"/>
        <v/>
      </c>
      <c r="U2309" s="58" t="str">
        <f t="shared" si="113"/>
        <v/>
      </c>
      <c r="V2309" s="58">
        <f>IF(AND($B2309&lt;&gt;"",$F2309&lt;&gt;"",$F2309=项目明细账!$C$2),N(V2308)+1,N(V2308))</f>
        <v>0</v>
      </c>
      <c r="W2309" s="63" t="str">
        <f>IF($H2309&lt;&gt;"","项目成本",IFERROR(INDEX(基础资料!$W$4:$W$49,MATCH($I2309,基础资料!$V$4:$V$49,0)),""))</f>
        <v/>
      </c>
      <c r="X2309" s="63" t="str">
        <f>IFERROR(INDEX(基础资料!$R$4:$R$17,MATCH($G2309,基础资料!$Q$4:$Q$17,0)),"")</f>
        <v/>
      </c>
    </row>
    <row r="2310" spans="1:24">
      <c r="A2310" s="58" t="str">
        <f>IF($B2310="","",COUNTA($B$5:$B2310))</f>
        <v/>
      </c>
      <c r="B2310" s="53"/>
      <c r="C2310" s="46"/>
      <c r="D2310" s="63" t="str">
        <f>IFERROR(INDEX(基础资料!$F$4:$F$23,MATCH($C2310,基础资料!$E$4:$E$23,0)),IF($C2310="","","未匹配账户"))</f>
        <v/>
      </c>
      <c r="E2310" s="39"/>
      <c r="F2310" s="10"/>
      <c r="G2310" s="10"/>
      <c r="H2310" s="10"/>
      <c r="I2310" s="10"/>
      <c r="J2310" s="10"/>
      <c r="K2310" s="25"/>
      <c r="L2310" s="25"/>
      <c r="M2310" s="25" t="str">
        <f>IFERROR(VLOOKUP($C2310,$C$5:$M$24,11,0)+SUMIF($C$25:$C2310,$C2310,$K$25:$K2310)-SUMIF($C$25:$C2310,$C2310,$L$25:$L2310),"")</f>
        <v/>
      </c>
      <c r="N2310" s="10"/>
      <c r="O2310" s="10"/>
      <c r="P2310" s="65"/>
      <c r="Q2310" s="10"/>
      <c r="R2310" s="10"/>
      <c r="S2310" s="54" t="str">
        <f t="shared" si="111"/>
        <v/>
      </c>
      <c r="T2310" s="54" t="str">
        <f t="shared" si="112"/>
        <v/>
      </c>
      <c r="U2310" s="58" t="str">
        <f t="shared" si="113"/>
        <v/>
      </c>
      <c r="V2310" s="58">
        <f>IF(AND($B2310&lt;&gt;"",$F2310&lt;&gt;"",$F2310=项目明细账!$C$2),N(V2309)+1,N(V2309))</f>
        <v>0</v>
      </c>
      <c r="W2310" s="63" t="str">
        <f>IF($H2310&lt;&gt;"","项目成本",IFERROR(INDEX(基础资料!$W$4:$W$49,MATCH($I2310,基础资料!$V$4:$V$49,0)),""))</f>
        <v/>
      </c>
      <c r="X2310" s="63" t="str">
        <f>IFERROR(INDEX(基础资料!$R$4:$R$17,MATCH($G2310,基础资料!$Q$4:$Q$17,0)),"")</f>
        <v/>
      </c>
    </row>
    <row r="2311" spans="1:24">
      <c r="A2311" s="58" t="str">
        <f>IF($B2311="","",COUNTA($B$5:$B2311))</f>
        <v/>
      </c>
      <c r="B2311" s="53"/>
      <c r="C2311" s="46"/>
      <c r="D2311" s="63" t="str">
        <f>IFERROR(INDEX(基础资料!$F$4:$F$23,MATCH($C2311,基础资料!$E$4:$E$23,0)),IF($C2311="","","未匹配账户"))</f>
        <v/>
      </c>
      <c r="E2311" s="39"/>
      <c r="F2311" s="10"/>
      <c r="G2311" s="10"/>
      <c r="H2311" s="10"/>
      <c r="I2311" s="10"/>
      <c r="J2311" s="10"/>
      <c r="K2311" s="25"/>
      <c r="L2311" s="25"/>
      <c r="M2311" s="25" t="str">
        <f>IFERROR(VLOOKUP($C2311,$C$5:$M$24,11,0)+SUMIF($C$25:$C2311,$C2311,$K$25:$K2311)-SUMIF($C$25:$C2311,$C2311,$L$25:$L2311),"")</f>
        <v/>
      </c>
      <c r="N2311" s="10"/>
      <c r="O2311" s="10"/>
      <c r="P2311" s="65"/>
      <c r="Q2311" s="10"/>
      <c r="R2311" s="10"/>
      <c r="S2311" s="54" t="str">
        <f t="shared" ref="S2311:S2374" si="114">IF($B2311="","",--TEXT($B2311,"yyyymm"))</f>
        <v/>
      </c>
      <c r="T2311" s="54" t="str">
        <f t="shared" ref="T2311:T2374" si="115">IF($B2311="","",IF($P2311="",$S2311,IFERROR($P2311*1,$P2311)))</f>
        <v/>
      </c>
      <c r="U2311" s="58" t="str">
        <f t="shared" ref="U2311:U2374" si="116">IF($B2311="","",IF($T2311=$S2311,"","跨期"))</f>
        <v/>
      </c>
      <c r="V2311" s="58">
        <f>IF(AND($B2311&lt;&gt;"",$F2311&lt;&gt;"",$F2311=项目明细账!$C$2),N(V2310)+1,N(V2310))</f>
        <v>0</v>
      </c>
      <c r="W2311" s="63" t="str">
        <f>IF($H2311&lt;&gt;"","项目成本",IFERROR(INDEX(基础资料!$W$4:$W$49,MATCH($I2311,基础资料!$V$4:$V$49,0)),""))</f>
        <v/>
      </c>
      <c r="X2311" s="63" t="str">
        <f>IFERROR(INDEX(基础资料!$R$4:$R$17,MATCH($G2311,基础资料!$Q$4:$Q$17,0)),"")</f>
        <v/>
      </c>
    </row>
    <row r="2312" spans="1:24">
      <c r="A2312" s="58" t="str">
        <f>IF($B2312="","",COUNTA($B$5:$B2312))</f>
        <v/>
      </c>
      <c r="B2312" s="53"/>
      <c r="C2312" s="46"/>
      <c r="D2312" s="63" t="str">
        <f>IFERROR(INDEX(基础资料!$F$4:$F$23,MATCH($C2312,基础资料!$E$4:$E$23,0)),IF($C2312="","","未匹配账户"))</f>
        <v/>
      </c>
      <c r="E2312" s="39"/>
      <c r="F2312" s="10"/>
      <c r="G2312" s="10"/>
      <c r="H2312" s="10"/>
      <c r="I2312" s="10"/>
      <c r="J2312" s="10"/>
      <c r="K2312" s="25"/>
      <c r="L2312" s="25"/>
      <c r="M2312" s="25" t="str">
        <f>IFERROR(VLOOKUP($C2312,$C$5:$M$24,11,0)+SUMIF($C$25:$C2312,$C2312,$K$25:$K2312)-SUMIF($C$25:$C2312,$C2312,$L$25:$L2312),"")</f>
        <v/>
      </c>
      <c r="N2312" s="10"/>
      <c r="O2312" s="10"/>
      <c r="P2312" s="65"/>
      <c r="Q2312" s="10"/>
      <c r="R2312" s="10"/>
      <c r="S2312" s="54" t="str">
        <f t="shared" si="114"/>
        <v/>
      </c>
      <c r="T2312" s="54" t="str">
        <f t="shared" si="115"/>
        <v/>
      </c>
      <c r="U2312" s="58" t="str">
        <f t="shared" si="116"/>
        <v/>
      </c>
      <c r="V2312" s="58">
        <f>IF(AND($B2312&lt;&gt;"",$F2312&lt;&gt;"",$F2312=项目明细账!$C$2),N(V2311)+1,N(V2311))</f>
        <v>0</v>
      </c>
      <c r="W2312" s="63" t="str">
        <f>IF($H2312&lt;&gt;"","项目成本",IFERROR(INDEX(基础资料!$W$4:$W$49,MATCH($I2312,基础资料!$V$4:$V$49,0)),""))</f>
        <v/>
      </c>
      <c r="X2312" s="63" t="str">
        <f>IFERROR(INDEX(基础资料!$R$4:$R$17,MATCH($G2312,基础资料!$Q$4:$Q$17,0)),"")</f>
        <v/>
      </c>
    </row>
    <row r="2313" spans="1:24">
      <c r="A2313" s="58" t="str">
        <f>IF($B2313="","",COUNTA($B$5:$B2313))</f>
        <v/>
      </c>
      <c r="B2313" s="53"/>
      <c r="C2313" s="46"/>
      <c r="D2313" s="63" t="str">
        <f>IFERROR(INDEX(基础资料!$F$4:$F$23,MATCH($C2313,基础资料!$E$4:$E$23,0)),IF($C2313="","","未匹配账户"))</f>
        <v/>
      </c>
      <c r="E2313" s="39"/>
      <c r="F2313" s="10"/>
      <c r="G2313" s="10"/>
      <c r="H2313" s="10"/>
      <c r="I2313" s="10"/>
      <c r="J2313" s="10"/>
      <c r="K2313" s="25"/>
      <c r="L2313" s="25"/>
      <c r="M2313" s="25" t="str">
        <f>IFERROR(VLOOKUP($C2313,$C$5:$M$24,11,0)+SUMIF($C$25:$C2313,$C2313,$K$25:$K2313)-SUMIF($C$25:$C2313,$C2313,$L$25:$L2313),"")</f>
        <v/>
      </c>
      <c r="N2313" s="10"/>
      <c r="O2313" s="10"/>
      <c r="P2313" s="65"/>
      <c r="Q2313" s="10"/>
      <c r="R2313" s="10"/>
      <c r="S2313" s="54" t="str">
        <f t="shared" si="114"/>
        <v/>
      </c>
      <c r="T2313" s="54" t="str">
        <f t="shared" si="115"/>
        <v/>
      </c>
      <c r="U2313" s="58" t="str">
        <f t="shared" si="116"/>
        <v/>
      </c>
      <c r="V2313" s="58">
        <f>IF(AND($B2313&lt;&gt;"",$F2313&lt;&gt;"",$F2313=项目明细账!$C$2),N(V2312)+1,N(V2312))</f>
        <v>0</v>
      </c>
      <c r="W2313" s="63" t="str">
        <f>IF($H2313&lt;&gt;"","项目成本",IFERROR(INDEX(基础资料!$W$4:$W$49,MATCH($I2313,基础资料!$V$4:$V$49,0)),""))</f>
        <v/>
      </c>
      <c r="X2313" s="63" t="str">
        <f>IFERROR(INDEX(基础资料!$R$4:$R$17,MATCH($G2313,基础资料!$Q$4:$Q$17,0)),"")</f>
        <v/>
      </c>
    </row>
    <row r="2314" spans="1:24">
      <c r="A2314" s="58" t="str">
        <f>IF($B2314="","",COUNTA($B$5:$B2314))</f>
        <v/>
      </c>
      <c r="B2314" s="53"/>
      <c r="C2314" s="46"/>
      <c r="D2314" s="63" t="str">
        <f>IFERROR(INDEX(基础资料!$F$4:$F$23,MATCH($C2314,基础资料!$E$4:$E$23,0)),IF($C2314="","","未匹配账户"))</f>
        <v/>
      </c>
      <c r="E2314" s="39"/>
      <c r="F2314" s="10"/>
      <c r="G2314" s="10"/>
      <c r="H2314" s="10"/>
      <c r="I2314" s="10"/>
      <c r="J2314" s="10"/>
      <c r="K2314" s="25"/>
      <c r="L2314" s="25"/>
      <c r="M2314" s="25" t="str">
        <f>IFERROR(VLOOKUP($C2314,$C$5:$M$24,11,0)+SUMIF($C$25:$C2314,$C2314,$K$25:$K2314)-SUMIF($C$25:$C2314,$C2314,$L$25:$L2314),"")</f>
        <v/>
      </c>
      <c r="N2314" s="10"/>
      <c r="O2314" s="10"/>
      <c r="P2314" s="65"/>
      <c r="Q2314" s="10"/>
      <c r="R2314" s="10"/>
      <c r="S2314" s="54" t="str">
        <f t="shared" si="114"/>
        <v/>
      </c>
      <c r="T2314" s="54" t="str">
        <f t="shared" si="115"/>
        <v/>
      </c>
      <c r="U2314" s="58" t="str">
        <f t="shared" si="116"/>
        <v/>
      </c>
      <c r="V2314" s="58">
        <f>IF(AND($B2314&lt;&gt;"",$F2314&lt;&gt;"",$F2314=项目明细账!$C$2),N(V2313)+1,N(V2313))</f>
        <v>0</v>
      </c>
      <c r="W2314" s="63" t="str">
        <f>IF($H2314&lt;&gt;"","项目成本",IFERROR(INDEX(基础资料!$W$4:$W$49,MATCH($I2314,基础资料!$V$4:$V$49,0)),""))</f>
        <v/>
      </c>
      <c r="X2314" s="63" t="str">
        <f>IFERROR(INDEX(基础资料!$R$4:$R$17,MATCH($G2314,基础资料!$Q$4:$Q$17,0)),"")</f>
        <v/>
      </c>
    </row>
    <row r="2315" spans="1:24">
      <c r="A2315" s="58" t="str">
        <f>IF($B2315="","",COUNTA($B$5:$B2315))</f>
        <v/>
      </c>
      <c r="B2315" s="53"/>
      <c r="C2315" s="46"/>
      <c r="D2315" s="63" t="str">
        <f>IFERROR(INDEX(基础资料!$F$4:$F$23,MATCH($C2315,基础资料!$E$4:$E$23,0)),IF($C2315="","","未匹配账户"))</f>
        <v/>
      </c>
      <c r="E2315" s="39"/>
      <c r="F2315" s="10"/>
      <c r="G2315" s="10"/>
      <c r="H2315" s="10"/>
      <c r="I2315" s="10"/>
      <c r="J2315" s="10"/>
      <c r="K2315" s="25"/>
      <c r="L2315" s="25"/>
      <c r="M2315" s="25" t="str">
        <f>IFERROR(VLOOKUP($C2315,$C$5:$M$24,11,0)+SUMIF($C$25:$C2315,$C2315,$K$25:$K2315)-SUMIF($C$25:$C2315,$C2315,$L$25:$L2315),"")</f>
        <v/>
      </c>
      <c r="N2315" s="10"/>
      <c r="O2315" s="10"/>
      <c r="P2315" s="65"/>
      <c r="Q2315" s="10"/>
      <c r="R2315" s="10"/>
      <c r="S2315" s="54" t="str">
        <f t="shared" si="114"/>
        <v/>
      </c>
      <c r="T2315" s="54" t="str">
        <f t="shared" si="115"/>
        <v/>
      </c>
      <c r="U2315" s="58" t="str">
        <f t="shared" si="116"/>
        <v/>
      </c>
      <c r="V2315" s="58">
        <f>IF(AND($B2315&lt;&gt;"",$F2315&lt;&gt;"",$F2315=项目明细账!$C$2),N(V2314)+1,N(V2314))</f>
        <v>0</v>
      </c>
      <c r="W2315" s="63" t="str">
        <f>IF($H2315&lt;&gt;"","项目成本",IFERROR(INDEX(基础资料!$W$4:$W$49,MATCH($I2315,基础资料!$V$4:$V$49,0)),""))</f>
        <v/>
      </c>
      <c r="X2315" s="63" t="str">
        <f>IFERROR(INDEX(基础资料!$R$4:$R$17,MATCH($G2315,基础资料!$Q$4:$Q$17,0)),"")</f>
        <v/>
      </c>
    </row>
    <row r="2316" spans="1:24">
      <c r="A2316" s="58" t="str">
        <f>IF($B2316="","",COUNTA($B$5:$B2316))</f>
        <v/>
      </c>
      <c r="B2316" s="53"/>
      <c r="C2316" s="46"/>
      <c r="D2316" s="63" t="str">
        <f>IFERROR(INDEX(基础资料!$F$4:$F$23,MATCH($C2316,基础资料!$E$4:$E$23,0)),IF($C2316="","","未匹配账户"))</f>
        <v/>
      </c>
      <c r="E2316" s="39"/>
      <c r="F2316" s="10"/>
      <c r="G2316" s="10"/>
      <c r="H2316" s="10"/>
      <c r="I2316" s="10"/>
      <c r="J2316" s="10"/>
      <c r="K2316" s="25"/>
      <c r="L2316" s="25"/>
      <c r="M2316" s="25" t="str">
        <f>IFERROR(VLOOKUP($C2316,$C$5:$M$24,11,0)+SUMIF($C$25:$C2316,$C2316,$K$25:$K2316)-SUMIF($C$25:$C2316,$C2316,$L$25:$L2316),"")</f>
        <v/>
      </c>
      <c r="N2316" s="10"/>
      <c r="O2316" s="10"/>
      <c r="P2316" s="65"/>
      <c r="Q2316" s="10"/>
      <c r="R2316" s="10"/>
      <c r="S2316" s="54" t="str">
        <f t="shared" si="114"/>
        <v/>
      </c>
      <c r="T2316" s="54" t="str">
        <f t="shared" si="115"/>
        <v/>
      </c>
      <c r="U2316" s="58" t="str">
        <f t="shared" si="116"/>
        <v/>
      </c>
      <c r="V2316" s="58">
        <f>IF(AND($B2316&lt;&gt;"",$F2316&lt;&gt;"",$F2316=项目明细账!$C$2),N(V2315)+1,N(V2315))</f>
        <v>0</v>
      </c>
      <c r="W2316" s="63" t="str">
        <f>IF($H2316&lt;&gt;"","项目成本",IFERROR(INDEX(基础资料!$W$4:$W$49,MATCH($I2316,基础资料!$V$4:$V$49,0)),""))</f>
        <v/>
      </c>
      <c r="X2316" s="63" t="str">
        <f>IFERROR(INDEX(基础资料!$R$4:$R$17,MATCH($G2316,基础资料!$Q$4:$Q$17,0)),"")</f>
        <v/>
      </c>
    </row>
    <row r="2317" spans="1:24">
      <c r="A2317" s="58" t="str">
        <f>IF($B2317="","",COUNTA($B$5:$B2317))</f>
        <v/>
      </c>
      <c r="B2317" s="53"/>
      <c r="C2317" s="46"/>
      <c r="D2317" s="63" t="str">
        <f>IFERROR(INDEX(基础资料!$F$4:$F$23,MATCH($C2317,基础资料!$E$4:$E$23,0)),IF($C2317="","","未匹配账户"))</f>
        <v/>
      </c>
      <c r="E2317" s="39"/>
      <c r="F2317" s="10"/>
      <c r="G2317" s="10"/>
      <c r="H2317" s="10"/>
      <c r="I2317" s="10"/>
      <c r="J2317" s="10"/>
      <c r="K2317" s="25"/>
      <c r="L2317" s="25"/>
      <c r="M2317" s="25" t="str">
        <f>IFERROR(VLOOKUP($C2317,$C$5:$M$24,11,0)+SUMIF($C$25:$C2317,$C2317,$K$25:$K2317)-SUMIF($C$25:$C2317,$C2317,$L$25:$L2317),"")</f>
        <v/>
      </c>
      <c r="N2317" s="10"/>
      <c r="O2317" s="10"/>
      <c r="P2317" s="65"/>
      <c r="Q2317" s="10"/>
      <c r="R2317" s="10"/>
      <c r="S2317" s="54" t="str">
        <f t="shared" si="114"/>
        <v/>
      </c>
      <c r="T2317" s="54" t="str">
        <f t="shared" si="115"/>
        <v/>
      </c>
      <c r="U2317" s="58" t="str">
        <f t="shared" si="116"/>
        <v/>
      </c>
      <c r="V2317" s="58">
        <f>IF(AND($B2317&lt;&gt;"",$F2317&lt;&gt;"",$F2317=项目明细账!$C$2),N(V2316)+1,N(V2316))</f>
        <v>0</v>
      </c>
      <c r="W2317" s="63" t="str">
        <f>IF($H2317&lt;&gt;"","项目成本",IFERROR(INDEX(基础资料!$W$4:$W$49,MATCH($I2317,基础资料!$V$4:$V$49,0)),""))</f>
        <v/>
      </c>
      <c r="X2317" s="63" t="str">
        <f>IFERROR(INDEX(基础资料!$R$4:$R$17,MATCH($G2317,基础资料!$Q$4:$Q$17,0)),"")</f>
        <v/>
      </c>
    </row>
    <row r="2318" spans="1:24">
      <c r="A2318" s="58" t="str">
        <f>IF($B2318="","",COUNTA($B$5:$B2318))</f>
        <v/>
      </c>
      <c r="B2318" s="53"/>
      <c r="C2318" s="46"/>
      <c r="D2318" s="63" t="str">
        <f>IFERROR(INDEX(基础资料!$F$4:$F$23,MATCH($C2318,基础资料!$E$4:$E$23,0)),IF($C2318="","","未匹配账户"))</f>
        <v/>
      </c>
      <c r="E2318" s="39"/>
      <c r="F2318" s="10"/>
      <c r="G2318" s="10"/>
      <c r="H2318" s="10"/>
      <c r="I2318" s="10"/>
      <c r="J2318" s="10"/>
      <c r="K2318" s="25"/>
      <c r="L2318" s="25"/>
      <c r="M2318" s="25" t="str">
        <f>IFERROR(VLOOKUP($C2318,$C$5:$M$24,11,0)+SUMIF($C$25:$C2318,$C2318,$K$25:$K2318)-SUMIF($C$25:$C2318,$C2318,$L$25:$L2318),"")</f>
        <v/>
      </c>
      <c r="N2318" s="10"/>
      <c r="O2318" s="10"/>
      <c r="P2318" s="65"/>
      <c r="Q2318" s="10"/>
      <c r="R2318" s="10"/>
      <c r="S2318" s="54" t="str">
        <f t="shared" si="114"/>
        <v/>
      </c>
      <c r="T2318" s="54" t="str">
        <f t="shared" si="115"/>
        <v/>
      </c>
      <c r="U2318" s="58" t="str">
        <f t="shared" si="116"/>
        <v/>
      </c>
      <c r="V2318" s="58">
        <f>IF(AND($B2318&lt;&gt;"",$F2318&lt;&gt;"",$F2318=项目明细账!$C$2),N(V2317)+1,N(V2317))</f>
        <v>0</v>
      </c>
      <c r="W2318" s="63" t="str">
        <f>IF($H2318&lt;&gt;"","项目成本",IFERROR(INDEX(基础资料!$W$4:$W$49,MATCH($I2318,基础资料!$V$4:$V$49,0)),""))</f>
        <v/>
      </c>
      <c r="X2318" s="63" t="str">
        <f>IFERROR(INDEX(基础资料!$R$4:$R$17,MATCH($G2318,基础资料!$Q$4:$Q$17,0)),"")</f>
        <v/>
      </c>
    </row>
    <row r="2319" spans="1:24">
      <c r="A2319" s="58" t="str">
        <f>IF($B2319="","",COUNTA($B$5:$B2319))</f>
        <v/>
      </c>
      <c r="B2319" s="53"/>
      <c r="C2319" s="46"/>
      <c r="D2319" s="63" t="str">
        <f>IFERROR(INDEX(基础资料!$F$4:$F$23,MATCH($C2319,基础资料!$E$4:$E$23,0)),IF($C2319="","","未匹配账户"))</f>
        <v/>
      </c>
      <c r="E2319" s="39"/>
      <c r="F2319" s="10"/>
      <c r="G2319" s="10"/>
      <c r="H2319" s="10"/>
      <c r="I2319" s="10"/>
      <c r="J2319" s="10"/>
      <c r="K2319" s="25"/>
      <c r="L2319" s="25"/>
      <c r="M2319" s="25" t="str">
        <f>IFERROR(VLOOKUP($C2319,$C$5:$M$24,11,0)+SUMIF($C$25:$C2319,$C2319,$K$25:$K2319)-SUMIF($C$25:$C2319,$C2319,$L$25:$L2319),"")</f>
        <v/>
      </c>
      <c r="N2319" s="10"/>
      <c r="O2319" s="10"/>
      <c r="P2319" s="65"/>
      <c r="Q2319" s="10"/>
      <c r="R2319" s="10"/>
      <c r="S2319" s="54" t="str">
        <f t="shared" si="114"/>
        <v/>
      </c>
      <c r="T2319" s="54" t="str">
        <f t="shared" si="115"/>
        <v/>
      </c>
      <c r="U2319" s="58" t="str">
        <f t="shared" si="116"/>
        <v/>
      </c>
      <c r="V2319" s="58">
        <f>IF(AND($B2319&lt;&gt;"",$F2319&lt;&gt;"",$F2319=项目明细账!$C$2),N(V2318)+1,N(V2318))</f>
        <v>0</v>
      </c>
      <c r="W2319" s="63" t="str">
        <f>IF($H2319&lt;&gt;"","项目成本",IFERROR(INDEX(基础资料!$W$4:$W$49,MATCH($I2319,基础资料!$V$4:$V$49,0)),""))</f>
        <v/>
      </c>
      <c r="X2319" s="63" t="str">
        <f>IFERROR(INDEX(基础资料!$R$4:$R$17,MATCH($G2319,基础资料!$Q$4:$Q$17,0)),"")</f>
        <v/>
      </c>
    </row>
    <row r="2320" spans="1:24">
      <c r="A2320" s="58" t="str">
        <f>IF($B2320="","",COUNTA($B$5:$B2320))</f>
        <v/>
      </c>
      <c r="B2320" s="53"/>
      <c r="C2320" s="46"/>
      <c r="D2320" s="63" t="str">
        <f>IFERROR(INDEX(基础资料!$F$4:$F$23,MATCH($C2320,基础资料!$E$4:$E$23,0)),IF($C2320="","","未匹配账户"))</f>
        <v/>
      </c>
      <c r="E2320" s="39"/>
      <c r="F2320" s="10"/>
      <c r="G2320" s="10"/>
      <c r="H2320" s="10"/>
      <c r="I2320" s="10"/>
      <c r="J2320" s="10"/>
      <c r="K2320" s="25"/>
      <c r="L2320" s="25"/>
      <c r="M2320" s="25" t="str">
        <f>IFERROR(VLOOKUP($C2320,$C$5:$M$24,11,0)+SUMIF($C$25:$C2320,$C2320,$K$25:$K2320)-SUMIF($C$25:$C2320,$C2320,$L$25:$L2320),"")</f>
        <v/>
      </c>
      <c r="N2320" s="10"/>
      <c r="O2320" s="10"/>
      <c r="P2320" s="65"/>
      <c r="Q2320" s="10"/>
      <c r="R2320" s="10"/>
      <c r="S2320" s="54" t="str">
        <f t="shared" si="114"/>
        <v/>
      </c>
      <c r="T2320" s="54" t="str">
        <f t="shared" si="115"/>
        <v/>
      </c>
      <c r="U2320" s="58" t="str">
        <f t="shared" si="116"/>
        <v/>
      </c>
      <c r="V2320" s="58">
        <f>IF(AND($B2320&lt;&gt;"",$F2320&lt;&gt;"",$F2320=项目明细账!$C$2),N(V2319)+1,N(V2319))</f>
        <v>0</v>
      </c>
      <c r="W2320" s="63" t="str">
        <f>IF($H2320&lt;&gt;"","项目成本",IFERROR(INDEX(基础资料!$W$4:$W$49,MATCH($I2320,基础资料!$V$4:$V$49,0)),""))</f>
        <v/>
      </c>
      <c r="X2320" s="63" t="str">
        <f>IFERROR(INDEX(基础资料!$R$4:$R$17,MATCH($G2320,基础资料!$Q$4:$Q$17,0)),"")</f>
        <v/>
      </c>
    </row>
    <row r="2321" spans="1:24">
      <c r="A2321" s="58" t="str">
        <f>IF($B2321="","",COUNTA($B$5:$B2321))</f>
        <v/>
      </c>
      <c r="B2321" s="53"/>
      <c r="C2321" s="46"/>
      <c r="D2321" s="63" t="str">
        <f>IFERROR(INDEX(基础资料!$F$4:$F$23,MATCH($C2321,基础资料!$E$4:$E$23,0)),IF($C2321="","","未匹配账户"))</f>
        <v/>
      </c>
      <c r="E2321" s="39"/>
      <c r="F2321" s="10"/>
      <c r="G2321" s="10"/>
      <c r="H2321" s="10"/>
      <c r="I2321" s="10"/>
      <c r="J2321" s="10"/>
      <c r="K2321" s="25"/>
      <c r="L2321" s="25"/>
      <c r="M2321" s="25" t="str">
        <f>IFERROR(VLOOKUP($C2321,$C$5:$M$24,11,0)+SUMIF($C$25:$C2321,$C2321,$K$25:$K2321)-SUMIF($C$25:$C2321,$C2321,$L$25:$L2321),"")</f>
        <v/>
      </c>
      <c r="N2321" s="10"/>
      <c r="O2321" s="10"/>
      <c r="P2321" s="65"/>
      <c r="Q2321" s="10"/>
      <c r="R2321" s="10"/>
      <c r="S2321" s="54" t="str">
        <f t="shared" si="114"/>
        <v/>
      </c>
      <c r="T2321" s="54" t="str">
        <f t="shared" si="115"/>
        <v/>
      </c>
      <c r="U2321" s="58" t="str">
        <f t="shared" si="116"/>
        <v/>
      </c>
      <c r="V2321" s="58">
        <f>IF(AND($B2321&lt;&gt;"",$F2321&lt;&gt;"",$F2321=项目明细账!$C$2),N(V2320)+1,N(V2320))</f>
        <v>0</v>
      </c>
      <c r="W2321" s="63" t="str">
        <f>IF($H2321&lt;&gt;"","项目成本",IFERROR(INDEX(基础资料!$W$4:$W$49,MATCH($I2321,基础资料!$V$4:$V$49,0)),""))</f>
        <v/>
      </c>
      <c r="X2321" s="63" t="str">
        <f>IFERROR(INDEX(基础资料!$R$4:$R$17,MATCH($G2321,基础资料!$Q$4:$Q$17,0)),"")</f>
        <v/>
      </c>
    </row>
    <row r="2322" spans="1:24">
      <c r="A2322" s="58" t="str">
        <f>IF($B2322="","",COUNTA($B$5:$B2322))</f>
        <v/>
      </c>
      <c r="B2322" s="53"/>
      <c r="C2322" s="46"/>
      <c r="D2322" s="63" t="str">
        <f>IFERROR(INDEX(基础资料!$F$4:$F$23,MATCH($C2322,基础资料!$E$4:$E$23,0)),IF($C2322="","","未匹配账户"))</f>
        <v/>
      </c>
      <c r="E2322" s="39"/>
      <c r="F2322" s="10"/>
      <c r="G2322" s="10"/>
      <c r="H2322" s="10"/>
      <c r="I2322" s="10"/>
      <c r="J2322" s="10"/>
      <c r="K2322" s="25"/>
      <c r="L2322" s="25"/>
      <c r="M2322" s="25" t="str">
        <f>IFERROR(VLOOKUP($C2322,$C$5:$M$24,11,0)+SUMIF($C$25:$C2322,$C2322,$K$25:$K2322)-SUMIF($C$25:$C2322,$C2322,$L$25:$L2322),"")</f>
        <v/>
      </c>
      <c r="N2322" s="10"/>
      <c r="O2322" s="10"/>
      <c r="P2322" s="65"/>
      <c r="Q2322" s="10"/>
      <c r="R2322" s="10"/>
      <c r="S2322" s="54" t="str">
        <f t="shared" si="114"/>
        <v/>
      </c>
      <c r="T2322" s="54" t="str">
        <f t="shared" si="115"/>
        <v/>
      </c>
      <c r="U2322" s="58" t="str">
        <f t="shared" si="116"/>
        <v/>
      </c>
      <c r="V2322" s="58">
        <f>IF(AND($B2322&lt;&gt;"",$F2322&lt;&gt;"",$F2322=项目明细账!$C$2),N(V2321)+1,N(V2321))</f>
        <v>0</v>
      </c>
      <c r="W2322" s="63" t="str">
        <f>IF($H2322&lt;&gt;"","项目成本",IFERROR(INDEX(基础资料!$W$4:$W$49,MATCH($I2322,基础资料!$V$4:$V$49,0)),""))</f>
        <v/>
      </c>
      <c r="X2322" s="63" t="str">
        <f>IFERROR(INDEX(基础资料!$R$4:$R$17,MATCH($G2322,基础资料!$Q$4:$Q$17,0)),"")</f>
        <v/>
      </c>
    </row>
    <row r="2323" spans="1:24">
      <c r="A2323" s="58" t="str">
        <f>IF($B2323="","",COUNTA($B$5:$B2323))</f>
        <v/>
      </c>
      <c r="B2323" s="53"/>
      <c r="C2323" s="46"/>
      <c r="D2323" s="63" t="str">
        <f>IFERROR(INDEX(基础资料!$F$4:$F$23,MATCH($C2323,基础资料!$E$4:$E$23,0)),IF($C2323="","","未匹配账户"))</f>
        <v/>
      </c>
      <c r="E2323" s="39"/>
      <c r="F2323" s="10"/>
      <c r="G2323" s="10"/>
      <c r="H2323" s="10"/>
      <c r="I2323" s="10"/>
      <c r="J2323" s="10"/>
      <c r="K2323" s="25"/>
      <c r="L2323" s="25"/>
      <c r="M2323" s="25" t="str">
        <f>IFERROR(VLOOKUP($C2323,$C$5:$M$24,11,0)+SUMIF($C$25:$C2323,$C2323,$K$25:$K2323)-SUMIF($C$25:$C2323,$C2323,$L$25:$L2323),"")</f>
        <v/>
      </c>
      <c r="N2323" s="10"/>
      <c r="O2323" s="10"/>
      <c r="P2323" s="65"/>
      <c r="Q2323" s="10"/>
      <c r="R2323" s="10"/>
      <c r="S2323" s="54" t="str">
        <f t="shared" si="114"/>
        <v/>
      </c>
      <c r="T2323" s="54" t="str">
        <f t="shared" si="115"/>
        <v/>
      </c>
      <c r="U2323" s="58" t="str">
        <f t="shared" si="116"/>
        <v/>
      </c>
      <c r="V2323" s="58">
        <f>IF(AND($B2323&lt;&gt;"",$F2323&lt;&gt;"",$F2323=项目明细账!$C$2),N(V2322)+1,N(V2322))</f>
        <v>0</v>
      </c>
      <c r="W2323" s="63" t="str">
        <f>IF($H2323&lt;&gt;"","项目成本",IFERROR(INDEX(基础资料!$W$4:$W$49,MATCH($I2323,基础资料!$V$4:$V$49,0)),""))</f>
        <v/>
      </c>
      <c r="X2323" s="63" t="str">
        <f>IFERROR(INDEX(基础资料!$R$4:$R$17,MATCH($G2323,基础资料!$Q$4:$Q$17,0)),"")</f>
        <v/>
      </c>
    </row>
    <row r="2324" spans="1:24">
      <c r="A2324" s="58" t="str">
        <f>IF($B2324="","",COUNTA($B$5:$B2324))</f>
        <v/>
      </c>
      <c r="B2324" s="53"/>
      <c r="C2324" s="46"/>
      <c r="D2324" s="63" t="str">
        <f>IFERROR(INDEX(基础资料!$F$4:$F$23,MATCH($C2324,基础资料!$E$4:$E$23,0)),IF($C2324="","","未匹配账户"))</f>
        <v/>
      </c>
      <c r="E2324" s="39"/>
      <c r="F2324" s="10"/>
      <c r="G2324" s="10"/>
      <c r="H2324" s="10"/>
      <c r="I2324" s="10"/>
      <c r="J2324" s="10"/>
      <c r="K2324" s="25"/>
      <c r="L2324" s="25"/>
      <c r="M2324" s="25" t="str">
        <f>IFERROR(VLOOKUP($C2324,$C$5:$M$24,11,0)+SUMIF($C$25:$C2324,$C2324,$K$25:$K2324)-SUMIF($C$25:$C2324,$C2324,$L$25:$L2324),"")</f>
        <v/>
      </c>
      <c r="N2324" s="10"/>
      <c r="O2324" s="10"/>
      <c r="P2324" s="65"/>
      <c r="Q2324" s="10"/>
      <c r="R2324" s="10"/>
      <c r="S2324" s="54" t="str">
        <f t="shared" si="114"/>
        <v/>
      </c>
      <c r="T2324" s="54" t="str">
        <f t="shared" si="115"/>
        <v/>
      </c>
      <c r="U2324" s="58" t="str">
        <f t="shared" si="116"/>
        <v/>
      </c>
      <c r="V2324" s="58">
        <f>IF(AND($B2324&lt;&gt;"",$F2324&lt;&gt;"",$F2324=项目明细账!$C$2),N(V2323)+1,N(V2323))</f>
        <v>0</v>
      </c>
      <c r="W2324" s="63" t="str">
        <f>IF($H2324&lt;&gt;"","项目成本",IFERROR(INDEX(基础资料!$W$4:$W$49,MATCH($I2324,基础资料!$V$4:$V$49,0)),""))</f>
        <v/>
      </c>
      <c r="X2324" s="63" t="str">
        <f>IFERROR(INDEX(基础资料!$R$4:$R$17,MATCH($G2324,基础资料!$Q$4:$Q$17,0)),"")</f>
        <v/>
      </c>
    </row>
    <row r="2325" spans="1:24">
      <c r="A2325" s="58" t="str">
        <f>IF($B2325="","",COUNTA($B$5:$B2325))</f>
        <v/>
      </c>
      <c r="B2325" s="53"/>
      <c r="C2325" s="46"/>
      <c r="D2325" s="63" t="str">
        <f>IFERROR(INDEX(基础资料!$F$4:$F$23,MATCH($C2325,基础资料!$E$4:$E$23,0)),IF($C2325="","","未匹配账户"))</f>
        <v/>
      </c>
      <c r="E2325" s="39"/>
      <c r="F2325" s="10"/>
      <c r="G2325" s="10"/>
      <c r="H2325" s="10"/>
      <c r="I2325" s="10"/>
      <c r="J2325" s="10"/>
      <c r="K2325" s="25"/>
      <c r="L2325" s="25"/>
      <c r="M2325" s="25" t="str">
        <f>IFERROR(VLOOKUP($C2325,$C$5:$M$24,11,0)+SUMIF($C$25:$C2325,$C2325,$K$25:$K2325)-SUMIF($C$25:$C2325,$C2325,$L$25:$L2325),"")</f>
        <v/>
      </c>
      <c r="N2325" s="10"/>
      <c r="O2325" s="10"/>
      <c r="P2325" s="65"/>
      <c r="Q2325" s="10"/>
      <c r="R2325" s="10"/>
      <c r="S2325" s="54" t="str">
        <f t="shared" si="114"/>
        <v/>
      </c>
      <c r="T2325" s="54" t="str">
        <f t="shared" si="115"/>
        <v/>
      </c>
      <c r="U2325" s="58" t="str">
        <f t="shared" si="116"/>
        <v/>
      </c>
      <c r="V2325" s="58">
        <f>IF(AND($B2325&lt;&gt;"",$F2325&lt;&gt;"",$F2325=项目明细账!$C$2),N(V2324)+1,N(V2324))</f>
        <v>0</v>
      </c>
      <c r="W2325" s="63" t="str">
        <f>IF($H2325&lt;&gt;"","项目成本",IFERROR(INDEX(基础资料!$W$4:$W$49,MATCH($I2325,基础资料!$V$4:$V$49,0)),""))</f>
        <v/>
      </c>
      <c r="X2325" s="63" t="str">
        <f>IFERROR(INDEX(基础资料!$R$4:$R$17,MATCH($G2325,基础资料!$Q$4:$Q$17,0)),"")</f>
        <v/>
      </c>
    </row>
    <row r="2326" spans="1:24">
      <c r="A2326" s="58" t="str">
        <f>IF($B2326="","",COUNTA($B$5:$B2326))</f>
        <v/>
      </c>
      <c r="B2326" s="53"/>
      <c r="C2326" s="46"/>
      <c r="D2326" s="63" t="str">
        <f>IFERROR(INDEX(基础资料!$F$4:$F$23,MATCH($C2326,基础资料!$E$4:$E$23,0)),IF($C2326="","","未匹配账户"))</f>
        <v/>
      </c>
      <c r="E2326" s="39"/>
      <c r="F2326" s="10"/>
      <c r="G2326" s="10"/>
      <c r="H2326" s="10"/>
      <c r="I2326" s="10"/>
      <c r="J2326" s="10"/>
      <c r="K2326" s="25"/>
      <c r="L2326" s="25"/>
      <c r="M2326" s="25" t="str">
        <f>IFERROR(VLOOKUP($C2326,$C$5:$M$24,11,0)+SUMIF($C$25:$C2326,$C2326,$K$25:$K2326)-SUMIF($C$25:$C2326,$C2326,$L$25:$L2326),"")</f>
        <v/>
      </c>
      <c r="N2326" s="10"/>
      <c r="O2326" s="10"/>
      <c r="P2326" s="65"/>
      <c r="Q2326" s="10"/>
      <c r="R2326" s="10"/>
      <c r="S2326" s="54" t="str">
        <f t="shared" si="114"/>
        <v/>
      </c>
      <c r="T2326" s="54" t="str">
        <f t="shared" si="115"/>
        <v/>
      </c>
      <c r="U2326" s="58" t="str">
        <f t="shared" si="116"/>
        <v/>
      </c>
      <c r="V2326" s="58">
        <f>IF(AND($B2326&lt;&gt;"",$F2326&lt;&gt;"",$F2326=项目明细账!$C$2),N(V2325)+1,N(V2325))</f>
        <v>0</v>
      </c>
      <c r="W2326" s="63" t="str">
        <f>IF($H2326&lt;&gt;"","项目成本",IFERROR(INDEX(基础资料!$W$4:$W$49,MATCH($I2326,基础资料!$V$4:$V$49,0)),""))</f>
        <v/>
      </c>
      <c r="X2326" s="63" t="str">
        <f>IFERROR(INDEX(基础资料!$R$4:$R$17,MATCH($G2326,基础资料!$Q$4:$Q$17,0)),"")</f>
        <v/>
      </c>
    </row>
    <row r="2327" spans="1:24">
      <c r="A2327" s="58" t="str">
        <f>IF($B2327="","",COUNTA($B$5:$B2327))</f>
        <v/>
      </c>
      <c r="B2327" s="53"/>
      <c r="C2327" s="46"/>
      <c r="D2327" s="63" t="str">
        <f>IFERROR(INDEX(基础资料!$F$4:$F$23,MATCH($C2327,基础资料!$E$4:$E$23,0)),IF($C2327="","","未匹配账户"))</f>
        <v/>
      </c>
      <c r="E2327" s="39"/>
      <c r="F2327" s="10"/>
      <c r="G2327" s="10"/>
      <c r="H2327" s="10"/>
      <c r="I2327" s="10"/>
      <c r="J2327" s="10"/>
      <c r="K2327" s="25"/>
      <c r="L2327" s="25"/>
      <c r="M2327" s="25" t="str">
        <f>IFERROR(VLOOKUP($C2327,$C$5:$M$24,11,0)+SUMIF($C$25:$C2327,$C2327,$K$25:$K2327)-SUMIF($C$25:$C2327,$C2327,$L$25:$L2327),"")</f>
        <v/>
      </c>
      <c r="N2327" s="10"/>
      <c r="O2327" s="10"/>
      <c r="P2327" s="65"/>
      <c r="Q2327" s="10"/>
      <c r="R2327" s="10"/>
      <c r="S2327" s="54" t="str">
        <f t="shared" si="114"/>
        <v/>
      </c>
      <c r="T2327" s="54" t="str">
        <f t="shared" si="115"/>
        <v/>
      </c>
      <c r="U2327" s="58" t="str">
        <f t="shared" si="116"/>
        <v/>
      </c>
      <c r="V2327" s="58">
        <f>IF(AND($B2327&lt;&gt;"",$F2327&lt;&gt;"",$F2327=项目明细账!$C$2),N(V2326)+1,N(V2326))</f>
        <v>0</v>
      </c>
      <c r="W2327" s="63" t="str">
        <f>IF($H2327&lt;&gt;"","项目成本",IFERROR(INDEX(基础资料!$W$4:$W$49,MATCH($I2327,基础资料!$V$4:$V$49,0)),""))</f>
        <v/>
      </c>
      <c r="X2327" s="63" t="str">
        <f>IFERROR(INDEX(基础资料!$R$4:$R$17,MATCH($G2327,基础资料!$Q$4:$Q$17,0)),"")</f>
        <v/>
      </c>
    </row>
    <row r="2328" spans="1:24">
      <c r="A2328" s="58" t="str">
        <f>IF($B2328="","",COUNTA($B$5:$B2328))</f>
        <v/>
      </c>
      <c r="B2328" s="53"/>
      <c r="C2328" s="46"/>
      <c r="D2328" s="63" t="str">
        <f>IFERROR(INDEX(基础资料!$F$4:$F$23,MATCH($C2328,基础资料!$E$4:$E$23,0)),IF($C2328="","","未匹配账户"))</f>
        <v/>
      </c>
      <c r="E2328" s="39"/>
      <c r="F2328" s="10"/>
      <c r="G2328" s="10"/>
      <c r="H2328" s="10"/>
      <c r="I2328" s="10"/>
      <c r="J2328" s="10"/>
      <c r="K2328" s="25"/>
      <c r="L2328" s="25"/>
      <c r="M2328" s="25" t="str">
        <f>IFERROR(VLOOKUP($C2328,$C$5:$M$24,11,0)+SUMIF($C$25:$C2328,$C2328,$K$25:$K2328)-SUMIF($C$25:$C2328,$C2328,$L$25:$L2328),"")</f>
        <v/>
      </c>
      <c r="N2328" s="10"/>
      <c r="O2328" s="10"/>
      <c r="P2328" s="65"/>
      <c r="Q2328" s="10"/>
      <c r="R2328" s="10"/>
      <c r="S2328" s="54" t="str">
        <f t="shared" si="114"/>
        <v/>
      </c>
      <c r="T2328" s="54" t="str">
        <f t="shared" si="115"/>
        <v/>
      </c>
      <c r="U2328" s="58" t="str">
        <f t="shared" si="116"/>
        <v/>
      </c>
      <c r="V2328" s="58">
        <f>IF(AND($B2328&lt;&gt;"",$F2328&lt;&gt;"",$F2328=项目明细账!$C$2),N(V2327)+1,N(V2327))</f>
        <v>0</v>
      </c>
      <c r="W2328" s="63" t="str">
        <f>IF($H2328&lt;&gt;"","项目成本",IFERROR(INDEX(基础资料!$W$4:$W$49,MATCH($I2328,基础资料!$V$4:$V$49,0)),""))</f>
        <v/>
      </c>
      <c r="X2328" s="63" t="str">
        <f>IFERROR(INDEX(基础资料!$R$4:$R$17,MATCH($G2328,基础资料!$Q$4:$Q$17,0)),"")</f>
        <v/>
      </c>
    </row>
    <row r="2329" spans="1:24">
      <c r="A2329" s="58" t="str">
        <f>IF($B2329="","",COUNTA($B$5:$B2329))</f>
        <v/>
      </c>
      <c r="B2329" s="53"/>
      <c r="C2329" s="46"/>
      <c r="D2329" s="63" t="str">
        <f>IFERROR(INDEX(基础资料!$F$4:$F$23,MATCH($C2329,基础资料!$E$4:$E$23,0)),IF($C2329="","","未匹配账户"))</f>
        <v/>
      </c>
      <c r="E2329" s="39"/>
      <c r="F2329" s="10"/>
      <c r="G2329" s="10"/>
      <c r="H2329" s="10"/>
      <c r="I2329" s="10"/>
      <c r="J2329" s="10"/>
      <c r="K2329" s="25"/>
      <c r="L2329" s="25"/>
      <c r="M2329" s="25" t="str">
        <f>IFERROR(VLOOKUP($C2329,$C$5:$M$24,11,0)+SUMIF($C$25:$C2329,$C2329,$K$25:$K2329)-SUMIF($C$25:$C2329,$C2329,$L$25:$L2329),"")</f>
        <v/>
      </c>
      <c r="N2329" s="10"/>
      <c r="O2329" s="10"/>
      <c r="P2329" s="65"/>
      <c r="Q2329" s="10"/>
      <c r="R2329" s="10"/>
      <c r="S2329" s="54" t="str">
        <f t="shared" si="114"/>
        <v/>
      </c>
      <c r="T2329" s="54" t="str">
        <f t="shared" si="115"/>
        <v/>
      </c>
      <c r="U2329" s="58" t="str">
        <f t="shared" si="116"/>
        <v/>
      </c>
      <c r="V2329" s="58">
        <f>IF(AND($B2329&lt;&gt;"",$F2329&lt;&gt;"",$F2329=项目明细账!$C$2),N(V2328)+1,N(V2328))</f>
        <v>0</v>
      </c>
      <c r="W2329" s="63" t="str">
        <f>IF($H2329&lt;&gt;"","项目成本",IFERROR(INDEX(基础资料!$W$4:$W$49,MATCH($I2329,基础资料!$V$4:$V$49,0)),""))</f>
        <v/>
      </c>
      <c r="X2329" s="63" t="str">
        <f>IFERROR(INDEX(基础资料!$R$4:$R$17,MATCH($G2329,基础资料!$Q$4:$Q$17,0)),"")</f>
        <v/>
      </c>
    </row>
    <row r="2330" spans="1:24">
      <c r="A2330" s="58" t="str">
        <f>IF($B2330="","",COUNTA($B$5:$B2330))</f>
        <v/>
      </c>
      <c r="B2330" s="53"/>
      <c r="C2330" s="46"/>
      <c r="D2330" s="63" t="str">
        <f>IFERROR(INDEX(基础资料!$F$4:$F$23,MATCH($C2330,基础资料!$E$4:$E$23,0)),IF($C2330="","","未匹配账户"))</f>
        <v/>
      </c>
      <c r="E2330" s="39"/>
      <c r="F2330" s="10"/>
      <c r="G2330" s="10"/>
      <c r="H2330" s="10"/>
      <c r="I2330" s="10"/>
      <c r="J2330" s="10"/>
      <c r="K2330" s="25"/>
      <c r="L2330" s="25"/>
      <c r="M2330" s="25" t="str">
        <f>IFERROR(VLOOKUP($C2330,$C$5:$M$24,11,0)+SUMIF($C$25:$C2330,$C2330,$K$25:$K2330)-SUMIF($C$25:$C2330,$C2330,$L$25:$L2330),"")</f>
        <v/>
      </c>
      <c r="N2330" s="10"/>
      <c r="O2330" s="10"/>
      <c r="P2330" s="65"/>
      <c r="Q2330" s="10"/>
      <c r="R2330" s="10"/>
      <c r="S2330" s="54" t="str">
        <f t="shared" si="114"/>
        <v/>
      </c>
      <c r="T2330" s="54" t="str">
        <f t="shared" si="115"/>
        <v/>
      </c>
      <c r="U2330" s="58" t="str">
        <f t="shared" si="116"/>
        <v/>
      </c>
      <c r="V2330" s="58">
        <f>IF(AND($B2330&lt;&gt;"",$F2330&lt;&gt;"",$F2330=项目明细账!$C$2),N(V2329)+1,N(V2329))</f>
        <v>0</v>
      </c>
      <c r="W2330" s="63" t="str">
        <f>IF($H2330&lt;&gt;"","项目成本",IFERROR(INDEX(基础资料!$W$4:$W$49,MATCH($I2330,基础资料!$V$4:$V$49,0)),""))</f>
        <v/>
      </c>
      <c r="X2330" s="63" t="str">
        <f>IFERROR(INDEX(基础资料!$R$4:$R$17,MATCH($G2330,基础资料!$Q$4:$Q$17,0)),"")</f>
        <v/>
      </c>
    </row>
    <row r="2331" spans="1:24">
      <c r="A2331" s="58" t="str">
        <f>IF($B2331="","",COUNTA($B$5:$B2331))</f>
        <v/>
      </c>
      <c r="B2331" s="53"/>
      <c r="C2331" s="46"/>
      <c r="D2331" s="63" t="str">
        <f>IFERROR(INDEX(基础资料!$F$4:$F$23,MATCH($C2331,基础资料!$E$4:$E$23,0)),IF($C2331="","","未匹配账户"))</f>
        <v/>
      </c>
      <c r="E2331" s="39"/>
      <c r="F2331" s="10"/>
      <c r="G2331" s="10"/>
      <c r="H2331" s="10"/>
      <c r="I2331" s="10"/>
      <c r="J2331" s="10"/>
      <c r="K2331" s="25"/>
      <c r="L2331" s="25"/>
      <c r="M2331" s="25" t="str">
        <f>IFERROR(VLOOKUP($C2331,$C$5:$M$24,11,0)+SUMIF($C$25:$C2331,$C2331,$K$25:$K2331)-SUMIF($C$25:$C2331,$C2331,$L$25:$L2331),"")</f>
        <v/>
      </c>
      <c r="N2331" s="10"/>
      <c r="O2331" s="10"/>
      <c r="P2331" s="65"/>
      <c r="Q2331" s="10"/>
      <c r="R2331" s="10"/>
      <c r="S2331" s="54" t="str">
        <f t="shared" si="114"/>
        <v/>
      </c>
      <c r="T2331" s="54" t="str">
        <f t="shared" si="115"/>
        <v/>
      </c>
      <c r="U2331" s="58" t="str">
        <f t="shared" si="116"/>
        <v/>
      </c>
      <c r="V2331" s="58">
        <f>IF(AND($B2331&lt;&gt;"",$F2331&lt;&gt;"",$F2331=项目明细账!$C$2),N(V2330)+1,N(V2330))</f>
        <v>0</v>
      </c>
      <c r="W2331" s="63" t="str">
        <f>IF($H2331&lt;&gt;"","项目成本",IFERROR(INDEX(基础资料!$W$4:$W$49,MATCH($I2331,基础资料!$V$4:$V$49,0)),""))</f>
        <v/>
      </c>
      <c r="X2331" s="63" t="str">
        <f>IFERROR(INDEX(基础资料!$R$4:$R$17,MATCH($G2331,基础资料!$Q$4:$Q$17,0)),"")</f>
        <v/>
      </c>
    </row>
    <row r="2332" spans="1:24">
      <c r="A2332" s="58" t="str">
        <f>IF($B2332="","",COUNTA($B$5:$B2332))</f>
        <v/>
      </c>
      <c r="B2332" s="53"/>
      <c r="C2332" s="46"/>
      <c r="D2332" s="63" t="str">
        <f>IFERROR(INDEX(基础资料!$F$4:$F$23,MATCH($C2332,基础资料!$E$4:$E$23,0)),IF($C2332="","","未匹配账户"))</f>
        <v/>
      </c>
      <c r="E2332" s="39"/>
      <c r="F2332" s="10"/>
      <c r="G2332" s="10"/>
      <c r="H2332" s="10"/>
      <c r="I2332" s="10"/>
      <c r="J2332" s="10"/>
      <c r="K2332" s="25"/>
      <c r="L2332" s="25"/>
      <c r="M2332" s="25" t="str">
        <f>IFERROR(VLOOKUP($C2332,$C$5:$M$24,11,0)+SUMIF($C$25:$C2332,$C2332,$K$25:$K2332)-SUMIF($C$25:$C2332,$C2332,$L$25:$L2332),"")</f>
        <v/>
      </c>
      <c r="N2332" s="10"/>
      <c r="O2332" s="10"/>
      <c r="P2332" s="65"/>
      <c r="Q2332" s="10"/>
      <c r="R2332" s="10"/>
      <c r="S2332" s="54" t="str">
        <f t="shared" si="114"/>
        <v/>
      </c>
      <c r="T2332" s="54" t="str">
        <f t="shared" si="115"/>
        <v/>
      </c>
      <c r="U2332" s="58" t="str">
        <f t="shared" si="116"/>
        <v/>
      </c>
      <c r="V2332" s="58">
        <f>IF(AND($B2332&lt;&gt;"",$F2332&lt;&gt;"",$F2332=项目明细账!$C$2),N(V2331)+1,N(V2331))</f>
        <v>0</v>
      </c>
      <c r="W2332" s="63" t="str">
        <f>IF($H2332&lt;&gt;"","项目成本",IFERROR(INDEX(基础资料!$W$4:$W$49,MATCH($I2332,基础资料!$V$4:$V$49,0)),""))</f>
        <v/>
      </c>
      <c r="X2332" s="63" t="str">
        <f>IFERROR(INDEX(基础资料!$R$4:$R$17,MATCH($G2332,基础资料!$Q$4:$Q$17,0)),"")</f>
        <v/>
      </c>
    </row>
    <row r="2333" spans="1:24">
      <c r="A2333" s="58" t="str">
        <f>IF($B2333="","",COUNTA($B$5:$B2333))</f>
        <v/>
      </c>
      <c r="B2333" s="53"/>
      <c r="C2333" s="46"/>
      <c r="D2333" s="63" t="str">
        <f>IFERROR(INDEX(基础资料!$F$4:$F$23,MATCH($C2333,基础资料!$E$4:$E$23,0)),IF($C2333="","","未匹配账户"))</f>
        <v/>
      </c>
      <c r="E2333" s="39"/>
      <c r="F2333" s="10"/>
      <c r="G2333" s="10"/>
      <c r="H2333" s="10"/>
      <c r="I2333" s="10"/>
      <c r="J2333" s="10"/>
      <c r="K2333" s="25"/>
      <c r="L2333" s="25"/>
      <c r="M2333" s="25" t="str">
        <f>IFERROR(VLOOKUP($C2333,$C$5:$M$24,11,0)+SUMIF($C$25:$C2333,$C2333,$K$25:$K2333)-SUMIF($C$25:$C2333,$C2333,$L$25:$L2333),"")</f>
        <v/>
      </c>
      <c r="N2333" s="10"/>
      <c r="O2333" s="10"/>
      <c r="P2333" s="65"/>
      <c r="Q2333" s="10"/>
      <c r="R2333" s="10"/>
      <c r="S2333" s="54" t="str">
        <f t="shared" si="114"/>
        <v/>
      </c>
      <c r="T2333" s="54" t="str">
        <f t="shared" si="115"/>
        <v/>
      </c>
      <c r="U2333" s="58" t="str">
        <f t="shared" si="116"/>
        <v/>
      </c>
      <c r="V2333" s="58">
        <f>IF(AND($B2333&lt;&gt;"",$F2333&lt;&gt;"",$F2333=项目明细账!$C$2),N(V2332)+1,N(V2332))</f>
        <v>0</v>
      </c>
      <c r="W2333" s="63" t="str">
        <f>IF($H2333&lt;&gt;"","项目成本",IFERROR(INDEX(基础资料!$W$4:$W$49,MATCH($I2333,基础资料!$V$4:$V$49,0)),""))</f>
        <v/>
      </c>
      <c r="X2333" s="63" t="str">
        <f>IFERROR(INDEX(基础资料!$R$4:$R$17,MATCH($G2333,基础资料!$Q$4:$Q$17,0)),"")</f>
        <v/>
      </c>
    </row>
    <row r="2334" spans="1:24">
      <c r="A2334" s="58" t="str">
        <f>IF($B2334="","",COUNTA($B$5:$B2334))</f>
        <v/>
      </c>
      <c r="B2334" s="53"/>
      <c r="C2334" s="46"/>
      <c r="D2334" s="63" t="str">
        <f>IFERROR(INDEX(基础资料!$F$4:$F$23,MATCH($C2334,基础资料!$E$4:$E$23,0)),IF($C2334="","","未匹配账户"))</f>
        <v/>
      </c>
      <c r="E2334" s="39"/>
      <c r="F2334" s="10"/>
      <c r="G2334" s="10"/>
      <c r="H2334" s="10"/>
      <c r="I2334" s="10"/>
      <c r="J2334" s="10"/>
      <c r="K2334" s="25"/>
      <c r="L2334" s="25"/>
      <c r="M2334" s="25" t="str">
        <f>IFERROR(VLOOKUP($C2334,$C$5:$M$24,11,0)+SUMIF($C$25:$C2334,$C2334,$K$25:$K2334)-SUMIF($C$25:$C2334,$C2334,$L$25:$L2334),"")</f>
        <v/>
      </c>
      <c r="N2334" s="10"/>
      <c r="O2334" s="10"/>
      <c r="P2334" s="65"/>
      <c r="Q2334" s="10"/>
      <c r="R2334" s="10"/>
      <c r="S2334" s="54" t="str">
        <f t="shared" si="114"/>
        <v/>
      </c>
      <c r="T2334" s="54" t="str">
        <f t="shared" si="115"/>
        <v/>
      </c>
      <c r="U2334" s="58" t="str">
        <f t="shared" si="116"/>
        <v/>
      </c>
      <c r="V2334" s="58">
        <f>IF(AND($B2334&lt;&gt;"",$F2334&lt;&gt;"",$F2334=项目明细账!$C$2),N(V2333)+1,N(V2333))</f>
        <v>0</v>
      </c>
      <c r="W2334" s="63" t="str">
        <f>IF($H2334&lt;&gt;"","项目成本",IFERROR(INDEX(基础资料!$W$4:$W$49,MATCH($I2334,基础资料!$V$4:$V$49,0)),""))</f>
        <v/>
      </c>
      <c r="X2334" s="63" t="str">
        <f>IFERROR(INDEX(基础资料!$R$4:$R$17,MATCH($G2334,基础资料!$Q$4:$Q$17,0)),"")</f>
        <v/>
      </c>
    </row>
    <row r="2335" spans="1:24">
      <c r="A2335" s="58" t="str">
        <f>IF($B2335="","",COUNTA($B$5:$B2335))</f>
        <v/>
      </c>
      <c r="B2335" s="53"/>
      <c r="C2335" s="46"/>
      <c r="D2335" s="63" t="str">
        <f>IFERROR(INDEX(基础资料!$F$4:$F$23,MATCH($C2335,基础资料!$E$4:$E$23,0)),IF($C2335="","","未匹配账户"))</f>
        <v/>
      </c>
      <c r="E2335" s="39"/>
      <c r="F2335" s="10"/>
      <c r="G2335" s="10"/>
      <c r="H2335" s="10"/>
      <c r="I2335" s="10"/>
      <c r="J2335" s="10"/>
      <c r="K2335" s="25"/>
      <c r="L2335" s="25"/>
      <c r="M2335" s="25" t="str">
        <f>IFERROR(VLOOKUP($C2335,$C$5:$M$24,11,0)+SUMIF($C$25:$C2335,$C2335,$K$25:$K2335)-SUMIF($C$25:$C2335,$C2335,$L$25:$L2335),"")</f>
        <v/>
      </c>
      <c r="N2335" s="10"/>
      <c r="O2335" s="10"/>
      <c r="P2335" s="65"/>
      <c r="Q2335" s="10"/>
      <c r="R2335" s="10"/>
      <c r="S2335" s="54" t="str">
        <f t="shared" si="114"/>
        <v/>
      </c>
      <c r="T2335" s="54" t="str">
        <f t="shared" si="115"/>
        <v/>
      </c>
      <c r="U2335" s="58" t="str">
        <f t="shared" si="116"/>
        <v/>
      </c>
      <c r="V2335" s="58">
        <f>IF(AND($B2335&lt;&gt;"",$F2335&lt;&gt;"",$F2335=项目明细账!$C$2),N(V2334)+1,N(V2334))</f>
        <v>0</v>
      </c>
      <c r="W2335" s="63" t="str">
        <f>IF($H2335&lt;&gt;"","项目成本",IFERROR(INDEX(基础资料!$W$4:$W$49,MATCH($I2335,基础资料!$V$4:$V$49,0)),""))</f>
        <v/>
      </c>
      <c r="X2335" s="63" t="str">
        <f>IFERROR(INDEX(基础资料!$R$4:$R$17,MATCH($G2335,基础资料!$Q$4:$Q$17,0)),"")</f>
        <v/>
      </c>
    </row>
    <row r="2336" spans="1:24">
      <c r="A2336" s="58" t="str">
        <f>IF($B2336="","",COUNTA($B$5:$B2336))</f>
        <v/>
      </c>
      <c r="B2336" s="53"/>
      <c r="C2336" s="46"/>
      <c r="D2336" s="63" t="str">
        <f>IFERROR(INDEX(基础资料!$F$4:$F$23,MATCH($C2336,基础资料!$E$4:$E$23,0)),IF($C2336="","","未匹配账户"))</f>
        <v/>
      </c>
      <c r="E2336" s="39"/>
      <c r="F2336" s="10"/>
      <c r="G2336" s="10"/>
      <c r="H2336" s="10"/>
      <c r="I2336" s="10"/>
      <c r="J2336" s="10"/>
      <c r="K2336" s="25"/>
      <c r="L2336" s="25"/>
      <c r="M2336" s="25" t="str">
        <f>IFERROR(VLOOKUP($C2336,$C$5:$M$24,11,0)+SUMIF($C$25:$C2336,$C2336,$K$25:$K2336)-SUMIF($C$25:$C2336,$C2336,$L$25:$L2336),"")</f>
        <v/>
      </c>
      <c r="N2336" s="10"/>
      <c r="O2336" s="10"/>
      <c r="P2336" s="65"/>
      <c r="Q2336" s="10"/>
      <c r="R2336" s="10"/>
      <c r="S2336" s="54" t="str">
        <f t="shared" si="114"/>
        <v/>
      </c>
      <c r="T2336" s="54" t="str">
        <f t="shared" si="115"/>
        <v/>
      </c>
      <c r="U2336" s="58" t="str">
        <f t="shared" si="116"/>
        <v/>
      </c>
      <c r="V2336" s="58">
        <f>IF(AND($B2336&lt;&gt;"",$F2336&lt;&gt;"",$F2336=项目明细账!$C$2),N(V2335)+1,N(V2335))</f>
        <v>0</v>
      </c>
      <c r="W2336" s="63" t="str">
        <f>IF($H2336&lt;&gt;"","项目成本",IFERROR(INDEX(基础资料!$W$4:$W$49,MATCH($I2336,基础资料!$V$4:$V$49,0)),""))</f>
        <v/>
      </c>
      <c r="X2336" s="63" t="str">
        <f>IFERROR(INDEX(基础资料!$R$4:$R$17,MATCH($G2336,基础资料!$Q$4:$Q$17,0)),"")</f>
        <v/>
      </c>
    </row>
    <row r="2337" spans="1:24">
      <c r="A2337" s="58" t="str">
        <f>IF($B2337="","",COUNTA($B$5:$B2337))</f>
        <v/>
      </c>
      <c r="B2337" s="53"/>
      <c r="C2337" s="46"/>
      <c r="D2337" s="63" t="str">
        <f>IFERROR(INDEX(基础资料!$F$4:$F$23,MATCH($C2337,基础资料!$E$4:$E$23,0)),IF($C2337="","","未匹配账户"))</f>
        <v/>
      </c>
      <c r="E2337" s="39"/>
      <c r="F2337" s="10"/>
      <c r="G2337" s="10"/>
      <c r="H2337" s="10"/>
      <c r="I2337" s="10"/>
      <c r="J2337" s="10"/>
      <c r="K2337" s="25"/>
      <c r="L2337" s="25"/>
      <c r="M2337" s="25" t="str">
        <f>IFERROR(VLOOKUP($C2337,$C$5:$M$24,11,0)+SUMIF($C$25:$C2337,$C2337,$K$25:$K2337)-SUMIF($C$25:$C2337,$C2337,$L$25:$L2337),"")</f>
        <v/>
      </c>
      <c r="N2337" s="10"/>
      <c r="O2337" s="10"/>
      <c r="P2337" s="65"/>
      <c r="Q2337" s="10"/>
      <c r="R2337" s="10"/>
      <c r="S2337" s="54" t="str">
        <f t="shared" si="114"/>
        <v/>
      </c>
      <c r="T2337" s="54" t="str">
        <f t="shared" si="115"/>
        <v/>
      </c>
      <c r="U2337" s="58" t="str">
        <f t="shared" si="116"/>
        <v/>
      </c>
      <c r="V2337" s="58">
        <f>IF(AND($B2337&lt;&gt;"",$F2337&lt;&gt;"",$F2337=项目明细账!$C$2),N(V2336)+1,N(V2336))</f>
        <v>0</v>
      </c>
      <c r="W2337" s="63" t="str">
        <f>IF($H2337&lt;&gt;"","项目成本",IFERROR(INDEX(基础资料!$W$4:$W$49,MATCH($I2337,基础资料!$V$4:$V$49,0)),""))</f>
        <v/>
      </c>
      <c r="X2337" s="63" t="str">
        <f>IFERROR(INDEX(基础资料!$R$4:$R$17,MATCH($G2337,基础资料!$Q$4:$Q$17,0)),"")</f>
        <v/>
      </c>
    </row>
    <row r="2338" spans="1:24">
      <c r="A2338" s="58" t="str">
        <f>IF($B2338="","",COUNTA($B$5:$B2338))</f>
        <v/>
      </c>
      <c r="B2338" s="53"/>
      <c r="C2338" s="46"/>
      <c r="D2338" s="63" t="str">
        <f>IFERROR(INDEX(基础资料!$F$4:$F$23,MATCH($C2338,基础资料!$E$4:$E$23,0)),IF($C2338="","","未匹配账户"))</f>
        <v/>
      </c>
      <c r="E2338" s="39"/>
      <c r="F2338" s="10"/>
      <c r="G2338" s="10"/>
      <c r="H2338" s="10"/>
      <c r="I2338" s="10"/>
      <c r="J2338" s="10"/>
      <c r="K2338" s="25"/>
      <c r="L2338" s="25"/>
      <c r="M2338" s="25" t="str">
        <f>IFERROR(VLOOKUP($C2338,$C$5:$M$24,11,0)+SUMIF($C$25:$C2338,$C2338,$K$25:$K2338)-SUMIF($C$25:$C2338,$C2338,$L$25:$L2338),"")</f>
        <v/>
      </c>
      <c r="N2338" s="10"/>
      <c r="O2338" s="10"/>
      <c r="P2338" s="65"/>
      <c r="Q2338" s="10"/>
      <c r="R2338" s="10"/>
      <c r="S2338" s="54" t="str">
        <f t="shared" si="114"/>
        <v/>
      </c>
      <c r="T2338" s="54" t="str">
        <f t="shared" si="115"/>
        <v/>
      </c>
      <c r="U2338" s="58" t="str">
        <f t="shared" si="116"/>
        <v/>
      </c>
      <c r="V2338" s="58">
        <f>IF(AND($B2338&lt;&gt;"",$F2338&lt;&gt;"",$F2338=项目明细账!$C$2),N(V2337)+1,N(V2337))</f>
        <v>0</v>
      </c>
      <c r="W2338" s="63" t="str">
        <f>IF($H2338&lt;&gt;"","项目成本",IFERROR(INDEX(基础资料!$W$4:$W$49,MATCH($I2338,基础资料!$V$4:$V$49,0)),""))</f>
        <v/>
      </c>
      <c r="X2338" s="63" t="str">
        <f>IFERROR(INDEX(基础资料!$R$4:$R$17,MATCH($G2338,基础资料!$Q$4:$Q$17,0)),"")</f>
        <v/>
      </c>
    </row>
    <row r="2339" spans="1:24">
      <c r="A2339" s="58" t="str">
        <f>IF($B2339="","",COUNTA($B$5:$B2339))</f>
        <v/>
      </c>
      <c r="B2339" s="53"/>
      <c r="C2339" s="46"/>
      <c r="D2339" s="63" t="str">
        <f>IFERROR(INDEX(基础资料!$F$4:$F$23,MATCH($C2339,基础资料!$E$4:$E$23,0)),IF($C2339="","","未匹配账户"))</f>
        <v/>
      </c>
      <c r="E2339" s="39"/>
      <c r="F2339" s="10"/>
      <c r="G2339" s="10"/>
      <c r="H2339" s="10"/>
      <c r="I2339" s="10"/>
      <c r="J2339" s="10"/>
      <c r="K2339" s="25"/>
      <c r="L2339" s="25"/>
      <c r="M2339" s="25" t="str">
        <f>IFERROR(VLOOKUP($C2339,$C$5:$M$24,11,0)+SUMIF($C$25:$C2339,$C2339,$K$25:$K2339)-SUMIF($C$25:$C2339,$C2339,$L$25:$L2339),"")</f>
        <v/>
      </c>
      <c r="N2339" s="10"/>
      <c r="O2339" s="10"/>
      <c r="P2339" s="65"/>
      <c r="Q2339" s="10"/>
      <c r="R2339" s="10"/>
      <c r="S2339" s="54" t="str">
        <f t="shared" si="114"/>
        <v/>
      </c>
      <c r="T2339" s="54" t="str">
        <f t="shared" si="115"/>
        <v/>
      </c>
      <c r="U2339" s="58" t="str">
        <f t="shared" si="116"/>
        <v/>
      </c>
      <c r="V2339" s="58">
        <f>IF(AND($B2339&lt;&gt;"",$F2339&lt;&gt;"",$F2339=项目明细账!$C$2),N(V2338)+1,N(V2338))</f>
        <v>0</v>
      </c>
      <c r="W2339" s="63" t="str">
        <f>IF($H2339&lt;&gt;"","项目成本",IFERROR(INDEX(基础资料!$W$4:$W$49,MATCH($I2339,基础资料!$V$4:$V$49,0)),""))</f>
        <v/>
      </c>
      <c r="X2339" s="63" t="str">
        <f>IFERROR(INDEX(基础资料!$R$4:$R$17,MATCH($G2339,基础资料!$Q$4:$Q$17,0)),"")</f>
        <v/>
      </c>
    </row>
    <row r="2340" spans="1:24">
      <c r="A2340" s="58" t="str">
        <f>IF($B2340="","",COUNTA($B$5:$B2340))</f>
        <v/>
      </c>
      <c r="B2340" s="53"/>
      <c r="C2340" s="46"/>
      <c r="D2340" s="63" t="str">
        <f>IFERROR(INDEX(基础资料!$F$4:$F$23,MATCH($C2340,基础资料!$E$4:$E$23,0)),IF($C2340="","","未匹配账户"))</f>
        <v/>
      </c>
      <c r="E2340" s="39"/>
      <c r="F2340" s="10"/>
      <c r="G2340" s="10"/>
      <c r="H2340" s="10"/>
      <c r="I2340" s="10"/>
      <c r="J2340" s="10"/>
      <c r="K2340" s="25"/>
      <c r="L2340" s="25"/>
      <c r="M2340" s="25" t="str">
        <f>IFERROR(VLOOKUP($C2340,$C$5:$M$24,11,0)+SUMIF($C$25:$C2340,$C2340,$K$25:$K2340)-SUMIF($C$25:$C2340,$C2340,$L$25:$L2340),"")</f>
        <v/>
      </c>
      <c r="N2340" s="10"/>
      <c r="O2340" s="10"/>
      <c r="P2340" s="65"/>
      <c r="Q2340" s="10"/>
      <c r="R2340" s="10"/>
      <c r="S2340" s="54" t="str">
        <f t="shared" si="114"/>
        <v/>
      </c>
      <c r="T2340" s="54" t="str">
        <f t="shared" si="115"/>
        <v/>
      </c>
      <c r="U2340" s="58" t="str">
        <f t="shared" si="116"/>
        <v/>
      </c>
      <c r="V2340" s="58">
        <f>IF(AND($B2340&lt;&gt;"",$F2340&lt;&gt;"",$F2340=项目明细账!$C$2),N(V2339)+1,N(V2339))</f>
        <v>0</v>
      </c>
      <c r="W2340" s="63" t="str">
        <f>IF($H2340&lt;&gt;"","项目成本",IFERROR(INDEX(基础资料!$W$4:$W$49,MATCH($I2340,基础资料!$V$4:$V$49,0)),""))</f>
        <v/>
      </c>
      <c r="X2340" s="63" t="str">
        <f>IFERROR(INDEX(基础资料!$R$4:$R$17,MATCH($G2340,基础资料!$Q$4:$Q$17,0)),"")</f>
        <v/>
      </c>
    </row>
    <row r="2341" spans="1:24">
      <c r="A2341" s="58" t="str">
        <f>IF($B2341="","",COUNTA($B$5:$B2341))</f>
        <v/>
      </c>
      <c r="B2341" s="53"/>
      <c r="C2341" s="46"/>
      <c r="D2341" s="63" t="str">
        <f>IFERROR(INDEX(基础资料!$F$4:$F$23,MATCH($C2341,基础资料!$E$4:$E$23,0)),IF($C2341="","","未匹配账户"))</f>
        <v/>
      </c>
      <c r="E2341" s="39"/>
      <c r="F2341" s="10"/>
      <c r="G2341" s="10"/>
      <c r="H2341" s="10"/>
      <c r="I2341" s="10"/>
      <c r="J2341" s="10"/>
      <c r="K2341" s="25"/>
      <c r="L2341" s="25"/>
      <c r="M2341" s="25" t="str">
        <f>IFERROR(VLOOKUP($C2341,$C$5:$M$24,11,0)+SUMIF($C$25:$C2341,$C2341,$K$25:$K2341)-SUMIF($C$25:$C2341,$C2341,$L$25:$L2341),"")</f>
        <v/>
      </c>
      <c r="N2341" s="10"/>
      <c r="O2341" s="10"/>
      <c r="P2341" s="65"/>
      <c r="Q2341" s="10"/>
      <c r="R2341" s="10"/>
      <c r="S2341" s="54" t="str">
        <f t="shared" si="114"/>
        <v/>
      </c>
      <c r="T2341" s="54" t="str">
        <f t="shared" si="115"/>
        <v/>
      </c>
      <c r="U2341" s="58" t="str">
        <f t="shared" si="116"/>
        <v/>
      </c>
      <c r="V2341" s="58">
        <f>IF(AND($B2341&lt;&gt;"",$F2341&lt;&gt;"",$F2341=项目明细账!$C$2),N(V2340)+1,N(V2340))</f>
        <v>0</v>
      </c>
      <c r="W2341" s="63" t="str">
        <f>IF($H2341&lt;&gt;"","项目成本",IFERROR(INDEX(基础资料!$W$4:$W$49,MATCH($I2341,基础资料!$V$4:$V$49,0)),""))</f>
        <v/>
      </c>
      <c r="X2341" s="63" t="str">
        <f>IFERROR(INDEX(基础资料!$R$4:$R$17,MATCH($G2341,基础资料!$Q$4:$Q$17,0)),"")</f>
        <v/>
      </c>
    </row>
    <row r="2342" spans="1:24">
      <c r="A2342" s="58" t="str">
        <f>IF($B2342="","",COUNTA($B$5:$B2342))</f>
        <v/>
      </c>
      <c r="B2342" s="53"/>
      <c r="C2342" s="46"/>
      <c r="D2342" s="63" t="str">
        <f>IFERROR(INDEX(基础资料!$F$4:$F$23,MATCH($C2342,基础资料!$E$4:$E$23,0)),IF($C2342="","","未匹配账户"))</f>
        <v/>
      </c>
      <c r="E2342" s="39"/>
      <c r="F2342" s="10"/>
      <c r="G2342" s="10"/>
      <c r="H2342" s="10"/>
      <c r="I2342" s="10"/>
      <c r="J2342" s="10"/>
      <c r="K2342" s="25"/>
      <c r="L2342" s="25"/>
      <c r="M2342" s="25" t="str">
        <f>IFERROR(VLOOKUP($C2342,$C$5:$M$24,11,0)+SUMIF($C$25:$C2342,$C2342,$K$25:$K2342)-SUMIF($C$25:$C2342,$C2342,$L$25:$L2342),"")</f>
        <v/>
      </c>
      <c r="N2342" s="10"/>
      <c r="O2342" s="10"/>
      <c r="P2342" s="65"/>
      <c r="Q2342" s="10"/>
      <c r="R2342" s="10"/>
      <c r="S2342" s="54" t="str">
        <f t="shared" si="114"/>
        <v/>
      </c>
      <c r="T2342" s="54" t="str">
        <f t="shared" si="115"/>
        <v/>
      </c>
      <c r="U2342" s="58" t="str">
        <f t="shared" si="116"/>
        <v/>
      </c>
      <c r="V2342" s="58">
        <f>IF(AND($B2342&lt;&gt;"",$F2342&lt;&gt;"",$F2342=项目明细账!$C$2),N(V2341)+1,N(V2341))</f>
        <v>0</v>
      </c>
      <c r="W2342" s="63" t="str">
        <f>IF($H2342&lt;&gt;"","项目成本",IFERROR(INDEX(基础资料!$W$4:$W$49,MATCH($I2342,基础资料!$V$4:$V$49,0)),""))</f>
        <v/>
      </c>
      <c r="X2342" s="63" t="str">
        <f>IFERROR(INDEX(基础资料!$R$4:$R$17,MATCH($G2342,基础资料!$Q$4:$Q$17,0)),"")</f>
        <v/>
      </c>
    </row>
    <row r="2343" spans="1:24">
      <c r="A2343" s="58" t="str">
        <f>IF($B2343="","",COUNTA($B$5:$B2343))</f>
        <v/>
      </c>
      <c r="B2343" s="53"/>
      <c r="C2343" s="46"/>
      <c r="D2343" s="63" t="str">
        <f>IFERROR(INDEX(基础资料!$F$4:$F$23,MATCH($C2343,基础资料!$E$4:$E$23,0)),IF($C2343="","","未匹配账户"))</f>
        <v/>
      </c>
      <c r="E2343" s="39"/>
      <c r="F2343" s="10"/>
      <c r="G2343" s="10"/>
      <c r="H2343" s="10"/>
      <c r="I2343" s="10"/>
      <c r="J2343" s="10"/>
      <c r="K2343" s="25"/>
      <c r="L2343" s="25"/>
      <c r="M2343" s="25" t="str">
        <f>IFERROR(VLOOKUP($C2343,$C$5:$M$24,11,0)+SUMIF($C$25:$C2343,$C2343,$K$25:$K2343)-SUMIF($C$25:$C2343,$C2343,$L$25:$L2343),"")</f>
        <v/>
      </c>
      <c r="N2343" s="10"/>
      <c r="O2343" s="10"/>
      <c r="P2343" s="65"/>
      <c r="Q2343" s="10"/>
      <c r="R2343" s="10"/>
      <c r="S2343" s="54" t="str">
        <f t="shared" si="114"/>
        <v/>
      </c>
      <c r="T2343" s="54" t="str">
        <f t="shared" si="115"/>
        <v/>
      </c>
      <c r="U2343" s="58" t="str">
        <f t="shared" si="116"/>
        <v/>
      </c>
      <c r="V2343" s="58">
        <f>IF(AND($B2343&lt;&gt;"",$F2343&lt;&gt;"",$F2343=项目明细账!$C$2),N(V2342)+1,N(V2342))</f>
        <v>0</v>
      </c>
      <c r="W2343" s="63" t="str">
        <f>IF($H2343&lt;&gt;"","项目成本",IFERROR(INDEX(基础资料!$W$4:$W$49,MATCH($I2343,基础资料!$V$4:$V$49,0)),""))</f>
        <v/>
      </c>
      <c r="X2343" s="63" t="str">
        <f>IFERROR(INDEX(基础资料!$R$4:$R$17,MATCH($G2343,基础资料!$Q$4:$Q$17,0)),"")</f>
        <v/>
      </c>
    </row>
    <row r="2344" spans="1:24">
      <c r="A2344" s="58" t="str">
        <f>IF($B2344="","",COUNTA($B$5:$B2344))</f>
        <v/>
      </c>
      <c r="B2344" s="53"/>
      <c r="C2344" s="46"/>
      <c r="D2344" s="63" t="str">
        <f>IFERROR(INDEX(基础资料!$F$4:$F$23,MATCH($C2344,基础资料!$E$4:$E$23,0)),IF($C2344="","","未匹配账户"))</f>
        <v/>
      </c>
      <c r="E2344" s="39"/>
      <c r="F2344" s="10"/>
      <c r="G2344" s="10"/>
      <c r="H2344" s="10"/>
      <c r="I2344" s="10"/>
      <c r="J2344" s="10"/>
      <c r="K2344" s="25"/>
      <c r="L2344" s="25"/>
      <c r="M2344" s="25" t="str">
        <f>IFERROR(VLOOKUP($C2344,$C$5:$M$24,11,0)+SUMIF($C$25:$C2344,$C2344,$K$25:$K2344)-SUMIF($C$25:$C2344,$C2344,$L$25:$L2344),"")</f>
        <v/>
      </c>
      <c r="N2344" s="10"/>
      <c r="O2344" s="10"/>
      <c r="P2344" s="65"/>
      <c r="Q2344" s="10"/>
      <c r="R2344" s="10"/>
      <c r="S2344" s="54" t="str">
        <f t="shared" si="114"/>
        <v/>
      </c>
      <c r="T2344" s="54" t="str">
        <f t="shared" si="115"/>
        <v/>
      </c>
      <c r="U2344" s="58" t="str">
        <f t="shared" si="116"/>
        <v/>
      </c>
      <c r="V2344" s="58">
        <f>IF(AND($B2344&lt;&gt;"",$F2344&lt;&gt;"",$F2344=项目明细账!$C$2),N(V2343)+1,N(V2343))</f>
        <v>0</v>
      </c>
      <c r="W2344" s="63" t="str">
        <f>IF($H2344&lt;&gt;"","项目成本",IFERROR(INDEX(基础资料!$W$4:$W$49,MATCH($I2344,基础资料!$V$4:$V$49,0)),""))</f>
        <v/>
      </c>
      <c r="X2344" s="63" t="str">
        <f>IFERROR(INDEX(基础资料!$R$4:$R$17,MATCH($G2344,基础资料!$Q$4:$Q$17,0)),"")</f>
        <v/>
      </c>
    </row>
    <row r="2345" spans="1:24">
      <c r="A2345" s="58" t="str">
        <f>IF($B2345="","",COUNTA($B$5:$B2345))</f>
        <v/>
      </c>
      <c r="B2345" s="53"/>
      <c r="C2345" s="46"/>
      <c r="D2345" s="63" t="str">
        <f>IFERROR(INDEX(基础资料!$F$4:$F$23,MATCH($C2345,基础资料!$E$4:$E$23,0)),IF($C2345="","","未匹配账户"))</f>
        <v/>
      </c>
      <c r="E2345" s="39"/>
      <c r="F2345" s="10"/>
      <c r="G2345" s="10"/>
      <c r="H2345" s="10"/>
      <c r="I2345" s="10"/>
      <c r="J2345" s="10"/>
      <c r="K2345" s="25"/>
      <c r="L2345" s="25"/>
      <c r="M2345" s="25" t="str">
        <f>IFERROR(VLOOKUP($C2345,$C$5:$M$24,11,0)+SUMIF($C$25:$C2345,$C2345,$K$25:$K2345)-SUMIF($C$25:$C2345,$C2345,$L$25:$L2345),"")</f>
        <v/>
      </c>
      <c r="N2345" s="10"/>
      <c r="O2345" s="10"/>
      <c r="P2345" s="65"/>
      <c r="Q2345" s="10"/>
      <c r="R2345" s="10"/>
      <c r="S2345" s="54" t="str">
        <f t="shared" si="114"/>
        <v/>
      </c>
      <c r="T2345" s="54" t="str">
        <f t="shared" si="115"/>
        <v/>
      </c>
      <c r="U2345" s="58" t="str">
        <f t="shared" si="116"/>
        <v/>
      </c>
      <c r="V2345" s="58">
        <f>IF(AND($B2345&lt;&gt;"",$F2345&lt;&gt;"",$F2345=项目明细账!$C$2),N(V2344)+1,N(V2344))</f>
        <v>0</v>
      </c>
      <c r="W2345" s="63" t="str">
        <f>IF($H2345&lt;&gt;"","项目成本",IFERROR(INDEX(基础资料!$W$4:$W$49,MATCH($I2345,基础资料!$V$4:$V$49,0)),""))</f>
        <v/>
      </c>
      <c r="X2345" s="63" t="str">
        <f>IFERROR(INDEX(基础资料!$R$4:$R$17,MATCH($G2345,基础资料!$Q$4:$Q$17,0)),"")</f>
        <v/>
      </c>
    </row>
    <row r="2346" spans="1:24">
      <c r="A2346" s="58" t="str">
        <f>IF($B2346="","",COUNTA($B$5:$B2346))</f>
        <v/>
      </c>
      <c r="B2346" s="53"/>
      <c r="C2346" s="46"/>
      <c r="D2346" s="63" t="str">
        <f>IFERROR(INDEX(基础资料!$F$4:$F$23,MATCH($C2346,基础资料!$E$4:$E$23,0)),IF($C2346="","","未匹配账户"))</f>
        <v/>
      </c>
      <c r="E2346" s="39"/>
      <c r="F2346" s="10"/>
      <c r="G2346" s="10"/>
      <c r="H2346" s="10"/>
      <c r="I2346" s="10"/>
      <c r="J2346" s="10"/>
      <c r="K2346" s="25"/>
      <c r="L2346" s="25"/>
      <c r="M2346" s="25" t="str">
        <f>IFERROR(VLOOKUP($C2346,$C$5:$M$24,11,0)+SUMIF($C$25:$C2346,$C2346,$K$25:$K2346)-SUMIF($C$25:$C2346,$C2346,$L$25:$L2346),"")</f>
        <v/>
      </c>
      <c r="N2346" s="10"/>
      <c r="O2346" s="10"/>
      <c r="P2346" s="65"/>
      <c r="Q2346" s="10"/>
      <c r="R2346" s="10"/>
      <c r="S2346" s="54" t="str">
        <f t="shared" si="114"/>
        <v/>
      </c>
      <c r="T2346" s="54" t="str">
        <f t="shared" si="115"/>
        <v/>
      </c>
      <c r="U2346" s="58" t="str">
        <f t="shared" si="116"/>
        <v/>
      </c>
      <c r="V2346" s="58">
        <f>IF(AND($B2346&lt;&gt;"",$F2346&lt;&gt;"",$F2346=项目明细账!$C$2),N(V2345)+1,N(V2345))</f>
        <v>0</v>
      </c>
      <c r="W2346" s="63" t="str">
        <f>IF($H2346&lt;&gt;"","项目成本",IFERROR(INDEX(基础资料!$W$4:$W$49,MATCH($I2346,基础资料!$V$4:$V$49,0)),""))</f>
        <v/>
      </c>
      <c r="X2346" s="63" t="str">
        <f>IFERROR(INDEX(基础资料!$R$4:$R$17,MATCH($G2346,基础资料!$Q$4:$Q$17,0)),"")</f>
        <v/>
      </c>
    </row>
    <row r="2347" spans="1:24">
      <c r="A2347" s="58" t="str">
        <f>IF($B2347="","",COUNTA($B$5:$B2347))</f>
        <v/>
      </c>
      <c r="B2347" s="53"/>
      <c r="C2347" s="46"/>
      <c r="D2347" s="63" t="str">
        <f>IFERROR(INDEX(基础资料!$F$4:$F$23,MATCH($C2347,基础资料!$E$4:$E$23,0)),IF($C2347="","","未匹配账户"))</f>
        <v/>
      </c>
      <c r="E2347" s="39"/>
      <c r="F2347" s="10"/>
      <c r="G2347" s="10"/>
      <c r="H2347" s="10"/>
      <c r="I2347" s="10"/>
      <c r="J2347" s="10"/>
      <c r="K2347" s="25"/>
      <c r="L2347" s="25"/>
      <c r="M2347" s="25" t="str">
        <f>IFERROR(VLOOKUP($C2347,$C$5:$M$24,11,0)+SUMIF($C$25:$C2347,$C2347,$K$25:$K2347)-SUMIF($C$25:$C2347,$C2347,$L$25:$L2347),"")</f>
        <v/>
      </c>
      <c r="N2347" s="10"/>
      <c r="O2347" s="10"/>
      <c r="P2347" s="65"/>
      <c r="Q2347" s="10"/>
      <c r="R2347" s="10"/>
      <c r="S2347" s="54" t="str">
        <f t="shared" si="114"/>
        <v/>
      </c>
      <c r="T2347" s="54" t="str">
        <f t="shared" si="115"/>
        <v/>
      </c>
      <c r="U2347" s="58" t="str">
        <f t="shared" si="116"/>
        <v/>
      </c>
      <c r="V2347" s="58">
        <f>IF(AND($B2347&lt;&gt;"",$F2347&lt;&gt;"",$F2347=项目明细账!$C$2),N(V2346)+1,N(V2346))</f>
        <v>0</v>
      </c>
      <c r="W2347" s="63" t="str">
        <f>IF($H2347&lt;&gt;"","项目成本",IFERROR(INDEX(基础资料!$W$4:$W$49,MATCH($I2347,基础资料!$V$4:$V$49,0)),""))</f>
        <v/>
      </c>
      <c r="X2347" s="63" t="str">
        <f>IFERROR(INDEX(基础资料!$R$4:$R$17,MATCH($G2347,基础资料!$Q$4:$Q$17,0)),"")</f>
        <v/>
      </c>
    </row>
    <row r="2348" spans="1:24">
      <c r="A2348" s="58" t="str">
        <f>IF($B2348="","",COUNTA($B$5:$B2348))</f>
        <v/>
      </c>
      <c r="B2348" s="53"/>
      <c r="C2348" s="46"/>
      <c r="D2348" s="63" t="str">
        <f>IFERROR(INDEX(基础资料!$F$4:$F$23,MATCH($C2348,基础资料!$E$4:$E$23,0)),IF($C2348="","","未匹配账户"))</f>
        <v/>
      </c>
      <c r="E2348" s="39"/>
      <c r="F2348" s="10"/>
      <c r="G2348" s="10"/>
      <c r="H2348" s="10"/>
      <c r="I2348" s="10"/>
      <c r="J2348" s="10"/>
      <c r="K2348" s="25"/>
      <c r="L2348" s="25"/>
      <c r="M2348" s="25" t="str">
        <f>IFERROR(VLOOKUP($C2348,$C$5:$M$24,11,0)+SUMIF($C$25:$C2348,$C2348,$K$25:$K2348)-SUMIF($C$25:$C2348,$C2348,$L$25:$L2348),"")</f>
        <v/>
      </c>
      <c r="N2348" s="10"/>
      <c r="O2348" s="10"/>
      <c r="P2348" s="65"/>
      <c r="Q2348" s="10"/>
      <c r="R2348" s="10"/>
      <c r="S2348" s="54" t="str">
        <f t="shared" si="114"/>
        <v/>
      </c>
      <c r="T2348" s="54" t="str">
        <f t="shared" si="115"/>
        <v/>
      </c>
      <c r="U2348" s="58" t="str">
        <f t="shared" si="116"/>
        <v/>
      </c>
      <c r="V2348" s="58">
        <f>IF(AND($B2348&lt;&gt;"",$F2348&lt;&gt;"",$F2348=项目明细账!$C$2),N(V2347)+1,N(V2347))</f>
        <v>0</v>
      </c>
      <c r="W2348" s="63" t="str">
        <f>IF($H2348&lt;&gt;"","项目成本",IFERROR(INDEX(基础资料!$W$4:$W$49,MATCH($I2348,基础资料!$V$4:$V$49,0)),""))</f>
        <v/>
      </c>
      <c r="X2348" s="63" t="str">
        <f>IFERROR(INDEX(基础资料!$R$4:$R$17,MATCH($G2348,基础资料!$Q$4:$Q$17,0)),"")</f>
        <v/>
      </c>
    </row>
    <row r="2349" spans="1:24">
      <c r="A2349" s="58" t="str">
        <f>IF($B2349="","",COUNTA($B$5:$B2349))</f>
        <v/>
      </c>
      <c r="B2349" s="53"/>
      <c r="C2349" s="46"/>
      <c r="D2349" s="63" t="str">
        <f>IFERROR(INDEX(基础资料!$F$4:$F$23,MATCH($C2349,基础资料!$E$4:$E$23,0)),IF($C2349="","","未匹配账户"))</f>
        <v/>
      </c>
      <c r="E2349" s="39"/>
      <c r="F2349" s="10"/>
      <c r="G2349" s="10"/>
      <c r="H2349" s="10"/>
      <c r="I2349" s="10"/>
      <c r="J2349" s="10"/>
      <c r="K2349" s="25"/>
      <c r="L2349" s="25"/>
      <c r="M2349" s="25" t="str">
        <f>IFERROR(VLOOKUP($C2349,$C$5:$M$24,11,0)+SUMIF($C$25:$C2349,$C2349,$K$25:$K2349)-SUMIF($C$25:$C2349,$C2349,$L$25:$L2349),"")</f>
        <v/>
      </c>
      <c r="N2349" s="10"/>
      <c r="O2349" s="10"/>
      <c r="P2349" s="65"/>
      <c r="Q2349" s="10"/>
      <c r="R2349" s="10"/>
      <c r="S2349" s="54" t="str">
        <f t="shared" si="114"/>
        <v/>
      </c>
      <c r="T2349" s="54" t="str">
        <f t="shared" si="115"/>
        <v/>
      </c>
      <c r="U2349" s="58" t="str">
        <f t="shared" si="116"/>
        <v/>
      </c>
      <c r="V2349" s="58">
        <f>IF(AND($B2349&lt;&gt;"",$F2349&lt;&gt;"",$F2349=项目明细账!$C$2),N(V2348)+1,N(V2348))</f>
        <v>0</v>
      </c>
      <c r="W2349" s="63" t="str">
        <f>IF($H2349&lt;&gt;"","项目成本",IFERROR(INDEX(基础资料!$W$4:$W$49,MATCH($I2349,基础资料!$V$4:$V$49,0)),""))</f>
        <v/>
      </c>
      <c r="X2349" s="63" t="str">
        <f>IFERROR(INDEX(基础资料!$R$4:$R$17,MATCH($G2349,基础资料!$Q$4:$Q$17,0)),"")</f>
        <v/>
      </c>
    </row>
    <row r="2350" spans="1:24">
      <c r="A2350" s="58" t="str">
        <f>IF($B2350="","",COUNTA($B$5:$B2350))</f>
        <v/>
      </c>
      <c r="B2350" s="53"/>
      <c r="C2350" s="46"/>
      <c r="D2350" s="63" t="str">
        <f>IFERROR(INDEX(基础资料!$F$4:$F$23,MATCH($C2350,基础资料!$E$4:$E$23,0)),IF($C2350="","","未匹配账户"))</f>
        <v/>
      </c>
      <c r="E2350" s="39"/>
      <c r="F2350" s="10"/>
      <c r="G2350" s="10"/>
      <c r="H2350" s="10"/>
      <c r="I2350" s="10"/>
      <c r="J2350" s="10"/>
      <c r="K2350" s="25"/>
      <c r="L2350" s="25"/>
      <c r="M2350" s="25" t="str">
        <f>IFERROR(VLOOKUP($C2350,$C$5:$M$24,11,0)+SUMIF($C$25:$C2350,$C2350,$K$25:$K2350)-SUMIF($C$25:$C2350,$C2350,$L$25:$L2350),"")</f>
        <v/>
      </c>
      <c r="N2350" s="10"/>
      <c r="O2350" s="10"/>
      <c r="P2350" s="65"/>
      <c r="Q2350" s="10"/>
      <c r="R2350" s="10"/>
      <c r="S2350" s="54" t="str">
        <f t="shared" si="114"/>
        <v/>
      </c>
      <c r="T2350" s="54" t="str">
        <f t="shared" si="115"/>
        <v/>
      </c>
      <c r="U2350" s="58" t="str">
        <f t="shared" si="116"/>
        <v/>
      </c>
      <c r="V2350" s="58">
        <f>IF(AND($B2350&lt;&gt;"",$F2350&lt;&gt;"",$F2350=项目明细账!$C$2),N(V2349)+1,N(V2349))</f>
        <v>0</v>
      </c>
      <c r="W2350" s="63" t="str">
        <f>IF($H2350&lt;&gt;"","项目成本",IFERROR(INDEX(基础资料!$W$4:$W$49,MATCH($I2350,基础资料!$V$4:$V$49,0)),""))</f>
        <v/>
      </c>
      <c r="X2350" s="63" t="str">
        <f>IFERROR(INDEX(基础资料!$R$4:$R$17,MATCH($G2350,基础资料!$Q$4:$Q$17,0)),"")</f>
        <v/>
      </c>
    </row>
    <row r="2351" spans="1:24">
      <c r="A2351" s="58" t="str">
        <f>IF($B2351="","",COUNTA($B$5:$B2351))</f>
        <v/>
      </c>
      <c r="B2351" s="53"/>
      <c r="C2351" s="46"/>
      <c r="D2351" s="63" t="str">
        <f>IFERROR(INDEX(基础资料!$F$4:$F$23,MATCH($C2351,基础资料!$E$4:$E$23,0)),IF($C2351="","","未匹配账户"))</f>
        <v/>
      </c>
      <c r="E2351" s="39"/>
      <c r="F2351" s="10"/>
      <c r="G2351" s="10"/>
      <c r="H2351" s="10"/>
      <c r="I2351" s="10"/>
      <c r="J2351" s="10"/>
      <c r="K2351" s="25"/>
      <c r="L2351" s="25"/>
      <c r="M2351" s="25" t="str">
        <f>IFERROR(VLOOKUP($C2351,$C$5:$M$24,11,0)+SUMIF($C$25:$C2351,$C2351,$K$25:$K2351)-SUMIF($C$25:$C2351,$C2351,$L$25:$L2351),"")</f>
        <v/>
      </c>
      <c r="N2351" s="10"/>
      <c r="O2351" s="10"/>
      <c r="P2351" s="65"/>
      <c r="Q2351" s="10"/>
      <c r="R2351" s="10"/>
      <c r="S2351" s="54" t="str">
        <f t="shared" si="114"/>
        <v/>
      </c>
      <c r="T2351" s="54" t="str">
        <f t="shared" si="115"/>
        <v/>
      </c>
      <c r="U2351" s="58" t="str">
        <f t="shared" si="116"/>
        <v/>
      </c>
      <c r="V2351" s="58">
        <f>IF(AND($B2351&lt;&gt;"",$F2351&lt;&gt;"",$F2351=项目明细账!$C$2),N(V2350)+1,N(V2350))</f>
        <v>0</v>
      </c>
      <c r="W2351" s="63" t="str">
        <f>IF($H2351&lt;&gt;"","项目成本",IFERROR(INDEX(基础资料!$W$4:$W$49,MATCH($I2351,基础资料!$V$4:$V$49,0)),""))</f>
        <v/>
      </c>
      <c r="X2351" s="63" t="str">
        <f>IFERROR(INDEX(基础资料!$R$4:$R$17,MATCH($G2351,基础资料!$Q$4:$Q$17,0)),"")</f>
        <v/>
      </c>
    </row>
    <row r="2352" spans="1:24">
      <c r="A2352" s="58" t="str">
        <f>IF($B2352="","",COUNTA($B$5:$B2352))</f>
        <v/>
      </c>
      <c r="B2352" s="53"/>
      <c r="C2352" s="46"/>
      <c r="D2352" s="63" t="str">
        <f>IFERROR(INDEX(基础资料!$F$4:$F$23,MATCH($C2352,基础资料!$E$4:$E$23,0)),IF($C2352="","","未匹配账户"))</f>
        <v/>
      </c>
      <c r="E2352" s="39"/>
      <c r="F2352" s="10"/>
      <c r="G2352" s="10"/>
      <c r="H2352" s="10"/>
      <c r="I2352" s="10"/>
      <c r="J2352" s="10"/>
      <c r="K2352" s="25"/>
      <c r="L2352" s="25"/>
      <c r="M2352" s="25" t="str">
        <f>IFERROR(VLOOKUP($C2352,$C$5:$M$24,11,0)+SUMIF($C$25:$C2352,$C2352,$K$25:$K2352)-SUMIF($C$25:$C2352,$C2352,$L$25:$L2352),"")</f>
        <v/>
      </c>
      <c r="N2352" s="10"/>
      <c r="O2352" s="10"/>
      <c r="P2352" s="65"/>
      <c r="Q2352" s="10"/>
      <c r="R2352" s="10"/>
      <c r="S2352" s="54" t="str">
        <f t="shared" si="114"/>
        <v/>
      </c>
      <c r="T2352" s="54" t="str">
        <f t="shared" si="115"/>
        <v/>
      </c>
      <c r="U2352" s="58" t="str">
        <f t="shared" si="116"/>
        <v/>
      </c>
      <c r="V2352" s="58">
        <f>IF(AND($B2352&lt;&gt;"",$F2352&lt;&gt;"",$F2352=项目明细账!$C$2),N(V2351)+1,N(V2351))</f>
        <v>0</v>
      </c>
      <c r="W2352" s="63" t="str">
        <f>IF($H2352&lt;&gt;"","项目成本",IFERROR(INDEX(基础资料!$W$4:$W$49,MATCH($I2352,基础资料!$V$4:$V$49,0)),""))</f>
        <v/>
      </c>
      <c r="X2352" s="63" t="str">
        <f>IFERROR(INDEX(基础资料!$R$4:$R$17,MATCH($G2352,基础资料!$Q$4:$Q$17,0)),"")</f>
        <v/>
      </c>
    </row>
    <row r="2353" spans="1:24">
      <c r="A2353" s="58" t="str">
        <f>IF($B2353="","",COUNTA($B$5:$B2353))</f>
        <v/>
      </c>
      <c r="B2353" s="53"/>
      <c r="C2353" s="46"/>
      <c r="D2353" s="63" t="str">
        <f>IFERROR(INDEX(基础资料!$F$4:$F$23,MATCH($C2353,基础资料!$E$4:$E$23,0)),IF($C2353="","","未匹配账户"))</f>
        <v/>
      </c>
      <c r="E2353" s="39"/>
      <c r="F2353" s="10"/>
      <c r="G2353" s="10"/>
      <c r="H2353" s="10"/>
      <c r="I2353" s="10"/>
      <c r="J2353" s="10"/>
      <c r="K2353" s="25"/>
      <c r="L2353" s="25"/>
      <c r="M2353" s="25" t="str">
        <f>IFERROR(VLOOKUP($C2353,$C$5:$M$24,11,0)+SUMIF($C$25:$C2353,$C2353,$K$25:$K2353)-SUMIF($C$25:$C2353,$C2353,$L$25:$L2353),"")</f>
        <v/>
      </c>
      <c r="N2353" s="10"/>
      <c r="O2353" s="10"/>
      <c r="P2353" s="65"/>
      <c r="Q2353" s="10"/>
      <c r="R2353" s="10"/>
      <c r="S2353" s="54" t="str">
        <f t="shared" si="114"/>
        <v/>
      </c>
      <c r="T2353" s="54" t="str">
        <f t="shared" si="115"/>
        <v/>
      </c>
      <c r="U2353" s="58" t="str">
        <f t="shared" si="116"/>
        <v/>
      </c>
      <c r="V2353" s="58">
        <f>IF(AND($B2353&lt;&gt;"",$F2353&lt;&gt;"",$F2353=项目明细账!$C$2),N(V2352)+1,N(V2352))</f>
        <v>0</v>
      </c>
      <c r="W2353" s="63" t="str">
        <f>IF($H2353&lt;&gt;"","项目成本",IFERROR(INDEX(基础资料!$W$4:$W$49,MATCH($I2353,基础资料!$V$4:$V$49,0)),""))</f>
        <v/>
      </c>
      <c r="X2353" s="63" t="str">
        <f>IFERROR(INDEX(基础资料!$R$4:$R$17,MATCH($G2353,基础资料!$Q$4:$Q$17,0)),"")</f>
        <v/>
      </c>
    </row>
    <row r="2354" spans="1:24">
      <c r="A2354" s="58" t="str">
        <f>IF($B2354="","",COUNTA($B$5:$B2354))</f>
        <v/>
      </c>
      <c r="B2354" s="53"/>
      <c r="C2354" s="46"/>
      <c r="D2354" s="63" t="str">
        <f>IFERROR(INDEX(基础资料!$F$4:$F$23,MATCH($C2354,基础资料!$E$4:$E$23,0)),IF($C2354="","","未匹配账户"))</f>
        <v/>
      </c>
      <c r="E2354" s="39"/>
      <c r="F2354" s="10"/>
      <c r="G2354" s="10"/>
      <c r="H2354" s="10"/>
      <c r="I2354" s="10"/>
      <c r="J2354" s="10"/>
      <c r="K2354" s="25"/>
      <c r="L2354" s="25"/>
      <c r="M2354" s="25" t="str">
        <f>IFERROR(VLOOKUP($C2354,$C$5:$M$24,11,0)+SUMIF($C$25:$C2354,$C2354,$K$25:$K2354)-SUMIF($C$25:$C2354,$C2354,$L$25:$L2354),"")</f>
        <v/>
      </c>
      <c r="N2354" s="10"/>
      <c r="O2354" s="10"/>
      <c r="P2354" s="65"/>
      <c r="Q2354" s="10"/>
      <c r="R2354" s="10"/>
      <c r="S2354" s="54" t="str">
        <f t="shared" si="114"/>
        <v/>
      </c>
      <c r="T2354" s="54" t="str">
        <f t="shared" si="115"/>
        <v/>
      </c>
      <c r="U2354" s="58" t="str">
        <f t="shared" si="116"/>
        <v/>
      </c>
      <c r="V2354" s="58">
        <f>IF(AND($B2354&lt;&gt;"",$F2354&lt;&gt;"",$F2354=项目明细账!$C$2),N(V2353)+1,N(V2353))</f>
        <v>0</v>
      </c>
      <c r="W2354" s="63" t="str">
        <f>IF($H2354&lt;&gt;"","项目成本",IFERROR(INDEX(基础资料!$W$4:$W$49,MATCH($I2354,基础资料!$V$4:$V$49,0)),""))</f>
        <v/>
      </c>
      <c r="X2354" s="63" t="str">
        <f>IFERROR(INDEX(基础资料!$R$4:$R$17,MATCH($G2354,基础资料!$Q$4:$Q$17,0)),"")</f>
        <v/>
      </c>
    </row>
    <row r="2355" spans="1:24">
      <c r="A2355" s="58" t="str">
        <f>IF($B2355="","",COUNTA($B$5:$B2355))</f>
        <v/>
      </c>
      <c r="B2355" s="53"/>
      <c r="C2355" s="46"/>
      <c r="D2355" s="63" t="str">
        <f>IFERROR(INDEX(基础资料!$F$4:$F$23,MATCH($C2355,基础资料!$E$4:$E$23,0)),IF($C2355="","","未匹配账户"))</f>
        <v/>
      </c>
      <c r="E2355" s="39"/>
      <c r="F2355" s="10"/>
      <c r="G2355" s="10"/>
      <c r="H2355" s="10"/>
      <c r="I2355" s="10"/>
      <c r="J2355" s="10"/>
      <c r="K2355" s="25"/>
      <c r="L2355" s="25"/>
      <c r="M2355" s="25" t="str">
        <f>IFERROR(VLOOKUP($C2355,$C$5:$M$24,11,0)+SUMIF($C$25:$C2355,$C2355,$K$25:$K2355)-SUMIF($C$25:$C2355,$C2355,$L$25:$L2355),"")</f>
        <v/>
      </c>
      <c r="N2355" s="10"/>
      <c r="O2355" s="10"/>
      <c r="P2355" s="65"/>
      <c r="Q2355" s="10"/>
      <c r="R2355" s="10"/>
      <c r="S2355" s="54" t="str">
        <f t="shared" si="114"/>
        <v/>
      </c>
      <c r="T2355" s="54" t="str">
        <f t="shared" si="115"/>
        <v/>
      </c>
      <c r="U2355" s="58" t="str">
        <f t="shared" si="116"/>
        <v/>
      </c>
      <c r="V2355" s="58">
        <f>IF(AND($B2355&lt;&gt;"",$F2355&lt;&gt;"",$F2355=项目明细账!$C$2),N(V2354)+1,N(V2354))</f>
        <v>0</v>
      </c>
      <c r="W2355" s="63" t="str">
        <f>IF($H2355&lt;&gt;"","项目成本",IFERROR(INDEX(基础资料!$W$4:$W$49,MATCH($I2355,基础资料!$V$4:$V$49,0)),""))</f>
        <v/>
      </c>
      <c r="X2355" s="63" t="str">
        <f>IFERROR(INDEX(基础资料!$R$4:$R$17,MATCH($G2355,基础资料!$Q$4:$Q$17,0)),"")</f>
        <v/>
      </c>
    </row>
    <row r="2356" spans="1:24">
      <c r="A2356" s="58" t="str">
        <f>IF($B2356="","",COUNTA($B$5:$B2356))</f>
        <v/>
      </c>
      <c r="B2356" s="53"/>
      <c r="C2356" s="46"/>
      <c r="D2356" s="63" t="str">
        <f>IFERROR(INDEX(基础资料!$F$4:$F$23,MATCH($C2356,基础资料!$E$4:$E$23,0)),IF($C2356="","","未匹配账户"))</f>
        <v/>
      </c>
      <c r="E2356" s="39"/>
      <c r="F2356" s="10"/>
      <c r="G2356" s="10"/>
      <c r="H2356" s="10"/>
      <c r="I2356" s="10"/>
      <c r="J2356" s="10"/>
      <c r="K2356" s="25"/>
      <c r="L2356" s="25"/>
      <c r="M2356" s="25" t="str">
        <f>IFERROR(VLOOKUP($C2356,$C$5:$M$24,11,0)+SUMIF($C$25:$C2356,$C2356,$K$25:$K2356)-SUMIF($C$25:$C2356,$C2356,$L$25:$L2356),"")</f>
        <v/>
      </c>
      <c r="N2356" s="10"/>
      <c r="O2356" s="10"/>
      <c r="P2356" s="65"/>
      <c r="Q2356" s="10"/>
      <c r="R2356" s="10"/>
      <c r="S2356" s="54" t="str">
        <f t="shared" si="114"/>
        <v/>
      </c>
      <c r="T2356" s="54" t="str">
        <f t="shared" si="115"/>
        <v/>
      </c>
      <c r="U2356" s="58" t="str">
        <f t="shared" si="116"/>
        <v/>
      </c>
      <c r="V2356" s="58">
        <f>IF(AND($B2356&lt;&gt;"",$F2356&lt;&gt;"",$F2356=项目明细账!$C$2),N(V2355)+1,N(V2355))</f>
        <v>0</v>
      </c>
      <c r="W2356" s="63" t="str">
        <f>IF($H2356&lt;&gt;"","项目成本",IFERROR(INDEX(基础资料!$W$4:$W$49,MATCH($I2356,基础资料!$V$4:$V$49,0)),""))</f>
        <v/>
      </c>
      <c r="X2356" s="63" t="str">
        <f>IFERROR(INDEX(基础资料!$R$4:$R$17,MATCH($G2356,基础资料!$Q$4:$Q$17,0)),"")</f>
        <v/>
      </c>
    </row>
    <row r="2357" spans="1:24">
      <c r="A2357" s="58" t="str">
        <f>IF($B2357="","",COUNTA($B$5:$B2357))</f>
        <v/>
      </c>
      <c r="B2357" s="53"/>
      <c r="C2357" s="46"/>
      <c r="D2357" s="63" t="str">
        <f>IFERROR(INDEX(基础资料!$F$4:$F$23,MATCH($C2357,基础资料!$E$4:$E$23,0)),IF($C2357="","","未匹配账户"))</f>
        <v/>
      </c>
      <c r="E2357" s="39"/>
      <c r="F2357" s="10"/>
      <c r="G2357" s="10"/>
      <c r="H2357" s="10"/>
      <c r="I2357" s="10"/>
      <c r="J2357" s="10"/>
      <c r="K2357" s="25"/>
      <c r="L2357" s="25"/>
      <c r="M2357" s="25" t="str">
        <f>IFERROR(VLOOKUP($C2357,$C$5:$M$24,11,0)+SUMIF($C$25:$C2357,$C2357,$K$25:$K2357)-SUMIF($C$25:$C2357,$C2357,$L$25:$L2357),"")</f>
        <v/>
      </c>
      <c r="N2357" s="10"/>
      <c r="O2357" s="10"/>
      <c r="P2357" s="65"/>
      <c r="Q2357" s="10"/>
      <c r="R2357" s="10"/>
      <c r="S2357" s="54" t="str">
        <f t="shared" si="114"/>
        <v/>
      </c>
      <c r="T2357" s="54" t="str">
        <f t="shared" si="115"/>
        <v/>
      </c>
      <c r="U2357" s="58" t="str">
        <f t="shared" si="116"/>
        <v/>
      </c>
      <c r="V2357" s="58">
        <f>IF(AND($B2357&lt;&gt;"",$F2357&lt;&gt;"",$F2357=项目明细账!$C$2),N(V2356)+1,N(V2356))</f>
        <v>0</v>
      </c>
      <c r="W2357" s="63" t="str">
        <f>IF($H2357&lt;&gt;"","项目成本",IFERROR(INDEX(基础资料!$W$4:$W$49,MATCH($I2357,基础资料!$V$4:$V$49,0)),""))</f>
        <v/>
      </c>
      <c r="X2357" s="63" t="str">
        <f>IFERROR(INDEX(基础资料!$R$4:$R$17,MATCH($G2357,基础资料!$Q$4:$Q$17,0)),"")</f>
        <v/>
      </c>
    </row>
    <row r="2358" spans="1:24">
      <c r="A2358" s="58" t="str">
        <f>IF($B2358="","",COUNTA($B$5:$B2358))</f>
        <v/>
      </c>
      <c r="B2358" s="53"/>
      <c r="C2358" s="46"/>
      <c r="D2358" s="63" t="str">
        <f>IFERROR(INDEX(基础资料!$F$4:$F$23,MATCH($C2358,基础资料!$E$4:$E$23,0)),IF($C2358="","","未匹配账户"))</f>
        <v/>
      </c>
      <c r="E2358" s="39"/>
      <c r="F2358" s="10"/>
      <c r="G2358" s="10"/>
      <c r="H2358" s="10"/>
      <c r="I2358" s="10"/>
      <c r="J2358" s="10"/>
      <c r="K2358" s="25"/>
      <c r="L2358" s="25"/>
      <c r="M2358" s="25" t="str">
        <f>IFERROR(VLOOKUP($C2358,$C$5:$M$24,11,0)+SUMIF($C$25:$C2358,$C2358,$K$25:$K2358)-SUMIF($C$25:$C2358,$C2358,$L$25:$L2358),"")</f>
        <v/>
      </c>
      <c r="N2358" s="10"/>
      <c r="O2358" s="10"/>
      <c r="P2358" s="65"/>
      <c r="Q2358" s="10"/>
      <c r="R2358" s="10"/>
      <c r="S2358" s="54" t="str">
        <f t="shared" si="114"/>
        <v/>
      </c>
      <c r="T2358" s="54" t="str">
        <f t="shared" si="115"/>
        <v/>
      </c>
      <c r="U2358" s="58" t="str">
        <f t="shared" si="116"/>
        <v/>
      </c>
      <c r="V2358" s="58">
        <f>IF(AND($B2358&lt;&gt;"",$F2358&lt;&gt;"",$F2358=项目明细账!$C$2),N(V2357)+1,N(V2357))</f>
        <v>0</v>
      </c>
      <c r="W2358" s="63" t="str">
        <f>IF($H2358&lt;&gt;"","项目成本",IFERROR(INDEX(基础资料!$W$4:$W$49,MATCH($I2358,基础资料!$V$4:$V$49,0)),""))</f>
        <v/>
      </c>
      <c r="X2358" s="63" t="str">
        <f>IFERROR(INDEX(基础资料!$R$4:$R$17,MATCH($G2358,基础资料!$Q$4:$Q$17,0)),"")</f>
        <v/>
      </c>
    </row>
    <row r="2359" spans="1:24">
      <c r="A2359" s="58" t="str">
        <f>IF($B2359="","",COUNTA($B$5:$B2359))</f>
        <v/>
      </c>
      <c r="B2359" s="53"/>
      <c r="C2359" s="46"/>
      <c r="D2359" s="63" t="str">
        <f>IFERROR(INDEX(基础资料!$F$4:$F$23,MATCH($C2359,基础资料!$E$4:$E$23,0)),IF($C2359="","","未匹配账户"))</f>
        <v/>
      </c>
      <c r="E2359" s="39"/>
      <c r="F2359" s="10"/>
      <c r="G2359" s="10"/>
      <c r="H2359" s="10"/>
      <c r="I2359" s="10"/>
      <c r="J2359" s="10"/>
      <c r="K2359" s="25"/>
      <c r="L2359" s="25"/>
      <c r="M2359" s="25" t="str">
        <f>IFERROR(VLOOKUP($C2359,$C$5:$M$24,11,0)+SUMIF($C$25:$C2359,$C2359,$K$25:$K2359)-SUMIF($C$25:$C2359,$C2359,$L$25:$L2359),"")</f>
        <v/>
      </c>
      <c r="N2359" s="10"/>
      <c r="O2359" s="10"/>
      <c r="P2359" s="65"/>
      <c r="Q2359" s="10"/>
      <c r="R2359" s="10"/>
      <c r="S2359" s="54" t="str">
        <f t="shared" si="114"/>
        <v/>
      </c>
      <c r="T2359" s="54" t="str">
        <f t="shared" si="115"/>
        <v/>
      </c>
      <c r="U2359" s="58" t="str">
        <f t="shared" si="116"/>
        <v/>
      </c>
      <c r="V2359" s="58">
        <f>IF(AND($B2359&lt;&gt;"",$F2359&lt;&gt;"",$F2359=项目明细账!$C$2),N(V2358)+1,N(V2358))</f>
        <v>0</v>
      </c>
      <c r="W2359" s="63" t="str">
        <f>IF($H2359&lt;&gt;"","项目成本",IFERROR(INDEX(基础资料!$W$4:$W$49,MATCH($I2359,基础资料!$V$4:$V$49,0)),""))</f>
        <v/>
      </c>
      <c r="X2359" s="63" t="str">
        <f>IFERROR(INDEX(基础资料!$R$4:$R$17,MATCH($G2359,基础资料!$Q$4:$Q$17,0)),"")</f>
        <v/>
      </c>
    </row>
    <row r="2360" spans="1:24">
      <c r="A2360" s="58" t="str">
        <f>IF($B2360="","",COUNTA($B$5:$B2360))</f>
        <v/>
      </c>
      <c r="B2360" s="53"/>
      <c r="C2360" s="46"/>
      <c r="D2360" s="63" t="str">
        <f>IFERROR(INDEX(基础资料!$F$4:$F$23,MATCH($C2360,基础资料!$E$4:$E$23,0)),IF($C2360="","","未匹配账户"))</f>
        <v/>
      </c>
      <c r="E2360" s="39"/>
      <c r="F2360" s="10"/>
      <c r="G2360" s="10"/>
      <c r="H2360" s="10"/>
      <c r="I2360" s="10"/>
      <c r="J2360" s="10"/>
      <c r="K2360" s="25"/>
      <c r="L2360" s="25"/>
      <c r="M2360" s="25" t="str">
        <f>IFERROR(VLOOKUP($C2360,$C$5:$M$24,11,0)+SUMIF($C$25:$C2360,$C2360,$K$25:$K2360)-SUMIF($C$25:$C2360,$C2360,$L$25:$L2360),"")</f>
        <v/>
      </c>
      <c r="N2360" s="10"/>
      <c r="O2360" s="10"/>
      <c r="P2360" s="65"/>
      <c r="Q2360" s="10"/>
      <c r="R2360" s="10"/>
      <c r="S2360" s="54" t="str">
        <f t="shared" si="114"/>
        <v/>
      </c>
      <c r="T2360" s="54" t="str">
        <f t="shared" si="115"/>
        <v/>
      </c>
      <c r="U2360" s="58" t="str">
        <f t="shared" si="116"/>
        <v/>
      </c>
      <c r="V2360" s="58">
        <f>IF(AND($B2360&lt;&gt;"",$F2360&lt;&gt;"",$F2360=项目明细账!$C$2),N(V2359)+1,N(V2359))</f>
        <v>0</v>
      </c>
      <c r="W2360" s="63" t="str">
        <f>IF($H2360&lt;&gt;"","项目成本",IFERROR(INDEX(基础资料!$W$4:$W$49,MATCH($I2360,基础资料!$V$4:$V$49,0)),""))</f>
        <v/>
      </c>
      <c r="X2360" s="63" t="str">
        <f>IFERROR(INDEX(基础资料!$R$4:$R$17,MATCH($G2360,基础资料!$Q$4:$Q$17,0)),"")</f>
        <v/>
      </c>
    </row>
    <row r="2361" spans="1:24">
      <c r="A2361" s="58" t="str">
        <f>IF($B2361="","",COUNTA($B$5:$B2361))</f>
        <v/>
      </c>
      <c r="B2361" s="53"/>
      <c r="C2361" s="46"/>
      <c r="D2361" s="63" t="str">
        <f>IFERROR(INDEX(基础资料!$F$4:$F$23,MATCH($C2361,基础资料!$E$4:$E$23,0)),IF($C2361="","","未匹配账户"))</f>
        <v/>
      </c>
      <c r="E2361" s="39"/>
      <c r="F2361" s="10"/>
      <c r="G2361" s="10"/>
      <c r="H2361" s="10"/>
      <c r="I2361" s="10"/>
      <c r="J2361" s="10"/>
      <c r="K2361" s="25"/>
      <c r="L2361" s="25"/>
      <c r="M2361" s="25" t="str">
        <f>IFERROR(VLOOKUP($C2361,$C$5:$M$24,11,0)+SUMIF($C$25:$C2361,$C2361,$K$25:$K2361)-SUMIF($C$25:$C2361,$C2361,$L$25:$L2361),"")</f>
        <v/>
      </c>
      <c r="N2361" s="10"/>
      <c r="O2361" s="10"/>
      <c r="P2361" s="65"/>
      <c r="Q2361" s="10"/>
      <c r="R2361" s="10"/>
      <c r="S2361" s="54" t="str">
        <f t="shared" si="114"/>
        <v/>
      </c>
      <c r="T2361" s="54" t="str">
        <f t="shared" si="115"/>
        <v/>
      </c>
      <c r="U2361" s="58" t="str">
        <f t="shared" si="116"/>
        <v/>
      </c>
      <c r="V2361" s="58">
        <f>IF(AND($B2361&lt;&gt;"",$F2361&lt;&gt;"",$F2361=项目明细账!$C$2),N(V2360)+1,N(V2360))</f>
        <v>0</v>
      </c>
      <c r="W2361" s="63" t="str">
        <f>IF($H2361&lt;&gt;"","项目成本",IFERROR(INDEX(基础资料!$W$4:$W$49,MATCH($I2361,基础资料!$V$4:$V$49,0)),""))</f>
        <v/>
      </c>
      <c r="X2361" s="63" t="str">
        <f>IFERROR(INDEX(基础资料!$R$4:$R$17,MATCH($G2361,基础资料!$Q$4:$Q$17,0)),"")</f>
        <v/>
      </c>
    </row>
    <row r="2362" spans="1:24">
      <c r="A2362" s="58" t="str">
        <f>IF($B2362="","",COUNTA($B$5:$B2362))</f>
        <v/>
      </c>
      <c r="B2362" s="53"/>
      <c r="C2362" s="46"/>
      <c r="D2362" s="63" t="str">
        <f>IFERROR(INDEX(基础资料!$F$4:$F$23,MATCH($C2362,基础资料!$E$4:$E$23,0)),IF($C2362="","","未匹配账户"))</f>
        <v/>
      </c>
      <c r="E2362" s="39"/>
      <c r="F2362" s="10"/>
      <c r="G2362" s="10"/>
      <c r="H2362" s="10"/>
      <c r="I2362" s="10"/>
      <c r="J2362" s="10"/>
      <c r="K2362" s="25"/>
      <c r="L2362" s="25"/>
      <c r="M2362" s="25" t="str">
        <f>IFERROR(VLOOKUP($C2362,$C$5:$M$24,11,0)+SUMIF($C$25:$C2362,$C2362,$K$25:$K2362)-SUMIF($C$25:$C2362,$C2362,$L$25:$L2362),"")</f>
        <v/>
      </c>
      <c r="N2362" s="10"/>
      <c r="O2362" s="10"/>
      <c r="P2362" s="65"/>
      <c r="Q2362" s="10"/>
      <c r="R2362" s="10"/>
      <c r="S2362" s="54" t="str">
        <f t="shared" si="114"/>
        <v/>
      </c>
      <c r="T2362" s="54" t="str">
        <f t="shared" si="115"/>
        <v/>
      </c>
      <c r="U2362" s="58" t="str">
        <f t="shared" si="116"/>
        <v/>
      </c>
      <c r="V2362" s="58">
        <f>IF(AND($B2362&lt;&gt;"",$F2362&lt;&gt;"",$F2362=项目明细账!$C$2),N(V2361)+1,N(V2361))</f>
        <v>0</v>
      </c>
      <c r="W2362" s="63" t="str">
        <f>IF($H2362&lt;&gt;"","项目成本",IFERROR(INDEX(基础资料!$W$4:$W$49,MATCH($I2362,基础资料!$V$4:$V$49,0)),""))</f>
        <v/>
      </c>
      <c r="X2362" s="63" t="str">
        <f>IFERROR(INDEX(基础资料!$R$4:$R$17,MATCH($G2362,基础资料!$Q$4:$Q$17,0)),"")</f>
        <v/>
      </c>
    </row>
    <row r="2363" spans="1:24">
      <c r="A2363" s="58" t="str">
        <f>IF($B2363="","",COUNTA($B$5:$B2363))</f>
        <v/>
      </c>
      <c r="B2363" s="53"/>
      <c r="C2363" s="46"/>
      <c r="D2363" s="63" t="str">
        <f>IFERROR(INDEX(基础资料!$F$4:$F$23,MATCH($C2363,基础资料!$E$4:$E$23,0)),IF($C2363="","","未匹配账户"))</f>
        <v/>
      </c>
      <c r="E2363" s="39"/>
      <c r="F2363" s="10"/>
      <c r="G2363" s="10"/>
      <c r="H2363" s="10"/>
      <c r="I2363" s="10"/>
      <c r="J2363" s="10"/>
      <c r="K2363" s="25"/>
      <c r="L2363" s="25"/>
      <c r="M2363" s="25" t="str">
        <f>IFERROR(VLOOKUP($C2363,$C$5:$M$24,11,0)+SUMIF($C$25:$C2363,$C2363,$K$25:$K2363)-SUMIF($C$25:$C2363,$C2363,$L$25:$L2363),"")</f>
        <v/>
      </c>
      <c r="N2363" s="10"/>
      <c r="O2363" s="10"/>
      <c r="P2363" s="65"/>
      <c r="Q2363" s="10"/>
      <c r="R2363" s="10"/>
      <c r="S2363" s="54" t="str">
        <f t="shared" si="114"/>
        <v/>
      </c>
      <c r="T2363" s="54" t="str">
        <f t="shared" si="115"/>
        <v/>
      </c>
      <c r="U2363" s="58" t="str">
        <f t="shared" si="116"/>
        <v/>
      </c>
      <c r="V2363" s="58">
        <f>IF(AND($B2363&lt;&gt;"",$F2363&lt;&gt;"",$F2363=项目明细账!$C$2),N(V2362)+1,N(V2362))</f>
        <v>0</v>
      </c>
      <c r="W2363" s="63" t="str">
        <f>IF($H2363&lt;&gt;"","项目成本",IFERROR(INDEX(基础资料!$W$4:$W$49,MATCH($I2363,基础资料!$V$4:$V$49,0)),""))</f>
        <v/>
      </c>
      <c r="X2363" s="63" t="str">
        <f>IFERROR(INDEX(基础资料!$R$4:$R$17,MATCH($G2363,基础资料!$Q$4:$Q$17,0)),"")</f>
        <v/>
      </c>
    </row>
    <row r="2364" spans="1:24">
      <c r="A2364" s="58" t="str">
        <f>IF($B2364="","",COUNTA($B$5:$B2364))</f>
        <v/>
      </c>
      <c r="B2364" s="53"/>
      <c r="C2364" s="46"/>
      <c r="D2364" s="63" t="str">
        <f>IFERROR(INDEX(基础资料!$F$4:$F$23,MATCH($C2364,基础资料!$E$4:$E$23,0)),IF($C2364="","","未匹配账户"))</f>
        <v/>
      </c>
      <c r="E2364" s="39"/>
      <c r="F2364" s="10"/>
      <c r="G2364" s="10"/>
      <c r="H2364" s="10"/>
      <c r="I2364" s="10"/>
      <c r="J2364" s="10"/>
      <c r="K2364" s="25"/>
      <c r="L2364" s="25"/>
      <c r="M2364" s="25" t="str">
        <f>IFERROR(VLOOKUP($C2364,$C$5:$M$24,11,0)+SUMIF($C$25:$C2364,$C2364,$K$25:$K2364)-SUMIF($C$25:$C2364,$C2364,$L$25:$L2364),"")</f>
        <v/>
      </c>
      <c r="N2364" s="10"/>
      <c r="O2364" s="10"/>
      <c r="P2364" s="65"/>
      <c r="Q2364" s="10"/>
      <c r="R2364" s="10"/>
      <c r="S2364" s="54" t="str">
        <f t="shared" si="114"/>
        <v/>
      </c>
      <c r="T2364" s="54" t="str">
        <f t="shared" si="115"/>
        <v/>
      </c>
      <c r="U2364" s="58" t="str">
        <f t="shared" si="116"/>
        <v/>
      </c>
      <c r="V2364" s="58">
        <f>IF(AND($B2364&lt;&gt;"",$F2364&lt;&gt;"",$F2364=项目明细账!$C$2),N(V2363)+1,N(V2363))</f>
        <v>0</v>
      </c>
      <c r="W2364" s="63" t="str">
        <f>IF($H2364&lt;&gt;"","项目成本",IFERROR(INDEX(基础资料!$W$4:$W$49,MATCH($I2364,基础资料!$V$4:$V$49,0)),""))</f>
        <v/>
      </c>
      <c r="X2364" s="63" t="str">
        <f>IFERROR(INDEX(基础资料!$R$4:$R$17,MATCH($G2364,基础资料!$Q$4:$Q$17,0)),"")</f>
        <v/>
      </c>
    </row>
    <row r="2365" spans="1:24">
      <c r="A2365" s="58" t="str">
        <f>IF($B2365="","",COUNTA($B$5:$B2365))</f>
        <v/>
      </c>
      <c r="B2365" s="53"/>
      <c r="C2365" s="46"/>
      <c r="D2365" s="63" t="str">
        <f>IFERROR(INDEX(基础资料!$F$4:$F$23,MATCH($C2365,基础资料!$E$4:$E$23,0)),IF($C2365="","","未匹配账户"))</f>
        <v/>
      </c>
      <c r="E2365" s="39"/>
      <c r="F2365" s="10"/>
      <c r="G2365" s="10"/>
      <c r="H2365" s="10"/>
      <c r="I2365" s="10"/>
      <c r="J2365" s="10"/>
      <c r="K2365" s="25"/>
      <c r="L2365" s="25"/>
      <c r="M2365" s="25" t="str">
        <f>IFERROR(VLOOKUP($C2365,$C$5:$M$24,11,0)+SUMIF($C$25:$C2365,$C2365,$K$25:$K2365)-SUMIF($C$25:$C2365,$C2365,$L$25:$L2365),"")</f>
        <v/>
      </c>
      <c r="N2365" s="10"/>
      <c r="O2365" s="10"/>
      <c r="P2365" s="65"/>
      <c r="Q2365" s="10"/>
      <c r="R2365" s="10"/>
      <c r="S2365" s="54" t="str">
        <f t="shared" si="114"/>
        <v/>
      </c>
      <c r="T2365" s="54" t="str">
        <f t="shared" si="115"/>
        <v/>
      </c>
      <c r="U2365" s="58" t="str">
        <f t="shared" si="116"/>
        <v/>
      </c>
      <c r="V2365" s="58">
        <f>IF(AND($B2365&lt;&gt;"",$F2365&lt;&gt;"",$F2365=项目明细账!$C$2),N(V2364)+1,N(V2364))</f>
        <v>0</v>
      </c>
      <c r="W2365" s="63" t="str">
        <f>IF($H2365&lt;&gt;"","项目成本",IFERROR(INDEX(基础资料!$W$4:$W$49,MATCH($I2365,基础资料!$V$4:$V$49,0)),""))</f>
        <v/>
      </c>
      <c r="X2365" s="63" t="str">
        <f>IFERROR(INDEX(基础资料!$R$4:$R$17,MATCH($G2365,基础资料!$Q$4:$Q$17,0)),"")</f>
        <v/>
      </c>
    </row>
    <row r="2366" spans="1:24">
      <c r="A2366" s="58" t="str">
        <f>IF($B2366="","",COUNTA($B$5:$B2366))</f>
        <v/>
      </c>
      <c r="B2366" s="53"/>
      <c r="C2366" s="46"/>
      <c r="D2366" s="63" t="str">
        <f>IFERROR(INDEX(基础资料!$F$4:$F$23,MATCH($C2366,基础资料!$E$4:$E$23,0)),IF($C2366="","","未匹配账户"))</f>
        <v/>
      </c>
      <c r="E2366" s="39"/>
      <c r="F2366" s="10"/>
      <c r="G2366" s="10"/>
      <c r="H2366" s="10"/>
      <c r="I2366" s="10"/>
      <c r="J2366" s="10"/>
      <c r="K2366" s="25"/>
      <c r="L2366" s="25"/>
      <c r="M2366" s="25" t="str">
        <f>IFERROR(VLOOKUP($C2366,$C$5:$M$24,11,0)+SUMIF($C$25:$C2366,$C2366,$K$25:$K2366)-SUMIF($C$25:$C2366,$C2366,$L$25:$L2366),"")</f>
        <v/>
      </c>
      <c r="N2366" s="10"/>
      <c r="O2366" s="10"/>
      <c r="P2366" s="65"/>
      <c r="Q2366" s="10"/>
      <c r="R2366" s="10"/>
      <c r="S2366" s="54" t="str">
        <f t="shared" si="114"/>
        <v/>
      </c>
      <c r="T2366" s="54" t="str">
        <f t="shared" si="115"/>
        <v/>
      </c>
      <c r="U2366" s="58" t="str">
        <f t="shared" si="116"/>
        <v/>
      </c>
      <c r="V2366" s="58">
        <f>IF(AND($B2366&lt;&gt;"",$F2366&lt;&gt;"",$F2366=项目明细账!$C$2),N(V2365)+1,N(V2365))</f>
        <v>0</v>
      </c>
      <c r="W2366" s="63" t="str">
        <f>IF($H2366&lt;&gt;"","项目成本",IFERROR(INDEX(基础资料!$W$4:$W$49,MATCH($I2366,基础资料!$V$4:$V$49,0)),""))</f>
        <v/>
      </c>
      <c r="X2366" s="63" t="str">
        <f>IFERROR(INDEX(基础资料!$R$4:$R$17,MATCH($G2366,基础资料!$Q$4:$Q$17,0)),"")</f>
        <v/>
      </c>
    </row>
    <row r="2367" spans="1:24">
      <c r="A2367" s="58" t="str">
        <f>IF($B2367="","",COUNTA($B$5:$B2367))</f>
        <v/>
      </c>
      <c r="B2367" s="53"/>
      <c r="C2367" s="46"/>
      <c r="D2367" s="63" t="str">
        <f>IFERROR(INDEX(基础资料!$F$4:$F$23,MATCH($C2367,基础资料!$E$4:$E$23,0)),IF($C2367="","","未匹配账户"))</f>
        <v/>
      </c>
      <c r="E2367" s="39"/>
      <c r="F2367" s="10"/>
      <c r="G2367" s="10"/>
      <c r="H2367" s="10"/>
      <c r="I2367" s="10"/>
      <c r="J2367" s="10"/>
      <c r="K2367" s="25"/>
      <c r="L2367" s="25"/>
      <c r="M2367" s="25" t="str">
        <f>IFERROR(VLOOKUP($C2367,$C$5:$M$24,11,0)+SUMIF($C$25:$C2367,$C2367,$K$25:$K2367)-SUMIF($C$25:$C2367,$C2367,$L$25:$L2367),"")</f>
        <v/>
      </c>
      <c r="N2367" s="10"/>
      <c r="O2367" s="10"/>
      <c r="P2367" s="65"/>
      <c r="Q2367" s="10"/>
      <c r="R2367" s="10"/>
      <c r="S2367" s="54" t="str">
        <f t="shared" si="114"/>
        <v/>
      </c>
      <c r="T2367" s="54" t="str">
        <f t="shared" si="115"/>
        <v/>
      </c>
      <c r="U2367" s="58" t="str">
        <f t="shared" si="116"/>
        <v/>
      </c>
      <c r="V2367" s="58">
        <f>IF(AND($B2367&lt;&gt;"",$F2367&lt;&gt;"",$F2367=项目明细账!$C$2),N(V2366)+1,N(V2366))</f>
        <v>0</v>
      </c>
      <c r="W2367" s="63" t="str">
        <f>IF($H2367&lt;&gt;"","项目成本",IFERROR(INDEX(基础资料!$W$4:$W$49,MATCH($I2367,基础资料!$V$4:$V$49,0)),""))</f>
        <v/>
      </c>
      <c r="X2367" s="63" t="str">
        <f>IFERROR(INDEX(基础资料!$R$4:$R$17,MATCH($G2367,基础资料!$Q$4:$Q$17,0)),"")</f>
        <v/>
      </c>
    </row>
    <row r="2368" spans="1:24">
      <c r="A2368" s="58" t="str">
        <f>IF($B2368="","",COUNTA($B$5:$B2368))</f>
        <v/>
      </c>
      <c r="B2368" s="53"/>
      <c r="C2368" s="46"/>
      <c r="D2368" s="63" t="str">
        <f>IFERROR(INDEX(基础资料!$F$4:$F$23,MATCH($C2368,基础资料!$E$4:$E$23,0)),IF($C2368="","","未匹配账户"))</f>
        <v/>
      </c>
      <c r="E2368" s="39"/>
      <c r="F2368" s="10"/>
      <c r="G2368" s="10"/>
      <c r="H2368" s="10"/>
      <c r="I2368" s="10"/>
      <c r="J2368" s="10"/>
      <c r="K2368" s="25"/>
      <c r="L2368" s="25"/>
      <c r="M2368" s="25" t="str">
        <f>IFERROR(VLOOKUP($C2368,$C$5:$M$24,11,0)+SUMIF($C$25:$C2368,$C2368,$K$25:$K2368)-SUMIF($C$25:$C2368,$C2368,$L$25:$L2368),"")</f>
        <v/>
      </c>
      <c r="N2368" s="10"/>
      <c r="O2368" s="10"/>
      <c r="P2368" s="65"/>
      <c r="Q2368" s="10"/>
      <c r="R2368" s="10"/>
      <c r="S2368" s="54" t="str">
        <f t="shared" si="114"/>
        <v/>
      </c>
      <c r="T2368" s="54" t="str">
        <f t="shared" si="115"/>
        <v/>
      </c>
      <c r="U2368" s="58" t="str">
        <f t="shared" si="116"/>
        <v/>
      </c>
      <c r="V2368" s="58">
        <f>IF(AND($B2368&lt;&gt;"",$F2368&lt;&gt;"",$F2368=项目明细账!$C$2),N(V2367)+1,N(V2367))</f>
        <v>0</v>
      </c>
      <c r="W2368" s="63" t="str">
        <f>IF($H2368&lt;&gt;"","项目成本",IFERROR(INDEX(基础资料!$W$4:$W$49,MATCH($I2368,基础资料!$V$4:$V$49,0)),""))</f>
        <v/>
      </c>
      <c r="X2368" s="63" t="str">
        <f>IFERROR(INDEX(基础资料!$R$4:$R$17,MATCH($G2368,基础资料!$Q$4:$Q$17,0)),"")</f>
        <v/>
      </c>
    </row>
    <row r="2369" spans="1:24">
      <c r="A2369" s="58" t="str">
        <f>IF($B2369="","",COUNTA($B$5:$B2369))</f>
        <v/>
      </c>
      <c r="B2369" s="53"/>
      <c r="C2369" s="46"/>
      <c r="D2369" s="63" t="str">
        <f>IFERROR(INDEX(基础资料!$F$4:$F$23,MATCH($C2369,基础资料!$E$4:$E$23,0)),IF($C2369="","","未匹配账户"))</f>
        <v/>
      </c>
      <c r="E2369" s="39"/>
      <c r="F2369" s="10"/>
      <c r="G2369" s="10"/>
      <c r="H2369" s="10"/>
      <c r="I2369" s="10"/>
      <c r="J2369" s="10"/>
      <c r="K2369" s="25"/>
      <c r="L2369" s="25"/>
      <c r="M2369" s="25" t="str">
        <f>IFERROR(VLOOKUP($C2369,$C$5:$M$24,11,0)+SUMIF($C$25:$C2369,$C2369,$K$25:$K2369)-SUMIF($C$25:$C2369,$C2369,$L$25:$L2369),"")</f>
        <v/>
      </c>
      <c r="N2369" s="10"/>
      <c r="O2369" s="10"/>
      <c r="P2369" s="65"/>
      <c r="Q2369" s="10"/>
      <c r="R2369" s="10"/>
      <c r="S2369" s="54" t="str">
        <f t="shared" si="114"/>
        <v/>
      </c>
      <c r="T2369" s="54" t="str">
        <f t="shared" si="115"/>
        <v/>
      </c>
      <c r="U2369" s="58" t="str">
        <f t="shared" si="116"/>
        <v/>
      </c>
      <c r="V2369" s="58">
        <f>IF(AND($B2369&lt;&gt;"",$F2369&lt;&gt;"",$F2369=项目明细账!$C$2),N(V2368)+1,N(V2368))</f>
        <v>0</v>
      </c>
      <c r="W2369" s="63" t="str">
        <f>IF($H2369&lt;&gt;"","项目成本",IFERROR(INDEX(基础资料!$W$4:$W$49,MATCH($I2369,基础资料!$V$4:$V$49,0)),""))</f>
        <v/>
      </c>
      <c r="X2369" s="63" t="str">
        <f>IFERROR(INDEX(基础资料!$R$4:$R$17,MATCH($G2369,基础资料!$Q$4:$Q$17,0)),"")</f>
        <v/>
      </c>
    </row>
    <row r="2370" spans="1:24">
      <c r="A2370" s="58" t="str">
        <f>IF($B2370="","",COUNTA($B$5:$B2370))</f>
        <v/>
      </c>
      <c r="B2370" s="53"/>
      <c r="C2370" s="46"/>
      <c r="D2370" s="63" t="str">
        <f>IFERROR(INDEX(基础资料!$F$4:$F$23,MATCH($C2370,基础资料!$E$4:$E$23,0)),IF($C2370="","","未匹配账户"))</f>
        <v/>
      </c>
      <c r="E2370" s="39"/>
      <c r="F2370" s="10"/>
      <c r="G2370" s="10"/>
      <c r="H2370" s="10"/>
      <c r="I2370" s="10"/>
      <c r="J2370" s="10"/>
      <c r="K2370" s="25"/>
      <c r="L2370" s="25"/>
      <c r="M2370" s="25" t="str">
        <f>IFERROR(VLOOKUP($C2370,$C$5:$M$24,11,0)+SUMIF($C$25:$C2370,$C2370,$K$25:$K2370)-SUMIF($C$25:$C2370,$C2370,$L$25:$L2370),"")</f>
        <v/>
      </c>
      <c r="N2370" s="10"/>
      <c r="O2370" s="10"/>
      <c r="P2370" s="65"/>
      <c r="Q2370" s="10"/>
      <c r="R2370" s="10"/>
      <c r="S2370" s="54" t="str">
        <f t="shared" si="114"/>
        <v/>
      </c>
      <c r="T2370" s="54" t="str">
        <f t="shared" si="115"/>
        <v/>
      </c>
      <c r="U2370" s="58" t="str">
        <f t="shared" si="116"/>
        <v/>
      </c>
      <c r="V2370" s="58">
        <f>IF(AND($B2370&lt;&gt;"",$F2370&lt;&gt;"",$F2370=项目明细账!$C$2),N(V2369)+1,N(V2369))</f>
        <v>0</v>
      </c>
      <c r="W2370" s="63" t="str">
        <f>IF($H2370&lt;&gt;"","项目成本",IFERROR(INDEX(基础资料!$W$4:$W$49,MATCH($I2370,基础资料!$V$4:$V$49,0)),""))</f>
        <v/>
      </c>
      <c r="X2370" s="63" t="str">
        <f>IFERROR(INDEX(基础资料!$R$4:$R$17,MATCH($G2370,基础资料!$Q$4:$Q$17,0)),"")</f>
        <v/>
      </c>
    </row>
    <row r="2371" spans="1:24">
      <c r="A2371" s="58" t="str">
        <f>IF($B2371="","",COUNTA($B$5:$B2371))</f>
        <v/>
      </c>
      <c r="B2371" s="53"/>
      <c r="C2371" s="46"/>
      <c r="D2371" s="63" t="str">
        <f>IFERROR(INDEX(基础资料!$F$4:$F$23,MATCH($C2371,基础资料!$E$4:$E$23,0)),IF($C2371="","","未匹配账户"))</f>
        <v/>
      </c>
      <c r="E2371" s="39"/>
      <c r="F2371" s="10"/>
      <c r="G2371" s="10"/>
      <c r="H2371" s="10"/>
      <c r="I2371" s="10"/>
      <c r="J2371" s="10"/>
      <c r="K2371" s="25"/>
      <c r="L2371" s="25"/>
      <c r="M2371" s="25" t="str">
        <f>IFERROR(VLOOKUP($C2371,$C$5:$M$24,11,0)+SUMIF($C$25:$C2371,$C2371,$K$25:$K2371)-SUMIF($C$25:$C2371,$C2371,$L$25:$L2371),"")</f>
        <v/>
      </c>
      <c r="N2371" s="10"/>
      <c r="O2371" s="10"/>
      <c r="P2371" s="65"/>
      <c r="Q2371" s="10"/>
      <c r="R2371" s="10"/>
      <c r="S2371" s="54" t="str">
        <f t="shared" si="114"/>
        <v/>
      </c>
      <c r="T2371" s="54" t="str">
        <f t="shared" si="115"/>
        <v/>
      </c>
      <c r="U2371" s="58" t="str">
        <f t="shared" si="116"/>
        <v/>
      </c>
      <c r="V2371" s="58">
        <f>IF(AND($B2371&lt;&gt;"",$F2371&lt;&gt;"",$F2371=项目明细账!$C$2),N(V2370)+1,N(V2370))</f>
        <v>0</v>
      </c>
      <c r="W2371" s="63" t="str">
        <f>IF($H2371&lt;&gt;"","项目成本",IFERROR(INDEX(基础资料!$W$4:$W$49,MATCH($I2371,基础资料!$V$4:$V$49,0)),""))</f>
        <v/>
      </c>
      <c r="X2371" s="63" t="str">
        <f>IFERROR(INDEX(基础资料!$R$4:$R$17,MATCH($G2371,基础资料!$Q$4:$Q$17,0)),"")</f>
        <v/>
      </c>
    </row>
    <row r="2372" spans="1:24">
      <c r="A2372" s="58" t="str">
        <f>IF($B2372="","",COUNTA($B$5:$B2372))</f>
        <v/>
      </c>
      <c r="B2372" s="53"/>
      <c r="C2372" s="46"/>
      <c r="D2372" s="63" t="str">
        <f>IFERROR(INDEX(基础资料!$F$4:$F$23,MATCH($C2372,基础资料!$E$4:$E$23,0)),IF($C2372="","","未匹配账户"))</f>
        <v/>
      </c>
      <c r="E2372" s="39"/>
      <c r="F2372" s="10"/>
      <c r="G2372" s="10"/>
      <c r="H2372" s="10"/>
      <c r="I2372" s="10"/>
      <c r="J2372" s="10"/>
      <c r="K2372" s="25"/>
      <c r="L2372" s="25"/>
      <c r="M2372" s="25" t="str">
        <f>IFERROR(VLOOKUP($C2372,$C$5:$M$24,11,0)+SUMIF($C$25:$C2372,$C2372,$K$25:$K2372)-SUMIF($C$25:$C2372,$C2372,$L$25:$L2372),"")</f>
        <v/>
      </c>
      <c r="N2372" s="10"/>
      <c r="O2372" s="10"/>
      <c r="P2372" s="65"/>
      <c r="Q2372" s="10"/>
      <c r="R2372" s="10"/>
      <c r="S2372" s="54" t="str">
        <f t="shared" si="114"/>
        <v/>
      </c>
      <c r="T2372" s="54" t="str">
        <f t="shared" si="115"/>
        <v/>
      </c>
      <c r="U2372" s="58" t="str">
        <f t="shared" si="116"/>
        <v/>
      </c>
      <c r="V2372" s="58">
        <f>IF(AND($B2372&lt;&gt;"",$F2372&lt;&gt;"",$F2372=项目明细账!$C$2),N(V2371)+1,N(V2371))</f>
        <v>0</v>
      </c>
      <c r="W2372" s="63" t="str">
        <f>IF($H2372&lt;&gt;"","项目成本",IFERROR(INDEX(基础资料!$W$4:$W$49,MATCH($I2372,基础资料!$V$4:$V$49,0)),""))</f>
        <v/>
      </c>
      <c r="X2372" s="63" t="str">
        <f>IFERROR(INDEX(基础资料!$R$4:$R$17,MATCH($G2372,基础资料!$Q$4:$Q$17,0)),"")</f>
        <v/>
      </c>
    </row>
    <row r="2373" spans="1:24">
      <c r="A2373" s="58" t="str">
        <f>IF($B2373="","",COUNTA($B$5:$B2373))</f>
        <v/>
      </c>
      <c r="B2373" s="53"/>
      <c r="C2373" s="46"/>
      <c r="D2373" s="63" t="str">
        <f>IFERROR(INDEX(基础资料!$F$4:$F$23,MATCH($C2373,基础资料!$E$4:$E$23,0)),IF($C2373="","","未匹配账户"))</f>
        <v/>
      </c>
      <c r="E2373" s="39"/>
      <c r="F2373" s="10"/>
      <c r="G2373" s="10"/>
      <c r="H2373" s="10"/>
      <c r="I2373" s="10"/>
      <c r="J2373" s="10"/>
      <c r="K2373" s="25"/>
      <c r="L2373" s="25"/>
      <c r="M2373" s="25" t="str">
        <f>IFERROR(VLOOKUP($C2373,$C$5:$M$24,11,0)+SUMIF($C$25:$C2373,$C2373,$K$25:$K2373)-SUMIF($C$25:$C2373,$C2373,$L$25:$L2373),"")</f>
        <v/>
      </c>
      <c r="N2373" s="10"/>
      <c r="O2373" s="10"/>
      <c r="P2373" s="65"/>
      <c r="Q2373" s="10"/>
      <c r="R2373" s="10"/>
      <c r="S2373" s="54" t="str">
        <f t="shared" si="114"/>
        <v/>
      </c>
      <c r="T2373" s="54" t="str">
        <f t="shared" si="115"/>
        <v/>
      </c>
      <c r="U2373" s="58" t="str">
        <f t="shared" si="116"/>
        <v/>
      </c>
      <c r="V2373" s="58">
        <f>IF(AND($B2373&lt;&gt;"",$F2373&lt;&gt;"",$F2373=项目明细账!$C$2),N(V2372)+1,N(V2372))</f>
        <v>0</v>
      </c>
      <c r="W2373" s="63" t="str">
        <f>IF($H2373&lt;&gt;"","项目成本",IFERROR(INDEX(基础资料!$W$4:$W$49,MATCH($I2373,基础资料!$V$4:$V$49,0)),""))</f>
        <v/>
      </c>
      <c r="X2373" s="63" t="str">
        <f>IFERROR(INDEX(基础资料!$R$4:$R$17,MATCH($G2373,基础资料!$Q$4:$Q$17,0)),"")</f>
        <v/>
      </c>
    </row>
    <row r="2374" spans="1:24">
      <c r="A2374" s="58" t="str">
        <f>IF($B2374="","",COUNTA($B$5:$B2374))</f>
        <v/>
      </c>
      <c r="B2374" s="53"/>
      <c r="C2374" s="46"/>
      <c r="D2374" s="63" t="str">
        <f>IFERROR(INDEX(基础资料!$F$4:$F$23,MATCH($C2374,基础资料!$E$4:$E$23,0)),IF($C2374="","","未匹配账户"))</f>
        <v/>
      </c>
      <c r="E2374" s="39"/>
      <c r="F2374" s="10"/>
      <c r="G2374" s="10"/>
      <c r="H2374" s="10"/>
      <c r="I2374" s="10"/>
      <c r="J2374" s="10"/>
      <c r="K2374" s="25"/>
      <c r="L2374" s="25"/>
      <c r="M2374" s="25" t="str">
        <f>IFERROR(VLOOKUP($C2374,$C$5:$M$24,11,0)+SUMIF($C$25:$C2374,$C2374,$K$25:$K2374)-SUMIF($C$25:$C2374,$C2374,$L$25:$L2374),"")</f>
        <v/>
      </c>
      <c r="N2374" s="10"/>
      <c r="O2374" s="10"/>
      <c r="P2374" s="65"/>
      <c r="Q2374" s="10"/>
      <c r="R2374" s="10"/>
      <c r="S2374" s="54" t="str">
        <f t="shared" si="114"/>
        <v/>
      </c>
      <c r="T2374" s="54" t="str">
        <f t="shared" si="115"/>
        <v/>
      </c>
      <c r="U2374" s="58" t="str">
        <f t="shared" si="116"/>
        <v/>
      </c>
      <c r="V2374" s="58">
        <f>IF(AND($B2374&lt;&gt;"",$F2374&lt;&gt;"",$F2374=项目明细账!$C$2),N(V2373)+1,N(V2373))</f>
        <v>0</v>
      </c>
      <c r="W2374" s="63" t="str">
        <f>IF($H2374&lt;&gt;"","项目成本",IFERROR(INDEX(基础资料!$W$4:$W$49,MATCH($I2374,基础资料!$V$4:$V$49,0)),""))</f>
        <v/>
      </c>
      <c r="X2374" s="63" t="str">
        <f>IFERROR(INDEX(基础资料!$R$4:$R$17,MATCH($G2374,基础资料!$Q$4:$Q$17,0)),"")</f>
        <v/>
      </c>
    </row>
    <row r="2375" spans="1:24">
      <c r="A2375" s="58" t="str">
        <f>IF($B2375="","",COUNTA($B$5:$B2375))</f>
        <v/>
      </c>
      <c r="B2375" s="53"/>
      <c r="C2375" s="46"/>
      <c r="D2375" s="63" t="str">
        <f>IFERROR(INDEX(基础资料!$F$4:$F$23,MATCH($C2375,基础资料!$E$4:$E$23,0)),IF($C2375="","","未匹配账户"))</f>
        <v/>
      </c>
      <c r="E2375" s="39"/>
      <c r="F2375" s="10"/>
      <c r="G2375" s="10"/>
      <c r="H2375" s="10"/>
      <c r="I2375" s="10"/>
      <c r="J2375" s="10"/>
      <c r="K2375" s="25"/>
      <c r="L2375" s="25"/>
      <c r="M2375" s="25" t="str">
        <f>IFERROR(VLOOKUP($C2375,$C$5:$M$24,11,0)+SUMIF($C$25:$C2375,$C2375,$K$25:$K2375)-SUMIF($C$25:$C2375,$C2375,$L$25:$L2375),"")</f>
        <v/>
      </c>
      <c r="N2375" s="10"/>
      <c r="O2375" s="10"/>
      <c r="P2375" s="65"/>
      <c r="Q2375" s="10"/>
      <c r="R2375" s="10"/>
      <c r="S2375" s="54" t="str">
        <f t="shared" ref="S2375:S2438" si="117">IF($B2375="","",--TEXT($B2375,"yyyymm"))</f>
        <v/>
      </c>
      <c r="T2375" s="54" t="str">
        <f t="shared" ref="T2375:T2438" si="118">IF($B2375="","",IF($P2375="",$S2375,IFERROR($P2375*1,$P2375)))</f>
        <v/>
      </c>
      <c r="U2375" s="58" t="str">
        <f t="shared" ref="U2375:U2438" si="119">IF($B2375="","",IF($T2375=$S2375,"","跨期"))</f>
        <v/>
      </c>
      <c r="V2375" s="58">
        <f>IF(AND($B2375&lt;&gt;"",$F2375&lt;&gt;"",$F2375=项目明细账!$C$2),N(V2374)+1,N(V2374))</f>
        <v>0</v>
      </c>
      <c r="W2375" s="63" t="str">
        <f>IF($H2375&lt;&gt;"","项目成本",IFERROR(INDEX(基础资料!$W$4:$W$49,MATCH($I2375,基础资料!$V$4:$V$49,0)),""))</f>
        <v/>
      </c>
      <c r="X2375" s="63" t="str">
        <f>IFERROR(INDEX(基础资料!$R$4:$R$17,MATCH($G2375,基础资料!$Q$4:$Q$17,0)),"")</f>
        <v/>
      </c>
    </row>
    <row r="2376" spans="1:24">
      <c r="A2376" s="58" t="str">
        <f>IF($B2376="","",COUNTA($B$5:$B2376))</f>
        <v/>
      </c>
      <c r="B2376" s="53"/>
      <c r="C2376" s="46"/>
      <c r="D2376" s="63" t="str">
        <f>IFERROR(INDEX(基础资料!$F$4:$F$23,MATCH($C2376,基础资料!$E$4:$E$23,0)),IF($C2376="","","未匹配账户"))</f>
        <v/>
      </c>
      <c r="E2376" s="39"/>
      <c r="F2376" s="10"/>
      <c r="G2376" s="10"/>
      <c r="H2376" s="10"/>
      <c r="I2376" s="10"/>
      <c r="J2376" s="10"/>
      <c r="K2376" s="25"/>
      <c r="L2376" s="25"/>
      <c r="M2376" s="25" t="str">
        <f>IFERROR(VLOOKUP($C2376,$C$5:$M$24,11,0)+SUMIF($C$25:$C2376,$C2376,$K$25:$K2376)-SUMIF($C$25:$C2376,$C2376,$L$25:$L2376),"")</f>
        <v/>
      </c>
      <c r="N2376" s="10"/>
      <c r="O2376" s="10"/>
      <c r="P2376" s="65"/>
      <c r="Q2376" s="10"/>
      <c r="R2376" s="10"/>
      <c r="S2376" s="54" t="str">
        <f t="shared" si="117"/>
        <v/>
      </c>
      <c r="T2376" s="54" t="str">
        <f t="shared" si="118"/>
        <v/>
      </c>
      <c r="U2376" s="58" t="str">
        <f t="shared" si="119"/>
        <v/>
      </c>
      <c r="V2376" s="58">
        <f>IF(AND($B2376&lt;&gt;"",$F2376&lt;&gt;"",$F2376=项目明细账!$C$2),N(V2375)+1,N(V2375))</f>
        <v>0</v>
      </c>
      <c r="W2376" s="63" t="str">
        <f>IF($H2376&lt;&gt;"","项目成本",IFERROR(INDEX(基础资料!$W$4:$W$49,MATCH($I2376,基础资料!$V$4:$V$49,0)),""))</f>
        <v/>
      </c>
      <c r="X2376" s="63" t="str">
        <f>IFERROR(INDEX(基础资料!$R$4:$R$17,MATCH($G2376,基础资料!$Q$4:$Q$17,0)),"")</f>
        <v/>
      </c>
    </row>
    <row r="2377" spans="1:24">
      <c r="A2377" s="58" t="str">
        <f>IF($B2377="","",COUNTA($B$5:$B2377))</f>
        <v/>
      </c>
      <c r="B2377" s="53"/>
      <c r="C2377" s="46"/>
      <c r="D2377" s="63" t="str">
        <f>IFERROR(INDEX(基础资料!$F$4:$F$23,MATCH($C2377,基础资料!$E$4:$E$23,0)),IF($C2377="","","未匹配账户"))</f>
        <v/>
      </c>
      <c r="E2377" s="39"/>
      <c r="F2377" s="10"/>
      <c r="G2377" s="10"/>
      <c r="H2377" s="10"/>
      <c r="I2377" s="10"/>
      <c r="J2377" s="10"/>
      <c r="K2377" s="25"/>
      <c r="L2377" s="25"/>
      <c r="M2377" s="25" t="str">
        <f>IFERROR(VLOOKUP($C2377,$C$5:$M$24,11,0)+SUMIF($C$25:$C2377,$C2377,$K$25:$K2377)-SUMIF($C$25:$C2377,$C2377,$L$25:$L2377),"")</f>
        <v/>
      </c>
      <c r="N2377" s="10"/>
      <c r="O2377" s="10"/>
      <c r="P2377" s="65"/>
      <c r="Q2377" s="10"/>
      <c r="R2377" s="10"/>
      <c r="S2377" s="54" t="str">
        <f t="shared" si="117"/>
        <v/>
      </c>
      <c r="T2377" s="54" t="str">
        <f t="shared" si="118"/>
        <v/>
      </c>
      <c r="U2377" s="58" t="str">
        <f t="shared" si="119"/>
        <v/>
      </c>
      <c r="V2377" s="58">
        <f>IF(AND($B2377&lt;&gt;"",$F2377&lt;&gt;"",$F2377=项目明细账!$C$2),N(V2376)+1,N(V2376))</f>
        <v>0</v>
      </c>
      <c r="W2377" s="63" t="str">
        <f>IF($H2377&lt;&gt;"","项目成本",IFERROR(INDEX(基础资料!$W$4:$W$49,MATCH($I2377,基础资料!$V$4:$V$49,0)),""))</f>
        <v/>
      </c>
      <c r="X2377" s="63" t="str">
        <f>IFERROR(INDEX(基础资料!$R$4:$R$17,MATCH($G2377,基础资料!$Q$4:$Q$17,0)),"")</f>
        <v/>
      </c>
    </row>
    <row r="2378" spans="1:24">
      <c r="A2378" s="58" t="str">
        <f>IF($B2378="","",COUNTA($B$5:$B2378))</f>
        <v/>
      </c>
      <c r="B2378" s="53"/>
      <c r="C2378" s="46"/>
      <c r="D2378" s="63" t="str">
        <f>IFERROR(INDEX(基础资料!$F$4:$F$23,MATCH($C2378,基础资料!$E$4:$E$23,0)),IF($C2378="","","未匹配账户"))</f>
        <v/>
      </c>
      <c r="E2378" s="39"/>
      <c r="F2378" s="10"/>
      <c r="G2378" s="10"/>
      <c r="H2378" s="10"/>
      <c r="I2378" s="10"/>
      <c r="J2378" s="10"/>
      <c r="K2378" s="25"/>
      <c r="L2378" s="25"/>
      <c r="M2378" s="25" t="str">
        <f>IFERROR(VLOOKUP($C2378,$C$5:$M$24,11,0)+SUMIF($C$25:$C2378,$C2378,$K$25:$K2378)-SUMIF($C$25:$C2378,$C2378,$L$25:$L2378),"")</f>
        <v/>
      </c>
      <c r="N2378" s="10"/>
      <c r="O2378" s="10"/>
      <c r="P2378" s="65"/>
      <c r="Q2378" s="10"/>
      <c r="R2378" s="10"/>
      <c r="S2378" s="54" t="str">
        <f t="shared" si="117"/>
        <v/>
      </c>
      <c r="T2378" s="54" t="str">
        <f t="shared" si="118"/>
        <v/>
      </c>
      <c r="U2378" s="58" t="str">
        <f t="shared" si="119"/>
        <v/>
      </c>
      <c r="V2378" s="58">
        <f>IF(AND($B2378&lt;&gt;"",$F2378&lt;&gt;"",$F2378=项目明细账!$C$2),N(V2377)+1,N(V2377))</f>
        <v>0</v>
      </c>
      <c r="W2378" s="63" t="str">
        <f>IF($H2378&lt;&gt;"","项目成本",IFERROR(INDEX(基础资料!$W$4:$W$49,MATCH($I2378,基础资料!$V$4:$V$49,0)),""))</f>
        <v/>
      </c>
      <c r="X2378" s="63" t="str">
        <f>IFERROR(INDEX(基础资料!$R$4:$R$17,MATCH($G2378,基础资料!$Q$4:$Q$17,0)),"")</f>
        <v/>
      </c>
    </row>
    <row r="2379" spans="1:24">
      <c r="A2379" s="58" t="str">
        <f>IF($B2379="","",COUNTA($B$5:$B2379))</f>
        <v/>
      </c>
      <c r="B2379" s="53"/>
      <c r="C2379" s="46"/>
      <c r="D2379" s="63" t="str">
        <f>IFERROR(INDEX(基础资料!$F$4:$F$23,MATCH($C2379,基础资料!$E$4:$E$23,0)),IF($C2379="","","未匹配账户"))</f>
        <v/>
      </c>
      <c r="E2379" s="39"/>
      <c r="F2379" s="10"/>
      <c r="G2379" s="10"/>
      <c r="H2379" s="10"/>
      <c r="I2379" s="10"/>
      <c r="J2379" s="10"/>
      <c r="K2379" s="25"/>
      <c r="L2379" s="25"/>
      <c r="M2379" s="25" t="str">
        <f>IFERROR(VLOOKUP($C2379,$C$5:$M$24,11,0)+SUMIF($C$25:$C2379,$C2379,$K$25:$K2379)-SUMIF($C$25:$C2379,$C2379,$L$25:$L2379),"")</f>
        <v/>
      </c>
      <c r="N2379" s="10"/>
      <c r="O2379" s="10"/>
      <c r="P2379" s="65"/>
      <c r="Q2379" s="10"/>
      <c r="R2379" s="10"/>
      <c r="S2379" s="54" t="str">
        <f t="shared" si="117"/>
        <v/>
      </c>
      <c r="T2379" s="54" t="str">
        <f t="shared" si="118"/>
        <v/>
      </c>
      <c r="U2379" s="58" t="str">
        <f t="shared" si="119"/>
        <v/>
      </c>
      <c r="V2379" s="58">
        <f>IF(AND($B2379&lt;&gt;"",$F2379&lt;&gt;"",$F2379=项目明细账!$C$2),N(V2378)+1,N(V2378))</f>
        <v>0</v>
      </c>
      <c r="W2379" s="63" t="str">
        <f>IF($H2379&lt;&gt;"","项目成本",IFERROR(INDEX(基础资料!$W$4:$W$49,MATCH($I2379,基础资料!$V$4:$V$49,0)),""))</f>
        <v/>
      </c>
      <c r="X2379" s="63" t="str">
        <f>IFERROR(INDEX(基础资料!$R$4:$R$17,MATCH($G2379,基础资料!$Q$4:$Q$17,0)),"")</f>
        <v/>
      </c>
    </row>
    <row r="2380" spans="1:24">
      <c r="A2380" s="58" t="str">
        <f>IF($B2380="","",COUNTA($B$5:$B2380))</f>
        <v/>
      </c>
      <c r="B2380" s="53"/>
      <c r="C2380" s="46"/>
      <c r="D2380" s="63" t="str">
        <f>IFERROR(INDEX(基础资料!$F$4:$F$23,MATCH($C2380,基础资料!$E$4:$E$23,0)),IF($C2380="","","未匹配账户"))</f>
        <v/>
      </c>
      <c r="E2380" s="39"/>
      <c r="F2380" s="10"/>
      <c r="G2380" s="10"/>
      <c r="H2380" s="10"/>
      <c r="I2380" s="10"/>
      <c r="J2380" s="10"/>
      <c r="K2380" s="25"/>
      <c r="L2380" s="25"/>
      <c r="M2380" s="25" t="str">
        <f>IFERROR(VLOOKUP($C2380,$C$5:$M$24,11,0)+SUMIF($C$25:$C2380,$C2380,$K$25:$K2380)-SUMIF($C$25:$C2380,$C2380,$L$25:$L2380),"")</f>
        <v/>
      </c>
      <c r="N2380" s="10"/>
      <c r="O2380" s="10"/>
      <c r="P2380" s="65"/>
      <c r="Q2380" s="10"/>
      <c r="R2380" s="10"/>
      <c r="S2380" s="54" t="str">
        <f t="shared" si="117"/>
        <v/>
      </c>
      <c r="T2380" s="54" t="str">
        <f t="shared" si="118"/>
        <v/>
      </c>
      <c r="U2380" s="58" t="str">
        <f t="shared" si="119"/>
        <v/>
      </c>
      <c r="V2380" s="58">
        <f>IF(AND($B2380&lt;&gt;"",$F2380&lt;&gt;"",$F2380=项目明细账!$C$2),N(V2379)+1,N(V2379))</f>
        <v>0</v>
      </c>
      <c r="W2380" s="63" t="str">
        <f>IF($H2380&lt;&gt;"","项目成本",IFERROR(INDEX(基础资料!$W$4:$W$49,MATCH($I2380,基础资料!$V$4:$V$49,0)),""))</f>
        <v/>
      </c>
      <c r="X2380" s="63" t="str">
        <f>IFERROR(INDEX(基础资料!$R$4:$R$17,MATCH($G2380,基础资料!$Q$4:$Q$17,0)),"")</f>
        <v/>
      </c>
    </row>
    <row r="2381" spans="1:24">
      <c r="A2381" s="58" t="str">
        <f>IF($B2381="","",COUNTA($B$5:$B2381))</f>
        <v/>
      </c>
      <c r="B2381" s="53"/>
      <c r="C2381" s="46"/>
      <c r="D2381" s="63" t="str">
        <f>IFERROR(INDEX(基础资料!$F$4:$F$23,MATCH($C2381,基础资料!$E$4:$E$23,0)),IF($C2381="","","未匹配账户"))</f>
        <v/>
      </c>
      <c r="E2381" s="39"/>
      <c r="F2381" s="10"/>
      <c r="G2381" s="10"/>
      <c r="H2381" s="10"/>
      <c r="I2381" s="10"/>
      <c r="J2381" s="10"/>
      <c r="K2381" s="25"/>
      <c r="L2381" s="25"/>
      <c r="M2381" s="25" t="str">
        <f>IFERROR(VLOOKUP($C2381,$C$5:$M$24,11,0)+SUMIF($C$25:$C2381,$C2381,$K$25:$K2381)-SUMIF($C$25:$C2381,$C2381,$L$25:$L2381),"")</f>
        <v/>
      </c>
      <c r="N2381" s="10"/>
      <c r="O2381" s="10"/>
      <c r="P2381" s="65"/>
      <c r="Q2381" s="10"/>
      <c r="R2381" s="10"/>
      <c r="S2381" s="54" t="str">
        <f t="shared" si="117"/>
        <v/>
      </c>
      <c r="T2381" s="54" t="str">
        <f t="shared" si="118"/>
        <v/>
      </c>
      <c r="U2381" s="58" t="str">
        <f t="shared" si="119"/>
        <v/>
      </c>
      <c r="V2381" s="58">
        <f>IF(AND($B2381&lt;&gt;"",$F2381&lt;&gt;"",$F2381=项目明细账!$C$2),N(V2380)+1,N(V2380))</f>
        <v>0</v>
      </c>
      <c r="W2381" s="63" t="str">
        <f>IF($H2381&lt;&gt;"","项目成本",IFERROR(INDEX(基础资料!$W$4:$W$49,MATCH($I2381,基础资料!$V$4:$V$49,0)),""))</f>
        <v/>
      </c>
      <c r="X2381" s="63" t="str">
        <f>IFERROR(INDEX(基础资料!$R$4:$R$17,MATCH($G2381,基础资料!$Q$4:$Q$17,0)),"")</f>
        <v/>
      </c>
    </row>
    <row r="2382" spans="1:24">
      <c r="A2382" s="58" t="str">
        <f>IF($B2382="","",COUNTA($B$5:$B2382))</f>
        <v/>
      </c>
      <c r="B2382" s="53"/>
      <c r="C2382" s="46"/>
      <c r="D2382" s="63" t="str">
        <f>IFERROR(INDEX(基础资料!$F$4:$F$23,MATCH($C2382,基础资料!$E$4:$E$23,0)),IF($C2382="","","未匹配账户"))</f>
        <v/>
      </c>
      <c r="E2382" s="39"/>
      <c r="F2382" s="10"/>
      <c r="G2382" s="10"/>
      <c r="H2382" s="10"/>
      <c r="I2382" s="10"/>
      <c r="J2382" s="10"/>
      <c r="K2382" s="25"/>
      <c r="L2382" s="25"/>
      <c r="M2382" s="25" t="str">
        <f>IFERROR(VLOOKUP($C2382,$C$5:$M$24,11,0)+SUMIF($C$25:$C2382,$C2382,$K$25:$K2382)-SUMIF($C$25:$C2382,$C2382,$L$25:$L2382),"")</f>
        <v/>
      </c>
      <c r="N2382" s="10"/>
      <c r="O2382" s="10"/>
      <c r="P2382" s="65"/>
      <c r="Q2382" s="10"/>
      <c r="R2382" s="10"/>
      <c r="S2382" s="54" t="str">
        <f t="shared" si="117"/>
        <v/>
      </c>
      <c r="T2382" s="54" t="str">
        <f t="shared" si="118"/>
        <v/>
      </c>
      <c r="U2382" s="58" t="str">
        <f t="shared" si="119"/>
        <v/>
      </c>
      <c r="V2382" s="58">
        <f>IF(AND($B2382&lt;&gt;"",$F2382&lt;&gt;"",$F2382=项目明细账!$C$2),N(V2381)+1,N(V2381))</f>
        <v>0</v>
      </c>
      <c r="W2382" s="63" t="str">
        <f>IF($H2382&lt;&gt;"","项目成本",IFERROR(INDEX(基础资料!$W$4:$W$49,MATCH($I2382,基础资料!$V$4:$V$49,0)),""))</f>
        <v/>
      </c>
      <c r="X2382" s="63" t="str">
        <f>IFERROR(INDEX(基础资料!$R$4:$R$17,MATCH($G2382,基础资料!$Q$4:$Q$17,0)),"")</f>
        <v/>
      </c>
    </row>
    <row r="2383" spans="1:24">
      <c r="A2383" s="58" t="str">
        <f>IF($B2383="","",COUNTA($B$5:$B2383))</f>
        <v/>
      </c>
      <c r="B2383" s="53"/>
      <c r="C2383" s="46"/>
      <c r="D2383" s="63" t="str">
        <f>IFERROR(INDEX(基础资料!$F$4:$F$23,MATCH($C2383,基础资料!$E$4:$E$23,0)),IF($C2383="","","未匹配账户"))</f>
        <v/>
      </c>
      <c r="E2383" s="39"/>
      <c r="F2383" s="10"/>
      <c r="G2383" s="10"/>
      <c r="H2383" s="10"/>
      <c r="I2383" s="10"/>
      <c r="J2383" s="10"/>
      <c r="K2383" s="25"/>
      <c r="L2383" s="25"/>
      <c r="M2383" s="25" t="str">
        <f>IFERROR(VLOOKUP($C2383,$C$5:$M$24,11,0)+SUMIF($C$25:$C2383,$C2383,$K$25:$K2383)-SUMIF($C$25:$C2383,$C2383,$L$25:$L2383),"")</f>
        <v/>
      </c>
      <c r="N2383" s="10"/>
      <c r="O2383" s="10"/>
      <c r="P2383" s="65"/>
      <c r="Q2383" s="10"/>
      <c r="R2383" s="10"/>
      <c r="S2383" s="54" t="str">
        <f t="shared" si="117"/>
        <v/>
      </c>
      <c r="T2383" s="54" t="str">
        <f t="shared" si="118"/>
        <v/>
      </c>
      <c r="U2383" s="58" t="str">
        <f t="shared" si="119"/>
        <v/>
      </c>
      <c r="V2383" s="58">
        <f>IF(AND($B2383&lt;&gt;"",$F2383&lt;&gt;"",$F2383=项目明细账!$C$2),N(V2382)+1,N(V2382))</f>
        <v>0</v>
      </c>
      <c r="W2383" s="63" t="str">
        <f>IF($H2383&lt;&gt;"","项目成本",IFERROR(INDEX(基础资料!$W$4:$W$49,MATCH($I2383,基础资料!$V$4:$V$49,0)),""))</f>
        <v/>
      </c>
      <c r="X2383" s="63" t="str">
        <f>IFERROR(INDEX(基础资料!$R$4:$R$17,MATCH($G2383,基础资料!$Q$4:$Q$17,0)),"")</f>
        <v/>
      </c>
    </row>
    <row r="2384" spans="1:24">
      <c r="A2384" s="58" t="str">
        <f>IF($B2384="","",COUNTA($B$5:$B2384))</f>
        <v/>
      </c>
      <c r="B2384" s="53"/>
      <c r="C2384" s="46"/>
      <c r="D2384" s="63" t="str">
        <f>IFERROR(INDEX(基础资料!$F$4:$F$23,MATCH($C2384,基础资料!$E$4:$E$23,0)),IF($C2384="","","未匹配账户"))</f>
        <v/>
      </c>
      <c r="E2384" s="39"/>
      <c r="F2384" s="10"/>
      <c r="G2384" s="10"/>
      <c r="H2384" s="10"/>
      <c r="I2384" s="10"/>
      <c r="J2384" s="10"/>
      <c r="K2384" s="25"/>
      <c r="L2384" s="25"/>
      <c r="M2384" s="25" t="str">
        <f>IFERROR(VLOOKUP($C2384,$C$5:$M$24,11,0)+SUMIF($C$25:$C2384,$C2384,$K$25:$K2384)-SUMIF($C$25:$C2384,$C2384,$L$25:$L2384),"")</f>
        <v/>
      </c>
      <c r="N2384" s="10"/>
      <c r="O2384" s="10"/>
      <c r="P2384" s="65"/>
      <c r="Q2384" s="10"/>
      <c r="R2384" s="10"/>
      <c r="S2384" s="54" t="str">
        <f t="shared" si="117"/>
        <v/>
      </c>
      <c r="T2384" s="54" t="str">
        <f t="shared" si="118"/>
        <v/>
      </c>
      <c r="U2384" s="58" t="str">
        <f t="shared" si="119"/>
        <v/>
      </c>
      <c r="V2384" s="58">
        <f>IF(AND($B2384&lt;&gt;"",$F2384&lt;&gt;"",$F2384=项目明细账!$C$2),N(V2383)+1,N(V2383))</f>
        <v>0</v>
      </c>
      <c r="W2384" s="63" t="str">
        <f>IF($H2384&lt;&gt;"","项目成本",IFERROR(INDEX(基础资料!$W$4:$W$49,MATCH($I2384,基础资料!$V$4:$V$49,0)),""))</f>
        <v/>
      </c>
      <c r="X2384" s="63" t="str">
        <f>IFERROR(INDEX(基础资料!$R$4:$R$17,MATCH($G2384,基础资料!$Q$4:$Q$17,0)),"")</f>
        <v/>
      </c>
    </row>
    <row r="2385" spans="1:24">
      <c r="A2385" s="58" t="str">
        <f>IF($B2385="","",COUNTA($B$5:$B2385))</f>
        <v/>
      </c>
      <c r="B2385" s="53"/>
      <c r="C2385" s="46"/>
      <c r="D2385" s="63" t="str">
        <f>IFERROR(INDEX(基础资料!$F$4:$F$23,MATCH($C2385,基础资料!$E$4:$E$23,0)),IF($C2385="","","未匹配账户"))</f>
        <v/>
      </c>
      <c r="E2385" s="39"/>
      <c r="F2385" s="10"/>
      <c r="G2385" s="10"/>
      <c r="H2385" s="10"/>
      <c r="I2385" s="10"/>
      <c r="J2385" s="10"/>
      <c r="K2385" s="25"/>
      <c r="L2385" s="25"/>
      <c r="M2385" s="25" t="str">
        <f>IFERROR(VLOOKUP($C2385,$C$5:$M$24,11,0)+SUMIF($C$25:$C2385,$C2385,$K$25:$K2385)-SUMIF($C$25:$C2385,$C2385,$L$25:$L2385),"")</f>
        <v/>
      </c>
      <c r="N2385" s="10"/>
      <c r="O2385" s="10"/>
      <c r="P2385" s="65"/>
      <c r="Q2385" s="10"/>
      <c r="R2385" s="10"/>
      <c r="S2385" s="54" t="str">
        <f t="shared" si="117"/>
        <v/>
      </c>
      <c r="T2385" s="54" t="str">
        <f t="shared" si="118"/>
        <v/>
      </c>
      <c r="U2385" s="58" t="str">
        <f t="shared" si="119"/>
        <v/>
      </c>
      <c r="V2385" s="58">
        <f>IF(AND($B2385&lt;&gt;"",$F2385&lt;&gt;"",$F2385=项目明细账!$C$2),N(V2384)+1,N(V2384))</f>
        <v>0</v>
      </c>
      <c r="W2385" s="63" t="str">
        <f>IF($H2385&lt;&gt;"","项目成本",IFERROR(INDEX(基础资料!$W$4:$W$49,MATCH($I2385,基础资料!$V$4:$V$49,0)),""))</f>
        <v/>
      </c>
      <c r="X2385" s="63" t="str">
        <f>IFERROR(INDEX(基础资料!$R$4:$R$17,MATCH($G2385,基础资料!$Q$4:$Q$17,0)),"")</f>
        <v/>
      </c>
    </row>
    <row r="2386" spans="1:24">
      <c r="A2386" s="58" t="str">
        <f>IF($B2386="","",COUNTA($B$5:$B2386))</f>
        <v/>
      </c>
      <c r="B2386" s="53"/>
      <c r="C2386" s="46"/>
      <c r="D2386" s="63" t="str">
        <f>IFERROR(INDEX(基础资料!$F$4:$F$23,MATCH($C2386,基础资料!$E$4:$E$23,0)),IF($C2386="","","未匹配账户"))</f>
        <v/>
      </c>
      <c r="E2386" s="39"/>
      <c r="F2386" s="10"/>
      <c r="G2386" s="10"/>
      <c r="H2386" s="10"/>
      <c r="I2386" s="10"/>
      <c r="J2386" s="10"/>
      <c r="K2386" s="25"/>
      <c r="L2386" s="25"/>
      <c r="M2386" s="25" t="str">
        <f>IFERROR(VLOOKUP($C2386,$C$5:$M$24,11,0)+SUMIF($C$25:$C2386,$C2386,$K$25:$K2386)-SUMIF($C$25:$C2386,$C2386,$L$25:$L2386),"")</f>
        <v/>
      </c>
      <c r="N2386" s="10"/>
      <c r="O2386" s="10"/>
      <c r="P2386" s="65"/>
      <c r="Q2386" s="10"/>
      <c r="R2386" s="10"/>
      <c r="S2386" s="54" t="str">
        <f t="shared" si="117"/>
        <v/>
      </c>
      <c r="T2386" s="54" t="str">
        <f t="shared" si="118"/>
        <v/>
      </c>
      <c r="U2386" s="58" t="str">
        <f t="shared" si="119"/>
        <v/>
      </c>
      <c r="V2386" s="58">
        <f>IF(AND($B2386&lt;&gt;"",$F2386&lt;&gt;"",$F2386=项目明细账!$C$2),N(V2385)+1,N(V2385))</f>
        <v>0</v>
      </c>
      <c r="W2386" s="63" t="str">
        <f>IF($H2386&lt;&gt;"","项目成本",IFERROR(INDEX(基础资料!$W$4:$W$49,MATCH($I2386,基础资料!$V$4:$V$49,0)),""))</f>
        <v/>
      </c>
      <c r="X2386" s="63" t="str">
        <f>IFERROR(INDEX(基础资料!$R$4:$R$17,MATCH($G2386,基础资料!$Q$4:$Q$17,0)),"")</f>
        <v/>
      </c>
    </row>
    <row r="2387" spans="1:24">
      <c r="A2387" s="58" t="str">
        <f>IF($B2387="","",COUNTA($B$5:$B2387))</f>
        <v/>
      </c>
      <c r="B2387" s="53"/>
      <c r="C2387" s="46"/>
      <c r="D2387" s="63" t="str">
        <f>IFERROR(INDEX(基础资料!$F$4:$F$23,MATCH($C2387,基础资料!$E$4:$E$23,0)),IF($C2387="","","未匹配账户"))</f>
        <v/>
      </c>
      <c r="E2387" s="39"/>
      <c r="F2387" s="10"/>
      <c r="G2387" s="10"/>
      <c r="H2387" s="10"/>
      <c r="I2387" s="10"/>
      <c r="J2387" s="10"/>
      <c r="K2387" s="25"/>
      <c r="L2387" s="25"/>
      <c r="M2387" s="25" t="str">
        <f>IFERROR(VLOOKUP($C2387,$C$5:$M$24,11,0)+SUMIF($C$25:$C2387,$C2387,$K$25:$K2387)-SUMIF($C$25:$C2387,$C2387,$L$25:$L2387),"")</f>
        <v/>
      </c>
      <c r="N2387" s="10"/>
      <c r="O2387" s="10"/>
      <c r="P2387" s="65"/>
      <c r="Q2387" s="10"/>
      <c r="R2387" s="10"/>
      <c r="S2387" s="54" t="str">
        <f t="shared" si="117"/>
        <v/>
      </c>
      <c r="T2387" s="54" t="str">
        <f t="shared" si="118"/>
        <v/>
      </c>
      <c r="U2387" s="58" t="str">
        <f t="shared" si="119"/>
        <v/>
      </c>
      <c r="V2387" s="58">
        <f>IF(AND($B2387&lt;&gt;"",$F2387&lt;&gt;"",$F2387=项目明细账!$C$2),N(V2386)+1,N(V2386))</f>
        <v>0</v>
      </c>
      <c r="W2387" s="63" t="str">
        <f>IF($H2387&lt;&gt;"","项目成本",IFERROR(INDEX(基础资料!$W$4:$W$49,MATCH($I2387,基础资料!$V$4:$V$49,0)),""))</f>
        <v/>
      </c>
      <c r="X2387" s="63" t="str">
        <f>IFERROR(INDEX(基础资料!$R$4:$R$17,MATCH($G2387,基础资料!$Q$4:$Q$17,0)),"")</f>
        <v/>
      </c>
    </row>
    <row r="2388" spans="1:24">
      <c r="A2388" s="58" t="str">
        <f>IF($B2388="","",COUNTA($B$5:$B2388))</f>
        <v/>
      </c>
      <c r="B2388" s="53"/>
      <c r="C2388" s="46"/>
      <c r="D2388" s="63" t="str">
        <f>IFERROR(INDEX(基础资料!$F$4:$F$23,MATCH($C2388,基础资料!$E$4:$E$23,0)),IF($C2388="","","未匹配账户"))</f>
        <v/>
      </c>
      <c r="E2388" s="39"/>
      <c r="F2388" s="10"/>
      <c r="G2388" s="10"/>
      <c r="H2388" s="10"/>
      <c r="I2388" s="10"/>
      <c r="J2388" s="10"/>
      <c r="K2388" s="25"/>
      <c r="L2388" s="25"/>
      <c r="M2388" s="25" t="str">
        <f>IFERROR(VLOOKUP($C2388,$C$5:$M$24,11,0)+SUMIF($C$25:$C2388,$C2388,$K$25:$K2388)-SUMIF($C$25:$C2388,$C2388,$L$25:$L2388),"")</f>
        <v/>
      </c>
      <c r="N2388" s="10"/>
      <c r="O2388" s="10"/>
      <c r="P2388" s="65"/>
      <c r="Q2388" s="10"/>
      <c r="R2388" s="10"/>
      <c r="S2388" s="54" t="str">
        <f t="shared" si="117"/>
        <v/>
      </c>
      <c r="T2388" s="54" t="str">
        <f t="shared" si="118"/>
        <v/>
      </c>
      <c r="U2388" s="58" t="str">
        <f t="shared" si="119"/>
        <v/>
      </c>
      <c r="V2388" s="58">
        <f>IF(AND($B2388&lt;&gt;"",$F2388&lt;&gt;"",$F2388=项目明细账!$C$2),N(V2387)+1,N(V2387))</f>
        <v>0</v>
      </c>
      <c r="W2388" s="63" t="str">
        <f>IF($H2388&lt;&gt;"","项目成本",IFERROR(INDEX(基础资料!$W$4:$W$49,MATCH($I2388,基础资料!$V$4:$V$49,0)),""))</f>
        <v/>
      </c>
      <c r="X2388" s="63" t="str">
        <f>IFERROR(INDEX(基础资料!$R$4:$R$17,MATCH($G2388,基础资料!$Q$4:$Q$17,0)),"")</f>
        <v/>
      </c>
    </row>
    <row r="2389" spans="1:24">
      <c r="A2389" s="58" t="str">
        <f>IF($B2389="","",COUNTA($B$5:$B2389))</f>
        <v/>
      </c>
      <c r="B2389" s="53"/>
      <c r="C2389" s="46"/>
      <c r="D2389" s="63" t="str">
        <f>IFERROR(INDEX(基础资料!$F$4:$F$23,MATCH($C2389,基础资料!$E$4:$E$23,0)),IF($C2389="","","未匹配账户"))</f>
        <v/>
      </c>
      <c r="E2389" s="39"/>
      <c r="F2389" s="10"/>
      <c r="G2389" s="10"/>
      <c r="H2389" s="10"/>
      <c r="I2389" s="10"/>
      <c r="J2389" s="10"/>
      <c r="K2389" s="25"/>
      <c r="L2389" s="25"/>
      <c r="M2389" s="25" t="str">
        <f>IFERROR(VLOOKUP($C2389,$C$5:$M$24,11,0)+SUMIF($C$25:$C2389,$C2389,$K$25:$K2389)-SUMIF($C$25:$C2389,$C2389,$L$25:$L2389),"")</f>
        <v/>
      </c>
      <c r="N2389" s="10"/>
      <c r="O2389" s="10"/>
      <c r="P2389" s="65"/>
      <c r="Q2389" s="10"/>
      <c r="R2389" s="10"/>
      <c r="S2389" s="54" t="str">
        <f t="shared" si="117"/>
        <v/>
      </c>
      <c r="T2389" s="54" t="str">
        <f t="shared" si="118"/>
        <v/>
      </c>
      <c r="U2389" s="58" t="str">
        <f t="shared" si="119"/>
        <v/>
      </c>
      <c r="V2389" s="58">
        <f>IF(AND($B2389&lt;&gt;"",$F2389&lt;&gt;"",$F2389=项目明细账!$C$2),N(V2388)+1,N(V2388))</f>
        <v>0</v>
      </c>
      <c r="W2389" s="63" t="str">
        <f>IF($H2389&lt;&gt;"","项目成本",IFERROR(INDEX(基础资料!$W$4:$W$49,MATCH($I2389,基础资料!$V$4:$V$49,0)),""))</f>
        <v/>
      </c>
      <c r="X2389" s="63" t="str">
        <f>IFERROR(INDEX(基础资料!$R$4:$R$17,MATCH($G2389,基础资料!$Q$4:$Q$17,0)),"")</f>
        <v/>
      </c>
    </row>
    <row r="2390" spans="1:24">
      <c r="A2390" s="58" t="str">
        <f>IF($B2390="","",COUNTA($B$5:$B2390))</f>
        <v/>
      </c>
      <c r="B2390" s="53"/>
      <c r="C2390" s="46"/>
      <c r="D2390" s="63" t="str">
        <f>IFERROR(INDEX(基础资料!$F$4:$F$23,MATCH($C2390,基础资料!$E$4:$E$23,0)),IF($C2390="","","未匹配账户"))</f>
        <v/>
      </c>
      <c r="E2390" s="39"/>
      <c r="F2390" s="10"/>
      <c r="G2390" s="10"/>
      <c r="H2390" s="10"/>
      <c r="I2390" s="10"/>
      <c r="J2390" s="10"/>
      <c r="K2390" s="25"/>
      <c r="L2390" s="25"/>
      <c r="M2390" s="25" t="str">
        <f>IFERROR(VLOOKUP($C2390,$C$5:$M$24,11,0)+SUMIF($C$25:$C2390,$C2390,$K$25:$K2390)-SUMIF($C$25:$C2390,$C2390,$L$25:$L2390),"")</f>
        <v/>
      </c>
      <c r="N2390" s="10"/>
      <c r="O2390" s="10"/>
      <c r="P2390" s="65"/>
      <c r="Q2390" s="10"/>
      <c r="R2390" s="10"/>
      <c r="S2390" s="54" t="str">
        <f t="shared" si="117"/>
        <v/>
      </c>
      <c r="T2390" s="54" t="str">
        <f t="shared" si="118"/>
        <v/>
      </c>
      <c r="U2390" s="58" t="str">
        <f t="shared" si="119"/>
        <v/>
      </c>
      <c r="V2390" s="58">
        <f>IF(AND($B2390&lt;&gt;"",$F2390&lt;&gt;"",$F2390=项目明细账!$C$2),N(V2389)+1,N(V2389))</f>
        <v>0</v>
      </c>
      <c r="W2390" s="63" t="str">
        <f>IF($H2390&lt;&gt;"","项目成本",IFERROR(INDEX(基础资料!$W$4:$W$49,MATCH($I2390,基础资料!$V$4:$V$49,0)),""))</f>
        <v/>
      </c>
      <c r="X2390" s="63" t="str">
        <f>IFERROR(INDEX(基础资料!$R$4:$R$17,MATCH($G2390,基础资料!$Q$4:$Q$17,0)),"")</f>
        <v/>
      </c>
    </row>
    <row r="2391" spans="1:24">
      <c r="A2391" s="58" t="str">
        <f>IF($B2391="","",COUNTA($B$5:$B2391))</f>
        <v/>
      </c>
      <c r="B2391" s="53"/>
      <c r="C2391" s="46"/>
      <c r="D2391" s="63" t="str">
        <f>IFERROR(INDEX(基础资料!$F$4:$F$23,MATCH($C2391,基础资料!$E$4:$E$23,0)),IF($C2391="","","未匹配账户"))</f>
        <v/>
      </c>
      <c r="E2391" s="39"/>
      <c r="F2391" s="10"/>
      <c r="G2391" s="10"/>
      <c r="H2391" s="10"/>
      <c r="I2391" s="10"/>
      <c r="J2391" s="10"/>
      <c r="K2391" s="25"/>
      <c r="L2391" s="25"/>
      <c r="M2391" s="25" t="str">
        <f>IFERROR(VLOOKUP($C2391,$C$5:$M$24,11,0)+SUMIF($C$25:$C2391,$C2391,$K$25:$K2391)-SUMIF($C$25:$C2391,$C2391,$L$25:$L2391),"")</f>
        <v/>
      </c>
      <c r="N2391" s="10"/>
      <c r="O2391" s="10"/>
      <c r="P2391" s="65"/>
      <c r="Q2391" s="10"/>
      <c r="R2391" s="10"/>
      <c r="S2391" s="54" t="str">
        <f t="shared" si="117"/>
        <v/>
      </c>
      <c r="T2391" s="54" t="str">
        <f t="shared" si="118"/>
        <v/>
      </c>
      <c r="U2391" s="58" t="str">
        <f t="shared" si="119"/>
        <v/>
      </c>
      <c r="V2391" s="58">
        <f>IF(AND($B2391&lt;&gt;"",$F2391&lt;&gt;"",$F2391=项目明细账!$C$2),N(V2390)+1,N(V2390))</f>
        <v>0</v>
      </c>
      <c r="W2391" s="63" t="str">
        <f>IF($H2391&lt;&gt;"","项目成本",IFERROR(INDEX(基础资料!$W$4:$W$49,MATCH($I2391,基础资料!$V$4:$V$49,0)),""))</f>
        <v/>
      </c>
      <c r="X2391" s="63" t="str">
        <f>IFERROR(INDEX(基础资料!$R$4:$R$17,MATCH($G2391,基础资料!$Q$4:$Q$17,0)),"")</f>
        <v/>
      </c>
    </row>
    <row r="2392" spans="1:24">
      <c r="A2392" s="58" t="str">
        <f>IF($B2392="","",COUNTA($B$5:$B2392))</f>
        <v/>
      </c>
      <c r="B2392" s="53"/>
      <c r="C2392" s="46"/>
      <c r="D2392" s="63" t="str">
        <f>IFERROR(INDEX(基础资料!$F$4:$F$23,MATCH($C2392,基础资料!$E$4:$E$23,0)),IF($C2392="","","未匹配账户"))</f>
        <v/>
      </c>
      <c r="E2392" s="39"/>
      <c r="F2392" s="10"/>
      <c r="G2392" s="10"/>
      <c r="H2392" s="10"/>
      <c r="I2392" s="10"/>
      <c r="J2392" s="10"/>
      <c r="K2392" s="25"/>
      <c r="L2392" s="25"/>
      <c r="M2392" s="25" t="str">
        <f>IFERROR(VLOOKUP($C2392,$C$5:$M$24,11,0)+SUMIF($C$25:$C2392,$C2392,$K$25:$K2392)-SUMIF($C$25:$C2392,$C2392,$L$25:$L2392),"")</f>
        <v/>
      </c>
      <c r="N2392" s="10"/>
      <c r="O2392" s="10"/>
      <c r="P2392" s="65"/>
      <c r="Q2392" s="10"/>
      <c r="R2392" s="10"/>
      <c r="S2392" s="54" t="str">
        <f t="shared" si="117"/>
        <v/>
      </c>
      <c r="T2392" s="54" t="str">
        <f t="shared" si="118"/>
        <v/>
      </c>
      <c r="U2392" s="58" t="str">
        <f t="shared" si="119"/>
        <v/>
      </c>
      <c r="V2392" s="58">
        <f>IF(AND($B2392&lt;&gt;"",$F2392&lt;&gt;"",$F2392=项目明细账!$C$2),N(V2391)+1,N(V2391))</f>
        <v>0</v>
      </c>
      <c r="W2392" s="63" t="str">
        <f>IF($H2392&lt;&gt;"","项目成本",IFERROR(INDEX(基础资料!$W$4:$W$49,MATCH($I2392,基础资料!$V$4:$V$49,0)),""))</f>
        <v/>
      </c>
      <c r="X2392" s="63" t="str">
        <f>IFERROR(INDEX(基础资料!$R$4:$R$17,MATCH($G2392,基础资料!$Q$4:$Q$17,0)),"")</f>
        <v/>
      </c>
    </row>
    <row r="2393" spans="1:24">
      <c r="A2393" s="58" t="str">
        <f>IF($B2393="","",COUNTA($B$5:$B2393))</f>
        <v/>
      </c>
      <c r="B2393" s="53"/>
      <c r="C2393" s="46"/>
      <c r="D2393" s="63" t="str">
        <f>IFERROR(INDEX(基础资料!$F$4:$F$23,MATCH($C2393,基础资料!$E$4:$E$23,0)),IF($C2393="","","未匹配账户"))</f>
        <v/>
      </c>
      <c r="E2393" s="39"/>
      <c r="F2393" s="10"/>
      <c r="G2393" s="10"/>
      <c r="H2393" s="10"/>
      <c r="I2393" s="10"/>
      <c r="J2393" s="10"/>
      <c r="K2393" s="25"/>
      <c r="L2393" s="25"/>
      <c r="M2393" s="25" t="str">
        <f>IFERROR(VLOOKUP($C2393,$C$5:$M$24,11,0)+SUMIF($C$25:$C2393,$C2393,$K$25:$K2393)-SUMIF($C$25:$C2393,$C2393,$L$25:$L2393),"")</f>
        <v/>
      </c>
      <c r="N2393" s="10"/>
      <c r="O2393" s="10"/>
      <c r="P2393" s="65"/>
      <c r="Q2393" s="10"/>
      <c r="R2393" s="10"/>
      <c r="S2393" s="54" t="str">
        <f t="shared" si="117"/>
        <v/>
      </c>
      <c r="T2393" s="54" t="str">
        <f t="shared" si="118"/>
        <v/>
      </c>
      <c r="U2393" s="58" t="str">
        <f t="shared" si="119"/>
        <v/>
      </c>
      <c r="V2393" s="58">
        <f>IF(AND($B2393&lt;&gt;"",$F2393&lt;&gt;"",$F2393=项目明细账!$C$2),N(V2392)+1,N(V2392))</f>
        <v>0</v>
      </c>
      <c r="W2393" s="63" t="str">
        <f>IF($H2393&lt;&gt;"","项目成本",IFERROR(INDEX(基础资料!$W$4:$W$49,MATCH($I2393,基础资料!$V$4:$V$49,0)),""))</f>
        <v/>
      </c>
      <c r="X2393" s="63" t="str">
        <f>IFERROR(INDEX(基础资料!$R$4:$R$17,MATCH($G2393,基础资料!$Q$4:$Q$17,0)),"")</f>
        <v/>
      </c>
    </row>
    <row r="2394" spans="1:24">
      <c r="A2394" s="58" t="str">
        <f>IF($B2394="","",COUNTA($B$5:$B2394))</f>
        <v/>
      </c>
      <c r="B2394" s="53"/>
      <c r="C2394" s="46"/>
      <c r="D2394" s="63" t="str">
        <f>IFERROR(INDEX(基础资料!$F$4:$F$23,MATCH($C2394,基础资料!$E$4:$E$23,0)),IF($C2394="","","未匹配账户"))</f>
        <v/>
      </c>
      <c r="E2394" s="39"/>
      <c r="F2394" s="10"/>
      <c r="G2394" s="10"/>
      <c r="H2394" s="10"/>
      <c r="I2394" s="10"/>
      <c r="J2394" s="10"/>
      <c r="K2394" s="25"/>
      <c r="L2394" s="25"/>
      <c r="M2394" s="25" t="str">
        <f>IFERROR(VLOOKUP($C2394,$C$5:$M$24,11,0)+SUMIF($C$25:$C2394,$C2394,$K$25:$K2394)-SUMIF($C$25:$C2394,$C2394,$L$25:$L2394),"")</f>
        <v/>
      </c>
      <c r="N2394" s="10"/>
      <c r="O2394" s="10"/>
      <c r="P2394" s="65"/>
      <c r="Q2394" s="10"/>
      <c r="R2394" s="10"/>
      <c r="S2394" s="54" t="str">
        <f t="shared" si="117"/>
        <v/>
      </c>
      <c r="T2394" s="54" t="str">
        <f t="shared" si="118"/>
        <v/>
      </c>
      <c r="U2394" s="58" t="str">
        <f t="shared" si="119"/>
        <v/>
      </c>
      <c r="V2394" s="58">
        <f>IF(AND($B2394&lt;&gt;"",$F2394&lt;&gt;"",$F2394=项目明细账!$C$2),N(V2393)+1,N(V2393))</f>
        <v>0</v>
      </c>
      <c r="W2394" s="63" t="str">
        <f>IF($H2394&lt;&gt;"","项目成本",IFERROR(INDEX(基础资料!$W$4:$W$49,MATCH($I2394,基础资料!$V$4:$V$49,0)),""))</f>
        <v/>
      </c>
      <c r="X2394" s="63" t="str">
        <f>IFERROR(INDEX(基础资料!$R$4:$R$17,MATCH($G2394,基础资料!$Q$4:$Q$17,0)),"")</f>
        <v/>
      </c>
    </row>
    <row r="2395" spans="1:24">
      <c r="A2395" s="58" t="str">
        <f>IF($B2395="","",COUNTA($B$5:$B2395))</f>
        <v/>
      </c>
      <c r="B2395" s="53"/>
      <c r="C2395" s="46"/>
      <c r="D2395" s="63" t="str">
        <f>IFERROR(INDEX(基础资料!$F$4:$F$23,MATCH($C2395,基础资料!$E$4:$E$23,0)),IF($C2395="","","未匹配账户"))</f>
        <v/>
      </c>
      <c r="E2395" s="39"/>
      <c r="F2395" s="10"/>
      <c r="G2395" s="10"/>
      <c r="H2395" s="10"/>
      <c r="I2395" s="10"/>
      <c r="J2395" s="10"/>
      <c r="K2395" s="25"/>
      <c r="L2395" s="25"/>
      <c r="M2395" s="25" t="str">
        <f>IFERROR(VLOOKUP($C2395,$C$5:$M$24,11,0)+SUMIF($C$25:$C2395,$C2395,$K$25:$K2395)-SUMIF($C$25:$C2395,$C2395,$L$25:$L2395),"")</f>
        <v/>
      </c>
      <c r="N2395" s="10"/>
      <c r="O2395" s="10"/>
      <c r="P2395" s="65"/>
      <c r="Q2395" s="10"/>
      <c r="R2395" s="10"/>
      <c r="S2395" s="54" t="str">
        <f t="shared" si="117"/>
        <v/>
      </c>
      <c r="T2395" s="54" t="str">
        <f t="shared" si="118"/>
        <v/>
      </c>
      <c r="U2395" s="58" t="str">
        <f t="shared" si="119"/>
        <v/>
      </c>
      <c r="V2395" s="58">
        <f>IF(AND($B2395&lt;&gt;"",$F2395&lt;&gt;"",$F2395=项目明细账!$C$2),N(V2394)+1,N(V2394))</f>
        <v>0</v>
      </c>
      <c r="W2395" s="63" t="str">
        <f>IF($H2395&lt;&gt;"","项目成本",IFERROR(INDEX(基础资料!$W$4:$W$49,MATCH($I2395,基础资料!$V$4:$V$49,0)),""))</f>
        <v/>
      </c>
      <c r="X2395" s="63" t="str">
        <f>IFERROR(INDEX(基础资料!$R$4:$R$17,MATCH($G2395,基础资料!$Q$4:$Q$17,0)),"")</f>
        <v/>
      </c>
    </row>
    <row r="2396" spans="1:24">
      <c r="A2396" s="58" t="str">
        <f>IF($B2396="","",COUNTA($B$5:$B2396))</f>
        <v/>
      </c>
      <c r="B2396" s="53"/>
      <c r="C2396" s="46"/>
      <c r="D2396" s="63" t="str">
        <f>IFERROR(INDEX(基础资料!$F$4:$F$23,MATCH($C2396,基础资料!$E$4:$E$23,0)),IF($C2396="","","未匹配账户"))</f>
        <v/>
      </c>
      <c r="E2396" s="39"/>
      <c r="F2396" s="10"/>
      <c r="G2396" s="10"/>
      <c r="H2396" s="10"/>
      <c r="I2396" s="10"/>
      <c r="J2396" s="10"/>
      <c r="K2396" s="25"/>
      <c r="L2396" s="25"/>
      <c r="M2396" s="25" t="str">
        <f>IFERROR(VLOOKUP($C2396,$C$5:$M$24,11,0)+SUMIF($C$25:$C2396,$C2396,$K$25:$K2396)-SUMIF($C$25:$C2396,$C2396,$L$25:$L2396),"")</f>
        <v/>
      </c>
      <c r="N2396" s="10"/>
      <c r="O2396" s="10"/>
      <c r="P2396" s="65"/>
      <c r="Q2396" s="10"/>
      <c r="R2396" s="10"/>
      <c r="S2396" s="54" t="str">
        <f t="shared" si="117"/>
        <v/>
      </c>
      <c r="T2396" s="54" t="str">
        <f t="shared" si="118"/>
        <v/>
      </c>
      <c r="U2396" s="58" t="str">
        <f t="shared" si="119"/>
        <v/>
      </c>
      <c r="V2396" s="58">
        <f>IF(AND($B2396&lt;&gt;"",$F2396&lt;&gt;"",$F2396=项目明细账!$C$2),N(V2395)+1,N(V2395))</f>
        <v>0</v>
      </c>
      <c r="W2396" s="63" t="str">
        <f>IF($H2396&lt;&gt;"","项目成本",IFERROR(INDEX(基础资料!$W$4:$W$49,MATCH($I2396,基础资料!$V$4:$V$49,0)),""))</f>
        <v/>
      </c>
      <c r="X2396" s="63" t="str">
        <f>IFERROR(INDEX(基础资料!$R$4:$R$17,MATCH($G2396,基础资料!$Q$4:$Q$17,0)),"")</f>
        <v/>
      </c>
    </row>
    <row r="2397" spans="1:24">
      <c r="A2397" s="58" t="str">
        <f>IF($B2397="","",COUNTA($B$5:$B2397))</f>
        <v/>
      </c>
      <c r="B2397" s="53"/>
      <c r="C2397" s="46"/>
      <c r="D2397" s="63" t="str">
        <f>IFERROR(INDEX(基础资料!$F$4:$F$23,MATCH($C2397,基础资料!$E$4:$E$23,0)),IF($C2397="","","未匹配账户"))</f>
        <v/>
      </c>
      <c r="E2397" s="39"/>
      <c r="F2397" s="10"/>
      <c r="G2397" s="10"/>
      <c r="H2397" s="10"/>
      <c r="I2397" s="10"/>
      <c r="J2397" s="10"/>
      <c r="K2397" s="25"/>
      <c r="L2397" s="25"/>
      <c r="M2397" s="25" t="str">
        <f>IFERROR(VLOOKUP($C2397,$C$5:$M$24,11,0)+SUMIF($C$25:$C2397,$C2397,$K$25:$K2397)-SUMIF($C$25:$C2397,$C2397,$L$25:$L2397),"")</f>
        <v/>
      </c>
      <c r="N2397" s="10"/>
      <c r="O2397" s="10"/>
      <c r="P2397" s="65"/>
      <c r="Q2397" s="10"/>
      <c r="R2397" s="10"/>
      <c r="S2397" s="54" t="str">
        <f t="shared" si="117"/>
        <v/>
      </c>
      <c r="T2397" s="54" t="str">
        <f t="shared" si="118"/>
        <v/>
      </c>
      <c r="U2397" s="58" t="str">
        <f t="shared" si="119"/>
        <v/>
      </c>
      <c r="V2397" s="58">
        <f>IF(AND($B2397&lt;&gt;"",$F2397&lt;&gt;"",$F2397=项目明细账!$C$2),N(V2396)+1,N(V2396))</f>
        <v>0</v>
      </c>
      <c r="W2397" s="63" t="str">
        <f>IF($H2397&lt;&gt;"","项目成本",IFERROR(INDEX(基础资料!$W$4:$W$49,MATCH($I2397,基础资料!$V$4:$V$49,0)),""))</f>
        <v/>
      </c>
      <c r="X2397" s="63" t="str">
        <f>IFERROR(INDEX(基础资料!$R$4:$R$17,MATCH($G2397,基础资料!$Q$4:$Q$17,0)),"")</f>
        <v/>
      </c>
    </row>
    <row r="2398" spans="1:24">
      <c r="A2398" s="58" t="str">
        <f>IF($B2398="","",COUNTA($B$5:$B2398))</f>
        <v/>
      </c>
      <c r="B2398" s="53"/>
      <c r="C2398" s="46"/>
      <c r="D2398" s="63" t="str">
        <f>IFERROR(INDEX(基础资料!$F$4:$F$23,MATCH($C2398,基础资料!$E$4:$E$23,0)),IF($C2398="","","未匹配账户"))</f>
        <v/>
      </c>
      <c r="E2398" s="39"/>
      <c r="F2398" s="10"/>
      <c r="G2398" s="10"/>
      <c r="H2398" s="10"/>
      <c r="I2398" s="10"/>
      <c r="J2398" s="10"/>
      <c r="K2398" s="25"/>
      <c r="L2398" s="25"/>
      <c r="M2398" s="25" t="str">
        <f>IFERROR(VLOOKUP($C2398,$C$5:$M$24,11,0)+SUMIF($C$25:$C2398,$C2398,$K$25:$K2398)-SUMIF($C$25:$C2398,$C2398,$L$25:$L2398),"")</f>
        <v/>
      </c>
      <c r="N2398" s="10"/>
      <c r="O2398" s="10"/>
      <c r="P2398" s="65"/>
      <c r="Q2398" s="10"/>
      <c r="R2398" s="10"/>
      <c r="S2398" s="54" t="str">
        <f t="shared" si="117"/>
        <v/>
      </c>
      <c r="T2398" s="54" t="str">
        <f t="shared" si="118"/>
        <v/>
      </c>
      <c r="U2398" s="58" t="str">
        <f t="shared" si="119"/>
        <v/>
      </c>
      <c r="V2398" s="58">
        <f>IF(AND($B2398&lt;&gt;"",$F2398&lt;&gt;"",$F2398=项目明细账!$C$2),N(V2397)+1,N(V2397))</f>
        <v>0</v>
      </c>
      <c r="W2398" s="63" t="str">
        <f>IF($H2398&lt;&gt;"","项目成本",IFERROR(INDEX(基础资料!$W$4:$W$49,MATCH($I2398,基础资料!$V$4:$V$49,0)),""))</f>
        <v/>
      </c>
      <c r="X2398" s="63" t="str">
        <f>IFERROR(INDEX(基础资料!$R$4:$R$17,MATCH($G2398,基础资料!$Q$4:$Q$17,0)),"")</f>
        <v/>
      </c>
    </row>
    <row r="2399" spans="1:24">
      <c r="A2399" s="58" t="str">
        <f>IF($B2399="","",COUNTA($B$5:$B2399))</f>
        <v/>
      </c>
      <c r="B2399" s="53"/>
      <c r="C2399" s="46"/>
      <c r="D2399" s="63" t="str">
        <f>IFERROR(INDEX(基础资料!$F$4:$F$23,MATCH($C2399,基础资料!$E$4:$E$23,0)),IF($C2399="","","未匹配账户"))</f>
        <v/>
      </c>
      <c r="E2399" s="39"/>
      <c r="F2399" s="10"/>
      <c r="G2399" s="10"/>
      <c r="H2399" s="10"/>
      <c r="I2399" s="10"/>
      <c r="J2399" s="10"/>
      <c r="K2399" s="25"/>
      <c r="L2399" s="25"/>
      <c r="M2399" s="25" t="str">
        <f>IFERROR(VLOOKUP($C2399,$C$5:$M$24,11,0)+SUMIF($C$25:$C2399,$C2399,$K$25:$K2399)-SUMIF($C$25:$C2399,$C2399,$L$25:$L2399),"")</f>
        <v/>
      </c>
      <c r="N2399" s="10"/>
      <c r="O2399" s="10"/>
      <c r="P2399" s="65"/>
      <c r="Q2399" s="10"/>
      <c r="R2399" s="10"/>
      <c r="S2399" s="54" t="str">
        <f t="shared" si="117"/>
        <v/>
      </c>
      <c r="T2399" s="54" t="str">
        <f t="shared" si="118"/>
        <v/>
      </c>
      <c r="U2399" s="58" t="str">
        <f t="shared" si="119"/>
        <v/>
      </c>
      <c r="V2399" s="58">
        <f>IF(AND($B2399&lt;&gt;"",$F2399&lt;&gt;"",$F2399=项目明细账!$C$2),N(V2398)+1,N(V2398))</f>
        <v>0</v>
      </c>
      <c r="W2399" s="63" t="str">
        <f>IF($H2399&lt;&gt;"","项目成本",IFERROR(INDEX(基础资料!$W$4:$W$49,MATCH($I2399,基础资料!$V$4:$V$49,0)),""))</f>
        <v/>
      </c>
      <c r="X2399" s="63" t="str">
        <f>IFERROR(INDEX(基础资料!$R$4:$R$17,MATCH($G2399,基础资料!$Q$4:$Q$17,0)),"")</f>
        <v/>
      </c>
    </row>
    <row r="2400" spans="1:24">
      <c r="A2400" s="58" t="str">
        <f>IF($B2400="","",COUNTA($B$5:$B2400))</f>
        <v/>
      </c>
      <c r="B2400" s="53"/>
      <c r="C2400" s="46"/>
      <c r="D2400" s="63" t="str">
        <f>IFERROR(INDEX(基础资料!$F$4:$F$23,MATCH($C2400,基础资料!$E$4:$E$23,0)),IF($C2400="","","未匹配账户"))</f>
        <v/>
      </c>
      <c r="E2400" s="39"/>
      <c r="F2400" s="10"/>
      <c r="G2400" s="10"/>
      <c r="H2400" s="10"/>
      <c r="I2400" s="10"/>
      <c r="J2400" s="10"/>
      <c r="K2400" s="25"/>
      <c r="L2400" s="25"/>
      <c r="M2400" s="25" t="str">
        <f>IFERROR(VLOOKUP($C2400,$C$5:$M$24,11,0)+SUMIF($C$25:$C2400,$C2400,$K$25:$K2400)-SUMIF($C$25:$C2400,$C2400,$L$25:$L2400),"")</f>
        <v/>
      </c>
      <c r="N2400" s="10"/>
      <c r="O2400" s="10"/>
      <c r="P2400" s="65"/>
      <c r="Q2400" s="10"/>
      <c r="R2400" s="10"/>
      <c r="S2400" s="54" t="str">
        <f t="shared" si="117"/>
        <v/>
      </c>
      <c r="T2400" s="54" t="str">
        <f t="shared" si="118"/>
        <v/>
      </c>
      <c r="U2400" s="58" t="str">
        <f t="shared" si="119"/>
        <v/>
      </c>
      <c r="V2400" s="58">
        <f>IF(AND($B2400&lt;&gt;"",$F2400&lt;&gt;"",$F2400=项目明细账!$C$2),N(V2399)+1,N(V2399))</f>
        <v>0</v>
      </c>
      <c r="W2400" s="63" t="str">
        <f>IF($H2400&lt;&gt;"","项目成本",IFERROR(INDEX(基础资料!$W$4:$W$49,MATCH($I2400,基础资料!$V$4:$V$49,0)),""))</f>
        <v/>
      </c>
      <c r="X2400" s="63" t="str">
        <f>IFERROR(INDEX(基础资料!$R$4:$R$17,MATCH($G2400,基础资料!$Q$4:$Q$17,0)),"")</f>
        <v/>
      </c>
    </row>
    <row r="2401" spans="1:24">
      <c r="A2401" s="58" t="str">
        <f>IF($B2401="","",COUNTA($B$5:$B2401))</f>
        <v/>
      </c>
      <c r="B2401" s="53"/>
      <c r="C2401" s="46"/>
      <c r="D2401" s="63" t="str">
        <f>IFERROR(INDEX(基础资料!$F$4:$F$23,MATCH($C2401,基础资料!$E$4:$E$23,0)),IF($C2401="","","未匹配账户"))</f>
        <v/>
      </c>
      <c r="E2401" s="39"/>
      <c r="F2401" s="10"/>
      <c r="G2401" s="10"/>
      <c r="H2401" s="10"/>
      <c r="I2401" s="10"/>
      <c r="J2401" s="10"/>
      <c r="K2401" s="25"/>
      <c r="L2401" s="25"/>
      <c r="M2401" s="25" t="str">
        <f>IFERROR(VLOOKUP($C2401,$C$5:$M$24,11,0)+SUMIF($C$25:$C2401,$C2401,$K$25:$K2401)-SUMIF($C$25:$C2401,$C2401,$L$25:$L2401),"")</f>
        <v/>
      </c>
      <c r="N2401" s="10"/>
      <c r="O2401" s="10"/>
      <c r="P2401" s="65"/>
      <c r="Q2401" s="10"/>
      <c r="R2401" s="10"/>
      <c r="S2401" s="54" t="str">
        <f t="shared" si="117"/>
        <v/>
      </c>
      <c r="T2401" s="54" t="str">
        <f t="shared" si="118"/>
        <v/>
      </c>
      <c r="U2401" s="58" t="str">
        <f t="shared" si="119"/>
        <v/>
      </c>
      <c r="V2401" s="58">
        <f>IF(AND($B2401&lt;&gt;"",$F2401&lt;&gt;"",$F2401=项目明细账!$C$2),N(V2400)+1,N(V2400))</f>
        <v>0</v>
      </c>
      <c r="W2401" s="63" t="str">
        <f>IF($H2401&lt;&gt;"","项目成本",IFERROR(INDEX(基础资料!$W$4:$W$49,MATCH($I2401,基础资料!$V$4:$V$49,0)),""))</f>
        <v/>
      </c>
      <c r="X2401" s="63" t="str">
        <f>IFERROR(INDEX(基础资料!$R$4:$R$17,MATCH($G2401,基础资料!$Q$4:$Q$17,0)),"")</f>
        <v/>
      </c>
    </row>
    <row r="2402" spans="1:24">
      <c r="A2402" s="58" t="str">
        <f>IF($B2402="","",COUNTA($B$5:$B2402))</f>
        <v/>
      </c>
      <c r="B2402" s="53"/>
      <c r="C2402" s="46"/>
      <c r="D2402" s="63" t="str">
        <f>IFERROR(INDEX(基础资料!$F$4:$F$23,MATCH($C2402,基础资料!$E$4:$E$23,0)),IF($C2402="","","未匹配账户"))</f>
        <v/>
      </c>
      <c r="E2402" s="39"/>
      <c r="F2402" s="10"/>
      <c r="G2402" s="10"/>
      <c r="H2402" s="10"/>
      <c r="I2402" s="10"/>
      <c r="J2402" s="10"/>
      <c r="K2402" s="25"/>
      <c r="L2402" s="25"/>
      <c r="M2402" s="25" t="str">
        <f>IFERROR(VLOOKUP($C2402,$C$5:$M$24,11,0)+SUMIF($C$25:$C2402,$C2402,$K$25:$K2402)-SUMIF($C$25:$C2402,$C2402,$L$25:$L2402),"")</f>
        <v/>
      </c>
      <c r="N2402" s="10"/>
      <c r="O2402" s="10"/>
      <c r="P2402" s="65"/>
      <c r="Q2402" s="10"/>
      <c r="R2402" s="10"/>
      <c r="S2402" s="54" t="str">
        <f t="shared" si="117"/>
        <v/>
      </c>
      <c r="T2402" s="54" t="str">
        <f t="shared" si="118"/>
        <v/>
      </c>
      <c r="U2402" s="58" t="str">
        <f t="shared" si="119"/>
        <v/>
      </c>
      <c r="V2402" s="58">
        <f>IF(AND($B2402&lt;&gt;"",$F2402&lt;&gt;"",$F2402=项目明细账!$C$2),N(V2401)+1,N(V2401))</f>
        <v>0</v>
      </c>
      <c r="W2402" s="63" t="str">
        <f>IF($H2402&lt;&gt;"","项目成本",IFERROR(INDEX(基础资料!$W$4:$W$49,MATCH($I2402,基础资料!$V$4:$V$49,0)),""))</f>
        <v/>
      </c>
      <c r="X2402" s="63" t="str">
        <f>IFERROR(INDEX(基础资料!$R$4:$R$17,MATCH($G2402,基础资料!$Q$4:$Q$17,0)),"")</f>
        <v/>
      </c>
    </row>
    <row r="2403" spans="1:24">
      <c r="A2403" s="58" t="str">
        <f>IF($B2403="","",COUNTA($B$5:$B2403))</f>
        <v/>
      </c>
      <c r="B2403" s="53"/>
      <c r="C2403" s="46"/>
      <c r="D2403" s="63" t="str">
        <f>IFERROR(INDEX(基础资料!$F$4:$F$23,MATCH($C2403,基础资料!$E$4:$E$23,0)),IF($C2403="","","未匹配账户"))</f>
        <v/>
      </c>
      <c r="E2403" s="39"/>
      <c r="F2403" s="10"/>
      <c r="G2403" s="10"/>
      <c r="H2403" s="10"/>
      <c r="I2403" s="10"/>
      <c r="J2403" s="10"/>
      <c r="K2403" s="25"/>
      <c r="L2403" s="25"/>
      <c r="M2403" s="25" t="str">
        <f>IFERROR(VLOOKUP($C2403,$C$5:$M$24,11,0)+SUMIF($C$25:$C2403,$C2403,$K$25:$K2403)-SUMIF($C$25:$C2403,$C2403,$L$25:$L2403),"")</f>
        <v/>
      </c>
      <c r="N2403" s="10"/>
      <c r="O2403" s="10"/>
      <c r="P2403" s="65"/>
      <c r="Q2403" s="10"/>
      <c r="R2403" s="10"/>
      <c r="S2403" s="54" t="str">
        <f t="shared" si="117"/>
        <v/>
      </c>
      <c r="T2403" s="54" t="str">
        <f t="shared" si="118"/>
        <v/>
      </c>
      <c r="U2403" s="58" t="str">
        <f t="shared" si="119"/>
        <v/>
      </c>
      <c r="V2403" s="58">
        <f>IF(AND($B2403&lt;&gt;"",$F2403&lt;&gt;"",$F2403=项目明细账!$C$2),N(V2402)+1,N(V2402))</f>
        <v>0</v>
      </c>
      <c r="W2403" s="63" t="str">
        <f>IF($H2403&lt;&gt;"","项目成本",IFERROR(INDEX(基础资料!$W$4:$W$49,MATCH($I2403,基础资料!$V$4:$V$49,0)),""))</f>
        <v/>
      </c>
      <c r="X2403" s="63" t="str">
        <f>IFERROR(INDEX(基础资料!$R$4:$R$17,MATCH($G2403,基础资料!$Q$4:$Q$17,0)),"")</f>
        <v/>
      </c>
    </row>
    <row r="2404" spans="1:24">
      <c r="A2404" s="58" t="str">
        <f>IF($B2404="","",COUNTA($B$5:$B2404))</f>
        <v/>
      </c>
      <c r="B2404" s="53"/>
      <c r="C2404" s="46"/>
      <c r="D2404" s="63" t="str">
        <f>IFERROR(INDEX(基础资料!$F$4:$F$23,MATCH($C2404,基础资料!$E$4:$E$23,0)),IF($C2404="","","未匹配账户"))</f>
        <v/>
      </c>
      <c r="E2404" s="39"/>
      <c r="F2404" s="10"/>
      <c r="G2404" s="10"/>
      <c r="H2404" s="10"/>
      <c r="I2404" s="10"/>
      <c r="J2404" s="10"/>
      <c r="K2404" s="25"/>
      <c r="L2404" s="25"/>
      <c r="M2404" s="25" t="str">
        <f>IFERROR(VLOOKUP($C2404,$C$5:$M$24,11,0)+SUMIF($C$25:$C2404,$C2404,$K$25:$K2404)-SUMIF($C$25:$C2404,$C2404,$L$25:$L2404),"")</f>
        <v/>
      </c>
      <c r="N2404" s="10"/>
      <c r="O2404" s="10"/>
      <c r="P2404" s="65"/>
      <c r="Q2404" s="10"/>
      <c r="R2404" s="10"/>
      <c r="S2404" s="54" t="str">
        <f t="shared" si="117"/>
        <v/>
      </c>
      <c r="T2404" s="54" t="str">
        <f t="shared" si="118"/>
        <v/>
      </c>
      <c r="U2404" s="58" t="str">
        <f t="shared" si="119"/>
        <v/>
      </c>
      <c r="V2404" s="58">
        <f>IF(AND($B2404&lt;&gt;"",$F2404&lt;&gt;"",$F2404=项目明细账!$C$2),N(V2403)+1,N(V2403))</f>
        <v>0</v>
      </c>
      <c r="W2404" s="63" t="str">
        <f>IF($H2404&lt;&gt;"","项目成本",IFERROR(INDEX(基础资料!$W$4:$W$49,MATCH($I2404,基础资料!$V$4:$V$49,0)),""))</f>
        <v/>
      </c>
      <c r="X2404" s="63" t="str">
        <f>IFERROR(INDEX(基础资料!$R$4:$R$17,MATCH($G2404,基础资料!$Q$4:$Q$17,0)),"")</f>
        <v/>
      </c>
    </row>
    <row r="2405" spans="1:24">
      <c r="A2405" s="58" t="str">
        <f>IF($B2405="","",COUNTA($B$5:$B2405))</f>
        <v/>
      </c>
      <c r="B2405" s="53"/>
      <c r="C2405" s="46"/>
      <c r="D2405" s="63" t="str">
        <f>IFERROR(INDEX(基础资料!$F$4:$F$23,MATCH($C2405,基础资料!$E$4:$E$23,0)),IF($C2405="","","未匹配账户"))</f>
        <v/>
      </c>
      <c r="E2405" s="39"/>
      <c r="F2405" s="10"/>
      <c r="G2405" s="10"/>
      <c r="H2405" s="10"/>
      <c r="I2405" s="10"/>
      <c r="J2405" s="10"/>
      <c r="K2405" s="25"/>
      <c r="L2405" s="25"/>
      <c r="M2405" s="25" t="str">
        <f>IFERROR(VLOOKUP($C2405,$C$5:$M$24,11,0)+SUMIF($C$25:$C2405,$C2405,$K$25:$K2405)-SUMIF($C$25:$C2405,$C2405,$L$25:$L2405),"")</f>
        <v/>
      </c>
      <c r="N2405" s="10"/>
      <c r="O2405" s="10"/>
      <c r="P2405" s="65"/>
      <c r="Q2405" s="10"/>
      <c r="R2405" s="10"/>
      <c r="S2405" s="54" t="str">
        <f t="shared" si="117"/>
        <v/>
      </c>
      <c r="T2405" s="54" t="str">
        <f t="shared" si="118"/>
        <v/>
      </c>
      <c r="U2405" s="58" t="str">
        <f t="shared" si="119"/>
        <v/>
      </c>
      <c r="V2405" s="58">
        <f>IF(AND($B2405&lt;&gt;"",$F2405&lt;&gt;"",$F2405=项目明细账!$C$2),N(V2404)+1,N(V2404))</f>
        <v>0</v>
      </c>
      <c r="W2405" s="63" t="str">
        <f>IF($H2405&lt;&gt;"","项目成本",IFERROR(INDEX(基础资料!$W$4:$W$49,MATCH($I2405,基础资料!$V$4:$V$49,0)),""))</f>
        <v/>
      </c>
      <c r="X2405" s="63" t="str">
        <f>IFERROR(INDEX(基础资料!$R$4:$R$17,MATCH($G2405,基础资料!$Q$4:$Q$17,0)),"")</f>
        <v/>
      </c>
    </row>
    <row r="2406" spans="1:24">
      <c r="A2406" s="58" t="str">
        <f>IF($B2406="","",COUNTA($B$5:$B2406))</f>
        <v/>
      </c>
      <c r="B2406" s="53"/>
      <c r="C2406" s="46"/>
      <c r="D2406" s="63" t="str">
        <f>IFERROR(INDEX(基础资料!$F$4:$F$23,MATCH($C2406,基础资料!$E$4:$E$23,0)),IF($C2406="","","未匹配账户"))</f>
        <v/>
      </c>
      <c r="E2406" s="39"/>
      <c r="F2406" s="10"/>
      <c r="G2406" s="10"/>
      <c r="H2406" s="10"/>
      <c r="I2406" s="10"/>
      <c r="J2406" s="10"/>
      <c r="K2406" s="25"/>
      <c r="L2406" s="25"/>
      <c r="M2406" s="25" t="str">
        <f>IFERROR(VLOOKUP($C2406,$C$5:$M$24,11,0)+SUMIF($C$25:$C2406,$C2406,$K$25:$K2406)-SUMIF($C$25:$C2406,$C2406,$L$25:$L2406),"")</f>
        <v/>
      </c>
      <c r="N2406" s="10"/>
      <c r="O2406" s="10"/>
      <c r="P2406" s="65"/>
      <c r="Q2406" s="10"/>
      <c r="R2406" s="10"/>
      <c r="S2406" s="54" t="str">
        <f t="shared" si="117"/>
        <v/>
      </c>
      <c r="T2406" s="54" t="str">
        <f t="shared" si="118"/>
        <v/>
      </c>
      <c r="U2406" s="58" t="str">
        <f t="shared" si="119"/>
        <v/>
      </c>
      <c r="V2406" s="58">
        <f>IF(AND($B2406&lt;&gt;"",$F2406&lt;&gt;"",$F2406=项目明细账!$C$2),N(V2405)+1,N(V2405))</f>
        <v>0</v>
      </c>
      <c r="W2406" s="63" t="str">
        <f>IF($H2406&lt;&gt;"","项目成本",IFERROR(INDEX(基础资料!$W$4:$W$49,MATCH($I2406,基础资料!$V$4:$V$49,0)),""))</f>
        <v/>
      </c>
      <c r="X2406" s="63" t="str">
        <f>IFERROR(INDEX(基础资料!$R$4:$R$17,MATCH($G2406,基础资料!$Q$4:$Q$17,0)),"")</f>
        <v/>
      </c>
    </row>
    <row r="2407" spans="1:24">
      <c r="A2407" s="58" t="str">
        <f>IF($B2407="","",COUNTA($B$5:$B2407))</f>
        <v/>
      </c>
      <c r="B2407" s="53"/>
      <c r="C2407" s="46"/>
      <c r="D2407" s="63" t="str">
        <f>IFERROR(INDEX(基础资料!$F$4:$F$23,MATCH($C2407,基础资料!$E$4:$E$23,0)),IF($C2407="","","未匹配账户"))</f>
        <v/>
      </c>
      <c r="E2407" s="39"/>
      <c r="F2407" s="10"/>
      <c r="G2407" s="10"/>
      <c r="H2407" s="10"/>
      <c r="I2407" s="10"/>
      <c r="J2407" s="10"/>
      <c r="K2407" s="25"/>
      <c r="L2407" s="25"/>
      <c r="M2407" s="25" t="str">
        <f>IFERROR(VLOOKUP($C2407,$C$5:$M$24,11,0)+SUMIF($C$25:$C2407,$C2407,$K$25:$K2407)-SUMIF($C$25:$C2407,$C2407,$L$25:$L2407),"")</f>
        <v/>
      </c>
      <c r="N2407" s="10"/>
      <c r="O2407" s="10"/>
      <c r="P2407" s="65"/>
      <c r="Q2407" s="10"/>
      <c r="R2407" s="10"/>
      <c r="S2407" s="54" t="str">
        <f t="shared" si="117"/>
        <v/>
      </c>
      <c r="T2407" s="54" t="str">
        <f t="shared" si="118"/>
        <v/>
      </c>
      <c r="U2407" s="58" t="str">
        <f t="shared" si="119"/>
        <v/>
      </c>
      <c r="V2407" s="58">
        <f>IF(AND($B2407&lt;&gt;"",$F2407&lt;&gt;"",$F2407=项目明细账!$C$2),N(V2406)+1,N(V2406))</f>
        <v>0</v>
      </c>
      <c r="W2407" s="63" t="str">
        <f>IF($H2407&lt;&gt;"","项目成本",IFERROR(INDEX(基础资料!$W$4:$W$49,MATCH($I2407,基础资料!$V$4:$V$49,0)),""))</f>
        <v/>
      </c>
      <c r="X2407" s="63" t="str">
        <f>IFERROR(INDEX(基础资料!$R$4:$R$17,MATCH($G2407,基础资料!$Q$4:$Q$17,0)),"")</f>
        <v/>
      </c>
    </row>
    <row r="2408" spans="1:24">
      <c r="A2408" s="58" t="str">
        <f>IF($B2408="","",COUNTA($B$5:$B2408))</f>
        <v/>
      </c>
      <c r="B2408" s="53"/>
      <c r="C2408" s="46"/>
      <c r="D2408" s="63" t="str">
        <f>IFERROR(INDEX(基础资料!$F$4:$F$23,MATCH($C2408,基础资料!$E$4:$E$23,0)),IF($C2408="","","未匹配账户"))</f>
        <v/>
      </c>
      <c r="E2408" s="39"/>
      <c r="F2408" s="10"/>
      <c r="G2408" s="10"/>
      <c r="H2408" s="10"/>
      <c r="I2408" s="10"/>
      <c r="J2408" s="10"/>
      <c r="K2408" s="25"/>
      <c r="L2408" s="25"/>
      <c r="M2408" s="25" t="str">
        <f>IFERROR(VLOOKUP($C2408,$C$5:$M$24,11,0)+SUMIF($C$25:$C2408,$C2408,$K$25:$K2408)-SUMIF($C$25:$C2408,$C2408,$L$25:$L2408),"")</f>
        <v/>
      </c>
      <c r="N2408" s="10"/>
      <c r="O2408" s="10"/>
      <c r="P2408" s="65"/>
      <c r="Q2408" s="10"/>
      <c r="R2408" s="10"/>
      <c r="S2408" s="54" t="str">
        <f t="shared" si="117"/>
        <v/>
      </c>
      <c r="T2408" s="54" t="str">
        <f t="shared" si="118"/>
        <v/>
      </c>
      <c r="U2408" s="58" t="str">
        <f t="shared" si="119"/>
        <v/>
      </c>
      <c r="V2408" s="58">
        <f>IF(AND($B2408&lt;&gt;"",$F2408&lt;&gt;"",$F2408=项目明细账!$C$2),N(V2407)+1,N(V2407))</f>
        <v>0</v>
      </c>
      <c r="W2408" s="63" t="str">
        <f>IF($H2408&lt;&gt;"","项目成本",IFERROR(INDEX(基础资料!$W$4:$W$49,MATCH($I2408,基础资料!$V$4:$V$49,0)),""))</f>
        <v/>
      </c>
      <c r="X2408" s="63" t="str">
        <f>IFERROR(INDEX(基础资料!$R$4:$R$17,MATCH($G2408,基础资料!$Q$4:$Q$17,0)),"")</f>
        <v/>
      </c>
    </row>
    <row r="2409" spans="1:24">
      <c r="A2409" s="58" t="str">
        <f>IF($B2409="","",COUNTA($B$5:$B2409))</f>
        <v/>
      </c>
      <c r="B2409" s="53"/>
      <c r="C2409" s="46"/>
      <c r="D2409" s="63" t="str">
        <f>IFERROR(INDEX(基础资料!$F$4:$F$23,MATCH($C2409,基础资料!$E$4:$E$23,0)),IF($C2409="","","未匹配账户"))</f>
        <v/>
      </c>
      <c r="E2409" s="39"/>
      <c r="F2409" s="10"/>
      <c r="G2409" s="10"/>
      <c r="H2409" s="10"/>
      <c r="I2409" s="10"/>
      <c r="J2409" s="10"/>
      <c r="K2409" s="25"/>
      <c r="L2409" s="25"/>
      <c r="M2409" s="25" t="str">
        <f>IFERROR(VLOOKUP($C2409,$C$5:$M$24,11,0)+SUMIF($C$25:$C2409,$C2409,$K$25:$K2409)-SUMIF($C$25:$C2409,$C2409,$L$25:$L2409),"")</f>
        <v/>
      </c>
      <c r="N2409" s="10"/>
      <c r="O2409" s="10"/>
      <c r="P2409" s="65"/>
      <c r="Q2409" s="10"/>
      <c r="R2409" s="10"/>
      <c r="S2409" s="54" t="str">
        <f t="shared" si="117"/>
        <v/>
      </c>
      <c r="T2409" s="54" t="str">
        <f t="shared" si="118"/>
        <v/>
      </c>
      <c r="U2409" s="58" t="str">
        <f t="shared" si="119"/>
        <v/>
      </c>
      <c r="V2409" s="58">
        <f>IF(AND($B2409&lt;&gt;"",$F2409&lt;&gt;"",$F2409=项目明细账!$C$2),N(V2408)+1,N(V2408))</f>
        <v>0</v>
      </c>
      <c r="W2409" s="63" t="str">
        <f>IF($H2409&lt;&gt;"","项目成本",IFERROR(INDEX(基础资料!$W$4:$W$49,MATCH($I2409,基础资料!$V$4:$V$49,0)),""))</f>
        <v/>
      </c>
      <c r="X2409" s="63" t="str">
        <f>IFERROR(INDEX(基础资料!$R$4:$R$17,MATCH($G2409,基础资料!$Q$4:$Q$17,0)),"")</f>
        <v/>
      </c>
    </row>
    <row r="2410" spans="1:24">
      <c r="A2410" s="58" t="str">
        <f>IF($B2410="","",COUNTA($B$5:$B2410))</f>
        <v/>
      </c>
      <c r="B2410" s="53"/>
      <c r="C2410" s="46"/>
      <c r="D2410" s="63" t="str">
        <f>IFERROR(INDEX(基础资料!$F$4:$F$23,MATCH($C2410,基础资料!$E$4:$E$23,0)),IF($C2410="","","未匹配账户"))</f>
        <v/>
      </c>
      <c r="E2410" s="39"/>
      <c r="F2410" s="10"/>
      <c r="G2410" s="10"/>
      <c r="H2410" s="10"/>
      <c r="I2410" s="10"/>
      <c r="J2410" s="10"/>
      <c r="K2410" s="25"/>
      <c r="L2410" s="25"/>
      <c r="M2410" s="25" t="str">
        <f>IFERROR(VLOOKUP($C2410,$C$5:$M$24,11,0)+SUMIF($C$25:$C2410,$C2410,$K$25:$K2410)-SUMIF($C$25:$C2410,$C2410,$L$25:$L2410),"")</f>
        <v/>
      </c>
      <c r="N2410" s="10"/>
      <c r="O2410" s="10"/>
      <c r="P2410" s="65"/>
      <c r="Q2410" s="10"/>
      <c r="R2410" s="10"/>
      <c r="S2410" s="54" t="str">
        <f t="shared" si="117"/>
        <v/>
      </c>
      <c r="T2410" s="54" t="str">
        <f t="shared" si="118"/>
        <v/>
      </c>
      <c r="U2410" s="58" t="str">
        <f t="shared" si="119"/>
        <v/>
      </c>
      <c r="V2410" s="58">
        <f>IF(AND($B2410&lt;&gt;"",$F2410&lt;&gt;"",$F2410=项目明细账!$C$2),N(V2409)+1,N(V2409))</f>
        <v>0</v>
      </c>
      <c r="W2410" s="63" t="str">
        <f>IF($H2410&lt;&gt;"","项目成本",IFERROR(INDEX(基础资料!$W$4:$W$49,MATCH($I2410,基础资料!$V$4:$V$49,0)),""))</f>
        <v/>
      </c>
      <c r="X2410" s="63" t="str">
        <f>IFERROR(INDEX(基础资料!$R$4:$R$17,MATCH($G2410,基础资料!$Q$4:$Q$17,0)),"")</f>
        <v/>
      </c>
    </row>
    <row r="2411" spans="1:24">
      <c r="A2411" s="58" t="str">
        <f>IF($B2411="","",COUNTA($B$5:$B2411))</f>
        <v/>
      </c>
      <c r="B2411" s="53"/>
      <c r="C2411" s="46"/>
      <c r="D2411" s="63" t="str">
        <f>IFERROR(INDEX(基础资料!$F$4:$F$23,MATCH($C2411,基础资料!$E$4:$E$23,0)),IF($C2411="","","未匹配账户"))</f>
        <v/>
      </c>
      <c r="E2411" s="39"/>
      <c r="F2411" s="10"/>
      <c r="G2411" s="10"/>
      <c r="H2411" s="10"/>
      <c r="I2411" s="10"/>
      <c r="J2411" s="10"/>
      <c r="K2411" s="25"/>
      <c r="L2411" s="25"/>
      <c r="M2411" s="25" t="str">
        <f>IFERROR(VLOOKUP($C2411,$C$5:$M$24,11,0)+SUMIF($C$25:$C2411,$C2411,$K$25:$K2411)-SUMIF($C$25:$C2411,$C2411,$L$25:$L2411),"")</f>
        <v/>
      </c>
      <c r="N2411" s="10"/>
      <c r="O2411" s="10"/>
      <c r="P2411" s="65"/>
      <c r="Q2411" s="10"/>
      <c r="R2411" s="10"/>
      <c r="S2411" s="54" t="str">
        <f t="shared" si="117"/>
        <v/>
      </c>
      <c r="T2411" s="54" t="str">
        <f t="shared" si="118"/>
        <v/>
      </c>
      <c r="U2411" s="58" t="str">
        <f t="shared" si="119"/>
        <v/>
      </c>
      <c r="V2411" s="58">
        <f>IF(AND($B2411&lt;&gt;"",$F2411&lt;&gt;"",$F2411=项目明细账!$C$2),N(V2410)+1,N(V2410))</f>
        <v>0</v>
      </c>
      <c r="W2411" s="63" t="str">
        <f>IF($H2411&lt;&gt;"","项目成本",IFERROR(INDEX(基础资料!$W$4:$W$49,MATCH($I2411,基础资料!$V$4:$V$49,0)),""))</f>
        <v/>
      </c>
      <c r="X2411" s="63" t="str">
        <f>IFERROR(INDEX(基础资料!$R$4:$R$17,MATCH($G2411,基础资料!$Q$4:$Q$17,0)),"")</f>
        <v/>
      </c>
    </row>
    <row r="2412" spans="1:24">
      <c r="A2412" s="58" t="str">
        <f>IF($B2412="","",COUNTA($B$5:$B2412))</f>
        <v/>
      </c>
      <c r="B2412" s="53"/>
      <c r="C2412" s="46"/>
      <c r="D2412" s="63" t="str">
        <f>IFERROR(INDEX(基础资料!$F$4:$F$23,MATCH($C2412,基础资料!$E$4:$E$23,0)),IF($C2412="","","未匹配账户"))</f>
        <v/>
      </c>
      <c r="E2412" s="39"/>
      <c r="F2412" s="10"/>
      <c r="G2412" s="10"/>
      <c r="H2412" s="10"/>
      <c r="I2412" s="10"/>
      <c r="J2412" s="10"/>
      <c r="K2412" s="25"/>
      <c r="L2412" s="25"/>
      <c r="M2412" s="25" t="str">
        <f>IFERROR(VLOOKUP($C2412,$C$5:$M$24,11,0)+SUMIF($C$25:$C2412,$C2412,$K$25:$K2412)-SUMIF($C$25:$C2412,$C2412,$L$25:$L2412),"")</f>
        <v/>
      </c>
      <c r="N2412" s="10"/>
      <c r="O2412" s="10"/>
      <c r="P2412" s="65"/>
      <c r="Q2412" s="10"/>
      <c r="R2412" s="10"/>
      <c r="S2412" s="54" t="str">
        <f t="shared" si="117"/>
        <v/>
      </c>
      <c r="T2412" s="54" t="str">
        <f t="shared" si="118"/>
        <v/>
      </c>
      <c r="U2412" s="58" t="str">
        <f t="shared" si="119"/>
        <v/>
      </c>
      <c r="V2412" s="58">
        <f>IF(AND($B2412&lt;&gt;"",$F2412&lt;&gt;"",$F2412=项目明细账!$C$2),N(V2411)+1,N(V2411))</f>
        <v>0</v>
      </c>
      <c r="W2412" s="63" t="str">
        <f>IF($H2412&lt;&gt;"","项目成本",IFERROR(INDEX(基础资料!$W$4:$W$49,MATCH($I2412,基础资料!$V$4:$V$49,0)),""))</f>
        <v/>
      </c>
      <c r="X2412" s="63" t="str">
        <f>IFERROR(INDEX(基础资料!$R$4:$R$17,MATCH($G2412,基础资料!$Q$4:$Q$17,0)),"")</f>
        <v/>
      </c>
    </row>
    <row r="2413" spans="1:24">
      <c r="A2413" s="58" t="str">
        <f>IF($B2413="","",COUNTA($B$5:$B2413))</f>
        <v/>
      </c>
      <c r="B2413" s="53"/>
      <c r="C2413" s="46"/>
      <c r="D2413" s="63" t="str">
        <f>IFERROR(INDEX(基础资料!$F$4:$F$23,MATCH($C2413,基础资料!$E$4:$E$23,0)),IF($C2413="","","未匹配账户"))</f>
        <v/>
      </c>
      <c r="E2413" s="39"/>
      <c r="F2413" s="10"/>
      <c r="G2413" s="10"/>
      <c r="H2413" s="10"/>
      <c r="I2413" s="10"/>
      <c r="J2413" s="10"/>
      <c r="K2413" s="25"/>
      <c r="L2413" s="25"/>
      <c r="M2413" s="25" t="str">
        <f>IFERROR(VLOOKUP($C2413,$C$5:$M$24,11,0)+SUMIF($C$25:$C2413,$C2413,$K$25:$K2413)-SUMIF($C$25:$C2413,$C2413,$L$25:$L2413),"")</f>
        <v/>
      </c>
      <c r="N2413" s="10"/>
      <c r="O2413" s="10"/>
      <c r="P2413" s="65"/>
      <c r="Q2413" s="10"/>
      <c r="R2413" s="10"/>
      <c r="S2413" s="54" t="str">
        <f t="shared" si="117"/>
        <v/>
      </c>
      <c r="T2413" s="54" t="str">
        <f t="shared" si="118"/>
        <v/>
      </c>
      <c r="U2413" s="58" t="str">
        <f t="shared" si="119"/>
        <v/>
      </c>
      <c r="V2413" s="58">
        <f>IF(AND($B2413&lt;&gt;"",$F2413&lt;&gt;"",$F2413=项目明细账!$C$2),N(V2412)+1,N(V2412))</f>
        <v>0</v>
      </c>
      <c r="W2413" s="63" t="str">
        <f>IF($H2413&lt;&gt;"","项目成本",IFERROR(INDEX(基础资料!$W$4:$W$49,MATCH($I2413,基础资料!$V$4:$V$49,0)),""))</f>
        <v/>
      </c>
      <c r="X2413" s="63" t="str">
        <f>IFERROR(INDEX(基础资料!$R$4:$R$17,MATCH($G2413,基础资料!$Q$4:$Q$17,0)),"")</f>
        <v/>
      </c>
    </row>
    <row r="2414" spans="1:24">
      <c r="A2414" s="58" t="str">
        <f>IF($B2414="","",COUNTA($B$5:$B2414))</f>
        <v/>
      </c>
      <c r="B2414" s="53"/>
      <c r="C2414" s="46"/>
      <c r="D2414" s="63" t="str">
        <f>IFERROR(INDEX(基础资料!$F$4:$F$23,MATCH($C2414,基础资料!$E$4:$E$23,0)),IF($C2414="","","未匹配账户"))</f>
        <v/>
      </c>
      <c r="E2414" s="39"/>
      <c r="F2414" s="10"/>
      <c r="G2414" s="10"/>
      <c r="H2414" s="10"/>
      <c r="I2414" s="10"/>
      <c r="J2414" s="10"/>
      <c r="K2414" s="25"/>
      <c r="L2414" s="25"/>
      <c r="M2414" s="25" t="str">
        <f>IFERROR(VLOOKUP($C2414,$C$5:$M$24,11,0)+SUMIF($C$25:$C2414,$C2414,$K$25:$K2414)-SUMIF($C$25:$C2414,$C2414,$L$25:$L2414),"")</f>
        <v/>
      </c>
      <c r="N2414" s="10"/>
      <c r="O2414" s="10"/>
      <c r="P2414" s="65"/>
      <c r="Q2414" s="10"/>
      <c r="R2414" s="10"/>
      <c r="S2414" s="54" t="str">
        <f t="shared" si="117"/>
        <v/>
      </c>
      <c r="T2414" s="54" t="str">
        <f t="shared" si="118"/>
        <v/>
      </c>
      <c r="U2414" s="58" t="str">
        <f t="shared" si="119"/>
        <v/>
      </c>
      <c r="V2414" s="58">
        <f>IF(AND($B2414&lt;&gt;"",$F2414&lt;&gt;"",$F2414=项目明细账!$C$2),N(V2413)+1,N(V2413))</f>
        <v>0</v>
      </c>
      <c r="W2414" s="63" t="str">
        <f>IF($H2414&lt;&gt;"","项目成本",IFERROR(INDEX(基础资料!$W$4:$W$49,MATCH($I2414,基础资料!$V$4:$V$49,0)),""))</f>
        <v/>
      </c>
      <c r="X2414" s="63" t="str">
        <f>IFERROR(INDEX(基础资料!$R$4:$R$17,MATCH($G2414,基础资料!$Q$4:$Q$17,0)),"")</f>
        <v/>
      </c>
    </row>
    <row r="2415" spans="1:24">
      <c r="A2415" s="58" t="str">
        <f>IF($B2415="","",COUNTA($B$5:$B2415))</f>
        <v/>
      </c>
      <c r="B2415" s="53"/>
      <c r="C2415" s="46"/>
      <c r="D2415" s="63" t="str">
        <f>IFERROR(INDEX(基础资料!$F$4:$F$23,MATCH($C2415,基础资料!$E$4:$E$23,0)),IF($C2415="","","未匹配账户"))</f>
        <v/>
      </c>
      <c r="E2415" s="39"/>
      <c r="F2415" s="10"/>
      <c r="G2415" s="10"/>
      <c r="H2415" s="10"/>
      <c r="I2415" s="10"/>
      <c r="J2415" s="10"/>
      <c r="K2415" s="25"/>
      <c r="L2415" s="25"/>
      <c r="M2415" s="25" t="str">
        <f>IFERROR(VLOOKUP($C2415,$C$5:$M$24,11,0)+SUMIF($C$25:$C2415,$C2415,$K$25:$K2415)-SUMIF($C$25:$C2415,$C2415,$L$25:$L2415),"")</f>
        <v/>
      </c>
      <c r="N2415" s="10"/>
      <c r="O2415" s="10"/>
      <c r="P2415" s="65"/>
      <c r="Q2415" s="10"/>
      <c r="R2415" s="10"/>
      <c r="S2415" s="54" t="str">
        <f t="shared" si="117"/>
        <v/>
      </c>
      <c r="T2415" s="54" t="str">
        <f t="shared" si="118"/>
        <v/>
      </c>
      <c r="U2415" s="58" t="str">
        <f t="shared" si="119"/>
        <v/>
      </c>
      <c r="V2415" s="58">
        <f>IF(AND($B2415&lt;&gt;"",$F2415&lt;&gt;"",$F2415=项目明细账!$C$2),N(V2414)+1,N(V2414))</f>
        <v>0</v>
      </c>
      <c r="W2415" s="63" t="str">
        <f>IF($H2415&lt;&gt;"","项目成本",IFERROR(INDEX(基础资料!$W$4:$W$49,MATCH($I2415,基础资料!$V$4:$V$49,0)),""))</f>
        <v/>
      </c>
      <c r="X2415" s="63" t="str">
        <f>IFERROR(INDEX(基础资料!$R$4:$R$17,MATCH($G2415,基础资料!$Q$4:$Q$17,0)),"")</f>
        <v/>
      </c>
    </row>
    <row r="2416" spans="1:24">
      <c r="A2416" s="58" t="str">
        <f>IF($B2416="","",COUNTA($B$5:$B2416))</f>
        <v/>
      </c>
      <c r="B2416" s="53"/>
      <c r="C2416" s="46"/>
      <c r="D2416" s="63" t="str">
        <f>IFERROR(INDEX(基础资料!$F$4:$F$23,MATCH($C2416,基础资料!$E$4:$E$23,0)),IF($C2416="","","未匹配账户"))</f>
        <v/>
      </c>
      <c r="E2416" s="39"/>
      <c r="F2416" s="10"/>
      <c r="G2416" s="10"/>
      <c r="H2416" s="10"/>
      <c r="I2416" s="10"/>
      <c r="J2416" s="10"/>
      <c r="K2416" s="25"/>
      <c r="L2416" s="25"/>
      <c r="M2416" s="25" t="str">
        <f>IFERROR(VLOOKUP($C2416,$C$5:$M$24,11,0)+SUMIF($C$25:$C2416,$C2416,$K$25:$K2416)-SUMIF($C$25:$C2416,$C2416,$L$25:$L2416),"")</f>
        <v/>
      </c>
      <c r="N2416" s="10"/>
      <c r="O2416" s="10"/>
      <c r="P2416" s="65"/>
      <c r="Q2416" s="10"/>
      <c r="R2416" s="10"/>
      <c r="S2416" s="54" t="str">
        <f t="shared" si="117"/>
        <v/>
      </c>
      <c r="T2416" s="54" t="str">
        <f t="shared" si="118"/>
        <v/>
      </c>
      <c r="U2416" s="58" t="str">
        <f t="shared" si="119"/>
        <v/>
      </c>
      <c r="V2416" s="58">
        <f>IF(AND($B2416&lt;&gt;"",$F2416&lt;&gt;"",$F2416=项目明细账!$C$2),N(V2415)+1,N(V2415))</f>
        <v>0</v>
      </c>
      <c r="W2416" s="63" t="str">
        <f>IF($H2416&lt;&gt;"","项目成本",IFERROR(INDEX(基础资料!$W$4:$W$49,MATCH($I2416,基础资料!$V$4:$V$49,0)),""))</f>
        <v/>
      </c>
      <c r="X2416" s="63" t="str">
        <f>IFERROR(INDEX(基础资料!$R$4:$R$17,MATCH($G2416,基础资料!$Q$4:$Q$17,0)),"")</f>
        <v/>
      </c>
    </row>
    <row r="2417" spans="1:24">
      <c r="A2417" s="58" t="str">
        <f>IF($B2417="","",COUNTA($B$5:$B2417))</f>
        <v/>
      </c>
      <c r="B2417" s="53"/>
      <c r="C2417" s="46"/>
      <c r="D2417" s="63" t="str">
        <f>IFERROR(INDEX(基础资料!$F$4:$F$23,MATCH($C2417,基础资料!$E$4:$E$23,0)),IF($C2417="","","未匹配账户"))</f>
        <v/>
      </c>
      <c r="E2417" s="39"/>
      <c r="F2417" s="10"/>
      <c r="G2417" s="10"/>
      <c r="H2417" s="10"/>
      <c r="I2417" s="10"/>
      <c r="J2417" s="10"/>
      <c r="K2417" s="25"/>
      <c r="L2417" s="25"/>
      <c r="M2417" s="25" t="str">
        <f>IFERROR(VLOOKUP($C2417,$C$5:$M$24,11,0)+SUMIF($C$25:$C2417,$C2417,$K$25:$K2417)-SUMIF($C$25:$C2417,$C2417,$L$25:$L2417),"")</f>
        <v/>
      </c>
      <c r="N2417" s="10"/>
      <c r="O2417" s="10"/>
      <c r="P2417" s="65"/>
      <c r="Q2417" s="10"/>
      <c r="R2417" s="10"/>
      <c r="S2417" s="54" t="str">
        <f t="shared" si="117"/>
        <v/>
      </c>
      <c r="T2417" s="54" t="str">
        <f t="shared" si="118"/>
        <v/>
      </c>
      <c r="U2417" s="58" t="str">
        <f t="shared" si="119"/>
        <v/>
      </c>
      <c r="V2417" s="58">
        <f>IF(AND($B2417&lt;&gt;"",$F2417&lt;&gt;"",$F2417=项目明细账!$C$2),N(V2416)+1,N(V2416))</f>
        <v>0</v>
      </c>
      <c r="W2417" s="63" t="str">
        <f>IF($H2417&lt;&gt;"","项目成本",IFERROR(INDEX(基础资料!$W$4:$W$49,MATCH($I2417,基础资料!$V$4:$V$49,0)),""))</f>
        <v/>
      </c>
      <c r="X2417" s="63" t="str">
        <f>IFERROR(INDEX(基础资料!$R$4:$R$17,MATCH($G2417,基础资料!$Q$4:$Q$17,0)),"")</f>
        <v/>
      </c>
    </row>
    <row r="2418" spans="1:24">
      <c r="A2418" s="58" t="str">
        <f>IF($B2418="","",COUNTA($B$5:$B2418))</f>
        <v/>
      </c>
      <c r="B2418" s="53"/>
      <c r="C2418" s="46"/>
      <c r="D2418" s="63" t="str">
        <f>IFERROR(INDEX(基础资料!$F$4:$F$23,MATCH($C2418,基础资料!$E$4:$E$23,0)),IF($C2418="","","未匹配账户"))</f>
        <v/>
      </c>
      <c r="E2418" s="39"/>
      <c r="F2418" s="10"/>
      <c r="G2418" s="10"/>
      <c r="H2418" s="10"/>
      <c r="I2418" s="10"/>
      <c r="J2418" s="10"/>
      <c r="K2418" s="25"/>
      <c r="L2418" s="25"/>
      <c r="M2418" s="25" t="str">
        <f>IFERROR(VLOOKUP($C2418,$C$5:$M$24,11,0)+SUMIF($C$25:$C2418,$C2418,$K$25:$K2418)-SUMIF($C$25:$C2418,$C2418,$L$25:$L2418),"")</f>
        <v/>
      </c>
      <c r="N2418" s="10"/>
      <c r="O2418" s="10"/>
      <c r="P2418" s="65"/>
      <c r="Q2418" s="10"/>
      <c r="R2418" s="10"/>
      <c r="S2418" s="54" t="str">
        <f t="shared" si="117"/>
        <v/>
      </c>
      <c r="T2418" s="54" t="str">
        <f t="shared" si="118"/>
        <v/>
      </c>
      <c r="U2418" s="58" t="str">
        <f t="shared" si="119"/>
        <v/>
      </c>
      <c r="V2418" s="58">
        <f>IF(AND($B2418&lt;&gt;"",$F2418&lt;&gt;"",$F2418=项目明细账!$C$2),N(V2417)+1,N(V2417))</f>
        <v>0</v>
      </c>
      <c r="W2418" s="63" t="str">
        <f>IF($H2418&lt;&gt;"","项目成本",IFERROR(INDEX(基础资料!$W$4:$W$49,MATCH($I2418,基础资料!$V$4:$V$49,0)),""))</f>
        <v/>
      </c>
      <c r="X2418" s="63" t="str">
        <f>IFERROR(INDEX(基础资料!$R$4:$R$17,MATCH($G2418,基础资料!$Q$4:$Q$17,0)),"")</f>
        <v/>
      </c>
    </row>
    <row r="2419" spans="1:24">
      <c r="A2419" s="58" t="str">
        <f>IF($B2419="","",COUNTA($B$5:$B2419))</f>
        <v/>
      </c>
      <c r="B2419" s="53"/>
      <c r="C2419" s="46"/>
      <c r="D2419" s="63" t="str">
        <f>IFERROR(INDEX(基础资料!$F$4:$F$23,MATCH($C2419,基础资料!$E$4:$E$23,0)),IF($C2419="","","未匹配账户"))</f>
        <v/>
      </c>
      <c r="E2419" s="39"/>
      <c r="F2419" s="10"/>
      <c r="G2419" s="10"/>
      <c r="H2419" s="10"/>
      <c r="I2419" s="10"/>
      <c r="J2419" s="10"/>
      <c r="K2419" s="25"/>
      <c r="L2419" s="25"/>
      <c r="M2419" s="25" t="str">
        <f>IFERROR(VLOOKUP($C2419,$C$5:$M$24,11,0)+SUMIF($C$25:$C2419,$C2419,$K$25:$K2419)-SUMIF($C$25:$C2419,$C2419,$L$25:$L2419),"")</f>
        <v/>
      </c>
      <c r="N2419" s="10"/>
      <c r="O2419" s="10"/>
      <c r="P2419" s="65"/>
      <c r="Q2419" s="10"/>
      <c r="R2419" s="10"/>
      <c r="S2419" s="54" t="str">
        <f t="shared" si="117"/>
        <v/>
      </c>
      <c r="T2419" s="54" t="str">
        <f t="shared" si="118"/>
        <v/>
      </c>
      <c r="U2419" s="58" t="str">
        <f t="shared" si="119"/>
        <v/>
      </c>
      <c r="V2419" s="58">
        <f>IF(AND($B2419&lt;&gt;"",$F2419&lt;&gt;"",$F2419=项目明细账!$C$2),N(V2418)+1,N(V2418))</f>
        <v>0</v>
      </c>
      <c r="W2419" s="63" t="str">
        <f>IF($H2419&lt;&gt;"","项目成本",IFERROR(INDEX(基础资料!$W$4:$W$49,MATCH($I2419,基础资料!$V$4:$V$49,0)),""))</f>
        <v/>
      </c>
      <c r="X2419" s="63" t="str">
        <f>IFERROR(INDEX(基础资料!$R$4:$R$17,MATCH($G2419,基础资料!$Q$4:$Q$17,0)),"")</f>
        <v/>
      </c>
    </row>
    <row r="2420" spans="1:24">
      <c r="A2420" s="58" t="str">
        <f>IF($B2420="","",COUNTA($B$5:$B2420))</f>
        <v/>
      </c>
      <c r="B2420" s="53"/>
      <c r="C2420" s="46"/>
      <c r="D2420" s="63" t="str">
        <f>IFERROR(INDEX(基础资料!$F$4:$F$23,MATCH($C2420,基础资料!$E$4:$E$23,0)),IF($C2420="","","未匹配账户"))</f>
        <v/>
      </c>
      <c r="E2420" s="39"/>
      <c r="F2420" s="10"/>
      <c r="G2420" s="10"/>
      <c r="H2420" s="10"/>
      <c r="I2420" s="10"/>
      <c r="J2420" s="10"/>
      <c r="K2420" s="25"/>
      <c r="L2420" s="25"/>
      <c r="M2420" s="25" t="str">
        <f>IFERROR(VLOOKUP($C2420,$C$5:$M$24,11,0)+SUMIF($C$25:$C2420,$C2420,$K$25:$K2420)-SUMIF($C$25:$C2420,$C2420,$L$25:$L2420),"")</f>
        <v/>
      </c>
      <c r="N2420" s="10"/>
      <c r="O2420" s="10"/>
      <c r="P2420" s="65"/>
      <c r="Q2420" s="10"/>
      <c r="R2420" s="10"/>
      <c r="S2420" s="54" t="str">
        <f t="shared" si="117"/>
        <v/>
      </c>
      <c r="T2420" s="54" t="str">
        <f t="shared" si="118"/>
        <v/>
      </c>
      <c r="U2420" s="58" t="str">
        <f t="shared" si="119"/>
        <v/>
      </c>
      <c r="V2420" s="58">
        <f>IF(AND($B2420&lt;&gt;"",$F2420&lt;&gt;"",$F2420=项目明细账!$C$2),N(V2419)+1,N(V2419))</f>
        <v>0</v>
      </c>
      <c r="W2420" s="63" t="str">
        <f>IF($H2420&lt;&gt;"","项目成本",IFERROR(INDEX(基础资料!$W$4:$W$49,MATCH($I2420,基础资料!$V$4:$V$49,0)),""))</f>
        <v/>
      </c>
      <c r="X2420" s="63" t="str">
        <f>IFERROR(INDEX(基础资料!$R$4:$R$17,MATCH($G2420,基础资料!$Q$4:$Q$17,0)),"")</f>
        <v/>
      </c>
    </row>
    <row r="2421" spans="1:24">
      <c r="A2421" s="58" t="str">
        <f>IF($B2421="","",COUNTA($B$5:$B2421))</f>
        <v/>
      </c>
      <c r="B2421" s="53"/>
      <c r="C2421" s="46"/>
      <c r="D2421" s="63" t="str">
        <f>IFERROR(INDEX(基础资料!$F$4:$F$23,MATCH($C2421,基础资料!$E$4:$E$23,0)),IF($C2421="","","未匹配账户"))</f>
        <v/>
      </c>
      <c r="E2421" s="39"/>
      <c r="F2421" s="10"/>
      <c r="G2421" s="10"/>
      <c r="H2421" s="10"/>
      <c r="I2421" s="10"/>
      <c r="J2421" s="10"/>
      <c r="K2421" s="25"/>
      <c r="L2421" s="25"/>
      <c r="M2421" s="25" t="str">
        <f>IFERROR(VLOOKUP($C2421,$C$5:$M$24,11,0)+SUMIF($C$25:$C2421,$C2421,$K$25:$K2421)-SUMIF($C$25:$C2421,$C2421,$L$25:$L2421),"")</f>
        <v/>
      </c>
      <c r="N2421" s="10"/>
      <c r="O2421" s="10"/>
      <c r="P2421" s="65"/>
      <c r="Q2421" s="10"/>
      <c r="R2421" s="10"/>
      <c r="S2421" s="54" t="str">
        <f t="shared" si="117"/>
        <v/>
      </c>
      <c r="T2421" s="54" t="str">
        <f t="shared" si="118"/>
        <v/>
      </c>
      <c r="U2421" s="58" t="str">
        <f t="shared" si="119"/>
        <v/>
      </c>
      <c r="V2421" s="58">
        <f>IF(AND($B2421&lt;&gt;"",$F2421&lt;&gt;"",$F2421=项目明细账!$C$2),N(V2420)+1,N(V2420))</f>
        <v>0</v>
      </c>
      <c r="W2421" s="63" t="str">
        <f>IF($H2421&lt;&gt;"","项目成本",IFERROR(INDEX(基础资料!$W$4:$W$49,MATCH($I2421,基础资料!$V$4:$V$49,0)),""))</f>
        <v/>
      </c>
      <c r="X2421" s="63" t="str">
        <f>IFERROR(INDEX(基础资料!$R$4:$R$17,MATCH($G2421,基础资料!$Q$4:$Q$17,0)),"")</f>
        <v/>
      </c>
    </row>
    <row r="2422" spans="1:24">
      <c r="A2422" s="58" t="str">
        <f>IF($B2422="","",COUNTA($B$5:$B2422))</f>
        <v/>
      </c>
      <c r="B2422" s="53"/>
      <c r="C2422" s="46"/>
      <c r="D2422" s="63" t="str">
        <f>IFERROR(INDEX(基础资料!$F$4:$F$23,MATCH($C2422,基础资料!$E$4:$E$23,0)),IF($C2422="","","未匹配账户"))</f>
        <v/>
      </c>
      <c r="E2422" s="39"/>
      <c r="F2422" s="10"/>
      <c r="G2422" s="10"/>
      <c r="H2422" s="10"/>
      <c r="I2422" s="10"/>
      <c r="J2422" s="10"/>
      <c r="K2422" s="25"/>
      <c r="L2422" s="25"/>
      <c r="M2422" s="25" t="str">
        <f>IFERROR(VLOOKUP($C2422,$C$5:$M$24,11,0)+SUMIF($C$25:$C2422,$C2422,$K$25:$K2422)-SUMIF($C$25:$C2422,$C2422,$L$25:$L2422),"")</f>
        <v/>
      </c>
      <c r="N2422" s="10"/>
      <c r="O2422" s="10"/>
      <c r="P2422" s="65"/>
      <c r="Q2422" s="10"/>
      <c r="R2422" s="10"/>
      <c r="S2422" s="54" t="str">
        <f t="shared" si="117"/>
        <v/>
      </c>
      <c r="T2422" s="54" t="str">
        <f t="shared" si="118"/>
        <v/>
      </c>
      <c r="U2422" s="58" t="str">
        <f t="shared" si="119"/>
        <v/>
      </c>
      <c r="V2422" s="58">
        <f>IF(AND($B2422&lt;&gt;"",$F2422&lt;&gt;"",$F2422=项目明细账!$C$2),N(V2421)+1,N(V2421))</f>
        <v>0</v>
      </c>
      <c r="W2422" s="63" t="str">
        <f>IF($H2422&lt;&gt;"","项目成本",IFERROR(INDEX(基础资料!$W$4:$W$49,MATCH($I2422,基础资料!$V$4:$V$49,0)),""))</f>
        <v/>
      </c>
      <c r="X2422" s="63" t="str">
        <f>IFERROR(INDEX(基础资料!$R$4:$R$17,MATCH($G2422,基础资料!$Q$4:$Q$17,0)),"")</f>
        <v/>
      </c>
    </row>
    <row r="2423" spans="1:24">
      <c r="A2423" s="58" t="str">
        <f>IF($B2423="","",COUNTA($B$5:$B2423))</f>
        <v/>
      </c>
      <c r="B2423" s="53"/>
      <c r="C2423" s="46"/>
      <c r="D2423" s="63" t="str">
        <f>IFERROR(INDEX(基础资料!$F$4:$F$23,MATCH($C2423,基础资料!$E$4:$E$23,0)),IF($C2423="","","未匹配账户"))</f>
        <v/>
      </c>
      <c r="E2423" s="39"/>
      <c r="F2423" s="10"/>
      <c r="G2423" s="10"/>
      <c r="H2423" s="10"/>
      <c r="I2423" s="10"/>
      <c r="J2423" s="10"/>
      <c r="K2423" s="25"/>
      <c r="L2423" s="25"/>
      <c r="M2423" s="25" t="str">
        <f>IFERROR(VLOOKUP($C2423,$C$5:$M$24,11,0)+SUMIF($C$25:$C2423,$C2423,$K$25:$K2423)-SUMIF($C$25:$C2423,$C2423,$L$25:$L2423),"")</f>
        <v/>
      </c>
      <c r="N2423" s="10"/>
      <c r="O2423" s="10"/>
      <c r="P2423" s="65"/>
      <c r="Q2423" s="10"/>
      <c r="R2423" s="10"/>
      <c r="S2423" s="54" t="str">
        <f t="shared" si="117"/>
        <v/>
      </c>
      <c r="T2423" s="54" t="str">
        <f t="shared" si="118"/>
        <v/>
      </c>
      <c r="U2423" s="58" t="str">
        <f t="shared" si="119"/>
        <v/>
      </c>
      <c r="V2423" s="58">
        <f>IF(AND($B2423&lt;&gt;"",$F2423&lt;&gt;"",$F2423=项目明细账!$C$2),N(V2422)+1,N(V2422))</f>
        <v>0</v>
      </c>
      <c r="W2423" s="63" t="str">
        <f>IF($H2423&lt;&gt;"","项目成本",IFERROR(INDEX(基础资料!$W$4:$W$49,MATCH($I2423,基础资料!$V$4:$V$49,0)),""))</f>
        <v/>
      </c>
      <c r="X2423" s="63" t="str">
        <f>IFERROR(INDEX(基础资料!$R$4:$R$17,MATCH($G2423,基础资料!$Q$4:$Q$17,0)),"")</f>
        <v/>
      </c>
    </row>
    <row r="2424" spans="1:24">
      <c r="A2424" s="58" t="str">
        <f>IF($B2424="","",COUNTA($B$5:$B2424))</f>
        <v/>
      </c>
      <c r="B2424" s="53"/>
      <c r="C2424" s="46"/>
      <c r="D2424" s="63" t="str">
        <f>IFERROR(INDEX(基础资料!$F$4:$F$23,MATCH($C2424,基础资料!$E$4:$E$23,0)),IF($C2424="","","未匹配账户"))</f>
        <v/>
      </c>
      <c r="E2424" s="39"/>
      <c r="F2424" s="10"/>
      <c r="G2424" s="10"/>
      <c r="H2424" s="10"/>
      <c r="I2424" s="10"/>
      <c r="J2424" s="10"/>
      <c r="K2424" s="25"/>
      <c r="L2424" s="25"/>
      <c r="M2424" s="25" t="str">
        <f>IFERROR(VLOOKUP($C2424,$C$5:$M$24,11,0)+SUMIF($C$25:$C2424,$C2424,$K$25:$K2424)-SUMIF($C$25:$C2424,$C2424,$L$25:$L2424),"")</f>
        <v/>
      </c>
      <c r="N2424" s="10"/>
      <c r="O2424" s="10"/>
      <c r="P2424" s="65"/>
      <c r="Q2424" s="10"/>
      <c r="R2424" s="10"/>
      <c r="S2424" s="54" t="str">
        <f t="shared" si="117"/>
        <v/>
      </c>
      <c r="T2424" s="54" t="str">
        <f t="shared" si="118"/>
        <v/>
      </c>
      <c r="U2424" s="58" t="str">
        <f t="shared" si="119"/>
        <v/>
      </c>
      <c r="V2424" s="58">
        <f>IF(AND($B2424&lt;&gt;"",$F2424&lt;&gt;"",$F2424=项目明细账!$C$2),N(V2423)+1,N(V2423))</f>
        <v>0</v>
      </c>
      <c r="W2424" s="63" t="str">
        <f>IF($H2424&lt;&gt;"","项目成本",IFERROR(INDEX(基础资料!$W$4:$W$49,MATCH($I2424,基础资料!$V$4:$V$49,0)),""))</f>
        <v/>
      </c>
      <c r="X2424" s="63" t="str">
        <f>IFERROR(INDEX(基础资料!$R$4:$R$17,MATCH($G2424,基础资料!$Q$4:$Q$17,0)),"")</f>
        <v/>
      </c>
    </row>
    <row r="2425" spans="1:24">
      <c r="A2425" s="58" t="str">
        <f>IF($B2425="","",COUNTA($B$5:$B2425))</f>
        <v/>
      </c>
      <c r="B2425" s="53"/>
      <c r="C2425" s="46"/>
      <c r="D2425" s="63" t="str">
        <f>IFERROR(INDEX(基础资料!$F$4:$F$23,MATCH($C2425,基础资料!$E$4:$E$23,0)),IF($C2425="","","未匹配账户"))</f>
        <v/>
      </c>
      <c r="E2425" s="39"/>
      <c r="F2425" s="10"/>
      <c r="G2425" s="10"/>
      <c r="H2425" s="10"/>
      <c r="I2425" s="10"/>
      <c r="J2425" s="10"/>
      <c r="K2425" s="25"/>
      <c r="L2425" s="25"/>
      <c r="M2425" s="25" t="str">
        <f>IFERROR(VLOOKUP($C2425,$C$5:$M$24,11,0)+SUMIF($C$25:$C2425,$C2425,$K$25:$K2425)-SUMIF($C$25:$C2425,$C2425,$L$25:$L2425),"")</f>
        <v/>
      </c>
      <c r="N2425" s="10"/>
      <c r="O2425" s="10"/>
      <c r="P2425" s="65"/>
      <c r="Q2425" s="10"/>
      <c r="R2425" s="10"/>
      <c r="S2425" s="54" t="str">
        <f t="shared" si="117"/>
        <v/>
      </c>
      <c r="T2425" s="54" t="str">
        <f t="shared" si="118"/>
        <v/>
      </c>
      <c r="U2425" s="58" t="str">
        <f t="shared" si="119"/>
        <v/>
      </c>
      <c r="V2425" s="58">
        <f>IF(AND($B2425&lt;&gt;"",$F2425&lt;&gt;"",$F2425=项目明细账!$C$2),N(V2424)+1,N(V2424))</f>
        <v>0</v>
      </c>
      <c r="W2425" s="63" t="str">
        <f>IF($H2425&lt;&gt;"","项目成本",IFERROR(INDEX(基础资料!$W$4:$W$49,MATCH($I2425,基础资料!$V$4:$V$49,0)),""))</f>
        <v/>
      </c>
      <c r="X2425" s="63" t="str">
        <f>IFERROR(INDEX(基础资料!$R$4:$R$17,MATCH($G2425,基础资料!$Q$4:$Q$17,0)),"")</f>
        <v/>
      </c>
    </row>
    <row r="2426" spans="1:24">
      <c r="A2426" s="58" t="str">
        <f>IF($B2426="","",COUNTA($B$5:$B2426))</f>
        <v/>
      </c>
      <c r="B2426" s="53"/>
      <c r="C2426" s="46"/>
      <c r="D2426" s="63" t="str">
        <f>IFERROR(INDEX(基础资料!$F$4:$F$23,MATCH($C2426,基础资料!$E$4:$E$23,0)),IF($C2426="","","未匹配账户"))</f>
        <v/>
      </c>
      <c r="E2426" s="39"/>
      <c r="F2426" s="10"/>
      <c r="G2426" s="10"/>
      <c r="H2426" s="10"/>
      <c r="I2426" s="10"/>
      <c r="J2426" s="10"/>
      <c r="K2426" s="25"/>
      <c r="L2426" s="25"/>
      <c r="M2426" s="25" t="str">
        <f>IFERROR(VLOOKUP($C2426,$C$5:$M$24,11,0)+SUMIF($C$25:$C2426,$C2426,$K$25:$K2426)-SUMIF($C$25:$C2426,$C2426,$L$25:$L2426),"")</f>
        <v/>
      </c>
      <c r="N2426" s="10"/>
      <c r="O2426" s="10"/>
      <c r="P2426" s="65"/>
      <c r="Q2426" s="10"/>
      <c r="R2426" s="10"/>
      <c r="S2426" s="54" t="str">
        <f t="shared" si="117"/>
        <v/>
      </c>
      <c r="T2426" s="54" t="str">
        <f t="shared" si="118"/>
        <v/>
      </c>
      <c r="U2426" s="58" t="str">
        <f t="shared" si="119"/>
        <v/>
      </c>
      <c r="V2426" s="58">
        <f>IF(AND($B2426&lt;&gt;"",$F2426&lt;&gt;"",$F2426=项目明细账!$C$2),N(V2425)+1,N(V2425))</f>
        <v>0</v>
      </c>
      <c r="W2426" s="63" t="str">
        <f>IF($H2426&lt;&gt;"","项目成本",IFERROR(INDEX(基础资料!$W$4:$W$49,MATCH($I2426,基础资料!$V$4:$V$49,0)),""))</f>
        <v/>
      </c>
      <c r="X2426" s="63" t="str">
        <f>IFERROR(INDEX(基础资料!$R$4:$R$17,MATCH($G2426,基础资料!$Q$4:$Q$17,0)),"")</f>
        <v/>
      </c>
    </row>
    <row r="2427" spans="1:24">
      <c r="A2427" s="58" t="str">
        <f>IF($B2427="","",COUNTA($B$5:$B2427))</f>
        <v/>
      </c>
      <c r="B2427" s="53"/>
      <c r="C2427" s="46"/>
      <c r="D2427" s="63" t="str">
        <f>IFERROR(INDEX(基础资料!$F$4:$F$23,MATCH($C2427,基础资料!$E$4:$E$23,0)),IF($C2427="","","未匹配账户"))</f>
        <v/>
      </c>
      <c r="E2427" s="39"/>
      <c r="F2427" s="10"/>
      <c r="G2427" s="10"/>
      <c r="H2427" s="10"/>
      <c r="I2427" s="10"/>
      <c r="J2427" s="10"/>
      <c r="K2427" s="25"/>
      <c r="L2427" s="25"/>
      <c r="M2427" s="25" t="str">
        <f>IFERROR(VLOOKUP($C2427,$C$5:$M$24,11,0)+SUMIF($C$25:$C2427,$C2427,$K$25:$K2427)-SUMIF($C$25:$C2427,$C2427,$L$25:$L2427),"")</f>
        <v/>
      </c>
      <c r="N2427" s="10"/>
      <c r="O2427" s="10"/>
      <c r="P2427" s="65"/>
      <c r="Q2427" s="10"/>
      <c r="R2427" s="10"/>
      <c r="S2427" s="54" t="str">
        <f t="shared" si="117"/>
        <v/>
      </c>
      <c r="T2427" s="54" t="str">
        <f t="shared" si="118"/>
        <v/>
      </c>
      <c r="U2427" s="58" t="str">
        <f t="shared" si="119"/>
        <v/>
      </c>
      <c r="V2427" s="58">
        <f>IF(AND($B2427&lt;&gt;"",$F2427&lt;&gt;"",$F2427=项目明细账!$C$2),N(V2426)+1,N(V2426))</f>
        <v>0</v>
      </c>
      <c r="W2427" s="63" t="str">
        <f>IF($H2427&lt;&gt;"","项目成本",IFERROR(INDEX(基础资料!$W$4:$W$49,MATCH($I2427,基础资料!$V$4:$V$49,0)),""))</f>
        <v/>
      </c>
      <c r="X2427" s="63" t="str">
        <f>IFERROR(INDEX(基础资料!$R$4:$R$17,MATCH($G2427,基础资料!$Q$4:$Q$17,0)),"")</f>
        <v/>
      </c>
    </row>
    <row r="2428" spans="1:24">
      <c r="A2428" s="58" t="str">
        <f>IF($B2428="","",COUNTA($B$5:$B2428))</f>
        <v/>
      </c>
      <c r="B2428" s="53"/>
      <c r="C2428" s="46"/>
      <c r="D2428" s="63" t="str">
        <f>IFERROR(INDEX(基础资料!$F$4:$F$23,MATCH($C2428,基础资料!$E$4:$E$23,0)),IF($C2428="","","未匹配账户"))</f>
        <v/>
      </c>
      <c r="E2428" s="39"/>
      <c r="F2428" s="10"/>
      <c r="G2428" s="10"/>
      <c r="H2428" s="10"/>
      <c r="I2428" s="10"/>
      <c r="J2428" s="10"/>
      <c r="K2428" s="25"/>
      <c r="L2428" s="25"/>
      <c r="M2428" s="25" t="str">
        <f>IFERROR(VLOOKUP($C2428,$C$5:$M$24,11,0)+SUMIF($C$25:$C2428,$C2428,$K$25:$K2428)-SUMIF($C$25:$C2428,$C2428,$L$25:$L2428),"")</f>
        <v/>
      </c>
      <c r="N2428" s="10"/>
      <c r="O2428" s="10"/>
      <c r="P2428" s="65"/>
      <c r="Q2428" s="10"/>
      <c r="R2428" s="10"/>
      <c r="S2428" s="54" t="str">
        <f t="shared" si="117"/>
        <v/>
      </c>
      <c r="T2428" s="54" t="str">
        <f t="shared" si="118"/>
        <v/>
      </c>
      <c r="U2428" s="58" t="str">
        <f t="shared" si="119"/>
        <v/>
      </c>
      <c r="V2428" s="58">
        <f>IF(AND($B2428&lt;&gt;"",$F2428&lt;&gt;"",$F2428=项目明细账!$C$2),N(V2427)+1,N(V2427))</f>
        <v>0</v>
      </c>
      <c r="W2428" s="63" t="str">
        <f>IF($H2428&lt;&gt;"","项目成本",IFERROR(INDEX(基础资料!$W$4:$W$49,MATCH($I2428,基础资料!$V$4:$V$49,0)),""))</f>
        <v/>
      </c>
      <c r="X2428" s="63" t="str">
        <f>IFERROR(INDEX(基础资料!$R$4:$R$17,MATCH($G2428,基础资料!$Q$4:$Q$17,0)),"")</f>
        <v/>
      </c>
    </row>
    <row r="2429" spans="1:24">
      <c r="A2429" s="58" t="str">
        <f>IF($B2429="","",COUNTA($B$5:$B2429))</f>
        <v/>
      </c>
      <c r="B2429" s="53"/>
      <c r="C2429" s="46"/>
      <c r="D2429" s="63" t="str">
        <f>IFERROR(INDEX(基础资料!$F$4:$F$23,MATCH($C2429,基础资料!$E$4:$E$23,0)),IF($C2429="","","未匹配账户"))</f>
        <v/>
      </c>
      <c r="E2429" s="39"/>
      <c r="F2429" s="10"/>
      <c r="G2429" s="10"/>
      <c r="H2429" s="10"/>
      <c r="I2429" s="10"/>
      <c r="J2429" s="10"/>
      <c r="K2429" s="25"/>
      <c r="L2429" s="25"/>
      <c r="M2429" s="25" t="str">
        <f>IFERROR(VLOOKUP($C2429,$C$5:$M$24,11,0)+SUMIF($C$25:$C2429,$C2429,$K$25:$K2429)-SUMIF($C$25:$C2429,$C2429,$L$25:$L2429),"")</f>
        <v/>
      </c>
      <c r="N2429" s="10"/>
      <c r="O2429" s="10"/>
      <c r="P2429" s="65"/>
      <c r="Q2429" s="10"/>
      <c r="R2429" s="10"/>
      <c r="S2429" s="54" t="str">
        <f t="shared" si="117"/>
        <v/>
      </c>
      <c r="T2429" s="54" t="str">
        <f t="shared" si="118"/>
        <v/>
      </c>
      <c r="U2429" s="58" t="str">
        <f t="shared" si="119"/>
        <v/>
      </c>
      <c r="V2429" s="58">
        <f>IF(AND($B2429&lt;&gt;"",$F2429&lt;&gt;"",$F2429=项目明细账!$C$2),N(V2428)+1,N(V2428))</f>
        <v>0</v>
      </c>
      <c r="W2429" s="63" t="str">
        <f>IF($H2429&lt;&gt;"","项目成本",IFERROR(INDEX(基础资料!$W$4:$W$49,MATCH($I2429,基础资料!$V$4:$V$49,0)),""))</f>
        <v/>
      </c>
      <c r="X2429" s="63" t="str">
        <f>IFERROR(INDEX(基础资料!$R$4:$R$17,MATCH($G2429,基础资料!$Q$4:$Q$17,0)),"")</f>
        <v/>
      </c>
    </row>
    <row r="2430" spans="1:24">
      <c r="A2430" s="58" t="str">
        <f>IF($B2430="","",COUNTA($B$5:$B2430))</f>
        <v/>
      </c>
      <c r="B2430" s="53"/>
      <c r="C2430" s="46"/>
      <c r="D2430" s="63" t="str">
        <f>IFERROR(INDEX(基础资料!$F$4:$F$23,MATCH($C2430,基础资料!$E$4:$E$23,0)),IF($C2430="","","未匹配账户"))</f>
        <v/>
      </c>
      <c r="E2430" s="39"/>
      <c r="F2430" s="10"/>
      <c r="G2430" s="10"/>
      <c r="H2430" s="10"/>
      <c r="I2430" s="10"/>
      <c r="J2430" s="10"/>
      <c r="K2430" s="25"/>
      <c r="L2430" s="25"/>
      <c r="M2430" s="25" t="str">
        <f>IFERROR(VLOOKUP($C2430,$C$5:$M$24,11,0)+SUMIF($C$25:$C2430,$C2430,$K$25:$K2430)-SUMIF($C$25:$C2430,$C2430,$L$25:$L2430),"")</f>
        <v/>
      </c>
      <c r="N2430" s="10"/>
      <c r="O2430" s="10"/>
      <c r="P2430" s="65"/>
      <c r="Q2430" s="10"/>
      <c r="R2430" s="10"/>
      <c r="S2430" s="54" t="str">
        <f t="shared" si="117"/>
        <v/>
      </c>
      <c r="T2430" s="54" t="str">
        <f t="shared" si="118"/>
        <v/>
      </c>
      <c r="U2430" s="58" t="str">
        <f t="shared" si="119"/>
        <v/>
      </c>
      <c r="V2430" s="58">
        <f>IF(AND($B2430&lt;&gt;"",$F2430&lt;&gt;"",$F2430=项目明细账!$C$2),N(V2429)+1,N(V2429))</f>
        <v>0</v>
      </c>
      <c r="W2430" s="63" t="str">
        <f>IF($H2430&lt;&gt;"","项目成本",IFERROR(INDEX(基础资料!$W$4:$W$49,MATCH($I2430,基础资料!$V$4:$V$49,0)),""))</f>
        <v/>
      </c>
      <c r="X2430" s="63" t="str">
        <f>IFERROR(INDEX(基础资料!$R$4:$R$17,MATCH($G2430,基础资料!$Q$4:$Q$17,0)),"")</f>
        <v/>
      </c>
    </row>
    <row r="2431" spans="1:24">
      <c r="A2431" s="58" t="str">
        <f>IF($B2431="","",COUNTA($B$5:$B2431))</f>
        <v/>
      </c>
      <c r="B2431" s="53"/>
      <c r="C2431" s="46"/>
      <c r="D2431" s="63" t="str">
        <f>IFERROR(INDEX(基础资料!$F$4:$F$23,MATCH($C2431,基础资料!$E$4:$E$23,0)),IF($C2431="","","未匹配账户"))</f>
        <v/>
      </c>
      <c r="E2431" s="39"/>
      <c r="F2431" s="10"/>
      <c r="G2431" s="10"/>
      <c r="H2431" s="10"/>
      <c r="I2431" s="10"/>
      <c r="J2431" s="10"/>
      <c r="K2431" s="25"/>
      <c r="L2431" s="25"/>
      <c r="M2431" s="25" t="str">
        <f>IFERROR(VLOOKUP($C2431,$C$5:$M$24,11,0)+SUMIF($C$25:$C2431,$C2431,$K$25:$K2431)-SUMIF($C$25:$C2431,$C2431,$L$25:$L2431),"")</f>
        <v/>
      </c>
      <c r="N2431" s="10"/>
      <c r="O2431" s="10"/>
      <c r="P2431" s="65"/>
      <c r="Q2431" s="10"/>
      <c r="R2431" s="10"/>
      <c r="S2431" s="54" t="str">
        <f t="shared" si="117"/>
        <v/>
      </c>
      <c r="T2431" s="54" t="str">
        <f t="shared" si="118"/>
        <v/>
      </c>
      <c r="U2431" s="58" t="str">
        <f t="shared" si="119"/>
        <v/>
      </c>
      <c r="V2431" s="58">
        <f>IF(AND($B2431&lt;&gt;"",$F2431&lt;&gt;"",$F2431=项目明细账!$C$2),N(V2430)+1,N(V2430))</f>
        <v>0</v>
      </c>
      <c r="W2431" s="63" t="str">
        <f>IF($H2431&lt;&gt;"","项目成本",IFERROR(INDEX(基础资料!$W$4:$W$49,MATCH($I2431,基础资料!$V$4:$V$49,0)),""))</f>
        <v/>
      </c>
      <c r="X2431" s="63" t="str">
        <f>IFERROR(INDEX(基础资料!$R$4:$R$17,MATCH($G2431,基础资料!$Q$4:$Q$17,0)),"")</f>
        <v/>
      </c>
    </row>
    <row r="2432" spans="1:24">
      <c r="A2432" s="58" t="str">
        <f>IF($B2432="","",COUNTA($B$5:$B2432))</f>
        <v/>
      </c>
      <c r="B2432" s="53"/>
      <c r="C2432" s="46"/>
      <c r="D2432" s="63" t="str">
        <f>IFERROR(INDEX(基础资料!$F$4:$F$23,MATCH($C2432,基础资料!$E$4:$E$23,0)),IF($C2432="","","未匹配账户"))</f>
        <v/>
      </c>
      <c r="E2432" s="39"/>
      <c r="F2432" s="10"/>
      <c r="G2432" s="10"/>
      <c r="H2432" s="10"/>
      <c r="I2432" s="10"/>
      <c r="J2432" s="10"/>
      <c r="K2432" s="25"/>
      <c r="L2432" s="25"/>
      <c r="M2432" s="25" t="str">
        <f>IFERROR(VLOOKUP($C2432,$C$5:$M$24,11,0)+SUMIF($C$25:$C2432,$C2432,$K$25:$K2432)-SUMIF($C$25:$C2432,$C2432,$L$25:$L2432),"")</f>
        <v/>
      </c>
      <c r="N2432" s="10"/>
      <c r="O2432" s="10"/>
      <c r="P2432" s="65"/>
      <c r="Q2432" s="10"/>
      <c r="R2432" s="10"/>
      <c r="S2432" s="54" t="str">
        <f t="shared" si="117"/>
        <v/>
      </c>
      <c r="T2432" s="54" t="str">
        <f t="shared" si="118"/>
        <v/>
      </c>
      <c r="U2432" s="58" t="str">
        <f t="shared" si="119"/>
        <v/>
      </c>
      <c r="V2432" s="58">
        <f>IF(AND($B2432&lt;&gt;"",$F2432&lt;&gt;"",$F2432=项目明细账!$C$2),N(V2431)+1,N(V2431))</f>
        <v>0</v>
      </c>
      <c r="W2432" s="63" t="str">
        <f>IF($H2432&lt;&gt;"","项目成本",IFERROR(INDEX(基础资料!$W$4:$W$49,MATCH($I2432,基础资料!$V$4:$V$49,0)),""))</f>
        <v/>
      </c>
      <c r="X2432" s="63" t="str">
        <f>IFERROR(INDEX(基础资料!$R$4:$R$17,MATCH($G2432,基础资料!$Q$4:$Q$17,0)),"")</f>
        <v/>
      </c>
    </row>
    <row r="2433" spans="1:24">
      <c r="A2433" s="58" t="str">
        <f>IF($B2433="","",COUNTA($B$5:$B2433))</f>
        <v/>
      </c>
      <c r="B2433" s="53"/>
      <c r="C2433" s="46"/>
      <c r="D2433" s="63" t="str">
        <f>IFERROR(INDEX(基础资料!$F$4:$F$23,MATCH($C2433,基础资料!$E$4:$E$23,0)),IF($C2433="","","未匹配账户"))</f>
        <v/>
      </c>
      <c r="E2433" s="39"/>
      <c r="F2433" s="10"/>
      <c r="G2433" s="10"/>
      <c r="H2433" s="10"/>
      <c r="I2433" s="10"/>
      <c r="J2433" s="10"/>
      <c r="K2433" s="25"/>
      <c r="L2433" s="25"/>
      <c r="M2433" s="25" t="str">
        <f>IFERROR(VLOOKUP($C2433,$C$5:$M$24,11,0)+SUMIF($C$25:$C2433,$C2433,$K$25:$K2433)-SUMIF($C$25:$C2433,$C2433,$L$25:$L2433),"")</f>
        <v/>
      </c>
      <c r="N2433" s="10"/>
      <c r="O2433" s="10"/>
      <c r="P2433" s="65"/>
      <c r="Q2433" s="10"/>
      <c r="R2433" s="10"/>
      <c r="S2433" s="54" t="str">
        <f t="shared" si="117"/>
        <v/>
      </c>
      <c r="T2433" s="54" t="str">
        <f t="shared" si="118"/>
        <v/>
      </c>
      <c r="U2433" s="58" t="str">
        <f t="shared" si="119"/>
        <v/>
      </c>
      <c r="V2433" s="58">
        <f>IF(AND($B2433&lt;&gt;"",$F2433&lt;&gt;"",$F2433=项目明细账!$C$2),N(V2432)+1,N(V2432))</f>
        <v>0</v>
      </c>
      <c r="W2433" s="63" t="str">
        <f>IF($H2433&lt;&gt;"","项目成本",IFERROR(INDEX(基础资料!$W$4:$W$49,MATCH($I2433,基础资料!$V$4:$V$49,0)),""))</f>
        <v/>
      </c>
      <c r="X2433" s="63" t="str">
        <f>IFERROR(INDEX(基础资料!$R$4:$R$17,MATCH($G2433,基础资料!$Q$4:$Q$17,0)),"")</f>
        <v/>
      </c>
    </row>
    <row r="2434" spans="1:24">
      <c r="A2434" s="58" t="str">
        <f>IF($B2434="","",COUNTA($B$5:$B2434))</f>
        <v/>
      </c>
      <c r="B2434" s="53"/>
      <c r="C2434" s="46"/>
      <c r="D2434" s="63" t="str">
        <f>IFERROR(INDEX(基础资料!$F$4:$F$23,MATCH($C2434,基础资料!$E$4:$E$23,0)),IF($C2434="","","未匹配账户"))</f>
        <v/>
      </c>
      <c r="E2434" s="39"/>
      <c r="F2434" s="10"/>
      <c r="G2434" s="10"/>
      <c r="H2434" s="10"/>
      <c r="I2434" s="10"/>
      <c r="J2434" s="10"/>
      <c r="K2434" s="25"/>
      <c r="L2434" s="25"/>
      <c r="M2434" s="25" t="str">
        <f>IFERROR(VLOOKUP($C2434,$C$5:$M$24,11,0)+SUMIF($C$25:$C2434,$C2434,$K$25:$K2434)-SUMIF($C$25:$C2434,$C2434,$L$25:$L2434),"")</f>
        <v/>
      </c>
      <c r="N2434" s="10"/>
      <c r="O2434" s="10"/>
      <c r="P2434" s="65"/>
      <c r="Q2434" s="10"/>
      <c r="R2434" s="10"/>
      <c r="S2434" s="54" t="str">
        <f t="shared" si="117"/>
        <v/>
      </c>
      <c r="T2434" s="54" t="str">
        <f t="shared" si="118"/>
        <v/>
      </c>
      <c r="U2434" s="58" t="str">
        <f t="shared" si="119"/>
        <v/>
      </c>
      <c r="V2434" s="58">
        <f>IF(AND($B2434&lt;&gt;"",$F2434&lt;&gt;"",$F2434=项目明细账!$C$2),N(V2433)+1,N(V2433))</f>
        <v>0</v>
      </c>
      <c r="W2434" s="63" t="str">
        <f>IF($H2434&lt;&gt;"","项目成本",IFERROR(INDEX(基础资料!$W$4:$W$49,MATCH($I2434,基础资料!$V$4:$V$49,0)),""))</f>
        <v/>
      </c>
      <c r="X2434" s="63" t="str">
        <f>IFERROR(INDEX(基础资料!$R$4:$R$17,MATCH($G2434,基础资料!$Q$4:$Q$17,0)),"")</f>
        <v/>
      </c>
    </row>
    <row r="2435" spans="1:24">
      <c r="A2435" s="58" t="str">
        <f>IF($B2435="","",COUNTA($B$5:$B2435))</f>
        <v/>
      </c>
      <c r="B2435" s="53"/>
      <c r="C2435" s="46"/>
      <c r="D2435" s="63" t="str">
        <f>IFERROR(INDEX(基础资料!$F$4:$F$23,MATCH($C2435,基础资料!$E$4:$E$23,0)),IF($C2435="","","未匹配账户"))</f>
        <v/>
      </c>
      <c r="E2435" s="39"/>
      <c r="F2435" s="10"/>
      <c r="G2435" s="10"/>
      <c r="H2435" s="10"/>
      <c r="I2435" s="10"/>
      <c r="J2435" s="10"/>
      <c r="K2435" s="25"/>
      <c r="L2435" s="25"/>
      <c r="M2435" s="25" t="str">
        <f>IFERROR(VLOOKUP($C2435,$C$5:$M$24,11,0)+SUMIF($C$25:$C2435,$C2435,$K$25:$K2435)-SUMIF($C$25:$C2435,$C2435,$L$25:$L2435),"")</f>
        <v/>
      </c>
      <c r="N2435" s="10"/>
      <c r="O2435" s="10"/>
      <c r="P2435" s="65"/>
      <c r="Q2435" s="10"/>
      <c r="R2435" s="10"/>
      <c r="S2435" s="54" t="str">
        <f t="shared" si="117"/>
        <v/>
      </c>
      <c r="T2435" s="54" t="str">
        <f t="shared" si="118"/>
        <v/>
      </c>
      <c r="U2435" s="58" t="str">
        <f t="shared" si="119"/>
        <v/>
      </c>
      <c r="V2435" s="58">
        <f>IF(AND($B2435&lt;&gt;"",$F2435&lt;&gt;"",$F2435=项目明细账!$C$2),N(V2434)+1,N(V2434))</f>
        <v>0</v>
      </c>
      <c r="W2435" s="63" t="str">
        <f>IF($H2435&lt;&gt;"","项目成本",IFERROR(INDEX(基础资料!$W$4:$W$49,MATCH($I2435,基础资料!$V$4:$V$49,0)),""))</f>
        <v/>
      </c>
      <c r="X2435" s="63" t="str">
        <f>IFERROR(INDEX(基础资料!$R$4:$R$17,MATCH($G2435,基础资料!$Q$4:$Q$17,0)),"")</f>
        <v/>
      </c>
    </row>
    <row r="2436" spans="1:24">
      <c r="A2436" s="58" t="str">
        <f>IF($B2436="","",COUNTA($B$5:$B2436))</f>
        <v/>
      </c>
      <c r="B2436" s="53"/>
      <c r="C2436" s="46"/>
      <c r="D2436" s="63" t="str">
        <f>IFERROR(INDEX(基础资料!$F$4:$F$23,MATCH($C2436,基础资料!$E$4:$E$23,0)),IF($C2436="","","未匹配账户"))</f>
        <v/>
      </c>
      <c r="E2436" s="39"/>
      <c r="F2436" s="10"/>
      <c r="G2436" s="10"/>
      <c r="H2436" s="10"/>
      <c r="I2436" s="10"/>
      <c r="J2436" s="10"/>
      <c r="K2436" s="25"/>
      <c r="L2436" s="25"/>
      <c r="M2436" s="25" t="str">
        <f>IFERROR(VLOOKUP($C2436,$C$5:$M$24,11,0)+SUMIF($C$25:$C2436,$C2436,$K$25:$K2436)-SUMIF($C$25:$C2436,$C2436,$L$25:$L2436),"")</f>
        <v/>
      </c>
      <c r="N2436" s="10"/>
      <c r="O2436" s="10"/>
      <c r="P2436" s="65"/>
      <c r="Q2436" s="10"/>
      <c r="R2436" s="10"/>
      <c r="S2436" s="54" t="str">
        <f t="shared" si="117"/>
        <v/>
      </c>
      <c r="T2436" s="54" t="str">
        <f t="shared" si="118"/>
        <v/>
      </c>
      <c r="U2436" s="58" t="str">
        <f t="shared" si="119"/>
        <v/>
      </c>
      <c r="V2436" s="58">
        <f>IF(AND($B2436&lt;&gt;"",$F2436&lt;&gt;"",$F2436=项目明细账!$C$2),N(V2435)+1,N(V2435))</f>
        <v>0</v>
      </c>
      <c r="W2436" s="63" t="str">
        <f>IF($H2436&lt;&gt;"","项目成本",IFERROR(INDEX(基础资料!$W$4:$W$49,MATCH($I2436,基础资料!$V$4:$V$49,0)),""))</f>
        <v/>
      </c>
      <c r="X2436" s="63" t="str">
        <f>IFERROR(INDEX(基础资料!$R$4:$R$17,MATCH($G2436,基础资料!$Q$4:$Q$17,0)),"")</f>
        <v/>
      </c>
    </row>
    <row r="2437" spans="1:24">
      <c r="A2437" s="58" t="str">
        <f>IF($B2437="","",COUNTA($B$5:$B2437))</f>
        <v/>
      </c>
      <c r="B2437" s="53"/>
      <c r="C2437" s="46"/>
      <c r="D2437" s="63" t="str">
        <f>IFERROR(INDEX(基础资料!$F$4:$F$23,MATCH($C2437,基础资料!$E$4:$E$23,0)),IF($C2437="","","未匹配账户"))</f>
        <v/>
      </c>
      <c r="E2437" s="39"/>
      <c r="F2437" s="10"/>
      <c r="G2437" s="10"/>
      <c r="H2437" s="10"/>
      <c r="I2437" s="10"/>
      <c r="J2437" s="10"/>
      <c r="K2437" s="25"/>
      <c r="L2437" s="25"/>
      <c r="M2437" s="25" t="str">
        <f>IFERROR(VLOOKUP($C2437,$C$5:$M$24,11,0)+SUMIF($C$25:$C2437,$C2437,$K$25:$K2437)-SUMIF($C$25:$C2437,$C2437,$L$25:$L2437),"")</f>
        <v/>
      </c>
      <c r="N2437" s="10"/>
      <c r="O2437" s="10"/>
      <c r="P2437" s="65"/>
      <c r="Q2437" s="10"/>
      <c r="R2437" s="10"/>
      <c r="S2437" s="54" t="str">
        <f t="shared" si="117"/>
        <v/>
      </c>
      <c r="T2437" s="54" t="str">
        <f t="shared" si="118"/>
        <v/>
      </c>
      <c r="U2437" s="58" t="str">
        <f t="shared" si="119"/>
        <v/>
      </c>
      <c r="V2437" s="58">
        <f>IF(AND($B2437&lt;&gt;"",$F2437&lt;&gt;"",$F2437=项目明细账!$C$2),N(V2436)+1,N(V2436))</f>
        <v>0</v>
      </c>
      <c r="W2437" s="63" t="str">
        <f>IF($H2437&lt;&gt;"","项目成本",IFERROR(INDEX(基础资料!$W$4:$W$49,MATCH($I2437,基础资料!$V$4:$V$49,0)),""))</f>
        <v/>
      </c>
      <c r="X2437" s="63" t="str">
        <f>IFERROR(INDEX(基础资料!$R$4:$R$17,MATCH($G2437,基础资料!$Q$4:$Q$17,0)),"")</f>
        <v/>
      </c>
    </row>
    <row r="2438" spans="1:24">
      <c r="A2438" s="58" t="str">
        <f>IF($B2438="","",COUNTA($B$5:$B2438))</f>
        <v/>
      </c>
      <c r="B2438" s="53"/>
      <c r="C2438" s="46"/>
      <c r="D2438" s="63" t="str">
        <f>IFERROR(INDEX(基础资料!$F$4:$F$23,MATCH($C2438,基础资料!$E$4:$E$23,0)),IF($C2438="","","未匹配账户"))</f>
        <v/>
      </c>
      <c r="E2438" s="39"/>
      <c r="F2438" s="10"/>
      <c r="G2438" s="10"/>
      <c r="H2438" s="10"/>
      <c r="I2438" s="10"/>
      <c r="J2438" s="10"/>
      <c r="K2438" s="25"/>
      <c r="L2438" s="25"/>
      <c r="M2438" s="25" t="str">
        <f>IFERROR(VLOOKUP($C2438,$C$5:$M$24,11,0)+SUMIF($C$25:$C2438,$C2438,$K$25:$K2438)-SUMIF($C$25:$C2438,$C2438,$L$25:$L2438),"")</f>
        <v/>
      </c>
      <c r="N2438" s="10"/>
      <c r="O2438" s="10"/>
      <c r="P2438" s="65"/>
      <c r="Q2438" s="10"/>
      <c r="R2438" s="10"/>
      <c r="S2438" s="54" t="str">
        <f t="shared" si="117"/>
        <v/>
      </c>
      <c r="T2438" s="54" t="str">
        <f t="shared" si="118"/>
        <v/>
      </c>
      <c r="U2438" s="58" t="str">
        <f t="shared" si="119"/>
        <v/>
      </c>
      <c r="V2438" s="58">
        <f>IF(AND($B2438&lt;&gt;"",$F2438&lt;&gt;"",$F2438=项目明细账!$C$2),N(V2437)+1,N(V2437))</f>
        <v>0</v>
      </c>
      <c r="W2438" s="63" t="str">
        <f>IF($H2438&lt;&gt;"","项目成本",IFERROR(INDEX(基础资料!$W$4:$W$49,MATCH($I2438,基础资料!$V$4:$V$49,0)),""))</f>
        <v/>
      </c>
      <c r="X2438" s="63" t="str">
        <f>IFERROR(INDEX(基础资料!$R$4:$R$17,MATCH($G2438,基础资料!$Q$4:$Q$17,0)),"")</f>
        <v/>
      </c>
    </row>
    <row r="2439" spans="1:24">
      <c r="A2439" s="58" t="str">
        <f>IF($B2439="","",COUNTA($B$5:$B2439))</f>
        <v/>
      </c>
      <c r="B2439" s="53"/>
      <c r="C2439" s="46"/>
      <c r="D2439" s="63" t="str">
        <f>IFERROR(INDEX(基础资料!$F$4:$F$23,MATCH($C2439,基础资料!$E$4:$E$23,0)),IF($C2439="","","未匹配账户"))</f>
        <v/>
      </c>
      <c r="E2439" s="39"/>
      <c r="F2439" s="10"/>
      <c r="G2439" s="10"/>
      <c r="H2439" s="10"/>
      <c r="I2439" s="10"/>
      <c r="J2439" s="10"/>
      <c r="K2439" s="25"/>
      <c r="L2439" s="25"/>
      <c r="M2439" s="25" t="str">
        <f>IFERROR(VLOOKUP($C2439,$C$5:$M$24,11,0)+SUMIF($C$25:$C2439,$C2439,$K$25:$K2439)-SUMIF($C$25:$C2439,$C2439,$L$25:$L2439),"")</f>
        <v/>
      </c>
      <c r="N2439" s="10"/>
      <c r="O2439" s="10"/>
      <c r="P2439" s="65"/>
      <c r="Q2439" s="10"/>
      <c r="R2439" s="10"/>
      <c r="S2439" s="54" t="str">
        <f t="shared" ref="S2439:S2502" si="120">IF($B2439="","",--TEXT($B2439,"yyyymm"))</f>
        <v/>
      </c>
      <c r="T2439" s="54" t="str">
        <f t="shared" ref="T2439:T2502" si="121">IF($B2439="","",IF($P2439="",$S2439,IFERROR($P2439*1,$P2439)))</f>
        <v/>
      </c>
      <c r="U2439" s="58" t="str">
        <f t="shared" ref="U2439:U2502" si="122">IF($B2439="","",IF($T2439=$S2439,"","跨期"))</f>
        <v/>
      </c>
      <c r="V2439" s="58">
        <f>IF(AND($B2439&lt;&gt;"",$F2439&lt;&gt;"",$F2439=项目明细账!$C$2),N(V2438)+1,N(V2438))</f>
        <v>0</v>
      </c>
      <c r="W2439" s="63" t="str">
        <f>IF($H2439&lt;&gt;"","项目成本",IFERROR(INDEX(基础资料!$W$4:$W$49,MATCH($I2439,基础资料!$V$4:$V$49,0)),""))</f>
        <v/>
      </c>
      <c r="X2439" s="63" t="str">
        <f>IFERROR(INDEX(基础资料!$R$4:$R$17,MATCH($G2439,基础资料!$Q$4:$Q$17,0)),"")</f>
        <v/>
      </c>
    </row>
    <row r="2440" spans="1:24">
      <c r="A2440" s="58" t="str">
        <f>IF($B2440="","",COUNTA($B$5:$B2440))</f>
        <v/>
      </c>
      <c r="B2440" s="53"/>
      <c r="C2440" s="46"/>
      <c r="D2440" s="63" t="str">
        <f>IFERROR(INDEX(基础资料!$F$4:$F$23,MATCH($C2440,基础资料!$E$4:$E$23,0)),IF($C2440="","","未匹配账户"))</f>
        <v/>
      </c>
      <c r="E2440" s="39"/>
      <c r="F2440" s="10"/>
      <c r="G2440" s="10"/>
      <c r="H2440" s="10"/>
      <c r="I2440" s="10"/>
      <c r="J2440" s="10"/>
      <c r="K2440" s="25"/>
      <c r="L2440" s="25"/>
      <c r="M2440" s="25" t="str">
        <f>IFERROR(VLOOKUP($C2440,$C$5:$M$24,11,0)+SUMIF($C$25:$C2440,$C2440,$K$25:$K2440)-SUMIF($C$25:$C2440,$C2440,$L$25:$L2440),"")</f>
        <v/>
      </c>
      <c r="N2440" s="10"/>
      <c r="O2440" s="10"/>
      <c r="P2440" s="65"/>
      <c r="Q2440" s="10"/>
      <c r="R2440" s="10"/>
      <c r="S2440" s="54" t="str">
        <f t="shared" si="120"/>
        <v/>
      </c>
      <c r="T2440" s="54" t="str">
        <f t="shared" si="121"/>
        <v/>
      </c>
      <c r="U2440" s="58" t="str">
        <f t="shared" si="122"/>
        <v/>
      </c>
      <c r="V2440" s="58">
        <f>IF(AND($B2440&lt;&gt;"",$F2440&lt;&gt;"",$F2440=项目明细账!$C$2),N(V2439)+1,N(V2439))</f>
        <v>0</v>
      </c>
      <c r="W2440" s="63" t="str">
        <f>IF($H2440&lt;&gt;"","项目成本",IFERROR(INDEX(基础资料!$W$4:$W$49,MATCH($I2440,基础资料!$V$4:$V$49,0)),""))</f>
        <v/>
      </c>
      <c r="X2440" s="63" t="str">
        <f>IFERROR(INDEX(基础资料!$R$4:$R$17,MATCH($G2440,基础资料!$Q$4:$Q$17,0)),"")</f>
        <v/>
      </c>
    </row>
    <row r="2441" spans="1:24">
      <c r="A2441" s="58" t="str">
        <f>IF($B2441="","",COUNTA($B$5:$B2441))</f>
        <v/>
      </c>
      <c r="B2441" s="53"/>
      <c r="C2441" s="46"/>
      <c r="D2441" s="63" t="str">
        <f>IFERROR(INDEX(基础资料!$F$4:$F$23,MATCH($C2441,基础资料!$E$4:$E$23,0)),IF($C2441="","","未匹配账户"))</f>
        <v/>
      </c>
      <c r="E2441" s="39"/>
      <c r="F2441" s="10"/>
      <c r="G2441" s="10"/>
      <c r="H2441" s="10"/>
      <c r="I2441" s="10"/>
      <c r="J2441" s="10"/>
      <c r="K2441" s="25"/>
      <c r="L2441" s="25"/>
      <c r="M2441" s="25" t="str">
        <f>IFERROR(VLOOKUP($C2441,$C$5:$M$24,11,0)+SUMIF($C$25:$C2441,$C2441,$K$25:$K2441)-SUMIF($C$25:$C2441,$C2441,$L$25:$L2441),"")</f>
        <v/>
      </c>
      <c r="N2441" s="10"/>
      <c r="O2441" s="10"/>
      <c r="P2441" s="65"/>
      <c r="Q2441" s="10"/>
      <c r="R2441" s="10"/>
      <c r="S2441" s="54" t="str">
        <f t="shared" si="120"/>
        <v/>
      </c>
      <c r="T2441" s="54" t="str">
        <f t="shared" si="121"/>
        <v/>
      </c>
      <c r="U2441" s="58" t="str">
        <f t="shared" si="122"/>
        <v/>
      </c>
      <c r="V2441" s="58">
        <f>IF(AND($B2441&lt;&gt;"",$F2441&lt;&gt;"",$F2441=项目明细账!$C$2),N(V2440)+1,N(V2440))</f>
        <v>0</v>
      </c>
      <c r="W2441" s="63" t="str">
        <f>IF($H2441&lt;&gt;"","项目成本",IFERROR(INDEX(基础资料!$W$4:$W$49,MATCH($I2441,基础资料!$V$4:$V$49,0)),""))</f>
        <v/>
      </c>
      <c r="X2441" s="63" t="str">
        <f>IFERROR(INDEX(基础资料!$R$4:$R$17,MATCH($G2441,基础资料!$Q$4:$Q$17,0)),"")</f>
        <v/>
      </c>
    </row>
    <row r="2442" spans="1:24">
      <c r="A2442" s="58" t="str">
        <f>IF($B2442="","",COUNTA($B$5:$B2442))</f>
        <v/>
      </c>
      <c r="B2442" s="53"/>
      <c r="C2442" s="46"/>
      <c r="D2442" s="63" t="str">
        <f>IFERROR(INDEX(基础资料!$F$4:$F$23,MATCH($C2442,基础资料!$E$4:$E$23,0)),IF($C2442="","","未匹配账户"))</f>
        <v/>
      </c>
      <c r="E2442" s="39"/>
      <c r="F2442" s="10"/>
      <c r="G2442" s="10"/>
      <c r="H2442" s="10"/>
      <c r="I2442" s="10"/>
      <c r="J2442" s="10"/>
      <c r="K2442" s="25"/>
      <c r="L2442" s="25"/>
      <c r="M2442" s="25" t="str">
        <f>IFERROR(VLOOKUP($C2442,$C$5:$M$24,11,0)+SUMIF($C$25:$C2442,$C2442,$K$25:$K2442)-SUMIF($C$25:$C2442,$C2442,$L$25:$L2442),"")</f>
        <v/>
      </c>
      <c r="N2442" s="10"/>
      <c r="O2442" s="10"/>
      <c r="P2442" s="65"/>
      <c r="Q2442" s="10"/>
      <c r="R2442" s="10"/>
      <c r="S2442" s="54" t="str">
        <f t="shared" si="120"/>
        <v/>
      </c>
      <c r="T2442" s="54" t="str">
        <f t="shared" si="121"/>
        <v/>
      </c>
      <c r="U2442" s="58" t="str">
        <f t="shared" si="122"/>
        <v/>
      </c>
      <c r="V2442" s="58">
        <f>IF(AND($B2442&lt;&gt;"",$F2442&lt;&gt;"",$F2442=项目明细账!$C$2),N(V2441)+1,N(V2441))</f>
        <v>0</v>
      </c>
      <c r="W2442" s="63" t="str">
        <f>IF($H2442&lt;&gt;"","项目成本",IFERROR(INDEX(基础资料!$W$4:$W$49,MATCH($I2442,基础资料!$V$4:$V$49,0)),""))</f>
        <v/>
      </c>
      <c r="X2442" s="63" t="str">
        <f>IFERROR(INDEX(基础资料!$R$4:$R$17,MATCH($G2442,基础资料!$Q$4:$Q$17,0)),"")</f>
        <v/>
      </c>
    </row>
    <row r="2443" spans="1:24">
      <c r="A2443" s="58" t="str">
        <f>IF($B2443="","",COUNTA($B$5:$B2443))</f>
        <v/>
      </c>
      <c r="B2443" s="53"/>
      <c r="C2443" s="46"/>
      <c r="D2443" s="63" t="str">
        <f>IFERROR(INDEX(基础资料!$F$4:$F$23,MATCH($C2443,基础资料!$E$4:$E$23,0)),IF($C2443="","","未匹配账户"))</f>
        <v/>
      </c>
      <c r="E2443" s="39"/>
      <c r="F2443" s="10"/>
      <c r="G2443" s="10"/>
      <c r="H2443" s="10"/>
      <c r="I2443" s="10"/>
      <c r="J2443" s="10"/>
      <c r="K2443" s="25"/>
      <c r="L2443" s="25"/>
      <c r="M2443" s="25" t="str">
        <f>IFERROR(VLOOKUP($C2443,$C$5:$M$24,11,0)+SUMIF($C$25:$C2443,$C2443,$K$25:$K2443)-SUMIF($C$25:$C2443,$C2443,$L$25:$L2443),"")</f>
        <v/>
      </c>
      <c r="N2443" s="10"/>
      <c r="O2443" s="10"/>
      <c r="P2443" s="65"/>
      <c r="Q2443" s="10"/>
      <c r="R2443" s="10"/>
      <c r="S2443" s="54" t="str">
        <f t="shared" si="120"/>
        <v/>
      </c>
      <c r="T2443" s="54" t="str">
        <f t="shared" si="121"/>
        <v/>
      </c>
      <c r="U2443" s="58" t="str">
        <f t="shared" si="122"/>
        <v/>
      </c>
      <c r="V2443" s="58">
        <f>IF(AND($B2443&lt;&gt;"",$F2443&lt;&gt;"",$F2443=项目明细账!$C$2),N(V2442)+1,N(V2442))</f>
        <v>0</v>
      </c>
      <c r="W2443" s="63" t="str">
        <f>IF($H2443&lt;&gt;"","项目成本",IFERROR(INDEX(基础资料!$W$4:$W$49,MATCH($I2443,基础资料!$V$4:$V$49,0)),""))</f>
        <v/>
      </c>
      <c r="X2443" s="63" t="str">
        <f>IFERROR(INDEX(基础资料!$R$4:$R$17,MATCH($G2443,基础资料!$Q$4:$Q$17,0)),"")</f>
        <v/>
      </c>
    </row>
    <row r="2444" spans="1:24">
      <c r="A2444" s="58" t="str">
        <f>IF($B2444="","",COUNTA($B$5:$B2444))</f>
        <v/>
      </c>
      <c r="B2444" s="53"/>
      <c r="C2444" s="46"/>
      <c r="D2444" s="63" t="str">
        <f>IFERROR(INDEX(基础资料!$F$4:$F$23,MATCH($C2444,基础资料!$E$4:$E$23,0)),IF($C2444="","","未匹配账户"))</f>
        <v/>
      </c>
      <c r="E2444" s="39"/>
      <c r="F2444" s="10"/>
      <c r="G2444" s="10"/>
      <c r="H2444" s="10"/>
      <c r="I2444" s="10"/>
      <c r="J2444" s="10"/>
      <c r="K2444" s="25"/>
      <c r="L2444" s="25"/>
      <c r="M2444" s="25" t="str">
        <f>IFERROR(VLOOKUP($C2444,$C$5:$M$24,11,0)+SUMIF($C$25:$C2444,$C2444,$K$25:$K2444)-SUMIF($C$25:$C2444,$C2444,$L$25:$L2444),"")</f>
        <v/>
      </c>
      <c r="N2444" s="10"/>
      <c r="O2444" s="10"/>
      <c r="P2444" s="65"/>
      <c r="Q2444" s="10"/>
      <c r="R2444" s="10"/>
      <c r="S2444" s="54" t="str">
        <f t="shared" si="120"/>
        <v/>
      </c>
      <c r="T2444" s="54" t="str">
        <f t="shared" si="121"/>
        <v/>
      </c>
      <c r="U2444" s="58" t="str">
        <f t="shared" si="122"/>
        <v/>
      </c>
      <c r="V2444" s="58">
        <f>IF(AND($B2444&lt;&gt;"",$F2444&lt;&gt;"",$F2444=项目明细账!$C$2),N(V2443)+1,N(V2443))</f>
        <v>0</v>
      </c>
      <c r="W2444" s="63" t="str">
        <f>IF($H2444&lt;&gt;"","项目成本",IFERROR(INDEX(基础资料!$W$4:$W$49,MATCH($I2444,基础资料!$V$4:$V$49,0)),""))</f>
        <v/>
      </c>
      <c r="X2444" s="63" t="str">
        <f>IFERROR(INDEX(基础资料!$R$4:$R$17,MATCH($G2444,基础资料!$Q$4:$Q$17,0)),"")</f>
        <v/>
      </c>
    </row>
    <row r="2445" spans="1:24">
      <c r="A2445" s="58" t="str">
        <f>IF($B2445="","",COUNTA($B$5:$B2445))</f>
        <v/>
      </c>
      <c r="B2445" s="53"/>
      <c r="C2445" s="46"/>
      <c r="D2445" s="63" t="str">
        <f>IFERROR(INDEX(基础资料!$F$4:$F$23,MATCH($C2445,基础资料!$E$4:$E$23,0)),IF($C2445="","","未匹配账户"))</f>
        <v/>
      </c>
      <c r="E2445" s="39"/>
      <c r="F2445" s="10"/>
      <c r="G2445" s="10"/>
      <c r="H2445" s="10"/>
      <c r="I2445" s="10"/>
      <c r="J2445" s="10"/>
      <c r="K2445" s="25"/>
      <c r="L2445" s="25"/>
      <c r="M2445" s="25" t="str">
        <f>IFERROR(VLOOKUP($C2445,$C$5:$M$24,11,0)+SUMIF($C$25:$C2445,$C2445,$K$25:$K2445)-SUMIF($C$25:$C2445,$C2445,$L$25:$L2445),"")</f>
        <v/>
      </c>
      <c r="N2445" s="10"/>
      <c r="O2445" s="10"/>
      <c r="P2445" s="65"/>
      <c r="Q2445" s="10"/>
      <c r="R2445" s="10"/>
      <c r="S2445" s="54" t="str">
        <f t="shared" si="120"/>
        <v/>
      </c>
      <c r="T2445" s="54" t="str">
        <f t="shared" si="121"/>
        <v/>
      </c>
      <c r="U2445" s="58" t="str">
        <f t="shared" si="122"/>
        <v/>
      </c>
      <c r="V2445" s="58">
        <f>IF(AND($B2445&lt;&gt;"",$F2445&lt;&gt;"",$F2445=项目明细账!$C$2),N(V2444)+1,N(V2444))</f>
        <v>0</v>
      </c>
      <c r="W2445" s="63" t="str">
        <f>IF($H2445&lt;&gt;"","项目成本",IFERROR(INDEX(基础资料!$W$4:$W$49,MATCH($I2445,基础资料!$V$4:$V$49,0)),""))</f>
        <v/>
      </c>
      <c r="X2445" s="63" t="str">
        <f>IFERROR(INDEX(基础资料!$R$4:$R$17,MATCH($G2445,基础资料!$Q$4:$Q$17,0)),"")</f>
        <v/>
      </c>
    </row>
    <row r="2446" spans="1:24">
      <c r="A2446" s="58" t="str">
        <f>IF($B2446="","",COUNTA($B$5:$B2446))</f>
        <v/>
      </c>
      <c r="B2446" s="53"/>
      <c r="C2446" s="46"/>
      <c r="D2446" s="63" t="str">
        <f>IFERROR(INDEX(基础资料!$F$4:$F$23,MATCH($C2446,基础资料!$E$4:$E$23,0)),IF($C2446="","","未匹配账户"))</f>
        <v/>
      </c>
      <c r="E2446" s="39"/>
      <c r="F2446" s="10"/>
      <c r="G2446" s="10"/>
      <c r="H2446" s="10"/>
      <c r="I2446" s="10"/>
      <c r="J2446" s="10"/>
      <c r="K2446" s="25"/>
      <c r="L2446" s="25"/>
      <c r="M2446" s="25" t="str">
        <f>IFERROR(VLOOKUP($C2446,$C$5:$M$24,11,0)+SUMIF($C$25:$C2446,$C2446,$K$25:$K2446)-SUMIF($C$25:$C2446,$C2446,$L$25:$L2446),"")</f>
        <v/>
      </c>
      <c r="N2446" s="10"/>
      <c r="O2446" s="10"/>
      <c r="P2446" s="65"/>
      <c r="Q2446" s="10"/>
      <c r="R2446" s="10"/>
      <c r="S2446" s="54" t="str">
        <f t="shared" si="120"/>
        <v/>
      </c>
      <c r="T2446" s="54" t="str">
        <f t="shared" si="121"/>
        <v/>
      </c>
      <c r="U2446" s="58" t="str">
        <f t="shared" si="122"/>
        <v/>
      </c>
      <c r="V2446" s="58">
        <f>IF(AND($B2446&lt;&gt;"",$F2446&lt;&gt;"",$F2446=项目明细账!$C$2),N(V2445)+1,N(V2445))</f>
        <v>0</v>
      </c>
      <c r="W2446" s="63" t="str">
        <f>IF($H2446&lt;&gt;"","项目成本",IFERROR(INDEX(基础资料!$W$4:$W$49,MATCH($I2446,基础资料!$V$4:$V$49,0)),""))</f>
        <v/>
      </c>
      <c r="X2446" s="63" t="str">
        <f>IFERROR(INDEX(基础资料!$R$4:$R$17,MATCH($G2446,基础资料!$Q$4:$Q$17,0)),"")</f>
        <v/>
      </c>
    </row>
    <row r="2447" spans="1:24">
      <c r="A2447" s="58" t="str">
        <f>IF($B2447="","",COUNTA($B$5:$B2447))</f>
        <v/>
      </c>
      <c r="B2447" s="53"/>
      <c r="C2447" s="46"/>
      <c r="D2447" s="63" t="str">
        <f>IFERROR(INDEX(基础资料!$F$4:$F$23,MATCH($C2447,基础资料!$E$4:$E$23,0)),IF($C2447="","","未匹配账户"))</f>
        <v/>
      </c>
      <c r="E2447" s="39"/>
      <c r="F2447" s="10"/>
      <c r="G2447" s="10"/>
      <c r="H2447" s="10"/>
      <c r="I2447" s="10"/>
      <c r="J2447" s="10"/>
      <c r="K2447" s="25"/>
      <c r="L2447" s="25"/>
      <c r="M2447" s="25" t="str">
        <f>IFERROR(VLOOKUP($C2447,$C$5:$M$24,11,0)+SUMIF($C$25:$C2447,$C2447,$K$25:$K2447)-SUMIF($C$25:$C2447,$C2447,$L$25:$L2447),"")</f>
        <v/>
      </c>
      <c r="N2447" s="10"/>
      <c r="O2447" s="10"/>
      <c r="P2447" s="65"/>
      <c r="Q2447" s="10"/>
      <c r="R2447" s="10"/>
      <c r="S2447" s="54" t="str">
        <f t="shared" si="120"/>
        <v/>
      </c>
      <c r="T2447" s="54" t="str">
        <f t="shared" si="121"/>
        <v/>
      </c>
      <c r="U2447" s="58" t="str">
        <f t="shared" si="122"/>
        <v/>
      </c>
      <c r="V2447" s="58">
        <f>IF(AND($B2447&lt;&gt;"",$F2447&lt;&gt;"",$F2447=项目明细账!$C$2),N(V2446)+1,N(V2446))</f>
        <v>0</v>
      </c>
      <c r="W2447" s="63" t="str">
        <f>IF($H2447&lt;&gt;"","项目成本",IFERROR(INDEX(基础资料!$W$4:$W$49,MATCH($I2447,基础资料!$V$4:$V$49,0)),""))</f>
        <v/>
      </c>
      <c r="X2447" s="63" t="str">
        <f>IFERROR(INDEX(基础资料!$R$4:$R$17,MATCH($G2447,基础资料!$Q$4:$Q$17,0)),"")</f>
        <v/>
      </c>
    </row>
    <row r="2448" spans="1:24">
      <c r="A2448" s="58" t="str">
        <f>IF($B2448="","",COUNTA($B$5:$B2448))</f>
        <v/>
      </c>
      <c r="B2448" s="53"/>
      <c r="C2448" s="46"/>
      <c r="D2448" s="63" t="str">
        <f>IFERROR(INDEX(基础资料!$F$4:$F$23,MATCH($C2448,基础资料!$E$4:$E$23,0)),IF($C2448="","","未匹配账户"))</f>
        <v/>
      </c>
      <c r="E2448" s="39"/>
      <c r="F2448" s="10"/>
      <c r="G2448" s="10"/>
      <c r="H2448" s="10"/>
      <c r="I2448" s="10"/>
      <c r="J2448" s="10"/>
      <c r="K2448" s="25"/>
      <c r="L2448" s="25"/>
      <c r="M2448" s="25" t="str">
        <f>IFERROR(VLOOKUP($C2448,$C$5:$M$24,11,0)+SUMIF($C$25:$C2448,$C2448,$K$25:$K2448)-SUMIF($C$25:$C2448,$C2448,$L$25:$L2448),"")</f>
        <v/>
      </c>
      <c r="N2448" s="10"/>
      <c r="O2448" s="10"/>
      <c r="P2448" s="65"/>
      <c r="Q2448" s="10"/>
      <c r="R2448" s="10"/>
      <c r="S2448" s="54" t="str">
        <f t="shared" si="120"/>
        <v/>
      </c>
      <c r="T2448" s="54" t="str">
        <f t="shared" si="121"/>
        <v/>
      </c>
      <c r="U2448" s="58" t="str">
        <f t="shared" si="122"/>
        <v/>
      </c>
      <c r="V2448" s="58">
        <f>IF(AND($B2448&lt;&gt;"",$F2448&lt;&gt;"",$F2448=项目明细账!$C$2),N(V2447)+1,N(V2447))</f>
        <v>0</v>
      </c>
      <c r="W2448" s="63" t="str">
        <f>IF($H2448&lt;&gt;"","项目成本",IFERROR(INDEX(基础资料!$W$4:$W$49,MATCH($I2448,基础资料!$V$4:$V$49,0)),""))</f>
        <v/>
      </c>
      <c r="X2448" s="63" t="str">
        <f>IFERROR(INDEX(基础资料!$R$4:$R$17,MATCH($G2448,基础资料!$Q$4:$Q$17,0)),"")</f>
        <v/>
      </c>
    </row>
    <row r="2449" spans="1:24">
      <c r="A2449" s="58" t="str">
        <f>IF($B2449="","",COUNTA($B$5:$B2449))</f>
        <v/>
      </c>
      <c r="B2449" s="53"/>
      <c r="C2449" s="46"/>
      <c r="D2449" s="63" t="str">
        <f>IFERROR(INDEX(基础资料!$F$4:$F$23,MATCH($C2449,基础资料!$E$4:$E$23,0)),IF($C2449="","","未匹配账户"))</f>
        <v/>
      </c>
      <c r="E2449" s="39"/>
      <c r="F2449" s="10"/>
      <c r="G2449" s="10"/>
      <c r="H2449" s="10"/>
      <c r="I2449" s="10"/>
      <c r="J2449" s="10"/>
      <c r="K2449" s="25"/>
      <c r="L2449" s="25"/>
      <c r="M2449" s="25" t="str">
        <f>IFERROR(VLOOKUP($C2449,$C$5:$M$24,11,0)+SUMIF($C$25:$C2449,$C2449,$K$25:$K2449)-SUMIF($C$25:$C2449,$C2449,$L$25:$L2449),"")</f>
        <v/>
      </c>
      <c r="N2449" s="10"/>
      <c r="O2449" s="10"/>
      <c r="P2449" s="65"/>
      <c r="Q2449" s="10"/>
      <c r="R2449" s="10"/>
      <c r="S2449" s="54" t="str">
        <f t="shared" si="120"/>
        <v/>
      </c>
      <c r="T2449" s="54" t="str">
        <f t="shared" si="121"/>
        <v/>
      </c>
      <c r="U2449" s="58" t="str">
        <f t="shared" si="122"/>
        <v/>
      </c>
      <c r="V2449" s="58">
        <f>IF(AND($B2449&lt;&gt;"",$F2449&lt;&gt;"",$F2449=项目明细账!$C$2),N(V2448)+1,N(V2448))</f>
        <v>0</v>
      </c>
      <c r="W2449" s="63" t="str">
        <f>IF($H2449&lt;&gt;"","项目成本",IFERROR(INDEX(基础资料!$W$4:$W$49,MATCH($I2449,基础资料!$V$4:$V$49,0)),""))</f>
        <v/>
      </c>
      <c r="X2449" s="63" t="str">
        <f>IFERROR(INDEX(基础资料!$R$4:$R$17,MATCH($G2449,基础资料!$Q$4:$Q$17,0)),"")</f>
        <v/>
      </c>
    </row>
    <row r="2450" spans="1:24">
      <c r="A2450" s="58" t="str">
        <f>IF($B2450="","",COUNTA($B$5:$B2450))</f>
        <v/>
      </c>
      <c r="B2450" s="53"/>
      <c r="C2450" s="46"/>
      <c r="D2450" s="63" t="str">
        <f>IFERROR(INDEX(基础资料!$F$4:$F$23,MATCH($C2450,基础资料!$E$4:$E$23,0)),IF($C2450="","","未匹配账户"))</f>
        <v/>
      </c>
      <c r="E2450" s="39"/>
      <c r="F2450" s="10"/>
      <c r="G2450" s="10"/>
      <c r="H2450" s="10"/>
      <c r="I2450" s="10"/>
      <c r="J2450" s="10"/>
      <c r="K2450" s="25"/>
      <c r="L2450" s="25"/>
      <c r="M2450" s="25" t="str">
        <f>IFERROR(VLOOKUP($C2450,$C$5:$M$24,11,0)+SUMIF($C$25:$C2450,$C2450,$K$25:$K2450)-SUMIF($C$25:$C2450,$C2450,$L$25:$L2450),"")</f>
        <v/>
      </c>
      <c r="N2450" s="10"/>
      <c r="O2450" s="10"/>
      <c r="P2450" s="65"/>
      <c r="Q2450" s="10"/>
      <c r="R2450" s="10"/>
      <c r="S2450" s="54" t="str">
        <f t="shared" si="120"/>
        <v/>
      </c>
      <c r="T2450" s="54" t="str">
        <f t="shared" si="121"/>
        <v/>
      </c>
      <c r="U2450" s="58" t="str">
        <f t="shared" si="122"/>
        <v/>
      </c>
      <c r="V2450" s="58">
        <f>IF(AND($B2450&lt;&gt;"",$F2450&lt;&gt;"",$F2450=项目明细账!$C$2),N(V2449)+1,N(V2449))</f>
        <v>0</v>
      </c>
      <c r="W2450" s="63" t="str">
        <f>IF($H2450&lt;&gt;"","项目成本",IFERROR(INDEX(基础资料!$W$4:$W$49,MATCH($I2450,基础资料!$V$4:$V$49,0)),""))</f>
        <v/>
      </c>
      <c r="X2450" s="63" t="str">
        <f>IFERROR(INDEX(基础资料!$R$4:$R$17,MATCH($G2450,基础资料!$Q$4:$Q$17,0)),"")</f>
        <v/>
      </c>
    </row>
    <row r="2451" spans="1:24">
      <c r="A2451" s="58" t="str">
        <f>IF($B2451="","",COUNTA($B$5:$B2451))</f>
        <v/>
      </c>
      <c r="B2451" s="53"/>
      <c r="C2451" s="46"/>
      <c r="D2451" s="63" t="str">
        <f>IFERROR(INDEX(基础资料!$F$4:$F$23,MATCH($C2451,基础资料!$E$4:$E$23,0)),IF($C2451="","","未匹配账户"))</f>
        <v/>
      </c>
      <c r="E2451" s="39"/>
      <c r="F2451" s="10"/>
      <c r="G2451" s="10"/>
      <c r="H2451" s="10"/>
      <c r="I2451" s="10"/>
      <c r="J2451" s="10"/>
      <c r="K2451" s="25"/>
      <c r="L2451" s="25"/>
      <c r="M2451" s="25" t="str">
        <f>IFERROR(VLOOKUP($C2451,$C$5:$M$24,11,0)+SUMIF($C$25:$C2451,$C2451,$K$25:$K2451)-SUMIF($C$25:$C2451,$C2451,$L$25:$L2451),"")</f>
        <v/>
      </c>
      <c r="N2451" s="10"/>
      <c r="O2451" s="10"/>
      <c r="P2451" s="65"/>
      <c r="Q2451" s="10"/>
      <c r="R2451" s="10"/>
      <c r="S2451" s="54" t="str">
        <f t="shared" si="120"/>
        <v/>
      </c>
      <c r="T2451" s="54" t="str">
        <f t="shared" si="121"/>
        <v/>
      </c>
      <c r="U2451" s="58" t="str">
        <f t="shared" si="122"/>
        <v/>
      </c>
      <c r="V2451" s="58">
        <f>IF(AND($B2451&lt;&gt;"",$F2451&lt;&gt;"",$F2451=项目明细账!$C$2),N(V2450)+1,N(V2450))</f>
        <v>0</v>
      </c>
      <c r="W2451" s="63" t="str">
        <f>IF($H2451&lt;&gt;"","项目成本",IFERROR(INDEX(基础资料!$W$4:$W$49,MATCH($I2451,基础资料!$V$4:$V$49,0)),""))</f>
        <v/>
      </c>
      <c r="X2451" s="63" t="str">
        <f>IFERROR(INDEX(基础资料!$R$4:$R$17,MATCH($G2451,基础资料!$Q$4:$Q$17,0)),"")</f>
        <v/>
      </c>
    </row>
    <row r="2452" spans="1:24">
      <c r="A2452" s="58" t="str">
        <f>IF($B2452="","",COUNTA($B$5:$B2452))</f>
        <v/>
      </c>
      <c r="B2452" s="53"/>
      <c r="C2452" s="46"/>
      <c r="D2452" s="63" t="str">
        <f>IFERROR(INDEX(基础资料!$F$4:$F$23,MATCH($C2452,基础资料!$E$4:$E$23,0)),IF($C2452="","","未匹配账户"))</f>
        <v/>
      </c>
      <c r="E2452" s="39"/>
      <c r="F2452" s="10"/>
      <c r="G2452" s="10"/>
      <c r="H2452" s="10"/>
      <c r="I2452" s="10"/>
      <c r="J2452" s="10"/>
      <c r="K2452" s="25"/>
      <c r="L2452" s="25"/>
      <c r="M2452" s="25" t="str">
        <f>IFERROR(VLOOKUP($C2452,$C$5:$M$24,11,0)+SUMIF($C$25:$C2452,$C2452,$K$25:$K2452)-SUMIF($C$25:$C2452,$C2452,$L$25:$L2452),"")</f>
        <v/>
      </c>
      <c r="N2452" s="10"/>
      <c r="O2452" s="10"/>
      <c r="P2452" s="65"/>
      <c r="Q2452" s="10"/>
      <c r="R2452" s="10"/>
      <c r="S2452" s="54" t="str">
        <f t="shared" si="120"/>
        <v/>
      </c>
      <c r="T2452" s="54" t="str">
        <f t="shared" si="121"/>
        <v/>
      </c>
      <c r="U2452" s="58" t="str">
        <f t="shared" si="122"/>
        <v/>
      </c>
      <c r="V2452" s="58">
        <f>IF(AND($B2452&lt;&gt;"",$F2452&lt;&gt;"",$F2452=项目明细账!$C$2),N(V2451)+1,N(V2451))</f>
        <v>0</v>
      </c>
      <c r="W2452" s="63" t="str">
        <f>IF($H2452&lt;&gt;"","项目成本",IFERROR(INDEX(基础资料!$W$4:$W$49,MATCH($I2452,基础资料!$V$4:$V$49,0)),""))</f>
        <v/>
      </c>
      <c r="X2452" s="63" t="str">
        <f>IFERROR(INDEX(基础资料!$R$4:$R$17,MATCH($G2452,基础资料!$Q$4:$Q$17,0)),"")</f>
        <v/>
      </c>
    </row>
    <row r="2453" spans="1:24">
      <c r="A2453" s="58" t="str">
        <f>IF($B2453="","",COUNTA($B$5:$B2453))</f>
        <v/>
      </c>
      <c r="B2453" s="53"/>
      <c r="C2453" s="46"/>
      <c r="D2453" s="63" t="str">
        <f>IFERROR(INDEX(基础资料!$F$4:$F$23,MATCH($C2453,基础资料!$E$4:$E$23,0)),IF($C2453="","","未匹配账户"))</f>
        <v/>
      </c>
      <c r="E2453" s="39"/>
      <c r="F2453" s="10"/>
      <c r="G2453" s="10"/>
      <c r="H2453" s="10"/>
      <c r="I2453" s="10"/>
      <c r="J2453" s="10"/>
      <c r="K2453" s="25"/>
      <c r="L2453" s="25"/>
      <c r="M2453" s="25" t="str">
        <f>IFERROR(VLOOKUP($C2453,$C$5:$M$24,11,0)+SUMIF($C$25:$C2453,$C2453,$K$25:$K2453)-SUMIF($C$25:$C2453,$C2453,$L$25:$L2453),"")</f>
        <v/>
      </c>
      <c r="N2453" s="10"/>
      <c r="O2453" s="10"/>
      <c r="P2453" s="65"/>
      <c r="Q2453" s="10"/>
      <c r="R2453" s="10"/>
      <c r="S2453" s="54" t="str">
        <f t="shared" si="120"/>
        <v/>
      </c>
      <c r="T2453" s="54" t="str">
        <f t="shared" si="121"/>
        <v/>
      </c>
      <c r="U2453" s="58" t="str">
        <f t="shared" si="122"/>
        <v/>
      </c>
      <c r="V2453" s="58">
        <f>IF(AND($B2453&lt;&gt;"",$F2453&lt;&gt;"",$F2453=项目明细账!$C$2),N(V2452)+1,N(V2452))</f>
        <v>0</v>
      </c>
      <c r="W2453" s="63" t="str">
        <f>IF($H2453&lt;&gt;"","项目成本",IFERROR(INDEX(基础资料!$W$4:$W$49,MATCH($I2453,基础资料!$V$4:$V$49,0)),""))</f>
        <v/>
      </c>
      <c r="X2453" s="63" t="str">
        <f>IFERROR(INDEX(基础资料!$R$4:$R$17,MATCH($G2453,基础资料!$Q$4:$Q$17,0)),"")</f>
        <v/>
      </c>
    </row>
    <row r="2454" spans="1:24">
      <c r="A2454" s="58" t="str">
        <f>IF($B2454="","",COUNTA($B$5:$B2454))</f>
        <v/>
      </c>
      <c r="B2454" s="53"/>
      <c r="C2454" s="46"/>
      <c r="D2454" s="63" t="str">
        <f>IFERROR(INDEX(基础资料!$F$4:$F$23,MATCH($C2454,基础资料!$E$4:$E$23,0)),IF($C2454="","","未匹配账户"))</f>
        <v/>
      </c>
      <c r="E2454" s="39"/>
      <c r="F2454" s="10"/>
      <c r="G2454" s="10"/>
      <c r="H2454" s="10"/>
      <c r="I2454" s="10"/>
      <c r="J2454" s="10"/>
      <c r="K2454" s="25"/>
      <c r="L2454" s="25"/>
      <c r="M2454" s="25" t="str">
        <f>IFERROR(VLOOKUP($C2454,$C$5:$M$24,11,0)+SUMIF($C$25:$C2454,$C2454,$K$25:$K2454)-SUMIF($C$25:$C2454,$C2454,$L$25:$L2454),"")</f>
        <v/>
      </c>
      <c r="N2454" s="10"/>
      <c r="O2454" s="10"/>
      <c r="P2454" s="65"/>
      <c r="Q2454" s="10"/>
      <c r="R2454" s="10"/>
      <c r="S2454" s="54" t="str">
        <f t="shared" si="120"/>
        <v/>
      </c>
      <c r="T2454" s="54" t="str">
        <f t="shared" si="121"/>
        <v/>
      </c>
      <c r="U2454" s="58" t="str">
        <f t="shared" si="122"/>
        <v/>
      </c>
      <c r="V2454" s="58">
        <f>IF(AND($B2454&lt;&gt;"",$F2454&lt;&gt;"",$F2454=项目明细账!$C$2),N(V2453)+1,N(V2453))</f>
        <v>0</v>
      </c>
      <c r="W2454" s="63" t="str">
        <f>IF($H2454&lt;&gt;"","项目成本",IFERROR(INDEX(基础资料!$W$4:$W$49,MATCH($I2454,基础资料!$V$4:$V$49,0)),""))</f>
        <v/>
      </c>
      <c r="X2454" s="63" t="str">
        <f>IFERROR(INDEX(基础资料!$R$4:$R$17,MATCH($G2454,基础资料!$Q$4:$Q$17,0)),"")</f>
        <v/>
      </c>
    </row>
    <row r="2455" spans="1:24">
      <c r="A2455" s="58" t="str">
        <f>IF($B2455="","",COUNTA($B$5:$B2455))</f>
        <v/>
      </c>
      <c r="B2455" s="53"/>
      <c r="C2455" s="46"/>
      <c r="D2455" s="63" t="str">
        <f>IFERROR(INDEX(基础资料!$F$4:$F$23,MATCH($C2455,基础资料!$E$4:$E$23,0)),IF($C2455="","","未匹配账户"))</f>
        <v/>
      </c>
      <c r="E2455" s="39"/>
      <c r="F2455" s="10"/>
      <c r="G2455" s="10"/>
      <c r="H2455" s="10"/>
      <c r="I2455" s="10"/>
      <c r="J2455" s="10"/>
      <c r="K2455" s="25"/>
      <c r="L2455" s="25"/>
      <c r="M2455" s="25" t="str">
        <f>IFERROR(VLOOKUP($C2455,$C$5:$M$24,11,0)+SUMIF($C$25:$C2455,$C2455,$K$25:$K2455)-SUMIF($C$25:$C2455,$C2455,$L$25:$L2455),"")</f>
        <v/>
      </c>
      <c r="N2455" s="10"/>
      <c r="O2455" s="10"/>
      <c r="P2455" s="65"/>
      <c r="Q2455" s="10"/>
      <c r="R2455" s="10"/>
      <c r="S2455" s="54" t="str">
        <f t="shared" si="120"/>
        <v/>
      </c>
      <c r="T2455" s="54" t="str">
        <f t="shared" si="121"/>
        <v/>
      </c>
      <c r="U2455" s="58" t="str">
        <f t="shared" si="122"/>
        <v/>
      </c>
      <c r="V2455" s="58">
        <f>IF(AND($B2455&lt;&gt;"",$F2455&lt;&gt;"",$F2455=项目明细账!$C$2),N(V2454)+1,N(V2454))</f>
        <v>0</v>
      </c>
      <c r="W2455" s="63" t="str">
        <f>IF($H2455&lt;&gt;"","项目成本",IFERROR(INDEX(基础资料!$W$4:$W$49,MATCH($I2455,基础资料!$V$4:$V$49,0)),""))</f>
        <v/>
      </c>
      <c r="X2455" s="63" t="str">
        <f>IFERROR(INDEX(基础资料!$R$4:$R$17,MATCH($G2455,基础资料!$Q$4:$Q$17,0)),"")</f>
        <v/>
      </c>
    </row>
    <row r="2456" spans="1:24">
      <c r="A2456" s="58" t="str">
        <f>IF($B2456="","",COUNTA($B$5:$B2456))</f>
        <v/>
      </c>
      <c r="B2456" s="53"/>
      <c r="C2456" s="46"/>
      <c r="D2456" s="63" t="str">
        <f>IFERROR(INDEX(基础资料!$F$4:$F$23,MATCH($C2456,基础资料!$E$4:$E$23,0)),IF($C2456="","","未匹配账户"))</f>
        <v/>
      </c>
      <c r="E2456" s="39"/>
      <c r="F2456" s="10"/>
      <c r="G2456" s="10"/>
      <c r="H2456" s="10"/>
      <c r="I2456" s="10"/>
      <c r="J2456" s="10"/>
      <c r="K2456" s="25"/>
      <c r="L2456" s="25"/>
      <c r="M2456" s="25" t="str">
        <f>IFERROR(VLOOKUP($C2456,$C$5:$M$24,11,0)+SUMIF($C$25:$C2456,$C2456,$K$25:$K2456)-SUMIF($C$25:$C2456,$C2456,$L$25:$L2456),"")</f>
        <v/>
      </c>
      <c r="N2456" s="10"/>
      <c r="O2456" s="10"/>
      <c r="P2456" s="65"/>
      <c r="Q2456" s="10"/>
      <c r="R2456" s="10"/>
      <c r="S2456" s="54" t="str">
        <f t="shared" si="120"/>
        <v/>
      </c>
      <c r="T2456" s="54" t="str">
        <f t="shared" si="121"/>
        <v/>
      </c>
      <c r="U2456" s="58" t="str">
        <f t="shared" si="122"/>
        <v/>
      </c>
      <c r="V2456" s="58">
        <f>IF(AND($B2456&lt;&gt;"",$F2456&lt;&gt;"",$F2456=项目明细账!$C$2),N(V2455)+1,N(V2455))</f>
        <v>0</v>
      </c>
      <c r="W2456" s="63" t="str">
        <f>IF($H2456&lt;&gt;"","项目成本",IFERROR(INDEX(基础资料!$W$4:$W$49,MATCH($I2456,基础资料!$V$4:$V$49,0)),""))</f>
        <v/>
      </c>
      <c r="X2456" s="63" t="str">
        <f>IFERROR(INDEX(基础资料!$R$4:$R$17,MATCH($G2456,基础资料!$Q$4:$Q$17,0)),"")</f>
        <v/>
      </c>
    </row>
    <row r="2457" spans="1:24">
      <c r="A2457" s="58" t="str">
        <f>IF($B2457="","",COUNTA($B$5:$B2457))</f>
        <v/>
      </c>
      <c r="B2457" s="53"/>
      <c r="C2457" s="46"/>
      <c r="D2457" s="63" t="str">
        <f>IFERROR(INDEX(基础资料!$F$4:$F$23,MATCH($C2457,基础资料!$E$4:$E$23,0)),IF($C2457="","","未匹配账户"))</f>
        <v/>
      </c>
      <c r="E2457" s="39"/>
      <c r="F2457" s="10"/>
      <c r="G2457" s="10"/>
      <c r="H2457" s="10"/>
      <c r="I2457" s="10"/>
      <c r="J2457" s="10"/>
      <c r="K2457" s="25"/>
      <c r="L2457" s="25"/>
      <c r="M2457" s="25" t="str">
        <f>IFERROR(VLOOKUP($C2457,$C$5:$M$24,11,0)+SUMIF($C$25:$C2457,$C2457,$K$25:$K2457)-SUMIF($C$25:$C2457,$C2457,$L$25:$L2457),"")</f>
        <v/>
      </c>
      <c r="N2457" s="10"/>
      <c r="O2457" s="10"/>
      <c r="P2457" s="65"/>
      <c r="Q2457" s="10"/>
      <c r="R2457" s="10"/>
      <c r="S2457" s="54" t="str">
        <f t="shared" si="120"/>
        <v/>
      </c>
      <c r="T2457" s="54" t="str">
        <f t="shared" si="121"/>
        <v/>
      </c>
      <c r="U2457" s="58" t="str">
        <f t="shared" si="122"/>
        <v/>
      </c>
      <c r="V2457" s="58">
        <f>IF(AND($B2457&lt;&gt;"",$F2457&lt;&gt;"",$F2457=项目明细账!$C$2),N(V2456)+1,N(V2456))</f>
        <v>0</v>
      </c>
      <c r="W2457" s="63" t="str">
        <f>IF($H2457&lt;&gt;"","项目成本",IFERROR(INDEX(基础资料!$W$4:$W$49,MATCH($I2457,基础资料!$V$4:$V$49,0)),""))</f>
        <v/>
      </c>
      <c r="X2457" s="63" t="str">
        <f>IFERROR(INDEX(基础资料!$R$4:$R$17,MATCH($G2457,基础资料!$Q$4:$Q$17,0)),"")</f>
        <v/>
      </c>
    </row>
    <row r="2458" spans="1:24">
      <c r="A2458" s="58" t="str">
        <f>IF($B2458="","",COUNTA($B$5:$B2458))</f>
        <v/>
      </c>
      <c r="B2458" s="53"/>
      <c r="C2458" s="46"/>
      <c r="D2458" s="63" t="str">
        <f>IFERROR(INDEX(基础资料!$F$4:$F$23,MATCH($C2458,基础资料!$E$4:$E$23,0)),IF($C2458="","","未匹配账户"))</f>
        <v/>
      </c>
      <c r="E2458" s="39"/>
      <c r="F2458" s="10"/>
      <c r="G2458" s="10"/>
      <c r="H2458" s="10"/>
      <c r="I2458" s="10"/>
      <c r="J2458" s="10"/>
      <c r="K2458" s="25"/>
      <c r="L2458" s="25"/>
      <c r="M2458" s="25" t="str">
        <f>IFERROR(VLOOKUP($C2458,$C$5:$M$24,11,0)+SUMIF($C$25:$C2458,$C2458,$K$25:$K2458)-SUMIF($C$25:$C2458,$C2458,$L$25:$L2458),"")</f>
        <v/>
      </c>
      <c r="N2458" s="10"/>
      <c r="O2458" s="10"/>
      <c r="P2458" s="65"/>
      <c r="Q2458" s="10"/>
      <c r="R2458" s="10"/>
      <c r="S2458" s="54" t="str">
        <f t="shared" si="120"/>
        <v/>
      </c>
      <c r="T2458" s="54" t="str">
        <f t="shared" si="121"/>
        <v/>
      </c>
      <c r="U2458" s="58" t="str">
        <f t="shared" si="122"/>
        <v/>
      </c>
      <c r="V2458" s="58">
        <f>IF(AND($B2458&lt;&gt;"",$F2458&lt;&gt;"",$F2458=项目明细账!$C$2),N(V2457)+1,N(V2457))</f>
        <v>0</v>
      </c>
      <c r="W2458" s="63" t="str">
        <f>IF($H2458&lt;&gt;"","项目成本",IFERROR(INDEX(基础资料!$W$4:$W$49,MATCH($I2458,基础资料!$V$4:$V$49,0)),""))</f>
        <v/>
      </c>
      <c r="X2458" s="63" t="str">
        <f>IFERROR(INDEX(基础资料!$R$4:$R$17,MATCH($G2458,基础资料!$Q$4:$Q$17,0)),"")</f>
        <v/>
      </c>
    </row>
    <row r="2459" spans="1:24">
      <c r="A2459" s="58" t="str">
        <f>IF($B2459="","",COUNTA($B$5:$B2459))</f>
        <v/>
      </c>
      <c r="B2459" s="53"/>
      <c r="C2459" s="46"/>
      <c r="D2459" s="63" t="str">
        <f>IFERROR(INDEX(基础资料!$F$4:$F$23,MATCH($C2459,基础资料!$E$4:$E$23,0)),IF($C2459="","","未匹配账户"))</f>
        <v/>
      </c>
      <c r="E2459" s="39"/>
      <c r="F2459" s="10"/>
      <c r="G2459" s="10"/>
      <c r="H2459" s="10"/>
      <c r="I2459" s="10"/>
      <c r="J2459" s="10"/>
      <c r="K2459" s="25"/>
      <c r="L2459" s="25"/>
      <c r="M2459" s="25" t="str">
        <f>IFERROR(VLOOKUP($C2459,$C$5:$M$24,11,0)+SUMIF($C$25:$C2459,$C2459,$K$25:$K2459)-SUMIF($C$25:$C2459,$C2459,$L$25:$L2459),"")</f>
        <v/>
      </c>
      <c r="N2459" s="10"/>
      <c r="O2459" s="10"/>
      <c r="P2459" s="65"/>
      <c r="Q2459" s="10"/>
      <c r="R2459" s="10"/>
      <c r="S2459" s="54" t="str">
        <f t="shared" si="120"/>
        <v/>
      </c>
      <c r="T2459" s="54" t="str">
        <f t="shared" si="121"/>
        <v/>
      </c>
      <c r="U2459" s="58" t="str">
        <f t="shared" si="122"/>
        <v/>
      </c>
      <c r="V2459" s="58">
        <f>IF(AND($B2459&lt;&gt;"",$F2459&lt;&gt;"",$F2459=项目明细账!$C$2),N(V2458)+1,N(V2458))</f>
        <v>0</v>
      </c>
      <c r="W2459" s="63" t="str">
        <f>IF($H2459&lt;&gt;"","项目成本",IFERROR(INDEX(基础资料!$W$4:$W$49,MATCH($I2459,基础资料!$V$4:$V$49,0)),""))</f>
        <v/>
      </c>
      <c r="X2459" s="63" t="str">
        <f>IFERROR(INDEX(基础资料!$R$4:$R$17,MATCH($G2459,基础资料!$Q$4:$Q$17,0)),"")</f>
        <v/>
      </c>
    </row>
    <row r="2460" spans="1:24">
      <c r="A2460" s="58" t="str">
        <f>IF($B2460="","",COUNTA($B$5:$B2460))</f>
        <v/>
      </c>
      <c r="B2460" s="53"/>
      <c r="C2460" s="46"/>
      <c r="D2460" s="63" t="str">
        <f>IFERROR(INDEX(基础资料!$F$4:$F$23,MATCH($C2460,基础资料!$E$4:$E$23,0)),IF($C2460="","","未匹配账户"))</f>
        <v/>
      </c>
      <c r="E2460" s="39"/>
      <c r="F2460" s="10"/>
      <c r="G2460" s="10"/>
      <c r="H2460" s="10"/>
      <c r="I2460" s="10"/>
      <c r="J2460" s="10"/>
      <c r="K2460" s="25"/>
      <c r="L2460" s="25"/>
      <c r="M2460" s="25" t="str">
        <f>IFERROR(VLOOKUP($C2460,$C$5:$M$24,11,0)+SUMIF($C$25:$C2460,$C2460,$K$25:$K2460)-SUMIF($C$25:$C2460,$C2460,$L$25:$L2460),"")</f>
        <v/>
      </c>
      <c r="N2460" s="10"/>
      <c r="O2460" s="10"/>
      <c r="P2460" s="65"/>
      <c r="Q2460" s="10"/>
      <c r="R2460" s="10"/>
      <c r="S2460" s="54" t="str">
        <f t="shared" si="120"/>
        <v/>
      </c>
      <c r="T2460" s="54" t="str">
        <f t="shared" si="121"/>
        <v/>
      </c>
      <c r="U2460" s="58" t="str">
        <f t="shared" si="122"/>
        <v/>
      </c>
      <c r="V2460" s="58">
        <f>IF(AND($B2460&lt;&gt;"",$F2460&lt;&gt;"",$F2460=项目明细账!$C$2),N(V2459)+1,N(V2459))</f>
        <v>0</v>
      </c>
      <c r="W2460" s="63" t="str">
        <f>IF($H2460&lt;&gt;"","项目成本",IFERROR(INDEX(基础资料!$W$4:$W$49,MATCH($I2460,基础资料!$V$4:$V$49,0)),""))</f>
        <v/>
      </c>
      <c r="X2460" s="63" t="str">
        <f>IFERROR(INDEX(基础资料!$R$4:$R$17,MATCH($G2460,基础资料!$Q$4:$Q$17,0)),"")</f>
        <v/>
      </c>
    </row>
    <row r="2461" spans="1:24">
      <c r="A2461" s="58" t="str">
        <f>IF($B2461="","",COUNTA($B$5:$B2461))</f>
        <v/>
      </c>
      <c r="B2461" s="53"/>
      <c r="C2461" s="46"/>
      <c r="D2461" s="63" t="str">
        <f>IFERROR(INDEX(基础资料!$F$4:$F$23,MATCH($C2461,基础资料!$E$4:$E$23,0)),IF($C2461="","","未匹配账户"))</f>
        <v/>
      </c>
      <c r="E2461" s="39"/>
      <c r="F2461" s="10"/>
      <c r="G2461" s="10"/>
      <c r="H2461" s="10"/>
      <c r="I2461" s="10"/>
      <c r="J2461" s="10"/>
      <c r="K2461" s="25"/>
      <c r="L2461" s="25"/>
      <c r="M2461" s="25" t="str">
        <f>IFERROR(VLOOKUP($C2461,$C$5:$M$24,11,0)+SUMIF($C$25:$C2461,$C2461,$K$25:$K2461)-SUMIF($C$25:$C2461,$C2461,$L$25:$L2461),"")</f>
        <v/>
      </c>
      <c r="N2461" s="10"/>
      <c r="O2461" s="10"/>
      <c r="P2461" s="65"/>
      <c r="Q2461" s="10"/>
      <c r="R2461" s="10"/>
      <c r="S2461" s="54" t="str">
        <f t="shared" si="120"/>
        <v/>
      </c>
      <c r="T2461" s="54" t="str">
        <f t="shared" si="121"/>
        <v/>
      </c>
      <c r="U2461" s="58" t="str">
        <f t="shared" si="122"/>
        <v/>
      </c>
      <c r="V2461" s="58">
        <f>IF(AND($B2461&lt;&gt;"",$F2461&lt;&gt;"",$F2461=项目明细账!$C$2),N(V2460)+1,N(V2460))</f>
        <v>0</v>
      </c>
      <c r="W2461" s="63" t="str">
        <f>IF($H2461&lt;&gt;"","项目成本",IFERROR(INDEX(基础资料!$W$4:$W$49,MATCH($I2461,基础资料!$V$4:$V$49,0)),""))</f>
        <v/>
      </c>
      <c r="X2461" s="63" t="str">
        <f>IFERROR(INDEX(基础资料!$R$4:$R$17,MATCH($G2461,基础资料!$Q$4:$Q$17,0)),"")</f>
        <v/>
      </c>
    </row>
    <row r="2462" spans="1:24">
      <c r="A2462" s="58" t="str">
        <f>IF($B2462="","",COUNTA($B$5:$B2462))</f>
        <v/>
      </c>
      <c r="B2462" s="53"/>
      <c r="C2462" s="46"/>
      <c r="D2462" s="63" t="str">
        <f>IFERROR(INDEX(基础资料!$F$4:$F$23,MATCH($C2462,基础资料!$E$4:$E$23,0)),IF($C2462="","","未匹配账户"))</f>
        <v/>
      </c>
      <c r="E2462" s="39"/>
      <c r="F2462" s="10"/>
      <c r="G2462" s="10"/>
      <c r="H2462" s="10"/>
      <c r="I2462" s="10"/>
      <c r="J2462" s="10"/>
      <c r="K2462" s="25"/>
      <c r="L2462" s="25"/>
      <c r="M2462" s="25" t="str">
        <f>IFERROR(VLOOKUP($C2462,$C$5:$M$24,11,0)+SUMIF($C$25:$C2462,$C2462,$K$25:$K2462)-SUMIF($C$25:$C2462,$C2462,$L$25:$L2462),"")</f>
        <v/>
      </c>
      <c r="N2462" s="10"/>
      <c r="O2462" s="10"/>
      <c r="P2462" s="65"/>
      <c r="Q2462" s="10"/>
      <c r="R2462" s="10"/>
      <c r="S2462" s="54" t="str">
        <f t="shared" si="120"/>
        <v/>
      </c>
      <c r="T2462" s="54" t="str">
        <f t="shared" si="121"/>
        <v/>
      </c>
      <c r="U2462" s="58" t="str">
        <f t="shared" si="122"/>
        <v/>
      </c>
      <c r="V2462" s="58">
        <f>IF(AND($B2462&lt;&gt;"",$F2462&lt;&gt;"",$F2462=项目明细账!$C$2),N(V2461)+1,N(V2461))</f>
        <v>0</v>
      </c>
      <c r="W2462" s="63" t="str">
        <f>IF($H2462&lt;&gt;"","项目成本",IFERROR(INDEX(基础资料!$W$4:$W$49,MATCH($I2462,基础资料!$V$4:$V$49,0)),""))</f>
        <v/>
      </c>
      <c r="X2462" s="63" t="str">
        <f>IFERROR(INDEX(基础资料!$R$4:$R$17,MATCH($G2462,基础资料!$Q$4:$Q$17,0)),"")</f>
        <v/>
      </c>
    </row>
    <row r="2463" spans="1:24">
      <c r="A2463" s="58" t="str">
        <f>IF($B2463="","",COUNTA($B$5:$B2463))</f>
        <v/>
      </c>
      <c r="B2463" s="53"/>
      <c r="C2463" s="46"/>
      <c r="D2463" s="63" t="str">
        <f>IFERROR(INDEX(基础资料!$F$4:$F$23,MATCH($C2463,基础资料!$E$4:$E$23,0)),IF($C2463="","","未匹配账户"))</f>
        <v/>
      </c>
      <c r="E2463" s="39"/>
      <c r="F2463" s="10"/>
      <c r="G2463" s="10"/>
      <c r="H2463" s="10"/>
      <c r="I2463" s="10"/>
      <c r="J2463" s="10"/>
      <c r="K2463" s="25"/>
      <c r="L2463" s="25"/>
      <c r="M2463" s="25" t="str">
        <f>IFERROR(VLOOKUP($C2463,$C$5:$M$24,11,0)+SUMIF($C$25:$C2463,$C2463,$K$25:$K2463)-SUMIF($C$25:$C2463,$C2463,$L$25:$L2463),"")</f>
        <v/>
      </c>
      <c r="N2463" s="10"/>
      <c r="O2463" s="10"/>
      <c r="P2463" s="65"/>
      <c r="Q2463" s="10"/>
      <c r="R2463" s="10"/>
      <c r="S2463" s="54" t="str">
        <f t="shared" si="120"/>
        <v/>
      </c>
      <c r="T2463" s="54" t="str">
        <f t="shared" si="121"/>
        <v/>
      </c>
      <c r="U2463" s="58" t="str">
        <f t="shared" si="122"/>
        <v/>
      </c>
      <c r="V2463" s="58">
        <f>IF(AND($B2463&lt;&gt;"",$F2463&lt;&gt;"",$F2463=项目明细账!$C$2),N(V2462)+1,N(V2462))</f>
        <v>0</v>
      </c>
      <c r="W2463" s="63" t="str">
        <f>IF($H2463&lt;&gt;"","项目成本",IFERROR(INDEX(基础资料!$W$4:$W$49,MATCH($I2463,基础资料!$V$4:$V$49,0)),""))</f>
        <v/>
      </c>
      <c r="X2463" s="63" t="str">
        <f>IFERROR(INDEX(基础资料!$R$4:$R$17,MATCH($G2463,基础资料!$Q$4:$Q$17,0)),"")</f>
        <v/>
      </c>
    </row>
    <row r="2464" spans="1:24">
      <c r="A2464" s="58" t="str">
        <f>IF($B2464="","",COUNTA($B$5:$B2464))</f>
        <v/>
      </c>
      <c r="B2464" s="53"/>
      <c r="C2464" s="46"/>
      <c r="D2464" s="63" t="str">
        <f>IFERROR(INDEX(基础资料!$F$4:$F$23,MATCH($C2464,基础资料!$E$4:$E$23,0)),IF($C2464="","","未匹配账户"))</f>
        <v/>
      </c>
      <c r="E2464" s="39"/>
      <c r="F2464" s="10"/>
      <c r="G2464" s="10"/>
      <c r="H2464" s="10"/>
      <c r="I2464" s="10"/>
      <c r="J2464" s="10"/>
      <c r="K2464" s="25"/>
      <c r="L2464" s="25"/>
      <c r="M2464" s="25" t="str">
        <f>IFERROR(VLOOKUP($C2464,$C$5:$M$24,11,0)+SUMIF($C$25:$C2464,$C2464,$K$25:$K2464)-SUMIF($C$25:$C2464,$C2464,$L$25:$L2464),"")</f>
        <v/>
      </c>
      <c r="N2464" s="10"/>
      <c r="O2464" s="10"/>
      <c r="P2464" s="65"/>
      <c r="Q2464" s="10"/>
      <c r="R2464" s="10"/>
      <c r="S2464" s="54" t="str">
        <f t="shared" si="120"/>
        <v/>
      </c>
      <c r="T2464" s="54" t="str">
        <f t="shared" si="121"/>
        <v/>
      </c>
      <c r="U2464" s="58" t="str">
        <f t="shared" si="122"/>
        <v/>
      </c>
      <c r="V2464" s="58">
        <f>IF(AND($B2464&lt;&gt;"",$F2464&lt;&gt;"",$F2464=项目明细账!$C$2),N(V2463)+1,N(V2463))</f>
        <v>0</v>
      </c>
      <c r="W2464" s="63" t="str">
        <f>IF($H2464&lt;&gt;"","项目成本",IFERROR(INDEX(基础资料!$W$4:$W$49,MATCH($I2464,基础资料!$V$4:$V$49,0)),""))</f>
        <v/>
      </c>
      <c r="X2464" s="63" t="str">
        <f>IFERROR(INDEX(基础资料!$R$4:$R$17,MATCH($G2464,基础资料!$Q$4:$Q$17,0)),"")</f>
        <v/>
      </c>
    </row>
    <row r="2465" spans="1:24">
      <c r="A2465" s="58" t="str">
        <f>IF($B2465="","",COUNTA($B$5:$B2465))</f>
        <v/>
      </c>
      <c r="B2465" s="53"/>
      <c r="C2465" s="46"/>
      <c r="D2465" s="63" t="str">
        <f>IFERROR(INDEX(基础资料!$F$4:$F$23,MATCH($C2465,基础资料!$E$4:$E$23,0)),IF($C2465="","","未匹配账户"))</f>
        <v/>
      </c>
      <c r="E2465" s="39"/>
      <c r="F2465" s="10"/>
      <c r="G2465" s="10"/>
      <c r="H2465" s="10"/>
      <c r="I2465" s="10"/>
      <c r="J2465" s="10"/>
      <c r="K2465" s="25"/>
      <c r="L2465" s="25"/>
      <c r="M2465" s="25" t="str">
        <f>IFERROR(VLOOKUP($C2465,$C$5:$M$24,11,0)+SUMIF($C$25:$C2465,$C2465,$K$25:$K2465)-SUMIF($C$25:$C2465,$C2465,$L$25:$L2465),"")</f>
        <v/>
      </c>
      <c r="N2465" s="10"/>
      <c r="O2465" s="10"/>
      <c r="P2465" s="65"/>
      <c r="Q2465" s="10"/>
      <c r="R2465" s="10"/>
      <c r="S2465" s="54" t="str">
        <f t="shared" si="120"/>
        <v/>
      </c>
      <c r="T2465" s="54" t="str">
        <f t="shared" si="121"/>
        <v/>
      </c>
      <c r="U2465" s="58" t="str">
        <f t="shared" si="122"/>
        <v/>
      </c>
      <c r="V2465" s="58">
        <f>IF(AND($B2465&lt;&gt;"",$F2465&lt;&gt;"",$F2465=项目明细账!$C$2),N(V2464)+1,N(V2464))</f>
        <v>0</v>
      </c>
      <c r="W2465" s="63" t="str">
        <f>IF($H2465&lt;&gt;"","项目成本",IFERROR(INDEX(基础资料!$W$4:$W$49,MATCH($I2465,基础资料!$V$4:$V$49,0)),""))</f>
        <v/>
      </c>
      <c r="X2465" s="63" t="str">
        <f>IFERROR(INDEX(基础资料!$R$4:$R$17,MATCH($G2465,基础资料!$Q$4:$Q$17,0)),"")</f>
        <v/>
      </c>
    </row>
    <row r="2466" spans="1:24">
      <c r="A2466" s="58" t="str">
        <f>IF($B2466="","",COUNTA($B$5:$B2466))</f>
        <v/>
      </c>
      <c r="B2466" s="53"/>
      <c r="C2466" s="46"/>
      <c r="D2466" s="63" t="str">
        <f>IFERROR(INDEX(基础资料!$F$4:$F$23,MATCH($C2466,基础资料!$E$4:$E$23,0)),IF($C2466="","","未匹配账户"))</f>
        <v/>
      </c>
      <c r="E2466" s="39"/>
      <c r="F2466" s="10"/>
      <c r="G2466" s="10"/>
      <c r="H2466" s="10"/>
      <c r="I2466" s="10"/>
      <c r="J2466" s="10"/>
      <c r="K2466" s="25"/>
      <c r="L2466" s="25"/>
      <c r="M2466" s="25" t="str">
        <f>IFERROR(VLOOKUP($C2466,$C$5:$M$24,11,0)+SUMIF($C$25:$C2466,$C2466,$K$25:$K2466)-SUMIF($C$25:$C2466,$C2466,$L$25:$L2466),"")</f>
        <v/>
      </c>
      <c r="N2466" s="10"/>
      <c r="O2466" s="10"/>
      <c r="P2466" s="65"/>
      <c r="Q2466" s="10"/>
      <c r="R2466" s="10"/>
      <c r="S2466" s="54" t="str">
        <f t="shared" si="120"/>
        <v/>
      </c>
      <c r="T2466" s="54" t="str">
        <f t="shared" si="121"/>
        <v/>
      </c>
      <c r="U2466" s="58" t="str">
        <f t="shared" si="122"/>
        <v/>
      </c>
      <c r="V2466" s="58">
        <f>IF(AND($B2466&lt;&gt;"",$F2466&lt;&gt;"",$F2466=项目明细账!$C$2),N(V2465)+1,N(V2465))</f>
        <v>0</v>
      </c>
      <c r="W2466" s="63" t="str">
        <f>IF($H2466&lt;&gt;"","项目成本",IFERROR(INDEX(基础资料!$W$4:$W$49,MATCH($I2466,基础资料!$V$4:$V$49,0)),""))</f>
        <v/>
      </c>
      <c r="X2466" s="63" t="str">
        <f>IFERROR(INDEX(基础资料!$R$4:$R$17,MATCH($G2466,基础资料!$Q$4:$Q$17,0)),"")</f>
        <v/>
      </c>
    </row>
    <row r="2467" spans="1:24">
      <c r="A2467" s="58" t="str">
        <f>IF($B2467="","",COUNTA($B$5:$B2467))</f>
        <v/>
      </c>
      <c r="B2467" s="53"/>
      <c r="C2467" s="46"/>
      <c r="D2467" s="63" t="str">
        <f>IFERROR(INDEX(基础资料!$F$4:$F$23,MATCH($C2467,基础资料!$E$4:$E$23,0)),IF($C2467="","","未匹配账户"))</f>
        <v/>
      </c>
      <c r="E2467" s="39"/>
      <c r="F2467" s="10"/>
      <c r="G2467" s="10"/>
      <c r="H2467" s="10"/>
      <c r="I2467" s="10"/>
      <c r="J2467" s="10"/>
      <c r="K2467" s="25"/>
      <c r="L2467" s="25"/>
      <c r="M2467" s="25" t="str">
        <f>IFERROR(VLOOKUP($C2467,$C$5:$M$24,11,0)+SUMIF($C$25:$C2467,$C2467,$K$25:$K2467)-SUMIF($C$25:$C2467,$C2467,$L$25:$L2467),"")</f>
        <v/>
      </c>
      <c r="N2467" s="10"/>
      <c r="O2467" s="10"/>
      <c r="P2467" s="65"/>
      <c r="Q2467" s="10"/>
      <c r="R2467" s="10"/>
      <c r="S2467" s="54" t="str">
        <f t="shared" si="120"/>
        <v/>
      </c>
      <c r="T2467" s="54" t="str">
        <f t="shared" si="121"/>
        <v/>
      </c>
      <c r="U2467" s="58" t="str">
        <f t="shared" si="122"/>
        <v/>
      </c>
      <c r="V2467" s="58">
        <f>IF(AND($B2467&lt;&gt;"",$F2467&lt;&gt;"",$F2467=项目明细账!$C$2),N(V2466)+1,N(V2466))</f>
        <v>0</v>
      </c>
      <c r="W2467" s="63" t="str">
        <f>IF($H2467&lt;&gt;"","项目成本",IFERROR(INDEX(基础资料!$W$4:$W$49,MATCH($I2467,基础资料!$V$4:$V$49,0)),""))</f>
        <v/>
      </c>
      <c r="X2467" s="63" t="str">
        <f>IFERROR(INDEX(基础资料!$R$4:$R$17,MATCH($G2467,基础资料!$Q$4:$Q$17,0)),"")</f>
        <v/>
      </c>
    </row>
    <row r="2468" spans="1:24">
      <c r="A2468" s="58" t="str">
        <f>IF($B2468="","",COUNTA($B$5:$B2468))</f>
        <v/>
      </c>
      <c r="B2468" s="53"/>
      <c r="C2468" s="46"/>
      <c r="D2468" s="63" t="str">
        <f>IFERROR(INDEX(基础资料!$F$4:$F$23,MATCH($C2468,基础资料!$E$4:$E$23,0)),IF($C2468="","","未匹配账户"))</f>
        <v/>
      </c>
      <c r="E2468" s="39"/>
      <c r="F2468" s="10"/>
      <c r="G2468" s="10"/>
      <c r="H2468" s="10"/>
      <c r="I2468" s="10"/>
      <c r="J2468" s="10"/>
      <c r="K2468" s="25"/>
      <c r="L2468" s="25"/>
      <c r="M2468" s="25" t="str">
        <f>IFERROR(VLOOKUP($C2468,$C$5:$M$24,11,0)+SUMIF($C$25:$C2468,$C2468,$K$25:$K2468)-SUMIF($C$25:$C2468,$C2468,$L$25:$L2468),"")</f>
        <v/>
      </c>
      <c r="N2468" s="10"/>
      <c r="O2468" s="10"/>
      <c r="P2468" s="65"/>
      <c r="Q2468" s="10"/>
      <c r="R2468" s="10"/>
      <c r="S2468" s="54" t="str">
        <f t="shared" si="120"/>
        <v/>
      </c>
      <c r="T2468" s="54" t="str">
        <f t="shared" si="121"/>
        <v/>
      </c>
      <c r="U2468" s="58" t="str">
        <f t="shared" si="122"/>
        <v/>
      </c>
      <c r="V2468" s="58">
        <f>IF(AND($B2468&lt;&gt;"",$F2468&lt;&gt;"",$F2468=项目明细账!$C$2),N(V2467)+1,N(V2467))</f>
        <v>0</v>
      </c>
      <c r="W2468" s="63" t="str">
        <f>IF($H2468&lt;&gt;"","项目成本",IFERROR(INDEX(基础资料!$W$4:$W$49,MATCH($I2468,基础资料!$V$4:$V$49,0)),""))</f>
        <v/>
      </c>
      <c r="X2468" s="63" t="str">
        <f>IFERROR(INDEX(基础资料!$R$4:$R$17,MATCH($G2468,基础资料!$Q$4:$Q$17,0)),"")</f>
        <v/>
      </c>
    </row>
    <row r="2469" spans="1:24">
      <c r="A2469" s="58" t="str">
        <f>IF($B2469="","",COUNTA($B$5:$B2469))</f>
        <v/>
      </c>
      <c r="B2469" s="53"/>
      <c r="C2469" s="46"/>
      <c r="D2469" s="63" t="str">
        <f>IFERROR(INDEX(基础资料!$F$4:$F$23,MATCH($C2469,基础资料!$E$4:$E$23,0)),IF($C2469="","","未匹配账户"))</f>
        <v/>
      </c>
      <c r="E2469" s="39"/>
      <c r="F2469" s="10"/>
      <c r="G2469" s="10"/>
      <c r="H2469" s="10"/>
      <c r="I2469" s="10"/>
      <c r="J2469" s="10"/>
      <c r="K2469" s="25"/>
      <c r="L2469" s="25"/>
      <c r="M2469" s="25" t="str">
        <f>IFERROR(VLOOKUP($C2469,$C$5:$M$24,11,0)+SUMIF($C$25:$C2469,$C2469,$K$25:$K2469)-SUMIF($C$25:$C2469,$C2469,$L$25:$L2469),"")</f>
        <v/>
      </c>
      <c r="N2469" s="10"/>
      <c r="O2469" s="10"/>
      <c r="P2469" s="65"/>
      <c r="Q2469" s="10"/>
      <c r="R2469" s="10"/>
      <c r="S2469" s="54" t="str">
        <f t="shared" si="120"/>
        <v/>
      </c>
      <c r="T2469" s="54" t="str">
        <f t="shared" si="121"/>
        <v/>
      </c>
      <c r="U2469" s="58" t="str">
        <f t="shared" si="122"/>
        <v/>
      </c>
      <c r="V2469" s="58">
        <f>IF(AND($B2469&lt;&gt;"",$F2469&lt;&gt;"",$F2469=项目明细账!$C$2),N(V2468)+1,N(V2468))</f>
        <v>0</v>
      </c>
      <c r="W2469" s="63" t="str">
        <f>IF($H2469&lt;&gt;"","项目成本",IFERROR(INDEX(基础资料!$W$4:$W$49,MATCH($I2469,基础资料!$V$4:$V$49,0)),""))</f>
        <v/>
      </c>
      <c r="X2469" s="63" t="str">
        <f>IFERROR(INDEX(基础资料!$R$4:$R$17,MATCH($G2469,基础资料!$Q$4:$Q$17,0)),"")</f>
        <v/>
      </c>
    </row>
    <row r="2470" spans="1:24">
      <c r="A2470" s="58" t="str">
        <f>IF($B2470="","",COUNTA($B$5:$B2470))</f>
        <v/>
      </c>
      <c r="B2470" s="53"/>
      <c r="C2470" s="46"/>
      <c r="D2470" s="63" t="str">
        <f>IFERROR(INDEX(基础资料!$F$4:$F$23,MATCH($C2470,基础资料!$E$4:$E$23,0)),IF($C2470="","","未匹配账户"))</f>
        <v/>
      </c>
      <c r="E2470" s="39"/>
      <c r="F2470" s="10"/>
      <c r="G2470" s="10"/>
      <c r="H2470" s="10"/>
      <c r="I2470" s="10"/>
      <c r="J2470" s="10"/>
      <c r="K2470" s="25"/>
      <c r="L2470" s="25"/>
      <c r="M2470" s="25" t="str">
        <f>IFERROR(VLOOKUP($C2470,$C$5:$M$24,11,0)+SUMIF($C$25:$C2470,$C2470,$K$25:$K2470)-SUMIF($C$25:$C2470,$C2470,$L$25:$L2470),"")</f>
        <v/>
      </c>
      <c r="N2470" s="10"/>
      <c r="O2470" s="10"/>
      <c r="P2470" s="65"/>
      <c r="Q2470" s="10"/>
      <c r="R2470" s="10"/>
      <c r="S2470" s="54" t="str">
        <f t="shared" si="120"/>
        <v/>
      </c>
      <c r="T2470" s="54" t="str">
        <f t="shared" si="121"/>
        <v/>
      </c>
      <c r="U2470" s="58" t="str">
        <f t="shared" si="122"/>
        <v/>
      </c>
      <c r="V2470" s="58">
        <f>IF(AND($B2470&lt;&gt;"",$F2470&lt;&gt;"",$F2470=项目明细账!$C$2),N(V2469)+1,N(V2469))</f>
        <v>0</v>
      </c>
      <c r="W2470" s="63" t="str">
        <f>IF($H2470&lt;&gt;"","项目成本",IFERROR(INDEX(基础资料!$W$4:$W$49,MATCH($I2470,基础资料!$V$4:$V$49,0)),""))</f>
        <v/>
      </c>
      <c r="X2470" s="63" t="str">
        <f>IFERROR(INDEX(基础资料!$R$4:$R$17,MATCH($G2470,基础资料!$Q$4:$Q$17,0)),"")</f>
        <v/>
      </c>
    </row>
    <row r="2471" spans="1:24">
      <c r="A2471" s="58" t="str">
        <f>IF($B2471="","",COUNTA($B$5:$B2471))</f>
        <v/>
      </c>
      <c r="B2471" s="53"/>
      <c r="C2471" s="46"/>
      <c r="D2471" s="63" t="str">
        <f>IFERROR(INDEX(基础资料!$F$4:$F$23,MATCH($C2471,基础资料!$E$4:$E$23,0)),IF($C2471="","","未匹配账户"))</f>
        <v/>
      </c>
      <c r="E2471" s="39"/>
      <c r="F2471" s="10"/>
      <c r="G2471" s="10"/>
      <c r="H2471" s="10"/>
      <c r="I2471" s="10"/>
      <c r="J2471" s="10"/>
      <c r="K2471" s="25"/>
      <c r="L2471" s="25"/>
      <c r="M2471" s="25" t="str">
        <f>IFERROR(VLOOKUP($C2471,$C$5:$M$24,11,0)+SUMIF($C$25:$C2471,$C2471,$K$25:$K2471)-SUMIF($C$25:$C2471,$C2471,$L$25:$L2471),"")</f>
        <v/>
      </c>
      <c r="N2471" s="10"/>
      <c r="O2471" s="10"/>
      <c r="P2471" s="65"/>
      <c r="Q2471" s="10"/>
      <c r="R2471" s="10"/>
      <c r="S2471" s="54" t="str">
        <f t="shared" si="120"/>
        <v/>
      </c>
      <c r="T2471" s="54" t="str">
        <f t="shared" si="121"/>
        <v/>
      </c>
      <c r="U2471" s="58" t="str">
        <f t="shared" si="122"/>
        <v/>
      </c>
      <c r="V2471" s="58">
        <f>IF(AND($B2471&lt;&gt;"",$F2471&lt;&gt;"",$F2471=项目明细账!$C$2),N(V2470)+1,N(V2470))</f>
        <v>0</v>
      </c>
      <c r="W2471" s="63" t="str">
        <f>IF($H2471&lt;&gt;"","项目成本",IFERROR(INDEX(基础资料!$W$4:$W$49,MATCH($I2471,基础资料!$V$4:$V$49,0)),""))</f>
        <v/>
      </c>
      <c r="X2471" s="63" t="str">
        <f>IFERROR(INDEX(基础资料!$R$4:$R$17,MATCH($G2471,基础资料!$Q$4:$Q$17,0)),"")</f>
        <v/>
      </c>
    </row>
    <row r="2472" spans="1:24">
      <c r="A2472" s="58" t="str">
        <f>IF($B2472="","",COUNTA($B$5:$B2472))</f>
        <v/>
      </c>
      <c r="B2472" s="53"/>
      <c r="C2472" s="46"/>
      <c r="D2472" s="63" t="str">
        <f>IFERROR(INDEX(基础资料!$F$4:$F$23,MATCH($C2472,基础资料!$E$4:$E$23,0)),IF($C2472="","","未匹配账户"))</f>
        <v/>
      </c>
      <c r="E2472" s="39"/>
      <c r="F2472" s="10"/>
      <c r="G2472" s="10"/>
      <c r="H2472" s="10"/>
      <c r="I2472" s="10"/>
      <c r="J2472" s="10"/>
      <c r="K2472" s="25"/>
      <c r="L2472" s="25"/>
      <c r="M2472" s="25" t="str">
        <f>IFERROR(VLOOKUP($C2472,$C$5:$M$24,11,0)+SUMIF($C$25:$C2472,$C2472,$K$25:$K2472)-SUMIF($C$25:$C2472,$C2472,$L$25:$L2472),"")</f>
        <v/>
      </c>
      <c r="N2472" s="10"/>
      <c r="O2472" s="10"/>
      <c r="P2472" s="65"/>
      <c r="Q2472" s="10"/>
      <c r="R2472" s="10"/>
      <c r="S2472" s="54" t="str">
        <f t="shared" si="120"/>
        <v/>
      </c>
      <c r="T2472" s="54" t="str">
        <f t="shared" si="121"/>
        <v/>
      </c>
      <c r="U2472" s="58" t="str">
        <f t="shared" si="122"/>
        <v/>
      </c>
      <c r="V2472" s="58">
        <f>IF(AND($B2472&lt;&gt;"",$F2472&lt;&gt;"",$F2472=项目明细账!$C$2),N(V2471)+1,N(V2471))</f>
        <v>0</v>
      </c>
      <c r="W2472" s="63" t="str">
        <f>IF($H2472&lt;&gt;"","项目成本",IFERROR(INDEX(基础资料!$W$4:$W$49,MATCH($I2472,基础资料!$V$4:$V$49,0)),""))</f>
        <v/>
      </c>
      <c r="X2472" s="63" t="str">
        <f>IFERROR(INDEX(基础资料!$R$4:$R$17,MATCH($G2472,基础资料!$Q$4:$Q$17,0)),"")</f>
        <v/>
      </c>
    </row>
    <row r="2473" spans="1:24">
      <c r="A2473" s="58" t="str">
        <f>IF($B2473="","",COUNTA($B$5:$B2473))</f>
        <v/>
      </c>
      <c r="B2473" s="53"/>
      <c r="C2473" s="46"/>
      <c r="D2473" s="63" t="str">
        <f>IFERROR(INDEX(基础资料!$F$4:$F$23,MATCH($C2473,基础资料!$E$4:$E$23,0)),IF($C2473="","","未匹配账户"))</f>
        <v/>
      </c>
      <c r="E2473" s="39"/>
      <c r="F2473" s="10"/>
      <c r="G2473" s="10"/>
      <c r="H2473" s="10"/>
      <c r="I2473" s="10"/>
      <c r="J2473" s="10"/>
      <c r="K2473" s="25"/>
      <c r="L2473" s="25"/>
      <c r="M2473" s="25" t="str">
        <f>IFERROR(VLOOKUP($C2473,$C$5:$M$24,11,0)+SUMIF($C$25:$C2473,$C2473,$K$25:$K2473)-SUMIF($C$25:$C2473,$C2473,$L$25:$L2473),"")</f>
        <v/>
      </c>
      <c r="N2473" s="10"/>
      <c r="O2473" s="10"/>
      <c r="P2473" s="65"/>
      <c r="Q2473" s="10"/>
      <c r="R2473" s="10"/>
      <c r="S2473" s="54" t="str">
        <f t="shared" si="120"/>
        <v/>
      </c>
      <c r="T2473" s="54" t="str">
        <f t="shared" si="121"/>
        <v/>
      </c>
      <c r="U2473" s="58" t="str">
        <f t="shared" si="122"/>
        <v/>
      </c>
      <c r="V2473" s="58">
        <f>IF(AND($B2473&lt;&gt;"",$F2473&lt;&gt;"",$F2473=项目明细账!$C$2),N(V2472)+1,N(V2472))</f>
        <v>0</v>
      </c>
      <c r="W2473" s="63" t="str">
        <f>IF($H2473&lt;&gt;"","项目成本",IFERROR(INDEX(基础资料!$W$4:$W$49,MATCH($I2473,基础资料!$V$4:$V$49,0)),""))</f>
        <v/>
      </c>
      <c r="X2473" s="63" t="str">
        <f>IFERROR(INDEX(基础资料!$R$4:$R$17,MATCH($G2473,基础资料!$Q$4:$Q$17,0)),"")</f>
        <v/>
      </c>
    </row>
    <row r="2474" spans="1:24">
      <c r="A2474" s="58" t="str">
        <f>IF($B2474="","",COUNTA($B$5:$B2474))</f>
        <v/>
      </c>
      <c r="B2474" s="53"/>
      <c r="C2474" s="46"/>
      <c r="D2474" s="63" t="str">
        <f>IFERROR(INDEX(基础资料!$F$4:$F$23,MATCH($C2474,基础资料!$E$4:$E$23,0)),IF($C2474="","","未匹配账户"))</f>
        <v/>
      </c>
      <c r="E2474" s="39"/>
      <c r="F2474" s="10"/>
      <c r="G2474" s="10"/>
      <c r="H2474" s="10"/>
      <c r="I2474" s="10"/>
      <c r="J2474" s="10"/>
      <c r="K2474" s="25"/>
      <c r="L2474" s="25"/>
      <c r="M2474" s="25" t="str">
        <f>IFERROR(VLOOKUP($C2474,$C$5:$M$24,11,0)+SUMIF($C$25:$C2474,$C2474,$K$25:$K2474)-SUMIF($C$25:$C2474,$C2474,$L$25:$L2474),"")</f>
        <v/>
      </c>
      <c r="N2474" s="10"/>
      <c r="O2474" s="10"/>
      <c r="P2474" s="65"/>
      <c r="Q2474" s="10"/>
      <c r="R2474" s="10"/>
      <c r="S2474" s="54" t="str">
        <f t="shared" si="120"/>
        <v/>
      </c>
      <c r="T2474" s="54" t="str">
        <f t="shared" si="121"/>
        <v/>
      </c>
      <c r="U2474" s="58" t="str">
        <f t="shared" si="122"/>
        <v/>
      </c>
      <c r="V2474" s="58">
        <f>IF(AND($B2474&lt;&gt;"",$F2474&lt;&gt;"",$F2474=项目明细账!$C$2),N(V2473)+1,N(V2473))</f>
        <v>0</v>
      </c>
      <c r="W2474" s="63" t="str">
        <f>IF($H2474&lt;&gt;"","项目成本",IFERROR(INDEX(基础资料!$W$4:$W$49,MATCH($I2474,基础资料!$V$4:$V$49,0)),""))</f>
        <v/>
      </c>
      <c r="X2474" s="63" t="str">
        <f>IFERROR(INDEX(基础资料!$R$4:$R$17,MATCH($G2474,基础资料!$Q$4:$Q$17,0)),"")</f>
        <v/>
      </c>
    </row>
    <row r="2475" spans="1:24">
      <c r="A2475" s="58" t="str">
        <f>IF($B2475="","",COUNTA($B$5:$B2475))</f>
        <v/>
      </c>
      <c r="B2475" s="53"/>
      <c r="C2475" s="46"/>
      <c r="D2475" s="63" t="str">
        <f>IFERROR(INDEX(基础资料!$F$4:$F$23,MATCH($C2475,基础资料!$E$4:$E$23,0)),IF($C2475="","","未匹配账户"))</f>
        <v/>
      </c>
      <c r="E2475" s="39"/>
      <c r="F2475" s="10"/>
      <c r="G2475" s="10"/>
      <c r="H2475" s="10"/>
      <c r="I2475" s="10"/>
      <c r="J2475" s="10"/>
      <c r="K2475" s="25"/>
      <c r="L2475" s="25"/>
      <c r="M2475" s="25" t="str">
        <f>IFERROR(VLOOKUP($C2475,$C$5:$M$24,11,0)+SUMIF($C$25:$C2475,$C2475,$K$25:$K2475)-SUMIF($C$25:$C2475,$C2475,$L$25:$L2475),"")</f>
        <v/>
      </c>
      <c r="N2475" s="10"/>
      <c r="O2475" s="10"/>
      <c r="P2475" s="65"/>
      <c r="Q2475" s="10"/>
      <c r="R2475" s="10"/>
      <c r="S2475" s="54" t="str">
        <f t="shared" si="120"/>
        <v/>
      </c>
      <c r="T2475" s="54" t="str">
        <f t="shared" si="121"/>
        <v/>
      </c>
      <c r="U2475" s="58" t="str">
        <f t="shared" si="122"/>
        <v/>
      </c>
      <c r="V2475" s="58">
        <f>IF(AND($B2475&lt;&gt;"",$F2475&lt;&gt;"",$F2475=项目明细账!$C$2),N(V2474)+1,N(V2474))</f>
        <v>0</v>
      </c>
      <c r="W2475" s="63" t="str">
        <f>IF($H2475&lt;&gt;"","项目成本",IFERROR(INDEX(基础资料!$W$4:$W$49,MATCH($I2475,基础资料!$V$4:$V$49,0)),""))</f>
        <v/>
      </c>
      <c r="X2475" s="63" t="str">
        <f>IFERROR(INDEX(基础资料!$R$4:$R$17,MATCH($G2475,基础资料!$Q$4:$Q$17,0)),"")</f>
        <v/>
      </c>
    </row>
    <row r="2476" spans="1:24">
      <c r="A2476" s="58" t="str">
        <f>IF($B2476="","",COUNTA($B$5:$B2476))</f>
        <v/>
      </c>
      <c r="B2476" s="53"/>
      <c r="C2476" s="46"/>
      <c r="D2476" s="63" t="str">
        <f>IFERROR(INDEX(基础资料!$F$4:$F$23,MATCH($C2476,基础资料!$E$4:$E$23,0)),IF($C2476="","","未匹配账户"))</f>
        <v/>
      </c>
      <c r="E2476" s="39"/>
      <c r="F2476" s="10"/>
      <c r="G2476" s="10"/>
      <c r="H2476" s="10"/>
      <c r="I2476" s="10"/>
      <c r="J2476" s="10"/>
      <c r="K2476" s="25"/>
      <c r="L2476" s="25"/>
      <c r="M2476" s="25" t="str">
        <f>IFERROR(VLOOKUP($C2476,$C$5:$M$24,11,0)+SUMIF($C$25:$C2476,$C2476,$K$25:$K2476)-SUMIF($C$25:$C2476,$C2476,$L$25:$L2476),"")</f>
        <v/>
      </c>
      <c r="N2476" s="10"/>
      <c r="O2476" s="10"/>
      <c r="P2476" s="65"/>
      <c r="Q2476" s="10"/>
      <c r="R2476" s="10"/>
      <c r="S2476" s="54" t="str">
        <f t="shared" si="120"/>
        <v/>
      </c>
      <c r="T2476" s="54" t="str">
        <f t="shared" si="121"/>
        <v/>
      </c>
      <c r="U2476" s="58" t="str">
        <f t="shared" si="122"/>
        <v/>
      </c>
      <c r="V2476" s="58">
        <f>IF(AND($B2476&lt;&gt;"",$F2476&lt;&gt;"",$F2476=项目明细账!$C$2),N(V2475)+1,N(V2475))</f>
        <v>0</v>
      </c>
      <c r="W2476" s="63" t="str">
        <f>IF($H2476&lt;&gt;"","项目成本",IFERROR(INDEX(基础资料!$W$4:$W$49,MATCH($I2476,基础资料!$V$4:$V$49,0)),""))</f>
        <v/>
      </c>
      <c r="X2476" s="63" t="str">
        <f>IFERROR(INDEX(基础资料!$R$4:$R$17,MATCH($G2476,基础资料!$Q$4:$Q$17,0)),"")</f>
        <v/>
      </c>
    </row>
    <row r="2477" spans="1:24">
      <c r="A2477" s="58" t="str">
        <f>IF($B2477="","",COUNTA($B$5:$B2477))</f>
        <v/>
      </c>
      <c r="B2477" s="53"/>
      <c r="C2477" s="46"/>
      <c r="D2477" s="63" t="str">
        <f>IFERROR(INDEX(基础资料!$F$4:$F$23,MATCH($C2477,基础资料!$E$4:$E$23,0)),IF($C2477="","","未匹配账户"))</f>
        <v/>
      </c>
      <c r="E2477" s="39"/>
      <c r="F2477" s="10"/>
      <c r="G2477" s="10"/>
      <c r="H2477" s="10"/>
      <c r="I2477" s="10"/>
      <c r="J2477" s="10"/>
      <c r="K2477" s="25"/>
      <c r="L2477" s="25"/>
      <c r="M2477" s="25" t="str">
        <f>IFERROR(VLOOKUP($C2477,$C$5:$M$24,11,0)+SUMIF($C$25:$C2477,$C2477,$K$25:$K2477)-SUMIF($C$25:$C2477,$C2477,$L$25:$L2477),"")</f>
        <v/>
      </c>
      <c r="N2477" s="10"/>
      <c r="O2477" s="10"/>
      <c r="P2477" s="65"/>
      <c r="Q2477" s="10"/>
      <c r="R2477" s="10"/>
      <c r="S2477" s="54" t="str">
        <f t="shared" si="120"/>
        <v/>
      </c>
      <c r="T2477" s="54" t="str">
        <f t="shared" si="121"/>
        <v/>
      </c>
      <c r="U2477" s="58" t="str">
        <f t="shared" si="122"/>
        <v/>
      </c>
      <c r="V2477" s="58">
        <f>IF(AND($B2477&lt;&gt;"",$F2477&lt;&gt;"",$F2477=项目明细账!$C$2),N(V2476)+1,N(V2476))</f>
        <v>0</v>
      </c>
      <c r="W2477" s="63" t="str">
        <f>IF($H2477&lt;&gt;"","项目成本",IFERROR(INDEX(基础资料!$W$4:$W$49,MATCH($I2477,基础资料!$V$4:$V$49,0)),""))</f>
        <v/>
      </c>
      <c r="X2477" s="63" t="str">
        <f>IFERROR(INDEX(基础资料!$R$4:$R$17,MATCH($G2477,基础资料!$Q$4:$Q$17,0)),"")</f>
        <v/>
      </c>
    </row>
    <row r="2478" spans="1:24">
      <c r="A2478" s="58" t="str">
        <f>IF($B2478="","",COUNTA($B$5:$B2478))</f>
        <v/>
      </c>
      <c r="B2478" s="53"/>
      <c r="C2478" s="46"/>
      <c r="D2478" s="63" t="str">
        <f>IFERROR(INDEX(基础资料!$F$4:$F$23,MATCH($C2478,基础资料!$E$4:$E$23,0)),IF($C2478="","","未匹配账户"))</f>
        <v/>
      </c>
      <c r="E2478" s="39"/>
      <c r="F2478" s="10"/>
      <c r="G2478" s="10"/>
      <c r="H2478" s="10"/>
      <c r="I2478" s="10"/>
      <c r="J2478" s="10"/>
      <c r="K2478" s="25"/>
      <c r="L2478" s="25"/>
      <c r="M2478" s="25" t="str">
        <f>IFERROR(VLOOKUP($C2478,$C$5:$M$24,11,0)+SUMIF($C$25:$C2478,$C2478,$K$25:$K2478)-SUMIF($C$25:$C2478,$C2478,$L$25:$L2478),"")</f>
        <v/>
      </c>
      <c r="N2478" s="10"/>
      <c r="O2478" s="10"/>
      <c r="P2478" s="65"/>
      <c r="Q2478" s="10"/>
      <c r="R2478" s="10"/>
      <c r="S2478" s="54" t="str">
        <f t="shared" si="120"/>
        <v/>
      </c>
      <c r="T2478" s="54" t="str">
        <f t="shared" si="121"/>
        <v/>
      </c>
      <c r="U2478" s="58" t="str">
        <f t="shared" si="122"/>
        <v/>
      </c>
      <c r="V2478" s="58">
        <f>IF(AND($B2478&lt;&gt;"",$F2478&lt;&gt;"",$F2478=项目明细账!$C$2),N(V2477)+1,N(V2477))</f>
        <v>0</v>
      </c>
      <c r="W2478" s="63" t="str">
        <f>IF($H2478&lt;&gt;"","项目成本",IFERROR(INDEX(基础资料!$W$4:$W$49,MATCH($I2478,基础资料!$V$4:$V$49,0)),""))</f>
        <v/>
      </c>
      <c r="X2478" s="63" t="str">
        <f>IFERROR(INDEX(基础资料!$R$4:$R$17,MATCH($G2478,基础资料!$Q$4:$Q$17,0)),"")</f>
        <v/>
      </c>
    </row>
    <row r="2479" spans="1:24">
      <c r="A2479" s="58" t="str">
        <f>IF($B2479="","",COUNTA($B$5:$B2479))</f>
        <v/>
      </c>
      <c r="B2479" s="53"/>
      <c r="C2479" s="46"/>
      <c r="D2479" s="63" t="str">
        <f>IFERROR(INDEX(基础资料!$F$4:$F$23,MATCH($C2479,基础资料!$E$4:$E$23,0)),IF($C2479="","","未匹配账户"))</f>
        <v/>
      </c>
      <c r="E2479" s="39"/>
      <c r="F2479" s="10"/>
      <c r="G2479" s="10"/>
      <c r="H2479" s="10"/>
      <c r="I2479" s="10"/>
      <c r="J2479" s="10"/>
      <c r="K2479" s="25"/>
      <c r="L2479" s="25"/>
      <c r="M2479" s="25" t="str">
        <f>IFERROR(VLOOKUP($C2479,$C$5:$M$24,11,0)+SUMIF($C$25:$C2479,$C2479,$K$25:$K2479)-SUMIF($C$25:$C2479,$C2479,$L$25:$L2479),"")</f>
        <v/>
      </c>
      <c r="N2479" s="10"/>
      <c r="O2479" s="10"/>
      <c r="P2479" s="65"/>
      <c r="Q2479" s="10"/>
      <c r="R2479" s="10"/>
      <c r="S2479" s="54" t="str">
        <f t="shared" si="120"/>
        <v/>
      </c>
      <c r="T2479" s="54" t="str">
        <f t="shared" si="121"/>
        <v/>
      </c>
      <c r="U2479" s="58" t="str">
        <f t="shared" si="122"/>
        <v/>
      </c>
      <c r="V2479" s="58">
        <f>IF(AND($B2479&lt;&gt;"",$F2479&lt;&gt;"",$F2479=项目明细账!$C$2),N(V2478)+1,N(V2478))</f>
        <v>0</v>
      </c>
      <c r="W2479" s="63" t="str">
        <f>IF($H2479&lt;&gt;"","项目成本",IFERROR(INDEX(基础资料!$W$4:$W$49,MATCH($I2479,基础资料!$V$4:$V$49,0)),""))</f>
        <v/>
      </c>
      <c r="X2479" s="63" t="str">
        <f>IFERROR(INDEX(基础资料!$R$4:$R$17,MATCH($G2479,基础资料!$Q$4:$Q$17,0)),"")</f>
        <v/>
      </c>
    </row>
    <row r="2480" spans="1:24">
      <c r="A2480" s="58" t="str">
        <f>IF($B2480="","",COUNTA($B$5:$B2480))</f>
        <v/>
      </c>
      <c r="B2480" s="53"/>
      <c r="C2480" s="46"/>
      <c r="D2480" s="63" t="str">
        <f>IFERROR(INDEX(基础资料!$F$4:$F$23,MATCH($C2480,基础资料!$E$4:$E$23,0)),IF($C2480="","","未匹配账户"))</f>
        <v/>
      </c>
      <c r="E2480" s="39"/>
      <c r="F2480" s="10"/>
      <c r="G2480" s="10"/>
      <c r="H2480" s="10"/>
      <c r="I2480" s="10"/>
      <c r="J2480" s="10"/>
      <c r="K2480" s="25"/>
      <c r="L2480" s="25"/>
      <c r="M2480" s="25" t="str">
        <f>IFERROR(VLOOKUP($C2480,$C$5:$M$24,11,0)+SUMIF($C$25:$C2480,$C2480,$K$25:$K2480)-SUMIF($C$25:$C2480,$C2480,$L$25:$L2480),"")</f>
        <v/>
      </c>
      <c r="N2480" s="10"/>
      <c r="O2480" s="10"/>
      <c r="P2480" s="65"/>
      <c r="Q2480" s="10"/>
      <c r="R2480" s="10"/>
      <c r="S2480" s="54" t="str">
        <f t="shared" si="120"/>
        <v/>
      </c>
      <c r="T2480" s="54" t="str">
        <f t="shared" si="121"/>
        <v/>
      </c>
      <c r="U2480" s="58" t="str">
        <f t="shared" si="122"/>
        <v/>
      </c>
      <c r="V2480" s="58">
        <f>IF(AND($B2480&lt;&gt;"",$F2480&lt;&gt;"",$F2480=项目明细账!$C$2),N(V2479)+1,N(V2479))</f>
        <v>0</v>
      </c>
      <c r="W2480" s="63" t="str">
        <f>IF($H2480&lt;&gt;"","项目成本",IFERROR(INDEX(基础资料!$W$4:$W$49,MATCH($I2480,基础资料!$V$4:$V$49,0)),""))</f>
        <v/>
      </c>
      <c r="X2480" s="63" t="str">
        <f>IFERROR(INDEX(基础资料!$R$4:$R$17,MATCH($G2480,基础资料!$Q$4:$Q$17,0)),"")</f>
        <v/>
      </c>
    </row>
    <row r="2481" spans="1:24">
      <c r="A2481" s="58" t="str">
        <f>IF($B2481="","",COUNTA($B$5:$B2481))</f>
        <v/>
      </c>
      <c r="B2481" s="53"/>
      <c r="C2481" s="46"/>
      <c r="D2481" s="63" t="str">
        <f>IFERROR(INDEX(基础资料!$F$4:$F$23,MATCH($C2481,基础资料!$E$4:$E$23,0)),IF($C2481="","","未匹配账户"))</f>
        <v/>
      </c>
      <c r="E2481" s="39"/>
      <c r="F2481" s="10"/>
      <c r="G2481" s="10"/>
      <c r="H2481" s="10"/>
      <c r="I2481" s="10"/>
      <c r="J2481" s="10"/>
      <c r="K2481" s="25"/>
      <c r="L2481" s="25"/>
      <c r="M2481" s="25" t="str">
        <f>IFERROR(VLOOKUP($C2481,$C$5:$M$24,11,0)+SUMIF($C$25:$C2481,$C2481,$K$25:$K2481)-SUMIF($C$25:$C2481,$C2481,$L$25:$L2481),"")</f>
        <v/>
      </c>
      <c r="N2481" s="10"/>
      <c r="O2481" s="10"/>
      <c r="P2481" s="65"/>
      <c r="Q2481" s="10"/>
      <c r="R2481" s="10"/>
      <c r="S2481" s="54" t="str">
        <f t="shared" si="120"/>
        <v/>
      </c>
      <c r="T2481" s="54" t="str">
        <f t="shared" si="121"/>
        <v/>
      </c>
      <c r="U2481" s="58" t="str">
        <f t="shared" si="122"/>
        <v/>
      </c>
      <c r="V2481" s="58">
        <f>IF(AND($B2481&lt;&gt;"",$F2481&lt;&gt;"",$F2481=项目明细账!$C$2),N(V2480)+1,N(V2480))</f>
        <v>0</v>
      </c>
      <c r="W2481" s="63" t="str">
        <f>IF($H2481&lt;&gt;"","项目成本",IFERROR(INDEX(基础资料!$W$4:$W$49,MATCH($I2481,基础资料!$V$4:$V$49,0)),""))</f>
        <v/>
      </c>
      <c r="X2481" s="63" t="str">
        <f>IFERROR(INDEX(基础资料!$R$4:$R$17,MATCH($G2481,基础资料!$Q$4:$Q$17,0)),"")</f>
        <v/>
      </c>
    </row>
    <row r="2482" spans="1:24">
      <c r="A2482" s="58" t="str">
        <f>IF($B2482="","",COUNTA($B$5:$B2482))</f>
        <v/>
      </c>
      <c r="B2482" s="53"/>
      <c r="C2482" s="46"/>
      <c r="D2482" s="63" t="str">
        <f>IFERROR(INDEX(基础资料!$F$4:$F$23,MATCH($C2482,基础资料!$E$4:$E$23,0)),IF($C2482="","","未匹配账户"))</f>
        <v/>
      </c>
      <c r="E2482" s="39"/>
      <c r="F2482" s="10"/>
      <c r="G2482" s="10"/>
      <c r="H2482" s="10"/>
      <c r="I2482" s="10"/>
      <c r="J2482" s="10"/>
      <c r="K2482" s="25"/>
      <c r="L2482" s="25"/>
      <c r="M2482" s="25" t="str">
        <f>IFERROR(VLOOKUP($C2482,$C$5:$M$24,11,0)+SUMIF($C$25:$C2482,$C2482,$K$25:$K2482)-SUMIF($C$25:$C2482,$C2482,$L$25:$L2482),"")</f>
        <v/>
      </c>
      <c r="N2482" s="10"/>
      <c r="O2482" s="10"/>
      <c r="P2482" s="65"/>
      <c r="Q2482" s="10"/>
      <c r="R2482" s="10"/>
      <c r="S2482" s="54" t="str">
        <f t="shared" si="120"/>
        <v/>
      </c>
      <c r="T2482" s="54" t="str">
        <f t="shared" si="121"/>
        <v/>
      </c>
      <c r="U2482" s="58" t="str">
        <f t="shared" si="122"/>
        <v/>
      </c>
      <c r="V2482" s="58">
        <f>IF(AND($B2482&lt;&gt;"",$F2482&lt;&gt;"",$F2482=项目明细账!$C$2),N(V2481)+1,N(V2481))</f>
        <v>0</v>
      </c>
      <c r="W2482" s="63" t="str">
        <f>IF($H2482&lt;&gt;"","项目成本",IFERROR(INDEX(基础资料!$W$4:$W$49,MATCH($I2482,基础资料!$V$4:$V$49,0)),""))</f>
        <v/>
      </c>
      <c r="X2482" s="63" t="str">
        <f>IFERROR(INDEX(基础资料!$R$4:$R$17,MATCH($G2482,基础资料!$Q$4:$Q$17,0)),"")</f>
        <v/>
      </c>
    </row>
    <row r="2483" spans="1:24">
      <c r="A2483" s="58" t="str">
        <f>IF($B2483="","",COUNTA($B$5:$B2483))</f>
        <v/>
      </c>
      <c r="B2483" s="53"/>
      <c r="C2483" s="46"/>
      <c r="D2483" s="63" t="str">
        <f>IFERROR(INDEX(基础资料!$F$4:$F$23,MATCH($C2483,基础资料!$E$4:$E$23,0)),IF($C2483="","","未匹配账户"))</f>
        <v/>
      </c>
      <c r="E2483" s="39"/>
      <c r="F2483" s="10"/>
      <c r="G2483" s="10"/>
      <c r="H2483" s="10"/>
      <c r="I2483" s="10"/>
      <c r="J2483" s="10"/>
      <c r="K2483" s="25"/>
      <c r="L2483" s="25"/>
      <c r="M2483" s="25" t="str">
        <f>IFERROR(VLOOKUP($C2483,$C$5:$M$24,11,0)+SUMIF($C$25:$C2483,$C2483,$K$25:$K2483)-SUMIF($C$25:$C2483,$C2483,$L$25:$L2483),"")</f>
        <v/>
      </c>
      <c r="N2483" s="10"/>
      <c r="O2483" s="10"/>
      <c r="P2483" s="65"/>
      <c r="Q2483" s="10"/>
      <c r="R2483" s="10"/>
      <c r="S2483" s="54" t="str">
        <f t="shared" si="120"/>
        <v/>
      </c>
      <c r="T2483" s="54" t="str">
        <f t="shared" si="121"/>
        <v/>
      </c>
      <c r="U2483" s="58" t="str">
        <f t="shared" si="122"/>
        <v/>
      </c>
      <c r="V2483" s="58">
        <f>IF(AND($B2483&lt;&gt;"",$F2483&lt;&gt;"",$F2483=项目明细账!$C$2),N(V2482)+1,N(V2482))</f>
        <v>0</v>
      </c>
      <c r="W2483" s="63" t="str">
        <f>IF($H2483&lt;&gt;"","项目成本",IFERROR(INDEX(基础资料!$W$4:$W$49,MATCH($I2483,基础资料!$V$4:$V$49,0)),""))</f>
        <v/>
      </c>
      <c r="X2483" s="63" t="str">
        <f>IFERROR(INDEX(基础资料!$R$4:$R$17,MATCH($G2483,基础资料!$Q$4:$Q$17,0)),"")</f>
        <v/>
      </c>
    </row>
    <row r="2484" spans="1:24">
      <c r="A2484" s="58" t="str">
        <f>IF($B2484="","",COUNTA($B$5:$B2484))</f>
        <v/>
      </c>
      <c r="B2484" s="53"/>
      <c r="C2484" s="46"/>
      <c r="D2484" s="63" t="str">
        <f>IFERROR(INDEX(基础资料!$F$4:$F$23,MATCH($C2484,基础资料!$E$4:$E$23,0)),IF($C2484="","","未匹配账户"))</f>
        <v/>
      </c>
      <c r="E2484" s="39"/>
      <c r="F2484" s="10"/>
      <c r="G2484" s="10"/>
      <c r="H2484" s="10"/>
      <c r="I2484" s="10"/>
      <c r="J2484" s="10"/>
      <c r="K2484" s="25"/>
      <c r="L2484" s="25"/>
      <c r="M2484" s="25" t="str">
        <f>IFERROR(VLOOKUP($C2484,$C$5:$M$24,11,0)+SUMIF($C$25:$C2484,$C2484,$K$25:$K2484)-SUMIF($C$25:$C2484,$C2484,$L$25:$L2484),"")</f>
        <v/>
      </c>
      <c r="N2484" s="10"/>
      <c r="O2484" s="10"/>
      <c r="P2484" s="65"/>
      <c r="Q2484" s="10"/>
      <c r="R2484" s="10"/>
      <c r="S2484" s="54" t="str">
        <f t="shared" si="120"/>
        <v/>
      </c>
      <c r="T2484" s="54" t="str">
        <f t="shared" si="121"/>
        <v/>
      </c>
      <c r="U2484" s="58" t="str">
        <f t="shared" si="122"/>
        <v/>
      </c>
      <c r="V2484" s="58">
        <f>IF(AND($B2484&lt;&gt;"",$F2484&lt;&gt;"",$F2484=项目明细账!$C$2),N(V2483)+1,N(V2483))</f>
        <v>0</v>
      </c>
      <c r="W2484" s="63" t="str">
        <f>IF($H2484&lt;&gt;"","项目成本",IFERROR(INDEX(基础资料!$W$4:$W$49,MATCH($I2484,基础资料!$V$4:$V$49,0)),""))</f>
        <v/>
      </c>
      <c r="X2484" s="63" t="str">
        <f>IFERROR(INDEX(基础资料!$R$4:$R$17,MATCH($G2484,基础资料!$Q$4:$Q$17,0)),"")</f>
        <v/>
      </c>
    </row>
    <row r="2485" spans="1:24">
      <c r="A2485" s="58" t="str">
        <f>IF($B2485="","",COUNTA($B$5:$B2485))</f>
        <v/>
      </c>
      <c r="B2485" s="53"/>
      <c r="C2485" s="46"/>
      <c r="D2485" s="63" t="str">
        <f>IFERROR(INDEX(基础资料!$F$4:$F$23,MATCH($C2485,基础资料!$E$4:$E$23,0)),IF($C2485="","","未匹配账户"))</f>
        <v/>
      </c>
      <c r="E2485" s="39"/>
      <c r="F2485" s="10"/>
      <c r="G2485" s="10"/>
      <c r="H2485" s="10"/>
      <c r="I2485" s="10"/>
      <c r="J2485" s="10"/>
      <c r="K2485" s="25"/>
      <c r="L2485" s="25"/>
      <c r="M2485" s="25" t="str">
        <f>IFERROR(VLOOKUP($C2485,$C$5:$M$24,11,0)+SUMIF($C$25:$C2485,$C2485,$K$25:$K2485)-SUMIF($C$25:$C2485,$C2485,$L$25:$L2485),"")</f>
        <v/>
      </c>
      <c r="N2485" s="10"/>
      <c r="O2485" s="10"/>
      <c r="P2485" s="65"/>
      <c r="Q2485" s="10"/>
      <c r="R2485" s="10"/>
      <c r="S2485" s="54" t="str">
        <f t="shared" si="120"/>
        <v/>
      </c>
      <c r="T2485" s="54" t="str">
        <f t="shared" si="121"/>
        <v/>
      </c>
      <c r="U2485" s="58" t="str">
        <f t="shared" si="122"/>
        <v/>
      </c>
      <c r="V2485" s="58">
        <f>IF(AND($B2485&lt;&gt;"",$F2485&lt;&gt;"",$F2485=项目明细账!$C$2),N(V2484)+1,N(V2484))</f>
        <v>0</v>
      </c>
      <c r="W2485" s="63" t="str">
        <f>IF($H2485&lt;&gt;"","项目成本",IFERROR(INDEX(基础资料!$W$4:$W$49,MATCH($I2485,基础资料!$V$4:$V$49,0)),""))</f>
        <v/>
      </c>
      <c r="X2485" s="63" t="str">
        <f>IFERROR(INDEX(基础资料!$R$4:$R$17,MATCH($G2485,基础资料!$Q$4:$Q$17,0)),"")</f>
        <v/>
      </c>
    </row>
    <row r="2486" spans="1:24">
      <c r="A2486" s="58" t="str">
        <f>IF($B2486="","",COUNTA($B$5:$B2486))</f>
        <v/>
      </c>
      <c r="B2486" s="53"/>
      <c r="C2486" s="46"/>
      <c r="D2486" s="63" t="str">
        <f>IFERROR(INDEX(基础资料!$F$4:$F$23,MATCH($C2486,基础资料!$E$4:$E$23,0)),IF($C2486="","","未匹配账户"))</f>
        <v/>
      </c>
      <c r="E2486" s="39"/>
      <c r="F2486" s="10"/>
      <c r="G2486" s="10"/>
      <c r="H2486" s="10"/>
      <c r="I2486" s="10"/>
      <c r="J2486" s="10"/>
      <c r="K2486" s="25"/>
      <c r="L2486" s="25"/>
      <c r="M2486" s="25" t="str">
        <f>IFERROR(VLOOKUP($C2486,$C$5:$M$24,11,0)+SUMIF($C$25:$C2486,$C2486,$K$25:$K2486)-SUMIF($C$25:$C2486,$C2486,$L$25:$L2486),"")</f>
        <v/>
      </c>
      <c r="N2486" s="10"/>
      <c r="O2486" s="10"/>
      <c r="P2486" s="65"/>
      <c r="Q2486" s="10"/>
      <c r="R2486" s="10"/>
      <c r="S2486" s="54" t="str">
        <f t="shared" si="120"/>
        <v/>
      </c>
      <c r="T2486" s="54" t="str">
        <f t="shared" si="121"/>
        <v/>
      </c>
      <c r="U2486" s="58" t="str">
        <f t="shared" si="122"/>
        <v/>
      </c>
      <c r="V2486" s="58">
        <f>IF(AND($B2486&lt;&gt;"",$F2486&lt;&gt;"",$F2486=项目明细账!$C$2),N(V2485)+1,N(V2485))</f>
        <v>0</v>
      </c>
      <c r="W2486" s="63" t="str">
        <f>IF($H2486&lt;&gt;"","项目成本",IFERROR(INDEX(基础资料!$W$4:$W$49,MATCH($I2486,基础资料!$V$4:$V$49,0)),""))</f>
        <v/>
      </c>
      <c r="X2486" s="63" t="str">
        <f>IFERROR(INDEX(基础资料!$R$4:$R$17,MATCH($G2486,基础资料!$Q$4:$Q$17,0)),"")</f>
        <v/>
      </c>
    </row>
    <row r="2487" spans="1:24">
      <c r="A2487" s="58" t="str">
        <f>IF($B2487="","",COUNTA($B$5:$B2487))</f>
        <v/>
      </c>
      <c r="B2487" s="53"/>
      <c r="C2487" s="46"/>
      <c r="D2487" s="63" t="str">
        <f>IFERROR(INDEX(基础资料!$F$4:$F$23,MATCH($C2487,基础资料!$E$4:$E$23,0)),IF($C2487="","","未匹配账户"))</f>
        <v/>
      </c>
      <c r="E2487" s="39"/>
      <c r="F2487" s="10"/>
      <c r="G2487" s="10"/>
      <c r="H2487" s="10"/>
      <c r="I2487" s="10"/>
      <c r="J2487" s="10"/>
      <c r="K2487" s="25"/>
      <c r="L2487" s="25"/>
      <c r="M2487" s="25" t="str">
        <f>IFERROR(VLOOKUP($C2487,$C$5:$M$24,11,0)+SUMIF($C$25:$C2487,$C2487,$K$25:$K2487)-SUMIF($C$25:$C2487,$C2487,$L$25:$L2487),"")</f>
        <v/>
      </c>
      <c r="N2487" s="10"/>
      <c r="O2487" s="10"/>
      <c r="P2487" s="65"/>
      <c r="Q2487" s="10"/>
      <c r="R2487" s="10"/>
      <c r="S2487" s="54" t="str">
        <f t="shared" si="120"/>
        <v/>
      </c>
      <c r="T2487" s="54" t="str">
        <f t="shared" si="121"/>
        <v/>
      </c>
      <c r="U2487" s="58" t="str">
        <f t="shared" si="122"/>
        <v/>
      </c>
      <c r="V2487" s="58">
        <f>IF(AND($B2487&lt;&gt;"",$F2487&lt;&gt;"",$F2487=项目明细账!$C$2),N(V2486)+1,N(V2486))</f>
        <v>0</v>
      </c>
      <c r="W2487" s="63" t="str">
        <f>IF($H2487&lt;&gt;"","项目成本",IFERROR(INDEX(基础资料!$W$4:$W$49,MATCH($I2487,基础资料!$V$4:$V$49,0)),""))</f>
        <v/>
      </c>
      <c r="X2487" s="63" t="str">
        <f>IFERROR(INDEX(基础资料!$R$4:$R$17,MATCH($G2487,基础资料!$Q$4:$Q$17,0)),"")</f>
        <v/>
      </c>
    </row>
    <row r="2488" spans="1:24">
      <c r="A2488" s="58" t="str">
        <f>IF($B2488="","",COUNTA($B$5:$B2488))</f>
        <v/>
      </c>
      <c r="B2488" s="53"/>
      <c r="C2488" s="46"/>
      <c r="D2488" s="63" t="str">
        <f>IFERROR(INDEX(基础资料!$F$4:$F$23,MATCH($C2488,基础资料!$E$4:$E$23,0)),IF($C2488="","","未匹配账户"))</f>
        <v/>
      </c>
      <c r="E2488" s="39"/>
      <c r="F2488" s="10"/>
      <c r="G2488" s="10"/>
      <c r="H2488" s="10"/>
      <c r="I2488" s="10"/>
      <c r="J2488" s="10"/>
      <c r="K2488" s="25"/>
      <c r="L2488" s="25"/>
      <c r="M2488" s="25" t="str">
        <f>IFERROR(VLOOKUP($C2488,$C$5:$M$24,11,0)+SUMIF($C$25:$C2488,$C2488,$K$25:$K2488)-SUMIF($C$25:$C2488,$C2488,$L$25:$L2488),"")</f>
        <v/>
      </c>
      <c r="N2488" s="10"/>
      <c r="O2488" s="10"/>
      <c r="P2488" s="65"/>
      <c r="Q2488" s="10"/>
      <c r="R2488" s="10"/>
      <c r="S2488" s="54" t="str">
        <f t="shared" si="120"/>
        <v/>
      </c>
      <c r="T2488" s="54" t="str">
        <f t="shared" si="121"/>
        <v/>
      </c>
      <c r="U2488" s="58" t="str">
        <f t="shared" si="122"/>
        <v/>
      </c>
      <c r="V2488" s="58">
        <f>IF(AND($B2488&lt;&gt;"",$F2488&lt;&gt;"",$F2488=项目明细账!$C$2),N(V2487)+1,N(V2487))</f>
        <v>0</v>
      </c>
      <c r="W2488" s="63" t="str">
        <f>IF($H2488&lt;&gt;"","项目成本",IFERROR(INDEX(基础资料!$W$4:$W$49,MATCH($I2488,基础资料!$V$4:$V$49,0)),""))</f>
        <v/>
      </c>
      <c r="X2488" s="63" t="str">
        <f>IFERROR(INDEX(基础资料!$R$4:$R$17,MATCH($G2488,基础资料!$Q$4:$Q$17,0)),"")</f>
        <v/>
      </c>
    </row>
    <row r="2489" spans="1:24">
      <c r="A2489" s="58" t="str">
        <f>IF($B2489="","",COUNTA($B$5:$B2489))</f>
        <v/>
      </c>
      <c r="B2489" s="53"/>
      <c r="C2489" s="46"/>
      <c r="D2489" s="63" t="str">
        <f>IFERROR(INDEX(基础资料!$F$4:$F$23,MATCH($C2489,基础资料!$E$4:$E$23,0)),IF($C2489="","","未匹配账户"))</f>
        <v/>
      </c>
      <c r="E2489" s="39"/>
      <c r="F2489" s="10"/>
      <c r="G2489" s="10"/>
      <c r="H2489" s="10"/>
      <c r="I2489" s="10"/>
      <c r="J2489" s="10"/>
      <c r="K2489" s="25"/>
      <c r="L2489" s="25"/>
      <c r="M2489" s="25" t="str">
        <f>IFERROR(VLOOKUP($C2489,$C$5:$M$24,11,0)+SUMIF($C$25:$C2489,$C2489,$K$25:$K2489)-SUMIF($C$25:$C2489,$C2489,$L$25:$L2489),"")</f>
        <v/>
      </c>
      <c r="N2489" s="10"/>
      <c r="O2489" s="10"/>
      <c r="P2489" s="65"/>
      <c r="Q2489" s="10"/>
      <c r="R2489" s="10"/>
      <c r="S2489" s="54" t="str">
        <f t="shared" si="120"/>
        <v/>
      </c>
      <c r="T2489" s="54" t="str">
        <f t="shared" si="121"/>
        <v/>
      </c>
      <c r="U2489" s="58" t="str">
        <f t="shared" si="122"/>
        <v/>
      </c>
      <c r="V2489" s="58">
        <f>IF(AND($B2489&lt;&gt;"",$F2489&lt;&gt;"",$F2489=项目明细账!$C$2),N(V2488)+1,N(V2488))</f>
        <v>0</v>
      </c>
      <c r="W2489" s="63" t="str">
        <f>IF($H2489&lt;&gt;"","项目成本",IFERROR(INDEX(基础资料!$W$4:$W$49,MATCH($I2489,基础资料!$V$4:$V$49,0)),""))</f>
        <v/>
      </c>
      <c r="X2489" s="63" t="str">
        <f>IFERROR(INDEX(基础资料!$R$4:$R$17,MATCH($G2489,基础资料!$Q$4:$Q$17,0)),"")</f>
        <v/>
      </c>
    </row>
    <row r="2490" spans="1:24">
      <c r="A2490" s="58" t="str">
        <f>IF($B2490="","",COUNTA($B$5:$B2490))</f>
        <v/>
      </c>
      <c r="B2490" s="53"/>
      <c r="C2490" s="46"/>
      <c r="D2490" s="63" t="str">
        <f>IFERROR(INDEX(基础资料!$F$4:$F$23,MATCH($C2490,基础资料!$E$4:$E$23,0)),IF($C2490="","","未匹配账户"))</f>
        <v/>
      </c>
      <c r="E2490" s="39"/>
      <c r="F2490" s="10"/>
      <c r="G2490" s="10"/>
      <c r="H2490" s="10"/>
      <c r="I2490" s="10"/>
      <c r="J2490" s="10"/>
      <c r="K2490" s="25"/>
      <c r="L2490" s="25"/>
      <c r="M2490" s="25" t="str">
        <f>IFERROR(VLOOKUP($C2490,$C$5:$M$24,11,0)+SUMIF($C$25:$C2490,$C2490,$K$25:$K2490)-SUMIF($C$25:$C2490,$C2490,$L$25:$L2490),"")</f>
        <v/>
      </c>
      <c r="N2490" s="10"/>
      <c r="O2490" s="10"/>
      <c r="P2490" s="65"/>
      <c r="Q2490" s="10"/>
      <c r="R2490" s="10"/>
      <c r="S2490" s="54" t="str">
        <f t="shared" si="120"/>
        <v/>
      </c>
      <c r="T2490" s="54" t="str">
        <f t="shared" si="121"/>
        <v/>
      </c>
      <c r="U2490" s="58" t="str">
        <f t="shared" si="122"/>
        <v/>
      </c>
      <c r="V2490" s="58">
        <f>IF(AND($B2490&lt;&gt;"",$F2490&lt;&gt;"",$F2490=项目明细账!$C$2),N(V2489)+1,N(V2489))</f>
        <v>0</v>
      </c>
      <c r="W2490" s="63" t="str">
        <f>IF($H2490&lt;&gt;"","项目成本",IFERROR(INDEX(基础资料!$W$4:$W$49,MATCH($I2490,基础资料!$V$4:$V$49,0)),""))</f>
        <v/>
      </c>
      <c r="X2490" s="63" t="str">
        <f>IFERROR(INDEX(基础资料!$R$4:$R$17,MATCH($G2490,基础资料!$Q$4:$Q$17,0)),"")</f>
        <v/>
      </c>
    </row>
    <row r="2491" spans="1:24">
      <c r="A2491" s="58" t="str">
        <f>IF($B2491="","",COUNTA($B$5:$B2491))</f>
        <v/>
      </c>
      <c r="B2491" s="53"/>
      <c r="C2491" s="46"/>
      <c r="D2491" s="63" t="str">
        <f>IFERROR(INDEX(基础资料!$F$4:$F$23,MATCH($C2491,基础资料!$E$4:$E$23,0)),IF($C2491="","","未匹配账户"))</f>
        <v/>
      </c>
      <c r="E2491" s="39"/>
      <c r="F2491" s="10"/>
      <c r="G2491" s="10"/>
      <c r="H2491" s="10"/>
      <c r="I2491" s="10"/>
      <c r="J2491" s="10"/>
      <c r="K2491" s="25"/>
      <c r="L2491" s="25"/>
      <c r="M2491" s="25" t="str">
        <f>IFERROR(VLOOKUP($C2491,$C$5:$M$24,11,0)+SUMIF($C$25:$C2491,$C2491,$K$25:$K2491)-SUMIF($C$25:$C2491,$C2491,$L$25:$L2491),"")</f>
        <v/>
      </c>
      <c r="N2491" s="10"/>
      <c r="O2491" s="10"/>
      <c r="P2491" s="65"/>
      <c r="Q2491" s="10"/>
      <c r="R2491" s="10"/>
      <c r="S2491" s="54" t="str">
        <f t="shared" si="120"/>
        <v/>
      </c>
      <c r="T2491" s="54" t="str">
        <f t="shared" si="121"/>
        <v/>
      </c>
      <c r="U2491" s="58" t="str">
        <f t="shared" si="122"/>
        <v/>
      </c>
      <c r="V2491" s="58">
        <f>IF(AND($B2491&lt;&gt;"",$F2491&lt;&gt;"",$F2491=项目明细账!$C$2),N(V2490)+1,N(V2490))</f>
        <v>0</v>
      </c>
      <c r="W2491" s="63" t="str">
        <f>IF($H2491&lt;&gt;"","项目成本",IFERROR(INDEX(基础资料!$W$4:$W$49,MATCH($I2491,基础资料!$V$4:$V$49,0)),""))</f>
        <v/>
      </c>
      <c r="X2491" s="63" t="str">
        <f>IFERROR(INDEX(基础资料!$R$4:$R$17,MATCH($G2491,基础资料!$Q$4:$Q$17,0)),"")</f>
        <v/>
      </c>
    </row>
    <row r="2492" spans="1:24">
      <c r="A2492" s="58" t="str">
        <f>IF($B2492="","",COUNTA($B$5:$B2492))</f>
        <v/>
      </c>
      <c r="B2492" s="53"/>
      <c r="C2492" s="46"/>
      <c r="D2492" s="63" t="str">
        <f>IFERROR(INDEX(基础资料!$F$4:$F$23,MATCH($C2492,基础资料!$E$4:$E$23,0)),IF($C2492="","","未匹配账户"))</f>
        <v/>
      </c>
      <c r="E2492" s="39"/>
      <c r="F2492" s="10"/>
      <c r="G2492" s="10"/>
      <c r="H2492" s="10"/>
      <c r="I2492" s="10"/>
      <c r="J2492" s="10"/>
      <c r="K2492" s="25"/>
      <c r="L2492" s="25"/>
      <c r="M2492" s="25" t="str">
        <f>IFERROR(VLOOKUP($C2492,$C$5:$M$24,11,0)+SUMIF($C$25:$C2492,$C2492,$K$25:$K2492)-SUMIF($C$25:$C2492,$C2492,$L$25:$L2492),"")</f>
        <v/>
      </c>
      <c r="N2492" s="10"/>
      <c r="O2492" s="10"/>
      <c r="P2492" s="65"/>
      <c r="Q2492" s="10"/>
      <c r="R2492" s="10"/>
      <c r="S2492" s="54" t="str">
        <f t="shared" si="120"/>
        <v/>
      </c>
      <c r="T2492" s="54" t="str">
        <f t="shared" si="121"/>
        <v/>
      </c>
      <c r="U2492" s="58" t="str">
        <f t="shared" si="122"/>
        <v/>
      </c>
      <c r="V2492" s="58">
        <f>IF(AND($B2492&lt;&gt;"",$F2492&lt;&gt;"",$F2492=项目明细账!$C$2),N(V2491)+1,N(V2491))</f>
        <v>0</v>
      </c>
      <c r="W2492" s="63" t="str">
        <f>IF($H2492&lt;&gt;"","项目成本",IFERROR(INDEX(基础资料!$W$4:$W$49,MATCH($I2492,基础资料!$V$4:$V$49,0)),""))</f>
        <v/>
      </c>
      <c r="X2492" s="63" t="str">
        <f>IFERROR(INDEX(基础资料!$R$4:$R$17,MATCH($G2492,基础资料!$Q$4:$Q$17,0)),"")</f>
        <v/>
      </c>
    </row>
    <row r="2493" spans="1:24">
      <c r="A2493" s="58" t="str">
        <f>IF($B2493="","",COUNTA($B$5:$B2493))</f>
        <v/>
      </c>
      <c r="B2493" s="53"/>
      <c r="C2493" s="46"/>
      <c r="D2493" s="63" t="str">
        <f>IFERROR(INDEX(基础资料!$F$4:$F$23,MATCH($C2493,基础资料!$E$4:$E$23,0)),IF($C2493="","","未匹配账户"))</f>
        <v/>
      </c>
      <c r="E2493" s="39"/>
      <c r="F2493" s="10"/>
      <c r="G2493" s="10"/>
      <c r="H2493" s="10"/>
      <c r="I2493" s="10"/>
      <c r="J2493" s="10"/>
      <c r="K2493" s="25"/>
      <c r="L2493" s="25"/>
      <c r="M2493" s="25" t="str">
        <f>IFERROR(VLOOKUP($C2493,$C$5:$M$24,11,0)+SUMIF($C$25:$C2493,$C2493,$K$25:$K2493)-SUMIF($C$25:$C2493,$C2493,$L$25:$L2493),"")</f>
        <v/>
      </c>
      <c r="N2493" s="10"/>
      <c r="O2493" s="10"/>
      <c r="P2493" s="65"/>
      <c r="Q2493" s="10"/>
      <c r="R2493" s="10"/>
      <c r="S2493" s="54" t="str">
        <f t="shared" si="120"/>
        <v/>
      </c>
      <c r="T2493" s="54" t="str">
        <f t="shared" si="121"/>
        <v/>
      </c>
      <c r="U2493" s="58" t="str">
        <f t="shared" si="122"/>
        <v/>
      </c>
      <c r="V2493" s="58">
        <f>IF(AND($B2493&lt;&gt;"",$F2493&lt;&gt;"",$F2493=项目明细账!$C$2),N(V2492)+1,N(V2492))</f>
        <v>0</v>
      </c>
      <c r="W2493" s="63" t="str">
        <f>IF($H2493&lt;&gt;"","项目成本",IFERROR(INDEX(基础资料!$W$4:$W$49,MATCH($I2493,基础资料!$V$4:$V$49,0)),""))</f>
        <v/>
      </c>
      <c r="X2493" s="63" t="str">
        <f>IFERROR(INDEX(基础资料!$R$4:$R$17,MATCH($G2493,基础资料!$Q$4:$Q$17,0)),"")</f>
        <v/>
      </c>
    </row>
    <row r="2494" spans="1:24">
      <c r="A2494" s="58" t="str">
        <f>IF($B2494="","",COUNTA($B$5:$B2494))</f>
        <v/>
      </c>
      <c r="B2494" s="53"/>
      <c r="C2494" s="46"/>
      <c r="D2494" s="63" t="str">
        <f>IFERROR(INDEX(基础资料!$F$4:$F$23,MATCH($C2494,基础资料!$E$4:$E$23,0)),IF($C2494="","","未匹配账户"))</f>
        <v/>
      </c>
      <c r="E2494" s="39"/>
      <c r="F2494" s="10"/>
      <c r="G2494" s="10"/>
      <c r="H2494" s="10"/>
      <c r="I2494" s="10"/>
      <c r="J2494" s="10"/>
      <c r="K2494" s="25"/>
      <c r="L2494" s="25"/>
      <c r="M2494" s="25" t="str">
        <f>IFERROR(VLOOKUP($C2494,$C$5:$M$24,11,0)+SUMIF($C$25:$C2494,$C2494,$K$25:$K2494)-SUMIF($C$25:$C2494,$C2494,$L$25:$L2494),"")</f>
        <v/>
      </c>
      <c r="N2494" s="10"/>
      <c r="O2494" s="10"/>
      <c r="P2494" s="65"/>
      <c r="Q2494" s="10"/>
      <c r="R2494" s="10"/>
      <c r="S2494" s="54" t="str">
        <f t="shared" si="120"/>
        <v/>
      </c>
      <c r="T2494" s="54" t="str">
        <f t="shared" si="121"/>
        <v/>
      </c>
      <c r="U2494" s="58" t="str">
        <f t="shared" si="122"/>
        <v/>
      </c>
      <c r="V2494" s="58">
        <f>IF(AND($B2494&lt;&gt;"",$F2494&lt;&gt;"",$F2494=项目明细账!$C$2),N(V2493)+1,N(V2493))</f>
        <v>0</v>
      </c>
      <c r="W2494" s="63" t="str">
        <f>IF($H2494&lt;&gt;"","项目成本",IFERROR(INDEX(基础资料!$W$4:$W$49,MATCH($I2494,基础资料!$V$4:$V$49,0)),""))</f>
        <v/>
      </c>
      <c r="X2494" s="63" t="str">
        <f>IFERROR(INDEX(基础资料!$R$4:$R$17,MATCH($G2494,基础资料!$Q$4:$Q$17,0)),"")</f>
        <v/>
      </c>
    </row>
    <row r="2495" spans="1:24">
      <c r="A2495" s="58" t="str">
        <f>IF($B2495="","",COUNTA($B$5:$B2495))</f>
        <v/>
      </c>
      <c r="B2495" s="53"/>
      <c r="C2495" s="46"/>
      <c r="D2495" s="63" t="str">
        <f>IFERROR(INDEX(基础资料!$F$4:$F$23,MATCH($C2495,基础资料!$E$4:$E$23,0)),IF($C2495="","","未匹配账户"))</f>
        <v/>
      </c>
      <c r="E2495" s="39"/>
      <c r="F2495" s="10"/>
      <c r="G2495" s="10"/>
      <c r="H2495" s="10"/>
      <c r="I2495" s="10"/>
      <c r="J2495" s="10"/>
      <c r="K2495" s="25"/>
      <c r="L2495" s="25"/>
      <c r="M2495" s="25" t="str">
        <f>IFERROR(VLOOKUP($C2495,$C$5:$M$24,11,0)+SUMIF($C$25:$C2495,$C2495,$K$25:$K2495)-SUMIF($C$25:$C2495,$C2495,$L$25:$L2495),"")</f>
        <v/>
      </c>
      <c r="N2495" s="10"/>
      <c r="O2495" s="10"/>
      <c r="P2495" s="65"/>
      <c r="Q2495" s="10"/>
      <c r="R2495" s="10"/>
      <c r="S2495" s="54" t="str">
        <f t="shared" si="120"/>
        <v/>
      </c>
      <c r="T2495" s="54" t="str">
        <f t="shared" si="121"/>
        <v/>
      </c>
      <c r="U2495" s="58" t="str">
        <f t="shared" si="122"/>
        <v/>
      </c>
      <c r="V2495" s="58">
        <f>IF(AND($B2495&lt;&gt;"",$F2495&lt;&gt;"",$F2495=项目明细账!$C$2),N(V2494)+1,N(V2494))</f>
        <v>0</v>
      </c>
      <c r="W2495" s="63" t="str">
        <f>IF($H2495&lt;&gt;"","项目成本",IFERROR(INDEX(基础资料!$W$4:$W$49,MATCH($I2495,基础资料!$V$4:$V$49,0)),""))</f>
        <v/>
      </c>
      <c r="X2495" s="63" t="str">
        <f>IFERROR(INDEX(基础资料!$R$4:$R$17,MATCH($G2495,基础资料!$Q$4:$Q$17,0)),"")</f>
        <v/>
      </c>
    </row>
    <row r="2496" spans="1:24">
      <c r="A2496" s="58" t="str">
        <f>IF($B2496="","",COUNTA($B$5:$B2496))</f>
        <v/>
      </c>
      <c r="B2496" s="53"/>
      <c r="C2496" s="46"/>
      <c r="D2496" s="63" t="str">
        <f>IFERROR(INDEX(基础资料!$F$4:$F$23,MATCH($C2496,基础资料!$E$4:$E$23,0)),IF($C2496="","","未匹配账户"))</f>
        <v/>
      </c>
      <c r="E2496" s="39"/>
      <c r="F2496" s="10"/>
      <c r="G2496" s="10"/>
      <c r="H2496" s="10"/>
      <c r="I2496" s="10"/>
      <c r="J2496" s="10"/>
      <c r="K2496" s="25"/>
      <c r="L2496" s="25"/>
      <c r="M2496" s="25" t="str">
        <f>IFERROR(VLOOKUP($C2496,$C$5:$M$24,11,0)+SUMIF($C$25:$C2496,$C2496,$K$25:$K2496)-SUMIF($C$25:$C2496,$C2496,$L$25:$L2496),"")</f>
        <v/>
      </c>
      <c r="N2496" s="10"/>
      <c r="O2496" s="10"/>
      <c r="P2496" s="65"/>
      <c r="Q2496" s="10"/>
      <c r="R2496" s="10"/>
      <c r="S2496" s="54" t="str">
        <f t="shared" si="120"/>
        <v/>
      </c>
      <c r="T2496" s="54" t="str">
        <f t="shared" si="121"/>
        <v/>
      </c>
      <c r="U2496" s="58" t="str">
        <f t="shared" si="122"/>
        <v/>
      </c>
      <c r="V2496" s="58">
        <f>IF(AND($B2496&lt;&gt;"",$F2496&lt;&gt;"",$F2496=项目明细账!$C$2),N(V2495)+1,N(V2495))</f>
        <v>0</v>
      </c>
      <c r="W2496" s="63" t="str">
        <f>IF($H2496&lt;&gt;"","项目成本",IFERROR(INDEX(基础资料!$W$4:$W$49,MATCH($I2496,基础资料!$V$4:$V$49,0)),""))</f>
        <v/>
      </c>
      <c r="X2496" s="63" t="str">
        <f>IFERROR(INDEX(基础资料!$R$4:$R$17,MATCH($G2496,基础资料!$Q$4:$Q$17,0)),"")</f>
        <v/>
      </c>
    </row>
    <row r="2497" spans="1:24">
      <c r="A2497" s="58" t="str">
        <f>IF($B2497="","",COUNTA($B$5:$B2497))</f>
        <v/>
      </c>
      <c r="B2497" s="53"/>
      <c r="C2497" s="46"/>
      <c r="D2497" s="63" t="str">
        <f>IFERROR(INDEX(基础资料!$F$4:$F$23,MATCH($C2497,基础资料!$E$4:$E$23,0)),IF($C2497="","","未匹配账户"))</f>
        <v/>
      </c>
      <c r="E2497" s="39"/>
      <c r="F2497" s="10"/>
      <c r="G2497" s="10"/>
      <c r="H2497" s="10"/>
      <c r="I2497" s="10"/>
      <c r="J2497" s="10"/>
      <c r="K2497" s="25"/>
      <c r="L2497" s="25"/>
      <c r="M2497" s="25" t="str">
        <f>IFERROR(VLOOKUP($C2497,$C$5:$M$24,11,0)+SUMIF($C$25:$C2497,$C2497,$K$25:$K2497)-SUMIF($C$25:$C2497,$C2497,$L$25:$L2497),"")</f>
        <v/>
      </c>
      <c r="N2497" s="10"/>
      <c r="O2497" s="10"/>
      <c r="P2497" s="65"/>
      <c r="Q2497" s="10"/>
      <c r="R2497" s="10"/>
      <c r="S2497" s="54" t="str">
        <f t="shared" si="120"/>
        <v/>
      </c>
      <c r="T2497" s="54" t="str">
        <f t="shared" si="121"/>
        <v/>
      </c>
      <c r="U2497" s="58" t="str">
        <f t="shared" si="122"/>
        <v/>
      </c>
      <c r="V2497" s="58">
        <f>IF(AND($B2497&lt;&gt;"",$F2497&lt;&gt;"",$F2497=项目明细账!$C$2),N(V2496)+1,N(V2496))</f>
        <v>0</v>
      </c>
      <c r="W2497" s="63" t="str">
        <f>IF($H2497&lt;&gt;"","项目成本",IFERROR(INDEX(基础资料!$W$4:$W$49,MATCH($I2497,基础资料!$V$4:$V$49,0)),""))</f>
        <v/>
      </c>
      <c r="X2497" s="63" t="str">
        <f>IFERROR(INDEX(基础资料!$R$4:$R$17,MATCH($G2497,基础资料!$Q$4:$Q$17,0)),"")</f>
        <v/>
      </c>
    </row>
    <row r="2498" spans="1:24">
      <c r="A2498" s="58" t="str">
        <f>IF($B2498="","",COUNTA($B$5:$B2498))</f>
        <v/>
      </c>
      <c r="B2498" s="53"/>
      <c r="C2498" s="46"/>
      <c r="D2498" s="63" t="str">
        <f>IFERROR(INDEX(基础资料!$F$4:$F$23,MATCH($C2498,基础资料!$E$4:$E$23,0)),IF($C2498="","","未匹配账户"))</f>
        <v/>
      </c>
      <c r="E2498" s="39"/>
      <c r="F2498" s="10"/>
      <c r="G2498" s="10"/>
      <c r="H2498" s="10"/>
      <c r="I2498" s="10"/>
      <c r="J2498" s="10"/>
      <c r="K2498" s="25"/>
      <c r="L2498" s="25"/>
      <c r="M2498" s="25" t="str">
        <f>IFERROR(VLOOKUP($C2498,$C$5:$M$24,11,0)+SUMIF($C$25:$C2498,$C2498,$K$25:$K2498)-SUMIF($C$25:$C2498,$C2498,$L$25:$L2498),"")</f>
        <v/>
      </c>
      <c r="N2498" s="10"/>
      <c r="O2498" s="10"/>
      <c r="P2498" s="65"/>
      <c r="Q2498" s="10"/>
      <c r="R2498" s="10"/>
      <c r="S2498" s="54" t="str">
        <f t="shared" si="120"/>
        <v/>
      </c>
      <c r="T2498" s="54" t="str">
        <f t="shared" si="121"/>
        <v/>
      </c>
      <c r="U2498" s="58" t="str">
        <f t="shared" si="122"/>
        <v/>
      </c>
      <c r="V2498" s="58">
        <f>IF(AND($B2498&lt;&gt;"",$F2498&lt;&gt;"",$F2498=项目明细账!$C$2),N(V2497)+1,N(V2497))</f>
        <v>0</v>
      </c>
      <c r="W2498" s="63" t="str">
        <f>IF($H2498&lt;&gt;"","项目成本",IFERROR(INDEX(基础资料!$W$4:$W$49,MATCH($I2498,基础资料!$V$4:$V$49,0)),""))</f>
        <v/>
      </c>
      <c r="X2498" s="63" t="str">
        <f>IFERROR(INDEX(基础资料!$R$4:$R$17,MATCH($G2498,基础资料!$Q$4:$Q$17,0)),"")</f>
        <v/>
      </c>
    </row>
    <row r="2499" spans="1:24">
      <c r="A2499" s="58" t="str">
        <f>IF($B2499="","",COUNTA($B$5:$B2499))</f>
        <v/>
      </c>
      <c r="B2499" s="53"/>
      <c r="C2499" s="46"/>
      <c r="D2499" s="63" t="str">
        <f>IFERROR(INDEX(基础资料!$F$4:$F$23,MATCH($C2499,基础资料!$E$4:$E$23,0)),IF($C2499="","","未匹配账户"))</f>
        <v/>
      </c>
      <c r="E2499" s="39"/>
      <c r="F2499" s="10"/>
      <c r="G2499" s="10"/>
      <c r="H2499" s="10"/>
      <c r="I2499" s="10"/>
      <c r="J2499" s="10"/>
      <c r="K2499" s="25"/>
      <c r="L2499" s="25"/>
      <c r="M2499" s="25" t="str">
        <f>IFERROR(VLOOKUP($C2499,$C$5:$M$24,11,0)+SUMIF($C$25:$C2499,$C2499,$K$25:$K2499)-SUMIF($C$25:$C2499,$C2499,$L$25:$L2499),"")</f>
        <v/>
      </c>
      <c r="N2499" s="10"/>
      <c r="O2499" s="10"/>
      <c r="P2499" s="65"/>
      <c r="Q2499" s="10"/>
      <c r="R2499" s="10"/>
      <c r="S2499" s="54" t="str">
        <f t="shared" si="120"/>
        <v/>
      </c>
      <c r="T2499" s="54" t="str">
        <f t="shared" si="121"/>
        <v/>
      </c>
      <c r="U2499" s="58" t="str">
        <f t="shared" si="122"/>
        <v/>
      </c>
      <c r="V2499" s="58">
        <f>IF(AND($B2499&lt;&gt;"",$F2499&lt;&gt;"",$F2499=项目明细账!$C$2),N(V2498)+1,N(V2498))</f>
        <v>0</v>
      </c>
      <c r="W2499" s="63" t="str">
        <f>IF($H2499&lt;&gt;"","项目成本",IFERROR(INDEX(基础资料!$W$4:$W$49,MATCH($I2499,基础资料!$V$4:$V$49,0)),""))</f>
        <v/>
      </c>
      <c r="X2499" s="63" t="str">
        <f>IFERROR(INDEX(基础资料!$R$4:$R$17,MATCH($G2499,基础资料!$Q$4:$Q$17,0)),"")</f>
        <v/>
      </c>
    </row>
    <row r="2500" spans="1:24">
      <c r="A2500" s="58" t="str">
        <f>IF($B2500="","",COUNTA($B$5:$B2500))</f>
        <v/>
      </c>
      <c r="B2500" s="53"/>
      <c r="C2500" s="46"/>
      <c r="D2500" s="63" t="str">
        <f>IFERROR(INDEX(基础资料!$F$4:$F$23,MATCH($C2500,基础资料!$E$4:$E$23,0)),IF($C2500="","","未匹配账户"))</f>
        <v/>
      </c>
      <c r="E2500" s="39"/>
      <c r="F2500" s="10"/>
      <c r="G2500" s="10"/>
      <c r="H2500" s="10"/>
      <c r="I2500" s="10"/>
      <c r="J2500" s="10"/>
      <c r="K2500" s="25"/>
      <c r="L2500" s="25"/>
      <c r="M2500" s="25" t="str">
        <f>IFERROR(VLOOKUP($C2500,$C$5:$M$24,11,0)+SUMIF($C$25:$C2500,$C2500,$K$25:$K2500)-SUMIF($C$25:$C2500,$C2500,$L$25:$L2500),"")</f>
        <v/>
      </c>
      <c r="N2500" s="10"/>
      <c r="O2500" s="10"/>
      <c r="P2500" s="65"/>
      <c r="Q2500" s="10"/>
      <c r="R2500" s="10"/>
      <c r="S2500" s="54" t="str">
        <f t="shared" si="120"/>
        <v/>
      </c>
      <c r="T2500" s="54" t="str">
        <f t="shared" si="121"/>
        <v/>
      </c>
      <c r="U2500" s="58" t="str">
        <f t="shared" si="122"/>
        <v/>
      </c>
      <c r="V2500" s="58">
        <f>IF(AND($B2500&lt;&gt;"",$F2500&lt;&gt;"",$F2500=项目明细账!$C$2),N(V2499)+1,N(V2499))</f>
        <v>0</v>
      </c>
      <c r="W2500" s="63" t="str">
        <f>IF($H2500&lt;&gt;"","项目成本",IFERROR(INDEX(基础资料!$W$4:$W$49,MATCH($I2500,基础资料!$V$4:$V$49,0)),""))</f>
        <v/>
      </c>
      <c r="X2500" s="63" t="str">
        <f>IFERROR(INDEX(基础资料!$R$4:$R$17,MATCH($G2500,基础资料!$Q$4:$Q$17,0)),"")</f>
        <v/>
      </c>
    </row>
    <row r="2501" spans="1:24">
      <c r="A2501" s="58" t="str">
        <f>IF($B2501="","",COUNTA($B$5:$B2501))</f>
        <v/>
      </c>
      <c r="B2501" s="53"/>
      <c r="C2501" s="46"/>
      <c r="D2501" s="63" t="str">
        <f>IFERROR(INDEX(基础资料!$F$4:$F$23,MATCH($C2501,基础资料!$E$4:$E$23,0)),IF($C2501="","","未匹配账户"))</f>
        <v/>
      </c>
      <c r="E2501" s="39"/>
      <c r="F2501" s="10"/>
      <c r="G2501" s="10"/>
      <c r="H2501" s="10"/>
      <c r="I2501" s="10"/>
      <c r="J2501" s="10"/>
      <c r="K2501" s="25"/>
      <c r="L2501" s="25"/>
      <c r="M2501" s="25" t="str">
        <f>IFERROR(VLOOKUP($C2501,$C$5:$M$24,11,0)+SUMIF($C$25:$C2501,$C2501,$K$25:$K2501)-SUMIF($C$25:$C2501,$C2501,$L$25:$L2501),"")</f>
        <v/>
      </c>
      <c r="N2501" s="10"/>
      <c r="O2501" s="10"/>
      <c r="P2501" s="65"/>
      <c r="Q2501" s="10"/>
      <c r="R2501" s="10"/>
      <c r="S2501" s="54" t="str">
        <f t="shared" si="120"/>
        <v/>
      </c>
      <c r="T2501" s="54" t="str">
        <f t="shared" si="121"/>
        <v/>
      </c>
      <c r="U2501" s="58" t="str">
        <f t="shared" si="122"/>
        <v/>
      </c>
      <c r="V2501" s="58">
        <f>IF(AND($B2501&lt;&gt;"",$F2501&lt;&gt;"",$F2501=项目明细账!$C$2),N(V2500)+1,N(V2500))</f>
        <v>0</v>
      </c>
      <c r="W2501" s="63" t="str">
        <f>IF($H2501&lt;&gt;"","项目成本",IFERROR(INDEX(基础资料!$W$4:$W$49,MATCH($I2501,基础资料!$V$4:$V$49,0)),""))</f>
        <v/>
      </c>
      <c r="X2501" s="63" t="str">
        <f>IFERROR(INDEX(基础资料!$R$4:$R$17,MATCH($G2501,基础资料!$Q$4:$Q$17,0)),"")</f>
        <v/>
      </c>
    </row>
    <row r="2502" spans="1:24">
      <c r="A2502" s="58" t="str">
        <f>IF($B2502="","",COUNTA($B$5:$B2502))</f>
        <v/>
      </c>
      <c r="B2502" s="53"/>
      <c r="C2502" s="46"/>
      <c r="D2502" s="63" t="str">
        <f>IFERROR(INDEX(基础资料!$F$4:$F$23,MATCH($C2502,基础资料!$E$4:$E$23,0)),IF($C2502="","","未匹配账户"))</f>
        <v/>
      </c>
      <c r="E2502" s="39"/>
      <c r="F2502" s="10"/>
      <c r="G2502" s="10"/>
      <c r="H2502" s="10"/>
      <c r="I2502" s="10"/>
      <c r="J2502" s="10"/>
      <c r="K2502" s="25"/>
      <c r="L2502" s="25"/>
      <c r="M2502" s="25" t="str">
        <f>IFERROR(VLOOKUP($C2502,$C$5:$M$24,11,0)+SUMIF($C$25:$C2502,$C2502,$K$25:$K2502)-SUMIF($C$25:$C2502,$C2502,$L$25:$L2502),"")</f>
        <v/>
      </c>
      <c r="N2502" s="10"/>
      <c r="O2502" s="10"/>
      <c r="P2502" s="65"/>
      <c r="Q2502" s="10"/>
      <c r="R2502" s="10"/>
      <c r="S2502" s="54" t="str">
        <f t="shared" si="120"/>
        <v/>
      </c>
      <c r="T2502" s="54" t="str">
        <f t="shared" si="121"/>
        <v/>
      </c>
      <c r="U2502" s="58" t="str">
        <f t="shared" si="122"/>
        <v/>
      </c>
      <c r="V2502" s="58">
        <f>IF(AND($B2502&lt;&gt;"",$F2502&lt;&gt;"",$F2502=项目明细账!$C$2),N(V2501)+1,N(V2501))</f>
        <v>0</v>
      </c>
      <c r="W2502" s="63" t="str">
        <f>IF($H2502&lt;&gt;"","项目成本",IFERROR(INDEX(基础资料!$W$4:$W$49,MATCH($I2502,基础资料!$V$4:$V$49,0)),""))</f>
        <v/>
      </c>
      <c r="X2502" s="63" t="str">
        <f>IFERROR(INDEX(基础资料!$R$4:$R$17,MATCH($G2502,基础资料!$Q$4:$Q$17,0)),"")</f>
        <v/>
      </c>
    </row>
    <row r="2503" spans="1:24">
      <c r="A2503" s="58" t="str">
        <f>IF($B2503="","",COUNTA($B$5:$B2503))</f>
        <v/>
      </c>
      <c r="B2503" s="53"/>
      <c r="C2503" s="46"/>
      <c r="D2503" s="63" t="str">
        <f>IFERROR(INDEX(基础资料!$F$4:$F$23,MATCH($C2503,基础资料!$E$4:$E$23,0)),IF($C2503="","","未匹配账户"))</f>
        <v/>
      </c>
      <c r="E2503" s="39"/>
      <c r="F2503" s="10"/>
      <c r="G2503" s="10"/>
      <c r="H2503" s="10"/>
      <c r="I2503" s="10"/>
      <c r="J2503" s="10"/>
      <c r="K2503" s="25"/>
      <c r="L2503" s="25"/>
      <c r="M2503" s="25" t="str">
        <f>IFERROR(VLOOKUP($C2503,$C$5:$M$24,11,0)+SUMIF($C$25:$C2503,$C2503,$K$25:$K2503)-SUMIF($C$25:$C2503,$C2503,$L$25:$L2503),"")</f>
        <v/>
      </c>
      <c r="N2503" s="10"/>
      <c r="O2503" s="10"/>
      <c r="P2503" s="65"/>
      <c r="Q2503" s="10"/>
      <c r="R2503" s="10"/>
      <c r="S2503" s="54" t="str">
        <f t="shared" ref="S2503:S2566" si="123">IF($B2503="","",--TEXT($B2503,"yyyymm"))</f>
        <v/>
      </c>
      <c r="T2503" s="54" t="str">
        <f t="shared" ref="T2503:T2566" si="124">IF($B2503="","",IF($P2503="",$S2503,IFERROR($P2503*1,$P2503)))</f>
        <v/>
      </c>
      <c r="U2503" s="58" t="str">
        <f t="shared" ref="U2503:U2566" si="125">IF($B2503="","",IF($T2503=$S2503,"","跨期"))</f>
        <v/>
      </c>
      <c r="V2503" s="58">
        <f>IF(AND($B2503&lt;&gt;"",$F2503&lt;&gt;"",$F2503=项目明细账!$C$2),N(V2502)+1,N(V2502))</f>
        <v>0</v>
      </c>
      <c r="W2503" s="63" t="str">
        <f>IF($H2503&lt;&gt;"","项目成本",IFERROR(INDEX(基础资料!$W$4:$W$49,MATCH($I2503,基础资料!$V$4:$V$49,0)),""))</f>
        <v/>
      </c>
      <c r="X2503" s="63" t="str">
        <f>IFERROR(INDEX(基础资料!$R$4:$R$17,MATCH($G2503,基础资料!$Q$4:$Q$17,0)),"")</f>
        <v/>
      </c>
    </row>
    <row r="2504" spans="1:24">
      <c r="A2504" s="58" t="str">
        <f>IF($B2504="","",COUNTA($B$5:$B2504))</f>
        <v/>
      </c>
      <c r="B2504" s="53"/>
      <c r="C2504" s="46"/>
      <c r="D2504" s="63" t="str">
        <f>IFERROR(INDEX(基础资料!$F$4:$F$23,MATCH($C2504,基础资料!$E$4:$E$23,0)),IF($C2504="","","未匹配账户"))</f>
        <v/>
      </c>
      <c r="E2504" s="39"/>
      <c r="F2504" s="10"/>
      <c r="G2504" s="10"/>
      <c r="H2504" s="10"/>
      <c r="I2504" s="10"/>
      <c r="J2504" s="10"/>
      <c r="K2504" s="25"/>
      <c r="L2504" s="25"/>
      <c r="M2504" s="25" t="str">
        <f>IFERROR(VLOOKUP($C2504,$C$5:$M$24,11,0)+SUMIF($C$25:$C2504,$C2504,$K$25:$K2504)-SUMIF($C$25:$C2504,$C2504,$L$25:$L2504),"")</f>
        <v/>
      </c>
      <c r="N2504" s="10"/>
      <c r="O2504" s="10"/>
      <c r="P2504" s="65"/>
      <c r="Q2504" s="10"/>
      <c r="R2504" s="10"/>
      <c r="S2504" s="54" t="str">
        <f t="shared" si="123"/>
        <v/>
      </c>
      <c r="T2504" s="54" t="str">
        <f t="shared" si="124"/>
        <v/>
      </c>
      <c r="U2504" s="58" t="str">
        <f t="shared" si="125"/>
        <v/>
      </c>
      <c r="V2504" s="58">
        <f>IF(AND($B2504&lt;&gt;"",$F2504&lt;&gt;"",$F2504=项目明细账!$C$2),N(V2503)+1,N(V2503))</f>
        <v>0</v>
      </c>
      <c r="W2504" s="63" t="str">
        <f>IF($H2504&lt;&gt;"","项目成本",IFERROR(INDEX(基础资料!$W$4:$W$49,MATCH($I2504,基础资料!$V$4:$V$49,0)),""))</f>
        <v/>
      </c>
      <c r="X2504" s="63" t="str">
        <f>IFERROR(INDEX(基础资料!$R$4:$R$17,MATCH($G2504,基础资料!$Q$4:$Q$17,0)),"")</f>
        <v/>
      </c>
    </row>
    <row r="2505" spans="1:24">
      <c r="A2505" s="58" t="str">
        <f>IF($B2505="","",COUNTA($B$5:$B2505))</f>
        <v/>
      </c>
      <c r="B2505" s="53"/>
      <c r="C2505" s="46"/>
      <c r="D2505" s="63" t="str">
        <f>IFERROR(INDEX(基础资料!$F$4:$F$23,MATCH($C2505,基础资料!$E$4:$E$23,0)),IF($C2505="","","未匹配账户"))</f>
        <v/>
      </c>
      <c r="E2505" s="39"/>
      <c r="F2505" s="10"/>
      <c r="G2505" s="10"/>
      <c r="H2505" s="10"/>
      <c r="I2505" s="10"/>
      <c r="J2505" s="10"/>
      <c r="K2505" s="25"/>
      <c r="L2505" s="25"/>
      <c r="M2505" s="25" t="str">
        <f>IFERROR(VLOOKUP($C2505,$C$5:$M$24,11,0)+SUMIF($C$25:$C2505,$C2505,$K$25:$K2505)-SUMIF($C$25:$C2505,$C2505,$L$25:$L2505),"")</f>
        <v/>
      </c>
      <c r="N2505" s="10"/>
      <c r="O2505" s="10"/>
      <c r="P2505" s="65"/>
      <c r="Q2505" s="10"/>
      <c r="R2505" s="10"/>
      <c r="S2505" s="54" t="str">
        <f t="shared" si="123"/>
        <v/>
      </c>
      <c r="T2505" s="54" t="str">
        <f t="shared" si="124"/>
        <v/>
      </c>
      <c r="U2505" s="58" t="str">
        <f t="shared" si="125"/>
        <v/>
      </c>
      <c r="V2505" s="58">
        <f>IF(AND($B2505&lt;&gt;"",$F2505&lt;&gt;"",$F2505=项目明细账!$C$2),N(V2504)+1,N(V2504))</f>
        <v>0</v>
      </c>
      <c r="W2505" s="63" t="str">
        <f>IF($H2505&lt;&gt;"","项目成本",IFERROR(INDEX(基础资料!$W$4:$W$49,MATCH($I2505,基础资料!$V$4:$V$49,0)),""))</f>
        <v/>
      </c>
      <c r="X2505" s="63" t="str">
        <f>IFERROR(INDEX(基础资料!$R$4:$R$17,MATCH($G2505,基础资料!$Q$4:$Q$17,0)),"")</f>
        <v/>
      </c>
    </row>
    <row r="2506" spans="1:24">
      <c r="A2506" s="58" t="str">
        <f>IF($B2506="","",COUNTA($B$5:$B2506))</f>
        <v/>
      </c>
      <c r="B2506" s="53"/>
      <c r="C2506" s="46"/>
      <c r="D2506" s="63" t="str">
        <f>IFERROR(INDEX(基础资料!$F$4:$F$23,MATCH($C2506,基础资料!$E$4:$E$23,0)),IF($C2506="","","未匹配账户"))</f>
        <v/>
      </c>
      <c r="E2506" s="39"/>
      <c r="F2506" s="10"/>
      <c r="G2506" s="10"/>
      <c r="H2506" s="10"/>
      <c r="I2506" s="10"/>
      <c r="J2506" s="10"/>
      <c r="K2506" s="25"/>
      <c r="L2506" s="25"/>
      <c r="M2506" s="25" t="str">
        <f>IFERROR(VLOOKUP($C2506,$C$5:$M$24,11,0)+SUMIF($C$25:$C2506,$C2506,$K$25:$K2506)-SUMIF($C$25:$C2506,$C2506,$L$25:$L2506),"")</f>
        <v/>
      </c>
      <c r="N2506" s="10"/>
      <c r="O2506" s="10"/>
      <c r="P2506" s="65"/>
      <c r="Q2506" s="10"/>
      <c r="R2506" s="10"/>
      <c r="S2506" s="54" t="str">
        <f t="shared" si="123"/>
        <v/>
      </c>
      <c r="T2506" s="54" t="str">
        <f t="shared" si="124"/>
        <v/>
      </c>
      <c r="U2506" s="58" t="str">
        <f t="shared" si="125"/>
        <v/>
      </c>
      <c r="V2506" s="58">
        <f>IF(AND($B2506&lt;&gt;"",$F2506&lt;&gt;"",$F2506=项目明细账!$C$2),N(V2505)+1,N(V2505))</f>
        <v>0</v>
      </c>
      <c r="W2506" s="63" t="str">
        <f>IF($H2506&lt;&gt;"","项目成本",IFERROR(INDEX(基础资料!$W$4:$W$49,MATCH($I2506,基础资料!$V$4:$V$49,0)),""))</f>
        <v/>
      </c>
      <c r="X2506" s="63" t="str">
        <f>IFERROR(INDEX(基础资料!$R$4:$R$17,MATCH($G2506,基础资料!$Q$4:$Q$17,0)),"")</f>
        <v/>
      </c>
    </row>
    <row r="2507" spans="1:24">
      <c r="A2507" s="58" t="str">
        <f>IF($B2507="","",COUNTA($B$5:$B2507))</f>
        <v/>
      </c>
      <c r="B2507" s="53"/>
      <c r="C2507" s="46"/>
      <c r="D2507" s="63" t="str">
        <f>IFERROR(INDEX(基础资料!$F$4:$F$23,MATCH($C2507,基础资料!$E$4:$E$23,0)),IF($C2507="","","未匹配账户"))</f>
        <v/>
      </c>
      <c r="E2507" s="39"/>
      <c r="F2507" s="10"/>
      <c r="G2507" s="10"/>
      <c r="H2507" s="10"/>
      <c r="I2507" s="10"/>
      <c r="J2507" s="10"/>
      <c r="K2507" s="25"/>
      <c r="L2507" s="25"/>
      <c r="M2507" s="25" t="str">
        <f>IFERROR(VLOOKUP($C2507,$C$5:$M$24,11,0)+SUMIF($C$25:$C2507,$C2507,$K$25:$K2507)-SUMIF($C$25:$C2507,$C2507,$L$25:$L2507),"")</f>
        <v/>
      </c>
      <c r="N2507" s="10"/>
      <c r="O2507" s="10"/>
      <c r="P2507" s="65"/>
      <c r="Q2507" s="10"/>
      <c r="R2507" s="10"/>
      <c r="S2507" s="54" t="str">
        <f t="shared" si="123"/>
        <v/>
      </c>
      <c r="T2507" s="54" t="str">
        <f t="shared" si="124"/>
        <v/>
      </c>
      <c r="U2507" s="58" t="str">
        <f t="shared" si="125"/>
        <v/>
      </c>
      <c r="V2507" s="58">
        <f>IF(AND($B2507&lt;&gt;"",$F2507&lt;&gt;"",$F2507=项目明细账!$C$2),N(V2506)+1,N(V2506))</f>
        <v>0</v>
      </c>
      <c r="W2507" s="63" t="str">
        <f>IF($H2507&lt;&gt;"","项目成本",IFERROR(INDEX(基础资料!$W$4:$W$49,MATCH($I2507,基础资料!$V$4:$V$49,0)),""))</f>
        <v/>
      </c>
      <c r="X2507" s="63" t="str">
        <f>IFERROR(INDEX(基础资料!$R$4:$R$17,MATCH($G2507,基础资料!$Q$4:$Q$17,0)),"")</f>
        <v/>
      </c>
    </row>
    <row r="2508" spans="1:24">
      <c r="A2508" s="58" t="str">
        <f>IF($B2508="","",COUNTA($B$5:$B2508))</f>
        <v/>
      </c>
      <c r="B2508" s="53"/>
      <c r="C2508" s="46"/>
      <c r="D2508" s="63" t="str">
        <f>IFERROR(INDEX(基础资料!$F$4:$F$23,MATCH($C2508,基础资料!$E$4:$E$23,0)),IF($C2508="","","未匹配账户"))</f>
        <v/>
      </c>
      <c r="E2508" s="39"/>
      <c r="F2508" s="10"/>
      <c r="G2508" s="10"/>
      <c r="H2508" s="10"/>
      <c r="I2508" s="10"/>
      <c r="J2508" s="10"/>
      <c r="K2508" s="25"/>
      <c r="L2508" s="25"/>
      <c r="M2508" s="25" t="str">
        <f>IFERROR(VLOOKUP($C2508,$C$5:$M$24,11,0)+SUMIF($C$25:$C2508,$C2508,$K$25:$K2508)-SUMIF($C$25:$C2508,$C2508,$L$25:$L2508),"")</f>
        <v/>
      </c>
      <c r="N2508" s="10"/>
      <c r="O2508" s="10"/>
      <c r="P2508" s="65"/>
      <c r="Q2508" s="10"/>
      <c r="R2508" s="10"/>
      <c r="S2508" s="54" t="str">
        <f t="shared" si="123"/>
        <v/>
      </c>
      <c r="T2508" s="54" t="str">
        <f t="shared" si="124"/>
        <v/>
      </c>
      <c r="U2508" s="58" t="str">
        <f t="shared" si="125"/>
        <v/>
      </c>
      <c r="V2508" s="58">
        <f>IF(AND($B2508&lt;&gt;"",$F2508&lt;&gt;"",$F2508=项目明细账!$C$2),N(V2507)+1,N(V2507))</f>
        <v>0</v>
      </c>
      <c r="W2508" s="63" t="str">
        <f>IF($H2508&lt;&gt;"","项目成本",IFERROR(INDEX(基础资料!$W$4:$W$49,MATCH($I2508,基础资料!$V$4:$V$49,0)),""))</f>
        <v/>
      </c>
      <c r="X2508" s="63" t="str">
        <f>IFERROR(INDEX(基础资料!$R$4:$R$17,MATCH($G2508,基础资料!$Q$4:$Q$17,0)),"")</f>
        <v/>
      </c>
    </row>
    <row r="2509" spans="1:24">
      <c r="A2509" s="58" t="str">
        <f>IF($B2509="","",COUNTA($B$5:$B2509))</f>
        <v/>
      </c>
      <c r="B2509" s="53"/>
      <c r="C2509" s="46"/>
      <c r="D2509" s="63" t="str">
        <f>IFERROR(INDEX(基础资料!$F$4:$F$23,MATCH($C2509,基础资料!$E$4:$E$23,0)),IF($C2509="","","未匹配账户"))</f>
        <v/>
      </c>
      <c r="E2509" s="39"/>
      <c r="F2509" s="10"/>
      <c r="G2509" s="10"/>
      <c r="H2509" s="10"/>
      <c r="I2509" s="10"/>
      <c r="J2509" s="10"/>
      <c r="K2509" s="25"/>
      <c r="L2509" s="25"/>
      <c r="M2509" s="25" t="str">
        <f>IFERROR(VLOOKUP($C2509,$C$5:$M$24,11,0)+SUMIF($C$25:$C2509,$C2509,$K$25:$K2509)-SUMIF($C$25:$C2509,$C2509,$L$25:$L2509),"")</f>
        <v/>
      </c>
      <c r="N2509" s="10"/>
      <c r="O2509" s="10"/>
      <c r="P2509" s="65"/>
      <c r="Q2509" s="10"/>
      <c r="R2509" s="10"/>
      <c r="S2509" s="54" t="str">
        <f t="shared" si="123"/>
        <v/>
      </c>
      <c r="T2509" s="54" t="str">
        <f t="shared" si="124"/>
        <v/>
      </c>
      <c r="U2509" s="58" t="str">
        <f t="shared" si="125"/>
        <v/>
      </c>
      <c r="V2509" s="58">
        <f>IF(AND($B2509&lt;&gt;"",$F2509&lt;&gt;"",$F2509=项目明细账!$C$2),N(V2508)+1,N(V2508))</f>
        <v>0</v>
      </c>
      <c r="W2509" s="63" t="str">
        <f>IF($H2509&lt;&gt;"","项目成本",IFERROR(INDEX(基础资料!$W$4:$W$49,MATCH($I2509,基础资料!$V$4:$V$49,0)),""))</f>
        <v/>
      </c>
      <c r="X2509" s="63" t="str">
        <f>IFERROR(INDEX(基础资料!$R$4:$R$17,MATCH($G2509,基础资料!$Q$4:$Q$17,0)),"")</f>
        <v/>
      </c>
    </row>
    <row r="2510" spans="1:24">
      <c r="A2510" s="58" t="str">
        <f>IF($B2510="","",COUNTA($B$5:$B2510))</f>
        <v/>
      </c>
      <c r="B2510" s="53"/>
      <c r="C2510" s="46"/>
      <c r="D2510" s="63" t="str">
        <f>IFERROR(INDEX(基础资料!$F$4:$F$23,MATCH($C2510,基础资料!$E$4:$E$23,0)),IF($C2510="","","未匹配账户"))</f>
        <v/>
      </c>
      <c r="E2510" s="39"/>
      <c r="F2510" s="10"/>
      <c r="G2510" s="10"/>
      <c r="H2510" s="10"/>
      <c r="I2510" s="10"/>
      <c r="J2510" s="10"/>
      <c r="K2510" s="25"/>
      <c r="L2510" s="25"/>
      <c r="M2510" s="25" t="str">
        <f>IFERROR(VLOOKUP($C2510,$C$5:$M$24,11,0)+SUMIF($C$25:$C2510,$C2510,$K$25:$K2510)-SUMIF($C$25:$C2510,$C2510,$L$25:$L2510),"")</f>
        <v/>
      </c>
      <c r="N2510" s="10"/>
      <c r="O2510" s="10"/>
      <c r="P2510" s="65"/>
      <c r="Q2510" s="10"/>
      <c r="R2510" s="10"/>
      <c r="S2510" s="54" t="str">
        <f t="shared" si="123"/>
        <v/>
      </c>
      <c r="T2510" s="54" t="str">
        <f t="shared" si="124"/>
        <v/>
      </c>
      <c r="U2510" s="58" t="str">
        <f t="shared" si="125"/>
        <v/>
      </c>
      <c r="V2510" s="58">
        <f>IF(AND($B2510&lt;&gt;"",$F2510&lt;&gt;"",$F2510=项目明细账!$C$2),N(V2509)+1,N(V2509))</f>
        <v>0</v>
      </c>
      <c r="W2510" s="63" t="str">
        <f>IF($H2510&lt;&gt;"","项目成本",IFERROR(INDEX(基础资料!$W$4:$W$49,MATCH($I2510,基础资料!$V$4:$V$49,0)),""))</f>
        <v/>
      </c>
      <c r="X2510" s="63" t="str">
        <f>IFERROR(INDEX(基础资料!$R$4:$R$17,MATCH($G2510,基础资料!$Q$4:$Q$17,0)),"")</f>
        <v/>
      </c>
    </row>
    <row r="2511" spans="1:24">
      <c r="A2511" s="58" t="str">
        <f>IF($B2511="","",COUNTA($B$5:$B2511))</f>
        <v/>
      </c>
      <c r="B2511" s="53"/>
      <c r="C2511" s="46"/>
      <c r="D2511" s="63" t="str">
        <f>IFERROR(INDEX(基础资料!$F$4:$F$23,MATCH($C2511,基础资料!$E$4:$E$23,0)),IF($C2511="","","未匹配账户"))</f>
        <v/>
      </c>
      <c r="E2511" s="39"/>
      <c r="F2511" s="10"/>
      <c r="G2511" s="10"/>
      <c r="H2511" s="10"/>
      <c r="I2511" s="10"/>
      <c r="J2511" s="10"/>
      <c r="K2511" s="25"/>
      <c r="L2511" s="25"/>
      <c r="M2511" s="25" t="str">
        <f>IFERROR(VLOOKUP($C2511,$C$5:$M$24,11,0)+SUMIF($C$25:$C2511,$C2511,$K$25:$K2511)-SUMIF($C$25:$C2511,$C2511,$L$25:$L2511),"")</f>
        <v/>
      </c>
      <c r="N2511" s="10"/>
      <c r="O2511" s="10"/>
      <c r="P2511" s="65"/>
      <c r="Q2511" s="10"/>
      <c r="R2511" s="10"/>
      <c r="S2511" s="54" t="str">
        <f t="shared" si="123"/>
        <v/>
      </c>
      <c r="T2511" s="54" t="str">
        <f t="shared" si="124"/>
        <v/>
      </c>
      <c r="U2511" s="58" t="str">
        <f t="shared" si="125"/>
        <v/>
      </c>
      <c r="V2511" s="58">
        <f>IF(AND($B2511&lt;&gt;"",$F2511&lt;&gt;"",$F2511=项目明细账!$C$2),N(V2510)+1,N(V2510))</f>
        <v>0</v>
      </c>
      <c r="W2511" s="63" t="str">
        <f>IF($H2511&lt;&gt;"","项目成本",IFERROR(INDEX(基础资料!$W$4:$W$49,MATCH($I2511,基础资料!$V$4:$V$49,0)),""))</f>
        <v/>
      </c>
      <c r="X2511" s="63" t="str">
        <f>IFERROR(INDEX(基础资料!$R$4:$R$17,MATCH($G2511,基础资料!$Q$4:$Q$17,0)),"")</f>
        <v/>
      </c>
    </row>
    <row r="2512" spans="1:24">
      <c r="A2512" s="58" t="str">
        <f>IF($B2512="","",COUNTA($B$5:$B2512))</f>
        <v/>
      </c>
      <c r="B2512" s="53"/>
      <c r="C2512" s="46"/>
      <c r="D2512" s="63" t="str">
        <f>IFERROR(INDEX(基础资料!$F$4:$F$23,MATCH($C2512,基础资料!$E$4:$E$23,0)),IF($C2512="","","未匹配账户"))</f>
        <v/>
      </c>
      <c r="E2512" s="39"/>
      <c r="F2512" s="10"/>
      <c r="G2512" s="10"/>
      <c r="H2512" s="10"/>
      <c r="I2512" s="10"/>
      <c r="J2512" s="10"/>
      <c r="K2512" s="25"/>
      <c r="L2512" s="25"/>
      <c r="M2512" s="25" t="str">
        <f>IFERROR(VLOOKUP($C2512,$C$5:$M$24,11,0)+SUMIF($C$25:$C2512,$C2512,$K$25:$K2512)-SUMIF($C$25:$C2512,$C2512,$L$25:$L2512),"")</f>
        <v/>
      </c>
      <c r="N2512" s="10"/>
      <c r="O2512" s="10"/>
      <c r="P2512" s="65"/>
      <c r="Q2512" s="10"/>
      <c r="R2512" s="10"/>
      <c r="S2512" s="54" t="str">
        <f t="shared" si="123"/>
        <v/>
      </c>
      <c r="T2512" s="54" t="str">
        <f t="shared" si="124"/>
        <v/>
      </c>
      <c r="U2512" s="58" t="str">
        <f t="shared" si="125"/>
        <v/>
      </c>
      <c r="V2512" s="58">
        <f>IF(AND($B2512&lt;&gt;"",$F2512&lt;&gt;"",$F2512=项目明细账!$C$2),N(V2511)+1,N(V2511))</f>
        <v>0</v>
      </c>
      <c r="W2512" s="63" t="str">
        <f>IF($H2512&lt;&gt;"","项目成本",IFERROR(INDEX(基础资料!$W$4:$W$49,MATCH($I2512,基础资料!$V$4:$V$49,0)),""))</f>
        <v/>
      </c>
      <c r="X2512" s="63" t="str">
        <f>IFERROR(INDEX(基础资料!$R$4:$R$17,MATCH($G2512,基础资料!$Q$4:$Q$17,0)),"")</f>
        <v/>
      </c>
    </row>
    <row r="2513" spans="1:24">
      <c r="A2513" s="58" t="str">
        <f>IF($B2513="","",COUNTA($B$5:$B2513))</f>
        <v/>
      </c>
      <c r="B2513" s="53"/>
      <c r="C2513" s="46"/>
      <c r="D2513" s="63" t="str">
        <f>IFERROR(INDEX(基础资料!$F$4:$F$23,MATCH($C2513,基础资料!$E$4:$E$23,0)),IF($C2513="","","未匹配账户"))</f>
        <v/>
      </c>
      <c r="E2513" s="39"/>
      <c r="F2513" s="10"/>
      <c r="G2513" s="10"/>
      <c r="H2513" s="10"/>
      <c r="I2513" s="10"/>
      <c r="J2513" s="10"/>
      <c r="K2513" s="25"/>
      <c r="L2513" s="25"/>
      <c r="M2513" s="25" t="str">
        <f>IFERROR(VLOOKUP($C2513,$C$5:$M$24,11,0)+SUMIF($C$25:$C2513,$C2513,$K$25:$K2513)-SUMIF($C$25:$C2513,$C2513,$L$25:$L2513),"")</f>
        <v/>
      </c>
      <c r="N2513" s="10"/>
      <c r="O2513" s="10"/>
      <c r="P2513" s="65"/>
      <c r="Q2513" s="10"/>
      <c r="R2513" s="10"/>
      <c r="S2513" s="54" t="str">
        <f t="shared" si="123"/>
        <v/>
      </c>
      <c r="T2513" s="54" t="str">
        <f t="shared" si="124"/>
        <v/>
      </c>
      <c r="U2513" s="58" t="str">
        <f t="shared" si="125"/>
        <v/>
      </c>
      <c r="V2513" s="58">
        <f>IF(AND($B2513&lt;&gt;"",$F2513&lt;&gt;"",$F2513=项目明细账!$C$2),N(V2512)+1,N(V2512))</f>
        <v>0</v>
      </c>
      <c r="W2513" s="63" t="str">
        <f>IF($H2513&lt;&gt;"","项目成本",IFERROR(INDEX(基础资料!$W$4:$W$49,MATCH($I2513,基础资料!$V$4:$V$49,0)),""))</f>
        <v/>
      </c>
      <c r="X2513" s="63" t="str">
        <f>IFERROR(INDEX(基础资料!$R$4:$R$17,MATCH($G2513,基础资料!$Q$4:$Q$17,0)),"")</f>
        <v/>
      </c>
    </row>
    <row r="2514" spans="1:24">
      <c r="A2514" s="58" t="str">
        <f>IF($B2514="","",COUNTA($B$5:$B2514))</f>
        <v/>
      </c>
      <c r="B2514" s="53"/>
      <c r="C2514" s="46"/>
      <c r="D2514" s="63" t="str">
        <f>IFERROR(INDEX(基础资料!$F$4:$F$23,MATCH($C2514,基础资料!$E$4:$E$23,0)),IF($C2514="","","未匹配账户"))</f>
        <v/>
      </c>
      <c r="E2514" s="39"/>
      <c r="F2514" s="10"/>
      <c r="G2514" s="10"/>
      <c r="H2514" s="10"/>
      <c r="I2514" s="10"/>
      <c r="J2514" s="10"/>
      <c r="K2514" s="25"/>
      <c r="L2514" s="25"/>
      <c r="M2514" s="25" t="str">
        <f>IFERROR(VLOOKUP($C2514,$C$5:$M$24,11,0)+SUMIF($C$25:$C2514,$C2514,$K$25:$K2514)-SUMIF($C$25:$C2514,$C2514,$L$25:$L2514),"")</f>
        <v/>
      </c>
      <c r="N2514" s="10"/>
      <c r="O2514" s="10"/>
      <c r="P2514" s="65"/>
      <c r="Q2514" s="10"/>
      <c r="R2514" s="10"/>
      <c r="S2514" s="54" t="str">
        <f t="shared" si="123"/>
        <v/>
      </c>
      <c r="T2514" s="54" t="str">
        <f t="shared" si="124"/>
        <v/>
      </c>
      <c r="U2514" s="58" t="str">
        <f t="shared" si="125"/>
        <v/>
      </c>
      <c r="V2514" s="58">
        <f>IF(AND($B2514&lt;&gt;"",$F2514&lt;&gt;"",$F2514=项目明细账!$C$2),N(V2513)+1,N(V2513))</f>
        <v>0</v>
      </c>
      <c r="W2514" s="63" t="str">
        <f>IF($H2514&lt;&gt;"","项目成本",IFERROR(INDEX(基础资料!$W$4:$W$49,MATCH($I2514,基础资料!$V$4:$V$49,0)),""))</f>
        <v/>
      </c>
      <c r="X2514" s="63" t="str">
        <f>IFERROR(INDEX(基础资料!$R$4:$R$17,MATCH($G2514,基础资料!$Q$4:$Q$17,0)),"")</f>
        <v/>
      </c>
    </row>
    <row r="2515" spans="1:24">
      <c r="A2515" s="58" t="str">
        <f>IF($B2515="","",COUNTA($B$5:$B2515))</f>
        <v/>
      </c>
      <c r="B2515" s="53"/>
      <c r="C2515" s="46"/>
      <c r="D2515" s="63" t="str">
        <f>IFERROR(INDEX(基础资料!$F$4:$F$23,MATCH($C2515,基础资料!$E$4:$E$23,0)),IF($C2515="","","未匹配账户"))</f>
        <v/>
      </c>
      <c r="E2515" s="39"/>
      <c r="F2515" s="10"/>
      <c r="G2515" s="10"/>
      <c r="H2515" s="10"/>
      <c r="I2515" s="10"/>
      <c r="J2515" s="10"/>
      <c r="K2515" s="25"/>
      <c r="L2515" s="25"/>
      <c r="M2515" s="25" t="str">
        <f>IFERROR(VLOOKUP($C2515,$C$5:$M$24,11,0)+SUMIF($C$25:$C2515,$C2515,$K$25:$K2515)-SUMIF($C$25:$C2515,$C2515,$L$25:$L2515),"")</f>
        <v/>
      </c>
      <c r="N2515" s="10"/>
      <c r="O2515" s="10"/>
      <c r="P2515" s="65"/>
      <c r="Q2515" s="10"/>
      <c r="R2515" s="10"/>
      <c r="S2515" s="54" t="str">
        <f t="shared" si="123"/>
        <v/>
      </c>
      <c r="T2515" s="54" t="str">
        <f t="shared" si="124"/>
        <v/>
      </c>
      <c r="U2515" s="58" t="str">
        <f t="shared" si="125"/>
        <v/>
      </c>
      <c r="V2515" s="58">
        <f>IF(AND($B2515&lt;&gt;"",$F2515&lt;&gt;"",$F2515=项目明细账!$C$2),N(V2514)+1,N(V2514))</f>
        <v>0</v>
      </c>
      <c r="W2515" s="63" t="str">
        <f>IF($H2515&lt;&gt;"","项目成本",IFERROR(INDEX(基础资料!$W$4:$W$49,MATCH($I2515,基础资料!$V$4:$V$49,0)),""))</f>
        <v/>
      </c>
      <c r="X2515" s="63" t="str">
        <f>IFERROR(INDEX(基础资料!$R$4:$R$17,MATCH($G2515,基础资料!$Q$4:$Q$17,0)),"")</f>
        <v/>
      </c>
    </row>
    <row r="2516" spans="1:24">
      <c r="A2516" s="58" t="str">
        <f>IF($B2516="","",COUNTA($B$5:$B2516))</f>
        <v/>
      </c>
      <c r="B2516" s="53"/>
      <c r="C2516" s="46"/>
      <c r="D2516" s="63" t="str">
        <f>IFERROR(INDEX(基础资料!$F$4:$F$23,MATCH($C2516,基础资料!$E$4:$E$23,0)),IF($C2516="","","未匹配账户"))</f>
        <v/>
      </c>
      <c r="E2516" s="39"/>
      <c r="F2516" s="10"/>
      <c r="G2516" s="10"/>
      <c r="H2516" s="10"/>
      <c r="I2516" s="10"/>
      <c r="J2516" s="10"/>
      <c r="K2516" s="25"/>
      <c r="L2516" s="25"/>
      <c r="M2516" s="25" t="str">
        <f>IFERROR(VLOOKUP($C2516,$C$5:$M$24,11,0)+SUMIF($C$25:$C2516,$C2516,$K$25:$K2516)-SUMIF($C$25:$C2516,$C2516,$L$25:$L2516),"")</f>
        <v/>
      </c>
      <c r="N2516" s="10"/>
      <c r="O2516" s="10"/>
      <c r="P2516" s="65"/>
      <c r="Q2516" s="10"/>
      <c r="R2516" s="10"/>
      <c r="S2516" s="54" t="str">
        <f t="shared" si="123"/>
        <v/>
      </c>
      <c r="T2516" s="54" t="str">
        <f t="shared" si="124"/>
        <v/>
      </c>
      <c r="U2516" s="58" t="str">
        <f t="shared" si="125"/>
        <v/>
      </c>
      <c r="V2516" s="58">
        <f>IF(AND($B2516&lt;&gt;"",$F2516&lt;&gt;"",$F2516=项目明细账!$C$2),N(V2515)+1,N(V2515))</f>
        <v>0</v>
      </c>
      <c r="W2516" s="63" t="str">
        <f>IF($H2516&lt;&gt;"","项目成本",IFERROR(INDEX(基础资料!$W$4:$W$49,MATCH($I2516,基础资料!$V$4:$V$49,0)),""))</f>
        <v/>
      </c>
      <c r="X2516" s="63" t="str">
        <f>IFERROR(INDEX(基础资料!$R$4:$R$17,MATCH($G2516,基础资料!$Q$4:$Q$17,0)),"")</f>
        <v/>
      </c>
    </row>
    <row r="2517" spans="1:24">
      <c r="A2517" s="58" t="str">
        <f>IF($B2517="","",COUNTA($B$5:$B2517))</f>
        <v/>
      </c>
      <c r="B2517" s="53"/>
      <c r="C2517" s="46"/>
      <c r="D2517" s="63" t="str">
        <f>IFERROR(INDEX(基础资料!$F$4:$F$23,MATCH($C2517,基础资料!$E$4:$E$23,0)),IF($C2517="","","未匹配账户"))</f>
        <v/>
      </c>
      <c r="E2517" s="39"/>
      <c r="F2517" s="10"/>
      <c r="G2517" s="10"/>
      <c r="H2517" s="10"/>
      <c r="I2517" s="10"/>
      <c r="J2517" s="10"/>
      <c r="K2517" s="25"/>
      <c r="L2517" s="25"/>
      <c r="M2517" s="25" t="str">
        <f>IFERROR(VLOOKUP($C2517,$C$5:$M$24,11,0)+SUMIF($C$25:$C2517,$C2517,$K$25:$K2517)-SUMIF($C$25:$C2517,$C2517,$L$25:$L2517),"")</f>
        <v/>
      </c>
      <c r="N2517" s="10"/>
      <c r="O2517" s="10"/>
      <c r="P2517" s="65"/>
      <c r="Q2517" s="10"/>
      <c r="R2517" s="10"/>
      <c r="S2517" s="54" t="str">
        <f t="shared" si="123"/>
        <v/>
      </c>
      <c r="T2517" s="54" t="str">
        <f t="shared" si="124"/>
        <v/>
      </c>
      <c r="U2517" s="58" t="str">
        <f t="shared" si="125"/>
        <v/>
      </c>
      <c r="V2517" s="58">
        <f>IF(AND($B2517&lt;&gt;"",$F2517&lt;&gt;"",$F2517=项目明细账!$C$2),N(V2516)+1,N(V2516))</f>
        <v>0</v>
      </c>
      <c r="W2517" s="63" t="str">
        <f>IF($H2517&lt;&gt;"","项目成本",IFERROR(INDEX(基础资料!$W$4:$W$49,MATCH($I2517,基础资料!$V$4:$V$49,0)),""))</f>
        <v/>
      </c>
      <c r="X2517" s="63" t="str">
        <f>IFERROR(INDEX(基础资料!$R$4:$R$17,MATCH($G2517,基础资料!$Q$4:$Q$17,0)),"")</f>
        <v/>
      </c>
    </row>
    <row r="2518" spans="1:24">
      <c r="A2518" s="58" t="str">
        <f>IF($B2518="","",COUNTA($B$5:$B2518))</f>
        <v/>
      </c>
      <c r="B2518" s="53"/>
      <c r="C2518" s="46"/>
      <c r="D2518" s="63" t="str">
        <f>IFERROR(INDEX(基础资料!$F$4:$F$23,MATCH($C2518,基础资料!$E$4:$E$23,0)),IF($C2518="","","未匹配账户"))</f>
        <v/>
      </c>
      <c r="E2518" s="39"/>
      <c r="F2518" s="10"/>
      <c r="G2518" s="10"/>
      <c r="H2518" s="10"/>
      <c r="I2518" s="10"/>
      <c r="J2518" s="10"/>
      <c r="K2518" s="25"/>
      <c r="L2518" s="25"/>
      <c r="M2518" s="25" t="str">
        <f>IFERROR(VLOOKUP($C2518,$C$5:$M$24,11,0)+SUMIF($C$25:$C2518,$C2518,$K$25:$K2518)-SUMIF($C$25:$C2518,$C2518,$L$25:$L2518),"")</f>
        <v/>
      </c>
      <c r="N2518" s="10"/>
      <c r="O2518" s="10"/>
      <c r="P2518" s="65"/>
      <c r="Q2518" s="10"/>
      <c r="R2518" s="10"/>
      <c r="S2518" s="54" t="str">
        <f t="shared" si="123"/>
        <v/>
      </c>
      <c r="T2518" s="54" t="str">
        <f t="shared" si="124"/>
        <v/>
      </c>
      <c r="U2518" s="58" t="str">
        <f t="shared" si="125"/>
        <v/>
      </c>
      <c r="V2518" s="58">
        <f>IF(AND($B2518&lt;&gt;"",$F2518&lt;&gt;"",$F2518=项目明细账!$C$2),N(V2517)+1,N(V2517))</f>
        <v>0</v>
      </c>
      <c r="W2518" s="63" t="str">
        <f>IF($H2518&lt;&gt;"","项目成本",IFERROR(INDEX(基础资料!$W$4:$W$49,MATCH($I2518,基础资料!$V$4:$V$49,0)),""))</f>
        <v/>
      </c>
      <c r="X2518" s="63" t="str">
        <f>IFERROR(INDEX(基础资料!$R$4:$R$17,MATCH($G2518,基础资料!$Q$4:$Q$17,0)),"")</f>
        <v/>
      </c>
    </row>
    <row r="2519" spans="1:24">
      <c r="A2519" s="58" t="str">
        <f>IF($B2519="","",COUNTA($B$5:$B2519))</f>
        <v/>
      </c>
      <c r="B2519" s="53"/>
      <c r="C2519" s="46"/>
      <c r="D2519" s="63" t="str">
        <f>IFERROR(INDEX(基础资料!$F$4:$F$23,MATCH($C2519,基础资料!$E$4:$E$23,0)),IF($C2519="","","未匹配账户"))</f>
        <v/>
      </c>
      <c r="E2519" s="39"/>
      <c r="F2519" s="10"/>
      <c r="G2519" s="10"/>
      <c r="H2519" s="10"/>
      <c r="I2519" s="10"/>
      <c r="J2519" s="10"/>
      <c r="K2519" s="25"/>
      <c r="L2519" s="25"/>
      <c r="M2519" s="25" t="str">
        <f>IFERROR(VLOOKUP($C2519,$C$5:$M$24,11,0)+SUMIF($C$25:$C2519,$C2519,$K$25:$K2519)-SUMIF($C$25:$C2519,$C2519,$L$25:$L2519),"")</f>
        <v/>
      </c>
      <c r="N2519" s="10"/>
      <c r="O2519" s="10"/>
      <c r="P2519" s="65"/>
      <c r="Q2519" s="10"/>
      <c r="R2519" s="10"/>
      <c r="S2519" s="54" t="str">
        <f t="shared" si="123"/>
        <v/>
      </c>
      <c r="T2519" s="54" t="str">
        <f t="shared" si="124"/>
        <v/>
      </c>
      <c r="U2519" s="58" t="str">
        <f t="shared" si="125"/>
        <v/>
      </c>
      <c r="V2519" s="58">
        <f>IF(AND($B2519&lt;&gt;"",$F2519&lt;&gt;"",$F2519=项目明细账!$C$2),N(V2518)+1,N(V2518))</f>
        <v>0</v>
      </c>
      <c r="W2519" s="63" t="str">
        <f>IF($H2519&lt;&gt;"","项目成本",IFERROR(INDEX(基础资料!$W$4:$W$49,MATCH($I2519,基础资料!$V$4:$V$49,0)),""))</f>
        <v/>
      </c>
      <c r="X2519" s="63" t="str">
        <f>IFERROR(INDEX(基础资料!$R$4:$R$17,MATCH($G2519,基础资料!$Q$4:$Q$17,0)),"")</f>
        <v/>
      </c>
    </row>
    <row r="2520" spans="1:24">
      <c r="A2520" s="58" t="str">
        <f>IF($B2520="","",COUNTA($B$5:$B2520))</f>
        <v/>
      </c>
      <c r="B2520" s="53"/>
      <c r="C2520" s="46"/>
      <c r="D2520" s="63" t="str">
        <f>IFERROR(INDEX(基础资料!$F$4:$F$23,MATCH($C2520,基础资料!$E$4:$E$23,0)),IF($C2520="","","未匹配账户"))</f>
        <v/>
      </c>
      <c r="E2520" s="39"/>
      <c r="F2520" s="10"/>
      <c r="G2520" s="10"/>
      <c r="H2520" s="10"/>
      <c r="I2520" s="10"/>
      <c r="J2520" s="10"/>
      <c r="K2520" s="25"/>
      <c r="L2520" s="25"/>
      <c r="M2520" s="25" t="str">
        <f>IFERROR(VLOOKUP($C2520,$C$5:$M$24,11,0)+SUMIF($C$25:$C2520,$C2520,$K$25:$K2520)-SUMIF($C$25:$C2520,$C2520,$L$25:$L2520),"")</f>
        <v/>
      </c>
      <c r="N2520" s="10"/>
      <c r="O2520" s="10"/>
      <c r="P2520" s="65"/>
      <c r="Q2520" s="10"/>
      <c r="R2520" s="10"/>
      <c r="S2520" s="54" t="str">
        <f t="shared" si="123"/>
        <v/>
      </c>
      <c r="T2520" s="54" t="str">
        <f t="shared" si="124"/>
        <v/>
      </c>
      <c r="U2520" s="58" t="str">
        <f t="shared" si="125"/>
        <v/>
      </c>
      <c r="V2520" s="58">
        <f>IF(AND($B2520&lt;&gt;"",$F2520&lt;&gt;"",$F2520=项目明细账!$C$2),N(V2519)+1,N(V2519))</f>
        <v>0</v>
      </c>
      <c r="W2520" s="63" t="str">
        <f>IF($H2520&lt;&gt;"","项目成本",IFERROR(INDEX(基础资料!$W$4:$W$49,MATCH($I2520,基础资料!$V$4:$V$49,0)),""))</f>
        <v/>
      </c>
      <c r="X2520" s="63" t="str">
        <f>IFERROR(INDEX(基础资料!$R$4:$R$17,MATCH($G2520,基础资料!$Q$4:$Q$17,0)),"")</f>
        <v/>
      </c>
    </row>
    <row r="2521" spans="1:24">
      <c r="A2521" s="58" t="str">
        <f>IF($B2521="","",COUNTA($B$5:$B2521))</f>
        <v/>
      </c>
      <c r="B2521" s="53"/>
      <c r="C2521" s="46"/>
      <c r="D2521" s="63" t="str">
        <f>IFERROR(INDEX(基础资料!$F$4:$F$23,MATCH($C2521,基础资料!$E$4:$E$23,0)),IF($C2521="","","未匹配账户"))</f>
        <v/>
      </c>
      <c r="E2521" s="39"/>
      <c r="F2521" s="10"/>
      <c r="G2521" s="10"/>
      <c r="H2521" s="10"/>
      <c r="I2521" s="10"/>
      <c r="J2521" s="10"/>
      <c r="K2521" s="25"/>
      <c r="L2521" s="25"/>
      <c r="M2521" s="25" t="str">
        <f>IFERROR(VLOOKUP($C2521,$C$5:$M$24,11,0)+SUMIF($C$25:$C2521,$C2521,$K$25:$K2521)-SUMIF($C$25:$C2521,$C2521,$L$25:$L2521),"")</f>
        <v/>
      </c>
      <c r="N2521" s="10"/>
      <c r="O2521" s="10"/>
      <c r="P2521" s="65"/>
      <c r="Q2521" s="10"/>
      <c r="R2521" s="10"/>
      <c r="S2521" s="54" t="str">
        <f t="shared" si="123"/>
        <v/>
      </c>
      <c r="T2521" s="54" t="str">
        <f t="shared" si="124"/>
        <v/>
      </c>
      <c r="U2521" s="58" t="str">
        <f t="shared" si="125"/>
        <v/>
      </c>
      <c r="V2521" s="58">
        <f>IF(AND($B2521&lt;&gt;"",$F2521&lt;&gt;"",$F2521=项目明细账!$C$2),N(V2520)+1,N(V2520))</f>
        <v>0</v>
      </c>
      <c r="W2521" s="63" t="str">
        <f>IF($H2521&lt;&gt;"","项目成本",IFERROR(INDEX(基础资料!$W$4:$W$49,MATCH($I2521,基础资料!$V$4:$V$49,0)),""))</f>
        <v/>
      </c>
      <c r="X2521" s="63" t="str">
        <f>IFERROR(INDEX(基础资料!$R$4:$R$17,MATCH($G2521,基础资料!$Q$4:$Q$17,0)),"")</f>
        <v/>
      </c>
    </row>
    <row r="2522" spans="1:24">
      <c r="A2522" s="58" t="str">
        <f>IF($B2522="","",COUNTA($B$5:$B2522))</f>
        <v/>
      </c>
      <c r="B2522" s="53"/>
      <c r="C2522" s="46"/>
      <c r="D2522" s="63" t="str">
        <f>IFERROR(INDEX(基础资料!$F$4:$F$23,MATCH($C2522,基础资料!$E$4:$E$23,0)),IF($C2522="","","未匹配账户"))</f>
        <v/>
      </c>
      <c r="E2522" s="39"/>
      <c r="F2522" s="10"/>
      <c r="G2522" s="10"/>
      <c r="H2522" s="10"/>
      <c r="I2522" s="10"/>
      <c r="J2522" s="10"/>
      <c r="K2522" s="25"/>
      <c r="L2522" s="25"/>
      <c r="M2522" s="25" t="str">
        <f>IFERROR(VLOOKUP($C2522,$C$5:$M$24,11,0)+SUMIF($C$25:$C2522,$C2522,$K$25:$K2522)-SUMIF($C$25:$C2522,$C2522,$L$25:$L2522),"")</f>
        <v/>
      </c>
      <c r="N2522" s="10"/>
      <c r="O2522" s="10"/>
      <c r="P2522" s="65"/>
      <c r="Q2522" s="10"/>
      <c r="R2522" s="10"/>
      <c r="S2522" s="54" t="str">
        <f t="shared" si="123"/>
        <v/>
      </c>
      <c r="T2522" s="54" t="str">
        <f t="shared" si="124"/>
        <v/>
      </c>
      <c r="U2522" s="58" t="str">
        <f t="shared" si="125"/>
        <v/>
      </c>
      <c r="V2522" s="58">
        <f>IF(AND($B2522&lt;&gt;"",$F2522&lt;&gt;"",$F2522=项目明细账!$C$2),N(V2521)+1,N(V2521))</f>
        <v>0</v>
      </c>
      <c r="W2522" s="63" t="str">
        <f>IF($H2522&lt;&gt;"","项目成本",IFERROR(INDEX(基础资料!$W$4:$W$49,MATCH($I2522,基础资料!$V$4:$V$49,0)),""))</f>
        <v/>
      </c>
      <c r="X2522" s="63" t="str">
        <f>IFERROR(INDEX(基础资料!$R$4:$R$17,MATCH($G2522,基础资料!$Q$4:$Q$17,0)),"")</f>
        <v/>
      </c>
    </row>
    <row r="2523" spans="1:24">
      <c r="A2523" s="58" t="str">
        <f>IF($B2523="","",COUNTA($B$5:$B2523))</f>
        <v/>
      </c>
      <c r="B2523" s="53"/>
      <c r="C2523" s="46"/>
      <c r="D2523" s="63" t="str">
        <f>IFERROR(INDEX(基础资料!$F$4:$F$23,MATCH($C2523,基础资料!$E$4:$E$23,0)),IF($C2523="","","未匹配账户"))</f>
        <v/>
      </c>
      <c r="E2523" s="39"/>
      <c r="F2523" s="10"/>
      <c r="G2523" s="10"/>
      <c r="H2523" s="10"/>
      <c r="I2523" s="10"/>
      <c r="J2523" s="10"/>
      <c r="K2523" s="25"/>
      <c r="L2523" s="25"/>
      <c r="M2523" s="25" t="str">
        <f>IFERROR(VLOOKUP($C2523,$C$5:$M$24,11,0)+SUMIF($C$25:$C2523,$C2523,$K$25:$K2523)-SUMIF($C$25:$C2523,$C2523,$L$25:$L2523),"")</f>
        <v/>
      </c>
      <c r="N2523" s="10"/>
      <c r="O2523" s="10"/>
      <c r="P2523" s="65"/>
      <c r="Q2523" s="10"/>
      <c r="R2523" s="10"/>
      <c r="S2523" s="54" t="str">
        <f t="shared" si="123"/>
        <v/>
      </c>
      <c r="T2523" s="54" t="str">
        <f t="shared" si="124"/>
        <v/>
      </c>
      <c r="U2523" s="58" t="str">
        <f t="shared" si="125"/>
        <v/>
      </c>
      <c r="V2523" s="58">
        <f>IF(AND($B2523&lt;&gt;"",$F2523&lt;&gt;"",$F2523=项目明细账!$C$2),N(V2522)+1,N(V2522))</f>
        <v>0</v>
      </c>
      <c r="W2523" s="63" t="str">
        <f>IF($H2523&lt;&gt;"","项目成本",IFERROR(INDEX(基础资料!$W$4:$W$49,MATCH($I2523,基础资料!$V$4:$V$49,0)),""))</f>
        <v/>
      </c>
      <c r="X2523" s="63" t="str">
        <f>IFERROR(INDEX(基础资料!$R$4:$R$17,MATCH($G2523,基础资料!$Q$4:$Q$17,0)),"")</f>
        <v/>
      </c>
    </row>
    <row r="2524" spans="1:24">
      <c r="A2524" s="58" t="str">
        <f>IF($B2524="","",COUNTA($B$5:$B2524))</f>
        <v/>
      </c>
      <c r="B2524" s="53"/>
      <c r="C2524" s="46"/>
      <c r="D2524" s="63" t="str">
        <f>IFERROR(INDEX(基础资料!$F$4:$F$23,MATCH($C2524,基础资料!$E$4:$E$23,0)),IF($C2524="","","未匹配账户"))</f>
        <v/>
      </c>
      <c r="E2524" s="39"/>
      <c r="F2524" s="10"/>
      <c r="G2524" s="10"/>
      <c r="H2524" s="10"/>
      <c r="I2524" s="10"/>
      <c r="J2524" s="10"/>
      <c r="K2524" s="25"/>
      <c r="L2524" s="25"/>
      <c r="M2524" s="25" t="str">
        <f>IFERROR(VLOOKUP($C2524,$C$5:$M$24,11,0)+SUMIF($C$25:$C2524,$C2524,$K$25:$K2524)-SUMIF($C$25:$C2524,$C2524,$L$25:$L2524),"")</f>
        <v/>
      </c>
      <c r="N2524" s="10"/>
      <c r="O2524" s="10"/>
      <c r="P2524" s="65"/>
      <c r="Q2524" s="10"/>
      <c r="R2524" s="10"/>
      <c r="S2524" s="54" t="str">
        <f t="shared" si="123"/>
        <v/>
      </c>
      <c r="T2524" s="54" t="str">
        <f t="shared" si="124"/>
        <v/>
      </c>
      <c r="U2524" s="58" t="str">
        <f t="shared" si="125"/>
        <v/>
      </c>
      <c r="V2524" s="58">
        <f>IF(AND($B2524&lt;&gt;"",$F2524&lt;&gt;"",$F2524=项目明细账!$C$2),N(V2523)+1,N(V2523))</f>
        <v>0</v>
      </c>
      <c r="W2524" s="63" t="str">
        <f>IF($H2524&lt;&gt;"","项目成本",IFERROR(INDEX(基础资料!$W$4:$W$49,MATCH($I2524,基础资料!$V$4:$V$49,0)),""))</f>
        <v/>
      </c>
      <c r="X2524" s="63" t="str">
        <f>IFERROR(INDEX(基础资料!$R$4:$R$17,MATCH($G2524,基础资料!$Q$4:$Q$17,0)),"")</f>
        <v/>
      </c>
    </row>
    <row r="2525" spans="1:24">
      <c r="A2525" s="58" t="str">
        <f>IF($B2525="","",COUNTA($B$5:$B2525))</f>
        <v/>
      </c>
      <c r="B2525" s="53"/>
      <c r="C2525" s="46"/>
      <c r="D2525" s="63" t="str">
        <f>IFERROR(INDEX(基础资料!$F$4:$F$23,MATCH($C2525,基础资料!$E$4:$E$23,0)),IF($C2525="","","未匹配账户"))</f>
        <v/>
      </c>
      <c r="E2525" s="39"/>
      <c r="F2525" s="10"/>
      <c r="G2525" s="10"/>
      <c r="H2525" s="10"/>
      <c r="I2525" s="10"/>
      <c r="J2525" s="10"/>
      <c r="K2525" s="25"/>
      <c r="L2525" s="25"/>
      <c r="M2525" s="25" t="str">
        <f>IFERROR(VLOOKUP($C2525,$C$5:$M$24,11,0)+SUMIF($C$25:$C2525,$C2525,$K$25:$K2525)-SUMIF($C$25:$C2525,$C2525,$L$25:$L2525),"")</f>
        <v/>
      </c>
      <c r="N2525" s="10"/>
      <c r="O2525" s="10"/>
      <c r="P2525" s="65"/>
      <c r="Q2525" s="10"/>
      <c r="R2525" s="10"/>
      <c r="S2525" s="54" t="str">
        <f t="shared" si="123"/>
        <v/>
      </c>
      <c r="T2525" s="54" t="str">
        <f t="shared" si="124"/>
        <v/>
      </c>
      <c r="U2525" s="58" t="str">
        <f t="shared" si="125"/>
        <v/>
      </c>
      <c r="V2525" s="58">
        <f>IF(AND($B2525&lt;&gt;"",$F2525&lt;&gt;"",$F2525=项目明细账!$C$2),N(V2524)+1,N(V2524))</f>
        <v>0</v>
      </c>
      <c r="W2525" s="63" t="str">
        <f>IF($H2525&lt;&gt;"","项目成本",IFERROR(INDEX(基础资料!$W$4:$W$49,MATCH($I2525,基础资料!$V$4:$V$49,0)),""))</f>
        <v/>
      </c>
      <c r="X2525" s="63" t="str">
        <f>IFERROR(INDEX(基础资料!$R$4:$R$17,MATCH($G2525,基础资料!$Q$4:$Q$17,0)),"")</f>
        <v/>
      </c>
    </row>
    <row r="2526" spans="1:24">
      <c r="A2526" s="58" t="str">
        <f>IF($B2526="","",COUNTA($B$5:$B2526))</f>
        <v/>
      </c>
      <c r="B2526" s="53"/>
      <c r="C2526" s="46"/>
      <c r="D2526" s="63" t="str">
        <f>IFERROR(INDEX(基础资料!$F$4:$F$23,MATCH($C2526,基础资料!$E$4:$E$23,0)),IF($C2526="","","未匹配账户"))</f>
        <v/>
      </c>
      <c r="E2526" s="39"/>
      <c r="F2526" s="10"/>
      <c r="G2526" s="10"/>
      <c r="H2526" s="10"/>
      <c r="I2526" s="10"/>
      <c r="J2526" s="10"/>
      <c r="K2526" s="25"/>
      <c r="L2526" s="25"/>
      <c r="M2526" s="25" t="str">
        <f>IFERROR(VLOOKUP($C2526,$C$5:$M$24,11,0)+SUMIF($C$25:$C2526,$C2526,$K$25:$K2526)-SUMIF($C$25:$C2526,$C2526,$L$25:$L2526),"")</f>
        <v/>
      </c>
      <c r="N2526" s="10"/>
      <c r="O2526" s="10"/>
      <c r="P2526" s="65"/>
      <c r="Q2526" s="10"/>
      <c r="R2526" s="10"/>
      <c r="S2526" s="54" t="str">
        <f t="shared" si="123"/>
        <v/>
      </c>
      <c r="T2526" s="54" t="str">
        <f t="shared" si="124"/>
        <v/>
      </c>
      <c r="U2526" s="58" t="str">
        <f t="shared" si="125"/>
        <v/>
      </c>
      <c r="V2526" s="58">
        <f>IF(AND($B2526&lt;&gt;"",$F2526&lt;&gt;"",$F2526=项目明细账!$C$2),N(V2525)+1,N(V2525))</f>
        <v>0</v>
      </c>
      <c r="W2526" s="63" t="str">
        <f>IF($H2526&lt;&gt;"","项目成本",IFERROR(INDEX(基础资料!$W$4:$W$49,MATCH($I2526,基础资料!$V$4:$V$49,0)),""))</f>
        <v/>
      </c>
      <c r="X2526" s="63" t="str">
        <f>IFERROR(INDEX(基础资料!$R$4:$R$17,MATCH($G2526,基础资料!$Q$4:$Q$17,0)),"")</f>
        <v/>
      </c>
    </row>
    <row r="2527" spans="1:24">
      <c r="A2527" s="58" t="str">
        <f>IF($B2527="","",COUNTA($B$5:$B2527))</f>
        <v/>
      </c>
      <c r="B2527" s="53"/>
      <c r="C2527" s="46"/>
      <c r="D2527" s="63" t="str">
        <f>IFERROR(INDEX(基础资料!$F$4:$F$23,MATCH($C2527,基础资料!$E$4:$E$23,0)),IF($C2527="","","未匹配账户"))</f>
        <v/>
      </c>
      <c r="E2527" s="39"/>
      <c r="F2527" s="10"/>
      <c r="G2527" s="10"/>
      <c r="H2527" s="10"/>
      <c r="I2527" s="10"/>
      <c r="J2527" s="10"/>
      <c r="K2527" s="25"/>
      <c r="L2527" s="25"/>
      <c r="M2527" s="25" t="str">
        <f>IFERROR(VLOOKUP($C2527,$C$5:$M$24,11,0)+SUMIF($C$25:$C2527,$C2527,$K$25:$K2527)-SUMIF($C$25:$C2527,$C2527,$L$25:$L2527),"")</f>
        <v/>
      </c>
      <c r="N2527" s="10"/>
      <c r="O2527" s="10"/>
      <c r="P2527" s="65"/>
      <c r="Q2527" s="10"/>
      <c r="R2527" s="10"/>
      <c r="S2527" s="54" t="str">
        <f t="shared" si="123"/>
        <v/>
      </c>
      <c r="T2527" s="54" t="str">
        <f t="shared" si="124"/>
        <v/>
      </c>
      <c r="U2527" s="58" t="str">
        <f t="shared" si="125"/>
        <v/>
      </c>
      <c r="V2527" s="58">
        <f>IF(AND($B2527&lt;&gt;"",$F2527&lt;&gt;"",$F2527=项目明细账!$C$2),N(V2526)+1,N(V2526))</f>
        <v>0</v>
      </c>
      <c r="W2527" s="63" t="str">
        <f>IF($H2527&lt;&gt;"","项目成本",IFERROR(INDEX(基础资料!$W$4:$W$49,MATCH($I2527,基础资料!$V$4:$V$49,0)),""))</f>
        <v/>
      </c>
      <c r="X2527" s="63" t="str">
        <f>IFERROR(INDEX(基础资料!$R$4:$R$17,MATCH($G2527,基础资料!$Q$4:$Q$17,0)),"")</f>
        <v/>
      </c>
    </row>
    <row r="2528" spans="1:24">
      <c r="A2528" s="58" t="str">
        <f>IF($B2528="","",COUNTA($B$5:$B2528))</f>
        <v/>
      </c>
      <c r="B2528" s="53"/>
      <c r="C2528" s="46"/>
      <c r="D2528" s="63" t="str">
        <f>IFERROR(INDEX(基础资料!$F$4:$F$23,MATCH($C2528,基础资料!$E$4:$E$23,0)),IF($C2528="","","未匹配账户"))</f>
        <v/>
      </c>
      <c r="E2528" s="39"/>
      <c r="F2528" s="10"/>
      <c r="G2528" s="10"/>
      <c r="H2528" s="10"/>
      <c r="I2528" s="10"/>
      <c r="J2528" s="10"/>
      <c r="K2528" s="25"/>
      <c r="L2528" s="25"/>
      <c r="M2528" s="25" t="str">
        <f>IFERROR(VLOOKUP($C2528,$C$5:$M$24,11,0)+SUMIF($C$25:$C2528,$C2528,$K$25:$K2528)-SUMIF($C$25:$C2528,$C2528,$L$25:$L2528),"")</f>
        <v/>
      </c>
      <c r="N2528" s="10"/>
      <c r="O2528" s="10"/>
      <c r="P2528" s="65"/>
      <c r="Q2528" s="10"/>
      <c r="R2528" s="10"/>
      <c r="S2528" s="54" t="str">
        <f t="shared" si="123"/>
        <v/>
      </c>
      <c r="T2528" s="54" t="str">
        <f t="shared" si="124"/>
        <v/>
      </c>
      <c r="U2528" s="58" t="str">
        <f t="shared" si="125"/>
        <v/>
      </c>
      <c r="V2528" s="58">
        <f>IF(AND($B2528&lt;&gt;"",$F2528&lt;&gt;"",$F2528=项目明细账!$C$2),N(V2527)+1,N(V2527))</f>
        <v>0</v>
      </c>
      <c r="W2528" s="63" t="str">
        <f>IF($H2528&lt;&gt;"","项目成本",IFERROR(INDEX(基础资料!$W$4:$W$49,MATCH($I2528,基础资料!$V$4:$V$49,0)),""))</f>
        <v/>
      </c>
      <c r="X2528" s="63" t="str">
        <f>IFERROR(INDEX(基础资料!$R$4:$R$17,MATCH($G2528,基础资料!$Q$4:$Q$17,0)),"")</f>
        <v/>
      </c>
    </row>
    <row r="2529" spans="1:24">
      <c r="A2529" s="58" t="str">
        <f>IF($B2529="","",COUNTA($B$5:$B2529))</f>
        <v/>
      </c>
      <c r="B2529" s="53"/>
      <c r="C2529" s="46"/>
      <c r="D2529" s="63" t="str">
        <f>IFERROR(INDEX(基础资料!$F$4:$F$23,MATCH($C2529,基础资料!$E$4:$E$23,0)),IF($C2529="","","未匹配账户"))</f>
        <v/>
      </c>
      <c r="E2529" s="39"/>
      <c r="F2529" s="10"/>
      <c r="G2529" s="10"/>
      <c r="H2529" s="10"/>
      <c r="I2529" s="10"/>
      <c r="J2529" s="10"/>
      <c r="K2529" s="25"/>
      <c r="L2529" s="25"/>
      <c r="M2529" s="25" t="str">
        <f>IFERROR(VLOOKUP($C2529,$C$5:$M$24,11,0)+SUMIF($C$25:$C2529,$C2529,$K$25:$K2529)-SUMIF($C$25:$C2529,$C2529,$L$25:$L2529),"")</f>
        <v/>
      </c>
      <c r="N2529" s="10"/>
      <c r="O2529" s="10"/>
      <c r="P2529" s="65"/>
      <c r="Q2529" s="10"/>
      <c r="R2529" s="10"/>
      <c r="S2529" s="54" t="str">
        <f t="shared" si="123"/>
        <v/>
      </c>
      <c r="T2529" s="54" t="str">
        <f t="shared" si="124"/>
        <v/>
      </c>
      <c r="U2529" s="58" t="str">
        <f t="shared" si="125"/>
        <v/>
      </c>
      <c r="V2529" s="58">
        <f>IF(AND($B2529&lt;&gt;"",$F2529&lt;&gt;"",$F2529=项目明细账!$C$2),N(V2528)+1,N(V2528))</f>
        <v>0</v>
      </c>
      <c r="W2529" s="63" t="str">
        <f>IF($H2529&lt;&gt;"","项目成本",IFERROR(INDEX(基础资料!$W$4:$W$49,MATCH($I2529,基础资料!$V$4:$V$49,0)),""))</f>
        <v/>
      </c>
      <c r="X2529" s="63" t="str">
        <f>IFERROR(INDEX(基础资料!$R$4:$R$17,MATCH($G2529,基础资料!$Q$4:$Q$17,0)),"")</f>
        <v/>
      </c>
    </row>
    <row r="2530" spans="1:24">
      <c r="A2530" s="58" t="str">
        <f>IF($B2530="","",COUNTA($B$5:$B2530))</f>
        <v/>
      </c>
      <c r="B2530" s="53"/>
      <c r="C2530" s="46"/>
      <c r="D2530" s="63" t="str">
        <f>IFERROR(INDEX(基础资料!$F$4:$F$23,MATCH($C2530,基础资料!$E$4:$E$23,0)),IF($C2530="","","未匹配账户"))</f>
        <v/>
      </c>
      <c r="E2530" s="39"/>
      <c r="F2530" s="10"/>
      <c r="G2530" s="10"/>
      <c r="H2530" s="10"/>
      <c r="I2530" s="10"/>
      <c r="J2530" s="10"/>
      <c r="K2530" s="25"/>
      <c r="L2530" s="25"/>
      <c r="M2530" s="25" t="str">
        <f>IFERROR(VLOOKUP($C2530,$C$5:$M$24,11,0)+SUMIF($C$25:$C2530,$C2530,$K$25:$K2530)-SUMIF($C$25:$C2530,$C2530,$L$25:$L2530),"")</f>
        <v/>
      </c>
      <c r="N2530" s="10"/>
      <c r="O2530" s="10"/>
      <c r="P2530" s="65"/>
      <c r="Q2530" s="10"/>
      <c r="R2530" s="10"/>
      <c r="S2530" s="54" t="str">
        <f t="shared" si="123"/>
        <v/>
      </c>
      <c r="T2530" s="54" t="str">
        <f t="shared" si="124"/>
        <v/>
      </c>
      <c r="U2530" s="58" t="str">
        <f t="shared" si="125"/>
        <v/>
      </c>
      <c r="V2530" s="58">
        <f>IF(AND($B2530&lt;&gt;"",$F2530&lt;&gt;"",$F2530=项目明细账!$C$2),N(V2529)+1,N(V2529))</f>
        <v>0</v>
      </c>
      <c r="W2530" s="63" t="str">
        <f>IF($H2530&lt;&gt;"","项目成本",IFERROR(INDEX(基础资料!$W$4:$W$49,MATCH($I2530,基础资料!$V$4:$V$49,0)),""))</f>
        <v/>
      </c>
      <c r="X2530" s="63" t="str">
        <f>IFERROR(INDEX(基础资料!$R$4:$R$17,MATCH($G2530,基础资料!$Q$4:$Q$17,0)),"")</f>
        <v/>
      </c>
    </row>
    <row r="2531" spans="1:24">
      <c r="A2531" s="58" t="str">
        <f>IF($B2531="","",COUNTA($B$5:$B2531))</f>
        <v/>
      </c>
      <c r="B2531" s="53"/>
      <c r="C2531" s="46"/>
      <c r="D2531" s="63" t="str">
        <f>IFERROR(INDEX(基础资料!$F$4:$F$23,MATCH($C2531,基础资料!$E$4:$E$23,0)),IF($C2531="","","未匹配账户"))</f>
        <v/>
      </c>
      <c r="E2531" s="39"/>
      <c r="F2531" s="10"/>
      <c r="G2531" s="10"/>
      <c r="H2531" s="10"/>
      <c r="I2531" s="10"/>
      <c r="J2531" s="10"/>
      <c r="K2531" s="25"/>
      <c r="L2531" s="25"/>
      <c r="M2531" s="25" t="str">
        <f>IFERROR(VLOOKUP($C2531,$C$5:$M$24,11,0)+SUMIF($C$25:$C2531,$C2531,$K$25:$K2531)-SUMIF($C$25:$C2531,$C2531,$L$25:$L2531),"")</f>
        <v/>
      </c>
      <c r="N2531" s="10"/>
      <c r="O2531" s="10"/>
      <c r="P2531" s="65"/>
      <c r="Q2531" s="10"/>
      <c r="R2531" s="10"/>
      <c r="S2531" s="54" t="str">
        <f t="shared" si="123"/>
        <v/>
      </c>
      <c r="T2531" s="54" t="str">
        <f t="shared" si="124"/>
        <v/>
      </c>
      <c r="U2531" s="58" t="str">
        <f t="shared" si="125"/>
        <v/>
      </c>
      <c r="V2531" s="58">
        <f>IF(AND($B2531&lt;&gt;"",$F2531&lt;&gt;"",$F2531=项目明细账!$C$2),N(V2530)+1,N(V2530))</f>
        <v>0</v>
      </c>
      <c r="W2531" s="63" t="str">
        <f>IF($H2531&lt;&gt;"","项目成本",IFERROR(INDEX(基础资料!$W$4:$W$49,MATCH($I2531,基础资料!$V$4:$V$49,0)),""))</f>
        <v/>
      </c>
      <c r="X2531" s="63" t="str">
        <f>IFERROR(INDEX(基础资料!$R$4:$R$17,MATCH($G2531,基础资料!$Q$4:$Q$17,0)),"")</f>
        <v/>
      </c>
    </row>
    <row r="2532" spans="1:24">
      <c r="A2532" s="58" t="str">
        <f>IF($B2532="","",COUNTA($B$5:$B2532))</f>
        <v/>
      </c>
      <c r="B2532" s="53"/>
      <c r="C2532" s="46"/>
      <c r="D2532" s="63" t="str">
        <f>IFERROR(INDEX(基础资料!$F$4:$F$23,MATCH($C2532,基础资料!$E$4:$E$23,0)),IF($C2532="","","未匹配账户"))</f>
        <v/>
      </c>
      <c r="E2532" s="39"/>
      <c r="F2532" s="10"/>
      <c r="G2532" s="10"/>
      <c r="H2532" s="10"/>
      <c r="I2532" s="10"/>
      <c r="J2532" s="10"/>
      <c r="K2532" s="25"/>
      <c r="L2532" s="25"/>
      <c r="M2532" s="25" t="str">
        <f>IFERROR(VLOOKUP($C2532,$C$5:$M$24,11,0)+SUMIF($C$25:$C2532,$C2532,$K$25:$K2532)-SUMIF($C$25:$C2532,$C2532,$L$25:$L2532),"")</f>
        <v/>
      </c>
      <c r="N2532" s="10"/>
      <c r="O2532" s="10"/>
      <c r="P2532" s="65"/>
      <c r="Q2532" s="10"/>
      <c r="R2532" s="10"/>
      <c r="S2532" s="54" t="str">
        <f t="shared" si="123"/>
        <v/>
      </c>
      <c r="T2532" s="54" t="str">
        <f t="shared" si="124"/>
        <v/>
      </c>
      <c r="U2532" s="58" t="str">
        <f t="shared" si="125"/>
        <v/>
      </c>
      <c r="V2532" s="58">
        <f>IF(AND($B2532&lt;&gt;"",$F2532&lt;&gt;"",$F2532=项目明细账!$C$2),N(V2531)+1,N(V2531))</f>
        <v>0</v>
      </c>
      <c r="W2532" s="63" t="str">
        <f>IF($H2532&lt;&gt;"","项目成本",IFERROR(INDEX(基础资料!$W$4:$W$49,MATCH($I2532,基础资料!$V$4:$V$49,0)),""))</f>
        <v/>
      </c>
      <c r="X2532" s="63" t="str">
        <f>IFERROR(INDEX(基础资料!$R$4:$R$17,MATCH($G2532,基础资料!$Q$4:$Q$17,0)),"")</f>
        <v/>
      </c>
    </row>
    <row r="2533" spans="1:24">
      <c r="A2533" s="58" t="str">
        <f>IF($B2533="","",COUNTA($B$5:$B2533))</f>
        <v/>
      </c>
      <c r="B2533" s="53"/>
      <c r="C2533" s="46"/>
      <c r="D2533" s="63" t="str">
        <f>IFERROR(INDEX(基础资料!$F$4:$F$23,MATCH($C2533,基础资料!$E$4:$E$23,0)),IF($C2533="","","未匹配账户"))</f>
        <v/>
      </c>
      <c r="E2533" s="39"/>
      <c r="F2533" s="10"/>
      <c r="G2533" s="10"/>
      <c r="H2533" s="10"/>
      <c r="I2533" s="10"/>
      <c r="J2533" s="10"/>
      <c r="K2533" s="25"/>
      <c r="L2533" s="25"/>
      <c r="M2533" s="25" t="str">
        <f>IFERROR(VLOOKUP($C2533,$C$5:$M$24,11,0)+SUMIF($C$25:$C2533,$C2533,$K$25:$K2533)-SUMIF($C$25:$C2533,$C2533,$L$25:$L2533),"")</f>
        <v/>
      </c>
      <c r="N2533" s="10"/>
      <c r="O2533" s="10"/>
      <c r="P2533" s="65"/>
      <c r="Q2533" s="10"/>
      <c r="R2533" s="10"/>
      <c r="S2533" s="54" t="str">
        <f t="shared" si="123"/>
        <v/>
      </c>
      <c r="T2533" s="54" t="str">
        <f t="shared" si="124"/>
        <v/>
      </c>
      <c r="U2533" s="58" t="str">
        <f t="shared" si="125"/>
        <v/>
      </c>
      <c r="V2533" s="58">
        <f>IF(AND($B2533&lt;&gt;"",$F2533&lt;&gt;"",$F2533=项目明细账!$C$2),N(V2532)+1,N(V2532))</f>
        <v>0</v>
      </c>
      <c r="W2533" s="63" t="str">
        <f>IF($H2533&lt;&gt;"","项目成本",IFERROR(INDEX(基础资料!$W$4:$W$49,MATCH($I2533,基础资料!$V$4:$V$49,0)),""))</f>
        <v/>
      </c>
      <c r="X2533" s="63" t="str">
        <f>IFERROR(INDEX(基础资料!$R$4:$R$17,MATCH($G2533,基础资料!$Q$4:$Q$17,0)),"")</f>
        <v/>
      </c>
    </row>
    <row r="2534" spans="1:24">
      <c r="A2534" s="58" t="str">
        <f>IF($B2534="","",COUNTA($B$5:$B2534))</f>
        <v/>
      </c>
      <c r="B2534" s="53"/>
      <c r="C2534" s="46"/>
      <c r="D2534" s="63" t="str">
        <f>IFERROR(INDEX(基础资料!$F$4:$F$23,MATCH($C2534,基础资料!$E$4:$E$23,0)),IF($C2534="","","未匹配账户"))</f>
        <v/>
      </c>
      <c r="E2534" s="39"/>
      <c r="F2534" s="10"/>
      <c r="G2534" s="10"/>
      <c r="H2534" s="10"/>
      <c r="I2534" s="10"/>
      <c r="J2534" s="10"/>
      <c r="K2534" s="25"/>
      <c r="L2534" s="25"/>
      <c r="M2534" s="25" t="str">
        <f>IFERROR(VLOOKUP($C2534,$C$5:$M$24,11,0)+SUMIF($C$25:$C2534,$C2534,$K$25:$K2534)-SUMIF($C$25:$C2534,$C2534,$L$25:$L2534),"")</f>
        <v/>
      </c>
      <c r="N2534" s="10"/>
      <c r="O2534" s="10"/>
      <c r="P2534" s="65"/>
      <c r="Q2534" s="10"/>
      <c r="R2534" s="10"/>
      <c r="S2534" s="54" t="str">
        <f t="shared" si="123"/>
        <v/>
      </c>
      <c r="T2534" s="54" t="str">
        <f t="shared" si="124"/>
        <v/>
      </c>
      <c r="U2534" s="58" t="str">
        <f t="shared" si="125"/>
        <v/>
      </c>
      <c r="V2534" s="58">
        <f>IF(AND($B2534&lt;&gt;"",$F2534&lt;&gt;"",$F2534=项目明细账!$C$2),N(V2533)+1,N(V2533))</f>
        <v>0</v>
      </c>
      <c r="W2534" s="63" t="str">
        <f>IF($H2534&lt;&gt;"","项目成本",IFERROR(INDEX(基础资料!$W$4:$W$49,MATCH($I2534,基础资料!$V$4:$V$49,0)),""))</f>
        <v/>
      </c>
      <c r="X2534" s="63" t="str">
        <f>IFERROR(INDEX(基础资料!$R$4:$R$17,MATCH($G2534,基础资料!$Q$4:$Q$17,0)),"")</f>
        <v/>
      </c>
    </row>
    <row r="2535" spans="1:24">
      <c r="A2535" s="58" t="str">
        <f>IF($B2535="","",COUNTA($B$5:$B2535))</f>
        <v/>
      </c>
      <c r="B2535" s="53"/>
      <c r="C2535" s="46"/>
      <c r="D2535" s="63" t="str">
        <f>IFERROR(INDEX(基础资料!$F$4:$F$23,MATCH($C2535,基础资料!$E$4:$E$23,0)),IF($C2535="","","未匹配账户"))</f>
        <v/>
      </c>
      <c r="E2535" s="39"/>
      <c r="F2535" s="10"/>
      <c r="G2535" s="10"/>
      <c r="H2535" s="10"/>
      <c r="I2535" s="10"/>
      <c r="J2535" s="10"/>
      <c r="K2535" s="25"/>
      <c r="L2535" s="25"/>
      <c r="M2535" s="25" t="str">
        <f>IFERROR(VLOOKUP($C2535,$C$5:$M$24,11,0)+SUMIF($C$25:$C2535,$C2535,$K$25:$K2535)-SUMIF($C$25:$C2535,$C2535,$L$25:$L2535),"")</f>
        <v/>
      </c>
      <c r="N2535" s="10"/>
      <c r="O2535" s="10"/>
      <c r="P2535" s="65"/>
      <c r="Q2535" s="10"/>
      <c r="R2535" s="10"/>
      <c r="S2535" s="54" t="str">
        <f t="shared" si="123"/>
        <v/>
      </c>
      <c r="T2535" s="54" t="str">
        <f t="shared" si="124"/>
        <v/>
      </c>
      <c r="U2535" s="58" t="str">
        <f t="shared" si="125"/>
        <v/>
      </c>
      <c r="V2535" s="58">
        <f>IF(AND($B2535&lt;&gt;"",$F2535&lt;&gt;"",$F2535=项目明细账!$C$2),N(V2534)+1,N(V2534))</f>
        <v>0</v>
      </c>
      <c r="W2535" s="63" t="str">
        <f>IF($H2535&lt;&gt;"","项目成本",IFERROR(INDEX(基础资料!$W$4:$W$49,MATCH($I2535,基础资料!$V$4:$V$49,0)),""))</f>
        <v/>
      </c>
      <c r="X2535" s="63" t="str">
        <f>IFERROR(INDEX(基础资料!$R$4:$R$17,MATCH($G2535,基础资料!$Q$4:$Q$17,0)),"")</f>
        <v/>
      </c>
    </row>
    <row r="2536" spans="1:24">
      <c r="A2536" s="58" t="str">
        <f>IF($B2536="","",COUNTA($B$5:$B2536))</f>
        <v/>
      </c>
      <c r="B2536" s="53"/>
      <c r="C2536" s="46"/>
      <c r="D2536" s="63" t="str">
        <f>IFERROR(INDEX(基础资料!$F$4:$F$23,MATCH($C2536,基础资料!$E$4:$E$23,0)),IF($C2536="","","未匹配账户"))</f>
        <v/>
      </c>
      <c r="E2536" s="39"/>
      <c r="F2536" s="10"/>
      <c r="G2536" s="10"/>
      <c r="H2536" s="10"/>
      <c r="I2536" s="10"/>
      <c r="J2536" s="10"/>
      <c r="K2536" s="25"/>
      <c r="L2536" s="25"/>
      <c r="M2536" s="25" t="str">
        <f>IFERROR(VLOOKUP($C2536,$C$5:$M$24,11,0)+SUMIF($C$25:$C2536,$C2536,$K$25:$K2536)-SUMIF($C$25:$C2536,$C2536,$L$25:$L2536),"")</f>
        <v/>
      </c>
      <c r="N2536" s="10"/>
      <c r="O2536" s="10"/>
      <c r="P2536" s="65"/>
      <c r="Q2536" s="10"/>
      <c r="R2536" s="10"/>
      <c r="S2536" s="54" t="str">
        <f t="shared" si="123"/>
        <v/>
      </c>
      <c r="T2536" s="54" t="str">
        <f t="shared" si="124"/>
        <v/>
      </c>
      <c r="U2536" s="58" t="str">
        <f t="shared" si="125"/>
        <v/>
      </c>
      <c r="V2536" s="58">
        <f>IF(AND($B2536&lt;&gt;"",$F2536&lt;&gt;"",$F2536=项目明细账!$C$2),N(V2535)+1,N(V2535))</f>
        <v>0</v>
      </c>
      <c r="W2536" s="63" t="str">
        <f>IF($H2536&lt;&gt;"","项目成本",IFERROR(INDEX(基础资料!$W$4:$W$49,MATCH($I2536,基础资料!$V$4:$V$49,0)),""))</f>
        <v/>
      </c>
      <c r="X2536" s="63" t="str">
        <f>IFERROR(INDEX(基础资料!$R$4:$R$17,MATCH($G2536,基础资料!$Q$4:$Q$17,0)),"")</f>
        <v/>
      </c>
    </row>
    <row r="2537" spans="1:24">
      <c r="A2537" s="58" t="str">
        <f>IF($B2537="","",COUNTA($B$5:$B2537))</f>
        <v/>
      </c>
      <c r="B2537" s="53"/>
      <c r="C2537" s="46"/>
      <c r="D2537" s="63" t="str">
        <f>IFERROR(INDEX(基础资料!$F$4:$F$23,MATCH($C2537,基础资料!$E$4:$E$23,0)),IF($C2537="","","未匹配账户"))</f>
        <v/>
      </c>
      <c r="E2537" s="39"/>
      <c r="F2537" s="10"/>
      <c r="G2537" s="10"/>
      <c r="H2537" s="10"/>
      <c r="I2537" s="10"/>
      <c r="J2537" s="10"/>
      <c r="K2537" s="25"/>
      <c r="L2537" s="25"/>
      <c r="M2537" s="25" t="str">
        <f>IFERROR(VLOOKUP($C2537,$C$5:$M$24,11,0)+SUMIF($C$25:$C2537,$C2537,$K$25:$K2537)-SUMIF($C$25:$C2537,$C2537,$L$25:$L2537),"")</f>
        <v/>
      </c>
      <c r="N2537" s="10"/>
      <c r="O2537" s="10"/>
      <c r="P2537" s="65"/>
      <c r="Q2537" s="10"/>
      <c r="R2537" s="10"/>
      <c r="S2537" s="54" t="str">
        <f t="shared" si="123"/>
        <v/>
      </c>
      <c r="T2537" s="54" t="str">
        <f t="shared" si="124"/>
        <v/>
      </c>
      <c r="U2537" s="58" t="str">
        <f t="shared" si="125"/>
        <v/>
      </c>
      <c r="V2537" s="58">
        <f>IF(AND($B2537&lt;&gt;"",$F2537&lt;&gt;"",$F2537=项目明细账!$C$2),N(V2536)+1,N(V2536))</f>
        <v>0</v>
      </c>
      <c r="W2537" s="63" t="str">
        <f>IF($H2537&lt;&gt;"","项目成本",IFERROR(INDEX(基础资料!$W$4:$W$49,MATCH($I2537,基础资料!$V$4:$V$49,0)),""))</f>
        <v/>
      </c>
      <c r="X2537" s="63" t="str">
        <f>IFERROR(INDEX(基础资料!$R$4:$R$17,MATCH($G2537,基础资料!$Q$4:$Q$17,0)),"")</f>
        <v/>
      </c>
    </row>
    <row r="2538" spans="1:24">
      <c r="A2538" s="58" t="str">
        <f>IF($B2538="","",COUNTA($B$5:$B2538))</f>
        <v/>
      </c>
      <c r="B2538" s="53"/>
      <c r="C2538" s="46"/>
      <c r="D2538" s="63" t="str">
        <f>IFERROR(INDEX(基础资料!$F$4:$F$23,MATCH($C2538,基础资料!$E$4:$E$23,0)),IF($C2538="","","未匹配账户"))</f>
        <v/>
      </c>
      <c r="E2538" s="39"/>
      <c r="F2538" s="10"/>
      <c r="G2538" s="10"/>
      <c r="H2538" s="10"/>
      <c r="I2538" s="10"/>
      <c r="J2538" s="10"/>
      <c r="K2538" s="25"/>
      <c r="L2538" s="25"/>
      <c r="M2538" s="25" t="str">
        <f>IFERROR(VLOOKUP($C2538,$C$5:$M$24,11,0)+SUMIF($C$25:$C2538,$C2538,$K$25:$K2538)-SUMIF($C$25:$C2538,$C2538,$L$25:$L2538),"")</f>
        <v/>
      </c>
      <c r="N2538" s="10"/>
      <c r="O2538" s="10"/>
      <c r="P2538" s="65"/>
      <c r="Q2538" s="10"/>
      <c r="R2538" s="10"/>
      <c r="S2538" s="54" t="str">
        <f t="shared" si="123"/>
        <v/>
      </c>
      <c r="T2538" s="54" t="str">
        <f t="shared" si="124"/>
        <v/>
      </c>
      <c r="U2538" s="58" t="str">
        <f t="shared" si="125"/>
        <v/>
      </c>
      <c r="V2538" s="58">
        <f>IF(AND($B2538&lt;&gt;"",$F2538&lt;&gt;"",$F2538=项目明细账!$C$2),N(V2537)+1,N(V2537))</f>
        <v>0</v>
      </c>
      <c r="W2538" s="63" t="str">
        <f>IF($H2538&lt;&gt;"","项目成本",IFERROR(INDEX(基础资料!$W$4:$W$49,MATCH($I2538,基础资料!$V$4:$V$49,0)),""))</f>
        <v/>
      </c>
      <c r="X2538" s="63" t="str">
        <f>IFERROR(INDEX(基础资料!$R$4:$R$17,MATCH($G2538,基础资料!$Q$4:$Q$17,0)),"")</f>
        <v/>
      </c>
    </row>
    <row r="2539" spans="1:24">
      <c r="A2539" s="58" t="str">
        <f>IF($B2539="","",COUNTA($B$5:$B2539))</f>
        <v/>
      </c>
      <c r="B2539" s="53"/>
      <c r="C2539" s="46"/>
      <c r="D2539" s="63" t="str">
        <f>IFERROR(INDEX(基础资料!$F$4:$F$23,MATCH($C2539,基础资料!$E$4:$E$23,0)),IF($C2539="","","未匹配账户"))</f>
        <v/>
      </c>
      <c r="E2539" s="39"/>
      <c r="F2539" s="10"/>
      <c r="G2539" s="10"/>
      <c r="H2539" s="10"/>
      <c r="I2539" s="10"/>
      <c r="J2539" s="10"/>
      <c r="K2539" s="25"/>
      <c r="L2539" s="25"/>
      <c r="M2539" s="25" t="str">
        <f>IFERROR(VLOOKUP($C2539,$C$5:$M$24,11,0)+SUMIF($C$25:$C2539,$C2539,$K$25:$K2539)-SUMIF($C$25:$C2539,$C2539,$L$25:$L2539),"")</f>
        <v/>
      </c>
      <c r="N2539" s="10"/>
      <c r="O2539" s="10"/>
      <c r="P2539" s="65"/>
      <c r="Q2539" s="10"/>
      <c r="R2539" s="10"/>
      <c r="S2539" s="54" t="str">
        <f t="shared" si="123"/>
        <v/>
      </c>
      <c r="T2539" s="54" t="str">
        <f t="shared" si="124"/>
        <v/>
      </c>
      <c r="U2539" s="58" t="str">
        <f t="shared" si="125"/>
        <v/>
      </c>
      <c r="V2539" s="58">
        <f>IF(AND($B2539&lt;&gt;"",$F2539&lt;&gt;"",$F2539=项目明细账!$C$2),N(V2538)+1,N(V2538))</f>
        <v>0</v>
      </c>
      <c r="W2539" s="63" t="str">
        <f>IF($H2539&lt;&gt;"","项目成本",IFERROR(INDEX(基础资料!$W$4:$W$49,MATCH($I2539,基础资料!$V$4:$V$49,0)),""))</f>
        <v/>
      </c>
      <c r="X2539" s="63" t="str">
        <f>IFERROR(INDEX(基础资料!$R$4:$R$17,MATCH($G2539,基础资料!$Q$4:$Q$17,0)),"")</f>
        <v/>
      </c>
    </row>
    <row r="2540" spans="1:24">
      <c r="A2540" s="58" t="str">
        <f>IF($B2540="","",COUNTA($B$5:$B2540))</f>
        <v/>
      </c>
      <c r="B2540" s="53"/>
      <c r="C2540" s="46"/>
      <c r="D2540" s="63" t="str">
        <f>IFERROR(INDEX(基础资料!$F$4:$F$23,MATCH($C2540,基础资料!$E$4:$E$23,0)),IF($C2540="","","未匹配账户"))</f>
        <v/>
      </c>
      <c r="E2540" s="39"/>
      <c r="F2540" s="10"/>
      <c r="G2540" s="10"/>
      <c r="H2540" s="10"/>
      <c r="I2540" s="10"/>
      <c r="J2540" s="10"/>
      <c r="K2540" s="25"/>
      <c r="L2540" s="25"/>
      <c r="M2540" s="25" t="str">
        <f>IFERROR(VLOOKUP($C2540,$C$5:$M$24,11,0)+SUMIF($C$25:$C2540,$C2540,$K$25:$K2540)-SUMIF($C$25:$C2540,$C2540,$L$25:$L2540),"")</f>
        <v/>
      </c>
      <c r="N2540" s="10"/>
      <c r="O2540" s="10"/>
      <c r="P2540" s="65"/>
      <c r="Q2540" s="10"/>
      <c r="R2540" s="10"/>
      <c r="S2540" s="54" t="str">
        <f t="shared" si="123"/>
        <v/>
      </c>
      <c r="T2540" s="54" t="str">
        <f t="shared" si="124"/>
        <v/>
      </c>
      <c r="U2540" s="58" t="str">
        <f t="shared" si="125"/>
        <v/>
      </c>
      <c r="V2540" s="58">
        <f>IF(AND($B2540&lt;&gt;"",$F2540&lt;&gt;"",$F2540=项目明细账!$C$2),N(V2539)+1,N(V2539))</f>
        <v>0</v>
      </c>
      <c r="W2540" s="63" t="str">
        <f>IF($H2540&lt;&gt;"","项目成本",IFERROR(INDEX(基础资料!$W$4:$W$49,MATCH($I2540,基础资料!$V$4:$V$49,0)),""))</f>
        <v/>
      </c>
      <c r="X2540" s="63" t="str">
        <f>IFERROR(INDEX(基础资料!$R$4:$R$17,MATCH($G2540,基础资料!$Q$4:$Q$17,0)),"")</f>
        <v/>
      </c>
    </row>
    <row r="2541" spans="1:24">
      <c r="A2541" s="58" t="str">
        <f>IF($B2541="","",COUNTA($B$5:$B2541))</f>
        <v/>
      </c>
      <c r="B2541" s="53"/>
      <c r="C2541" s="46"/>
      <c r="D2541" s="63" t="str">
        <f>IFERROR(INDEX(基础资料!$F$4:$F$23,MATCH($C2541,基础资料!$E$4:$E$23,0)),IF($C2541="","","未匹配账户"))</f>
        <v/>
      </c>
      <c r="E2541" s="39"/>
      <c r="F2541" s="10"/>
      <c r="G2541" s="10"/>
      <c r="H2541" s="10"/>
      <c r="I2541" s="10"/>
      <c r="J2541" s="10"/>
      <c r="K2541" s="25"/>
      <c r="L2541" s="25"/>
      <c r="M2541" s="25" t="str">
        <f>IFERROR(VLOOKUP($C2541,$C$5:$M$24,11,0)+SUMIF($C$25:$C2541,$C2541,$K$25:$K2541)-SUMIF($C$25:$C2541,$C2541,$L$25:$L2541),"")</f>
        <v/>
      </c>
      <c r="N2541" s="10"/>
      <c r="O2541" s="10"/>
      <c r="P2541" s="65"/>
      <c r="Q2541" s="10"/>
      <c r="R2541" s="10"/>
      <c r="S2541" s="54" t="str">
        <f t="shared" si="123"/>
        <v/>
      </c>
      <c r="T2541" s="54" t="str">
        <f t="shared" si="124"/>
        <v/>
      </c>
      <c r="U2541" s="58" t="str">
        <f t="shared" si="125"/>
        <v/>
      </c>
      <c r="V2541" s="58">
        <f>IF(AND($B2541&lt;&gt;"",$F2541&lt;&gt;"",$F2541=项目明细账!$C$2),N(V2540)+1,N(V2540))</f>
        <v>0</v>
      </c>
      <c r="W2541" s="63" t="str">
        <f>IF($H2541&lt;&gt;"","项目成本",IFERROR(INDEX(基础资料!$W$4:$W$49,MATCH($I2541,基础资料!$V$4:$V$49,0)),""))</f>
        <v/>
      </c>
      <c r="X2541" s="63" t="str">
        <f>IFERROR(INDEX(基础资料!$R$4:$R$17,MATCH($G2541,基础资料!$Q$4:$Q$17,0)),"")</f>
        <v/>
      </c>
    </row>
    <row r="2542" spans="1:24">
      <c r="A2542" s="58" t="str">
        <f>IF($B2542="","",COUNTA($B$5:$B2542))</f>
        <v/>
      </c>
      <c r="B2542" s="53"/>
      <c r="C2542" s="46"/>
      <c r="D2542" s="63" t="str">
        <f>IFERROR(INDEX(基础资料!$F$4:$F$23,MATCH($C2542,基础资料!$E$4:$E$23,0)),IF($C2542="","","未匹配账户"))</f>
        <v/>
      </c>
      <c r="E2542" s="39"/>
      <c r="F2542" s="10"/>
      <c r="G2542" s="10"/>
      <c r="H2542" s="10"/>
      <c r="I2542" s="10"/>
      <c r="J2542" s="10"/>
      <c r="K2542" s="25"/>
      <c r="L2542" s="25"/>
      <c r="M2542" s="25" t="str">
        <f>IFERROR(VLOOKUP($C2542,$C$5:$M$24,11,0)+SUMIF($C$25:$C2542,$C2542,$K$25:$K2542)-SUMIF($C$25:$C2542,$C2542,$L$25:$L2542),"")</f>
        <v/>
      </c>
      <c r="N2542" s="10"/>
      <c r="O2542" s="10"/>
      <c r="P2542" s="65"/>
      <c r="Q2542" s="10"/>
      <c r="R2542" s="10"/>
      <c r="S2542" s="54" t="str">
        <f t="shared" si="123"/>
        <v/>
      </c>
      <c r="T2542" s="54" t="str">
        <f t="shared" si="124"/>
        <v/>
      </c>
      <c r="U2542" s="58" t="str">
        <f t="shared" si="125"/>
        <v/>
      </c>
      <c r="V2542" s="58">
        <f>IF(AND($B2542&lt;&gt;"",$F2542&lt;&gt;"",$F2542=项目明细账!$C$2),N(V2541)+1,N(V2541))</f>
        <v>0</v>
      </c>
      <c r="W2542" s="63" t="str">
        <f>IF($H2542&lt;&gt;"","项目成本",IFERROR(INDEX(基础资料!$W$4:$W$49,MATCH($I2542,基础资料!$V$4:$V$49,0)),""))</f>
        <v/>
      </c>
      <c r="X2542" s="63" t="str">
        <f>IFERROR(INDEX(基础资料!$R$4:$R$17,MATCH($G2542,基础资料!$Q$4:$Q$17,0)),"")</f>
        <v/>
      </c>
    </row>
    <row r="2543" spans="1:24">
      <c r="A2543" s="58" t="str">
        <f>IF($B2543="","",COUNTA($B$5:$B2543))</f>
        <v/>
      </c>
      <c r="B2543" s="53"/>
      <c r="C2543" s="46"/>
      <c r="D2543" s="63" t="str">
        <f>IFERROR(INDEX(基础资料!$F$4:$F$23,MATCH($C2543,基础资料!$E$4:$E$23,0)),IF($C2543="","","未匹配账户"))</f>
        <v/>
      </c>
      <c r="E2543" s="39"/>
      <c r="F2543" s="10"/>
      <c r="G2543" s="10"/>
      <c r="H2543" s="10"/>
      <c r="I2543" s="10"/>
      <c r="J2543" s="10"/>
      <c r="K2543" s="25"/>
      <c r="L2543" s="25"/>
      <c r="M2543" s="25" t="str">
        <f>IFERROR(VLOOKUP($C2543,$C$5:$M$24,11,0)+SUMIF($C$25:$C2543,$C2543,$K$25:$K2543)-SUMIF($C$25:$C2543,$C2543,$L$25:$L2543),"")</f>
        <v/>
      </c>
      <c r="N2543" s="10"/>
      <c r="O2543" s="10"/>
      <c r="P2543" s="65"/>
      <c r="Q2543" s="10"/>
      <c r="R2543" s="10"/>
      <c r="S2543" s="54" t="str">
        <f t="shared" si="123"/>
        <v/>
      </c>
      <c r="T2543" s="54" t="str">
        <f t="shared" si="124"/>
        <v/>
      </c>
      <c r="U2543" s="58" t="str">
        <f t="shared" si="125"/>
        <v/>
      </c>
      <c r="V2543" s="58">
        <f>IF(AND($B2543&lt;&gt;"",$F2543&lt;&gt;"",$F2543=项目明细账!$C$2),N(V2542)+1,N(V2542))</f>
        <v>0</v>
      </c>
      <c r="W2543" s="63" t="str">
        <f>IF($H2543&lt;&gt;"","项目成本",IFERROR(INDEX(基础资料!$W$4:$W$49,MATCH($I2543,基础资料!$V$4:$V$49,0)),""))</f>
        <v/>
      </c>
      <c r="X2543" s="63" t="str">
        <f>IFERROR(INDEX(基础资料!$R$4:$R$17,MATCH($G2543,基础资料!$Q$4:$Q$17,0)),"")</f>
        <v/>
      </c>
    </row>
    <row r="2544" spans="1:24">
      <c r="A2544" s="58" t="str">
        <f>IF($B2544="","",COUNTA($B$5:$B2544))</f>
        <v/>
      </c>
      <c r="B2544" s="53"/>
      <c r="C2544" s="46"/>
      <c r="D2544" s="63" t="str">
        <f>IFERROR(INDEX(基础资料!$F$4:$F$23,MATCH($C2544,基础资料!$E$4:$E$23,0)),IF($C2544="","","未匹配账户"))</f>
        <v/>
      </c>
      <c r="E2544" s="39"/>
      <c r="F2544" s="10"/>
      <c r="G2544" s="10"/>
      <c r="H2544" s="10"/>
      <c r="I2544" s="10"/>
      <c r="J2544" s="10"/>
      <c r="K2544" s="25"/>
      <c r="L2544" s="25"/>
      <c r="M2544" s="25" t="str">
        <f>IFERROR(VLOOKUP($C2544,$C$5:$M$24,11,0)+SUMIF($C$25:$C2544,$C2544,$K$25:$K2544)-SUMIF($C$25:$C2544,$C2544,$L$25:$L2544),"")</f>
        <v/>
      </c>
      <c r="N2544" s="10"/>
      <c r="O2544" s="10"/>
      <c r="P2544" s="65"/>
      <c r="Q2544" s="10"/>
      <c r="R2544" s="10"/>
      <c r="S2544" s="54" t="str">
        <f t="shared" si="123"/>
        <v/>
      </c>
      <c r="T2544" s="54" t="str">
        <f t="shared" si="124"/>
        <v/>
      </c>
      <c r="U2544" s="58" t="str">
        <f t="shared" si="125"/>
        <v/>
      </c>
      <c r="V2544" s="58">
        <f>IF(AND($B2544&lt;&gt;"",$F2544&lt;&gt;"",$F2544=项目明细账!$C$2),N(V2543)+1,N(V2543))</f>
        <v>0</v>
      </c>
      <c r="W2544" s="63" t="str">
        <f>IF($H2544&lt;&gt;"","项目成本",IFERROR(INDEX(基础资料!$W$4:$W$49,MATCH($I2544,基础资料!$V$4:$V$49,0)),""))</f>
        <v/>
      </c>
      <c r="X2544" s="63" t="str">
        <f>IFERROR(INDEX(基础资料!$R$4:$R$17,MATCH($G2544,基础资料!$Q$4:$Q$17,0)),"")</f>
        <v/>
      </c>
    </row>
    <row r="2545" spans="1:24">
      <c r="A2545" s="58" t="str">
        <f>IF($B2545="","",COUNTA($B$5:$B2545))</f>
        <v/>
      </c>
      <c r="B2545" s="53"/>
      <c r="C2545" s="46"/>
      <c r="D2545" s="63" t="str">
        <f>IFERROR(INDEX(基础资料!$F$4:$F$23,MATCH($C2545,基础资料!$E$4:$E$23,0)),IF($C2545="","","未匹配账户"))</f>
        <v/>
      </c>
      <c r="E2545" s="39"/>
      <c r="F2545" s="10"/>
      <c r="G2545" s="10"/>
      <c r="H2545" s="10"/>
      <c r="I2545" s="10"/>
      <c r="J2545" s="10"/>
      <c r="K2545" s="25"/>
      <c r="L2545" s="25"/>
      <c r="M2545" s="25" t="str">
        <f>IFERROR(VLOOKUP($C2545,$C$5:$M$24,11,0)+SUMIF($C$25:$C2545,$C2545,$K$25:$K2545)-SUMIF($C$25:$C2545,$C2545,$L$25:$L2545),"")</f>
        <v/>
      </c>
      <c r="N2545" s="10"/>
      <c r="O2545" s="10"/>
      <c r="P2545" s="65"/>
      <c r="Q2545" s="10"/>
      <c r="R2545" s="10"/>
      <c r="S2545" s="54" t="str">
        <f t="shared" si="123"/>
        <v/>
      </c>
      <c r="T2545" s="54" t="str">
        <f t="shared" si="124"/>
        <v/>
      </c>
      <c r="U2545" s="58" t="str">
        <f t="shared" si="125"/>
        <v/>
      </c>
      <c r="V2545" s="58">
        <f>IF(AND($B2545&lt;&gt;"",$F2545&lt;&gt;"",$F2545=项目明细账!$C$2),N(V2544)+1,N(V2544))</f>
        <v>0</v>
      </c>
      <c r="W2545" s="63" t="str">
        <f>IF($H2545&lt;&gt;"","项目成本",IFERROR(INDEX(基础资料!$W$4:$W$49,MATCH($I2545,基础资料!$V$4:$V$49,0)),""))</f>
        <v/>
      </c>
      <c r="X2545" s="63" t="str">
        <f>IFERROR(INDEX(基础资料!$R$4:$R$17,MATCH($G2545,基础资料!$Q$4:$Q$17,0)),"")</f>
        <v/>
      </c>
    </row>
    <row r="2546" spans="1:24">
      <c r="A2546" s="58" t="str">
        <f>IF($B2546="","",COUNTA($B$5:$B2546))</f>
        <v/>
      </c>
      <c r="B2546" s="53"/>
      <c r="C2546" s="46"/>
      <c r="D2546" s="63" t="str">
        <f>IFERROR(INDEX(基础资料!$F$4:$F$23,MATCH($C2546,基础资料!$E$4:$E$23,0)),IF($C2546="","","未匹配账户"))</f>
        <v/>
      </c>
      <c r="E2546" s="39"/>
      <c r="F2546" s="10"/>
      <c r="G2546" s="10"/>
      <c r="H2546" s="10"/>
      <c r="I2546" s="10"/>
      <c r="J2546" s="10"/>
      <c r="K2546" s="25"/>
      <c r="L2546" s="25"/>
      <c r="M2546" s="25" t="str">
        <f>IFERROR(VLOOKUP($C2546,$C$5:$M$24,11,0)+SUMIF($C$25:$C2546,$C2546,$K$25:$K2546)-SUMIF($C$25:$C2546,$C2546,$L$25:$L2546),"")</f>
        <v/>
      </c>
      <c r="N2546" s="10"/>
      <c r="O2546" s="10"/>
      <c r="P2546" s="65"/>
      <c r="Q2546" s="10"/>
      <c r="R2546" s="10"/>
      <c r="S2546" s="54" t="str">
        <f t="shared" si="123"/>
        <v/>
      </c>
      <c r="T2546" s="54" t="str">
        <f t="shared" si="124"/>
        <v/>
      </c>
      <c r="U2546" s="58" t="str">
        <f t="shared" si="125"/>
        <v/>
      </c>
      <c r="V2546" s="58">
        <f>IF(AND($B2546&lt;&gt;"",$F2546&lt;&gt;"",$F2546=项目明细账!$C$2),N(V2545)+1,N(V2545))</f>
        <v>0</v>
      </c>
      <c r="W2546" s="63" t="str">
        <f>IF($H2546&lt;&gt;"","项目成本",IFERROR(INDEX(基础资料!$W$4:$W$49,MATCH($I2546,基础资料!$V$4:$V$49,0)),""))</f>
        <v/>
      </c>
      <c r="X2546" s="63" t="str">
        <f>IFERROR(INDEX(基础资料!$R$4:$R$17,MATCH($G2546,基础资料!$Q$4:$Q$17,0)),"")</f>
        <v/>
      </c>
    </row>
    <row r="2547" spans="1:24">
      <c r="A2547" s="58" t="str">
        <f>IF($B2547="","",COUNTA($B$5:$B2547))</f>
        <v/>
      </c>
      <c r="B2547" s="53"/>
      <c r="C2547" s="46"/>
      <c r="D2547" s="63" t="str">
        <f>IFERROR(INDEX(基础资料!$F$4:$F$23,MATCH($C2547,基础资料!$E$4:$E$23,0)),IF($C2547="","","未匹配账户"))</f>
        <v/>
      </c>
      <c r="E2547" s="39"/>
      <c r="F2547" s="10"/>
      <c r="G2547" s="10"/>
      <c r="H2547" s="10"/>
      <c r="I2547" s="10"/>
      <c r="J2547" s="10"/>
      <c r="K2547" s="25"/>
      <c r="L2547" s="25"/>
      <c r="M2547" s="25" t="str">
        <f>IFERROR(VLOOKUP($C2547,$C$5:$M$24,11,0)+SUMIF($C$25:$C2547,$C2547,$K$25:$K2547)-SUMIF($C$25:$C2547,$C2547,$L$25:$L2547),"")</f>
        <v/>
      </c>
      <c r="N2547" s="10"/>
      <c r="O2547" s="10"/>
      <c r="P2547" s="65"/>
      <c r="Q2547" s="10"/>
      <c r="R2547" s="10"/>
      <c r="S2547" s="54" t="str">
        <f t="shared" si="123"/>
        <v/>
      </c>
      <c r="T2547" s="54" t="str">
        <f t="shared" si="124"/>
        <v/>
      </c>
      <c r="U2547" s="58" t="str">
        <f t="shared" si="125"/>
        <v/>
      </c>
      <c r="V2547" s="58">
        <f>IF(AND($B2547&lt;&gt;"",$F2547&lt;&gt;"",$F2547=项目明细账!$C$2),N(V2546)+1,N(V2546))</f>
        <v>0</v>
      </c>
      <c r="W2547" s="63" t="str">
        <f>IF($H2547&lt;&gt;"","项目成本",IFERROR(INDEX(基础资料!$W$4:$W$49,MATCH($I2547,基础资料!$V$4:$V$49,0)),""))</f>
        <v/>
      </c>
      <c r="X2547" s="63" t="str">
        <f>IFERROR(INDEX(基础资料!$R$4:$R$17,MATCH($G2547,基础资料!$Q$4:$Q$17,0)),"")</f>
        <v/>
      </c>
    </row>
    <row r="2548" spans="1:24">
      <c r="A2548" s="58" t="str">
        <f>IF($B2548="","",COUNTA($B$5:$B2548))</f>
        <v/>
      </c>
      <c r="B2548" s="53"/>
      <c r="C2548" s="46"/>
      <c r="D2548" s="63" t="str">
        <f>IFERROR(INDEX(基础资料!$F$4:$F$23,MATCH($C2548,基础资料!$E$4:$E$23,0)),IF($C2548="","","未匹配账户"))</f>
        <v/>
      </c>
      <c r="E2548" s="39"/>
      <c r="F2548" s="10"/>
      <c r="G2548" s="10"/>
      <c r="H2548" s="10"/>
      <c r="I2548" s="10"/>
      <c r="J2548" s="10"/>
      <c r="K2548" s="25"/>
      <c r="L2548" s="25"/>
      <c r="M2548" s="25" t="str">
        <f>IFERROR(VLOOKUP($C2548,$C$5:$M$24,11,0)+SUMIF($C$25:$C2548,$C2548,$K$25:$K2548)-SUMIF($C$25:$C2548,$C2548,$L$25:$L2548),"")</f>
        <v/>
      </c>
      <c r="N2548" s="10"/>
      <c r="O2548" s="10"/>
      <c r="P2548" s="65"/>
      <c r="Q2548" s="10"/>
      <c r="R2548" s="10"/>
      <c r="S2548" s="54" t="str">
        <f t="shared" si="123"/>
        <v/>
      </c>
      <c r="T2548" s="54" t="str">
        <f t="shared" si="124"/>
        <v/>
      </c>
      <c r="U2548" s="58" t="str">
        <f t="shared" si="125"/>
        <v/>
      </c>
      <c r="V2548" s="58">
        <f>IF(AND($B2548&lt;&gt;"",$F2548&lt;&gt;"",$F2548=项目明细账!$C$2),N(V2547)+1,N(V2547))</f>
        <v>0</v>
      </c>
      <c r="W2548" s="63" t="str">
        <f>IF($H2548&lt;&gt;"","项目成本",IFERROR(INDEX(基础资料!$W$4:$W$49,MATCH($I2548,基础资料!$V$4:$V$49,0)),""))</f>
        <v/>
      </c>
      <c r="X2548" s="63" t="str">
        <f>IFERROR(INDEX(基础资料!$R$4:$R$17,MATCH($G2548,基础资料!$Q$4:$Q$17,0)),"")</f>
        <v/>
      </c>
    </row>
    <row r="2549" spans="1:24">
      <c r="A2549" s="58" t="str">
        <f>IF($B2549="","",COUNTA($B$5:$B2549))</f>
        <v/>
      </c>
      <c r="B2549" s="53"/>
      <c r="C2549" s="46"/>
      <c r="D2549" s="63" t="str">
        <f>IFERROR(INDEX(基础资料!$F$4:$F$23,MATCH($C2549,基础资料!$E$4:$E$23,0)),IF($C2549="","","未匹配账户"))</f>
        <v/>
      </c>
      <c r="E2549" s="39"/>
      <c r="F2549" s="10"/>
      <c r="G2549" s="10"/>
      <c r="H2549" s="10"/>
      <c r="I2549" s="10"/>
      <c r="J2549" s="10"/>
      <c r="K2549" s="25"/>
      <c r="L2549" s="25"/>
      <c r="M2549" s="25" t="str">
        <f>IFERROR(VLOOKUP($C2549,$C$5:$M$24,11,0)+SUMIF($C$25:$C2549,$C2549,$K$25:$K2549)-SUMIF($C$25:$C2549,$C2549,$L$25:$L2549),"")</f>
        <v/>
      </c>
      <c r="N2549" s="10"/>
      <c r="O2549" s="10"/>
      <c r="P2549" s="65"/>
      <c r="Q2549" s="10"/>
      <c r="R2549" s="10"/>
      <c r="S2549" s="54" t="str">
        <f t="shared" si="123"/>
        <v/>
      </c>
      <c r="T2549" s="54" t="str">
        <f t="shared" si="124"/>
        <v/>
      </c>
      <c r="U2549" s="58" t="str">
        <f t="shared" si="125"/>
        <v/>
      </c>
      <c r="V2549" s="58">
        <f>IF(AND($B2549&lt;&gt;"",$F2549&lt;&gt;"",$F2549=项目明细账!$C$2),N(V2548)+1,N(V2548))</f>
        <v>0</v>
      </c>
      <c r="W2549" s="63" t="str">
        <f>IF($H2549&lt;&gt;"","项目成本",IFERROR(INDEX(基础资料!$W$4:$W$49,MATCH($I2549,基础资料!$V$4:$V$49,0)),""))</f>
        <v/>
      </c>
      <c r="X2549" s="63" t="str">
        <f>IFERROR(INDEX(基础资料!$R$4:$R$17,MATCH($G2549,基础资料!$Q$4:$Q$17,0)),"")</f>
        <v/>
      </c>
    </row>
    <row r="2550" spans="1:24">
      <c r="A2550" s="58" t="str">
        <f>IF($B2550="","",COUNTA($B$5:$B2550))</f>
        <v/>
      </c>
      <c r="B2550" s="53"/>
      <c r="C2550" s="46"/>
      <c r="D2550" s="63" t="str">
        <f>IFERROR(INDEX(基础资料!$F$4:$F$23,MATCH($C2550,基础资料!$E$4:$E$23,0)),IF($C2550="","","未匹配账户"))</f>
        <v/>
      </c>
      <c r="E2550" s="39"/>
      <c r="F2550" s="10"/>
      <c r="G2550" s="10"/>
      <c r="H2550" s="10"/>
      <c r="I2550" s="10"/>
      <c r="J2550" s="10"/>
      <c r="K2550" s="25"/>
      <c r="L2550" s="25"/>
      <c r="M2550" s="25" t="str">
        <f>IFERROR(VLOOKUP($C2550,$C$5:$M$24,11,0)+SUMIF($C$25:$C2550,$C2550,$K$25:$K2550)-SUMIF($C$25:$C2550,$C2550,$L$25:$L2550),"")</f>
        <v/>
      </c>
      <c r="N2550" s="10"/>
      <c r="O2550" s="10"/>
      <c r="P2550" s="65"/>
      <c r="Q2550" s="10"/>
      <c r="R2550" s="10"/>
      <c r="S2550" s="54" t="str">
        <f t="shared" si="123"/>
        <v/>
      </c>
      <c r="T2550" s="54" t="str">
        <f t="shared" si="124"/>
        <v/>
      </c>
      <c r="U2550" s="58" t="str">
        <f t="shared" si="125"/>
        <v/>
      </c>
      <c r="V2550" s="58">
        <f>IF(AND($B2550&lt;&gt;"",$F2550&lt;&gt;"",$F2550=项目明细账!$C$2),N(V2549)+1,N(V2549))</f>
        <v>0</v>
      </c>
      <c r="W2550" s="63" t="str">
        <f>IF($H2550&lt;&gt;"","项目成本",IFERROR(INDEX(基础资料!$W$4:$W$49,MATCH($I2550,基础资料!$V$4:$V$49,0)),""))</f>
        <v/>
      </c>
      <c r="X2550" s="63" t="str">
        <f>IFERROR(INDEX(基础资料!$R$4:$R$17,MATCH($G2550,基础资料!$Q$4:$Q$17,0)),"")</f>
        <v/>
      </c>
    </row>
    <row r="2551" spans="1:24">
      <c r="A2551" s="58" t="str">
        <f>IF($B2551="","",COUNTA($B$5:$B2551))</f>
        <v/>
      </c>
      <c r="B2551" s="53"/>
      <c r="C2551" s="46"/>
      <c r="D2551" s="63" t="str">
        <f>IFERROR(INDEX(基础资料!$F$4:$F$23,MATCH($C2551,基础资料!$E$4:$E$23,0)),IF($C2551="","","未匹配账户"))</f>
        <v/>
      </c>
      <c r="E2551" s="39"/>
      <c r="F2551" s="10"/>
      <c r="G2551" s="10"/>
      <c r="H2551" s="10"/>
      <c r="I2551" s="10"/>
      <c r="J2551" s="10"/>
      <c r="K2551" s="25"/>
      <c r="L2551" s="25"/>
      <c r="M2551" s="25" t="str">
        <f>IFERROR(VLOOKUP($C2551,$C$5:$M$24,11,0)+SUMIF($C$25:$C2551,$C2551,$K$25:$K2551)-SUMIF($C$25:$C2551,$C2551,$L$25:$L2551),"")</f>
        <v/>
      </c>
      <c r="N2551" s="10"/>
      <c r="O2551" s="10"/>
      <c r="P2551" s="65"/>
      <c r="Q2551" s="10"/>
      <c r="R2551" s="10"/>
      <c r="S2551" s="54" t="str">
        <f t="shared" si="123"/>
        <v/>
      </c>
      <c r="T2551" s="54" t="str">
        <f t="shared" si="124"/>
        <v/>
      </c>
      <c r="U2551" s="58" t="str">
        <f t="shared" si="125"/>
        <v/>
      </c>
      <c r="V2551" s="58">
        <f>IF(AND($B2551&lt;&gt;"",$F2551&lt;&gt;"",$F2551=项目明细账!$C$2),N(V2550)+1,N(V2550))</f>
        <v>0</v>
      </c>
      <c r="W2551" s="63" t="str">
        <f>IF($H2551&lt;&gt;"","项目成本",IFERROR(INDEX(基础资料!$W$4:$W$49,MATCH($I2551,基础资料!$V$4:$V$49,0)),""))</f>
        <v/>
      </c>
      <c r="X2551" s="63" t="str">
        <f>IFERROR(INDEX(基础资料!$R$4:$R$17,MATCH($G2551,基础资料!$Q$4:$Q$17,0)),"")</f>
        <v/>
      </c>
    </row>
    <row r="2552" spans="1:24">
      <c r="A2552" s="58" t="str">
        <f>IF($B2552="","",COUNTA($B$5:$B2552))</f>
        <v/>
      </c>
      <c r="B2552" s="53"/>
      <c r="C2552" s="46"/>
      <c r="D2552" s="63" t="str">
        <f>IFERROR(INDEX(基础资料!$F$4:$F$23,MATCH($C2552,基础资料!$E$4:$E$23,0)),IF($C2552="","","未匹配账户"))</f>
        <v/>
      </c>
      <c r="E2552" s="39"/>
      <c r="F2552" s="10"/>
      <c r="G2552" s="10"/>
      <c r="H2552" s="10"/>
      <c r="I2552" s="10"/>
      <c r="J2552" s="10"/>
      <c r="K2552" s="25"/>
      <c r="L2552" s="25"/>
      <c r="M2552" s="25" t="str">
        <f>IFERROR(VLOOKUP($C2552,$C$5:$M$24,11,0)+SUMIF($C$25:$C2552,$C2552,$K$25:$K2552)-SUMIF($C$25:$C2552,$C2552,$L$25:$L2552),"")</f>
        <v/>
      </c>
      <c r="N2552" s="10"/>
      <c r="O2552" s="10"/>
      <c r="P2552" s="65"/>
      <c r="Q2552" s="10"/>
      <c r="R2552" s="10"/>
      <c r="S2552" s="54" t="str">
        <f t="shared" si="123"/>
        <v/>
      </c>
      <c r="T2552" s="54" t="str">
        <f t="shared" si="124"/>
        <v/>
      </c>
      <c r="U2552" s="58" t="str">
        <f t="shared" si="125"/>
        <v/>
      </c>
      <c r="V2552" s="58">
        <f>IF(AND($B2552&lt;&gt;"",$F2552&lt;&gt;"",$F2552=项目明细账!$C$2),N(V2551)+1,N(V2551))</f>
        <v>0</v>
      </c>
      <c r="W2552" s="63" t="str">
        <f>IF($H2552&lt;&gt;"","项目成本",IFERROR(INDEX(基础资料!$W$4:$W$49,MATCH($I2552,基础资料!$V$4:$V$49,0)),""))</f>
        <v/>
      </c>
      <c r="X2552" s="63" t="str">
        <f>IFERROR(INDEX(基础资料!$R$4:$R$17,MATCH($G2552,基础资料!$Q$4:$Q$17,0)),"")</f>
        <v/>
      </c>
    </row>
    <row r="2553" spans="1:24">
      <c r="A2553" s="58" t="str">
        <f>IF($B2553="","",COUNTA($B$5:$B2553))</f>
        <v/>
      </c>
      <c r="B2553" s="53"/>
      <c r="C2553" s="46"/>
      <c r="D2553" s="63" t="str">
        <f>IFERROR(INDEX(基础资料!$F$4:$F$23,MATCH($C2553,基础资料!$E$4:$E$23,0)),IF($C2553="","","未匹配账户"))</f>
        <v/>
      </c>
      <c r="E2553" s="39"/>
      <c r="F2553" s="10"/>
      <c r="G2553" s="10"/>
      <c r="H2553" s="10"/>
      <c r="I2553" s="10"/>
      <c r="J2553" s="10"/>
      <c r="K2553" s="25"/>
      <c r="L2553" s="25"/>
      <c r="M2553" s="25" t="str">
        <f>IFERROR(VLOOKUP($C2553,$C$5:$M$24,11,0)+SUMIF($C$25:$C2553,$C2553,$K$25:$K2553)-SUMIF($C$25:$C2553,$C2553,$L$25:$L2553),"")</f>
        <v/>
      </c>
      <c r="N2553" s="10"/>
      <c r="O2553" s="10"/>
      <c r="P2553" s="65"/>
      <c r="Q2553" s="10"/>
      <c r="R2553" s="10"/>
      <c r="S2553" s="54" t="str">
        <f t="shared" si="123"/>
        <v/>
      </c>
      <c r="T2553" s="54" t="str">
        <f t="shared" si="124"/>
        <v/>
      </c>
      <c r="U2553" s="58" t="str">
        <f t="shared" si="125"/>
        <v/>
      </c>
      <c r="V2553" s="58">
        <f>IF(AND($B2553&lt;&gt;"",$F2553&lt;&gt;"",$F2553=项目明细账!$C$2),N(V2552)+1,N(V2552))</f>
        <v>0</v>
      </c>
      <c r="W2553" s="63" t="str">
        <f>IF($H2553&lt;&gt;"","项目成本",IFERROR(INDEX(基础资料!$W$4:$W$49,MATCH($I2553,基础资料!$V$4:$V$49,0)),""))</f>
        <v/>
      </c>
      <c r="X2553" s="63" t="str">
        <f>IFERROR(INDEX(基础资料!$R$4:$R$17,MATCH($G2553,基础资料!$Q$4:$Q$17,0)),"")</f>
        <v/>
      </c>
    </row>
    <row r="2554" spans="1:24">
      <c r="A2554" s="58" t="str">
        <f>IF($B2554="","",COUNTA($B$5:$B2554))</f>
        <v/>
      </c>
      <c r="B2554" s="53"/>
      <c r="C2554" s="46"/>
      <c r="D2554" s="63" t="str">
        <f>IFERROR(INDEX(基础资料!$F$4:$F$23,MATCH($C2554,基础资料!$E$4:$E$23,0)),IF($C2554="","","未匹配账户"))</f>
        <v/>
      </c>
      <c r="E2554" s="39"/>
      <c r="F2554" s="10"/>
      <c r="G2554" s="10"/>
      <c r="H2554" s="10"/>
      <c r="I2554" s="10"/>
      <c r="J2554" s="10"/>
      <c r="K2554" s="25"/>
      <c r="L2554" s="25"/>
      <c r="M2554" s="25" t="str">
        <f>IFERROR(VLOOKUP($C2554,$C$5:$M$24,11,0)+SUMIF($C$25:$C2554,$C2554,$K$25:$K2554)-SUMIF($C$25:$C2554,$C2554,$L$25:$L2554),"")</f>
        <v/>
      </c>
      <c r="N2554" s="10"/>
      <c r="O2554" s="10"/>
      <c r="P2554" s="65"/>
      <c r="Q2554" s="10"/>
      <c r="R2554" s="10"/>
      <c r="S2554" s="54" t="str">
        <f t="shared" si="123"/>
        <v/>
      </c>
      <c r="T2554" s="54" t="str">
        <f t="shared" si="124"/>
        <v/>
      </c>
      <c r="U2554" s="58" t="str">
        <f t="shared" si="125"/>
        <v/>
      </c>
      <c r="V2554" s="58">
        <f>IF(AND($B2554&lt;&gt;"",$F2554&lt;&gt;"",$F2554=项目明细账!$C$2),N(V2553)+1,N(V2553))</f>
        <v>0</v>
      </c>
      <c r="W2554" s="63" t="str">
        <f>IF($H2554&lt;&gt;"","项目成本",IFERROR(INDEX(基础资料!$W$4:$W$49,MATCH($I2554,基础资料!$V$4:$V$49,0)),""))</f>
        <v/>
      </c>
      <c r="X2554" s="63" t="str">
        <f>IFERROR(INDEX(基础资料!$R$4:$R$17,MATCH($G2554,基础资料!$Q$4:$Q$17,0)),"")</f>
        <v/>
      </c>
    </row>
    <row r="2555" spans="1:24">
      <c r="A2555" s="58" t="str">
        <f>IF($B2555="","",COUNTA($B$5:$B2555))</f>
        <v/>
      </c>
      <c r="B2555" s="53"/>
      <c r="C2555" s="46"/>
      <c r="D2555" s="63" t="str">
        <f>IFERROR(INDEX(基础资料!$F$4:$F$23,MATCH($C2555,基础资料!$E$4:$E$23,0)),IF($C2555="","","未匹配账户"))</f>
        <v/>
      </c>
      <c r="E2555" s="39"/>
      <c r="F2555" s="10"/>
      <c r="G2555" s="10"/>
      <c r="H2555" s="10"/>
      <c r="I2555" s="10"/>
      <c r="J2555" s="10"/>
      <c r="K2555" s="25"/>
      <c r="L2555" s="25"/>
      <c r="M2555" s="25" t="str">
        <f>IFERROR(VLOOKUP($C2555,$C$5:$M$24,11,0)+SUMIF($C$25:$C2555,$C2555,$K$25:$K2555)-SUMIF($C$25:$C2555,$C2555,$L$25:$L2555),"")</f>
        <v/>
      </c>
      <c r="N2555" s="10"/>
      <c r="O2555" s="10"/>
      <c r="P2555" s="65"/>
      <c r="Q2555" s="10"/>
      <c r="R2555" s="10"/>
      <c r="S2555" s="54" t="str">
        <f t="shared" si="123"/>
        <v/>
      </c>
      <c r="T2555" s="54" t="str">
        <f t="shared" si="124"/>
        <v/>
      </c>
      <c r="U2555" s="58" t="str">
        <f t="shared" si="125"/>
        <v/>
      </c>
      <c r="V2555" s="58">
        <f>IF(AND($B2555&lt;&gt;"",$F2555&lt;&gt;"",$F2555=项目明细账!$C$2),N(V2554)+1,N(V2554))</f>
        <v>0</v>
      </c>
      <c r="W2555" s="63" t="str">
        <f>IF($H2555&lt;&gt;"","项目成本",IFERROR(INDEX(基础资料!$W$4:$W$49,MATCH($I2555,基础资料!$V$4:$V$49,0)),""))</f>
        <v/>
      </c>
      <c r="X2555" s="63" t="str">
        <f>IFERROR(INDEX(基础资料!$R$4:$R$17,MATCH($G2555,基础资料!$Q$4:$Q$17,0)),"")</f>
        <v/>
      </c>
    </row>
    <row r="2556" spans="1:24">
      <c r="A2556" s="58" t="str">
        <f>IF($B2556="","",COUNTA($B$5:$B2556))</f>
        <v/>
      </c>
      <c r="B2556" s="53"/>
      <c r="C2556" s="46"/>
      <c r="D2556" s="63" t="str">
        <f>IFERROR(INDEX(基础资料!$F$4:$F$23,MATCH($C2556,基础资料!$E$4:$E$23,0)),IF($C2556="","","未匹配账户"))</f>
        <v/>
      </c>
      <c r="E2556" s="39"/>
      <c r="F2556" s="10"/>
      <c r="G2556" s="10"/>
      <c r="H2556" s="10"/>
      <c r="I2556" s="10"/>
      <c r="J2556" s="10"/>
      <c r="K2556" s="25"/>
      <c r="L2556" s="25"/>
      <c r="M2556" s="25" t="str">
        <f>IFERROR(VLOOKUP($C2556,$C$5:$M$24,11,0)+SUMIF($C$25:$C2556,$C2556,$K$25:$K2556)-SUMIF($C$25:$C2556,$C2556,$L$25:$L2556),"")</f>
        <v/>
      </c>
      <c r="N2556" s="10"/>
      <c r="O2556" s="10"/>
      <c r="P2556" s="65"/>
      <c r="Q2556" s="10"/>
      <c r="R2556" s="10"/>
      <c r="S2556" s="54" t="str">
        <f t="shared" si="123"/>
        <v/>
      </c>
      <c r="T2556" s="54" t="str">
        <f t="shared" si="124"/>
        <v/>
      </c>
      <c r="U2556" s="58" t="str">
        <f t="shared" si="125"/>
        <v/>
      </c>
      <c r="V2556" s="58">
        <f>IF(AND($B2556&lt;&gt;"",$F2556&lt;&gt;"",$F2556=项目明细账!$C$2),N(V2555)+1,N(V2555))</f>
        <v>0</v>
      </c>
      <c r="W2556" s="63" t="str">
        <f>IF($H2556&lt;&gt;"","项目成本",IFERROR(INDEX(基础资料!$W$4:$W$49,MATCH($I2556,基础资料!$V$4:$V$49,0)),""))</f>
        <v/>
      </c>
      <c r="X2556" s="63" t="str">
        <f>IFERROR(INDEX(基础资料!$R$4:$R$17,MATCH($G2556,基础资料!$Q$4:$Q$17,0)),"")</f>
        <v/>
      </c>
    </row>
    <row r="2557" spans="1:24">
      <c r="A2557" s="58" t="str">
        <f>IF($B2557="","",COUNTA($B$5:$B2557))</f>
        <v/>
      </c>
      <c r="B2557" s="53"/>
      <c r="C2557" s="46"/>
      <c r="D2557" s="63" t="str">
        <f>IFERROR(INDEX(基础资料!$F$4:$F$23,MATCH($C2557,基础资料!$E$4:$E$23,0)),IF($C2557="","","未匹配账户"))</f>
        <v/>
      </c>
      <c r="E2557" s="39"/>
      <c r="F2557" s="10"/>
      <c r="G2557" s="10"/>
      <c r="H2557" s="10"/>
      <c r="I2557" s="10"/>
      <c r="J2557" s="10"/>
      <c r="K2557" s="25"/>
      <c r="L2557" s="25"/>
      <c r="M2557" s="25" t="str">
        <f>IFERROR(VLOOKUP($C2557,$C$5:$M$24,11,0)+SUMIF($C$25:$C2557,$C2557,$K$25:$K2557)-SUMIF($C$25:$C2557,$C2557,$L$25:$L2557),"")</f>
        <v/>
      </c>
      <c r="N2557" s="10"/>
      <c r="O2557" s="10"/>
      <c r="P2557" s="65"/>
      <c r="Q2557" s="10"/>
      <c r="R2557" s="10"/>
      <c r="S2557" s="54" t="str">
        <f t="shared" si="123"/>
        <v/>
      </c>
      <c r="T2557" s="54" t="str">
        <f t="shared" si="124"/>
        <v/>
      </c>
      <c r="U2557" s="58" t="str">
        <f t="shared" si="125"/>
        <v/>
      </c>
      <c r="V2557" s="58">
        <f>IF(AND($B2557&lt;&gt;"",$F2557&lt;&gt;"",$F2557=项目明细账!$C$2),N(V2556)+1,N(V2556))</f>
        <v>0</v>
      </c>
      <c r="W2557" s="63" t="str">
        <f>IF($H2557&lt;&gt;"","项目成本",IFERROR(INDEX(基础资料!$W$4:$W$49,MATCH($I2557,基础资料!$V$4:$V$49,0)),""))</f>
        <v/>
      </c>
      <c r="X2557" s="63" t="str">
        <f>IFERROR(INDEX(基础资料!$R$4:$R$17,MATCH($G2557,基础资料!$Q$4:$Q$17,0)),"")</f>
        <v/>
      </c>
    </row>
    <row r="2558" spans="1:24">
      <c r="A2558" s="58" t="str">
        <f>IF($B2558="","",COUNTA($B$5:$B2558))</f>
        <v/>
      </c>
      <c r="B2558" s="53"/>
      <c r="C2558" s="46"/>
      <c r="D2558" s="63" t="str">
        <f>IFERROR(INDEX(基础资料!$F$4:$F$23,MATCH($C2558,基础资料!$E$4:$E$23,0)),IF($C2558="","","未匹配账户"))</f>
        <v/>
      </c>
      <c r="E2558" s="39"/>
      <c r="F2558" s="10"/>
      <c r="G2558" s="10"/>
      <c r="H2558" s="10"/>
      <c r="I2558" s="10"/>
      <c r="J2558" s="10"/>
      <c r="K2558" s="25"/>
      <c r="L2558" s="25"/>
      <c r="M2558" s="25" t="str">
        <f>IFERROR(VLOOKUP($C2558,$C$5:$M$24,11,0)+SUMIF($C$25:$C2558,$C2558,$K$25:$K2558)-SUMIF($C$25:$C2558,$C2558,$L$25:$L2558),"")</f>
        <v/>
      </c>
      <c r="N2558" s="10"/>
      <c r="O2558" s="10"/>
      <c r="P2558" s="65"/>
      <c r="Q2558" s="10"/>
      <c r="R2558" s="10"/>
      <c r="S2558" s="54" t="str">
        <f t="shared" si="123"/>
        <v/>
      </c>
      <c r="T2558" s="54" t="str">
        <f t="shared" si="124"/>
        <v/>
      </c>
      <c r="U2558" s="58" t="str">
        <f t="shared" si="125"/>
        <v/>
      </c>
      <c r="V2558" s="58">
        <f>IF(AND($B2558&lt;&gt;"",$F2558&lt;&gt;"",$F2558=项目明细账!$C$2),N(V2557)+1,N(V2557))</f>
        <v>0</v>
      </c>
      <c r="W2558" s="63" t="str">
        <f>IF($H2558&lt;&gt;"","项目成本",IFERROR(INDEX(基础资料!$W$4:$W$49,MATCH($I2558,基础资料!$V$4:$V$49,0)),""))</f>
        <v/>
      </c>
      <c r="X2558" s="63" t="str">
        <f>IFERROR(INDEX(基础资料!$R$4:$R$17,MATCH($G2558,基础资料!$Q$4:$Q$17,0)),"")</f>
        <v/>
      </c>
    </row>
    <row r="2559" spans="1:24">
      <c r="A2559" s="58" t="str">
        <f>IF($B2559="","",COUNTA($B$5:$B2559))</f>
        <v/>
      </c>
      <c r="B2559" s="53"/>
      <c r="C2559" s="46"/>
      <c r="D2559" s="63" t="str">
        <f>IFERROR(INDEX(基础资料!$F$4:$F$23,MATCH($C2559,基础资料!$E$4:$E$23,0)),IF($C2559="","","未匹配账户"))</f>
        <v/>
      </c>
      <c r="E2559" s="39"/>
      <c r="F2559" s="10"/>
      <c r="G2559" s="10"/>
      <c r="H2559" s="10"/>
      <c r="I2559" s="10"/>
      <c r="J2559" s="10"/>
      <c r="K2559" s="25"/>
      <c r="L2559" s="25"/>
      <c r="M2559" s="25" t="str">
        <f>IFERROR(VLOOKUP($C2559,$C$5:$M$24,11,0)+SUMIF($C$25:$C2559,$C2559,$K$25:$K2559)-SUMIF($C$25:$C2559,$C2559,$L$25:$L2559),"")</f>
        <v/>
      </c>
      <c r="N2559" s="10"/>
      <c r="O2559" s="10"/>
      <c r="P2559" s="65"/>
      <c r="Q2559" s="10"/>
      <c r="R2559" s="10"/>
      <c r="S2559" s="54" t="str">
        <f t="shared" si="123"/>
        <v/>
      </c>
      <c r="T2559" s="54" t="str">
        <f t="shared" si="124"/>
        <v/>
      </c>
      <c r="U2559" s="58" t="str">
        <f t="shared" si="125"/>
        <v/>
      </c>
      <c r="V2559" s="58">
        <f>IF(AND($B2559&lt;&gt;"",$F2559&lt;&gt;"",$F2559=项目明细账!$C$2),N(V2558)+1,N(V2558))</f>
        <v>0</v>
      </c>
      <c r="W2559" s="63" t="str">
        <f>IF($H2559&lt;&gt;"","项目成本",IFERROR(INDEX(基础资料!$W$4:$W$49,MATCH($I2559,基础资料!$V$4:$V$49,0)),""))</f>
        <v/>
      </c>
      <c r="X2559" s="63" t="str">
        <f>IFERROR(INDEX(基础资料!$R$4:$R$17,MATCH($G2559,基础资料!$Q$4:$Q$17,0)),"")</f>
        <v/>
      </c>
    </row>
    <row r="2560" spans="1:24">
      <c r="A2560" s="58" t="str">
        <f>IF($B2560="","",COUNTA($B$5:$B2560))</f>
        <v/>
      </c>
      <c r="B2560" s="53"/>
      <c r="C2560" s="46"/>
      <c r="D2560" s="63" t="str">
        <f>IFERROR(INDEX(基础资料!$F$4:$F$23,MATCH($C2560,基础资料!$E$4:$E$23,0)),IF($C2560="","","未匹配账户"))</f>
        <v/>
      </c>
      <c r="E2560" s="39"/>
      <c r="F2560" s="10"/>
      <c r="G2560" s="10"/>
      <c r="H2560" s="10"/>
      <c r="I2560" s="10"/>
      <c r="J2560" s="10"/>
      <c r="K2560" s="25"/>
      <c r="L2560" s="25"/>
      <c r="M2560" s="25" t="str">
        <f>IFERROR(VLOOKUP($C2560,$C$5:$M$24,11,0)+SUMIF($C$25:$C2560,$C2560,$K$25:$K2560)-SUMIF($C$25:$C2560,$C2560,$L$25:$L2560),"")</f>
        <v/>
      </c>
      <c r="N2560" s="10"/>
      <c r="O2560" s="10"/>
      <c r="P2560" s="65"/>
      <c r="Q2560" s="10"/>
      <c r="R2560" s="10"/>
      <c r="S2560" s="54" t="str">
        <f t="shared" si="123"/>
        <v/>
      </c>
      <c r="T2560" s="54" t="str">
        <f t="shared" si="124"/>
        <v/>
      </c>
      <c r="U2560" s="58" t="str">
        <f t="shared" si="125"/>
        <v/>
      </c>
      <c r="V2560" s="58">
        <f>IF(AND($B2560&lt;&gt;"",$F2560&lt;&gt;"",$F2560=项目明细账!$C$2),N(V2559)+1,N(V2559))</f>
        <v>0</v>
      </c>
      <c r="W2560" s="63" t="str">
        <f>IF($H2560&lt;&gt;"","项目成本",IFERROR(INDEX(基础资料!$W$4:$W$49,MATCH($I2560,基础资料!$V$4:$V$49,0)),""))</f>
        <v/>
      </c>
      <c r="X2560" s="63" t="str">
        <f>IFERROR(INDEX(基础资料!$R$4:$R$17,MATCH($G2560,基础资料!$Q$4:$Q$17,0)),"")</f>
        <v/>
      </c>
    </row>
    <row r="2561" spans="1:24">
      <c r="A2561" s="58" t="str">
        <f>IF($B2561="","",COUNTA($B$5:$B2561))</f>
        <v/>
      </c>
      <c r="B2561" s="53"/>
      <c r="C2561" s="46"/>
      <c r="D2561" s="63" t="str">
        <f>IFERROR(INDEX(基础资料!$F$4:$F$23,MATCH($C2561,基础资料!$E$4:$E$23,0)),IF($C2561="","","未匹配账户"))</f>
        <v/>
      </c>
      <c r="E2561" s="39"/>
      <c r="F2561" s="10"/>
      <c r="G2561" s="10"/>
      <c r="H2561" s="10"/>
      <c r="I2561" s="10"/>
      <c r="J2561" s="10"/>
      <c r="K2561" s="25"/>
      <c r="L2561" s="25"/>
      <c r="M2561" s="25" t="str">
        <f>IFERROR(VLOOKUP($C2561,$C$5:$M$24,11,0)+SUMIF($C$25:$C2561,$C2561,$K$25:$K2561)-SUMIF($C$25:$C2561,$C2561,$L$25:$L2561),"")</f>
        <v/>
      </c>
      <c r="N2561" s="10"/>
      <c r="O2561" s="10"/>
      <c r="P2561" s="65"/>
      <c r="Q2561" s="10"/>
      <c r="R2561" s="10"/>
      <c r="S2561" s="54" t="str">
        <f t="shared" si="123"/>
        <v/>
      </c>
      <c r="T2561" s="54" t="str">
        <f t="shared" si="124"/>
        <v/>
      </c>
      <c r="U2561" s="58" t="str">
        <f t="shared" si="125"/>
        <v/>
      </c>
      <c r="V2561" s="58">
        <f>IF(AND($B2561&lt;&gt;"",$F2561&lt;&gt;"",$F2561=项目明细账!$C$2),N(V2560)+1,N(V2560))</f>
        <v>0</v>
      </c>
      <c r="W2561" s="63" t="str">
        <f>IF($H2561&lt;&gt;"","项目成本",IFERROR(INDEX(基础资料!$W$4:$W$49,MATCH($I2561,基础资料!$V$4:$V$49,0)),""))</f>
        <v/>
      </c>
      <c r="X2561" s="63" t="str">
        <f>IFERROR(INDEX(基础资料!$R$4:$R$17,MATCH($G2561,基础资料!$Q$4:$Q$17,0)),"")</f>
        <v/>
      </c>
    </row>
    <row r="2562" spans="1:24">
      <c r="A2562" s="58" t="str">
        <f>IF($B2562="","",COUNTA($B$5:$B2562))</f>
        <v/>
      </c>
      <c r="B2562" s="53"/>
      <c r="C2562" s="46"/>
      <c r="D2562" s="63" t="str">
        <f>IFERROR(INDEX(基础资料!$F$4:$F$23,MATCH($C2562,基础资料!$E$4:$E$23,0)),IF($C2562="","","未匹配账户"))</f>
        <v/>
      </c>
      <c r="E2562" s="39"/>
      <c r="F2562" s="10"/>
      <c r="G2562" s="10"/>
      <c r="H2562" s="10"/>
      <c r="I2562" s="10"/>
      <c r="J2562" s="10"/>
      <c r="K2562" s="25"/>
      <c r="L2562" s="25"/>
      <c r="M2562" s="25" t="str">
        <f>IFERROR(VLOOKUP($C2562,$C$5:$M$24,11,0)+SUMIF($C$25:$C2562,$C2562,$K$25:$K2562)-SUMIF($C$25:$C2562,$C2562,$L$25:$L2562),"")</f>
        <v/>
      </c>
      <c r="N2562" s="10"/>
      <c r="O2562" s="10"/>
      <c r="P2562" s="65"/>
      <c r="Q2562" s="10"/>
      <c r="R2562" s="10"/>
      <c r="S2562" s="54" t="str">
        <f t="shared" si="123"/>
        <v/>
      </c>
      <c r="T2562" s="54" t="str">
        <f t="shared" si="124"/>
        <v/>
      </c>
      <c r="U2562" s="58" t="str">
        <f t="shared" si="125"/>
        <v/>
      </c>
      <c r="V2562" s="58">
        <f>IF(AND($B2562&lt;&gt;"",$F2562&lt;&gt;"",$F2562=项目明细账!$C$2),N(V2561)+1,N(V2561))</f>
        <v>0</v>
      </c>
      <c r="W2562" s="63" t="str">
        <f>IF($H2562&lt;&gt;"","项目成本",IFERROR(INDEX(基础资料!$W$4:$W$49,MATCH($I2562,基础资料!$V$4:$V$49,0)),""))</f>
        <v/>
      </c>
      <c r="X2562" s="63" t="str">
        <f>IFERROR(INDEX(基础资料!$R$4:$R$17,MATCH($G2562,基础资料!$Q$4:$Q$17,0)),"")</f>
        <v/>
      </c>
    </row>
    <row r="2563" spans="1:24">
      <c r="A2563" s="58" t="str">
        <f>IF($B2563="","",COUNTA($B$5:$B2563))</f>
        <v/>
      </c>
      <c r="B2563" s="53"/>
      <c r="C2563" s="46"/>
      <c r="D2563" s="63" t="str">
        <f>IFERROR(INDEX(基础资料!$F$4:$F$23,MATCH($C2563,基础资料!$E$4:$E$23,0)),IF($C2563="","","未匹配账户"))</f>
        <v/>
      </c>
      <c r="E2563" s="39"/>
      <c r="F2563" s="10"/>
      <c r="G2563" s="10"/>
      <c r="H2563" s="10"/>
      <c r="I2563" s="10"/>
      <c r="J2563" s="10"/>
      <c r="K2563" s="25"/>
      <c r="L2563" s="25"/>
      <c r="M2563" s="25" t="str">
        <f>IFERROR(VLOOKUP($C2563,$C$5:$M$24,11,0)+SUMIF($C$25:$C2563,$C2563,$K$25:$K2563)-SUMIF($C$25:$C2563,$C2563,$L$25:$L2563),"")</f>
        <v/>
      </c>
      <c r="N2563" s="10"/>
      <c r="O2563" s="10"/>
      <c r="P2563" s="65"/>
      <c r="Q2563" s="10"/>
      <c r="R2563" s="10"/>
      <c r="S2563" s="54" t="str">
        <f t="shared" si="123"/>
        <v/>
      </c>
      <c r="T2563" s="54" t="str">
        <f t="shared" si="124"/>
        <v/>
      </c>
      <c r="U2563" s="58" t="str">
        <f t="shared" si="125"/>
        <v/>
      </c>
      <c r="V2563" s="58">
        <f>IF(AND($B2563&lt;&gt;"",$F2563&lt;&gt;"",$F2563=项目明细账!$C$2),N(V2562)+1,N(V2562))</f>
        <v>0</v>
      </c>
      <c r="W2563" s="63" t="str">
        <f>IF($H2563&lt;&gt;"","项目成本",IFERROR(INDEX(基础资料!$W$4:$W$49,MATCH($I2563,基础资料!$V$4:$V$49,0)),""))</f>
        <v/>
      </c>
      <c r="X2563" s="63" t="str">
        <f>IFERROR(INDEX(基础资料!$R$4:$R$17,MATCH($G2563,基础资料!$Q$4:$Q$17,0)),"")</f>
        <v/>
      </c>
    </row>
    <row r="2564" spans="1:24">
      <c r="A2564" s="58" t="str">
        <f>IF($B2564="","",COUNTA($B$5:$B2564))</f>
        <v/>
      </c>
      <c r="B2564" s="53"/>
      <c r="C2564" s="46"/>
      <c r="D2564" s="63" t="str">
        <f>IFERROR(INDEX(基础资料!$F$4:$F$23,MATCH($C2564,基础资料!$E$4:$E$23,0)),IF($C2564="","","未匹配账户"))</f>
        <v/>
      </c>
      <c r="E2564" s="39"/>
      <c r="F2564" s="10"/>
      <c r="G2564" s="10"/>
      <c r="H2564" s="10"/>
      <c r="I2564" s="10"/>
      <c r="J2564" s="10"/>
      <c r="K2564" s="25"/>
      <c r="L2564" s="25"/>
      <c r="M2564" s="25" t="str">
        <f>IFERROR(VLOOKUP($C2564,$C$5:$M$24,11,0)+SUMIF($C$25:$C2564,$C2564,$K$25:$K2564)-SUMIF($C$25:$C2564,$C2564,$L$25:$L2564),"")</f>
        <v/>
      </c>
      <c r="N2564" s="10"/>
      <c r="O2564" s="10"/>
      <c r="P2564" s="65"/>
      <c r="Q2564" s="10"/>
      <c r="R2564" s="10"/>
      <c r="S2564" s="54" t="str">
        <f t="shared" si="123"/>
        <v/>
      </c>
      <c r="T2564" s="54" t="str">
        <f t="shared" si="124"/>
        <v/>
      </c>
      <c r="U2564" s="58" t="str">
        <f t="shared" si="125"/>
        <v/>
      </c>
      <c r="V2564" s="58">
        <f>IF(AND($B2564&lt;&gt;"",$F2564&lt;&gt;"",$F2564=项目明细账!$C$2),N(V2563)+1,N(V2563))</f>
        <v>0</v>
      </c>
      <c r="W2564" s="63" t="str">
        <f>IF($H2564&lt;&gt;"","项目成本",IFERROR(INDEX(基础资料!$W$4:$W$49,MATCH($I2564,基础资料!$V$4:$V$49,0)),""))</f>
        <v/>
      </c>
      <c r="X2564" s="63" t="str">
        <f>IFERROR(INDEX(基础资料!$R$4:$R$17,MATCH($G2564,基础资料!$Q$4:$Q$17,0)),"")</f>
        <v/>
      </c>
    </row>
    <row r="2565" spans="1:24">
      <c r="A2565" s="58" t="str">
        <f>IF($B2565="","",COUNTA($B$5:$B2565))</f>
        <v/>
      </c>
      <c r="B2565" s="53"/>
      <c r="C2565" s="46"/>
      <c r="D2565" s="63" t="str">
        <f>IFERROR(INDEX(基础资料!$F$4:$F$23,MATCH($C2565,基础资料!$E$4:$E$23,0)),IF($C2565="","","未匹配账户"))</f>
        <v/>
      </c>
      <c r="E2565" s="39"/>
      <c r="F2565" s="10"/>
      <c r="G2565" s="10"/>
      <c r="H2565" s="10"/>
      <c r="I2565" s="10"/>
      <c r="J2565" s="10"/>
      <c r="K2565" s="25"/>
      <c r="L2565" s="25"/>
      <c r="M2565" s="25" t="str">
        <f>IFERROR(VLOOKUP($C2565,$C$5:$M$24,11,0)+SUMIF($C$25:$C2565,$C2565,$K$25:$K2565)-SUMIF($C$25:$C2565,$C2565,$L$25:$L2565),"")</f>
        <v/>
      </c>
      <c r="N2565" s="10"/>
      <c r="O2565" s="10"/>
      <c r="P2565" s="65"/>
      <c r="Q2565" s="10"/>
      <c r="R2565" s="10"/>
      <c r="S2565" s="54" t="str">
        <f t="shared" si="123"/>
        <v/>
      </c>
      <c r="T2565" s="54" t="str">
        <f t="shared" si="124"/>
        <v/>
      </c>
      <c r="U2565" s="58" t="str">
        <f t="shared" si="125"/>
        <v/>
      </c>
      <c r="V2565" s="58">
        <f>IF(AND($B2565&lt;&gt;"",$F2565&lt;&gt;"",$F2565=项目明细账!$C$2),N(V2564)+1,N(V2564))</f>
        <v>0</v>
      </c>
      <c r="W2565" s="63" t="str">
        <f>IF($H2565&lt;&gt;"","项目成本",IFERROR(INDEX(基础资料!$W$4:$W$49,MATCH($I2565,基础资料!$V$4:$V$49,0)),""))</f>
        <v/>
      </c>
      <c r="X2565" s="63" t="str">
        <f>IFERROR(INDEX(基础资料!$R$4:$R$17,MATCH($G2565,基础资料!$Q$4:$Q$17,0)),"")</f>
        <v/>
      </c>
    </row>
    <row r="2566" spans="1:24">
      <c r="A2566" s="58" t="str">
        <f>IF($B2566="","",COUNTA($B$5:$B2566))</f>
        <v/>
      </c>
      <c r="B2566" s="53"/>
      <c r="C2566" s="46"/>
      <c r="D2566" s="63" t="str">
        <f>IFERROR(INDEX(基础资料!$F$4:$F$23,MATCH($C2566,基础资料!$E$4:$E$23,0)),IF($C2566="","","未匹配账户"))</f>
        <v/>
      </c>
      <c r="E2566" s="39"/>
      <c r="F2566" s="10"/>
      <c r="G2566" s="10"/>
      <c r="H2566" s="10"/>
      <c r="I2566" s="10"/>
      <c r="J2566" s="10"/>
      <c r="K2566" s="25"/>
      <c r="L2566" s="25"/>
      <c r="M2566" s="25" t="str">
        <f>IFERROR(VLOOKUP($C2566,$C$5:$M$24,11,0)+SUMIF($C$25:$C2566,$C2566,$K$25:$K2566)-SUMIF($C$25:$C2566,$C2566,$L$25:$L2566),"")</f>
        <v/>
      </c>
      <c r="N2566" s="10"/>
      <c r="O2566" s="10"/>
      <c r="P2566" s="65"/>
      <c r="Q2566" s="10"/>
      <c r="R2566" s="10"/>
      <c r="S2566" s="54" t="str">
        <f t="shared" si="123"/>
        <v/>
      </c>
      <c r="T2566" s="54" t="str">
        <f t="shared" si="124"/>
        <v/>
      </c>
      <c r="U2566" s="58" t="str">
        <f t="shared" si="125"/>
        <v/>
      </c>
      <c r="V2566" s="58">
        <f>IF(AND($B2566&lt;&gt;"",$F2566&lt;&gt;"",$F2566=项目明细账!$C$2),N(V2565)+1,N(V2565))</f>
        <v>0</v>
      </c>
      <c r="W2566" s="63" t="str">
        <f>IF($H2566&lt;&gt;"","项目成本",IFERROR(INDEX(基础资料!$W$4:$W$49,MATCH($I2566,基础资料!$V$4:$V$49,0)),""))</f>
        <v/>
      </c>
      <c r="X2566" s="63" t="str">
        <f>IFERROR(INDEX(基础资料!$R$4:$R$17,MATCH($G2566,基础资料!$Q$4:$Q$17,0)),"")</f>
        <v/>
      </c>
    </row>
    <row r="2567" spans="1:24">
      <c r="A2567" s="58" t="str">
        <f>IF($B2567="","",COUNTA($B$5:$B2567))</f>
        <v/>
      </c>
      <c r="B2567" s="53"/>
      <c r="C2567" s="46"/>
      <c r="D2567" s="63" t="str">
        <f>IFERROR(INDEX(基础资料!$F$4:$F$23,MATCH($C2567,基础资料!$E$4:$E$23,0)),IF($C2567="","","未匹配账户"))</f>
        <v/>
      </c>
      <c r="E2567" s="39"/>
      <c r="F2567" s="10"/>
      <c r="G2567" s="10"/>
      <c r="H2567" s="10"/>
      <c r="I2567" s="10"/>
      <c r="J2567" s="10"/>
      <c r="K2567" s="25"/>
      <c r="L2567" s="25"/>
      <c r="M2567" s="25" t="str">
        <f>IFERROR(VLOOKUP($C2567,$C$5:$M$24,11,0)+SUMIF($C$25:$C2567,$C2567,$K$25:$K2567)-SUMIF($C$25:$C2567,$C2567,$L$25:$L2567),"")</f>
        <v/>
      </c>
      <c r="N2567" s="10"/>
      <c r="O2567" s="10"/>
      <c r="P2567" s="65"/>
      <c r="Q2567" s="10"/>
      <c r="R2567" s="10"/>
      <c r="S2567" s="54" t="str">
        <f t="shared" ref="S2567:S2630" si="126">IF($B2567="","",--TEXT($B2567,"yyyymm"))</f>
        <v/>
      </c>
      <c r="T2567" s="54" t="str">
        <f t="shared" ref="T2567:T2630" si="127">IF($B2567="","",IF($P2567="",$S2567,IFERROR($P2567*1,$P2567)))</f>
        <v/>
      </c>
      <c r="U2567" s="58" t="str">
        <f t="shared" ref="U2567:U2630" si="128">IF($B2567="","",IF($T2567=$S2567,"","跨期"))</f>
        <v/>
      </c>
      <c r="V2567" s="58">
        <f>IF(AND($B2567&lt;&gt;"",$F2567&lt;&gt;"",$F2567=项目明细账!$C$2),N(V2566)+1,N(V2566))</f>
        <v>0</v>
      </c>
      <c r="W2567" s="63" t="str">
        <f>IF($H2567&lt;&gt;"","项目成本",IFERROR(INDEX(基础资料!$W$4:$W$49,MATCH($I2567,基础资料!$V$4:$V$49,0)),""))</f>
        <v/>
      </c>
      <c r="X2567" s="63" t="str">
        <f>IFERROR(INDEX(基础资料!$R$4:$R$17,MATCH($G2567,基础资料!$Q$4:$Q$17,0)),"")</f>
        <v/>
      </c>
    </row>
    <row r="2568" spans="1:24">
      <c r="A2568" s="58" t="str">
        <f>IF($B2568="","",COUNTA($B$5:$B2568))</f>
        <v/>
      </c>
      <c r="B2568" s="53"/>
      <c r="C2568" s="46"/>
      <c r="D2568" s="63" t="str">
        <f>IFERROR(INDEX(基础资料!$F$4:$F$23,MATCH($C2568,基础资料!$E$4:$E$23,0)),IF($C2568="","","未匹配账户"))</f>
        <v/>
      </c>
      <c r="E2568" s="39"/>
      <c r="F2568" s="10"/>
      <c r="G2568" s="10"/>
      <c r="H2568" s="10"/>
      <c r="I2568" s="10"/>
      <c r="J2568" s="10"/>
      <c r="K2568" s="25"/>
      <c r="L2568" s="25"/>
      <c r="M2568" s="25" t="str">
        <f>IFERROR(VLOOKUP($C2568,$C$5:$M$24,11,0)+SUMIF($C$25:$C2568,$C2568,$K$25:$K2568)-SUMIF($C$25:$C2568,$C2568,$L$25:$L2568),"")</f>
        <v/>
      </c>
      <c r="N2568" s="10"/>
      <c r="O2568" s="10"/>
      <c r="P2568" s="65"/>
      <c r="Q2568" s="10"/>
      <c r="R2568" s="10"/>
      <c r="S2568" s="54" t="str">
        <f t="shared" si="126"/>
        <v/>
      </c>
      <c r="T2568" s="54" t="str">
        <f t="shared" si="127"/>
        <v/>
      </c>
      <c r="U2568" s="58" t="str">
        <f t="shared" si="128"/>
        <v/>
      </c>
      <c r="V2568" s="58">
        <f>IF(AND($B2568&lt;&gt;"",$F2568&lt;&gt;"",$F2568=项目明细账!$C$2),N(V2567)+1,N(V2567))</f>
        <v>0</v>
      </c>
      <c r="W2568" s="63" t="str">
        <f>IF($H2568&lt;&gt;"","项目成本",IFERROR(INDEX(基础资料!$W$4:$W$49,MATCH($I2568,基础资料!$V$4:$V$49,0)),""))</f>
        <v/>
      </c>
      <c r="X2568" s="63" t="str">
        <f>IFERROR(INDEX(基础资料!$R$4:$R$17,MATCH($G2568,基础资料!$Q$4:$Q$17,0)),"")</f>
        <v/>
      </c>
    </row>
    <row r="2569" spans="1:24">
      <c r="A2569" s="58" t="str">
        <f>IF($B2569="","",COUNTA($B$5:$B2569))</f>
        <v/>
      </c>
      <c r="B2569" s="53"/>
      <c r="C2569" s="46"/>
      <c r="D2569" s="63" t="str">
        <f>IFERROR(INDEX(基础资料!$F$4:$F$23,MATCH($C2569,基础资料!$E$4:$E$23,0)),IF($C2569="","","未匹配账户"))</f>
        <v/>
      </c>
      <c r="E2569" s="39"/>
      <c r="F2569" s="10"/>
      <c r="G2569" s="10"/>
      <c r="H2569" s="10"/>
      <c r="I2569" s="10"/>
      <c r="J2569" s="10"/>
      <c r="K2569" s="25"/>
      <c r="L2569" s="25"/>
      <c r="M2569" s="25" t="str">
        <f>IFERROR(VLOOKUP($C2569,$C$5:$M$24,11,0)+SUMIF($C$25:$C2569,$C2569,$K$25:$K2569)-SUMIF($C$25:$C2569,$C2569,$L$25:$L2569),"")</f>
        <v/>
      </c>
      <c r="N2569" s="10"/>
      <c r="O2569" s="10"/>
      <c r="P2569" s="65"/>
      <c r="Q2569" s="10"/>
      <c r="R2569" s="10"/>
      <c r="S2569" s="54" t="str">
        <f t="shared" si="126"/>
        <v/>
      </c>
      <c r="T2569" s="54" t="str">
        <f t="shared" si="127"/>
        <v/>
      </c>
      <c r="U2569" s="58" t="str">
        <f t="shared" si="128"/>
        <v/>
      </c>
      <c r="V2569" s="58">
        <f>IF(AND($B2569&lt;&gt;"",$F2569&lt;&gt;"",$F2569=项目明细账!$C$2),N(V2568)+1,N(V2568))</f>
        <v>0</v>
      </c>
      <c r="W2569" s="63" t="str">
        <f>IF($H2569&lt;&gt;"","项目成本",IFERROR(INDEX(基础资料!$W$4:$W$49,MATCH($I2569,基础资料!$V$4:$V$49,0)),""))</f>
        <v/>
      </c>
      <c r="X2569" s="63" t="str">
        <f>IFERROR(INDEX(基础资料!$R$4:$R$17,MATCH($G2569,基础资料!$Q$4:$Q$17,0)),"")</f>
        <v/>
      </c>
    </row>
    <row r="2570" spans="1:24">
      <c r="A2570" s="58" t="str">
        <f>IF($B2570="","",COUNTA($B$5:$B2570))</f>
        <v/>
      </c>
      <c r="B2570" s="53"/>
      <c r="C2570" s="46"/>
      <c r="D2570" s="63" t="str">
        <f>IFERROR(INDEX(基础资料!$F$4:$F$23,MATCH($C2570,基础资料!$E$4:$E$23,0)),IF($C2570="","","未匹配账户"))</f>
        <v/>
      </c>
      <c r="E2570" s="39"/>
      <c r="F2570" s="10"/>
      <c r="G2570" s="10"/>
      <c r="H2570" s="10"/>
      <c r="I2570" s="10"/>
      <c r="J2570" s="10"/>
      <c r="K2570" s="25"/>
      <c r="L2570" s="25"/>
      <c r="M2570" s="25" t="str">
        <f>IFERROR(VLOOKUP($C2570,$C$5:$M$24,11,0)+SUMIF($C$25:$C2570,$C2570,$K$25:$K2570)-SUMIF($C$25:$C2570,$C2570,$L$25:$L2570),"")</f>
        <v/>
      </c>
      <c r="N2570" s="10"/>
      <c r="O2570" s="10"/>
      <c r="P2570" s="65"/>
      <c r="Q2570" s="10"/>
      <c r="R2570" s="10"/>
      <c r="S2570" s="54" t="str">
        <f t="shared" si="126"/>
        <v/>
      </c>
      <c r="T2570" s="54" t="str">
        <f t="shared" si="127"/>
        <v/>
      </c>
      <c r="U2570" s="58" t="str">
        <f t="shared" si="128"/>
        <v/>
      </c>
      <c r="V2570" s="58">
        <f>IF(AND($B2570&lt;&gt;"",$F2570&lt;&gt;"",$F2570=项目明细账!$C$2),N(V2569)+1,N(V2569))</f>
        <v>0</v>
      </c>
      <c r="W2570" s="63" t="str">
        <f>IF($H2570&lt;&gt;"","项目成本",IFERROR(INDEX(基础资料!$W$4:$W$49,MATCH($I2570,基础资料!$V$4:$V$49,0)),""))</f>
        <v/>
      </c>
      <c r="X2570" s="63" t="str">
        <f>IFERROR(INDEX(基础资料!$R$4:$R$17,MATCH($G2570,基础资料!$Q$4:$Q$17,0)),"")</f>
        <v/>
      </c>
    </row>
    <row r="2571" spans="1:24">
      <c r="A2571" s="58" t="str">
        <f>IF($B2571="","",COUNTA($B$5:$B2571))</f>
        <v/>
      </c>
      <c r="B2571" s="53"/>
      <c r="C2571" s="46"/>
      <c r="D2571" s="63" t="str">
        <f>IFERROR(INDEX(基础资料!$F$4:$F$23,MATCH($C2571,基础资料!$E$4:$E$23,0)),IF($C2571="","","未匹配账户"))</f>
        <v/>
      </c>
      <c r="E2571" s="39"/>
      <c r="F2571" s="10"/>
      <c r="G2571" s="10"/>
      <c r="H2571" s="10"/>
      <c r="I2571" s="10"/>
      <c r="J2571" s="10"/>
      <c r="K2571" s="25"/>
      <c r="L2571" s="25"/>
      <c r="M2571" s="25" t="str">
        <f>IFERROR(VLOOKUP($C2571,$C$5:$M$24,11,0)+SUMIF($C$25:$C2571,$C2571,$K$25:$K2571)-SUMIF($C$25:$C2571,$C2571,$L$25:$L2571),"")</f>
        <v/>
      </c>
      <c r="N2571" s="10"/>
      <c r="O2571" s="10"/>
      <c r="P2571" s="65"/>
      <c r="Q2571" s="10"/>
      <c r="R2571" s="10"/>
      <c r="S2571" s="54" t="str">
        <f t="shared" si="126"/>
        <v/>
      </c>
      <c r="T2571" s="54" t="str">
        <f t="shared" si="127"/>
        <v/>
      </c>
      <c r="U2571" s="58" t="str">
        <f t="shared" si="128"/>
        <v/>
      </c>
      <c r="V2571" s="58">
        <f>IF(AND($B2571&lt;&gt;"",$F2571&lt;&gt;"",$F2571=项目明细账!$C$2),N(V2570)+1,N(V2570))</f>
        <v>0</v>
      </c>
      <c r="W2571" s="63" t="str">
        <f>IF($H2571&lt;&gt;"","项目成本",IFERROR(INDEX(基础资料!$W$4:$W$49,MATCH($I2571,基础资料!$V$4:$V$49,0)),""))</f>
        <v/>
      </c>
      <c r="X2571" s="63" t="str">
        <f>IFERROR(INDEX(基础资料!$R$4:$R$17,MATCH($G2571,基础资料!$Q$4:$Q$17,0)),"")</f>
        <v/>
      </c>
    </row>
    <row r="2572" spans="1:24">
      <c r="A2572" s="58" t="str">
        <f>IF($B2572="","",COUNTA($B$5:$B2572))</f>
        <v/>
      </c>
      <c r="B2572" s="53"/>
      <c r="C2572" s="46"/>
      <c r="D2572" s="63" t="str">
        <f>IFERROR(INDEX(基础资料!$F$4:$F$23,MATCH($C2572,基础资料!$E$4:$E$23,0)),IF($C2572="","","未匹配账户"))</f>
        <v/>
      </c>
      <c r="E2572" s="39"/>
      <c r="F2572" s="10"/>
      <c r="G2572" s="10"/>
      <c r="H2572" s="10"/>
      <c r="I2572" s="10"/>
      <c r="J2572" s="10"/>
      <c r="K2572" s="25"/>
      <c r="L2572" s="25"/>
      <c r="M2572" s="25" t="str">
        <f>IFERROR(VLOOKUP($C2572,$C$5:$M$24,11,0)+SUMIF($C$25:$C2572,$C2572,$K$25:$K2572)-SUMIF($C$25:$C2572,$C2572,$L$25:$L2572),"")</f>
        <v/>
      </c>
      <c r="N2572" s="10"/>
      <c r="O2572" s="10"/>
      <c r="P2572" s="65"/>
      <c r="Q2572" s="10"/>
      <c r="R2572" s="10"/>
      <c r="S2572" s="54" t="str">
        <f t="shared" si="126"/>
        <v/>
      </c>
      <c r="T2572" s="54" t="str">
        <f t="shared" si="127"/>
        <v/>
      </c>
      <c r="U2572" s="58" t="str">
        <f t="shared" si="128"/>
        <v/>
      </c>
      <c r="V2572" s="58">
        <f>IF(AND($B2572&lt;&gt;"",$F2572&lt;&gt;"",$F2572=项目明细账!$C$2),N(V2571)+1,N(V2571))</f>
        <v>0</v>
      </c>
      <c r="W2572" s="63" t="str">
        <f>IF($H2572&lt;&gt;"","项目成本",IFERROR(INDEX(基础资料!$W$4:$W$49,MATCH($I2572,基础资料!$V$4:$V$49,0)),""))</f>
        <v/>
      </c>
      <c r="X2572" s="63" t="str">
        <f>IFERROR(INDEX(基础资料!$R$4:$R$17,MATCH($G2572,基础资料!$Q$4:$Q$17,0)),"")</f>
        <v/>
      </c>
    </row>
    <row r="2573" spans="1:24">
      <c r="A2573" s="58" t="str">
        <f>IF($B2573="","",COUNTA($B$5:$B2573))</f>
        <v/>
      </c>
      <c r="B2573" s="53"/>
      <c r="C2573" s="46"/>
      <c r="D2573" s="63" t="str">
        <f>IFERROR(INDEX(基础资料!$F$4:$F$23,MATCH($C2573,基础资料!$E$4:$E$23,0)),IF($C2573="","","未匹配账户"))</f>
        <v/>
      </c>
      <c r="E2573" s="39"/>
      <c r="F2573" s="10"/>
      <c r="G2573" s="10"/>
      <c r="H2573" s="10"/>
      <c r="I2573" s="10"/>
      <c r="J2573" s="10"/>
      <c r="K2573" s="25"/>
      <c r="L2573" s="25"/>
      <c r="M2573" s="25" t="str">
        <f>IFERROR(VLOOKUP($C2573,$C$5:$M$24,11,0)+SUMIF($C$25:$C2573,$C2573,$K$25:$K2573)-SUMIF($C$25:$C2573,$C2573,$L$25:$L2573),"")</f>
        <v/>
      </c>
      <c r="N2573" s="10"/>
      <c r="O2573" s="10"/>
      <c r="P2573" s="65"/>
      <c r="Q2573" s="10"/>
      <c r="R2573" s="10"/>
      <c r="S2573" s="54" t="str">
        <f t="shared" si="126"/>
        <v/>
      </c>
      <c r="T2573" s="54" t="str">
        <f t="shared" si="127"/>
        <v/>
      </c>
      <c r="U2573" s="58" t="str">
        <f t="shared" si="128"/>
        <v/>
      </c>
      <c r="V2573" s="58">
        <f>IF(AND($B2573&lt;&gt;"",$F2573&lt;&gt;"",$F2573=项目明细账!$C$2),N(V2572)+1,N(V2572))</f>
        <v>0</v>
      </c>
      <c r="W2573" s="63" t="str">
        <f>IF($H2573&lt;&gt;"","项目成本",IFERROR(INDEX(基础资料!$W$4:$W$49,MATCH($I2573,基础资料!$V$4:$V$49,0)),""))</f>
        <v/>
      </c>
      <c r="X2573" s="63" t="str">
        <f>IFERROR(INDEX(基础资料!$R$4:$R$17,MATCH($G2573,基础资料!$Q$4:$Q$17,0)),"")</f>
        <v/>
      </c>
    </row>
    <row r="2574" spans="1:24">
      <c r="A2574" s="58" t="str">
        <f>IF($B2574="","",COUNTA($B$5:$B2574))</f>
        <v/>
      </c>
      <c r="B2574" s="53"/>
      <c r="C2574" s="46"/>
      <c r="D2574" s="63" t="str">
        <f>IFERROR(INDEX(基础资料!$F$4:$F$23,MATCH($C2574,基础资料!$E$4:$E$23,0)),IF($C2574="","","未匹配账户"))</f>
        <v/>
      </c>
      <c r="E2574" s="39"/>
      <c r="F2574" s="10"/>
      <c r="G2574" s="10"/>
      <c r="H2574" s="10"/>
      <c r="I2574" s="10"/>
      <c r="J2574" s="10"/>
      <c r="K2574" s="25"/>
      <c r="L2574" s="25"/>
      <c r="M2574" s="25" t="str">
        <f>IFERROR(VLOOKUP($C2574,$C$5:$M$24,11,0)+SUMIF($C$25:$C2574,$C2574,$K$25:$K2574)-SUMIF($C$25:$C2574,$C2574,$L$25:$L2574),"")</f>
        <v/>
      </c>
      <c r="N2574" s="10"/>
      <c r="O2574" s="10"/>
      <c r="P2574" s="65"/>
      <c r="Q2574" s="10"/>
      <c r="R2574" s="10"/>
      <c r="S2574" s="54" t="str">
        <f t="shared" si="126"/>
        <v/>
      </c>
      <c r="T2574" s="54" t="str">
        <f t="shared" si="127"/>
        <v/>
      </c>
      <c r="U2574" s="58" t="str">
        <f t="shared" si="128"/>
        <v/>
      </c>
      <c r="V2574" s="58">
        <f>IF(AND($B2574&lt;&gt;"",$F2574&lt;&gt;"",$F2574=项目明细账!$C$2),N(V2573)+1,N(V2573))</f>
        <v>0</v>
      </c>
      <c r="W2574" s="63" t="str">
        <f>IF($H2574&lt;&gt;"","项目成本",IFERROR(INDEX(基础资料!$W$4:$W$49,MATCH($I2574,基础资料!$V$4:$V$49,0)),""))</f>
        <v/>
      </c>
      <c r="X2574" s="63" t="str">
        <f>IFERROR(INDEX(基础资料!$R$4:$R$17,MATCH($G2574,基础资料!$Q$4:$Q$17,0)),"")</f>
        <v/>
      </c>
    </row>
    <row r="2575" spans="1:24">
      <c r="A2575" s="58" t="str">
        <f>IF($B2575="","",COUNTA($B$5:$B2575))</f>
        <v/>
      </c>
      <c r="B2575" s="53"/>
      <c r="C2575" s="46"/>
      <c r="D2575" s="63" t="str">
        <f>IFERROR(INDEX(基础资料!$F$4:$F$23,MATCH($C2575,基础资料!$E$4:$E$23,0)),IF($C2575="","","未匹配账户"))</f>
        <v/>
      </c>
      <c r="E2575" s="39"/>
      <c r="F2575" s="10"/>
      <c r="G2575" s="10"/>
      <c r="H2575" s="10"/>
      <c r="I2575" s="10"/>
      <c r="J2575" s="10"/>
      <c r="K2575" s="25"/>
      <c r="L2575" s="25"/>
      <c r="M2575" s="25" t="str">
        <f>IFERROR(VLOOKUP($C2575,$C$5:$M$24,11,0)+SUMIF($C$25:$C2575,$C2575,$K$25:$K2575)-SUMIF($C$25:$C2575,$C2575,$L$25:$L2575),"")</f>
        <v/>
      </c>
      <c r="N2575" s="10"/>
      <c r="O2575" s="10"/>
      <c r="P2575" s="65"/>
      <c r="Q2575" s="10"/>
      <c r="R2575" s="10"/>
      <c r="S2575" s="54" t="str">
        <f t="shared" si="126"/>
        <v/>
      </c>
      <c r="T2575" s="54" t="str">
        <f t="shared" si="127"/>
        <v/>
      </c>
      <c r="U2575" s="58" t="str">
        <f t="shared" si="128"/>
        <v/>
      </c>
      <c r="V2575" s="58">
        <f>IF(AND($B2575&lt;&gt;"",$F2575&lt;&gt;"",$F2575=项目明细账!$C$2),N(V2574)+1,N(V2574))</f>
        <v>0</v>
      </c>
      <c r="W2575" s="63" t="str">
        <f>IF($H2575&lt;&gt;"","项目成本",IFERROR(INDEX(基础资料!$W$4:$W$49,MATCH($I2575,基础资料!$V$4:$V$49,0)),""))</f>
        <v/>
      </c>
      <c r="X2575" s="63" t="str">
        <f>IFERROR(INDEX(基础资料!$R$4:$R$17,MATCH($G2575,基础资料!$Q$4:$Q$17,0)),"")</f>
        <v/>
      </c>
    </row>
    <row r="2576" spans="1:24">
      <c r="A2576" s="58" t="str">
        <f>IF($B2576="","",COUNTA($B$5:$B2576))</f>
        <v/>
      </c>
      <c r="B2576" s="53"/>
      <c r="C2576" s="46"/>
      <c r="D2576" s="63" t="str">
        <f>IFERROR(INDEX(基础资料!$F$4:$F$23,MATCH($C2576,基础资料!$E$4:$E$23,0)),IF($C2576="","","未匹配账户"))</f>
        <v/>
      </c>
      <c r="E2576" s="39"/>
      <c r="F2576" s="10"/>
      <c r="G2576" s="10"/>
      <c r="H2576" s="10"/>
      <c r="I2576" s="10"/>
      <c r="J2576" s="10"/>
      <c r="K2576" s="25"/>
      <c r="L2576" s="25"/>
      <c r="M2576" s="25" t="str">
        <f>IFERROR(VLOOKUP($C2576,$C$5:$M$24,11,0)+SUMIF($C$25:$C2576,$C2576,$K$25:$K2576)-SUMIF($C$25:$C2576,$C2576,$L$25:$L2576),"")</f>
        <v/>
      </c>
      <c r="N2576" s="10"/>
      <c r="O2576" s="10"/>
      <c r="P2576" s="65"/>
      <c r="Q2576" s="10"/>
      <c r="R2576" s="10"/>
      <c r="S2576" s="54" t="str">
        <f t="shared" si="126"/>
        <v/>
      </c>
      <c r="T2576" s="54" t="str">
        <f t="shared" si="127"/>
        <v/>
      </c>
      <c r="U2576" s="58" t="str">
        <f t="shared" si="128"/>
        <v/>
      </c>
      <c r="V2576" s="58">
        <f>IF(AND($B2576&lt;&gt;"",$F2576&lt;&gt;"",$F2576=项目明细账!$C$2),N(V2575)+1,N(V2575))</f>
        <v>0</v>
      </c>
      <c r="W2576" s="63" t="str">
        <f>IF($H2576&lt;&gt;"","项目成本",IFERROR(INDEX(基础资料!$W$4:$W$49,MATCH($I2576,基础资料!$V$4:$V$49,0)),""))</f>
        <v/>
      </c>
      <c r="X2576" s="63" t="str">
        <f>IFERROR(INDEX(基础资料!$R$4:$R$17,MATCH($G2576,基础资料!$Q$4:$Q$17,0)),"")</f>
        <v/>
      </c>
    </row>
    <row r="2577" spans="1:24">
      <c r="A2577" s="58" t="str">
        <f>IF($B2577="","",COUNTA($B$5:$B2577))</f>
        <v/>
      </c>
      <c r="B2577" s="53"/>
      <c r="C2577" s="46"/>
      <c r="D2577" s="63" t="str">
        <f>IFERROR(INDEX(基础资料!$F$4:$F$23,MATCH($C2577,基础资料!$E$4:$E$23,0)),IF($C2577="","","未匹配账户"))</f>
        <v/>
      </c>
      <c r="E2577" s="39"/>
      <c r="F2577" s="10"/>
      <c r="G2577" s="10"/>
      <c r="H2577" s="10"/>
      <c r="I2577" s="10"/>
      <c r="J2577" s="10"/>
      <c r="K2577" s="25"/>
      <c r="L2577" s="25"/>
      <c r="M2577" s="25" t="str">
        <f>IFERROR(VLOOKUP($C2577,$C$5:$M$24,11,0)+SUMIF($C$25:$C2577,$C2577,$K$25:$K2577)-SUMIF($C$25:$C2577,$C2577,$L$25:$L2577),"")</f>
        <v/>
      </c>
      <c r="N2577" s="10"/>
      <c r="O2577" s="10"/>
      <c r="P2577" s="65"/>
      <c r="Q2577" s="10"/>
      <c r="R2577" s="10"/>
      <c r="S2577" s="54" t="str">
        <f t="shared" si="126"/>
        <v/>
      </c>
      <c r="T2577" s="54" t="str">
        <f t="shared" si="127"/>
        <v/>
      </c>
      <c r="U2577" s="58" t="str">
        <f t="shared" si="128"/>
        <v/>
      </c>
      <c r="V2577" s="58">
        <f>IF(AND($B2577&lt;&gt;"",$F2577&lt;&gt;"",$F2577=项目明细账!$C$2),N(V2576)+1,N(V2576))</f>
        <v>0</v>
      </c>
      <c r="W2577" s="63" t="str">
        <f>IF($H2577&lt;&gt;"","项目成本",IFERROR(INDEX(基础资料!$W$4:$W$49,MATCH($I2577,基础资料!$V$4:$V$49,0)),""))</f>
        <v/>
      </c>
      <c r="X2577" s="63" t="str">
        <f>IFERROR(INDEX(基础资料!$R$4:$R$17,MATCH($G2577,基础资料!$Q$4:$Q$17,0)),"")</f>
        <v/>
      </c>
    </row>
    <row r="2578" spans="1:24">
      <c r="A2578" s="58" t="str">
        <f>IF($B2578="","",COUNTA($B$5:$B2578))</f>
        <v/>
      </c>
      <c r="B2578" s="53"/>
      <c r="C2578" s="46"/>
      <c r="D2578" s="63" t="str">
        <f>IFERROR(INDEX(基础资料!$F$4:$F$23,MATCH($C2578,基础资料!$E$4:$E$23,0)),IF($C2578="","","未匹配账户"))</f>
        <v/>
      </c>
      <c r="E2578" s="39"/>
      <c r="F2578" s="10"/>
      <c r="G2578" s="10"/>
      <c r="H2578" s="10"/>
      <c r="I2578" s="10"/>
      <c r="J2578" s="10"/>
      <c r="K2578" s="25"/>
      <c r="L2578" s="25"/>
      <c r="M2578" s="25" t="str">
        <f>IFERROR(VLOOKUP($C2578,$C$5:$M$24,11,0)+SUMIF($C$25:$C2578,$C2578,$K$25:$K2578)-SUMIF($C$25:$C2578,$C2578,$L$25:$L2578),"")</f>
        <v/>
      </c>
      <c r="N2578" s="10"/>
      <c r="O2578" s="10"/>
      <c r="P2578" s="65"/>
      <c r="Q2578" s="10"/>
      <c r="R2578" s="10"/>
      <c r="S2578" s="54" t="str">
        <f t="shared" si="126"/>
        <v/>
      </c>
      <c r="T2578" s="54" t="str">
        <f t="shared" si="127"/>
        <v/>
      </c>
      <c r="U2578" s="58" t="str">
        <f t="shared" si="128"/>
        <v/>
      </c>
      <c r="V2578" s="58">
        <f>IF(AND($B2578&lt;&gt;"",$F2578&lt;&gt;"",$F2578=项目明细账!$C$2),N(V2577)+1,N(V2577))</f>
        <v>0</v>
      </c>
      <c r="W2578" s="63" t="str">
        <f>IF($H2578&lt;&gt;"","项目成本",IFERROR(INDEX(基础资料!$W$4:$W$49,MATCH($I2578,基础资料!$V$4:$V$49,0)),""))</f>
        <v/>
      </c>
      <c r="X2578" s="63" t="str">
        <f>IFERROR(INDEX(基础资料!$R$4:$R$17,MATCH($G2578,基础资料!$Q$4:$Q$17,0)),"")</f>
        <v/>
      </c>
    </row>
    <row r="2579" spans="1:24">
      <c r="A2579" s="58" t="str">
        <f>IF($B2579="","",COUNTA($B$5:$B2579))</f>
        <v/>
      </c>
      <c r="B2579" s="53"/>
      <c r="C2579" s="46"/>
      <c r="D2579" s="63" t="str">
        <f>IFERROR(INDEX(基础资料!$F$4:$F$23,MATCH($C2579,基础资料!$E$4:$E$23,0)),IF($C2579="","","未匹配账户"))</f>
        <v/>
      </c>
      <c r="E2579" s="39"/>
      <c r="F2579" s="10"/>
      <c r="G2579" s="10"/>
      <c r="H2579" s="10"/>
      <c r="I2579" s="10"/>
      <c r="J2579" s="10"/>
      <c r="K2579" s="25"/>
      <c r="L2579" s="25"/>
      <c r="M2579" s="25" t="str">
        <f>IFERROR(VLOOKUP($C2579,$C$5:$M$24,11,0)+SUMIF($C$25:$C2579,$C2579,$K$25:$K2579)-SUMIF($C$25:$C2579,$C2579,$L$25:$L2579),"")</f>
        <v/>
      </c>
      <c r="N2579" s="10"/>
      <c r="O2579" s="10"/>
      <c r="P2579" s="65"/>
      <c r="Q2579" s="10"/>
      <c r="R2579" s="10"/>
      <c r="S2579" s="54" t="str">
        <f t="shared" si="126"/>
        <v/>
      </c>
      <c r="T2579" s="54" t="str">
        <f t="shared" si="127"/>
        <v/>
      </c>
      <c r="U2579" s="58" t="str">
        <f t="shared" si="128"/>
        <v/>
      </c>
      <c r="V2579" s="58">
        <f>IF(AND($B2579&lt;&gt;"",$F2579&lt;&gt;"",$F2579=项目明细账!$C$2),N(V2578)+1,N(V2578))</f>
        <v>0</v>
      </c>
      <c r="W2579" s="63" t="str">
        <f>IF($H2579&lt;&gt;"","项目成本",IFERROR(INDEX(基础资料!$W$4:$W$49,MATCH($I2579,基础资料!$V$4:$V$49,0)),""))</f>
        <v/>
      </c>
      <c r="X2579" s="63" t="str">
        <f>IFERROR(INDEX(基础资料!$R$4:$R$17,MATCH($G2579,基础资料!$Q$4:$Q$17,0)),"")</f>
        <v/>
      </c>
    </row>
    <row r="2580" spans="1:24">
      <c r="A2580" s="58" t="str">
        <f>IF($B2580="","",COUNTA($B$5:$B2580))</f>
        <v/>
      </c>
      <c r="B2580" s="53"/>
      <c r="C2580" s="46"/>
      <c r="D2580" s="63" t="str">
        <f>IFERROR(INDEX(基础资料!$F$4:$F$23,MATCH($C2580,基础资料!$E$4:$E$23,0)),IF($C2580="","","未匹配账户"))</f>
        <v/>
      </c>
      <c r="E2580" s="39"/>
      <c r="F2580" s="10"/>
      <c r="G2580" s="10"/>
      <c r="H2580" s="10"/>
      <c r="I2580" s="10"/>
      <c r="J2580" s="10"/>
      <c r="K2580" s="25"/>
      <c r="L2580" s="25"/>
      <c r="M2580" s="25" t="str">
        <f>IFERROR(VLOOKUP($C2580,$C$5:$M$24,11,0)+SUMIF($C$25:$C2580,$C2580,$K$25:$K2580)-SUMIF($C$25:$C2580,$C2580,$L$25:$L2580),"")</f>
        <v/>
      </c>
      <c r="N2580" s="10"/>
      <c r="O2580" s="10"/>
      <c r="P2580" s="65"/>
      <c r="Q2580" s="10"/>
      <c r="R2580" s="10"/>
      <c r="S2580" s="54" t="str">
        <f t="shared" si="126"/>
        <v/>
      </c>
      <c r="T2580" s="54" t="str">
        <f t="shared" si="127"/>
        <v/>
      </c>
      <c r="U2580" s="58" t="str">
        <f t="shared" si="128"/>
        <v/>
      </c>
      <c r="V2580" s="58">
        <f>IF(AND($B2580&lt;&gt;"",$F2580&lt;&gt;"",$F2580=项目明细账!$C$2),N(V2579)+1,N(V2579))</f>
        <v>0</v>
      </c>
      <c r="W2580" s="63" t="str">
        <f>IF($H2580&lt;&gt;"","项目成本",IFERROR(INDEX(基础资料!$W$4:$W$49,MATCH($I2580,基础资料!$V$4:$V$49,0)),""))</f>
        <v/>
      </c>
      <c r="X2580" s="63" t="str">
        <f>IFERROR(INDEX(基础资料!$R$4:$R$17,MATCH($G2580,基础资料!$Q$4:$Q$17,0)),"")</f>
        <v/>
      </c>
    </row>
    <row r="2581" spans="1:24">
      <c r="A2581" s="58" t="str">
        <f>IF($B2581="","",COUNTA($B$5:$B2581))</f>
        <v/>
      </c>
      <c r="B2581" s="53"/>
      <c r="C2581" s="46"/>
      <c r="D2581" s="63" t="str">
        <f>IFERROR(INDEX(基础资料!$F$4:$F$23,MATCH($C2581,基础资料!$E$4:$E$23,0)),IF($C2581="","","未匹配账户"))</f>
        <v/>
      </c>
      <c r="E2581" s="39"/>
      <c r="F2581" s="10"/>
      <c r="G2581" s="10"/>
      <c r="H2581" s="10"/>
      <c r="I2581" s="10"/>
      <c r="J2581" s="10"/>
      <c r="K2581" s="25"/>
      <c r="L2581" s="25"/>
      <c r="M2581" s="25" t="str">
        <f>IFERROR(VLOOKUP($C2581,$C$5:$M$24,11,0)+SUMIF($C$25:$C2581,$C2581,$K$25:$K2581)-SUMIF($C$25:$C2581,$C2581,$L$25:$L2581),"")</f>
        <v/>
      </c>
      <c r="N2581" s="10"/>
      <c r="O2581" s="10"/>
      <c r="P2581" s="65"/>
      <c r="Q2581" s="10"/>
      <c r="R2581" s="10"/>
      <c r="S2581" s="54" t="str">
        <f t="shared" si="126"/>
        <v/>
      </c>
      <c r="T2581" s="54" t="str">
        <f t="shared" si="127"/>
        <v/>
      </c>
      <c r="U2581" s="58" t="str">
        <f t="shared" si="128"/>
        <v/>
      </c>
      <c r="V2581" s="58">
        <f>IF(AND($B2581&lt;&gt;"",$F2581&lt;&gt;"",$F2581=项目明细账!$C$2),N(V2580)+1,N(V2580))</f>
        <v>0</v>
      </c>
      <c r="W2581" s="63" t="str">
        <f>IF($H2581&lt;&gt;"","项目成本",IFERROR(INDEX(基础资料!$W$4:$W$49,MATCH($I2581,基础资料!$V$4:$V$49,0)),""))</f>
        <v/>
      </c>
      <c r="X2581" s="63" t="str">
        <f>IFERROR(INDEX(基础资料!$R$4:$R$17,MATCH($G2581,基础资料!$Q$4:$Q$17,0)),"")</f>
        <v/>
      </c>
    </row>
    <row r="2582" spans="1:24">
      <c r="A2582" s="58" t="str">
        <f>IF($B2582="","",COUNTA($B$5:$B2582))</f>
        <v/>
      </c>
      <c r="B2582" s="53"/>
      <c r="C2582" s="46"/>
      <c r="D2582" s="63" t="str">
        <f>IFERROR(INDEX(基础资料!$F$4:$F$23,MATCH($C2582,基础资料!$E$4:$E$23,0)),IF($C2582="","","未匹配账户"))</f>
        <v/>
      </c>
      <c r="E2582" s="39"/>
      <c r="F2582" s="10"/>
      <c r="G2582" s="10"/>
      <c r="H2582" s="10"/>
      <c r="I2582" s="10"/>
      <c r="J2582" s="10"/>
      <c r="K2582" s="25"/>
      <c r="L2582" s="25"/>
      <c r="M2582" s="25" t="str">
        <f>IFERROR(VLOOKUP($C2582,$C$5:$M$24,11,0)+SUMIF($C$25:$C2582,$C2582,$K$25:$K2582)-SUMIF($C$25:$C2582,$C2582,$L$25:$L2582),"")</f>
        <v/>
      </c>
      <c r="N2582" s="10"/>
      <c r="O2582" s="10"/>
      <c r="P2582" s="65"/>
      <c r="Q2582" s="10"/>
      <c r="R2582" s="10"/>
      <c r="S2582" s="54" t="str">
        <f t="shared" si="126"/>
        <v/>
      </c>
      <c r="T2582" s="54" t="str">
        <f t="shared" si="127"/>
        <v/>
      </c>
      <c r="U2582" s="58" t="str">
        <f t="shared" si="128"/>
        <v/>
      </c>
      <c r="V2582" s="58">
        <f>IF(AND($B2582&lt;&gt;"",$F2582&lt;&gt;"",$F2582=项目明细账!$C$2),N(V2581)+1,N(V2581))</f>
        <v>0</v>
      </c>
      <c r="W2582" s="63" t="str">
        <f>IF($H2582&lt;&gt;"","项目成本",IFERROR(INDEX(基础资料!$W$4:$W$49,MATCH($I2582,基础资料!$V$4:$V$49,0)),""))</f>
        <v/>
      </c>
      <c r="X2582" s="63" t="str">
        <f>IFERROR(INDEX(基础资料!$R$4:$R$17,MATCH($G2582,基础资料!$Q$4:$Q$17,0)),"")</f>
        <v/>
      </c>
    </row>
    <row r="2583" spans="1:24">
      <c r="A2583" s="58" t="str">
        <f>IF($B2583="","",COUNTA($B$5:$B2583))</f>
        <v/>
      </c>
      <c r="B2583" s="53"/>
      <c r="C2583" s="46"/>
      <c r="D2583" s="63" t="str">
        <f>IFERROR(INDEX(基础资料!$F$4:$F$23,MATCH($C2583,基础资料!$E$4:$E$23,0)),IF($C2583="","","未匹配账户"))</f>
        <v/>
      </c>
      <c r="E2583" s="39"/>
      <c r="F2583" s="10"/>
      <c r="G2583" s="10"/>
      <c r="H2583" s="10"/>
      <c r="I2583" s="10"/>
      <c r="J2583" s="10"/>
      <c r="K2583" s="25"/>
      <c r="L2583" s="25"/>
      <c r="M2583" s="25" t="str">
        <f>IFERROR(VLOOKUP($C2583,$C$5:$M$24,11,0)+SUMIF($C$25:$C2583,$C2583,$K$25:$K2583)-SUMIF($C$25:$C2583,$C2583,$L$25:$L2583),"")</f>
        <v/>
      </c>
      <c r="N2583" s="10"/>
      <c r="O2583" s="10"/>
      <c r="P2583" s="65"/>
      <c r="Q2583" s="10"/>
      <c r="R2583" s="10"/>
      <c r="S2583" s="54" t="str">
        <f t="shared" si="126"/>
        <v/>
      </c>
      <c r="T2583" s="54" t="str">
        <f t="shared" si="127"/>
        <v/>
      </c>
      <c r="U2583" s="58" t="str">
        <f t="shared" si="128"/>
        <v/>
      </c>
      <c r="V2583" s="58">
        <f>IF(AND($B2583&lt;&gt;"",$F2583&lt;&gt;"",$F2583=项目明细账!$C$2),N(V2582)+1,N(V2582))</f>
        <v>0</v>
      </c>
      <c r="W2583" s="63" t="str">
        <f>IF($H2583&lt;&gt;"","项目成本",IFERROR(INDEX(基础资料!$W$4:$W$49,MATCH($I2583,基础资料!$V$4:$V$49,0)),""))</f>
        <v/>
      </c>
      <c r="X2583" s="63" t="str">
        <f>IFERROR(INDEX(基础资料!$R$4:$R$17,MATCH($G2583,基础资料!$Q$4:$Q$17,0)),"")</f>
        <v/>
      </c>
    </row>
    <row r="2584" spans="1:24">
      <c r="A2584" s="58" t="str">
        <f>IF($B2584="","",COUNTA($B$5:$B2584))</f>
        <v/>
      </c>
      <c r="B2584" s="53"/>
      <c r="C2584" s="46"/>
      <c r="D2584" s="63" t="str">
        <f>IFERROR(INDEX(基础资料!$F$4:$F$23,MATCH($C2584,基础资料!$E$4:$E$23,0)),IF($C2584="","","未匹配账户"))</f>
        <v/>
      </c>
      <c r="E2584" s="39"/>
      <c r="F2584" s="10"/>
      <c r="G2584" s="10"/>
      <c r="H2584" s="10"/>
      <c r="I2584" s="10"/>
      <c r="J2584" s="10"/>
      <c r="K2584" s="25"/>
      <c r="L2584" s="25"/>
      <c r="M2584" s="25" t="str">
        <f>IFERROR(VLOOKUP($C2584,$C$5:$M$24,11,0)+SUMIF($C$25:$C2584,$C2584,$K$25:$K2584)-SUMIF($C$25:$C2584,$C2584,$L$25:$L2584),"")</f>
        <v/>
      </c>
      <c r="N2584" s="10"/>
      <c r="O2584" s="10"/>
      <c r="P2584" s="65"/>
      <c r="Q2584" s="10"/>
      <c r="R2584" s="10"/>
      <c r="S2584" s="54" t="str">
        <f t="shared" si="126"/>
        <v/>
      </c>
      <c r="T2584" s="54" t="str">
        <f t="shared" si="127"/>
        <v/>
      </c>
      <c r="U2584" s="58" t="str">
        <f t="shared" si="128"/>
        <v/>
      </c>
      <c r="V2584" s="58">
        <f>IF(AND($B2584&lt;&gt;"",$F2584&lt;&gt;"",$F2584=项目明细账!$C$2),N(V2583)+1,N(V2583))</f>
        <v>0</v>
      </c>
      <c r="W2584" s="63" t="str">
        <f>IF($H2584&lt;&gt;"","项目成本",IFERROR(INDEX(基础资料!$W$4:$W$49,MATCH($I2584,基础资料!$V$4:$V$49,0)),""))</f>
        <v/>
      </c>
      <c r="X2584" s="63" t="str">
        <f>IFERROR(INDEX(基础资料!$R$4:$R$17,MATCH($G2584,基础资料!$Q$4:$Q$17,0)),"")</f>
        <v/>
      </c>
    </row>
    <row r="2585" spans="1:24">
      <c r="A2585" s="58" t="str">
        <f>IF($B2585="","",COUNTA($B$5:$B2585))</f>
        <v/>
      </c>
      <c r="B2585" s="53"/>
      <c r="C2585" s="46"/>
      <c r="D2585" s="63" t="str">
        <f>IFERROR(INDEX(基础资料!$F$4:$F$23,MATCH($C2585,基础资料!$E$4:$E$23,0)),IF($C2585="","","未匹配账户"))</f>
        <v/>
      </c>
      <c r="E2585" s="39"/>
      <c r="F2585" s="10"/>
      <c r="G2585" s="10"/>
      <c r="H2585" s="10"/>
      <c r="I2585" s="10"/>
      <c r="J2585" s="10"/>
      <c r="K2585" s="25"/>
      <c r="L2585" s="25"/>
      <c r="M2585" s="25" t="str">
        <f>IFERROR(VLOOKUP($C2585,$C$5:$M$24,11,0)+SUMIF($C$25:$C2585,$C2585,$K$25:$K2585)-SUMIF($C$25:$C2585,$C2585,$L$25:$L2585),"")</f>
        <v/>
      </c>
      <c r="N2585" s="10"/>
      <c r="O2585" s="10"/>
      <c r="P2585" s="65"/>
      <c r="Q2585" s="10"/>
      <c r="R2585" s="10"/>
      <c r="S2585" s="54" t="str">
        <f t="shared" si="126"/>
        <v/>
      </c>
      <c r="T2585" s="54" t="str">
        <f t="shared" si="127"/>
        <v/>
      </c>
      <c r="U2585" s="58" t="str">
        <f t="shared" si="128"/>
        <v/>
      </c>
      <c r="V2585" s="58">
        <f>IF(AND($B2585&lt;&gt;"",$F2585&lt;&gt;"",$F2585=项目明细账!$C$2),N(V2584)+1,N(V2584))</f>
        <v>0</v>
      </c>
      <c r="W2585" s="63" t="str">
        <f>IF($H2585&lt;&gt;"","项目成本",IFERROR(INDEX(基础资料!$W$4:$W$49,MATCH($I2585,基础资料!$V$4:$V$49,0)),""))</f>
        <v/>
      </c>
      <c r="X2585" s="63" t="str">
        <f>IFERROR(INDEX(基础资料!$R$4:$R$17,MATCH($G2585,基础资料!$Q$4:$Q$17,0)),"")</f>
        <v/>
      </c>
    </row>
    <row r="2586" spans="1:24">
      <c r="A2586" s="58" t="str">
        <f>IF($B2586="","",COUNTA($B$5:$B2586))</f>
        <v/>
      </c>
      <c r="B2586" s="53"/>
      <c r="C2586" s="46"/>
      <c r="D2586" s="63" t="str">
        <f>IFERROR(INDEX(基础资料!$F$4:$F$23,MATCH($C2586,基础资料!$E$4:$E$23,0)),IF($C2586="","","未匹配账户"))</f>
        <v/>
      </c>
      <c r="E2586" s="39"/>
      <c r="F2586" s="10"/>
      <c r="G2586" s="10"/>
      <c r="H2586" s="10"/>
      <c r="I2586" s="10"/>
      <c r="J2586" s="10"/>
      <c r="K2586" s="25"/>
      <c r="L2586" s="25"/>
      <c r="M2586" s="25" t="str">
        <f>IFERROR(VLOOKUP($C2586,$C$5:$M$24,11,0)+SUMIF($C$25:$C2586,$C2586,$K$25:$K2586)-SUMIF($C$25:$C2586,$C2586,$L$25:$L2586),"")</f>
        <v/>
      </c>
      <c r="N2586" s="10"/>
      <c r="O2586" s="10"/>
      <c r="P2586" s="65"/>
      <c r="Q2586" s="10"/>
      <c r="R2586" s="10"/>
      <c r="S2586" s="54" t="str">
        <f t="shared" si="126"/>
        <v/>
      </c>
      <c r="T2586" s="54" t="str">
        <f t="shared" si="127"/>
        <v/>
      </c>
      <c r="U2586" s="58" t="str">
        <f t="shared" si="128"/>
        <v/>
      </c>
      <c r="V2586" s="58">
        <f>IF(AND($B2586&lt;&gt;"",$F2586&lt;&gt;"",$F2586=项目明细账!$C$2),N(V2585)+1,N(V2585))</f>
        <v>0</v>
      </c>
      <c r="W2586" s="63" t="str">
        <f>IF($H2586&lt;&gt;"","项目成本",IFERROR(INDEX(基础资料!$W$4:$W$49,MATCH($I2586,基础资料!$V$4:$V$49,0)),""))</f>
        <v/>
      </c>
      <c r="X2586" s="63" t="str">
        <f>IFERROR(INDEX(基础资料!$R$4:$R$17,MATCH($G2586,基础资料!$Q$4:$Q$17,0)),"")</f>
        <v/>
      </c>
    </row>
    <row r="2587" spans="1:24">
      <c r="A2587" s="58" t="str">
        <f>IF($B2587="","",COUNTA($B$5:$B2587))</f>
        <v/>
      </c>
      <c r="B2587" s="53"/>
      <c r="C2587" s="46"/>
      <c r="D2587" s="63" t="str">
        <f>IFERROR(INDEX(基础资料!$F$4:$F$23,MATCH($C2587,基础资料!$E$4:$E$23,0)),IF($C2587="","","未匹配账户"))</f>
        <v/>
      </c>
      <c r="E2587" s="39"/>
      <c r="F2587" s="10"/>
      <c r="G2587" s="10"/>
      <c r="H2587" s="10"/>
      <c r="I2587" s="10"/>
      <c r="J2587" s="10"/>
      <c r="K2587" s="25"/>
      <c r="L2587" s="25"/>
      <c r="M2587" s="25" t="str">
        <f>IFERROR(VLOOKUP($C2587,$C$5:$M$24,11,0)+SUMIF($C$25:$C2587,$C2587,$K$25:$K2587)-SUMIF($C$25:$C2587,$C2587,$L$25:$L2587),"")</f>
        <v/>
      </c>
      <c r="N2587" s="10"/>
      <c r="O2587" s="10"/>
      <c r="P2587" s="65"/>
      <c r="Q2587" s="10"/>
      <c r="R2587" s="10"/>
      <c r="S2587" s="54" t="str">
        <f t="shared" si="126"/>
        <v/>
      </c>
      <c r="T2587" s="54" t="str">
        <f t="shared" si="127"/>
        <v/>
      </c>
      <c r="U2587" s="58" t="str">
        <f t="shared" si="128"/>
        <v/>
      </c>
      <c r="V2587" s="58">
        <f>IF(AND($B2587&lt;&gt;"",$F2587&lt;&gt;"",$F2587=项目明细账!$C$2),N(V2586)+1,N(V2586))</f>
        <v>0</v>
      </c>
      <c r="W2587" s="63" t="str">
        <f>IF($H2587&lt;&gt;"","项目成本",IFERROR(INDEX(基础资料!$W$4:$W$49,MATCH($I2587,基础资料!$V$4:$V$49,0)),""))</f>
        <v/>
      </c>
      <c r="X2587" s="63" t="str">
        <f>IFERROR(INDEX(基础资料!$R$4:$R$17,MATCH($G2587,基础资料!$Q$4:$Q$17,0)),"")</f>
        <v/>
      </c>
    </row>
    <row r="2588" spans="1:24">
      <c r="A2588" s="58" t="str">
        <f>IF($B2588="","",COUNTA($B$5:$B2588))</f>
        <v/>
      </c>
      <c r="B2588" s="53"/>
      <c r="C2588" s="46"/>
      <c r="D2588" s="63" t="str">
        <f>IFERROR(INDEX(基础资料!$F$4:$F$23,MATCH($C2588,基础资料!$E$4:$E$23,0)),IF($C2588="","","未匹配账户"))</f>
        <v/>
      </c>
      <c r="E2588" s="39"/>
      <c r="F2588" s="10"/>
      <c r="G2588" s="10"/>
      <c r="H2588" s="10"/>
      <c r="I2588" s="10"/>
      <c r="J2588" s="10"/>
      <c r="K2588" s="25"/>
      <c r="L2588" s="25"/>
      <c r="M2588" s="25" t="str">
        <f>IFERROR(VLOOKUP($C2588,$C$5:$M$24,11,0)+SUMIF($C$25:$C2588,$C2588,$K$25:$K2588)-SUMIF($C$25:$C2588,$C2588,$L$25:$L2588),"")</f>
        <v/>
      </c>
      <c r="N2588" s="10"/>
      <c r="O2588" s="10"/>
      <c r="P2588" s="65"/>
      <c r="Q2588" s="10"/>
      <c r="R2588" s="10"/>
      <c r="S2588" s="54" t="str">
        <f t="shared" si="126"/>
        <v/>
      </c>
      <c r="T2588" s="54" t="str">
        <f t="shared" si="127"/>
        <v/>
      </c>
      <c r="U2588" s="58" t="str">
        <f t="shared" si="128"/>
        <v/>
      </c>
      <c r="V2588" s="58">
        <f>IF(AND($B2588&lt;&gt;"",$F2588&lt;&gt;"",$F2588=项目明细账!$C$2),N(V2587)+1,N(V2587))</f>
        <v>0</v>
      </c>
      <c r="W2588" s="63" t="str">
        <f>IF($H2588&lt;&gt;"","项目成本",IFERROR(INDEX(基础资料!$W$4:$W$49,MATCH($I2588,基础资料!$V$4:$V$49,0)),""))</f>
        <v/>
      </c>
      <c r="X2588" s="63" t="str">
        <f>IFERROR(INDEX(基础资料!$R$4:$R$17,MATCH($G2588,基础资料!$Q$4:$Q$17,0)),"")</f>
        <v/>
      </c>
    </row>
    <row r="2589" spans="1:24">
      <c r="A2589" s="58" t="str">
        <f>IF($B2589="","",COUNTA($B$5:$B2589))</f>
        <v/>
      </c>
      <c r="B2589" s="53"/>
      <c r="C2589" s="46"/>
      <c r="D2589" s="63" t="str">
        <f>IFERROR(INDEX(基础资料!$F$4:$F$23,MATCH($C2589,基础资料!$E$4:$E$23,0)),IF($C2589="","","未匹配账户"))</f>
        <v/>
      </c>
      <c r="E2589" s="39"/>
      <c r="F2589" s="10"/>
      <c r="G2589" s="10"/>
      <c r="H2589" s="10"/>
      <c r="I2589" s="10"/>
      <c r="J2589" s="10"/>
      <c r="K2589" s="25"/>
      <c r="L2589" s="25"/>
      <c r="M2589" s="25" t="str">
        <f>IFERROR(VLOOKUP($C2589,$C$5:$M$24,11,0)+SUMIF($C$25:$C2589,$C2589,$K$25:$K2589)-SUMIF($C$25:$C2589,$C2589,$L$25:$L2589),"")</f>
        <v/>
      </c>
      <c r="N2589" s="10"/>
      <c r="O2589" s="10"/>
      <c r="P2589" s="65"/>
      <c r="Q2589" s="10"/>
      <c r="R2589" s="10"/>
      <c r="S2589" s="54" t="str">
        <f t="shared" si="126"/>
        <v/>
      </c>
      <c r="T2589" s="54" t="str">
        <f t="shared" si="127"/>
        <v/>
      </c>
      <c r="U2589" s="58" t="str">
        <f t="shared" si="128"/>
        <v/>
      </c>
      <c r="V2589" s="58">
        <f>IF(AND($B2589&lt;&gt;"",$F2589&lt;&gt;"",$F2589=项目明细账!$C$2),N(V2588)+1,N(V2588))</f>
        <v>0</v>
      </c>
      <c r="W2589" s="63" t="str">
        <f>IF($H2589&lt;&gt;"","项目成本",IFERROR(INDEX(基础资料!$W$4:$W$49,MATCH($I2589,基础资料!$V$4:$V$49,0)),""))</f>
        <v/>
      </c>
      <c r="X2589" s="63" t="str">
        <f>IFERROR(INDEX(基础资料!$R$4:$R$17,MATCH($G2589,基础资料!$Q$4:$Q$17,0)),"")</f>
        <v/>
      </c>
    </row>
    <row r="2590" spans="1:24">
      <c r="A2590" s="58" t="str">
        <f>IF($B2590="","",COUNTA($B$5:$B2590))</f>
        <v/>
      </c>
      <c r="B2590" s="53"/>
      <c r="C2590" s="46"/>
      <c r="D2590" s="63" t="str">
        <f>IFERROR(INDEX(基础资料!$F$4:$F$23,MATCH($C2590,基础资料!$E$4:$E$23,0)),IF($C2590="","","未匹配账户"))</f>
        <v/>
      </c>
      <c r="E2590" s="39"/>
      <c r="F2590" s="10"/>
      <c r="G2590" s="10"/>
      <c r="H2590" s="10"/>
      <c r="I2590" s="10"/>
      <c r="J2590" s="10"/>
      <c r="K2590" s="25"/>
      <c r="L2590" s="25"/>
      <c r="M2590" s="25" t="str">
        <f>IFERROR(VLOOKUP($C2590,$C$5:$M$24,11,0)+SUMIF($C$25:$C2590,$C2590,$K$25:$K2590)-SUMIF($C$25:$C2590,$C2590,$L$25:$L2590),"")</f>
        <v/>
      </c>
      <c r="N2590" s="10"/>
      <c r="O2590" s="10"/>
      <c r="P2590" s="65"/>
      <c r="Q2590" s="10"/>
      <c r="R2590" s="10"/>
      <c r="S2590" s="54" t="str">
        <f t="shared" si="126"/>
        <v/>
      </c>
      <c r="T2590" s="54" t="str">
        <f t="shared" si="127"/>
        <v/>
      </c>
      <c r="U2590" s="58" t="str">
        <f t="shared" si="128"/>
        <v/>
      </c>
      <c r="V2590" s="58">
        <f>IF(AND($B2590&lt;&gt;"",$F2590&lt;&gt;"",$F2590=项目明细账!$C$2),N(V2589)+1,N(V2589))</f>
        <v>0</v>
      </c>
      <c r="W2590" s="63" t="str">
        <f>IF($H2590&lt;&gt;"","项目成本",IFERROR(INDEX(基础资料!$W$4:$W$49,MATCH($I2590,基础资料!$V$4:$V$49,0)),""))</f>
        <v/>
      </c>
      <c r="X2590" s="63" t="str">
        <f>IFERROR(INDEX(基础资料!$R$4:$R$17,MATCH($G2590,基础资料!$Q$4:$Q$17,0)),"")</f>
        <v/>
      </c>
    </row>
    <row r="2591" spans="1:24">
      <c r="A2591" s="58" t="str">
        <f>IF($B2591="","",COUNTA($B$5:$B2591))</f>
        <v/>
      </c>
      <c r="B2591" s="53"/>
      <c r="C2591" s="46"/>
      <c r="D2591" s="63" t="str">
        <f>IFERROR(INDEX(基础资料!$F$4:$F$23,MATCH($C2591,基础资料!$E$4:$E$23,0)),IF($C2591="","","未匹配账户"))</f>
        <v/>
      </c>
      <c r="E2591" s="39"/>
      <c r="F2591" s="10"/>
      <c r="G2591" s="10"/>
      <c r="H2591" s="10"/>
      <c r="I2591" s="10"/>
      <c r="J2591" s="10"/>
      <c r="K2591" s="25"/>
      <c r="L2591" s="25"/>
      <c r="M2591" s="25" t="str">
        <f>IFERROR(VLOOKUP($C2591,$C$5:$M$24,11,0)+SUMIF($C$25:$C2591,$C2591,$K$25:$K2591)-SUMIF($C$25:$C2591,$C2591,$L$25:$L2591),"")</f>
        <v/>
      </c>
      <c r="N2591" s="10"/>
      <c r="O2591" s="10"/>
      <c r="P2591" s="65"/>
      <c r="Q2591" s="10"/>
      <c r="R2591" s="10"/>
      <c r="S2591" s="54" t="str">
        <f t="shared" si="126"/>
        <v/>
      </c>
      <c r="T2591" s="54" t="str">
        <f t="shared" si="127"/>
        <v/>
      </c>
      <c r="U2591" s="58" t="str">
        <f t="shared" si="128"/>
        <v/>
      </c>
      <c r="V2591" s="58">
        <f>IF(AND($B2591&lt;&gt;"",$F2591&lt;&gt;"",$F2591=项目明细账!$C$2),N(V2590)+1,N(V2590))</f>
        <v>0</v>
      </c>
      <c r="W2591" s="63" t="str">
        <f>IF($H2591&lt;&gt;"","项目成本",IFERROR(INDEX(基础资料!$W$4:$W$49,MATCH($I2591,基础资料!$V$4:$V$49,0)),""))</f>
        <v/>
      </c>
      <c r="X2591" s="63" t="str">
        <f>IFERROR(INDEX(基础资料!$R$4:$R$17,MATCH($G2591,基础资料!$Q$4:$Q$17,0)),"")</f>
        <v/>
      </c>
    </row>
    <row r="2592" spans="1:24">
      <c r="A2592" s="58" t="str">
        <f>IF($B2592="","",COUNTA($B$5:$B2592))</f>
        <v/>
      </c>
      <c r="B2592" s="53"/>
      <c r="C2592" s="46"/>
      <c r="D2592" s="63" t="str">
        <f>IFERROR(INDEX(基础资料!$F$4:$F$23,MATCH($C2592,基础资料!$E$4:$E$23,0)),IF($C2592="","","未匹配账户"))</f>
        <v/>
      </c>
      <c r="E2592" s="39"/>
      <c r="F2592" s="10"/>
      <c r="G2592" s="10"/>
      <c r="H2592" s="10"/>
      <c r="I2592" s="10"/>
      <c r="J2592" s="10"/>
      <c r="K2592" s="25"/>
      <c r="L2592" s="25"/>
      <c r="M2592" s="25" t="str">
        <f>IFERROR(VLOOKUP($C2592,$C$5:$M$24,11,0)+SUMIF($C$25:$C2592,$C2592,$K$25:$K2592)-SUMIF($C$25:$C2592,$C2592,$L$25:$L2592),"")</f>
        <v/>
      </c>
      <c r="N2592" s="10"/>
      <c r="O2592" s="10"/>
      <c r="P2592" s="65"/>
      <c r="Q2592" s="10"/>
      <c r="R2592" s="10"/>
      <c r="S2592" s="54" t="str">
        <f t="shared" si="126"/>
        <v/>
      </c>
      <c r="T2592" s="54" t="str">
        <f t="shared" si="127"/>
        <v/>
      </c>
      <c r="U2592" s="58" t="str">
        <f t="shared" si="128"/>
        <v/>
      </c>
      <c r="V2592" s="58">
        <f>IF(AND($B2592&lt;&gt;"",$F2592&lt;&gt;"",$F2592=项目明细账!$C$2),N(V2591)+1,N(V2591))</f>
        <v>0</v>
      </c>
      <c r="W2592" s="63" t="str">
        <f>IF($H2592&lt;&gt;"","项目成本",IFERROR(INDEX(基础资料!$W$4:$W$49,MATCH($I2592,基础资料!$V$4:$V$49,0)),""))</f>
        <v/>
      </c>
      <c r="X2592" s="63" t="str">
        <f>IFERROR(INDEX(基础资料!$R$4:$R$17,MATCH($G2592,基础资料!$Q$4:$Q$17,0)),"")</f>
        <v/>
      </c>
    </row>
    <row r="2593" spans="1:24">
      <c r="A2593" s="58" t="str">
        <f>IF($B2593="","",COUNTA($B$5:$B2593))</f>
        <v/>
      </c>
      <c r="B2593" s="53"/>
      <c r="C2593" s="46"/>
      <c r="D2593" s="63" t="str">
        <f>IFERROR(INDEX(基础资料!$F$4:$F$23,MATCH($C2593,基础资料!$E$4:$E$23,0)),IF($C2593="","","未匹配账户"))</f>
        <v/>
      </c>
      <c r="E2593" s="39"/>
      <c r="F2593" s="10"/>
      <c r="G2593" s="10"/>
      <c r="H2593" s="10"/>
      <c r="I2593" s="10"/>
      <c r="J2593" s="10"/>
      <c r="K2593" s="25"/>
      <c r="L2593" s="25"/>
      <c r="M2593" s="25" t="str">
        <f>IFERROR(VLOOKUP($C2593,$C$5:$M$24,11,0)+SUMIF($C$25:$C2593,$C2593,$K$25:$K2593)-SUMIF($C$25:$C2593,$C2593,$L$25:$L2593),"")</f>
        <v/>
      </c>
      <c r="N2593" s="10"/>
      <c r="O2593" s="10"/>
      <c r="P2593" s="65"/>
      <c r="Q2593" s="10"/>
      <c r="R2593" s="10"/>
      <c r="S2593" s="54" t="str">
        <f t="shared" si="126"/>
        <v/>
      </c>
      <c r="T2593" s="54" t="str">
        <f t="shared" si="127"/>
        <v/>
      </c>
      <c r="U2593" s="58" t="str">
        <f t="shared" si="128"/>
        <v/>
      </c>
      <c r="V2593" s="58">
        <f>IF(AND($B2593&lt;&gt;"",$F2593&lt;&gt;"",$F2593=项目明细账!$C$2),N(V2592)+1,N(V2592))</f>
        <v>0</v>
      </c>
      <c r="W2593" s="63" t="str">
        <f>IF($H2593&lt;&gt;"","项目成本",IFERROR(INDEX(基础资料!$W$4:$W$49,MATCH($I2593,基础资料!$V$4:$V$49,0)),""))</f>
        <v/>
      </c>
      <c r="X2593" s="63" t="str">
        <f>IFERROR(INDEX(基础资料!$R$4:$R$17,MATCH($G2593,基础资料!$Q$4:$Q$17,0)),"")</f>
        <v/>
      </c>
    </row>
    <row r="2594" spans="1:24">
      <c r="A2594" s="58" t="str">
        <f>IF($B2594="","",COUNTA($B$5:$B2594))</f>
        <v/>
      </c>
      <c r="B2594" s="53"/>
      <c r="C2594" s="46"/>
      <c r="D2594" s="63" t="str">
        <f>IFERROR(INDEX(基础资料!$F$4:$F$23,MATCH($C2594,基础资料!$E$4:$E$23,0)),IF($C2594="","","未匹配账户"))</f>
        <v/>
      </c>
      <c r="E2594" s="39"/>
      <c r="F2594" s="10"/>
      <c r="G2594" s="10"/>
      <c r="H2594" s="10"/>
      <c r="I2594" s="10"/>
      <c r="J2594" s="10"/>
      <c r="K2594" s="25"/>
      <c r="L2594" s="25"/>
      <c r="M2594" s="25" t="str">
        <f>IFERROR(VLOOKUP($C2594,$C$5:$M$24,11,0)+SUMIF($C$25:$C2594,$C2594,$K$25:$K2594)-SUMIF($C$25:$C2594,$C2594,$L$25:$L2594),"")</f>
        <v/>
      </c>
      <c r="N2594" s="10"/>
      <c r="O2594" s="10"/>
      <c r="P2594" s="65"/>
      <c r="Q2594" s="10"/>
      <c r="R2594" s="10"/>
      <c r="S2594" s="54" t="str">
        <f t="shared" si="126"/>
        <v/>
      </c>
      <c r="T2594" s="54" t="str">
        <f t="shared" si="127"/>
        <v/>
      </c>
      <c r="U2594" s="58" t="str">
        <f t="shared" si="128"/>
        <v/>
      </c>
      <c r="V2594" s="58">
        <f>IF(AND($B2594&lt;&gt;"",$F2594&lt;&gt;"",$F2594=项目明细账!$C$2),N(V2593)+1,N(V2593))</f>
        <v>0</v>
      </c>
      <c r="W2594" s="63" t="str">
        <f>IF($H2594&lt;&gt;"","项目成本",IFERROR(INDEX(基础资料!$W$4:$W$49,MATCH($I2594,基础资料!$V$4:$V$49,0)),""))</f>
        <v/>
      </c>
      <c r="X2594" s="63" t="str">
        <f>IFERROR(INDEX(基础资料!$R$4:$R$17,MATCH($G2594,基础资料!$Q$4:$Q$17,0)),"")</f>
        <v/>
      </c>
    </row>
    <row r="2595" spans="1:24">
      <c r="A2595" s="58" t="str">
        <f>IF($B2595="","",COUNTA($B$5:$B2595))</f>
        <v/>
      </c>
      <c r="B2595" s="53"/>
      <c r="C2595" s="46"/>
      <c r="D2595" s="63" t="str">
        <f>IFERROR(INDEX(基础资料!$F$4:$F$23,MATCH($C2595,基础资料!$E$4:$E$23,0)),IF($C2595="","","未匹配账户"))</f>
        <v/>
      </c>
      <c r="E2595" s="39"/>
      <c r="F2595" s="10"/>
      <c r="G2595" s="10"/>
      <c r="H2595" s="10"/>
      <c r="I2595" s="10"/>
      <c r="J2595" s="10"/>
      <c r="K2595" s="25"/>
      <c r="L2595" s="25"/>
      <c r="M2595" s="25" t="str">
        <f>IFERROR(VLOOKUP($C2595,$C$5:$M$24,11,0)+SUMIF($C$25:$C2595,$C2595,$K$25:$K2595)-SUMIF($C$25:$C2595,$C2595,$L$25:$L2595),"")</f>
        <v/>
      </c>
      <c r="N2595" s="10"/>
      <c r="O2595" s="10"/>
      <c r="P2595" s="65"/>
      <c r="Q2595" s="10"/>
      <c r="R2595" s="10"/>
      <c r="S2595" s="54" t="str">
        <f t="shared" si="126"/>
        <v/>
      </c>
      <c r="T2595" s="54" t="str">
        <f t="shared" si="127"/>
        <v/>
      </c>
      <c r="U2595" s="58" t="str">
        <f t="shared" si="128"/>
        <v/>
      </c>
      <c r="V2595" s="58">
        <f>IF(AND($B2595&lt;&gt;"",$F2595&lt;&gt;"",$F2595=项目明细账!$C$2),N(V2594)+1,N(V2594))</f>
        <v>0</v>
      </c>
      <c r="W2595" s="63" t="str">
        <f>IF($H2595&lt;&gt;"","项目成本",IFERROR(INDEX(基础资料!$W$4:$W$49,MATCH($I2595,基础资料!$V$4:$V$49,0)),""))</f>
        <v/>
      </c>
      <c r="X2595" s="63" t="str">
        <f>IFERROR(INDEX(基础资料!$R$4:$R$17,MATCH($G2595,基础资料!$Q$4:$Q$17,0)),"")</f>
        <v/>
      </c>
    </row>
    <row r="2596" spans="1:24">
      <c r="A2596" s="58" t="str">
        <f>IF($B2596="","",COUNTA($B$5:$B2596))</f>
        <v/>
      </c>
      <c r="B2596" s="53"/>
      <c r="C2596" s="46"/>
      <c r="D2596" s="63" t="str">
        <f>IFERROR(INDEX(基础资料!$F$4:$F$23,MATCH($C2596,基础资料!$E$4:$E$23,0)),IF($C2596="","","未匹配账户"))</f>
        <v/>
      </c>
      <c r="E2596" s="39"/>
      <c r="F2596" s="10"/>
      <c r="G2596" s="10"/>
      <c r="H2596" s="10"/>
      <c r="I2596" s="10"/>
      <c r="J2596" s="10"/>
      <c r="K2596" s="25"/>
      <c r="L2596" s="25"/>
      <c r="M2596" s="25" t="str">
        <f>IFERROR(VLOOKUP($C2596,$C$5:$M$24,11,0)+SUMIF($C$25:$C2596,$C2596,$K$25:$K2596)-SUMIF($C$25:$C2596,$C2596,$L$25:$L2596),"")</f>
        <v/>
      </c>
      <c r="N2596" s="10"/>
      <c r="O2596" s="10"/>
      <c r="P2596" s="65"/>
      <c r="Q2596" s="10"/>
      <c r="R2596" s="10"/>
      <c r="S2596" s="54" t="str">
        <f t="shared" si="126"/>
        <v/>
      </c>
      <c r="T2596" s="54" t="str">
        <f t="shared" si="127"/>
        <v/>
      </c>
      <c r="U2596" s="58" t="str">
        <f t="shared" si="128"/>
        <v/>
      </c>
      <c r="V2596" s="58">
        <f>IF(AND($B2596&lt;&gt;"",$F2596&lt;&gt;"",$F2596=项目明细账!$C$2),N(V2595)+1,N(V2595))</f>
        <v>0</v>
      </c>
      <c r="W2596" s="63" t="str">
        <f>IF($H2596&lt;&gt;"","项目成本",IFERROR(INDEX(基础资料!$W$4:$W$49,MATCH($I2596,基础资料!$V$4:$V$49,0)),""))</f>
        <v/>
      </c>
      <c r="X2596" s="63" t="str">
        <f>IFERROR(INDEX(基础资料!$R$4:$R$17,MATCH($G2596,基础资料!$Q$4:$Q$17,0)),"")</f>
        <v/>
      </c>
    </row>
    <row r="2597" spans="1:24">
      <c r="A2597" s="58" t="str">
        <f>IF($B2597="","",COUNTA($B$5:$B2597))</f>
        <v/>
      </c>
      <c r="B2597" s="53"/>
      <c r="C2597" s="46"/>
      <c r="D2597" s="63" t="str">
        <f>IFERROR(INDEX(基础资料!$F$4:$F$23,MATCH($C2597,基础资料!$E$4:$E$23,0)),IF($C2597="","","未匹配账户"))</f>
        <v/>
      </c>
      <c r="E2597" s="39"/>
      <c r="F2597" s="10"/>
      <c r="G2597" s="10"/>
      <c r="H2597" s="10"/>
      <c r="I2597" s="10"/>
      <c r="J2597" s="10"/>
      <c r="K2597" s="25"/>
      <c r="L2597" s="25"/>
      <c r="M2597" s="25" t="str">
        <f>IFERROR(VLOOKUP($C2597,$C$5:$M$24,11,0)+SUMIF($C$25:$C2597,$C2597,$K$25:$K2597)-SUMIF($C$25:$C2597,$C2597,$L$25:$L2597),"")</f>
        <v/>
      </c>
      <c r="N2597" s="10"/>
      <c r="O2597" s="10"/>
      <c r="P2597" s="65"/>
      <c r="Q2597" s="10"/>
      <c r="R2597" s="10"/>
      <c r="S2597" s="54" t="str">
        <f t="shared" si="126"/>
        <v/>
      </c>
      <c r="T2597" s="54" t="str">
        <f t="shared" si="127"/>
        <v/>
      </c>
      <c r="U2597" s="58" t="str">
        <f t="shared" si="128"/>
        <v/>
      </c>
      <c r="V2597" s="58">
        <f>IF(AND($B2597&lt;&gt;"",$F2597&lt;&gt;"",$F2597=项目明细账!$C$2),N(V2596)+1,N(V2596))</f>
        <v>0</v>
      </c>
      <c r="W2597" s="63" t="str">
        <f>IF($H2597&lt;&gt;"","项目成本",IFERROR(INDEX(基础资料!$W$4:$W$49,MATCH($I2597,基础资料!$V$4:$V$49,0)),""))</f>
        <v/>
      </c>
      <c r="X2597" s="63" t="str">
        <f>IFERROR(INDEX(基础资料!$R$4:$R$17,MATCH($G2597,基础资料!$Q$4:$Q$17,0)),"")</f>
        <v/>
      </c>
    </row>
    <row r="2598" spans="1:24">
      <c r="A2598" s="58" t="str">
        <f>IF($B2598="","",COUNTA($B$5:$B2598))</f>
        <v/>
      </c>
      <c r="B2598" s="53"/>
      <c r="C2598" s="46"/>
      <c r="D2598" s="63" t="str">
        <f>IFERROR(INDEX(基础资料!$F$4:$F$23,MATCH($C2598,基础资料!$E$4:$E$23,0)),IF($C2598="","","未匹配账户"))</f>
        <v/>
      </c>
      <c r="E2598" s="39"/>
      <c r="F2598" s="10"/>
      <c r="G2598" s="10"/>
      <c r="H2598" s="10"/>
      <c r="I2598" s="10"/>
      <c r="J2598" s="10"/>
      <c r="K2598" s="25"/>
      <c r="L2598" s="25"/>
      <c r="M2598" s="25" t="str">
        <f>IFERROR(VLOOKUP($C2598,$C$5:$M$24,11,0)+SUMIF($C$25:$C2598,$C2598,$K$25:$K2598)-SUMIF($C$25:$C2598,$C2598,$L$25:$L2598),"")</f>
        <v/>
      </c>
      <c r="N2598" s="10"/>
      <c r="O2598" s="10"/>
      <c r="P2598" s="65"/>
      <c r="Q2598" s="10"/>
      <c r="R2598" s="10"/>
      <c r="S2598" s="54" t="str">
        <f t="shared" si="126"/>
        <v/>
      </c>
      <c r="T2598" s="54" t="str">
        <f t="shared" si="127"/>
        <v/>
      </c>
      <c r="U2598" s="58" t="str">
        <f t="shared" si="128"/>
        <v/>
      </c>
      <c r="V2598" s="58">
        <f>IF(AND($B2598&lt;&gt;"",$F2598&lt;&gt;"",$F2598=项目明细账!$C$2),N(V2597)+1,N(V2597))</f>
        <v>0</v>
      </c>
      <c r="W2598" s="63" t="str">
        <f>IF($H2598&lt;&gt;"","项目成本",IFERROR(INDEX(基础资料!$W$4:$W$49,MATCH($I2598,基础资料!$V$4:$V$49,0)),""))</f>
        <v/>
      </c>
      <c r="X2598" s="63" t="str">
        <f>IFERROR(INDEX(基础资料!$R$4:$R$17,MATCH($G2598,基础资料!$Q$4:$Q$17,0)),"")</f>
        <v/>
      </c>
    </row>
    <row r="2599" spans="1:24">
      <c r="A2599" s="58" t="str">
        <f>IF($B2599="","",COUNTA($B$5:$B2599))</f>
        <v/>
      </c>
      <c r="B2599" s="53"/>
      <c r="C2599" s="46"/>
      <c r="D2599" s="63" t="str">
        <f>IFERROR(INDEX(基础资料!$F$4:$F$23,MATCH($C2599,基础资料!$E$4:$E$23,0)),IF($C2599="","","未匹配账户"))</f>
        <v/>
      </c>
      <c r="E2599" s="39"/>
      <c r="F2599" s="10"/>
      <c r="G2599" s="10"/>
      <c r="H2599" s="10"/>
      <c r="I2599" s="10"/>
      <c r="J2599" s="10"/>
      <c r="K2599" s="25"/>
      <c r="L2599" s="25"/>
      <c r="M2599" s="25" t="str">
        <f>IFERROR(VLOOKUP($C2599,$C$5:$M$24,11,0)+SUMIF($C$25:$C2599,$C2599,$K$25:$K2599)-SUMIF($C$25:$C2599,$C2599,$L$25:$L2599),"")</f>
        <v/>
      </c>
      <c r="N2599" s="10"/>
      <c r="O2599" s="10"/>
      <c r="P2599" s="65"/>
      <c r="Q2599" s="10"/>
      <c r="R2599" s="10"/>
      <c r="S2599" s="54" t="str">
        <f t="shared" si="126"/>
        <v/>
      </c>
      <c r="T2599" s="54" t="str">
        <f t="shared" si="127"/>
        <v/>
      </c>
      <c r="U2599" s="58" t="str">
        <f t="shared" si="128"/>
        <v/>
      </c>
      <c r="V2599" s="58">
        <f>IF(AND($B2599&lt;&gt;"",$F2599&lt;&gt;"",$F2599=项目明细账!$C$2),N(V2598)+1,N(V2598))</f>
        <v>0</v>
      </c>
      <c r="W2599" s="63" t="str">
        <f>IF($H2599&lt;&gt;"","项目成本",IFERROR(INDEX(基础资料!$W$4:$W$49,MATCH($I2599,基础资料!$V$4:$V$49,0)),""))</f>
        <v/>
      </c>
      <c r="X2599" s="63" t="str">
        <f>IFERROR(INDEX(基础资料!$R$4:$R$17,MATCH($G2599,基础资料!$Q$4:$Q$17,0)),"")</f>
        <v/>
      </c>
    </row>
    <row r="2600" spans="1:24">
      <c r="A2600" s="58" t="str">
        <f>IF($B2600="","",COUNTA($B$5:$B2600))</f>
        <v/>
      </c>
      <c r="B2600" s="53"/>
      <c r="C2600" s="46"/>
      <c r="D2600" s="63" t="str">
        <f>IFERROR(INDEX(基础资料!$F$4:$F$23,MATCH($C2600,基础资料!$E$4:$E$23,0)),IF($C2600="","","未匹配账户"))</f>
        <v/>
      </c>
      <c r="E2600" s="39"/>
      <c r="F2600" s="10"/>
      <c r="G2600" s="10"/>
      <c r="H2600" s="10"/>
      <c r="I2600" s="10"/>
      <c r="J2600" s="10"/>
      <c r="K2600" s="25"/>
      <c r="L2600" s="25"/>
      <c r="M2600" s="25" t="str">
        <f>IFERROR(VLOOKUP($C2600,$C$5:$M$24,11,0)+SUMIF($C$25:$C2600,$C2600,$K$25:$K2600)-SUMIF($C$25:$C2600,$C2600,$L$25:$L2600),"")</f>
        <v/>
      </c>
      <c r="N2600" s="10"/>
      <c r="O2600" s="10"/>
      <c r="P2600" s="65"/>
      <c r="Q2600" s="10"/>
      <c r="R2600" s="10"/>
      <c r="S2600" s="54" t="str">
        <f t="shared" si="126"/>
        <v/>
      </c>
      <c r="T2600" s="54" t="str">
        <f t="shared" si="127"/>
        <v/>
      </c>
      <c r="U2600" s="58" t="str">
        <f t="shared" si="128"/>
        <v/>
      </c>
      <c r="V2600" s="58">
        <f>IF(AND($B2600&lt;&gt;"",$F2600&lt;&gt;"",$F2600=项目明细账!$C$2),N(V2599)+1,N(V2599))</f>
        <v>0</v>
      </c>
      <c r="W2600" s="63" t="str">
        <f>IF($H2600&lt;&gt;"","项目成本",IFERROR(INDEX(基础资料!$W$4:$W$49,MATCH($I2600,基础资料!$V$4:$V$49,0)),""))</f>
        <v/>
      </c>
      <c r="X2600" s="63" t="str">
        <f>IFERROR(INDEX(基础资料!$R$4:$R$17,MATCH($G2600,基础资料!$Q$4:$Q$17,0)),"")</f>
        <v/>
      </c>
    </row>
    <row r="2601" spans="1:24">
      <c r="A2601" s="58" t="str">
        <f>IF($B2601="","",COUNTA($B$5:$B2601))</f>
        <v/>
      </c>
      <c r="B2601" s="53"/>
      <c r="C2601" s="46"/>
      <c r="D2601" s="63" t="str">
        <f>IFERROR(INDEX(基础资料!$F$4:$F$23,MATCH($C2601,基础资料!$E$4:$E$23,0)),IF($C2601="","","未匹配账户"))</f>
        <v/>
      </c>
      <c r="E2601" s="39"/>
      <c r="F2601" s="10"/>
      <c r="G2601" s="10"/>
      <c r="H2601" s="10"/>
      <c r="I2601" s="10"/>
      <c r="J2601" s="10"/>
      <c r="K2601" s="25"/>
      <c r="L2601" s="25"/>
      <c r="M2601" s="25" t="str">
        <f>IFERROR(VLOOKUP($C2601,$C$5:$M$24,11,0)+SUMIF($C$25:$C2601,$C2601,$K$25:$K2601)-SUMIF($C$25:$C2601,$C2601,$L$25:$L2601),"")</f>
        <v/>
      </c>
      <c r="N2601" s="10"/>
      <c r="O2601" s="10"/>
      <c r="P2601" s="65"/>
      <c r="Q2601" s="10"/>
      <c r="R2601" s="10"/>
      <c r="S2601" s="54" t="str">
        <f t="shared" si="126"/>
        <v/>
      </c>
      <c r="T2601" s="54" t="str">
        <f t="shared" si="127"/>
        <v/>
      </c>
      <c r="U2601" s="58" t="str">
        <f t="shared" si="128"/>
        <v/>
      </c>
      <c r="V2601" s="58">
        <f>IF(AND($B2601&lt;&gt;"",$F2601&lt;&gt;"",$F2601=项目明细账!$C$2),N(V2600)+1,N(V2600))</f>
        <v>0</v>
      </c>
      <c r="W2601" s="63" t="str">
        <f>IF($H2601&lt;&gt;"","项目成本",IFERROR(INDEX(基础资料!$W$4:$W$49,MATCH($I2601,基础资料!$V$4:$V$49,0)),""))</f>
        <v/>
      </c>
      <c r="X2601" s="63" t="str">
        <f>IFERROR(INDEX(基础资料!$R$4:$R$17,MATCH($G2601,基础资料!$Q$4:$Q$17,0)),"")</f>
        <v/>
      </c>
    </row>
    <row r="2602" spans="1:24">
      <c r="A2602" s="58" t="str">
        <f>IF($B2602="","",COUNTA($B$5:$B2602))</f>
        <v/>
      </c>
      <c r="B2602" s="53"/>
      <c r="C2602" s="46"/>
      <c r="D2602" s="63" t="str">
        <f>IFERROR(INDEX(基础资料!$F$4:$F$23,MATCH($C2602,基础资料!$E$4:$E$23,0)),IF($C2602="","","未匹配账户"))</f>
        <v/>
      </c>
      <c r="E2602" s="39"/>
      <c r="F2602" s="10"/>
      <c r="G2602" s="10"/>
      <c r="H2602" s="10"/>
      <c r="I2602" s="10"/>
      <c r="J2602" s="10"/>
      <c r="K2602" s="25"/>
      <c r="L2602" s="25"/>
      <c r="M2602" s="25" t="str">
        <f>IFERROR(VLOOKUP($C2602,$C$5:$M$24,11,0)+SUMIF($C$25:$C2602,$C2602,$K$25:$K2602)-SUMIF($C$25:$C2602,$C2602,$L$25:$L2602),"")</f>
        <v/>
      </c>
      <c r="N2602" s="10"/>
      <c r="O2602" s="10"/>
      <c r="P2602" s="65"/>
      <c r="Q2602" s="10"/>
      <c r="R2602" s="10"/>
      <c r="S2602" s="54" t="str">
        <f t="shared" si="126"/>
        <v/>
      </c>
      <c r="T2602" s="54" t="str">
        <f t="shared" si="127"/>
        <v/>
      </c>
      <c r="U2602" s="58" t="str">
        <f t="shared" si="128"/>
        <v/>
      </c>
      <c r="V2602" s="58">
        <f>IF(AND($B2602&lt;&gt;"",$F2602&lt;&gt;"",$F2602=项目明细账!$C$2),N(V2601)+1,N(V2601))</f>
        <v>0</v>
      </c>
      <c r="W2602" s="63" t="str">
        <f>IF($H2602&lt;&gt;"","项目成本",IFERROR(INDEX(基础资料!$W$4:$W$49,MATCH($I2602,基础资料!$V$4:$V$49,0)),""))</f>
        <v/>
      </c>
      <c r="X2602" s="63" t="str">
        <f>IFERROR(INDEX(基础资料!$R$4:$R$17,MATCH($G2602,基础资料!$Q$4:$Q$17,0)),"")</f>
        <v/>
      </c>
    </row>
    <row r="2603" spans="1:24">
      <c r="A2603" s="58" t="str">
        <f>IF($B2603="","",COUNTA($B$5:$B2603))</f>
        <v/>
      </c>
      <c r="B2603" s="53"/>
      <c r="C2603" s="46"/>
      <c r="D2603" s="63" t="str">
        <f>IFERROR(INDEX(基础资料!$F$4:$F$23,MATCH($C2603,基础资料!$E$4:$E$23,0)),IF($C2603="","","未匹配账户"))</f>
        <v/>
      </c>
      <c r="E2603" s="39"/>
      <c r="F2603" s="10"/>
      <c r="G2603" s="10"/>
      <c r="H2603" s="10"/>
      <c r="I2603" s="10"/>
      <c r="J2603" s="10"/>
      <c r="K2603" s="25"/>
      <c r="L2603" s="25"/>
      <c r="M2603" s="25" t="str">
        <f>IFERROR(VLOOKUP($C2603,$C$5:$M$24,11,0)+SUMIF($C$25:$C2603,$C2603,$K$25:$K2603)-SUMIF($C$25:$C2603,$C2603,$L$25:$L2603),"")</f>
        <v/>
      </c>
      <c r="N2603" s="10"/>
      <c r="O2603" s="10"/>
      <c r="P2603" s="65"/>
      <c r="Q2603" s="10"/>
      <c r="R2603" s="10"/>
      <c r="S2603" s="54" t="str">
        <f t="shared" si="126"/>
        <v/>
      </c>
      <c r="T2603" s="54" t="str">
        <f t="shared" si="127"/>
        <v/>
      </c>
      <c r="U2603" s="58" t="str">
        <f t="shared" si="128"/>
        <v/>
      </c>
      <c r="V2603" s="58">
        <f>IF(AND($B2603&lt;&gt;"",$F2603&lt;&gt;"",$F2603=项目明细账!$C$2),N(V2602)+1,N(V2602))</f>
        <v>0</v>
      </c>
      <c r="W2603" s="63" t="str">
        <f>IF($H2603&lt;&gt;"","项目成本",IFERROR(INDEX(基础资料!$W$4:$W$49,MATCH($I2603,基础资料!$V$4:$V$49,0)),""))</f>
        <v/>
      </c>
      <c r="X2603" s="63" t="str">
        <f>IFERROR(INDEX(基础资料!$R$4:$R$17,MATCH($G2603,基础资料!$Q$4:$Q$17,0)),"")</f>
        <v/>
      </c>
    </row>
    <row r="2604" spans="1:24">
      <c r="A2604" s="58" t="str">
        <f>IF($B2604="","",COUNTA($B$5:$B2604))</f>
        <v/>
      </c>
      <c r="B2604" s="53"/>
      <c r="C2604" s="46"/>
      <c r="D2604" s="63" t="str">
        <f>IFERROR(INDEX(基础资料!$F$4:$F$23,MATCH($C2604,基础资料!$E$4:$E$23,0)),IF($C2604="","","未匹配账户"))</f>
        <v/>
      </c>
      <c r="E2604" s="39"/>
      <c r="F2604" s="10"/>
      <c r="G2604" s="10"/>
      <c r="H2604" s="10"/>
      <c r="I2604" s="10"/>
      <c r="J2604" s="10"/>
      <c r="K2604" s="25"/>
      <c r="L2604" s="25"/>
      <c r="M2604" s="25" t="str">
        <f>IFERROR(VLOOKUP($C2604,$C$5:$M$24,11,0)+SUMIF($C$25:$C2604,$C2604,$K$25:$K2604)-SUMIF($C$25:$C2604,$C2604,$L$25:$L2604),"")</f>
        <v/>
      </c>
      <c r="N2604" s="10"/>
      <c r="O2604" s="10"/>
      <c r="P2604" s="65"/>
      <c r="Q2604" s="10"/>
      <c r="R2604" s="10"/>
      <c r="S2604" s="54" t="str">
        <f t="shared" si="126"/>
        <v/>
      </c>
      <c r="T2604" s="54" t="str">
        <f t="shared" si="127"/>
        <v/>
      </c>
      <c r="U2604" s="58" t="str">
        <f t="shared" si="128"/>
        <v/>
      </c>
      <c r="V2604" s="58">
        <f>IF(AND($B2604&lt;&gt;"",$F2604&lt;&gt;"",$F2604=项目明细账!$C$2),N(V2603)+1,N(V2603))</f>
        <v>0</v>
      </c>
      <c r="W2604" s="63" t="str">
        <f>IF($H2604&lt;&gt;"","项目成本",IFERROR(INDEX(基础资料!$W$4:$W$49,MATCH($I2604,基础资料!$V$4:$V$49,0)),""))</f>
        <v/>
      </c>
      <c r="X2604" s="63" t="str">
        <f>IFERROR(INDEX(基础资料!$R$4:$R$17,MATCH($G2604,基础资料!$Q$4:$Q$17,0)),"")</f>
        <v/>
      </c>
    </row>
    <row r="2605" spans="1:24">
      <c r="A2605" s="58" t="str">
        <f>IF($B2605="","",COUNTA($B$5:$B2605))</f>
        <v/>
      </c>
      <c r="B2605" s="53"/>
      <c r="C2605" s="46"/>
      <c r="D2605" s="63" t="str">
        <f>IFERROR(INDEX(基础资料!$F$4:$F$23,MATCH($C2605,基础资料!$E$4:$E$23,0)),IF($C2605="","","未匹配账户"))</f>
        <v/>
      </c>
      <c r="E2605" s="39"/>
      <c r="F2605" s="10"/>
      <c r="G2605" s="10"/>
      <c r="H2605" s="10"/>
      <c r="I2605" s="10"/>
      <c r="J2605" s="10"/>
      <c r="K2605" s="25"/>
      <c r="L2605" s="25"/>
      <c r="M2605" s="25" t="str">
        <f>IFERROR(VLOOKUP($C2605,$C$5:$M$24,11,0)+SUMIF($C$25:$C2605,$C2605,$K$25:$K2605)-SUMIF($C$25:$C2605,$C2605,$L$25:$L2605),"")</f>
        <v/>
      </c>
      <c r="N2605" s="10"/>
      <c r="O2605" s="10"/>
      <c r="P2605" s="65"/>
      <c r="Q2605" s="10"/>
      <c r="R2605" s="10"/>
      <c r="S2605" s="54" t="str">
        <f t="shared" si="126"/>
        <v/>
      </c>
      <c r="T2605" s="54" t="str">
        <f t="shared" si="127"/>
        <v/>
      </c>
      <c r="U2605" s="58" t="str">
        <f t="shared" si="128"/>
        <v/>
      </c>
      <c r="V2605" s="58">
        <f>IF(AND($B2605&lt;&gt;"",$F2605&lt;&gt;"",$F2605=项目明细账!$C$2),N(V2604)+1,N(V2604))</f>
        <v>0</v>
      </c>
      <c r="W2605" s="63" t="str">
        <f>IF($H2605&lt;&gt;"","项目成本",IFERROR(INDEX(基础资料!$W$4:$W$49,MATCH($I2605,基础资料!$V$4:$V$49,0)),""))</f>
        <v/>
      </c>
      <c r="X2605" s="63" t="str">
        <f>IFERROR(INDEX(基础资料!$R$4:$R$17,MATCH($G2605,基础资料!$Q$4:$Q$17,0)),"")</f>
        <v/>
      </c>
    </row>
    <row r="2606" spans="1:24">
      <c r="A2606" s="58" t="str">
        <f>IF($B2606="","",COUNTA($B$5:$B2606))</f>
        <v/>
      </c>
      <c r="B2606" s="53"/>
      <c r="C2606" s="46"/>
      <c r="D2606" s="63" t="str">
        <f>IFERROR(INDEX(基础资料!$F$4:$F$23,MATCH($C2606,基础资料!$E$4:$E$23,0)),IF($C2606="","","未匹配账户"))</f>
        <v/>
      </c>
      <c r="E2606" s="39"/>
      <c r="F2606" s="10"/>
      <c r="G2606" s="10"/>
      <c r="H2606" s="10"/>
      <c r="I2606" s="10"/>
      <c r="J2606" s="10"/>
      <c r="K2606" s="25"/>
      <c r="L2606" s="25"/>
      <c r="M2606" s="25" t="str">
        <f>IFERROR(VLOOKUP($C2606,$C$5:$M$24,11,0)+SUMIF($C$25:$C2606,$C2606,$K$25:$K2606)-SUMIF($C$25:$C2606,$C2606,$L$25:$L2606),"")</f>
        <v/>
      </c>
      <c r="N2606" s="10"/>
      <c r="O2606" s="10"/>
      <c r="P2606" s="65"/>
      <c r="Q2606" s="10"/>
      <c r="R2606" s="10"/>
      <c r="S2606" s="54" t="str">
        <f t="shared" si="126"/>
        <v/>
      </c>
      <c r="T2606" s="54" t="str">
        <f t="shared" si="127"/>
        <v/>
      </c>
      <c r="U2606" s="58" t="str">
        <f t="shared" si="128"/>
        <v/>
      </c>
      <c r="V2606" s="58">
        <f>IF(AND($B2606&lt;&gt;"",$F2606&lt;&gt;"",$F2606=项目明细账!$C$2),N(V2605)+1,N(V2605))</f>
        <v>0</v>
      </c>
      <c r="W2606" s="63" t="str">
        <f>IF($H2606&lt;&gt;"","项目成本",IFERROR(INDEX(基础资料!$W$4:$W$49,MATCH($I2606,基础资料!$V$4:$V$49,0)),""))</f>
        <v/>
      </c>
      <c r="X2606" s="63" t="str">
        <f>IFERROR(INDEX(基础资料!$R$4:$R$17,MATCH($G2606,基础资料!$Q$4:$Q$17,0)),"")</f>
        <v/>
      </c>
    </row>
    <row r="2607" spans="1:24">
      <c r="A2607" s="58" t="str">
        <f>IF($B2607="","",COUNTA($B$5:$B2607))</f>
        <v/>
      </c>
      <c r="B2607" s="53"/>
      <c r="C2607" s="46"/>
      <c r="D2607" s="63" t="str">
        <f>IFERROR(INDEX(基础资料!$F$4:$F$23,MATCH($C2607,基础资料!$E$4:$E$23,0)),IF($C2607="","","未匹配账户"))</f>
        <v/>
      </c>
      <c r="E2607" s="39"/>
      <c r="F2607" s="10"/>
      <c r="G2607" s="10"/>
      <c r="H2607" s="10"/>
      <c r="I2607" s="10"/>
      <c r="J2607" s="10"/>
      <c r="K2607" s="25"/>
      <c r="L2607" s="25"/>
      <c r="M2607" s="25" t="str">
        <f>IFERROR(VLOOKUP($C2607,$C$5:$M$24,11,0)+SUMIF($C$25:$C2607,$C2607,$K$25:$K2607)-SUMIF($C$25:$C2607,$C2607,$L$25:$L2607),"")</f>
        <v/>
      </c>
      <c r="N2607" s="10"/>
      <c r="O2607" s="10"/>
      <c r="P2607" s="65"/>
      <c r="Q2607" s="10"/>
      <c r="R2607" s="10"/>
      <c r="S2607" s="54" t="str">
        <f t="shared" si="126"/>
        <v/>
      </c>
      <c r="T2607" s="54" t="str">
        <f t="shared" si="127"/>
        <v/>
      </c>
      <c r="U2607" s="58" t="str">
        <f t="shared" si="128"/>
        <v/>
      </c>
      <c r="V2607" s="58">
        <f>IF(AND($B2607&lt;&gt;"",$F2607&lt;&gt;"",$F2607=项目明细账!$C$2),N(V2606)+1,N(V2606))</f>
        <v>0</v>
      </c>
      <c r="W2607" s="63" t="str">
        <f>IF($H2607&lt;&gt;"","项目成本",IFERROR(INDEX(基础资料!$W$4:$W$49,MATCH($I2607,基础资料!$V$4:$V$49,0)),""))</f>
        <v/>
      </c>
      <c r="X2607" s="63" t="str">
        <f>IFERROR(INDEX(基础资料!$R$4:$R$17,MATCH($G2607,基础资料!$Q$4:$Q$17,0)),"")</f>
        <v/>
      </c>
    </row>
    <row r="2608" spans="1:24">
      <c r="A2608" s="58" t="str">
        <f>IF($B2608="","",COUNTA($B$5:$B2608))</f>
        <v/>
      </c>
      <c r="B2608" s="53"/>
      <c r="C2608" s="46"/>
      <c r="D2608" s="63" t="str">
        <f>IFERROR(INDEX(基础资料!$F$4:$F$23,MATCH($C2608,基础资料!$E$4:$E$23,0)),IF($C2608="","","未匹配账户"))</f>
        <v/>
      </c>
      <c r="E2608" s="39"/>
      <c r="F2608" s="10"/>
      <c r="G2608" s="10"/>
      <c r="H2608" s="10"/>
      <c r="I2608" s="10"/>
      <c r="J2608" s="10"/>
      <c r="K2608" s="25"/>
      <c r="L2608" s="25"/>
      <c r="M2608" s="25" t="str">
        <f>IFERROR(VLOOKUP($C2608,$C$5:$M$24,11,0)+SUMIF($C$25:$C2608,$C2608,$K$25:$K2608)-SUMIF($C$25:$C2608,$C2608,$L$25:$L2608),"")</f>
        <v/>
      </c>
      <c r="N2608" s="10"/>
      <c r="O2608" s="10"/>
      <c r="P2608" s="65"/>
      <c r="Q2608" s="10"/>
      <c r="R2608" s="10"/>
      <c r="S2608" s="54" t="str">
        <f t="shared" si="126"/>
        <v/>
      </c>
      <c r="T2608" s="54" t="str">
        <f t="shared" si="127"/>
        <v/>
      </c>
      <c r="U2608" s="58" t="str">
        <f t="shared" si="128"/>
        <v/>
      </c>
      <c r="V2608" s="58">
        <f>IF(AND($B2608&lt;&gt;"",$F2608&lt;&gt;"",$F2608=项目明细账!$C$2),N(V2607)+1,N(V2607))</f>
        <v>0</v>
      </c>
      <c r="W2608" s="63" t="str">
        <f>IF($H2608&lt;&gt;"","项目成本",IFERROR(INDEX(基础资料!$W$4:$W$49,MATCH($I2608,基础资料!$V$4:$V$49,0)),""))</f>
        <v/>
      </c>
      <c r="X2608" s="63" t="str">
        <f>IFERROR(INDEX(基础资料!$R$4:$R$17,MATCH($G2608,基础资料!$Q$4:$Q$17,0)),"")</f>
        <v/>
      </c>
    </row>
    <row r="2609" spans="1:24">
      <c r="A2609" s="58" t="str">
        <f>IF($B2609="","",COUNTA($B$5:$B2609))</f>
        <v/>
      </c>
      <c r="B2609" s="53"/>
      <c r="C2609" s="46"/>
      <c r="D2609" s="63" t="str">
        <f>IFERROR(INDEX(基础资料!$F$4:$F$23,MATCH($C2609,基础资料!$E$4:$E$23,0)),IF($C2609="","","未匹配账户"))</f>
        <v/>
      </c>
      <c r="E2609" s="39"/>
      <c r="F2609" s="10"/>
      <c r="G2609" s="10"/>
      <c r="H2609" s="10"/>
      <c r="I2609" s="10"/>
      <c r="J2609" s="10"/>
      <c r="K2609" s="25"/>
      <c r="L2609" s="25"/>
      <c r="M2609" s="25" t="str">
        <f>IFERROR(VLOOKUP($C2609,$C$5:$M$24,11,0)+SUMIF($C$25:$C2609,$C2609,$K$25:$K2609)-SUMIF($C$25:$C2609,$C2609,$L$25:$L2609),"")</f>
        <v/>
      </c>
      <c r="N2609" s="10"/>
      <c r="O2609" s="10"/>
      <c r="P2609" s="65"/>
      <c r="Q2609" s="10"/>
      <c r="R2609" s="10"/>
      <c r="S2609" s="54" t="str">
        <f t="shared" si="126"/>
        <v/>
      </c>
      <c r="T2609" s="54" t="str">
        <f t="shared" si="127"/>
        <v/>
      </c>
      <c r="U2609" s="58" t="str">
        <f t="shared" si="128"/>
        <v/>
      </c>
      <c r="V2609" s="58">
        <f>IF(AND($B2609&lt;&gt;"",$F2609&lt;&gt;"",$F2609=项目明细账!$C$2),N(V2608)+1,N(V2608))</f>
        <v>0</v>
      </c>
      <c r="W2609" s="63" t="str">
        <f>IF($H2609&lt;&gt;"","项目成本",IFERROR(INDEX(基础资料!$W$4:$W$49,MATCH($I2609,基础资料!$V$4:$V$49,0)),""))</f>
        <v/>
      </c>
      <c r="X2609" s="63" t="str">
        <f>IFERROR(INDEX(基础资料!$R$4:$R$17,MATCH($G2609,基础资料!$Q$4:$Q$17,0)),"")</f>
        <v/>
      </c>
    </row>
    <row r="2610" spans="1:24">
      <c r="A2610" s="58" t="str">
        <f>IF($B2610="","",COUNTA($B$5:$B2610))</f>
        <v/>
      </c>
      <c r="B2610" s="53"/>
      <c r="C2610" s="46"/>
      <c r="D2610" s="63" t="str">
        <f>IFERROR(INDEX(基础资料!$F$4:$F$23,MATCH($C2610,基础资料!$E$4:$E$23,0)),IF($C2610="","","未匹配账户"))</f>
        <v/>
      </c>
      <c r="E2610" s="39"/>
      <c r="F2610" s="10"/>
      <c r="G2610" s="10"/>
      <c r="H2610" s="10"/>
      <c r="I2610" s="10"/>
      <c r="J2610" s="10"/>
      <c r="K2610" s="25"/>
      <c r="L2610" s="25"/>
      <c r="M2610" s="25" t="str">
        <f>IFERROR(VLOOKUP($C2610,$C$5:$M$24,11,0)+SUMIF($C$25:$C2610,$C2610,$K$25:$K2610)-SUMIF($C$25:$C2610,$C2610,$L$25:$L2610),"")</f>
        <v/>
      </c>
      <c r="N2610" s="10"/>
      <c r="O2610" s="10"/>
      <c r="P2610" s="65"/>
      <c r="Q2610" s="10"/>
      <c r="R2610" s="10"/>
      <c r="S2610" s="54" t="str">
        <f t="shared" si="126"/>
        <v/>
      </c>
      <c r="T2610" s="54" t="str">
        <f t="shared" si="127"/>
        <v/>
      </c>
      <c r="U2610" s="58" t="str">
        <f t="shared" si="128"/>
        <v/>
      </c>
      <c r="V2610" s="58">
        <f>IF(AND($B2610&lt;&gt;"",$F2610&lt;&gt;"",$F2610=项目明细账!$C$2),N(V2609)+1,N(V2609))</f>
        <v>0</v>
      </c>
      <c r="W2610" s="63" t="str">
        <f>IF($H2610&lt;&gt;"","项目成本",IFERROR(INDEX(基础资料!$W$4:$W$49,MATCH($I2610,基础资料!$V$4:$V$49,0)),""))</f>
        <v/>
      </c>
      <c r="X2610" s="63" t="str">
        <f>IFERROR(INDEX(基础资料!$R$4:$R$17,MATCH($G2610,基础资料!$Q$4:$Q$17,0)),"")</f>
        <v/>
      </c>
    </row>
    <row r="2611" spans="1:24">
      <c r="A2611" s="58" t="str">
        <f>IF($B2611="","",COUNTA($B$5:$B2611))</f>
        <v/>
      </c>
      <c r="B2611" s="53"/>
      <c r="C2611" s="46"/>
      <c r="D2611" s="63" t="str">
        <f>IFERROR(INDEX(基础资料!$F$4:$F$23,MATCH($C2611,基础资料!$E$4:$E$23,0)),IF($C2611="","","未匹配账户"))</f>
        <v/>
      </c>
      <c r="E2611" s="39"/>
      <c r="F2611" s="10"/>
      <c r="G2611" s="10"/>
      <c r="H2611" s="10"/>
      <c r="I2611" s="10"/>
      <c r="J2611" s="10"/>
      <c r="K2611" s="25"/>
      <c r="L2611" s="25"/>
      <c r="M2611" s="25" t="str">
        <f>IFERROR(VLOOKUP($C2611,$C$5:$M$24,11,0)+SUMIF($C$25:$C2611,$C2611,$K$25:$K2611)-SUMIF($C$25:$C2611,$C2611,$L$25:$L2611),"")</f>
        <v/>
      </c>
      <c r="N2611" s="10"/>
      <c r="O2611" s="10"/>
      <c r="P2611" s="65"/>
      <c r="Q2611" s="10"/>
      <c r="R2611" s="10"/>
      <c r="S2611" s="54" t="str">
        <f t="shared" si="126"/>
        <v/>
      </c>
      <c r="T2611" s="54" t="str">
        <f t="shared" si="127"/>
        <v/>
      </c>
      <c r="U2611" s="58" t="str">
        <f t="shared" si="128"/>
        <v/>
      </c>
      <c r="V2611" s="58">
        <f>IF(AND($B2611&lt;&gt;"",$F2611&lt;&gt;"",$F2611=项目明细账!$C$2),N(V2610)+1,N(V2610))</f>
        <v>0</v>
      </c>
      <c r="W2611" s="63" t="str">
        <f>IF($H2611&lt;&gt;"","项目成本",IFERROR(INDEX(基础资料!$W$4:$W$49,MATCH($I2611,基础资料!$V$4:$V$49,0)),""))</f>
        <v/>
      </c>
      <c r="X2611" s="63" t="str">
        <f>IFERROR(INDEX(基础资料!$R$4:$R$17,MATCH($G2611,基础资料!$Q$4:$Q$17,0)),"")</f>
        <v/>
      </c>
    </row>
    <row r="2612" spans="1:24">
      <c r="A2612" s="58" t="str">
        <f>IF($B2612="","",COUNTA($B$5:$B2612))</f>
        <v/>
      </c>
      <c r="B2612" s="53"/>
      <c r="C2612" s="46"/>
      <c r="D2612" s="63" t="str">
        <f>IFERROR(INDEX(基础资料!$F$4:$F$23,MATCH($C2612,基础资料!$E$4:$E$23,0)),IF($C2612="","","未匹配账户"))</f>
        <v/>
      </c>
      <c r="E2612" s="39"/>
      <c r="F2612" s="10"/>
      <c r="G2612" s="10"/>
      <c r="H2612" s="10"/>
      <c r="I2612" s="10"/>
      <c r="J2612" s="10"/>
      <c r="K2612" s="25"/>
      <c r="L2612" s="25"/>
      <c r="M2612" s="25" t="str">
        <f>IFERROR(VLOOKUP($C2612,$C$5:$M$24,11,0)+SUMIF($C$25:$C2612,$C2612,$K$25:$K2612)-SUMIF($C$25:$C2612,$C2612,$L$25:$L2612),"")</f>
        <v/>
      </c>
      <c r="N2612" s="10"/>
      <c r="O2612" s="10"/>
      <c r="P2612" s="65"/>
      <c r="Q2612" s="10"/>
      <c r="R2612" s="10"/>
      <c r="S2612" s="54" t="str">
        <f t="shared" si="126"/>
        <v/>
      </c>
      <c r="T2612" s="54" t="str">
        <f t="shared" si="127"/>
        <v/>
      </c>
      <c r="U2612" s="58" t="str">
        <f t="shared" si="128"/>
        <v/>
      </c>
      <c r="V2612" s="58">
        <f>IF(AND($B2612&lt;&gt;"",$F2612&lt;&gt;"",$F2612=项目明细账!$C$2),N(V2611)+1,N(V2611))</f>
        <v>0</v>
      </c>
      <c r="W2612" s="63" t="str">
        <f>IF($H2612&lt;&gt;"","项目成本",IFERROR(INDEX(基础资料!$W$4:$W$49,MATCH($I2612,基础资料!$V$4:$V$49,0)),""))</f>
        <v/>
      </c>
      <c r="X2612" s="63" t="str">
        <f>IFERROR(INDEX(基础资料!$R$4:$R$17,MATCH($G2612,基础资料!$Q$4:$Q$17,0)),"")</f>
        <v/>
      </c>
    </row>
    <row r="2613" spans="1:24">
      <c r="A2613" s="58" t="str">
        <f>IF($B2613="","",COUNTA($B$5:$B2613))</f>
        <v/>
      </c>
      <c r="B2613" s="53"/>
      <c r="C2613" s="46"/>
      <c r="D2613" s="63" t="str">
        <f>IFERROR(INDEX(基础资料!$F$4:$F$23,MATCH($C2613,基础资料!$E$4:$E$23,0)),IF($C2613="","","未匹配账户"))</f>
        <v/>
      </c>
      <c r="E2613" s="39"/>
      <c r="F2613" s="10"/>
      <c r="G2613" s="10"/>
      <c r="H2613" s="10"/>
      <c r="I2613" s="10"/>
      <c r="J2613" s="10"/>
      <c r="K2613" s="25"/>
      <c r="L2613" s="25"/>
      <c r="M2613" s="25" t="str">
        <f>IFERROR(VLOOKUP($C2613,$C$5:$M$24,11,0)+SUMIF($C$25:$C2613,$C2613,$K$25:$K2613)-SUMIF($C$25:$C2613,$C2613,$L$25:$L2613),"")</f>
        <v/>
      </c>
      <c r="N2613" s="10"/>
      <c r="O2613" s="10"/>
      <c r="P2613" s="65"/>
      <c r="Q2613" s="10"/>
      <c r="R2613" s="10"/>
      <c r="S2613" s="54" t="str">
        <f t="shared" si="126"/>
        <v/>
      </c>
      <c r="T2613" s="54" t="str">
        <f t="shared" si="127"/>
        <v/>
      </c>
      <c r="U2613" s="58" t="str">
        <f t="shared" si="128"/>
        <v/>
      </c>
      <c r="V2613" s="58">
        <f>IF(AND($B2613&lt;&gt;"",$F2613&lt;&gt;"",$F2613=项目明细账!$C$2),N(V2612)+1,N(V2612))</f>
        <v>0</v>
      </c>
      <c r="W2613" s="63" t="str">
        <f>IF($H2613&lt;&gt;"","项目成本",IFERROR(INDEX(基础资料!$W$4:$W$49,MATCH($I2613,基础资料!$V$4:$V$49,0)),""))</f>
        <v/>
      </c>
      <c r="X2613" s="63" t="str">
        <f>IFERROR(INDEX(基础资料!$R$4:$R$17,MATCH($G2613,基础资料!$Q$4:$Q$17,0)),"")</f>
        <v/>
      </c>
    </row>
    <row r="2614" spans="1:24">
      <c r="A2614" s="58" t="str">
        <f>IF($B2614="","",COUNTA($B$5:$B2614))</f>
        <v/>
      </c>
      <c r="B2614" s="53"/>
      <c r="C2614" s="46"/>
      <c r="D2614" s="63" t="str">
        <f>IFERROR(INDEX(基础资料!$F$4:$F$23,MATCH($C2614,基础资料!$E$4:$E$23,0)),IF($C2614="","","未匹配账户"))</f>
        <v/>
      </c>
      <c r="E2614" s="39"/>
      <c r="F2614" s="10"/>
      <c r="G2614" s="10"/>
      <c r="H2614" s="10"/>
      <c r="I2614" s="10"/>
      <c r="J2614" s="10"/>
      <c r="K2614" s="25"/>
      <c r="L2614" s="25"/>
      <c r="M2614" s="25" t="str">
        <f>IFERROR(VLOOKUP($C2614,$C$5:$M$24,11,0)+SUMIF($C$25:$C2614,$C2614,$K$25:$K2614)-SUMIF($C$25:$C2614,$C2614,$L$25:$L2614),"")</f>
        <v/>
      </c>
      <c r="N2614" s="10"/>
      <c r="O2614" s="10"/>
      <c r="P2614" s="65"/>
      <c r="Q2614" s="10"/>
      <c r="R2614" s="10"/>
      <c r="S2614" s="54" t="str">
        <f t="shared" si="126"/>
        <v/>
      </c>
      <c r="T2614" s="54" t="str">
        <f t="shared" si="127"/>
        <v/>
      </c>
      <c r="U2614" s="58" t="str">
        <f t="shared" si="128"/>
        <v/>
      </c>
      <c r="V2614" s="58">
        <f>IF(AND($B2614&lt;&gt;"",$F2614&lt;&gt;"",$F2614=项目明细账!$C$2),N(V2613)+1,N(V2613))</f>
        <v>0</v>
      </c>
      <c r="W2614" s="63" t="str">
        <f>IF($H2614&lt;&gt;"","项目成本",IFERROR(INDEX(基础资料!$W$4:$W$49,MATCH($I2614,基础资料!$V$4:$V$49,0)),""))</f>
        <v/>
      </c>
      <c r="X2614" s="63" t="str">
        <f>IFERROR(INDEX(基础资料!$R$4:$R$17,MATCH($G2614,基础资料!$Q$4:$Q$17,0)),"")</f>
        <v/>
      </c>
    </row>
    <row r="2615" spans="1:24">
      <c r="A2615" s="58" t="str">
        <f>IF($B2615="","",COUNTA($B$5:$B2615))</f>
        <v/>
      </c>
      <c r="B2615" s="53"/>
      <c r="C2615" s="46"/>
      <c r="D2615" s="63" t="str">
        <f>IFERROR(INDEX(基础资料!$F$4:$F$23,MATCH($C2615,基础资料!$E$4:$E$23,0)),IF($C2615="","","未匹配账户"))</f>
        <v/>
      </c>
      <c r="E2615" s="39"/>
      <c r="F2615" s="10"/>
      <c r="G2615" s="10"/>
      <c r="H2615" s="10"/>
      <c r="I2615" s="10"/>
      <c r="J2615" s="10"/>
      <c r="K2615" s="25"/>
      <c r="L2615" s="25"/>
      <c r="M2615" s="25" t="str">
        <f>IFERROR(VLOOKUP($C2615,$C$5:$M$24,11,0)+SUMIF($C$25:$C2615,$C2615,$K$25:$K2615)-SUMIF($C$25:$C2615,$C2615,$L$25:$L2615),"")</f>
        <v/>
      </c>
      <c r="N2615" s="10"/>
      <c r="O2615" s="10"/>
      <c r="P2615" s="65"/>
      <c r="Q2615" s="10"/>
      <c r="R2615" s="10"/>
      <c r="S2615" s="54" t="str">
        <f t="shared" si="126"/>
        <v/>
      </c>
      <c r="T2615" s="54" t="str">
        <f t="shared" si="127"/>
        <v/>
      </c>
      <c r="U2615" s="58" t="str">
        <f t="shared" si="128"/>
        <v/>
      </c>
      <c r="V2615" s="58">
        <f>IF(AND($B2615&lt;&gt;"",$F2615&lt;&gt;"",$F2615=项目明细账!$C$2),N(V2614)+1,N(V2614))</f>
        <v>0</v>
      </c>
      <c r="W2615" s="63" t="str">
        <f>IF($H2615&lt;&gt;"","项目成本",IFERROR(INDEX(基础资料!$W$4:$W$49,MATCH($I2615,基础资料!$V$4:$V$49,0)),""))</f>
        <v/>
      </c>
      <c r="X2615" s="63" t="str">
        <f>IFERROR(INDEX(基础资料!$R$4:$R$17,MATCH($G2615,基础资料!$Q$4:$Q$17,0)),"")</f>
        <v/>
      </c>
    </row>
    <row r="2616" spans="1:24">
      <c r="A2616" s="58" t="str">
        <f>IF($B2616="","",COUNTA($B$5:$B2616))</f>
        <v/>
      </c>
      <c r="B2616" s="53"/>
      <c r="C2616" s="46"/>
      <c r="D2616" s="63" t="str">
        <f>IFERROR(INDEX(基础资料!$F$4:$F$23,MATCH($C2616,基础资料!$E$4:$E$23,0)),IF($C2616="","","未匹配账户"))</f>
        <v/>
      </c>
      <c r="E2616" s="39"/>
      <c r="F2616" s="10"/>
      <c r="G2616" s="10"/>
      <c r="H2616" s="10"/>
      <c r="I2616" s="10"/>
      <c r="J2616" s="10"/>
      <c r="K2616" s="25"/>
      <c r="L2616" s="25"/>
      <c r="M2616" s="25" t="str">
        <f>IFERROR(VLOOKUP($C2616,$C$5:$M$24,11,0)+SUMIF($C$25:$C2616,$C2616,$K$25:$K2616)-SUMIF($C$25:$C2616,$C2616,$L$25:$L2616),"")</f>
        <v/>
      </c>
      <c r="N2616" s="10"/>
      <c r="O2616" s="10"/>
      <c r="P2616" s="65"/>
      <c r="Q2616" s="10"/>
      <c r="R2616" s="10"/>
      <c r="S2616" s="54" t="str">
        <f t="shared" si="126"/>
        <v/>
      </c>
      <c r="T2616" s="54" t="str">
        <f t="shared" si="127"/>
        <v/>
      </c>
      <c r="U2616" s="58" t="str">
        <f t="shared" si="128"/>
        <v/>
      </c>
      <c r="V2616" s="58">
        <f>IF(AND($B2616&lt;&gt;"",$F2616&lt;&gt;"",$F2616=项目明细账!$C$2),N(V2615)+1,N(V2615))</f>
        <v>0</v>
      </c>
      <c r="W2616" s="63" t="str">
        <f>IF($H2616&lt;&gt;"","项目成本",IFERROR(INDEX(基础资料!$W$4:$W$49,MATCH($I2616,基础资料!$V$4:$V$49,0)),""))</f>
        <v/>
      </c>
      <c r="X2616" s="63" t="str">
        <f>IFERROR(INDEX(基础资料!$R$4:$R$17,MATCH($G2616,基础资料!$Q$4:$Q$17,0)),"")</f>
        <v/>
      </c>
    </row>
    <row r="2617" spans="1:24">
      <c r="A2617" s="58" t="str">
        <f>IF($B2617="","",COUNTA($B$5:$B2617))</f>
        <v/>
      </c>
      <c r="B2617" s="53"/>
      <c r="C2617" s="46"/>
      <c r="D2617" s="63" t="str">
        <f>IFERROR(INDEX(基础资料!$F$4:$F$23,MATCH($C2617,基础资料!$E$4:$E$23,0)),IF($C2617="","","未匹配账户"))</f>
        <v/>
      </c>
      <c r="E2617" s="39"/>
      <c r="F2617" s="10"/>
      <c r="G2617" s="10"/>
      <c r="H2617" s="10"/>
      <c r="I2617" s="10"/>
      <c r="J2617" s="10"/>
      <c r="K2617" s="25"/>
      <c r="L2617" s="25"/>
      <c r="M2617" s="25" t="str">
        <f>IFERROR(VLOOKUP($C2617,$C$5:$M$24,11,0)+SUMIF($C$25:$C2617,$C2617,$K$25:$K2617)-SUMIF($C$25:$C2617,$C2617,$L$25:$L2617),"")</f>
        <v/>
      </c>
      <c r="N2617" s="10"/>
      <c r="O2617" s="10"/>
      <c r="P2617" s="65"/>
      <c r="Q2617" s="10"/>
      <c r="R2617" s="10"/>
      <c r="S2617" s="54" t="str">
        <f t="shared" si="126"/>
        <v/>
      </c>
      <c r="T2617" s="54" t="str">
        <f t="shared" si="127"/>
        <v/>
      </c>
      <c r="U2617" s="58" t="str">
        <f t="shared" si="128"/>
        <v/>
      </c>
      <c r="V2617" s="58">
        <f>IF(AND($B2617&lt;&gt;"",$F2617&lt;&gt;"",$F2617=项目明细账!$C$2),N(V2616)+1,N(V2616))</f>
        <v>0</v>
      </c>
      <c r="W2617" s="63" t="str">
        <f>IF($H2617&lt;&gt;"","项目成本",IFERROR(INDEX(基础资料!$W$4:$W$49,MATCH($I2617,基础资料!$V$4:$V$49,0)),""))</f>
        <v/>
      </c>
      <c r="X2617" s="63" t="str">
        <f>IFERROR(INDEX(基础资料!$R$4:$R$17,MATCH($G2617,基础资料!$Q$4:$Q$17,0)),"")</f>
        <v/>
      </c>
    </row>
    <row r="2618" spans="1:24">
      <c r="A2618" s="58" t="str">
        <f>IF($B2618="","",COUNTA($B$5:$B2618))</f>
        <v/>
      </c>
      <c r="B2618" s="53"/>
      <c r="C2618" s="46"/>
      <c r="D2618" s="63" t="str">
        <f>IFERROR(INDEX(基础资料!$F$4:$F$23,MATCH($C2618,基础资料!$E$4:$E$23,0)),IF($C2618="","","未匹配账户"))</f>
        <v/>
      </c>
      <c r="E2618" s="39"/>
      <c r="F2618" s="10"/>
      <c r="G2618" s="10"/>
      <c r="H2618" s="10"/>
      <c r="I2618" s="10"/>
      <c r="J2618" s="10"/>
      <c r="K2618" s="25"/>
      <c r="L2618" s="25"/>
      <c r="M2618" s="25" t="str">
        <f>IFERROR(VLOOKUP($C2618,$C$5:$M$24,11,0)+SUMIF($C$25:$C2618,$C2618,$K$25:$K2618)-SUMIF($C$25:$C2618,$C2618,$L$25:$L2618),"")</f>
        <v/>
      </c>
      <c r="N2618" s="10"/>
      <c r="O2618" s="10"/>
      <c r="P2618" s="65"/>
      <c r="Q2618" s="10"/>
      <c r="R2618" s="10"/>
      <c r="S2618" s="54" t="str">
        <f t="shared" si="126"/>
        <v/>
      </c>
      <c r="T2618" s="54" t="str">
        <f t="shared" si="127"/>
        <v/>
      </c>
      <c r="U2618" s="58" t="str">
        <f t="shared" si="128"/>
        <v/>
      </c>
      <c r="V2618" s="58">
        <f>IF(AND($B2618&lt;&gt;"",$F2618&lt;&gt;"",$F2618=项目明细账!$C$2),N(V2617)+1,N(V2617))</f>
        <v>0</v>
      </c>
      <c r="W2618" s="63" t="str">
        <f>IF($H2618&lt;&gt;"","项目成本",IFERROR(INDEX(基础资料!$W$4:$W$49,MATCH($I2618,基础资料!$V$4:$V$49,0)),""))</f>
        <v/>
      </c>
      <c r="X2618" s="63" t="str">
        <f>IFERROR(INDEX(基础资料!$R$4:$R$17,MATCH($G2618,基础资料!$Q$4:$Q$17,0)),"")</f>
        <v/>
      </c>
    </row>
    <row r="2619" spans="1:24">
      <c r="A2619" s="58" t="str">
        <f>IF($B2619="","",COUNTA($B$5:$B2619))</f>
        <v/>
      </c>
      <c r="B2619" s="53"/>
      <c r="C2619" s="46"/>
      <c r="D2619" s="63" t="str">
        <f>IFERROR(INDEX(基础资料!$F$4:$F$23,MATCH($C2619,基础资料!$E$4:$E$23,0)),IF($C2619="","","未匹配账户"))</f>
        <v/>
      </c>
      <c r="E2619" s="39"/>
      <c r="F2619" s="10"/>
      <c r="G2619" s="10"/>
      <c r="H2619" s="10"/>
      <c r="I2619" s="10"/>
      <c r="J2619" s="10"/>
      <c r="K2619" s="25"/>
      <c r="L2619" s="25"/>
      <c r="M2619" s="25" t="str">
        <f>IFERROR(VLOOKUP($C2619,$C$5:$M$24,11,0)+SUMIF($C$25:$C2619,$C2619,$K$25:$K2619)-SUMIF($C$25:$C2619,$C2619,$L$25:$L2619),"")</f>
        <v/>
      </c>
      <c r="N2619" s="10"/>
      <c r="O2619" s="10"/>
      <c r="P2619" s="65"/>
      <c r="Q2619" s="10"/>
      <c r="R2619" s="10"/>
      <c r="S2619" s="54" t="str">
        <f t="shared" si="126"/>
        <v/>
      </c>
      <c r="T2619" s="54" t="str">
        <f t="shared" si="127"/>
        <v/>
      </c>
      <c r="U2619" s="58" t="str">
        <f t="shared" si="128"/>
        <v/>
      </c>
      <c r="V2619" s="58">
        <f>IF(AND($B2619&lt;&gt;"",$F2619&lt;&gt;"",$F2619=项目明细账!$C$2),N(V2618)+1,N(V2618))</f>
        <v>0</v>
      </c>
      <c r="W2619" s="63" t="str">
        <f>IF($H2619&lt;&gt;"","项目成本",IFERROR(INDEX(基础资料!$W$4:$W$49,MATCH($I2619,基础资料!$V$4:$V$49,0)),""))</f>
        <v/>
      </c>
      <c r="X2619" s="63" t="str">
        <f>IFERROR(INDEX(基础资料!$R$4:$R$17,MATCH($G2619,基础资料!$Q$4:$Q$17,0)),"")</f>
        <v/>
      </c>
    </row>
    <row r="2620" spans="1:24">
      <c r="A2620" s="58" t="str">
        <f>IF($B2620="","",COUNTA($B$5:$B2620))</f>
        <v/>
      </c>
      <c r="B2620" s="53"/>
      <c r="C2620" s="46"/>
      <c r="D2620" s="63" t="str">
        <f>IFERROR(INDEX(基础资料!$F$4:$F$23,MATCH($C2620,基础资料!$E$4:$E$23,0)),IF($C2620="","","未匹配账户"))</f>
        <v/>
      </c>
      <c r="E2620" s="39"/>
      <c r="F2620" s="10"/>
      <c r="G2620" s="10"/>
      <c r="H2620" s="10"/>
      <c r="I2620" s="10"/>
      <c r="J2620" s="10"/>
      <c r="K2620" s="25"/>
      <c r="L2620" s="25"/>
      <c r="M2620" s="25" t="str">
        <f>IFERROR(VLOOKUP($C2620,$C$5:$M$24,11,0)+SUMIF($C$25:$C2620,$C2620,$K$25:$K2620)-SUMIF($C$25:$C2620,$C2620,$L$25:$L2620),"")</f>
        <v/>
      </c>
      <c r="N2620" s="10"/>
      <c r="O2620" s="10"/>
      <c r="P2620" s="65"/>
      <c r="Q2620" s="10"/>
      <c r="R2620" s="10"/>
      <c r="S2620" s="54" t="str">
        <f t="shared" si="126"/>
        <v/>
      </c>
      <c r="T2620" s="54" t="str">
        <f t="shared" si="127"/>
        <v/>
      </c>
      <c r="U2620" s="58" t="str">
        <f t="shared" si="128"/>
        <v/>
      </c>
      <c r="V2620" s="58">
        <f>IF(AND($B2620&lt;&gt;"",$F2620&lt;&gt;"",$F2620=项目明细账!$C$2),N(V2619)+1,N(V2619))</f>
        <v>0</v>
      </c>
      <c r="W2620" s="63" t="str">
        <f>IF($H2620&lt;&gt;"","项目成本",IFERROR(INDEX(基础资料!$W$4:$W$49,MATCH($I2620,基础资料!$V$4:$V$49,0)),""))</f>
        <v/>
      </c>
      <c r="X2620" s="63" t="str">
        <f>IFERROR(INDEX(基础资料!$R$4:$R$17,MATCH($G2620,基础资料!$Q$4:$Q$17,0)),"")</f>
        <v/>
      </c>
    </row>
    <row r="2621" spans="1:24">
      <c r="A2621" s="58" t="str">
        <f>IF($B2621="","",COUNTA($B$5:$B2621))</f>
        <v/>
      </c>
      <c r="B2621" s="53"/>
      <c r="C2621" s="46"/>
      <c r="D2621" s="63" t="str">
        <f>IFERROR(INDEX(基础资料!$F$4:$F$23,MATCH($C2621,基础资料!$E$4:$E$23,0)),IF($C2621="","","未匹配账户"))</f>
        <v/>
      </c>
      <c r="E2621" s="39"/>
      <c r="F2621" s="10"/>
      <c r="G2621" s="10"/>
      <c r="H2621" s="10"/>
      <c r="I2621" s="10"/>
      <c r="J2621" s="10"/>
      <c r="K2621" s="25"/>
      <c r="L2621" s="25"/>
      <c r="M2621" s="25" t="str">
        <f>IFERROR(VLOOKUP($C2621,$C$5:$M$24,11,0)+SUMIF($C$25:$C2621,$C2621,$K$25:$K2621)-SUMIF($C$25:$C2621,$C2621,$L$25:$L2621),"")</f>
        <v/>
      </c>
      <c r="N2621" s="10"/>
      <c r="O2621" s="10"/>
      <c r="P2621" s="65"/>
      <c r="Q2621" s="10"/>
      <c r="R2621" s="10"/>
      <c r="S2621" s="54" t="str">
        <f t="shared" si="126"/>
        <v/>
      </c>
      <c r="T2621" s="54" t="str">
        <f t="shared" si="127"/>
        <v/>
      </c>
      <c r="U2621" s="58" t="str">
        <f t="shared" si="128"/>
        <v/>
      </c>
      <c r="V2621" s="58">
        <f>IF(AND($B2621&lt;&gt;"",$F2621&lt;&gt;"",$F2621=项目明细账!$C$2),N(V2620)+1,N(V2620))</f>
        <v>0</v>
      </c>
      <c r="W2621" s="63" t="str">
        <f>IF($H2621&lt;&gt;"","项目成本",IFERROR(INDEX(基础资料!$W$4:$W$49,MATCH($I2621,基础资料!$V$4:$V$49,0)),""))</f>
        <v/>
      </c>
      <c r="X2621" s="63" t="str">
        <f>IFERROR(INDEX(基础资料!$R$4:$R$17,MATCH($G2621,基础资料!$Q$4:$Q$17,0)),"")</f>
        <v/>
      </c>
    </row>
    <row r="2622" spans="1:24">
      <c r="A2622" s="58" t="str">
        <f>IF($B2622="","",COUNTA($B$5:$B2622))</f>
        <v/>
      </c>
      <c r="B2622" s="53"/>
      <c r="C2622" s="46"/>
      <c r="D2622" s="63" t="str">
        <f>IFERROR(INDEX(基础资料!$F$4:$F$23,MATCH($C2622,基础资料!$E$4:$E$23,0)),IF($C2622="","","未匹配账户"))</f>
        <v/>
      </c>
      <c r="E2622" s="39"/>
      <c r="F2622" s="10"/>
      <c r="G2622" s="10"/>
      <c r="H2622" s="10"/>
      <c r="I2622" s="10"/>
      <c r="J2622" s="10"/>
      <c r="K2622" s="25"/>
      <c r="L2622" s="25"/>
      <c r="M2622" s="25" t="str">
        <f>IFERROR(VLOOKUP($C2622,$C$5:$M$24,11,0)+SUMIF($C$25:$C2622,$C2622,$K$25:$K2622)-SUMIF($C$25:$C2622,$C2622,$L$25:$L2622),"")</f>
        <v/>
      </c>
      <c r="N2622" s="10"/>
      <c r="O2622" s="10"/>
      <c r="P2622" s="65"/>
      <c r="Q2622" s="10"/>
      <c r="R2622" s="10"/>
      <c r="S2622" s="54" t="str">
        <f t="shared" si="126"/>
        <v/>
      </c>
      <c r="T2622" s="54" t="str">
        <f t="shared" si="127"/>
        <v/>
      </c>
      <c r="U2622" s="58" t="str">
        <f t="shared" si="128"/>
        <v/>
      </c>
      <c r="V2622" s="58">
        <f>IF(AND($B2622&lt;&gt;"",$F2622&lt;&gt;"",$F2622=项目明细账!$C$2),N(V2621)+1,N(V2621))</f>
        <v>0</v>
      </c>
      <c r="W2622" s="63" t="str">
        <f>IF($H2622&lt;&gt;"","项目成本",IFERROR(INDEX(基础资料!$W$4:$W$49,MATCH($I2622,基础资料!$V$4:$V$49,0)),""))</f>
        <v/>
      </c>
      <c r="X2622" s="63" t="str">
        <f>IFERROR(INDEX(基础资料!$R$4:$R$17,MATCH($G2622,基础资料!$Q$4:$Q$17,0)),"")</f>
        <v/>
      </c>
    </row>
    <row r="2623" spans="1:24">
      <c r="A2623" s="58" t="str">
        <f>IF($B2623="","",COUNTA($B$5:$B2623))</f>
        <v/>
      </c>
      <c r="B2623" s="53"/>
      <c r="C2623" s="46"/>
      <c r="D2623" s="63" t="str">
        <f>IFERROR(INDEX(基础资料!$F$4:$F$23,MATCH($C2623,基础资料!$E$4:$E$23,0)),IF($C2623="","","未匹配账户"))</f>
        <v/>
      </c>
      <c r="E2623" s="39"/>
      <c r="F2623" s="10"/>
      <c r="G2623" s="10"/>
      <c r="H2623" s="10"/>
      <c r="I2623" s="10"/>
      <c r="J2623" s="10"/>
      <c r="K2623" s="25"/>
      <c r="L2623" s="25"/>
      <c r="M2623" s="25" t="str">
        <f>IFERROR(VLOOKUP($C2623,$C$5:$M$24,11,0)+SUMIF($C$25:$C2623,$C2623,$K$25:$K2623)-SUMIF($C$25:$C2623,$C2623,$L$25:$L2623),"")</f>
        <v/>
      </c>
      <c r="N2623" s="10"/>
      <c r="O2623" s="10"/>
      <c r="P2623" s="65"/>
      <c r="Q2623" s="10"/>
      <c r="R2623" s="10"/>
      <c r="S2623" s="54" t="str">
        <f t="shared" si="126"/>
        <v/>
      </c>
      <c r="T2623" s="54" t="str">
        <f t="shared" si="127"/>
        <v/>
      </c>
      <c r="U2623" s="58" t="str">
        <f t="shared" si="128"/>
        <v/>
      </c>
      <c r="V2623" s="58">
        <f>IF(AND($B2623&lt;&gt;"",$F2623&lt;&gt;"",$F2623=项目明细账!$C$2),N(V2622)+1,N(V2622))</f>
        <v>0</v>
      </c>
      <c r="W2623" s="63" t="str">
        <f>IF($H2623&lt;&gt;"","项目成本",IFERROR(INDEX(基础资料!$W$4:$W$49,MATCH($I2623,基础资料!$V$4:$V$49,0)),""))</f>
        <v/>
      </c>
      <c r="X2623" s="63" t="str">
        <f>IFERROR(INDEX(基础资料!$R$4:$R$17,MATCH($G2623,基础资料!$Q$4:$Q$17,0)),"")</f>
        <v/>
      </c>
    </row>
    <row r="2624" spans="1:24">
      <c r="A2624" s="58" t="str">
        <f>IF($B2624="","",COUNTA($B$5:$B2624))</f>
        <v/>
      </c>
      <c r="B2624" s="53"/>
      <c r="C2624" s="46"/>
      <c r="D2624" s="63" t="str">
        <f>IFERROR(INDEX(基础资料!$F$4:$F$23,MATCH($C2624,基础资料!$E$4:$E$23,0)),IF($C2624="","","未匹配账户"))</f>
        <v/>
      </c>
      <c r="E2624" s="39"/>
      <c r="F2624" s="10"/>
      <c r="G2624" s="10"/>
      <c r="H2624" s="10"/>
      <c r="I2624" s="10"/>
      <c r="J2624" s="10"/>
      <c r="K2624" s="25"/>
      <c r="L2624" s="25"/>
      <c r="M2624" s="25" t="str">
        <f>IFERROR(VLOOKUP($C2624,$C$5:$M$24,11,0)+SUMIF($C$25:$C2624,$C2624,$K$25:$K2624)-SUMIF($C$25:$C2624,$C2624,$L$25:$L2624),"")</f>
        <v/>
      </c>
      <c r="N2624" s="10"/>
      <c r="O2624" s="10"/>
      <c r="P2624" s="65"/>
      <c r="Q2624" s="10"/>
      <c r="R2624" s="10"/>
      <c r="S2624" s="54" t="str">
        <f t="shared" si="126"/>
        <v/>
      </c>
      <c r="T2624" s="54" t="str">
        <f t="shared" si="127"/>
        <v/>
      </c>
      <c r="U2624" s="58" t="str">
        <f t="shared" si="128"/>
        <v/>
      </c>
      <c r="V2624" s="58">
        <f>IF(AND($B2624&lt;&gt;"",$F2624&lt;&gt;"",$F2624=项目明细账!$C$2),N(V2623)+1,N(V2623))</f>
        <v>0</v>
      </c>
      <c r="W2624" s="63" t="str">
        <f>IF($H2624&lt;&gt;"","项目成本",IFERROR(INDEX(基础资料!$W$4:$W$49,MATCH($I2624,基础资料!$V$4:$V$49,0)),""))</f>
        <v/>
      </c>
      <c r="X2624" s="63" t="str">
        <f>IFERROR(INDEX(基础资料!$R$4:$R$17,MATCH($G2624,基础资料!$Q$4:$Q$17,0)),"")</f>
        <v/>
      </c>
    </row>
    <row r="2625" spans="1:24">
      <c r="A2625" s="58" t="str">
        <f>IF($B2625="","",COUNTA($B$5:$B2625))</f>
        <v/>
      </c>
      <c r="B2625" s="53"/>
      <c r="C2625" s="46"/>
      <c r="D2625" s="63" t="str">
        <f>IFERROR(INDEX(基础资料!$F$4:$F$23,MATCH($C2625,基础资料!$E$4:$E$23,0)),IF($C2625="","","未匹配账户"))</f>
        <v/>
      </c>
      <c r="E2625" s="39"/>
      <c r="F2625" s="10"/>
      <c r="G2625" s="10"/>
      <c r="H2625" s="10"/>
      <c r="I2625" s="10"/>
      <c r="J2625" s="10"/>
      <c r="K2625" s="25"/>
      <c r="L2625" s="25"/>
      <c r="M2625" s="25" t="str">
        <f>IFERROR(VLOOKUP($C2625,$C$5:$M$24,11,0)+SUMIF($C$25:$C2625,$C2625,$K$25:$K2625)-SUMIF($C$25:$C2625,$C2625,$L$25:$L2625),"")</f>
        <v/>
      </c>
      <c r="N2625" s="10"/>
      <c r="O2625" s="10"/>
      <c r="P2625" s="65"/>
      <c r="Q2625" s="10"/>
      <c r="R2625" s="10"/>
      <c r="S2625" s="54" t="str">
        <f t="shared" si="126"/>
        <v/>
      </c>
      <c r="T2625" s="54" t="str">
        <f t="shared" si="127"/>
        <v/>
      </c>
      <c r="U2625" s="58" t="str">
        <f t="shared" si="128"/>
        <v/>
      </c>
      <c r="V2625" s="58">
        <f>IF(AND($B2625&lt;&gt;"",$F2625&lt;&gt;"",$F2625=项目明细账!$C$2),N(V2624)+1,N(V2624))</f>
        <v>0</v>
      </c>
      <c r="W2625" s="63" t="str">
        <f>IF($H2625&lt;&gt;"","项目成本",IFERROR(INDEX(基础资料!$W$4:$W$49,MATCH($I2625,基础资料!$V$4:$V$49,0)),""))</f>
        <v/>
      </c>
      <c r="X2625" s="63" t="str">
        <f>IFERROR(INDEX(基础资料!$R$4:$R$17,MATCH($G2625,基础资料!$Q$4:$Q$17,0)),"")</f>
        <v/>
      </c>
    </row>
    <row r="2626" spans="1:24">
      <c r="A2626" s="58" t="str">
        <f>IF($B2626="","",COUNTA($B$5:$B2626))</f>
        <v/>
      </c>
      <c r="B2626" s="53"/>
      <c r="C2626" s="46"/>
      <c r="D2626" s="63" t="str">
        <f>IFERROR(INDEX(基础资料!$F$4:$F$23,MATCH($C2626,基础资料!$E$4:$E$23,0)),IF($C2626="","","未匹配账户"))</f>
        <v/>
      </c>
      <c r="E2626" s="39"/>
      <c r="F2626" s="10"/>
      <c r="G2626" s="10"/>
      <c r="H2626" s="10"/>
      <c r="I2626" s="10"/>
      <c r="J2626" s="10"/>
      <c r="K2626" s="25"/>
      <c r="L2626" s="25"/>
      <c r="M2626" s="25" t="str">
        <f>IFERROR(VLOOKUP($C2626,$C$5:$M$24,11,0)+SUMIF($C$25:$C2626,$C2626,$K$25:$K2626)-SUMIF($C$25:$C2626,$C2626,$L$25:$L2626),"")</f>
        <v/>
      </c>
      <c r="N2626" s="10"/>
      <c r="O2626" s="10"/>
      <c r="P2626" s="65"/>
      <c r="Q2626" s="10"/>
      <c r="R2626" s="10"/>
      <c r="S2626" s="54" t="str">
        <f t="shared" si="126"/>
        <v/>
      </c>
      <c r="T2626" s="54" t="str">
        <f t="shared" si="127"/>
        <v/>
      </c>
      <c r="U2626" s="58" t="str">
        <f t="shared" si="128"/>
        <v/>
      </c>
      <c r="V2626" s="58">
        <f>IF(AND($B2626&lt;&gt;"",$F2626&lt;&gt;"",$F2626=项目明细账!$C$2),N(V2625)+1,N(V2625))</f>
        <v>0</v>
      </c>
      <c r="W2626" s="63" t="str">
        <f>IF($H2626&lt;&gt;"","项目成本",IFERROR(INDEX(基础资料!$W$4:$W$49,MATCH($I2626,基础资料!$V$4:$V$49,0)),""))</f>
        <v/>
      </c>
      <c r="X2626" s="63" t="str">
        <f>IFERROR(INDEX(基础资料!$R$4:$R$17,MATCH($G2626,基础资料!$Q$4:$Q$17,0)),"")</f>
        <v/>
      </c>
    </row>
    <row r="2627" spans="1:24">
      <c r="A2627" s="58" t="str">
        <f>IF($B2627="","",COUNTA($B$5:$B2627))</f>
        <v/>
      </c>
      <c r="B2627" s="53"/>
      <c r="C2627" s="46"/>
      <c r="D2627" s="63" t="str">
        <f>IFERROR(INDEX(基础资料!$F$4:$F$23,MATCH($C2627,基础资料!$E$4:$E$23,0)),IF($C2627="","","未匹配账户"))</f>
        <v/>
      </c>
      <c r="E2627" s="39"/>
      <c r="F2627" s="10"/>
      <c r="G2627" s="10"/>
      <c r="H2627" s="10"/>
      <c r="I2627" s="10"/>
      <c r="J2627" s="10"/>
      <c r="K2627" s="25"/>
      <c r="L2627" s="25"/>
      <c r="M2627" s="25" t="str">
        <f>IFERROR(VLOOKUP($C2627,$C$5:$M$24,11,0)+SUMIF($C$25:$C2627,$C2627,$K$25:$K2627)-SUMIF($C$25:$C2627,$C2627,$L$25:$L2627),"")</f>
        <v/>
      </c>
      <c r="N2627" s="10"/>
      <c r="O2627" s="10"/>
      <c r="P2627" s="65"/>
      <c r="Q2627" s="10"/>
      <c r="R2627" s="10"/>
      <c r="S2627" s="54" t="str">
        <f t="shared" si="126"/>
        <v/>
      </c>
      <c r="T2627" s="54" t="str">
        <f t="shared" si="127"/>
        <v/>
      </c>
      <c r="U2627" s="58" t="str">
        <f t="shared" si="128"/>
        <v/>
      </c>
      <c r="V2627" s="58">
        <f>IF(AND($B2627&lt;&gt;"",$F2627&lt;&gt;"",$F2627=项目明细账!$C$2),N(V2626)+1,N(V2626))</f>
        <v>0</v>
      </c>
      <c r="W2627" s="63" t="str">
        <f>IF($H2627&lt;&gt;"","项目成本",IFERROR(INDEX(基础资料!$W$4:$W$49,MATCH($I2627,基础资料!$V$4:$V$49,0)),""))</f>
        <v/>
      </c>
      <c r="X2627" s="63" t="str">
        <f>IFERROR(INDEX(基础资料!$R$4:$R$17,MATCH($G2627,基础资料!$Q$4:$Q$17,0)),"")</f>
        <v/>
      </c>
    </row>
    <row r="2628" spans="1:24">
      <c r="A2628" s="58" t="str">
        <f>IF($B2628="","",COUNTA($B$5:$B2628))</f>
        <v/>
      </c>
      <c r="B2628" s="53"/>
      <c r="C2628" s="46"/>
      <c r="D2628" s="63" t="str">
        <f>IFERROR(INDEX(基础资料!$F$4:$F$23,MATCH($C2628,基础资料!$E$4:$E$23,0)),IF($C2628="","","未匹配账户"))</f>
        <v/>
      </c>
      <c r="E2628" s="39"/>
      <c r="F2628" s="10"/>
      <c r="G2628" s="10"/>
      <c r="H2628" s="10"/>
      <c r="I2628" s="10"/>
      <c r="J2628" s="10"/>
      <c r="K2628" s="25"/>
      <c r="L2628" s="25"/>
      <c r="M2628" s="25" t="str">
        <f>IFERROR(VLOOKUP($C2628,$C$5:$M$24,11,0)+SUMIF($C$25:$C2628,$C2628,$K$25:$K2628)-SUMIF($C$25:$C2628,$C2628,$L$25:$L2628),"")</f>
        <v/>
      </c>
      <c r="N2628" s="10"/>
      <c r="O2628" s="10"/>
      <c r="P2628" s="65"/>
      <c r="Q2628" s="10"/>
      <c r="R2628" s="10"/>
      <c r="S2628" s="54" t="str">
        <f t="shared" si="126"/>
        <v/>
      </c>
      <c r="T2628" s="54" t="str">
        <f t="shared" si="127"/>
        <v/>
      </c>
      <c r="U2628" s="58" t="str">
        <f t="shared" si="128"/>
        <v/>
      </c>
      <c r="V2628" s="58">
        <f>IF(AND($B2628&lt;&gt;"",$F2628&lt;&gt;"",$F2628=项目明细账!$C$2),N(V2627)+1,N(V2627))</f>
        <v>0</v>
      </c>
      <c r="W2628" s="63" t="str">
        <f>IF($H2628&lt;&gt;"","项目成本",IFERROR(INDEX(基础资料!$W$4:$W$49,MATCH($I2628,基础资料!$V$4:$V$49,0)),""))</f>
        <v/>
      </c>
      <c r="X2628" s="63" t="str">
        <f>IFERROR(INDEX(基础资料!$R$4:$R$17,MATCH($G2628,基础资料!$Q$4:$Q$17,0)),"")</f>
        <v/>
      </c>
    </row>
    <row r="2629" spans="1:24">
      <c r="A2629" s="58" t="str">
        <f>IF($B2629="","",COUNTA($B$5:$B2629))</f>
        <v/>
      </c>
      <c r="B2629" s="53"/>
      <c r="C2629" s="46"/>
      <c r="D2629" s="63" t="str">
        <f>IFERROR(INDEX(基础资料!$F$4:$F$23,MATCH($C2629,基础资料!$E$4:$E$23,0)),IF($C2629="","","未匹配账户"))</f>
        <v/>
      </c>
      <c r="E2629" s="39"/>
      <c r="F2629" s="10"/>
      <c r="G2629" s="10"/>
      <c r="H2629" s="10"/>
      <c r="I2629" s="10"/>
      <c r="J2629" s="10"/>
      <c r="K2629" s="25"/>
      <c r="L2629" s="25"/>
      <c r="M2629" s="25" t="str">
        <f>IFERROR(VLOOKUP($C2629,$C$5:$M$24,11,0)+SUMIF($C$25:$C2629,$C2629,$K$25:$K2629)-SUMIF($C$25:$C2629,$C2629,$L$25:$L2629),"")</f>
        <v/>
      </c>
      <c r="N2629" s="10"/>
      <c r="O2629" s="10"/>
      <c r="P2629" s="65"/>
      <c r="Q2629" s="10"/>
      <c r="R2629" s="10"/>
      <c r="S2629" s="54" t="str">
        <f t="shared" si="126"/>
        <v/>
      </c>
      <c r="T2629" s="54" t="str">
        <f t="shared" si="127"/>
        <v/>
      </c>
      <c r="U2629" s="58" t="str">
        <f t="shared" si="128"/>
        <v/>
      </c>
      <c r="V2629" s="58">
        <f>IF(AND($B2629&lt;&gt;"",$F2629&lt;&gt;"",$F2629=项目明细账!$C$2),N(V2628)+1,N(V2628))</f>
        <v>0</v>
      </c>
      <c r="W2629" s="63" t="str">
        <f>IF($H2629&lt;&gt;"","项目成本",IFERROR(INDEX(基础资料!$W$4:$W$49,MATCH($I2629,基础资料!$V$4:$V$49,0)),""))</f>
        <v/>
      </c>
      <c r="X2629" s="63" t="str">
        <f>IFERROR(INDEX(基础资料!$R$4:$R$17,MATCH($G2629,基础资料!$Q$4:$Q$17,0)),"")</f>
        <v/>
      </c>
    </row>
    <row r="2630" spans="1:24">
      <c r="A2630" s="58" t="str">
        <f>IF($B2630="","",COUNTA($B$5:$B2630))</f>
        <v/>
      </c>
      <c r="B2630" s="53"/>
      <c r="C2630" s="46"/>
      <c r="D2630" s="63" t="str">
        <f>IFERROR(INDEX(基础资料!$F$4:$F$23,MATCH($C2630,基础资料!$E$4:$E$23,0)),IF($C2630="","","未匹配账户"))</f>
        <v/>
      </c>
      <c r="E2630" s="39"/>
      <c r="F2630" s="10"/>
      <c r="G2630" s="10"/>
      <c r="H2630" s="10"/>
      <c r="I2630" s="10"/>
      <c r="J2630" s="10"/>
      <c r="K2630" s="25"/>
      <c r="L2630" s="25"/>
      <c r="M2630" s="25" t="str">
        <f>IFERROR(VLOOKUP($C2630,$C$5:$M$24,11,0)+SUMIF($C$25:$C2630,$C2630,$K$25:$K2630)-SUMIF($C$25:$C2630,$C2630,$L$25:$L2630),"")</f>
        <v/>
      </c>
      <c r="N2630" s="10"/>
      <c r="O2630" s="10"/>
      <c r="P2630" s="65"/>
      <c r="Q2630" s="10"/>
      <c r="R2630" s="10"/>
      <c r="S2630" s="54" t="str">
        <f t="shared" si="126"/>
        <v/>
      </c>
      <c r="T2630" s="54" t="str">
        <f t="shared" si="127"/>
        <v/>
      </c>
      <c r="U2630" s="58" t="str">
        <f t="shared" si="128"/>
        <v/>
      </c>
      <c r="V2630" s="58">
        <f>IF(AND($B2630&lt;&gt;"",$F2630&lt;&gt;"",$F2630=项目明细账!$C$2),N(V2629)+1,N(V2629))</f>
        <v>0</v>
      </c>
      <c r="W2630" s="63" t="str">
        <f>IF($H2630&lt;&gt;"","项目成本",IFERROR(INDEX(基础资料!$W$4:$W$49,MATCH($I2630,基础资料!$V$4:$V$49,0)),""))</f>
        <v/>
      </c>
      <c r="X2630" s="63" t="str">
        <f>IFERROR(INDEX(基础资料!$R$4:$R$17,MATCH($G2630,基础资料!$Q$4:$Q$17,0)),"")</f>
        <v/>
      </c>
    </row>
    <row r="2631" spans="1:24">
      <c r="A2631" s="58" t="str">
        <f>IF($B2631="","",COUNTA($B$5:$B2631))</f>
        <v/>
      </c>
      <c r="B2631" s="53"/>
      <c r="C2631" s="46"/>
      <c r="D2631" s="63" t="str">
        <f>IFERROR(INDEX(基础资料!$F$4:$F$23,MATCH($C2631,基础资料!$E$4:$E$23,0)),IF($C2631="","","未匹配账户"))</f>
        <v/>
      </c>
      <c r="E2631" s="39"/>
      <c r="F2631" s="10"/>
      <c r="G2631" s="10"/>
      <c r="H2631" s="10"/>
      <c r="I2631" s="10"/>
      <c r="J2631" s="10"/>
      <c r="K2631" s="25"/>
      <c r="L2631" s="25"/>
      <c r="M2631" s="25" t="str">
        <f>IFERROR(VLOOKUP($C2631,$C$5:$M$24,11,0)+SUMIF($C$25:$C2631,$C2631,$K$25:$K2631)-SUMIF($C$25:$C2631,$C2631,$L$25:$L2631),"")</f>
        <v/>
      </c>
      <c r="N2631" s="10"/>
      <c r="O2631" s="10"/>
      <c r="P2631" s="65"/>
      <c r="Q2631" s="10"/>
      <c r="R2631" s="10"/>
      <c r="S2631" s="54" t="str">
        <f t="shared" ref="S2631:S2694" si="129">IF($B2631="","",--TEXT($B2631,"yyyymm"))</f>
        <v/>
      </c>
      <c r="T2631" s="54" t="str">
        <f t="shared" ref="T2631:T2694" si="130">IF($B2631="","",IF($P2631="",$S2631,IFERROR($P2631*1,$P2631)))</f>
        <v/>
      </c>
      <c r="U2631" s="58" t="str">
        <f t="shared" ref="U2631:U2694" si="131">IF($B2631="","",IF($T2631=$S2631,"","跨期"))</f>
        <v/>
      </c>
      <c r="V2631" s="58">
        <f>IF(AND($B2631&lt;&gt;"",$F2631&lt;&gt;"",$F2631=项目明细账!$C$2),N(V2630)+1,N(V2630))</f>
        <v>0</v>
      </c>
      <c r="W2631" s="63" t="str">
        <f>IF($H2631&lt;&gt;"","项目成本",IFERROR(INDEX(基础资料!$W$4:$W$49,MATCH($I2631,基础资料!$V$4:$V$49,0)),""))</f>
        <v/>
      </c>
      <c r="X2631" s="63" t="str">
        <f>IFERROR(INDEX(基础资料!$R$4:$R$17,MATCH($G2631,基础资料!$Q$4:$Q$17,0)),"")</f>
        <v/>
      </c>
    </row>
    <row r="2632" spans="1:24">
      <c r="A2632" s="58" t="str">
        <f>IF($B2632="","",COUNTA($B$5:$B2632))</f>
        <v/>
      </c>
      <c r="B2632" s="53"/>
      <c r="C2632" s="46"/>
      <c r="D2632" s="63" t="str">
        <f>IFERROR(INDEX(基础资料!$F$4:$F$23,MATCH($C2632,基础资料!$E$4:$E$23,0)),IF($C2632="","","未匹配账户"))</f>
        <v/>
      </c>
      <c r="E2632" s="39"/>
      <c r="F2632" s="10"/>
      <c r="G2632" s="10"/>
      <c r="H2632" s="10"/>
      <c r="I2632" s="10"/>
      <c r="J2632" s="10"/>
      <c r="K2632" s="25"/>
      <c r="L2632" s="25"/>
      <c r="M2632" s="25" t="str">
        <f>IFERROR(VLOOKUP($C2632,$C$5:$M$24,11,0)+SUMIF($C$25:$C2632,$C2632,$K$25:$K2632)-SUMIF($C$25:$C2632,$C2632,$L$25:$L2632),"")</f>
        <v/>
      </c>
      <c r="N2632" s="10"/>
      <c r="O2632" s="10"/>
      <c r="P2632" s="65"/>
      <c r="Q2632" s="10"/>
      <c r="R2632" s="10"/>
      <c r="S2632" s="54" t="str">
        <f t="shared" si="129"/>
        <v/>
      </c>
      <c r="T2632" s="54" t="str">
        <f t="shared" si="130"/>
        <v/>
      </c>
      <c r="U2632" s="58" t="str">
        <f t="shared" si="131"/>
        <v/>
      </c>
      <c r="V2632" s="58">
        <f>IF(AND($B2632&lt;&gt;"",$F2632&lt;&gt;"",$F2632=项目明细账!$C$2),N(V2631)+1,N(V2631))</f>
        <v>0</v>
      </c>
      <c r="W2632" s="63" t="str">
        <f>IF($H2632&lt;&gt;"","项目成本",IFERROR(INDEX(基础资料!$W$4:$W$49,MATCH($I2632,基础资料!$V$4:$V$49,0)),""))</f>
        <v/>
      </c>
      <c r="X2632" s="63" t="str">
        <f>IFERROR(INDEX(基础资料!$R$4:$R$17,MATCH($G2632,基础资料!$Q$4:$Q$17,0)),"")</f>
        <v/>
      </c>
    </row>
    <row r="2633" spans="1:24">
      <c r="A2633" s="58" t="str">
        <f>IF($B2633="","",COUNTA($B$5:$B2633))</f>
        <v/>
      </c>
      <c r="B2633" s="53"/>
      <c r="C2633" s="46"/>
      <c r="D2633" s="63" t="str">
        <f>IFERROR(INDEX(基础资料!$F$4:$F$23,MATCH($C2633,基础资料!$E$4:$E$23,0)),IF($C2633="","","未匹配账户"))</f>
        <v/>
      </c>
      <c r="E2633" s="39"/>
      <c r="F2633" s="10"/>
      <c r="G2633" s="10"/>
      <c r="H2633" s="10"/>
      <c r="I2633" s="10"/>
      <c r="J2633" s="10"/>
      <c r="K2633" s="25"/>
      <c r="L2633" s="25"/>
      <c r="M2633" s="25" t="str">
        <f>IFERROR(VLOOKUP($C2633,$C$5:$M$24,11,0)+SUMIF($C$25:$C2633,$C2633,$K$25:$K2633)-SUMIF($C$25:$C2633,$C2633,$L$25:$L2633),"")</f>
        <v/>
      </c>
      <c r="N2633" s="10"/>
      <c r="O2633" s="10"/>
      <c r="P2633" s="65"/>
      <c r="Q2633" s="10"/>
      <c r="R2633" s="10"/>
      <c r="S2633" s="54" t="str">
        <f t="shared" si="129"/>
        <v/>
      </c>
      <c r="T2633" s="54" t="str">
        <f t="shared" si="130"/>
        <v/>
      </c>
      <c r="U2633" s="58" t="str">
        <f t="shared" si="131"/>
        <v/>
      </c>
      <c r="V2633" s="58">
        <f>IF(AND($B2633&lt;&gt;"",$F2633&lt;&gt;"",$F2633=项目明细账!$C$2),N(V2632)+1,N(V2632))</f>
        <v>0</v>
      </c>
      <c r="W2633" s="63" t="str">
        <f>IF($H2633&lt;&gt;"","项目成本",IFERROR(INDEX(基础资料!$W$4:$W$49,MATCH($I2633,基础资料!$V$4:$V$49,0)),""))</f>
        <v/>
      </c>
      <c r="X2633" s="63" t="str">
        <f>IFERROR(INDEX(基础资料!$R$4:$R$17,MATCH($G2633,基础资料!$Q$4:$Q$17,0)),"")</f>
        <v/>
      </c>
    </row>
    <row r="2634" spans="1:24">
      <c r="A2634" s="58" t="str">
        <f>IF($B2634="","",COUNTA($B$5:$B2634))</f>
        <v/>
      </c>
      <c r="B2634" s="53"/>
      <c r="C2634" s="46"/>
      <c r="D2634" s="63" t="str">
        <f>IFERROR(INDEX(基础资料!$F$4:$F$23,MATCH($C2634,基础资料!$E$4:$E$23,0)),IF($C2634="","","未匹配账户"))</f>
        <v/>
      </c>
      <c r="E2634" s="39"/>
      <c r="F2634" s="10"/>
      <c r="G2634" s="10"/>
      <c r="H2634" s="10"/>
      <c r="I2634" s="10"/>
      <c r="J2634" s="10"/>
      <c r="K2634" s="25"/>
      <c r="L2634" s="25"/>
      <c r="M2634" s="25" t="str">
        <f>IFERROR(VLOOKUP($C2634,$C$5:$M$24,11,0)+SUMIF($C$25:$C2634,$C2634,$K$25:$K2634)-SUMIF($C$25:$C2634,$C2634,$L$25:$L2634),"")</f>
        <v/>
      </c>
      <c r="N2634" s="10"/>
      <c r="O2634" s="10"/>
      <c r="P2634" s="65"/>
      <c r="Q2634" s="10"/>
      <c r="R2634" s="10"/>
      <c r="S2634" s="54" t="str">
        <f t="shared" si="129"/>
        <v/>
      </c>
      <c r="T2634" s="54" t="str">
        <f t="shared" si="130"/>
        <v/>
      </c>
      <c r="U2634" s="58" t="str">
        <f t="shared" si="131"/>
        <v/>
      </c>
      <c r="V2634" s="58">
        <f>IF(AND($B2634&lt;&gt;"",$F2634&lt;&gt;"",$F2634=项目明细账!$C$2),N(V2633)+1,N(V2633))</f>
        <v>0</v>
      </c>
      <c r="W2634" s="63" t="str">
        <f>IF($H2634&lt;&gt;"","项目成本",IFERROR(INDEX(基础资料!$W$4:$W$49,MATCH($I2634,基础资料!$V$4:$V$49,0)),""))</f>
        <v/>
      </c>
      <c r="X2634" s="63" t="str">
        <f>IFERROR(INDEX(基础资料!$R$4:$R$17,MATCH($G2634,基础资料!$Q$4:$Q$17,0)),"")</f>
        <v/>
      </c>
    </row>
    <row r="2635" spans="1:24">
      <c r="A2635" s="58" t="str">
        <f>IF($B2635="","",COUNTA($B$5:$B2635))</f>
        <v/>
      </c>
      <c r="B2635" s="53"/>
      <c r="C2635" s="46"/>
      <c r="D2635" s="63" t="str">
        <f>IFERROR(INDEX(基础资料!$F$4:$F$23,MATCH($C2635,基础资料!$E$4:$E$23,0)),IF($C2635="","","未匹配账户"))</f>
        <v/>
      </c>
      <c r="E2635" s="39"/>
      <c r="F2635" s="10"/>
      <c r="G2635" s="10"/>
      <c r="H2635" s="10"/>
      <c r="I2635" s="10"/>
      <c r="J2635" s="10"/>
      <c r="K2635" s="25"/>
      <c r="L2635" s="25"/>
      <c r="M2635" s="25" t="str">
        <f>IFERROR(VLOOKUP($C2635,$C$5:$M$24,11,0)+SUMIF($C$25:$C2635,$C2635,$K$25:$K2635)-SUMIF($C$25:$C2635,$C2635,$L$25:$L2635),"")</f>
        <v/>
      </c>
      <c r="N2635" s="10"/>
      <c r="O2635" s="10"/>
      <c r="P2635" s="65"/>
      <c r="Q2635" s="10"/>
      <c r="R2635" s="10"/>
      <c r="S2635" s="54" t="str">
        <f t="shared" si="129"/>
        <v/>
      </c>
      <c r="T2635" s="54" t="str">
        <f t="shared" si="130"/>
        <v/>
      </c>
      <c r="U2635" s="58" t="str">
        <f t="shared" si="131"/>
        <v/>
      </c>
      <c r="V2635" s="58">
        <f>IF(AND($B2635&lt;&gt;"",$F2635&lt;&gt;"",$F2635=项目明细账!$C$2),N(V2634)+1,N(V2634))</f>
        <v>0</v>
      </c>
      <c r="W2635" s="63" t="str">
        <f>IF($H2635&lt;&gt;"","项目成本",IFERROR(INDEX(基础资料!$W$4:$W$49,MATCH($I2635,基础资料!$V$4:$V$49,0)),""))</f>
        <v/>
      </c>
      <c r="X2635" s="63" t="str">
        <f>IFERROR(INDEX(基础资料!$R$4:$R$17,MATCH($G2635,基础资料!$Q$4:$Q$17,0)),"")</f>
        <v/>
      </c>
    </row>
    <row r="2636" spans="1:24">
      <c r="A2636" s="58" t="str">
        <f>IF($B2636="","",COUNTA($B$5:$B2636))</f>
        <v/>
      </c>
      <c r="B2636" s="53"/>
      <c r="C2636" s="46"/>
      <c r="D2636" s="63" t="str">
        <f>IFERROR(INDEX(基础资料!$F$4:$F$23,MATCH($C2636,基础资料!$E$4:$E$23,0)),IF($C2636="","","未匹配账户"))</f>
        <v/>
      </c>
      <c r="E2636" s="39"/>
      <c r="F2636" s="10"/>
      <c r="G2636" s="10"/>
      <c r="H2636" s="10"/>
      <c r="I2636" s="10"/>
      <c r="J2636" s="10"/>
      <c r="K2636" s="25"/>
      <c r="L2636" s="25"/>
      <c r="M2636" s="25" t="str">
        <f>IFERROR(VLOOKUP($C2636,$C$5:$M$24,11,0)+SUMIF($C$25:$C2636,$C2636,$K$25:$K2636)-SUMIF($C$25:$C2636,$C2636,$L$25:$L2636),"")</f>
        <v/>
      </c>
      <c r="N2636" s="10"/>
      <c r="O2636" s="10"/>
      <c r="P2636" s="65"/>
      <c r="Q2636" s="10"/>
      <c r="R2636" s="10"/>
      <c r="S2636" s="54" t="str">
        <f t="shared" si="129"/>
        <v/>
      </c>
      <c r="T2636" s="54" t="str">
        <f t="shared" si="130"/>
        <v/>
      </c>
      <c r="U2636" s="58" t="str">
        <f t="shared" si="131"/>
        <v/>
      </c>
      <c r="V2636" s="58">
        <f>IF(AND($B2636&lt;&gt;"",$F2636&lt;&gt;"",$F2636=项目明细账!$C$2),N(V2635)+1,N(V2635))</f>
        <v>0</v>
      </c>
      <c r="W2636" s="63" t="str">
        <f>IF($H2636&lt;&gt;"","项目成本",IFERROR(INDEX(基础资料!$W$4:$W$49,MATCH($I2636,基础资料!$V$4:$V$49,0)),""))</f>
        <v/>
      </c>
      <c r="X2636" s="63" t="str">
        <f>IFERROR(INDEX(基础资料!$R$4:$R$17,MATCH($G2636,基础资料!$Q$4:$Q$17,0)),"")</f>
        <v/>
      </c>
    </row>
    <row r="2637" spans="1:24">
      <c r="A2637" s="58" t="str">
        <f>IF($B2637="","",COUNTA($B$5:$B2637))</f>
        <v/>
      </c>
      <c r="B2637" s="53"/>
      <c r="C2637" s="46"/>
      <c r="D2637" s="63" t="str">
        <f>IFERROR(INDEX(基础资料!$F$4:$F$23,MATCH($C2637,基础资料!$E$4:$E$23,0)),IF($C2637="","","未匹配账户"))</f>
        <v/>
      </c>
      <c r="E2637" s="39"/>
      <c r="F2637" s="10"/>
      <c r="G2637" s="10"/>
      <c r="H2637" s="10"/>
      <c r="I2637" s="10"/>
      <c r="J2637" s="10"/>
      <c r="K2637" s="25"/>
      <c r="L2637" s="25"/>
      <c r="M2637" s="25" t="str">
        <f>IFERROR(VLOOKUP($C2637,$C$5:$M$24,11,0)+SUMIF($C$25:$C2637,$C2637,$K$25:$K2637)-SUMIF($C$25:$C2637,$C2637,$L$25:$L2637),"")</f>
        <v/>
      </c>
      <c r="N2637" s="10"/>
      <c r="O2637" s="10"/>
      <c r="P2637" s="65"/>
      <c r="Q2637" s="10"/>
      <c r="R2637" s="10"/>
      <c r="S2637" s="54" t="str">
        <f t="shared" si="129"/>
        <v/>
      </c>
      <c r="T2637" s="54" t="str">
        <f t="shared" si="130"/>
        <v/>
      </c>
      <c r="U2637" s="58" t="str">
        <f t="shared" si="131"/>
        <v/>
      </c>
      <c r="V2637" s="58">
        <f>IF(AND($B2637&lt;&gt;"",$F2637&lt;&gt;"",$F2637=项目明细账!$C$2),N(V2636)+1,N(V2636))</f>
        <v>0</v>
      </c>
      <c r="W2637" s="63" t="str">
        <f>IF($H2637&lt;&gt;"","项目成本",IFERROR(INDEX(基础资料!$W$4:$W$49,MATCH($I2637,基础资料!$V$4:$V$49,0)),""))</f>
        <v/>
      </c>
      <c r="X2637" s="63" t="str">
        <f>IFERROR(INDEX(基础资料!$R$4:$R$17,MATCH($G2637,基础资料!$Q$4:$Q$17,0)),"")</f>
        <v/>
      </c>
    </row>
    <row r="2638" spans="1:24">
      <c r="A2638" s="58" t="str">
        <f>IF($B2638="","",COUNTA($B$5:$B2638))</f>
        <v/>
      </c>
      <c r="B2638" s="53"/>
      <c r="C2638" s="46"/>
      <c r="D2638" s="63" t="str">
        <f>IFERROR(INDEX(基础资料!$F$4:$F$23,MATCH($C2638,基础资料!$E$4:$E$23,0)),IF($C2638="","","未匹配账户"))</f>
        <v/>
      </c>
      <c r="E2638" s="39"/>
      <c r="F2638" s="10"/>
      <c r="G2638" s="10"/>
      <c r="H2638" s="10"/>
      <c r="I2638" s="10"/>
      <c r="J2638" s="10"/>
      <c r="K2638" s="25"/>
      <c r="L2638" s="25"/>
      <c r="M2638" s="25" t="str">
        <f>IFERROR(VLOOKUP($C2638,$C$5:$M$24,11,0)+SUMIF($C$25:$C2638,$C2638,$K$25:$K2638)-SUMIF($C$25:$C2638,$C2638,$L$25:$L2638),"")</f>
        <v/>
      </c>
      <c r="N2638" s="10"/>
      <c r="O2638" s="10"/>
      <c r="P2638" s="65"/>
      <c r="Q2638" s="10"/>
      <c r="R2638" s="10"/>
      <c r="S2638" s="54" t="str">
        <f t="shared" si="129"/>
        <v/>
      </c>
      <c r="T2638" s="54" t="str">
        <f t="shared" si="130"/>
        <v/>
      </c>
      <c r="U2638" s="58" t="str">
        <f t="shared" si="131"/>
        <v/>
      </c>
      <c r="V2638" s="58">
        <f>IF(AND($B2638&lt;&gt;"",$F2638&lt;&gt;"",$F2638=项目明细账!$C$2),N(V2637)+1,N(V2637))</f>
        <v>0</v>
      </c>
      <c r="W2638" s="63" t="str">
        <f>IF($H2638&lt;&gt;"","项目成本",IFERROR(INDEX(基础资料!$W$4:$W$49,MATCH($I2638,基础资料!$V$4:$V$49,0)),""))</f>
        <v/>
      </c>
      <c r="X2638" s="63" t="str">
        <f>IFERROR(INDEX(基础资料!$R$4:$R$17,MATCH($G2638,基础资料!$Q$4:$Q$17,0)),"")</f>
        <v/>
      </c>
    </row>
    <row r="2639" spans="1:24">
      <c r="A2639" s="58" t="str">
        <f>IF($B2639="","",COUNTA($B$5:$B2639))</f>
        <v/>
      </c>
      <c r="B2639" s="53"/>
      <c r="C2639" s="46"/>
      <c r="D2639" s="63" t="str">
        <f>IFERROR(INDEX(基础资料!$F$4:$F$23,MATCH($C2639,基础资料!$E$4:$E$23,0)),IF($C2639="","","未匹配账户"))</f>
        <v/>
      </c>
      <c r="E2639" s="39"/>
      <c r="F2639" s="10"/>
      <c r="G2639" s="10"/>
      <c r="H2639" s="10"/>
      <c r="I2639" s="10"/>
      <c r="J2639" s="10"/>
      <c r="K2639" s="25"/>
      <c r="L2639" s="25"/>
      <c r="M2639" s="25" t="str">
        <f>IFERROR(VLOOKUP($C2639,$C$5:$M$24,11,0)+SUMIF($C$25:$C2639,$C2639,$K$25:$K2639)-SUMIF($C$25:$C2639,$C2639,$L$25:$L2639),"")</f>
        <v/>
      </c>
      <c r="N2639" s="10"/>
      <c r="O2639" s="10"/>
      <c r="P2639" s="65"/>
      <c r="Q2639" s="10"/>
      <c r="R2639" s="10"/>
      <c r="S2639" s="54" t="str">
        <f t="shared" si="129"/>
        <v/>
      </c>
      <c r="T2639" s="54" t="str">
        <f t="shared" si="130"/>
        <v/>
      </c>
      <c r="U2639" s="58" t="str">
        <f t="shared" si="131"/>
        <v/>
      </c>
      <c r="V2639" s="58">
        <f>IF(AND($B2639&lt;&gt;"",$F2639&lt;&gt;"",$F2639=项目明细账!$C$2),N(V2638)+1,N(V2638))</f>
        <v>0</v>
      </c>
      <c r="W2639" s="63" t="str">
        <f>IF($H2639&lt;&gt;"","项目成本",IFERROR(INDEX(基础资料!$W$4:$W$49,MATCH($I2639,基础资料!$V$4:$V$49,0)),""))</f>
        <v/>
      </c>
      <c r="X2639" s="63" t="str">
        <f>IFERROR(INDEX(基础资料!$R$4:$R$17,MATCH($G2639,基础资料!$Q$4:$Q$17,0)),"")</f>
        <v/>
      </c>
    </row>
    <row r="2640" spans="1:24">
      <c r="A2640" s="58" t="str">
        <f>IF($B2640="","",COUNTA($B$5:$B2640))</f>
        <v/>
      </c>
      <c r="B2640" s="53"/>
      <c r="C2640" s="46"/>
      <c r="D2640" s="63" t="str">
        <f>IFERROR(INDEX(基础资料!$F$4:$F$23,MATCH($C2640,基础资料!$E$4:$E$23,0)),IF($C2640="","","未匹配账户"))</f>
        <v/>
      </c>
      <c r="E2640" s="39"/>
      <c r="F2640" s="10"/>
      <c r="G2640" s="10"/>
      <c r="H2640" s="10"/>
      <c r="I2640" s="10"/>
      <c r="J2640" s="10"/>
      <c r="K2640" s="25"/>
      <c r="L2640" s="25"/>
      <c r="M2640" s="25" t="str">
        <f>IFERROR(VLOOKUP($C2640,$C$5:$M$24,11,0)+SUMIF($C$25:$C2640,$C2640,$K$25:$K2640)-SUMIF($C$25:$C2640,$C2640,$L$25:$L2640),"")</f>
        <v/>
      </c>
      <c r="N2640" s="10"/>
      <c r="O2640" s="10"/>
      <c r="P2640" s="65"/>
      <c r="Q2640" s="10"/>
      <c r="R2640" s="10"/>
      <c r="S2640" s="54" t="str">
        <f t="shared" si="129"/>
        <v/>
      </c>
      <c r="T2640" s="54" t="str">
        <f t="shared" si="130"/>
        <v/>
      </c>
      <c r="U2640" s="58" t="str">
        <f t="shared" si="131"/>
        <v/>
      </c>
      <c r="V2640" s="58">
        <f>IF(AND($B2640&lt;&gt;"",$F2640&lt;&gt;"",$F2640=项目明细账!$C$2),N(V2639)+1,N(V2639))</f>
        <v>0</v>
      </c>
      <c r="W2640" s="63" t="str">
        <f>IF($H2640&lt;&gt;"","项目成本",IFERROR(INDEX(基础资料!$W$4:$W$49,MATCH($I2640,基础资料!$V$4:$V$49,0)),""))</f>
        <v/>
      </c>
      <c r="X2640" s="63" t="str">
        <f>IFERROR(INDEX(基础资料!$R$4:$R$17,MATCH($G2640,基础资料!$Q$4:$Q$17,0)),"")</f>
        <v/>
      </c>
    </row>
    <row r="2641" spans="1:24">
      <c r="A2641" s="58" t="str">
        <f>IF($B2641="","",COUNTA($B$5:$B2641))</f>
        <v/>
      </c>
      <c r="B2641" s="53"/>
      <c r="C2641" s="46"/>
      <c r="D2641" s="63" t="str">
        <f>IFERROR(INDEX(基础资料!$F$4:$F$23,MATCH($C2641,基础资料!$E$4:$E$23,0)),IF($C2641="","","未匹配账户"))</f>
        <v/>
      </c>
      <c r="E2641" s="39"/>
      <c r="F2641" s="10"/>
      <c r="G2641" s="10"/>
      <c r="H2641" s="10"/>
      <c r="I2641" s="10"/>
      <c r="J2641" s="10"/>
      <c r="K2641" s="25"/>
      <c r="L2641" s="25"/>
      <c r="M2641" s="25" t="str">
        <f>IFERROR(VLOOKUP($C2641,$C$5:$M$24,11,0)+SUMIF($C$25:$C2641,$C2641,$K$25:$K2641)-SUMIF($C$25:$C2641,$C2641,$L$25:$L2641),"")</f>
        <v/>
      </c>
      <c r="N2641" s="10"/>
      <c r="O2641" s="10"/>
      <c r="P2641" s="65"/>
      <c r="Q2641" s="10"/>
      <c r="R2641" s="10"/>
      <c r="S2641" s="54" t="str">
        <f t="shared" si="129"/>
        <v/>
      </c>
      <c r="T2641" s="54" t="str">
        <f t="shared" si="130"/>
        <v/>
      </c>
      <c r="U2641" s="58" t="str">
        <f t="shared" si="131"/>
        <v/>
      </c>
      <c r="V2641" s="58">
        <f>IF(AND($B2641&lt;&gt;"",$F2641&lt;&gt;"",$F2641=项目明细账!$C$2),N(V2640)+1,N(V2640))</f>
        <v>0</v>
      </c>
      <c r="W2641" s="63" t="str">
        <f>IF($H2641&lt;&gt;"","项目成本",IFERROR(INDEX(基础资料!$W$4:$W$49,MATCH($I2641,基础资料!$V$4:$V$49,0)),""))</f>
        <v/>
      </c>
      <c r="X2641" s="63" t="str">
        <f>IFERROR(INDEX(基础资料!$R$4:$R$17,MATCH($G2641,基础资料!$Q$4:$Q$17,0)),"")</f>
        <v/>
      </c>
    </row>
    <row r="2642" spans="1:24">
      <c r="A2642" s="58" t="str">
        <f>IF($B2642="","",COUNTA($B$5:$B2642))</f>
        <v/>
      </c>
      <c r="B2642" s="53"/>
      <c r="C2642" s="46"/>
      <c r="D2642" s="63" t="str">
        <f>IFERROR(INDEX(基础资料!$F$4:$F$23,MATCH($C2642,基础资料!$E$4:$E$23,0)),IF($C2642="","","未匹配账户"))</f>
        <v/>
      </c>
      <c r="E2642" s="39"/>
      <c r="F2642" s="10"/>
      <c r="G2642" s="10"/>
      <c r="H2642" s="10"/>
      <c r="I2642" s="10"/>
      <c r="J2642" s="10"/>
      <c r="K2642" s="25"/>
      <c r="L2642" s="25"/>
      <c r="M2642" s="25" t="str">
        <f>IFERROR(VLOOKUP($C2642,$C$5:$M$24,11,0)+SUMIF($C$25:$C2642,$C2642,$K$25:$K2642)-SUMIF($C$25:$C2642,$C2642,$L$25:$L2642),"")</f>
        <v/>
      </c>
      <c r="N2642" s="10"/>
      <c r="O2642" s="10"/>
      <c r="P2642" s="65"/>
      <c r="Q2642" s="10"/>
      <c r="R2642" s="10"/>
      <c r="S2642" s="54" t="str">
        <f t="shared" si="129"/>
        <v/>
      </c>
      <c r="T2642" s="54" t="str">
        <f t="shared" si="130"/>
        <v/>
      </c>
      <c r="U2642" s="58" t="str">
        <f t="shared" si="131"/>
        <v/>
      </c>
      <c r="V2642" s="58">
        <f>IF(AND($B2642&lt;&gt;"",$F2642&lt;&gt;"",$F2642=项目明细账!$C$2),N(V2641)+1,N(V2641))</f>
        <v>0</v>
      </c>
      <c r="W2642" s="63" t="str">
        <f>IF($H2642&lt;&gt;"","项目成本",IFERROR(INDEX(基础资料!$W$4:$W$49,MATCH($I2642,基础资料!$V$4:$V$49,0)),""))</f>
        <v/>
      </c>
      <c r="X2642" s="63" t="str">
        <f>IFERROR(INDEX(基础资料!$R$4:$R$17,MATCH($G2642,基础资料!$Q$4:$Q$17,0)),"")</f>
        <v/>
      </c>
    </row>
    <row r="2643" spans="1:24">
      <c r="A2643" s="58" t="str">
        <f>IF($B2643="","",COUNTA($B$5:$B2643))</f>
        <v/>
      </c>
      <c r="B2643" s="53"/>
      <c r="C2643" s="46"/>
      <c r="D2643" s="63" t="str">
        <f>IFERROR(INDEX(基础资料!$F$4:$F$23,MATCH($C2643,基础资料!$E$4:$E$23,0)),IF($C2643="","","未匹配账户"))</f>
        <v/>
      </c>
      <c r="E2643" s="39"/>
      <c r="F2643" s="10"/>
      <c r="G2643" s="10"/>
      <c r="H2643" s="10"/>
      <c r="I2643" s="10"/>
      <c r="J2643" s="10"/>
      <c r="K2643" s="25"/>
      <c r="L2643" s="25"/>
      <c r="M2643" s="25" t="str">
        <f>IFERROR(VLOOKUP($C2643,$C$5:$M$24,11,0)+SUMIF($C$25:$C2643,$C2643,$K$25:$K2643)-SUMIF($C$25:$C2643,$C2643,$L$25:$L2643),"")</f>
        <v/>
      </c>
      <c r="N2643" s="10"/>
      <c r="O2643" s="10"/>
      <c r="P2643" s="65"/>
      <c r="Q2643" s="10"/>
      <c r="R2643" s="10"/>
      <c r="S2643" s="54" t="str">
        <f t="shared" si="129"/>
        <v/>
      </c>
      <c r="T2643" s="54" t="str">
        <f t="shared" si="130"/>
        <v/>
      </c>
      <c r="U2643" s="58" t="str">
        <f t="shared" si="131"/>
        <v/>
      </c>
      <c r="V2643" s="58">
        <f>IF(AND($B2643&lt;&gt;"",$F2643&lt;&gt;"",$F2643=项目明细账!$C$2),N(V2642)+1,N(V2642))</f>
        <v>0</v>
      </c>
      <c r="W2643" s="63" t="str">
        <f>IF($H2643&lt;&gt;"","项目成本",IFERROR(INDEX(基础资料!$W$4:$W$49,MATCH($I2643,基础资料!$V$4:$V$49,0)),""))</f>
        <v/>
      </c>
      <c r="X2643" s="63" t="str">
        <f>IFERROR(INDEX(基础资料!$R$4:$R$17,MATCH($G2643,基础资料!$Q$4:$Q$17,0)),"")</f>
        <v/>
      </c>
    </row>
    <row r="2644" spans="1:24">
      <c r="A2644" s="58" t="str">
        <f>IF($B2644="","",COUNTA($B$5:$B2644))</f>
        <v/>
      </c>
      <c r="B2644" s="53"/>
      <c r="C2644" s="46"/>
      <c r="D2644" s="63" t="str">
        <f>IFERROR(INDEX(基础资料!$F$4:$F$23,MATCH($C2644,基础资料!$E$4:$E$23,0)),IF($C2644="","","未匹配账户"))</f>
        <v/>
      </c>
      <c r="E2644" s="39"/>
      <c r="F2644" s="10"/>
      <c r="G2644" s="10"/>
      <c r="H2644" s="10"/>
      <c r="I2644" s="10"/>
      <c r="J2644" s="10"/>
      <c r="K2644" s="25"/>
      <c r="L2644" s="25"/>
      <c r="M2644" s="25" t="str">
        <f>IFERROR(VLOOKUP($C2644,$C$5:$M$24,11,0)+SUMIF($C$25:$C2644,$C2644,$K$25:$K2644)-SUMIF($C$25:$C2644,$C2644,$L$25:$L2644),"")</f>
        <v/>
      </c>
      <c r="N2644" s="10"/>
      <c r="O2644" s="10"/>
      <c r="P2644" s="65"/>
      <c r="Q2644" s="10"/>
      <c r="R2644" s="10"/>
      <c r="S2644" s="54" t="str">
        <f t="shared" si="129"/>
        <v/>
      </c>
      <c r="T2644" s="54" t="str">
        <f t="shared" si="130"/>
        <v/>
      </c>
      <c r="U2644" s="58" t="str">
        <f t="shared" si="131"/>
        <v/>
      </c>
      <c r="V2644" s="58">
        <f>IF(AND($B2644&lt;&gt;"",$F2644&lt;&gt;"",$F2644=项目明细账!$C$2),N(V2643)+1,N(V2643))</f>
        <v>0</v>
      </c>
      <c r="W2644" s="63" t="str">
        <f>IF($H2644&lt;&gt;"","项目成本",IFERROR(INDEX(基础资料!$W$4:$W$49,MATCH($I2644,基础资料!$V$4:$V$49,0)),""))</f>
        <v/>
      </c>
      <c r="X2644" s="63" t="str">
        <f>IFERROR(INDEX(基础资料!$R$4:$R$17,MATCH($G2644,基础资料!$Q$4:$Q$17,0)),"")</f>
        <v/>
      </c>
    </row>
    <row r="2645" spans="1:24">
      <c r="A2645" s="58" t="str">
        <f>IF($B2645="","",COUNTA($B$5:$B2645))</f>
        <v/>
      </c>
      <c r="B2645" s="53"/>
      <c r="C2645" s="46"/>
      <c r="D2645" s="63" t="str">
        <f>IFERROR(INDEX(基础资料!$F$4:$F$23,MATCH($C2645,基础资料!$E$4:$E$23,0)),IF($C2645="","","未匹配账户"))</f>
        <v/>
      </c>
      <c r="E2645" s="39"/>
      <c r="F2645" s="10"/>
      <c r="G2645" s="10"/>
      <c r="H2645" s="10"/>
      <c r="I2645" s="10"/>
      <c r="J2645" s="10"/>
      <c r="K2645" s="25"/>
      <c r="L2645" s="25"/>
      <c r="M2645" s="25" t="str">
        <f>IFERROR(VLOOKUP($C2645,$C$5:$M$24,11,0)+SUMIF($C$25:$C2645,$C2645,$K$25:$K2645)-SUMIF($C$25:$C2645,$C2645,$L$25:$L2645),"")</f>
        <v/>
      </c>
      <c r="N2645" s="10"/>
      <c r="O2645" s="10"/>
      <c r="P2645" s="65"/>
      <c r="Q2645" s="10"/>
      <c r="R2645" s="10"/>
      <c r="S2645" s="54" t="str">
        <f t="shared" si="129"/>
        <v/>
      </c>
      <c r="T2645" s="54" t="str">
        <f t="shared" si="130"/>
        <v/>
      </c>
      <c r="U2645" s="58" t="str">
        <f t="shared" si="131"/>
        <v/>
      </c>
      <c r="V2645" s="58">
        <f>IF(AND($B2645&lt;&gt;"",$F2645&lt;&gt;"",$F2645=项目明细账!$C$2),N(V2644)+1,N(V2644))</f>
        <v>0</v>
      </c>
      <c r="W2645" s="63" t="str">
        <f>IF($H2645&lt;&gt;"","项目成本",IFERROR(INDEX(基础资料!$W$4:$W$49,MATCH($I2645,基础资料!$V$4:$V$49,0)),""))</f>
        <v/>
      </c>
      <c r="X2645" s="63" t="str">
        <f>IFERROR(INDEX(基础资料!$R$4:$R$17,MATCH($G2645,基础资料!$Q$4:$Q$17,0)),"")</f>
        <v/>
      </c>
    </row>
    <row r="2646" spans="1:24">
      <c r="A2646" s="58" t="str">
        <f>IF($B2646="","",COUNTA($B$5:$B2646))</f>
        <v/>
      </c>
      <c r="B2646" s="53"/>
      <c r="C2646" s="46"/>
      <c r="D2646" s="63" t="str">
        <f>IFERROR(INDEX(基础资料!$F$4:$F$23,MATCH($C2646,基础资料!$E$4:$E$23,0)),IF($C2646="","","未匹配账户"))</f>
        <v/>
      </c>
      <c r="E2646" s="39"/>
      <c r="F2646" s="10"/>
      <c r="G2646" s="10"/>
      <c r="H2646" s="10"/>
      <c r="I2646" s="10"/>
      <c r="J2646" s="10"/>
      <c r="K2646" s="25"/>
      <c r="L2646" s="25"/>
      <c r="M2646" s="25" t="str">
        <f>IFERROR(VLOOKUP($C2646,$C$5:$M$24,11,0)+SUMIF($C$25:$C2646,$C2646,$K$25:$K2646)-SUMIF($C$25:$C2646,$C2646,$L$25:$L2646),"")</f>
        <v/>
      </c>
      <c r="N2646" s="10"/>
      <c r="O2646" s="10"/>
      <c r="P2646" s="65"/>
      <c r="Q2646" s="10"/>
      <c r="R2646" s="10"/>
      <c r="S2646" s="54" t="str">
        <f t="shared" si="129"/>
        <v/>
      </c>
      <c r="T2646" s="54" t="str">
        <f t="shared" si="130"/>
        <v/>
      </c>
      <c r="U2646" s="58" t="str">
        <f t="shared" si="131"/>
        <v/>
      </c>
      <c r="V2646" s="58">
        <f>IF(AND($B2646&lt;&gt;"",$F2646&lt;&gt;"",$F2646=项目明细账!$C$2),N(V2645)+1,N(V2645))</f>
        <v>0</v>
      </c>
      <c r="W2646" s="63" t="str">
        <f>IF($H2646&lt;&gt;"","项目成本",IFERROR(INDEX(基础资料!$W$4:$W$49,MATCH($I2646,基础资料!$V$4:$V$49,0)),""))</f>
        <v/>
      </c>
      <c r="X2646" s="63" t="str">
        <f>IFERROR(INDEX(基础资料!$R$4:$R$17,MATCH($G2646,基础资料!$Q$4:$Q$17,0)),"")</f>
        <v/>
      </c>
    </row>
    <row r="2647" spans="1:24">
      <c r="A2647" s="58" t="str">
        <f>IF($B2647="","",COUNTA($B$5:$B2647))</f>
        <v/>
      </c>
      <c r="B2647" s="53"/>
      <c r="C2647" s="46"/>
      <c r="D2647" s="63" t="str">
        <f>IFERROR(INDEX(基础资料!$F$4:$F$23,MATCH($C2647,基础资料!$E$4:$E$23,0)),IF($C2647="","","未匹配账户"))</f>
        <v/>
      </c>
      <c r="E2647" s="39"/>
      <c r="F2647" s="10"/>
      <c r="G2647" s="10"/>
      <c r="H2647" s="10"/>
      <c r="I2647" s="10"/>
      <c r="J2647" s="10"/>
      <c r="K2647" s="25"/>
      <c r="L2647" s="25"/>
      <c r="M2647" s="25" t="str">
        <f>IFERROR(VLOOKUP($C2647,$C$5:$M$24,11,0)+SUMIF($C$25:$C2647,$C2647,$K$25:$K2647)-SUMIF($C$25:$C2647,$C2647,$L$25:$L2647),"")</f>
        <v/>
      </c>
      <c r="N2647" s="10"/>
      <c r="O2647" s="10"/>
      <c r="P2647" s="65"/>
      <c r="Q2647" s="10"/>
      <c r="R2647" s="10"/>
      <c r="S2647" s="54" t="str">
        <f t="shared" si="129"/>
        <v/>
      </c>
      <c r="T2647" s="54" t="str">
        <f t="shared" si="130"/>
        <v/>
      </c>
      <c r="U2647" s="58" t="str">
        <f t="shared" si="131"/>
        <v/>
      </c>
      <c r="V2647" s="58">
        <f>IF(AND($B2647&lt;&gt;"",$F2647&lt;&gt;"",$F2647=项目明细账!$C$2),N(V2646)+1,N(V2646))</f>
        <v>0</v>
      </c>
      <c r="W2647" s="63" t="str">
        <f>IF($H2647&lt;&gt;"","项目成本",IFERROR(INDEX(基础资料!$W$4:$W$49,MATCH($I2647,基础资料!$V$4:$V$49,0)),""))</f>
        <v/>
      </c>
      <c r="X2647" s="63" t="str">
        <f>IFERROR(INDEX(基础资料!$R$4:$R$17,MATCH($G2647,基础资料!$Q$4:$Q$17,0)),"")</f>
        <v/>
      </c>
    </row>
    <row r="2648" spans="1:24">
      <c r="A2648" s="58" t="str">
        <f>IF($B2648="","",COUNTA($B$5:$B2648))</f>
        <v/>
      </c>
      <c r="B2648" s="53"/>
      <c r="C2648" s="46"/>
      <c r="D2648" s="63" t="str">
        <f>IFERROR(INDEX(基础资料!$F$4:$F$23,MATCH($C2648,基础资料!$E$4:$E$23,0)),IF($C2648="","","未匹配账户"))</f>
        <v/>
      </c>
      <c r="E2648" s="39"/>
      <c r="F2648" s="10"/>
      <c r="G2648" s="10"/>
      <c r="H2648" s="10"/>
      <c r="I2648" s="10"/>
      <c r="J2648" s="10"/>
      <c r="K2648" s="25"/>
      <c r="L2648" s="25"/>
      <c r="M2648" s="25" t="str">
        <f>IFERROR(VLOOKUP($C2648,$C$5:$M$24,11,0)+SUMIF($C$25:$C2648,$C2648,$K$25:$K2648)-SUMIF($C$25:$C2648,$C2648,$L$25:$L2648),"")</f>
        <v/>
      </c>
      <c r="N2648" s="10"/>
      <c r="O2648" s="10"/>
      <c r="P2648" s="65"/>
      <c r="Q2648" s="10"/>
      <c r="R2648" s="10"/>
      <c r="S2648" s="54" t="str">
        <f t="shared" si="129"/>
        <v/>
      </c>
      <c r="T2648" s="54" t="str">
        <f t="shared" si="130"/>
        <v/>
      </c>
      <c r="U2648" s="58" t="str">
        <f t="shared" si="131"/>
        <v/>
      </c>
      <c r="V2648" s="58">
        <f>IF(AND($B2648&lt;&gt;"",$F2648&lt;&gt;"",$F2648=项目明细账!$C$2),N(V2647)+1,N(V2647))</f>
        <v>0</v>
      </c>
      <c r="W2648" s="63" t="str">
        <f>IF($H2648&lt;&gt;"","项目成本",IFERROR(INDEX(基础资料!$W$4:$W$49,MATCH($I2648,基础资料!$V$4:$V$49,0)),""))</f>
        <v/>
      </c>
      <c r="X2648" s="63" t="str">
        <f>IFERROR(INDEX(基础资料!$R$4:$R$17,MATCH($G2648,基础资料!$Q$4:$Q$17,0)),"")</f>
        <v/>
      </c>
    </row>
    <row r="2649" spans="1:24">
      <c r="A2649" s="58" t="str">
        <f>IF($B2649="","",COUNTA($B$5:$B2649))</f>
        <v/>
      </c>
      <c r="B2649" s="53"/>
      <c r="C2649" s="46"/>
      <c r="D2649" s="63" t="str">
        <f>IFERROR(INDEX(基础资料!$F$4:$F$23,MATCH($C2649,基础资料!$E$4:$E$23,0)),IF($C2649="","","未匹配账户"))</f>
        <v/>
      </c>
      <c r="E2649" s="39"/>
      <c r="F2649" s="10"/>
      <c r="G2649" s="10"/>
      <c r="H2649" s="10"/>
      <c r="I2649" s="10"/>
      <c r="J2649" s="10"/>
      <c r="K2649" s="25"/>
      <c r="L2649" s="25"/>
      <c r="M2649" s="25" t="str">
        <f>IFERROR(VLOOKUP($C2649,$C$5:$M$24,11,0)+SUMIF($C$25:$C2649,$C2649,$K$25:$K2649)-SUMIF($C$25:$C2649,$C2649,$L$25:$L2649),"")</f>
        <v/>
      </c>
      <c r="N2649" s="10"/>
      <c r="O2649" s="10"/>
      <c r="P2649" s="65"/>
      <c r="Q2649" s="10"/>
      <c r="R2649" s="10"/>
      <c r="S2649" s="54" t="str">
        <f t="shared" si="129"/>
        <v/>
      </c>
      <c r="T2649" s="54" t="str">
        <f t="shared" si="130"/>
        <v/>
      </c>
      <c r="U2649" s="58" t="str">
        <f t="shared" si="131"/>
        <v/>
      </c>
      <c r="V2649" s="58">
        <f>IF(AND($B2649&lt;&gt;"",$F2649&lt;&gt;"",$F2649=项目明细账!$C$2),N(V2648)+1,N(V2648))</f>
        <v>0</v>
      </c>
      <c r="W2649" s="63" t="str">
        <f>IF($H2649&lt;&gt;"","项目成本",IFERROR(INDEX(基础资料!$W$4:$W$49,MATCH($I2649,基础资料!$V$4:$V$49,0)),""))</f>
        <v/>
      </c>
      <c r="X2649" s="63" t="str">
        <f>IFERROR(INDEX(基础资料!$R$4:$R$17,MATCH($G2649,基础资料!$Q$4:$Q$17,0)),"")</f>
        <v/>
      </c>
    </row>
    <row r="2650" spans="1:24">
      <c r="A2650" s="58" t="str">
        <f>IF($B2650="","",COUNTA($B$5:$B2650))</f>
        <v/>
      </c>
      <c r="B2650" s="53"/>
      <c r="C2650" s="46"/>
      <c r="D2650" s="63" t="str">
        <f>IFERROR(INDEX(基础资料!$F$4:$F$23,MATCH($C2650,基础资料!$E$4:$E$23,0)),IF($C2650="","","未匹配账户"))</f>
        <v/>
      </c>
      <c r="E2650" s="39"/>
      <c r="F2650" s="10"/>
      <c r="G2650" s="10"/>
      <c r="H2650" s="10"/>
      <c r="I2650" s="10"/>
      <c r="J2650" s="10"/>
      <c r="K2650" s="25"/>
      <c r="L2650" s="25"/>
      <c r="M2650" s="25" t="str">
        <f>IFERROR(VLOOKUP($C2650,$C$5:$M$24,11,0)+SUMIF($C$25:$C2650,$C2650,$K$25:$K2650)-SUMIF($C$25:$C2650,$C2650,$L$25:$L2650),"")</f>
        <v/>
      </c>
      <c r="N2650" s="10"/>
      <c r="O2650" s="10"/>
      <c r="P2650" s="65"/>
      <c r="Q2650" s="10"/>
      <c r="R2650" s="10"/>
      <c r="S2650" s="54" t="str">
        <f t="shared" si="129"/>
        <v/>
      </c>
      <c r="T2650" s="54" t="str">
        <f t="shared" si="130"/>
        <v/>
      </c>
      <c r="U2650" s="58" t="str">
        <f t="shared" si="131"/>
        <v/>
      </c>
      <c r="V2650" s="58">
        <f>IF(AND($B2650&lt;&gt;"",$F2650&lt;&gt;"",$F2650=项目明细账!$C$2),N(V2649)+1,N(V2649))</f>
        <v>0</v>
      </c>
      <c r="W2650" s="63" t="str">
        <f>IF($H2650&lt;&gt;"","项目成本",IFERROR(INDEX(基础资料!$W$4:$W$49,MATCH($I2650,基础资料!$V$4:$V$49,0)),""))</f>
        <v/>
      </c>
      <c r="X2650" s="63" t="str">
        <f>IFERROR(INDEX(基础资料!$R$4:$R$17,MATCH($G2650,基础资料!$Q$4:$Q$17,0)),"")</f>
        <v/>
      </c>
    </row>
    <row r="2651" spans="1:24">
      <c r="A2651" s="58" t="str">
        <f>IF($B2651="","",COUNTA($B$5:$B2651))</f>
        <v/>
      </c>
      <c r="B2651" s="53"/>
      <c r="C2651" s="46"/>
      <c r="D2651" s="63" t="str">
        <f>IFERROR(INDEX(基础资料!$F$4:$F$23,MATCH($C2651,基础资料!$E$4:$E$23,0)),IF($C2651="","","未匹配账户"))</f>
        <v/>
      </c>
      <c r="E2651" s="39"/>
      <c r="F2651" s="10"/>
      <c r="G2651" s="10"/>
      <c r="H2651" s="10"/>
      <c r="I2651" s="10"/>
      <c r="J2651" s="10"/>
      <c r="K2651" s="25"/>
      <c r="L2651" s="25"/>
      <c r="M2651" s="25" t="str">
        <f>IFERROR(VLOOKUP($C2651,$C$5:$M$24,11,0)+SUMIF($C$25:$C2651,$C2651,$K$25:$K2651)-SUMIF($C$25:$C2651,$C2651,$L$25:$L2651),"")</f>
        <v/>
      </c>
      <c r="N2651" s="10"/>
      <c r="O2651" s="10"/>
      <c r="P2651" s="65"/>
      <c r="Q2651" s="10"/>
      <c r="R2651" s="10"/>
      <c r="S2651" s="54" t="str">
        <f t="shared" si="129"/>
        <v/>
      </c>
      <c r="T2651" s="54" t="str">
        <f t="shared" si="130"/>
        <v/>
      </c>
      <c r="U2651" s="58" t="str">
        <f t="shared" si="131"/>
        <v/>
      </c>
      <c r="V2651" s="58">
        <f>IF(AND($B2651&lt;&gt;"",$F2651&lt;&gt;"",$F2651=项目明细账!$C$2),N(V2650)+1,N(V2650))</f>
        <v>0</v>
      </c>
      <c r="W2651" s="63" t="str">
        <f>IF($H2651&lt;&gt;"","项目成本",IFERROR(INDEX(基础资料!$W$4:$W$49,MATCH($I2651,基础资料!$V$4:$V$49,0)),""))</f>
        <v/>
      </c>
      <c r="X2651" s="63" t="str">
        <f>IFERROR(INDEX(基础资料!$R$4:$R$17,MATCH($G2651,基础资料!$Q$4:$Q$17,0)),"")</f>
        <v/>
      </c>
    </row>
    <row r="2652" spans="1:24">
      <c r="A2652" s="58" t="str">
        <f>IF($B2652="","",COUNTA($B$5:$B2652))</f>
        <v/>
      </c>
      <c r="B2652" s="53"/>
      <c r="C2652" s="46"/>
      <c r="D2652" s="63" t="str">
        <f>IFERROR(INDEX(基础资料!$F$4:$F$23,MATCH($C2652,基础资料!$E$4:$E$23,0)),IF($C2652="","","未匹配账户"))</f>
        <v/>
      </c>
      <c r="E2652" s="39"/>
      <c r="F2652" s="10"/>
      <c r="G2652" s="10"/>
      <c r="H2652" s="10"/>
      <c r="I2652" s="10"/>
      <c r="J2652" s="10"/>
      <c r="K2652" s="25"/>
      <c r="L2652" s="25"/>
      <c r="M2652" s="25" t="str">
        <f>IFERROR(VLOOKUP($C2652,$C$5:$M$24,11,0)+SUMIF($C$25:$C2652,$C2652,$K$25:$K2652)-SUMIF($C$25:$C2652,$C2652,$L$25:$L2652),"")</f>
        <v/>
      </c>
      <c r="N2652" s="10"/>
      <c r="O2652" s="10"/>
      <c r="P2652" s="65"/>
      <c r="Q2652" s="10"/>
      <c r="R2652" s="10"/>
      <c r="S2652" s="54" t="str">
        <f t="shared" si="129"/>
        <v/>
      </c>
      <c r="T2652" s="54" t="str">
        <f t="shared" si="130"/>
        <v/>
      </c>
      <c r="U2652" s="58" t="str">
        <f t="shared" si="131"/>
        <v/>
      </c>
      <c r="V2652" s="58">
        <f>IF(AND($B2652&lt;&gt;"",$F2652&lt;&gt;"",$F2652=项目明细账!$C$2),N(V2651)+1,N(V2651))</f>
        <v>0</v>
      </c>
      <c r="W2652" s="63" t="str">
        <f>IF($H2652&lt;&gt;"","项目成本",IFERROR(INDEX(基础资料!$W$4:$W$49,MATCH($I2652,基础资料!$V$4:$V$49,0)),""))</f>
        <v/>
      </c>
      <c r="X2652" s="63" t="str">
        <f>IFERROR(INDEX(基础资料!$R$4:$R$17,MATCH($G2652,基础资料!$Q$4:$Q$17,0)),"")</f>
        <v/>
      </c>
    </row>
    <row r="2653" spans="1:24">
      <c r="A2653" s="58" t="str">
        <f>IF($B2653="","",COUNTA($B$5:$B2653))</f>
        <v/>
      </c>
      <c r="B2653" s="53"/>
      <c r="C2653" s="46"/>
      <c r="D2653" s="63" t="str">
        <f>IFERROR(INDEX(基础资料!$F$4:$F$23,MATCH($C2653,基础资料!$E$4:$E$23,0)),IF($C2653="","","未匹配账户"))</f>
        <v/>
      </c>
      <c r="E2653" s="39"/>
      <c r="F2653" s="10"/>
      <c r="G2653" s="10"/>
      <c r="H2653" s="10"/>
      <c r="I2653" s="10"/>
      <c r="J2653" s="10"/>
      <c r="K2653" s="25"/>
      <c r="L2653" s="25"/>
      <c r="M2653" s="25" t="str">
        <f>IFERROR(VLOOKUP($C2653,$C$5:$M$24,11,0)+SUMIF($C$25:$C2653,$C2653,$K$25:$K2653)-SUMIF($C$25:$C2653,$C2653,$L$25:$L2653),"")</f>
        <v/>
      </c>
      <c r="N2653" s="10"/>
      <c r="O2653" s="10"/>
      <c r="P2653" s="65"/>
      <c r="Q2653" s="10"/>
      <c r="R2653" s="10"/>
      <c r="S2653" s="54" t="str">
        <f t="shared" si="129"/>
        <v/>
      </c>
      <c r="T2653" s="54" t="str">
        <f t="shared" si="130"/>
        <v/>
      </c>
      <c r="U2653" s="58" t="str">
        <f t="shared" si="131"/>
        <v/>
      </c>
      <c r="V2653" s="58">
        <f>IF(AND($B2653&lt;&gt;"",$F2653&lt;&gt;"",$F2653=项目明细账!$C$2),N(V2652)+1,N(V2652))</f>
        <v>0</v>
      </c>
      <c r="W2653" s="63" t="str">
        <f>IF($H2653&lt;&gt;"","项目成本",IFERROR(INDEX(基础资料!$W$4:$W$49,MATCH($I2653,基础资料!$V$4:$V$49,0)),""))</f>
        <v/>
      </c>
      <c r="X2653" s="63" t="str">
        <f>IFERROR(INDEX(基础资料!$R$4:$R$17,MATCH($G2653,基础资料!$Q$4:$Q$17,0)),"")</f>
        <v/>
      </c>
    </row>
    <row r="2654" spans="1:24">
      <c r="A2654" s="58" t="str">
        <f>IF($B2654="","",COUNTA($B$5:$B2654))</f>
        <v/>
      </c>
      <c r="B2654" s="53"/>
      <c r="C2654" s="46"/>
      <c r="D2654" s="63" t="str">
        <f>IFERROR(INDEX(基础资料!$F$4:$F$23,MATCH($C2654,基础资料!$E$4:$E$23,0)),IF($C2654="","","未匹配账户"))</f>
        <v/>
      </c>
      <c r="E2654" s="39"/>
      <c r="F2654" s="10"/>
      <c r="G2654" s="10"/>
      <c r="H2654" s="10"/>
      <c r="I2654" s="10"/>
      <c r="J2654" s="10"/>
      <c r="K2654" s="25"/>
      <c r="L2654" s="25"/>
      <c r="M2654" s="25" t="str">
        <f>IFERROR(VLOOKUP($C2654,$C$5:$M$24,11,0)+SUMIF($C$25:$C2654,$C2654,$K$25:$K2654)-SUMIF($C$25:$C2654,$C2654,$L$25:$L2654),"")</f>
        <v/>
      </c>
      <c r="N2654" s="10"/>
      <c r="O2654" s="10"/>
      <c r="P2654" s="65"/>
      <c r="Q2654" s="10"/>
      <c r="R2654" s="10"/>
      <c r="S2654" s="54" t="str">
        <f t="shared" si="129"/>
        <v/>
      </c>
      <c r="T2654" s="54" t="str">
        <f t="shared" si="130"/>
        <v/>
      </c>
      <c r="U2654" s="58" t="str">
        <f t="shared" si="131"/>
        <v/>
      </c>
      <c r="V2654" s="58">
        <f>IF(AND($B2654&lt;&gt;"",$F2654&lt;&gt;"",$F2654=项目明细账!$C$2),N(V2653)+1,N(V2653))</f>
        <v>0</v>
      </c>
      <c r="W2654" s="63" t="str">
        <f>IF($H2654&lt;&gt;"","项目成本",IFERROR(INDEX(基础资料!$W$4:$W$49,MATCH($I2654,基础资料!$V$4:$V$49,0)),""))</f>
        <v/>
      </c>
      <c r="X2654" s="63" t="str">
        <f>IFERROR(INDEX(基础资料!$R$4:$R$17,MATCH($G2654,基础资料!$Q$4:$Q$17,0)),"")</f>
        <v/>
      </c>
    </row>
    <row r="2655" spans="1:24">
      <c r="A2655" s="58" t="str">
        <f>IF($B2655="","",COUNTA($B$5:$B2655))</f>
        <v/>
      </c>
      <c r="B2655" s="53"/>
      <c r="C2655" s="46"/>
      <c r="D2655" s="63" t="str">
        <f>IFERROR(INDEX(基础资料!$F$4:$F$23,MATCH($C2655,基础资料!$E$4:$E$23,0)),IF($C2655="","","未匹配账户"))</f>
        <v/>
      </c>
      <c r="E2655" s="39"/>
      <c r="F2655" s="10"/>
      <c r="G2655" s="10"/>
      <c r="H2655" s="10"/>
      <c r="I2655" s="10"/>
      <c r="J2655" s="10"/>
      <c r="K2655" s="25"/>
      <c r="L2655" s="25"/>
      <c r="M2655" s="25" t="str">
        <f>IFERROR(VLOOKUP($C2655,$C$5:$M$24,11,0)+SUMIF($C$25:$C2655,$C2655,$K$25:$K2655)-SUMIF($C$25:$C2655,$C2655,$L$25:$L2655),"")</f>
        <v/>
      </c>
      <c r="N2655" s="10"/>
      <c r="O2655" s="10"/>
      <c r="P2655" s="65"/>
      <c r="Q2655" s="10"/>
      <c r="R2655" s="10"/>
      <c r="S2655" s="54" t="str">
        <f t="shared" si="129"/>
        <v/>
      </c>
      <c r="T2655" s="54" t="str">
        <f t="shared" si="130"/>
        <v/>
      </c>
      <c r="U2655" s="58" t="str">
        <f t="shared" si="131"/>
        <v/>
      </c>
      <c r="V2655" s="58">
        <f>IF(AND($B2655&lt;&gt;"",$F2655&lt;&gt;"",$F2655=项目明细账!$C$2),N(V2654)+1,N(V2654))</f>
        <v>0</v>
      </c>
      <c r="W2655" s="63" t="str">
        <f>IF($H2655&lt;&gt;"","项目成本",IFERROR(INDEX(基础资料!$W$4:$W$49,MATCH($I2655,基础资料!$V$4:$V$49,0)),""))</f>
        <v/>
      </c>
      <c r="X2655" s="63" t="str">
        <f>IFERROR(INDEX(基础资料!$R$4:$R$17,MATCH($G2655,基础资料!$Q$4:$Q$17,0)),"")</f>
        <v/>
      </c>
    </row>
    <row r="2656" spans="1:24">
      <c r="A2656" s="58" t="str">
        <f>IF($B2656="","",COUNTA($B$5:$B2656))</f>
        <v/>
      </c>
      <c r="B2656" s="53"/>
      <c r="C2656" s="46"/>
      <c r="D2656" s="63" t="str">
        <f>IFERROR(INDEX(基础资料!$F$4:$F$23,MATCH($C2656,基础资料!$E$4:$E$23,0)),IF($C2656="","","未匹配账户"))</f>
        <v/>
      </c>
      <c r="E2656" s="39"/>
      <c r="F2656" s="10"/>
      <c r="G2656" s="10"/>
      <c r="H2656" s="10"/>
      <c r="I2656" s="10"/>
      <c r="J2656" s="10"/>
      <c r="K2656" s="25"/>
      <c r="L2656" s="25"/>
      <c r="M2656" s="25" t="str">
        <f>IFERROR(VLOOKUP($C2656,$C$5:$M$24,11,0)+SUMIF($C$25:$C2656,$C2656,$K$25:$K2656)-SUMIF($C$25:$C2656,$C2656,$L$25:$L2656),"")</f>
        <v/>
      </c>
      <c r="N2656" s="10"/>
      <c r="O2656" s="10"/>
      <c r="P2656" s="65"/>
      <c r="Q2656" s="10"/>
      <c r="R2656" s="10"/>
      <c r="S2656" s="54" t="str">
        <f t="shared" si="129"/>
        <v/>
      </c>
      <c r="T2656" s="54" t="str">
        <f t="shared" si="130"/>
        <v/>
      </c>
      <c r="U2656" s="58" t="str">
        <f t="shared" si="131"/>
        <v/>
      </c>
      <c r="V2656" s="58">
        <f>IF(AND($B2656&lt;&gt;"",$F2656&lt;&gt;"",$F2656=项目明细账!$C$2),N(V2655)+1,N(V2655))</f>
        <v>0</v>
      </c>
      <c r="W2656" s="63" t="str">
        <f>IF($H2656&lt;&gt;"","项目成本",IFERROR(INDEX(基础资料!$W$4:$W$49,MATCH($I2656,基础资料!$V$4:$V$49,0)),""))</f>
        <v/>
      </c>
      <c r="X2656" s="63" t="str">
        <f>IFERROR(INDEX(基础资料!$R$4:$R$17,MATCH($G2656,基础资料!$Q$4:$Q$17,0)),"")</f>
        <v/>
      </c>
    </row>
    <row r="2657" spans="1:24">
      <c r="A2657" s="58" t="str">
        <f>IF($B2657="","",COUNTA($B$5:$B2657))</f>
        <v/>
      </c>
      <c r="B2657" s="53"/>
      <c r="C2657" s="46"/>
      <c r="D2657" s="63" t="str">
        <f>IFERROR(INDEX(基础资料!$F$4:$F$23,MATCH($C2657,基础资料!$E$4:$E$23,0)),IF($C2657="","","未匹配账户"))</f>
        <v/>
      </c>
      <c r="E2657" s="39"/>
      <c r="F2657" s="10"/>
      <c r="G2657" s="10"/>
      <c r="H2657" s="10"/>
      <c r="I2657" s="10"/>
      <c r="J2657" s="10"/>
      <c r="K2657" s="25"/>
      <c r="L2657" s="25"/>
      <c r="M2657" s="25" t="str">
        <f>IFERROR(VLOOKUP($C2657,$C$5:$M$24,11,0)+SUMIF($C$25:$C2657,$C2657,$K$25:$K2657)-SUMIF($C$25:$C2657,$C2657,$L$25:$L2657),"")</f>
        <v/>
      </c>
      <c r="N2657" s="10"/>
      <c r="O2657" s="10"/>
      <c r="P2657" s="65"/>
      <c r="Q2657" s="10"/>
      <c r="R2657" s="10"/>
      <c r="S2657" s="54" t="str">
        <f t="shared" si="129"/>
        <v/>
      </c>
      <c r="T2657" s="54" t="str">
        <f t="shared" si="130"/>
        <v/>
      </c>
      <c r="U2657" s="58" t="str">
        <f t="shared" si="131"/>
        <v/>
      </c>
      <c r="V2657" s="58">
        <f>IF(AND($B2657&lt;&gt;"",$F2657&lt;&gt;"",$F2657=项目明细账!$C$2),N(V2656)+1,N(V2656))</f>
        <v>0</v>
      </c>
      <c r="W2657" s="63" t="str">
        <f>IF($H2657&lt;&gt;"","项目成本",IFERROR(INDEX(基础资料!$W$4:$W$49,MATCH($I2657,基础资料!$V$4:$V$49,0)),""))</f>
        <v/>
      </c>
      <c r="X2657" s="63" t="str">
        <f>IFERROR(INDEX(基础资料!$R$4:$R$17,MATCH($G2657,基础资料!$Q$4:$Q$17,0)),"")</f>
        <v/>
      </c>
    </row>
    <row r="2658" spans="1:24">
      <c r="A2658" s="58" t="str">
        <f>IF($B2658="","",COUNTA($B$5:$B2658))</f>
        <v/>
      </c>
      <c r="B2658" s="53"/>
      <c r="C2658" s="46"/>
      <c r="D2658" s="63" t="str">
        <f>IFERROR(INDEX(基础资料!$F$4:$F$23,MATCH($C2658,基础资料!$E$4:$E$23,0)),IF($C2658="","","未匹配账户"))</f>
        <v/>
      </c>
      <c r="E2658" s="39"/>
      <c r="F2658" s="10"/>
      <c r="G2658" s="10"/>
      <c r="H2658" s="10"/>
      <c r="I2658" s="10"/>
      <c r="J2658" s="10"/>
      <c r="K2658" s="25"/>
      <c r="L2658" s="25"/>
      <c r="M2658" s="25" t="str">
        <f>IFERROR(VLOOKUP($C2658,$C$5:$M$24,11,0)+SUMIF($C$25:$C2658,$C2658,$K$25:$K2658)-SUMIF($C$25:$C2658,$C2658,$L$25:$L2658),"")</f>
        <v/>
      </c>
      <c r="N2658" s="10"/>
      <c r="O2658" s="10"/>
      <c r="P2658" s="65"/>
      <c r="Q2658" s="10"/>
      <c r="R2658" s="10"/>
      <c r="S2658" s="54" t="str">
        <f t="shared" si="129"/>
        <v/>
      </c>
      <c r="T2658" s="54" t="str">
        <f t="shared" si="130"/>
        <v/>
      </c>
      <c r="U2658" s="58" t="str">
        <f t="shared" si="131"/>
        <v/>
      </c>
      <c r="V2658" s="58">
        <f>IF(AND($B2658&lt;&gt;"",$F2658&lt;&gt;"",$F2658=项目明细账!$C$2),N(V2657)+1,N(V2657))</f>
        <v>0</v>
      </c>
      <c r="W2658" s="63" t="str">
        <f>IF($H2658&lt;&gt;"","项目成本",IFERROR(INDEX(基础资料!$W$4:$W$49,MATCH($I2658,基础资料!$V$4:$V$49,0)),""))</f>
        <v/>
      </c>
      <c r="X2658" s="63" t="str">
        <f>IFERROR(INDEX(基础资料!$R$4:$R$17,MATCH($G2658,基础资料!$Q$4:$Q$17,0)),"")</f>
        <v/>
      </c>
    </row>
    <row r="2659" spans="1:24">
      <c r="A2659" s="58" t="str">
        <f>IF($B2659="","",COUNTA($B$5:$B2659))</f>
        <v/>
      </c>
      <c r="B2659" s="53"/>
      <c r="C2659" s="46"/>
      <c r="D2659" s="63" t="str">
        <f>IFERROR(INDEX(基础资料!$F$4:$F$23,MATCH($C2659,基础资料!$E$4:$E$23,0)),IF($C2659="","","未匹配账户"))</f>
        <v/>
      </c>
      <c r="E2659" s="39"/>
      <c r="F2659" s="10"/>
      <c r="G2659" s="10"/>
      <c r="H2659" s="10"/>
      <c r="I2659" s="10"/>
      <c r="J2659" s="10"/>
      <c r="K2659" s="25"/>
      <c r="L2659" s="25"/>
      <c r="M2659" s="25" t="str">
        <f>IFERROR(VLOOKUP($C2659,$C$5:$M$24,11,0)+SUMIF($C$25:$C2659,$C2659,$K$25:$K2659)-SUMIF($C$25:$C2659,$C2659,$L$25:$L2659),"")</f>
        <v/>
      </c>
      <c r="N2659" s="10"/>
      <c r="O2659" s="10"/>
      <c r="P2659" s="65"/>
      <c r="Q2659" s="10"/>
      <c r="R2659" s="10"/>
      <c r="S2659" s="54" t="str">
        <f t="shared" si="129"/>
        <v/>
      </c>
      <c r="T2659" s="54" t="str">
        <f t="shared" si="130"/>
        <v/>
      </c>
      <c r="U2659" s="58" t="str">
        <f t="shared" si="131"/>
        <v/>
      </c>
      <c r="V2659" s="58">
        <f>IF(AND($B2659&lt;&gt;"",$F2659&lt;&gt;"",$F2659=项目明细账!$C$2),N(V2658)+1,N(V2658))</f>
        <v>0</v>
      </c>
      <c r="W2659" s="63" t="str">
        <f>IF($H2659&lt;&gt;"","项目成本",IFERROR(INDEX(基础资料!$W$4:$W$49,MATCH($I2659,基础资料!$V$4:$V$49,0)),""))</f>
        <v/>
      </c>
      <c r="X2659" s="63" t="str">
        <f>IFERROR(INDEX(基础资料!$R$4:$R$17,MATCH($G2659,基础资料!$Q$4:$Q$17,0)),"")</f>
        <v/>
      </c>
    </row>
    <row r="2660" spans="1:24">
      <c r="A2660" s="58" t="str">
        <f>IF($B2660="","",COUNTA($B$5:$B2660))</f>
        <v/>
      </c>
      <c r="B2660" s="53"/>
      <c r="C2660" s="46"/>
      <c r="D2660" s="63" t="str">
        <f>IFERROR(INDEX(基础资料!$F$4:$F$23,MATCH($C2660,基础资料!$E$4:$E$23,0)),IF($C2660="","","未匹配账户"))</f>
        <v/>
      </c>
      <c r="E2660" s="39"/>
      <c r="F2660" s="10"/>
      <c r="G2660" s="10"/>
      <c r="H2660" s="10"/>
      <c r="I2660" s="10"/>
      <c r="J2660" s="10"/>
      <c r="K2660" s="25"/>
      <c r="L2660" s="25"/>
      <c r="M2660" s="25" t="str">
        <f>IFERROR(VLOOKUP($C2660,$C$5:$M$24,11,0)+SUMIF($C$25:$C2660,$C2660,$K$25:$K2660)-SUMIF($C$25:$C2660,$C2660,$L$25:$L2660),"")</f>
        <v/>
      </c>
      <c r="N2660" s="10"/>
      <c r="O2660" s="10"/>
      <c r="P2660" s="65"/>
      <c r="Q2660" s="10"/>
      <c r="R2660" s="10"/>
      <c r="S2660" s="54" t="str">
        <f t="shared" si="129"/>
        <v/>
      </c>
      <c r="T2660" s="54" t="str">
        <f t="shared" si="130"/>
        <v/>
      </c>
      <c r="U2660" s="58" t="str">
        <f t="shared" si="131"/>
        <v/>
      </c>
      <c r="V2660" s="58">
        <f>IF(AND($B2660&lt;&gt;"",$F2660&lt;&gt;"",$F2660=项目明细账!$C$2),N(V2659)+1,N(V2659))</f>
        <v>0</v>
      </c>
      <c r="W2660" s="63" t="str">
        <f>IF($H2660&lt;&gt;"","项目成本",IFERROR(INDEX(基础资料!$W$4:$W$49,MATCH($I2660,基础资料!$V$4:$V$49,0)),""))</f>
        <v/>
      </c>
      <c r="X2660" s="63" t="str">
        <f>IFERROR(INDEX(基础资料!$R$4:$R$17,MATCH($G2660,基础资料!$Q$4:$Q$17,0)),"")</f>
        <v/>
      </c>
    </row>
    <row r="2661" spans="1:24">
      <c r="A2661" s="58" t="str">
        <f>IF($B2661="","",COUNTA($B$5:$B2661))</f>
        <v/>
      </c>
      <c r="B2661" s="53"/>
      <c r="C2661" s="46"/>
      <c r="D2661" s="63" t="str">
        <f>IFERROR(INDEX(基础资料!$F$4:$F$23,MATCH($C2661,基础资料!$E$4:$E$23,0)),IF($C2661="","","未匹配账户"))</f>
        <v/>
      </c>
      <c r="E2661" s="39"/>
      <c r="F2661" s="10"/>
      <c r="G2661" s="10"/>
      <c r="H2661" s="10"/>
      <c r="I2661" s="10"/>
      <c r="J2661" s="10"/>
      <c r="K2661" s="25"/>
      <c r="L2661" s="25"/>
      <c r="M2661" s="25" t="str">
        <f>IFERROR(VLOOKUP($C2661,$C$5:$M$24,11,0)+SUMIF($C$25:$C2661,$C2661,$K$25:$K2661)-SUMIF($C$25:$C2661,$C2661,$L$25:$L2661),"")</f>
        <v/>
      </c>
      <c r="N2661" s="10"/>
      <c r="O2661" s="10"/>
      <c r="P2661" s="65"/>
      <c r="Q2661" s="10"/>
      <c r="R2661" s="10"/>
      <c r="S2661" s="54" t="str">
        <f t="shared" si="129"/>
        <v/>
      </c>
      <c r="T2661" s="54" t="str">
        <f t="shared" si="130"/>
        <v/>
      </c>
      <c r="U2661" s="58" t="str">
        <f t="shared" si="131"/>
        <v/>
      </c>
      <c r="V2661" s="58">
        <f>IF(AND($B2661&lt;&gt;"",$F2661&lt;&gt;"",$F2661=项目明细账!$C$2),N(V2660)+1,N(V2660))</f>
        <v>0</v>
      </c>
      <c r="W2661" s="63" t="str">
        <f>IF($H2661&lt;&gt;"","项目成本",IFERROR(INDEX(基础资料!$W$4:$W$49,MATCH($I2661,基础资料!$V$4:$V$49,0)),""))</f>
        <v/>
      </c>
      <c r="X2661" s="63" t="str">
        <f>IFERROR(INDEX(基础资料!$R$4:$R$17,MATCH($G2661,基础资料!$Q$4:$Q$17,0)),"")</f>
        <v/>
      </c>
    </row>
    <row r="2662" spans="1:24">
      <c r="A2662" s="58" t="str">
        <f>IF($B2662="","",COUNTA($B$5:$B2662))</f>
        <v/>
      </c>
      <c r="B2662" s="53"/>
      <c r="C2662" s="46"/>
      <c r="D2662" s="63" t="str">
        <f>IFERROR(INDEX(基础资料!$F$4:$F$23,MATCH($C2662,基础资料!$E$4:$E$23,0)),IF($C2662="","","未匹配账户"))</f>
        <v/>
      </c>
      <c r="E2662" s="39"/>
      <c r="F2662" s="10"/>
      <c r="G2662" s="10"/>
      <c r="H2662" s="10"/>
      <c r="I2662" s="10"/>
      <c r="J2662" s="10"/>
      <c r="K2662" s="25"/>
      <c r="L2662" s="25"/>
      <c r="M2662" s="25" t="str">
        <f>IFERROR(VLOOKUP($C2662,$C$5:$M$24,11,0)+SUMIF($C$25:$C2662,$C2662,$K$25:$K2662)-SUMIF($C$25:$C2662,$C2662,$L$25:$L2662),"")</f>
        <v/>
      </c>
      <c r="N2662" s="10"/>
      <c r="O2662" s="10"/>
      <c r="P2662" s="65"/>
      <c r="Q2662" s="10"/>
      <c r="R2662" s="10"/>
      <c r="S2662" s="54" t="str">
        <f t="shared" si="129"/>
        <v/>
      </c>
      <c r="T2662" s="54" t="str">
        <f t="shared" si="130"/>
        <v/>
      </c>
      <c r="U2662" s="58" t="str">
        <f t="shared" si="131"/>
        <v/>
      </c>
      <c r="V2662" s="58">
        <f>IF(AND($B2662&lt;&gt;"",$F2662&lt;&gt;"",$F2662=项目明细账!$C$2),N(V2661)+1,N(V2661))</f>
        <v>0</v>
      </c>
      <c r="W2662" s="63" t="str">
        <f>IF($H2662&lt;&gt;"","项目成本",IFERROR(INDEX(基础资料!$W$4:$W$49,MATCH($I2662,基础资料!$V$4:$V$49,0)),""))</f>
        <v/>
      </c>
      <c r="X2662" s="63" t="str">
        <f>IFERROR(INDEX(基础资料!$R$4:$R$17,MATCH($G2662,基础资料!$Q$4:$Q$17,0)),"")</f>
        <v/>
      </c>
    </row>
    <row r="2663" spans="1:24">
      <c r="A2663" s="58" t="str">
        <f>IF($B2663="","",COUNTA($B$5:$B2663))</f>
        <v/>
      </c>
      <c r="B2663" s="53"/>
      <c r="C2663" s="46"/>
      <c r="D2663" s="63" t="str">
        <f>IFERROR(INDEX(基础资料!$F$4:$F$23,MATCH($C2663,基础资料!$E$4:$E$23,0)),IF($C2663="","","未匹配账户"))</f>
        <v/>
      </c>
      <c r="E2663" s="39"/>
      <c r="F2663" s="10"/>
      <c r="G2663" s="10"/>
      <c r="H2663" s="10"/>
      <c r="I2663" s="10"/>
      <c r="J2663" s="10"/>
      <c r="K2663" s="25"/>
      <c r="L2663" s="25"/>
      <c r="M2663" s="25" t="str">
        <f>IFERROR(VLOOKUP($C2663,$C$5:$M$24,11,0)+SUMIF($C$25:$C2663,$C2663,$K$25:$K2663)-SUMIF($C$25:$C2663,$C2663,$L$25:$L2663),"")</f>
        <v/>
      </c>
      <c r="N2663" s="10"/>
      <c r="O2663" s="10"/>
      <c r="P2663" s="65"/>
      <c r="Q2663" s="10"/>
      <c r="R2663" s="10"/>
      <c r="S2663" s="54" t="str">
        <f t="shared" si="129"/>
        <v/>
      </c>
      <c r="T2663" s="54" t="str">
        <f t="shared" si="130"/>
        <v/>
      </c>
      <c r="U2663" s="58" t="str">
        <f t="shared" si="131"/>
        <v/>
      </c>
      <c r="V2663" s="58">
        <f>IF(AND($B2663&lt;&gt;"",$F2663&lt;&gt;"",$F2663=项目明细账!$C$2),N(V2662)+1,N(V2662))</f>
        <v>0</v>
      </c>
      <c r="W2663" s="63" t="str">
        <f>IF($H2663&lt;&gt;"","项目成本",IFERROR(INDEX(基础资料!$W$4:$W$49,MATCH($I2663,基础资料!$V$4:$V$49,0)),""))</f>
        <v/>
      </c>
      <c r="X2663" s="63" t="str">
        <f>IFERROR(INDEX(基础资料!$R$4:$R$17,MATCH($G2663,基础资料!$Q$4:$Q$17,0)),"")</f>
        <v/>
      </c>
    </row>
    <row r="2664" spans="1:24">
      <c r="A2664" s="58" t="str">
        <f>IF($B2664="","",COUNTA($B$5:$B2664))</f>
        <v/>
      </c>
      <c r="B2664" s="53"/>
      <c r="C2664" s="46"/>
      <c r="D2664" s="63" t="str">
        <f>IFERROR(INDEX(基础资料!$F$4:$F$23,MATCH($C2664,基础资料!$E$4:$E$23,0)),IF($C2664="","","未匹配账户"))</f>
        <v/>
      </c>
      <c r="E2664" s="39"/>
      <c r="F2664" s="10"/>
      <c r="G2664" s="10"/>
      <c r="H2664" s="10"/>
      <c r="I2664" s="10"/>
      <c r="J2664" s="10"/>
      <c r="K2664" s="25"/>
      <c r="L2664" s="25"/>
      <c r="M2664" s="25" t="str">
        <f>IFERROR(VLOOKUP($C2664,$C$5:$M$24,11,0)+SUMIF($C$25:$C2664,$C2664,$K$25:$K2664)-SUMIF($C$25:$C2664,$C2664,$L$25:$L2664),"")</f>
        <v/>
      </c>
      <c r="N2664" s="10"/>
      <c r="O2664" s="10"/>
      <c r="P2664" s="65"/>
      <c r="Q2664" s="10"/>
      <c r="R2664" s="10"/>
      <c r="S2664" s="54" t="str">
        <f t="shared" si="129"/>
        <v/>
      </c>
      <c r="T2664" s="54" t="str">
        <f t="shared" si="130"/>
        <v/>
      </c>
      <c r="U2664" s="58" t="str">
        <f t="shared" si="131"/>
        <v/>
      </c>
      <c r="V2664" s="58">
        <f>IF(AND($B2664&lt;&gt;"",$F2664&lt;&gt;"",$F2664=项目明细账!$C$2),N(V2663)+1,N(V2663))</f>
        <v>0</v>
      </c>
      <c r="W2664" s="63" t="str">
        <f>IF($H2664&lt;&gt;"","项目成本",IFERROR(INDEX(基础资料!$W$4:$W$49,MATCH($I2664,基础资料!$V$4:$V$49,0)),""))</f>
        <v/>
      </c>
      <c r="X2664" s="63" t="str">
        <f>IFERROR(INDEX(基础资料!$R$4:$R$17,MATCH($G2664,基础资料!$Q$4:$Q$17,0)),"")</f>
        <v/>
      </c>
    </row>
    <row r="2665" spans="1:24">
      <c r="A2665" s="58" t="str">
        <f>IF($B2665="","",COUNTA($B$5:$B2665))</f>
        <v/>
      </c>
      <c r="B2665" s="53"/>
      <c r="C2665" s="46"/>
      <c r="D2665" s="63" t="str">
        <f>IFERROR(INDEX(基础资料!$F$4:$F$23,MATCH($C2665,基础资料!$E$4:$E$23,0)),IF($C2665="","","未匹配账户"))</f>
        <v/>
      </c>
      <c r="E2665" s="39"/>
      <c r="F2665" s="10"/>
      <c r="G2665" s="10"/>
      <c r="H2665" s="10"/>
      <c r="I2665" s="10"/>
      <c r="J2665" s="10"/>
      <c r="K2665" s="25"/>
      <c r="L2665" s="25"/>
      <c r="M2665" s="25" t="str">
        <f>IFERROR(VLOOKUP($C2665,$C$5:$M$24,11,0)+SUMIF($C$25:$C2665,$C2665,$K$25:$K2665)-SUMIF($C$25:$C2665,$C2665,$L$25:$L2665),"")</f>
        <v/>
      </c>
      <c r="N2665" s="10"/>
      <c r="O2665" s="10"/>
      <c r="P2665" s="65"/>
      <c r="Q2665" s="10"/>
      <c r="R2665" s="10"/>
      <c r="S2665" s="54" t="str">
        <f t="shared" si="129"/>
        <v/>
      </c>
      <c r="T2665" s="54" t="str">
        <f t="shared" si="130"/>
        <v/>
      </c>
      <c r="U2665" s="58" t="str">
        <f t="shared" si="131"/>
        <v/>
      </c>
      <c r="V2665" s="58">
        <f>IF(AND($B2665&lt;&gt;"",$F2665&lt;&gt;"",$F2665=项目明细账!$C$2),N(V2664)+1,N(V2664))</f>
        <v>0</v>
      </c>
      <c r="W2665" s="63" t="str">
        <f>IF($H2665&lt;&gt;"","项目成本",IFERROR(INDEX(基础资料!$W$4:$W$49,MATCH($I2665,基础资料!$V$4:$V$49,0)),""))</f>
        <v/>
      </c>
      <c r="X2665" s="63" t="str">
        <f>IFERROR(INDEX(基础资料!$R$4:$R$17,MATCH($G2665,基础资料!$Q$4:$Q$17,0)),"")</f>
        <v/>
      </c>
    </row>
    <row r="2666" spans="1:24">
      <c r="A2666" s="58" t="str">
        <f>IF($B2666="","",COUNTA($B$5:$B2666))</f>
        <v/>
      </c>
      <c r="B2666" s="53"/>
      <c r="C2666" s="46"/>
      <c r="D2666" s="63" t="str">
        <f>IFERROR(INDEX(基础资料!$F$4:$F$23,MATCH($C2666,基础资料!$E$4:$E$23,0)),IF($C2666="","","未匹配账户"))</f>
        <v/>
      </c>
      <c r="E2666" s="39"/>
      <c r="F2666" s="10"/>
      <c r="G2666" s="10"/>
      <c r="H2666" s="10"/>
      <c r="I2666" s="10"/>
      <c r="J2666" s="10"/>
      <c r="K2666" s="25"/>
      <c r="L2666" s="25"/>
      <c r="M2666" s="25" t="str">
        <f>IFERROR(VLOOKUP($C2666,$C$5:$M$24,11,0)+SUMIF($C$25:$C2666,$C2666,$K$25:$K2666)-SUMIF($C$25:$C2666,$C2666,$L$25:$L2666),"")</f>
        <v/>
      </c>
      <c r="N2666" s="10"/>
      <c r="O2666" s="10"/>
      <c r="P2666" s="65"/>
      <c r="Q2666" s="10"/>
      <c r="R2666" s="10"/>
      <c r="S2666" s="54" t="str">
        <f t="shared" si="129"/>
        <v/>
      </c>
      <c r="T2666" s="54" t="str">
        <f t="shared" si="130"/>
        <v/>
      </c>
      <c r="U2666" s="58" t="str">
        <f t="shared" si="131"/>
        <v/>
      </c>
      <c r="V2666" s="58">
        <f>IF(AND($B2666&lt;&gt;"",$F2666&lt;&gt;"",$F2666=项目明细账!$C$2),N(V2665)+1,N(V2665))</f>
        <v>0</v>
      </c>
      <c r="W2666" s="63" t="str">
        <f>IF($H2666&lt;&gt;"","项目成本",IFERROR(INDEX(基础资料!$W$4:$W$49,MATCH($I2666,基础资料!$V$4:$V$49,0)),""))</f>
        <v/>
      </c>
      <c r="X2666" s="63" t="str">
        <f>IFERROR(INDEX(基础资料!$R$4:$R$17,MATCH($G2666,基础资料!$Q$4:$Q$17,0)),"")</f>
        <v/>
      </c>
    </row>
    <row r="2667" spans="1:24">
      <c r="A2667" s="58" t="str">
        <f>IF($B2667="","",COUNTA($B$5:$B2667))</f>
        <v/>
      </c>
      <c r="B2667" s="53"/>
      <c r="C2667" s="46"/>
      <c r="D2667" s="63" t="str">
        <f>IFERROR(INDEX(基础资料!$F$4:$F$23,MATCH($C2667,基础资料!$E$4:$E$23,0)),IF($C2667="","","未匹配账户"))</f>
        <v/>
      </c>
      <c r="E2667" s="39"/>
      <c r="F2667" s="10"/>
      <c r="G2667" s="10"/>
      <c r="H2667" s="10"/>
      <c r="I2667" s="10"/>
      <c r="J2667" s="10"/>
      <c r="K2667" s="25"/>
      <c r="L2667" s="25"/>
      <c r="M2667" s="25" t="str">
        <f>IFERROR(VLOOKUP($C2667,$C$5:$M$24,11,0)+SUMIF($C$25:$C2667,$C2667,$K$25:$K2667)-SUMIF($C$25:$C2667,$C2667,$L$25:$L2667),"")</f>
        <v/>
      </c>
      <c r="N2667" s="10"/>
      <c r="O2667" s="10"/>
      <c r="P2667" s="65"/>
      <c r="Q2667" s="10"/>
      <c r="R2667" s="10"/>
      <c r="S2667" s="54" t="str">
        <f t="shared" si="129"/>
        <v/>
      </c>
      <c r="T2667" s="54" t="str">
        <f t="shared" si="130"/>
        <v/>
      </c>
      <c r="U2667" s="58" t="str">
        <f t="shared" si="131"/>
        <v/>
      </c>
      <c r="V2667" s="58">
        <f>IF(AND($B2667&lt;&gt;"",$F2667&lt;&gt;"",$F2667=项目明细账!$C$2),N(V2666)+1,N(V2666))</f>
        <v>0</v>
      </c>
      <c r="W2667" s="63" t="str">
        <f>IF($H2667&lt;&gt;"","项目成本",IFERROR(INDEX(基础资料!$W$4:$W$49,MATCH($I2667,基础资料!$V$4:$V$49,0)),""))</f>
        <v/>
      </c>
      <c r="X2667" s="63" t="str">
        <f>IFERROR(INDEX(基础资料!$R$4:$R$17,MATCH($G2667,基础资料!$Q$4:$Q$17,0)),"")</f>
        <v/>
      </c>
    </row>
    <row r="2668" spans="1:24">
      <c r="A2668" s="58" t="str">
        <f>IF($B2668="","",COUNTA($B$5:$B2668))</f>
        <v/>
      </c>
      <c r="B2668" s="53"/>
      <c r="C2668" s="46"/>
      <c r="D2668" s="63" t="str">
        <f>IFERROR(INDEX(基础资料!$F$4:$F$23,MATCH($C2668,基础资料!$E$4:$E$23,0)),IF($C2668="","","未匹配账户"))</f>
        <v/>
      </c>
      <c r="E2668" s="39"/>
      <c r="F2668" s="10"/>
      <c r="G2668" s="10"/>
      <c r="H2668" s="10"/>
      <c r="I2668" s="10"/>
      <c r="J2668" s="10"/>
      <c r="K2668" s="25"/>
      <c r="L2668" s="25"/>
      <c r="M2668" s="25" t="str">
        <f>IFERROR(VLOOKUP($C2668,$C$5:$M$24,11,0)+SUMIF($C$25:$C2668,$C2668,$K$25:$K2668)-SUMIF($C$25:$C2668,$C2668,$L$25:$L2668),"")</f>
        <v/>
      </c>
      <c r="N2668" s="10"/>
      <c r="O2668" s="10"/>
      <c r="P2668" s="65"/>
      <c r="Q2668" s="10"/>
      <c r="R2668" s="10"/>
      <c r="S2668" s="54" t="str">
        <f t="shared" si="129"/>
        <v/>
      </c>
      <c r="T2668" s="54" t="str">
        <f t="shared" si="130"/>
        <v/>
      </c>
      <c r="U2668" s="58" t="str">
        <f t="shared" si="131"/>
        <v/>
      </c>
      <c r="V2668" s="58">
        <f>IF(AND($B2668&lt;&gt;"",$F2668&lt;&gt;"",$F2668=项目明细账!$C$2),N(V2667)+1,N(V2667))</f>
        <v>0</v>
      </c>
      <c r="W2668" s="63" t="str">
        <f>IF($H2668&lt;&gt;"","项目成本",IFERROR(INDEX(基础资料!$W$4:$W$49,MATCH($I2668,基础资料!$V$4:$V$49,0)),""))</f>
        <v/>
      </c>
      <c r="X2668" s="63" t="str">
        <f>IFERROR(INDEX(基础资料!$R$4:$R$17,MATCH($G2668,基础资料!$Q$4:$Q$17,0)),"")</f>
        <v/>
      </c>
    </row>
    <row r="2669" spans="1:24">
      <c r="A2669" s="58" t="str">
        <f>IF($B2669="","",COUNTA($B$5:$B2669))</f>
        <v/>
      </c>
      <c r="B2669" s="53"/>
      <c r="C2669" s="46"/>
      <c r="D2669" s="63" t="str">
        <f>IFERROR(INDEX(基础资料!$F$4:$F$23,MATCH($C2669,基础资料!$E$4:$E$23,0)),IF($C2669="","","未匹配账户"))</f>
        <v/>
      </c>
      <c r="E2669" s="39"/>
      <c r="F2669" s="10"/>
      <c r="G2669" s="10"/>
      <c r="H2669" s="10"/>
      <c r="I2669" s="10"/>
      <c r="J2669" s="10"/>
      <c r="K2669" s="25"/>
      <c r="L2669" s="25"/>
      <c r="M2669" s="25" t="str">
        <f>IFERROR(VLOOKUP($C2669,$C$5:$M$24,11,0)+SUMIF($C$25:$C2669,$C2669,$K$25:$K2669)-SUMIF($C$25:$C2669,$C2669,$L$25:$L2669),"")</f>
        <v/>
      </c>
      <c r="N2669" s="10"/>
      <c r="O2669" s="10"/>
      <c r="P2669" s="65"/>
      <c r="Q2669" s="10"/>
      <c r="R2669" s="10"/>
      <c r="S2669" s="54" t="str">
        <f t="shared" si="129"/>
        <v/>
      </c>
      <c r="T2669" s="54" t="str">
        <f t="shared" si="130"/>
        <v/>
      </c>
      <c r="U2669" s="58" t="str">
        <f t="shared" si="131"/>
        <v/>
      </c>
      <c r="V2669" s="58">
        <f>IF(AND($B2669&lt;&gt;"",$F2669&lt;&gt;"",$F2669=项目明细账!$C$2),N(V2668)+1,N(V2668))</f>
        <v>0</v>
      </c>
      <c r="W2669" s="63" t="str">
        <f>IF($H2669&lt;&gt;"","项目成本",IFERROR(INDEX(基础资料!$W$4:$W$49,MATCH($I2669,基础资料!$V$4:$V$49,0)),""))</f>
        <v/>
      </c>
      <c r="X2669" s="63" t="str">
        <f>IFERROR(INDEX(基础资料!$R$4:$R$17,MATCH($G2669,基础资料!$Q$4:$Q$17,0)),"")</f>
        <v/>
      </c>
    </row>
    <row r="2670" spans="1:24">
      <c r="A2670" s="58" t="str">
        <f>IF($B2670="","",COUNTA($B$5:$B2670))</f>
        <v/>
      </c>
      <c r="B2670" s="53"/>
      <c r="C2670" s="46"/>
      <c r="D2670" s="63" t="str">
        <f>IFERROR(INDEX(基础资料!$F$4:$F$23,MATCH($C2670,基础资料!$E$4:$E$23,0)),IF($C2670="","","未匹配账户"))</f>
        <v/>
      </c>
      <c r="E2670" s="39"/>
      <c r="F2670" s="10"/>
      <c r="G2670" s="10"/>
      <c r="H2670" s="10"/>
      <c r="I2670" s="10"/>
      <c r="J2670" s="10"/>
      <c r="K2670" s="25"/>
      <c r="L2670" s="25"/>
      <c r="M2670" s="25" t="str">
        <f>IFERROR(VLOOKUP($C2670,$C$5:$M$24,11,0)+SUMIF($C$25:$C2670,$C2670,$K$25:$K2670)-SUMIF($C$25:$C2670,$C2670,$L$25:$L2670),"")</f>
        <v/>
      </c>
      <c r="N2670" s="10"/>
      <c r="O2670" s="10"/>
      <c r="P2670" s="65"/>
      <c r="Q2670" s="10"/>
      <c r="R2670" s="10"/>
      <c r="S2670" s="54" t="str">
        <f t="shared" si="129"/>
        <v/>
      </c>
      <c r="T2670" s="54" t="str">
        <f t="shared" si="130"/>
        <v/>
      </c>
      <c r="U2670" s="58" t="str">
        <f t="shared" si="131"/>
        <v/>
      </c>
      <c r="V2670" s="58">
        <f>IF(AND($B2670&lt;&gt;"",$F2670&lt;&gt;"",$F2670=项目明细账!$C$2),N(V2669)+1,N(V2669))</f>
        <v>0</v>
      </c>
      <c r="W2670" s="63" t="str">
        <f>IF($H2670&lt;&gt;"","项目成本",IFERROR(INDEX(基础资料!$W$4:$W$49,MATCH($I2670,基础资料!$V$4:$V$49,0)),""))</f>
        <v/>
      </c>
      <c r="X2670" s="63" t="str">
        <f>IFERROR(INDEX(基础资料!$R$4:$R$17,MATCH($G2670,基础资料!$Q$4:$Q$17,0)),"")</f>
        <v/>
      </c>
    </row>
    <row r="2671" spans="1:24">
      <c r="A2671" s="58" t="str">
        <f>IF($B2671="","",COUNTA($B$5:$B2671))</f>
        <v/>
      </c>
      <c r="B2671" s="53"/>
      <c r="C2671" s="46"/>
      <c r="D2671" s="63" t="str">
        <f>IFERROR(INDEX(基础资料!$F$4:$F$23,MATCH($C2671,基础资料!$E$4:$E$23,0)),IF($C2671="","","未匹配账户"))</f>
        <v/>
      </c>
      <c r="E2671" s="39"/>
      <c r="F2671" s="10"/>
      <c r="G2671" s="10"/>
      <c r="H2671" s="10"/>
      <c r="I2671" s="10"/>
      <c r="J2671" s="10"/>
      <c r="K2671" s="25"/>
      <c r="L2671" s="25"/>
      <c r="M2671" s="25" t="str">
        <f>IFERROR(VLOOKUP($C2671,$C$5:$M$24,11,0)+SUMIF($C$25:$C2671,$C2671,$K$25:$K2671)-SUMIF($C$25:$C2671,$C2671,$L$25:$L2671),"")</f>
        <v/>
      </c>
      <c r="N2671" s="10"/>
      <c r="O2671" s="10"/>
      <c r="P2671" s="65"/>
      <c r="Q2671" s="10"/>
      <c r="R2671" s="10"/>
      <c r="S2671" s="54" t="str">
        <f t="shared" si="129"/>
        <v/>
      </c>
      <c r="T2671" s="54" t="str">
        <f t="shared" si="130"/>
        <v/>
      </c>
      <c r="U2671" s="58" t="str">
        <f t="shared" si="131"/>
        <v/>
      </c>
      <c r="V2671" s="58">
        <f>IF(AND($B2671&lt;&gt;"",$F2671&lt;&gt;"",$F2671=项目明细账!$C$2),N(V2670)+1,N(V2670))</f>
        <v>0</v>
      </c>
      <c r="W2671" s="63" t="str">
        <f>IF($H2671&lt;&gt;"","项目成本",IFERROR(INDEX(基础资料!$W$4:$W$49,MATCH($I2671,基础资料!$V$4:$V$49,0)),""))</f>
        <v/>
      </c>
      <c r="X2671" s="63" t="str">
        <f>IFERROR(INDEX(基础资料!$R$4:$R$17,MATCH($G2671,基础资料!$Q$4:$Q$17,0)),"")</f>
        <v/>
      </c>
    </row>
    <row r="2672" spans="1:24">
      <c r="A2672" s="58" t="str">
        <f>IF($B2672="","",COUNTA($B$5:$B2672))</f>
        <v/>
      </c>
      <c r="B2672" s="53"/>
      <c r="C2672" s="46"/>
      <c r="D2672" s="63" t="str">
        <f>IFERROR(INDEX(基础资料!$F$4:$F$23,MATCH($C2672,基础资料!$E$4:$E$23,0)),IF($C2672="","","未匹配账户"))</f>
        <v/>
      </c>
      <c r="E2672" s="39"/>
      <c r="F2672" s="10"/>
      <c r="G2672" s="10"/>
      <c r="H2672" s="10"/>
      <c r="I2672" s="10"/>
      <c r="J2672" s="10"/>
      <c r="K2672" s="25"/>
      <c r="L2672" s="25"/>
      <c r="M2672" s="25" t="str">
        <f>IFERROR(VLOOKUP($C2672,$C$5:$M$24,11,0)+SUMIF($C$25:$C2672,$C2672,$K$25:$K2672)-SUMIF($C$25:$C2672,$C2672,$L$25:$L2672),"")</f>
        <v/>
      </c>
      <c r="N2672" s="10"/>
      <c r="O2672" s="10"/>
      <c r="P2672" s="65"/>
      <c r="Q2672" s="10"/>
      <c r="R2672" s="10"/>
      <c r="S2672" s="54" t="str">
        <f t="shared" si="129"/>
        <v/>
      </c>
      <c r="T2672" s="54" t="str">
        <f t="shared" si="130"/>
        <v/>
      </c>
      <c r="U2672" s="58" t="str">
        <f t="shared" si="131"/>
        <v/>
      </c>
      <c r="V2672" s="58">
        <f>IF(AND($B2672&lt;&gt;"",$F2672&lt;&gt;"",$F2672=项目明细账!$C$2),N(V2671)+1,N(V2671))</f>
        <v>0</v>
      </c>
      <c r="W2672" s="63" t="str">
        <f>IF($H2672&lt;&gt;"","项目成本",IFERROR(INDEX(基础资料!$W$4:$W$49,MATCH($I2672,基础资料!$V$4:$V$49,0)),""))</f>
        <v/>
      </c>
      <c r="X2672" s="63" t="str">
        <f>IFERROR(INDEX(基础资料!$R$4:$R$17,MATCH($G2672,基础资料!$Q$4:$Q$17,0)),"")</f>
        <v/>
      </c>
    </row>
    <row r="2673" spans="1:24">
      <c r="A2673" s="58" t="str">
        <f>IF($B2673="","",COUNTA($B$5:$B2673))</f>
        <v/>
      </c>
      <c r="B2673" s="53"/>
      <c r="C2673" s="46"/>
      <c r="D2673" s="63" t="str">
        <f>IFERROR(INDEX(基础资料!$F$4:$F$23,MATCH($C2673,基础资料!$E$4:$E$23,0)),IF($C2673="","","未匹配账户"))</f>
        <v/>
      </c>
      <c r="E2673" s="39"/>
      <c r="F2673" s="10"/>
      <c r="G2673" s="10"/>
      <c r="H2673" s="10"/>
      <c r="I2673" s="10"/>
      <c r="J2673" s="10"/>
      <c r="K2673" s="25"/>
      <c r="L2673" s="25"/>
      <c r="M2673" s="25" t="str">
        <f>IFERROR(VLOOKUP($C2673,$C$5:$M$24,11,0)+SUMIF($C$25:$C2673,$C2673,$K$25:$K2673)-SUMIF($C$25:$C2673,$C2673,$L$25:$L2673),"")</f>
        <v/>
      </c>
      <c r="N2673" s="10"/>
      <c r="O2673" s="10"/>
      <c r="P2673" s="65"/>
      <c r="Q2673" s="10"/>
      <c r="R2673" s="10"/>
      <c r="S2673" s="54" t="str">
        <f t="shared" si="129"/>
        <v/>
      </c>
      <c r="T2673" s="54" t="str">
        <f t="shared" si="130"/>
        <v/>
      </c>
      <c r="U2673" s="58" t="str">
        <f t="shared" si="131"/>
        <v/>
      </c>
      <c r="V2673" s="58">
        <f>IF(AND($B2673&lt;&gt;"",$F2673&lt;&gt;"",$F2673=项目明细账!$C$2),N(V2672)+1,N(V2672))</f>
        <v>0</v>
      </c>
      <c r="W2673" s="63" t="str">
        <f>IF($H2673&lt;&gt;"","项目成本",IFERROR(INDEX(基础资料!$W$4:$W$49,MATCH($I2673,基础资料!$V$4:$V$49,0)),""))</f>
        <v/>
      </c>
      <c r="X2673" s="63" t="str">
        <f>IFERROR(INDEX(基础资料!$R$4:$R$17,MATCH($G2673,基础资料!$Q$4:$Q$17,0)),"")</f>
        <v/>
      </c>
    </row>
    <row r="2674" spans="1:24">
      <c r="A2674" s="58" t="str">
        <f>IF($B2674="","",COUNTA($B$5:$B2674))</f>
        <v/>
      </c>
      <c r="B2674" s="53"/>
      <c r="C2674" s="46"/>
      <c r="D2674" s="63" t="str">
        <f>IFERROR(INDEX(基础资料!$F$4:$F$23,MATCH($C2674,基础资料!$E$4:$E$23,0)),IF($C2674="","","未匹配账户"))</f>
        <v/>
      </c>
      <c r="E2674" s="39"/>
      <c r="F2674" s="10"/>
      <c r="G2674" s="10"/>
      <c r="H2674" s="10"/>
      <c r="I2674" s="10"/>
      <c r="J2674" s="10"/>
      <c r="K2674" s="25"/>
      <c r="L2674" s="25"/>
      <c r="M2674" s="25" t="str">
        <f>IFERROR(VLOOKUP($C2674,$C$5:$M$24,11,0)+SUMIF($C$25:$C2674,$C2674,$K$25:$K2674)-SUMIF($C$25:$C2674,$C2674,$L$25:$L2674),"")</f>
        <v/>
      </c>
      <c r="N2674" s="10"/>
      <c r="O2674" s="10"/>
      <c r="P2674" s="65"/>
      <c r="Q2674" s="10"/>
      <c r="R2674" s="10"/>
      <c r="S2674" s="54" t="str">
        <f t="shared" si="129"/>
        <v/>
      </c>
      <c r="T2674" s="54" t="str">
        <f t="shared" si="130"/>
        <v/>
      </c>
      <c r="U2674" s="58" t="str">
        <f t="shared" si="131"/>
        <v/>
      </c>
      <c r="V2674" s="58">
        <f>IF(AND($B2674&lt;&gt;"",$F2674&lt;&gt;"",$F2674=项目明细账!$C$2),N(V2673)+1,N(V2673))</f>
        <v>0</v>
      </c>
      <c r="W2674" s="63" t="str">
        <f>IF($H2674&lt;&gt;"","项目成本",IFERROR(INDEX(基础资料!$W$4:$W$49,MATCH($I2674,基础资料!$V$4:$V$49,0)),""))</f>
        <v/>
      </c>
      <c r="X2674" s="63" t="str">
        <f>IFERROR(INDEX(基础资料!$R$4:$R$17,MATCH($G2674,基础资料!$Q$4:$Q$17,0)),"")</f>
        <v/>
      </c>
    </row>
    <row r="2675" spans="1:24">
      <c r="A2675" s="58" t="str">
        <f>IF($B2675="","",COUNTA($B$5:$B2675))</f>
        <v/>
      </c>
      <c r="B2675" s="53"/>
      <c r="C2675" s="46"/>
      <c r="D2675" s="63" t="str">
        <f>IFERROR(INDEX(基础资料!$F$4:$F$23,MATCH($C2675,基础资料!$E$4:$E$23,0)),IF($C2675="","","未匹配账户"))</f>
        <v/>
      </c>
      <c r="E2675" s="39"/>
      <c r="F2675" s="10"/>
      <c r="G2675" s="10"/>
      <c r="H2675" s="10"/>
      <c r="I2675" s="10"/>
      <c r="J2675" s="10"/>
      <c r="K2675" s="25"/>
      <c r="L2675" s="25"/>
      <c r="M2675" s="25" t="str">
        <f>IFERROR(VLOOKUP($C2675,$C$5:$M$24,11,0)+SUMIF($C$25:$C2675,$C2675,$K$25:$K2675)-SUMIF($C$25:$C2675,$C2675,$L$25:$L2675),"")</f>
        <v/>
      </c>
      <c r="N2675" s="10"/>
      <c r="O2675" s="10"/>
      <c r="P2675" s="65"/>
      <c r="Q2675" s="10"/>
      <c r="R2675" s="10"/>
      <c r="S2675" s="54" t="str">
        <f t="shared" si="129"/>
        <v/>
      </c>
      <c r="T2675" s="54" t="str">
        <f t="shared" si="130"/>
        <v/>
      </c>
      <c r="U2675" s="58" t="str">
        <f t="shared" si="131"/>
        <v/>
      </c>
      <c r="V2675" s="58">
        <f>IF(AND($B2675&lt;&gt;"",$F2675&lt;&gt;"",$F2675=项目明细账!$C$2),N(V2674)+1,N(V2674))</f>
        <v>0</v>
      </c>
      <c r="W2675" s="63" t="str">
        <f>IF($H2675&lt;&gt;"","项目成本",IFERROR(INDEX(基础资料!$W$4:$W$49,MATCH($I2675,基础资料!$V$4:$V$49,0)),""))</f>
        <v/>
      </c>
      <c r="X2675" s="63" t="str">
        <f>IFERROR(INDEX(基础资料!$R$4:$R$17,MATCH($G2675,基础资料!$Q$4:$Q$17,0)),"")</f>
        <v/>
      </c>
    </row>
    <row r="2676" spans="1:24">
      <c r="A2676" s="58" t="str">
        <f>IF($B2676="","",COUNTA($B$5:$B2676))</f>
        <v/>
      </c>
      <c r="B2676" s="53"/>
      <c r="C2676" s="46"/>
      <c r="D2676" s="63" t="str">
        <f>IFERROR(INDEX(基础资料!$F$4:$F$23,MATCH($C2676,基础资料!$E$4:$E$23,0)),IF($C2676="","","未匹配账户"))</f>
        <v/>
      </c>
      <c r="E2676" s="39"/>
      <c r="F2676" s="10"/>
      <c r="G2676" s="10"/>
      <c r="H2676" s="10"/>
      <c r="I2676" s="10"/>
      <c r="J2676" s="10"/>
      <c r="K2676" s="25"/>
      <c r="L2676" s="25"/>
      <c r="M2676" s="25" t="str">
        <f>IFERROR(VLOOKUP($C2676,$C$5:$M$24,11,0)+SUMIF($C$25:$C2676,$C2676,$K$25:$K2676)-SUMIF($C$25:$C2676,$C2676,$L$25:$L2676),"")</f>
        <v/>
      </c>
      <c r="N2676" s="10"/>
      <c r="O2676" s="10"/>
      <c r="P2676" s="65"/>
      <c r="Q2676" s="10"/>
      <c r="R2676" s="10"/>
      <c r="S2676" s="54" t="str">
        <f t="shared" si="129"/>
        <v/>
      </c>
      <c r="T2676" s="54" t="str">
        <f t="shared" si="130"/>
        <v/>
      </c>
      <c r="U2676" s="58" t="str">
        <f t="shared" si="131"/>
        <v/>
      </c>
      <c r="V2676" s="58">
        <f>IF(AND($B2676&lt;&gt;"",$F2676&lt;&gt;"",$F2676=项目明细账!$C$2),N(V2675)+1,N(V2675))</f>
        <v>0</v>
      </c>
      <c r="W2676" s="63" t="str">
        <f>IF($H2676&lt;&gt;"","项目成本",IFERROR(INDEX(基础资料!$W$4:$W$49,MATCH($I2676,基础资料!$V$4:$V$49,0)),""))</f>
        <v/>
      </c>
      <c r="X2676" s="63" t="str">
        <f>IFERROR(INDEX(基础资料!$R$4:$R$17,MATCH($G2676,基础资料!$Q$4:$Q$17,0)),"")</f>
        <v/>
      </c>
    </row>
    <row r="2677" spans="1:24">
      <c r="A2677" s="58" t="str">
        <f>IF($B2677="","",COUNTA($B$5:$B2677))</f>
        <v/>
      </c>
      <c r="B2677" s="53"/>
      <c r="C2677" s="46"/>
      <c r="D2677" s="63" t="str">
        <f>IFERROR(INDEX(基础资料!$F$4:$F$23,MATCH($C2677,基础资料!$E$4:$E$23,0)),IF($C2677="","","未匹配账户"))</f>
        <v/>
      </c>
      <c r="E2677" s="39"/>
      <c r="F2677" s="10"/>
      <c r="G2677" s="10"/>
      <c r="H2677" s="10"/>
      <c r="I2677" s="10"/>
      <c r="J2677" s="10"/>
      <c r="K2677" s="25"/>
      <c r="L2677" s="25"/>
      <c r="M2677" s="25" t="str">
        <f>IFERROR(VLOOKUP($C2677,$C$5:$M$24,11,0)+SUMIF($C$25:$C2677,$C2677,$K$25:$K2677)-SUMIF($C$25:$C2677,$C2677,$L$25:$L2677),"")</f>
        <v/>
      </c>
      <c r="N2677" s="10"/>
      <c r="O2677" s="10"/>
      <c r="P2677" s="65"/>
      <c r="Q2677" s="10"/>
      <c r="R2677" s="10"/>
      <c r="S2677" s="54" t="str">
        <f t="shared" si="129"/>
        <v/>
      </c>
      <c r="T2677" s="54" t="str">
        <f t="shared" si="130"/>
        <v/>
      </c>
      <c r="U2677" s="58" t="str">
        <f t="shared" si="131"/>
        <v/>
      </c>
      <c r="V2677" s="58">
        <f>IF(AND($B2677&lt;&gt;"",$F2677&lt;&gt;"",$F2677=项目明细账!$C$2),N(V2676)+1,N(V2676))</f>
        <v>0</v>
      </c>
      <c r="W2677" s="63" t="str">
        <f>IF($H2677&lt;&gt;"","项目成本",IFERROR(INDEX(基础资料!$W$4:$W$49,MATCH($I2677,基础资料!$V$4:$V$49,0)),""))</f>
        <v/>
      </c>
      <c r="X2677" s="63" t="str">
        <f>IFERROR(INDEX(基础资料!$R$4:$R$17,MATCH($G2677,基础资料!$Q$4:$Q$17,0)),"")</f>
        <v/>
      </c>
    </row>
    <row r="2678" spans="1:24">
      <c r="A2678" s="58" t="str">
        <f>IF($B2678="","",COUNTA($B$5:$B2678))</f>
        <v/>
      </c>
      <c r="B2678" s="53"/>
      <c r="C2678" s="46"/>
      <c r="D2678" s="63" t="str">
        <f>IFERROR(INDEX(基础资料!$F$4:$F$23,MATCH($C2678,基础资料!$E$4:$E$23,0)),IF($C2678="","","未匹配账户"))</f>
        <v/>
      </c>
      <c r="E2678" s="39"/>
      <c r="F2678" s="10"/>
      <c r="G2678" s="10"/>
      <c r="H2678" s="10"/>
      <c r="I2678" s="10"/>
      <c r="J2678" s="10"/>
      <c r="K2678" s="25"/>
      <c r="L2678" s="25"/>
      <c r="M2678" s="25" t="str">
        <f>IFERROR(VLOOKUP($C2678,$C$5:$M$24,11,0)+SUMIF($C$25:$C2678,$C2678,$K$25:$K2678)-SUMIF($C$25:$C2678,$C2678,$L$25:$L2678),"")</f>
        <v/>
      </c>
      <c r="N2678" s="10"/>
      <c r="O2678" s="10"/>
      <c r="P2678" s="65"/>
      <c r="Q2678" s="10"/>
      <c r="R2678" s="10"/>
      <c r="S2678" s="54" t="str">
        <f t="shared" si="129"/>
        <v/>
      </c>
      <c r="T2678" s="54" t="str">
        <f t="shared" si="130"/>
        <v/>
      </c>
      <c r="U2678" s="58" t="str">
        <f t="shared" si="131"/>
        <v/>
      </c>
      <c r="V2678" s="58">
        <f>IF(AND($B2678&lt;&gt;"",$F2678&lt;&gt;"",$F2678=项目明细账!$C$2),N(V2677)+1,N(V2677))</f>
        <v>0</v>
      </c>
      <c r="W2678" s="63" t="str">
        <f>IF($H2678&lt;&gt;"","项目成本",IFERROR(INDEX(基础资料!$W$4:$W$49,MATCH($I2678,基础资料!$V$4:$V$49,0)),""))</f>
        <v/>
      </c>
      <c r="X2678" s="63" t="str">
        <f>IFERROR(INDEX(基础资料!$R$4:$R$17,MATCH($G2678,基础资料!$Q$4:$Q$17,0)),"")</f>
        <v/>
      </c>
    </row>
    <row r="2679" spans="1:24">
      <c r="A2679" s="58" t="str">
        <f>IF($B2679="","",COUNTA($B$5:$B2679))</f>
        <v/>
      </c>
      <c r="B2679" s="53"/>
      <c r="C2679" s="46"/>
      <c r="D2679" s="63" t="str">
        <f>IFERROR(INDEX(基础资料!$F$4:$F$23,MATCH($C2679,基础资料!$E$4:$E$23,0)),IF($C2679="","","未匹配账户"))</f>
        <v/>
      </c>
      <c r="E2679" s="39"/>
      <c r="F2679" s="10"/>
      <c r="G2679" s="10"/>
      <c r="H2679" s="10"/>
      <c r="I2679" s="10"/>
      <c r="J2679" s="10"/>
      <c r="K2679" s="25"/>
      <c r="L2679" s="25"/>
      <c r="M2679" s="25" t="str">
        <f>IFERROR(VLOOKUP($C2679,$C$5:$M$24,11,0)+SUMIF($C$25:$C2679,$C2679,$K$25:$K2679)-SUMIF($C$25:$C2679,$C2679,$L$25:$L2679),"")</f>
        <v/>
      </c>
      <c r="N2679" s="10"/>
      <c r="O2679" s="10"/>
      <c r="P2679" s="65"/>
      <c r="Q2679" s="10"/>
      <c r="R2679" s="10"/>
      <c r="S2679" s="54" t="str">
        <f t="shared" si="129"/>
        <v/>
      </c>
      <c r="T2679" s="54" t="str">
        <f t="shared" si="130"/>
        <v/>
      </c>
      <c r="U2679" s="58" t="str">
        <f t="shared" si="131"/>
        <v/>
      </c>
      <c r="V2679" s="58">
        <f>IF(AND($B2679&lt;&gt;"",$F2679&lt;&gt;"",$F2679=项目明细账!$C$2),N(V2678)+1,N(V2678))</f>
        <v>0</v>
      </c>
      <c r="W2679" s="63" t="str">
        <f>IF($H2679&lt;&gt;"","项目成本",IFERROR(INDEX(基础资料!$W$4:$W$49,MATCH($I2679,基础资料!$V$4:$V$49,0)),""))</f>
        <v/>
      </c>
      <c r="X2679" s="63" t="str">
        <f>IFERROR(INDEX(基础资料!$R$4:$R$17,MATCH($G2679,基础资料!$Q$4:$Q$17,0)),"")</f>
        <v/>
      </c>
    </row>
    <row r="2680" spans="1:24">
      <c r="A2680" s="58" t="str">
        <f>IF($B2680="","",COUNTA($B$5:$B2680))</f>
        <v/>
      </c>
      <c r="B2680" s="53"/>
      <c r="C2680" s="46"/>
      <c r="D2680" s="63" t="str">
        <f>IFERROR(INDEX(基础资料!$F$4:$F$23,MATCH($C2680,基础资料!$E$4:$E$23,0)),IF($C2680="","","未匹配账户"))</f>
        <v/>
      </c>
      <c r="E2680" s="39"/>
      <c r="F2680" s="10"/>
      <c r="G2680" s="10"/>
      <c r="H2680" s="10"/>
      <c r="I2680" s="10"/>
      <c r="J2680" s="10"/>
      <c r="K2680" s="25"/>
      <c r="L2680" s="25"/>
      <c r="M2680" s="25" t="str">
        <f>IFERROR(VLOOKUP($C2680,$C$5:$M$24,11,0)+SUMIF($C$25:$C2680,$C2680,$K$25:$K2680)-SUMIF($C$25:$C2680,$C2680,$L$25:$L2680),"")</f>
        <v/>
      </c>
      <c r="N2680" s="10"/>
      <c r="O2680" s="10"/>
      <c r="P2680" s="65"/>
      <c r="Q2680" s="10"/>
      <c r="R2680" s="10"/>
      <c r="S2680" s="54" t="str">
        <f t="shared" si="129"/>
        <v/>
      </c>
      <c r="T2680" s="54" t="str">
        <f t="shared" si="130"/>
        <v/>
      </c>
      <c r="U2680" s="58" t="str">
        <f t="shared" si="131"/>
        <v/>
      </c>
      <c r="V2680" s="58">
        <f>IF(AND($B2680&lt;&gt;"",$F2680&lt;&gt;"",$F2680=项目明细账!$C$2),N(V2679)+1,N(V2679))</f>
        <v>0</v>
      </c>
      <c r="W2680" s="63" t="str">
        <f>IF($H2680&lt;&gt;"","项目成本",IFERROR(INDEX(基础资料!$W$4:$W$49,MATCH($I2680,基础资料!$V$4:$V$49,0)),""))</f>
        <v/>
      </c>
      <c r="X2680" s="63" t="str">
        <f>IFERROR(INDEX(基础资料!$R$4:$R$17,MATCH($G2680,基础资料!$Q$4:$Q$17,0)),"")</f>
        <v/>
      </c>
    </row>
    <row r="2681" spans="1:24">
      <c r="A2681" s="58" t="str">
        <f>IF($B2681="","",COUNTA($B$5:$B2681))</f>
        <v/>
      </c>
      <c r="B2681" s="53"/>
      <c r="C2681" s="46"/>
      <c r="D2681" s="63" t="str">
        <f>IFERROR(INDEX(基础资料!$F$4:$F$23,MATCH($C2681,基础资料!$E$4:$E$23,0)),IF($C2681="","","未匹配账户"))</f>
        <v/>
      </c>
      <c r="E2681" s="39"/>
      <c r="F2681" s="10"/>
      <c r="G2681" s="10"/>
      <c r="H2681" s="10"/>
      <c r="I2681" s="10"/>
      <c r="J2681" s="10"/>
      <c r="K2681" s="25"/>
      <c r="L2681" s="25"/>
      <c r="M2681" s="25" t="str">
        <f>IFERROR(VLOOKUP($C2681,$C$5:$M$24,11,0)+SUMIF($C$25:$C2681,$C2681,$K$25:$K2681)-SUMIF($C$25:$C2681,$C2681,$L$25:$L2681),"")</f>
        <v/>
      </c>
      <c r="N2681" s="10"/>
      <c r="O2681" s="10"/>
      <c r="P2681" s="65"/>
      <c r="Q2681" s="10"/>
      <c r="R2681" s="10"/>
      <c r="S2681" s="54" t="str">
        <f t="shared" si="129"/>
        <v/>
      </c>
      <c r="T2681" s="54" t="str">
        <f t="shared" si="130"/>
        <v/>
      </c>
      <c r="U2681" s="58" t="str">
        <f t="shared" si="131"/>
        <v/>
      </c>
      <c r="V2681" s="58">
        <f>IF(AND($B2681&lt;&gt;"",$F2681&lt;&gt;"",$F2681=项目明细账!$C$2),N(V2680)+1,N(V2680))</f>
        <v>0</v>
      </c>
      <c r="W2681" s="63" t="str">
        <f>IF($H2681&lt;&gt;"","项目成本",IFERROR(INDEX(基础资料!$W$4:$W$49,MATCH($I2681,基础资料!$V$4:$V$49,0)),""))</f>
        <v/>
      </c>
      <c r="X2681" s="63" t="str">
        <f>IFERROR(INDEX(基础资料!$R$4:$R$17,MATCH($G2681,基础资料!$Q$4:$Q$17,0)),"")</f>
        <v/>
      </c>
    </row>
    <row r="2682" spans="1:24">
      <c r="A2682" s="58" t="str">
        <f>IF($B2682="","",COUNTA($B$5:$B2682))</f>
        <v/>
      </c>
      <c r="B2682" s="53"/>
      <c r="C2682" s="46"/>
      <c r="D2682" s="63" t="str">
        <f>IFERROR(INDEX(基础资料!$F$4:$F$23,MATCH($C2682,基础资料!$E$4:$E$23,0)),IF($C2682="","","未匹配账户"))</f>
        <v/>
      </c>
      <c r="E2682" s="39"/>
      <c r="F2682" s="10"/>
      <c r="G2682" s="10"/>
      <c r="H2682" s="10"/>
      <c r="I2682" s="10"/>
      <c r="J2682" s="10"/>
      <c r="K2682" s="25"/>
      <c r="L2682" s="25"/>
      <c r="M2682" s="25" t="str">
        <f>IFERROR(VLOOKUP($C2682,$C$5:$M$24,11,0)+SUMIF($C$25:$C2682,$C2682,$K$25:$K2682)-SUMIF($C$25:$C2682,$C2682,$L$25:$L2682),"")</f>
        <v/>
      </c>
      <c r="N2682" s="10"/>
      <c r="O2682" s="10"/>
      <c r="P2682" s="65"/>
      <c r="Q2682" s="10"/>
      <c r="R2682" s="10"/>
      <c r="S2682" s="54" t="str">
        <f t="shared" si="129"/>
        <v/>
      </c>
      <c r="T2682" s="54" t="str">
        <f t="shared" si="130"/>
        <v/>
      </c>
      <c r="U2682" s="58" t="str">
        <f t="shared" si="131"/>
        <v/>
      </c>
      <c r="V2682" s="58">
        <f>IF(AND($B2682&lt;&gt;"",$F2682&lt;&gt;"",$F2682=项目明细账!$C$2),N(V2681)+1,N(V2681))</f>
        <v>0</v>
      </c>
      <c r="W2682" s="63" t="str">
        <f>IF($H2682&lt;&gt;"","项目成本",IFERROR(INDEX(基础资料!$W$4:$W$49,MATCH($I2682,基础资料!$V$4:$V$49,0)),""))</f>
        <v/>
      </c>
      <c r="X2682" s="63" t="str">
        <f>IFERROR(INDEX(基础资料!$R$4:$R$17,MATCH($G2682,基础资料!$Q$4:$Q$17,0)),"")</f>
        <v/>
      </c>
    </row>
    <row r="2683" spans="1:24">
      <c r="A2683" s="58" t="str">
        <f>IF($B2683="","",COUNTA($B$5:$B2683))</f>
        <v/>
      </c>
      <c r="B2683" s="53"/>
      <c r="C2683" s="46"/>
      <c r="D2683" s="63" t="str">
        <f>IFERROR(INDEX(基础资料!$F$4:$F$23,MATCH($C2683,基础资料!$E$4:$E$23,0)),IF($C2683="","","未匹配账户"))</f>
        <v/>
      </c>
      <c r="E2683" s="39"/>
      <c r="F2683" s="10"/>
      <c r="G2683" s="10"/>
      <c r="H2683" s="10"/>
      <c r="I2683" s="10"/>
      <c r="J2683" s="10"/>
      <c r="K2683" s="25"/>
      <c r="L2683" s="25"/>
      <c r="M2683" s="25" t="str">
        <f>IFERROR(VLOOKUP($C2683,$C$5:$M$24,11,0)+SUMIF($C$25:$C2683,$C2683,$K$25:$K2683)-SUMIF($C$25:$C2683,$C2683,$L$25:$L2683),"")</f>
        <v/>
      </c>
      <c r="N2683" s="10"/>
      <c r="O2683" s="10"/>
      <c r="P2683" s="65"/>
      <c r="Q2683" s="10"/>
      <c r="R2683" s="10"/>
      <c r="S2683" s="54" t="str">
        <f t="shared" si="129"/>
        <v/>
      </c>
      <c r="T2683" s="54" t="str">
        <f t="shared" si="130"/>
        <v/>
      </c>
      <c r="U2683" s="58" t="str">
        <f t="shared" si="131"/>
        <v/>
      </c>
      <c r="V2683" s="58">
        <f>IF(AND($B2683&lt;&gt;"",$F2683&lt;&gt;"",$F2683=项目明细账!$C$2),N(V2682)+1,N(V2682))</f>
        <v>0</v>
      </c>
      <c r="W2683" s="63" t="str">
        <f>IF($H2683&lt;&gt;"","项目成本",IFERROR(INDEX(基础资料!$W$4:$W$49,MATCH($I2683,基础资料!$V$4:$V$49,0)),""))</f>
        <v/>
      </c>
      <c r="X2683" s="63" t="str">
        <f>IFERROR(INDEX(基础资料!$R$4:$R$17,MATCH($G2683,基础资料!$Q$4:$Q$17,0)),"")</f>
        <v/>
      </c>
    </row>
    <row r="2684" spans="1:24">
      <c r="A2684" s="58" t="str">
        <f>IF($B2684="","",COUNTA($B$5:$B2684))</f>
        <v/>
      </c>
      <c r="B2684" s="53"/>
      <c r="C2684" s="46"/>
      <c r="D2684" s="63" t="str">
        <f>IFERROR(INDEX(基础资料!$F$4:$F$23,MATCH($C2684,基础资料!$E$4:$E$23,0)),IF($C2684="","","未匹配账户"))</f>
        <v/>
      </c>
      <c r="E2684" s="39"/>
      <c r="F2684" s="10"/>
      <c r="G2684" s="10"/>
      <c r="H2684" s="10"/>
      <c r="I2684" s="10"/>
      <c r="J2684" s="10"/>
      <c r="K2684" s="25"/>
      <c r="L2684" s="25"/>
      <c r="M2684" s="25" t="str">
        <f>IFERROR(VLOOKUP($C2684,$C$5:$M$24,11,0)+SUMIF($C$25:$C2684,$C2684,$K$25:$K2684)-SUMIF($C$25:$C2684,$C2684,$L$25:$L2684),"")</f>
        <v/>
      </c>
      <c r="N2684" s="10"/>
      <c r="O2684" s="10"/>
      <c r="P2684" s="65"/>
      <c r="Q2684" s="10"/>
      <c r="R2684" s="10"/>
      <c r="S2684" s="54" t="str">
        <f t="shared" si="129"/>
        <v/>
      </c>
      <c r="T2684" s="54" t="str">
        <f t="shared" si="130"/>
        <v/>
      </c>
      <c r="U2684" s="58" t="str">
        <f t="shared" si="131"/>
        <v/>
      </c>
      <c r="V2684" s="58">
        <f>IF(AND($B2684&lt;&gt;"",$F2684&lt;&gt;"",$F2684=项目明细账!$C$2),N(V2683)+1,N(V2683))</f>
        <v>0</v>
      </c>
      <c r="W2684" s="63" t="str">
        <f>IF($H2684&lt;&gt;"","项目成本",IFERROR(INDEX(基础资料!$W$4:$W$49,MATCH($I2684,基础资料!$V$4:$V$49,0)),""))</f>
        <v/>
      </c>
      <c r="X2684" s="63" t="str">
        <f>IFERROR(INDEX(基础资料!$R$4:$R$17,MATCH($G2684,基础资料!$Q$4:$Q$17,0)),"")</f>
        <v/>
      </c>
    </row>
    <row r="2685" spans="1:24">
      <c r="A2685" s="58" t="str">
        <f>IF($B2685="","",COUNTA($B$5:$B2685))</f>
        <v/>
      </c>
      <c r="B2685" s="53"/>
      <c r="C2685" s="46"/>
      <c r="D2685" s="63" t="str">
        <f>IFERROR(INDEX(基础资料!$F$4:$F$23,MATCH($C2685,基础资料!$E$4:$E$23,0)),IF($C2685="","","未匹配账户"))</f>
        <v/>
      </c>
      <c r="E2685" s="39"/>
      <c r="F2685" s="10"/>
      <c r="G2685" s="10"/>
      <c r="H2685" s="10"/>
      <c r="I2685" s="10"/>
      <c r="J2685" s="10"/>
      <c r="K2685" s="25"/>
      <c r="L2685" s="25"/>
      <c r="M2685" s="25" t="str">
        <f>IFERROR(VLOOKUP($C2685,$C$5:$M$24,11,0)+SUMIF($C$25:$C2685,$C2685,$K$25:$K2685)-SUMIF($C$25:$C2685,$C2685,$L$25:$L2685),"")</f>
        <v/>
      </c>
      <c r="N2685" s="10"/>
      <c r="O2685" s="10"/>
      <c r="P2685" s="65"/>
      <c r="Q2685" s="10"/>
      <c r="R2685" s="10"/>
      <c r="S2685" s="54" t="str">
        <f t="shared" si="129"/>
        <v/>
      </c>
      <c r="T2685" s="54" t="str">
        <f t="shared" si="130"/>
        <v/>
      </c>
      <c r="U2685" s="58" t="str">
        <f t="shared" si="131"/>
        <v/>
      </c>
      <c r="V2685" s="58">
        <f>IF(AND($B2685&lt;&gt;"",$F2685&lt;&gt;"",$F2685=项目明细账!$C$2),N(V2684)+1,N(V2684))</f>
        <v>0</v>
      </c>
      <c r="W2685" s="63" t="str">
        <f>IF($H2685&lt;&gt;"","项目成本",IFERROR(INDEX(基础资料!$W$4:$W$49,MATCH($I2685,基础资料!$V$4:$V$49,0)),""))</f>
        <v/>
      </c>
      <c r="X2685" s="63" t="str">
        <f>IFERROR(INDEX(基础资料!$R$4:$R$17,MATCH($G2685,基础资料!$Q$4:$Q$17,0)),"")</f>
        <v/>
      </c>
    </row>
    <row r="2686" spans="1:24">
      <c r="A2686" s="58" t="str">
        <f>IF($B2686="","",COUNTA($B$5:$B2686))</f>
        <v/>
      </c>
      <c r="B2686" s="53"/>
      <c r="C2686" s="46"/>
      <c r="D2686" s="63" t="str">
        <f>IFERROR(INDEX(基础资料!$F$4:$F$23,MATCH($C2686,基础资料!$E$4:$E$23,0)),IF($C2686="","","未匹配账户"))</f>
        <v/>
      </c>
      <c r="E2686" s="39"/>
      <c r="F2686" s="10"/>
      <c r="G2686" s="10"/>
      <c r="H2686" s="10"/>
      <c r="I2686" s="10"/>
      <c r="J2686" s="10"/>
      <c r="K2686" s="25"/>
      <c r="L2686" s="25"/>
      <c r="M2686" s="25" t="str">
        <f>IFERROR(VLOOKUP($C2686,$C$5:$M$24,11,0)+SUMIF($C$25:$C2686,$C2686,$K$25:$K2686)-SUMIF($C$25:$C2686,$C2686,$L$25:$L2686),"")</f>
        <v/>
      </c>
      <c r="N2686" s="10"/>
      <c r="O2686" s="10"/>
      <c r="P2686" s="65"/>
      <c r="Q2686" s="10"/>
      <c r="R2686" s="10"/>
      <c r="S2686" s="54" t="str">
        <f t="shared" si="129"/>
        <v/>
      </c>
      <c r="T2686" s="54" t="str">
        <f t="shared" si="130"/>
        <v/>
      </c>
      <c r="U2686" s="58" t="str">
        <f t="shared" si="131"/>
        <v/>
      </c>
      <c r="V2686" s="58">
        <f>IF(AND($B2686&lt;&gt;"",$F2686&lt;&gt;"",$F2686=项目明细账!$C$2),N(V2685)+1,N(V2685))</f>
        <v>0</v>
      </c>
      <c r="W2686" s="63" t="str">
        <f>IF($H2686&lt;&gt;"","项目成本",IFERROR(INDEX(基础资料!$W$4:$W$49,MATCH($I2686,基础资料!$V$4:$V$49,0)),""))</f>
        <v/>
      </c>
      <c r="X2686" s="63" t="str">
        <f>IFERROR(INDEX(基础资料!$R$4:$R$17,MATCH($G2686,基础资料!$Q$4:$Q$17,0)),"")</f>
        <v/>
      </c>
    </row>
    <row r="2687" spans="1:24">
      <c r="A2687" s="58" t="str">
        <f>IF($B2687="","",COUNTA($B$5:$B2687))</f>
        <v/>
      </c>
      <c r="B2687" s="53"/>
      <c r="C2687" s="46"/>
      <c r="D2687" s="63" t="str">
        <f>IFERROR(INDEX(基础资料!$F$4:$F$23,MATCH($C2687,基础资料!$E$4:$E$23,0)),IF($C2687="","","未匹配账户"))</f>
        <v/>
      </c>
      <c r="E2687" s="39"/>
      <c r="F2687" s="10"/>
      <c r="G2687" s="10"/>
      <c r="H2687" s="10"/>
      <c r="I2687" s="10"/>
      <c r="J2687" s="10"/>
      <c r="K2687" s="25"/>
      <c r="L2687" s="25"/>
      <c r="M2687" s="25" t="str">
        <f>IFERROR(VLOOKUP($C2687,$C$5:$M$24,11,0)+SUMIF($C$25:$C2687,$C2687,$K$25:$K2687)-SUMIF($C$25:$C2687,$C2687,$L$25:$L2687),"")</f>
        <v/>
      </c>
      <c r="N2687" s="10"/>
      <c r="O2687" s="10"/>
      <c r="P2687" s="65"/>
      <c r="Q2687" s="10"/>
      <c r="R2687" s="10"/>
      <c r="S2687" s="54" t="str">
        <f t="shared" si="129"/>
        <v/>
      </c>
      <c r="T2687" s="54" t="str">
        <f t="shared" si="130"/>
        <v/>
      </c>
      <c r="U2687" s="58" t="str">
        <f t="shared" si="131"/>
        <v/>
      </c>
      <c r="V2687" s="58">
        <f>IF(AND($B2687&lt;&gt;"",$F2687&lt;&gt;"",$F2687=项目明细账!$C$2),N(V2686)+1,N(V2686))</f>
        <v>0</v>
      </c>
      <c r="W2687" s="63" t="str">
        <f>IF($H2687&lt;&gt;"","项目成本",IFERROR(INDEX(基础资料!$W$4:$W$49,MATCH($I2687,基础资料!$V$4:$V$49,0)),""))</f>
        <v/>
      </c>
      <c r="X2687" s="63" t="str">
        <f>IFERROR(INDEX(基础资料!$R$4:$R$17,MATCH($G2687,基础资料!$Q$4:$Q$17,0)),"")</f>
        <v/>
      </c>
    </row>
    <row r="2688" spans="1:24">
      <c r="A2688" s="58" t="str">
        <f>IF($B2688="","",COUNTA($B$5:$B2688))</f>
        <v/>
      </c>
      <c r="B2688" s="53"/>
      <c r="C2688" s="46"/>
      <c r="D2688" s="63" t="str">
        <f>IFERROR(INDEX(基础资料!$F$4:$F$23,MATCH($C2688,基础资料!$E$4:$E$23,0)),IF($C2688="","","未匹配账户"))</f>
        <v/>
      </c>
      <c r="E2688" s="39"/>
      <c r="F2688" s="10"/>
      <c r="G2688" s="10"/>
      <c r="H2688" s="10"/>
      <c r="I2688" s="10"/>
      <c r="J2688" s="10"/>
      <c r="K2688" s="25"/>
      <c r="L2688" s="25"/>
      <c r="M2688" s="25" t="str">
        <f>IFERROR(VLOOKUP($C2688,$C$5:$M$24,11,0)+SUMIF($C$25:$C2688,$C2688,$K$25:$K2688)-SUMIF($C$25:$C2688,$C2688,$L$25:$L2688),"")</f>
        <v/>
      </c>
      <c r="N2688" s="10"/>
      <c r="O2688" s="10"/>
      <c r="P2688" s="65"/>
      <c r="Q2688" s="10"/>
      <c r="R2688" s="10"/>
      <c r="S2688" s="54" t="str">
        <f t="shared" si="129"/>
        <v/>
      </c>
      <c r="T2688" s="54" t="str">
        <f t="shared" si="130"/>
        <v/>
      </c>
      <c r="U2688" s="58" t="str">
        <f t="shared" si="131"/>
        <v/>
      </c>
      <c r="V2688" s="58">
        <f>IF(AND($B2688&lt;&gt;"",$F2688&lt;&gt;"",$F2688=项目明细账!$C$2),N(V2687)+1,N(V2687))</f>
        <v>0</v>
      </c>
      <c r="W2688" s="63" t="str">
        <f>IF($H2688&lt;&gt;"","项目成本",IFERROR(INDEX(基础资料!$W$4:$W$49,MATCH($I2688,基础资料!$V$4:$V$49,0)),""))</f>
        <v/>
      </c>
      <c r="X2688" s="63" t="str">
        <f>IFERROR(INDEX(基础资料!$R$4:$R$17,MATCH($G2688,基础资料!$Q$4:$Q$17,0)),"")</f>
        <v/>
      </c>
    </row>
    <row r="2689" spans="1:24">
      <c r="A2689" s="58" t="str">
        <f>IF($B2689="","",COUNTA($B$5:$B2689))</f>
        <v/>
      </c>
      <c r="B2689" s="53"/>
      <c r="C2689" s="46"/>
      <c r="D2689" s="63" t="str">
        <f>IFERROR(INDEX(基础资料!$F$4:$F$23,MATCH($C2689,基础资料!$E$4:$E$23,0)),IF($C2689="","","未匹配账户"))</f>
        <v/>
      </c>
      <c r="E2689" s="39"/>
      <c r="F2689" s="10"/>
      <c r="G2689" s="10"/>
      <c r="H2689" s="10"/>
      <c r="I2689" s="10"/>
      <c r="J2689" s="10"/>
      <c r="K2689" s="25"/>
      <c r="L2689" s="25"/>
      <c r="M2689" s="25" t="str">
        <f>IFERROR(VLOOKUP($C2689,$C$5:$M$24,11,0)+SUMIF($C$25:$C2689,$C2689,$K$25:$K2689)-SUMIF($C$25:$C2689,$C2689,$L$25:$L2689),"")</f>
        <v/>
      </c>
      <c r="N2689" s="10"/>
      <c r="O2689" s="10"/>
      <c r="P2689" s="65"/>
      <c r="Q2689" s="10"/>
      <c r="R2689" s="10"/>
      <c r="S2689" s="54" t="str">
        <f t="shared" si="129"/>
        <v/>
      </c>
      <c r="T2689" s="54" t="str">
        <f t="shared" si="130"/>
        <v/>
      </c>
      <c r="U2689" s="58" t="str">
        <f t="shared" si="131"/>
        <v/>
      </c>
      <c r="V2689" s="58">
        <f>IF(AND($B2689&lt;&gt;"",$F2689&lt;&gt;"",$F2689=项目明细账!$C$2),N(V2688)+1,N(V2688))</f>
        <v>0</v>
      </c>
      <c r="W2689" s="63" t="str">
        <f>IF($H2689&lt;&gt;"","项目成本",IFERROR(INDEX(基础资料!$W$4:$W$49,MATCH($I2689,基础资料!$V$4:$V$49,0)),""))</f>
        <v/>
      </c>
      <c r="X2689" s="63" t="str">
        <f>IFERROR(INDEX(基础资料!$R$4:$R$17,MATCH($G2689,基础资料!$Q$4:$Q$17,0)),"")</f>
        <v/>
      </c>
    </row>
    <row r="2690" spans="1:24">
      <c r="A2690" s="58" t="str">
        <f>IF($B2690="","",COUNTA($B$5:$B2690))</f>
        <v/>
      </c>
      <c r="B2690" s="53"/>
      <c r="C2690" s="46"/>
      <c r="D2690" s="63" t="str">
        <f>IFERROR(INDEX(基础资料!$F$4:$F$23,MATCH($C2690,基础资料!$E$4:$E$23,0)),IF($C2690="","","未匹配账户"))</f>
        <v/>
      </c>
      <c r="E2690" s="39"/>
      <c r="F2690" s="10"/>
      <c r="G2690" s="10"/>
      <c r="H2690" s="10"/>
      <c r="I2690" s="10"/>
      <c r="J2690" s="10"/>
      <c r="K2690" s="25"/>
      <c r="L2690" s="25"/>
      <c r="M2690" s="25" t="str">
        <f>IFERROR(VLOOKUP($C2690,$C$5:$M$24,11,0)+SUMIF($C$25:$C2690,$C2690,$K$25:$K2690)-SUMIF($C$25:$C2690,$C2690,$L$25:$L2690),"")</f>
        <v/>
      </c>
      <c r="N2690" s="10"/>
      <c r="O2690" s="10"/>
      <c r="P2690" s="65"/>
      <c r="Q2690" s="10"/>
      <c r="R2690" s="10"/>
      <c r="S2690" s="54" t="str">
        <f t="shared" si="129"/>
        <v/>
      </c>
      <c r="T2690" s="54" t="str">
        <f t="shared" si="130"/>
        <v/>
      </c>
      <c r="U2690" s="58" t="str">
        <f t="shared" si="131"/>
        <v/>
      </c>
      <c r="V2690" s="58">
        <f>IF(AND($B2690&lt;&gt;"",$F2690&lt;&gt;"",$F2690=项目明细账!$C$2),N(V2689)+1,N(V2689))</f>
        <v>0</v>
      </c>
      <c r="W2690" s="63" t="str">
        <f>IF($H2690&lt;&gt;"","项目成本",IFERROR(INDEX(基础资料!$W$4:$W$49,MATCH($I2690,基础资料!$V$4:$V$49,0)),""))</f>
        <v/>
      </c>
      <c r="X2690" s="63" t="str">
        <f>IFERROR(INDEX(基础资料!$R$4:$R$17,MATCH($G2690,基础资料!$Q$4:$Q$17,0)),"")</f>
        <v/>
      </c>
    </row>
    <row r="2691" spans="1:24">
      <c r="A2691" s="58" t="str">
        <f>IF($B2691="","",COUNTA($B$5:$B2691))</f>
        <v/>
      </c>
      <c r="B2691" s="53"/>
      <c r="C2691" s="46"/>
      <c r="D2691" s="63" t="str">
        <f>IFERROR(INDEX(基础资料!$F$4:$F$23,MATCH($C2691,基础资料!$E$4:$E$23,0)),IF($C2691="","","未匹配账户"))</f>
        <v/>
      </c>
      <c r="E2691" s="39"/>
      <c r="F2691" s="10"/>
      <c r="G2691" s="10"/>
      <c r="H2691" s="10"/>
      <c r="I2691" s="10"/>
      <c r="J2691" s="10"/>
      <c r="K2691" s="25"/>
      <c r="L2691" s="25"/>
      <c r="M2691" s="25" t="str">
        <f>IFERROR(VLOOKUP($C2691,$C$5:$M$24,11,0)+SUMIF($C$25:$C2691,$C2691,$K$25:$K2691)-SUMIF($C$25:$C2691,$C2691,$L$25:$L2691),"")</f>
        <v/>
      </c>
      <c r="N2691" s="10"/>
      <c r="O2691" s="10"/>
      <c r="P2691" s="65"/>
      <c r="Q2691" s="10"/>
      <c r="R2691" s="10"/>
      <c r="S2691" s="54" t="str">
        <f t="shared" si="129"/>
        <v/>
      </c>
      <c r="T2691" s="54" t="str">
        <f t="shared" si="130"/>
        <v/>
      </c>
      <c r="U2691" s="58" t="str">
        <f t="shared" si="131"/>
        <v/>
      </c>
      <c r="V2691" s="58">
        <f>IF(AND($B2691&lt;&gt;"",$F2691&lt;&gt;"",$F2691=项目明细账!$C$2),N(V2690)+1,N(V2690))</f>
        <v>0</v>
      </c>
      <c r="W2691" s="63" t="str">
        <f>IF($H2691&lt;&gt;"","项目成本",IFERROR(INDEX(基础资料!$W$4:$W$49,MATCH($I2691,基础资料!$V$4:$V$49,0)),""))</f>
        <v/>
      </c>
      <c r="X2691" s="63" t="str">
        <f>IFERROR(INDEX(基础资料!$R$4:$R$17,MATCH($G2691,基础资料!$Q$4:$Q$17,0)),"")</f>
        <v/>
      </c>
    </row>
    <row r="2692" spans="1:24">
      <c r="A2692" s="58" t="str">
        <f>IF($B2692="","",COUNTA($B$5:$B2692))</f>
        <v/>
      </c>
      <c r="B2692" s="53"/>
      <c r="C2692" s="46"/>
      <c r="D2692" s="63" t="str">
        <f>IFERROR(INDEX(基础资料!$F$4:$F$23,MATCH($C2692,基础资料!$E$4:$E$23,0)),IF($C2692="","","未匹配账户"))</f>
        <v/>
      </c>
      <c r="E2692" s="39"/>
      <c r="F2692" s="10"/>
      <c r="G2692" s="10"/>
      <c r="H2692" s="10"/>
      <c r="I2692" s="10"/>
      <c r="J2692" s="10"/>
      <c r="K2692" s="25"/>
      <c r="L2692" s="25"/>
      <c r="M2692" s="25" t="str">
        <f>IFERROR(VLOOKUP($C2692,$C$5:$M$24,11,0)+SUMIF($C$25:$C2692,$C2692,$K$25:$K2692)-SUMIF($C$25:$C2692,$C2692,$L$25:$L2692),"")</f>
        <v/>
      </c>
      <c r="N2692" s="10"/>
      <c r="O2692" s="10"/>
      <c r="P2692" s="65"/>
      <c r="Q2692" s="10"/>
      <c r="R2692" s="10"/>
      <c r="S2692" s="54" t="str">
        <f t="shared" si="129"/>
        <v/>
      </c>
      <c r="T2692" s="54" t="str">
        <f t="shared" si="130"/>
        <v/>
      </c>
      <c r="U2692" s="58" t="str">
        <f t="shared" si="131"/>
        <v/>
      </c>
      <c r="V2692" s="58">
        <f>IF(AND($B2692&lt;&gt;"",$F2692&lt;&gt;"",$F2692=项目明细账!$C$2),N(V2691)+1,N(V2691))</f>
        <v>0</v>
      </c>
      <c r="W2692" s="63" t="str">
        <f>IF($H2692&lt;&gt;"","项目成本",IFERROR(INDEX(基础资料!$W$4:$W$49,MATCH($I2692,基础资料!$V$4:$V$49,0)),""))</f>
        <v/>
      </c>
      <c r="X2692" s="63" t="str">
        <f>IFERROR(INDEX(基础资料!$R$4:$R$17,MATCH($G2692,基础资料!$Q$4:$Q$17,0)),"")</f>
        <v/>
      </c>
    </row>
    <row r="2693" spans="1:24">
      <c r="A2693" s="58" t="str">
        <f>IF($B2693="","",COUNTA($B$5:$B2693))</f>
        <v/>
      </c>
      <c r="B2693" s="53"/>
      <c r="C2693" s="46"/>
      <c r="D2693" s="63" t="str">
        <f>IFERROR(INDEX(基础资料!$F$4:$F$23,MATCH($C2693,基础资料!$E$4:$E$23,0)),IF($C2693="","","未匹配账户"))</f>
        <v/>
      </c>
      <c r="E2693" s="39"/>
      <c r="F2693" s="10"/>
      <c r="G2693" s="10"/>
      <c r="H2693" s="10"/>
      <c r="I2693" s="10"/>
      <c r="J2693" s="10"/>
      <c r="K2693" s="25"/>
      <c r="L2693" s="25"/>
      <c r="M2693" s="25" t="str">
        <f>IFERROR(VLOOKUP($C2693,$C$5:$M$24,11,0)+SUMIF($C$25:$C2693,$C2693,$K$25:$K2693)-SUMIF($C$25:$C2693,$C2693,$L$25:$L2693),"")</f>
        <v/>
      </c>
      <c r="N2693" s="10"/>
      <c r="O2693" s="10"/>
      <c r="P2693" s="65"/>
      <c r="Q2693" s="10"/>
      <c r="R2693" s="10"/>
      <c r="S2693" s="54" t="str">
        <f t="shared" si="129"/>
        <v/>
      </c>
      <c r="T2693" s="54" t="str">
        <f t="shared" si="130"/>
        <v/>
      </c>
      <c r="U2693" s="58" t="str">
        <f t="shared" si="131"/>
        <v/>
      </c>
      <c r="V2693" s="58">
        <f>IF(AND($B2693&lt;&gt;"",$F2693&lt;&gt;"",$F2693=项目明细账!$C$2),N(V2692)+1,N(V2692))</f>
        <v>0</v>
      </c>
      <c r="W2693" s="63" t="str">
        <f>IF($H2693&lt;&gt;"","项目成本",IFERROR(INDEX(基础资料!$W$4:$W$49,MATCH($I2693,基础资料!$V$4:$V$49,0)),""))</f>
        <v/>
      </c>
      <c r="X2693" s="63" t="str">
        <f>IFERROR(INDEX(基础资料!$R$4:$R$17,MATCH($G2693,基础资料!$Q$4:$Q$17,0)),"")</f>
        <v/>
      </c>
    </row>
    <row r="2694" spans="1:24">
      <c r="A2694" s="58" t="str">
        <f>IF($B2694="","",COUNTA($B$5:$B2694))</f>
        <v/>
      </c>
      <c r="B2694" s="53"/>
      <c r="C2694" s="46"/>
      <c r="D2694" s="63" t="str">
        <f>IFERROR(INDEX(基础资料!$F$4:$F$23,MATCH($C2694,基础资料!$E$4:$E$23,0)),IF($C2694="","","未匹配账户"))</f>
        <v/>
      </c>
      <c r="E2694" s="39"/>
      <c r="F2694" s="10"/>
      <c r="G2694" s="10"/>
      <c r="H2694" s="10"/>
      <c r="I2694" s="10"/>
      <c r="J2694" s="10"/>
      <c r="K2694" s="25"/>
      <c r="L2694" s="25"/>
      <c r="M2694" s="25" t="str">
        <f>IFERROR(VLOOKUP($C2694,$C$5:$M$24,11,0)+SUMIF($C$25:$C2694,$C2694,$K$25:$K2694)-SUMIF($C$25:$C2694,$C2694,$L$25:$L2694),"")</f>
        <v/>
      </c>
      <c r="N2694" s="10"/>
      <c r="O2694" s="10"/>
      <c r="P2694" s="65"/>
      <c r="Q2694" s="10"/>
      <c r="R2694" s="10"/>
      <c r="S2694" s="54" t="str">
        <f t="shared" si="129"/>
        <v/>
      </c>
      <c r="T2694" s="54" t="str">
        <f t="shared" si="130"/>
        <v/>
      </c>
      <c r="U2694" s="58" t="str">
        <f t="shared" si="131"/>
        <v/>
      </c>
      <c r="V2694" s="58">
        <f>IF(AND($B2694&lt;&gt;"",$F2694&lt;&gt;"",$F2694=项目明细账!$C$2),N(V2693)+1,N(V2693))</f>
        <v>0</v>
      </c>
      <c r="W2694" s="63" t="str">
        <f>IF($H2694&lt;&gt;"","项目成本",IFERROR(INDEX(基础资料!$W$4:$W$49,MATCH($I2694,基础资料!$V$4:$V$49,0)),""))</f>
        <v/>
      </c>
      <c r="X2694" s="63" t="str">
        <f>IFERROR(INDEX(基础资料!$R$4:$R$17,MATCH($G2694,基础资料!$Q$4:$Q$17,0)),"")</f>
        <v/>
      </c>
    </row>
    <row r="2695" spans="1:24">
      <c r="A2695" s="58" t="str">
        <f>IF($B2695="","",COUNTA($B$5:$B2695))</f>
        <v/>
      </c>
      <c r="B2695" s="53"/>
      <c r="C2695" s="46"/>
      <c r="D2695" s="63" t="str">
        <f>IFERROR(INDEX(基础资料!$F$4:$F$23,MATCH($C2695,基础资料!$E$4:$E$23,0)),IF($C2695="","","未匹配账户"))</f>
        <v/>
      </c>
      <c r="E2695" s="39"/>
      <c r="F2695" s="10"/>
      <c r="G2695" s="10"/>
      <c r="H2695" s="10"/>
      <c r="I2695" s="10"/>
      <c r="J2695" s="10"/>
      <c r="K2695" s="25"/>
      <c r="L2695" s="25"/>
      <c r="M2695" s="25" t="str">
        <f>IFERROR(VLOOKUP($C2695,$C$5:$M$24,11,0)+SUMIF($C$25:$C2695,$C2695,$K$25:$K2695)-SUMIF($C$25:$C2695,$C2695,$L$25:$L2695),"")</f>
        <v/>
      </c>
      <c r="N2695" s="10"/>
      <c r="O2695" s="10"/>
      <c r="P2695" s="65"/>
      <c r="Q2695" s="10"/>
      <c r="R2695" s="10"/>
      <c r="S2695" s="54" t="str">
        <f t="shared" ref="S2695:S2758" si="132">IF($B2695="","",--TEXT($B2695,"yyyymm"))</f>
        <v/>
      </c>
      <c r="T2695" s="54" t="str">
        <f t="shared" ref="T2695:T2758" si="133">IF($B2695="","",IF($P2695="",$S2695,IFERROR($P2695*1,$P2695)))</f>
        <v/>
      </c>
      <c r="U2695" s="58" t="str">
        <f t="shared" ref="U2695:U2758" si="134">IF($B2695="","",IF($T2695=$S2695,"","跨期"))</f>
        <v/>
      </c>
      <c r="V2695" s="58">
        <f>IF(AND($B2695&lt;&gt;"",$F2695&lt;&gt;"",$F2695=项目明细账!$C$2),N(V2694)+1,N(V2694))</f>
        <v>0</v>
      </c>
      <c r="W2695" s="63" t="str">
        <f>IF($H2695&lt;&gt;"","项目成本",IFERROR(INDEX(基础资料!$W$4:$W$49,MATCH($I2695,基础资料!$V$4:$V$49,0)),""))</f>
        <v/>
      </c>
      <c r="X2695" s="63" t="str">
        <f>IFERROR(INDEX(基础资料!$R$4:$R$17,MATCH($G2695,基础资料!$Q$4:$Q$17,0)),"")</f>
        <v/>
      </c>
    </row>
    <row r="2696" spans="1:24">
      <c r="A2696" s="58" t="str">
        <f>IF($B2696="","",COUNTA($B$5:$B2696))</f>
        <v/>
      </c>
      <c r="B2696" s="53"/>
      <c r="C2696" s="46"/>
      <c r="D2696" s="63" t="str">
        <f>IFERROR(INDEX(基础资料!$F$4:$F$23,MATCH($C2696,基础资料!$E$4:$E$23,0)),IF($C2696="","","未匹配账户"))</f>
        <v/>
      </c>
      <c r="E2696" s="39"/>
      <c r="F2696" s="10"/>
      <c r="G2696" s="10"/>
      <c r="H2696" s="10"/>
      <c r="I2696" s="10"/>
      <c r="J2696" s="10"/>
      <c r="K2696" s="25"/>
      <c r="L2696" s="25"/>
      <c r="M2696" s="25" t="str">
        <f>IFERROR(VLOOKUP($C2696,$C$5:$M$24,11,0)+SUMIF($C$25:$C2696,$C2696,$K$25:$K2696)-SUMIF($C$25:$C2696,$C2696,$L$25:$L2696),"")</f>
        <v/>
      </c>
      <c r="N2696" s="10"/>
      <c r="O2696" s="10"/>
      <c r="P2696" s="65"/>
      <c r="Q2696" s="10"/>
      <c r="R2696" s="10"/>
      <c r="S2696" s="54" t="str">
        <f t="shared" si="132"/>
        <v/>
      </c>
      <c r="T2696" s="54" t="str">
        <f t="shared" si="133"/>
        <v/>
      </c>
      <c r="U2696" s="58" t="str">
        <f t="shared" si="134"/>
        <v/>
      </c>
      <c r="V2696" s="58">
        <f>IF(AND($B2696&lt;&gt;"",$F2696&lt;&gt;"",$F2696=项目明细账!$C$2),N(V2695)+1,N(V2695))</f>
        <v>0</v>
      </c>
      <c r="W2696" s="63" t="str">
        <f>IF($H2696&lt;&gt;"","项目成本",IFERROR(INDEX(基础资料!$W$4:$W$49,MATCH($I2696,基础资料!$V$4:$V$49,0)),""))</f>
        <v/>
      </c>
      <c r="X2696" s="63" t="str">
        <f>IFERROR(INDEX(基础资料!$R$4:$R$17,MATCH($G2696,基础资料!$Q$4:$Q$17,0)),"")</f>
        <v/>
      </c>
    </row>
    <row r="2697" spans="1:24">
      <c r="A2697" s="58" t="str">
        <f>IF($B2697="","",COUNTA($B$5:$B2697))</f>
        <v/>
      </c>
      <c r="B2697" s="53"/>
      <c r="C2697" s="46"/>
      <c r="D2697" s="63" t="str">
        <f>IFERROR(INDEX(基础资料!$F$4:$F$23,MATCH($C2697,基础资料!$E$4:$E$23,0)),IF($C2697="","","未匹配账户"))</f>
        <v/>
      </c>
      <c r="E2697" s="39"/>
      <c r="F2697" s="10"/>
      <c r="G2697" s="10"/>
      <c r="H2697" s="10"/>
      <c r="I2697" s="10"/>
      <c r="J2697" s="10"/>
      <c r="K2697" s="25"/>
      <c r="L2697" s="25"/>
      <c r="M2697" s="25" t="str">
        <f>IFERROR(VLOOKUP($C2697,$C$5:$M$24,11,0)+SUMIF($C$25:$C2697,$C2697,$K$25:$K2697)-SUMIF($C$25:$C2697,$C2697,$L$25:$L2697),"")</f>
        <v/>
      </c>
      <c r="N2697" s="10"/>
      <c r="O2697" s="10"/>
      <c r="P2697" s="65"/>
      <c r="Q2697" s="10"/>
      <c r="R2697" s="10"/>
      <c r="S2697" s="54" t="str">
        <f t="shared" si="132"/>
        <v/>
      </c>
      <c r="T2697" s="54" t="str">
        <f t="shared" si="133"/>
        <v/>
      </c>
      <c r="U2697" s="58" t="str">
        <f t="shared" si="134"/>
        <v/>
      </c>
      <c r="V2697" s="58">
        <f>IF(AND($B2697&lt;&gt;"",$F2697&lt;&gt;"",$F2697=项目明细账!$C$2),N(V2696)+1,N(V2696))</f>
        <v>0</v>
      </c>
      <c r="W2697" s="63" t="str">
        <f>IF($H2697&lt;&gt;"","项目成本",IFERROR(INDEX(基础资料!$W$4:$W$49,MATCH($I2697,基础资料!$V$4:$V$49,0)),""))</f>
        <v/>
      </c>
      <c r="X2697" s="63" t="str">
        <f>IFERROR(INDEX(基础资料!$R$4:$R$17,MATCH($G2697,基础资料!$Q$4:$Q$17,0)),"")</f>
        <v/>
      </c>
    </row>
    <row r="2698" spans="1:24">
      <c r="A2698" s="58" t="str">
        <f>IF($B2698="","",COUNTA($B$5:$B2698))</f>
        <v/>
      </c>
      <c r="B2698" s="53"/>
      <c r="C2698" s="46"/>
      <c r="D2698" s="63" t="str">
        <f>IFERROR(INDEX(基础资料!$F$4:$F$23,MATCH($C2698,基础资料!$E$4:$E$23,0)),IF($C2698="","","未匹配账户"))</f>
        <v/>
      </c>
      <c r="E2698" s="39"/>
      <c r="F2698" s="10"/>
      <c r="G2698" s="10"/>
      <c r="H2698" s="10"/>
      <c r="I2698" s="10"/>
      <c r="J2698" s="10"/>
      <c r="K2698" s="25"/>
      <c r="L2698" s="25"/>
      <c r="M2698" s="25" t="str">
        <f>IFERROR(VLOOKUP($C2698,$C$5:$M$24,11,0)+SUMIF($C$25:$C2698,$C2698,$K$25:$K2698)-SUMIF($C$25:$C2698,$C2698,$L$25:$L2698),"")</f>
        <v/>
      </c>
      <c r="N2698" s="10"/>
      <c r="O2698" s="10"/>
      <c r="P2698" s="65"/>
      <c r="Q2698" s="10"/>
      <c r="R2698" s="10"/>
      <c r="S2698" s="54" t="str">
        <f t="shared" si="132"/>
        <v/>
      </c>
      <c r="T2698" s="54" t="str">
        <f t="shared" si="133"/>
        <v/>
      </c>
      <c r="U2698" s="58" t="str">
        <f t="shared" si="134"/>
        <v/>
      </c>
      <c r="V2698" s="58">
        <f>IF(AND($B2698&lt;&gt;"",$F2698&lt;&gt;"",$F2698=项目明细账!$C$2),N(V2697)+1,N(V2697))</f>
        <v>0</v>
      </c>
      <c r="W2698" s="63" t="str">
        <f>IF($H2698&lt;&gt;"","项目成本",IFERROR(INDEX(基础资料!$W$4:$W$49,MATCH($I2698,基础资料!$V$4:$V$49,0)),""))</f>
        <v/>
      </c>
      <c r="X2698" s="63" t="str">
        <f>IFERROR(INDEX(基础资料!$R$4:$R$17,MATCH($G2698,基础资料!$Q$4:$Q$17,0)),"")</f>
        <v/>
      </c>
    </row>
    <row r="2699" spans="1:24">
      <c r="A2699" s="58" t="str">
        <f>IF($B2699="","",COUNTA($B$5:$B2699))</f>
        <v/>
      </c>
      <c r="B2699" s="53"/>
      <c r="C2699" s="46"/>
      <c r="D2699" s="63" t="str">
        <f>IFERROR(INDEX(基础资料!$F$4:$F$23,MATCH($C2699,基础资料!$E$4:$E$23,0)),IF($C2699="","","未匹配账户"))</f>
        <v/>
      </c>
      <c r="E2699" s="39"/>
      <c r="F2699" s="10"/>
      <c r="G2699" s="10"/>
      <c r="H2699" s="10"/>
      <c r="I2699" s="10"/>
      <c r="J2699" s="10"/>
      <c r="K2699" s="25"/>
      <c r="L2699" s="25"/>
      <c r="M2699" s="25" t="str">
        <f>IFERROR(VLOOKUP($C2699,$C$5:$M$24,11,0)+SUMIF($C$25:$C2699,$C2699,$K$25:$K2699)-SUMIF($C$25:$C2699,$C2699,$L$25:$L2699),"")</f>
        <v/>
      </c>
      <c r="N2699" s="10"/>
      <c r="O2699" s="10"/>
      <c r="P2699" s="65"/>
      <c r="Q2699" s="10"/>
      <c r="R2699" s="10"/>
      <c r="S2699" s="54" t="str">
        <f t="shared" si="132"/>
        <v/>
      </c>
      <c r="T2699" s="54" t="str">
        <f t="shared" si="133"/>
        <v/>
      </c>
      <c r="U2699" s="58" t="str">
        <f t="shared" si="134"/>
        <v/>
      </c>
      <c r="V2699" s="58">
        <f>IF(AND($B2699&lt;&gt;"",$F2699&lt;&gt;"",$F2699=项目明细账!$C$2),N(V2698)+1,N(V2698))</f>
        <v>0</v>
      </c>
      <c r="W2699" s="63" t="str">
        <f>IF($H2699&lt;&gt;"","项目成本",IFERROR(INDEX(基础资料!$W$4:$W$49,MATCH($I2699,基础资料!$V$4:$V$49,0)),""))</f>
        <v/>
      </c>
      <c r="X2699" s="63" t="str">
        <f>IFERROR(INDEX(基础资料!$R$4:$R$17,MATCH($G2699,基础资料!$Q$4:$Q$17,0)),"")</f>
        <v/>
      </c>
    </row>
    <row r="2700" spans="1:24">
      <c r="A2700" s="58" t="str">
        <f>IF($B2700="","",COUNTA($B$5:$B2700))</f>
        <v/>
      </c>
      <c r="B2700" s="53"/>
      <c r="C2700" s="46"/>
      <c r="D2700" s="63" t="str">
        <f>IFERROR(INDEX(基础资料!$F$4:$F$23,MATCH($C2700,基础资料!$E$4:$E$23,0)),IF($C2700="","","未匹配账户"))</f>
        <v/>
      </c>
      <c r="E2700" s="39"/>
      <c r="F2700" s="10"/>
      <c r="G2700" s="10"/>
      <c r="H2700" s="10"/>
      <c r="I2700" s="10"/>
      <c r="J2700" s="10"/>
      <c r="K2700" s="25"/>
      <c r="L2700" s="25"/>
      <c r="M2700" s="25" t="str">
        <f>IFERROR(VLOOKUP($C2700,$C$5:$M$24,11,0)+SUMIF($C$25:$C2700,$C2700,$K$25:$K2700)-SUMIF($C$25:$C2700,$C2700,$L$25:$L2700),"")</f>
        <v/>
      </c>
      <c r="N2700" s="10"/>
      <c r="O2700" s="10"/>
      <c r="P2700" s="65"/>
      <c r="Q2700" s="10"/>
      <c r="R2700" s="10"/>
      <c r="S2700" s="54" t="str">
        <f t="shared" si="132"/>
        <v/>
      </c>
      <c r="T2700" s="54" t="str">
        <f t="shared" si="133"/>
        <v/>
      </c>
      <c r="U2700" s="58" t="str">
        <f t="shared" si="134"/>
        <v/>
      </c>
      <c r="V2700" s="58">
        <f>IF(AND($B2700&lt;&gt;"",$F2700&lt;&gt;"",$F2700=项目明细账!$C$2),N(V2699)+1,N(V2699))</f>
        <v>0</v>
      </c>
      <c r="W2700" s="63" t="str">
        <f>IF($H2700&lt;&gt;"","项目成本",IFERROR(INDEX(基础资料!$W$4:$W$49,MATCH($I2700,基础资料!$V$4:$V$49,0)),""))</f>
        <v/>
      </c>
      <c r="X2700" s="63" t="str">
        <f>IFERROR(INDEX(基础资料!$R$4:$R$17,MATCH($G2700,基础资料!$Q$4:$Q$17,0)),"")</f>
        <v/>
      </c>
    </row>
    <row r="2701" spans="1:24">
      <c r="A2701" s="58" t="str">
        <f>IF($B2701="","",COUNTA($B$5:$B2701))</f>
        <v/>
      </c>
      <c r="B2701" s="53"/>
      <c r="C2701" s="46"/>
      <c r="D2701" s="63" t="str">
        <f>IFERROR(INDEX(基础资料!$F$4:$F$23,MATCH($C2701,基础资料!$E$4:$E$23,0)),IF($C2701="","","未匹配账户"))</f>
        <v/>
      </c>
      <c r="E2701" s="39"/>
      <c r="F2701" s="10"/>
      <c r="G2701" s="10"/>
      <c r="H2701" s="10"/>
      <c r="I2701" s="10"/>
      <c r="J2701" s="10"/>
      <c r="K2701" s="25"/>
      <c r="L2701" s="25"/>
      <c r="M2701" s="25" t="str">
        <f>IFERROR(VLOOKUP($C2701,$C$5:$M$24,11,0)+SUMIF($C$25:$C2701,$C2701,$K$25:$K2701)-SUMIF($C$25:$C2701,$C2701,$L$25:$L2701),"")</f>
        <v/>
      </c>
      <c r="N2701" s="10"/>
      <c r="O2701" s="10"/>
      <c r="P2701" s="65"/>
      <c r="Q2701" s="10"/>
      <c r="R2701" s="10"/>
      <c r="S2701" s="54" t="str">
        <f t="shared" si="132"/>
        <v/>
      </c>
      <c r="T2701" s="54" t="str">
        <f t="shared" si="133"/>
        <v/>
      </c>
      <c r="U2701" s="58" t="str">
        <f t="shared" si="134"/>
        <v/>
      </c>
      <c r="V2701" s="58">
        <f>IF(AND($B2701&lt;&gt;"",$F2701&lt;&gt;"",$F2701=项目明细账!$C$2),N(V2700)+1,N(V2700))</f>
        <v>0</v>
      </c>
      <c r="W2701" s="63" t="str">
        <f>IF($H2701&lt;&gt;"","项目成本",IFERROR(INDEX(基础资料!$W$4:$W$49,MATCH($I2701,基础资料!$V$4:$V$49,0)),""))</f>
        <v/>
      </c>
      <c r="X2701" s="63" t="str">
        <f>IFERROR(INDEX(基础资料!$R$4:$R$17,MATCH($G2701,基础资料!$Q$4:$Q$17,0)),"")</f>
        <v/>
      </c>
    </row>
    <row r="2702" spans="1:24">
      <c r="A2702" s="58" t="str">
        <f>IF($B2702="","",COUNTA($B$5:$B2702))</f>
        <v/>
      </c>
      <c r="B2702" s="53"/>
      <c r="C2702" s="46"/>
      <c r="D2702" s="63" t="str">
        <f>IFERROR(INDEX(基础资料!$F$4:$F$23,MATCH($C2702,基础资料!$E$4:$E$23,0)),IF($C2702="","","未匹配账户"))</f>
        <v/>
      </c>
      <c r="E2702" s="39"/>
      <c r="F2702" s="10"/>
      <c r="G2702" s="10"/>
      <c r="H2702" s="10"/>
      <c r="I2702" s="10"/>
      <c r="J2702" s="10"/>
      <c r="K2702" s="25"/>
      <c r="L2702" s="25"/>
      <c r="M2702" s="25" t="str">
        <f>IFERROR(VLOOKUP($C2702,$C$5:$M$24,11,0)+SUMIF($C$25:$C2702,$C2702,$K$25:$K2702)-SUMIF($C$25:$C2702,$C2702,$L$25:$L2702),"")</f>
        <v/>
      </c>
      <c r="N2702" s="10"/>
      <c r="O2702" s="10"/>
      <c r="P2702" s="65"/>
      <c r="Q2702" s="10"/>
      <c r="R2702" s="10"/>
      <c r="S2702" s="54" t="str">
        <f t="shared" si="132"/>
        <v/>
      </c>
      <c r="T2702" s="54" t="str">
        <f t="shared" si="133"/>
        <v/>
      </c>
      <c r="U2702" s="58" t="str">
        <f t="shared" si="134"/>
        <v/>
      </c>
      <c r="V2702" s="58">
        <f>IF(AND($B2702&lt;&gt;"",$F2702&lt;&gt;"",$F2702=项目明细账!$C$2),N(V2701)+1,N(V2701))</f>
        <v>0</v>
      </c>
      <c r="W2702" s="63" t="str">
        <f>IF($H2702&lt;&gt;"","项目成本",IFERROR(INDEX(基础资料!$W$4:$W$49,MATCH($I2702,基础资料!$V$4:$V$49,0)),""))</f>
        <v/>
      </c>
      <c r="X2702" s="63" t="str">
        <f>IFERROR(INDEX(基础资料!$R$4:$R$17,MATCH($G2702,基础资料!$Q$4:$Q$17,0)),"")</f>
        <v/>
      </c>
    </row>
    <row r="2703" spans="1:24">
      <c r="A2703" s="58" t="str">
        <f>IF($B2703="","",COUNTA($B$5:$B2703))</f>
        <v/>
      </c>
      <c r="B2703" s="53"/>
      <c r="C2703" s="46"/>
      <c r="D2703" s="63" t="str">
        <f>IFERROR(INDEX(基础资料!$F$4:$F$23,MATCH($C2703,基础资料!$E$4:$E$23,0)),IF($C2703="","","未匹配账户"))</f>
        <v/>
      </c>
      <c r="E2703" s="39"/>
      <c r="F2703" s="10"/>
      <c r="G2703" s="10"/>
      <c r="H2703" s="10"/>
      <c r="I2703" s="10"/>
      <c r="J2703" s="10"/>
      <c r="K2703" s="25"/>
      <c r="L2703" s="25"/>
      <c r="M2703" s="25" t="str">
        <f>IFERROR(VLOOKUP($C2703,$C$5:$M$24,11,0)+SUMIF($C$25:$C2703,$C2703,$K$25:$K2703)-SUMIF($C$25:$C2703,$C2703,$L$25:$L2703),"")</f>
        <v/>
      </c>
      <c r="N2703" s="10"/>
      <c r="O2703" s="10"/>
      <c r="P2703" s="65"/>
      <c r="Q2703" s="10"/>
      <c r="R2703" s="10"/>
      <c r="S2703" s="54" t="str">
        <f t="shared" si="132"/>
        <v/>
      </c>
      <c r="T2703" s="54" t="str">
        <f t="shared" si="133"/>
        <v/>
      </c>
      <c r="U2703" s="58" t="str">
        <f t="shared" si="134"/>
        <v/>
      </c>
      <c r="V2703" s="58">
        <f>IF(AND($B2703&lt;&gt;"",$F2703&lt;&gt;"",$F2703=项目明细账!$C$2),N(V2702)+1,N(V2702))</f>
        <v>0</v>
      </c>
      <c r="W2703" s="63" t="str">
        <f>IF($H2703&lt;&gt;"","项目成本",IFERROR(INDEX(基础资料!$W$4:$W$49,MATCH($I2703,基础资料!$V$4:$V$49,0)),""))</f>
        <v/>
      </c>
      <c r="X2703" s="63" t="str">
        <f>IFERROR(INDEX(基础资料!$R$4:$R$17,MATCH($G2703,基础资料!$Q$4:$Q$17,0)),"")</f>
        <v/>
      </c>
    </row>
    <row r="2704" spans="1:24">
      <c r="A2704" s="58" t="str">
        <f>IF($B2704="","",COUNTA($B$5:$B2704))</f>
        <v/>
      </c>
      <c r="B2704" s="53"/>
      <c r="C2704" s="46"/>
      <c r="D2704" s="63" t="str">
        <f>IFERROR(INDEX(基础资料!$F$4:$F$23,MATCH($C2704,基础资料!$E$4:$E$23,0)),IF($C2704="","","未匹配账户"))</f>
        <v/>
      </c>
      <c r="E2704" s="39"/>
      <c r="F2704" s="10"/>
      <c r="G2704" s="10"/>
      <c r="H2704" s="10"/>
      <c r="I2704" s="10"/>
      <c r="J2704" s="10"/>
      <c r="K2704" s="25"/>
      <c r="L2704" s="25"/>
      <c r="M2704" s="25" t="str">
        <f>IFERROR(VLOOKUP($C2704,$C$5:$M$24,11,0)+SUMIF($C$25:$C2704,$C2704,$K$25:$K2704)-SUMIF($C$25:$C2704,$C2704,$L$25:$L2704),"")</f>
        <v/>
      </c>
      <c r="N2704" s="10"/>
      <c r="O2704" s="10"/>
      <c r="P2704" s="65"/>
      <c r="Q2704" s="10"/>
      <c r="R2704" s="10"/>
      <c r="S2704" s="54" t="str">
        <f t="shared" si="132"/>
        <v/>
      </c>
      <c r="T2704" s="54" t="str">
        <f t="shared" si="133"/>
        <v/>
      </c>
      <c r="U2704" s="58" t="str">
        <f t="shared" si="134"/>
        <v/>
      </c>
      <c r="V2704" s="58">
        <f>IF(AND($B2704&lt;&gt;"",$F2704&lt;&gt;"",$F2704=项目明细账!$C$2),N(V2703)+1,N(V2703))</f>
        <v>0</v>
      </c>
      <c r="W2704" s="63" t="str">
        <f>IF($H2704&lt;&gt;"","项目成本",IFERROR(INDEX(基础资料!$W$4:$W$49,MATCH($I2704,基础资料!$V$4:$V$49,0)),""))</f>
        <v/>
      </c>
      <c r="X2704" s="63" t="str">
        <f>IFERROR(INDEX(基础资料!$R$4:$R$17,MATCH($G2704,基础资料!$Q$4:$Q$17,0)),"")</f>
        <v/>
      </c>
    </row>
    <row r="2705" spans="1:24">
      <c r="A2705" s="58" t="str">
        <f>IF($B2705="","",COUNTA($B$5:$B2705))</f>
        <v/>
      </c>
      <c r="B2705" s="53"/>
      <c r="C2705" s="46"/>
      <c r="D2705" s="63" t="str">
        <f>IFERROR(INDEX(基础资料!$F$4:$F$23,MATCH($C2705,基础资料!$E$4:$E$23,0)),IF($C2705="","","未匹配账户"))</f>
        <v/>
      </c>
      <c r="E2705" s="39"/>
      <c r="F2705" s="10"/>
      <c r="G2705" s="10"/>
      <c r="H2705" s="10"/>
      <c r="I2705" s="10"/>
      <c r="J2705" s="10"/>
      <c r="K2705" s="25"/>
      <c r="L2705" s="25"/>
      <c r="M2705" s="25" t="str">
        <f>IFERROR(VLOOKUP($C2705,$C$5:$M$24,11,0)+SUMIF($C$25:$C2705,$C2705,$K$25:$K2705)-SUMIF($C$25:$C2705,$C2705,$L$25:$L2705),"")</f>
        <v/>
      </c>
      <c r="N2705" s="10"/>
      <c r="O2705" s="10"/>
      <c r="P2705" s="65"/>
      <c r="Q2705" s="10"/>
      <c r="R2705" s="10"/>
      <c r="S2705" s="54" t="str">
        <f t="shared" si="132"/>
        <v/>
      </c>
      <c r="T2705" s="54" t="str">
        <f t="shared" si="133"/>
        <v/>
      </c>
      <c r="U2705" s="58" t="str">
        <f t="shared" si="134"/>
        <v/>
      </c>
      <c r="V2705" s="58">
        <f>IF(AND($B2705&lt;&gt;"",$F2705&lt;&gt;"",$F2705=项目明细账!$C$2),N(V2704)+1,N(V2704))</f>
        <v>0</v>
      </c>
      <c r="W2705" s="63" t="str">
        <f>IF($H2705&lt;&gt;"","项目成本",IFERROR(INDEX(基础资料!$W$4:$W$49,MATCH($I2705,基础资料!$V$4:$V$49,0)),""))</f>
        <v/>
      </c>
      <c r="X2705" s="63" t="str">
        <f>IFERROR(INDEX(基础资料!$R$4:$R$17,MATCH($G2705,基础资料!$Q$4:$Q$17,0)),"")</f>
        <v/>
      </c>
    </row>
    <row r="2706" spans="1:24">
      <c r="A2706" s="58" t="str">
        <f>IF($B2706="","",COUNTA($B$5:$B2706))</f>
        <v/>
      </c>
      <c r="B2706" s="53"/>
      <c r="C2706" s="46"/>
      <c r="D2706" s="63" t="str">
        <f>IFERROR(INDEX(基础资料!$F$4:$F$23,MATCH($C2706,基础资料!$E$4:$E$23,0)),IF($C2706="","","未匹配账户"))</f>
        <v/>
      </c>
      <c r="E2706" s="39"/>
      <c r="F2706" s="10"/>
      <c r="G2706" s="10"/>
      <c r="H2706" s="10"/>
      <c r="I2706" s="10"/>
      <c r="J2706" s="10"/>
      <c r="K2706" s="25"/>
      <c r="L2706" s="25"/>
      <c r="M2706" s="25" t="str">
        <f>IFERROR(VLOOKUP($C2706,$C$5:$M$24,11,0)+SUMIF($C$25:$C2706,$C2706,$K$25:$K2706)-SUMIF($C$25:$C2706,$C2706,$L$25:$L2706),"")</f>
        <v/>
      </c>
      <c r="N2706" s="10"/>
      <c r="O2706" s="10"/>
      <c r="P2706" s="65"/>
      <c r="Q2706" s="10"/>
      <c r="R2706" s="10"/>
      <c r="S2706" s="54" t="str">
        <f t="shared" si="132"/>
        <v/>
      </c>
      <c r="T2706" s="54" t="str">
        <f t="shared" si="133"/>
        <v/>
      </c>
      <c r="U2706" s="58" t="str">
        <f t="shared" si="134"/>
        <v/>
      </c>
      <c r="V2706" s="58">
        <f>IF(AND($B2706&lt;&gt;"",$F2706&lt;&gt;"",$F2706=项目明细账!$C$2),N(V2705)+1,N(V2705))</f>
        <v>0</v>
      </c>
      <c r="W2706" s="63" t="str">
        <f>IF($H2706&lt;&gt;"","项目成本",IFERROR(INDEX(基础资料!$W$4:$W$49,MATCH($I2706,基础资料!$V$4:$V$49,0)),""))</f>
        <v/>
      </c>
      <c r="X2706" s="63" t="str">
        <f>IFERROR(INDEX(基础资料!$R$4:$R$17,MATCH($G2706,基础资料!$Q$4:$Q$17,0)),"")</f>
        <v/>
      </c>
    </row>
    <row r="2707" spans="1:24">
      <c r="A2707" s="58" t="str">
        <f>IF($B2707="","",COUNTA($B$5:$B2707))</f>
        <v/>
      </c>
      <c r="B2707" s="53"/>
      <c r="C2707" s="46"/>
      <c r="D2707" s="63" t="str">
        <f>IFERROR(INDEX(基础资料!$F$4:$F$23,MATCH($C2707,基础资料!$E$4:$E$23,0)),IF($C2707="","","未匹配账户"))</f>
        <v/>
      </c>
      <c r="E2707" s="39"/>
      <c r="F2707" s="10"/>
      <c r="G2707" s="10"/>
      <c r="H2707" s="10"/>
      <c r="I2707" s="10"/>
      <c r="J2707" s="10"/>
      <c r="K2707" s="25"/>
      <c r="L2707" s="25"/>
      <c r="M2707" s="25" t="str">
        <f>IFERROR(VLOOKUP($C2707,$C$5:$M$24,11,0)+SUMIF($C$25:$C2707,$C2707,$K$25:$K2707)-SUMIF($C$25:$C2707,$C2707,$L$25:$L2707),"")</f>
        <v/>
      </c>
      <c r="N2707" s="10"/>
      <c r="O2707" s="10"/>
      <c r="P2707" s="65"/>
      <c r="Q2707" s="10"/>
      <c r="R2707" s="10"/>
      <c r="S2707" s="54" t="str">
        <f t="shared" si="132"/>
        <v/>
      </c>
      <c r="T2707" s="54" t="str">
        <f t="shared" si="133"/>
        <v/>
      </c>
      <c r="U2707" s="58" t="str">
        <f t="shared" si="134"/>
        <v/>
      </c>
      <c r="V2707" s="58">
        <f>IF(AND($B2707&lt;&gt;"",$F2707&lt;&gt;"",$F2707=项目明细账!$C$2),N(V2706)+1,N(V2706))</f>
        <v>0</v>
      </c>
      <c r="W2707" s="63" t="str">
        <f>IF($H2707&lt;&gt;"","项目成本",IFERROR(INDEX(基础资料!$W$4:$W$49,MATCH($I2707,基础资料!$V$4:$V$49,0)),""))</f>
        <v/>
      </c>
      <c r="X2707" s="63" t="str">
        <f>IFERROR(INDEX(基础资料!$R$4:$R$17,MATCH($G2707,基础资料!$Q$4:$Q$17,0)),"")</f>
        <v/>
      </c>
    </row>
    <row r="2708" spans="1:24">
      <c r="A2708" s="58" t="str">
        <f>IF($B2708="","",COUNTA($B$5:$B2708))</f>
        <v/>
      </c>
      <c r="B2708" s="53"/>
      <c r="C2708" s="46"/>
      <c r="D2708" s="63" t="str">
        <f>IFERROR(INDEX(基础资料!$F$4:$F$23,MATCH($C2708,基础资料!$E$4:$E$23,0)),IF($C2708="","","未匹配账户"))</f>
        <v/>
      </c>
      <c r="E2708" s="39"/>
      <c r="F2708" s="10"/>
      <c r="G2708" s="10"/>
      <c r="H2708" s="10"/>
      <c r="I2708" s="10"/>
      <c r="J2708" s="10"/>
      <c r="K2708" s="25"/>
      <c r="L2708" s="25"/>
      <c r="M2708" s="25" t="str">
        <f>IFERROR(VLOOKUP($C2708,$C$5:$M$24,11,0)+SUMIF($C$25:$C2708,$C2708,$K$25:$K2708)-SUMIF($C$25:$C2708,$C2708,$L$25:$L2708),"")</f>
        <v/>
      </c>
      <c r="N2708" s="10"/>
      <c r="O2708" s="10"/>
      <c r="P2708" s="65"/>
      <c r="Q2708" s="10"/>
      <c r="R2708" s="10"/>
      <c r="S2708" s="54" t="str">
        <f t="shared" si="132"/>
        <v/>
      </c>
      <c r="T2708" s="54" t="str">
        <f t="shared" si="133"/>
        <v/>
      </c>
      <c r="U2708" s="58" t="str">
        <f t="shared" si="134"/>
        <v/>
      </c>
      <c r="V2708" s="58">
        <f>IF(AND($B2708&lt;&gt;"",$F2708&lt;&gt;"",$F2708=项目明细账!$C$2),N(V2707)+1,N(V2707))</f>
        <v>0</v>
      </c>
      <c r="W2708" s="63" t="str">
        <f>IF($H2708&lt;&gt;"","项目成本",IFERROR(INDEX(基础资料!$W$4:$W$49,MATCH($I2708,基础资料!$V$4:$V$49,0)),""))</f>
        <v/>
      </c>
      <c r="X2708" s="63" t="str">
        <f>IFERROR(INDEX(基础资料!$R$4:$R$17,MATCH($G2708,基础资料!$Q$4:$Q$17,0)),"")</f>
        <v/>
      </c>
    </row>
    <row r="2709" spans="1:24">
      <c r="A2709" s="58" t="str">
        <f>IF($B2709="","",COUNTA($B$5:$B2709))</f>
        <v/>
      </c>
      <c r="B2709" s="53"/>
      <c r="C2709" s="46"/>
      <c r="D2709" s="63" t="str">
        <f>IFERROR(INDEX(基础资料!$F$4:$F$23,MATCH($C2709,基础资料!$E$4:$E$23,0)),IF($C2709="","","未匹配账户"))</f>
        <v/>
      </c>
      <c r="E2709" s="39"/>
      <c r="F2709" s="10"/>
      <c r="G2709" s="10"/>
      <c r="H2709" s="10"/>
      <c r="I2709" s="10"/>
      <c r="J2709" s="10"/>
      <c r="K2709" s="25"/>
      <c r="L2709" s="25"/>
      <c r="M2709" s="25" t="str">
        <f>IFERROR(VLOOKUP($C2709,$C$5:$M$24,11,0)+SUMIF($C$25:$C2709,$C2709,$K$25:$K2709)-SUMIF($C$25:$C2709,$C2709,$L$25:$L2709),"")</f>
        <v/>
      </c>
      <c r="N2709" s="10"/>
      <c r="O2709" s="10"/>
      <c r="P2709" s="65"/>
      <c r="Q2709" s="10"/>
      <c r="R2709" s="10"/>
      <c r="S2709" s="54" t="str">
        <f t="shared" si="132"/>
        <v/>
      </c>
      <c r="T2709" s="54" t="str">
        <f t="shared" si="133"/>
        <v/>
      </c>
      <c r="U2709" s="58" t="str">
        <f t="shared" si="134"/>
        <v/>
      </c>
      <c r="V2709" s="58">
        <f>IF(AND($B2709&lt;&gt;"",$F2709&lt;&gt;"",$F2709=项目明细账!$C$2),N(V2708)+1,N(V2708))</f>
        <v>0</v>
      </c>
      <c r="W2709" s="63" t="str">
        <f>IF($H2709&lt;&gt;"","项目成本",IFERROR(INDEX(基础资料!$W$4:$W$49,MATCH($I2709,基础资料!$V$4:$V$49,0)),""))</f>
        <v/>
      </c>
      <c r="X2709" s="63" t="str">
        <f>IFERROR(INDEX(基础资料!$R$4:$R$17,MATCH($G2709,基础资料!$Q$4:$Q$17,0)),"")</f>
        <v/>
      </c>
    </row>
    <row r="2710" spans="1:24">
      <c r="A2710" s="58" t="str">
        <f>IF($B2710="","",COUNTA($B$5:$B2710))</f>
        <v/>
      </c>
      <c r="B2710" s="53"/>
      <c r="C2710" s="46"/>
      <c r="D2710" s="63" t="str">
        <f>IFERROR(INDEX(基础资料!$F$4:$F$23,MATCH($C2710,基础资料!$E$4:$E$23,0)),IF($C2710="","","未匹配账户"))</f>
        <v/>
      </c>
      <c r="E2710" s="39"/>
      <c r="F2710" s="10"/>
      <c r="G2710" s="10"/>
      <c r="H2710" s="10"/>
      <c r="I2710" s="10"/>
      <c r="J2710" s="10"/>
      <c r="K2710" s="25"/>
      <c r="L2710" s="25"/>
      <c r="M2710" s="25" t="str">
        <f>IFERROR(VLOOKUP($C2710,$C$5:$M$24,11,0)+SUMIF($C$25:$C2710,$C2710,$K$25:$K2710)-SUMIF($C$25:$C2710,$C2710,$L$25:$L2710),"")</f>
        <v/>
      </c>
      <c r="N2710" s="10"/>
      <c r="O2710" s="10"/>
      <c r="P2710" s="65"/>
      <c r="Q2710" s="10"/>
      <c r="R2710" s="10"/>
      <c r="S2710" s="54" t="str">
        <f t="shared" si="132"/>
        <v/>
      </c>
      <c r="T2710" s="54" t="str">
        <f t="shared" si="133"/>
        <v/>
      </c>
      <c r="U2710" s="58" t="str">
        <f t="shared" si="134"/>
        <v/>
      </c>
      <c r="V2710" s="58">
        <f>IF(AND($B2710&lt;&gt;"",$F2710&lt;&gt;"",$F2710=项目明细账!$C$2),N(V2709)+1,N(V2709))</f>
        <v>0</v>
      </c>
      <c r="W2710" s="63" t="str">
        <f>IF($H2710&lt;&gt;"","项目成本",IFERROR(INDEX(基础资料!$W$4:$W$49,MATCH($I2710,基础资料!$V$4:$V$49,0)),""))</f>
        <v/>
      </c>
      <c r="X2710" s="63" t="str">
        <f>IFERROR(INDEX(基础资料!$R$4:$R$17,MATCH($G2710,基础资料!$Q$4:$Q$17,0)),"")</f>
        <v/>
      </c>
    </row>
    <row r="2711" spans="1:24">
      <c r="A2711" s="58" t="str">
        <f>IF($B2711="","",COUNTA($B$5:$B2711))</f>
        <v/>
      </c>
      <c r="B2711" s="53"/>
      <c r="C2711" s="46"/>
      <c r="D2711" s="63" t="str">
        <f>IFERROR(INDEX(基础资料!$F$4:$F$23,MATCH($C2711,基础资料!$E$4:$E$23,0)),IF($C2711="","","未匹配账户"))</f>
        <v/>
      </c>
      <c r="E2711" s="39"/>
      <c r="F2711" s="10"/>
      <c r="G2711" s="10"/>
      <c r="H2711" s="10"/>
      <c r="I2711" s="10"/>
      <c r="J2711" s="10"/>
      <c r="K2711" s="25"/>
      <c r="L2711" s="25"/>
      <c r="M2711" s="25" t="str">
        <f>IFERROR(VLOOKUP($C2711,$C$5:$M$24,11,0)+SUMIF($C$25:$C2711,$C2711,$K$25:$K2711)-SUMIF($C$25:$C2711,$C2711,$L$25:$L2711),"")</f>
        <v/>
      </c>
      <c r="N2711" s="10"/>
      <c r="O2711" s="10"/>
      <c r="P2711" s="65"/>
      <c r="Q2711" s="10"/>
      <c r="R2711" s="10"/>
      <c r="S2711" s="54" t="str">
        <f t="shared" si="132"/>
        <v/>
      </c>
      <c r="T2711" s="54" t="str">
        <f t="shared" si="133"/>
        <v/>
      </c>
      <c r="U2711" s="58" t="str">
        <f t="shared" si="134"/>
        <v/>
      </c>
      <c r="V2711" s="58">
        <f>IF(AND($B2711&lt;&gt;"",$F2711&lt;&gt;"",$F2711=项目明细账!$C$2),N(V2710)+1,N(V2710))</f>
        <v>0</v>
      </c>
      <c r="W2711" s="63" t="str">
        <f>IF($H2711&lt;&gt;"","项目成本",IFERROR(INDEX(基础资料!$W$4:$W$49,MATCH($I2711,基础资料!$V$4:$V$49,0)),""))</f>
        <v/>
      </c>
      <c r="X2711" s="63" t="str">
        <f>IFERROR(INDEX(基础资料!$R$4:$R$17,MATCH($G2711,基础资料!$Q$4:$Q$17,0)),"")</f>
        <v/>
      </c>
    </row>
    <row r="2712" spans="1:24">
      <c r="A2712" s="58" t="str">
        <f>IF($B2712="","",COUNTA($B$5:$B2712))</f>
        <v/>
      </c>
      <c r="B2712" s="53"/>
      <c r="C2712" s="46"/>
      <c r="D2712" s="63" t="str">
        <f>IFERROR(INDEX(基础资料!$F$4:$F$23,MATCH($C2712,基础资料!$E$4:$E$23,0)),IF($C2712="","","未匹配账户"))</f>
        <v/>
      </c>
      <c r="E2712" s="39"/>
      <c r="F2712" s="10"/>
      <c r="G2712" s="10"/>
      <c r="H2712" s="10"/>
      <c r="I2712" s="10"/>
      <c r="J2712" s="10"/>
      <c r="K2712" s="25"/>
      <c r="L2712" s="25"/>
      <c r="M2712" s="25" t="str">
        <f>IFERROR(VLOOKUP($C2712,$C$5:$M$24,11,0)+SUMIF($C$25:$C2712,$C2712,$K$25:$K2712)-SUMIF($C$25:$C2712,$C2712,$L$25:$L2712),"")</f>
        <v/>
      </c>
      <c r="N2712" s="10"/>
      <c r="O2712" s="10"/>
      <c r="P2712" s="65"/>
      <c r="Q2712" s="10"/>
      <c r="R2712" s="10"/>
      <c r="S2712" s="54" t="str">
        <f t="shared" si="132"/>
        <v/>
      </c>
      <c r="T2712" s="54" t="str">
        <f t="shared" si="133"/>
        <v/>
      </c>
      <c r="U2712" s="58" t="str">
        <f t="shared" si="134"/>
        <v/>
      </c>
      <c r="V2712" s="58">
        <f>IF(AND($B2712&lt;&gt;"",$F2712&lt;&gt;"",$F2712=项目明细账!$C$2),N(V2711)+1,N(V2711))</f>
        <v>0</v>
      </c>
      <c r="W2712" s="63" t="str">
        <f>IF($H2712&lt;&gt;"","项目成本",IFERROR(INDEX(基础资料!$W$4:$W$49,MATCH($I2712,基础资料!$V$4:$V$49,0)),""))</f>
        <v/>
      </c>
      <c r="X2712" s="63" t="str">
        <f>IFERROR(INDEX(基础资料!$R$4:$R$17,MATCH($G2712,基础资料!$Q$4:$Q$17,0)),"")</f>
        <v/>
      </c>
    </row>
    <row r="2713" spans="1:24">
      <c r="A2713" s="58" t="str">
        <f>IF($B2713="","",COUNTA($B$5:$B2713))</f>
        <v/>
      </c>
      <c r="B2713" s="53"/>
      <c r="C2713" s="46"/>
      <c r="D2713" s="63" t="str">
        <f>IFERROR(INDEX(基础资料!$F$4:$F$23,MATCH($C2713,基础资料!$E$4:$E$23,0)),IF($C2713="","","未匹配账户"))</f>
        <v/>
      </c>
      <c r="E2713" s="39"/>
      <c r="F2713" s="10"/>
      <c r="G2713" s="10"/>
      <c r="H2713" s="10"/>
      <c r="I2713" s="10"/>
      <c r="J2713" s="10"/>
      <c r="K2713" s="25"/>
      <c r="L2713" s="25"/>
      <c r="M2713" s="25" t="str">
        <f>IFERROR(VLOOKUP($C2713,$C$5:$M$24,11,0)+SUMIF($C$25:$C2713,$C2713,$K$25:$K2713)-SUMIF($C$25:$C2713,$C2713,$L$25:$L2713),"")</f>
        <v/>
      </c>
      <c r="N2713" s="10"/>
      <c r="O2713" s="10"/>
      <c r="P2713" s="65"/>
      <c r="Q2713" s="10"/>
      <c r="R2713" s="10"/>
      <c r="S2713" s="54" t="str">
        <f t="shared" si="132"/>
        <v/>
      </c>
      <c r="T2713" s="54" t="str">
        <f t="shared" si="133"/>
        <v/>
      </c>
      <c r="U2713" s="58" t="str">
        <f t="shared" si="134"/>
        <v/>
      </c>
      <c r="V2713" s="58">
        <f>IF(AND($B2713&lt;&gt;"",$F2713&lt;&gt;"",$F2713=项目明细账!$C$2),N(V2712)+1,N(V2712))</f>
        <v>0</v>
      </c>
      <c r="W2713" s="63" t="str">
        <f>IF($H2713&lt;&gt;"","项目成本",IFERROR(INDEX(基础资料!$W$4:$W$49,MATCH($I2713,基础资料!$V$4:$V$49,0)),""))</f>
        <v/>
      </c>
      <c r="X2713" s="63" t="str">
        <f>IFERROR(INDEX(基础资料!$R$4:$R$17,MATCH($G2713,基础资料!$Q$4:$Q$17,0)),"")</f>
        <v/>
      </c>
    </row>
    <row r="2714" spans="1:24">
      <c r="A2714" s="58" t="str">
        <f>IF($B2714="","",COUNTA($B$5:$B2714))</f>
        <v/>
      </c>
      <c r="B2714" s="53"/>
      <c r="C2714" s="46"/>
      <c r="D2714" s="63" t="str">
        <f>IFERROR(INDEX(基础资料!$F$4:$F$23,MATCH($C2714,基础资料!$E$4:$E$23,0)),IF($C2714="","","未匹配账户"))</f>
        <v/>
      </c>
      <c r="E2714" s="39"/>
      <c r="F2714" s="10"/>
      <c r="G2714" s="10"/>
      <c r="H2714" s="10"/>
      <c r="I2714" s="10"/>
      <c r="J2714" s="10"/>
      <c r="K2714" s="25"/>
      <c r="L2714" s="25"/>
      <c r="M2714" s="25" t="str">
        <f>IFERROR(VLOOKUP($C2714,$C$5:$M$24,11,0)+SUMIF($C$25:$C2714,$C2714,$K$25:$K2714)-SUMIF($C$25:$C2714,$C2714,$L$25:$L2714),"")</f>
        <v/>
      </c>
      <c r="N2714" s="10"/>
      <c r="O2714" s="10"/>
      <c r="P2714" s="65"/>
      <c r="Q2714" s="10"/>
      <c r="R2714" s="10"/>
      <c r="S2714" s="54" t="str">
        <f t="shared" si="132"/>
        <v/>
      </c>
      <c r="T2714" s="54" t="str">
        <f t="shared" si="133"/>
        <v/>
      </c>
      <c r="U2714" s="58" t="str">
        <f t="shared" si="134"/>
        <v/>
      </c>
      <c r="V2714" s="58">
        <f>IF(AND($B2714&lt;&gt;"",$F2714&lt;&gt;"",$F2714=项目明细账!$C$2),N(V2713)+1,N(V2713))</f>
        <v>0</v>
      </c>
      <c r="W2714" s="63" t="str">
        <f>IF($H2714&lt;&gt;"","项目成本",IFERROR(INDEX(基础资料!$W$4:$W$49,MATCH($I2714,基础资料!$V$4:$V$49,0)),""))</f>
        <v/>
      </c>
      <c r="X2714" s="63" t="str">
        <f>IFERROR(INDEX(基础资料!$R$4:$R$17,MATCH($G2714,基础资料!$Q$4:$Q$17,0)),"")</f>
        <v/>
      </c>
    </row>
    <row r="2715" spans="1:24">
      <c r="A2715" s="58" t="str">
        <f>IF($B2715="","",COUNTA($B$5:$B2715))</f>
        <v/>
      </c>
      <c r="B2715" s="53"/>
      <c r="C2715" s="46"/>
      <c r="D2715" s="63" t="str">
        <f>IFERROR(INDEX(基础资料!$F$4:$F$23,MATCH($C2715,基础资料!$E$4:$E$23,0)),IF($C2715="","","未匹配账户"))</f>
        <v/>
      </c>
      <c r="E2715" s="39"/>
      <c r="F2715" s="10"/>
      <c r="G2715" s="10"/>
      <c r="H2715" s="10"/>
      <c r="I2715" s="10"/>
      <c r="J2715" s="10"/>
      <c r="K2715" s="25"/>
      <c r="L2715" s="25"/>
      <c r="M2715" s="25" t="str">
        <f>IFERROR(VLOOKUP($C2715,$C$5:$M$24,11,0)+SUMIF($C$25:$C2715,$C2715,$K$25:$K2715)-SUMIF($C$25:$C2715,$C2715,$L$25:$L2715),"")</f>
        <v/>
      </c>
      <c r="N2715" s="10"/>
      <c r="O2715" s="10"/>
      <c r="P2715" s="65"/>
      <c r="Q2715" s="10"/>
      <c r="R2715" s="10"/>
      <c r="S2715" s="54" t="str">
        <f t="shared" si="132"/>
        <v/>
      </c>
      <c r="T2715" s="54" t="str">
        <f t="shared" si="133"/>
        <v/>
      </c>
      <c r="U2715" s="58" t="str">
        <f t="shared" si="134"/>
        <v/>
      </c>
      <c r="V2715" s="58">
        <f>IF(AND($B2715&lt;&gt;"",$F2715&lt;&gt;"",$F2715=项目明细账!$C$2),N(V2714)+1,N(V2714))</f>
        <v>0</v>
      </c>
      <c r="W2715" s="63" t="str">
        <f>IF($H2715&lt;&gt;"","项目成本",IFERROR(INDEX(基础资料!$W$4:$W$49,MATCH($I2715,基础资料!$V$4:$V$49,0)),""))</f>
        <v/>
      </c>
      <c r="X2715" s="63" t="str">
        <f>IFERROR(INDEX(基础资料!$R$4:$R$17,MATCH($G2715,基础资料!$Q$4:$Q$17,0)),"")</f>
        <v/>
      </c>
    </row>
    <row r="2716" spans="1:24">
      <c r="A2716" s="58" t="str">
        <f>IF($B2716="","",COUNTA($B$5:$B2716))</f>
        <v/>
      </c>
      <c r="B2716" s="53"/>
      <c r="C2716" s="46"/>
      <c r="D2716" s="63" t="str">
        <f>IFERROR(INDEX(基础资料!$F$4:$F$23,MATCH($C2716,基础资料!$E$4:$E$23,0)),IF($C2716="","","未匹配账户"))</f>
        <v/>
      </c>
      <c r="E2716" s="39"/>
      <c r="F2716" s="10"/>
      <c r="G2716" s="10"/>
      <c r="H2716" s="10"/>
      <c r="I2716" s="10"/>
      <c r="J2716" s="10"/>
      <c r="K2716" s="25"/>
      <c r="L2716" s="25"/>
      <c r="M2716" s="25" t="str">
        <f>IFERROR(VLOOKUP($C2716,$C$5:$M$24,11,0)+SUMIF($C$25:$C2716,$C2716,$K$25:$K2716)-SUMIF($C$25:$C2716,$C2716,$L$25:$L2716),"")</f>
        <v/>
      </c>
      <c r="N2716" s="10"/>
      <c r="O2716" s="10"/>
      <c r="P2716" s="65"/>
      <c r="Q2716" s="10"/>
      <c r="R2716" s="10"/>
      <c r="S2716" s="54" t="str">
        <f t="shared" si="132"/>
        <v/>
      </c>
      <c r="T2716" s="54" t="str">
        <f t="shared" si="133"/>
        <v/>
      </c>
      <c r="U2716" s="58" t="str">
        <f t="shared" si="134"/>
        <v/>
      </c>
      <c r="V2716" s="58">
        <f>IF(AND($B2716&lt;&gt;"",$F2716&lt;&gt;"",$F2716=项目明细账!$C$2),N(V2715)+1,N(V2715))</f>
        <v>0</v>
      </c>
      <c r="W2716" s="63" t="str">
        <f>IF($H2716&lt;&gt;"","项目成本",IFERROR(INDEX(基础资料!$W$4:$W$49,MATCH($I2716,基础资料!$V$4:$V$49,0)),""))</f>
        <v/>
      </c>
      <c r="X2716" s="63" t="str">
        <f>IFERROR(INDEX(基础资料!$R$4:$R$17,MATCH($G2716,基础资料!$Q$4:$Q$17,0)),"")</f>
        <v/>
      </c>
    </row>
    <row r="2717" spans="1:24">
      <c r="A2717" s="58" t="str">
        <f>IF($B2717="","",COUNTA($B$5:$B2717))</f>
        <v/>
      </c>
      <c r="B2717" s="53"/>
      <c r="C2717" s="46"/>
      <c r="D2717" s="63" t="str">
        <f>IFERROR(INDEX(基础资料!$F$4:$F$23,MATCH($C2717,基础资料!$E$4:$E$23,0)),IF($C2717="","","未匹配账户"))</f>
        <v/>
      </c>
      <c r="E2717" s="39"/>
      <c r="F2717" s="10"/>
      <c r="G2717" s="10"/>
      <c r="H2717" s="10"/>
      <c r="I2717" s="10"/>
      <c r="J2717" s="10"/>
      <c r="K2717" s="25"/>
      <c r="L2717" s="25"/>
      <c r="M2717" s="25" t="str">
        <f>IFERROR(VLOOKUP($C2717,$C$5:$M$24,11,0)+SUMIF($C$25:$C2717,$C2717,$K$25:$K2717)-SUMIF($C$25:$C2717,$C2717,$L$25:$L2717),"")</f>
        <v/>
      </c>
      <c r="N2717" s="10"/>
      <c r="O2717" s="10"/>
      <c r="P2717" s="65"/>
      <c r="Q2717" s="10"/>
      <c r="R2717" s="10"/>
      <c r="S2717" s="54" t="str">
        <f t="shared" si="132"/>
        <v/>
      </c>
      <c r="T2717" s="54" t="str">
        <f t="shared" si="133"/>
        <v/>
      </c>
      <c r="U2717" s="58" t="str">
        <f t="shared" si="134"/>
        <v/>
      </c>
      <c r="V2717" s="58">
        <f>IF(AND($B2717&lt;&gt;"",$F2717&lt;&gt;"",$F2717=项目明细账!$C$2),N(V2716)+1,N(V2716))</f>
        <v>0</v>
      </c>
      <c r="W2717" s="63" t="str">
        <f>IF($H2717&lt;&gt;"","项目成本",IFERROR(INDEX(基础资料!$W$4:$W$49,MATCH($I2717,基础资料!$V$4:$V$49,0)),""))</f>
        <v/>
      </c>
      <c r="X2717" s="63" t="str">
        <f>IFERROR(INDEX(基础资料!$R$4:$R$17,MATCH($G2717,基础资料!$Q$4:$Q$17,0)),"")</f>
        <v/>
      </c>
    </row>
    <row r="2718" spans="1:24">
      <c r="A2718" s="58" t="str">
        <f>IF($B2718="","",COUNTA($B$5:$B2718))</f>
        <v/>
      </c>
      <c r="B2718" s="53"/>
      <c r="C2718" s="46"/>
      <c r="D2718" s="63" t="str">
        <f>IFERROR(INDEX(基础资料!$F$4:$F$23,MATCH($C2718,基础资料!$E$4:$E$23,0)),IF($C2718="","","未匹配账户"))</f>
        <v/>
      </c>
      <c r="E2718" s="39"/>
      <c r="F2718" s="10"/>
      <c r="G2718" s="10"/>
      <c r="H2718" s="10"/>
      <c r="I2718" s="10"/>
      <c r="J2718" s="10"/>
      <c r="K2718" s="25"/>
      <c r="L2718" s="25"/>
      <c r="M2718" s="25" t="str">
        <f>IFERROR(VLOOKUP($C2718,$C$5:$M$24,11,0)+SUMIF($C$25:$C2718,$C2718,$K$25:$K2718)-SUMIF($C$25:$C2718,$C2718,$L$25:$L2718),"")</f>
        <v/>
      </c>
      <c r="N2718" s="10"/>
      <c r="O2718" s="10"/>
      <c r="P2718" s="65"/>
      <c r="Q2718" s="10"/>
      <c r="R2718" s="10"/>
      <c r="S2718" s="54" t="str">
        <f t="shared" si="132"/>
        <v/>
      </c>
      <c r="T2718" s="54" t="str">
        <f t="shared" si="133"/>
        <v/>
      </c>
      <c r="U2718" s="58" t="str">
        <f t="shared" si="134"/>
        <v/>
      </c>
      <c r="V2718" s="58">
        <f>IF(AND($B2718&lt;&gt;"",$F2718&lt;&gt;"",$F2718=项目明细账!$C$2),N(V2717)+1,N(V2717))</f>
        <v>0</v>
      </c>
      <c r="W2718" s="63" t="str">
        <f>IF($H2718&lt;&gt;"","项目成本",IFERROR(INDEX(基础资料!$W$4:$W$49,MATCH($I2718,基础资料!$V$4:$V$49,0)),""))</f>
        <v/>
      </c>
      <c r="X2718" s="63" t="str">
        <f>IFERROR(INDEX(基础资料!$R$4:$R$17,MATCH($G2718,基础资料!$Q$4:$Q$17,0)),"")</f>
        <v/>
      </c>
    </row>
    <row r="2719" spans="1:24">
      <c r="A2719" s="58" t="str">
        <f>IF($B2719="","",COUNTA($B$5:$B2719))</f>
        <v/>
      </c>
      <c r="B2719" s="53"/>
      <c r="C2719" s="46"/>
      <c r="D2719" s="63" t="str">
        <f>IFERROR(INDEX(基础资料!$F$4:$F$23,MATCH($C2719,基础资料!$E$4:$E$23,0)),IF($C2719="","","未匹配账户"))</f>
        <v/>
      </c>
      <c r="E2719" s="39"/>
      <c r="F2719" s="10"/>
      <c r="G2719" s="10"/>
      <c r="H2719" s="10"/>
      <c r="I2719" s="10"/>
      <c r="J2719" s="10"/>
      <c r="K2719" s="25"/>
      <c r="L2719" s="25"/>
      <c r="M2719" s="25" t="str">
        <f>IFERROR(VLOOKUP($C2719,$C$5:$M$24,11,0)+SUMIF($C$25:$C2719,$C2719,$K$25:$K2719)-SUMIF($C$25:$C2719,$C2719,$L$25:$L2719),"")</f>
        <v/>
      </c>
      <c r="N2719" s="10"/>
      <c r="O2719" s="10"/>
      <c r="P2719" s="65"/>
      <c r="Q2719" s="10"/>
      <c r="R2719" s="10"/>
      <c r="S2719" s="54" t="str">
        <f t="shared" si="132"/>
        <v/>
      </c>
      <c r="T2719" s="54" t="str">
        <f t="shared" si="133"/>
        <v/>
      </c>
      <c r="U2719" s="58" t="str">
        <f t="shared" si="134"/>
        <v/>
      </c>
      <c r="V2719" s="58">
        <f>IF(AND($B2719&lt;&gt;"",$F2719&lt;&gt;"",$F2719=项目明细账!$C$2),N(V2718)+1,N(V2718))</f>
        <v>0</v>
      </c>
      <c r="W2719" s="63" t="str">
        <f>IF($H2719&lt;&gt;"","项目成本",IFERROR(INDEX(基础资料!$W$4:$W$49,MATCH($I2719,基础资料!$V$4:$V$49,0)),""))</f>
        <v/>
      </c>
      <c r="X2719" s="63" t="str">
        <f>IFERROR(INDEX(基础资料!$R$4:$R$17,MATCH($G2719,基础资料!$Q$4:$Q$17,0)),"")</f>
        <v/>
      </c>
    </row>
    <row r="2720" spans="1:24">
      <c r="A2720" s="58" t="str">
        <f>IF($B2720="","",COUNTA($B$5:$B2720))</f>
        <v/>
      </c>
      <c r="B2720" s="53"/>
      <c r="C2720" s="46"/>
      <c r="D2720" s="63" t="str">
        <f>IFERROR(INDEX(基础资料!$F$4:$F$23,MATCH($C2720,基础资料!$E$4:$E$23,0)),IF($C2720="","","未匹配账户"))</f>
        <v/>
      </c>
      <c r="E2720" s="39"/>
      <c r="F2720" s="10"/>
      <c r="G2720" s="10"/>
      <c r="H2720" s="10"/>
      <c r="I2720" s="10"/>
      <c r="J2720" s="10"/>
      <c r="K2720" s="25"/>
      <c r="L2720" s="25"/>
      <c r="M2720" s="25" t="str">
        <f>IFERROR(VLOOKUP($C2720,$C$5:$M$24,11,0)+SUMIF($C$25:$C2720,$C2720,$K$25:$K2720)-SUMIF($C$25:$C2720,$C2720,$L$25:$L2720),"")</f>
        <v/>
      </c>
      <c r="N2720" s="10"/>
      <c r="O2720" s="10"/>
      <c r="P2720" s="65"/>
      <c r="Q2720" s="10"/>
      <c r="R2720" s="10"/>
      <c r="S2720" s="54" t="str">
        <f t="shared" si="132"/>
        <v/>
      </c>
      <c r="T2720" s="54" t="str">
        <f t="shared" si="133"/>
        <v/>
      </c>
      <c r="U2720" s="58" t="str">
        <f t="shared" si="134"/>
        <v/>
      </c>
      <c r="V2720" s="58">
        <f>IF(AND($B2720&lt;&gt;"",$F2720&lt;&gt;"",$F2720=项目明细账!$C$2),N(V2719)+1,N(V2719))</f>
        <v>0</v>
      </c>
      <c r="W2720" s="63" t="str">
        <f>IF($H2720&lt;&gt;"","项目成本",IFERROR(INDEX(基础资料!$W$4:$W$49,MATCH($I2720,基础资料!$V$4:$V$49,0)),""))</f>
        <v/>
      </c>
      <c r="X2720" s="63" t="str">
        <f>IFERROR(INDEX(基础资料!$R$4:$R$17,MATCH($G2720,基础资料!$Q$4:$Q$17,0)),"")</f>
        <v/>
      </c>
    </row>
    <row r="2721" spans="1:24">
      <c r="A2721" s="58" t="str">
        <f>IF($B2721="","",COUNTA($B$5:$B2721))</f>
        <v/>
      </c>
      <c r="B2721" s="53"/>
      <c r="C2721" s="46"/>
      <c r="D2721" s="63" t="str">
        <f>IFERROR(INDEX(基础资料!$F$4:$F$23,MATCH($C2721,基础资料!$E$4:$E$23,0)),IF($C2721="","","未匹配账户"))</f>
        <v/>
      </c>
      <c r="E2721" s="39"/>
      <c r="F2721" s="10"/>
      <c r="G2721" s="10"/>
      <c r="H2721" s="10"/>
      <c r="I2721" s="10"/>
      <c r="J2721" s="10"/>
      <c r="K2721" s="25"/>
      <c r="L2721" s="25"/>
      <c r="M2721" s="25" t="str">
        <f>IFERROR(VLOOKUP($C2721,$C$5:$M$24,11,0)+SUMIF($C$25:$C2721,$C2721,$K$25:$K2721)-SUMIF($C$25:$C2721,$C2721,$L$25:$L2721),"")</f>
        <v/>
      </c>
      <c r="N2721" s="10"/>
      <c r="O2721" s="10"/>
      <c r="P2721" s="65"/>
      <c r="Q2721" s="10"/>
      <c r="R2721" s="10"/>
      <c r="S2721" s="54" t="str">
        <f t="shared" si="132"/>
        <v/>
      </c>
      <c r="T2721" s="54" t="str">
        <f t="shared" si="133"/>
        <v/>
      </c>
      <c r="U2721" s="58" t="str">
        <f t="shared" si="134"/>
        <v/>
      </c>
      <c r="V2721" s="58">
        <f>IF(AND($B2721&lt;&gt;"",$F2721&lt;&gt;"",$F2721=项目明细账!$C$2),N(V2720)+1,N(V2720))</f>
        <v>0</v>
      </c>
      <c r="W2721" s="63" t="str">
        <f>IF($H2721&lt;&gt;"","项目成本",IFERROR(INDEX(基础资料!$W$4:$W$49,MATCH($I2721,基础资料!$V$4:$V$49,0)),""))</f>
        <v/>
      </c>
      <c r="X2721" s="63" t="str">
        <f>IFERROR(INDEX(基础资料!$R$4:$R$17,MATCH($G2721,基础资料!$Q$4:$Q$17,0)),"")</f>
        <v/>
      </c>
    </row>
    <row r="2722" spans="1:24">
      <c r="A2722" s="58" t="str">
        <f>IF($B2722="","",COUNTA($B$5:$B2722))</f>
        <v/>
      </c>
      <c r="B2722" s="53"/>
      <c r="C2722" s="46"/>
      <c r="D2722" s="63" t="str">
        <f>IFERROR(INDEX(基础资料!$F$4:$F$23,MATCH($C2722,基础资料!$E$4:$E$23,0)),IF($C2722="","","未匹配账户"))</f>
        <v/>
      </c>
      <c r="E2722" s="39"/>
      <c r="F2722" s="10"/>
      <c r="G2722" s="10"/>
      <c r="H2722" s="10"/>
      <c r="I2722" s="10"/>
      <c r="J2722" s="10"/>
      <c r="K2722" s="25"/>
      <c r="L2722" s="25"/>
      <c r="M2722" s="25" t="str">
        <f>IFERROR(VLOOKUP($C2722,$C$5:$M$24,11,0)+SUMIF($C$25:$C2722,$C2722,$K$25:$K2722)-SUMIF($C$25:$C2722,$C2722,$L$25:$L2722),"")</f>
        <v/>
      </c>
      <c r="N2722" s="10"/>
      <c r="O2722" s="10"/>
      <c r="P2722" s="65"/>
      <c r="Q2722" s="10"/>
      <c r="R2722" s="10"/>
      <c r="S2722" s="54" t="str">
        <f t="shared" si="132"/>
        <v/>
      </c>
      <c r="T2722" s="54" t="str">
        <f t="shared" si="133"/>
        <v/>
      </c>
      <c r="U2722" s="58" t="str">
        <f t="shared" si="134"/>
        <v/>
      </c>
      <c r="V2722" s="58">
        <f>IF(AND($B2722&lt;&gt;"",$F2722&lt;&gt;"",$F2722=项目明细账!$C$2),N(V2721)+1,N(V2721))</f>
        <v>0</v>
      </c>
      <c r="W2722" s="63" t="str">
        <f>IF($H2722&lt;&gt;"","项目成本",IFERROR(INDEX(基础资料!$W$4:$W$49,MATCH($I2722,基础资料!$V$4:$V$49,0)),""))</f>
        <v/>
      </c>
      <c r="X2722" s="63" t="str">
        <f>IFERROR(INDEX(基础资料!$R$4:$R$17,MATCH($G2722,基础资料!$Q$4:$Q$17,0)),"")</f>
        <v/>
      </c>
    </row>
    <row r="2723" spans="1:24">
      <c r="A2723" s="58" t="str">
        <f>IF($B2723="","",COUNTA($B$5:$B2723))</f>
        <v/>
      </c>
      <c r="B2723" s="53"/>
      <c r="C2723" s="46"/>
      <c r="D2723" s="63" t="str">
        <f>IFERROR(INDEX(基础资料!$F$4:$F$23,MATCH($C2723,基础资料!$E$4:$E$23,0)),IF($C2723="","","未匹配账户"))</f>
        <v/>
      </c>
      <c r="E2723" s="39"/>
      <c r="F2723" s="10"/>
      <c r="G2723" s="10"/>
      <c r="H2723" s="10"/>
      <c r="I2723" s="10"/>
      <c r="J2723" s="10"/>
      <c r="K2723" s="25"/>
      <c r="L2723" s="25"/>
      <c r="M2723" s="25" t="str">
        <f>IFERROR(VLOOKUP($C2723,$C$5:$M$24,11,0)+SUMIF($C$25:$C2723,$C2723,$K$25:$K2723)-SUMIF($C$25:$C2723,$C2723,$L$25:$L2723),"")</f>
        <v/>
      </c>
      <c r="N2723" s="10"/>
      <c r="O2723" s="10"/>
      <c r="P2723" s="65"/>
      <c r="Q2723" s="10"/>
      <c r="R2723" s="10"/>
      <c r="S2723" s="54" t="str">
        <f t="shared" si="132"/>
        <v/>
      </c>
      <c r="T2723" s="54" t="str">
        <f t="shared" si="133"/>
        <v/>
      </c>
      <c r="U2723" s="58" t="str">
        <f t="shared" si="134"/>
        <v/>
      </c>
      <c r="V2723" s="58">
        <f>IF(AND($B2723&lt;&gt;"",$F2723&lt;&gt;"",$F2723=项目明细账!$C$2),N(V2722)+1,N(V2722))</f>
        <v>0</v>
      </c>
      <c r="W2723" s="63" t="str">
        <f>IF($H2723&lt;&gt;"","项目成本",IFERROR(INDEX(基础资料!$W$4:$W$49,MATCH($I2723,基础资料!$V$4:$V$49,0)),""))</f>
        <v/>
      </c>
      <c r="X2723" s="63" t="str">
        <f>IFERROR(INDEX(基础资料!$R$4:$R$17,MATCH($G2723,基础资料!$Q$4:$Q$17,0)),"")</f>
        <v/>
      </c>
    </row>
    <row r="2724" spans="1:24">
      <c r="A2724" s="58" t="str">
        <f>IF($B2724="","",COUNTA($B$5:$B2724))</f>
        <v/>
      </c>
      <c r="B2724" s="53"/>
      <c r="C2724" s="46"/>
      <c r="D2724" s="63" t="str">
        <f>IFERROR(INDEX(基础资料!$F$4:$F$23,MATCH($C2724,基础资料!$E$4:$E$23,0)),IF($C2724="","","未匹配账户"))</f>
        <v/>
      </c>
      <c r="E2724" s="39"/>
      <c r="F2724" s="10"/>
      <c r="G2724" s="10"/>
      <c r="H2724" s="10"/>
      <c r="I2724" s="10"/>
      <c r="J2724" s="10"/>
      <c r="K2724" s="25"/>
      <c r="L2724" s="25"/>
      <c r="M2724" s="25" t="str">
        <f>IFERROR(VLOOKUP($C2724,$C$5:$M$24,11,0)+SUMIF($C$25:$C2724,$C2724,$K$25:$K2724)-SUMIF($C$25:$C2724,$C2724,$L$25:$L2724),"")</f>
        <v/>
      </c>
      <c r="N2724" s="10"/>
      <c r="O2724" s="10"/>
      <c r="P2724" s="65"/>
      <c r="Q2724" s="10"/>
      <c r="R2724" s="10"/>
      <c r="S2724" s="54" t="str">
        <f t="shared" si="132"/>
        <v/>
      </c>
      <c r="T2724" s="54" t="str">
        <f t="shared" si="133"/>
        <v/>
      </c>
      <c r="U2724" s="58" t="str">
        <f t="shared" si="134"/>
        <v/>
      </c>
      <c r="V2724" s="58">
        <f>IF(AND($B2724&lt;&gt;"",$F2724&lt;&gt;"",$F2724=项目明细账!$C$2),N(V2723)+1,N(V2723))</f>
        <v>0</v>
      </c>
      <c r="W2724" s="63" t="str">
        <f>IF($H2724&lt;&gt;"","项目成本",IFERROR(INDEX(基础资料!$W$4:$W$49,MATCH($I2724,基础资料!$V$4:$V$49,0)),""))</f>
        <v/>
      </c>
      <c r="X2724" s="63" t="str">
        <f>IFERROR(INDEX(基础资料!$R$4:$R$17,MATCH($G2724,基础资料!$Q$4:$Q$17,0)),"")</f>
        <v/>
      </c>
    </row>
    <row r="2725" spans="1:24">
      <c r="A2725" s="58" t="str">
        <f>IF($B2725="","",COUNTA($B$5:$B2725))</f>
        <v/>
      </c>
      <c r="B2725" s="53"/>
      <c r="C2725" s="46"/>
      <c r="D2725" s="63" t="str">
        <f>IFERROR(INDEX(基础资料!$F$4:$F$23,MATCH($C2725,基础资料!$E$4:$E$23,0)),IF($C2725="","","未匹配账户"))</f>
        <v/>
      </c>
      <c r="E2725" s="39"/>
      <c r="F2725" s="10"/>
      <c r="G2725" s="10"/>
      <c r="H2725" s="10"/>
      <c r="I2725" s="10"/>
      <c r="J2725" s="10"/>
      <c r="K2725" s="25"/>
      <c r="L2725" s="25"/>
      <c r="M2725" s="25" t="str">
        <f>IFERROR(VLOOKUP($C2725,$C$5:$M$24,11,0)+SUMIF($C$25:$C2725,$C2725,$K$25:$K2725)-SUMIF($C$25:$C2725,$C2725,$L$25:$L2725),"")</f>
        <v/>
      </c>
      <c r="N2725" s="10"/>
      <c r="O2725" s="10"/>
      <c r="P2725" s="65"/>
      <c r="Q2725" s="10"/>
      <c r="R2725" s="10"/>
      <c r="S2725" s="54" t="str">
        <f t="shared" si="132"/>
        <v/>
      </c>
      <c r="T2725" s="54" t="str">
        <f t="shared" si="133"/>
        <v/>
      </c>
      <c r="U2725" s="58" t="str">
        <f t="shared" si="134"/>
        <v/>
      </c>
      <c r="V2725" s="58">
        <f>IF(AND($B2725&lt;&gt;"",$F2725&lt;&gt;"",$F2725=项目明细账!$C$2),N(V2724)+1,N(V2724))</f>
        <v>0</v>
      </c>
      <c r="W2725" s="63" t="str">
        <f>IF($H2725&lt;&gt;"","项目成本",IFERROR(INDEX(基础资料!$W$4:$W$49,MATCH($I2725,基础资料!$V$4:$V$49,0)),""))</f>
        <v/>
      </c>
      <c r="X2725" s="63" t="str">
        <f>IFERROR(INDEX(基础资料!$R$4:$R$17,MATCH($G2725,基础资料!$Q$4:$Q$17,0)),"")</f>
        <v/>
      </c>
    </row>
    <row r="2726" spans="1:24">
      <c r="A2726" s="58" t="str">
        <f>IF($B2726="","",COUNTA($B$5:$B2726))</f>
        <v/>
      </c>
      <c r="B2726" s="53"/>
      <c r="C2726" s="46"/>
      <c r="D2726" s="63" t="str">
        <f>IFERROR(INDEX(基础资料!$F$4:$F$23,MATCH($C2726,基础资料!$E$4:$E$23,0)),IF($C2726="","","未匹配账户"))</f>
        <v/>
      </c>
      <c r="E2726" s="39"/>
      <c r="F2726" s="10"/>
      <c r="G2726" s="10"/>
      <c r="H2726" s="10"/>
      <c r="I2726" s="10"/>
      <c r="J2726" s="10"/>
      <c r="K2726" s="25"/>
      <c r="L2726" s="25"/>
      <c r="M2726" s="25" t="str">
        <f>IFERROR(VLOOKUP($C2726,$C$5:$M$24,11,0)+SUMIF($C$25:$C2726,$C2726,$K$25:$K2726)-SUMIF($C$25:$C2726,$C2726,$L$25:$L2726),"")</f>
        <v/>
      </c>
      <c r="N2726" s="10"/>
      <c r="O2726" s="10"/>
      <c r="P2726" s="65"/>
      <c r="Q2726" s="10"/>
      <c r="R2726" s="10"/>
      <c r="S2726" s="54" t="str">
        <f t="shared" si="132"/>
        <v/>
      </c>
      <c r="T2726" s="54" t="str">
        <f t="shared" si="133"/>
        <v/>
      </c>
      <c r="U2726" s="58" t="str">
        <f t="shared" si="134"/>
        <v/>
      </c>
      <c r="V2726" s="58">
        <f>IF(AND($B2726&lt;&gt;"",$F2726&lt;&gt;"",$F2726=项目明细账!$C$2),N(V2725)+1,N(V2725))</f>
        <v>0</v>
      </c>
      <c r="W2726" s="63" t="str">
        <f>IF($H2726&lt;&gt;"","项目成本",IFERROR(INDEX(基础资料!$W$4:$W$49,MATCH($I2726,基础资料!$V$4:$V$49,0)),""))</f>
        <v/>
      </c>
      <c r="X2726" s="63" t="str">
        <f>IFERROR(INDEX(基础资料!$R$4:$R$17,MATCH($G2726,基础资料!$Q$4:$Q$17,0)),"")</f>
        <v/>
      </c>
    </row>
    <row r="2727" spans="1:24">
      <c r="A2727" s="58" t="str">
        <f>IF($B2727="","",COUNTA($B$5:$B2727))</f>
        <v/>
      </c>
      <c r="B2727" s="53"/>
      <c r="C2727" s="46"/>
      <c r="D2727" s="63" t="str">
        <f>IFERROR(INDEX(基础资料!$F$4:$F$23,MATCH($C2727,基础资料!$E$4:$E$23,0)),IF($C2727="","","未匹配账户"))</f>
        <v/>
      </c>
      <c r="E2727" s="39"/>
      <c r="F2727" s="10"/>
      <c r="G2727" s="10"/>
      <c r="H2727" s="10"/>
      <c r="I2727" s="10"/>
      <c r="J2727" s="10"/>
      <c r="K2727" s="25"/>
      <c r="L2727" s="25"/>
      <c r="M2727" s="25" t="str">
        <f>IFERROR(VLOOKUP($C2727,$C$5:$M$24,11,0)+SUMIF($C$25:$C2727,$C2727,$K$25:$K2727)-SUMIF($C$25:$C2727,$C2727,$L$25:$L2727),"")</f>
        <v/>
      </c>
      <c r="N2727" s="10"/>
      <c r="O2727" s="10"/>
      <c r="P2727" s="65"/>
      <c r="Q2727" s="10"/>
      <c r="R2727" s="10"/>
      <c r="S2727" s="54" t="str">
        <f t="shared" si="132"/>
        <v/>
      </c>
      <c r="T2727" s="54" t="str">
        <f t="shared" si="133"/>
        <v/>
      </c>
      <c r="U2727" s="58" t="str">
        <f t="shared" si="134"/>
        <v/>
      </c>
      <c r="V2727" s="58">
        <f>IF(AND($B2727&lt;&gt;"",$F2727&lt;&gt;"",$F2727=项目明细账!$C$2),N(V2726)+1,N(V2726))</f>
        <v>0</v>
      </c>
      <c r="W2727" s="63" t="str">
        <f>IF($H2727&lt;&gt;"","项目成本",IFERROR(INDEX(基础资料!$W$4:$W$49,MATCH($I2727,基础资料!$V$4:$V$49,0)),""))</f>
        <v/>
      </c>
      <c r="X2727" s="63" t="str">
        <f>IFERROR(INDEX(基础资料!$R$4:$R$17,MATCH($G2727,基础资料!$Q$4:$Q$17,0)),"")</f>
        <v/>
      </c>
    </row>
    <row r="2728" spans="1:24">
      <c r="A2728" s="58" t="str">
        <f>IF($B2728="","",COUNTA($B$5:$B2728))</f>
        <v/>
      </c>
      <c r="B2728" s="53"/>
      <c r="C2728" s="46"/>
      <c r="D2728" s="63" t="str">
        <f>IFERROR(INDEX(基础资料!$F$4:$F$23,MATCH($C2728,基础资料!$E$4:$E$23,0)),IF($C2728="","","未匹配账户"))</f>
        <v/>
      </c>
      <c r="E2728" s="39"/>
      <c r="F2728" s="10"/>
      <c r="G2728" s="10"/>
      <c r="H2728" s="10"/>
      <c r="I2728" s="10"/>
      <c r="J2728" s="10"/>
      <c r="K2728" s="25"/>
      <c r="L2728" s="25"/>
      <c r="M2728" s="25" t="str">
        <f>IFERROR(VLOOKUP($C2728,$C$5:$M$24,11,0)+SUMIF($C$25:$C2728,$C2728,$K$25:$K2728)-SUMIF($C$25:$C2728,$C2728,$L$25:$L2728),"")</f>
        <v/>
      </c>
      <c r="N2728" s="10"/>
      <c r="O2728" s="10"/>
      <c r="P2728" s="65"/>
      <c r="Q2728" s="10"/>
      <c r="R2728" s="10"/>
      <c r="S2728" s="54" t="str">
        <f t="shared" si="132"/>
        <v/>
      </c>
      <c r="T2728" s="54" t="str">
        <f t="shared" si="133"/>
        <v/>
      </c>
      <c r="U2728" s="58" t="str">
        <f t="shared" si="134"/>
        <v/>
      </c>
      <c r="V2728" s="58">
        <f>IF(AND($B2728&lt;&gt;"",$F2728&lt;&gt;"",$F2728=项目明细账!$C$2),N(V2727)+1,N(V2727))</f>
        <v>0</v>
      </c>
      <c r="W2728" s="63" t="str">
        <f>IF($H2728&lt;&gt;"","项目成本",IFERROR(INDEX(基础资料!$W$4:$W$49,MATCH($I2728,基础资料!$V$4:$V$49,0)),""))</f>
        <v/>
      </c>
      <c r="X2728" s="63" t="str">
        <f>IFERROR(INDEX(基础资料!$R$4:$R$17,MATCH($G2728,基础资料!$Q$4:$Q$17,0)),"")</f>
        <v/>
      </c>
    </row>
    <row r="2729" spans="1:24">
      <c r="A2729" s="58" t="str">
        <f>IF($B2729="","",COUNTA($B$5:$B2729))</f>
        <v/>
      </c>
      <c r="B2729" s="53"/>
      <c r="C2729" s="46"/>
      <c r="D2729" s="63" t="str">
        <f>IFERROR(INDEX(基础资料!$F$4:$F$23,MATCH($C2729,基础资料!$E$4:$E$23,0)),IF($C2729="","","未匹配账户"))</f>
        <v/>
      </c>
      <c r="E2729" s="39"/>
      <c r="F2729" s="10"/>
      <c r="G2729" s="10"/>
      <c r="H2729" s="10"/>
      <c r="I2729" s="10"/>
      <c r="J2729" s="10"/>
      <c r="K2729" s="25"/>
      <c r="L2729" s="25"/>
      <c r="M2729" s="25" t="str">
        <f>IFERROR(VLOOKUP($C2729,$C$5:$M$24,11,0)+SUMIF($C$25:$C2729,$C2729,$K$25:$K2729)-SUMIF($C$25:$C2729,$C2729,$L$25:$L2729),"")</f>
        <v/>
      </c>
      <c r="N2729" s="10"/>
      <c r="O2729" s="10"/>
      <c r="P2729" s="65"/>
      <c r="Q2729" s="10"/>
      <c r="R2729" s="10"/>
      <c r="S2729" s="54" t="str">
        <f t="shared" si="132"/>
        <v/>
      </c>
      <c r="T2729" s="54" t="str">
        <f t="shared" si="133"/>
        <v/>
      </c>
      <c r="U2729" s="58" t="str">
        <f t="shared" si="134"/>
        <v/>
      </c>
      <c r="V2729" s="58">
        <f>IF(AND($B2729&lt;&gt;"",$F2729&lt;&gt;"",$F2729=项目明细账!$C$2),N(V2728)+1,N(V2728))</f>
        <v>0</v>
      </c>
      <c r="W2729" s="63" t="str">
        <f>IF($H2729&lt;&gt;"","项目成本",IFERROR(INDEX(基础资料!$W$4:$W$49,MATCH($I2729,基础资料!$V$4:$V$49,0)),""))</f>
        <v/>
      </c>
      <c r="X2729" s="63" t="str">
        <f>IFERROR(INDEX(基础资料!$R$4:$R$17,MATCH($G2729,基础资料!$Q$4:$Q$17,0)),"")</f>
        <v/>
      </c>
    </row>
    <row r="2730" spans="1:24">
      <c r="A2730" s="58" t="str">
        <f>IF($B2730="","",COUNTA($B$5:$B2730))</f>
        <v/>
      </c>
      <c r="B2730" s="53"/>
      <c r="C2730" s="46"/>
      <c r="D2730" s="63" t="str">
        <f>IFERROR(INDEX(基础资料!$F$4:$F$23,MATCH($C2730,基础资料!$E$4:$E$23,0)),IF($C2730="","","未匹配账户"))</f>
        <v/>
      </c>
      <c r="E2730" s="39"/>
      <c r="F2730" s="10"/>
      <c r="G2730" s="10"/>
      <c r="H2730" s="10"/>
      <c r="I2730" s="10"/>
      <c r="J2730" s="10"/>
      <c r="K2730" s="25"/>
      <c r="L2730" s="25"/>
      <c r="M2730" s="25" t="str">
        <f>IFERROR(VLOOKUP($C2730,$C$5:$M$24,11,0)+SUMIF($C$25:$C2730,$C2730,$K$25:$K2730)-SUMIF($C$25:$C2730,$C2730,$L$25:$L2730),"")</f>
        <v/>
      </c>
      <c r="N2730" s="10"/>
      <c r="O2730" s="10"/>
      <c r="P2730" s="65"/>
      <c r="Q2730" s="10"/>
      <c r="R2730" s="10"/>
      <c r="S2730" s="54" t="str">
        <f t="shared" si="132"/>
        <v/>
      </c>
      <c r="T2730" s="54" t="str">
        <f t="shared" si="133"/>
        <v/>
      </c>
      <c r="U2730" s="58" t="str">
        <f t="shared" si="134"/>
        <v/>
      </c>
      <c r="V2730" s="58">
        <f>IF(AND($B2730&lt;&gt;"",$F2730&lt;&gt;"",$F2730=项目明细账!$C$2),N(V2729)+1,N(V2729))</f>
        <v>0</v>
      </c>
      <c r="W2730" s="63" t="str">
        <f>IF($H2730&lt;&gt;"","项目成本",IFERROR(INDEX(基础资料!$W$4:$W$49,MATCH($I2730,基础资料!$V$4:$V$49,0)),""))</f>
        <v/>
      </c>
      <c r="X2730" s="63" t="str">
        <f>IFERROR(INDEX(基础资料!$R$4:$R$17,MATCH($G2730,基础资料!$Q$4:$Q$17,0)),"")</f>
        <v/>
      </c>
    </row>
    <row r="2731" spans="1:24">
      <c r="A2731" s="58" t="str">
        <f>IF($B2731="","",COUNTA($B$5:$B2731))</f>
        <v/>
      </c>
      <c r="B2731" s="53"/>
      <c r="C2731" s="46"/>
      <c r="D2731" s="63" t="str">
        <f>IFERROR(INDEX(基础资料!$F$4:$F$23,MATCH($C2731,基础资料!$E$4:$E$23,0)),IF($C2731="","","未匹配账户"))</f>
        <v/>
      </c>
      <c r="E2731" s="39"/>
      <c r="F2731" s="10"/>
      <c r="G2731" s="10"/>
      <c r="H2731" s="10"/>
      <c r="I2731" s="10"/>
      <c r="J2731" s="10"/>
      <c r="K2731" s="25"/>
      <c r="L2731" s="25"/>
      <c r="M2731" s="25" t="str">
        <f>IFERROR(VLOOKUP($C2731,$C$5:$M$24,11,0)+SUMIF($C$25:$C2731,$C2731,$K$25:$K2731)-SUMIF($C$25:$C2731,$C2731,$L$25:$L2731),"")</f>
        <v/>
      </c>
      <c r="N2731" s="10"/>
      <c r="O2731" s="10"/>
      <c r="P2731" s="65"/>
      <c r="Q2731" s="10"/>
      <c r="R2731" s="10"/>
      <c r="S2731" s="54" t="str">
        <f t="shared" si="132"/>
        <v/>
      </c>
      <c r="T2731" s="54" t="str">
        <f t="shared" si="133"/>
        <v/>
      </c>
      <c r="U2731" s="58" t="str">
        <f t="shared" si="134"/>
        <v/>
      </c>
      <c r="V2731" s="58">
        <f>IF(AND($B2731&lt;&gt;"",$F2731&lt;&gt;"",$F2731=项目明细账!$C$2),N(V2730)+1,N(V2730))</f>
        <v>0</v>
      </c>
      <c r="W2731" s="63" t="str">
        <f>IF($H2731&lt;&gt;"","项目成本",IFERROR(INDEX(基础资料!$W$4:$W$49,MATCH($I2731,基础资料!$V$4:$V$49,0)),""))</f>
        <v/>
      </c>
      <c r="X2731" s="63" t="str">
        <f>IFERROR(INDEX(基础资料!$R$4:$R$17,MATCH($G2731,基础资料!$Q$4:$Q$17,0)),"")</f>
        <v/>
      </c>
    </row>
    <row r="2732" spans="1:24">
      <c r="A2732" s="58" t="str">
        <f>IF($B2732="","",COUNTA($B$5:$B2732))</f>
        <v/>
      </c>
      <c r="B2732" s="53"/>
      <c r="C2732" s="46"/>
      <c r="D2732" s="63" t="str">
        <f>IFERROR(INDEX(基础资料!$F$4:$F$23,MATCH($C2732,基础资料!$E$4:$E$23,0)),IF($C2732="","","未匹配账户"))</f>
        <v/>
      </c>
      <c r="E2732" s="39"/>
      <c r="F2732" s="10"/>
      <c r="G2732" s="10"/>
      <c r="H2732" s="10"/>
      <c r="I2732" s="10"/>
      <c r="J2732" s="10"/>
      <c r="K2732" s="25"/>
      <c r="L2732" s="25"/>
      <c r="M2732" s="25" t="str">
        <f>IFERROR(VLOOKUP($C2732,$C$5:$M$24,11,0)+SUMIF($C$25:$C2732,$C2732,$K$25:$K2732)-SUMIF($C$25:$C2732,$C2732,$L$25:$L2732),"")</f>
        <v/>
      </c>
      <c r="N2732" s="10"/>
      <c r="O2732" s="10"/>
      <c r="P2732" s="65"/>
      <c r="Q2732" s="10"/>
      <c r="R2732" s="10"/>
      <c r="S2732" s="54" t="str">
        <f t="shared" si="132"/>
        <v/>
      </c>
      <c r="T2732" s="54" t="str">
        <f t="shared" si="133"/>
        <v/>
      </c>
      <c r="U2732" s="58" t="str">
        <f t="shared" si="134"/>
        <v/>
      </c>
      <c r="V2732" s="58">
        <f>IF(AND($B2732&lt;&gt;"",$F2732&lt;&gt;"",$F2732=项目明细账!$C$2),N(V2731)+1,N(V2731))</f>
        <v>0</v>
      </c>
      <c r="W2732" s="63" t="str">
        <f>IF($H2732&lt;&gt;"","项目成本",IFERROR(INDEX(基础资料!$W$4:$W$49,MATCH($I2732,基础资料!$V$4:$V$49,0)),""))</f>
        <v/>
      </c>
      <c r="X2732" s="63" t="str">
        <f>IFERROR(INDEX(基础资料!$R$4:$R$17,MATCH($G2732,基础资料!$Q$4:$Q$17,0)),"")</f>
        <v/>
      </c>
    </row>
    <row r="2733" spans="1:24">
      <c r="A2733" s="58" t="str">
        <f>IF($B2733="","",COUNTA($B$5:$B2733))</f>
        <v/>
      </c>
      <c r="B2733" s="53"/>
      <c r="C2733" s="46"/>
      <c r="D2733" s="63" t="str">
        <f>IFERROR(INDEX(基础资料!$F$4:$F$23,MATCH($C2733,基础资料!$E$4:$E$23,0)),IF($C2733="","","未匹配账户"))</f>
        <v/>
      </c>
      <c r="E2733" s="39"/>
      <c r="F2733" s="10"/>
      <c r="G2733" s="10"/>
      <c r="H2733" s="10"/>
      <c r="I2733" s="10"/>
      <c r="J2733" s="10"/>
      <c r="K2733" s="25"/>
      <c r="L2733" s="25"/>
      <c r="M2733" s="25" t="str">
        <f>IFERROR(VLOOKUP($C2733,$C$5:$M$24,11,0)+SUMIF($C$25:$C2733,$C2733,$K$25:$K2733)-SUMIF($C$25:$C2733,$C2733,$L$25:$L2733),"")</f>
        <v/>
      </c>
      <c r="N2733" s="10"/>
      <c r="O2733" s="10"/>
      <c r="P2733" s="65"/>
      <c r="Q2733" s="10"/>
      <c r="R2733" s="10"/>
      <c r="S2733" s="54" t="str">
        <f t="shared" si="132"/>
        <v/>
      </c>
      <c r="T2733" s="54" t="str">
        <f t="shared" si="133"/>
        <v/>
      </c>
      <c r="U2733" s="58" t="str">
        <f t="shared" si="134"/>
        <v/>
      </c>
      <c r="V2733" s="58">
        <f>IF(AND($B2733&lt;&gt;"",$F2733&lt;&gt;"",$F2733=项目明细账!$C$2),N(V2732)+1,N(V2732))</f>
        <v>0</v>
      </c>
      <c r="W2733" s="63" t="str">
        <f>IF($H2733&lt;&gt;"","项目成本",IFERROR(INDEX(基础资料!$W$4:$W$49,MATCH($I2733,基础资料!$V$4:$V$49,0)),""))</f>
        <v/>
      </c>
      <c r="X2733" s="63" t="str">
        <f>IFERROR(INDEX(基础资料!$R$4:$R$17,MATCH($G2733,基础资料!$Q$4:$Q$17,0)),"")</f>
        <v/>
      </c>
    </row>
    <row r="2734" spans="1:24">
      <c r="A2734" s="58" t="str">
        <f>IF($B2734="","",COUNTA($B$5:$B2734))</f>
        <v/>
      </c>
      <c r="B2734" s="53"/>
      <c r="C2734" s="46"/>
      <c r="D2734" s="63" t="str">
        <f>IFERROR(INDEX(基础资料!$F$4:$F$23,MATCH($C2734,基础资料!$E$4:$E$23,0)),IF($C2734="","","未匹配账户"))</f>
        <v/>
      </c>
      <c r="E2734" s="39"/>
      <c r="F2734" s="10"/>
      <c r="G2734" s="10"/>
      <c r="H2734" s="10"/>
      <c r="I2734" s="10"/>
      <c r="J2734" s="10"/>
      <c r="K2734" s="25"/>
      <c r="L2734" s="25"/>
      <c r="M2734" s="25" t="str">
        <f>IFERROR(VLOOKUP($C2734,$C$5:$M$24,11,0)+SUMIF($C$25:$C2734,$C2734,$K$25:$K2734)-SUMIF($C$25:$C2734,$C2734,$L$25:$L2734),"")</f>
        <v/>
      </c>
      <c r="N2734" s="10"/>
      <c r="O2734" s="10"/>
      <c r="P2734" s="65"/>
      <c r="Q2734" s="10"/>
      <c r="R2734" s="10"/>
      <c r="S2734" s="54" t="str">
        <f t="shared" si="132"/>
        <v/>
      </c>
      <c r="T2734" s="54" t="str">
        <f t="shared" si="133"/>
        <v/>
      </c>
      <c r="U2734" s="58" t="str">
        <f t="shared" si="134"/>
        <v/>
      </c>
      <c r="V2734" s="58">
        <f>IF(AND($B2734&lt;&gt;"",$F2734&lt;&gt;"",$F2734=项目明细账!$C$2),N(V2733)+1,N(V2733))</f>
        <v>0</v>
      </c>
      <c r="W2734" s="63" t="str">
        <f>IF($H2734&lt;&gt;"","项目成本",IFERROR(INDEX(基础资料!$W$4:$W$49,MATCH($I2734,基础资料!$V$4:$V$49,0)),""))</f>
        <v/>
      </c>
      <c r="X2734" s="63" t="str">
        <f>IFERROR(INDEX(基础资料!$R$4:$R$17,MATCH($G2734,基础资料!$Q$4:$Q$17,0)),"")</f>
        <v/>
      </c>
    </row>
    <row r="2735" spans="1:24">
      <c r="A2735" s="58" t="str">
        <f>IF($B2735="","",COUNTA($B$5:$B2735))</f>
        <v/>
      </c>
      <c r="B2735" s="53"/>
      <c r="C2735" s="46"/>
      <c r="D2735" s="63" t="str">
        <f>IFERROR(INDEX(基础资料!$F$4:$F$23,MATCH($C2735,基础资料!$E$4:$E$23,0)),IF($C2735="","","未匹配账户"))</f>
        <v/>
      </c>
      <c r="E2735" s="39"/>
      <c r="F2735" s="10"/>
      <c r="G2735" s="10"/>
      <c r="H2735" s="10"/>
      <c r="I2735" s="10"/>
      <c r="J2735" s="10"/>
      <c r="K2735" s="25"/>
      <c r="L2735" s="25"/>
      <c r="M2735" s="25" t="str">
        <f>IFERROR(VLOOKUP($C2735,$C$5:$M$24,11,0)+SUMIF($C$25:$C2735,$C2735,$K$25:$K2735)-SUMIF($C$25:$C2735,$C2735,$L$25:$L2735),"")</f>
        <v/>
      </c>
      <c r="N2735" s="10"/>
      <c r="O2735" s="10"/>
      <c r="P2735" s="65"/>
      <c r="Q2735" s="10"/>
      <c r="R2735" s="10"/>
      <c r="S2735" s="54" t="str">
        <f t="shared" si="132"/>
        <v/>
      </c>
      <c r="T2735" s="54" t="str">
        <f t="shared" si="133"/>
        <v/>
      </c>
      <c r="U2735" s="58" t="str">
        <f t="shared" si="134"/>
        <v/>
      </c>
      <c r="V2735" s="58">
        <f>IF(AND($B2735&lt;&gt;"",$F2735&lt;&gt;"",$F2735=项目明细账!$C$2),N(V2734)+1,N(V2734))</f>
        <v>0</v>
      </c>
      <c r="W2735" s="63" t="str">
        <f>IF($H2735&lt;&gt;"","项目成本",IFERROR(INDEX(基础资料!$W$4:$W$49,MATCH($I2735,基础资料!$V$4:$V$49,0)),""))</f>
        <v/>
      </c>
      <c r="X2735" s="63" t="str">
        <f>IFERROR(INDEX(基础资料!$R$4:$R$17,MATCH($G2735,基础资料!$Q$4:$Q$17,0)),"")</f>
        <v/>
      </c>
    </row>
    <row r="2736" spans="1:24">
      <c r="A2736" s="58" t="str">
        <f>IF($B2736="","",COUNTA($B$5:$B2736))</f>
        <v/>
      </c>
      <c r="B2736" s="53"/>
      <c r="C2736" s="46"/>
      <c r="D2736" s="63" t="str">
        <f>IFERROR(INDEX(基础资料!$F$4:$F$23,MATCH($C2736,基础资料!$E$4:$E$23,0)),IF($C2736="","","未匹配账户"))</f>
        <v/>
      </c>
      <c r="E2736" s="39"/>
      <c r="F2736" s="10"/>
      <c r="G2736" s="10"/>
      <c r="H2736" s="10"/>
      <c r="I2736" s="10"/>
      <c r="J2736" s="10"/>
      <c r="K2736" s="25"/>
      <c r="L2736" s="25"/>
      <c r="M2736" s="25" t="str">
        <f>IFERROR(VLOOKUP($C2736,$C$5:$M$24,11,0)+SUMIF($C$25:$C2736,$C2736,$K$25:$K2736)-SUMIF($C$25:$C2736,$C2736,$L$25:$L2736),"")</f>
        <v/>
      </c>
      <c r="N2736" s="10"/>
      <c r="O2736" s="10"/>
      <c r="P2736" s="65"/>
      <c r="Q2736" s="10"/>
      <c r="R2736" s="10"/>
      <c r="S2736" s="54" t="str">
        <f t="shared" si="132"/>
        <v/>
      </c>
      <c r="T2736" s="54" t="str">
        <f t="shared" si="133"/>
        <v/>
      </c>
      <c r="U2736" s="58" t="str">
        <f t="shared" si="134"/>
        <v/>
      </c>
      <c r="V2736" s="58">
        <f>IF(AND($B2736&lt;&gt;"",$F2736&lt;&gt;"",$F2736=项目明细账!$C$2),N(V2735)+1,N(V2735))</f>
        <v>0</v>
      </c>
      <c r="W2736" s="63" t="str">
        <f>IF($H2736&lt;&gt;"","项目成本",IFERROR(INDEX(基础资料!$W$4:$W$49,MATCH($I2736,基础资料!$V$4:$V$49,0)),""))</f>
        <v/>
      </c>
      <c r="X2736" s="63" t="str">
        <f>IFERROR(INDEX(基础资料!$R$4:$R$17,MATCH($G2736,基础资料!$Q$4:$Q$17,0)),"")</f>
        <v/>
      </c>
    </row>
    <row r="2737" spans="1:24">
      <c r="A2737" s="58" t="str">
        <f>IF($B2737="","",COUNTA($B$5:$B2737))</f>
        <v/>
      </c>
      <c r="B2737" s="53"/>
      <c r="C2737" s="46"/>
      <c r="D2737" s="63" t="str">
        <f>IFERROR(INDEX(基础资料!$F$4:$F$23,MATCH($C2737,基础资料!$E$4:$E$23,0)),IF($C2737="","","未匹配账户"))</f>
        <v/>
      </c>
      <c r="E2737" s="39"/>
      <c r="F2737" s="10"/>
      <c r="G2737" s="10"/>
      <c r="H2737" s="10"/>
      <c r="I2737" s="10"/>
      <c r="J2737" s="10"/>
      <c r="K2737" s="25"/>
      <c r="L2737" s="25"/>
      <c r="M2737" s="25" t="str">
        <f>IFERROR(VLOOKUP($C2737,$C$5:$M$24,11,0)+SUMIF($C$25:$C2737,$C2737,$K$25:$K2737)-SUMIF($C$25:$C2737,$C2737,$L$25:$L2737),"")</f>
        <v/>
      </c>
      <c r="N2737" s="10"/>
      <c r="O2737" s="10"/>
      <c r="P2737" s="65"/>
      <c r="Q2737" s="10"/>
      <c r="R2737" s="10"/>
      <c r="S2737" s="54" t="str">
        <f t="shared" si="132"/>
        <v/>
      </c>
      <c r="T2737" s="54" t="str">
        <f t="shared" si="133"/>
        <v/>
      </c>
      <c r="U2737" s="58" t="str">
        <f t="shared" si="134"/>
        <v/>
      </c>
      <c r="V2737" s="58">
        <f>IF(AND($B2737&lt;&gt;"",$F2737&lt;&gt;"",$F2737=项目明细账!$C$2),N(V2736)+1,N(V2736))</f>
        <v>0</v>
      </c>
      <c r="W2737" s="63" t="str">
        <f>IF($H2737&lt;&gt;"","项目成本",IFERROR(INDEX(基础资料!$W$4:$W$49,MATCH($I2737,基础资料!$V$4:$V$49,0)),""))</f>
        <v/>
      </c>
      <c r="X2737" s="63" t="str">
        <f>IFERROR(INDEX(基础资料!$R$4:$R$17,MATCH($G2737,基础资料!$Q$4:$Q$17,0)),"")</f>
        <v/>
      </c>
    </row>
    <row r="2738" spans="1:24">
      <c r="A2738" s="58" t="str">
        <f>IF($B2738="","",COUNTA($B$5:$B2738))</f>
        <v/>
      </c>
      <c r="B2738" s="53"/>
      <c r="C2738" s="46"/>
      <c r="D2738" s="63" t="str">
        <f>IFERROR(INDEX(基础资料!$F$4:$F$23,MATCH($C2738,基础资料!$E$4:$E$23,0)),IF($C2738="","","未匹配账户"))</f>
        <v/>
      </c>
      <c r="E2738" s="39"/>
      <c r="F2738" s="10"/>
      <c r="G2738" s="10"/>
      <c r="H2738" s="10"/>
      <c r="I2738" s="10"/>
      <c r="J2738" s="10"/>
      <c r="K2738" s="25"/>
      <c r="L2738" s="25"/>
      <c r="M2738" s="25" t="str">
        <f>IFERROR(VLOOKUP($C2738,$C$5:$M$24,11,0)+SUMIF($C$25:$C2738,$C2738,$K$25:$K2738)-SUMIF($C$25:$C2738,$C2738,$L$25:$L2738),"")</f>
        <v/>
      </c>
      <c r="N2738" s="10"/>
      <c r="O2738" s="10"/>
      <c r="P2738" s="65"/>
      <c r="Q2738" s="10"/>
      <c r="R2738" s="10"/>
      <c r="S2738" s="54" t="str">
        <f t="shared" si="132"/>
        <v/>
      </c>
      <c r="T2738" s="54" t="str">
        <f t="shared" si="133"/>
        <v/>
      </c>
      <c r="U2738" s="58" t="str">
        <f t="shared" si="134"/>
        <v/>
      </c>
      <c r="V2738" s="58">
        <f>IF(AND($B2738&lt;&gt;"",$F2738&lt;&gt;"",$F2738=项目明细账!$C$2),N(V2737)+1,N(V2737))</f>
        <v>0</v>
      </c>
      <c r="W2738" s="63" t="str">
        <f>IF($H2738&lt;&gt;"","项目成本",IFERROR(INDEX(基础资料!$W$4:$W$49,MATCH($I2738,基础资料!$V$4:$V$49,0)),""))</f>
        <v/>
      </c>
      <c r="X2738" s="63" t="str">
        <f>IFERROR(INDEX(基础资料!$R$4:$R$17,MATCH($G2738,基础资料!$Q$4:$Q$17,0)),"")</f>
        <v/>
      </c>
    </row>
    <row r="2739" spans="1:24">
      <c r="A2739" s="58" t="str">
        <f>IF($B2739="","",COUNTA($B$5:$B2739))</f>
        <v/>
      </c>
      <c r="B2739" s="53"/>
      <c r="C2739" s="46"/>
      <c r="D2739" s="63" t="str">
        <f>IFERROR(INDEX(基础资料!$F$4:$F$23,MATCH($C2739,基础资料!$E$4:$E$23,0)),IF($C2739="","","未匹配账户"))</f>
        <v/>
      </c>
      <c r="E2739" s="39"/>
      <c r="F2739" s="10"/>
      <c r="G2739" s="10"/>
      <c r="H2739" s="10"/>
      <c r="I2739" s="10"/>
      <c r="J2739" s="10"/>
      <c r="K2739" s="25"/>
      <c r="L2739" s="25"/>
      <c r="M2739" s="25" t="str">
        <f>IFERROR(VLOOKUP($C2739,$C$5:$M$24,11,0)+SUMIF($C$25:$C2739,$C2739,$K$25:$K2739)-SUMIF($C$25:$C2739,$C2739,$L$25:$L2739),"")</f>
        <v/>
      </c>
      <c r="N2739" s="10"/>
      <c r="O2739" s="10"/>
      <c r="P2739" s="65"/>
      <c r="Q2739" s="10"/>
      <c r="R2739" s="10"/>
      <c r="S2739" s="54" t="str">
        <f t="shared" si="132"/>
        <v/>
      </c>
      <c r="T2739" s="54" t="str">
        <f t="shared" si="133"/>
        <v/>
      </c>
      <c r="U2739" s="58" t="str">
        <f t="shared" si="134"/>
        <v/>
      </c>
      <c r="V2739" s="58">
        <f>IF(AND($B2739&lt;&gt;"",$F2739&lt;&gt;"",$F2739=项目明细账!$C$2),N(V2738)+1,N(V2738))</f>
        <v>0</v>
      </c>
      <c r="W2739" s="63" t="str">
        <f>IF($H2739&lt;&gt;"","项目成本",IFERROR(INDEX(基础资料!$W$4:$W$49,MATCH($I2739,基础资料!$V$4:$V$49,0)),""))</f>
        <v/>
      </c>
      <c r="X2739" s="63" t="str">
        <f>IFERROR(INDEX(基础资料!$R$4:$R$17,MATCH($G2739,基础资料!$Q$4:$Q$17,0)),"")</f>
        <v/>
      </c>
    </row>
    <row r="2740" spans="1:24">
      <c r="A2740" s="58" t="str">
        <f>IF($B2740="","",COUNTA($B$5:$B2740))</f>
        <v/>
      </c>
      <c r="B2740" s="53"/>
      <c r="C2740" s="46"/>
      <c r="D2740" s="63" t="str">
        <f>IFERROR(INDEX(基础资料!$F$4:$F$23,MATCH($C2740,基础资料!$E$4:$E$23,0)),IF($C2740="","","未匹配账户"))</f>
        <v/>
      </c>
      <c r="E2740" s="39"/>
      <c r="F2740" s="10"/>
      <c r="G2740" s="10"/>
      <c r="H2740" s="10"/>
      <c r="I2740" s="10"/>
      <c r="J2740" s="10"/>
      <c r="K2740" s="25"/>
      <c r="L2740" s="25"/>
      <c r="M2740" s="25" t="str">
        <f>IFERROR(VLOOKUP($C2740,$C$5:$M$24,11,0)+SUMIF($C$25:$C2740,$C2740,$K$25:$K2740)-SUMIF($C$25:$C2740,$C2740,$L$25:$L2740),"")</f>
        <v/>
      </c>
      <c r="N2740" s="10"/>
      <c r="O2740" s="10"/>
      <c r="P2740" s="65"/>
      <c r="Q2740" s="10"/>
      <c r="R2740" s="10"/>
      <c r="S2740" s="54" t="str">
        <f t="shared" si="132"/>
        <v/>
      </c>
      <c r="T2740" s="54" t="str">
        <f t="shared" si="133"/>
        <v/>
      </c>
      <c r="U2740" s="58" t="str">
        <f t="shared" si="134"/>
        <v/>
      </c>
      <c r="V2740" s="58">
        <f>IF(AND($B2740&lt;&gt;"",$F2740&lt;&gt;"",$F2740=项目明细账!$C$2),N(V2739)+1,N(V2739))</f>
        <v>0</v>
      </c>
      <c r="W2740" s="63" t="str">
        <f>IF($H2740&lt;&gt;"","项目成本",IFERROR(INDEX(基础资料!$W$4:$W$49,MATCH($I2740,基础资料!$V$4:$V$49,0)),""))</f>
        <v/>
      </c>
      <c r="X2740" s="63" t="str">
        <f>IFERROR(INDEX(基础资料!$R$4:$R$17,MATCH($G2740,基础资料!$Q$4:$Q$17,0)),"")</f>
        <v/>
      </c>
    </row>
    <row r="2741" spans="1:24">
      <c r="A2741" s="58" t="str">
        <f>IF($B2741="","",COUNTA($B$5:$B2741))</f>
        <v/>
      </c>
      <c r="B2741" s="53"/>
      <c r="C2741" s="46"/>
      <c r="D2741" s="63" t="str">
        <f>IFERROR(INDEX(基础资料!$F$4:$F$23,MATCH($C2741,基础资料!$E$4:$E$23,0)),IF($C2741="","","未匹配账户"))</f>
        <v/>
      </c>
      <c r="E2741" s="39"/>
      <c r="F2741" s="10"/>
      <c r="G2741" s="10"/>
      <c r="H2741" s="10"/>
      <c r="I2741" s="10"/>
      <c r="J2741" s="10"/>
      <c r="K2741" s="25"/>
      <c r="L2741" s="25"/>
      <c r="M2741" s="25" t="str">
        <f>IFERROR(VLOOKUP($C2741,$C$5:$M$24,11,0)+SUMIF($C$25:$C2741,$C2741,$K$25:$K2741)-SUMIF($C$25:$C2741,$C2741,$L$25:$L2741),"")</f>
        <v/>
      </c>
      <c r="N2741" s="10"/>
      <c r="O2741" s="10"/>
      <c r="P2741" s="65"/>
      <c r="Q2741" s="10"/>
      <c r="R2741" s="10"/>
      <c r="S2741" s="54" t="str">
        <f t="shared" si="132"/>
        <v/>
      </c>
      <c r="T2741" s="54" t="str">
        <f t="shared" si="133"/>
        <v/>
      </c>
      <c r="U2741" s="58" t="str">
        <f t="shared" si="134"/>
        <v/>
      </c>
      <c r="V2741" s="58">
        <f>IF(AND($B2741&lt;&gt;"",$F2741&lt;&gt;"",$F2741=项目明细账!$C$2),N(V2740)+1,N(V2740))</f>
        <v>0</v>
      </c>
      <c r="W2741" s="63" t="str">
        <f>IF($H2741&lt;&gt;"","项目成本",IFERROR(INDEX(基础资料!$W$4:$W$49,MATCH($I2741,基础资料!$V$4:$V$49,0)),""))</f>
        <v/>
      </c>
      <c r="X2741" s="63" t="str">
        <f>IFERROR(INDEX(基础资料!$R$4:$R$17,MATCH($G2741,基础资料!$Q$4:$Q$17,0)),"")</f>
        <v/>
      </c>
    </row>
    <row r="2742" spans="1:24">
      <c r="A2742" s="58" t="str">
        <f>IF($B2742="","",COUNTA($B$5:$B2742))</f>
        <v/>
      </c>
      <c r="B2742" s="53"/>
      <c r="C2742" s="46"/>
      <c r="D2742" s="63" t="str">
        <f>IFERROR(INDEX(基础资料!$F$4:$F$23,MATCH($C2742,基础资料!$E$4:$E$23,0)),IF($C2742="","","未匹配账户"))</f>
        <v/>
      </c>
      <c r="E2742" s="39"/>
      <c r="F2742" s="10"/>
      <c r="G2742" s="10"/>
      <c r="H2742" s="10"/>
      <c r="I2742" s="10"/>
      <c r="J2742" s="10"/>
      <c r="K2742" s="25"/>
      <c r="L2742" s="25"/>
      <c r="M2742" s="25" t="str">
        <f>IFERROR(VLOOKUP($C2742,$C$5:$M$24,11,0)+SUMIF($C$25:$C2742,$C2742,$K$25:$K2742)-SUMIF($C$25:$C2742,$C2742,$L$25:$L2742),"")</f>
        <v/>
      </c>
      <c r="N2742" s="10"/>
      <c r="O2742" s="10"/>
      <c r="P2742" s="65"/>
      <c r="Q2742" s="10"/>
      <c r="R2742" s="10"/>
      <c r="S2742" s="54" t="str">
        <f t="shared" si="132"/>
        <v/>
      </c>
      <c r="T2742" s="54" t="str">
        <f t="shared" si="133"/>
        <v/>
      </c>
      <c r="U2742" s="58" t="str">
        <f t="shared" si="134"/>
        <v/>
      </c>
      <c r="V2742" s="58">
        <f>IF(AND($B2742&lt;&gt;"",$F2742&lt;&gt;"",$F2742=项目明细账!$C$2),N(V2741)+1,N(V2741))</f>
        <v>0</v>
      </c>
      <c r="W2742" s="63" t="str">
        <f>IF($H2742&lt;&gt;"","项目成本",IFERROR(INDEX(基础资料!$W$4:$W$49,MATCH($I2742,基础资料!$V$4:$V$49,0)),""))</f>
        <v/>
      </c>
      <c r="X2742" s="63" t="str">
        <f>IFERROR(INDEX(基础资料!$R$4:$R$17,MATCH($G2742,基础资料!$Q$4:$Q$17,0)),"")</f>
        <v/>
      </c>
    </row>
    <row r="2743" spans="1:24">
      <c r="A2743" s="58" t="str">
        <f>IF($B2743="","",COUNTA($B$5:$B2743))</f>
        <v/>
      </c>
      <c r="B2743" s="53"/>
      <c r="C2743" s="46"/>
      <c r="D2743" s="63" t="str">
        <f>IFERROR(INDEX(基础资料!$F$4:$F$23,MATCH($C2743,基础资料!$E$4:$E$23,0)),IF($C2743="","","未匹配账户"))</f>
        <v/>
      </c>
      <c r="E2743" s="39"/>
      <c r="F2743" s="10"/>
      <c r="G2743" s="10"/>
      <c r="H2743" s="10"/>
      <c r="I2743" s="10"/>
      <c r="J2743" s="10"/>
      <c r="K2743" s="25"/>
      <c r="L2743" s="25"/>
      <c r="M2743" s="25" t="str">
        <f>IFERROR(VLOOKUP($C2743,$C$5:$M$24,11,0)+SUMIF($C$25:$C2743,$C2743,$K$25:$K2743)-SUMIF($C$25:$C2743,$C2743,$L$25:$L2743),"")</f>
        <v/>
      </c>
      <c r="N2743" s="10"/>
      <c r="O2743" s="10"/>
      <c r="P2743" s="65"/>
      <c r="Q2743" s="10"/>
      <c r="R2743" s="10"/>
      <c r="S2743" s="54" t="str">
        <f t="shared" si="132"/>
        <v/>
      </c>
      <c r="T2743" s="54" t="str">
        <f t="shared" si="133"/>
        <v/>
      </c>
      <c r="U2743" s="58" t="str">
        <f t="shared" si="134"/>
        <v/>
      </c>
      <c r="V2743" s="58">
        <f>IF(AND($B2743&lt;&gt;"",$F2743&lt;&gt;"",$F2743=项目明细账!$C$2),N(V2742)+1,N(V2742))</f>
        <v>0</v>
      </c>
      <c r="W2743" s="63" t="str">
        <f>IF($H2743&lt;&gt;"","项目成本",IFERROR(INDEX(基础资料!$W$4:$W$49,MATCH($I2743,基础资料!$V$4:$V$49,0)),""))</f>
        <v/>
      </c>
      <c r="X2743" s="63" t="str">
        <f>IFERROR(INDEX(基础资料!$R$4:$R$17,MATCH($G2743,基础资料!$Q$4:$Q$17,0)),"")</f>
        <v/>
      </c>
    </row>
    <row r="2744" spans="1:24">
      <c r="A2744" s="58" t="str">
        <f>IF($B2744="","",COUNTA($B$5:$B2744))</f>
        <v/>
      </c>
      <c r="B2744" s="53"/>
      <c r="C2744" s="46"/>
      <c r="D2744" s="63" t="str">
        <f>IFERROR(INDEX(基础资料!$F$4:$F$23,MATCH($C2744,基础资料!$E$4:$E$23,0)),IF($C2744="","","未匹配账户"))</f>
        <v/>
      </c>
      <c r="E2744" s="39"/>
      <c r="F2744" s="10"/>
      <c r="G2744" s="10"/>
      <c r="H2744" s="10"/>
      <c r="I2744" s="10"/>
      <c r="J2744" s="10"/>
      <c r="K2744" s="25"/>
      <c r="L2744" s="25"/>
      <c r="M2744" s="25" t="str">
        <f>IFERROR(VLOOKUP($C2744,$C$5:$M$24,11,0)+SUMIF($C$25:$C2744,$C2744,$K$25:$K2744)-SUMIF($C$25:$C2744,$C2744,$L$25:$L2744),"")</f>
        <v/>
      </c>
      <c r="N2744" s="10"/>
      <c r="O2744" s="10"/>
      <c r="P2744" s="65"/>
      <c r="Q2744" s="10"/>
      <c r="R2744" s="10"/>
      <c r="S2744" s="54" t="str">
        <f t="shared" si="132"/>
        <v/>
      </c>
      <c r="T2744" s="54" t="str">
        <f t="shared" si="133"/>
        <v/>
      </c>
      <c r="U2744" s="58" t="str">
        <f t="shared" si="134"/>
        <v/>
      </c>
      <c r="V2744" s="58">
        <f>IF(AND($B2744&lt;&gt;"",$F2744&lt;&gt;"",$F2744=项目明细账!$C$2),N(V2743)+1,N(V2743))</f>
        <v>0</v>
      </c>
      <c r="W2744" s="63" t="str">
        <f>IF($H2744&lt;&gt;"","项目成本",IFERROR(INDEX(基础资料!$W$4:$W$49,MATCH($I2744,基础资料!$V$4:$V$49,0)),""))</f>
        <v/>
      </c>
      <c r="X2744" s="63" t="str">
        <f>IFERROR(INDEX(基础资料!$R$4:$R$17,MATCH($G2744,基础资料!$Q$4:$Q$17,0)),"")</f>
        <v/>
      </c>
    </row>
    <row r="2745" spans="1:24">
      <c r="A2745" s="58" t="str">
        <f>IF($B2745="","",COUNTA($B$5:$B2745))</f>
        <v/>
      </c>
      <c r="B2745" s="53"/>
      <c r="C2745" s="46"/>
      <c r="D2745" s="63" t="str">
        <f>IFERROR(INDEX(基础资料!$F$4:$F$23,MATCH($C2745,基础资料!$E$4:$E$23,0)),IF($C2745="","","未匹配账户"))</f>
        <v/>
      </c>
      <c r="E2745" s="39"/>
      <c r="F2745" s="10"/>
      <c r="G2745" s="10"/>
      <c r="H2745" s="10"/>
      <c r="I2745" s="10"/>
      <c r="J2745" s="10"/>
      <c r="K2745" s="25"/>
      <c r="L2745" s="25"/>
      <c r="M2745" s="25" t="str">
        <f>IFERROR(VLOOKUP($C2745,$C$5:$M$24,11,0)+SUMIF($C$25:$C2745,$C2745,$K$25:$K2745)-SUMIF($C$25:$C2745,$C2745,$L$25:$L2745),"")</f>
        <v/>
      </c>
      <c r="N2745" s="10"/>
      <c r="O2745" s="10"/>
      <c r="P2745" s="65"/>
      <c r="Q2745" s="10"/>
      <c r="R2745" s="10"/>
      <c r="S2745" s="54" t="str">
        <f t="shared" si="132"/>
        <v/>
      </c>
      <c r="T2745" s="54" t="str">
        <f t="shared" si="133"/>
        <v/>
      </c>
      <c r="U2745" s="58" t="str">
        <f t="shared" si="134"/>
        <v/>
      </c>
      <c r="V2745" s="58">
        <f>IF(AND($B2745&lt;&gt;"",$F2745&lt;&gt;"",$F2745=项目明细账!$C$2),N(V2744)+1,N(V2744))</f>
        <v>0</v>
      </c>
      <c r="W2745" s="63" t="str">
        <f>IF($H2745&lt;&gt;"","项目成本",IFERROR(INDEX(基础资料!$W$4:$W$49,MATCH($I2745,基础资料!$V$4:$V$49,0)),""))</f>
        <v/>
      </c>
      <c r="X2745" s="63" t="str">
        <f>IFERROR(INDEX(基础资料!$R$4:$R$17,MATCH($G2745,基础资料!$Q$4:$Q$17,0)),"")</f>
        <v/>
      </c>
    </row>
    <row r="2746" spans="1:24">
      <c r="A2746" s="58" t="str">
        <f>IF($B2746="","",COUNTA($B$5:$B2746))</f>
        <v/>
      </c>
      <c r="B2746" s="53"/>
      <c r="C2746" s="46"/>
      <c r="D2746" s="63" t="str">
        <f>IFERROR(INDEX(基础资料!$F$4:$F$23,MATCH($C2746,基础资料!$E$4:$E$23,0)),IF($C2746="","","未匹配账户"))</f>
        <v/>
      </c>
      <c r="E2746" s="39"/>
      <c r="F2746" s="10"/>
      <c r="G2746" s="10"/>
      <c r="H2746" s="10"/>
      <c r="I2746" s="10"/>
      <c r="J2746" s="10"/>
      <c r="K2746" s="25"/>
      <c r="L2746" s="25"/>
      <c r="M2746" s="25" t="str">
        <f>IFERROR(VLOOKUP($C2746,$C$5:$M$24,11,0)+SUMIF($C$25:$C2746,$C2746,$K$25:$K2746)-SUMIF($C$25:$C2746,$C2746,$L$25:$L2746),"")</f>
        <v/>
      </c>
      <c r="N2746" s="10"/>
      <c r="O2746" s="10"/>
      <c r="P2746" s="65"/>
      <c r="Q2746" s="10"/>
      <c r="R2746" s="10"/>
      <c r="S2746" s="54" t="str">
        <f t="shared" si="132"/>
        <v/>
      </c>
      <c r="T2746" s="54" t="str">
        <f t="shared" si="133"/>
        <v/>
      </c>
      <c r="U2746" s="58" t="str">
        <f t="shared" si="134"/>
        <v/>
      </c>
      <c r="V2746" s="58">
        <f>IF(AND($B2746&lt;&gt;"",$F2746&lt;&gt;"",$F2746=项目明细账!$C$2),N(V2745)+1,N(V2745))</f>
        <v>0</v>
      </c>
      <c r="W2746" s="63" t="str">
        <f>IF($H2746&lt;&gt;"","项目成本",IFERROR(INDEX(基础资料!$W$4:$W$49,MATCH($I2746,基础资料!$V$4:$V$49,0)),""))</f>
        <v/>
      </c>
      <c r="X2746" s="63" t="str">
        <f>IFERROR(INDEX(基础资料!$R$4:$R$17,MATCH($G2746,基础资料!$Q$4:$Q$17,0)),"")</f>
        <v/>
      </c>
    </row>
    <row r="2747" spans="1:24">
      <c r="A2747" s="58" t="str">
        <f>IF($B2747="","",COUNTA($B$5:$B2747))</f>
        <v/>
      </c>
      <c r="B2747" s="53"/>
      <c r="C2747" s="46"/>
      <c r="D2747" s="63" t="str">
        <f>IFERROR(INDEX(基础资料!$F$4:$F$23,MATCH($C2747,基础资料!$E$4:$E$23,0)),IF($C2747="","","未匹配账户"))</f>
        <v/>
      </c>
      <c r="E2747" s="39"/>
      <c r="F2747" s="10"/>
      <c r="G2747" s="10"/>
      <c r="H2747" s="10"/>
      <c r="I2747" s="10"/>
      <c r="J2747" s="10"/>
      <c r="K2747" s="25"/>
      <c r="L2747" s="25"/>
      <c r="M2747" s="25" t="str">
        <f>IFERROR(VLOOKUP($C2747,$C$5:$M$24,11,0)+SUMIF($C$25:$C2747,$C2747,$K$25:$K2747)-SUMIF($C$25:$C2747,$C2747,$L$25:$L2747),"")</f>
        <v/>
      </c>
      <c r="N2747" s="10"/>
      <c r="O2747" s="10"/>
      <c r="P2747" s="65"/>
      <c r="Q2747" s="10"/>
      <c r="R2747" s="10"/>
      <c r="S2747" s="54" t="str">
        <f t="shared" si="132"/>
        <v/>
      </c>
      <c r="T2747" s="54" t="str">
        <f t="shared" si="133"/>
        <v/>
      </c>
      <c r="U2747" s="58" t="str">
        <f t="shared" si="134"/>
        <v/>
      </c>
      <c r="V2747" s="58">
        <f>IF(AND($B2747&lt;&gt;"",$F2747&lt;&gt;"",$F2747=项目明细账!$C$2),N(V2746)+1,N(V2746))</f>
        <v>0</v>
      </c>
      <c r="W2747" s="63" t="str">
        <f>IF($H2747&lt;&gt;"","项目成本",IFERROR(INDEX(基础资料!$W$4:$W$49,MATCH($I2747,基础资料!$V$4:$V$49,0)),""))</f>
        <v/>
      </c>
      <c r="X2747" s="63" t="str">
        <f>IFERROR(INDEX(基础资料!$R$4:$R$17,MATCH($G2747,基础资料!$Q$4:$Q$17,0)),"")</f>
        <v/>
      </c>
    </row>
    <row r="2748" spans="1:24">
      <c r="A2748" s="58" t="str">
        <f>IF($B2748="","",COUNTA($B$5:$B2748))</f>
        <v/>
      </c>
      <c r="B2748" s="53"/>
      <c r="C2748" s="46"/>
      <c r="D2748" s="63" t="str">
        <f>IFERROR(INDEX(基础资料!$F$4:$F$23,MATCH($C2748,基础资料!$E$4:$E$23,0)),IF($C2748="","","未匹配账户"))</f>
        <v/>
      </c>
      <c r="E2748" s="39"/>
      <c r="F2748" s="10"/>
      <c r="G2748" s="10"/>
      <c r="H2748" s="10"/>
      <c r="I2748" s="10"/>
      <c r="J2748" s="10"/>
      <c r="K2748" s="25"/>
      <c r="L2748" s="25"/>
      <c r="M2748" s="25" t="str">
        <f>IFERROR(VLOOKUP($C2748,$C$5:$M$24,11,0)+SUMIF($C$25:$C2748,$C2748,$K$25:$K2748)-SUMIF($C$25:$C2748,$C2748,$L$25:$L2748),"")</f>
        <v/>
      </c>
      <c r="N2748" s="10"/>
      <c r="O2748" s="10"/>
      <c r="P2748" s="65"/>
      <c r="Q2748" s="10"/>
      <c r="R2748" s="10"/>
      <c r="S2748" s="54" t="str">
        <f t="shared" si="132"/>
        <v/>
      </c>
      <c r="T2748" s="54" t="str">
        <f t="shared" si="133"/>
        <v/>
      </c>
      <c r="U2748" s="58" t="str">
        <f t="shared" si="134"/>
        <v/>
      </c>
      <c r="V2748" s="58">
        <f>IF(AND($B2748&lt;&gt;"",$F2748&lt;&gt;"",$F2748=项目明细账!$C$2),N(V2747)+1,N(V2747))</f>
        <v>0</v>
      </c>
      <c r="W2748" s="63" t="str">
        <f>IF($H2748&lt;&gt;"","项目成本",IFERROR(INDEX(基础资料!$W$4:$W$49,MATCH($I2748,基础资料!$V$4:$V$49,0)),""))</f>
        <v/>
      </c>
      <c r="X2748" s="63" t="str">
        <f>IFERROR(INDEX(基础资料!$R$4:$R$17,MATCH($G2748,基础资料!$Q$4:$Q$17,0)),"")</f>
        <v/>
      </c>
    </row>
    <row r="2749" spans="1:24">
      <c r="A2749" s="58" t="str">
        <f>IF($B2749="","",COUNTA($B$5:$B2749))</f>
        <v/>
      </c>
      <c r="B2749" s="53"/>
      <c r="C2749" s="46"/>
      <c r="D2749" s="63" t="str">
        <f>IFERROR(INDEX(基础资料!$F$4:$F$23,MATCH($C2749,基础资料!$E$4:$E$23,0)),IF($C2749="","","未匹配账户"))</f>
        <v/>
      </c>
      <c r="E2749" s="39"/>
      <c r="F2749" s="10"/>
      <c r="G2749" s="10"/>
      <c r="H2749" s="10"/>
      <c r="I2749" s="10"/>
      <c r="J2749" s="10"/>
      <c r="K2749" s="25"/>
      <c r="L2749" s="25"/>
      <c r="M2749" s="25" t="str">
        <f>IFERROR(VLOOKUP($C2749,$C$5:$M$24,11,0)+SUMIF($C$25:$C2749,$C2749,$K$25:$K2749)-SUMIF($C$25:$C2749,$C2749,$L$25:$L2749),"")</f>
        <v/>
      </c>
      <c r="N2749" s="10"/>
      <c r="O2749" s="10"/>
      <c r="P2749" s="65"/>
      <c r="Q2749" s="10"/>
      <c r="R2749" s="10"/>
      <c r="S2749" s="54" t="str">
        <f t="shared" si="132"/>
        <v/>
      </c>
      <c r="T2749" s="54" t="str">
        <f t="shared" si="133"/>
        <v/>
      </c>
      <c r="U2749" s="58" t="str">
        <f t="shared" si="134"/>
        <v/>
      </c>
      <c r="V2749" s="58">
        <f>IF(AND($B2749&lt;&gt;"",$F2749&lt;&gt;"",$F2749=项目明细账!$C$2),N(V2748)+1,N(V2748))</f>
        <v>0</v>
      </c>
      <c r="W2749" s="63" t="str">
        <f>IF($H2749&lt;&gt;"","项目成本",IFERROR(INDEX(基础资料!$W$4:$W$49,MATCH($I2749,基础资料!$V$4:$V$49,0)),""))</f>
        <v/>
      </c>
      <c r="X2749" s="63" t="str">
        <f>IFERROR(INDEX(基础资料!$R$4:$R$17,MATCH($G2749,基础资料!$Q$4:$Q$17,0)),"")</f>
        <v/>
      </c>
    </row>
    <row r="2750" spans="1:24">
      <c r="A2750" s="58" t="str">
        <f>IF($B2750="","",COUNTA($B$5:$B2750))</f>
        <v/>
      </c>
      <c r="B2750" s="53"/>
      <c r="C2750" s="46"/>
      <c r="D2750" s="63" t="str">
        <f>IFERROR(INDEX(基础资料!$F$4:$F$23,MATCH($C2750,基础资料!$E$4:$E$23,0)),IF($C2750="","","未匹配账户"))</f>
        <v/>
      </c>
      <c r="E2750" s="39"/>
      <c r="F2750" s="10"/>
      <c r="G2750" s="10"/>
      <c r="H2750" s="10"/>
      <c r="I2750" s="10"/>
      <c r="J2750" s="10"/>
      <c r="K2750" s="25"/>
      <c r="L2750" s="25"/>
      <c r="M2750" s="25" t="str">
        <f>IFERROR(VLOOKUP($C2750,$C$5:$M$24,11,0)+SUMIF($C$25:$C2750,$C2750,$K$25:$K2750)-SUMIF($C$25:$C2750,$C2750,$L$25:$L2750),"")</f>
        <v/>
      </c>
      <c r="N2750" s="10"/>
      <c r="O2750" s="10"/>
      <c r="P2750" s="65"/>
      <c r="Q2750" s="10"/>
      <c r="R2750" s="10"/>
      <c r="S2750" s="54" t="str">
        <f t="shared" si="132"/>
        <v/>
      </c>
      <c r="T2750" s="54" t="str">
        <f t="shared" si="133"/>
        <v/>
      </c>
      <c r="U2750" s="58" t="str">
        <f t="shared" si="134"/>
        <v/>
      </c>
      <c r="V2750" s="58">
        <f>IF(AND($B2750&lt;&gt;"",$F2750&lt;&gt;"",$F2750=项目明细账!$C$2),N(V2749)+1,N(V2749))</f>
        <v>0</v>
      </c>
      <c r="W2750" s="63" t="str">
        <f>IF($H2750&lt;&gt;"","项目成本",IFERROR(INDEX(基础资料!$W$4:$W$49,MATCH($I2750,基础资料!$V$4:$V$49,0)),""))</f>
        <v/>
      </c>
      <c r="X2750" s="63" t="str">
        <f>IFERROR(INDEX(基础资料!$R$4:$R$17,MATCH($G2750,基础资料!$Q$4:$Q$17,0)),"")</f>
        <v/>
      </c>
    </row>
    <row r="2751" spans="1:24">
      <c r="A2751" s="58" t="str">
        <f>IF($B2751="","",COUNTA($B$5:$B2751))</f>
        <v/>
      </c>
      <c r="B2751" s="53"/>
      <c r="C2751" s="46"/>
      <c r="D2751" s="63" t="str">
        <f>IFERROR(INDEX(基础资料!$F$4:$F$23,MATCH($C2751,基础资料!$E$4:$E$23,0)),IF($C2751="","","未匹配账户"))</f>
        <v/>
      </c>
      <c r="E2751" s="39"/>
      <c r="F2751" s="10"/>
      <c r="G2751" s="10"/>
      <c r="H2751" s="10"/>
      <c r="I2751" s="10"/>
      <c r="J2751" s="10"/>
      <c r="K2751" s="25"/>
      <c r="L2751" s="25"/>
      <c r="M2751" s="25" t="str">
        <f>IFERROR(VLOOKUP($C2751,$C$5:$M$24,11,0)+SUMIF($C$25:$C2751,$C2751,$K$25:$K2751)-SUMIF($C$25:$C2751,$C2751,$L$25:$L2751),"")</f>
        <v/>
      </c>
      <c r="N2751" s="10"/>
      <c r="O2751" s="10"/>
      <c r="P2751" s="65"/>
      <c r="Q2751" s="10"/>
      <c r="R2751" s="10"/>
      <c r="S2751" s="54" t="str">
        <f t="shared" si="132"/>
        <v/>
      </c>
      <c r="T2751" s="54" t="str">
        <f t="shared" si="133"/>
        <v/>
      </c>
      <c r="U2751" s="58" t="str">
        <f t="shared" si="134"/>
        <v/>
      </c>
      <c r="V2751" s="58">
        <f>IF(AND($B2751&lt;&gt;"",$F2751&lt;&gt;"",$F2751=项目明细账!$C$2),N(V2750)+1,N(V2750))</f>
        <v>0</v>
      </c>
      <c r="W2751" s="63" t="str">
        <f>IF($H2751&lt;&gt;"","项目成本",IFERROR(INDEX(基础资料!$W$4:$W$49,MATCH($I2751,基础资料!$V$4:$V$49,0)),""))</f>
        <v/>
      </c>
      <c r="X2751" s="63" t="str">
        <f>IFERROR(INDEX(基础资料!$R$4:$R$17,MATCH($G2751,基础资料!$Q$4:$Q$17,0)),"")</f>
        <v/>
      </c>
    </row>
    <row r="2752" spans="1:24">
      <c r="A2752" s="58" t="str">
        <f>IF($B2752="","",COUNTA($B$5:$B2752))</f>
        <v/>
      </c>
      <c r="B2752" s="53"/>
      <c r="C2752" s="46"/>
      <c r="D2752" s="63" t="str">
        <f>IFERROR(INDEX(基础资料!$F$4:$F$23,MATCH($C2752,基础资料!$E$4:$E$23,0)),IF($C2752="","","未匹配账户"))</f>
        <v/>
      </c>
      <c r="E2752" s="39"/>
      <c r="F2752" s="10"/>
      <c r="G2752" s="10"/>
      <c r="H2752" s="10"/>
      <c r="I2752" s="10"/>
      <c r="J2752" s="10"/>
      <c r="K2752" s="25"/>
      <c r="L2752" s="25"/>
      <c r="M2752" s="25" t="str">
        <f>IFERROR(VLOOKUP($C2752,$C$5:$M$24,11,0)+SUMIF($C$25:$C2752,$C2752,$K$25:$K2752)-SUMIF($C$25:$C2752,$C2752,$L$25:$L2752),"")</f>
        <v/>
      </c>
      <c r="N2752" s="10"/>
      <c r="O2752" s="10"/>
      <c r="P2752" s="65"/>
      <c r="Q2752" s="10"/>
      <c r="R2752" s="10"/>
      <c r="S2752" s="54" t="str">
        <f t="shared" si="132"/>
        <v/>
      </c>
      <c r="T2752" s="54" t="str">
        <f t="shared" si="133"/>
        <v/>
      </c>
      <c r="U2752" s="58" t="str">
        <f t="shared" si="134"/>
        <v/>
      </c>
      <c r="V2752" s="58">
        <f>IF(AND($B2752&lt;&gt;"",$F2752&lt;&gt;"",$F2752=项目明细账!$C$2),N(V2751)+1,N(V2751))</f>
        <v>0</v>
      </c>
      <c r="W2752" s="63" t="str">
        <f>IF($H2752&lt;&gt;"","项目成本",IFERROR(INDEX(基础资料!$W$4:$W$49,MATCH($I2752,基础资料!$V$4:$V$49,0)),""))</f>
        <v/>
      </c>
      <c r="X2752" s="63" t="str">
        <f>IFERROR(INDEX(基础资料!$R$4:$R$17,MATCH($G2752,基础资料!$Q$4:$Q$17,0)),"")</f>
        <v/>
      </c>
    </row>
    <row r="2753" spans="1:24">
      <c r="A2753" s="58" t="str">
        <f>IF($B2753="","",COUNTA($B$5:$B2753))</f>
        <v/>
      </c>
      <c r="B2753" s="53"/>
      <c r="C2753" s="46"/>
      <c r="D2753" s="63" t="str">
        <f>IFERROR(INDEX(基础资料!$F$4:$F$23,MATCH($C2753,基础资料!$E$4:$E$23,0)),IF($C2753="","","未匹配账户"))</f>
        <v/>
      </c>
      <c r="E2753" s="39"/>
      <c r="F2753" s="10"/>
      <c r="G2753" s="10"/>
      <c r="H2753" s="10"/>
      <c r="I2753" s="10"/>
      <c r="J2753" s="10"/>
      <c r="K2753" s="25"/>
      <c r="L2753" s="25"/>
      <c r="M2753" s="25" t="str">
        <f>IFERROR(VLOOKUP($C2753,$C$5:$M$24,11,0)+SUMIF($C$25:$C2753,$C2753,$K$25:$K2753)-SUMIF($C$25:$C2753,$C2753,$L$25:$L2753),"")</f>
        <v/>
      </c>
      <c r="N2753" s="10"/>
      <c r="O2753" s="10"/>
      <c r="P2753" s="65"/>
      <c r="Q2753" s="10"/>
      <c r="R2753" s="10"/>
      <c r="S2753" s="54" t="str">
        <f t="shared" si="132"/>
        <v/>
      </c>
      <c r="T2753" s="54" t="str">
        <f t="shared" si="133"/>
        <v/>
      </c>
      <c r="U2753" s="58" t="str">
        <f t="shared" si="134"/>
        <v/>
      </c>
      <c r="V2753" s="58">
        <f>IF(AND($B2753&lt;&gt;"",$F2753&lt;&gt;"",$F2753=项目明细账!$C$2),N(V2752)+1,N(V2752))</f>
        <v>0</v>
      </c>
      <c r="W2753" s="63" t="str">
        <f>IF($H2753&lt;&gt;"","项目成本",IFERROR(INDEX(基础资料!$W$4:$W$49,MATCH($I2753,基础资料!$V$4:$V$49,0)),""))</f>
        <v/>
      </c>
      <c r="X2753" s="63" t="str">
        <f>IFERROR(INDEX(基础资料!$R$4:$R$17,MATCH($G2753,基础资料!$Q$4:$Q$17,0)),"")</f>
        <v/>
      </c>
    </row>
    <row r="2754" spans="1:24">
      <c r="A2754" s="58" t="str">
        <f>IF($B2754="","",COUNTA($B$5:$B2754))</f>
        <v/>
      </c>
      <c r="B2754" s="53"/>
      <c r="C2754" s="46"/>
      <c r="D2754" s="63" t="str">
        <f>IFERROR(INDEX(基础资料!$F$4:$F$23,MATCH($C2754,基础资料!$E$4:$E$23,0)),IF($C2754="","","未匹配账户"))</f>
        <v/>
      </c>
      <c r="E2754" s="39"/>
      <c r="F2754" s="10"/>
      <c r="G2754" s="10"/>
      <c r="H2754" s="10"/>
      <c r="I2754" s="10"/>
      <c r="J2754" s="10"/>
      <c r="K2754" s="25"/>
      <c r="L2754" s="25"/>
      <c r="M2754" s="25" t="str">
        <f>IFERROR(VLOOKUP($C2754,$C$5:$M$24,11,0)+SUMIF($C$25:$C2754,$C2754,$K$25:$K2754)-SUMIF($C$25:$C2754,$C2754,$L$25:$L2754),"")</f>
        <v/>
      </c>
      <c r="N2754" s="10"/>
      <c r="O2754" s="10"/>
      <c r="P2754" s="65"/>
      <c r="Q2754" s="10"/>
      <c r="R2754" s="10"/>
      <c r="S2754" s="54" t="str">
        <f t="shared" si="132"/>
        <v/>
      </c>
      <c r="T2754" s="54" t="str">
        <f t="shared" si="133"/>
        <v/>
      </c>
      <c r="U2754" s="58" t="str">
        <f t="shared" si="134"/>
        <v/>
      </c>
      <c r="V2754" s="58">
        <f>IF(AND($B2754&lt;&gt;"",$F2754&lt;&gt;"",$F2754=项目明细账!$C$2),N(V2753)+1,N(V2753))</f>
        <v>0</v>
      </c>
      <c r="W2754" s="63" t="str">
        <f>IF($H2754&lt;&gt;"","项目成本",IFERROR(INDEX(基础资料!$W$4:$W$49,MATCH($I2754,基础资料!$V$4:$V$49,0)),""))</f>
        <v/>
      </c>
      <c r="X2754" s="63" t="str">
        <f>IFERROR(INDEX(基础资料!$R$4:$R$17,MATCH($G2754,基础资料!$Q$4:$Q$17,0)),"")</f>
        <v/>
      </c>
    </row>
    <row r="2755" spans="1:24">
      <c r="A2755" s="58" t="str">
        <f>IF($B2755="","",COUNTA($B$5:$B2755))</f>
        <v/>
      </c>
      <c r="B2755" s="53"/>
      <c r="C2755" s="46"/>
      <c r="D2755" s="63" t="str">
        <f>IFERROR(INDEX(基础资料!$F$4:$F$23,MATCH($C2755,基础资料!$E$4:$E$23,0)),IF($C2755="","","未匹配账户"))</f>
        <v/>
      </c>
      <c r="E2755" s="39"/>
      <c r="F2755" s="10"/>
      <c r="G2755" s="10"/>
      <c r="H2755" s="10"/>
      <c r="I2755" s="10"/>
      <c r="J2755" s="10"/>
      <c r="K2755" s="25"/>
      <c r="L2755" s="25"/>
      <c r="M2755" s="25" t="str">
        <f>IFERROR(VLOOKUP($C2755,$C$5:$M$24,11,0)+SUMIF($C$25:$C2755,$C2755,$K$25:$K2755)-SUMIF($C$25:$C2755,$C2755,$L$25:$L2755),"")</f>
        <v/>
      </c>
      <c r="N2755" s="10"/>
      <c r="O2755" s="10"/>
      <c r="P2755" s="65"/>
      <c r="Q2755" s="10"/>
      <c r="R2755" s="10"/>
      <c r="S2755" s="54" t="str">
        <f t="shared" si="132"/>
        <v/>
      </c>
      <c r="T2755" s="54" t="str">
        <f t="shared" si="133"/>
        <v/>
      </c>
      <c r="U2755" s="58" t="str">
        <f t="shared" si="134"/>
        <v/>
      </c>
      <c r="V2755" s="58">
        <f>IF(AND($B2755&lt;&gt;"",$F2755&lt;&gt;"",$F2755=项目明细账!$C$2),N(V2754)+1,N(V2754))</f>
        <v>0</v>
      </c>
      <c r="W2755" s="63" t="str">
        <f>IF($H2755&lt;&gt;"","项目成本",IFERROR(INDEX(基础资料!$W$4:$W$49,MATCH($I2755,基础资料!$V$4:$V$49,0)),""))</f>
        <v/>
      </c>
      <c r="X2755" s="63" t="str">
        <f>IFERROR(INDEX(基础资料!$R$4:$R$17,MATCH($G2755,基础资料!$Q$4:$Q$17,0)),"")</f>
        <v/>
      </c>
    </row>
    <row r="2756" spans="1:24">
      <c r="A2756" s="58" t="str">
        <f>IF($B2756="","",COUNTA($B$5:$B2756))</f>
        <v/>
      </c>
      <c r="B2756" s="53"/>
      <c r="C2756" s="46"/>
      <c r="D2756" s="63" t="str">
        <f>IFERROR(INDEX(基础资料!$F$4:$F$23,MATCH($C2756,基础资料!$E$4:$E$23,0)),IF($C2756="","","未匹配账户"))</f>
        <v/>
      </c>
      <c r="E2756" s="39"/>
      <c r="F2756" s="10"/>
      <c r="G2756" s="10"/>
      <c r="H2756" s="10"/>
      <c r="I2756" s="10"/>
      <c r="J2756" s="10"/>
      <c r="K2756" s="25"/>
      <c r="L2756" s="25"/>
      <c r="M2756" s="25" t="str">
        <f>IFERROR(VLOOKUP($C2756,$C$5:$M$24,11,0)+SUMIF($C$25:$C2756,$C2756,$K$25:$K2756)-SUMIF($C$25:$C2756,$C2756,$L$25:$L2756),"")</f>
        <v/>
      </c>
      <c r="N2756" s="10"/>
      <c r="O2756" s="10"/>
      <c r="P2756" s="65"/>
      <c r="Q2756" s="10"/>
      <c r="R2756" s="10"/>
      <c r="S2756" s="54" t="str">
        <f t="shared" si="132"/>
        <v/>
      </c>
      <c r="T2756" s="54" t="str">
        <f t="shared" si="133"/>
        <v/>
      </c>
      <c r="U2756" s="58" t="str">
        <f t="shared" si="134"/>
        <v/>
      </c>
      <c r="V2756" s="58">
        <f>IF(AND($B2756&lt;&gt;"",$F2756&lt;&gt;"",$F2756=项目明细账!$C$2),N(V2755)+1,N(V2755))</f>
        <v>0</v>
      </c>
      <c r="W2756" s="63" t="str">
        <f>IF($H2756&lt;&gt;"","项目成本",IFERROR(INDEX(基础资料!$W$4:$W$49,MATCH($I2756,基础资料!$V$4:$V$49,0)),""))</f>
        <v/>
      </c>
      <c r="X2756" s="63" t="str">
        <f>IFERROR(INDEX(基础资料!$R$4:$R$17,MATCH($G2756,基础资料!$Q$4:$Q$17,0)),"")</f>
        <v/>
      </c>
    </row>
    <row r="2757" spans="1:24">
      <c r="A2757" s="58" t="str">
        <f>IF($B2757="","",COUNTA($B$5:$B2757))</f>
        <v/>
      </c>
      <c r="B2757" s="53"/>
      <c r="C2757" s="46"/>
      <c r="D2757" s="63" t="str">
        <f>IFERROR(INDEX(基础资料!$F$4:$F$23,MATCH($C2757,基础资料!$E$4:$E$23,0)),IF($C2757="","","未匹配账户"))</f>
        <v/>
      </c>
      <c r="E2757" s="39"/>
      <c r="F2757" s="10"/>
      <c r="G2757" s="10"/>
      <c r="H2757" s="10"/>
      <c r="I2757" s="10"/>
      <c r="J2757" s="10"/>
      <c r="K2757" s="25"/>
      <c r="L2757" s="25"/>
      <c r="M2757" s="25" t="str">
        <f>IFERROR(VLOOKUP($C2757,$C$5:$M$24,11,0)+SUMIF($C$25:$C2757,$C2757,$K$25:$K2757)-SUMIF($C$25:$C2757,$C2757,$L$25:$L2757),"")</f>
        <v/>
      </c>
      <c r="N2757" s="10"/>
      <c r="O2757" s="10"/>
      <c r="P2757" s="65"/>
      <c r="Q2757" s="10"/>
      <c r="R2757" s="10"/>
      <c r="S2757" s="54" t="str">
        <f t="shared" si="132"/>
        <v/>
      </c>
      <c r="T2757" s="54" t="str">
        <f t="shared" si="133"/>
        <v/>
      </c>
      <c r="U2757" s="58" t="str">
        <f t="shared" si="134"/>
        <v/>
      </c>
      <c r="V2757" s="58">
        <f>IF(AND($B2757&lt;&gt;"",$F2757&lt;&gt;"",$F2757=项目明细账!$C$2),N(V2756)+1,N(V2756))</f>
        <v>0</v>
      </c>
      <c r="W2757" s="63" t="str">
        <f>IF($H2757&lt;&gt;"","项目成本",IFERROR(INDEX(基础资料!$W$4:$W$49,MATCH($I2757,基础资料!$V$4:$V$49,0)),""))</f>
        <v/>
      </c>
      <c r="X2757" s="63" t="str">
        <f>IFERROR(INDEX(基础资料!$R$4:$R$17,MATCH($G2757,基础资料!$Q$4:$Q$17,0)),"")</f>
        <v/>
      </c>
    </row>
    <row r="2758" spans="1:24">
      <c r="A2758" s="58" t="str">
        <f>IF($B2758="","",COUNTA($B$5:$B2758))</f>
        <v/>
      </c>
      <c r="B2758" s="53"/>
      <c r="C2758" s="46"/>
      <c r="D2758" s="63" t="str">
        <f>IFERROR(INDEX(基础资料!$F$4:$F$23,MATCH($C2758,基础资料!$E$4:$E$23,0)),IF($C2758="","","未匹配账户"))</f>
        <v/>
      </c>
      <c r="E2758" s="39"/>
      <c r="F2758" s="10"/>
      <c r="G2758" s="10"/>
      <c r="H2758" s="10"/>
      <c r="I2758" s="10"/>
      <c r="J2758" s="10"/>
      <c r="K2758" s="25"/>
      <c r="L2758" s="25"/>
      <c r="M2758" s="25" t="str">
        <f>IFERROR(VLOOKUP($C2758,$C$5:$M$24,11,0)+SUMIF($C$25:$C2758,$C2758,$K$25:$K2758)-SUMIF($C$25:$C2758,$C2758,$L$25:$L2758),"")</f>
        <v/>
      </c>
      <c r="N2758" s="10"/>
      <c r="O2758" s="10"/>
      <c r="P2758" s="65"/>
      <c r="Q2758" s="10"/>
      <c r="R2758" s="10"/>
      <c r="S2758" s="54" t="str">
        <f t="shared" si="132"/>
        <v/>
      </c>
      <c r="T2758" s="54" t="str">
        <f t="shared" si="133"/>
        <v/>
      </c>
      <c r="U2758" s="58" t="str">
        <f t="shared" si="134"/>
        <v/>
      </c>
      <c r="V2758" s="58">
        <f>IF(AND($B2758&lt;&gt;"",$F2758&lt;&gt;"",$F2758=项目明细账!$C$2),N(V2757)+1,N(V2757))</f>
        <v>0</v>
      </c>
      <c r="W2758" s="63" t="str">
        <f>IF($H2758&lt;&gt;"","项目成本",IFERROR(INDEX(基础资料!$W$4:$W$49,MATCH($I2758,基础资料!$V$4:$V$49,0)),""))</f>
        <v/>
      </c>
      <c r="X2758" s="63" t="str">
        <f>IFERROR(INDEX(基础资料!$R$4:$R$17,MATCH($G2758,基础资料!$Q$4:$Q$17,0)),"")</f>
        <v/>
      </c>
    </row>
    <row r="2759" spans="1:24">
      <c r="A2759" s="58" t="str">
        <f>IF($B2759="","",COUNTA($B$5:$B2759))</f>
        <v/>
      </c>
      <c r="B2759" s="53"/>
      <c r="C2759" s="46"/>
      <c r="D2759" s="63" t="str">
        <f>IFERROR(INDEX(基础资料!$F$4:$F$23,MATCH($C2759,基础资料!$E$4:$E$23,0)),IF($C2759="","","未匹配账户"))</f>
        <v/>
      </c>
      <c r="E2759" s="39"/>
      <c r="F2759" s="10"/>
      <c r="G2759" s="10"/>
      <c r="H2759" s="10"/>
      <c r="I2759" s="10"/>
      <c r="J2759" s="10"/>
      <c r="K2759" s="25"/>
      <c r="L2759" s="25"/>
      <c r="M2759" s="25" t="str">
        <f>IFERROR(VLOOKUP($C2759,$C$5:$M$24,11,0)+SUMIF($C$25:$C2759,$C2759,$K$25:$K2759)-SUMIF($C$25:$C2759,$C2759,$L$25:$L2759),"")</f>
        <v/>
      </c>
      <c r="N2759" s="10"/>
      <c r="O2759" s="10"/>
      <c r="P2759" s="65"/>
      <c r="Q2759" s="10"/>
      <c r="R2759" s="10"/>
      <c r="S2759" s="54" t="str">
        <f t="shared" ref="S2759:S2822" si="135">IF($B2759="","",--TEXT($B2759,"yyyymm"))</f>
        <v/>
      </c>
      <c r="T2759" s="54" t="str">
        <f t="shared" ref="T2759:T2822" si="136">IF($B2759="","",IF($P2759="",$S2759,IFERROR($P2759*1,$P2759)))</f>
        <v/>
      </c>
      <c r="U2759" s="58" t="str">
        <f t="shared" ref="U2759:U2822" si="137">IF($B2759="","",IF($T2759=$S2759,"","跨期"))</f>
        <v/>
      </c>
      <c r="V2759" s="58">
        <f>IF(AND($B2759&lt;&gt;"",$F2759&lt;&gt;"",$F2759=项目明细账!$C$2),N(V2758)+1,N(V2758))</f>
        <v>0</v>
      </c>
      <c r="W2759" s="63" t="str">
        <f>IF($H2759&lt;&gt;"","项目成本",IFERROR(INDEX(基础资料!$W$4:$W$49,MATCH($I2759,基础资料!$V$4:$V$49,0)),""))</f>
        <v/>
      </c>
      <c r="X2759" s="63" t="str">
        <f>IFERROR(INDEX(基础资料!$R$4:$R$17,MATCH($G2759,基础资料!$Q$4:$Q$17,0)),"")</f>
        <v/>
      </c>
    </row>
    <row r="2760" spans="1:24">
      <c r="A2760" s="58" t="str">
        <f>IF($B2760="","",COUNTA($B$5:$B2760))</f>
        <v/>
      </c>
      <c r="B2760" s="53"/>
      <c r="C2760" s="46"/>
      <c r="D2760" s="63" t="str">
        <f>IFERROR(INDEX(基础资料!$F$4:$F$23,MATCH($C2760,基础资料!$E$4:$E$23,0)),IF($C2760="","","未匹配账户"))</f>
        <v/>
      </c>
      <c r="E2760" s="39"/>
      <c r="F2760" s="10"/>
      <c r="G2760" s="10"/>
      <c r="H2760" s="10"/>
      <c r="I2760" s="10"/>
      <c r="J2760" s="10"/>
      <c r="K2760" s="25"/>
      <c r="L2760" s="25"/>
      <c r="M2760" s="25" t="str">
        <f>IFERROR(VLOOKUP($C2760,$C$5:$M$24,11,0)+SUMIF($C$25:$C2760,$C2760,$K$25:$K2760)-SUMIF($C$25:$C2760,$C2760,$L$25:$L2760),"")</f>
        <v/>
      </c>
      <c r="N2760" s="10"/>
      <c r="O2760" s="10"/>
      <c r="P2760" s="65"/>
      <c r="Q2760" s="10"/>
      <c r="R2760" s="10"/>
      <c r="S2760" s="54" t="str">
        <f t="shared" si="135"/>
        <v/>
      </c>
      <c r="T2760" s="54" t="str">
        <f t="shared" si="136"/>
        <v/>
      </c>
      <c r="U2760" s="58" t="str">
        <f t="shared" si="137"/>
        <v/>
      </c>
      <c r="V2760" s="58">
        <f>IF(AND($B2760&lt;&gt;"",$F2760&lt;&gt;"",$F2760=项目明细账!$C$2),N(V2759)+1,N(V2759))</f>
        <v>0</v>
      </c>
      <c r="W2760" s="63" t="str">
        <f>IF($H2760&lt;&gt;"","项目成本",IFERROR(INDEX(基础资料!$W$4:$W$49,MATCH($I2760,基础资料!$V$4:$V$49,0)),""))</f>
        <v/>
      </c>
      <c r="X2760" s="63" t="str">
        <f>IFERROR(INDEX(基础资料!$R$4:$R$17,MATCH($G2760,基础资料!$Q$4:$Q$17,0)),"")</f>
        <v/>
      </c>
    </row>
    <row r="2761" spans="1:24">
      <c r="A2761" s="58" t="str">
        <f>IF($B2761="","",COUNTA($B$5:$B2761))</f>
        <v/>
      </c>
      <c r="B2761" s="53"/>
      <c r="C2761" s="46"/>
      <c r="D2761" s="63" t="str">
        <f>IFERROR(INDEX(基础资料!$F$4:$F$23,MATCH($C2761,基础资料!$E$4:$E$23,0)),IF($C2761="","","未匹配账户"))</f>
        <v/>
      </c>
      <c r="E2761" s="39"/>
      <c r="F2761" s="10"/>
      <c r="G2761" s="10"/>
      <c r="H2761" s="10"/>
      <c r="I2761" s="10"/>
      <c r="J2761" s="10"/>
      <c r="K2761" s="25"/>
      <c r="L2761" s="25"/>
      <c r="M2761" s="25" t="str">
        <f>IFERROR(VLOOKUP($C2761,$C$5:$M$24,11,0)+SUMIF($C$25:$C2761,$C2761,$K$25:$K2761)-SUMIF($C$25:$C2761,$C2761,$L$25:$L2761),"")</f>
        <v/>
      </c>
      <c r="N2761" s="10"/>
      <c r="O2761" s="10"/>
      <c r="P2761" s="65"/>
      <c r="Q2761" s="10"/>
      <c r="R2761" s="10"/>
      <c r="S2761" s="54" t="str">
        <f t="shared" si="135"/>
        <v/>
      </c>
      <c r="T2761" s="54" t="str">
        <f t="shared" si="136"/>
        <v/>
      </c>
      <c r="U2761" s="58" t="str">
        <f t="shared" si="137"/>
        <v/>
      </c>
      <c r="V2761" s="58">
        <f>IF(AND($B2761&lt;&gt;"",$F2761&lt;&gt;"",$F2761=项目明细账!$C$2),N(V2760)+1,N(V2760))</f>
        <v>0</v>
      </c>
      <c r="W2761" s="63" t="str">
        <f>IF($H2761&lt;&gt;"","项目成本",IFERROR(INDEX(基础资料!$W$4:$W$49,MATCH($I2761,基础资料!$V$4:$V$49,0)),""))</f>
        <v/>
      </c>
      <c r="X2761" s="63" t="str">
        <f>IFERROR(INDEX(基础资料!$R$4:$R$17,MATCH($G2761,基础资料!$Q$4:$Q$17,0)),"")</f>
        <v/>
      </c>
    </row>
    <row r="2762" spans="1:24">
      <c r="A2762" s="58" t="str">
        <f>IF($B2762="","",COUNTA($B$5:$B2762))</f>
        <v/>
      </c>
      <c r="B2762" s="53"/>
      <c r="C2762" s="46"/>
      <c r="D2762" s="63" t="str">
        <f>IFERROR(INDEX(基础资料!$F$4:$F$23,MATCH($C2762,基础资料!$E$4:$E$23,0)),IF($C2762="","","未匹配账户"))</f>
        <v/>
      </c>
      <c r="E2762" s="39"/>
      <c r="F2762" s="10"/>
      <c r="G2762" s="10"/>
      <c r="H2762" s="10"/>
      <c r="I2762" s="10"/>
      <c r="J2762" s="10"/>
      <c r="K2762" s="25"/>
      <c r="L2762" s="25"/>
      <c r="M2762" s="25" t="str">
        <f>IFERROR(VLOOKUP($C2762,$C$5:$M$24,11,0)+SUMIF($C$25:$C2762,$C2762,$K$25:$K2762)-SUMIF($C$25:$C2762,$C2762,$L$25:$L2762),"")</f>
        <v/>
      </c>
      <c r="N2762" s="10"/>
      <c r="O2762" s="10"/>
      <c r="P2762" s="65"/>
      <c r="Q2762" s="10"/>
      <c r="R2762" s="10"/>
      <c r="S2762" s="54" t="str">
        <f t="shared" si="135"/>
        <v/>
      </c>
      <c r="T2762" s="54" t="str">
        <f t="shared" si="136"/>
        <v/>
      </c>
      <c r="U2762" s="58" t="str">
        <f t="shared" si="137"/>
        <v/>
      </c>
      <c r="V2762" s="58">
        <f>IF(AND($B2762&lt;&gt;"",$F2762&lt;&gt;"",$F2762=项目明细账!$C$2),N(V2761)+1,N(V2761))</f>
        <v>0</v>
      </c>
      <c r="W2762" s="63" t="str">
        <f>IF($H2762&lt;&gt;"","项目成本",IFERROR(INDEX(基础资料!$W$4:$W$49,MATCH($I2762,基础资料!$V$4:$V$49,0)),""))</f>
        <v/>
      </c>
      <c r="X2762" s="63" t="str">
        <f>IFERROR(INDEX(基础资料!$R$4:$R$17,MATCH($G2762,基础资料!$Q$4:$Q$17,0)),"")</f>
        <v/>
      </c>
    </row>
    <row r="2763" spans="1:24">
      <c r="A2763" s="58" t="str">
        <f>IF($B2763="","",COUNTA($B$5:$B2763))</f>
        <v/>
      </c>
      <c r="B2763" s="53"/>
      <c r="C2763" s="46"/>
      <c r="D2763" s="63" t="str">
        <f>IFERROR(INDEX(基础资料!$F$4:$F$23,MATCH($C2763,基础资料!$E$4:$E$23,0)),IF($C2763="","","未匹配账户"))</f>
        <v/>
      </c>
      <c r="E2763" s="39"/>
      <c r="F2763" s="10"/>
      <c r="G2763" s="10"/>
      <c r="H2763" s="10"/>
      <c r="I2763" s="10"/>
      <c r="J2763" s="10"/>
      <c r="K2763" s="25"/>
      <c r="L2763" s="25"/>
      <c r="M2763" s="25" t="str">
        <f>IFERROR(VLOOKUP($C2763,$C$5:$M$24,11,0)+SUMIF($C$25:$C2763,$C2763,$K$25:$K2763)-SUMIF($C$25:$C2763,$C2763,$L$25:$L2763),"")</f>
        <v/>
      </c>
      <c r="N2763" s="10"/>
      <c r="O2763" s="10"/>
      <c r="P2763" s="65"/>
      <c r="Q2763" s="10"/>
      <c r="R2763" s="10"/>
      <c r="S2763" s="54" t="str">
        <f t="shared" si="135"/>
        <v/>
      </c>
      <c r="T2763" s="54" t="str">
        <f t="shared" si="136"/>
        <v/>
      </c>
      <c r="U2763" s="58" t="str">
        <f t="shared" si="137"/>
        <v/>
      </c>
      <c r="V2763" s="58">
        <f>IF(AND($B2763&lt;&gt;"",$F2763&lt;&gt;"",$F2763=项目明细账!$C$2),N(V2762)+1,N(V2762))</f>
        <v>0</v>
      </c>
      <c r="W2763" s="63" t="str">
        <f>IF($H2763&lt;&gt;"","项目成本",IFERROR(INDEX(基础资料!$W$4:$W$49,MATCH($I2763,基础资料!$V$4:$V$49,0)),""))</f>
        <v/>
      </c>
      <c r="X2763" s="63" t="str">
        <f>IFERROR(INDEX(基础资料!$R$4:$R$17,MATCH($G2763,基础资料!$Q$4:$Q$17,0)),"")</f>
        <v/>
      </c>
    </row>
    <row r="2764" spans="1:24">
      <c r="A2764" s="58" t="str">
        <f>IF($B2764="","",COUNTA($B$5:$B2764))</f>
        <v/>
      </c>
      <c r="B2764" s="53"/>
      <c r="C2764" s="46"/>
      <c r="D2764" s="63" t="str">
        <f>IFERROR(INDEX(基础资料!$F$4:$F$23,MATCH($C2764,基础资料!$E$4:$E$23,0)),IF($C2764="","","未匹配账户"))</f>
        <v/>
      </c>
      <c r="E2764" s="39"/>
      <c r="F2764" s="10"/>
      <c r="G2764" s="10"/>
      <c r="H2764" s="10"/>
      <c r="I2764" s="10"/>
      <c r="J2764" s="10"/>
      <c r="K2764" s="25"/>
      <c r="L2764" s="25"/>
      <c r="M2764" s="25" t="str">
        <f>IFERROR(VLOOKUP($C2764,$C$5:$M$24,11,0)+SUMIF($C$25:$C2764,$C2764,$K$25:$K2764)-SUMIF($C$25:$C2764,$C2764,$L$25:$L2764),"")</f>
        <v/>
      </c>
      <c r="N2764" s="10"/>
      <c r="O2764" s="10"/>
      <c r="P2764" s="65"/>
      <c r="Q2764" s="10"/>
      <c r="R2764" s="10"/>
      <c r="S2764" s="54" t="str">
        <f t="shared" si="135"/>
        <v/>
      </c>
      <c r="T2764" s="54" t="str">
        <f t="shared" si="136"/>
        <v/>
      </c>
      <c r="U2764" s="58" t="str">
        <f t="shared" si="137"/>
        <v/>
      </c>
      <c r="V2764" s="58">
        <f>IF(AND($B2764&lt;&gt;"",$F2764&lt;&gt;"",$F2764=项目明细账!$C$2),N(V2763)+1,N(V2763))</f>
        <v>0</v>
      </c>
      <c r="W2764" s="63" t="str">
        <f>IF($H2764&lt;&gt;"","项目成本",IFERROR(INDEX(基础资料!$W$4:$W$49,MATCH($I2764,基础资料!$V$4:$V$49,0)),""))</f>
        <v/>
      </c>
      <c r="X2764" s="63" t="str">
        <f>IFERROR(INDEX(基础资料!$R$4:$R$17,MATCH($G2764,基础资料!$Q$4:$Q$17,0)),"")</f>
        <v/>
      </c>
    </row>
    <row r="2765" spans="1:24">
      <c r="A2765" s="58" t="str">
        <f>IF($B2765="","",COUNTA($B$5:$B2765))</f>
        <v/>
      </c>
      <c r="B2765" s="53"/>
      <c r="C2765" s="46"/>
      <c r="D2765" s="63" t="str">
        <f>IFERROR(INDEX(基础资料!$F$4:$F$23,MATCH($C2765,基础资料!$E$4:$E$23,0)),IF($C2765="","","未匹配账户"))</f>
        <v/>
      </c>
      <c r="E2765" s="39"/>
      <c r="F2765" s="10"/>
      <c r="G2765" s="10"/>
      <c r="H2765" s="10"/>
      <c r="I2765" s="10"/>
      <c r="J2765" s="10"/>
      <c r="K2765" s="25"/>
      <c r="L2765" s="25"/>
      <c r="M2765" s="25" t="str">
        <f>IFERROR(VLOOKUP($C2765,$C$5:$M$24,11,0)+SUMIF($C$25:$C2765,$C2765,$K$25:$K2765)-SUMIF($C$25:$C2765,$C2765,$L$25:$L2765),"")</f>
        <v/>
      </c>
      <c r="N2765" s="10"/>
      <c r="O2765" s="10"/>
      <c r="P2765" s="65"/>
      <c r="Q2765" s="10"/>
      <c r="R2765" s="10"/>
      <c r="S2765" s="54" t="str">
        <f t="shared" si="135"/>
        <v/>
      </c>
      <c r="T2765" s="54" t="str">
        <f t="shared" si="136"/>
        <v/>
      </c>
      <c r="U2765" s="58" t="str">
        <f t="shared" si="137"/>
        <v/>
      </c>
      <c r="V2765" s="58">
        <f>IF(AND($B2765&lt;&gt;"",$F2765&lt;&gt;"",$F2765=项目明细账!$C$2),N(V2764)+1,N(V2764))</f>
        <v>0</v>
      </c>
      <c r="W2765" s="63" t="str">
        <f>IF($H2765&lt;&gt;"","项目成本",IFERROR(INDEX(基础资料!$W$4:$W$49,MATCH($I2765,基础资料!$V$4:$V$49,0)),""))</f>
        <v/>
      </c>
      <c r="X2765" s="63" t="str">
        <f>IFERROR(INDEX(基础资料!$R$4:$R$17,MATCH($G2765,基础资料!$Q$4:$Q$17,0)),"")</f>
        <v/>
      </c>
    </row>
    <row r="2766" spans="1:24">
      <c r="A2766" s="58" t="str">
        <f>IF($B2766="","",COUNTA($B$5:$B2766))</f>
        <v/>
      </c>
      <c r="B2766" s="53"/>
      <c r="C2766" s="46"/>
      <c r="D2766" s="63" t="str">
        <f>IFERROR(INDEX(基础资料!$F$4:$F$23,MATCH($C2766,基础资料!$E$4:$E$23,0)),IF($C2766="","","未匹配账户"))</f>
        <v/>
      </c>
      <c r="E2766" s="39"/>
      <c r="F2766" s="10"/>
      <c r="G2766" s="10"/>
      <c r="H2766" s="10"/>
      <c r="I2766" s="10"/>
      <c r="J2766" s="10"/>
      <c r="K2766" s="25"/>
      <c r="L2766" s="25"/>
      <c r="M2766" s="25" t="str">
        <f>IFERROR(VLOOKUP($C2766,$C$5:$M$24,11,0)+SUMIF($C$25:$C2766,$C2766,$K$25:$K2766)-SUMIF($C$25:$C2766,$C2766,$L$25:$L2766),"")</f>
        <v/>
      </c>
      <c r="N2766" s="10"/>
      <c r="O2766" s="10"/>
      <c r="P2766" s="65"/>
      <c r="Q2766" s="10"/>
      <c r="R2766" s="10"/>
      <c r="S2766" s="54" t="str">
        <f t="shared" si="135"/>
        <v/>
      </c>
      <c r="T2766" s="54" t="str">
        <f t="shared" si="136"/>
        <v/>
      </c>
      <c r="U2766" s="58" t="str">
        <f t="shared" si="137"/>
        <v/>
      </c>
      <c r="V2766" s="58">
        <f>IF(AND($B2766&lt;&gt;"",$F2766&lt;&gt;"",$F2766=项目明细账!$C$2),N(V2765)+1,N(V2765))</f>
        <v>0</v>
      </c>
      <c r="W2766" s="63" t="str">
        <f>IF($H2766&lt;&gt;"","项目成本",IFERROR(INDEX(基础资料!$W$4:$W$49,MATCH($I2766,基础资料!$V$4:$V$49,0)),""))</f>
        <v/>
      </c>
      <c r="X2766" s="63" t="str">
        <f>IFERROR(INDEX(基础资料!$R$4:$R$17,MATCH($G2766,基础资料!$Q$4:$Q$17,0)),"")</f>
        <v/>
      </c>
    </row>
    <row r="2767" spans="1:24">
      <c r="A2767" s="58" t="str">
        <f>IF($B2767="","",COUNTA($B$5:$B2767))</f>
        <v/>
      </c>
      <c r="B2767" s="53"/>
      <c r="C2767" s="46"/>
      <c r="D2767" s="63" t="str">
        <f>IFERROR(INDEX(基础资料!$F$4:$F$23,MATCH($C2767,基础资料!$E$4:$E$23,0)),IF($C2767="","","未匹配账户"))</f>
        <v/>
      </c>
      <c r="E2767" s="39"/>
      <c r="F2767" s="10"/>
      <c r="G2767" s="10"/>
      <c r="H2767" s="10"/>
      <c r="I2767" s="10"/>
      <c r="J2767" s="10"/>
      <c r="K2767" s="25"/>
      <c r="L2767" s="25"/>
      <c r="M2767" s="25" t="str">
        <f>IFERROR(VLOOKUP($C2767,$C$5:$M$24,11,0)+SUMIF($C$25:$C2767,$C2767,$K$25:$K2767)-SUMIF($C$25:$C2767,$C2767,$L$25:$L2767),"")</f>
        <v/>
      </c>
      <c r="N2767" s="10"/>
      <c r="O2767" s="10"/>
      <c r="P2767" s="65"/>
      <c r="Q2767" s="10"/>
      <c r="R2767" s="10"/>
      <c r="S2767" s="54" t="str">
        <f t="shared" si="135"/>
        <v/>
      </c>
      <c r="T2767" s="54" t="str">
        <f t="shared" si="136"/>
        <v/>
      </c>
      <c r="U2767" s="58" t="str">
        <f t="shared" si="137"/>
        <v/>
      </c>
      <c r="V2767" s="58">
        <f>IF(AND($B2767&lt;&gt;"",$F2767&lt;&gt;"",$F2767=项目明细账!$C$2),N(V2766)+1,N(V2766))</f>
        <v>0</v>
      </c>
      <c r="W2767" s="63" t="str">
        <f>IF($H2767&lt;&gt;"","项目成本",IFERROR(INDEX(基础资料!$W$4:$W$49,MATCH($I2767,基础资料!$V$4:$V$49,0)),""))</f>
        <v/>
      </c>
      <c r="X2767" s="63" t="str">
        <f>IFERROR(INDEX(基础资料!$R$4:$R$17,MATCH($G2767,基础资料!$Q$4:$Q$17,0)),"")</f>
        <v/>
      </c>
    </row>
    <row r="2768" spans="1:24">
      <c r="A2768" s="58" t="str">
        <f>IF($B2768="","",COUNTA($B$5:$B2768))</f>
        <v/>
      </c>
      <c r="B2768" s="53"/>
      <c r="C2768" s="46"/>
      <c r="D2768" s="63" t="str">
        <f>IFERROR(INDEX(基础资料!$F$4:$F$23,MATCH($C2768,基础资料!$E$4:$E$23,0)),IF($C2768="","","未匹配账户"))</f>
        <v/>
      </c>
      <c r="E2768" s="39"/>
      <c r="F2768" s="10"/>
      <c r="G2768" s="10"/>
      <c r="H2768" s="10"/>
      <c r="I2768" s="10"/>
      <c r="J2768" s="10"/>
      <c r="K2768" s="25"/>
      <c r="L2768" s="25"/>
      <c r="M2768" s="25" t="str">
        <f>IFERROR(VLOOKUP($C2768,$C$5:$M$24,11,0)+SUMIF($C$25:$C2768,$C2768,$K$25:$K2768)-SUMIF($C$25:$C2768,$C2768,$L$25:$L2768),"")</f>
        <v/>
      </c>
      <c r="N2768" s="10"/>
      <c r="O2768" s="10"/>
      <c r="P2768" s="65"/>
      <c r="Q2768" s="10"/>
      <c r="R2768" s="10"/>
      <c r="S2768" s="54" t="str">
        <f t="shared" si="135"/>
        <v/>
      </c>
      <c r="T2768" s="54" t="str">
        <f t="shared" si="136"/>
        <v/>
      </c>
      <c r="U2768" s="58" t="str">
        <f t="shared" si="137"/>
        <v/>
      </c>
      <c r="V2768" s="58">
        <f>IF(AND($B2768&lt;&gt;"",$F2768&lt;&gt;"",$F2768=项目明细账!$C$2),N(V2767)+1,N(V2767))</f>
        <v>0</v>
      </c>
      <c r="W2768" s="63" t="str">
        <f>IF($H2768&lt;&gt;"","项目成本",IFERROR(INDEX(基础资料!$W$4:$W$49,MATCH($I2768,基础资料!$V$4:$V$49,0)),""))</f>
        <v/>
      </c>
      <c r="X2768" s="63" t="str">
        <f>IFERROR(INDEX(基础资料!$R$4:$R$17,MATCH($G2768,基础资料!$Q$4:$Q$17,0)),"")</f>
        <v/>
      </c>
    </row>
    <row r="2769" spans="1:24">
      <c r="A2769" s="58" t="str">
        <f>IF($B2769="","",COUNTA($B$5:$B2769))</f>
        <v/>
      </c>
      <c r="B2769" s="53"/>
      <c r="C2769" s="46"/>
      <c r="D2769" s="63" t="str">
        <f>IFERROR(INDEX(基础资料!$F$4:$F$23,MATCH($C2769,基础资料!$E$4:$E$23,0)),IF($C2769="","","未匹配账户"))</f>
        <v/>
      </c>
      <c r="E2769" s="39"/>
      <c r="F2769" s="10"/>
      <c r="G2769" s="10"/>
      <c r="H2769" s="10"/>
      <c r="I2769" s="10"/>
      <c r="J2769" s="10"/>
      <c r="K2769" s="25"/>
      <c r="L2769" s="25"/>
      <c r="M2769" s="25" t="str">
        <f>IFERROR(VLOOKUP($C2769,$C$5:$M$24,11,0)+SUMIF($C$25:$C2769,$C2769,$K$25:$K2769)-SUMIF($C$25:$C2769,$C2769,$L$25:$L2769),"")</f>
        <v/>
      </c>
      <c r="N2769" s="10"/>
      <c r="O2769" s="10"/>
      <c r="P2769" s="65"/>
      <c r="Q2769" s="10"/>
      <c r="R2769" s="10"/>
      <c r="S2769" s="54" t="str">
        <f t="shared" si="135"/>
        <v/>
      </c>
      <c r="T2769" s="54" t="str">
        <f t="shared" si="136"/>
        <v/>
      </c>
      <c r="U2769" s="58" t="str">
        <f t="shared" si="137"/>
        <v/>
      </c>
      <c r="V2769" s="58">
        <f>IF(AND($B2769&lt;&gt;"",$F2769&lt;&gt;"",$F2769=项目明细账!$C$2),N(V2768)+1,N(V2768))</f>
        <v>0</v>
      </c>
      <c r="W2769" s="63" t="str">
        <f>IF($H2769&lt;&gt;"","项目成本",IFERROR(INDEX(基础资料!$W$4:$W$49,MATCH($I2769,基础资料!$V$4:$V$49,0)),""))</f>
        <v/>
      </c>
      <c r="X2769" s="63" t="str">
        <f>IFERROR(INDEX(基础资料!$R$4:$R$17,MATCH($G2769,基础资料!$Q$4:$Q$17,0)),"")</f>
        <v/>
      </c>
    </row>
    <row r="2770" spans="1:24">
      <c r="A2770" s="58" t="str">
        <f>IF($B2770="","",COUNTA($B$5:$B2770))</f>
        <v/>
      </c>
      <c r="B2770" s="53"/>
      <c r="C2770" s="46"/>
      <c r="D2770" s="63" t="str">
        <f>IFERROR(INDEX(基础资料!$F$4:$F$23,MATCH($C2770,基础资料!$E$4:$E$23,0)),IF($C2770="","","未匹配账户"))</f>
        <v/>
      </c>
      <c r="E2770" s="39"/>
      <c r="F2770" s="10"/>
      <c r="G2770" s="10"/>
      <c r="H2770" s="10"/>
      <c r="I2770" s="10"/>
      <c r="J2770" s="10"/>
      <c r="K2770" s="25"/>
      <c r="L2770" s="25"/>
      <c r="M2770" s="25" t="str">
        <f>IFERROR(VLOOKUP($C2770,$C$5:$M$24,11,0)+SUMIF($C$25:$C2770,$C2770,$K$25:$K2770)-SUMIF($C$25:$C2770,$C2770,$L$25:$L2770),"")</f>
        <v/>
      </c>
      <c r="N2770" s="10"/>
      <c r="O2770" s="10"/>
      <c r="P2770" s="65"/>
      <c r="Q2770" s="10"/>
      <c r="R2770" s="10"/>
      <c r="S2770" s="54" t="str">
        <f t="shared" si="135"/>
        <v/>
      </c>
      <c r="T2770" s="54" t="str">
        <f t="shared" si="136"/>
        <v/>
      </c>
      <c r="U2770" s="58" t="str">
        <f t="shared" si="137"/>
        <v/>
      </c>
      <c r="V2770" s="58">
        <f>IF(AND($B2770&lt;&gt;"",$F2770&lt;&gt;"",$F2770=项目明细账!$C$2),N(V2769)+1,N(V2769))</f>
        <v>0</v>
      </c>
      <c r="W2770" s="63" t="str">
        <f>IF($H2770&lt;&gt;"","项目成本",IFERROR(INDEX(基础资料!$W$4:$W$49,MATCH($I2770,基础资料!$V$4:$V$49,0)),""))</f>
        <v/>
      </c>
      <c r="X2770" s="63" t="str">
        <f>IFERROR(INDEX(基础资料!$R$4:$R$17,MATCH($G2770,基础资料!$Q$4:$Q$17,0)),"")</f>
        <v/>
      </c>
    </row>
    <row r="2771" spans="1:24">
      <c r="A2771" s="58" t="str">
        <f>IF($B2771="","",COUNTA($B$5:$B2771))</f>
        <v/>
      </c>
      <c r="B2771" s="53"/>
      <c r="C2771" s="46"/>
      <c r="D2771" s="63" t="str">
        <f>IFERROR(INDEX(基础资料!$F$4:$F$23,MATCH($C2771,基础资料!$E$4:$E$23,0)),IF($C2771="","","未匹配账户"))</f>
        <v/>
      </c>
      <c r="E2771" s="39"/>
      <c r="F2771" s="10"/>
      <c r="G2771" s="10"/>
      <c r="H2771" s="10"/>
      <c r="I2771" s="10"/>
      <c r="J2771" s="10"/>
      <c r="K2771" s="25"/>
      <c r="L2771" s="25"/>
      <c r="M2771" s="25" t="str">
        <f>IFERROR(VLOOKUP($C2771,$C$5:$M$24,11,0)+SUMIF($C$25:$C2771,$C2771,$K$25:$K2771)-SUMIF($C$25:$C2771,$C2771,$L$25:$L2771),"")</f>
        <v/>
      </c>
      <c r="N2771" s="10"/>
      <c r="O2771" s="10"/>
      <c r="P2771" s="65"/>
      <c r="Q2771" s="10"/>
      <c r="R2771" s="10"/>
      <c r="S2771" s="54" t="str">
        <f t="shared" si="135"/>
        <v/>
      </c>
      <c r="T2771" s="54" t="str">
        <f t="shared" si="136"/>
        <v/>
      </c>
      <c r="U2771" s="58" t="str">
        <f t="shared" si="137"/>
        <v/>
      </c>
      <c r="V2771" s="58">
        <f>IF(AND($B2771&lt;&gt;"",$F2771&lt;&gt;"",$F2771=项目明细账!$C$2),N(V2770)+1,N(V2770))</f>
        <v>0</v>
      </c>
      <c r="W2771" s="63" t="str">
        <f>IF($H2771&lt;&gt;"","项目成本",IFERROR(INDEX(基础资料!$W$4:$W$49,MATCH($I2771,基础资料!$V$4:$V$49,0)),""))</f>
        <v/>
      </c>
      <c r="X2771" s="63" t="str">
        <f>IFERROR(INDEX(基础资料!$R$4:$R$17,MATCH($G2771,基础资料!$Q$4:$Q$17,0)),"")</f>
        <v/>
      </c>
    </row>
    <row r="2772" spans="1:24">
      <c r="A2772" s="58" t="str">
        <f>IF($B2772="","",COUNTA($B$5:$B2772))</f>
        <v/>
      </c>
      <c r="B2772" s="53"/>
      <c r="C2772" s="46"/>
      <c r="D2772" s="63" t="str">
        <f>IFERROR(INDEX(基础资料!$F$4:$F$23,MATCH($C2772,基础资料!$E$4:$E$23,0)),IF($C2772="","","未匹配账户"))</f>
        <v/>
      </c>
      <c r="E2772" s="39"/>
      <c r="F2772" s="10"/>
      <c r="G2772" s="10"/>
      <c r="H2772" s="10"/>
      <c r="I2772" s="10"/>
      <c r="J2772" s="10"/>
      <c r="K2772" s="25"/>
      <c r="L2772" s="25"/>
      <c r="M2772" s="25" t="str">
        <f>IFERROR(VLOOKUP($C2772,$C$5:$M$24,11,0)+SUMIF($C$25:$C2772,$C2772,$K$25:$K2772)-SUMIF($C$25:$C2772,$C2772,$L$25:$L2772),"")</f>
        <v/>
      </c>
      <c r="N2772" s="10"/>
      <c r="O2772" s="10"/>
      <c r="P2772" s="65"/>
      <c r="Q2772" s="10"/>
      <c r="R2772" s="10"/>
      <c r="S2772" s="54" t="str">
        <f t="shared" si="135"/>
        <v/>
      </c>
      <c r="T2772" s="54" t="str">
        <f t="shared" si="136"/>
        <v/>
      </c>
      <c r="U2772" s="58" t="str">
        <f t="shared" si="137"/>
        <v/>
      </c>
      <c r="V2772" s="58">
        <f>IF(AND($B2772&lt;&gt;"",$F2772&lt;&gt;"",$F2772=项目明细账!$C$2),N(V2771)+1,N(V2771))</f>
        <v>0</v>
      </c>
      <c r="W2772" s="63" t="str">
        <f>IF($H2772&lt;&gt;"","项目成本",IFERROR(INDEX(基础资料!$W$4:$W$49,MATCH($I2772,基础资料!$V$4:$V$49,0)),""))</f>
        <v/>
      </c>
      <c r="X2772" s="63" t="str">
        <f>IFERROR(INDEX(基础资料!$R$4:$R$17,MATCH($G2772,基础资料!$Q$4:$Q$17,0)),"")</f>
        <v/>
      </c>
    </row>
    <row r="2773" spans="1:24">
      <c r="A2773" s="58" t="str">
        <f>IF($B2773="","",COUNTA($B$5:$B2773))</f>
        <v/>
      </c>
      <c r="B2773" s="53"/>
      <c r="C2773" s="46"/>
      <c r="D2773" s="63" t="str">
        <f>IFERROR(INDEX(基础资料!$F$4:$F$23,MATCH($C2773,基础资料!$E$4:$E$23,0)),IF($C2773="","","未匹配账户"))</f>
        <v/>
      </c>
      <c r="E2773" s="39"/>
      <c r="F2773" s="10"/>
      <c r="G2773" s="10"/>
      <c r="H2773" s="10"/>
      <c r="I2773" s="10"/>
      <c r="J2773" s="10"/>
      <c r="K2773" s="25"/>
      <c r="L2773" s="25"/>
      <c r="M2773" s="25" t="str">
        <f>IFERROR(VLOOKUP($C2773,$C$5:$M$24,11,0)+SUMIF($C$25:$C2773,$C2773,$K$25:$K2773)-SUMIF($C$25:$C2773,$C2773,$L$25:$L2773),"")</f>
        <v/>
      </c>
      <c r="N2773" s="10"/>
      <c r="O2773" s="10"/>
      <c r="P2773" s="65"/>
      <c r="Q2773" s="10"/>
      <c r="R2773" s="10"/>
      <c r="S2773" s="54" t="str">
        <f t="shared" si="135"/>
        <v/>
      </c>
      <c r="T2773" s="54" t="str">
        <f t="shared" si="136"/>
        <v/>
      </c>
      <c r="U2773" s="58" t="str">
        <f t="shared" si="137"/>
        <v/>
      </c>
      <c r="V2773" s="58">
        <f>IF(AND($B2773&lt;&gt;"",$F2773&lt;&gt;"",$F2773=项目明细账!$C$2),N(V2772)+1,N(V2772))</f>
        <v>0</v>
      </c>
      <c r="W2773" s="63" t="str">
        <f>IF($H2773&lt;&gt;"","项目成本",IFERROR(INDEX(基础资料!$W$4:$W$49,MATCH($I2773,基础资料!$V$4:$V$49,0)),""))</f>
        <v/>
      </c>
      <c r="X2773" s="63" t="str">
        <f>IFERROR(INDEX(基础资料!$R$4:$R$17,MATCH($G2773,基础资料!$Q$4:$Q$17,0)),"")</f>
        <v/>
      </c>
    </row>
    <row r="2774" spans="1:24">
      <c r="A2774" s="58" t="str">
        <f>IF($B2774="","",COUNTA($B$5:$B2774))</f>
        <v/>
      </c>
      <c r="B2774" s="53"/>
      <c r="C2774" s="46"/>
      <c r="D2774" s="63" t="str">
        <f>IFERROR(INDEX(基础资料!$F$4:$F$23,MATCH($C2774,基础资料!$E$4:$E$23,0)),IF($C2774="","","未匹配账户"))</f>
        <v/>
      </c>
      <c r="E2774" s="39"/>
      <c r="F2774" s="10"/>
      <c r="G2774" s="10"/>
      <c r="H2774" s="10"/>
      <c r="I2774" s="10"/>
      <c r="J2774" s="10"/>
      <c r="K2774" s="25"/>
      <c r="L2774" s="25"/>
      <c r="M2774" s="25" t="str">
        <f>IFERROR(VLOOKUP($C2774,$C$5:$M$24,11,0)+SUMIF($C$25:$C2774,$C2774,$K$25:$K2774)-SUMIF($C$25:$C2774,$C2774,$L$25:$L2774),"")</f>
        <v/>
      </c>
      <c r="N2774" s="10"/>
      <c r="O2774" s="10"/>
      <c r="P2774" s="65"/>
      <c r="Q2774" s="10"/>
      <c r="R2774" s="10"/>
      <c r="S2774" s="54" t="str">
        <f t="shared" si="135"/>
        <v/>
      </c>
      <c r="T2774" s="54" t="str">
        <f t="shared" si="136"/>
        <v/>
      </c>
      <c r="U2774" s="58" t="str">
        <f t="shared" si="137"/>
        <v/>
      </c>
      <c r="V2774" s="58">
        <f>IF(AND($B2774&lt;&gt;"",$F2774&lt;&gt;"",$F2774=项目明细账!$C$2),N(V2773)+1,N(V2773))</f>
        <v>0</v>
      </c>
      <c r="W2774" s="63" t="str">
        <f>IF($H2774&lt;&gt;"","项目成本",IFERROR(INDEX(基础资料!$W$4:$W$49,MATCH($I2774,基础资料!$V$4:$V$49,0)),""))</f>
        <v/>
      </c>
      <c r="X2774" s="63" t="str">
        <f>IFERROR(INDEX(基础资料!$R$4:$R$17,MATCH($G2774,基础资料!$Q$4:$Q$17,0)),"")</f>
        <v/>
      </c>
    </row>
    <row r="2775" spans="1:24">
      <c r="A2775" s="58" t="str">
        <f>IF($B2775="","",COUNTA($B$5:$B2775))</f>
        <v/>
      </c>
      <c r="B2775" s="53"/>
      <c r="C2775" s="46"/>
      <c r="D2775" s="63" t="str">
        <f>IFERROR(INDEX(基础资料!$F$4:$F$23,MATCH($C2775,基础资料!$E$4:$E$23,0)),IF($C2775="","","未匹配账户"))</f>
        <v/>
      </c>
      <c r="E2775" s="39"/>
      <c r="F2775" s="10"/>
      <c r="G2775" s="10"/>
      <c r="H2775" s="10"/>
      <c r="I2775" s="10"/>
      <c r="J2775" s="10"/>
      <c r="K2775" s="25"/>
      <c r="L2775" s="25"/>
      <c r="M2775" s="25" t="str">
        <f>IFERROR(VLOOKUP($C2775,$C$5:$M$24,11,0)+SUMIF($C$25:$C2775,$C2775,$K$25:$K2775)-SUMIF($C$25:$C2775,$C2775,$L$25:$L2775),"")</f>
        <v/>
      </c>
      <c r="N2775" s="10"/>
      <c r="O2775" s="10"/>
      <c r="P2775" s="65"/>
      <c r="Q2775" s="10"/>
      <c r="R2775" s="10"/>
      <c r="S2775" s="54" t="str">
        <f t="shared" si="135"/>
        <v/>
      </c>
      <c r="T2775" s="54" t="str">
        <f t="shared" si="136"/>
        <v/>
      </c>
      <c r="U2775" s="58" t="str">
        <f t="shared" si="137"/>
        <v/>
      </c>
      <c r="V2775" s="58">
        <f>IF(AND($B2775&lt;&gt;"",$F2775&lt;&gt;"",$F2775=项目明细账!$C$2),N(V2774)+1,N(V2774))</f>
        <v>0</v>
      </c>
      <c r="W2775" s="63" t="str">
        <f>IF($H2775&lt;&gt;"","项目成本",IFERROR(INDEX(基础资料!$W$4:$W$49,MATCH($I2775,基础资料!$V$4:$V$49,0)),""))</f>
        <v/>
      </c>
      <c r="X2775" s="63" t="str">
        <f>IFERROR(INDEX(基础资料!$R$4:$R$17,MATCH($G2775,基础资料!$Q$4:$Q$17,0)),"")</f>
        <v/>
      </c>
    </row>
    <row r="2776" spans="1:24">
      <c r="A2776" s="58" t="str">
        <f>IF($B2776="","",COUNTA($B$5:$B2776))</f>
        <v/>
      </c>
      <c r="B2776" s="53"/>
      <c r="C2776" s="46"/>
      <c r="D2776" s="63" t="str">
        <f>IFERROR(INDEX(基础资料!$F$4:$F$23,MATCH($C2776,基础资料!$E$4:$E$23,0)),IF($C2776="","","未匹配账户"))</f>
        <v/>
      </c>
      <c r="E2776" s="39"/>
      <c r="F2776" s="10"/>
      <c r="G2776" s="10"/>
      <c r="H2776" s="10"/>
      <c r="I2776" s="10"/>
      <c r="J2776" s="10"/>
      <c r="K2776" s="25"/>
      <c r="L2776" s="25"/>
      <c r="M2776" s="25" t="str">
        <f>IFERROR(VLOOKUP($C2776,$C$5:$M$24,11,0)+SUMIF($C$25:$C2776,$C2776,$K$25:$K2776)-SUMIF($C$25:$C2776,$C2776,$L$25:$L2776),"")</f>
        <v/>
      </c>
      <c r="N2776" s="10"/>
      <c r="O2776" s="10"/>
      <c r="P2776" s="65"/>
      <c r="Q2776" s="10"/>
      <c r="R2776" s="10"/>
      <c r="S2776" s="54" t="str">
        <f t="shared" si="135"/>
        <v/>
      </c>
      <c r="T2776" s="54" t="str">
        <f t="shared" si="136"/>
        <v/>
      </c>
      <c r="U2776" s="58" t="str">
        <f t="shared" si="137"/>
        <v/>
      </c>
      <c r="V2776" s="58">
        <f>IF(AND($B2776&lt;&gt;"",$F2776&lt;&gt;"",$F2776=项目明细账!$C$2),N(V2775)+1,N(V2775))</f>
        <v>0</v>
      </c>
      <c r="W2776" s="63" t="str">
        <f>IF($H2776&lt;&gt;"","项目成本",IFERROR(INDEX(基础资料!$W$4:$W$49,MATCH($I2776,基础资料!$V$4:$V$49,0)),""))</f>
        <v/>
      </c>
      <c r="X2776" s="63" t="str">
        <f>IFERROR(INDEX(基础资料!$R$4:$R$17,MATCH($G2776,基础资料!$Q$4:$Q$17,0)),"")</f>
        <v/>
      </c>
    </row>
    <row r="2777" spans="1:24">
      <c r="A2777" s="58" t="str">
        <f>IF($B2777="","",COUNTA($B$5:$B2777))</f>
        <v/>
      </c>
      <c r="B2777" s="53"/>
      <c r="C2777" s="46"/>
      <c r="D2777" s="63" t="str">
        <f>IFERROR(INDEX(基础资料!$F$4:$F$23,MATCH($C2777,基础资料!$E$4:$E$23,0)),IF($C2777="","","未匹配账户"))</f>
        <v/>
      </c>
      <c r="E2777" s="39"/>
      <c r="F2777" s="10"/>
      <c r="G2777" s="10"/>
      <c r="H2777" s="10"/>
      <c r="I2777" s="10"/>
      <c r="J2777" s="10"/>
      <c r="K2777" s="25"/>
      <c r="L2777" s="25"/>
      <c r="M2777" s="25" t="str">
        <f>IFERROR(VLOOKUP($C2777,$C$5:$M$24,11,0)+SUMIF($C$25:$C2777,$C2777,$K$25:$K2777)-SUMIF($C$25:$C2777,$C2777,$L$25:$L2777),"")</f>
        <v/>
      </c>
      <c r="N2777" s="10"/>
      <c r="O2777" s="10"/>
      <c r="P2777" s="65"/>
      <c r="Q2777" s="10"/>
      <c r="R2777" s="10"/>
      <c r="S2777" s="54" t="str">
        <f t="shared" si="135"/>
        <v/>
      </c>
      <c r="T2777" s="54" t="str">
        <f t="shared" si="136"/>
        <v/>
      </c>
      <c r="U2777" s="58" t="str">
        <f t="shared" si="137"/>
        <v/>
      </c>
      <c r="V2777" s="58">
        <f>IF(AND($B2777&lt;&gt;"",$F2777&lt;&gt;"",$F2777=项目明细账!$C$2),N(V2776)+1,N(V2776))</f>
        <v>0</v>
      </c>
      <c r="W2777" s="63" t="str">
        <f>IF($H2777&lt;&gt;"","项目成本",IFERROR(INDEX(基础资料!$W$4:$W$49,MATCH($I2777,基础资料!$V$4:$V$49,0)),""))</f>
        <v/>
      </c>
      <c r="X2777" s="63" t="str">
        <f>IFERROR(INDEX(基础资料!$R$4:$R$17,MATCH($G2777,基础资料!$Q$4:$Q$17,0)),"")</f>
        <v/>
      </c>
    </row>
    <row r="2778" spans="1:24">
      <c r="A2778" s="58" t="str">
        <f>IF($B2778="","",COUNTA($B$5:$B2778))</f>
        <v/>
      </c>
      <c r="B2778" s="53"/>
      <c r="C2778" s="46"/>
      <c r="D2778" s="63" t="str">
        <f>IFERROR(INDEX(基础资料!$F$4:$F$23,MATCH($C2778,基础资料!$E$4:$E$23,0)),IF($C2778="","","未匹配账户"))</f>
        <v/>
      </c>
      <c r="E2778" s="39"/>
      <c r="F2778" s="10"/>
      <c r="G2778" s="10"/>
      <c r="H2778" s="10"/>
      <c r="I2778" s="10"/>
      <c r="J2778" s="10"/>
      <c r="K2778" s="25"/>
      <c r="L2778" s="25"/>
      <c r="M2778" s="25" t="str">
        <f>IFERROR(VLOOKUP($C2778,$C$5:$M$24,11,0)+SUMIF($C$25:$C2778,$C2778,$K$25:$K2778)-SUMIF($C$25:$C2778,$C2778,$L$25:$L2778),"")</f>
        <v/>
      </c>
      <c r="N2778" s="10"/>
      <c r="O2778" s="10"/>
      <c r="P2778" s="65"/>
      <c r="Q2778" s="10"/>
      <c r="R2778" s="10"/>
      <c r="S2778" s="54" t="str">
        <f t="shared" si="135"/>
        <v/>
      </c>
      <c r="T2778" s="54" t="str">
        <f t="shared" si="136"/>
        <v/>
      </c>
      <c r="U2778" s="58" t="str">
        <f t="shared" si="137"/>
        <v/>
      </c>
      <c r="V2778" s="58">
        <f>IF(AND($B2778&lt;&gt;"",$F2778&lt;&gt;"",$F2778=项目明细账!$C$2),N(V2777)+1,N(V2777))</f>
        <v>0</v>
      </c>
      <c r="W2778" s="63" t="str">
        <f>IF($H2778&lt;&gt;"","项目成本",IFERROR(INDEX(基础资料!$W$4:$W$49,MATCH($I2778,基础资料!$V$4:$V$49,0)),""))</f>
        <v/>
      </c>
      <c r="X2778" s="63" t="str">
        <f>IFERROR(INDEX(基础资料!$R$4:$R$17,MATCH($G2778,基础资料!$Q$4:$Q$17,0)),"")</f>
        <v/>
      </c>
    </row>
    <row r="2779" spans="1:24">
      <c r="A2779" s="58" t="str">
        <f>IF($B2779="","",COUNTA($B$5:$B2779))</f>
        <v/>
      </c>
      <c r="B2779" s="53"/>
      <c r="C2779" s="46"/>
      <c r="D2779" s="63" t="str">
        <f>IFERROR(INDEX(基础资料!$F$4:$F$23,MATCH($C2779,基础资料!$E$4:$E$23,0)),IF($C2779="","","未匹配账户"))</f>
        <v/>
      </c>
      <c r="E2779" s="39"/>
      <c r="F2779" s="10"/>
      <c r="G2779" s="10"/>
      <c r="H2779" s="10"/>
      <c r="I2779" s="10"/>
      <c r="J2779" s="10"/>
      <c r="K2779" s="25"/>
      <c r="L2779" s="25"/>
      <c r="M2779" s="25" t="str">
        <f>IFERROR(VLOOKUP($C2779,$C$5:$M$24,11,0)+SUMIF($C$25:$C2779,$C2779,$K$25:$K2779)-SUMIF($C$25:$C2779,$C2779,$L$25:$L2779),"")</f>
        <v/>
      </c>
      <c r="N2779" s="10"/>
      <c r="O2779" s="10"/>
      <c r="P2779" s="65"/>
      <c r="Q2779" s="10"/>
      <c r="R2779" s="10"/>
      <c r="S2779" s="54" t="str">
        <f t="shared" si="135"/>
        <v/>
      </c>
      <c r="T2779" s="54" t="str">
        <f t="shared" si="136"/>
        <v/>
      </c>
      <c r="U2779" s="58" t="str">
        <f t="shared" si="137"/>
        <v/>
      </c>
      <c r="V2779" s="58">
        <f>IF(AND($B2779&lt;&gt;"",$F2779&lt;&gt;"",$F2779=项目明细账!$C$2),N(V2778)+1,N(V2778))</f>
        <v>0</v>
      </c>
      <c r="W2779" s="63" t="str">
        <f>IF($H2779&lt;&gt;"","项目成本",IFERROR(INDEX(基础资料!$W$4:$W$49,MATCH($I2779,基础资料!$V$4:$V$49,0)),""))</f>
        <v/>
      </c>
      <c r="X2779" s="63" t="str">
        <f>IFERROR(INDEX(基础资料!$R$4:$R$17,MATCH($G2779,基础资料!$Q$4:$Q$17,0)),"")</f>
        <v/>
      </c>
    </row>
    <row r="2780" spans="1:24">
      <c r="A2780" s="58" t="str">
        <f>IF($B2780="","",COUNTA($B$5:$B2780))</f>
        <v/>
      </c>
      <c r="B2780" s="53"/>
      <c r="C2780" s="46"/>
      <c r="D2780" s="63" t="str">
        <f>IFERROR(INDEX(基础资料!$F$4:$F$23,MATCH($C2780,基础资料!$E$4:$E$23,0)),IF($C2780="","","未匹配账户"))</f>
        <v/>
      </c>
      <c r="E2780" s="39"/>
      <c r="F2780" s="10"/>
      <c r="G2780" s="10"/>
      <c r="H2780" s="10"/>
      <c r="I2780" s="10"/>
      <c r="J2780" s="10"/>
      <c r="K2780" s="25"/>
      <c r="L2780" s="25"/>
      <c r="M2780" s="25" t="str">
        <f>IFERROR(VLOOKUP($C2780,$C$5:$M$24,11,0)+SUMIF($C$25:$C2780,$C2780,$K$25:$K2780)-SUMIF($C$25:$C2780,$C2780,$L$25:$L2780),"")</f>
        <v/>
      </c>
      <c r="N2780" s="10"/>
      <c r="O2780" s="10"/>
      <c r="P2780" s="65"/>
      <c r="Q2780" s="10"/>
      <c r="R2780" s="10"/>
      <c r="S2780" s="54" t="str">
        <f t="shared" si="135"/>
        <v/>
      </c>
      <c r="T2780" s="54" t="str">
        <f t="shared" si="136"/>
        <v/>
      </c>
      <c r="U2780" s="58" t="str">
        <f t="shared" si="137"/>
        <v/>
      </c>
      <c r="V2780" s="58">
        <f>IF(AND($B2780&lt;&gt;"",$F2780&lt;&gt;"",$F2780=项目明细账!$C$2),N(V2779)+1,N(V2779))</f>
        <v>0</v>
      </c>
      <c r="W2780" s="63" t="str">
        <f>IF($H2780&lt;&gt;"","项目成本",IFERROR(INDEX(基础资料!$W$4:$W$49,MATCH($I2780,基础资料!$V$4:$V$49,0)),""))</f>
        <v/>
      </c>
      <c r="X2780" s="63" t="str">
        <f>IFERROR(INDEX(基础资料!$R$4:$R$17,MATCH($G2780,基础资料!$Q$4:$Q$17,0)),"")</f>
        <v/>
      </c>
    </row>
    <row r="2781" spans="1:24">
      <c r="A2781" s="58" t="str">
        <f>IF($B2781="","",COUNTA($B$5:$B2781))</f>
        <v/>
      </c>
      <c r="B2781" s="53"/>
      <c r="C2781" s="46"/>
      <c r="D2781" s="63" t="str">
        <f>IFERROR(INDEX(基础资料!$F$4:$F$23,MATCH($C2781,基础资料!$E$4:$E$23,0)),IF($C2781="","","未匹配账户"))</f>
        <v/>
      </c>
      <c r="E2781" s="39"/>
      <c r="F2781" s="10"/>
      <c r="G2781" s="10"/>
      <c r="H2781" s="10"/>
      <c r="I2781" s="10"/>
      <c r="J2781" s="10"/>
      <c r="K2781" s="25"/>
      <c r="L2781" s="25"/>
      <c r="M2781" s="25" t="str">
        <f>IFERROR(VLOOKUP($C2781,$C$5:$M$24,11,0)+SUMIF($C$25:$C2781,$C2781,$K$25:$K2781)-SUMIF($C$25:$C2781,$C2781,$L$25:$L2781),"")</f>
        <v/>
      </c>
      <c r="N2781" s="10"/>
      <c r="O2781" s="10"/>
      <c r="P2781" s="65"/>
      <c r="Q2781" s="10"/>
      <c r="R2781" s="10"/>
      <c r="S2781" s="54" t="str">
        <f t="shared" si="135"/>
        <v/>
      </c>
      <c r="T2781" s="54" t="str">
        <f t="shared" si="136"/>
        <v/>
      </c>
      <c r="U2781" s="58" t="str">
        <f t="shared" si="137"/>
        <v/>
      </c>
      <c r="V2781" s="58">
        <f>IF(AND($B2781&lt;&gt;"",$F2781&lt;&gt;"",$F2781=项目明细账!$C$2),N(V2780)+1,N(V2780))</f>
        <v>0</v>
      </c>
      <c r="W2781" s="63" t="str">
        <f>IF($H2781&lt;&gt;"","项目成本",IFERROR(INDEX(基础资料!$W$4:$W$49,MATCH($I2781,基础资料!$V$4:$V$49,0)),""))</f>
        <v/>
      </c>
      <c r="X2781" s="63" t="str">
        <f>IFERROR(INDEX(基础资料!$R$4:$R$17,MATCH($G2781,基础资料!$Q$4:$Q$17,0)),"")</f>
        <v/>
      </c>
    </row>
    <row r="2782" spans="1:24">
      <c r="A2782" s="58" t="str">
        <f>IF($B2782="","",COUNTA($B$5:$B2782))</f>
        <v/>
      </c>
      <c r="B2782" s="53"/>
      <c r="C2782" s="46"/>
      <c r="D2782" s="63" t="str">
        <f>IFERROR(INDEX(基础资料!$F$4:$F$23,MATCH($C2782,基础资料!$E$4:$E$23,0)),IF($C2782="","","未匹配账户"))</f>
        <v/>
      </c>
      <c r="E2782" s="39"/>
      <c r="F2782" s="10"/>
      <c r="G2782" s="10"/>
      <c r="H2782" s="10"/>
      <c r="I2782" s="10"/>
      <c r="J2782" s="10"/>
      <c r="K2782" s="25"/>
      <c r="L2782" s="25"/>
      <c r="M2782" s="25" t="str">
        <f>IFERROR(VLOOKUP($C2782,$C$5:$M$24,11,0)+SUMIF($C$25:$C2782,$C2782,$K$25:$K2782)-SUMIF($C$25:$C2782,$C2782,$L$25:$L2782),"")</f>
        <v/>
      </c>
      <c r="N2782" s="10"/>
      <c r="O2782" s="10"/>
      <c r="P2782" s="65"/>
      <c r="Q2782" s="10"/>
      <c r="R2782" s="10"/>
      <c r="S2782" s="54" t="str">
        <f t="shared" si="135"/>
        <v/>
      </c>
      <c r="T2782" s="54" t="str">
        <f t="shared" si="136"/>
        <v/>
      </c>
      <c r="U2782" s="58" t="str">
        <f t="shared" si="137"/>
        <v/>
      </c>
      <c r="V2782" s="58">
        <f>IF(AND($B2782&lt;&gt;"",$F2782&lt;&gt;"",$F2782=项目明细账!$C$2),N(V2781)+1,N(V2781))</f>
        <v>0</v>
      </c>
      <c r="W2782" s="63" t="str">
        <f>IF($H2782&lt;&gt;"","项目成本",IFERROR(INDEX(基础资料!$W$4:$W$49,MATCH($I2782,基础资料!$V$4:$V$49,0)),""))</f>
        <v/>
      </c>
      <c r="X2782" s="63" t="str">
        <f>IFERROR(INDEX(基础资料!$R$4:$R$17,MATCH($G2782,基础资料!$Q$4:$Q$17,0)),"")</f>
        <v/>
      </c>
    </row>
    <row r="2783" spans="1:24">
      <c r="A2783" s="58" t="str">
        <f>IF($B2783="","",COUNTA($B$5:$B2783))</f>
        <v/>
      </c>
      <c r="B2783" s="53"/>
      <c r="C2783" s="46"/>
      <c r="D2783" s="63" t="str">
        <f>IFERROR(INDEX(基础资料!$F$4:$F$23,MATCH($C2783,基础资料!$E$4:$E$23,0)),IF($C2783="","","未匹配账户"))</f>
        <v/>
      </c>
      <c r="E2783" s="39"/>
      <c r="F2783" s="10"/>
      <c r="G2783" s="10"/>
      <c r="H2783" s="10"/>
      <c r="I2783" s="10"/>
      <c r="J2783" s="10"/>
      <c r="K2783" s="25"/>
      <c r="L2783" s="25"/>
      <c r="M2783" s="25" t="str">
        <f>IFERROR(VLOOKUP($C2783,$C$5:$M$24,11,0)+SUMIF($C$25:$C2783,$C2783,$K$25:$K2783)-SUMIF($C$25:$C2783,$C2783,$L$25:$L2783),"")</f>
        <v/>
      </c>
      <c r="N2783" s="10"/>
      <c r="O2783" s="10"/>
      <c r="P2783" s="65"/>
      <c r="Q2783" s="10"/>
      <c r="R2783" s="10"/>
      <c r="S2783" s="54" t="str">
        <f t="shared" si="135"/>
        <v/>
      </c>
      <c r="T2783" s="54" t="str">
        <f t="shared" si="136"/>
        <v/>
      </c>
      <c r="U2783" s="58" t="str">
        <f t="shared" si="137"/>
        <v/>
      </c>
      <c r="V2783" s="58">
        <f>IF(AND($B2783&lt;&gt;"",$F2783&lt;&gt;"",$F2783=项目明细账!$C$2),N(V2782)+1,N(V2782))</f>
        <v>0</v>
      </c>
      <c r="W2783" s="63" t="str">
        <f>IF($H2783&lt;&gt;"","项目成本",IFERROR(INDEX(基础资料!$W$4:$W$49,MATCH($I2783,基础资料!$V$4:$V$49,0)),""))</f>
        <v/>
      </c>
      <c r="X2783" s="63" t="str">
        <f>IFERROR(INDEX(基础资料!$R$4:$R$17,MATCH($G2783,基础资料!$Q$4:$Q$17,0)),"")</f>
        <v/>
      </c>
    </row>
    <row r="2784" spans="1:24">
      <c r="A2784" s="58" t="str">
        <f>IF($B2784="","",COUNTA($B$5:$B2784))</f>
        <v/>
      </c>
      <c r="B2784" s="53"/>
      <c r="C2784" s="46"/>
      <c r="D2784" s="63" t="str">
        <f>IFERROR(INDEX(基础资料!$F$4:$F$23,MATCH($C2784,基础资料!$E$4:$E$23,0)),IF($C2784="","","未匹配账户"))</f>
        <v/>
      </c>
      <c r="E2784" s="39"/>
      <c r="F2784" s="10"/>
      <c r="G2784" s="10"/>
      <c r="H2784" s="10"/>
      <c r="I2784" s="10"/>
      <c r="J2784" s="10"/>
      <c r="K2784" s="25"/>
      <c r="L2784" s="25"/>
      <c r="M2784" s="25" t="str">
        <f>IFERROR(VLOOKUP($C2784,$C$5:$M$24,11,0)+SUMIF($C$25:$C2784,$C2784,$K$25:$K2784)-SUMIF($C$25:$C2784,$C2784,$L$25:$L2784),"")</f>
        <v/>
      </c>
      <c r="N2784" s="10"/>
      <c r="O2784" s="10"/>
      <c r="P2784" s="65"/>
      <c r="Q2784" s="10"/>
      <c r="R2784" s="10"/>
      <c r="S2784" s="54" t="str">
        <f t="shared" si="135"/>
        <v/>
      </c>
      <c r="T2784" s="54" t="str">
        <f t="shared" si="136"/>
        <v/>
      </c>
      <c r="U2784" s="58" t="str">
        <f t="shared" si="137"/>
        <v/>
      </c>
      <c r="V2784" s="58">
        <f>IF(AND($B2784&lt;&gt;"",$F2784&lt;&gt;"",$F2784=项目明细账!$C$2),N(V2783)+1,N(V2783))</f>
        <v>0</v>
      </c>
      <c r="W2784" s="63" t="str">
        <f>IF($H2784&lt;&gt;"","项目成本",IFERROR(INDEX(基础资料!$W$4:$W$49,MATCH($I2784,基础资料!$V$4:$V$49,0)),""))</f>
        <v/>
      </c>
      <c r="X2784" s="63" t="str">
        <f>IFERROR(INDEX(基础资料!$R$4:$R$17,MATCH($G2784,基础资料!$Q$4:$Q$17,0)),"")</f>
        <v/>
      </c>
    </row>
    <row r="2785" spans="1:24">
      <c r="A2785" s="58" t="str">
        <f>IF($B2785="","",COUNTA($B$5:$B2785))</f>
        <v/>
      </c>
      <c r="B2785" s="53"/>
      <c r="C2785" s="46"/>
      <c r="D2785" s="63" t="str">
        <f>IFERROR(INDEX(基础资料!$F$4:$F$23,MATCH($C2785,基础资料!$E$4:$E$23,0)),IF($C2785="","","未匹配账户"))</f>
        <v/>
      </c>
      <c r="E2785" s="39"/>
      <c r="F2785" s="10"/>
      <c r="G2785" s="10"/>
      <c r="H2785" s="10"/>
      <c r="I2785" s="10"/>
      <c r="J2785" s="10"/>
      <c r="K2785" s="25"/>
      <c r="L2785" s="25"/>
      <c r="M2785" s="25" t="str">
        <f>IFERROR(VLOOKUP($C2785,$C$5:$M$24,11,0)+SUMIF($C$25:$C2785,$C2785,$K$25:$K2785)-SUMIF($C$25:$C2785,$C2785,$L$25:$L2785),"")</f>
        <v/>
      </c>
      <c r="N2785" s="10"/>
      <c r="O2785" s="10"/>
      <c r="P2785" s="65"/>
      <c r="Q2785" s="10"/>
      <c r="R2785" s="10"/>
      <c r="S2785" s="54" t="str">
        <f t="shared" si="135"/>
        <v/>
      </c>
      <c r="T2785" s="54" t="str">
        <f t="shared" si="136"/>
        <v/>
      </c>
      <c r="U2785" s="58" t="str">
        <f t="shared" si="137"/>
        <v/>
      </c>
      <c r="V2785" s="58">
        <f>IF(AND($B2785&lt;&gt;"",$F2785&lt;&gt;"",$F2785=项目明细账!$C$2),N(V2784)+1,N(V2784))</f>
        <v>0</v>
      </c>
      <c r="W2785" s="63" t="str">
        <f>IF($H2785&lt;&gt;"","项目成本",IFERROR(INDEX(基础资料!$W$4:$W$49,MATCH($I2785,基础资料!$V$4:$V$49,0)),""))</f>
        <v/>
      </c>
      <c r="X2785" s="63" t="str">
        <f>IFERROR(INDEX(基础资料!$R$4:$R$17,MATCH($G2785,基础资料!$Q$4:$Q$17,0)),"")</f>
        <v/>
      </c>
    </row>
    <row r="2786" spans="1:24">
      <c r="A2786" s="58" t="str">
        <f>IF($B2786="","",COUNTA($B$5:$B2786))</f>
        <v/>
      </c>
      <c r="B2786" s="53"/>
      <c r="C2786" s="46"/>
      <c r="D2786" s="63" t="str">
        <f>IFERROR(INDEX(基础资料!$F$4:$F$23,MATCH($C2786,基础资料!$E$4:$E$23,0)),IF($C2786="","","未匹配账户"))</f>
        <v/>
      </c>
      <c r="E2786" s="39"/>
      <c r="F2786" s="10"/>
      <c r="G2786" s="10"/>
      <c r="H2786" s="10"/>
      <c r="I2786" s="10"/>
      <c r="J2786" s="10"/>
      <c r="K2786" s="25"/>
      <c r="L2786" s="25"/>
      <c r="M2786" s="25" t="str">
        <f>IFERROR(VLOOKUP($C2786,$C$5:$M$24,11,0)+SUMIF($C$25:$C2786,$C2786,$K$25:$K2786)-SUMIF($C$25:$C2786,$C2786,$L$25:$L2786),"")</f>
        <v/>
      </c>
      <c r="N2786" s="10"/>
      <c r="O2786" s="10"/>
      <c r="P2786" s="65"/>
      <c r="Q2786" s="10"/>
      <c r="R2786" s="10"/>
      <c r="S2786" s="54" t="str">
        <f t="shared" si="135"/>
        <v/>
      </c>
      <c r="T2786" s="54" t="str">
        <f t="shared" si="136"/>
        <v/>
      </c>
      <c r="U2786" s="58" t="str">
        <f t="shared" si="137"/>
        <v/>
      </c>
      <c r="V2786" s="58">
        <f>IF(AND($B2786&lt;&gt;"",$F2786&lt;&gt;"",$F2786=项目明细账!$C$2),N(V2785)+1,N(V2785))</f>
        <v>0</v>
      </c>
      <c r="W2786" s="63" t="str">
        <f>IF($H2786&lt;&gt;"","项目成本",IFERROR(INDEX(基础资料!$W$4:$W$49,MATCH($I2786,基础资料!$V$4:$V$49,0)),""))</f>
        <v/>
      </c>
      <c r="X2786" s="63" t="str">
        <f>IFERROR(INDEX(基础资料!$R$4:$R$17,MATCH($G2786,基础资料!$Q$4:$Q$17,0)),"")</f>
        <v/>
      </c>
    </row>
    <row r="2787" spans="1:24">
      <c r="A2787" s="58" t="str">
        <f>IF($B2787="","",COUNTA($B$5:$B2787))</f>
        <v/>
      </c>
      <c r="B2787" s="53"/>
      <c r="C2787" s="46"/>
      <c r="D2787" s="63" t="str">
        <f>IFERROR(INDEX(基础资料!$F$4:$F$23,MATCH($C2787,基础资料!$E$4:$E$23,0)),IF($C2787="","","未匹配账户"))</f>
        <v/>
      </c>
      <c r="E2787" s="39"/>
      <c r="F2787" s="10"/>
      <c r="G2787" s="10"/>
      <c r="H2787" s="10"/>
      <c r="I2787" s="10"/>
      <c r="J2787" s="10"/>
      <c r="K2787" s="25"/>
      <c r="L2787" s="25"/>
      <c r="M2787" s="25" t="str">
        <f>IFERROR(VLOOKUP($C2787,$C$5:$M$24,11,0)+SUMIF($C$25:$C2787,$C2787,$K$25:$K2787)-SUMIF($C$25:$C2787,$C2787,$L$25:$L2787),"")</f>
        <v/>
      </c>
      <c r="N2787" s="10"/>
      <c r="O2787" s="10"/>
      <c r="P2787" s="65"/>
      <c r="Q2787" s="10"/>
      <c r="R2787" s="10"/>
      <c r="S2787" s="54" t="str">
        <f t="shared" si="135"/>
        <v/>
      </c>
      <c r="T2787" s="54" t="str">
        <f t="shared" si="136"/>
        <v/>
      </c>
      <c r="U2787" s="58" t="str">
        <f t="shared" si="137"/>
        <v/>
      </c>
      <c r="V2787" s="58">
        <f>IF(AND($B2787&lt;&gt;"",$F2787&lt;&gt;"",$F2787=项目明细账!$C$2),N(V2786)+1,N(V2786))</f>
        <v>0</v>
      </c>
      <c r="W2787" s="63" t="str">
        <f>IF($H2787&lt;&gt;"","项目成本",IFERROR(INDEX(基础资料!$W$4:$W$49,MATCH($I2787,基础资料!$V$4:$V$49,0)),""))</f>
        <v/>
      </c>
      <c r="X2787" s="63" t="str">
        <f>IFERROR(INDEX(基础资料!$R$4:$R$17,MATCH($G2787,基础资料!$Q$4:$Q$17,0)),"")</f>
        <v/>
      </c>
    </row>
    <row r="2788" spans="1:24">
      <c r="A2788" s="58" t="str">
        <f>IF($B2788="","",COUNTA($B$5:$B2788))</f>
        <v/>
      </c>
      <c r="B2788" s="53"/>
      <c r="C2788" s="46"/>
      <c r="D2788" s="63" t="str">
        <f>IFERROR(INDEX(基础资料!$F$4:$F$23,MATCH($C2788,基础资料!$E$4:$E$23,0)),IF($C2788="","","未匹配账户"))</f>
        <v/>
      </c>
      <c r="E2788" s="39"/>
      <c r="F2788" s="10"/>
      <c r="G2788" s="10"/>
      <c r="H2788" s="10"/>
      <c r="I2788" s="10"/>
      <c r="J2788" s="10"/>
      <c r="K2788" s="25"/>
      <c r="L2788" s="25"/>
      <c r="M2788" s="25" t="str">
        <f>IFERROR(VLOOKUP($C2788,$C$5:$M$24,11,0)+SUMIF($C$25:$C2788,$C2788,$K$25:$K2788)-SUMIF($C$25:$C2788,$C2788,$L$25:$L2788),"")</f>
        <v/>
      </c>
      <c r="N2788" s="10"/>
      <c r="O2788" s="10"/>
      <c r="P2788" s="65"/>
      <c r="Q2788" s="10"/>
      <c r="R2788" s="10"/>
      <c r="S2788" s="54" t="str">
        <f t="shared" si="135"/>
        <v/>
      </c>
      <c r="T2788" s="54" t="str">
        <f t="shared" si="136"/>
        <v/>
      </c>
      <c r="U2788" s="58" t="str">
        <f t="shared" si="137"/>
        <v/>
      </c>
      <c r="V2788" s="58">
        <f>IF(AND($B2788&lt;&gt;"",$F2788&lt;&gt;"",$F2788=项目明细账!$C$2),N(V2787)+1,N(V2787))</f>
        <v>0</v>
      </c>
      <c r="W2788" s="63" t="str">
        <f>IF($H2788&lt;&gt;"","项目成本",IFERROR(INDEX(基础资料!$W$4:$W$49,MATCH($I2788,基础资料!$V$4:$V$49,0)),""))</f>
        <v/>
      </c>
      <c r="X2788" s="63" t="str">
        <f>IFERROR(INDEX(基础资料!$R$4:$R$17,MATCH($G2788,基础资料!$Q$4:$Q$17,0)),"")</f>
        <v/>
      </c>
    </row>
    <row r="2789" spans="1:24">
      <c r="A2789" s="58" t="str">
        <f>IF($B2789="","",COUNTA($B$5:$B2789))</f>
        <v/>
      </c>
      <c r="B2789" s="53"/>
      <c r="C2789" s="46"/>
      <c r="D2789" s="63" t="str">
        <f>IFERROR(INDEX(基础资料!$F$4:$F$23,MATCH($C2789,基础资料!$E$4:$E$23,0)),IF($C2789="","","未匹配账户"))</f>
        <v/>
      </c>
      <c r="E2789" s="39"/>
      <c r="F2789" s="10"/>
      <c r="G2789" s="10"/>
      <c r="H2789" s="10"/>
      <c r="I2789" s="10"/>
      <c r="J2789" s="10"/>
      <c r="K2789" s="25"/>
      <c r="L2789" s="25"/>
      <c r="M2789" s="25" t="str">
        <f>IFERROR(VLOOKUP($C2789,$C$5:$M$24,11,0)+SUMIF($C$25:$C2789,$C2789,$K$25:$K2789)-SUMIF($C$25:$C2789,$C2789,$L$25:$L2789),"")</f>
        <v/>
      </c>
      <c r="N2789" s="10"/>
      <c r="O2789" s="10"/>
      <c r="P2789" s="65"/>
      <c r="Q2789" s="10"/>
      <c r="R2789" s="10"/>
      <c r="S2789" s="54" t="str">
        <f t="shared" si="135"/>
        <v/>
      </c>
      <c r="T2789" s="54" t="str">
        <f t="shared" si="136"/>
        <v/>
      </c>
      <c r="U2789" s="58" t="str">
        <f t="shared" si="137"/>
        <v/>
      </c>
      <c r="V2789" s="58">
        <f>IF(AND($B2789&lt;&gt;"",$F2789&lt;&gt;"",$F2789=项目明细账!$C$2),N(V2788)+1,N(V2788))</f>
        <v>0</v>
      </c>
      <c r="W2789" s="63" t="str">
        <f>IF($H2789&lt;&gt;"","项目成本",IFERROR(INDEX(基础资料!$W$4:$W$49,MATCH($I2789,基础资料!$V$4:$V$49,0)),""))</f>
        <v/>
      </c>
      <c r="X2789" s="63" t="str">
        <f>IFERROR(INDEX(基础资料!$R$4:$R$17,MATCH($G2789,基础资料!$Q$4:$Q$17,0)),"")</f>
        <v/>
      </c>
    </row>
    <row r="2790" spans="1:24">
      <c r="A2790" s="58" t="str">
        <f>IF($B2790="","",COUNTA($B$5:$B2790))</f>
        <v/>
      </c>
      <c r="B2790" s="53"/>
      <c r="C2790" s="46"/>
      <c r="D2790" s="63" t="str">
        <f>IFERROR(INDEX(基础资料!$F$4:$F$23,MATCH($C2790,基础资料!$E$4:$E$23,0)),IF($C2790="","","未匹配账户"))</f>
        <v/>
      </c>
      <c r="E2790" s="39"/>
      <c r="F2790" s="10"/>
      <c r="G2790" s="10"/>
      <c r="H2790" s="10"/>
      <c r="I2790" s="10"/>
      <c r="J2790" s="10"/>
      <c r="K2790" s="25"/>
      <c r="L2790" s="25"/>
      <c r="M2790" s="25" t="str">
        <f>IFERROR(VLOOKUP($C2790,$C$5:$M$24,11,0)+SUMIF($C$25:$C2790,$C2790,$K$25:$K2790)-SUMIF($C$25:$C2790,$C2790,$L$25:$L2790),"")</f>
        <v/>
      </c>
      <c r="N2790" s="10"/>
      <c r="O2790" s="10"/>
      <c r="P2790" s="65"/>
      <c r="Q2790" s="10"/>
      <c r="R2790" s="10"/>
      <c r="S2790" s="54" t="str">
        <f t="shared" si="135"/>
        <v/>
      </c>
      <c r="T2790" s="54" t="str">
        <f t="shared" si="136"/>
        <v/>
      </c>
      <c r="U2790" s="58" t="str">
        <f t="shared" si="137"/>
        <v/>
      </c>
      <c r="V2790" s="58">
        <f>IF(AND($B2790&lt;&gt;"",$F2790&lt;&gt;"",$F2790=项目明细账!$C$2),N(V2789)+1,N(V2789))</f>
        <v>0</v>
      </c>
      <c r="W2790" s="63" t="str">
        <f>IF($H2790&lt;&gt;"","项目成本",IFERROR(INDEX(基础资料!$W$4:$W$49,MATCH($I2790,基础资料!$V$4:$V$49,0)),""))</f>
        <v/>
      </c>
      <c r="X2790" s="63" t="str">
        <f>IFERROR(INDEX(基础资料!$R$4:$R$17,MATCH($G2790,基础资料!$Q$4:$Q$17,0)),"")</f>
        <v/>
      </c>
    </row>
    <row r="2791" spans="1:24">
      <c r="A2791" s="58" t="str">
        <f>IF($B2791="","",COUNTA($B$5:$B2791))</f>
        <v/>
      </c>
      <c r="B2791" s="53"/>
      <c r="C2791" s="46"/>
      <c r="D2791" s="63" t="str">
        <f>IFERROR(INDEX(基础资料!$F$4:$F$23,MATCH($C2791,基础资料!$E$4:$E$23,0)),IF($C2791="","","未匹配账户"))</f>
        <v/>
      </c>
      <c r="E2791" s="39"/>
      <c r="F2791" s="10"/>
      <c r="G2791" s="10"/>
      <c r="H2791" s="10"/>
      <c r="I2791" s="10"/>
      <c r="J2791" s="10"/>
      <c r="K2791" s="25"/>
      <c r="L2791" s="25"/>
      <c r="M2791" s="25" t="str">
        <f>IFERROR(VLOOKUP($C2791,$C$5:$M$24,11,0)+SUMIF($C$25:$C2791,$C2791,$K$25:$K2791)-SUMIF($C$25:$C2791,$C2791,$L$25:$L2791),"")</f>
        <v/>
      </c>
      <c r="N2791" s="10"/>
      <c r="O2791" s="10"/>
      <c r="P2791" s="65"/>
      <c r="Q2791" s="10"/>
      <c r="R2791" s="10"/>
      <c r="S2791" s="54" t="str">
        <f t="shared" si="135"/>
        <v/>
      </c>
      <c r="T2791" s="54" t="str">
        <f t="shared" si="136"/>
        <v/>
      </c>
      <c r="U2791" s="58" t="str">
        <f t="shared" si="137"/>
        <v/>
      </c>
      <c r="V2791" s="58">
        <f>IF(AND($B2791&lt;&gt;"",$F2791&lt;&gt;"",$F2791=项目明细账!$C$2),N(V2790)+1,N(V2790))</f>
        <v>0</v>
      </c>
      <c r="W2791" s="63" t="str">
        <f>IF($H2791&lt;&gt;"","项目成本",IFERROR(INDEX(基础资料!$W$4:$W$49,MATCH($I2791,基础资料!$V$4:$V$49,0)),""))</f>
        <v/>
      </c>
      <c r="X2791" s="63" t="str">
        <f>IFERROR(INDEX(基础资料!$R$4:$R$17,MATCH($G2791,基础资料!$Q$4:$Q$17,0)),"")</f>
        <v/>
      </c>
    </row>
    <row r="2792" spans="1:24">
      <c r="A2792" s="58" t="str">
        <f>IF($B2792="","",COUNTA($B$5:$B2792))</f>
        <v/>
      </c>
      <c r="B2792" s="53"/>
      <c r="C2792" s="46"/>
      <c r="D2792" s="63" t="str">
        <f>IFERROR(INDEX(基础资料!$F$4:$F$23,MATCH($C2792,基础资料!$E$4:$E$23,0)),IF($C2792="","","未匹配账户"))</f>
        <v/>
      </c>
      <c r="E2792" s="39"/>
      <c r="F2792" s="10"/>
      <c r="G2792" s="10"/>
      <c r="H2792" s="10"/>
      <c r="I2792" s="10"/>
      <c r="J2792" s="10"/>
      <c r="K2792" s="25"/>
      <c r="L2792" s="25"/>
      <c r="M2792" s="25" t="str">
        <f>IFERROR(VLOOKUP($C2792,$C$5:$M$24,11,0)+SUMIF($C$25:$C2792,$C2792,$K$25:$K2792)-SUMIF($C$25:$C2792,$C2792,$L$25:$L2792),"")</f>
        <v/>
      </c>
      <c r="N2792" s="10"/>
      <c r="O2792" s="10"/>
      <c r="P2792" s="65"/>
      <c r="Q2792" s="10"/>
      <c r="R2792" s="10"/>
      <c r="S2792" s="54" t="str">
        <f t="shared" si="135"/>
        <v/>
      </c>
      <c r="T2792" s="54" t="str">
        <f t="shared" si="136"/>
        <v/>
      </c>
      <c r="U2792" s="58" t="str">
        <f t="shared" si="137"/>
        <v/>
      </c>
      <c r="V2792" s="58">
        <f>IF(AND($B2792&lt;&gt;"",$F2792&lt;&gt;"",$F2792=项目明细账!$C$2),N(V2791)+1,N(V2791))</f>
        <v>0</v>
      </c>
      <c r="W2792" s="63" t="str">
        <f>IF($H2792&lt;&gt;"","项目成本",IFERROR(INDEX(基础资料!$W$4:$W$49,MATCH($I2792,基础资料!$V$4:$V$49,0)),""))</f>
        <v/>
      </c>
      <c r="X2792" s="63" t="str">
        <f>IFERROR(INDEX(基础资料!$R$4:$R$17,MATCH($G2792,基础资料!$Q$4:$Q$17,0)),"")</f>
        <v/>
      </c>
    </row>
    <row r="2793" spans="1:24">
      <c r="A2793" s="58" t="str">
        <f>IF($B2793="","",COUNTA($B$5:$B2793))</f>
        <v/>
      </c>
      <c r="B2793" s="53"/>
      <c r="C2793" s="46"/>
      <c r="D2793" s="63" t="str">
        <f>IFERROR(INDEX(基础资料!$F$4:$F$23,MATCH($C2793,基础资料!$E$4:$E$23,0)),IF($C2793="","","未匹配账户"))</f>
        <v/>
      </c>
      <c r="E2793" s="39"/>
      <c r="F2793" s="10"/>
      <c r="G2793" s="10"/>
      <c r="H2793" s="10"/>
      <c r="I2793" s="10"/>
      <c r="J2793" s="10"/>
      <c r="K2793" s="25"/>
      <c r="L2793" s="25"/>
      <c r="M2793" s="25" t="str">
        <f>IFERROR(VLOOKUP($C2793,$C$5:$M$24,11,0)+SUMIF($C$25:$C2793,$C2793,$K$25:$K2793)-SUMIF($C$25:$C2793,$C2793,$L$25:$L2793),"")</f>
        <v/>
      </c>
      <c r="N2793" s="10"/>
      <c r="O2793" s="10"/>
      <c r="P2793" s="65"/>
      <c r="Q2793" s="10"/>
      <c r="R2793" s="10"/>
      <c r="S2793" s="54" t="str">
        <f t="shared" si="135"/>
        <v/>
      </c>
      <c r="T2793" s="54" t="str">
        <f t="shared" si="136"/>
        <v/>
      </c>
      <c r="U2793" s="58" t="str">
        <f t="shared" si="137"/>
        <v/>
      </c>
      <c r="V2793" s="58">
        <f>IF(AND($B2793&lt;&gt;"",$F2793&lt;&gt;"",$F2793=项目明细账!$C$2),N(V2792)+1,N(V2792))</f>
        <v>0</v>
      </c>
      <c r="W2793" s="63" t="str">
        <f>IF($H2793&lt;&gt;"","项目成本",IFERROR(INDEX(基础资料!$W$4:$W$49,MATCH($I2793,基础资料!$V$4:$V$49,0)),""))</f>
        <v/>
      </c>
      <c r="X2793" s="63" t="str">
        <f>IFERROR(INDEX(基础资料!$R$4:$R$17,MATCH($G2793,基础资料!$Q$4:$Q$17,0)),"")</f>
        <v/>
      </c>
    </row>
    <row r="2794" spans="1:24">
      <c r="A2794" s="58" t="str">
        <f>IF($B2794="","",COUNTA($B$5:$B2794))</f>
        <v/>
      </c>
      <c r="B2794" s="53"/>
      <c r="C2794" s="46"/>
      <c r="D2794" s="63" t="str">
        <f>IFERROR(INDEX(基础资料!$F$4:$F$23,MATCH($C2794,基础资料!$E$4:$E$23,0)),IF($C2794="","","未匹配账户"))</f>
        <v/>
      </c>
      <c r="E2794" s="39"/>
      <c r="F2794" s="10"/>
      <c r="G2794" s="10"/>
      <c r="H2794" s="10"/>
      <c r="I2794" s="10"/>
      <c r="J2794" s="10"/>
      <c r="K2794" s="25"/>
      <c r="L2794" s="25"/>
      <c r="M2794" s="25" t="str">
        <f>IFERROR(VLOOKUP($C2794,$C$5:$M$24,11,0)+SUMIF($C$25:$C2794,$C2794,$K$25:$K2794)-SUMIF($C$25:$C2794,$C2794,$L$25:$L2794),"")</f>
        <v/>
      </c>
      <c r="N2794" s="10"/>
      <c r="O2794" s="10"/>
      <c r="P2794" s="65"/>
      <c r="Q2794" s="10"/>
      <c r="R2794" s="10"/>
      <c r="S2794" s="54" t="str">
        <f t="shared" si="135"/>
        <v/>
      </c>
      <c r="T2794" s="54" t="str">
        <f t="shared" si="136"/>
        <v/>
      </c>
      <c r="U2794" s="58" t="str">
        <f t="shared" si="137"/>
        <v/>
      </c>
      <c r="V2794" s="58">
        <f>IF(AND($B2794&lt;&gt;"",$F2794&lt;&gt;"",$F2794=项目明细账!$C$2),N(V2793)+1,N(V2793))</f>
        <v>0</v>
      </c>
      <c r="W2794" s="63" t="str">
        <f>IF($H2794&lt;&gt;"","项目成本",IFERROR(INDEX(基础资料!$W$4:$W$49,MATCH($I2794,基础资料!$V$4:$V$49,0)),""))</f>
        <v/>
      </c>
      <c r="X2794" s="63" t="str">
        <f>IFERROR(INDEX(基础资料!$R$4:$R$17,MATCH($G2794,基础资料!$Q$4:$Q$17,0)),"")</f>
        <v/>
      </c>
    </row>
    <row r="2795" spans="1:24">
      <c r="A2795" s="58" t="str">
        <f>IF($B2795="","",COUNTA($B$5:$B2795))</f>
        <v/>
      </c>
      <c r="B2795" s="53"/>
      <c r="C2795" s="46"/>
      <c r="D2795" s="63" t="str">
        <f>IFERROR(INDEX(基础资料!$F$4:$F$23,MATCH($C2795,基础资料!$E$4:$E$23,0)),IF($C2795="","","未匹配账户"))</f>
        <v/>
      </c>
      <c r="E2795" s="39"/>
      <c r="F2795" s="10"/>
      <c r="G2795" s="10"/>
      <c r="H2795" s="10"/>
      <c r="I2795" s="10"/>
      <c r="J2795" s="10"/>
      <c r="K2795" s="25"/>
      <c r="L2795" s="25"/>
      <c r="M2795" s="25" t="str">
        <f>IFERROR(VLOOKUP($C2795,$C$5:$M$24,11,0)+SUMIF($C$25:$C2795,$C2795,$K$25:$K2795)-SUMIF($C$25:$C2795,$C2795,$L$25:$L2795),"")</f>
        <v/>
      </c>
      <c r="N2795" s="10"/>
      <c r="O2795" s="10"/>
      <c r="P2795" s="65"/>
      <c r="Q2795" s="10"/>
      <c r="R2795" s="10"/>
      <c r="S2795" s="54" t="str">
        <f t="shared" si="135"/>
        <v/>
      </c>
      <c r="T2795" s="54" t="str">
        <f t="shared" si="136"/>
        <v/>
      </c>
      <c r="U2795" s="58" t="str">
        <f t="shared" si="137"/>
        <v/>
      </c>
      <c r="V2795" s="58">
        <f>IF(AND($B2795&lt;&gt;"",$F2795&lt;&gt;"",$F2795=项目明细账!$C$2),N(V2794)+1,N(V2794))</f>
        <v>0</v>
      </c>
      <c r="W2795" s="63" t="str">
        <f>IF($H2795&lt;&gt;"","项目成本",IFERROR(INDEX(基础资料!$W$4:$W$49,MATCH($I2795,基础资料!$V$4:$V$49,0)),""))</f>
        <v/>
      </c>
      <c r="X2795" s="63" t="str">
        <f>IFERROR(INDEX(基础资料!$R$4:$R$17,MATCH($G2795,基础资料!$Q$4:$Q$17,0)),"")</f>
        <v/>
      </c>
    </row>
    <row r="2796" spans="1:24">
      <c r="A2796" s="58" t="str">
        <f>IF($B2796="","",COUNTA($B$5:$B2796))</f>
        <v/>
      </c>
      <c r="B2796" s="53"/>
      <c r="C2796" s="46"/>
      <c r="D2796" s="63" t="str">
        <f>IFERROR(INDEX(基础资料!$F$4:$F$23,MATCH($C2796,基础资料!$E$4:$E$23,0)),IF($C2796="","","未匹配账户"))</f>
        <v/>
      </c>
      <c r="E2796" s="39"/>
      <c r="F2796" s="10"/>
      <c r="G2796" s="10"/>
      <c r="H2796" s="10"/>
      <c r="I2796" s="10"/>
      <c r="J2796" s="10"/>
      <c r="K2796" s="25"/>
      <c r="L2796" s="25"/>
      <c r="M2796" s="25" t="str">
        <f>IFERROR(VLOOKUP($C2796,$C$5:$M$24,11,0)+SUMIF($C$25:$C2796,$C2796,$K$25:$K2796)-SUMIF($C$25:$C2796,$C2796,$L$25:$L2796),"")</f>
        <v/>
      </c>
      <c r="N2796" s="10"/>
      <c r="O2796" s="10"/>
      <c r="P2796" s="65"/>
      <c r="Q2796" s="10"/>
      <c r="R2796" s="10"/>
      <c r="S2796" s="54" t="str">
        <f t="shared" si="135"/>
        <v/>
      </c>
      <c r="T2796" s="54" t="str">
        <f t="shared" si="136"/>
        <v/>
      </c>
      <c r="U2796" s="58" t="str">
        <f t="shared" si="137"/>
        <v/>
      </c>
      <c r="V2796" s="58">
        <f>IF(AND($B2796&lt;&gt;"",$F2796&lt;&gt;"",$F2796=项目明细账!$C$2),N(V2795)+1,N(V2795))</f>
        <v>0</v>
      </c>
      <c r="W2796" s="63" t="str">
        <f>IF($H2796&lt;&gt;"","项目成本",IFERROR(INDEX(基础资料!$W$4:$W$49,MATCH($I2796,基础资料!$V$4:$V$49,0)),""))</f>
        <v/>
      </c>
      <c r="X2796" s="63" t="str">
        <f>IFERROR(INDEX(基础资料!$R$4:$R$17,MATCH($G2796,基础资料!$Q$4:$Q$17,0)),"")</f>
        <v/>
      </c>
    </row>
    <row r="2797" spans="1:24">
      <c r="A2797" s="58" t="str">
        <f>IF($B2797="","",COUNTA($B$5:$B2797))</f>
        <v/>
      </c>
      <c r="B2797" s="53"/>
      <c r="C2797" s="46"/>
      <c r="D2797" s="63" t="str">
        <f>IFERROR(INDEX(基础资料!$F$4:$F$23,MATCH($C2797,基础资料!$E$4:$E$23,0)),IF($C2797="","","未匹配账户"))</f>
        <v/>
      </c>
      <c r="E2797" s="39"/>
      <c r="F2797" s="10"/>
      <c r="G2797" s="10"/>
      <c r="H2797" s="10"/>
      <c r="I2797" s="10"/>
      <c r="J2797" s="10"/>
      <c r="K2797" s="25"/>
      <c r="L2797" s="25"/>
      <c r="M2797" s="25" t="str">
        <f>IFERROR(VLOOKUP($C2797,$C$5:$M$24,11,0)+SUMIF($C$25:$C2797,$C2797,$K$25:$K2797)-SUMIF($C$25:$C2797,$C2797,$L$25:$L2797),"")</f>
        <v/>
      </c>
      <c r="N2797" s="10"/>
      <c r="O2797" s="10"/>
      <c r="P2797" s="65"/>
      <c r="Q2797" s="10"/>
      <c r="R2797" s="10"/>
      <c r="S2797" s="54" t="str">
        <f t="shared" si="135"/>
        <v/>
      </c>
      <c r="T2797" s="54" t="str">
        <f t="shared" si="136"/>
        <v/>
      </c>
      <c r="U2797" s="58" t="str">
        <f t="shared" si="137"/>
        <v/>
      </c>
      <c r="V2797" s="58">
        <f>IF(AND($B2797&lt;&gt;"",$F2797&lt;&gt;"",$F2797=项目明细账!$C$2),N(V2796)+1,N(V2796))</f>
        <v>0</v>
      </c>
      <c r="W2797" s="63" t="str">
        <f>IF($H2797&lt;&gt;"","项目成本",IFERROR(INDEX(基础资料!$W$4:$W$49,MATCH($I2797,基础资料!$V$4:$V$49,0)),""))</f>
        <v/>
      </c>
      <c r="X2797" s="63" t="str">
        <f>IFERROR(INDEX(基础资料!$R$4:$R$17,MATCH($G2797,基础资料!$Q$4:$Q$17,0)),"")</f>
        <v/>
      </c>
    </row>
    <row r="2798" spans="1:24">
      <c r="A2798" s="58" t="str">
        <f>IF($B2798="","",COUNTA($B$5:$B2798))</f>
        <v/>
      </c>
      <c r="B2798" s="53"/>
      <c r="C2798" s="46"/>
      <c r="D2798" s="63" t="str">
        <f>IFERROR(INDEX(基础资料!$F$4:$F$23,MATCH($C2798,基础资料!$E$4:$E$23,0)),IF($C2798="","","未匹配账户"))</f>
        <v/>
      </c>
      <c r="E2798" s="39"/>
      <c r="F2798" s="10"/>
      <c r="G2798" s="10"/>
      <c r="H2798" s="10"/>
      <c r="I2798" s="10"/>
      <c r="J2798" s="10"/>
      <c r="K2798" s="25"/>
      <c r="L2798" s="25"/>
      <c r="M2798" s="25" t="str">
        <f>IFERROR(VLOOKUP($C2798,$C$5:$M$24,11,0)+SUMIF($C$25:$C2798,$C2798,$K$25:$K2798)-SUMIF($C$25:$C2798,$C2798,$L$25:$L2798),"")</f>
        <v/>
      </c>
      <c r="N2798" s="10"/>
      <c r="O2798" s="10"/>
      <c r="P2798" s="65"/>
      <c r="Q2798" s="10"/>
      <c r="R2798" s="10"/>
      <c r="S2798" s="54" t="str">
        <f t="shared" si="135"/>
        <v/>
      </c>
      <c r="T2798" s="54" t="str">
        <f t="shared" si="136"/>
        <v/>
      </c>
      <c r="U2798" s="58" t="str">
        <f t="shared" si="137"/>
        <v/>
      </c>
      <c r="V2798" s="58">
        <f>IF(AND($B2798&lt;&gt;"",$F2798&lt;&gt;"",$F2798=项目明细账!$C$2),N(V2797)+1,N(V2797))</f>
        <v>0</v>
      </c>
      <c r="W2798" s="63" t="str">
        <f>IF($H2798&lt;&gt;"","项目成本",IFERROR(INDEX(基础资料!$W$4:$W$49,MATCH($I2798,基础资料!$V$4:$V$49,0)),""))</f>
        <v/>
      </c>
      <c r="X2798" s="63" t="str">
        <f>IFERROR(INDEX(基础资料!$R$4:$R$17,MATCH($G2798,基础资料!$Q$4:$Q$17,0)),"")</f>
        <v/>
      </c>
    </row>
    <row r="2799" spans="1:24">
      <c r="A2799" s="58" t="str">
        <f>IF($B2799="","",COUNTA($B$5:$B2799))</f>
        <v/>
      </c>
      <c r="B2799" s="53"/>
      <c r="C2799" s="46"/>
      <c r="D2799" s="63" t="str">
        <f>IFERROR(INDEX(基础资料!$F$4:$F$23,MATCH($C2799,基础资料!$E$4:$E$23,0)),IF($C2799="","","未匹配账户"))</f>
        <v/>
      </c>
      <c r="E2799" s="39"/>
      <c r="F2799" s="10"/>
      <c r="G2799" s="10"/>
      <c r="H2799" s="10"/>
      <c r="I2799" s="10"/>
      <c r="J2799" s="10"/>
      <c r="K2799" s="25"/>
      <c r="L2799" s="25"/>
      <c r="M2799" s="25" t="str">
        <f>IFERROR(VLOOKUP($C2799,$C$5:$M$24,11,0)+SUMIF($C$25:$C2799,$C2799,$K$25:$K2799)-SUMIF($C$25:$C2799,$C2799,$L$25:$L2799),"")</f>
        <v/>
      </c>
      <c r="N2799" s="10"/>
      <c r="O2799" s="10"/>
      <c r="P2799" s="65"/>
      <c r="Q2799" s="10"/>
      <c r="R2799" s="10"/>
      <c r="S2799" s="54" t="str">
        <f t="shared" si="135"/>
        <v/>
      </c>
      <c r="T2799" s="54" t="str">
        <f t="shared" si="136"/>
        <v/>
      </c>
      <c r="U2799" s="58" t="str">
        <f t="shared" si="137"/>
        <v/>
      </c>
      <c r="V2799" s="58">
        <f>IF(AND($B2799&lt;&gt;"",$F2799&lt;&gt;"",$F2799=项目明细账!$C$2),N(V2798)+1,N(V2798))</f>
        <v>0</v>
      </c>
      <c r="W2799" s="63" t="str">
        <f>IF($H2799&lt;&gt;"","项目成本",IFERROR(INDEX(基础资料!$W$4:$W$49,MATCH($I2799,基础资料!$V$4:$V$49,0)),""))</f>
        <v/>
      </c>
      <c r="X2799" s="63" t="str">
        <f>IFERROR(INDEX(基础资料!$R$4:$R$17,MATCH($G2799,基础资料!$Q$4:$Q$17,0)),"")</f>
        <v/>
      </c>
    </row>
    <row r="2800" spans="1:24">
      <c r="A2800" s="58" t="str">
        <f>IF($B2800="","",COUNTA($B$5:$B2800))</f>
        <v/>
      </c>
      <c r="B2800" s="53"/>
      <c r="C2800" s="46"/>
      <c r="D2800" s="63" t="str">
        <f>IFERROR(INDEX(基础资料!$F$4:$F$23,MATCH($C2800,基础资料!$E$4:$E$23,0)),IF($C2800="","","未匹配账户"))</f>
        <v/>
      </c>
      <c r="E2800" s="39"/>
      <c r="F2800" s="10"/>
      <c r="G2800" s="10"/>
      <c r="H2800" s="10"/>
      <c r="I2800" s="10"/>
      <c r="J2800" s="10"/>
      <c r="K2800" s="25"/>
      <c r="L2800" s="25"/>
      <c r="M2800" s="25" t="str">
        <f>IFERROR(VLOOKUP($C2800,$C$5:$M$24,11,0)+SUMIF($C$25:$C2800,$C2800,$K$25:$K2800)-SUMIF($C$25:$C2800,$C2800,$L$25:$L2800),"")</f>
        <v/>
      </c>
      <c r="N2800" s="10"/>
      <c r="O2800" s="10"/>
      <c r="P2800" s="65"/>
      <c r="Q2800" s="10"/>
      <c r="R2800" s="10"/>
      <c r="S2800" s="54" t="str">
        <f t="shared" si="135"/>
        <v/>
      </c>
      <c r="T2800" s="54" t="str">
        <f t="shared" si="136"/>
        <v/>
      </c>
      <c r="U2800" s="58" t="str">
        <f t="shared" si="137"/>
        <v/>
      </c>
      <c r="V2800" s="58">
        <f>IF(AND($B2800&lt;&gt;"",$F2800&lt;&gt;"",$F2800=项目明细账!$C$2),N(V2799)+1,N(V2799))</f>
        <v>0</v>
      </c>
      <c r="W2800" s="63" t="str">
        <f>IF($H2800&lt;&gt;"","项目成本",IFERROR(INDEX(基础资料!$W$4:$W$49,MATCH($I2800,基础资料!$V$4:$V$49,0)),""))</f>
        <v/>
      </c>
      <c r="X2800" s="63" t="str">
        <f>IFERROR(INDEX(基础资料!$R$4:$R$17,MATCH($G2800,基础资料!$Q$4:$Q$17,0)),"")</f>
        <v/>
      </c>
    </row>
    <row r="2801" spans="1:24">
      <c r="A2801" s="58" t="str">
        <f>IF($B2801="","",COUNTA($B$5:$B2801))</f>
        <v/>
      </c>
      <c r="B2801" s="53"/>
      <c r="C2801" s="46"/>
      <c r="D2801" s="63" t="str">
        <f>IFERROR(INDEX(基础资料!$F$4:$F$23,MATCH($C2801,基础资料!$E$4:$E$23,0)),IF($C2801="","","未匹配账户"))</f>
        <v/>
      </c>
      <c r="E2801" s="39"/>
      <c r="F2801" s="10"/>
      <c r="G2801" s="10"/>
      <c r="H2801" s="10"/>
      <c r="I2801" s="10"/>
      <c r="J2801" s="10"/>
      <c r="K2801" s="25"/>
      <c r="L2801" s="25"/>
      <c r="M2801" s="25" t="str">
        <f>IFERROR(VLOOKUP($C2801,$C$5:$M$24,11,0)+SUMIF($C$25:$C2801,$C2801,$K$25:$K2801)-SUMIF($C$25:$C2801,$C2801,$L$25:$L2801),"")</f>
        <v/>
      </c>
      <c r="N2801" s="10"/>
      <c r="O2801" s="10"/>
      <c r="P2801" s="65"/>
      <c r="Q2801" s="10"/>
      <c r="R2801" s="10"/>
      <c r="S2801" s="54" t="str">
        <f t="shared" si="135"/>
        <v/>
      </c>
      <c r="T2801" s="54" t="str">
        <f t="shared" si="136"/>
        <v/>
      </c>
      <c r="U2801" s="58" t="str">
        <f t="shared" si="137"/>
        <v/>
      </c>
      <c r="V2801" s="58">
        <f>IF(AND($B2801&lt;&gt;"",$F2801&lt;&gt;"",$F2801=项目明细账!$C$2),N(V2800)+1,N(V2800))</f>
        <v>0</v>
      </c>
      <c r="W2801" s="63" t="str">
        <f>IF($H2801&lt;&gt;"","项目成本",IFERROR(INDEX(基础资料!$W$4:$W$49,MATCH($I2801,基础资料!$V$4:$V$49,0)),""))</f>
        <v/>
      </c>
      <c r="X2801" s="63" t="str">
        <f>IFERROR(INDEX(基础资料!$R$4:$R$17,MATCH($G2801,基础资料!$Q$4:$Q$17,0)),"")</f>
        <v/>
      </c>
    </row>
    <row r="2802" spans="1:24">
      <c r="A2802" s="58" t="str">
        <f>IF($B2802="","",COUNTA($B$5:$B2802))</f>
        <v/>
      </c>
      <c r="B2802" s="53"/>
      <c r="C2802" s="46"/>
      <c r="D2802" s="63" t="str">
        <f>IFERROR(INDEX(基础资料!$F$4:$F$23,MATCH($C2802,基础资料!$E$4:$E$23,0)),IF($C2802="","","未匹配账户"))</f>
        <v/>
      </c>
      <c r="E2802" s="39"/>
      <c r="F2802" s="10"/>
      <c r="G2802" s="10"/>
      <c r="H2802" s="10"/>
      <c r="I2802" s="10"/>
      <c r="J2802" s="10"/>
      <c r="K2802" s="25"/>
      <c r="L2802" s="25"/>
      <c r="M2802" s="25" t="str">
        <f>IFERROR(VLOOKUP($C2802,$C$5:$M$24,11,0)+SUMIF($C$25:$C2802,$C2802,$K$25:$K2802)-SUMIF($C$25:$C2802,$C2802,$L$25:$L2802),"")</f>
        <v/>
      </c>
      <c r="N2802" s="10"/>
      <c r="O2802" s="10"/>
      <c r="P2802" s="65"/>
      <c r="Q2802" s="10"/>
      <c r="R2802" s="10"/>
      <c r="S2802" s="54" t="str">
        <f t="shared" si="135"/>
        <v/>
      </c>
      <c r="T2802" s="54" t="str">
        <f t="shared" si="136"/>
        <v/>
      </c>
      <c r="U2802" s="58" t="str">
        <f t="shared" si="137"/>
        <v/>
      </c>
      <c r="V2802" s="58">
        <f>IF(AND($B2802&lt;&gt;"",$F2802&lt;&gt;"",$F2802=项目明细账!$C$2),N(V2801)+1,N(V2801))</f>
        <v>0</v>
      </c>
      <c r="W2802" s="63" t="str">
        <f>IF($H2802&lt;&gt;"","项目成本",IFERROR(INDEX(基础资料!$W$4:$W$49,MATCH($I2802,基础资料!$V$4:$V$49,0)),""))</f>
        <v/>
      </c>
      <c r="X2802" s="63" t="str">
        <f>IFERROR(INDEX(基础资料!$R$4:$R$17,MATCH($G2802,基础资料!$Q$4:$Q$17,0)),"")</f>
        <v/>
      </c>
    </row>
    <row r="2803" spans="1:24">
      <c r="A2803" s="58" t="str">
        <f>IF($B2803="","",COUNTA($B$5:$B2803))</f>
        <v/>
      </c>
      <c r="B2803" s="53"/>
      <c r="C2803" s="46"/>
      <c r="D2803" s="63" t="str">
        <f>IFERROR(INDEX(基础资料!$F$4:$F$23,MATCH($C2803,基础资料!$E$4:$E$23,0)),IF($C2803="","","未匹配账户"))</f>
        <v/>
      </c>
      <c r="E2803" s="39"/>
      <c r="F2803" s="10"/>
      <c r="G2803" s="10"/>
      <c r="H2803" s="10"/>
      <c r="I2803" s="10"/>
      <c r="J2803" s="10"/>
      <c r="K2803" s="25"/>
      <c r="L2803" s="25"/>
      <c r="M2803" s="25" t="str">
        <f>IFERROR(VLOOKUP($C2803,$C$5:$M$24,11,0)+SUMIF($C$25:$C2803,$C2803,$K$25:$K2803)-SUMIF($C$25:$C2803,$C2803,$L$25:$L2803),"")</f>
        <v/>
      </c>
      <c r="N2803" s="10"/>
      <c r="O2803" s="10"/>
      <c r="P2803" s="65"/>
      <c r="Q2803" s="10"/>
      <c r="R2803" s="10"/>
      <c r="S2803" s="54" t="str">
        <f t="shared" si="135"/>
        <v/>
      </c>
      <c r="T2803" s="54" t="str">
        <f t="shared" si="136"/>
        <v/>
      </c>
      <c r="U2803" s="58" t="str">
        <f t="shared" si="137"/>
        <v/>
      </c>
      <c r="V2803" s="58">
        <f>IF(AND($B2803&lt;&gt;"",$F2803&lt;&gt;"",$F2803=项目明细账!$C$2),N(V2802)+1,N(V2802))</f>
        <v>0</v>
      </c>
      <c r="W2803" s="63" t="str">
        <f>IF($H2803&lt;&gt;"","项目成本",IFERROR(INDEX(基础资料!$W$4:$W$49,MATCH($I2803,基础资料!$V$4:$V$49,0)),""))</f>
        <v/>
      </c>
      <c r="X2803" s="63" t="str">
        <f>IFERROR(INDEX(基础资料!$R$4:$R$17,MATCH($G2803,基础资料!$Q$4:$Q$17,0)),"")</f>
        <v/>
      </c>
    </row>
    <row r="2804" spans="1:24">
      <c r="A2804" s="58" t="str">
        <f>IF($B2804="","",COUNTA($B$5:$B2804))</f>
        <v/>
      </c>
      <c r="B2804" s="53"/>
      <c r="C2804" s="46"/>
      <c r="D2804" s="63" t="str">
        <f>IFERROR(INDEX(基础资料!$F$4:$F$23,MATCH($C2804,基础资料!$E$4:$E$23,0)),IF($C2804="","","未匹配账户"))</f>
        <v/>
      </c>
      <c r="E2804" s="39"/>
      <c r="F2804" s="10"/>
      <c r="G2804" s="10"/>
      <c r="H2804" s="10"/>
      <c r="I2804" s="10"/>
      <c r="J2804" s="10"/>
      <c r="K2804" s="25"/>
      <c r="L2804" s="25"/>
      <c r="M2804" s="25" t="str">
        <f>IFERROR(VLOOKUP($C2804,$C$5:$M$24,11,0)+SUMIF($C$25:$C2804,$C2804,$K$25:$K2804)-SUMIF($C$25:$C2804,$C2804,$L$25:$L2804),"")</f>
        <v/>
      </c>
      <c r="N2804" s="10"/>
      <c r="O2804" s="10"/>
      <c r="P2804" s="65"/>
      <c r="Q2804" s="10"/>
      <c r="R2804" s="10"/>
      <c r="S2804" s="54" t="str">
        <f t="shared" si="135"/>
        <v/>
      </c>
      <c r="T2804" s="54" t="str">
        <f t="shared" si="136"/>
        <v/>
      </c>
      <c r="U2804" s="58" t="str">
        <f t="shared" si="137"/>
        <v/>
      </c>
      <c r="V2804" s="58">
        <f>IF(AND($B2804&lt;&gt;"",$F2804&lt;&gt;"",$F2804=项目明细账!$C$2),N(V2803)+1,N(V2803))</f>
        <v>0</v>
      </c>
      <c r="W2804" s="63" t="str">
        <f>IF($H2804&lt;&gt;"","项目成本",IFERROR(INDEX(基础资料!$W$4:$W$49,MATCH($I2804,基础资料!$V$4:$V$49,0)),""))</f>
        <v/>
      </c>
      <c r="X2804" s="63" t="str">
        <f>IFERROR(INDEX(基础资料!$R$4:$R$17,MATCH($G2804,基础资料!$Q$4:$Q$17,0)),"")</f>
        <v/>
      </c>
    </row>
    <row r="2805" spans="1:24">
      <c r="A2805" s="58" t="str">
        <f>IF($B2805="","",COUNTA($B$5:$B2805))</f>
        <v/>
      </c>
      <c r="B2805" s="53"/>
      <c r="C2805" s="46"/>
      <c r="D2805" s="63" t="str">
        <f>IFERROR(INDEX(基础资料!$F$4:$F$23,MATCH($C2805,基础资料!$E$4:$E$23,0)),IF($C2805="","","未匹配账户"))</f>
        <v/>
      </c>
      <c r="E2805" s="39"/>
      <c r="F2805" s="10"/>
      <c r="G2805" s="10"/>
      <c r="H2805" s="10"/>
      <c r="I2805" s="10"/>
      <c r="J2805" s="10"/>
      <c r="K2805" s="25"/>
      <c r="L2805" s="25"/>
      <c r="M2805" s="25" t="str">
        <f>IFERROR(VLOOKUP($C2805,$C$5:$M$24,11,0)+SUMIF($C$25:$C2805,$C2805,$K$25:$K2805)-SUMIF($C$25:$C2805,$C2805,$L$25:$L2805),"")</f>
        <v/>
      </c>
      <c r="N2805" s="10"/>
      <c r="O2805" s="10"/>
      <c r="P2805" s="65"/>
      <c r="Q2805" s="10"/>
      <c r="R2805" s="10"/>
      <c r="S2805" s="54" t="str">
        <f t="shared" si="135"/>
        <v/>
      </c>
      <c r="T2805" s="54" t="str">
        <f t="shared" si="136"/>
        <v/>
      </c>
      <c r="U2805" s="58" t="str">
        <f t="shared" si="137"/>
        <v/>
      </c>
      <c r="V2805" s="58">
        <f>IF(AND($B2805&lt;&gt;"",$F2805&lt;&gt;"",$F2805=项目明细账!$C$2),N(V2804)+1,N(V2804))</f>
        <v>0</v>
      </c>
      <c r="W2805" s="63" t="str">
        <f>IF($H2805&lt;&gt;"","项目成本",IFERROR(INDEX(基础资料!$W$4:$W$49,MATCH($I2805,基础资料!$V$4:$V$49,0)),""))</f>
        <v/>
      </c>
      <c r="X2805" s="63" t="str">
        <f>IFERROR(INDEX(基础资料!$R$4:$R$17,MATCH($G2805,基础资料!$Q$4:$Q$17,0)),"")</f>
        <v/>
      </c>
    </row>
    <row r="2806" spans="1:24">
      <c r="A2806" s="58" t="str">
        <f>IF($B2806="","",COUNTA($B$5:$B2806))</f>
        <v/>
      </c>
      <c r="B2806" s="53"/>
      <c r="C2806" s="46"/>
      <c r="D2806" s="63" t="str">
        <f>IFERROR(INDEX(基础资料!$F$4:$F$23,MATCH($C2806,基础资料!$E$4:$E$23,0)),IF($C2806="","","未匹配账户"))</f>
        <v/>
      </c>
      <c r="E2806" s="39"/>
      <c r="F2806" s="10"/>
      <c r="G2806" s="10"/>
      <c r="H2806" s="10"/>
      <c r="I2806" s="10"/>
      <c r="J2806" s="10"/>
      <c r="K2806" s="25"/>
      <c r="L2806" s="25"/>
      <c r="M2806" s="25" t="str">
        <f>IFERROR(VLOOKUP($C2806,$C$5:$M$24,11,0)+SUMIF($C$25:$C2806,$C2806,$K$25:$K2806)-SUMIF($C$25:$C2806,$C2806,$L$25:$L2806),"")</f>
        <v/>
      </c>
      <c r="N2806" s="10"/>
      <c r="O2806" s="10"/>
      <c r="P2806" s="65"/>
      <c r="Q2806" s="10"/>
      <c r="R2806" s="10"/>
      <c r="S2806" s="54" t="str">
        <f t="shared" si="135"/>
        <v/>
      </c>
      <c r="T2806" s="54" t="str">
        <f t="shared" si="136"/>
        <v/>
      </c>
      <c r="U2806" s="58" t="str">
        <f t="shared" si="137"/>
        <v/>
      </c>
      <c r="V2806" s="58">
        <f>IF(AND($B2806&lt;&gt;"",$F2806&lt;&gt;"",$F2806=项目明细账!$C$2),N(V2805)+1,N(V2805))</f>
        <v>0</v>
      </c>
      <c r="W2806" s="63" t="str">
        <f>IF($H2806&lt;&gt;"","项目成本",IFERROR(INDEX(基础资料!$W$4:$W$49,MATCH($I2806,基础资料!$V$4:$V$49,0)),""))</f>
        <v/>
      </c>
      <c r="X2806" s="63" t="str">
        <f>IFERROR(INDEX(基础资料!$R$4:$R$17,MATCH($G2806,基础资料!$Q$4:$Q$17,0)),"")</f>
        <v/>
      </c>
    </row>
    <row r="2807" spans="1:24">
      <c r="A2807" s="58" t="str">
        <f>IF($B2807="","",COUNTA($B$5:$B2807))</f>
        <v/>
      </c>
      <c r="B2807" s="53"/>
      <c r="C2807" s="46"/>
      <c r="D2807" s="63" t="str">
        <f>IFERROR(INDEX(基础资料!$F$4:$F$23,MATCH($C2807,基础资料!$E$4:$E$23,0)),IF($C2807="","","未匹配账户"))</f>
        <v/>
      </c>
      <c r="E2807" s="39"/>
      <c r="F2807" s="10"/>
      <c r="G2807" s="10"/>
      <c r="H2807" s="10"/>
      <c r="I2807" s="10"/>
      <c r="J2807" s="10"/>
      <c r="K2807" s="25"/>
      <c r="L2807" s="25"/>
      <c r="M2807" s="25" t="str">
        <f>IFERROR(VLOOKUP($C2807,$C$5:$M$24,11,0)+SUMIF($C$25:$C2807,$C2807,$K$25:$K2807)-SUMIF($C$25:$C2807,$C2807,$L$25:$L2807),"")</f>
        <v/>
      </c>
      <c r="N2807" s="10"/>
      <c r="O2807" s="10"/>
      <c r="P2807" s="65"/>
      <c r="Q2807" s="10"/>
      <c r="R2807" s="10"/>
      <c r="S2807" s="54" t="str">
        <f t="shared" si="135"/>
        <v/>
      </c>
      <c r="T2807" s="54" t="str">
        <f t="shared" si="136"/>
        <v/>
      </c>
      <c r="U2807" s="58" t="str">
        <f t="shared" si="137"/>
        <v/>
      </c>
      <c r="V2807" s="58">
        <f>IF(AND($B2807&lt;&gt;"",$F2807&lt;&gt;"",$F2807=项目明细账!$C$2),N(V2806)+1,N(V2806))</f>
        <v>0</v>
      </c>
      <c r="W2807" s="63" t="str">
        <f>IF($H2807&lt;&gt;"","项目成本",IFERROR(INDEX(基础资料!$W$4:$W$49,MATCH($I2807,基础资料!$V$4:$V$49,0)),""))</f>
        <v/>
      </c>
      <c r="X2807" s="63" t="str">
        <f>IFERROR(INDEX(基础资料!$R$4:$R$17,MATCH($G2807,基础资料!$Q$4:$Q$17,0)),"")</f>
        <v/>
      </c>
    </row>
    <row r="2808" spans="1:24">
      <c r="A2808" s="58" t="str">
        <f>IF($B2808="","",COUNTA($B$5:$B2808))</f>
        <v/>
      </c>
      <c r="B2808" s="53"/>
      <c r="C2808" s="46"/>
      <c r="D2808" s="63" t="str">
        <f>IFERROR(INDEX(基础资料!$F$4:$F$23,MATCH($C2808,基础资料!$E$4:$E$23,0)),IF($C2808="","","未匹配账户"))</f>
        <v/>
      </c>
      <c r="E2808" s="39"/>
      <c r="F2808" s="10"/>
      <c r="G2808" s="10"/>
      <c r="H2808" s="10"/>
      <c r="I2808" s="10"/>
      <c r="J2808" s="10"/>
      <c r="K2808" s="25"/>
      <c r="L2808" s="25"/>
      <c r="M2808" s="25" t="str">
        <f>IFERROR(VLOOKUP($C2808,$C$5:$M$24,11,0)+SUMIF($C$25:$C2808,$C2808,$K$25:$K2808)-SUMIF($C$25:$C2808,$C2808,$L$25:$L2808),"")</f>
        <v/>
      </c>
      <c r="N2808" s="10"/>
      <c r="O2808" s="10"/>
      <c r="P2808" s="65"/>
      <c r="Q2808" s="10"/>
      <c r="R2808" s="10"/>
      <c r="S2808" s="54" t="str">
        <f t="shared" si="135"/>
        <v/>
      </c>
      <c r="T2808" s="54" t="str">
        <f t="shared" si="136"/>
        <v/>
      </c>
      <c r="U2808" s="58" t="str">
        <f t="shared" si="137"/>
        <v/>
      </c>
      <c r="V2808" s="58">
        <f>IF(AND($B2808&lt;&gt;"",$F2808&lt;&gt;"",$F2808=项目明细账!$C$2),N(V2807)+1,N(V2807))</f>
        <v>0</v>
      </c>
      <c r="W2808" s="63" t="str">
        <f>IF($H2808&lt;&gt;"","项目成本",IFERROR(INDEX(基础资料!$W$4:$W$49,MATCH($I2808,基础资料!$V$4:$V$49,0)),""))</f>
        <v/>
      </c>
      <c r="X2808" s="63" t="str">
        <f>IFERROR(INDEX(基础资料!$R$4:$R$17,MATCH($G2808,基础资料!$Q$4:$Q$17,0)),"")</f>
        <v/>
      </c>
    </row>
    <row r="2809" spans="1:24">
      <c r="A2809" s="58" t="str">
        <f>IF($B2809="","",COUNTA($B$5:$B2809))</f>
        <v/>
      </c>
      <c r="B2809" s="53"/>
      <c r="C2809" s="46"/>
      <c r="D2809" s="63" t="str">
        <f>IFERROR(INDEX(基础资料!$F$4:$F$23,MATCH($C2809,基础资料!$E$4:$E$23,0)),IF($C2809="","","未匹配账户"))</f>
        <v/>
      </c>
      <c r="E2809" s="39"/>
      <c r="F2809" s="10"/>
      <c r="G2809" s="10"/>
      <c r="H2809" s="10"/>
      <c r="I2809" s="10"/>
      <c r="J2809" s="10"/>
      <c r="K2809" s="25"/>
      <c r="L2809" s="25"/>
      <c r="M2809" s="25" t="str">
        <f>IFERROR(VLOOKUP($C2809,$C$5:$M$24,11,0)+SUMIF($C$25:$C2809,$C2809,$K$25:$K2809)-SUMIF($C$25:$C2809,$C2809,$L$25:$L2809),"")</f>
        <v/>
      </c>
      <c r="N2809" s="10"/>
      <c r="O2809" s="10"/>
      <c r="P2809" s="65"/>
      <c r="Q2809" s="10"/>
      <c r="R2809" s="10"/>
      <c r="S2809" s="54" t="str">
        <f t="shared" si="135"/>
        <v/>
      </c>
      <c r="T2809" s="54" t="str">
        <f t="shared" si="136"/>
        <v/>
      </c>
      <c r="U2809" s="58" t="str">
        <f t="shared" si="137"/>
        <v/>
      </c>
      <c r="V2809" s="58">
        <f>IF(AND($B2809&lt;&gt;"",$F2809&lt;&gt;"",$F2809=项目明细账!$C$2),N(V2808)+1,N(V2808))</f>
        <v>0</v>
      </c>
      <c r="W2809" s="63" t="str">
        <f>IF($H2809&lt;&gt;"","项目成本",IFERROR(INDEX(基础资料!$W$4:$W$49,MATCH($I2809,基础资料!$V$4:$V$49,0)),""))</f>
        <v/>
      </c>
      <c r="X2809" s="63" t="str">
        <f>IFERROR(INDEX(基础资料!$R$4:$R$17,MATCH($G2809,基础资料!$Q$4:$Q$17,0)),"")</f>
        <v/>
      </c>
    </row>
    <row r="2810" spans="1:24">
      <c r="A2810" s="58" t="str">
        <f>IF($B2810="","",COUNTA($B$5:$B2810))</f>
        <v/>
      </c>
      <c r="B2810" s="53"/>
      <c r="C2810" s="46"/>
      <c r="D2810" s="63" t="str">
        <f>IFERROR(INDEX(基础资料!$F$4:$F$23,MATCH($C2810,基础资料!$E$4:$E$23,0)),IF($C2810="","","未匹配账户"))</f>
        <v/>
      </c>
      <c r="E2810" s="39"/>
      <c r="F2810" s="10"/>
      <c r="G2810" s="10"/>
      <c r="H2810" s="10"/>
      <c r="I2810" s="10"/>
      <c r="J2810" s="10"/>
      <c r="K2810" s="25"/>
      <c r="L2810" s="25"/>
      <c r="M2810" s="25" t="str">
        <f>IFERROR(VLOOKUP($C2810,$C$5:$M$24,11,0)+SUMIF($C$25:$C2810,$C2810,$K$25:$K2810)-SUMIF($C$25:$C2810,$C2810,$L$25:$L2810),"")</f>
        <v/>
      </c>
      <c r="N2810" s="10"/>
      <c r="O2810" s="10"/>
      <c r="P2810" s="65"/>
      <c r="Q2810" s="10"/>
      <c r="R2810" s="10"/>
      <c r="S2810" s="54" t="str">
        <f t="shared" si="135"/>
        <v/>
      </c>
      <c r="T2810" s="54" t="str">
        <f t="shared" si="136"/>
        <v/>
      </c>
      <c r="U2810" s="58" t="str">
        <f t="shared" si="137"/>
        <v/>
      </c>
      <c r="V2810" s="58">
        <f>IF(AND($B2810&lt;&gt;"",$F2810&lt;&gt;"",$F2810=项目明细账!$C$2),N(V2809)+1,N(V2809))</f>
        <v>0</v>
      </c>
      <c r="W2810" s="63" t="str">
        <f>IF($H2810&lt;&gt;"","项目成本",IFERROR(INDEX(基础资料!$W$4:$W$49,MATCH($I2810,基础资料!$V$4:$V$49,0)),""))</f>
        <v/>
      </c>
      <c r="X2810" s="63" t="str">
        <f>IFERROR(INDEX(基础资料!$R$4:$R$17,MATCH($G2810,基础资料!$Q$4:$Q$17,0)),"")</f>
        <v/>
      </c>
    </row>
    <row r="2811" spans="1:24">
      <c r="A2811" s="58" t="str">
        <f>IF($B2811="","",COUNTA($B$5:$B2811))</f>
        <v/>
      </c>
      <c r="B2811" s="53"/>
      <c r="C2811" s="46"/>
      <c r="D2811" s="63" t="str">
        <f>IFERROR(INDEX(基础资料!$F$4:$F$23,MATCH($C2811,基础资料!$E$4:$E$23,0)),IF($C2811="","","未匹配账户"))</f>
        <v/>
      </c>
      <c r="E2811" s="39"/>
      <c r="F2811" s="10"/>
      <c r="G2811" s="10"/>
      <c r="H2811" s="10"/>
      <c r="I2811" s="10"/>
      <c r="J2811" s="10"/>
      <c r="K2811" s="25"/>
      <c r="L2811" s="25"/>
      <c r="M2811" s="25" t="str">
        <f>IFERROR(VLOOKUP($C2811,$C$5:$M$24,11,0)+SUMIF($C$25:$C2811,$C2811,$K$25:$K2811)-SUMIF($C$25:$C2811,$C2811,$L$25:$L2811),"")</f>
        <v/>
      </c>
      <c r="N2811" s="10"/>
      <c r="O2811" s="10"/>
      <c r="P2811" s="65"/>
      <c r="Q2811" s="10"/>
      <c r="R2811" s="10"/>
      <c r="S2811" s="54" t="str">
        <f t="shared" si="135"/>
        <v/>
      </c>
      <c r="T2811" s="54" t="str">
        <f t="shared" si="136"/>
        <v/>
      </c>
      <c r="U2811" s="58" t="str">
        <f t="shared" si="137"/>
        <v/>
      </c>
      <c r="V2811" s="58">
        <f>IF(AND($B2811&lt;&gt;"",$F2811&lt;&gt;"",$F2811=项目明细账!$C$2),N(V2810)+1,N(V2810))</f>
        <v>0</v>
      </c>
      <c r="W2811" s="63" t="str">
        <f>IF($H2811&lt;&gt;"","项目成本",IFERROR(INDEX(基础资料!$W$4:$W$49,MATCH($I2811,基础资料!$V$4:$V$49,0)),""))</f>
        <v/>
      </c>
      <c r="X2811" s="63" t="str">
        <f>IFERROR(INDEX(基础资料!$R$4:$R$17,MATCH($G2811,基础资料!$Q$4:$Q$17,0)),"")</f>
        <v/>
      </c>
    </row>
    <row r="2812" spans="1:24">
      <c r="A2812" s="58" t="str">
        <f>IF($B2812="","",COUNTA($B$5:$B2812))</f>
        <v/>
      </c>
      <c r="B2812" s="53"/>
      <c r="C2812" s="46"/>
      <c r="D2812" s="63" t="str">
        <f>IFERROR(INDEX(基础资料!$F$4:$F$23,MATCH($C2812,基础资料!$E$4:$E$23,0)),IF($C2812="","","未匹配账户"))</f>
        <v/>
      </c>
      <c r="E2812" s="39"/>
      <c r="F2812" s="10"/>
      <c r="G2812" s="10"/>
      <c r="H2812" s="10"/>
      <c r="I2812" s="10"/>
      <c r="J2812" s="10"/>
      <c r="K2812" s="25"/>
      <c r="L2812" s="25"/>
      <c r="M2812" s="25" t="str">
        <f>IFERROR(VLOOKUP($C2812,$C$5:$M$24,11,0)+SUMIF($C$25:$C2812,$C2812,$K$25:$K2812)-SUMIF($C$25:$C2812,$C2812,$L$25:$L2812),"")</f>
        <v/>
      </c>
      <c r="N2812" s="10"/>
      <c r="O2812" s="10"/>
      <c r="P2812" s="65"/>
      <c r="Q2812" s="10"/>
      <c r="R2812" s="10"/>
      <c r="S2812" s="54" t="str">
        <f t="shared" si="135"/>
        <v/>
      </c>
      <c r="T2812" s="54" t="str">
        <f t="shared" si="136"/>
        <v/>
      </c>
      <c r="U2812" s="58" t="str">
        <f t="shared" si="137"/>
        <v/>
      </c>
      <c r="V2812" s="58">
        <f>IF(AND($B2812&lt;&gt;"",$F2812&lt;&gt;"",$F2812=项目明细账!$C$2),N(V2811)+1,N(V2811))</f>
        <v>0</v>
      </c>
      <c r="W2812" s="63" t="str">
        <f>IF($H2812&lt;&gt;"","项目成本",IFERROR(INDEX(基础资料!$W$4:$W$49,MATCH($I2812,基础资料!$V$4:$V$49,0)),""))</f>
        <v/>
      </c>
      <c r="X2812" s="63" t="str">
        <f>IFERROR(INDEX(基础资料!$R$4:$R$17,MATCH($G2812,基础资料!$Q$4:$Q$17,0)),"")</f>
        <v/>
      </c>
    </row>
    <row r="2813" spans="1:24">
      <c r="A2813" s="58" t="str">
        <f>IF($B2813="","",COUNTA($B$5:$B2813))</f>
        <v/>
      </c>
      <c r="B2813" s="53"/>
      <c r="C2813" s="46"/>
      <c r="D2813" s="63" t="str">
        <f>IFERROR(INDEX(基础资料!$F$4:$F$23,MATCH($C2813,基础资料!$E$4:$E$23,0)),IF($C2813="","","未匹配账户"))</f>
        <v/>
      </c>
      <c r="E2813" s="39"/>
      <c r="F2813" s="10"/>
      <c r="G2813" s="10"/>
      <c r="H2813" s="10"/>
      <c r="I2813" s="10"/>
      <c r="J2813" s="10"/>
      <c r="K2813" s="25"/>
      <c r="L2813" s="25"/>
      <c r="M2813" s="25" t="str">
        <f>IFERROR(VLOOKUP($C2813,$C$5:$M$24,11,0)+SUMIF($C$25:$C2813,$C2813,$K$25:$K2813)-SUMIF($C$25:$C2813,$C2813,$L$25:$L2813),"")</f>
        <v/>
      </c>
      <c r="N2813" s="10"/>
      <c r="O2813" s="10"/>
      <c r="P2813" s="65"/>
      <c r="Q2813" s="10"/>
      <c r="R2813" s="10"/>
      <c r="S2813" s="54" t="str">
        <f t="shared" si="135"/>
        <v/>
      </c>
      <c r="T2813" s="54" t="str">
        <f t="shared" si="136"/>
        <v/>
      </c>
      <c r="U2813" s="58" t="str">
        <f t="shared" si="137"/>
        <v/>
      </c>
      <c r="V2813" s="58">
        <f>IF(AND($B2813&lt;&gt;"",$F2813&lt;&gt;"",$F2813=项目明细账!$C$2),N(V2812)+1,N(V2812))</f>
        <v>0</v>
      </c>
      <c r="W2813" s="63" t="str">
        <f>IF($H2813&lt;&gt;"","项目成本",IFERROR(INDEX(基础资料!$W$4:$W$49,MATCH($I2813,基础资料!$V$4:$V$49,0)),""))</f>
        <v/>
      </c>
      <c r="X2813" s="63" t="str">
        <f>IFERROR(INDEX(基础资料!$R$4:$R$17,MATCH($G2813,基础资料!$Q$4:$Q$17,0)),"")</f>
        <v/>
      </c>
    </row>
    <row r="2814" spans="1:24">
      <c r="A2814" s="58" t="str">
        <f>IF($B2814="","",COUNTA($B$5:$B2814))</f>
        <v/>
      </c>
      <c r="B2814" s="53"/>
      <c r="C2814" s="46"/>
      <c r="D2814" s="63" t="str">
        <f>IFERROR(INDEX(基础资料!$F$4:$F$23,MATCH($C2814,基础资料!$E$4:$E$23,0)),IF($C2814="","","未匹配账户"))</f>
        <v/>
      </c>
      <c r="E2814" s="39"/>
      <c r="F2814" s="10"/>
      <c r="G2814" s="10"/>
      <c r="H2814" s="10"/>
      <c r="I2814" s="10"/>
      <c r="J2814" s="10"/>
      <c r="K2814" s="25"/>
      <c r="L2814" s="25"/>
      <c r="M2814" s="25" t="str">
        <f>IFERROR(VLOOKUP($C2814,$C$5:$M$24,11,0)+SUMIF($C$25:$C2814,$C2814,$K$25:$K2814)-SUMIF($C$25:$C2814,$C2814,$L$25:$L2814),"")</f>
        <v/>
      </c>
      <c r="N2814" s="10"/>
      <c r="O2814" s="10"/>
      <c r="P2814" s="65"/>
      <c r="Q2814" s="10"/>
      <c r="R2814" s="10"/>
      <c r="S2814" s="54" t="str">
        <f t="shared" si="135"/>
        <v/>
      </c>
      <c r="T2814" s="54" t="str">
        <f t="shared" si="136"/>
        <v/>
      </c>
      <c r="U2814" s="58" t="str">
        <f t="shared" si="137"/>
        <v/>
      </c>
      <c r="V2814" s="58">
        <f>IF(AND($B2814&lt;&gt;"",$F2814&lt;&gt;"",$F2814=项目明细账!$C$2),N(V2813)+1,N(V2813))</f>
        <v>0</v>
      </c>
      <c r="W2814" s="63" t="str">
        <f>IF($H2814&lt;&gt;"","项目成本",IFERROR(INDEX(基础资料!$W$4:$W$49,MATCH($I2814,基础资料!$V$4:$V$49,0)),""))</f>
        <v/>
      </c>
      <c r="X2814" s="63" t="str">
        <f>IFERROR(INDEX(基础资料!$R$4:$R$17,MATCH($G2814,基础资料!$Q$4:$Q$17,0)),"")</f>
        <v/>
      </c>
    </row>
    <row r="2815" spans="1:24">
      <c r="A2815" s="58" t="str">
        <f>IF($B2815="","",COUNTA($B$5:$B2815))</f>
        <v/>
      </c>
      <c r="B2815" s="53"/>
      <c r="C2815" s="46"/>
      <c r="D2815" s="63" t="str">
        <f>IFERROR(INDEX(基础资料!$F$4:$F$23,MATCH($C2815,基础资料!$E$4:$E$23,0)),IF($C2815="","","未匹配账户"))</f>
        <v/>
      </c>
      <c r="E2815" s="39"/>
      <c r="F2815" s="10"/>
      <c r="G2815" s="10"/>
      <c r="H2815" s="10"/>
      <c r="I2815" s="10"/>
      <c r="J2815" s="10"/>
      <c r="K2815" s="25"/>
      <c r="L2815" s="25"/>
      <c r="M2815" s="25" t="str">
        <f>IFERROR(VLOOKUP($C2815,$C$5:$M$24,11,0)+SUMIF($C$25:$C2815,$C2815,$K$25:$K2815)-SUMIF($C$25:$C2815,$C2815,$L$25:$L2815),"")</f>
        <v/>
      </c>
      <c r="N2815" s="10"/>
      <c r="O2815" s="10"/>
      <c r="P2815" s="65"/>
      <c r="Q2815" s="10"/>
      <c r="R2815" s="10"/>
      <c r="S2815" s="54" t="str">
        <f t="shared" si="135"/>
        <v/>
      </c>
      <c r="T2815" s="54" t="str">
        <f t="shared" si="136"/>
        <v/>
      </c>
      <c r="U2815" s="58" t="str">
        <f t="shared" si="137"/>
        <v/>
      </c>
      <c r="V2815" s="58">
        <f>IF(AND($B2815&lt;&gt;"",$F2815&lt;&gt;"",$F2815=项目明细账!$C$2),N(V2814)+1,N(V2814))</f>
        <v>0</v>
      </c>
      <c r="W2815" s="63" t="str">
        <f>IF($H2815&lt;&gt;"","项目成本",IFERROR(INDEX(基础资料!$W$4:$W$49,MATCH($I2815,基础资料!$V$4:$V$49,0)),""))</f>
        <v/>
      </c>
      <c r="X2815" s="63" t="str">
        <f>IFERROR(INDEX(基础资料!$R$4:$R$17,MATCH($G2815,基础资料!$Q$4:$Q$17,0)),"")</f>
        <v/>
      </c>
    </row>
    <row r="2816" spans="1:24">
      <c r="A2816" s="58" t="str">
        <f>IF($B2816="","",COUNTA($B$5:$B2816))</f>
        <v/>
      </c>
      <c r="B2816" s="53"/>
      <c r="C2816" s="46"/>
      <c r="D2816" s="63" t="str">
        <f>IFERROR(INDEX(基础资料!$F$4:$F$23,MATCH($C2816,基础资料!$E$4:$E$23,0)),IF($C2816="","","未匹配账户"))</f>
        <v/>
      </c>
      <c r="E2816" s="39"/>
      <c r="F2816" s="10"/>
      <c r="G2816" s="10"/>
      <c r="H2816" s="10"/>
      <c r="I2816" s="10"/>
      <c r="J2816" s="10"/>
      <c r="K2816" s="25"/>
      <c r="L2816" s="25"/>
      <c r="M2816" s="25" t="str">
        <f>IFERROR(VLOOKUP($C2816,$C$5:$M$24,11,0)+SUMIF($C$25:$C2816,$C2816,$K$25:$K2816)-SUMIF($C$25:$C2816,$C2816,$L$25:$L2816),"")</f>
        <v/>
      </c>
      <c r="N2816" s="10"/>
      <c r="O2816" s="10"/>
      <c r="P2816" s="65"/>
      <c r="Q2816" s="10"/>
      <c r="R2816" s="10"/>
      <c r="S2816" s="54" t="str">
        <f t="shared" si="135"/>
        <v/>
      </c>
      <c r="T2816" s="54" t="str">
        <f t="shared" si="136"/>
        <v/>
      </c>
      <c r="U2816" s="58" t="str">
        <f t="shared" si="137"/>
        <v/>
      </c>
      <c r="V2816" s="58">
        <f>IF(AND($B2816&lt;&gt;"",$F2816&lt;&gt;"",$F2816=项目明细账!$C$2),N(V2815)+1,N(V2815))</f>
        <v>0</v>
      </c>
      <c r="W2816" s="63" t="str">
        <f>IF($H2816&lt;&gt;"","项目成本",IFERROR(INDEX(基础资料!$W$4:$W$49,MATCH($I2816,基础资料!$V$4:$V$49,0)),""))</f>
        <v/>
      </c>
      <c r="X2816" s="63" t="str">
        <f>IFERROR(INDEX(基础资料!$R$4:$R$17,MATCH($G2816,基础资料!$Q$4:$Q$17,0)),"")</f>
        <v/>
      </c>
    </row>
    <row r="2817" spans="1:24">
      <c r="A2817" s="58" t="str">
        <f>IF($B2817="","",COUNTA($B$5:$B2817))</f>
        <v/>
      </c>
      <c r="B2817" s="53"/>
      <c r="C2817" s="46"/>
      <c r="D2817" s="63" t="str">
        <f>IFERROR(INDEX(基础资料!$F$4:$F$23,MATCH($C2817,基础资料!$E$4:$E$23,0)),IF($C2817="","","未匹配账户"))</f>
        <v/>
      </c>
      <c r="E2817" s="39"/>
      <c r="F2817" s="10"/>
      <c r="G2817" s="10"/>
      <c r="H2817" s="10"/>
      <c r="I2817" s="10"/>
      <c r="J2817" s="10"/>
      <c r="K2817" s="25"/>
      <c r="L2817" s="25"/>
      <c r="M2817" s="25" t="str">
        <f>IFERROR(VLOOKUP($C2817,$C$5:$M$24,11,0)+SUMIF($C$25:$C2817,$C2817,$K$25:$K2817)-SUMIF($C$25:$C2817,$C2817,$L$25:$L2817),"")</f>
        <v/>
      </c>
      <c r="N2817" s="10"/>
      <c r="O2817" s="10"/>
      <c r="P2817" s="65"/>
      <c r="Q2817" s="10"/>
      <c r="R2817" s="10"/>
      <c r="S2817" s="54" t="str">
        <f t="shared" si="135"/>
        <v/>
      </c>
      <c r="T2817" s="54" t="str">
        <f t="shared" si="136"/>
        <v/>
      </c>
      <c r="U2817" s="58" t="str">
        <f t="shared" si="137"/>
        <v/>
      </c>
      <c r="V2817" s="58">
        <f>IF(AND($B2817&lt;&gt;"",$F2817&lt;&gt;"",$F2817=项目明细账!$C$2),N(V2816)+1,N(V2816))</f>
        <v>0</v>
      </c>
      <c r="W2817" s="63" t="str">
        <f>IF($H2817&lt;&gt;"","项目成本",IFERROR(INDEX(基础资料!$W$4:$W$49,MATCH($I2817,基础资料!$V$4:$V$49,0)),""))</f>
        <v/>
      </c>
      <c r="X2817" s="63" t="str">
        <f>IFERROR(INDEX(基础资料!$R$4:$R$17,MATCH($G2817,基础资料!$Q$4:$Q$17,0)),"")</f>
        <v/>
      </c>
    </row>
    <row r="2818" spans="1:24">
      <c r="A2818" s="58" t="str">
        <f>IF($B2818="","",COUNTA($B$5:$B2818))</f>
        <v/>
      </c>
      <c r="B2818" s="53"/>
      <c r="C2818" s="46"/>
      <c r="D2818" s="63" t="str">
        <f>IFERROR(INDEX(基础资料!$F$4:$F$23,MATCH($C2818,基础资料!$E$4:$E$23,0)),IF($C2818="","","未匹配账户"))</f>
        <v/>
      </c>
      <c r="E2818" s="39"/>
      <c r="F2818" s="10"/>
      <c r="G2818" s="10"/>
      <c r="H2818" s="10"/>
      <c r="I2818" s="10"/>
      <c r="J2818" s="10"/>
      <c r="K2818" s="25"/>
      <c r="L2818" s="25"/>
      <c r="M2818" s="25" t="str">
        <f>IFERROR(VLOOKUP($C2818,$C$5:$M$24,11,0)+SUMIF($C$25:$C2818,$C2818,$K$25:$K2818)-SUMIF($C$25:$C2818,$C2818,$L$25:$L2818),"")</f>
        <v/>
      </c>
      <c r="N2818" s="10"/>
      <c r="O2818" s="10"/>
      <c r="P2818" s="65"/>
      <c r="Q2818" s="10"/>
      <c r="R2818" s="10"/>
      <c r="S2818" s="54" t="str">
        <f t="shared" si="135"/>
        <v/>
      </c>
      <c r="T2818" s="54" t="str">
        <f t="shared" si="136"/>
        <v/>
      </c>
      <c r="U2818" s="58" t="str">
        <f t="shared" si="137"/>
        <v/>
      </c>
      <c r="V2818" s="58">
        <f>IF(AND($B2818&lt;&gt;"",$F2818&lt;&gt;"",$F2818=项目明细账!$C$2),N(V2817)+1,N(V2817))</f>
        <v>0</v>
      </c>
      <c r="W2818" s="63" t="str">
        <f>IF($H2818&lt;&gt;"","项目成本",IFERROR(INDEX(基础资料!$W$4:$W$49,MATCH($I2818,基础资料!$V$4:$V$49,0)),""))</f>
        <v/>
      </c>
      <c r="X2818" s="63" t="str">
        <f>IFERROR(INDEX(基础资料!$R$4:$R$17,MATCH($G2818,基础资料!$Q$4:$Q$17,0)),"")</f>
        <v/>
      </c>
    </row>
    <row r="2819" spans="1:24">
      <c r="A2819" s="58" t="str">
        <f>IF($B2819="","",COUNTA($B$5:$B2819))</f>
        <v/>
      </c>
      <c r="B2819" s="53"/>
      <c r="C2819" s="46"/>
      <c r="D2819" s="63" t="str">
        <f>IFERROR(INDEX(基础资料!$F$4:$F$23,MATCH($C2819,基础资料!$E$4:$E$23,0)),IF($C2819="","","未匹配账户"))</f>
        <v/>
      </c>
      <c r="E2819" s="39"/>
      <c r="F2819" s="10"/>
      <c r="G2819" s="10"/>
      <c r="H2819" s="10"/>
      <c r="I2819" s="10"/>
      <c r="J2819" s="10"/>
      <c r="K2819" s="25"/>
      <c r="L2819" s="25"/>
      <c r="M2819" s="25" t="str">
        <f>IFERROR(VLOOKUP($C2819,$C$5:$M$24,11,0)+SUMIF($C$25:$C2819,$C2819,$K$25:$K2819)-SUMIF($C$25:$C2819,$C2819,$L$25:$L2819),"")</f>
        <v/>
      </c>
      <c r="N2819" s="10"/>
      <c r="O2819" s="10"/>
      <c r="P2819" s="65"/>
      <c r="Q2819" s="10"/>
      <c r="R2819" s="10"/>
      <c r="S2819" s="54" t="str">
        <f t="shared" si="135"/>
        <v/>
      </c>
      <c r="T2819" s="54" t="str">
        <f t="shared" si="136"/>
        <v/>
      </c>
      <c r="U2819" s="58" t="str">
        <f t="shared" si="137"/>
        <v/>
      </c>
      <c r="V2819" s="58">
        <f>IF(AND($B2819&lt;&gt;"",$F2819&lt;&gt;"",$F2819=项目明细账!$C$2),N(V2818)+1,N(V2818))</f>
        <v>0</v>
      </c>
      <c r="W2819" s="63" t="str">
        <f>IF($H2819&lt;&gt;"","项目成本",IFERROR(INDEX(基础资料!$W$4:$W$49,MATCH($I2819,基础资料!$V$4:$V$49,0)),""))</f>
        <v/>
      </c>
      <c r="X2819" s="63" t="str">
        <f>IFERROR(INDEX(基础资料!$R$4:$R$17,MATCH($G2819,基础资料!$Q$4:$Q$17,0)),"")</f>
        <v/>
      </c>
    </row>
    <row r="2820" spans="1:24">
      <c r="A2820" s="58" t="str">
        <f>IF($B2820="","",COUNTA($B$5:$B2820))</f>
        <v/>
      </c>
      <c r="B2820" s="53"/>
      <c r="C2820" s="46"/>
      <c r="D2820" s="63" t="str">
        <f>IFERROR(INDEX(基础资料!$F$4:$F$23,MATCH($C2820,基础资料!$E$4:$E$23,0)),IF($C2820="","","未匹配账户"))</f>
        <v/>
      </c>
      <c r="E2820" s="39"/>
      <c r="F2820" s="10"/>
      <c r="G2820" s="10"/>
      <c r="H2820" s="10"/>
      <c r="I2820" s="10"/>
      <c r="J2820" s="10"/>
      <c r="K2820" s="25"/>
      <c r="L2820" s="25"/>
      <c r="M2820" s="25" t="str">
        <f>IFERROR(VLOOKUP($C2820,$C$5:$M$24,11,0)+SUMIF($C$25:$C2820,$C2820,$K$25:$K2820)-SUMIF($C$25:$C2820,$C2820,$L$25:$L2820),"")</f>
        <v/>
      </c>
      <c r="N2820" s="10"/>
      <c r="O2820" s="10"/>
      <c r="P2820" s="65"/>
      <c r="Q2820" s="10"/>
      <c r="R2820" s="10"/>
      <c r="S2820" s="54" t="str">
        <f t="shared" si="135"/>
        <v/>
      </c>
      <c r="T2820" s="54" t="str">
        <f t="shared" si="136"/>
        <v/>
      </c>
      <c r="U2820" s="58" t="str">
        <f t="shared" si="137"/>
        <v/>
      </c>
      <c r="V2820" s="58">
        <f>IF(AND($B2820&lt;&gt;"",$F2820&lt;&gt;"",$F2820=项目明细账!$C$2),N(V2819)+1,N(V2819))</f>
        <v>0</v>
      </c>
      <c r="W2820" s="63" t="str">
        <f>IF($H2820&lt;&gt;"","项目成本",IFERROR(INDEX(基础资料!$W$4:$W$49,MATCH($I2820,基础资料!$V$4:$V$49,0)),""))</f>
        <v/>
      </c>
      <c r="X2820" s="63" t="str">
        <f>IFERROR(INDEX(基础资料!$R$4:$R$17,MATCH($G2820,基础资料!$Q$4:$Q$17,0)),"")</f>
        <v/>
      </c>
    </row>
    <row r="2821" spans="1:24">
      <c r="A2821" s="58" t="str">
        <f>IF($B2821="","",COUNTA($B$5:$B2821))</f>
        <v/>
      </c>
      <c r="B2821" s="53"/>
      <c r="C2821" s="46"/>
      <c r="D2821" s="63" t="str">
        <f>IFERROR(INDEX(基础资料!$F$4:$F$23,MATCH($C2821,基础资料!$E$4:$E$23,0)),IF($C2821="","","未匹配账户"))</f>
        <v/>
      </c>
      <c r="E2821" s="39"/>
      <c r="F2821" s="10"/>
      <c r="G2821" s="10"/>
      <c r="H2821" s="10"/>
      <c r="I2821" s="10"/>
      <c r="J2821" s="10"/>
      <c r="K2821" s="25"/>
      <c r="L2821" s="25"/>
      <c r="M2821" s="25" t="str">
        <f>IFERROR(VLOOKUP($C2821,$C$5:$M$24,11,0)+SUMIF($C$25:$C2821,$C2821,$K$25:$K2821)-SUMIF($C$25:$C2821,$C2821,$L$25:$L2821),"")</f>
        <v/>
      </c>
      <c r="N2821" s="10"/>
      <c r="O2821" s="10"/>
      <c r="P2821" s="65"/>
      <c r="Q2821" s="10"/>
      <c r="R2821" s="10"/>
      <c r="S2821" s="54" t="str">
        <f t="shared" si="135"/>
        <v/>
      </c>
      <c r="T2821" s="54" t="str">
        <f t="shared" si="136"/>
        <v/>
      </c>
      <c r="U2821" s="58" t="str">
        <f t="shared" si="137"/>
        <v/>
      </c>
      <c r="V2821" s="58">
        <f>IF(AND($B2821&lt;&gt;"",$F2821&lt;&gt;"",$F2821=项目明细账!$C$2),N(V2820)+1,N(V2820))</f>
        <v>0</v>
      </c>
      <c r="W2821" s="63" t="str">
        <f>IF($H2821&lt;&gt;"","项目成本",IFERROR(INDEX(基础资料!$W$4:$W$49,MATCH($I2821,基础资料!$V$4:$V$49,0)),""))</f>
        <v/>
      </c>
      <c r="X2821" s="63" t="str">
        <f>IFERROR(INDEX(基础资料!$R$4:$R$17,MATCH($G2821,基础资料!$Q$4:$Q$17,0)),"")</f>
        <v/>
      </c>
    </row>
    <row r="2822" spans="1:24">
      <c r="A2822" s="58" t="str">
        <f>IF($B2822="","",COUNTA($B$5:$B2822))</f>
        <v/>
      </c>
      <c r="B2822" s="53"/>
      <c r="C2822" s="46"/>
      <c r="D2822" s="63" t="str">
        <f>IFERROR(INDEX(基础资料!$F$4:$F$23,MATCH($C2822,基础资料!$E$4:$E$23,0)),IF($C2822="","","未匹配账户"))</f>
        <v/>
      </c>
      <c r="E2822" s="39"/>
      <c r="F2822" s="10"/>
      <c r="G2822" s="10"/>
      <c r="H2822" s="10"/>
      <c r="I2822" s="10"/>
      <c r="J2822" s="10"/>
      <c r="K2822" s="25"/>
      <c r="L2822" s="25"/>
      <c r="M2822" s="25" t="str">
        <f>IFERROR(VLOOKUP($C2822,$C$5:$M$24,11,0)+SUMIF($C$25:$C2822,$C2822,$K$25:$K2822)-SUMIF($C$25:$C2822,$C2822,$L$25:$L2822),"")</f>
        <v/>
      </c>
      <c r="N2822" s="10"/>
      <c r="O2822" s="10"/>
      <c r="P2822" s="65"/>
      <c r="Q2822" s="10"/>
      <c r="R2822" s="10"/>
      <c r="S2822" s="54" t="str">
        <f t="shared" si="135"/>
        <v/>
      </c>
      <c r="T2822" s="54" t="str">
        <f t="shared" si="136"/>
        <v/>
      </c>
      <c r="U2822" s="58" t="str">
        <f t="shared" si="137"/>
        <v/>
      </c>
      <c r="V2822" s="58">
        <f>IF(AND($B2822&lt;&gt;"",$F2822&lt;&gt;"",$F2822=项目明细账!$C$2),N(V2821)+1,N(V2821))</f>
        <v>0</v>
      </c>
      <c r="W2822" s="63" t="str">
        <f>IF($H2822&lt;&gt;"","项目成本",IFERROR(INDEX(基础资料!$W$4:$W$49,MATCH($I2822,基础资料!$V$4:$V$49,0)),""))</f>
        <v/>
      </c>
      <c r="X2822" s="63" t="str">
        <f>IFERROR(INDEX(基础资料!$R$4:$R$17,MATCH($G2822,基础资料!$Q$4:$Q$17,0)),"")</f>
        <v/>
      </c>
    </row>
    <row r="2823" spans="1:24">
      <c r="A2823" s="58" t="str">
        <f>IF($B2823="","",COUNTA($B$5:$B2823))</f>
        <v/>
      </c>
      <c r="B2823" s="53"/>
      <c r="C2823" s="46"/>
      <c r="D2823" s="63" t="str">
        <f>IFERROR(INDEX(基础资料!$F$4:$F$23,MATCH($C2823,基础资料!$E$4:$E$23,0)),IF($C2823="","","未匹配账户"))</f>
        <v/>
      </c>
      <c r="E2823" s="39"/>
      <c r="F2823" s="10"/>
      <c r="G2823" s="10"/>
      <c r="H2823" s="10"/>
      <c r="I2823" s="10"/>
      <c r="J2823" s="10"/>
      <c r="K2823" s="25"/>
      <c r="L2823" s="25"/>
      <c r="M2823" s="25" t="str">
        <f>IFERROR(VLOOKUP($C2823,$C$5:$M$24,11,0)+SUMIF($C$25:$C2823,$C2823,$K$25:$K2823)-SUMIF($C$25:$C2823,$C2823,$L$25:$L2823),"")</f>
        <v/>
      </c>
      <c r="N2823" s="10"/>
      <c r="O2823" s="10"/>
      <c r="P2823" s="65"/>
      <c r="Q2823" s="10"/>
      <c r="R2823" s="10"/>
      <c r="S2823" s="54" t="str">
        <f t="shared" ref="S2823:S2886" si="138">IF($B2823="","",--TEXT($B2823,"yyyymm"))</f>
        <v/>
      </c>
      <c r="T2823" s="54" t="str">
        <f t="shared" ref="T2823:T2886" si="139">IF($B2823="","",IF($P2823="",$S2823,IFERROR($P2823*1,$P2823)))</f>
        <v/>
      </c>
      <c r="U2823" s="58" t="str">
        <f t="shared" ref="U2823:U2886" si="140">IF($B2823="","",IF($T2823=$S2823,"","跨期"))</f>
        <v/>
      </c>
      <c r="V2823" s="58">
        <f>IF(AND($B2823&lt;&gt;"",$F2823&lt;&gt;"",$F2823=项目明细账!$C$2),N(V2822)+1,N(V2822))</f>
        <v>0</v>
      </c>
      <c r="W2823" s="63" t="str">
        <f>IF($H2823&lt;&gt;"","项目成本",IFERROR(INDEX(基础资料!$W$4:$W$49,MATCH($I2823,基础资料!$V$4:$V$49,0)),""))</f>
        <v/>
      </c>
      <c r="X2823" s="63" t="str">
        <f>IFERROR(INDEX(基础资料!$R$4:$R$17,MATCH($G2823,基础资料!$Q$4:$Q$17,0)),"")</f>
        <v/>
      </c>
    </row>
    <row r="2824" spans="1:24">
      <c r="A2824" s="58" t="str">
        <f>IF($B2824="","",COUNTA($B$5:$B2824))</f>
        <v/>
      </c>
      <c r="B2824" s="53"/>
      <c r="C2824" s="46"/>
      <c r="D2824" s="63" t="str">
        <f>IFERROR(INDEX(基础资料!$F$4:$F$23,MATCH($C2824,基础资料!$E$4:$E$23,0)),IF($C2824="","","未匹配账户"))</f>
        <v/>
      </c>
      <c r="E2824" s="39"/>
      <c r="F2824" s="10"/>
      <c r="G2824" s="10"/>
      <c r="H2824" s="10"/>
      <c r="I2824" s="10"/>
      <c r="J2824" s="10"/>
      <c r="K2824" s="25"/>
      <c r="L2824" s="25"/>
      <c r="M2824" s="25" t="str">
        <f>IFERROR(VLOOKUP($C2824,$C$5:$M$24,11,0)+SUMIF($C$25:$C2824,$C2824,$K$25:$K2824)-SUMIF($C$25:$C2824,$C2824,$L$25:$L2824),"")</f>
        <v/>
      </c>
      <c r="N2824" s="10"/>
      <c r="O2824" s="10"/>
      <c r="P2824" s="65"/>
      <c r="Q2824" s="10"/>
      <c r="R2824" s="10"/>
      <c r="S2824" s="54" t="str">
        <f t="shared" si="138"/>
        <v/>
      </c>
      <c r="T2824" s="54" t="str">
        <f t="shared" si="139"/>
        <v/>
      </c>
      <c r="U2824" s="58" t="str">
        <f t="shared" si="140"/>
        <v/>
      </c>
      <c r="V2824" s="58">
        <f>IF(AND($B2824&lt;&gt;"",$F2824&lt;&gt;"",$F2824=项目明细账!$C$2),N(V2823)+1,N(V2823))</f>
        <v>0</v>
      </c>
      <c r="W2824" s="63" t="str">
        <f>IF($H2824&lt;&gt;"","项目成本",IFERROR(INDEX(基础资料!$W$4:$W$49,MATCH($I2824,基础资料!$V$4:$V$49,0)),""))</f>
        <v/>
      </c>
      <c r="X2824" s="63" t="str">
        <f>IFERROR(INDEX(基础资料!$R$4:$R$17,MATCH($G2824,基础资料!$Q$4:$Q$17,0)),"")</f>
        <v/>
      </c>
    </row>
    <row r="2825" spans="1:24">
      <c r="A2825" s="58" t="str">
        <f>IF($B2825="","",COUNTA($B$5:$B2825))</f>
        <v/>
      </c>
      <c r="B2825" s="53"/>
      <c r="C2825" s="46"/>
      <c r="D2825" s="63" t="str">
        <f>IFERROR(INDEX(基础资料!$F$4:$F$23,MATCH($C2825,基础资料!$E$4:$E$23,0)),IF($C2825="","","未匹配账户"))</f>
        <v/>
      </c>
      <c r="E2825" s="39"/>
      <c r="F2825" s="10"/>
      <c r="G2825" s="10"/>
      <c r="H2825" s="10"/>
      <c r="I2825" s="10"/>
      <c r="J2825" s="10"/>
      <c r="K2825" s="25"/>
      <c r="L2825" s="25"/>
      <c r="M2825" s="25" t="str">
        <f>IFERROR(VLOOKUP($C2825,$C$5:$M$24,11,0)+SUMIF($C$25:$C2825,$C2825,$K$25:$K2825)-SUMIF($C$25:$C2825,$C2825,$L$25:$L2825),"")</f>
        <v/>
      </c>
      <c r="N2825" s="10"/>
      <c r="O2825" s="10"/>
      <c r="P2825" s="65"/>
      <c r="Q2825" s="10"/>
      <c r="R2825" s="10"/>
      <c r="S2825" s="54" t="str">
        <f t="shared" si="138"/>
        <v/>
      </c>
      <c r="T2825" s="54" t="str">
        <f t="shared" si="139"/>
        <v/>
      </c>
      <c r="U2825" s="58" t="str">
        <f t="shared" si="140"/>
        <v/>
      </c>
      <c r="V2825" s="58">
        <f>IF(AND($B2825&lt;&gt;"",$F2825&lt;&gt;"",$F2825=项目明细账!$C$2),N(V2824)+1,N(V2824))</f>
        <v>0</v>
      </c>
      <c r="W2825" s="63" t="str">
        <f>IF($H2825&lt;&gt;"","项目成本",IFERROR(INDEX(基础资料!$W$4:$W$49,MATCH($I2825,基础资料!$V$4:$V$49,0)),""))</f>
        <v/>
      </c>
      <c r="X2825" s="63" t="str">
        <f>IFERROR(INDEX(基础资料!$R$4:$R$17,MATCH($G2825,基础资料!$Q$4:$Q$17,0)),"")</f>
        <v/>
      </c>
    </row>
    <row r="2826" spans="1:24">
      <c r="A2826" s="58" t="str">
        <f>IF($B2826="","",COUNTA($B$5:$B2826))</f>
        <v/>
      </c>
      <c r="B2826" s="53"/>
      <c r="C2826" s="46"/>
      <c r="D2826" s="63" t="str">
        <f>IFERROR(INDEX(基础资料!$F$4:$F$23,MATCH($C2826,基础资料!$E$4:$E$23,0)),IF($C2826="","","未匹配账户"))</f>
        <v/>
      </c>
      <c r="E2826" s="39"/>
      <c r="F2826" s="10"/>
      <c r="G2826" s="10"/>
      <c r="H2826" s="10"/>
      <c r="I2826" s="10"/>
      <c r="J2826" s="10"/>
      <c r="K2826" s="25"/>
      <c r="L2826" s="25"/>
      <c r="M2826" s="25" t="str">
        <f>IFERROR(VLOOKUP($C2826,$C$5:$M$24,11,0)+SUMIF($C$25:$C2826,$C2826,$K$25:$K2826)-SUMIF($C$25:$C2826,$C2826,$L$25:$L2826),"")</f>
        <v/>
      </c>
      <c r="N2826" s="10"/>
      <c r="O2826" s="10"/>
      <c r="P2826" s="65"/>
      <c r="Q2826" s="10"/>
      <c r="R2826" s="10"/>
      <c r="S2826" s="54" t="str">
        <f t="shared" si="138"/>
        <v/>
      </c>
      <c r="T2826" s="54" t="str">
        <f t="shared" si="139"/>
        <v/>
      </c>
      <c r="U2826" s="58" t="str">
        <f t="shared" si="140"/>
        <v/>
      </c>
      <c r="V2826" s="58">
        <f>IF(AND($B2826&lt;&gt;"",$F2826&lt;&gt;"",$F2826=项目明细账!$C$2),N(V2825)+1,N(V2825))</f>
        <v>0</v>
      </c>
      <c r="W2826" s="63" t="str">
        <f>IF($H2826&lt;&gt;"","项目成本",IFERROR(INDEX(基础资料!$W$4:$W$49,MATCH($I2826,基础资料!$V$4:$V$49,0)),""))</f>
        <v/>
      </c>
      <c r="X2826" s="63" t="str">
        <f>IFERROR(INDEX(基础资料!$R$4:$R$17,MATCH($G2826,基础资料!$Q$4:$Q$17,0)),"")</f>
        <v/>
      </c>
    </row>
    <row r="2827" spans="1:24">
      <c r="A2827" s="58" t="str">
        <f>IF($B2827="","",COUNTA($B$5:$B2827))</f>
        <v/>
      </c>
      <c r="B2827" s="53"/>
      <c r="C2827" s="46"/>
      <c r="D2827" s="63" t="str">
        <f>IFERROR(INDEX(基础资料!$F$4:$F$23,MATCH($C2827,基础资料!$E$4:$E$23,0)),IF($C2827="","","未匹配账户"))</f>
        <v/>
      </c>
      <c r="E2827" s="39"/>
      <c r="F2827" s="10"/>
      <c r="G2827" s="10"/>
      <c r="H2827" s="10"/>
      <c r="I2827" s="10"/>
      <c r="J2827" s="10"/>
      <c r="K2827" s="25"/>
      <c r="L2827" s="25"/>
      <c r="M2827" s="25" t="str">
        <f>IFERROR(VLOOKUP($C2827,$C$5:$M$24,11,0)+SUMIF($C$25:$C2827,$C2827,$K$25:$K2827)-SUMIF($C$25:$C2827,$C2827,$L$25:$L2827),"")</f>
        <v/>
      </c>
      <c r="N2827" s="10"/>
      <c r="O2827" s="10"/>
      <c r="P2827" s="65"/>
      <c r="Q2827" s="10"/>
      <c r="R2827" s="10"/>
      <c r="S2827" s="54" t="str">
        <f t="shared" si="138"/>
        <v/>
      </c>
      <c r="T2827" s="54" t="str">
        <f t="shared" si="139"/>
        <v/>
      </c>
      <c r="U2827" s="58" t="str">
        <f t="shared" si="140"/>
        <v/>
      </c>
      <c r="V2827" s="58">
        <f>IF(AND($B2827&lt;&gt;"",$F2827&lt;&gt;"",$F2827=项目明细账!$C$2),N(V2826)+1,N(V2826))</f>
        <v>0</v>
      </c>
      <c r="W2827" s="63" t="str">
        <f>IF($H2827&lt;&gt;"","项目成本",IFERROR(INDEX(基础资料!$W$4:$W$49,MATCH($I2827,基础资料!$V$4:$V$49,0)),""))</f>
        <v/>
      </c>
      <c r="X2827" s="63" t="str">
        <f>IFERROR(INDEX(基础资料!$R$4:$R$17,MATCH($G2827,基础资料!$Q$4:$Q$17,0)),"")</f>
        <v/>
      </c>
    </row>
    <row r="2828" spans="1:24">
      <c r="A2828" s="58" t="str">
        <f>IF($B2828="","",COUNTA($B$5:$B2828))</f>
        <v/>
      </c>
      <c r="B2828" s="53"/>
      <c r="C2828" s="46"/>
      <c r="D2828" s="63" t="str">
        <f>IFERROR(INDEX(基础资料!$F$4:$F$23,MATCH($C2828,基础资料!$E$4:$E$23,0)),IF($C2828="","","未匹配账户"))</f>
        <v/>
      </c>
      <c r="E2828" s="39"/>
      <c r="F2828" s="10"/>
      <c r="G2828" s="10"/>
      <c r="H2828" s="10"/>
      <c r="I2828" s="10"/>
      <c r="J2828" s="10"/>
      <c r="K2828" s="25"/>
      <c r="L2828" s="25"/>
      <c r="M2828" s="25" t="str">
        <f>IFERROR(VLOOKUP($C2828,$C$5:$M$24,11,0)+SUMIF($C$25:$C2828,$C2828,$K$25:$K2828)-SUMIF($C$25:$C2828,$C2828,$L$25:$L2828),"")</f>
        <v/>
      </c>
      <c r="N2828" s="10"/>
      <c r="O2828" s="10"/>
      <c r="P2828" s="65"/>
      <c r="Q2828" s="10"/>
      <c r="R2828" s="10"/>
      <c r="S2828" s="54" t="str">
        <f t="shared" si="138"/>
        <v/>
      </c>
      <c r="T2828" s="54" t="str">
        <f t="shared" si="139"/>
        <v/>
      </c>
      <c r="U2828" s="58" t="str">
        <f t="shared" si="140"/>
        <v/>
      </c>
      <c r="V2828" s="58">
        <f>IF(AND($B2828&lt;&gt;"",$F2828&lt;&gt;"",$F2828=项目明细账!$C$2),N(V2827)+1,N(V2827))</f>
        <v>0</v>
      </c>
      <c r="W2828" s="63" t="str">
        <f>IF($H2828&lt;&gt;"","项目成本",IFERROR(INDEX(基础资料!$W$4:$W$49,MATCH($I2828,基础资料!$V$4:$V$49,0)),""))</f>
        <v/>
      </c>
      <c r="X2828" s="63" t="str">
        <f>IFERROR(INDEX(基础资料!$R$4:$R$17,MATCH($G2828,基础资料!$Q$4:$Q$17,0)),"")</f>
        <v/>
      </c>
    </row>
    <row r="2829" spans="1:24">
      <c r="A2829" s="58" t="str">
        <f>IF($B2829="","",COUNTA($B$5:$B2829))</f>
        <v/>
      </c>
      <c r="B2829" s="53"/>
      <c r="C2829" s="46"/>
      <c r="D2829" s="63" t="str">
        <f>IFERROR(INDEX(基础资料!$F$4:$F$23,MATCH($C2829,基础资料!$E$4:$E$23,0)),IF($C2829="","","未匹配账户"))</f>
        <v/>
      </c>
      <c r="E2829" s="39"/>
      <c r="F2829" s="10"/>
      <c r="G2829" s="10"/>
      <c r="H2829" s="10"/>
      <c r="I2829" s="10"/>
      <c r="J2829" s="10"/>
      <c r="K2829" s="25"/>
      <c r="L2829" s="25"/>
      <c r="M2829" s="25" t="str">
        <f>IFERROR(VLOOKUP($C2829,$C$5:$M$24,11,0)+SUMIF($C$25:$C2829,$C2829,$K$25:$K2829)-SUMIF($C$25:$C2829,$C2829,$L$25:$L2829),"")</f>
        <v/>
      </c>
      <c r="N2829" s="10"/>
      <c r="O2829" s="10"/>
      <c r="P2829" s="65"/>
      <c r="Q2829" s="10"/>
      <c r="R2829" s="10"/>
      <c r="S2829" s="54" t="str">
        <f t="shared" si="138"/>
        <v/>
      </c>
      <c r="T2829" s="54" t="str">
        <f t="shared" si="139"/>
        <v/>
      </c>
      <c r="U2829" s="58" t="str">
        <f t="shared" si="140"/>
        <v/>
      </c>
      <c r="V2829" s="58">
        <f>IF(AND($B2829&lt;&gt;"",$F2829&lt;&gt;"",$F2829=项目明细账!$C$2),N(V2828)+1,N(V2828))</f>
        <v>0</v>
      </c>
      <c r="W2829" s="63" t="str">
        <f>IF($H2829&lt;&gt;"","项目成本",IFERROR(INDEX(基础资料!$W$4:$W$49,MATCH($I2829,基础资料!$V$4:$V$49,0)),""))</f>
        <v/>
      </c>
      <c r="X2829" s="63" t="str">
        <f>IFERROR(INDEX(基础资料!$R$4:$R$17,MATCH($G2829,基础资料!$Q$4:$Q$17,0)),"")</f>
        <v/>
      </c>
    </row>
    <row r="2830" spans="1:24">
      <c r="A2830" s="58" t="str">
        <f>IF($B2830="","",COUNTA($B$5:$B2830))</f>
        <v/>
      </c>
      <c r="B2830" s="53"/>
      <c r="C2830" s="46"/>
      <c r="D2830" s="63" t="str">
        <f>IFERROR(INDEX(基础资料!$F$4:$F$23,MATCH($C2830,基础资料!$E$4:$E$23,0)),IF($C2830="","","未匹配账户"))</f>
        <v/>
      </c>
      <c r="E2830" s="39"/>
      <c r="F2830" s="10"/>
      <c r="G2830" s="10"/>
      <c r="H2830" s="10"/>
      <c r="I2830" s="10"/>
      <c r="J2830" s="10"/>
      <c r="K2830" s="25"/>
      <c r="L2830" s="25"/>
      <c r="M2830" s="25" t="str">
        <f>IFERROR(VLOOKUP($C2830,$C$5:$M$24,11,0)+SUMIF($C$25:$C2830,$C2830,$K$25:$K2830)-SUMIF($C$25:$C2830,$C2830,$L$25:$L2830),"")</f>
        <v/>
      </c>
      <c r="N2830" s="10"/>
      <c r="O2830" s="10"/>
      <c r="P2830" s="65"/>
      <c r="Q2830" s="10"/>
      <c r="R2830" s="10"/>
      <c r="S2830" s="54" t="str">
        <f t="shared" si="138"/>
        <v/>
      </c>
      <c r="T2830" s="54" t="str">
        <f t="shared" si="139"/>
        <v/>
      </c>
      <c r="U2830" s="58" t="str">
        <f t="shared" si="140"/>
        <v/>
      </c>
      <c r="V2830" s="58">
        <f>IF(AND($B2830&lt;&gt;"",$F2830&lt;&gt;"",$F2830=项目明细账!$C$2),N(V2829)+1,N(V2829))</f>
        <v>0</v>
      </c>
      <c r="W2830" s="63" t="str">
        <f>IF($H2830&lt;&gt;"","项目成本",IFERROR(INDEX(基础资料!$W$4:$W$49,MATCH($I2830,基础资料!$V$4:$V$49,0)),""))</f>
        <v/>
      </c>
      <c r="X2830" s="63" t="str">
        <f>IFERROR(INDEX(基础资料!$R$4:$R$17,MATCH($G2830,基础资料!$Q$4:$Q$17,0)),"")</f>
        <v/>
      </c>
    </row>
    <row r="2831" spans="1:24">
      <c r="A2831" s="58" t="str">
        <f>IF($B2831="","",COUNTA($B$5:$B2831))</f>
        <v/>
      </c>
      <c r="B2831" s="53"/>
      <c r="C2831" s="46"/>
      <c r="D2831" s="63" t="str">
        <f>IFERROR(INDEX(基础资料!$F$4:$F$23,MATCH($C2831,基础资料!$E$4:$E$23,0)),IF($C2831="","","未匹配账户"))</f>
        <v/>
      </c>
      <c r="E2831" s="39"/>
      <c r="F2831" s="10"/>
      <c r="G2831" s="10"/>
      <c r="H2831" s="10"/>
      <c r="I2831" s="10"/>
      <c r="J2831" s="10"/>
      <c r="K2831" s="25"/>
      <c r="L2831" s="25"/>
      <c r="M2831" s="25" t="str">
        <f>IFERROR(VLOOKUP($C2831,$C$5:$M$24,11,0)+SUMIF($C$25:$C2831,$C2831,$K$25:$K2831)-SUMIF($C$25:$C2831,$C2831,$L$25:$L2831),"")</f>
        <v/>
      </c>
      <c r="N2831" s="10"/>
      <c r="O2831" s="10"/>
      <c r="P2831" s="65"/>
      <c r="Q2831" s="10"/>
      <c r="R2831" s="10"/>
      <c r="S2831" s="54" t="str">
        <f t="shared" si="138"/>
        <v/>
      </c>
      <c r="T2831" s="54" t="str">
        <f t="shared" si="139"/>
        <v/>
      </c>
      <c r="U2831" s="58" t="str">
        <f t="shared" si="140"/>
        <v/>
      </c>
      <c r="V2831" s="58">
        <f>IF(AND($B2831&lt;&gt;"",$F2831&lt;&gt;"",$F2831=项目明细账!$C$2),N(V2830)+1,N(V2830))</f>
        <v>0</v>
      </c>
      <c r="W2831" s="63" t="str">
        <f>IF($H2831&lt;&gt;"","项目成本",IFERROR(INDEX(基础资料!$W$4:$W$49,MATCH($I2831,基础资料!$V$4:$V$49,0)),""))</f>
        <v/>
      </c>
      <c r="X2831" s="63" t="str">
        <f>IFERROR(INDEX(基础资料!$R$4:$R$17,MATCH($G2831,基础资料!$Q$4:$Q$17,0)),"")</f>
        <v/>
      </c>
    </row>
    <row r="2832" spans="1:24">
      <c r="A2832" s="58" t="str">
        <f>IF($B2832="","",COUNTA($B$5:$B2832))</f>
        <v/>
      </c>
      <c r="B2832" s="53"/>
      <c r="C2832" s="46"/>
      <c r="D2832" s="63" t="str">
        <f>IFERROR(INDEX(基础资料!$F$4:$F$23,MATCH($C2832,基础资料!$E$4:$E$23,0)),IF($C2832="","","未匹配账户"))</f>
        <v/>
      </c>
      <c r="E2832" s="39"/>
      <c r="F2832" s="10"/>
      <c r="G2832" s="10"/>
      <c r="H2832" s="10"/>
      <c r="I2832" s="10"/>
      <c r="J2832" s="10"/>
      <c r="K2832" s="25"/>
      <c r="L2832" s="25"/>
      <c r="M2832" s="25" t="str">
        <f>IFERROR(VLOOKUP($C2832,$C$5:$M$24,11,0)+SUMIF($C$25:$C2832,$C2832,$K$25:$K2832)-SUMIF($C$25:$C2832,$C2832,$L$25:$L2832),"")</f>
        <v/>
      </c>
      <c r="N2832" s="10"/>
      <c r="O2832" s="10"/>
      <c r="P2832" s="65"/>
      <c r="Q2832" s="10"/>
      <c r="R2832" s="10"/>
      <c r="S2832" s="54" t="str">
        <f t="shared" si="138"/>
        <v/>
      </c>
      <c r="T2832" s="54" t="str">
        <f t="shared" si="139"/>
        <v/>
      </c>
      <c r="U2832" s="58" t="str">
        <f t="shared" si="140"/>
        <v/>
      </c>
      <c r="V2832" s="58">
        <f>IF(AND($B2832&lt;&gt;"",$F2832&lt;&gt;"",$F2832=项目明细账!$C$2),N(V2831)+1,N(V2831))</f>
        <v>0</v>
      </c>
      <c r="W2832" s="63" t="str">
        <f>IF($H2832&lt;&gt;"","项目成本",IFERROR(INDEX(基础资料!$W$4:$W$49,MATCH($I2832,基础资料!$V$4:$V$49,0)),""))</f>
        <v/>
      </c>
      <c r="X2832" s="63" t="str">
        <f>IFERROR(INDEX(基础资料!$R$4:$R$17,MATCH($G2832,基础资料!$Q$4:$Q$17,0)),"")</f>
        <v/>
      </c>
    </row>
    <row r="2833" spans="1:24">
      <c r="A2833" s="58" t="str">
        <f>IF($B2833="","",COUNTA($B$5:$B2833))</f>
        <v/>
      </c>
      <c r="B2833" s="53"/>
      <c r="C2833" s="46"/>
      <c r="D2833" s="63" t="str">
        <f>IFERROR(INDEX(基础资料!$F$4:$F$23,MATCH($C2833,基础资料!$E$4:$E$23,0)),IF($C2833="","","未匹配账户"))</f>
        <v/>
      </c>
      <c r="E2833" s="39"/>
      <c r="F2833" s="10"/>
      <c r="G2833" s="10"/>
      <c r="H2833" s="10"/>
      <c r="I2833" s="10"/>
      <c r="J2833" s="10"/>
      <c r="K2833" s="25"/>
      <c r="L2833" s="25"/>
      <c r="M2833" s="25" t="str">
        <f>IFERROR(VLOOKUP($C2833,$C$5:$M$24,11,0)+SUMIF($C$25:$C2833,$C2833,$K$25:$K2833)-SUMIF($C$25:$C2833,$C2833,$L$25:$L2833),"")</f>
        <v/>
      </c>
      <c r="N2833" s="10"/>
      <c r="O2833" s="10"/>
      <c r="P2833" s="65"/>
      <c r="Q2833" s="10"/>
      <c r="R2833" s="10"/>
      <c r="S2833" s="54" t="str">
        <f t="shared" si="138"/>
        <v/>
      </c>
      <c r="T2833" s="54" t="str">
        <f t="shared" si="139"/>
        <v/>
      </c>
      <c r="U2833" s="58" t="str">
        <f t="shared" si="140"/>
        <v/>
      </c>
      <c r="V2833" s="58">
        <f>IF(AND($B2833&lt;&gt;"",$F2833&lt;&gt;"",$F2833=项目明细账!$C$2),N(V2832)+1,N(V2832))</f>
        <v>0</v>
      </c>
      <c r="W2833" s="63" t="str">
        <f>IF($H2833&lt;&gt;"","项目成本",IFERROR(INDEX(基础资料!$W$4:$W$49,MATCH($I2833,基础资料!$V$4:$V$49,0)),""))</f>
        <v/>
      </c>
      <c r="X2833" s="63" t="str">
        <f>IFERROR(INDEX(基础资料!$R$4:$R$17,MATCH($G2833,基础资料!$Q$4:$Q$17,0)),"")</f>
        <v/>
      </c>
    </row>
    <row r="2834" spans="1:24">
      <c r="A2834" s="58" t="str">
        <f>IF($B2834="","",COUNTA($B$5:$B2834))</f>
        <v/>
      </c>
      <c r="B2834" s="53"/>
      <c r="C2834" s="46"/>
      <c r="D2834" s="63" t="str">
        <f>IFERROR(INDEX(基础资料!$F$4:$F$23,MATCH($C2834,基础资料!$E$4:$E$23,0)),IF($C2834="","","未匹配账户"))</f>
        <v/>
      </c>
      <c r="E2834" s="39"/>
      <c r="F2834" s="10"/>
      <c r="G2834" s="10"/>
      <c r="H2834" s="10"/>
      <c r="I2834" s="10"/>
      <c r="J2834" s="10"/>
      <c r="K2834" s="25"/>
      <c r="L2834" s="25"/>
      <c r="M2834" s="25" t="str">
        <f>IFERROR(VLOOKUP($C2834,$C$5:$M$24,11,0)+SUMIF($C$25:$C2834,$C2834,$K$25:$K2834)-SUMIF($C$25:$C2834,$C2834,$L$25:$L2834),"")</f>
        <v/>
      </c>
      <c r="N2834" s="10"/>
      <c r="O2834" s="10"/>
      <c r="P2834" s="65"/>
      <c r="Q2834" s="10"/>
      <c r="R2834" s="10"/>
      <c r="S2834" s="54" t="str">
        <f t="shared" si="138"/>
        <v/>
      </c>
      <c r="T2834" s="54" t="str">
        <f t="shared" si="139"/>
        <v/>
      </c>
      <c r="U2834" s="58" t="str">
        <f t="shared" si="140"/>
        <v/>
      </c>
      <c r="V2834" s="58">
        <f>IF(AND($B2834&lt;&gt;"",$F2834&lt;&gt;"",$F2834=项目明细账!$C$2),N(V2833)+1,N(V2833))</f>
        <v>0</v>
      </c>
      <c r="W2834" s="63" t="str">
        <f>IF($H2834&lt;&gt;"","项目成本",IFERROR(INDEX(基础资料!$W$4:$W$49,MATCH($I2834,基础资料!$V$4:$V$49,0)),""))</f>
        <v/>
      </c>
      <c r="X2834" s="63" t="str">
        <f>IFERROR(INDEX(基础资料!$R$4:$R$17,MATCH($G2834,基础资料!$Q$4:$Q$17,0)),"")</f>
        <v/>
      </c>
    </row>
    <row r="2835" spans="1:24">
      <c r="A2835" s="58" t="str">
        <f>IF($B2835="","",COUNTA($B$5:$B2835))</f>
        <v/>
      </c>
      <c r="B2835" s="53"/>
      <c r="C2835" s="46"/>
      <c r="D2835" s="63" t="str">
        <f>IFERROR(INDEX(基础资料!$F$4:$F$23,MATCH($C2835,基础资料!$E$4:$E$23,0)),IF($C2835="","","未匹配账户"))</f>
        <v/>
      </c>
      <c r="E2835" s="39"/>
      <c r="F2835" s="10"/>
      <c r="G2835" s="10"/>
      <c r="H2835" s="10"/>
      <c r="I2835" s="10"/>
      <c r="J2835" s="10"/>
      <c r="K2835" s="25"/>
      <c r="L2835" s="25"/>
      <c r="M2835" s="25" t="str">
        <f>IFERROR(VLOOKUP($C2835,$C$5:$M$24,11,0)+SUMIF($C$25:$C2835,$C2835,$K$25:$K2835)-SUMIF($C$25:$C2835,$C2835,$L$25:$L2835),"")</f>
        <v/>
      </c>
      <c r="N2835" s="10"/>
      <c r="O2835" s="10"/>
      <c r="P2835" s="65"/>
      <c r="Q2835" s="10"/>
      <c r="R2835" s="10"/>
      <c r="S2835" s="54" t="str">
        <f t="shared" si="138"/>
        <v/>
      </c>
      <c r="T2835" s="54" t="str">
        <f t="shared" si="139"/>
        <v/>
      </c>
      <c r="U2835" s="58" t="str">
        <f t="shared" si="140"/>
        <v/>
      </c>
      <c r="V2835" s="58">
        <f>IF(AND($B2835&lt;&gt;"",$F2835&lt;&gt;"",$F2835=项目明细账!$C$2),N(V2834)+1,N(V2834))</f>
        <v>0</v>
      </c>
      <c r="W2835" s="63" t="str">
        <f>IF($H2835&lt;&gt;"","项目成本",IFERROR(INDEX(基础资料!$W$4:$W$49,MATCH($I2835,基础资料!$V$4:$V$49,0)),""))</f>
        <v/>
      </c>
      <c r="X2835" s="63" t="str">
        <f>IFERROR(INDEX(基础资料!$R$4:$R$17,MATCH($G2835,基础资料!$Q$4:$Q$17,0)),"")</f>
        <v/>
      </c>
    </row>
    <row r="2836" spans="1:24">
      <c r="A2836" s="58" t="str">
        <f>IF($B2836="","",COUNTA($B$5:$B2836))</f>
        <v/>
      </c>
      <c r="B2836" s="53"/>
      <c r="C2836" s="46"/>
      <c r="D2836" s="63" t="str">
        <f>IFERROR(INDEX(基础资料!$F$4:$F$23,MATCH($C2836,基础资料!$E$4:$E$23,0)),IF($C2836="","","未匹配账户"))</f>
        <v/>
      </c>
      <c r="E2836" s="39"/>
      <c r="F2836" s="10"/>
      <c r="G2836" s="10"/>
      <c r="H2836" s="10"/>
      <c r="I2836" s="10"/>
      <c r="J2836" s="10"/>
      <c r="K2836" s="25"/>
      <c r="L2836" s="25"/>
      <c r="M2836" s="25" t="str">
        <f>IFERROR(VLOOKUP($C2836,$C$5:$M$24,11,0)+SUMIF($C$25:$C2836,$C2836,$K$25:$K2836)-SUMIF($C$25:$C2836,$C2836,$L$25:$L2836),"")</f>
        <v/>
      </c>
      <c r="N2836" s="10"/>
      <c r="O2836" s="10"/>
      <c r="P2836" s="65"/>
      <c r="Q2836" s="10"/>
      <c r="R2836" s="10"/>
      <c r="S2836" s="54" t="str">
        <f t="shared" si="138"/>
        <v/>
      </c>
      <c r="T2836" s="54" t="str">
        <f t="shared" si="139"/>
        <v/>
      </c>
      <c r="U2836" s="58" t="str">
        <f t="shared" si="140"/>
        <v/>
      </c>
      <c r="V2836" s="58">
        <f>IF(AND($B2836&lt;&gt;"",$F2836&lt;&gt;"",$F2836=项目明细账!$C$2),N(V2835)+1,N(V2835))</f>
        <v>0</v>
      </c>
      <c r="W2836" s="63" t="str">
        <f>IF($H2836&lt;&gt;"","项目成本",IFERROR(INDEX(基础资料!$W$4:$W$49,MATCH($I2836,基础资料!$V$4:$V$49,0)),""))</f>
        <v/>
      </c>
      <c r="X2836" s="63" t="str">
        <f>IFERROR(INDEX(基础资料!$R$4:$R$17,MATCH($G2836,基础资料!$Q$4:$Q$17,0)),"")</f>
        <v/>
      </c>
    </row>
    <row r="2837" spans="1:24">
      <c r="A2837" s="58" t="str">
        <f>IF($B2837="","",COUNTA($B$5:$B2837))</f>
        <v/>
      </c>
      <c r="B2837" s="53"/>
      <c r="C2837" s="46"/>
      <c r="D2837" s="63" t="str">
        <f>IFERROR(INDEX(基础资料!$F$4:$F$23,MATCH($C2837,基础资料!$E$4:$E$23,0)),IF($C2837="","","未匹配账户"))</f>
        <v/>
      </c>
      <c r="E2837" s="39"/>
      <c r="F2837" s="10"/>
      <c r="G2837" s="10"/>
      <c r="H2837" s="10"/>
      <c r="I2837" s="10"/>
      <c r="J2837" s="10"/>
      <c r="K2837" s="25"/>
      <c r="L2837" s="25"/>
      <c r="M2837" s="25" t="str">
        <f>IFERROR(VLOOKUP($C2837,$C$5:$M$24,11,0)+SUMIF($C$25:$C2837,$C2837,$K$25:$K2837)-SUMIF($C$25:$C2837,$C2837,$L$25:$L2837),"")</f>
        <v/>
      </c>
      <c r="N2837" s="10"/>
      <c r="O2837" s="10"/>
      <c r="P2837" s="65"/>
      <c r="Q2837" s="10"/>
      <c r="R2837" s="10"/>
      <c r="S2837" s="54" t="str">
        <f t="shared" si="138"/>
        <v/>
      </c>
      <c r="T2837" s="54" t="str">
        <f t="shared" si="139"/>
        <v/>
      </c>
      <c r="U2837" s="58" t="str">
        <f t="shared" si="140"/>
        <v/>
      </c>
      <c r="V2837" s="58">
        <f>IF(AND($B2837&lt;&gt;"",$F2837&lt;&gt;"",$F2837=项目明细账!$C$2),N(V2836)+1,N(V2836))</f>
        <v>0</v>
      </c>
      <c r="W2837" s="63" t="str">
        <f>IF($H2837&lt;&gt;"","项目成本",IFERROR(INDEX(基础资料!$W$4:$W$49,MATCH($I2837,基础资料!$V$4:$V$49,0)),""))</f>
        <v/>
      </c>
      <c r="X2837" s="63" t="str">
        <f>IFERROR(INDEX(基础资料!$R$4:$R$17,MATCH($G2837,基础资料!$Q$4:$Q$17,0)),"")</f>
        <v/>
      </c>
    </row>
    <row r="2838" spans="1:24">
      <c r="A2838" s="58" t="str">
        <f>IF($B2838="","",COUNTA($B$5:$B2838))</f>
        <v/>
      </c>
      <c r="B2838" s="53"/>
      <c r="C2838" s="46"/>
      <c r="D2838" s="63" t="str">
        <f>IFERROR(INDEX(基础资料!$F$4:$F$23,MATCH($C2838,基础资料!$E$4:$E$23,0)),IF($C2838="","","未匹配账户"))</f>
        <v/>
      </c>
      <c r="E2838" s="39"/>
      <c r="F2838" s="10"/>
      <c r="G2838" s="10"/>
      <c r="H2838" s="10"/>
      <c r="I2838" s="10"/>
      <c r="J2838" s="10"/>
      <c r="K2838" s="25"/>
      <c r="L2838" s="25"/>
      <c r="M2838" s="25" t="str">
        <f>IFERROR(VLOOKUP($C2838,$C$5:$M$24,11,0)+SUMIF($C$25:$C2838,$C2838,$K$25:$K2838)-SUMIF($C$25:$C2838,$C2838,$L$25:$L2838),"")</f>
        <v/>
      </c>
      <c r="N2838" s="10"/>
      <c r="O2838" s="10"/>
      <c r="P2838" s="65"/>
      <c r="Q2838" s="10"/>
      <c r="R2838" s="10"/>
      <c r="S2838" s="54" t="str">
        <f t="shared" si="138"/>
        <v/>
      </c>
      <c r="T2838" s="54" t="str">
        <f t="shared" si="139"/>
        <v/>
      </c>
      <c r="U2838" s="58" t="str">
        <f t="shared" si="140"/>
        <v/>
      </c>
      <c r="V2838" s="58">
        <f>IF(AND($B2838&lt;&gt;"",$F2838&lt;&gt;"",$F2838=项目明细账!$C$2),N(V2837)+1,N(V2837))</f>
        <v>0</v>
      </c>
      <c r="W2838" s="63" t="str">
        <f>IF($H2838&lt;&gt;"","项目成本",IFERROR(INDEX(基础资料!$W$4:$W$49,MATCH($I2838,基础资料!$V$4:$V$49,0)),""))</f>
        <v/>
      </c>
      <c r="X2838" s="63" t="str">
        <f>IFERROR(INDEX(基础资料!$R$4:$R$17,MATCH($G2838,基础资料!$Q$4:$Q$17,0)),"")</f>
        <v/>
      </c>
    </row>
    <row r="2839" spans="1:24">
      <c r="A2839" s="58" t="str">
        <f>IF($B2839="","",COUNTA($B$5:$B2839))</f>
        <v/>
      </c>
      <c r="B2839" s="53"/>
      <c r="C2839" s="46"/>
      <c r="D2839" s="63" t="str">
        <f>IFERROR(INDEX(基础资料!$F$4:$F$23,MATCH($C2839,基础资料!$E$4:$E$23,0)),IF($C2839="","","未匹配账户"))</f>
        <v/>
      </c>
      <c r="E2839" s="39"/>
      <c r="F2839" s="10"/>
      <c r="G2839" s="10"/>
      <c r="H2839" s="10"/>
      <c r="I2839" s="10"/>
      <c r="J2839" s="10"/>
      <c r="K2839" s="25"/>
      <c r="L2839" s="25"/>
      <c r="M2839" s="25" t="str">
        <f>IFERROR(VLOOKUP($C2839,$C$5:$M$24,11,0)+SUMIF($C$25:$C2839,$C2839,$K$25:$K2839)-SUMIF($C$25:$C2839,$C2839,$L$25:$L2839),"")</f>
        <v/>
      </c>
      <c r="N2839" s="10"/>
      <c r="O2839" s="10"/>
      <c r="P2839" s="65"/>
      <c r="Q2839" s="10"/>
      <c r="R2839" s="10"/>
      <c r="S2839" s="54" t="str">
        <f t="shared" si="138"/>
        <v/>
      </c>
      <c r="T2839" s="54" t="str">
        <f t="shared" si="139"/>
        <v/>
      </c>
      <c r="U2839" s="58" t="str">
        <f t="shared" si="140"/>
        <v/>
      </c>
      <c r="V2839" s="58">
        <f>IF(AND($B2839&lt;&gt;"",$F2839&lt;&gt;"",$F2839=项目明细账!$C$2),N(V2838)+1,N(V2838))</f>
        <v>0</v>
      </c>
      <c r="W2839" s="63" t="str">
        <f>IF($H2839&lt;&gt;"","项目成本",IFERROR(INDEX(基础资料!$W$4:$W$49,MATCH($I2839,基础资料!$V$4:$V$49,0)),""))</f>
        <v/>
      </c>
      <c r="X2839" s="63" t="str">
        <f>IFERROR(INDEX(基础资料!$R$4:$R$17,MATCH($G2839,基础资料!$Q$4:$Q$17,0)),"")</f>
        <v/>
      </c>
    </row>
    <row r="2840" spans="1:24">
      <c r="A2840" s="58" t="str">
        <f>IF($B2840="","",COUNTA($B$5:$B2840))</f>
        <v/>
      </c>
      <c r="B2840" s="53"/>
      <c r="C2840" s="46"/>
      <c r="D2840" s="63" t="str">
        <f>IFERROR(INDEX(基础资料!$F$4:$F$23,MATCH($C2840,基础资料!$E$4:$E$23,0)),IF($C2840="","","未匹配账户"))</f>
        <v/>
      </c>
      <c r="E2840" s="39"/>
      <c r="F2840" s="10"/>
      <c r="G2840" s="10"/>
      <c r="H2840" s="10"/>
      <c r="I2840" s="10"/>
      <c r="J2840" s="10"/>
      <c r="K2840" s="25"/>
      <c r="L2840" s="25"/>
      <c r="M2840" s="25" t="str">
        <f>IFERROR(VLOOKUP($C2840,$C$5:$M$24,11,0)+SUMIF($C$25:$C2840,$C2840,$K$25:$K2840)-SUMIF($C$25:$C2840,$C2840,$L$25:$L2840),"")</f>
        <v/>
      </c>
      <c r="N2840" s="10"/>
      <c r="O2840" s="10"/>
      <c r="P2840" s="65"/>
      <c r="Q2840" s="10"/>
      <c r="R2840" s="10"/>
      <c r="S2840" s="54" t="str">
        <f t="shared" si="138"/>
        <v/>
      </c>
      <c r="T2840" s="54" t="str">
        <f t="shared" si="139"/>
        <v/>
      </c>
      <c r="U2840" s="58" t="str">
        <f t="shared" si="140"/>
        <v/>
      </c>
      <c r="V2840" s="58">
        <f>IF(AND($B2840&lt;&gt;"",$F2840&lt;&gt;"",$F2840=项目明细账!$C$2),N(V2839)+1,N(V2839))</f>
        <v>0</v>
      </c>
      <c r="W2840" s="63" t="str">
        <f>IF($H2840&lt;&gt;"","项目成本",IFERROR(INDEX(基础资料!$W$4:$W$49,MATCH($I2840,基础资料!$V$4:$V$49,0)),""))</f>
        <v/>
      </c>
      <c r="X2840" s="63" t="str">
        <f>IFERROR(INDEX(基础资料!$R$4:$R$17,MATCH($G2840,基础资料!$Q$4:$Q$17,0)),"")</f>
        <v/>
      </c>
    </row>
    <row r="2841" spans="1:24">
      <c r="A2841" s="58" t="str">
        <f>IF($B2841="","",COUNTA($B$5:$B2841))</f>
        <v/>
      </c>
      <c r="B2841" s="53"/>
      <c r="C2841" s="46"/>
      <c r="D2841" s="63" t="str">
        <f>IFERROR(INDEX(基础资料!$F$4:$F$23,MATCH($C2841,基础资料!$E$4:$E$23,0)),IF($C2841="","","未匹配账户"))</f>
        <v/>
      </c>
      <c r="E2841" s="39"/>
      <c r="F2841" s="10"/>
      <c r="G2841" s="10"/>
      <c r="H2841" s="10"/>
      <c r="I2841" s="10"/>
      <c r="J2841" s="10"/>
      <c r="K2841" s="25"/>
      <c r="L2841" s="25"/>
      <c r="M2841" s="25" t="str">
        <f>IFERROR(VLOOKUP($C2841,$C$5:$M$24,11,0)+SUMIF($C$25:$C2841,$C2841,$K$25:$K2841)-SUMIF($C$25:$C2841,$C2841,$L$25:$L2841),"")</f>
        <v/>
      </c>
      <c r="N2841" s="10"/>
      <c r="O2841" s="10"/>
      <c r="P2841" s="65"/>
      <c r="Q2841" s="10"/>
      <c r="R2841" s="10"/>
      <c r="S2841" s="54" t="str">
        <f t="shared" si="138"/>
        <v/>
      </c>
      <c r="T2841" s="54" t="str">
        <f t="shared" si="139"/>
        <v/>
      </c>
      <c r="U2841" s="58" t="str">
        <f t="shared" si="140"/>
        <v/>
      </c>
      <c r="V2841" s="58">
        <f>IF(AND($B2841&lt;&gt;"",$F2841&lt;&gt;"",$F2841=项目明细账!$C$2),N(V2840)+1,N(V2840))</f>
        <v>0</v>
      </c>
      <c r="W2841" s="63" t="str">
        <f>IF($H2841&lt;&gt;"","项目成本",IFERROR(INDEX(基础资料!$W$4:$W$49,MATCH($I2841,基础资料!$V$4:$V$49,0)),""))</f>
        <v/>
      </c>
      <c r="X2841" s="63" t="str">
        <f>IFERROR(INDEX(基础资料!$R$4:$R$17,MATCH($G2841,基础资料!$Q$4:$Q$17,0)),"")</f>
        <v/>
      </c>
    </row>
    <row r="2842" spans="1:24">
      <c r="A2842" s="58" t="str">
        <f>IF($B2842="","",COUNTA($B$5:$B2842))</f>
        <v/>
      </c>
      <c r="B2842" s="53"/>
      <c r="C2842" s="46"/>
      <c r="D2842" s="63" t="str">
        <f>IFERROR(INDEX(基础资料!$F$4:$F$23,MATCH($C2842,基础资料!$E$4:$E$23,0)),IF($C2842="","","未匹配账户"))</f>
        <v/>
      </c>
      <c r="E2842" s="39"/>
      <c r="F2842" s="10"/>
      <c r="G2842" s="10"/>
      <c r="H2842" s="10"/>
      <c r="I2842" s="10"/>
      <c r="J2842" s="10"/>
      <c r="K2842" s="25"/>
      <c r="L2842" s="25"/>
      <c r="M2842" s="25" t="str">
        <f>IFERROR(VLOOKUP($C2842,$C$5:$M$24,11,0)+SUMIF($C$25:$C2842,$C2842,$K$25:$K2842)-SUMIF($C$25:$C2842,$C2842,$L$25:$L2842),"")</f>
        <v/>
      </c>
      <c r="N2842" s="10"/>
      <c r="O2842" s="10"/>
      <c r="P2842" s="65"/>
      <c r="Q2842" s="10"/>
      <c r="R2842" s="10"/>
      <c r="S2842" s="54" t="str">
        <f t="shared" si="138"/>
        <v/>
      </c>
      <c r="T2842" s="54" t="str">
        <f t="shared" si="139"/>
        <v/>
      </c>
      <c r="U2842" s="58" t="str">
        <f t="shared" si="140"/>
        <v/>
      </c>
      <c r="V2842" s="58">
        <f>IF(AND($B2842&lt;&gt;"",$F2842&lt;&gt;"",$F2842=项目明细账!$C$2),N(V2841)+1,N(V2841))</f>
        <v>0</v>
      </c>
      <c r="W2842" s="63" t="str">
        <f>IF($H2842&lt;&gt;"","项目成本",IFERROR(INDEX(基础资料!$W$4:$W$49,MATCH($I2842,基础资料!$V$4:$V$49,0)),""))</f>
        <v/>
      </c>
      <c r="X2842" s="63" t="str">
        <f>IFERROR(INDEX(基础资料!$R$4:$R$17,MATCH($G2842,基础资料!$Q$4:$Q$17,0)),"")</f>
        <v/>
      </c>
    </row>
    <row r="2843" spans="1:24">
      <c r="A2843" s="58" t="str">
        <f>IF($B2843="","",COUNTA($B$5:$B2843))</f>
        <v/>
      </c>
      <c r="B2843" s="53"/>
      <c r="C2843" s="46"/>
      <c r="D2843" s="63" t="str">
        <f>IFERROR(INDEX(基础资料!$F$4:$F$23,MATCH($C2843,基础资料!$E$4:$E$23,0)),IF($C2843="","","未匹配账户"))</f>
        <v/>
      </c>
      <c r="E2843" s="39"/>
      <c r="F2843" s="10"/>
      <c r="G2843" s="10"/>
      <c r="H2843" s="10"/>
      <c r="I2843" s="10"/>
      <c r="J2843" s="10"/>
      <c r="K2843" s="25"/>
      <c r="L2843" s="25"/>
      <c r="M2843" s="25" t="str">
        <f>IFERROR(VLOOKUP($C2843,$C$5:$M$24,11,0)+SUMIF($C$25:$C2843,$C2843,$K$25:$K2843)-SUMIF($C$25:$C2843,$C2843,$L$25:$L2843),"")</f>
        <v/>
      </c>
      <c r="N2843" s="10"/>
      <c r="O2843" s="10"/>
      <c r="P2843" s="65"/>
      <c r="Q2843" s="10"/>
      <c r="R2843" s="10"/>
      <c r="S2843" s="54" t="str">
        <f t="shared" si="138"/>
        <v/>
      </c>
      <c r="T2843" s="54" t="str">
        <f t="shared" si="139"/>
        <v/>
      </c>
      <c r="U2843" s="58" t="str">
        <f t="shared" si="140"/>
        <v/>
      </c>
      <c r="V2843" s="58">
        <f>IF(AND($B2843&lt;&gt;"",$F2843&lt;&gt;"",$F2843=项目明细账!$C$2),N(V2842)+1,N(V2842))</f>
        <v>0</v>
      </c>
      <c r="W2843" s="63" t="str">
        <f>IF($H2843&lt;&gt;"","项目成本",IFERROR(INDEX(基础资料!$W$4:$W$49,MATCH($I2843,基础资料!$V$4:$V$49,0)),""))</f>
        <v/>
      </c>
      <c r="X2843" s="63" t="str">
        <f>IFERROR(INDEX(基础资料!$R$4:$R$17,MATCH($G2843,基础资料!$Q$4:$Q$17,0)),"")</f>
        <v/>
      </c>
    </row>
    <row r="2844" spans="1:24">
      <c r="A2844" s="58" t="str">
        <f>IF($B2844="","",COUNTA($B$5:$B2844))</f>
        <v/>
      </c>
      <c r="B2844" s="53"/>
      <c r="C2844" s="46"/>
      <c r="D2844" s="63" t="str">
        <f>IFERROR(INDEX(基础资料!$F$4:$F$23,MATCH($C2844,基础资料!$E$4:$E$23,0)),IF($C2844="","","未匹配账户"))</f>
        <v/>
      </c>
      <c r="E2844" s="39"/>
      <c r="F2844" s="10"/>
      <c r="G2844" s="10"/>
      <c r="H2844" s="10"/>
      <c r="I2844" s="10"/>
      <c r="J2844" s="10"/>
      <c r="K2844" s="25"/>
      <c r="L2844" s="25"/>
      <c r="M2844" s="25" t="str">
        <f>IFERROR(VLOOKUP($C2844,$C$5:$M$24,11,0)+SUMIF($C$25:$C2844,$C2844,$K$25:$K2844)-SUMIF($C$25:$C2844,$C2844,$L$25:$L2844),"")</f>
        <v/>
      </c>
      <c r="N2844" s="10"/>
      <c r="O2844" s="10"/>
      <c r="P2844" s="65"/>
      <c r="Q2844" s="10"/>
      <c r="R2844" s="10"/>
      <c r="S2844" s="54" t="str">
        <f t="shared" si="138"/>
        <v/>
      </c>
      <c r="T2844" s="54" t="str">
        <f t="shared" si="139"/>
        <v/>
      </c>
      <c r="U2844" s="58" t="str">
        <f t="shared" si="140"/>
        <v/>
      </c>
      <c r="V2844" s="58">
        <f>IF(AND($B2844&lt;&gt;"",$F2844&lt;&gt;"",$F2844=项目明细账!$C$2),N(V2843)+1,N(V2843))</f>
        <v>0</v>
      </c>
      <c r="W2844" s="63" t="str">
        <f>IF($H2844&lt;&gt;"","项目成本",IFERROR(INDEX(基础资料!$W$4:$W$49,MATCH($I2844,基础资料!$V$4:$V$49,0)),""))</f>
        <v/>
      </c>
      <c r="X2844" s="63" t="str">
        <f>IFERROR(INDEX(基础资料!$R$4:$R$17,MATCH($G2844,基础资料!$Q$4:$Q$17,0)),"")</f>
        <v/>
      </c>
    </row>
    <row r="2845" spans="1:24">
      <c r="A2845" s="58" t="str">
        <f>IF($B2845="","",COUNTA($B$5:$B2845))</f>
        <v/>
      </c>
      <c r="B2845" s="53"/>
      <c r="C2845" s="46"/>
      <c r="D2845" s="63" t="str">
        <f>IFERROR(INDEX(基础资料!$F$4:$F$23,MATCH($C2845,基础资料!$E$4:$E$23,0)),IF($C2845="","","未匹配账户"))</f>
        <v/>
      </c>
      <c r="E2845" s="39"/>
      <c r="F2845" s="10"/>
      <c r="G2845" s="10"/>
      <c r="H2845" s="10"/>
      <c r="I2845" s="10"/>
      <c r="J2845" s="10"/>
      <c r="K2845" s="25"/>
      <c r="L2845" s="25"/>
      <c r="M2845" s="25" t="str">
        <f>IFERROR(VLOOKUP($C2845,$C$5:$M$24,11,0)+SUMIF($C$25:$C2845,$C2845,$K$25:$K2845)-SUMIF($C$25:$C2845,$C2845,$L$25:$L2845),"")</f>
        <v/>
      </c>
      <c r="N2845" s="10"/>
      <c r="O2845" s="10"/>
      <c r="P2845" s="65"/>
      <c r="Q2845" s="10"/>
      <c r="R2845" s="10"/>
      <c r="S2845" s="54" t="str">
        <f t="shared" si="138"/>
        <v/>
      </c>
      <c r="T2845" s="54" t="str">
        <f t="shared" si="139"/>
        <v/>
      </c>
      <c r="U2845" s="58" t="str">
        <f t="shared" si="140"/>
        <v/>
      </c>
      <c r="V2845" s="58">
        <f>IF(AND($B2845&lt;&gt;"",$F2845&lt;&gt;"",$F2845=项目明细账!$C$2),N(V2844)+1,N(V2844))</f>
        <v>0</v>
      </c>
      <c r="W2845" s="63" t="str">
        <f>IF($H2845&lt;&gt;"","项目成本",IFERROR(INDEX(基础资料!$W$4:$W$49,MATCH($I2845,基础资料!$V$4:$V$49,0)),""))</f>
        <v/>
      </c>
      <c r="X2845" s="63" t="str">
        <f>IFERROR(INDEX(基础资料!$R$4:$R$17,MATCH($G2845,基础资料!$Q$4:$Q$17,0)),"")</f>
        <v/>
      </c>
    </row>
    <row r="2846" spans="1:24">
      <c r="A2846" s="58" t="str">
        <f>IF($B2846="","",COUNTA($B$5:$B2846))</f>
        <v/>
      </c>
      <c r="B2846" s="53"/>
      <c r="C2846" s="46"/>
      <c r="D2846" s="63" t="str">
        <f>IFERROR(INDEX(基础资料!$F$4:$F$23,MATCH($C2846,基础资料!$E$4:$E$23,0)),IF($C2846="","","未匹配账户"))</f>
        <v/>
      </c>
      <c r="E2846" s="39"/>
      <c r="F2846" s="10"/>
      <c r="G2846" s="10"/>
      <c r="H2846" s="10"/>
      <c r="I2846" s="10"/>
      <c r="J2846" s="10"/>
      <c r="K2846" s="25"/>
      <c r="L2846" s="25"/>
      <c r="M2846" s="25" t="str">
        <f>IFERROR(VLOOKUP($C2846,$C$5:$M$24,11,0)+SUMIF($C$25:$C2846,$C2846,$K$25:$K2846)-SUMIF($C$25:$C2846,$C2846,$L$25:$L2846),"")</f>
        <v/>
      </c>
      <c r="N2846" s="10"/>
      <c r="O2846" s="10"/>
      <c r="P2846" s="65"/>
      <c r="Q2846" s="10"/>
      <c r="R2846" s="10"/>
      <c r="S2846" s="54" t="str">
        <f t="shared" si="138"/>
        <v/>
      </c>
      <c r="T2846" s="54" t="str">
        <f t="shared" si="139"/>
        <v/>
      </c>
      <c r="U2846" s="58" t="str">
        <f t="shared" si="140"/>
        <v/>
      </c>
      <c r="V2846" s="58">
        <f>IF(AND($B2846&lt;&gt;"",$F2846&lt;&gt;"",$F2846=项目明细账!$C$2),N(V2845)+1,N(V2845))</f>
        <v>0</v>
      </c>
      <c r="W2846" s="63" t="str">
        <f>IF($H2846&lt;&gt;"","项目成本",IFERROR(INDEX(基础资料!$W$4:$W$49,MATCH($I2846,基础资料!$V$4:$V$49,0)),""))</f>
        <v/>
      </c>
      <c r="X2846" s="63" t="str">
        <f>IFERROR(INDEX(基础资料!$R$4:$R$17,MATCH($G2846,基础资料!$Q$4:$Q$17,0)),"")</f>
        <v/>
      </c>
    </row>
    <row r="2847" spans="1:24">
      <c r="A2847" s="58" t="str">
        <f>IF($B2847="","",COUNTA($B$5:$B2847))</f>
        <v/>
      </c>
      <c r="B2847" s="53"/>
      <c r="C2847" s="46"/>
      <c r="D2847" s="63" t="str">
        <f>IFERROR(INDEX(基础资料!$F$4:$F$23,MATCH($C2847,基础资料!$E$4:$E$23,0)),IF($C2847="","","未匹配账户"))</f>
        <v/>
      </c>
      <c r="E2847" s="39"/>
      <c r="F2847" s="10"/>
      <c r="G2847" s="10"/>
      <c r="H2847" s="10"/>
      <c r="I2847" s="10"/>
      <c r="J2847" s="10"/>
      <c r="K2847" s="25"/>
      <c r="L2847" s="25"/>
      <c r="M2847" s="25" t="str">
        <f>IFERROR(VLOOKUP($C2847,$C$5:$M$24,11,0)+SUMIF($C$25:$C2847,$C2847,$K$25:$K2847)-SUMIF($C$25:$C2847,$C2847,$L$25:$L2847),"")</f>
        <v/>
      </c>
      <c r="N2847" s="10"/>
      <c r="O2847" s="10"/>
      <c r="P2847" s="65"/>
      <c r="Q2847" s="10"/>
      <c r="R2847" s="10"/>
      <c r="S2847" s="54" t="str">
        <f t="shared" si="138"/>
        <v/>
      </c>
      <c r="T2847" s="54" t="str">
        <f t="shared" si="139"/>
        <v/>
      </c>
      <c r="U2847" s="58" t="str">
        <f t="shared" si="140"/>
        <v/>
      </c>
      <c r="V2847" s="58">
        <f>IF(AND($B2847&lt;&gt;"",$F2847&lt;&gt;"",$F2847=项目明细账!$C$2),N(V2846)+1,N(V2846))</f>
        <v>0</v>
      </c>
      <c r="W2847" s="63" t="str">
        <f>IF($H2847&lt;&gt;"","项目成本",IFERROR(INDEX(基础资料!$W$4:$W$49,MATCH($I2847,基础资料!$V$4:$V$49,0)),""))</f>
        <v/>
      </c>
      <c r="X2847" s="63" t="str">
        <f>IFERROR(INDEX(基础资料!$R$4:$R$17,MATCH($G2847,基础资料!$Q$4:$Q$17,0)),"")</f>
        <v/>
      </c>
    </row>
    <row r="2848" spans="1:24">
      <c r="A2848" s="58" t="str">
        <f>IF($B2848="","",COUNTA($B$5:$B2848))</f>
        <v/>
      </c>
      <c r="B2848" s="53"/>
      <c r="C2848" s="46"/>
      <c r="D2848" s="63" t="str">
        <f>IFERROR(INDEX(基础资料!$F$4:$F$23,MATCH($C2848,基础资料!$E$4:$E$23,0)),IF($C2848="","","未匹配账户"))</f>
        <v/>
      </c>
      <c r="E2848" s="39"/>
      <c r="F2848" s="10"/>
      <c r="G2848" s="10"/>
      <c r="H2848" s="10"/>
      <c r="I2848" s="10"/>
      <c r="J2848" s="10"/>
      <c r="K2848" s="25"/>
      <c r="L2848" s="25"/>
      <c r="M2848" s="25" t="str">
        <f>IFERROR(VLOOKUP($C2848,$C$5:$M$24,11,0)+SUMIF($C$25:$C2848,$C2848,$K$25:$K2848)-SUMIF($C$25:$C2848,$C2848,$L$25:$L2848),"")</f>
        <v/>
      </c>
      <c r="N2848" s="10"/>
      <c r="O2848" s="10"/>
      <c r="P2848" s="65"/>
      <c r="Q2848" s="10"/>
      <c r="R2848" s="10"/>
      <c r="S2848" s="54" t="str">
        <f t="shared" si="138"/>
        <v/>
      </c>
      <c r="T2848" s="54" t="str">
        <f t="shared" si="139"/>
        <v/>
      </c>
      <c r="U2848" s="58" t="str">
        <f t="shared" si="140"/>
        <v/>
      </c>
      <c r="V2848" s="58">
        <f>IF(AND($B2848&lt;&gt;"",$F2848&lt;&gt;"",$F2848=项目明细账!$C$2),N(V2847)+1,N(V2847))</f>
        <v>0</v>
      </c>
      <c r="W2848" s="63" t="str">
        <f>IF($H2848&lt;&gt;"","项目成本",IFERROR(INDEX(基础资料!$W$4:$W$49,MATCH($I2848,基础资料!$V$4:$V$49,0)),""))</f>
        <v/>
      </c>
      <c r="X2848" s="63" t="str">
        <f>IFERROR(INDEX(基础资料!$R$4:$R$17,MATCH($G2848,基础资料!$Q$4:$Q$17,0)),"")</f>
        <v/>
      </c>
    </row>
    <row r="2849" spans="1:24">
      <c r="A2849" s="58" t="str">
        <f>IF($B2849="","",COUNTA($B$5:$B2849))</f>
        <v/>
      </c>
      <c r="B2849" s="53"/>
      <c r="C2849" s="46"/>
      <c r="D2849" s="63" t="str">
        <f>IFERROR(INDEX(基础资料!$F$4:$F$23,MATCH($C2849,基础资料!$E$4:$E$23,0)),IF($C2849="","","未匹配账户"))</f>
        <v/>
      </c>
      <c r="E2849" s="39"/>
      <c r="F2849" s="10"/>
      <c r="G2849" s="10"/>
      <c r="H2849" s="10"/>
      <c r="I2849" s="10"/>
      <c r="J2849" s="10"/>
      <c r="K2849" s="25"/>
      <c r="L2849" s="25"/>
      <c r="M2849" s="25" t="str">
        <f>IFERROR(VLOOKUP($C2849,$C$5:$M$24,11,0)+SUMIF($C$25:$C2849,$C2849,$K$25:$K2849)-SUMIF($C$25:$C2849,$C2849,$L$25:$L2849),"")</f>
        <v/>
      </c>
      <c r="N2849" s="10"/>
      <c r="O2849" s="10"/>
      <c r="P2849" s="65"/>
      <c r="Q2849" s="10"/>
      <c r="R2849" s="10"/>
      <c r="S2849" s="54" t="str">
        <f t="shared" si="138"/>
        <v/>
      </c>
      <c r="T2849" s="54" t="str">
        <f t="shared" si="139"/>
        <v/>
      </c>
      <c r="U2849" s="58" t="str">
        <f t="shared" si="140"/>
        <v/>
      </c>
      <c r="V2849" s="58">
        <f>IF(AND($B2849&lt;&gt;"",$F2849&lt;&gt;"",$F2849=项目明细账!$C$2),N(V2848)+1,N(V2848))</f>
        <v>0</v>
      </c>
      <c r="W2849" s="63" t="str">
        <f>IF($H2849&lt;&gt;"","项目成本",IFERROR(INDEX(基础资料!$W$4:$W$49,MATCH($I2849,基础资料!$V$4:$V$49,0)),""))</f>
        <v/>
      </c>
      <c r="X2849" s="63" t="str">
        <f>IFERROR(INDEX(基础资料!$R$4:$R$17,MATCH($G2849,基础资料!$Q$4:$Q$17,0)),"")</f>
        <v/>
      </c>
    </row>
    <row r="2850" spans="1:24">
      <c r="A2850" s="58" t="str">
        <f>IF($B2850="","",COUNTA($B$5:$B2850))</f>
        <v/>
      </c>
      <c r="B2850" s="53"/>
      <c r="C2850" s="46"/>
      <c r="D2850" s="63" t="str">
        <f>IFERROR(INDEX(基础资料!$F$4:$F$23,MATCH($C2850,基础资料!$E$4:$E$23,0)),IF($C2850="","","未匹配账户"))</f>
        <v/>
      </c>
      <c r="E2850" s="39"/>
      <c r="F2850" s="10"/>
      <c r="G2850" s="10"/>
      <c r="H2850" s="10"/>
      <c r="I2850" s="10"/>
      <c r="J2850" s="10"/>
      <c r="K2850" s="25"/>
      <c r="L2850" s="25"/>
      <c r="M2850" s="25" t="str">
        <f>IFERROR(VLOOKUP($C2850,$C$5:$M$24,11,0)+SUMIF($C$25:$C2850,$C2850,$K$25:$K2850)-SUMIF($C$25:$C2850,$C2850,$L$25:$L2850),"")</f>
        <v/>
      </c>
      <c r="N2850" s="10"/>
      <c r="O2850" s="10"/>
      <c r="P2850" s="65"/>
      <c r="Q2850" s="10"/>
      <c r="R2850" s="10"/>
      <c r="S2850" s="54" t="str">
        <f t="shared" si="138"/>
        <v/>
      </c>
      <c r="T2850" s="54" t="str">
        <f t="shared" si="139"/>
        <v/>
      </c>
      <c r="U2850" s="58" t="str">
        <f t="shared" si="140"/>
        <v/>
      </c>
      <c r="V2850" s="58">
        <f>IF(AND($B2850&lt;&gt;"",$F2850&lt;&gt;"",$F2850=项目明细账!$C$2),N(V2849)+1,N(V2849))</f>
        <v>0</v>
      </c>
      <c r="W2850" s="63" t="str">
        <f>IF($H2850&lt;&gt;"","项目成本",IFERROR(INDEX(基础资料!$W$4:$W$49,MATCH($I2850,基础资料!$V$4:$V$49,0)),""))</f>
        <v/>
      </c>
      <c r="X2850" s="63" t="str">
        <f>IFERROR(INDEX(基础资料!$R$4:$R$17,MATCH($G2850,基础资料!$Q$4:$Q$17,0)),"")</f>
        <v/>
      </c>
    </row>
    <row r="2851" spans="1:24">
      <c r="A2851" s="58" t="str">
        <f>IF($B2851="","",COUNTA($B$5:$B2851))</f>
        <v/>
      </c>
      <c r="B2851" s="53"/>
      <c r="C2851" s="46"/>
      <c r="D2851" s="63" t="str">
        <f>IFERROR(INDEX(基础资料!$F$4:$F$23,MATCH($C2851,基础资料!$E$4:$E$23,0)),IF($C2851="","","未匹配账户"))</f>
        <v/>
      </c>
      <c r="E2851" s="39"/>
      <c r="F2851" s="10"/>
      <c r="G2851" s="10"/>
      <c r="H2851" s="10"/>
      <c r="I2851" s="10"/>
      <c r="J2851" s="10"/>
      <c r="K2851" s="25"/>
      <c r="L2851" s="25"/>
      <c r="M2851" s="25" t="str">
        <f>IFERROR(VLOOKUP($C2851,$C$5:$M$24,11,0)+SUMIF($C$25:$C2851,$C2851,$K$25:$K2851)-SUMIF($C$25:$C2851,$C2851,$L$25:$L2851),"")</f>
        <v/>
      </c>
      <c r="N2851" s="10"/>
      <c r="O2851" s="10"/>
      <c r="P2851" s="65"/>
      <c r="Q2851" s="10"/>
      <c r="R2851" s="10"/>
      <c r="S2851" s="54" t="str">
        <f t="shared" si="138"/>
        <v/>
      </c>
      <c r="T2851" s="54" t="str">
        <f t="shared" si="139"/>
        <v/>
      </c>
      <c r="U2851" s="58" t="str">
        <f t="shared" si="140"/>
        <v/>
      </c>
      <c r="V2851" s="58">
        <f>IF(AND($B2851&lt;&gt;"",$F2851&lt;&gt;"",$F2851=项目明细账!$C$2),N(V2850)+1,N(V2850))</f>
        <v>0</v>
      </c>
      <c r="W2851" s="63" t="str">
        <f>IF($H2851&lt;&gt;"","项目成本",IFERROR(INDEX(基础资料!$W$4:$W$49,MATCH($I2851,基础资料!$V$4:$V$49,0)),""))</f>
        <v/>
      </c>
      <c r="X2851" s="63" t="str">
        <f>IFERROR(INDEX(基础资料!$R$4:$R$17,MATCH($G2851,基础资料!$Q$4:$Q$17,0)),"")</f>
        <v/>
      </c>
    </row>
    <row r="2852" spans="1:24">
      <c r="A2852" s="58" t="str">
        <f>IF($B2852="","",COUNTA($B$5:$B2852))</f>
        <v/>
      </c>
      <c r="B2852" s="53"/>
      <c r="C2852" s="46"/>
      <c r="D2852" s="63" t="str">
        <f>IFERROR(INDEX(基础资料!$F$4:$F$23,MATCH($C2852,基础资料!$E$4:$E$23,0)),IF($C2852="","","未匹配账户"))</f>
        <v/>
      </c>
      <c r="E2852" s="39"/>
      <c r="F2852" s="10"/>
      <c r="G2852" s="10"/>
      <c r="H2852" s="10"/>
      <c r="I2852" s="10"/>
      <c r="J2852" s="10"/>
      <c r="K2852" s="25"/>
      <c r="L2852" s="25"/>
      <c r="M2852" s="25" t="str">
        <f>IFERROR(VLOOKUP($C2852,$C$5:$M$24,11,0)+SUMIF($C$25:$C2852,$C2852,$K$25:$K2852)-SUMIF($C$25:$C2852,$C2852,$L$25:$L2852),"")</f>
        <v/>
      </c>
      <c r="N2852" s="10"/>
      <c r="O2852" s="10"/>
      <c r="P2852" s="65"/>
      <c r="Q2852" s="10"/>
      <c r="R2852" s="10"/>
      <c r="S2852" s="54" t="str">
        <f t="shared" si="138"/>
        <v/>
      </c>
      <c r="T2852" s="54" t="str">
        <f t="shared" si="139"/>
        <v/>
      </c>
      <c r="U2852" s="58" t="str">
        <f t="shared" si="140"/>
        <v/>
      </c>
      <c r="V2852" s="58">
        <f>IF(AND($B2852&lt;&gt;"",$F2852&lt;&gt;"",$F2852=项目明细账!$C$2),N(V2851)+1,N(V2851))</f>
        <v>0</v>
      </c>
      <c r="W2852" s="63" t="str">
        <f>IF($H2852&lt;&gt;"","项目成本",IFERROR(INDEX(基础资料!$W$4:$W$49,MATCH($I2852,基础资料!$V$4:$V$49,0)),""))</f>
        <v/>
      </c>
      <c r="X2852" s="63" t="str">
        <f>IFERROR(INDEX(基础资料!$R$4:$R$17,MATCH($G2852,基础资料!$Q$4:$Q$17,0)),"")</f>
        <v/>
      </c>
    </row>
    <row r="2853" spans="1:24">
      <c r="A2853" s="58" t="str">
        <f>IF($B2853="","",COUNTA($B$5:$B2853))</f>
        <v/>
      </c>
      <c r="B2853" s="53"/>
      <c r="C2853" s="46"/>
      <c r="D2853" s="63" t="str">
        <f>IFERROR(INDEX(基础资料!$F$4:$F$23,MATCH($C2853,基础资料!$E$4:$E$23,0)),IF($C2853="","","未匹配账户"))</f>
        <v/>
      </c>
      <c r="E2853" s="39"/>
      <c r="F2853" s="10"/>
      <c r="G2853" s="10"/>
      <c r="H2853" s="10"/>
      <c r="I2853" s="10"/>
      <c r="J2853" s="10"/>
      <c r="K2853" s="25"/>
      <c r="L2853" s="25"/>
      <c r="M2853" s="25" t="str">
        <f>IFERROR(VLOOKUP($C2853,$C$5:$M$24,11,0)+SUMIF($C$25:$C2853,$C2853,$K$25:$K2853)-SUMIF($C$25:$C2853,$C2853,$L$25:$L2853),"")</f>
        <v/>
      </c>
      <c r="N2853" s="10"/>
      <c r="O2853" s="10"/>
      <c r="P2853" s="65"/>
      <c r="Q2853" s="10"/>
      <c r="R2853" s="10"/>
      <c r="S2853" s="54" t="str">
        <f t="shared" si="138"/>
        <v/>
      </c>
      <c r="T2853" s="54" t="str">
        <f t="shared" si="139"/>
        <v/>
      </c>
      <c r="U2853" s="58" t="str">
        <f t="shared" si="140"/>
        <v/>
      </c>
      <c r="V2853" s="58">
        <f>IF(AND($B2853&lt;&gt;"",$F2853&lt;&gt;"",$F2853=项目明细账!$C$2),N(V2852)+1,N(V2852))</f>
        <v>0</v>
      </c>
      <c r="W2853" s="63" t="str">
        <f>IF($H2853&lt;&gt;"","项目成本",IFERROR(INDEX(基础资料!$W$4:$W$49,MATCH($I2853,基础资料!$V$4:$V$49,0)),""))</f>
        <v/>
      </c>
      <c r="X2853" s="63" t="str">
        <f>IFERROR(INDEX(基础资料!$R$4:$R$17,MATCH($G2853,基础资料!$Q$4:$Q$17,0)),"")</f>
        <v/>
      </c>
    </row>
    <row r="2854" spans="1:24">
      <c r="A2854" s="58" t="str">
        <f>IF($B2854="","",COUNTA($B$5:$B2854))</f>
        <v/>
      </c>
      <c r="B2854" s="53"/>
      <c r="C2854" s="46"/>
      <c r="D2854" s="63" t="str">
        <f>IFERROR(INDEX(基础资料!$F$4:$F$23,MATCH($C2854,基础资料!$E$4:$E$23,0)),IF($C2854="","","未匹配账户"))</f>
        <v/>
      </c>
      <c r="E2854" s="39"/>
      <c r="F2854" s="10"/>
      <c r="G2854" s="10"/>
      <c r="H2854" s="10"/>
      <c r="I2854" s="10"/>
      <c r="J2854" s="10"/>
      <c r="K2854" s="25"/>
      <c r="L2854" s="25"/>
      <c r="M2854" s="25" t="str">
        <f>IFERROR(VLOOKUP($C2854,$C$5:$M$24,11,0)+SUMIF($C$25:$C2854,$C2854,$K$25:$K2854)-SUMIF($C$25:$C2854,$C2854,$L$25:$L2854),"")</f>
        <v/>
      </c>
      <c r="N2854" s="10"/>
      <c r="O2854" s="10"/>
      <c r="P2854" s="65"/>
      <c r="Q2854" s="10"/>
      <c r="R2854" s="10"/>
      <c r="S2854" s="54" t="str">
        <f t="shared" si="138"/>
        <v/>
      </c>
      <c r="T2854" s="54" t="str">
        <f t="shared" si="139"/>
        <v/>
      </c>
      <c r="U2854" s="58" t="str">
        <f t="shared" si="140"/>
        <v/>
      </c>
      <c r="V2854" s="58">
        <f>IF(AND($B2854&lt;&gt;"",$F2854&lt;&gt;"",$F2854=项目明细账!$C$2),N(V2853)+1,N(V2853))</f>
        <v>0</v>
      </c>
      <c r="W2854" s="63" t="str">
        <f>IF($H2854&lt;&gt;"","项目成本",IFERROR(INDEX(基础资料!$W$4:$W$49,MATCH($I2854,基础资料!$V$4:$V$49,0)),""))</f>
        <v/>
      </c>
      <c r="X2854" s="63" t="str">
        <f>IFERROR(INDEX(基础资料!$R$4:$R$17,MATCH($G2854,基础资料!$Q$4:$Q$17,0)),"")</f>
        <v/>
      </c>
    </row>
    <row r="2855" spans="1:24">
      <c r="A2855" s="58" t="str">
        <f>IF($B2855="","",COUNTA($B$5:$B2855))</f>
        <v/>
      </c>
      <c r="B2855" s="53"/>
      <c r="C2855" s="46"/>
      <c r="D2855" s="63" t="str">
        <f>IFERROR(INDEX(基础资料!$F$4:$F$23,MATCH($C2855,基础资料!$E$4:$E$23,0)),IF($C2855="","","未匹配账户"))</f>
        <v/>
      </c>
      <c r="E2855" s="39"/>
      <c r="F2855" s="10"/>
      <c r="G2855" s="10"/>
      <c r="H2855" s="10"/>
      <c r="I2855" s="10"/>
      <c r="J2855" s="10"/>
      <c r="K2855" s="25"/>
      <c r="L2855" s="25"/>
      <c r="M2855" s="25" t="str">
        <f>IFERROR(VLOOKUP($C2855,$C$5:$M$24,11,0)+SUMIF($C$25:$C2855,$C2855,$K$25:$K2855)-SUMIF($C$25:$C2855,$C2855,$L$25:$L2855),"")</f>
        <v/>
      </c>
      <c r="N2855" s="10"/>
      <c r="O2855" s="10"/>
      <c r="P2855" s="65"/>
      <c r="Q2855" s="10"/>
      <c r="R2855" s="10"/>
      <c r="S2855" s="54" t="str">
        <f t="shared" si="138"/>
        <v/>
      </c>
      <c r="T2855" s="54" t="str">
        <f t="shared" si="139"/>
        <v/>
      </c>
      <c r="U2855" s="58" t="str">
        <f t="shared" si="140"/>
        <v/>
      </c>
      <c r="V2855" s="58">
        <f>IF(AND($B2855&lt;&gt;"",$F2855&lt;&gt;"",$F2855=项目明细账!$C$2),N(V2854)+1,N(V2854))</f>
        <v>0</v>
      </c>
      <c r="W2855" s="63" t="str">
        <f>IF($H2855&lt;&gt;"","项目成本",IFERROR(INDEX(基础资料!$W$4:$W$49,MATCH($I2855,基础资料!$V$4:$V$49,0)),""))</f>
        <v/>
      </c>
      <c r="X2855" s="63" t="str">
        <f>IFERROR(INDEX(基础资料!$R$4:$R$17,MATCH($G2855,基础资料!$Q$4:$Q$17,0)),"")</f>
        <v/>
      </c>
    </row>
    <row r="2856" spans="1:24">
      <c r="A2856" s="58" t="str">
        <f>IF($B2856="","",COUNTA($B$5:$B2856))</f>
        <v/>
      </c>
      <c r="B2856" s="53"/>
      <c r="C2856" s="46"/>
      <c r="D2856" s="63" t="str">
        <f>IFERROR(INDEX(基础资料!$F$4:$F$23,MATCH($C2856,基础资料!$E$4:$E$23,0)),IF($C2856="","","未匹配账户"))</f>
        <v/>
      </c>
      <c r="E2856" s="39"/>
      <c r="F2856" s="10"/>
      <c r="G2856" s="10"/>
      <c r="H2856" s="10"/>
      <c r="I2856" s="10"/>
      <c r="J2856" s="10"/>
      <c r="K2856" s="25"/>
      <c r="L2856" s="25"/>
      <c r="M2856" s="25" t="str">
        <f>IFERROR(VLOOKUP($C2856,$C$5:$M$24,11,0)+SUMIF($C$25:$C2856,$C2856,$K$25:$K2856)-SUMIF($C$25:$C2856,$C2856,$L$25:$L2856),"")</f>
        <v/>
      </c>
      <c r="N2856" s="10"/>
      <c r="O2856" s="10"/>
      <c r="P2856" s="65"/>
      <c r="Q2856" s="10"/>
      <c r="R2856" s="10"/>
      <c r="S2856" s="54" t="str">
        <f t="shared" si="138"/>
        <v/>
      </c>
      <c r="T2856" s="54" t="str">
        <f t="shared" si="139"/>
        <v/>
      </c>
      <c r="U2856" s="58" t="str">
        <f t="shared" si="140"/>
        <v/>
      </c>
      <c r="V2856" s="58">
        <f>IF(AND($B2856&lt;&gt;"",$F2856&lt;&gt;"",$F2856=项目明细账!$C$2),N(V2855)+1,N(V2855))</f>
        <v>0</v>
      </c>
      <c r="W2856" s="63" t="str">
        <f>IF($H2856&lt;&gt;"","项目成本",IFERROR(INDEX(基础资料!$W$4:$W$49,MATCH($I2856,基础资料!$V$4:$V$49,0)),""))</f>
        <v/>
      </c>
      <c r="X2856" s="63" t="str">
        <f>IFERROR(INDEX(基础资料!$R$4:$R$17,MATCH($G2856,基础资料!$Q$4:$Q$17,0)),"")</f>
        <v/>
      </c>
    </row>
    <row r="2857" spans="1:24">
      <c r="A2857" s="58" t="str">
        <f>IF($B2857="","",COUNTA($B$5:$B2857))</f>
        <v/>
      </c>
      <c r="B2857" s="53"/>
      <c r="C2857" s="46"/>
      <c r="D2857" s="63" t="str">
        <f>IFERROR(INDEX(基础资料!$F$4:$F$23,MATCH($C2857,基础资料!$E$4:$E$23,0)),IF($C2857="","","未匹配账户"))</f>
        <v/>
      </c>
      <c r="E2857" s="39"/>
      <c r="F2857" s="10"/>
      <c r="G2857" s="10"/>
      <c r="H2857" s="10"/>
      <c r="I2857" s="10"/>
      <c r="J2857" s="10"/>
      <c r="K2857" s="25"/>
      <c r="L2857" s="25"/>
      <c r="M2857" s="25" t="str">
        <f>IFERROR(VLOOKUP($C2857,$C$5:$M$24,11,0)+SUMIF($C$25:$C2857,$C2857,$K$25:$K2857)-SUMIF($C$25:$C2857,$C2857,$L$25:$L2857),"")</f>
        <v/>
      </c>
      <c r="N2857" s="10"/>
      <c r="O2857" s="10"/>
      <c r="P2857" s="65"/>
      <c r="Q2857" s="10"/>
      <c r="R2857" s="10"/>
      <c r="S2857" s="54" t="str">
        <f t="shared" si="138"/>
        <v/>
      </c>
      <c r="T2857" s="54" t="str">
        <f t="shared" si="139"/>
        <v/>
      </c>
      <c r="U2857" s="58" t="str">
        <f t="shared" si="140"/>
        <v/>
      </c>
      <c r="V2857" s="58">
        <f>IF(AND($B2857&lt;&gt;"",$F2857&lt;&gt;"",$F2857=项目明细账!$C$2),N(V2856)+1,N(V2856))</f>
        <v>0</v>
      </c>
      <c r="W2857" s="63" t="str">
        <f>IF($H2857&lt;&gt;"","项目成本",IFERROR(INDEX(基础资料!$W$4:$W$49,MATCH($I2857,基础资料!$V$4:$V$49,0)),""))</f>
        <v/>
      </c>
      <c r="X2857" s="63" t="str">
        <f>IFERROR(INDEX(基础资料!$R$4:$R$17,MATCH($G2857,基础资料!$Q$4:$Q$17,0)),"")</f>
        <v/>
      </c>
    </row>
    <row r="2858" spans="1:24">
      <c r="A2858" s="58" t="str">
        <f>IF($B2858="","",COUNTA($B$5:$B2858))</f>
        <v/>
      </c>
      <c r="B2858" s="53"/>
      <c r="C2858" s="46"/>
      <c r="D2858" s="63" t="str">
        <f>IFERROR(INDEX(基础资料!$F$4:$F$23,MATCH($C2858,基础资料!$E$4:$E$23,0)),IF($C2858="","","未匹配账户"))</f>
        <v/>
      </c>
      <c r="E2858" s="39"/>
      <c r="F2858" s="10"/>
      <c r="G2858" s="10"/>
      <c r="H2858" s="10"/>
      <c r="I2858" s="10"/>
      <c r="J2858" s="10"/>
      <c r="K2858" s="25"/>
      <c r="L2858" s="25"/>
      <c r="M2858" s="25" t="str">
        <f>IFERROR(VLOOKUP($C2858,$C$5:$M$24,11,0)+SUMIF($C$25:$C2858,$C2858,$K$25:$K2858)-SUMIF($C$25:$C2858,$C2858,$L$25:$L2858),"")</f>
        <v/>
      </c>
      <c r="N2858" s="10"/>
      <c r="O2858" s="10"/>
      <c r="P2858" s="65"/>
      <c r="Q2858" s="10"/>
      <c r="R2858" s="10"/>
      <c r="S2858" s="54" t="str">
        <f t="shared" si="138"/>
        <v/>
      </c>
      <c r="T2858" s="54" t="str">
        <f t="shared" si="139"/>
        <v/>
      </c>
      <c r="U2858" s="58" t="str">
        <f t="shared" si="140"/>
        <v/>
      </c>
      <c r="V2858" s="58">
        <f>IF(AND($B2858&lt;&gt;"",$F2858&lt;&gt;"",$F2858=项目明细账!$C$2),N(V2857)+1,N(V2857))</f>
        <v>0</v>
      </c>
      <c r="W2858" s="63" t="str">
        <f>IF($H2858&lt;&gt;"","项目成本",IFERROR(INDEX(基础资料!$W$4:$W$49,MATCH($I2858,基础资料!$V$4:$V$49,0)),""))</f>
        <v/>
      </c>
      <c r="X2858" s="63" t="str">
        <f>IFERROR(INDEX(基础资料!$R$4:$R$17,MATCH($G2858,基础资料!$Q$4:$Q$17,0)),"")</f>
        <v/>
      </c>
    </row>
    <row r="2859" spans="1:24">
      <c r="A2859" s="58" t="str">
        <f>IF($B2859="","",COUNTA($B$5:$B2859))</f>
        <v/>
      </c>
      <c r="B2859" s="53"/>
      <c r="C2859" s="46"/>
      <c r="D2859" s="63" t="str">
        <f>IFERROR(INDEX(基础资料!$F$4:$F$23,MATCH($C2859,基础资料!$E$4:$E$23,0)),IF($C2859="","","未匹配账户"))</f>
        <v/>
      </c>
      <c r="E2859" s="39"/>
      <c r="F2859" s="10"/>
      <c r="G2859" s="10"/>
      <c r="H2859" s="10"/>
      <c r="I2859" s="10"/>
      <c r="J2859" s="10"/>
      <c r="K2859" s="25"/>
      <c r="L2859" s="25"/>
      <c r="M2859" s="25" t="str">
        <f>IFERROR(VLOOKUP($C2859,$C$5:$M$24,11,0)+SUMIF($C$25:$C2859,$C2859,$K$25:$K2859)-SUMIF($C$25:$C2859,$C2859,$L$25:$L2859),"")</f>
        <v/>
      </c>
      <c r="N2859" s="10"/>
      <c r="O2859" s="10"/>
      <c r="P2859" s="65"/>
      <c r="Q2859" s="10"/>
      <c r="R2859" s="10"/>
      <c r="S2859" s="54" t="str">
        <f t="shared" si="138"/>
        <v/>
      </c>
      <c r="T2859" s="54" t="str">
        <f t="shared" si="139"/>
        <v/>
      </c>
      <c r="U2859" s="58" t="str">
        <f t="shared" si="140"/>
        <v/>
      </c>
      <c r="V2859" s="58">
        <f>IF(AND($B2859&lt;&gt;"",$F2859&lt;&gt;"",$F2859=项目明细账!$C$2),N(V2858)+1,N(V2858))</f>
        <v>0</v>
      </c>
      <c r="W2859" s="63" t="str">
        <f>IF($H2859&lt;&gt;"","项目成本",IFERROR(INDEX(基础资料!$W$4:$W$49,MATCH($I2859,基础资料!$V$4:$V$49,0)),""))</f>
        <v/>
      </c>
      <c r="X2859" s="63" t="str">
        <f>IFERROR(INDEX(基础资料!$R$4:$R$17,MATCH($G2859,基础资料!$Q$4:$Q$17,0)),"")</f>
        <v/>
      </c>
    </row>
    <row r="2860" spans="1:24">
      <c r="A2860" s="58" t="str">
        <f>IF($B2860="","",COUNTA($B$5:$B2860))</f>
        <v/>
      </c>
      <c r="B2860" s="53"/>
      <c r="C2860" s="46"/>
      <c r="D2860" s="63" t="str">
        <f>IFERROR(INDEX(基础资料!$F$4:$F$23,MATCH($C2860,基础资料!$E$4:$E$23,0)),IF($C2860="","","未匹配账户"))</f>
        <v/>
      </c>
      <c r="E2860" s="39"/>
      <c r="F2860" s="10"/>
      <c r="G2860" s="10"/>
      <c r="H2860" s="10"/>
      <c r="I2860" s="10"/>
      <c r="J2860" s="10"/>
      <c r="K2860" s="25"/>
      <c r="L2860" s="25"/>
      <c r="M2860" s="25" t="str">
        <f>IFERROR(VLOOKUP($C2860,$C$5:$M$24,11,0)+SUMIF($C$25:$C2860,$C2860,$K$25:$K2860)-SUMIF($C$25:$C2860,$C2860,$L$25:$L2860),"")</f>
        <v/>
      </c>
      <c r="N2860" s="10"/>
      <c r="O2860" s="10"/>
      <c r="P2860" s="65"/>
      <c r="Q2860" s="10"/>
      <c r="R2860" s="10"/>
      <c r="S2860" s="54" t="str">
        <f t="shared" si="138"/>
        <v/>
      </c>
      <c r="T2860" s="54" t="str">
        <f t="shared" si="139"/>
        <v/>
      </c>
      <c r="U2860" s="58" t="str">
        <f t="shared" si="140"/>
        <v/>
      </c>
      <c r="V2860" s="58">
        <f>IF(AND($B2860&lt;&gt;"",$F2860&lt;&gt;"",$F2860=项目明细账!$C$2),N(V2859)+1,N(V2859))</f>
        <v>0</v>
      </c>
      <c r="W2860" s="63" t="str">
        <f>IF($H2860&lt;&gt;"","项目成本",IFERROR(INDEX(基础资料!$W$4:$W$49,MATCH($I2860,基础资料!$V$4:$V$49,0)),""))</f>
        <v/>
      </c>
      <c r="X2860" s="63" t="str">
        <f>IFERROR(INDEX(基础资料!$R$4:$R$17,MATCH($G2860,基础资料!$Q$4:$Q$17,0)),"")</f>
        <v/>
      </c>
    </row>
    <row r="2861" spans="1:24">
      <c r="A2861" s="58" t="str">
        <f>IF($B2861="","",COUNTA($B$5:$B2861))</f>
        <v/>
      </c>
      <c r="B2861" s="53"/>
      <c r="C2861" s="46"/>
      <c r="D2861" s="63" t="str">
        <f>IFERROR(INDEX(基础资料!$F$4:$F$23,MATCH($C2861,基础资料!$E$4:$E$23,0)),IF($C2861="","","未匹配账户"))</f>
        <v/>
      </c>
      <c r="E2861" s="39"/>
      <c r="F2861" s="10"/>
      <c r="G2861" s="10"/>
      <c r="H2861" s="10"/>
      <c r="I2861" s="10"/>
      <c r="J2861" s="10"/>
      <c r="K2861" s="25"/>
      <c r="L2861" s="25"/>
      <c r="M2861" s="25" t="str">
        <f>IFERROR(VLOOKUP($C2861,$C$5:$M$24,11,0)+SUMIF($C$25:$C2861,$C2861,$K$25:$K2861)-SUMIF($C$25:$C2861,$C2861,$L$25:$L2861),"")</f>
        <v/>
      </c>
      <c r="N2861" s="10"/>
      <c r="O2861" s="10"/>
      <c r="P2861" s="65"/>
      <c r="Q2861" s="10"/>
      <c r="R2861" s="10"/>
      <c r="S2861" s="54" t="str">
        <f t="shared" si="138"/>
        <v/>
      </c>
      <c r="T2861" s="54" t="str">
        <f t="shared" si="139"/>
        <v/>
      </c>
      <c r="U2861" s="58" t="str">
        <f t="shared" si="140"/>
        <v/>
      </c>
      <c r="V2861" s="58">
        <f>IF(AND($B2861&lt;&gt;"",$F2861&lt;&gt;"",$F2861=项目明细账!$C$2),N(V2860)+1,N(V2860))</f>
        <v>0</v>
      </c>
      <c r="W2861" s="63" t="str">
        <f>IF($H2861&lt;&gt;"","项目成本",IFERROR(INDEX(基础资料!$W$4:$W$49,MATCH($I2861,基础资料!$V$4:$V$49,0)),""))</f>
        <v/>
      </c>
      <c r="X2861" s="63" t="str">
        <f>IFERROR(INDEX(基础资料!$R$4:$R$17,MATCH($G2861,基础资料!$Q$4:$Q$17,0)),"")</f>
        <v/>
      </c>
    </row>
    <row r="2862" spans="1:24">
      <c r="A2862" s="58" t="str">
        <f>IF($B2862="","",COUNTA($B$5:$B2862))</f>
        <v/>
      </c>
      <c r="B2862" s="53"/>
      <c r="C2862" s="46"/>
      <c r="D2862" s="63" t="str">
        <f>IFERROR(INDEX(基础资料!$F$4:$F$23,MATCH($C2862,基础资料!$E$4:$E$23,0)),IF($C2862="","","未匹配账户"))</f>
        <v/>
      </c>
      <c r="E2862" s="39"/>
      <c r="F2862" s="10"/>
      <c r="G2862" s="10"/>
      <c r="H2862" s="10"/>
      <c r="I2862" s="10"/>
      <c r="J2862" s="10"/>
      <c r="K2862" s="25"/>
      <c r="L2862" s="25"/>
      <c r="M2862" s="25" t="str">
        <f>IFERROR(VLOOKUP($C2862,$C$5:$M$24,11,0)+SUMIF($C$25:$C2862,$C2862,$K$25:$K2862)-SUMIF($C$25:$C2862,$C2862,$L$25:$L2862),"")</f>
        <v/>
      </c>
      <c r="N2862" s="10"/>
      <c r="O2862" s="10"/>
      <c r="P2862" s="65"/>
      <c r="Q2862" s="10"/>
      <c r="R2862" s="10"/>
      <c r="S2862" s="54" t="str">
        <f t="shared" si="138"/>
        <v/>
      </c>
      <c r="T2862" s="54" t="str">
        <f t="shared" si="139"/>
        <v/>
      </c>
      <c r="U2862" s="58" t="str">
        <f t="shared" si="140"/>
        <v/>
      </c>
      <c r="V2862" s="58">
        <f>IF(AND($B2862&lt;&gt;"",$F2862&lt;&gt;"",$F2862=项目明细账!$C$2),N(V2861)+1,N(V2861))</f>
        <v>0</v>
      </c>
      <c r="W2862" s="63" t="str">
        <f>IF($H2862&lt;&gt;"","项目成本",IFERROR(INDEX(基础资料!$W$4:$W$49,MATCH($I2862,基础资料!$V$4:$V$49,0)),""))</f>
        <v/>
      </c>
      <c r="X2862" s="63" t="str">
        <f>IFERROR(INDEX(基础资料!$R$4:$R$17,MATCH($G2862,基础资料!$Q$4:$Q$17,0)),"")</f>
        <v/>
      </c>
    </row>
    <row r="2863" spans="1:24">
      <c r="A2863" s="58" t="str">
        <f>IF($B2863="","",COUNTA($B$5:$B2863))</f>
        <v/>
      </c>
      <c r="B2863" s="53"/>
      <c r="C2863" s="46"/>
      <c r="D2863" s="63" t="str">
        <f>IFERROR(INDEX(基础资料!$F$4:$F$23,MATCH($C2863,基础资料!$E$4:$E$23,0)),IF($C2863="","","未匹配账户"))</f>
        <v/>
      </c>
      <c r="E2863" s="39"/>
      <c r="F2863" s="10"/>
      <c r="G2863" s="10"/>
      <c r="H2863" s="10"/>
      <c r="I2863" s="10"/>
      <c r="J2863" s="10"/>
      <c r="K2863" s="25"/>
      <c r="L2863" s="25"/>
      <c r="M2863" s="25" t="str">
        <f>IFERROR(VLOOKUP($C2863,$C$5:$M$24,11,0)+SUMIF($C$25:$C2863,$C2863,$K$25:$K2863)-SUMIF($C$25:$C2863,$C2863,$L$25:$L2863),"")</f>
        <v/>
      </c>
      <c r="N2863" s="10"/>
      <c r="O2863" s="10"/>
      <c r="P2863" s="65"/>
      <c r="Q2863" s="10"/>
      <c r="R2863" s="10"/>
      <c r="S2863" s="54" t="str">
        <f t="shared" si="138"/>
        <v/>
      </c>
      <c r="T2863" s="54" t="str">
        <f t="shared" si="139"/>
        <v/>
      </c>
      <c r="U2863" s="58" t="str">
        <f t="shared" si="140"/>
        <v/>
      </c>
      <c r="V2863" s="58">
        <f>IF(AND($B2863&lt;&gt;"",$F2863&lt;&gt;"",$F2863=项目明细账!$C$2),N(V2862)+1,N(V2862))</f>
        <v>0</v>
      </c>
      <c r="W2863" s="63" t="str">
        <f>IF($H2863&lt;&gt;"","项目成本",IFERROR(INDEX(基础资料!$W$4:$W$49,MATCH($I2863,基础资料!$V$4:$V$49,0)),""))</f>
        <v/>
      </c>
      <c r="X2863" s="63" t="str">
        <f>IFERROR(INDEX(基础资料!$R$4:$R$17,MATCH($G2863,基础资料!$Q$4:$Q$17,0)),"")</f>
        <v/>
      </c>
    </row>
    <row r="2864" spans="1:24">
      <c r="A2864" s="58" t="str">
        <f>IF($B2864="","",COUNTA($B$5:$B2864))</f>
        <v/>
      </c>
      <c r="B2864" s="53"/>
      <c r="C2864" s="46"/>
      <c r="D2864" s="63" t="str">
        <f>IFERROR(INDEX(基础资料!$F$4:$F$23,MATCH($C2864,基础资料!$E$4:$E$23,0)),IF($C2864="","","未匹配账户"))</f>
        <v/>
      </c>
      <c r="E2864" s="39"/>
      <c r="F2864" s="10"/>
      <c r="G2864" s="10"/>
      <c r="H2864" s="10"/>
      <c r="I2864" s="10"/>
      <c r="J2864" s="10"/>
      <c r="K2864" s="25"/>
      <c r="L2864" s="25"/>
      <c r="M2864" s="25" t="str">
        <f>IFERROR(VLOOKUP($C2864,$C$5:$M$24,11,0)+SUMIF($C$25:$C2864,$C2864,$K$25:$K2864)-SUMIF($C$25:$C2864,$C2864,$L$25:$L2864),"")</f>
        <v/>
      </c>
      <c r="N2864" s="10"/>
      <c r="O2864" s="10"/>
      <c r="P2864" s="65"/>
      <c r="Q2864" s="10"/>
      <c r="R2864" s="10"/>
      <c r="S2864" s="54" t="str">
        <f t="shared" si="138"/>
        <v/>
      </c>
      <c r="T2864" s="54" t="str">
        <f t="shared" si="139"/>
        <v/>
      </c>
      <c r="U2864" s="58" t="str">
        <f t="shared" si="140"/>
        <v/>
      </c>
      <c r="V2864" s="58">
        <f>IF(AND($B2864&lt;&gt;"",$F2864&lt;&gt;"",$F2864=项目明细账!$C$2),N(V2863)+1,N(V2863))</f>
        <v>0</v>
      </c>
      <c r="W2864" s="63" t="str">
        <f>IF($H2864&lt;&gt;"","项目成本",IFERROR(INDEX(基础资料!$W$4:$W$49,MATCH($I2864,基础资料!$V$4:$V$49,0)),""))</f>
        <v/>
      </c>
      <c r="X2864" s="63" t="str">
        <f>IFERROR(INDEX(基础资料!$R$4:$R$17,MATCH($G2864,基础资料!$Q$4:$Q$17,0)),"")</f>
        <v/>
      </c>
    </row>
    <row r="2865" spans="1:24">
      <c r="A2865" s="58" t="str">
        <f>IF($B2865="","",COUNTA($B$5:$B2865))</f>
        <v/>
      </c>
      <c r="B2865" s="53"/>
      <c r="C2865" s="46"/>
      <c r="D2865" s="63" t="str">
        <f>IFERROR(INDEX(基础资料!$F$4:$F$23,MATCH($C2865,基础资料!$E$4:$E$23,0)),IF($C2865="","","未匹配账户"))</f>
        <v/>
      </c>
      <c r="E2865" s="39"/>
      <c r="F2865" s="10"/>
      <c r="G2865" s="10"/>
      <c r="H2865" s="10"/>
      <c r="I2865" s="10"/>
      <c r="J2865" s="10"/>
      <c r="K2865" s="25"/>
      <c r="L2865" s="25"/>
      <c r="M2865" s="25" t="str">
        <f>IFERROR(VLOOKUP($C2865,$C$5:$M$24,11,0)+SUMIF($C$25:$C2865,$C2865,$K$25:$K2865)-SUMIF($C$25:$C2865,$C2865,$L$25:$L2865),"")</f>
        <v/>
      </c>
      <c r="N2865" s="10"/>
      <c r="O2865" s="10"/>
      <c r="P2865" s="65"/>
      <c r="Q2865" s="10"/>
      <c r="R2865" s="10"/>
      <c r="S2865" s="54" t="str">
        <f t="shared" si="138"/>
        <v/>
      </c>
      <c r="T2865" s="54" t="str">
        <f t="shared" si="139"/>
        <v/>
      </c>
      <c r="U2865" s="58" t="str">
        <f t="shared" si="140"/>
        <v/>
      </c>
      <c r="V2865" s="58">
        <f>IF(AND($B2865&lt;&gt;"",$F2865&lt;&gt;"",$F2865=项目明细账!$C$2),N(V2864)+1,N(V2864))</f>
        <v>0</v>
      </c>
      <c r="W2865" s="63" t="str">
        <f>IF($H2865&lt;&gt;"","项目成本",IFERROR(INDEX(基础资料!$W$4:$W$49,MATCH($I2865,基础资料!$V$4:$V$49,0)),""))</f>
        <v/>
      </c>
      <c r="X2865" s="63" t="str">
        <f>IFERROR(INDEX(基础资料!$R$4:$R$17,MATCH($G2865,基础资料!$Q$4:$Q$17,0)),"")</f>
        <v/>
      </c>
    </row>
    <row r="2866" spans="1:24">
      <c r="A2866" s="58" t="str">
        <f>IF($B2866="","",COUNTA($B$5:$B2866))</f>
        <v/>
      </c>
      <c r="B2866" s="53"/>
      <c r="C2866" s="46"/>
      <c r="D2866" s="63" t="str">
        <f>IFERROR(INDEX(基础资料!$F$4:$F$23,MATCH($C2866,基础资料!$E$4:$E$23,0)),IF($C2866="","","未匹配账户"))</f>
        <v/>
      </c>
      <c r="E2866" s="39"/>
      <c r="F2866" s="10"/>
      <c r="G2866" s="10"/>
      <c r="H2866" s="10"/>
      <c r="I2866" s="10"/>
      <c r="J2866" s="10"/>
      <c r="K2866" s="25"/>
      <c r="L2866" s="25"/>
      <c r="M2866" s="25" t="str">
        <f>IFERROR(VLOOKUP($C2866,$C$5:$M$24,11,0)+SUMIF($C$25:$C2866,$C2866,$K$25:$K2866)-SUMIF($C$25:$C2866,$C2866,$L$25:$L2866),"")</f>
        <v/>
      </c>
      <c r="N2866" s="10"/>
      <c r="O2866" s="10"/>
      <c r="P2866" s="65"/>
      <c r="Q2866" s="10"/>
      <c r="R2866" s="10"/>
      <c r="S2866" s="54" t="str">
        <f t="shared" si="138"/>
        <v/>
      </c>
      <c r="T2866" s="54" t="str">
        <f t="shared" si="139"/>
        <v/>
      </c>
      <c r="U2866" s="58" t="str">
        <f t="shared" si="140"/>
        <v/>
      </c>
      <c r="V2866" s="58">
        <f>IF(AND($B2866&lt;&gt;"",$F2866&lt;&gt;"",$F2866=项目明细账!$C$2),N(V2865)+1,N(V2865))</f>
        <v>0</v>
      </c>
      <c r="W2866" s="63" t="str">
        <f>IF($H2866&lt;&gt;"","项目成本",IFERROR(INDEX(基础资料!$W$4:$W$49,MATCH($I2866,基础资料!$V$4:$V$49,0)),""))</f>
        <v/>
      </c>
      <c r="X2866" s="63" t="str">
        <f>IFERROR(INDEX(基础资料!$R$4:$R$17,MATCH($G2866,基础资料!$Q$4:$Q$17,0)),"")</f>
        <v/>
      </c>
    </row>
    <row r="2867" spans="1:24">
      <c r="A2867" s="58" t="str">
        <f>IF($B2867="","",COUNTA($B$5:$B2867))</f>
        <v/>
      </c>
      <c r="B2867" s="53"/>
      <c r="C2867" s="46"/>
      <c r="D2867" s="63" t="str">
        <f>IFERROR(INDEX(基础资料!$F$4:$F$23,MATCH($C2867,基础资料!$E$4:$E$23,0)),IF($C2867="","","未匹配账户"))</f>
        <v/>
      </c>
      <c r="E2867" s="39"/>
      <c r="F2867" s="10"/>
      <c r="G2867" s="10"/>
      <c r="H2867" s="10"/>
      <c r="I2867" s="10"/>
      <c r="J2867" s="10"/>
      <c r="K2867" s="25"/>
      <c r="L2867" s="25"/>
      <c r="M2867" s="25" t="str">
        <f>IFERROR(VLOOKUP($C2867,$C$5:$M$24,11,0)+SUMIF($C$25:$C2867,$C2867,$K$25:$K2867)-SUMIF($C$25:$C2867,$C2867,$L$25:$L2867),"")</f>
        <v/>
      </c>
      <c r="N2867" s="10"/>
      <c r="O2867" s="10"/>
      <c r="P2867" s="65"/>
      <c r="Q2867" s="10"/>
      <c r="R2867" s="10"/>
      <c r="S2867" s="54" t="str">
        <f t="shared" si="138"/>
        <v/>
      </c>
      <c r="T2867" s="54" t="str">
        <f t="shared" si="139"/>
        <v/>
      </c>
      <c r="U2867" s="58" t="str">
        <f t="shared" si="140"/>
        <v/>
      </c>
      <c r="V2867" s="58">
        <f>IF(AND($B2867&lt;&gt;"",$F2867&lt;&gt;"",$F2867=项目明细账!$C$2),N(V2866)+1,N(V2866))</f>
        <v>0</v>
      </c>
      <c r="W2867" s="63" t="str">
        <f>IF($H2867&lt;&gt;"","项目成本",IFERROR(INDEX(基础资料!$W$4:$W$49,MATCH($I2867,基础资料!$V$4:$V$49,0)),""))</f>
        <v/>
      </c>
      <c r="X2867" s="63" t="str">
        <f>IFERROR(INDEX(基础资料!$R$4:$R$17,MATCH($G2867,基础资料!$Q$4:$Q$17,0)),"")</f>
        <v/>
      </c>
    </row>
    <row r="2868" spans="1:24">
      <c r="A2868" s="58" t="str">
        <f>IF($B2868="","",COUNTA($B$5:$B2868))</f>
        <v/>
      </c>
      <c r="B2868" s="53"/>
      <c r="C2868" s="46"/>
      <c r="D2868" s="63" t="str">
        <f>IFERROR(INDEX(基础资料!$F$4:$F$23,MATCH($C2868,基础资料!$E$4:$E$23,0)),IF($C2868="","","未匹配账户"))</f>
        <v/>
      </c>
      <c r="E2868" s="39"/>
      <c r="F2868" s="10"/>
      <c r="G2868" s="10"/>
      <c r="H2868" s="10"/>
      <c r="I2868" s="10"/>
      <c r="J2868" s="10"/>
      <c r="K2868" s="25"/>
      <c r="L2868" s="25"/>
      <c r="M2868" s="25" t="str">
        <f>IFERROR(VLOOKUP($C2868,$C$5:$M$24,11,0)+SUMIF($C$25:$C2868,$C2868,$K$25:$K2868)-SUMIF($C$25:$C2868,$C2868,$L$25:$L2868),"")</f>
        <v/>
      </c>
      <c r="N2868" s="10"/>
      <c r="O2868" s="10"/>
      <c r="P2868" s="65"/>
      <c r="Q2868" s="10"/>
      <c r="R2868" s="10"/>
      <c r="S2868" s="54" t="str">
        <f t="shared" si="138"/>
        <v/>
      </c>
      <c r="T2868" s="54" t="str">
        <f t="shared" si="139"/>
        <v/>
      </c>
      <c r="U2868" s="58" t="str">
        <f t="shared" si="140"/>
        <v/>
      </c>
      <c r="V2868" s="58">
        <f>IF(AND($B2868&lt;&gt;"",$F2868&lt;&gt;"",$F2868=项目明细账!$C$2),N(V2867)+1,N(V2867))</f>
        <v>0</v>
      </c>
      <c r="W2868" s="63" t="str">
        <f>IF($H2868&lt;&gt;"","项目成本",IFERROR(INDEX(基础资料!$W$4:$W$49,MATCH($I2868,基础资料!$V$4:$V$49,0)),""))</f>
        <v/>
      </c>
      <c r="X2868" s="63" t="str">
        <f>IFERROR(INDEX(基础资料!$R$4:$R$17,MATCH($G2868,基础资料!$Q$4:$Q$17,0)),"")</f>
        <v/>
      </c>
    </row>
    <row r="2869" spans="1:24">
      <c r="A2869" s="58" t="str">
        <f>IF($B2869="","",COUNTA($B$5:$B2869))</f>
        <v/>
      </c>
      <c r="B2869" s="53"/>
      <c r="C2869" s="46"/>
      <c r="D2869" s="63" t="str">
        <f>IFERROR(INDEX(基础资料!$F$4:$F$23,MATCH($C2869,基础资料!$E$4:$E$23,0)),IF($C2869="","","未匹配账户"))</f>
        <v/>
      </c>
      <c r="E2869" s="39"/>
      <c r="F2869" s="10"/>
      <c r="G2869" s="10"/>
      <c r="H2869" s="10"/>
      <c r="I2869" s="10"/>
      <c r="J2869" s="10"/>
      <c r="K2869" s="25"/>
      <c r="L2869" s="25"/>
      <c r="M2869" s="25" t="str">
        <f>IFERROR(VLOOKUP($C2869,$C$5:$M$24,11,0)+SUMIF($C$25:$C2869,$C2869,$K$25:$K2869)-SUMIF($C$25:$C2869,$C2869,$L$25:$L2869),"")</f>
        <v/>
      </c>
      <c r="N2869" s="10"/>
      <c r="O2869" s="10"/>
      <c r="P2869" s="65"/>
      <c r="Q2869" s="10"/>
      <c r="R2869" s="10"/>
      <c r="S2869" s="54" t="str">
        <f t="shared" si="138"/>
        <v/>
      </c>
      <c r="T2869" s="54" t="str">
        <f t="shared" si="139"/>
        <v/>
      </c>
      <c r="U2869" s="58" t="str">
        <f t="shared" si="140"/>
        <v/>
      </c>
      <c r="V2869" s="58">
        <f>IF(AND($B2869&lt;&gt;"",$F2869&lt;&gt;"",$F2869=项目明细账!$C$2),N(V2868)+1,N(V2868))</f>
        <v>0</v>
      </c>
      <c r="W2869" s="63" t="str">
        <f>IF($H2869&lt;&gt;"","项目成本",IFERROR(INDEX(基础资料!$W$4:$W$49,MATCH($I2869,基础资料!$V$4:$V$49,0)),""))</f>
        <v/>
      </c>
      <c r="X2869" s="63" t="str">
        <f>IFERROR(INDEX(基础资料!$R$4:$R$17,MATCH($G2869,基础资料!$Q$4:$Q$17,0)),"")</f>
        <v/>
      </c>
    </row>
    <row r="2870" spans="1:24">
      <c r="A2870" s="58" t="str">
        <f>IF($B2870="","",COUNTA($B$5:$B2870))</f>
        <v/>
      </c>
      <c r="B2870" s="53"/>
      <c r="C2870" s="46"/>
      <c r="D2870" s="63" t="str">
        <f>IFERROR(INDEX(基础资料!$F$4:$F$23,MATCH($C2870,基础资料!$E$4:$E$23,0)),IF($C2870="","","未匹配账户"))</f>
        <v/>
      </c>
      <c r="E2870" s="39"/>
      <c r="F2870" s="10"/>
      <c r="G2870" s="10"/>
      <c r="H2870" s="10"/>
      <c r="I2870" s="10"/>
      <c r="J2870" s="10"/>
      <c r="K2870" s="25"/>
      <c r="L2870" s="25"/>
      <c r="M2870" s="25" t="str">
        <f>IFERROR(VLOOKUP($C2870,$C$5:$M$24,11,0)+SUMIF($C$25:$C2870,$C2870,$K$25:$K2870)-SUMIF($C$25:$C2870,$C2870,$L$25:$L2870),"")</f>
        <v/>
      </c>
      <c r="N2870" s="10"/>
      <c r="O2870" s="10"/>
      <c r="P2870" s="65"/>
      <c r="Q2870" s="10"/>
      <c r="R2870" s="10"/>
      <c r="S2870" s="54" t="str">
        <f t="shared" si="138"/>
        <v/>
      </c>
      <c r="T2870" s="54" t="str">
        <f t="shared" si="139"/>
        <v/>
      </c>
      <c r="U2870" s="58" t="str">
        <f t="shared" si="140"/>
        <v/>
      </c>
      <c r="V2870" s="58">
        <f>IF(AND($B2870&lt;&gt;"",$F2870&lt;&gt;"",$F2870=项目明细账!$C$2),N(V2869)+1,N(V2869))</f>
        <v>0</v>
      </c>
      <c r="W2870" s="63" t="str">
        <f>IF($H2870&lt;&gt;"","项目成本",IFERROR(INDEX(基础资料!$W$4:$W$49,MATCH($I2870,基础资料!$V$4:$V$49,0)),""))</f>
        <v/>
      </c>
      <c r="X2870" s="63" t="str">
        <f>IFERROR(INDEX(基础资料!$R$4:$R$17,MATCH($G2870,基础资料!$Q$4:$Q$17,0)),"")</f>
        <v/>
      </c>
    </row>
    <row r="2871" spans="1:24">
      <c r="A2871" s="58" t="str">
        <f>IF($B2871="","",COUNTA($B$5:$B2871))</f>
        <v/>
      </c>
      <c r="B2871" s="53"/>
      <c r="C2871" s="46"/>
      <c r="D2871" s="63" t="str">
        <f>IFERROR(INDEX(基础资料!$F$4:$F$23,MATCH($C2871,基础资料!$E$4:$E$23,0)),IF($C2871="","","未匹配账户"))</f>
        <v/>
      </c>
      <c r="E2871" s="39"/>
      <c r="F2871" s="10"/>
      <c r="G2871" s="10"/>
      <c r="H2871" s="10"/>
      <c r="I2871" s="10"/>
      <c r="J2871" s="10"/>
      <c r="K2871" s="25"/>
      <c r="L2871" s="25"/>
      <c r="M2871" s="25" t="str">
        <f>IFERROR(VLOOKUP($C2871,$C$5:$M$24,11,0)+SUMIF($C$25:$C2871,$C2871,$K$25:$K2871)-SUMIF($C$25:$C2871,$C2871,$L$25:$L2871),"")</f>
        <v/>
      </c>
      <c r="N2871" s="10"/>
      <c r="O2871" s="10"/>
      <c r="P2871" s="65"/>
      <c r="Q2871" s="10"/>
      <c r="R2871" s="10"/>
      <c r="S2871" s="54" t="str">
        <f t="shared" si="138"/>
        <v/>
      </c>
      <c r="T2871" s="54" t="str">
        <f t="shared" si="139"/>
        <v/>
      </c>
      <c r="U2871" s="58" t="str">
        <f t="shared" si="140"/>
        <v/>
      </c>
      <c r="V2871" s="58">
        <f>IF(AND($B2871&lt;&gt;"",$F2871&lt;&gt;"",$F2871=项目明细账!$C$2),N(V2870)+1,N(V2870))</f>
        <v>0</v>
      </c>
      <c r="W2871" s="63" t="str">
        <f>IF($H2871&lt;&gt;"","项目成本",IFERROR(INDEX(基础资料!$W$4:$W$49,MATCH($I2871,基础资料!$V$4:$V$49,0)),""))</f>
        <v/>
      </c>
      <c r="X2871" s="63" t="str">
        <f>IFERROR(INDEX(基础资料!$R$4:$R$17,MATCH($G2871,基础资料!$Q$4:$Q$17,0)),"")</f>
        <v/>
      </c>
    </row>
    <row r="2872" spans="1:24">
      <c r="A2872" s="58" t="str">
        <f>IF($B2872="","",COUNTA($B$5:$B2872))</f>
        <v/>
      </c>
      <c r="B2872" s="53"/>
      <c r="C2872" s="46"/>
      <c r="D2872" s="63" t="str">
        <f>IFERROR(INDEX(基础资料!$F$4:$F$23,MATCH($C2872,基础资料!$E$4:$E$23,0)),IF($C2872="","","未匹配账户"))</f>
        <v/>
      </c>
      <c r="E2872" s="39"/>
      <c r="F2872" s="10"/>
      <c r="G2872" s="10"/>
      <c r="H2872" s="10"/>
      <c r="I2872" s="10"/>
      <c r="J2872" s="10"/>
      <c r="K2872" s="25"/>
      <c r="L2872" s="25"/>
      <c r="M2872" s="25" t="str">
        <f>IFERROR(VLOOKUP($C2872,$C$5:$M$24,11,0)+SUMIF($C$25:$C2872,$C2872,$K$25:$K2872)-SUMIF($C$25:$C2872,$C2872,$L$25:$L2872),"")</f>
        <v/>
      </c>
      <c r="N2872" s="10"/>
      <c r="O2872" s="10"/>
      <c r="P2872" s="65"/>
      <c r="Q2872" s="10"/>
      <c r="R2872" s="10"/>
      <c r="S2872" s="54" t="str">
        <f t="shared" si="138"/>
        <v/>
      </c>
      <c r="T2872" s="54" t="str">
        <f t="shared" si="139"/>
        <v/>
      </c>
      <c r="U2872" s="58" t="str">
        <f t="shared" si="140"/>
        <v/>
      </c>
      <c r="V2872" s="58">
        <f>IF(AND($B2872&lt;&gt;"",$F2872&lt;&gt;"",$F2872=项目明细账!$C$2),N(V2871)+1,N(V2871))</f>
        <v>0</v>
      </c>
      <c r="W2872" s="63" t="str">
        <f>IF($H2872&lt;&gt;"","项目成本",IFERROR(INDEX(基础资料!$W$4:$W$49,MATCH($I2872,基础资料!$V$4:$V$49,0)),""))</f>
        <v/>
      </c>
      <c r="X2872" s="63" t="str">
        <f>IFERROR(INDEX(基础资料!$R$4:$R$17,MATCH($G2872,基础资料!$Q$4:$Q$17,0)),"")</f>
        <v/>
      </c>
    </row>
    <row r="2873" spans="1:24">
      <c r="A2873" s="58" t="str">
        <f>IF($B2873="","",COUNTA($B$5:$B2873))</f>
        <v/>
      </c>
      <c r="B2873" s="53"/>
      <c r="C2873" s="46"/>
      <c r="D2873" s="63" t="str">
        <f>IFERROR(INDEX(基础资料!$F$4:$F$23,MATCH($C2873,基础资料!$E$4:$E$23,0)),IF($C2873="","","未匹配账户"))</f>
        <v/>
      </c>
      <c r="E2873" s="39"/>
      <c r="F2873" s="10"/>
      <c r="G2873" s="10"/>
      <c r="H2873" s="10"/>
      <c r="I2873" s="10"/>
      <c r="J2873" s="10"/>
      <c r="K2873" s="25"/>
      <c r="L2873" s="25"/>
      <c r="M2873" s="25" t="str">
        <f>IFERROR(VLOOKUP($C2873,$C$5:$M$24,11,0)+SUMIF($C$25:$C2873,$C2873,$K$25:$K2873)-SUMIF($C$25:$C2873,$C2873,$L$25:$L2873),"")</f>
        <v/>
      </c>
      <c r="N2873" s="10"/>
      <c r="O2873" s="10"/>
      <c r="P2873" s="65"/>
      <c r="Q2873" s="10"/>
      <c r="R2873" s="10"/>
      <c r="S2873" s="54" t="str">
        <f t="shared" si="138"/>
        <v/>
      </c>
      <c r="T2873" s="54" t="str">
        <f t="shared" si="139"/>
        <v/>
      </c>
      <c r="U2873" s="58" t="str">
        <f t="shared" si="140"/>
        <v/>
      </c>
      <c r="V2873" s="58">
        <f>IF(AND($B2873&lt;&gt;"",$F2873&lt;&gt;"",$F2873=项目明细账!$C$2),N(V2872)+1,N(V2872))</f>
        <v>0</v>
      </c>
      <c r="W2873" s="63" t="str">
        <f>IF($H2873&lt;&gt;"","项目成本",IFERROR(INDEX(基础资料!$W$4:$W$49,MATCH($I2873,基础资料!$V$4:$V$49,0)),""))</f>
        <v/>
      </c>
      <c r="X2873" s="63" t="str">
        <f>IFERROR(INDEX(基础资料!$R$4:$R$17,MATCH($G2873,基础资料!$Q$4:$Q$17,0)),"")</f>
        <v/>
      </c>
    </row>
    <row r="2874" spans="1:24">
      <c r="A2874" s="58" t="str">
        <f>IF($B2874="","",COUNTA($B$5:$B2874))</f>
        <v/>
      </c>
      <c r="B2874" s="53"/>
      <c r="C2874" s="46"/>
      <c r="D2874" s="63" t="str">
        <f>IFERROR(INDEX(基础资料!$F$4:$F$23,MATCH($C2874,基础资料!$E$4:$E$23,0)),IF($C2874="","","未匹配账户"))</f>
        <v/>
      </c>
      <c r="E2874" s="39"/>
      <c r="F2874" s="10"/>
      <c r="G2874" s="10"/>
      <c r="H2874" s="10"/>
      <c r="I2874" s="10"/>
      <c r="J2874" s="10"/>
      <c r="K2874" s="25"/>
      <c r="L2874" s="25"/>
      <c r="M2874" s="25" t="str">
        <f>IFERROR(VLOOKUP($C2874,$C$5:$M$24,11,0)+SUMIF($C$25:$C2874,$C2874,$K$25:$K2874)-SUMIF($C$25:$C2874,$C2874,$L$25:$L2874),"")</f>
        <v/>
      </c>
      <c r="N2874" s="10"/>
      <c r="O2874" s="10"/>
      <c r="P2874" s="65"/>
      <c r="Q2874" s="10"/>
      <c r="R2874" s="10"/>
      <c r="S2874" s="54" t="str">
        <f t="shared" si="138"/>
        <v/>
      </c>
      <c r="T2874" s="54" t="str">
        <f t="shared" si="139"/>
        <v/>
      </c>
      <c r="U2874" s="58" t="str">
        <f t="shared" si="140"/>
        <v/>
      </c>
      <c r="V2874" s="58">
        <f>IF(AND($B2874&lt;&gt;"",$F2874&lt;&gt;"",$F2874=项目明细账!$C$2),N(V2873)+1,N(V2873))</f>
        <v>0</v>
      </c>
      <c r="W2874" s="63" t="str">
        <f>IF($H2874&lt;&gt;"","项目成本",IFERROR(INDEX(基础资料!$W$4:$W$49,MATCH($I2874,基础资料!$V$4:$V$49,0)),""))</f>
        <v/>
      </c>
      <c r="X2874" s="63" t="str">
        <f>IFERROR(INDEX(基础资料!$R$4:$R$17,MATCH($G2874,基础资料!$Q$4:$Q$17,0)),"")</f>
        <v/>
      </c>
    </row>
    <row r="2875" spans="1:24">
      <c r="A2875" s="58" t="str">
        <f>IF($B2875="","",COUNTA($B$5:$B2875))</f>
        <v/>
      </c>
      <c r="B2875" s="53"/>
      <c r="C2875" s="46"/>
      <c r="D2875" s="63" t="str">
        <f>IFERROR(INDEX(基础资料!$F$4:$F$23,MATCH($C2875,基础资料!$E$4:$E$23,0)),IF($C2875="","","未匹配账户"))</f>
        <v/>
      </c>
      <c r="E2875" s="39"/>
      <c r="F2875" s="10"/>
      <c r="G2875" s="10"/>
      <c r="H2875" s="10"/>
      <c r="I2875" s="10"/>
      <c r="J2875" s="10"/>
      <c r="K2875" s="25"/>
      <c r="L2875" s="25"/>
      <c r="M2875" s="25" t="str">
        <f>IFERROR(VLOOKUP($C2875,$C$5:$M$24,11,0)+SUMIF($C$25:$C2875,$C2875,$K$25:$K2875)-SUMIF($C$25:$C2875,$C2875,$L$25:$L2875),"")</f>
        <v/>
      </c>
      <c r="N2875" s="10"/>
      <c r="O2875" s="10"/>
      <c r="P2875" s="65"/>
      <c r="Q2875" s="10"/>
      <c r="R2875" s="10"/>
      <c r="S2875" s="54" t="str">
        <f t="shared" si="138"/>
        <v/>
      </c>
      <c r="T2875" s="54" t="str">
        <f t="shared" si="139"/>
        <v/>
      </c>
      <c r="U2875" s="58" t="str">
        <f t="shared" si="140"/>
        <v/>
      </c>
      <c r="V2875" s="58">
        <f>IF(AND($B2875&lt;&gt;"",$F2875&lt;&gt;"",$F2875=项目明细账!$C$2),N(V2874)+1,N(V2874))</f>
        <v>0</v>
      </c>
      <c r="W2875" s="63" t="str">
        <f>IF($H2875&lt;&gt;"","项目成本",IFERROR(INDEX(基础资料!$W$4:$W$49,MATCH($I2875,基础资料!$V$4:$V$49,0)),""))</f>
        <v/>
      </c>
      <c r="X2875" s="63" t="str">
        <f>IFERROR(INDEX(基础资料!$R$4:$R$17,MATCH($G2875,基础资料!$Q$4:$Q$17,0)),"")</f>
        <v/>
      </c>
    </row>
    <row r="2876" spans="1:24">
      <c r="A2876" s="58" t="str">
        <f>IF($B2876="","",COUNTA($B$5:$B2876))</f>
        <v/>
      </c>
      <c r="B2876" s="53"/>
      <c r="C2876" s="46"/>
      <c r="D2876" s="63" t="str">
        <f>IFERROR(INDEX(基础资料!$F$4:$F$23,MATCH($C2876,基础资料!$E$4:$E$23,0)),IF($C2876="","","未匹配账户"))</f>
        <v/>
      </c>
      <c r="E2876" s="39"/>
      <c r="F2876" s="10"/>
      <c r="G2876" s="10"/>
      <c r="H2876" s="10"/>
      <c r="I2876" s="10"/>
      <c r="J2876" s="10"/>
      <c r="K2876" s="25"/>
      <c r="L2876" s="25"/>
      <c r="M2876" s="25" t="str">
        <f>IFERROR(VLOOKUP($C2876,$C$5:$M$24,11,0)+SUMIF($C$25:$C2876,$C2876,$K$25:$K2876)-SUMIF($C$25:$C2876,$C2876,$L$25:$L2876),"")</f>
        <v/>
      </c>
      <c r="N2876" s="10"/>
      <c r="O2876" s="10"/>
      <c r="P2876" s="65"/>
      <c r="Q2876" s="10"/>
      <c r="R2876" s="10"/>
      <c r="S2876" s="54" t="str">
        <f t="shared" si="138"/>
        <v/>
      </c>
      <c r="T2876" s="54" t="str">
        <f t="shared" si="139"/>
        <v/>
      </c>
      <c r="U2876" s="58" t="str">
        <f t="shared" si="140"/>
        <v/>
      </c>
      <c r="V2876" s="58">
        <f>IF(AND($B2876&lt;&gt;"",$F2876&lt;&gt;"",$F2876=项目明细账!$C$2),N(V2875)+1,N(V2875))</f>
        <v>0</v>
      </c>
      <c r="W2876" s="63" t="str">
        <f>IF($H2876&lt;&gt;"","项目成本",IFERROR(INDEX(基础资料!$W$4:$W$49,MATCH($I2876,基础资料!$V$4:$V$49,0)),""))</f>
        <v/>
      </c>
      <c r="X2876" s="63" t="str">
        <f>IFERROR(INDEX(基础资料!$R$4:$R$17,MATCH($G2876,基础资料!$Q$4:$Q$17,0)),"")</f>
        <v/>
      </c>
    </row>
    <row r="2877" spans="1:24">
      <c r="A2877" s="58" t="str">
        <f>IF($B2877="","",COUNTA($B$5:$B2877))</f>
        <v/>
      </c>
      <c r="B2877" s="53"/>
      <c r="C2877" s="46"/>
      <c r="D2877" s="63" t="str">
        <f>IFERROR(INDEX(基础资料!$F$4:$F$23,MATCH($C2877,基础资料!$E$4:$E$23,0)),IF($C2877="","","未匹配账户"))</f>
        <v/>
      </c>
      <c r="E2877" s="39"/>
      <c r="F2877" s="10"/>
      <c r="G2877" s="10"/>
      <c r="H2877" s="10"/>
      <c r="I2877" s="10"/>
      <c r="J2877" s="10"/>
      <c r="K2877" s="25"/>
      <c r="L2877" s="25"/>
      <c r="M2877" s="25" t="str">
        <f>IFERROR(VLOOKUP($C2877,$C$5:$M$24,11,0)+SUMIF($C$25:$C2877,$C2877,$K$25:$K2877)-SUMIF($C$25:$C2877,$C2877,$L$25:$L2877),"")</f>
        <v/>
      </c>
      <c r="N2877" s="10"/>
      <c r="O2877" s="10"/>
      <c r="P2877" s="65"/>
      <c r="Q2877" s="10"/>
      <c r="R2877" s="10"/>
      <c r="S2877" s="54" t="str">
        <f t="shared" si="138"/>
        <v/>
      </c>
      <c r="T2877" s="54" t="str">
        <f t="shared" si="139"/>
        <v/>
      </c>
      <c r="U2877" s="58" t="str">
        <f t="shared" si="140"/>
        <v/>
      </c>
      <c r="V2877" s="58">
        <f>IF(AND($B2877&lt;&gt;"",$F2877&lt;&gt;"",$F2877=项目明细账!$C$2),N(V2876)+1,N(V2876))</f>
        <v>0</v>
      </c>
      <c r="W2877" s="63" t="str">
        <f>IF($H2877&lt;&gt;"","项目成本",IFERROR(INDEX(基础资料!$W$4:$W$49,MATCH($I2877,基础资料!$V$4:$V$49,0)),""))</f>
        <v/>
      </c>
      <c r="X2877" s="63" t="str">
        <f>IFERROR(INDEX(基础资料!$R$4:$R$17,MATCH($G2877,基础资料!$Q$4:$Q$17,0)),"")</f>
        <v/>
      </c>
    </row>
    <row r="2878" spans="1:24">
      <c r="A2878" s="58" t="str">
        <f>IF($B2878="","",COUNTA($B$5:$B2878))</f>
        <v/>
      </c>
      <c r="B2878" s="53"/>
      <c r="C2878" s="46"/>
      <c r="D2878" s="63" t="str">
        <f>IFERROR(INDEX(基础资料!$F$4:$F$23,MATCH($C2878,基础资料!$E$4:$E$23,0)),IF($C2878="","","未匹配账户"))</f>
        <v/>
      </c>
      <c r="E2878" s="39"/>
      <c r="F2878" s="10"/>
      <c r="G2878" s="10"/>
      <c r="H2878" s="10"/>
      <c r="I2878" s="10"/>
      <c r="J2878" s="10"/>
      <c r="K2878" s="25"/>
      <c r="L2878" s="25"/>
      <c r="M2878" s="25" t="str">
        <f>IFERROR(VLOOKUP($C2878,$C$5:$M$24,11,0)+SUMIF($C$25:$C2878,$C2878,$K$25:$K2878)-SUMIF($C$25:$C2878,$C2878,$L$25:$L2878),"")</f>
        <v/>
      </c>
      <c r="N2878" s="10"/>
      <c r="O2878" s="10"/>
      <c r="P2878" s="65"/>
      <c r="Q2878" s="10"/>
      <c r="R2878" s="10"/>
      <c r="S2878" s="54" t="str">
        <f t="shared" si="138"/>
        <v/>
      </c>
      <c r="T2878" s="54" t="str">
        <f t="shared" si="139"/>
        <v/>
      </c>
      <c r="U2878" s="58" t="str">
        <f t="shared" si="140"/>
        <v/>
      </c>
      <c r="V2878" s="58">
        <f>IF(AND($B2878&lt;&gt;"",$F2878&lt;&gt;"",$F2878=项目明细账!$C$2),N(V2877)+1,N(V2877))</f>
        <v>0</v>
      </c>
      <c r="W2878" s="63" t="str">
        <f>IF($H2878&lt;&gt;"","项目成本",IFERROR(INDEX(基础资料!$W$4:$W$49,MATCH($I2878,基础资料!$V$4:$V$49,0)),""))</f>
        <v/>
      </c>
      <c r="X2878" s="63" t="str">
        <f>IFERROR(INDEX(基础资料!$R$4:$R$17,MATCH($G2878,基础资料!$Q$4:$Q$17,0)),"")</f>
        <v/>
      </c>
    </row>
    <row r="2879" spans="1:24">
      <c r="A2879" s="58" t="str">
        <f>IF($B2879="","",COUNTA($B$5:$B2879))</f>
        <v/>
      </c>
      <c r="B2879" s="53"/>
      <c r="C2879" s="46"/>
      <c r="D2879" s="63" t="str">
        <f>IFERROR(INDEX(基础资料!$F$4:$F$23,MATCH($C2879,基础资料!$E$4:$E$23,0)),IF($C2879="","","未匹配账户"))</f>
        <v/>
      </c>
      <c r="E2879" s="39"/>
      <c r="F2879" s="10"/>
      <c r="G2879" s="10"/>
      <c r="H2879" s="10"/>
      <c r="I2879" s="10"/>
      <c r="J2879" s="10"/>
      <c r="K2879" s="25"/>
      <c r="L2879" s="25"/>
      <c r="M2879" s="25" t="str">
        <f>IFERROR(VLOOKUP($C2879,$C$5:$M$24,11,0)+SUMIF($C$25:$C2879,$C2879,$K$25:$K2879)-SUMIF($C$25:$C2879,$C2879,$L$25:$L2879),"")</f>
        <v/>
      </c>
      <c r="N2879" s="10"/>
      <c r="O2879" s="10"/>
      <c r="P2879" s="65"/>
      <c r="Q2879" s="10"/>
      <c r="R2879" s="10"/>
      <c r="S2879" s="54" t="str">
        <f t="shared" si="138"/>
        <v/>
      </c>
      <c r="T2879" s="54" t="str">
        <f t="shared" si="139"/>
        <v/>
      </c>
      <c r="U2879" s="58" t="str">
        <f t="shared" si="140"/>
        <v/>
      </c>
      <c r="V2879" s="58">
        <f>IF(AND($B2879&lt;&gt;"",$F2879&lt;&gt;"",$F2879=项目明细账!$C$2),N(V2878)+1,N(V2878))</f>
        <v>0</v>
      </c>
      <c r="W2879" s="63" t="str">
        <f>IF($H2879&lt;&gt;"","项目成本",IFERROR(INDEX(基础资料!$W$4:$W$49,MATCH($I2879,基础资料!$V$4:$V$49,0)),""))</f>
        <v/>
      </c>
      <c r="X2879" s="63" t="str">
        <f>IFERROR(INDEX(基础资料!$R$4:$R$17,MATCH($G2879,基础资料!$Q$4:$Q$17,0)),"")</f>
        <v/>
      </c>
    </row>
    <row r="2880" spans="1:24">
      <c r="A2880" s="58" t="str">
        <f>IF($B2880="","",COUNTA($B$5:$B2880))</f>
        <v/>
      </c>
      <c r="B2880" s="53"/>
      <c r="C2880" s="46"/>
      <c r="D2880" s="63" t="str">
        <f>IFERROR(INDEX(基础资料!$F$4:$F$23,MATCH($C2880,基础资料!$E$4:$E$23,0)),IF($C2880="","","未匹配账户"))</f>
        <v/>
      </c>
      <c r="E2880" s="39"/>
      <c r="F2880" s="10"/>
      <c r="G2880" s="10"/>
      <c r="H2880" s="10"/>
      <c r="I2880" s="10"/>
      <c r="J2880" s="10"/>
      <c r="K2880" s="25"/>
      <c r="L2880" s="25"/>
      <c r="M2880" s="25" t="str">
        <f>IFERROR(VLOOKUP($C2880,$C$5:$M$24,11,0)+SUMIF($C$25:$C2880,$C2880,$K$25:$K2880)-SUMIF($C$25:$C2880,$C2880,$L$25:$L2880),"")</f>
        <v/>
      </c>
      <c r="N2880" s="10"/>
      <c r="O2880" s="10"/>
      <c r="P2880" s="65"/>
      <c r="Q2880" s="10"/>
      <c r="R2880" s="10"/>
      <c r="S2880" s="54" t="str">
        <f t="shared" si="138"/>
        <v/>
      </c>
      <c r="T2880" s="54" t="str">
        <f t="shared" si="139"/>
        <v/>
      </c>
      <c r="U2880" s="58" t="str">
        <f t="shared" si="140"/>
        <v/>
      </c>
      <c r="V2880" s="58">
        <f>IF(AND($B2880&lt;&gt;"",$F2880&lt;&gt;"",$F2880=项目明细账!$C$2),N(V2879)+1,N(V2879))</f>
        <v>0</v>
      </c>
      <c r="W2880" s="63" t="str">
        <f>IF($H2880&lt;&gt;"","项目成本",IFERROR(INDEX(基础资料!$W$4:$W$49,MATCH($I2880,基础资料!$V$4:$V$49,0)),""))</f>
        <v/>
      </c>
      <c r="X2880" s="63" t="str">
        <f>IFERROR(INDEX(基础资料!$R$4:$R$17,MATCH($G2880,基础资料!$Q$4:$Q$17,0)),"")</f>
        <v/>
      </c>
    </row>
    <row r="2881" spans="1:24">
      <c r="A2881" s="58" t="str">
        <f>IF($B2881="","",COUNTA($B$5:$B2881))</f>
        <v/>
      </c>
      <c r="B2881" s="53"/>
      <c r="C2881" s="46"/>
      <c r="D2881" s="63" t="str">
        <f>IFERROR(INDEX(基础资料!$F$4:$F$23,MATCH($C2881,基础资料!$E$4:$E$23,0)),IF($C2881="","","未匹配账户"))</f>
        <v/>
      </c>
      <c r="E2881" s="39"/>
      <c r="F2881" s="10"/>
      <c r="G2881" s="10"/>
      <c r="H2881" s="10"/>
      <c r="I2881" s="10"/>
      <c r="J2881" s="10"/>
      <c r="K2881" s="25"/>
      <c r="L2881" s="25"/>
      <c r="M2881" s="25" t="str">
        <f>IFERROR(VLOOKUP($C2881,$C$5:$M$24,11,0)+SUMIF($C$25:$C2881,$C2881,$K$25:$K2881)-SUMIF($C$25:$C2881,$C2881,$L$25:$L2881),"")</f>
        <v/>
      </c>
      <c r="N2881" s="10"/>
      <c r="O2881" s="10"/>
      <c r="P2881" s="65"/>
      <c r="Q2881" s="10"/>
      <c r="R2881" s="10"/>
      <c r="S2881" s="54" t="str">
        <f t="shared" si="138"/>
        <v/>
      </c>
      <c r="T2881" s="54" t="str">
        <f t="shared" si="139"/>
        <v/>
      </c>
      <c r="U2881" s="58" t="str">
        <f t="shared" si="140"/>
        <v/>
      </c>
      <c r="V2881" s="58">
        <f>IF(AND($B2881&lt;&gt;"",$F2881&lt;&gt;"",$F2881=项目明细账!$C$2),N(V2880)+1,N(V2880))</f>
        <v>0</v>
      </c>
      <c r="W2881" s="63" t="str">
        <f>IF($H2881&lt;&gt;"","项目成本",IFERROR(INDEX(基础资料!$W$4:$W$49,MATCH($I2881,基础资料!$V$4:$V$49,0)),""))</f>
        <v/>
      </c>
      <c r="X2881" s="63" t="str">
        <f>IFERROR(INDEX(基础资料!$R$4:$R$17,MATCH($G2881,基础资料!$Q$4:$Q$17,0)),"")</f>
        <v/>
      </c>
    </row>
    <row r="2882" spans="1:24">
      <c r="A2882" s="58" t="str">
        <f>IF($B2882="","",COUNTA($B$5:$B2882))</f>
        <v/>
      </c>
      <c r="B2882" s="53"/>
      <c r="C2882" s="46"/>
      <c r="D2882" s="63" t="str">
        <f>IFERROR(INDEX(基础资料!$F$4:$F$23,MATCH($C2882,基础资料!$E$4:$E$23,0)),IF($C2882="","","未匹配账户"))</f>
        <v/>
      </c>
      <c r="E2882" s="39"/>
      <c r="F2882" s="10"/>
      <c r="G2882" s="10"/>
      <c r="H2882" s="10"/>
      <c r="I2882" s="10"/>
      <c r="J2882" s="10"/>
      <c r="K2882" s="25"/>
      <c r="L2882" s="25"/>
      <c r="M2882" s="25" t="str">
        <f>IFERROR(VLOOKUP($C2882,$C$5:$M$24,11,0)+SUMIF($C$25:$C2882,$C2882,$K$25:$K2882)-SUMIF($C$25:$C2882,$C2882,$L$25:$L2882),"")</f>
        <v/>
      </c>
      <c r="N2882" s="10"/>
      <c r="O2882" s="10"/>
      <c r="P2882" s="65"/>
      <c r="Q2882" s="10"/>
      <c r="R2882" s="10"/>
      <c r="S2882" s="54" t="str">
        <f t="shared" si="138"/>
        <v/>
      </c>
      <c r="T2882" s="54" t="str">
        <f t="shared" si="139"/>
        <v/>
      </c>
      <c r="U2882" s="58" t="str">
        <f t="shared" si="140"/>
        <v/>
      </c>
      <c r="V2882" s="58">
        <f>IF(AND($B2882&lt;&gt;"",$F2882&lt;&gt;"",$F2882=项目明细账!$C$2),N(V2881)+1,N(V2881))</f>
        <v>0</v>
      </c>
      <c r="W2882" s="63" t="str">
        <f>IF($H2882&lt;&gt;"","项目成本",IFERROR(INDEX(基础资料!$W$4:$W$49,MATCH($I2882,基础资料!$V$4:$V$49,0)),""))</f>
        <v/>
      </c>
      <c r="X2882" s="63" t="str">
        <f>IFERROR(INDEX(基础资料!$R$4:$R$17,MATCH($G2882,基础资料!$Q$4:$Q$17,0)),"")</f>
        <v/>
      </c>
    </row>
    <row r="2883" spans="1:24">
      <c r="A2883" s="58" t="str">
        <f>IF($B2883="","",COUNTA($B$5:$B2883))</f>
        <v/>
      </c>
      <c r="B2883" s="53"/>
      <c r="C2883" s="46"/>
      <c r="D2883" s="63" t="str">
        <f>IFERROR(INDEX(基础资料!$F$4:$F$23,MATCH($C2883,基础资料!$E$4:$E$23,0)),IF($C2883="","","未匹配账户"))</f>
        <v/>
      </c>
      <c r="E2883" s="39"/>
      <c r="F2883" s="10"/>
      <c r="G2883" s="10"/>
      <c r="H2883" s="10"/>
      <c r="I2883" s="10"/>
      <c r="J2883" s="10"/>
      <c r="K2883" s="25"/>
      <c r="L2883" s="25"/>
      <c r="M2883" s="25" t="str">
        <f>IFERROR(VLOOKUP($C2883,$C$5:$M$24,11,0)+SUMIF($C$25:$C2883,$C2883,$K$25:$K2883)-SUMIF($C$25:$C2883,$C2883,$L$25:$L2883),"")</f>
        <v/>
      </c>
      <c r="N2883" s="10"/>
      <c r="O2883" s="10"/>
      <c r="P2883" s="65"/>
      <c r="Q2883" s="10"/>
      <c r="R2883" s="10"/>
      <c r="S2883" s="54" t="str">
        <f t="shared" si="138"/>
        <v/>
      </c>
      <c r="T2883" s="54" t="str">
        <f t="shared" si="139"/>
        <v/>
      </c>
      <c r="U2883" s="58" t="str">
        <f t="shared" si="140"/>
        <v/>
      </c>
      <c r="V2883" s="58">
        <f>IF(AND($B2883&lt;&gt;"",$F2883&lt;&gt;"",$F2883=项目明细账!$C$2),N(V2882)+1,N(V2882))</f>
        <v>0</v>
      </c>
      <c r="W2883" s="63" t="str">
        <f>IF($H2883&lt;&gt;"","项目成本",IFERROR(INDEX(基础资料!$W$4:$W$49,MATCH($I2883,基础资料!$V$4:$V$49,0)),""))</f>
        <v/>
      </c>
      <c r="X2883" s="63" t="str">
        <f>IFERROR(INDEX(基础资料!$R$4:$R$17,MATCH($G2883,基础资料!$Q$4:$Q$17,0)),"")</f>
        <v/>
      </c>
    </row>
    <row r="2884" spans="1:24">
      <c r="A2884" s="58" t="str">
        <f>IF($B2884="","",COUNTA($B$5:$B2884))</f>
        <v/>
      </c>
      <c r="B2884" s="53"/>
      <c r="C2884" s="46"/>
      <c r="D2884" s="63" t="str">
        <f>IFERROR(INDEX(基础资料!$F$4:$F$23,MATCH($C2884,基础资料!$E$4:$E$23,0)),IF($C2884="","","未匹配账户"))</f>
        <v/>
      </c>
      <c r="E2884" s="39"/>
      <c r="F2884" s="10"/>
      <c r="G2884" s="10"/>
      <c r="H2884" s="10"/>
      <c r="I2884" s="10"/>
      <c r="J2884" s="10"/>
      <c r="K2884" s="25"/>
      <c r="L2884" s="25"/>
      <c r="M2884" s="25" t="str">
        <f>IFERROR(VLOOKUP($C2884,$C$5:$M$24,11,0)+SUMIF($C$25:$C2884,$C2884,$K$25:$K2884)-SUMIF($C$25:$C2884,$C2884,$L$25:$L2884),"")</f>
        <v/>
      </c>
      <c r="N2884" s="10"/>
      <c r="O2884" s="10"/>
      <c r="P2884" s="65"/>
      <c r="Q2884" s="10"/>
      <c r="R2884" s="10"/>
      <c r="S2884" s="54" t="str">
        <f t="shared" si="138"/>
        <v/>
      </c>
      <c r="T2884" s="54" t="str">
        <f t="shared" si="139"/>
        <v/>
      </c>
      <c r="U2884" s="58" t="str">
        <f t="shared" si="140"/>
        <v/>
      </c>
      <c r="V2884" s="58">
        <f>IF(AND($B2884&lt;&gt;"",$F2884&lt;&gt;"",$F2884=项目明细账!$C$2),N(V2883)+1,N(V2883))</f>
        <v>0</v>
      </c>
      <c r="W2884" s="63" t="str">
        <f>IF($H2884&lt;&gt;"","项目成本",IFERROR(INDEX(基础资料!$W$4:$W$49,MATCH($I2884,基础资料!$V$4:$V$49,0)),""))</f>
        <v/>
      </c>
      <c r="X2884" s="63" t="str">
        <f>IFERROR(INDEX(基础资料!$R$4:$R$17,MATCH($G2884,基础资料!$Q$4:$Q$17,0)),"")</f>
        <v/>
      </c>
    </row>
    <row r="2885" spans="1:24">
      <c r="A2885" s="58" t="str">
        <f>IF($B2885="","",COUNTA($B$5:$B2885))</f>
        <v/>
      </c>
      <c r="B2885" s="53"/>
      <c r="C2885" s="46"/>
      <c r="D2885" s="63" t="str">
        <f>IFERROR(INDEX(基础资料!$F$4:$F$23,MATCH($C2885,基础资料!$E$4:$E$23,0)),IF($C2885="","","未匹配账户"))</f>
        <v/>
      </c>
      <c r="E2885" s="39"/>
      <c r="F2885" s="10"/>
      <c r="G2885" s="10"/>
      <c r="H2885" s="10"/>
      <c r="I2885" s="10"/>
      <c r="J2885" s="10"/>
      <c r="K2885" s="25"/>
      <c r="L2885" s="25"/>
      <c r="M2885" s="25" t="str">
        <f>IFERROR(VLOOKUP($C2885,$C$5:$M$24,11,0)+SUMIF($C$25:$C2885,$C2885,$K$25:$K2885)-SUMIF($C$25:$C2885,$C2885,$L$25:$L2885),"")</f>
        <v/>
      </c>
      <c r="N2885" s="10"/>
      <c r="O2885" s="10"/>
      <c r="P2885" s="65"/>
      <c r="Q2885" s="10"/>
      <c r="R2885" s="10"/>
      <c r="S2885" s="54" t="str">
        <f t="shared" si="138"/>
        <v/>
      </c>
      <c r="T2885" s="54" t="str">
        <f t="shared" si="139"/>
        <v/>
      </c>
      <c r="U2885" s="58" t="str">
        <f t="shared" si="140"/>
        <v/>
      </c>
      <c r="V2885" s="58">
        <f>IF(AND($B2885&lt;&gt;"",$F2885&lt;&gt;"",$F2885=项目明细账!$C$2),N(V2884)+1,N(V2884))</f>
        <v>0</v>
      </c>
      <c r="W2885" s="63" t="str">
        <f>IF($H2885&lt;&gt;"","项目成本",IFERROR(INDEX(基础资料!$W$4:$W$49,MATCH($I2885,基础资料!$V$4:$V$49,0)),""))</f>
        <v/>
      </c>
      <c r="X2885" s="63" t="str">
        <f>IFERROR(INDEX(基础资料!$R$4:$R$17,MATCH($G2885,基础资料!$Q$4:$Q$17,0)),"")</f>
        <v/>
      </c>
    </row>
    <row r="2886" spans="1:24">
      <c r="A2886" s="58" t="str">
        <f>IF($B2886="","",COUNTA($B$5:$B2886))</f>
        <v/>
      </c>
      <c r="B2886" s="53"/>
      <c r="C2886" s="46"/>
      <c r="D2886" s="63" t="str">
        <f>IFERROR(INDEX(基础资料!$F$4:$F$23,MATCH($C2886,基础资料!$E$4:$E$23,0)),IF($C2886="","","未匹配账户"))</f>
        <v/>
      </c>
      <c r="E2886" s="39"/>
      <c r="F2886" s="10"/>
      <c r="G2886" s="10"/>
      <c r="H2886" s="10"/>
      <c r="I2886" s="10"/>
      <c r="J2886" s="10"/>
      <c r="K2886" s="25"/>
      <c r="L2886" s="25"/>
      <c r="M2886" s="25" t="str">
        <f>IFERROR(VLOOKUP($C2886,$C$5:$M$24,11,0)+SUMIF($C$25:$C2886,$C2886,$K$25:$K2886)-SUMIF($C$25:$C2886,$C2886,$L$25:$L2886),"")</f>
        <v/>
      </c>
      <c r="N2886" s="10"/>
      <c r="O2886" s="10"/>
      <c r="P2886" s="65"/>
      <c r="Q2886" s="10"/>
      <c r="R2886" s="10"/>
      <c r="S2886" s="54" t="str">
        <f t="shared" si="138"/>
        <v/>
      </c>
      <c r="T2886" s="54" t="str">
        <f t="shared" si="139"/>
        <v/>
      </c>
      <c r="U2886" s="58" t="str">
        <f t="shared" si="140"/>
        <v/>
      </c>
      <c r="V2886" s="58">
        <f>IF(AND($B2886&lt;&gt;"",$F2886&lt;&gt;"",$F2886=项目明细账!$C$2),N(V2885)+1,N(V2885))</f>
        <v>0</v>
      </c>
      <c r="W2886" s="63" t="str">
        <f>IF($H2886&lt;&gt;"","项目成本",IFERROR(INDEX(基础资料!$W$4:$W$49,MATCH($I2886,基础资料!$V$4:$V$49,0)),""))</f>
        <v/>
      </c>
      <c r="X2886" s="63" t="str">
        <f>IFERROR(INDEX(基础资料!$R$4:$R$17,MATCH($G2886,基础资料!$Q$4:$Q$17,0)),"")</f>
        <v/>
      </c>
    </row>
    <row r="2887" spans="1:24">
      <c r="A2887" s="58" t="str">
        <f>IF($B2887="","",COUNTA($B$5:$B2887))</f>
        <v/>
      </c>
      <c r="B2887" s="53"/>
      <c r="C2887" s="46"/>
      <c r="D2887" s="63" t="str">
        <f>IFERROR(INDEX(基础资料!$F$4:$F$23,MATCH($C2887,基础资料!$E$4:$E$23,0)),IF($C2887="","","未匹配账户"))</f>
        <v/>
      </c>
      <c r="E2887" s="39"/>
      <c r="F2887" s="10"/>
      <c r="G2887" s="10"/>
      <c r="H2887" s="10"/>
      <c r="I2887" s="10"/>
      <c r="J2887" s="10"/>
      <c r="K2887" s="25"/>
      <c r="L2887" s="25"/>
      <c r="M2887" s="25" t="str">
        <f>IFERROR(VLOOKUP($C2887,$C$5:$M$24,11,0)+SUMIF($C$25:$C2887,$C2887,$K$25:$K2887)-SUMIF($C$25:$C2887,$C2887,$L$25:$L2887),"")</f>
        <v/>
      </c>
      <c r="N2887" s="10"/>
      <c r="O2887" s="10"/>
      <c r="P2887" s="65"/>
      <c r="Q2887" s="10"/>
      <c r="R2887" s="10"/>
      <c r="S2887" s="54" t="str">
        <f t="shared" ref="S2887:S2950" si="141">IF($B2887="","",--TEXT($B2887,"yyyymm"))</f>
        <v/>
      </c>
      <c r="T2887" s="54" t="str">
        <f t="shared" ref="T2887:T2950" si="142">IF($B2887="","",IF($P2887="",$S2887,IFERROR($P2887*1,$P2887)))</f>
        <v/>
      </c>
      <c r="U2887" s="58" t="str">
        <f t="shared" ref="U2887:U2950" si="143">IF($B2887="","",IF($T2887=$S2887,"","跨期"))</f>
        <v/>
      </c>
      <c r="V2887" s="58">
        <f>IF(AND($B2887&lt;&gt;"",$F2887&lt;&gt;"",$F2887=项目明细账!$C$2),N(V2886)+1,N(V2886))</f>
        <v>0</v>
      </c>
      <c r="W2887" s="63" t="str">
        <f>IF($H2887&lt;&gt;"","项目成本",IFERROR(INDEX(基础资料!$W$4:$W$49,MATCH($I2887,基础资料!$V$4:$V$49,0)),""))</f>
        <v/>
      </c>
      <c r="X2887" s="63" t="str">
        <f>IFERROR(INDEX(基础资料!$R$4:$R$17,MATCH($G2887,基础资料!$Q$4:$Q$17,0)),"")</f>
        <v/>
      </c>
    </row>
    <row r="2888" spans="1:24">
      <c r="A2888" s="58" t="str">
        <f>IF($B2888="","",COUNTA($B$5:$B2888))</f>
        <v/>
      </c>
      <c r="B2888" s="53"/>
      <c r="C2888" s="46"/>
      <c r="D2888" s="63" t="str">
        <f>IFERROR(INDEX(基础资料!$F$4:$F$23,MATCH($C2888,基础资料!$E$4:$E$23,0)),IF($C2888="","","未匹配账户"))</f>
        <v/>
      </c>
      <c r="E2888" s="39"/>
      <c r="F2888" s="10"/>
      <c r="G2888" s="10"/>
      <c r="H2888" s="10"/>
      <c r="I2888" s="10"/>
      <c r="J2888" s="10"/>
      <c r="K2888" s="25"/>
      <c r="L2888" s="25"/>
      <c r="M2888" s="25" t="str">
        <f>IFERROR(VLOOKUP($C2888,$C$5:$M$24,11,0)+SUMIF($C$25:$C2888,$C2888,$K$25:$K2888)-SUMIF($C$25:$C2888,$C2888,$L$25:$L2888),"")</f>
        <v/>
      </c>
      <c r="N2888" s="10"/>
      <c r="O2888" s="10"/>
      <c r="P2888" s="65"/>
      <c r="Q2888" s="10"/>
      <c r="R2888" s="10"/>
      <c r="S2888" s="54" t="str">
        <f t="shared" si="141"/>
        <v/>
      </c>
      <c r="T2888" s="54" t="str">
        <f t="shared" si="142"/>
        <v/>
      </c>
      <c r="U2888" s="58" t="str">
        <f t="shared" si="143"/>
        <v/>
      </c>
      <c r="V2888" s="58">
        <f>IF(AND($B2888&lt;&gt;"",$F2888&lt;&gt;"",$F2888=项目明细账!$C$2),N(V2887)+1,N(V2887))</f>
        <v>0</v>
      </c>
      <c r="W2888" s="63" t="str">
        <f>IF($H2888&lt;&gt;"","项目成本",IFERROR(INDEX(基础资料!$W$4:$W$49,MATCH($I2888,基础资料!$V$4:$V$49,0)),""))</f>
        <v/>
      </c>
      <c r="X2888" s="63" t="str">
        <f>IFERROR(INDEX(基础资料!$R$4:$R$17,MATCH($G2888,基础资料!$Q$4:$Q$17,0)),"")</f>
        <v/>
      </c>
    </row>
    <row r="2889" spans="1:24">
      <c r="A2889" s="58" t="str">
        <f>IF($B2889="","",COUNTA($B$5:$B2889))</f>
        <v/>
      </c>
      <c r="B2889" s="53"/>
      <c r="C2889" s="46"/>
      <c r="D2889" s="63" t="str">
        <f>IFERROR(INDEX(基础资料!$F$4:$F$23,MATCH($C2889,基础资料!$E$4:$E$23,0)),IF($C2889="","","未匹配账户"))</f>
        <v/>
      </c>
      <c r="E2889" s="39"/>
      <c r="F2889" s="10"/>
      <c r="G2889" s="10"/>
      <c r="H2889" s="10"/>
      <c r="I2889" s="10"/>
      <c r="J2889" s="10"/>
      <c r="K2889" s="25"/>
      <c r="L2889" s="25"/>
      <c r="M2889" s="25" t="str">
        <f>IFERROR(VLOOKUP($C2889,$C$5:$M$24,11,0)+SUMIF($C$25:$C2889,$C2889,$K$25:$K2889)-SUMIF($C$25:$C2889,$C2889,$L$25:$L2889),"")</f>
        <v/>
      </c>
      <c r="N2889" s="10"/>
      <c r="O2889" s="10"/>
      <c r="P2889" s="65"/>
      <c r="Q2889" s="10"/>
      <c r="R2889" s="10"/>
      <c r="S2889" s="54" t="str">
        <f t="shared" si="141"/>
        <v/>
      </c>
      <c r="T2889" s="54" t="str">
        <f t="shared" si="142"/>
        <v/>
      </c>
      <c r="U2889" s="58" t="str">
        <f t="shared" si="143"/>
        <v/>
      </c>
      <c r="V2889" s="58">
        <f>IF(AND($B2889&lt;&gt;"",$F2889&lt;&gt;"",$F2889=项目明细账!$C$2),N(V2888)+1,N(V2888))</f>
        <v>0</v>
      </c>
      <c r="W2889" s="63" t="str">
        <f>IF($H2889&lt;&gt;"","项目成本",IFERROR(INDEX(基础资料!$W$4:$W$49,MATCH($I2889,基础资料!$V$4:$V$49,0)),""))</f>
        <v/>
      </c>
      <c r="X2889" s="63" t="str">
        <f>IFERROR(INDEX(基础资料!$R$4:$R$17,MATCH($G2889,基础资料!$Q$4:$Q$17,0)),"")</f>
        <v/>
      </c>
    </row>
    <row r="2890" spans="1:24">
      <c r="A2890" s="58" t="str">
        <f>IF($B2890="","",COUNTA($B$5:$B2890))</f>
        <v/>
      </c>
      <c r="B2890" s="53"/>
      <c r="C2890" s="46"/>
      <c r="D2890" s="63" t="str">
        <f>IFERROR(INDEX(基础资料!$F$4:$F$23,MATCH($C2890,基础资料!$E$4:$E$23,0)),IF($C2890="","","未匹配账户"))</f>
        <v/>
      </c>
      <c r="E2890" s="39"/>
      <c r="F2890" s="10"/>
      <c r="G2890" s="10"/>
      <c r="H2890" s="10"/>
      <c r="I2890" s="10"/>
      <c r="J2890" s="10"/>
      <c r="K2890" s="25"/>
      <c r="L2890" s="25"/>
      <c r="M2890" s="25" t="str">
        <f>IFERROR(VLOOKUP($C2890,$C$5:$M$24,11,0)+SUMIF($C$25:$C2890,$C2890,$K$25:$K2890)-SUMIF($C$25:$C2890,$C2890,$L$25:$L2890),"")</f>
        <v/>
      </c>
      <c r="N2890" s="10"/>
      <c r="O2890" s="10"/>
      <c r="P2890" s="65"/>
      <c r="Q2890" s="10"/>
      <c r="R2890" s="10"/>
      <c r="S2890" s="54" t="str">
        <f t="shared" si="141"/>
        <v/>
      </c>
      <c r="T2890" s="54" t="str">
        <f t="shared" si="142"/>
        <v/>
      </c>
      <c r="U2890" s="58" t="str">
        <f t="shared" si="143"/>
        <v/>
      </c>
      <c r="V2890" s="58">
        <f>IF(AND($B2890&lt;&gt;"",$F2890&lt;&gt;"",$F2890=项目明细账!$C$2),N(V2889)+1,N(V2889))</f>
        <v>0</v>
      </c>
      <c r="W2890" s="63" t="str">
        <f>IF($H2890&lt;&gt;"","项目成本",IFERROR(INDEX(基础资料!$W$4:$W$49,MATCH($I2890,基础资料!$V$4:$V$49,0)),""))</f>
        <v/>
      </c>
      <c r="X2890" s="63" t="str">
        <f>IFERROR(INDEX(基础资料!$R$4:$R$17,MATCH($G2890,基础资料!$Q$4:$Q$17,0)),"")</f>
        <v/>
      </c>
    </row>
    <row r="2891" spans="1:24">
      <c r="A2891" s="58" t="str">
        <f>IF($B2891="","",COUNTA($B$5:$B2891))</f>
        <v/>
      </c>
      <c r="B2891" s="53"/>
      <c r="C2891" s="46"/>
      <c r="D2891" s="63" t="str">
        <f>IFERROR(INDEX(基础资料!$F$4:$F$23,MATCH($C2891,基础资料!$E$4:$E$23,0)),IF($C2891="","","未匹配账户"))</f>
        <v/>
      </c>
      <c r="E2891" s="39"/>
      <c r="F2891" s="10"/>
      <c r="G2891" s="10"/>
      <c r="H2891" s="10"/>
      <c r="I2891" s="10"/>
      <c r="J2891" s="10"/>
      <c r="K2891" s="25"/>
      <c r="L2891" s="25"/>
      <c r="M2891" s="25" t="str">
        <f>IFERROR(VLOOKUP($C2891,$C$5:$M$24,11,0)+SUMIF($C$25:$C2891,$C2891,$K$25:$K2891)-SUMIF($C$25:$C2891,$C2891,$L$25:$L2891),"")</f>
        <v/>
      </c>
      <c r="N2891" s="10"/>
      <c r="O2891" s="10"/>
      <c r="P2891" s="65"/>
      <c r="Q2891" s="10"/>
      <c r="R2891" s="10"/>
      <c r="S2891" s="54" t="str">
        <f t="shared" si="141"/>
        <v/>
      </c>
      <c r="T2891" s="54" t="str">
        <f t="shared" si="142"/>
        <v/>
      </c>
      <c r="U2891" s="58" t="str">
        <f t="shared" si="143"/>
        <v/>
      </c>
      <c r="V2891" s="58">
        <f>IF(AND($B2891&lt;&gt;"",$F2891&lt;&gt;"",$F2891=项目明细账!$C$2),N(V2890)+1,N(V2890))</f>
        <v>0</v>
      </c>
      <c r="W2891" s="63" t="str">
        <f>IF($H2891&lt;&gt;"","项目成本",IFERROR(INDEX(基础资料!$W$4:$W$49,MATCH($I2891,基础资料!$V$4:$V$49,0)),""))</f>
        <v/>
      </c>
      <c r="X2891" s="63" t="str">
        <f>IFERROR(INDEX(基础资料!$R$4:$R$17,MATCH($G2891,基础资料!$Q$4:$Q$17,0)),"")</f>
        <v/>
      </c>
    </row>
    <row r="2892" spans="1:24">
      <c r="A2892" s="58" t="str">
        <f>IF($B2892="","",COUNTA($B$5:$B2892))</f>
        <v/>
      </c>
      <c r="B2892" s="53"/>
      <c r="C2892" s="46"/>
      <c r="D2892" s="63" t="str">
        <f>IFERROR(INDEX(基础资料!$F$4:$F$23,MATCH($C2892,基础资料!$E$4:$E$23,0)),IF($C2892="","","未匹配账户"))</f>
        <v/>
      </c>
      <c r="E2892" s="39"/>
      <c r="F2892" s="10"/>
      <c r="G2892" s="10"/>
      <c r="H2892" s="10"/>
      <c r="I2892" s="10"/>
      <c r="J2892" s="10"/>
      <c r="K2892" s="25"/>
      <c r="L2892" s="25"/>
      <c r="M2892" s="25" t="str">
        <f>IFERROR(VLOOKUP($C2892,$C$5:$M$24,11,0)+SUMIF($C$25:$C2892,$C2892,$K$25:$K2892)-SUMIF($C$25:$C2892,$C2892,$L$25:$L2892),"")</f>
        <v/>
      </c>
      <c r="N2892" s="10"/>
      <c r="O2892" s="10"/>
      <c r="P2892" s="65"/>
      <c r="Q2892" s="10"/>
      <c r="R2892" s="10"/>
      <c r="S2892" s="54" t="str">
        <f t="shared" si="141"/>
        <v/>
      </c>
      <c r="T2892" s="54" t="str">
        <f t="shared" si="142"/>
        <v/>
      </c>
      <c r="U2892" s="58" t="str">
        <f t="shared" si="143"/>
        <v/>
      </c>
      <c r="V2892" s="58">
        <f>IF(AND($B2892&lt;&gt;"",$F2892&lt;&gt;"",$F2892=项目明细账!$C$2),N(V2891)+1,N(V2891))</f>
        <v>0</v>
      </c>
      <c r="W2892" s="63" t="str">
        <f>IF($H2892&lt;&gt;"","项目成本",IFERROR(INDEX(基础资料!$W$4:$W$49,MATCH($I2892,基础资料!$V$4:$V$49,0)),""))</f>
        <v/>
      </c>
      <c r="X2892" s="63" t="str">
        <f>IFERROR(INDEX(基础资料!$R$4:$R$17,MATCH($G2892,基础资料!$Q$4:$Q$17,0)),"")</f>
        <v/>
      </c>
    </row>
    <row r="2893" spans="1:24">
      <c r="A2893" s="58" t="str">
        <f>IF($B2893="","",COUNTA($B$5:$B2893))</f>
        <v/>
      </c>
      <c r="B2893" s="53"/>
      <c r="C2893" s="46"/>
      <c r="D2893" s="63" t="str">
        <f>IFERROR(INDEX(基础资料!$F$4:$F$23,MATCH($C2893,基础资料!$E$4:$E$23,0)),IF($C2893="","","未匹配账户"))</f>
        <v/>
      </c>
      <c r="E2893" s="39"/>
      <c r="F2893" s="10"/>
      <c r="G2893" s="10"/>
      <c r="H2893" s="10"/>
      <c r="I2893" s="10"/>
      <c r="J2893" s="10"/>
      <c r="K2893" s="25"/>
      <c r="L2893" s="25"/>
      <c r="M2893" s="25" t="str">
        <f>IFERROR(VLOOKUP($C2893,$C$5:$M$24,11,0)+SUMIF($C$25:$C2893,$C2893,$K$25:$K2893)-SUMIF($C$25:$C2893,$C2893,$L$25:$L2893),"")</f>
        <v/>
      </c>
      <c r="N2893" s="10"/>
      <c r="O2893" s="10"/>
      <c r="P2893" s="65"/>
      <c r="Q2893" s="10"/>
      <c r="R2893" s="10"/>
      <c r="S2893" s="54" t="str">
        <f t="shared" si="141"/>
        <v/>
      </c>
      <c r="T2893" s="54" t="str">
        <f t="shared" si="142"/>
        <v/>
      </c>
      <c r="U2893" s="58" t="str">
        <f t="shared" si="143"/>
        <v/>
      </c>
      <c r="V2893" s="58">
        <f>IF(AND($B2893&lt;&gt;"",$F2893&lt;&gt;"",$F2893=项目明细账!$C$2),N(V2892)+1,N(V2892))</f>
        <v>0</v>
      </c>
      <c r="W2893" s="63" t="str">
        <f>IF($H2893&lt;&gt;"","项目成本",IFERROR(INDEX(基础资料!$W$4:$W$49,MATCH($I2893,基础资料!$V$4:$V$49,0)),""))</f>
        <v/>
      </c>
      <c r="X2893" s="63" t="str">
        <f>IFERROR(INDEX(基础资料!$R$4:$R$17,MATCH($G2893,基础资料!$Q$4:$Q$17,0)),"")</f>
        <v/>
      </c>
    </row>
    <row r="2894" spans="1:24">
      <c r="A2894" s="58" t="str">
        <f>IF($B2894="","",COUNTA($B$5:$B2894))</f>
        <v/>
      </c>
      <c r="B2894" s="53"/>
      <c r="C2894" s="46"/>
      <c r="D2894" s="63" t="str">
        <f>IFERROR(INDEX(基础资料!$F$4:$F$23,MATCH($C2894,基础资料!$E$4:$E$23,0)),IF($C2894="","","未匹配账户"))</f>
        <v/>
      </c>
      <c r="E2894" s="39"/>
      <c r="F2894" s="10"/>
      <c r="G2894" s="10"/>
      <c r="H2894" s="10"/>
      <c r="I2894" s="10"/>
      <c r="J2894" s="10"/>
      <c r="K2894" s="25"/>
      <c r="L2894" s="25"/>
      <c r="M2894" s="25" t="str">
        <f>IFERROR(VLOOKUP($C2894,$C$5:$M$24,11,0)+SUMIF($C$25:$C2894,$C2894,$K$25:$K2894)-SUMIF($C$25:$C2894,$C2894,$L$25:$L2894),"")</f>
        <v/>
      </c>
      <c r="N2894" s="10"/>
      <c r="O2894" s="10"/>
      <c r="P2894" s="65"/>
      <c r="Q2894" s="10"/>
      <c r="R2894" s="10"/>
      <c r="S2894" s="54" t="str">
        <f t="shared" si="141"/>
        <v/>
      </c>
      <c r="T2894" s="54" t="str">
        <f t="shared" si="142"/>
        <v/>
      </c>
      <c r="U2894" s="58" t="str">
        <f t="shared" si="143"/>
        <v/>
      </c>
      <c r="V2894" s="58">
        <f>IF(AND($B2894&lt;&gt;"",$F2894&lt;&gt;"",$F2894=项目明细账!$C$2),N(V2893)+1,N(V2893))</f>
        <v>0</v>
      </c>
      <c r="W2894" s="63" t="str">
        <f>IF($H2894&lt;&gt;"","项目成本",IFERROR(INDEX(基础资料!$W$4:$W$49,MATCH($I2894,基础资料!$V$4:$V$49,0)),""))</f>
        <v/>
      </c>
      <c r="X2894" s="63" t="str">
        <f>IFERROR(INDEX(基础资料!$R$4:$R$17,MATCH($G2894,基础资料!$Q$4:$Q$17,0)),"")</f>
        <v/>
      </c>
    </row>
    <row r="2895" spans="1:24">
      <c r="A2895" s="58" t="str">
        <f>IF($B2895="","",COUNTA($B$5:$B2895))</f>
        <v/>
      </c>
      <c r="B2895" s="53"/>
      <c r="C2895" s="46"/>
      <c r="D2895" s="63" t="str">
        <f>IFERROR(INDEX(基础资料!$F$4:$F$23,MATCH($C2895,基础资料!$E$4:$E$23,0)),IF($C2895="","","未匹配账户"))</f>
        <v/>
      </c>
      <c r="E2895" s="39"/>
      <c r="F2895" s="10"/>
      <c r="G2895" s="10"/>
      <c r="H2895" s="10"/>
      <c r="I2895" s="10"/>
      <c r="J2895" s="10"/>
      <c r="K2895" s="25"/>
      <c r="L2895" s="25"/>
      <c r="M2895" s="25" t="str">
        <f>IFERROR(VLOOKUP($C2895,$C$5:$M$24,11,0)+SUMIF($C$25:$C2895,$C2895,$K$25:$K2895)-SUMIF($C$25:$C2895,$C2895,$L$25:$L2895),"")</f>
        <v/>
      </c>
      <c r="N2895" s="10"/>
      <c r="O2895" s="10"/>
      <c r="P2895" s="65"/>
      <c r="Q2895" s="10"/>
      <c r="R2895" s="10"/>
      <c r="S2895" s="54" t="str">
        <f t="shared" si="141"/>
        <v/>
      </c>
      <c r="T2895" s="54" t="str">
        <f t="shared" si="142"/>
        <v/>
      </c>
      <c r="U2895" s="58" t="str">
        <f t="shared" si="143"/>
        <v/>
      </c>
      <c r="V2895" s="58">
        <f>IF(AND($B2895&lt;&gt;"",$F2895&lt;&gt;"",$F2895=项目明细账!$C$2),N(V2894)+1,N(V2894))</f>
        <v>0</v>
      </c>
      <c r="W2895" s="63" t="str">
        <f>IF($H2895&lt;&gt;"","项目成本",IFERROR(INDEX(基础资料!$W$4:$W$49,MATCH($I2895,基础资料!$V$4:$V$49,0)),""))</f>
        <v/>
      </c>
      <c r="X2895" s="63" t="str">
        <f>IFERROR(INDEX(基础资料!$R$4:$R$17,MATCH($G2895,基础资料!$Q$4:$Q$17,0)),"")</f>
        <v/>
      </c>
    </row>
    <row r="2896" spans="1:24">
      <c r="A2896" s="58" t="str">
        <f>IF($B2896="","",COUNTA($B$5:$B2896))</f>
        <v/>
      </c>
      <c r="B2896" s="53"/>
      <c r="C2896" s="46"/>
      <c r="D2896" s="63" t="str">
        <f>IFERROR(INDEX(基础资料!$F$4:$F$23,MATCH($C2896,基础资料!$E$4:$E$23,0)),IF($C2896="","","未匹配账户"))</f>
        <v/>
      </c>
      <c r="E2896" s="39"/>
      <c r="F2896" s="10"/>
      <c r="G2896" s="10"/>
      <c r="H2896" s="10"/>
      <c r="I2896" s="10"/>
      <c r="J2896" s="10"/>
      <c r="K2896" s="25"/>
      <c r="L2896" s="25"/>
      <c r="M2896" s="25" t="str">
        <f>IFERROR(VLOOKUP($C2896,$C$5:$M$24,11,0)+SUMIF($C$25:$C2896,$C2896,$K$25:$K2896)-SUMIF($C$25:$C2896,$C2896,$L$25:$L2896),"")</f>
        <v/>
      </c>
      <c r="N2896" s="10"/>
      <c r="O2896" s="10"/>
      <c r="P2896" s="65"/>
      <c r="Q2896" s="10"/>
      <c r="R2896" s="10"/>
      <c r="S2896" s="54" t="str">
        <f t="shared" si="141"/>
        <v/>
      </c>
      <c r="T2896" s="54" t="str">
        <f t="shared" si="142"/>
        <v/>
      </c>
      <c r="U2896" s="58" t="str">
        <f t="shared" si="143"/>
        <v/>
      </c>
      <c r="V2896" s="58">
        <f>IF(AND($B2896&lt;&gt;"",$F2896&lt;&gt;"",$F2896=项目明细账!$C$2),N(V2895)+1,N(V2895))</f>
        <v>0</v>
      </c>
      <c r="W2896" s="63" t="str">
        <f>IF($H2896&lt;&gt;"","项目成本",IFERROR(INDEX(基础资料!$W$4:$W$49,MATCH($I2896,基础资料!$V$4:$V$49,0)),""))</f>
        <v/>
      </c>
      <c r="X2896" s="63" t="str">
        <f>IFERROR(INDEX(基础资料!$R$4:$R$17,MATCH($G2896,基础资料!$Q$4:$Q$17,0)),"")</f>
        <v/>
      </c>
    </row>
    <row r="2897" spans="1:24">
      <c r="A2897" s="58" t="str">
        <f>IF($B2897="","",COUNTA($B$5:$B2897))</f>
        <v/>
      </c>
      <c r="B2897" s="53"/>
      <c r="C2897" s="46"/>
      <c r="D2897" s="63" t="str">
        <f>IFERROR(INDEX(基础资料!$F$4:$F$23,MATCH($C2897,基础资料!$E$4:$E$23,0)),IF($C2897="","","未匹配账户"))</f>
        <v/>
      </c>
      <c r="E2897" s="39"/>
      <c r="F2897" s="10"/>
      <c r="G2897" s="10"/>
      <c r="H2897" s="10"/>
      <c r="I2897" s="10"/>
      <c r="J2897" s="10"/>
      <c r="K2897" s="25"/>
      <c r="L2897" s="25"/>
      <c r="M2897" s="25" t="str">
        <f>IFERROR(VLOOKUP($C2897,$C$5:$M$24,11,0)+SUMIF($C$25:$C2897,$C2897,$K$25:$K2897)-SUMIF($C$25:$C2897,$C2897,$L$25:$L2897),"")</f>
        <v/>
      </c>
      <c r="N2897" s="10"/>
      <c r="O2897" s="10"/>
      <c r="P2897" s="65"/>
      <c r="Q2897" s="10"/>
      <c r="R2897" s="10"/>
      <c r="S2897" s="54" t="str">
        <f t="shared" si="141"/>
        <v/>
      </c>
      <c r="T2897" s="54" t="str">
        <f t="shared" si="142"/>
        <v/>
      </c>
      <c r="U2897" s="58" t="str">
        <f t="shared" si="143"/>
        <v/>
      </c>
      <c r="V2897" s="58">
        <f>IF(AND($B2897&lt;&gt;"",$F2897&lt;&gt;"",$F2897=项目明细账!$C$2),N(V2896)+1,N(V2896))</f>
        <v>0</v>
      </c>
      <c r="W2897" s="63" t="str">
        <f>IF($H2897&lt;&gt;"","项目成本",IFERROR(INDEX(基础资料!$W$4:$W$49,MATCH($I2897,基础资料!$V$4:$V$49,0)),""))</f>
        <v/>
      </c>
      <c r="X2897" s="63" t="str">
        <f>IFERROR(INDEX(基础资料!$R$4:$R$17,MATCH($G2897,基础资料!$Q$4:$Q$17,0)),"")</f>
        <v/>
      </c>
    </row>
    <row r="2898" spans="1:24">
      <c r="A2898" s="58" t="str">
        <f>IF($B2898="","",COUNTA($B$5:$B2898))</f>
        <v/>
      </c>
      <c r="B2898" s="53"/>
      <c r="C2898" s="46"/>
      <c r="D2898" s="63" t="str">
        <f>IFERROR(INDEX(基础资料!$F$4:$F$23,MATCH($C2898,基础资料!$E$4:$E$23,0)),IF($C2898="","","未匹配账户"))</f>
        <v/>
      </c>
      <c r="E2898" s="39"/>
      <c r="F2898" s="10"/>
      <c r="G2898" s="10"/>
      <c r="H2898" s="10"/>
      <c r="I2898" s="10"/>
      <c r="J2898" s="10"/>
      <c r="K2898" s="25"/>
      <c r="L2898" s="25"/>
      <c r="M2898" s="25" t="str">
        <f>IFERROR(VLOOKUP($C2898,$C$5:$M$24,11,0)+SUMIF($C$25:$C2898,$C2898,$K$25:$K2898)-SUMIF($C$25:$C2898,$C2898,$L$25:$L2898),"")</f>
        <v/>
      </c>
      <c r="N2898" s="10"/>
      <c r="O2898" s="10"/>
      <c r="P2898" s="65"/>
      <c r="Q2898" s="10"/>
      <c r="R2898" s="10"/>
      <c r="S2898" s="54" t="str">
        <f t="shared" si="141"/>
        <v/>
      </c>
      <c r="T2898" s="54" t="str">
        <f t="shared" si="142"/>
        <v/>
      </c>
      <c r="U2898" s="58" t="str">
        <f t="shared" si="143"/>
        <v/>
      </c>
      <c r="V2898" s="58">
        <f>IF(AND($B2898&lt;&gt;"",$F2898&lt;&gt;"",$F2898=项目明细账!$C$2),N(V2897)+1,N(V2897))</f>
        <v>0</v>
      </c>
      <c r="W2898" s="63" t="str">
        <f>IF($H2898&lt;&gt;"","项目成本",IFERROR(INDEX(基础资料!$W$4:$W$49,MATCH($I2898,基础资料!$V$4:$V$49,0)),""))</f>
        <v/>
      </c>
      <c r="X2898" s="63" t="str">
        <f>IFERROR(INDEX(基础资料!$R$4:$R$17,MATCH($G2898,基础资料!$Q$4:$Q$17,0)),"")</f>
        <v/>
      </c>
    </row>
    <row r="2899" spans="1:24">
      <c r="A2899" s="58" t="str">
        <f>IF($B2899="","",COUNTA($B$5:$B2899))</f>
        <v/>
      </c>
      <c r="B2899" s="53"/>
      <c r="C2899" s="46"/>
      <c r="D2899" s="63" t="str">
        <f>IFERROR(INDEX(基础资料!$F$4:$F$23,MATCH($C2899,基础资料!$E$4:$E$23,0)),IF($C2899="","","未匹配账户"))</f>
        <v/>
      </c>
      <c r="E2899" s="39"/>
      <c r="F2899" s="10"/>
      <c r="G2899" s="10"/>
      <c r="H2899" s="10"/>
      <c r="I2899" s="10"/>
      <c r="J2899" s="10"/>
      <c r="K2899" s="25"/>
      <c r="L2899" s="25"/>
      <c r="M2899" s="25" t="str">
        <f>IFERROR(VLOOKUP($C2899,$C$5:$M$24,11,0)+SUMIF($C$25:$C2899,$C2899,$K$25:$K2899)-SUMIF($C$25:$C2899,$C2899,$L$25:$L2899),"")</f>
        <v/>
      </c>
      <c r="N2899" s="10"/>
      <c r="O2899" s="10"/>
      <c r="P2899" s="65"/>
      <c r="Q2899" s="10"/>
      <c r="R2899" s="10"/>
      <c r="S2899" s="54" t="str">
        <f t="shared" si="141"/>
        <v/>
      </c>
      <c r="T2899" s="54" t="str">
        <f t="shared" si="142"/>
        <v/>
      </c>
      <c r="U2899" s="58" t="str">
        <f t="shared" si="143"/>
        <v/>
      </c>
      <c r="V2899" s="58">
        <f>IF(AND($B2899&lt;&gt;"",$F2899&lt;&gt;"",$F2899=项目明细账!$C$2),N(V2898)+1,N(V2898))</f>
        <v>0</v>
      </c>
      <c r="W2899" s="63" t="str">
        <f>IF($H2899&lt;&gt;"","项目成本",IFERROR(INDEX(基础资料!$W$4:$W$49,MATCH($I2899,基础资料!$V$4:$V$49,0)),""))</f>
        <v/>
      </c>
      <c r="X2899" s="63" t="str">
        <f>IFERROR(INDEX(基础资料!$R$4:$R$17,MATCH($G2899,基础资料!$Q$4:$Q$17,0)),"")</f>
        <v/>
      </c>
    </row>
    <row r="2900" spans="1:24">
      <c r="A2900" s="58" t="str">
        <f>IF($B2900="","",COUNTA($B$5:$B2900))</f>
        <v/>
      </c>
      <c r="B2900" s="53"/>
      <c r="C2900" s="46"/>
      <c r="D2900" s="63" t="str">
        <f>IFERROR(INDEX(基础资料!$F$4:$F$23,MATCH($C2900,基础资料!$E$4:$E$23,0)),IF($C2900="","","未匹配账户"))</f>
        <v/>
      </c>
      <c r="E2900" s="39"/>
      <c r="F2900" s="10"/>
      <c r="G2900" s="10"/>
      <c r="H2900" s="10"/>
      <c r="I2900" s="10"/>
      <c r="J2900" s="10"/>
      <c r="K2900" s="25"/>
      <c r="L2900" s="25"/>
      <c r="M2900" s="25" t="str">
        <f>IFERROR(VLOOKUP($C2900,$C$5:$M$24,11,0)+SUMIF($C$25:$C2900,$C2900,$K$25:$K2900)-SUMIF($C$25:$C2900,$C2900,$L$25:$L2900),"")</f>
        <v/>
      </c>
      <c r="N2900" s="10"/>
      <c r="O2900" s="10"/>
      <c r="P2900" s="65"/>
      <c r="Q2900" s="10"/>
      <c r="R2900" s="10"/>
      <c r="S2900" s="54" t="str">
        <f t="shared" si="141"/>
        <v/>
      </c>
      <c r="T2900" s="54" t="str">
        <f t="shared" si="142"/>
        <v/>
      </c>
      <c r="U2900" s="58" t="str">
        <f t="shared" si="143"/>
        <v/>
      </c>
      <c r="V2900" s="58">
        <f>IF(AND($B2900&lt;&gt;"",$F2900&lt;&gt;"",$F2900=项目明细账!$C$2),N(V2899)+1,N(V2899))</f>
        <v>0</v>
      </c>
      <c r="W2900" s="63" t="str">
        <f>IF($H2900&lt;&gt;"","项目成本",IFERROR(INDEX(基础资料!$W$4:$W$49,MATCH($I2900,基础资料!$V$4:$V$49,0)),""))</f>
        <v/>
      </c>
      <c r="X2900" s="63" t="str">
        <f>IFERROR(INDEX(基础资料!$R$4:$R$17,MATCH($G2900,基础资料!$Q$4:$Q$17,0)),"")</f>
        <v/>
      </c>
    </row>
    <row r="2901" spans="1:24">
      <c r="A2901" s="58" t="str">
        <f>IF($B2901="","",COUNTA($B$5:$B2901))</f>
        <v/>
      </c>
      <c r="B2901" s="53"/>
      <c r="C2901" s="46"/>
      <c r="D2901" s="63" t="str">
        <f>IFERROR(INDEX(基础资料!$F$4:$F$23,MATCH($C2901,基础资料!$E$4:$E$23,0)),IF($C2901="","","未匹配账户"))</f>
        <v/>
      </c>
      <c r="E2901" s="39"/>
      <c r="F2901" s="10"/>
      <c r="G2901" s="10"/>
      <c r="H2901" s="10"/>
      <c r="I2901" s="10"/>
      <c r="J2901" s="10"/>
      <c r="K2901" s="25"/>
      <c r="L2901" s="25"/>
      <c r="M2901" s="25" t="str">
        <f>IFERROR(VLOOKUP($C2901,$C$5:$M$24,11,0)+SUMIF($C$25:$C2901,$C2901,$K$25:$K2901)-SUMIF($C$25:$C2901,$C2901,$L$25:$L2901),"")</f>
        <v/>
      </c>
      <c r="N2901" s="10"/>
      <c r="O2901" s="10"/>
      <c r="P2901" s="65"/>
      <c r="Q2901" s="10"/>
      <c r="R2901" s="10"/>
      <c r="S2901" s="54" t="str">
        <f t="shared" si="141"/>
        <v/>
      </c>
      <c r="T2901" s="54" t="str">
        <f t="shared" si="142"/>
        <v/>
      </c>
      <c r="U2901" s="58" t="str">
        <f t="shared" si="143"/>
        <v/>
      </c>
      <c r="V2901" s="58">
        <f>IF(AND($B2901&lt;&gt;"",$F2901&lt;&gt;"",$F2901=项目明细账!$C$2),N(V2900)+1,N(V2900))</f>
        <v>0</v>
      </c>
      <c r="W2901" s="63" t="str">
        <f>IF($H2901&lt;&gt;"","项目成本",IFERROR(INDEX(基础资料!$W$4:$W$49,MATCH($I2901,基础资料!$V$4:$V$49,0)),""))</f>
        <v/>
      </c>
      <c r="X2901" s="63" t="str">
        <f>IFERROR(INDEX(基础资料!$R$4:$R$17,MATCH($G2901,基础资料!$Q$4:$Q$17,0)),"")</f>
        <v/>
      </c>
    </row>
    <row r="2902" spans="1:24">
      <c r="A2902" s="58" t="str">
        <f>IF($B2902="","",COUNTA($B$5:$B2902))</f>
        <v/>
      </c>
      <c r="B2902" s="53"/>
      <c r="C2902" s="46"/>
      <c r="D2902" s="63" t="str">
        <f>IFERROR(INDEX(基础资料!$F$4:$F$23,MATCH($C2902,基础资料!$E$4:$E$23,0)),IF($C2902="","","未匹配账户"))</f>
        <v/>
      </c>
      <c r="E2902" s="39"/>
      <c r="F2902" s="10"/>
      <c r="G2902" s="10"/>
      <c r="H2902" s="10"/>
      <c r="I2902" s="10"/>
      <c r="J2902" s="10"/>
      <c r="K2902" s="25"/>
      <c r="L2902" s="25"/>
      <c r="M2902" s="25" t="str">
        <f>IFERROR(VLOOKUP($C2902,$C$5:$M$24,11,0)+SUMIF($C$25:$C2902,$C2902,$K$25:$K2902)-SUMIF($C$25:$C2902,$C2902,$L$25:$L2902),"")</f>
        <v/>
      </c>
      <c r="N2902" s="10"/>
      <c r="O2902" s="10"/>
      <c r="P2902" s="65"/>
      <c r="Q2902" s="10"/>
      <c r="R2902" s="10"/>
      <c r="S2902" s="54" t="str">
        <f t="shared" si="141"/>
        <v/>
      </c>
      <c r="T2902" s="54" t="str">
        <f t="shared" si="142"/>
        <v/>
      </c>
      <c r="U2902" s="58" t="str">
        <f t="shared" si="143"/>
        <v/>
      </c>
      <c r="V2902" s="58">
        <f>IF(AND($B2902&lt;&gt;"",$F2902&lt;&gt;"",$F2902=项目明细账!$C$2),N(V2901)+1,N(V2901))</f>
        <v>0</v>
      </c>
      <c r="W2902" s="63" t="str">
        <f>IF($H2902&lt;&gt;"","项目成本",IFERROR(INDEX(基础资料!$W$4:$W$49,MATCH($I2902,基础资料!$V$4:$V$49,0)),""))</f>
        <v/>
      </c>
      <c r="X2902" s="63" t="str">
        <f>IFERROR(INDEX(基础资料!$R$4:$R$17,MATCH($G2902,基础资料!$Q$4:$Q$17,0)),"")</f>
        <v/>
      </c>
    </row>
    <row r="2903" spans="1:24">
      <c r="A2903" s="58" t="str">
        <f>IF($B2903="","",COUNTA($B$5:$B2903))</f>
        <v/>
      </c>
      <c r="B2903" s="53"/>
      <c r="C2903" s="46"/>
      <c r="D2903" s="63" t="str">
        <f>IFERROR(INDEX(基础资料!$F$4:$F$23,MATCH($C2903,基础资料!$E$4:$E$23,0)),IF($C2903="","","未匹配账户"))</f>
        <v/>
      </c>
      <c r="E2903" s="39"/>
      <c r="F2903" s="10"/>
      <c r="G2903" s="10"/>
      <c r="H2903" s="10"/>
      <c r="I2903" s="10"/>
      <c r="J2903" s="10"/>
      <c r="K2903" s="25"/>
      <c r="L2903" s="25"/>
      <c r="M2903" s="25" t="str">
        <f>IFERROR(VLOOKUP($C2903,$C$5:$M$24,11,0)+SUMIF($C$25:$C2903,$C2903,$K$25:$K2903)-SUMIF($C$25:$C2903,$C2903,$L$25:$L2903),"")</f>
        <v/>
      </c>
      <c r="N2903" s="10"/>
      <c r="O2903" s="10"/>
      <c r="P2903" s="65"/>
      <c r="Q2903" s="10"/>
      <c r="R2903" s="10"/>
      <c r="S2903" s="54" t="str">
        <f t="shared" si="141"/>
        <v/>
      </c>
      <c r="T2903" s="54" t="str">
        <f t="shared" si="142"/>
        <v/>
      </c>
      <c r="U2903" s="58" t="str">
        <f t="shared" si="143"/>
        <v/>
      </c>
      <c r="V2903" s="58">
        <f>IF(AND($B2903&lt;&gt;"",$F2903&lt;&gt;"",$F2903=项目明细账!$C$2),N(V2902)+1,N(V2902))</f>
        <v>0</v>
      </c>
      <c r="W2903" s="63" t="str">
        <f>IF($H2903&lt;&gt;"","项目成本",IFERROR(INDEX(基础资料!$W$4:$W$49,MATCH($I2903,基础资料!$V$4:$V$49,0)),""))</f>
        <v/>
      </c>
      <c r="X2903" s="63" t="str">
        <f>IFERROR(INDEX(基础资料!$R$4:$R$17,MATCH($G2903,基础资料!$Q$4:$Q$17,0)),"")</f>
        <v/>
      </c>
    </row>
    <row r="2904" spans="1:24">
      <c r="A2904" s="58" t="str">
        <f>IF($B2904="","",COUNTA($B$5:$B2904))</f>
        <v/>
      </c>
      <c r="B2904" s="53"/>
      <c r="C2904" s="46"/>
      <c r="D2904" s="63" t="str">
        <f>IFERROR(INDEX(基础资料!$F$4:$F$23,MATCH($C2904,基础资料!$E$4:$E$23,0)),IF($C2904="","","未匹配账户"))</f>
        <v/>
      </c>
      <c r="E2904" s="39"/>
      <c r="F2904" s="10"/>
      <c r="G2904" s="10"/>
      <c r="H2904" s="10"/>
      <c r="I2904" s="10"/>
      <c r="J2904" s="10"/>
      <c r="K2904" s="25"/>
      <c r="L2904" s="25"/>
      <c r="M2904" s="25" t="str">
        <f>IFERROR(VLOOKUP($C2904,$C$5:$M$24,11,0)+SUMIF($C$25:$C2904,$C2904,$K$25:$K2904)-SUMIF($C$25:$C2904,$C2904,$L$25:$L2904),"")</f>
        <v/>
      </c>
      <c r="N2904" s="10"/>
      <c r="O2904" s="10"/>
      <c r="P2904" s="65"/>
      <c r="Q2904" s="10"/>
      <c r="R2904" s="10"/>
      <c r="S2904" s="54" t="str">
        <f t="shared" si="141"/>
        <v/>
      </c>
      <c r="T2904" s="54" t="str">
        <f t="shared" si="142"/>
        <v/>
      </c>
      <c r="U2904" s="58" t="str">
        <f t="shared" si="143"/>
        <v/>
      </c>
      <c r="V2904" s="58">
        <f>IF(AND($B2904&lt;&gt;"",$F2904&lt;&gt;"",$F2904=项目明细账!$C$2),N(V2903)+1,N(V2903))</f>
        <v>0</v>
      </c>
      <c r="W2904" s="63" t="str">
        <f>IF($H2904&lt;&gt;"","项目成本",IFERROR(INDEX(基础资料!$W$4:$W$49,MATCH($I2904,基础资料!$V$4:$V$49,0)),""))</f>
        <v/>
      </c>
      <c r="X2904" s="63" t="str">
        <f>IFERROR(INDEX(基础资料!$R$4:$R$17,MATCH($G2904,基础资料!$Q$4:$Q$17,0)),"")</f>
        <v/>
      </c>
    </row>
    <row r="2905" spans="1:24">
      <c r="A2905" s="58" t="str">
        <f>IF($B2905="","",COUNTA($B$5:$B2905))</f>
        <v/>
      </c>
      <c r="B2905" s="53"/>
      <c r="C2905" s="46"/>
      <c r="D2905" s="63" t="str">
        <f>IFERROR(INDEX(基础资料!$F$4:$F$23,MATCH($C2905,基础资料!$E$4:$E$23,0)),IF($C2905="","","未匹配账户"))</f>
        <v/>
      </c>
      <c r="E2905" s="39"/>
      <c r="F2905" s="10"/>
      <c r="G2905" s="10"/>
      <c r="H2905" s="10"/>
      <c r="I2905" s="10"/>
      <c r="J2905" s="10"/>
      <c r="K2905" s="25"/>
      <c r="L2905" s="25"/>
      <c r="M2905" s="25" t="str">
        <f>IFERROR(VLOOKUP($C2905,$C$5:$M$24,11,0)+SUMIF($C$25:$C2905,$C2905,$K$25:$K2905)-SUMIF($C$25:$C2905,$C2905,$L$25:$L2905),"")</f>
        <v/>
      </c>
      <c r="N2905" s="10"/>
      <c r="O2905" s="10"/>
      <c r="P2905" s="65"/>
      <c r="Q2905" s="10"/>
      <c r="R2905" s="10"/>
      <c r="S2905" s="54" t="str">
        <f t="shared" si="141"/>
        <v/>
      </c>
      <c r="T2905" s="54" t="str">
        <f t="shared" si="142"/>
        <v/>
      </c>
      <c r="U2905" s="58" t="str">
        <f t="shared" si="143"/>
        <v/>
      </c>
      <c r="V2905" s="58">
        <f>IF(AND($B2905&lt;&gt;"",$F2905&lt;&gt;"",$F2905=项目明细账!$C$2),N(V2904)+1,N(V2904))</f>
        <v>0</v>
      </c>
      <c r="W2905" s="63" t="str">
        <f>IF($H2905&lt;&gt;"","项目成本",IFERROR(INDEX(基础资料!$W$4:$W$49,MATCH($I2905,基础资料!$V$4:$V$49,0)),""))</f>
        <v/>
      </c>
      <c r="X2905" s="63" t="str">
        <f>IFERROR(INDEX(基础资料!$R$4:$R$17,MATCH($G2905,基础资料!$Q$4:$Q$17,0)),"")</f>
        <v/>
      </c>
    </row>
    <row r="2906" spans="1:24">
      <c r="A2906" s="58" t="str">
        <f>IF($B2906="","",COUNTA($B$5:$B2906))</f>
        <v/>
      </c>
      <c r="B2906" s="53"/>
      <c r="C2906" s="46"/>
      <c r="D2906" s="63" t="str">
        <f>IFERROR(INDEX(基础资料!$F$4:$F$23,MATCH($C2906,基础资料!$E$4:$E$23,0)),IF($C2906="","","未匹配账户"))</f>
        <v/>
      </c>
      <c r="E2906" s="39"/>
      <c r="F2906" s="10"/>
      <c r="G2906" s="10"/>
      <c r="H2906" s="10"/>
      <c r="I2906" s="10"/>
      <c r="J2906" s="10"/>
      <c r="K2906" s="25"/>
      <c r="L2906" s="25"/>
      <c r="M2906" s="25" t="str">
        <f>IFERROR(VLOOKUP($C2906,$C$5:$M$24,11,0)+SUMIF($C$25:$C2906,$C2906,$K$25:$K2906)-SUMIF($C$25:$C2906,$C2906,$L$25:$L2906),"")</f>
        <v/>
      </c>
      <c r="N2906" s="10"/>
      <c r="O2906" s="10"/>
      <c r="P2906" s="65"/>
      <c r="Q2906" s="10"/>
      <c r="R2906" s="10"/>
      <c r="S2906" s="54" t="str">
        <f t="shared" si="141"/>
        <v/>
      </c>
      <c r="T2906" s="54" t="str">
        <f t="shared" si="142"/>
        <v/>
      </c>
      <c r="U2906" s="58" t="str">
        <f t="shared" si="143"/>
        <v/>
      </c>
      <c r="V2906" s="58">
        <f>IF(AND($B2906&lt;&gt;"",$F2906&lt;&gt;"",$F2906=项目明细账!$C$2),N(V2905)+1,N(V2905))</f>
        <v>0</v>
      </c>
      <c r="W2906" s="63" t="str">
        <f>IF($H2906&lt;&gt;"","项目成本",IFERROR(INDEX(基础资料!$W$4:$W$49,MATCH($I2906,基础资料!$V$4:$V$49,0)),""))</f>
        <v/>
      </c>
      <c r="X2906" s="63" t="str">
        <f>IFERROR(INDEX(基础资料!$R$4:$R$17,MATCH($G2906,基础资料!$Q$4:$Q$17,0)),"")</f>
        <v/>
      </c>
    </row>
    <row r="2907" spans="1:24">
      <c r="A2907" s="58" t="str">
        <f>IF($B2907="","",COUNTA($B$5:$B2907))</f>
        <v/>
      </c>
      <c r="B2907" s="53"/>
      <c r="C2907" s="46"/>
      <c r="D2907" s="63" t="str">
        <f>IFERROR(INDEX(基础资料!$F$4:$F$23,MATCH($C2907,基础资料!$E$4:$E$23,0)),IF($C2907="","","未匹配账户"))</f>
        <v/>
      </c>
      <c r="E2907" s="39"/>
      <c r="F2907" s="10"/>
      <c r="G2907" s="10"/>
      <c r="H2907" s="10"/>
      <c r="I2907" s="10"/>
      <c r="J2907" s="10"/>
      <c r="K2907" s="25"/>
      <c r="L2907" s="25"/>
      <c r="M2907" s="25" t="str">
        <f>IFERROR(VLOOKUP($C2907,$C$5:$M$24,11,0)+SUMIF($C$25:$C2907,$C2907,$K$25:$K2907)-SUMIF($C$25:$C2907,$C2907,$L$25:$L2907),"")</f>
        <v/>
      </c>
      <c r="N2907" s="10"/>
      <c r="O2907" s="10"/>
      <c r="P2907" s="65"/>
      <c r="Q2907" s="10"/>
      <c r="R2907" s="10"/>
      <c r="S2907" s="54" t="str">
        <f t="shared" si="141"/>
        <v/>
      </c>
      <c r="T2907" s="54" t="str">
        <f t="shared" si="142"/>
        <v/>
      </c>
      <c r="U2907" s="58" t="str">
        <f t="shared" si="143"/>
        <v/>
      </c>
      <c r="V2907" s="58">
        <f>IF(AND($B2907&lt;&gt;"",$F2907&lt;&gt;"",$F2907=项目明细账!$C$2),N(V2906)+1,N(V2906))</f>
        <v>0</v>
      </c>
      <c r="W2907" s="63" t="str">
        <f>IF($H2907&lt;&gt;"","项目成本",IFERROR(INDEX(基础资料!$W$4:$W$49,MATCH($I2907,基础资料!$V$4:$V$49,0)),""))</f>
        <v/>
      </c>
      <c r="X2907" s="63" t="str">
        <f>IFERROR(INDEX(基础资料!$R$4:$R$17,MATCH($G2907,基础资料!$Q$4:$Q$17,0)),"")</f>
        <v/>
      </c>
    </row>
    <row r="2908" spans="1:24">
      <c r="A2908" s="58" t="str">
        <f>IF($B2908="","",COUNTA($B$5:$B2908))</f>
        <v/>
      </c>
      <c r="B2908" s="53"/>
      <c r="C2908" s="46"/>
      <c r="D2908" s="63" t="str">
        <f>IFERROR(INDEX(基础资料!$F$4:$F$23,MATCH($C2908,基础资料!$E$4:$E$23,0)),IF($C2908="","","未匹配账户"))</f>
        <v/>
      </c>
      <c r="E2908" s="39"/>
      <c r="F2908" s="10"/>
      <c r="G2908" s="10"/>
      <c r="H2908" s="10"/>
      <c r="I2908" s="10"/>
      <c r="J2908" s="10"/>
      <c r="K2908" s="25"/>
      <c r="L2908" s="25"/>
      <c r="M2908" s="25" t="str">
        <f>IFERROR(VLOOKUP($C2908,$C$5:$M$24,11,0)+SUMIF($C$25:$C2908,$C2908,$K$25:$K2908)-SUMIF($C$25:$C2908,$C2908,$L$25:$L2908),"")</f>
        <v/>
      </c>
      <c r="N2908" s="10"/>
      <c r="O2908" s="10"/>
      <c r="P2908" s="65"/>
      <c r="Q2908" s="10"/>
      <c r="R2908" s="10"/>
      <c r="S2908" s="54" t="str">
        <f t="shared" si="141"/>
        <v/>
      </c>
      <c r="T2908" s="54" t="str">
        <f t="shared" si="142"/>
        <v/>
      </c>
      <c r="U2908" s="58" t="str">
        <f t="shared" si="143"/>
        <v/>
      </c>
      <c r="V2908" s="58">
        <f>IF(AND($B2908&lt;&gt;"",$F2908&lt;&gt;"",$F2908=项目明细账!$C$2),N(V2907)+1,N(V2907))</f>
        <v>0</v>
      </c>
      <c r="W2908" s="63" t="str">
        <f>IF($H2908&lt;&gt;"","项目成本",IFERROR(INDEX(基础资料!$W$4:$W$49,MATCH($I2908,基础资料!$V$4:$V$49,0)),""))</f>
        <v/>
      </c>
      <c r="X2908" s="63" t="str">
        <f>IFERROR(INDEX(基础资料!$R$4:$R$17,MATCH($G2908,基础资料!$Q$4:$Q$17,0)),"")</f>
        <v/>
      </c>
    </row>
    <row r="2909" spans="1:24">
      <c r="A2909" s="58" t="str">
        <f>IF($B2909="","",COUNTA($B$5:$B2909))</f>
        <v/>
      </c>
      <c r="B2909" s="53"/>
      <c r="C2909" s="46"/>
      <c r="D2909" s="63" t="str">
        <f>IFERROR(INDEX(基础资料!$F$4:$F$23,MATCH($C2909,基础资料!$E$4:$E$23,0)),IF($C2909="","","未匹配账户"))</f>
        <v/>
      </c>
      <c r="E2909" s="39"/>
      <c r="F2909" s="10"/>
      <c r="G2909" s="10"/>
      <c r="H2909" s="10"/>
      <c r="I2909" s="10"/>
      <c r="J2909" s="10"/>
      <c r="K2909" s="25"/>
      <c r="L2909" s="25"/>
      <c r="M2909" s="25" t="str">
        <f>IFERROR(VLOOKUP($C2909,$C$5:$M$24,11,0)+SUMIF($C$25:$C2909,$C2909,$K$25:$K2909)-SUMIF($C$25:$C2909,$C2909,$L$25:$L2909),"")</f>
        <v/>
      </c>
      <c r="N2909" s="10"/>
      <c r="O2909" s="10"/>
      <c r="P2909" s="65"/>
      <c r="Q2909" s="10"/>
      <c r="R2909" s="10"/>
      <c r="S2909" s="54" t="str">
        <f t="shared" si="141"/>
        <v/>
      </c>
      <c r="T2909" s="54" t="str">
        <f t="shared" si="142"/>
        <v/>
      </c>
      <c r="U2909" s="58" t="str">
        <f t="shared" si="143"/>
        <v/>
      </c>
      <c r="V2909" s="58">
        <f>IF(AND($B2909&lt;&gt;"",$F2909&lt;&gt;"",$F2909=项目明细账!$C$2),N(V2908)+1,N(V2908))</f>
        <v>0</v>
      </c>
      <c r="W2909" s="63" t="str">
        <f>IF($H2909&lt;&gt;"","项目成本",IFERROR(INDEX(基础资料!$W$4:$W$49,MATCH($I2909,基础资料!$V$4:$V$49,0)),""))</f>
        <v/>
      </c>
      <c r="X2909" s="63" t="str">
        <f>IFERROR(INDEX(基础资料!$R$4:$R$17,MATCH($G2909,基础资料!$Q$4:$Q$17,0)),"")</f>
        <v/>
      </c>
    </row>
    <row r="2910" spans="1:24">
      <c r="A2910" s="58" t="str">
        <f>IF($B2910="","",COUNTA($B$5:$B2910))</f>
        <v/>
      </c>
      <c r="B2910" s="53"/>
      <c r="C2910" s="46"/>
      <c r="D2910" s="63" t="str">
        <f>IFERROR(INDEX(基础资料!$F$4:$F$23,MATCH($C2910,基础资料!$E$4:$E$23,0)),IF($C2910="","","未匹配账户"))</f>
        <v/>
      </c>
      <c r="E2910" s="39"/>
      <c r="F2910" s="10"/>
      <c r="G2910" s="10"/>
      <c r="H2910" s="10"/>
      <c r="I2910" s="10"/>
      <c r="J2910" s="10"/>
      <c r="K2910" s="25"/>
      <c r="L2910" s="25"/>
      <c r="M2910" s="25" t="str">
        <f>IFERROR(VLOOKUP($C2910,$C$5:$M$24,11,0)+SUMIF($C$25:$C2910,$C2910,$K$25:$K2910)-SUMIF($C$25:$C2910,$C2910,$L$25:$L2910),"")</f>
        <v/>
      </c>
      <c r="N2910" s="10"/>
      <c r="O2910" s="10"/>
      <c r="P2910" s="65"/>
      <c r="Q2910" s="10"/>
      <c r="R2910" s="10"/>
      <c r="S2910" s="54" t="str">
        <f t="shared" si="141"/>
        <v/>
      </c>
      <c r="T2910" s="54" t="str">
        <f t="shared" si="142"/>
        <v/>
      </c>
      <c r="U2910" s="58" t="str">
        <f t="shared" si="143"/>
        <v/>
      </c>
      <c r="V2910" s="58">
        <f>IF(AND($B2910&lt;&gt;"",$F2910&lt;&gt;"",$F2910=项目明细账!$C$2),N(V2909)+1,N(V2909))</f>
        <v>0</v>
      </c>
      <c r="W2910" s="63" t="str">
        <f>IF($H2910&lt;&gt;"","项目成本",IFERROR(INDEX(基础资料!$W$4:$W$49,MATCH($I2910,基础资料!$V$4:$V$49,0)),""))</f>
        <v/>
      </c>
      <c r="X2910" s="63" t="str">
        <f>IFERROR(INDEX(基础资料!$R$4:$R$17,MATCH($G2910,基础资料!$Q$4:$Q$17,0)),"")</f>
        <v/>
      </c>
    </row>
    <row r="2911" spans="1:24">
      <c r="A2911" s="58" t="str">
        <f>IF($B2911="","",COUNTA($B$5:$B2911))</f>
        <v/>
      </c>
      <c r="B2911" s="53"/>
      <c r="C2911" s="46"/>
      <c r="D2911" s="63" t="str">
        <f>IFERROR(INDEX(基础资料!$F$4:$F$23,MATCH($C2911,基础资料!$E$4:$E$23,0)),IF($C2911="","","未匹配账户"))</f>
        <v/>
      </c>
      <c r="E2911" s="39"/>
      <c r="F2911" s="10"/>
      <c r="G2911" s="10"/>
      <c r="H2911" s="10"/>
      <c r="I2911" s="10"/>
      <c r="J2911" s="10"/>
      <c r="K2911" s="25"/>
      <c r="L2911" s="25"/>
      <c r="M2911" s="25" t="str">
        <f>IFERROR(VLOOKUP($C2911,$C$5:$M$24,11,0)+SUMIF($C$25:$C2911,$C2911,$K$25:$K2911)-SUMIF($C$25:$C2911,$C2911,$L$25:$L2911),"")</f>
        <v/>
      </c>
      <c r="N2911" s="10"/>
      <c r="O2911" s="10"/>
      <c r="P2911" s="65"/>
      <c r="Q2911" s="10"/>
      <c r="R2911" s="10"/>
      <c r="S2911" s="54" t="str">
        <f t="shared" si="141"/>
        <v/>
      </c>
      <c r="T2911" s="54" t="str">
        <f t="shared" si="142"/>
        <v/>
      </c>
      <c r="U2911" s="58" t="str">
        <f t="shared" si="143"/>
        <v/>
      </c>
      <c r="V2911" s="58">
        <f>IF(AND($B2911&lt;&gt;"",$F2911&lt;&gt;"",$F2911=项目明细账!$C$2),N(V2910)+1,N(V2910))</f>
        <v>0</v>
      </c>
      <c r="W2911" s="63" t="str">
        <f>IF($H2911&lt;&gt;"","项目成本",IFERROR(INDEX(基础资料!$W$4:$W$49,MATCH($I2911,基础资料!$V$4:$V$49,0)),""))</f>
        <v/>
      </c>
      <c r="X2911" s="63" t="str">
        <f>IFERROR(INDEX(基础资料!$R$4:$R$17,MATCH($G2911,基础资料!$Q$4:$Q$17,0)),"")</f>
        <v/>
      </c>
    </row>
    <row r="2912" spans="1:24">
      <c r="A2912" s="58" t="str">
        <f>IF($B2912="","",COUNTA($B$5:$B2912))</f>
        <v/>
      </c>
      <c r="B2912" s="53"/>
      <c r="C2912" s="46"/>
      <c r="D2912" s="63" t="str">
        <f>IFERROR(INDEX(基础资料!$F$4:$F$23,MATCH($C2912,基础资料!$E$4:$E$23,0)),IF($C2912="","","未匹配账户"))</f>
        <v/>
      </c>
      <c r="E2912" s="39"/>
      <c r="F2912" s="10"/>
      <c r="G2912" s="10"/>
      <c r="H2912" s="10"/>
      <c r="I2912" s="10"/>
      <c r="J2912" s="10"/>
      <c r="K2912" s="25"/>
      <c r="L2912" s="25"/>
      <c r="M2912" s="25" t="str">
        <f>IFERROR(VLOOKUP($C2912,$C$5:$M$24,11,0)+SUMIF($C$25:$C2912,$C2912,$K$25:$K2912)-SUMIF($C$25:$C2912,$C2912,$L$25:$L2912),"")</f>
        <v/>
      </c>
      <c r="N2912" s="10"/>
      <c r="O2912" s="10"/>
      <c r="P2912" s="65"/>
      <c r="Q2912" s="10"/>
      <c r="R2912" s="10"/>
      <c r="S2912" s="54" t="str">
        <f t="shared" si="141"/>
        <v/>
      </c>
      <c r="T2912" s="54" t="str">
        <f t="shared" si="142"/>
        <v/>
      </c>
      <c r="U2912" s="58" t="str">
        <f t="shared" si="143"/>
        <v/>
      </c>
      <c r="V2912" s="58">
        <f>IF(AND($B2912&lt;&gt;"",$F2912&lt;&gt;"",$F2912=项目明细账!$C$2),N(V2911)+1,N(V2911))</f>
        <v>0</v>
      </c>
      <c r="W2912" s="63" t="str">
        <f>IF($H2912&lt;&gt;"","项目成本",IFERROR(INDEX(基础资料!$W$4:$W$49,MATCH($I2912,基础资料!$V$4:$V$49,0)),""))</f>
        <v/>
      </c>
      <c r="X2912" s="63" t="str">
        <f>IFERROR(INDEX(基础资料!$R$4:$R$17,MATCH($G2912,基础资料!$Q$4:$Q$17,0)),"")</f>
        <v/>
      </c>
    </row>
    <row r="2913" spans="1:24">
      <c r="A2913" s="58" t="str">
        <f>IF($B2913="","",COUNTA($B$5:$B2913))</f>
        <v/>
      </c>
      <c r="B2913" s="53"/>
      <c r="C2913" s="46"/>
      <c r="D2913" s="63" t="str">
        <f>IFERROR(INDEX(基础资料!$F$4:$F$23,MATCH($C2913,基础资料!$E$4:$E$23,0)),IF($C2913="","","未匹配账户"))</f>
        <v/>
      </c>
      <c r="E2913" s="39"/>
      <c r="F2913" s="10"/>
      <c r="G2913" s="10"/>
      <c r="H2913" s="10"/>
      <c r="I2913" s="10"/>
      <c r="J2913" s="10"/>
      <c r="K2913" s="25"/>
      <c r="L2913" s="25"/>
      <c r="M2913" s="25" t="str">
        <f>IFERROR(VLOOKUP($C2913,$C$5:$M$24,11,0)+SUMIF($C$25:$C2913,$C2913,$K$25:$K2913)-SUMIF($C$25:$C2913,$C2913,$L$25:$L2913),"")</f>
        <v/>
      </c>
      <c r="N2913" s="10"/>
      <c r="O2913" s="10"/>
      <c r="P2913" s="65"/>
      <c r="Q2913" s="10"/>
      <c r="R2913" s="10"/>
      <c r="S2913" s="54" t="str">
        <f t="shared" si="141"/>
        <v/>
      </c>
      <c r="T2913" s="54" t="str">
        <f t="shared" si="142"/>
        <v/>
      </c>
      <c r="U2913" s="58" t="str">
        <f t="shared" si="143"/>
        <v/>
      </c>
      <c r="V2913" s="58">
        <f>IF(AND($B2913&lt;&gt;"",$F2913&lt;&gt;"",$F2913=项目明细账!$C$2),N(V2912)+1,N(V2912))</f>
        <v>0</v>
      </c>
      <c r="W2913" s="63" t="str">
        <f>IF($H2913&lt;&gt;"","项目成本",IFERROR(INDEX(基础资料!$W$4:$W$49,MATCH($I2913,基础资料!$V$4:$V$49,0)),""))</f>
        <v/>
      </c>
      <c r="X2913" s="63" t="str">
        <f>IFERROR(INDEX(基础资料!$R$4:$R$17,MATCH($G2913,基础资料!$Q$4:$Q$17,0)),"")</f>
        <v/>
      </c>
    </row>
    <row r="2914" spans="1:24">
      <c r="A2914" s="58" t="str">
        <f>IF($B2914="","",COUNTA($B$5:$B2914))</f>
        <v/>
      </c>
      <c r="B2914" s="53"/>
      <c r="C2914" s="46"/>
      <c r="D2914" s="63" t="str">
        <f>IFERROR(INDEX(基础资料!$F$4:$F$23,MATCH($C2914,基础资料!$E$4:$E$23,0)),IF($C2914="","","未匹配账户"))</f>
        <v/>
      </c>
      <c r="E2914" s="39"/>
      <c r="F2914" s="10"/>
      <c r="G2914" s="10"/>
      <c r="H2914" s="10"/>
      <c r="I2914" s="10"/>
      <c r="J2914" s="10"/>
      <c r="K2914" s="25"/>
      <c r="L2914" s="25"/>
      <c r="M2914" s="25" t="str">
        <f>IFERROR(VLOOKUP($C2914,$C$5:$M$24,11,0)+SUMIF($C$25:$C2914,$C2914,$K$25:$K2914)-SUMIF($C$25:$C2914,$C2914,$L$25:$L2914),"")</f>
        <v/>
      </c>
      <c r="N2914" s="10"/>
      <c r="O2914" s="10"/>
      <c r="P2914" s="65"/>
      <c r="Q2914" s="10"/>
      <c r="R2914" s="10"/>
      <c r="S2914" s="54" t="str">
        <f t="shared" si="141"/>
        <v/>
      </c>
      <c r="T2914" s="54" t="str">
        <f t="shared" si="142"/>
        <v/>
      </c>
      <c r="U2914" s="58" t="str">
        <f t="shared" si="143"/>
        <v/>
      </c>
      <c r="V2914" s="58">
        <f>IF(AND($B2914&lt;&gt;"",$F2914&lt;&gt;"",$F2914=项目明细账!$C$2),N(V2913)+1,N(V2913))</f>
        <v>0</v>
      </c>
      <c r="W2914" s="63" t="str">
        <f>IF($H2914&lt;&gt;"","项目成本",IFERROR(INDEX(基础资料!$W$4:$W$49,MATCH($I2914,基础资料!$V$4:$V$49,0)),""))</f>
        <v/>
      </c>
      <c r="X2914" s="63" t="str">
        <f>IFERROR(INDEX(基础资料!$R$4:$R$17,MATCH($G2914,基础资料!$Q$4:$Q$17,0)),"")</f>
        <v/>
      </c>
    </row>
    <row r="2915" spans="1:24">
      <c r="A2915" s="58" t="str">
        <f>IF($B2915="","",COUNTA($B$5:$B2915))</f>
        <v/>
      </c>
      <c r="B2915" s="53"/>
      <c r="C2915" s="46"/>
      <c r="D2915" s="63" t="str">
        <f>IFERROR(INDEX(基础资料!$F$4:$F$23,MATCH($C2915,基础资料!$E$4:$E$23,0)),IF($C2915="","","未匹配账户"))</f>
        <v/>
      </c>
      <c r="E2915" s="39"/>
      <c r="F2915" s="10"/>
      <c r="G2915" s="10"/>
      <c r="H2915" s="10"/>
      <c r="I2915" s="10"/>
      <c r="J2915" s="10"/>
      <c r="K2915" s="25"/>
      <c r="L2915" s="25"/>
      <c r="M2915" s="25" t="str">
        <f>IFERROR(VLOOKUP($C2915,$C$5:$M$24,11,0)+SUMIF($C$25:$C2915,$C2915,$K$25:$K2915)-SUMIF($C$25:$C2915,$C2915,$L$25:$L2915),"")</f>
        <v/>
      </c>
      <c r="N2915" s="10"/>
      <c r="O2915" s="10"/>
      <c r="P2915" s="65"/>
      <c r="Q2915" s="10"/>
      <c r="R2915" s="10"/>
      <c r="S2915" s="54" t="str">
        <f t="shared" si="141"/>
        <v/>
      </c>
      <c r="T2915" s="54" t="str">
        <f t="shared" si="142"/>
        <v/>
      </c>
      <c r="U2915" s="58" t="str">
        <f t="shared" si="143"/>
        <v/>
      </c>
      <c r="V2915" s="58">
        <f>IF(AND($B2915&lt;&gt;"",$F2915&lt;&gt;"",$F2915=项目明细账!$C$2),N(V2914)+1,N(V2914))</f>
        <v>0</v>
      </c>
      <c r="W2915" s="63" t="str">
        <f>IF($H2915&lt;&gt;"","项目成本",IFERROR(INDEX(基础资料!$W$4:$W$49,MATCH($I2915,基础资料!$V$4:$V$49,0)),""))</f>
        <v/>
      </c>
      <c r="X2915" s="63" t="str">
        <f>IFERROR(INDEX(基础资料!$R$4:$R$17,MATCH($G2915,基础资料!$Q$4:$Q$17,0)),"")</f>
        <v/>
      </c>
    </row>
    <row r="2916" spans="1:24">
      <c r="A2916" s="58" t="str">
        <f>IF($B2916="","",COUNTA($B$5:$B2916))</f>
        <v/>
      </c>
      <c r="B2916" s="53"/>
      <c r="C2916" s="46"/>
      <c r="D2916" s="63" t="str">
        <f>IFERROR(INDEX(基础资料!$F$4:$F$23,MATCH($C2916,基础资料!$E$4:$E$23,0)),IF($C2916="","","未匹配账户"))</f>
        <v/>
      </c>
      <c r="E2916" s="39"/>
      <c r="F2916" s="10"/>
      <c r="G2916" s="10"/>
      <c r="H2916" s="10"/>
      <c r="I2916" s="10"/>
      <c r="J2916" s="10"/>
      <c r="K2916" s="25"/>
      <c r="L2916" s="25"/>
      <c r="M2916" s="25" t="str">
        <f>IFERROR(VLOOKUP($C2916,$C$5:$M$24,11,0)+SUMIF($C$25:$C2916,$C2916,$K$25:$K2916)-SUMIF($C$25:$C2916,$C2916,$L$25:$L2916),"")</f>
        <v/>
      </c>
      <c r="N2916" s="10"/>
      <c r="O2916" s="10"/>
      <c r="P2916" s="65"/>
      <c r="Q2916" s="10"/>
      <c r="R2916" s="10"/>
      <c r="S2916" s="54" t="str">
        <f t="shared" si="141"/>
        <v/>
      </c>
      <c r="T2916" s="54" t="str">
        <f t="shared" si="142"/>
        <v/>
      </c>
      <c r="U2916" s="58" t="str">
        <f t="shared" si="143"/>
        <v/>
      </c>
      <c r="V2916" s="58">
        <f>IF(AND($B2916&lt;&gt;"",$F2916&lt;&gt;"",$F2916=项目明细账!$C$2),N(V2915)+1,N(V2915))</f>
        <v>0</v>
      </c>
      <c r="W2916" s="63" t="str">
        <f>IF($H2916&lt;&gt;"","项目成本",IFERROR(INDEX(基础资料!$W$4:$W$49,MATCH($I2916,基础资料!$V$4:$V$49,0)),""))</f>
        <v/>
      </c>
      <c r="X2916" s="63" t="str">
        <f>IFERROR(INDEX(基础资料!$R$4:$R$17,MATCH($G2916,基础资料!$Q$4:$Q$17,0)),"")</f>
        <v/>
      </c>
    </row>
    <row r="2917" spans="1:24">
      <c r="A2917" s="58" t="str">
        <f>IF($B2917="","",COUNTA($B$5:$B2917))</f>
        <v/>
      </c>
      <c r="B2917" s="53"/>
      <c r="C2917" s="46"/>
      <c r="D2917" s="63" t="str">
        <f>IFERROR(INDEX(基础资料!$F$4:$F$23,MATCH($C2917,基础资料!$E$4:$E$23,0)),IF($C2917="","","未匹配账户"))</f>
        <v/>
      </c>
      <c r="E2917" s="39"/>
      <c r="F2917" s="10"/>
      <c r="G2917" s="10"/>
      <c r="H2917" s="10"/>
      <c r="I2917" s="10"/>
      <c r="J2917" s="10"/>
      <c r="K2917" s="25"/>
      <c r="L2917" s="25"/>
      <c r="M2917" s="25" t="str">
        <f>IFERROR(VLOOKUP($C2917,$C$5:$M$24,11,0)+SUMIF($C$25:$C2917,$C2917,$K$25:$K2917)-SUMIF($C$25:$C2917,$C2917,$L$25:$L2917),"")</f>
        <v/>
      </c>
      <c r="N2917" s="10"/>
      <c r="O2917" s="10"/>
      <c r="P2917" s="65"/>
      <c r="Q2917" s="10"/>
      <c r="R2917" s="10"/>
      <c r="S2917" s="54" t="str">
        <f t="shared" si="141"/>
        <v/>
      </c>
      <c r="T2917" s="54" t="str">
        <f t="shared" si="142"/>
        <v/>
      </c>
      <c r="U2917" s="58" t="str">
        <f t="shared" si="143"/>
        <v/>
      </c>
      <c r="V2917" s="58">
        <f>IF(AND($B2917&lt;&gt;"",$F2917&lt;&gt;"",$F2917=项目明细账!$C$2),N(V2916)+1,N(V2916))</f>
        <v>0</v>
      </c>
      <c r="W2917" s="63" t="str">
        <f>IF($H2917&lt;&gt;"","项目成本",IFERROR(INDEX(基础资料!$W$4:$W$49,MATCH($I2917,基础资料!$V$4:$V$49,0)),""))</f>
        <v/>
      </c>
      <c r="X2917" s="63" t="str">
        <f>IFERROR(INDEX(基础资料!$R$4:$R$17,MATCH($G2917,基础资料!$Q$4:$Q$17,0)),"")</f>
        <v/>
      </c>
    </row>
    <row r="2918" spans="1:24">
      <c r="A2918" s="58" t="str">
        <f>IF($B2918="","",COUNTA($B$5:$B2918))</f>
        <v/>
      </c>
      <c r="B2918" s="53"/>
      <c r="C2918" s="46"/>
      <c r="D2918" s="63" t="str">
        <f>IFERROR(INDEX(基础资料!$F$4:$F$23,MATCH($C2918,基础资料!$E$4:$E$23,0)),IF($C2918="","","未匹配账户"))</f>
        <v/>
      </c>
      <c r="E2918" s="39"/>
      <c r="F2918" s="10"/>
      <c r="G2918" s="10"/>
      <c r="H2918" s="10"/>
      <c r="I2918" s="10"/>
      <c r="J2918" s="10"/>
      <c r="K2918" s="25"/>
      <c r="L2918" s="25"/>
      <c r="M2918" s="25" t="str">
        <f>IFERROR(VLOOKUP($C2918,$C$5:$M$24,11,0)+SUMIF($C$25:$C2918,$C2918,$K$25:$K2918)-SUMIF($C$25:$C2918,$C2918,$L$25:$L2918),"")</f>
        <v/>
      </c>
      <c r="N2918" s="10"/>
      <c r="O2918" s="10"/>
      <c r="P2918" s="65"/>
      <c r="Q2918" s="10"/>
      <c r="R2918" s="10"/>
      <c r="S2918" s="54" t="str">
        <f t="shared" si="141"/>
        <v/>
      </c>
      <c r="T2918" s="54" t="str">
        <f t="shared" si="142"/>
        <v/>
      </c>
      <c r="U2918" s="58" t="str">
        <f t="shared" si="143"/>
        <v/>
      </c>
      <c r="V2918" s="58">
        <f>IF(AND($B2918&lt;&gt;"",$F2918&lt;&gt;"",$F2918=项目明细账!$C$2),N(V2917)+1,N(V2917))</f>
        <v>0</v>
      </c>
      <c r="W2918" s="63" t="str">
        <f>IF($H2918&lt;&gt;"","项目成本",IFERROR(INDEX(基础资料!$W$4:$W$49,MATCH($I2918,基础资料!$V$4:$V$49,0)),""))</f>
        <v/>
      </c>
      <c r="X2918" s="63" t="str">
        <f>IFERROR(INDEX(基础资料!$R$4:$R$17,MATCH($G2918,基础资料!$Q$4:$Q$17,0)),"")</f>
        <v/>
      </c>
    </row>
    <row r="2919" spans="1:24">
      <c r="A2919" s="58" t="str">
        <f>IF($B2919="","",COUNTA($B$5:$B2919))</f>
        <v/>
      </c>
      <c r="B2919" s="53"/>
      <c r="C2919" s="46"/>
      <c r="D2919" s="63" t="str">
        <f>IFERROR(INDEX(基础资料!$F$4:$F$23,MATCH($C2919,基础资料!$E$4:$E$23,0)),IF($C2919="","","未匹配账户"))</f>
        <v/>
      </c>
      <c r="E2919" s="39"/>
      <c r="F2919" s="10"/>
      <c r="G2919" s="10"/>
      <c r="H2919" s="10"/>
      <c r="I2919" s="10"/>
      <c r="J2919" s="10"/>
      <c r="K2919" s="25"/>
      <c r="L2919" s="25"/>
      <c r="M2919" s="25" t="str">
        <f>IFERROR(VLOOKUP($C2919,$C$5:$M$24,11,0)+SUMIF($C$25:$C2919,$C2919,$K$25:$K2919)-SUMIF($C$25:$C2919,$C2919,$L$25:$L2919),"")</f>
        <v/>
      </c>
      <c r="N2919" s="10"/>
      <c r="O2919" s="10"/>
      <c r="P2919" s="65"/>
      <c r="Q2919" s="10"/>
      <c r="R2919" s="10"/>
      <c r="S2919" s="54" t="str">
        <f t="shared" si="141"/>
        <v/>
      </c>
      <c r="T2919" s="54" t="str">
        <f t="shared" si="142"/>
        <v/>
      </c>
      <c r="U2919" s="58" t="str">
        <f t="shared" si="143"/>
        <v/>
      </c>
      <c r="V2919" s="58">
        <f>IF(AND($B2919&lt;&gt;"",$F2919&lt;&gt;"",$F2919=项目明细账!$C$2),N(V2918)+1,N(V2918))</f>
        <v>0</v>
      </c>
      <c r="W2919" s="63" t="str">
        <f>IF($H2919&lt;&gt;"","项目成本",IFERROR(INDEX(基础资料!$W$4:$W$49,MATCH($I2919,基础资料!$V$4:$V$49,0)),""))</f>
        <v/>
      </c>
      <c r="X2919" s="63" t="str">
        <f>IFERROR(INDEX(基础资料!$R$4:$R$17,MATCH($G2919,基础资料!$Q$4:$Q$17,0)),"")</f>
        <v/>
      </c>
    </row>
    <row r="2920" spans="1:24">
      <c r="A2920" s="58" t="str">
        <f>IF($B2920="","",COUNTA($B$5:$B2920))</f>
        <v/>
      </c>
      <c r="B2920" s="53"/>
      <c r="C2920" s="46"/>
      <c r="D2920" s="63" t="str">
        <f>IFERROR(INDEX(基础资料!$F$4:$F$23,MATCH($C2920,基础资料!$E$4:$E$23,0)),IF($C2920="","","未匹配账户"))</f>
        <v/>
      </c>
      <c r="E2920" s="39"/>
      <c r="F2920" s="10"/>
      <c r="G2920" s="10"/>
      <c r="H2920" s="10"/>
      <c r="I2920" s="10"/>
      <c r="J2920" s="10"/>
      <c r="K2920" s="25"/>
      <c r="L2920" s="25"/>
      <c r="M2920" s="25" t="str">
        <f>IFERROR(VLOOKUP($C2920,$C$5:$M$24,11,0)+SUMIF($C$25:$C2920,$C2920,$K$25:$K2920)-SUMIF($C$25:$C2920,$C2920,$L$25:$L2920),"")</f>
        <v/>
      </c>
      <c r="N2920" s="10"/>
      <c r="O2920" s="10"/>
      <c r="P2920" s="65"/>
      <c r="Q2920" s="10"/>
      <c r="R2920" s="10"/>
      <c r="S2920" s="54" t="str">
        <f t="shared" si="141"/>
        <v/>
      </c>
      <c r="T2920" s="54" t="str">
        <f t="shared" si="142"/>
        <v/>
      </c>
      <c r="U2920" s="58" t="str">
        <f t="shared" si="143"/>
        <v/>
      </c>
      <c r="V2920" s="58">
        <f>IF(AND($B2920&lt;&gt;"",$F2920&lt;&gt;"",$F2920=项目明细账!$C$2),N(V2919)+1,N(V2919))</f>
        <v>0</v>
      </c>
      <c r="W2920" s="63" t="str">
        <f>IF($H2920&lt;&gt;"","项目成本",IFERROR(INDEX(基础资料!$W$4:$W$49,MATCH($I2920,基础资料!$V$4:$V$49,0)),""))</f>
        <v/>
      </c>
      <c r="X2920" s="63" t="str">
        <f>IFERROR(INDEX(基础资料!$R$4:$R$17,MATCH($G2920,基础资料!$Q$4:$Q$17,0)),"")</f>
        <v/>
      </c>
    </row>
    <row r="2921" spans="1:24">
      <c r="A2921" s="58" t="str">
        <f>IF($B2921="","",COUNTA($B$5:$B2921))</f>
        <v/>
      </c>
      <c r="B2921" s="53"/>
      <c r="C2921" s="46"/>
      <c r="D2921" s="63" t="str">
        <f>IFERROR(INDEX(基础资料!$F$4:$F$23,MATCH($C2921,基础资料!$E$4:$E$23,0)),IF($C2921="","","未匹配账户"))</f>
        <v/>
      </c>
      <c r="E2921" s="39"/>
      <c r="F2921" s="10"/>
      <c r="G2921" s="10"/>
      <c r="H2921" s="10"/>
      <c r="I2921" s="10"/>
      <c r="J2921" s="10"/>
      <c r="K2921" s="25"/>
      <c r="L2921" s="25"/>
      <c r="M2921" s="25" t="str">
        <f>IFERROR(VLOOKUP($C2921,$C$5:$M$24,11,0)+SUMIF($C$25:$C2921,$C2921,$K$25:$K2921)-SUMIF($C$25:$C2921,$C2921,$L$25:$L2921),"")</f>
        <v/>
      </c>
      <c r="N2921" s="10"/>
      <c r="O2921" s="10"/>
      <c r="P2921" s="65"/>
      <c r="Q2921" s="10"/>
      <c r="R2921" s="10"/>
      <c r="S2921" s="54" t="str">
        <f t="shared" si="141"/>
        <v/>
      </c>
      <c r="T2921" s="54" t="str">
        <f t="shared" si="142"/>
        <v/>
      </c>
      <c r="U2921" s="58" t="str">
        <f t="shared" si="143"/>
        <v/>
      </c>
      <c r="V2921" s="58">
        <f>IF(AND($B2921&lt;&gt;"",$F2921&lt;&gt;"",$F2921=项目明细账!$C$2),N(V2920)+1,N(V2920))</f>
        <v>0</v>
      </c>
      <c r="W2921" s="63" t="str">
        <f>IF($H2921&lt;&gt;"","项目成本",IFERROR(INDEX(基础资料!$W$4:$W$49,MATCH($I2921,基础资料!$V$4:$V$49,0)),""))</f>
        <v/>
      </c>
      <c r="X2921" s="63" t="str">
        <f>IFERROR(INDEX(基础资料!$R$4:$R$17,MATCH($G2921,基础资料!$Q$4:$Q$17,0)),"")</f>
        <v/>
      </c>
    </row>
    <row r="2922" spans="1:24">
      <c r="A2922" s="58" t="str">
        <f>IF($B2922="","",COUNTA($B$5:$B2922))</f>
        <v/>
      </c>
      <c r="B2922" s="53"/>
      <c r="C2922" s="46"/>
      <c r="D2922" s="63" t="str">
        <f>IFERROR(INDEX(基础资料!$F$4:$F$23,MATCH($C2922,基础资料!$E$4:$E$23,0)),IF($C2922="","","未匹配账户"))</f>
        <v/>
      </c>
      <c r="E2922" s="39"/>
      <c r="F2922" s="10"/>
      <c r="G2922" s="10"/>
      <c r="H2922" s="10"/>
      <c r="I2922" s="10"/>
      <c r="J2922" s="10"/>
      <c r="K2922" s="25"/>
      <c r="L2922" s="25"/>
      <c r="M2922" s="25" t="str">
        <f>IFERROR(VLOOKUP($C2922,$C$5:$M$24,11,0)+SUMIF($C$25:$C2922,$C2922,$K$25:$K2922)-SUMIF($C$25:$C2922,$C2922,$L$25:$L2922),"")</f>
        <v/>
      </c>
      <c r="N2922" s="10"/>
      <c r="O2922" s="10"/>
      <c r="P2922" s="65"/>
      <c r="Q2922" s="10"/>
      <c r="R2922" s="10"/>
      <c r="S2922" s="54" t="str">
        <f t="shared" si="141"/>
        <v/>
      </c>
      <c r="T2922" s="54" t="str">
        <f t="shared" si="142"/>
        <v/>
      </c>
      <c r="U2922" s="58" t="str">
        <f t="shared" si="143"/>
        <v/>
      </c>
      <c r="V2922" s="58">
        <f>IF(AND($B2922&lt;&gt;"",$F2922&lt;&gt;"",$F2922=项目明细账!$C$2),N(V2921)+1,N(V2921))</f>
        <v>0</v>
      </c>
      <c r="W2922" s="63" t="str">
        <f>IF($H2922&lt;&gt;"","项目成本",IFERROR(INDEX(基础资料!$W$4:$W$49,MATCH($I2922,基础资料!$V$4:$V$49,0)),""))</f>
        <v/>
      </c>
      <c r="X2922" s="63" t="str">
        <f>IFERROR(INDEX(基础资料!$R$4:$R$17,MATCH($G2922,基础资料!$Q$4:$Q$17,0)),"")</f>
        <v/>
      </c>
    </row>
    <row r="2923" spans="1:24">
      <c r="A2923" s="58" t="str">
        <f>IF($B2923="","",COUNTA($B$5:$B2923))</f>
        <v/>
      </c>
      <c r="B2923" s="53"/>
      <c r="C2923" s="46"/>
      <c r="D2923" s="63" t="str">
        <f>IFERROR(INDEX(基础资料!$F$4:$F$23,MATCH($C2923,基础资料!$E$4:$E$23,0)),IF($C2923="","","未匹配账户"))</f>
        <v/>
      </c>
      <c r="E2923" s="39"/>
      <c r="F2923" s="10"/>
      <c r="G2923" s="10"/>
      <c r="H2923" s="10"/>
      <c r="I2923" s="10"/>
      <c r="J2923" s="10"/>
      <c r="K2923" s="25"/>
      <c r="L2923" s="25"/>
      <c r="M2923" s="25" t="str">
        <f>IFERROR(VLOOKUP($C2923,$C$5:$M$24,11,0)+SUMIF($C$25:$C2923,$C2923,$K$25:$K2923)-SUMIF($C$25:$C2923,$C2923,$L$25:$L2923),"")</f>
        <v/>
      </c>
      <c r="N2923" s="10"/>
      <c r="O2923" s="10"/>
      <c r="P2923" s="65"/>
      <c r="Q2923" s="10"/>
      <c r="R2923" s="10"/>
      <c r="S2923" s="54" t="str">
        <f t="shared" si="141"/>
        <v/>
      </c>
      <c r="T2923" s="54" t="str">
        <f t="shared" si="142"/>
        <v/>
      </c>
      <c r="U2923" s="58" t="str">
        <f t="shared" si="143"/>
        <v/>
      </c>
      <c r="V2923" s="58">
        <f>IF(AND($B2923&lt;&gt;"",$F2923&lt;&gt;"",$F2923=项目明细账!$C$2),N(V2922)+1,N(V2922))</f>
        <v>0</v>
      </c>
      <c r="W2923" s="63" t="str">
        <f>IF($H2923&lt;&gt;"","项目成本",IFERROR(INDEX(基础资料!$W$4:$W$49,MATCH($I2923,基础资料!$V$4:$V$49,0)),""))</f>
        <v/>
      </c>
      <c r="X2923" s="63" t="str">
        <f>IFERROR(INDEX(基础资料!$R$4:$R$17,MATCH($G2923,基础资料!$Q$4:$Q$17,0)),"")</f>
        <v/>
      </c>
    </row>
    <row r="2924" spans="1:24">
      <c r="A2924" s="58" t="str">
        <f>IF($B2924="","",COUNTA($B$5:$B2924))</f>
        <v/>
      </c>
      <c r="B2924" s="53"/>
      <c r="C2924" s="46"/>
      <c r="D2924" s="63" t="str">
        <f>IFERROR(INDEX(基础资料!$F$4:$F$23,MATCH($C2924,基础资料!$E$4:$E$23,0)),IF($C2924="","","未匹配账户"))</f>
        <v/>
      </c>
      <c r="E2924" s="39"/>
      <c r="F2924" s="10"/>
      <c r="G2924" s="10"/>
      <c r="H2924" s="10"/>
      <c r="I2924" s="10"/>
      <c r="J2924" s="10"/>
      <c r="K2924" s="25"/>
      <c r="L2924" s="25"/>
      <c r="M2924" s="25" t="str">
        <f>IFERROR(VLOOKUP($C2924,$C$5:$M$24,11,0)+SUMIF($C$25:$C2924,$C2924,$K$25:$K2924)-SUMIF($C$25:$C2924,$C2924,$L$25:$L2924),"")</f>
        <v/>
      </c>
      <c r="N2924" s="10"/>
      <c r="O2924" s="10"/>
      <c r="P2924" s="65"/>
      <c r="Q2924" s="10"/>
      <c r="R2924" s="10"/>
      <c r="S2924" s="54" t="str">
        <f t="shared" si="141"/>
        <v/>
      </c>
      <c r="T2924" s="54" t="str">
        <f t="shared" si="142"/>
        <v/>
      </c>
      <c r="U2924" s="58" t="str">
        <f t="shared" si="143"/>
        <v/>
      </c>
      <c r="V2924" s="58">
        <f>IF(AND($B2924&lt;&gt;"",$F2924&lt;&gt;"",$F2924=项目明细账!$C$2),N(V2923)+1,N(V2923))</f>
        <v>0</v>
      </c>
      <c r="W2924" s="63" t="str">
        <f>IF($H2924&lt;&gt;"","项目成本",IFERROR(INDEX(基础资料!$W$4:$W$49,MATCH($I2924,基础资料!$V$4:$V$49,0)),""))</f>
        <v/>
      </c>
      <c r="X2924" s="63" t="str">
        <f>IFERROR(INDEX(基础资料!$R$4:$R$17,MATCH($G2924,基础资料!$Q$4:$Q$17,0)),"")</f>
        <v/>
      </c>
    </row>
    <row r="2925" spans="1:24">
      <c r="A2925" s="58" t="str">
        <f>IF($B2925="","",COUNTA($B$5:$B2925))</f>
        <v/>
      </c>
      <c r="B2925" s="53"/>
      <c r="C2925" s="46"/>
      <c r="D2925" s="63" t="str">
        <f>IFERROR(INDEX(基础资料!$F$4:$F$23,MATCH($C2925,基础资料!$E$4:$E$23,0)),IF($C2925="","","未匹配账户"))</f>
        <v/>
      </c>
      <c r="E2925" s="39"/>
      <c r="F2925" s="10"/>
      <c r="G2925" s="10"/>
      <c r="H2925" s="10"/>
      <c r="I2925" s="10"/>
      <c r="J2925" s="10"/>
      <c r="K2925" s="25"/>
      <c r="L2925" s="25"/>
      <c r="M2925" s="25" t="str">
        <f>IFERROR(VLOOKUP($C2925,$C$5:$M$24,11,0)+SUMIF($C$25:$C2925,$C2925,$K$25:$K2925)-SUMIF($C$25:$C2925,$C2925,$L$25:$L2925),"")</f>
        <v/>
      </c>
      <c r="N2925" s="10"/>
      <c r="O2925" s="10"/>
      <c r="P2925" s="65"/>
      <c r="Q2925" s="10"/>
      <c r="R2925" s="10"/>
      <c r="S2925" s="54" t="str">
        <f t="shared" si="141"/>
        <v/>
      </c>
      <c r="T2925" s="54" t="str">
        <f t="shared" si="142"/>
        <v/>
      </c>
      <c r="U2925" s="58" t="str">
        <f t="shared" si="143"/>
        <v/>
      </c>
      <c r="V2925" s="58">
        <f>IF(AND($B2925&lt;&gt;"",$F2925&lt;&gt;"",$F2925=项目明细账!$C$2),N(V2924)+1,N(V2924))</f>
        <v>0</v>
      </c>
      <c r="W2925" s="63" t="str">
        <f>IF($H2925&lt;&gt;"","项目成本",IFERROR(INDEX(基础资料!$W$4:$W$49,MATCH($I2925,基础资料!$V$4:$V$49,0)),""))</f>
        <v/>
      </c>
      <c r="X2925" s="63" t="str">
        <f>IFERROR(INDEX(基础资料!$R$4:$R$17,MATCH($G2925,基础资料!$Q$4:$Q$17,0)),"")</f>
        <v/>
      </c>
    </row>
    <row r="2926" spans="1:24">
      <c r="A2926" s="58" t="str">
        <f>IF($B2926="","",COUNTA($B$5:$B2926))</f>
        <v/>
      </c>
      <c r="B2926" s="53"/>
      <c r="C2926" s="46"/>
      <c r="D2926" s="63" t="str">
        <f>IFERROR(INDEX(基础资料!$F$4:$F$23,MATCH($C2926,基础资料!$E$4:$E$23,0)),IF($C2926="","","未匹配账户"))</f>
        <v/>
      </c>
      <c r="E2926" s="39"/>
      <c r="F2926" s="10"/>
      <c r="G2926" s="10"/>
      <c r="H2926" s="10"/>
      <c r="I2926" s="10"/>
      <c r="J2926" s="10"/>
      <c r="K2926" s="25"/>
      <c r="L2926" s="25"/>
      <c r="M2926" s="25" t="str">
        <f>IFERROR(VLOOKUP($C2926,$C$5:$M$24,11,0)+SUMIF($C$25:$C2926,$C2926,$K$25:$K2926)-SUMIF($C$25:$C2926,$C2926,$L$25:$L2926),"")</f>
        <v/>
      </c>
      <c r="N2926" s="10"/>
      <c r="O2926" s="10"/>
      <c r="P2926" s="65"/>
      <c r="Q2926" s="10"/>
      <c r="R2926" s="10"/>
      <c r="S2926" s="54" t="str">
        <f t="shared" si="141"/>
        <v/>
      </c>
      <c r="T2926" s="54" t="str">
        <f t="shared" si="142"/>
        <v/>
      </c>
      <c r="U2926" s="58" t="str">
        <f t="shared" si="143"/>
        <v/>
      </c>
      <c r="V2926" s="58">
        <f>IF(AND($B2926&lt;&gt;"",$F2926&lt;&gt;"",$F2926=项目明细账!$C$2),N(V2925)+1,N(V2925))</f>
        <v>0</v>
      </c>
      <c r="W2926" s="63" t="str">
        <f>IF($H2926&lt;&gt;"","项目成本",IFERROR(INDEX(基础资料!$W$4:$W$49,MATCH($I2926,基础资料!$V$4:$V$49,0)),""))</f>
        <v/>
      </c>
      <c r="X2926" s="63" t="str">
        <f>IFERROR(INDEX(基础资料!$R$4:$R$17,MATCH($G2926,基础资料!$Q$4:$Q$17,0)),"")</f>
        <v/>
      </c>
    </row>
    <row r="2927" spans="1:24">
      <c r="A2927" s="58" t="str">
        <f>IF($B2927="","",COUNTA($B$5:$B2927))</f>
        <v/>
      </c>
      <c r="B2927" s="53"/>
      <c r="C2927" s="46"/>
      <c r="D2927" s="63" t="str">
        <f>IFERROR(INDEX(基础资料!$F$4:$F$23,MATCH($C2927,基础资料!$E$4:$E$23,0)),IF($C2927="","","未匹配账户"))</f>
        <v/>
      </c>
      <c r="E2927" s="39"/>
      <c r="F2927" s="10"/>
      <c r="G2927" s="10"/>
      <c r="H2927" s="10"/>
      <c r="I2927" s="10"/>
      <c r="J2927" s="10"/>
      <c r="K2927" s="25"/>
      <c r="L2927" s="25"/>
      <c r="M2927" s="25" t="str">
        <f>IFERROR(VLOOKUP($C2927,$C$5:$M$24,11,0)+SUMIF($C$25:$C2927,$C2927,$K$25:$K2927)-SUMIF($C$25:$C2927,$C2927,$L$25:$L2927),"")</f>
        <v/>
      </c>
      <c r="N2927" s="10"/>
      <c r="O2927" s="10"/>
      <c r="P2927" s="65"/>
      <c r="Q2927" s="10"/>
      <c r="R2927" s="10"/>
      <c r="S2927" s="54" t="str">
        <f t="shared" si="141"/>
        <v/>
      </c>
      <c r="T2927" s="54" t="str">
        <f t="shared" si="142"/>
        <v/>
      </c>
      <c r="U2927" s="58" t="str">
        <f t="shared" si="143"/>
        <v/>
      </c>
      <c r="V2927" s="58">
        <f>IF(AND($B2927&lt;&gt;"",$F2927&lt;&gt;"",$F2927=项目明细账!$C$2),N(V2926)+1,N(V2926))</f>
        <v>0</v>
      </c>
      <c r="W2927" s="63" t="str">
        <f>IF($H2927&lt;&gt;"","项目成本",IFERROR(INDEX(基础资料!$W$4:$W$49,MATCH($I2927,基础资料!$V$4:$V$49,0)),""))</f>
        <v/>
      </c>
      <c r="X2927" s="63" t="str">
        <f>IFERROR(INDEX(基础资料!$R$4:$R$17,MATCH($G2927,基础资料!$Q$4:$Q$17,0)),"")</f>
        <v/>
      </c>
    </row>
    <row r="2928" spans="1:24">
      <c r="A2928" s="58" t="str">
        <f>IF($B2928="","",COUNTA($B$5:$B2928))</f>
        <v/>
      </c>
      <c r="B2928" s="53"/>
      <c r="C2928" s="46"/>
      <c r="D2928" s="63" t="str">
        <f>IFERROR(INDEX(基础资料!$F$4:$F$23,MATCH($C2928,基础资料!$E$4:$E$23,0)),IF($C2928="","","未匹配账户"))</f>
        <v/>
      </c>
      <c r="E2928" s="39"/>
      <c r="F2928" s="10"/>
      <c r="G2928" s="10"/>
      <c r="H2928" s="10"/>
      <c r="I2928" s="10"/>
      <c r="J2928" s="10"/>
      <c r="K2928" s="25"/>
      <c r="L2928" s="25"/>
      <c r="M2928" s="25" t="str">
        <f>IFERROR(VLOOKUP($C2928,$C$5:$M$24,11,0)+SUMIF($C$25:$C2928,$C2928,$K$25:$K2928)-SUMIF($C$25:$C2928,$C2928,$L$25:$L2928),"")</f>
        <v/>
      </c>
      <c r="N2928" s="10"/>
      <c r="O2928" s="10"/>
      <c r="P2928" s="65"/>
      <c r="Q2928" s="10"/>
      <c r="R2928" s="10"/>
      <c r="S2928" s="54" t="str">
        <f t="shared" si="141"/>
        <v/>
      </c>
      <c r="T2928" s="54" t="str">
        <f t="shared" si="142"/>
        <v/>
      </c>
      <c r="U2928" s="58" t="str">
        <f t="shared" si="143"/>
        <v/>
      </c>
      <c r="V2928" s="58">
        <f>IF(AND($B2928&lt;&gt;"",$F2928&lt;&gt;"",$F2928=项目明细账!$C$2),N(V2927)+1,N(V2927))</f>
        <v>0</v>
      </c>
      <c r="W2928" s="63" t="str">
        <f>IF($H2928&lt;&gt;"","项目成本",IFERROR(INDEX(基础资料!$W$4:$W$49,MATCH($I2928,基础资料!$V$4:$V$49,0)),""))</f>
        <v/>
      </c>
      <c r="X2928" s="63" t="str">
        <f>IFERROR(INDEX(基础资料!$R$4:$R$17,MATCH($G2928,基础资料!$Q$4:$Q$17,0)),"")</f>
        <v/>
      </c>
    </row>
    <row r="2929" spans="1:24">
      <c r="A2929" s="58" t="str">
        <f>IF($B2929="","",COUNTA($B$5:$B2929))</f>
        <v/>
      </c>
      <c r="B2929" s="53"/>
      <c r="C2929" s="46"/>
      <c r="D2929" s="63" t="str">
        <f>IFERROR(INDEX(基础资料!$F$4:$F$23,MATCH($C2929,基础资料!$E$4:$E$23,0)),IF($C2929="","","未匹配账户"))</f>
        <v/>
      </c>
      <c r="E2929" s="39"/>
      <c r="F2929" s="10"/>
      <c r="G2929" s="10"/>
      <c r="H2929" s="10"/>
      <c r="I2929" s="10"/>
      <c r="J2929" s="10"/>
      <c r="K2929" s="25"/>
      <c r="L2929" s="25"/>
      <c r="M2929" s="25" t="str">
        <f>IFERROR(VLOOKUP($C2929,$C$5:$M$24,11,0)+SUMIF($C$25:$C2929,$C2929,$K$25:$K2929)-SUMIF($C$25:$C2929,$C2929,$L$25:$L2929),"")</f>
        <v/>
      </c>
      <c r="N2929" s="10"/>
      <c r="O2929" s="10"/>
      <c r="P2929" s="65"/>
      <c r="Q2929" s="10"/>
      <c r="R2929" s="10"/>
      <c r="S2929" s="54" t="str">
        <f t="shared" si="141"/>
        <v/>
      </c>
      <c r="T2929" s="54" t="str">
        <f t="shared" si="142"/>
        <v/>
      </c>
      <c r="U2929" s="58" t="str">
        <f t="shared" si="143"/>
        <v/>
      </c>
      <c r="V2929" s="58">
        <f>IF(AND($B2929&lt;&gt;"",$F2929&lt;&gt;"",$F2929=项目明细账!$C$2),N(V2928)+1,N(V2928))</f>
        <v>0</v>
      </c>
      <c r="W2929" s="63" t="str">
        <f>IF($H2929&lt;&gt;"","项目成本",IFERROR(INDEX(基础资料!$W$4:$W$49,MATCH($I2929,基础资料!$V$4:$V$49,0)),""))</f>
        <v/>
      </c>
      <c r="X2929" s="63" t="str">
        <f>IFERROR(INDEX(基础资料!$R$4:$R$17,MATCH($G2929,基础资料!$Q$4:$Q$17,0)),"")</f>
        <v/>
      </c>
    </row>
    <row r="2930" spans="1:24">
      <c r="A2930" s="58" t="str">
        <f>IF($B2930="","",COUNTA($B$5:$B2930))</f>
        <v/>
      </c>
      <c r="B2930" s="53"/>
      <c r="C2930" s="46"/>
      <c r="D2930" s="63" t="str">
        <f>IFERROR(INDEX(基础资料!$F$4:$F$23,MATCH($C2930,基础资料!$E$4:$E$23,0)),IF($C2930="","","未匹配账户"))</f>
        <v/>
      </c>
      <c r="E2930" s="39"/>
      <c r="F2930" s="10"/>
      <c r="G2930" s="10"/>
      <c r="H2930" s="10"/>
      <c r="I2930" s="10"/>
      <c r="J2930" s="10"/>
      <c r="K2930" s="25"/>
      <c r="L2930" s="25"/>
      <c r="M2930" s="25" t="str">
        <f>IFERROR(VLOOKUP($C2930,$C$5:$M$24,11,0)+SUMIF($C$25:$C2930,$C2930,$K$25:$K2930)-SUMIF($C$25:$C2930,$C2930,$L$25:$L2930),"")</f>
        <v/>
      </c>
      <c r="N2930" s="10"/>
      <c r="O2930" s="10"/>
      <c r="P2930" s="65"/>
      <c r="Q2930" s="10"/>
      <c r="R2930" s="10"/>
      <c r="S2930" s="54" t="str">
        <f t="shared" si="141"/>
        <v/>
      </c>
      <c r="T2930" s="54" t="str">
        <f t="shared" si="142"/>
        <v/>
      </c>
      <c r="U2930" s="58" t="str">
        <f t="shared" si="143"/>
        <v/>
      </c>
      <c r="V2930" s="58">
        <f>IF(AND($B2930&lt;&gt;"",$F2930&lt;&gt;"",$F2930=项目明细账!$C$2),N(V2929)+1,N(V2929))</f>
        <v>0</v>
      </c>
      <c r="W2930" s="63" t="str">
        <f>IF($H2930&lt;&gt;"","项目成本",IFERROR(INDEX(基础资料!$W$4:$W$49,MATCH($I2930,基础资料!$V$4:$V$49,0)),""))</f>
        <v/>
      </c>
      <c r="X2930" s="63" t="str">
        <f>IFERROR(INDEX(基础资料!$R$4:$R$17,MATCH($G2930,基础资料!$Q$4:$Q$17,0)),"")</f>
        <v/>
      </c>
    </row>
    <row r="2931" spans="1:24">
      <c r="A2931" s="58" t="str">
        <f>IF($B2931="","",COUNTA($B$5:$B2931))</f>
        <v/>
      </c>
      <c r="B2931" s="53"/>
      <c r="C2931" s="46"/>
      <c r="D2931" s="63" t="str">
        <f>IFERROR(INDEX(基础资料!$F$4:$F$23,MATCH($C2931,基础资料!$E$4:$E$23,0)),IF($C2931="","","未匹配账户"))</f>
        <v/>
      </c>
      <c r="E2931" s="39"/>
      <c r="F2931" s="10"/>
      <c r="G2931" s="10"/>
      <c r="H2931" s="10"/>
      <c r="I2931" s="10"/>
      <c r="J2931" s="10"/>
      <c r="K2931" s="25"/>
      <c r="L2931" s="25"/>
      <c r="M2931" s="25" t="str">
        <f>IFERROR(VLOOKUP($C2931,$C$5:$M$24,11,0)+SUMIF($C$25:$C2931,$C2931,$K$25:$K2931)-SUMIF($C$25:$C2931,$C2931,$L$25:$L2931),"")</f>
        <v/>
      </c>
      <c r="N2931" s="10"/>
      <c r="O2931" s="10"/>
      <c r="P2931" s="65"/>
      <c r="Q2931" s="10"/>
      <c r="R2931" s="10"/>
      <c r="S2931" s="54" t="str">
        <f t="shared" si="141"/>
        <v/>
      </c>
      <c r="T2931" s="54" t="str">
        <f t="shared" si="142"/>
        <v/>
      </c>
      <c r="U2931" s="58" t="str">
        <f t="shared" si="143"/>
        <v/>
      </c>
      <c r="V2931" s="58">
        <f>IF(AND($B2931&lt;&gt;"",$F2931&lt;&gt;"",$F2931=项目明细账!$C$2),N(V2930)+1,N(V2930))</f>
        <v>0</v>
      </c>
      <c r="W2931" s="63" t="str">
        <f>IF($H2931&lt;&gt;"","项目成本",IFERROR(INDEX(基础资料!$W$4:$W$49,MATCH($I2931,基础资料!$V$4:$V$49,0)),""))</f>
        <v/>
      </c>
      <c r="X2931" s="63" t="str">
        <f>IFERROR(INDEX(基础资料!$R$4:$R$17,MATCH($G2931,基础资料!$Q$4:$Q$17,0)),"")</f>
        <v/>
      </c>
    </row>
    <row r="2932" spans="1:24">
      <c r="A2932" s="58" t="str">
        <f>IF($B2932="","",COUNTA($B$5:$B2932))</f>
        <v/>
      </c>
      <c r="B2932" s="53"/>
      <c r="C2932" s="46"/>
      <c r="D2932" s="63" t="str">
        <f>IFERROR(INDEX(基础资料!$F$4:$F$23,MATCH($C2932,基础资料!$E$4:$E$23,0)),IF($C2932="","","未匹配账户"))</f>
        <v/>
      </c>
      <c r="E2932" s="39"/>
      <c r="F2932" s="10"/>
      <c r="G2932" s="10"/>
      <c r="H2932" s="10"/>
      <c r="I2932" s="10"/>
      <c r="J2932" s="10"/>
      <c r="K2932" s="25"/>
      <c r="L2932" s="25"/>
      <c r="M2932" s="25" t="str">
        <f>IFERROR(VLOOKUP($C2932,$C$5:$M$24,11,0)+SUMIF($C$25:$C2932,$C2932,$K$25:$K2932)-SUMIF($C$25:$C2932,$C2932,$L$25:$L2932),"")</f>
        <v/>
      </c>
      <c r="N2932" s="10"/>
      <c r="O2932" s="10"/>
      <c r="P2932" s="65"/>
      <c r="Q2932" s="10"/>
      <c r="R2932" s="10"/>
      <c r="S2932" s="54" t="str">
        <f t="shared" si="141"/>
        <v/>
      </c>
      <c r="T2932" s="54" t="str">
        <f t="shared" si="142"/>
        <v/>
      </c>
      <c r="U2932" s="58" t="str">
        <f t="shared" si="143"/>
        <v/>
      </c>
      <c r="V2932" s="58">
        <f>IF(AND($B2932&lt;&gt;"",$F2932&lt;&gt;"",$F2932=项目明细账!$C$2),N(V2931)+1,N(V2931))</f>
        <v>0</v>
      </c>
      <c r="W2932" s="63" t="str">
        <f>IF($H2932&lt;&gt;"","项目成本",IFERROR(INDEX(基础资料!$W$4:$W$49,MATCH($I2932,基础资料!$V$4:$V$49,0)),""))</f>
        <v/>
      </c>
      <c r="X2932" s="63" t="str">
        <f>IFERROR(INDEX(基础资料!$R$4:$R$17,MATCH($G2932,基础资料!$Q$4:$Q$17,0)),"")</f>
        <v/>
      </c>
    </row>
    <row r="2933" spans="1:24">
      <c r="A2933" s="58" t="str">
        <f>IF($B2933="","",COUNTA($B$5:$B2933))</f>
        <v/>
      </c>
      <c r="B2933" s="53"/>
      <c r="C2933" s="46"/>
      <c r="D2933" s="63" t="str">
        <f>IFERROR(INDEX(基础资料!$F$4:$F$23,MATCH($C2933,基础资料!$E$4:$E$23,0)),IF($C2933="","","未匹配账户"))</f>
        <v/>
      </c>
      <c r="E2933" s="39"/>
      <c r="F2933" s="10"/>
      <c r="G2933" s="10"/>
      <c r="H2933" s="10"/>
      <c r="I2933" s="10"/>
      <c r="J2933" s="10"/>
      <c r="K2933" s="25"/>
      <c r="L2933" s="25"/>
      <c r="M2933" s="25" t="str">
        <f>IFERROR(VLOOKUP($C2933,$C$5:$M$24,11,0)+SUMIF($C$25:$C2933,$C2933,$K$25:$K2933)-SUMIF($C$25:$C2933,$C2933,$L$25:$L2933),"")</f>
        <v/>
      </c>
      <c r="N2933" s="10"/>
      <c r="O2933" s="10"/>
      <c r="P2933" s="65"/>
      <c r="Q2933" s="10"/>
      <c r="R2933" s="10"/>
      <c r="S2933" s="54" t="str">
        <f t="shared" si="141"/>
        <v/>
      </c>
      <c r="T2933" s="54" t="str">
        <f t="shared" si="142"/>
        <v/>
      </c>
      <c r="U2933" s="58" t="str">
        <f t="shared" si="143"/>
        <v/>
      </c>
      <c r="V2933" s="58">
        <f>IF(AND($B2933&lt;&gt;"",$F2933&lt;&gt;"",$F2933=项目明细账!$C$2),N(V2932)+1,N(V2932))</f>
        <v>0</v>
      </c>
      <c r="W2933" s="63" t="str">
        <f>IF($H2933&lt;&gt;"","项目成本",IFERROR(INDEX(基础资料!$W$4:$W$49,MATCH($I2933,基础资料!$V$4:$V$49,0)),""))</f>
        <v/>
      </c>
      <c r="X2933" s="63" t="str">
        <f>IFERROR(INDEX(基础资料!$R$4:$R$17,MATCH($G2933,基础资料!$Q$4:$Q$17,0)),"")</f>
        <v/>
      </c>
    </row>
    <row r="2934" spans="1:24">
      <c r="A2934" s="58" t="str">
        <f>IF($B2934="","",COUNTA($B$5:$B2934))</f>
        <v/>
      </c>
      <c r="B2934" s="53"/>
      <c r="C2934" s="46"/>
      <c r="D2934" s="63" t="str">
        <f>IFERROR(INDEX(基础资料!$F$4:$F$23,MATCH($C2934,基础资料!$E$4:$E$23,0)),IF($C2934="","","未匹配账户"))</f>
        <v/>
      </c>
      <c r="E2934" s="39"/>
      <c r="F2934" s="10"/>
      <c r="G2934" s="10"/>
      <c r="H2934" s="10"/>
      <c r="I2934" s="10"/>
      <c r="J2934" s="10"/>
      <c r="K2934" s="25"/>
      <c r="L2934" s="25"/>
      <c r="M2934" s="25" t="str">
        <f>IFERROR(VLOOKUP($C2934,$C$5:$M$24,11,0)+SUMIF($C$25:$C2934,$C2934,$K$25:$K2934)-SUMIF($C$25:$C2934,$C2934,$L$25:$L2934),"")</f>
        <v/>
      </c>
      <c r="N2934" s="10"/>
      <c r="O2934" s="10"/>
      <c r="P2934" s="65"/>
      <c r="Q2934" s="10"/>
      <c r="R2934" s="10"/>
      <c r="S2934" s="54" t="str">
        <f t="shared" si="141"/>
        <v/>
      </c>
      <c r="T2934" s="54" t="str">
        <f t="shared" si="142"/>
        <v/>
      </c>
      <c r="U2934" s="58" t="str">
        <f t="shared" si="143"/>
        <v/>
      </c>
      <c r="V2934" s="58">
        <f>IF(AND($B2934&lt;&gt;"",$F2934&lt;&gt;"",$F2934=项目明细账!$C$2),N(V2933)+1,N(V2933))</f>
        <v>0</v>
      </c>
      <c r="W2934" s="63" t="str">
        <f>IF($H2934&lt;&gt;"","项目成本",IFERROR(INDEX(基础资料!$W$4:$W$49,MATCH($I2934,基础资料!$V$4:$V$49,0)),""))</f>
        <v/>
      </c>
      <c r="X2934" s="63" t="str">
        <f>IFERROR(INDEX(基础资料!$R$4:$R$17,MATCH($G2934,基础资料!$Q$4:$Q$17,0)),"")</f>
        <v/>
      </c>
    </row>
    <row r="2935" spans="1:24">
      <c r="A2935" s="58" t="str">
        <f>IF($B2935="","",COUNTA($B$5:$B2935))</f>
        <v/>
      </c>
      <c r="B2935" s="53"/>
      <c r="C2935" s="46"/>
      <c r="D2935" s="63" t="str">
        <f>IFERROR(INDEX(基础资料!$F$4:$F$23,MATCH($C2935,基础资料!$E$4:$E$23,0)),IF($C2935="","","未匹配账户"))</f>
        <v/>
      </c>
      <c r="E2935" s="39"/>
      <c r="F2935" s="10"/>
      <c r="G2935" s="10"/>
      <c r="H2935" s="10"/>
      <c r="I2935" s="10"/>
      <c r="J2935" s="10"/>
      <c r="K2935" s="25"/>
      <c r="L2935" s="25"/>
      <c r="M2935" s="25" t="str">
        <f>IFERROR(VLOOKUP($C2935,$C$5:$M$24,11,0)+SUMIF($C$25:$C2935,$C2935,$K$25:$K2935)-SUMIF($C$25:$C2935,$C2935,$L$25:$L2935),"")</f>
        <v/>
      </c>
      <c r="N2935" s="10"/>
      <c r="O2935" s="10"/>
      <c r="P2935" s="65"/>
      <c r="Q2935" s="10"/>
      <c r="R2935" s="10"/>
      <c r="S2935" s="54" t="str">
        <f t="shared" si="141"/>
        <v/>
      </c>
      <c r="T2935" s="54" t="str">
        <f t="shared" si="142"/>
        <v/>
      </c>
      <c r="U2935" s="58" t="str">
        <f t="shared" si="143"/>
        <v/>
      </c>
      <c r="V2935" s="58">
        <f>IF(AND($B2935&lt;&gt;"",$F2935&lt;&gt;"",$F2935=项目明细账!$C$2),N(V2934)+1,N(V2934))</f>
        <v>0</v>
      </c>
      <c r="W2935" s="63" t="str">
        <f>IF($H2935&lt;&gt;"","项目成本",IFERROR(INDEX(基础资料!$W$4:$W$49,MATCH($I2935,基础资料!$V$4:$V$49,0)),""))</f>
        <v/>
      </c>
      <c r="X2935" s="63" t="str">
        <f>IFERROR(INDEX(基础资料!$R$4:$R$17,MATCH($G2935,基础资料!$Q$4:$Q$17,0)),"")</f>
        <v/>
      </c>
    </row>
    <row r="2936" spans="1:24">
      <c r="A2936" s="58" t="str">
        <f>IF($B2936="","",COUNTA($B$5:$B2936))</f>
        <v/>
      </c>
      <c r="B2936" s="53"/>
      <c r="C2936" s="46"/>
      <c r="D2936" s="63" t="str">
        <f>IFERROR(INDEX(基础资料!$F$4:$F$23,MATCH($C2936,基础资料!$E$4:$E$23,0)),IF($C2936="","","未匹配账户"))</f>
        <v/>
      </c>
      <c r="E2936" s="39"/>
      <c r="F2936" s="10"/>
      <c r="G2936" s="10"/>
      <c r="H2936" s="10"/>
      <c r="I2936" s="10"/>
      <c r="J2936" s="10"/>
      <c r="K2936" s="25"/>
      <c r="L2936" s="25"/>
      <c r="M2936" s="25" t="str">
        <f>IFERROR(VLOOKUP($C2936,$C$5:$M$24,11,0)+SUMIF($C$25:$C2936,$C2936,$K$25:$K2936)-SUMIF($C$25:$C2936,$C2936,$L$25:$L2936),"")</f>
        <v/>
      </c>
      <c r="N2936" s="10"/>
      <c r="O2936" s="10"/>
      <c r="P2936" s="65"/>
      <c r="Q2936" s="10"/>
      <c r="R2936" s="10"/>
      <c r="S2936" s="54" t="str">
        <f t="shared" si="141"/>
        <v/>
      </c>
      <c r="T2936" s="54" t="str">
        <f t="shared" si="142"/>
        <v/>
      </c>
      <c r="U2936" s="58" t="str">
        <f t="shared" si="143"/>
        <v/>
      </c>
      <c r="V2936" s="58">
        <f>IF(AND($B2936&lt;&gt;"",$F2936&lt;&gt;"",$F2936=项目明细账!$C$2),N(V2935)+1,N(V2935))</f>
        <v>0</v>
      </c>
      <c r="W2936" s="63" t="str">
        <f>IF($H2936&lt;&gt;"","项目成本",IFERROR(INDEX(基础资料!$W$4:$W$49,MATCH($I2936,基础资料!$V$4:$V$49,0)),""))</f>
        <v/>
      </c>
      <c r="X2936" s="63" t="str">
        <f>IFERROR(INDEX(基础资料!$R$4:$R$17,MATCH($G2936,基础资料!$Q$4:$Q$17,0)),"")</f>
        <v/>
      </c>
    </row>
    <row r="2937" spans="1:24">
      <c r="A2937" s="58" t="str">
        <f>IF($B2937="","",COUNTA($B$5:$B2937))</f>
        <v/>
      </c>
      <c r="B2937" s="53"/>
      <c r="C2937" s="46"/>
      <c r="D2937" s="63" t="str">
        <f>IFERROR(INDEX(基础资料!$F$4:$F$23,MATCH($C2937,基础资料!$E$4:$E$23,0)),IF($C2937="","","未匹配账户"))</f>
        <v/>
      </c>
      <c r="E2937" s="39"/>
      <c r="F2937" s="10"/>
      <c r="G2937" s="10"/>
      <c r="H2937" s="10"/>
      <c r="I2937" s="10"/>
      <c r="J2937" s="10"/>
      <c r="K2937" s="25"/>
      <c r="L2937" s="25"/>
      <c r="M2937" s="25" t="str">
        <f>IFERROR(VLOOKUP($C2937,$C$5:$M$24,11,0)+SUMIF($C$25:$C2937,$C2937,$K$25:$K2937)-SUMIF($C$25:$C2937,$C2937,$L$25:$L2937),"")</f>
        <v/>
      </c>
      <c r="N2937" s="10"/>
      <c r="O2937" s="10"/>
      <c r="P2937" s="65"/>
      <c r="Q2937" s="10"/>
      <c r="R2937" s="10"/>
      <c r="S2937" s="54" t="str">
        <f t="shared" si="141"/>
        <v/>
      </c>
      <c r="T2937" s="54" t="str">
        <f t="shared" si="142"/>
        <v/>
      </c>
      <c r="U2937" s="58" t="str">
        <f t="shared" si="143"/>
        <v/>
      </c>
      <c r="V2937" s="58">
        <f>IF(AND($B2937&lt;&gt;"",$F2937&lt;&gt;"",$F2937=项目明细账!$C$2),N(V2936)+1,N(V2936))</f>
        <v>0</v>
      </c>
      <c r="W2937" s="63" t="str">
        <f>IF($H2937&lt;&gt;"","项目成本",IFERROR(INDEX(基础资料!$W$4:$W$49,MATCH($I2937,基础资料!$V$4:$V$49,0)),""))</f>
        <v/>
      </c>
      <c r="X2937" s="63" t="str">
        <f>IFERROR(INDEX(基础资料!$R$4:$R$17,MATCH($G2937,基础资料!$Q$4:$Q$17,0)),"")</f>
        <v/>
      </c>
    </row>
    <row r="2938" spans="1:24">
      <c r="A2938" s="58" t="str">
        <f>IF($B2938="","",COUNTA($B$5:$B2938))</f>
        <v/>
      </c>
      <c r="B2938" s="53"/>
      <c r="C2938" s="46"/>
      <c r="D2938" s="63" t="str">
        <f>IFERROR(INDEX(基础资料!$F$4:$F$23,MATCH($C2938,基础资料!$E$4:$E$23,0)),IF($C2938="","","未匹配账户"))</f>
        <v/>
      </c>
      <c r="E2938" s="39"/>
      <c r="F2938" s="10"/>
      <c r="G2938" s="10"/>
      <c r="H2938" s="10"/>
      <c r="I2938" s="10"/>
      <c r="J2938" s="10"/>
      <c r="K2938" s="25"/>
      <c r="L2938" s="25"/>
      <c r="M2938" s="25" t="str">
        <f>IFERROR(VLOOKUP($C2938,$C$5:$M$24,11,0)+SUMIF($C$25:$C2938,$C2938,$K$25:$K2938)-SUMIF($C$25:$C2938,$C2938,$L$25:$L2938),"")</f>
        <v/>
      </c>
      <c r="N2938" s="10"/>
      <c r="O2938" s="10"/>
      <c r="P2938" s="65"/>
      <c r="Q2938" s="10"/>
      <c r="R2938" s="10"/>
      <c r="S2938" s="54" t="str">
        <f t="shared" si="141"/>
        <v/>
      </c>
      <c r="T2938" s="54" t="str">
        <f t="shared" si="142"/>
        <v/>
      </c>
      <c r="U2938" s="58" t="str">
        <f t="shared" si="143"/>
        <v/>
      </c>
      <c r="V2938" s="58">
        <f>IF(AND($B2938&lt;&gt;"",$F2938&lt;&gt;"",$F2938=项目明细账!$C$2),N(V2937)+1,N(V2937))</f>
        <v>0</v>
      </c>
      <c r="W2938" s="63" t="str">
        <f>IF($H2938&lt;&gt;"","项目成本",IFERROR(INDEX(基础资料!$W$4:$W$49,MATCH($I2938,基础资料!$V$4:$V$49,0)),""))</f>
        <v/>
      </c>
      <c r="X2938" s="63" t="str">
        <f>IFERROR(INDEX(基础资料!$R$4:$R$17,MATCH($G2938,基础资料!$Q$4:$Q$17,0)),"")</f>
        <v/>
      </c>
    </row>
    <row r="2939" spans="1:24">
      <c r="A2939" s="58" t="str">
        <f>IF($B2939="","",COUNTA($B$5:$B2939))</f>
        <v/>
      </c>
      <c r="B2939" s="53"/>
      <c r="C2939" s="46"/>
      <c r="D2939" s="63" t="str">
        <f>IFERROR(INDEX(基础资料!$F$4:$F$23,MATCH($C2939,基础资料!$E$4:$E$23,0)),IF($C2939="","","未匹配账户"))</f>
        <v/>
      </c>
      <c r="E2939" s="39"/>
      <c r="F2939" s="10"/>
      <c r="G2939" s="10"/>
      <c r="H2939" s="10"/>
      <c r="I2939" s="10"/>
      <c r="J2939" s="10"/>
      <c r="K2939" s="25"/>
      <c r="L2939" s="25"/>
      <c r="M2939" s="25" t="str">
        <f>IFERROR(VLOOKUP($C2939,$C$5:$M$24,11,0)+SUMIF($C$25:$C2939,$C2939,$K$25:$K2939)-SUMIF($C$25:$C2939,$C2939,$L$25:$L2939),"")</f>
        <v/>
      </c>
      <c r="N2939" s="10"/>
      <c r="O2939" s="10"/>
      <c r="P2939" s="65"/>
      <c r="Q2939" s="10"/>
      <c r="R2939" s="10"/>
      <c r="S2939" s="54" t="str">
        <f t="shared" si="141"/>
        <v/>
      </c>
      <c r="T2939" s="54" t="str">
        <f t="shared" si="142"/>
        <v/>
      </c>
      <c r="U2939" s="58" t="str">
        <f t="shared" si="143"/>
        <v/>
      </c>
      <c r="V2939" s="58">
        <f>IF(AND($B2939&lt;&gt;"",$F2939&lt;&gt;"",$F2939=项目明细账!$C$2),N(V2938)+1,N(V2938))</f>
        <v>0</v>
      </c>
      <c r="W2939" s="63" t="str">
        <f>IF($H2939&lt;&gt;"","项目成本",IFERROR(INDEX(基础资料!$W$4:$W$49,MATCH($I2939,基础资料!$V$4:$V$49,0)),""))</f>
        <v/>
      </c>
      <c r="X2939" s="63" t="str">
        <f>IFERROR(INDEX(基础资料!$R$4:$R$17,MATCH($G2939,基础资料!$Q$4:$Q$17,0)),"")</f>
        <v/>
      </c>
    </row>
    <row r="2940" spans="1:24">
      <c r="A2940" s="58" t="str">
        <f>IF($B2940="","",COUNTA($B$5:$B2940))</f>
        <v/>
      </c>
      <c r="B2940" s="53"/>
      <c r="C2940" s="46"/>
      <c r="D2940" s="63" t="str">
        <f>IFERROR(INDEX(基础资料!$F$4:$F$23,MATCH($C2940,基础资料!$E$4:$E$23,0)),IF($C2940="","","未匹配账户"))</f>
        <v/>
      </c>
      <c r="E2940" s="39"/>
      <c r="F2940" s="10"/>
      <c r="G2940" s="10"/>
      <c r="H2940" s="10"/>
      <c r="I2940" s="10"/>
      <c r="J2940" s="10"/>
      <c r="K2940" s="25"/>
      <c r="L2940" s="25"/>
      <c r="M2940" s="25" t="str">
        <f>IFERROR(VLOOKUP($C2940,$C$5:$M$24,11,0)+SUMIF($C$25:$C2940,$C2940,$K$25:$K2940)-SUMIF($C$25:$C2940,$C2940,$L$25:$L2940),"")</f>
        <v/>
      </c>
      <c r="N2940" s="10"/>
      <c r="O2940" s="10"/>
      <c r="P2940" s="65"/>
      <c r="Q2940" s="10"/>
      <c r="R2940" s="10"/>
      <c r="S2940" s="54" t="str">
        <f t="shared" si="141"/>
        <v/>
      </c>
      <c r="T2940" s="54" t="str">
        <f t="shared" si="142"/>
        <v/>
      </c>
      <c r="U2940" s="58" t="str">
        <f t="shared" si="143"/>
        <v/>
      </c>
      <c r="V2940" s="58">
        <f>IF(AND($B2940&lt;&gt;"",$F2940&lt;&gt;"",$F2940=项目明细账!$C$2),N(V2939)+1,N(V2939))</f>
        <v>0</v>
      </c>
      <c r="W2940" s="63" t="str">
        <f>IF($H2940&lt;&gt;"","项目成本",IFERROR(INDEX(基础资料!$W$4:$W$49,MATCH($I2940,基础资料!$V$4:$V$49,0)),""))</f>
        <v/>
      </c>
      <c r="X2940" s="63" t="str">
        <f>IFERROR(INDEX(基础资料!$R$4:$R$17,MATCH($G2940,基础资料!$Q$4:$Q$17,0)),"")</f>
        <v/>
      </c>
    </row>
    <row r="2941" spans="1:24">
      <c r="A2941" s="58" t="str">
        <f>IF($B2941="","",COUNTA($B$5:$B2941))</f>
        <v/>
      </c>
      <c r="B2941" s="53"/>
      <c r="C2941" s="46"/>
      <c r="D2941" s="63" t="str">
        <f>IFERROR(INDEX(基础资料!$F$4:$F$23,MATCH($C2941,基础资料!$E$4:$E$23,0)),IF($C2941="","","未匹配账户"))</f>
        <v/>
      </c>
      <c r="E2941" s="39"/>
      <c r="F2941" s="10"/>
      <c r="G2941" s="10"/>
      <c r="H2941" s="10"/>
      <c r="I2941" s="10"/>
      <c r="J2941" s="10"/>
      <c r="K2941" s="25"/>
      <c r="L2941" s="25"/>
      <c r="M2941" s="25" t="str">
        <f>IFERROR(VLOOKUP($C2941,$C$5:$M$24,11,0)+SUMIF($C$25:$C2941,$C2941,$K$25:$K2941)-SUMIF($C$25:$C2941,$C2941,$L$25:$L2941),"")</f>
        <v/>
      </c>
      <c r="N2941" s="10"/>
      <c r="O2941" s="10"/>
      <c r="P2941" s="65"/>
      <c r="Q2941" s="10"/>
      <c r="R2941" s="10"/>
      <c r="S2941" s="54" t="str">
        <f t="shared" si="141"/>
        <v/>
      </c>
      <c r="T2941" s="54" t="str">
        <f t="shared" si="142"/>
        <v/>
      </c>
      <c r="U2941" s="58" t="str">
        <f t="shared" si="143"/>
        <v/>
      </c>
      <c r="V2941" s="58">
        <f>IF(AND($B2941&lt;&gt;"",$F2941&lt;&gt;"",$F2941=项目明细账!$C$2),N(V2940)+1,N(V2940))</f>
        <v>0</v>
      </c>
      <c r="W2941" s="63" t="str">
        <f>IF($H2941&lt;&gt;"","项目成本",IFERROR(INDEX(基础资料!$W$4:$W$49,MATCH($I2941,基础资料!$V$4:$V$49,0)),""))</f>
        <v/>
      </c>
      <c r="X2941" s="63" t="str">
        <f>IFERROR(INDEX(基础资料!$R$4:$R$17,MATCH($G2941,基础资料!$Q$4:$Q$17,0)),"")</f>
        <v/>
      </c>
    </row>
    <row r="2942" spans="1:24">
      <c r="A2942" s="58" t="str">
        <f>IF($B2942="","",COUNTA($B$5:$B2942))</f>
        <v/>
      </c>
      <c r="B2942" s="53"/>
      <c r="C2942" s="46"/>
      <c r="D2942" s="63" t="str">
        <f>IFERROR(INDEX(基础资料!$F$4:$F$23,MATCH($C2942,基础资料!$E$4:$E$23,0)),IF($C2942="","","未匹配账户"))</f>
        <v/>
      </c>
      <c r="E2942" s="39"/>
      <c r="F2942" s="10"/>
      <c r="G2942" s="10"/>
      <c r="H2942" s="10"/>
      <c r="I2942" s="10"/>
      <c r="J2942" s="10"/>
      <c r="K2942" s="25"/>
      <c r="L2942" s="25"/>
      <c r="M2942" s="25" t="str">
        <f>IFERROR(VLOOKUP($C2942,$C$5:$M$24,11,0)+SUMIF($C$25:$C2942,$C2942,$K$25:$K2942)-SUMIF($C$25:$C2942,$C2942,$L$25:$L2942),"")</f>
        <v/>
      </c>
      <c r="N2942" s="10"/>
      <c r="O2942" s="10"/>
      <c r="P2942" s="65"/>
      <c r="Q2942" s="10"/>
      <c r="R2942" s="10"/>
      <c r="S2942" s="54" t="str">
        <f t="shared" si="141"/>
        <v/>
      </c>
      <c r="T2942" s="54" t="str">
        <f t="shared" si="142"/>
        <v/>
      </c>
      <c r="U2942" s="58" t="str">
        <f t="shared" si="143"/>
        <v/>
      </c>
      <c r="V2942" s="58">
        <f>IF(AND($B2942&lt;&gt;"",$F2942&lt;&gt;"",$F2942=项目明细账!$C$2),N(V2941)+1,N(V2941))</f>
        <v>0</v>
      </c>
      <c r="W2942" s="63" t="str">
        <f>IF($H2942&lt;&gt;"","项目成本",IFERROR(INDEX(基础资料!$W$4:$W$49,MATCH($I2942,基础资料!$V$4:$V$49,0)),""))</f>
        <v/>
      </c>
      <c r="X2942" s="63" t="str">
        <f>IFERROR(INDEX(基础资料!$R$4:$R$17,MATCH($G2942,基础资料!$Q$4:$Q$17,0)),"")</f>
        <v/>
      </c>
    </row>
    <row r="2943" spans="1:24">
      <c r="A2943" s="58" t="str">
        <f>IF($B2943="","",COUNTA($B$5:$B2943))</f>
        <v/>
      </c>
      <c r="B2943" s="53"/>
      <c r="C2943" s="46"/>
      <c r="D2943" s="63" t="str">
        <f>IFERROR(INDEX(基础资料!$F$4:$F$23,MATCH($C2943,基础资料!$E$4:$E$23,0)),IF($C2943="","","未匹配账户"))</f>
        <v/>
      </c>
      <c r="E2943" s="39"/>
      <c r="F2943" s="10"/>
      <c r="G2943" s="10"/>
      <c r="H2943" s="10"/>
      <c r="I2943" s="10"/>
      <c r="J2943" s="10"/>
      <c r="K2943" s="25"/>
      <c r="L2943" s="25"/>
      <c r="M2943" s="25" t="str">
        <f>IFERROR(VLOOKUP($C2943,$C$5:$M$24,11,0)+SUMIF($C$25:$C2943,$C2943,$K$25:$K2943)-SUMIF($C$25:$C2943,$C2943,$L$25:$L2943),"")</f>
        <v/>
      </c>
      <c r="N2943" s="10"/>
      <c r="O2943" s="10"/>
      <c r="P2943" s="65"/>
      <c r="Q2943" s="10"/>
      <c r="R2943" s="10"/>
      <c r="S2943" s="54" t="str">
        <f t="shared" si="141"/>
        <v/>
      </c>
      <c r="T2943" s="54" t="str">
        <f t="shared" si="142"/>
        <v/>
      </c>
      <c r="U2943" s="58" t="str">
        <f t="shared" si="143"/>
        <v/>
      </c>
      <c r="V2943" s="58">
        <f>IF(AND($B2943&lt;&gt;"",$F2943&lt;&gt;"",$F2943=项目明细账!$C$2),N(V2942)+1,N(V2942))</f>
        <v>0</v>
      </c>
      <c r="W2943" s="63" t="str">
        <f>IF($H2943&lt;&gt;"","项目成本",IFERROR(INDEX(基础资料!$W$4:$W$49,MATCH($I2943,基础资料!$V$4:$V$49,0)),""))</f>
        <v/>
      </c>
      <c r="X2943" s="63" t="str">
        <f>IFERROR(INDEX(基础资料!$R$4:$R$17,MATCH($G2943,基础资料!$Q$4:$Q$17,0)),"")</f>
        <v/>
      </c>
    </row>
    <row r="2944" spans="1:24">
      <c r="A2944" s="58" t="str">
        <f>IF($B2944="","",COUNTA($B$5:$B2944))</f>
        <v/>
      </c>
      <c r="B2944" s="53"/>
      <c r="C2944" s="46"/>
      <c r="D2944" s="63" t="str">
        <f>IFERROR(INDEX(基础资料!$F$4:$F$23,MATCH($C2944,基础资料!$E$4:$E$23,0)),IF($C2944="","","未匹配账户"))</f>
        <v/>
      </c>
      <c r="E2944" s="39"/>
      <c r="F2944" s="10"/>
      <c r="G2944" s="10"/>
      <c r="H2944" s="10"/>
      <c r="I2944" s="10"/>
      <c r="J2944" s="10"/>
      <c r="K2944" s="25"/>
      <c r="L2944" s="25"/>
      <c r="M2944" s="25" t="str">
        <f>IFERROR(VLOOKUP($C2944,$C$5:$M$24,11,0)+SUMIF($C$25:$C2944,$C2944,$K$25:$K2944)-SUMIF($C$25:$C2944,$C2944,$L$25:$L2944),"")</f>
        <v/>
      </c>
      <c r="N2944" s="10"/>
      <c r="O2944" s="10"/>
      <c r="P2944" s="65"/>
      <c r="Q2944" s="10"/>
      <c r="R2944" s="10"/>
      <c r="S2944" s="54" t="str">
        <f t="shared" si="141"/>
        <v/>
      </c>
      <c r="T2944" s="54" t="str">
        <f t="shared" si="142"/>
        <v/>
      </c>
      <c r="U2944" s="58" t="str">
        <f t="shared" si="143"/>
        <v/>
      </c>
      <c r="V2944" s="58">
        <f>IF(AND($B2944&lt;&gt;"",$F2944&lt;&gt;"",$F2944=项目明细账!$C$2),N(V2943)+1,N(V2943))</f>
        <v>0</v>
      </c>
      <c r="W2944" s="63" t="str">
        <f>IF($H2944&lt;&gt;"","项目成本",IFERROR(INDEX(基础资料!$W$4:$W$49,MATCH($I2944,基础资料!$V$4:$V$49,0)),""))</f>
        <v/>
      </c>
      <c r="X2944" s="63" t="str">
        <f>IFERROR(INDEX(基础资料!$R$4:$R$17,MATCH($G2944,基础资料!$Q$4:$Q$17,0)),"")</f>
        <v/>
      </c>
    </row>
    <row r="2945" spans="1:24">
      <c r="A2945" s="58" t="str">
        <f>IF($B2945="","",COUNTA($B$5:$B2945))</f>
        <v/>
      </c>
      <c r="B2945" s="53"/>
      <c r="C2945" s="46"/>
      <c r="D2945" s="63" t="str">
        <f>IFERROR(INDEX(基础资料!$F$4:$F$23,MATCH($C2945,基础资料!$E$4:$E$23,0)),IF($C2945="","","未匹配账户"))</f>
        <v/>
      </c>
      <c r="E2945" s="39"/>
      <c r="F2945" s="10"/>
      <c r="G2945" s="10"/>
      <c r="H2945" s="10"/>
      <c r="I2945" s="10"/>
      <c r="J2945" s="10"/>
      <c r="K2945" s="25"/>
      <c r="L2945" s="25"/>
      <c r="M2945" s="25" t="str">
        <f>IFERROR(VLOOKUP($C2945,$C$5:$M$24,11,0)+SUMIF($C$25:$C2945,$C2945,$K$25:$K2945)-SUMIF($C$25:$C2945,$C2945,$L$25:$L2945),"")</f>
        <v/>
      </c>
      <c r="N2945" s="10"/>
      <c r="O2945" s="10"/>
      <c r="P2945" s="65"/>
      <c r="Q2945" s="10"/>
      <c r="R2945" s="10"/>
      <c r="S2945" s="54" t="str">
        <f t="shared" si="141"/>
        <v/>
      </c>
      <c r="T2945" s="54" t="str">
        <f t="shared" si="142"/>
        <v/>
      </c>
      <c r="U2945" s="58" t="str">
        <f t="shared" si="143"/>
        <v/>
      </c>
      <c r="V2945" s="58">
        <f>IF(AND($B2945&lt;&gt;"",$F2945&lt;&gt;"",$F2945=项目明细账!$C$2),N(V2944)+1,N(V2944))</f>
        <v>0</v>
      </c>
      <c r="W2945" s="63" t="str">
        <f>IF($H2945&lt;&gt;"","项目成本",IFERROR(INDEX(基础资料!$W$4:$W$49,MATCH($I2945,基础资料!$V$4:$V$49,0)),""))</f>
        <v/>
      </c>
      <c r="X2945" s="63" t="str">
        <f>IFERROR(INDEX(基础资料!$R$4:$R$17,MATCH($G2945,基础资料!$Q$4:$Q$17,0)),"")</f>
        <v/>
      </c>
    </row>
    <row r="2946" spans="1:24">
      <c r="A2946" s="58" t="str">
        <f>IF($B2946="","",COUNTA($B$5:$B2946))</f>
        <v/>
      </c>
      <c r="B2946" s="53"/>
      <c r="C2946" s="46"/>
      <c r="D2946" s="63" t="str">
        <f>IFERROR(INDEX(基础资料!$F$4:$F$23,MATCH($C2946,基础资料!$E$4:$E$23,0)),IF($C2946="","","未匹配账户"))</f>
        <v/>
      </c>
      <c r="E2946" s="39"/>
      <c r="F2946" s="10"/>
      <c r="G2946" s="10"/>
      <c r="H2946" s="10"/>
      <c r="I2946" s="10"/>
      <c r="J2946" s="10"/>
      <c r="K2946" s="25"/>
      <c r="L2946" s="25"/>
      <c r="M2946" s="25" t="str">
        <f>IFERROR(VLOOKUP($C2946,$C$5:$M$24,11,0)+SUMIF($C$25:$C2946,$C2946,$K$25:$K2946)-SUMIF($C$25:$C2946,$C2946,$L$25:$L2946),"")</f>
        <v/>
      </c>
      <c r="N2946" s="10"/>
      <c r="O2946" s="10"/>
      <c r="P2946" s="65"/>
      <c r="Q2946" s="10"/>
      <c r="R2946" s="10"/>
      <c r="S2946" s="54" t="str">
        <f t="shared" si="141"/>
        <v/>
      </c>
      <c r="T2946" s="54" t="str">
        <f t="shared" si="142"/>
        <v/>
      </c>
      <c r="U2946" s="58" t="str">
        <f t="shared" si="143"/>
        <v/>
      </c>
      <c r="V2946" s="58">
        <f>IF(AND($B2946&lt;&gt;"",$F2946&lt;&gt;"",$F2946=项目明细账!$C$2),N(V2945)+1,N(V2945))</f>
        <v>0</v>
      </c>
      <c r="W2946" s="63" t="str">
        <f>IF($H2946&lt;&gt;"","项目成本",IFERROR(INDEX(基础资料!$W$4:$W$49,MATCH($I2946,基础资料!$V$4:$V$49,0)),""))</f>
        <v/>
      </c>
      <c r="X2946" s="63" t="str">
        <f>IFERROR(INDEX(基础资料!$R$4:$R$17,MATCH($G2946,基础资料!$Q$4:$Q$17,0)),"")</f>
        <v/>
      </c>
    </row>
    <row r="2947" spans="1:24">
      <c r="A2947" s="58" t="str">
        <f>IF($B2947="","",COUNTA($B$5:$B2947))</f>
        <v/>
      </c>
      <c r="B2947" s="53"/>
      <c r="C2947" s="46"/>
      <c r="D2947" s="63" t="str">
        <f>IFERROR(INDEX(基础资料!$F$4:$F$23,MATCH($C2947,基础资料!$E$4:$E$23,0)),IF($C2947="","","未匹配账户"))</f>
        <v/>
      </c>
      <c r="E2947" s="39"/>
      <c r="F2947" s="10"/>
      <c r="G2947" s="10"/>
      <c r="H2947" s="10"/>
      <c r="I2947" s="10"/>
      <c r="J2947" s="10"/>
      <c r="K2947" s="25"/>
      <c r="L2947" s="25"/>
      <c r="M2947" s="25" t="str">
        <f>IFERROR(VLOOKUP($C2947,$C$5:$M$24,11,0)+SUMIF($C$25:$C2947,$C2947,$K$25:$K2947)-SUMIF($C$25:$C2947,$C2947,$L$25:$L2947),"")</f>
        <v/>
      </c>
      <c r="N2947" s="10"/>
      <c r="O2947" s="10"/>
      <c r="P2947" s="65"/>
      <c r="Q2947" s="10"/>
      <c r="R2947" s="10"/>
      <c r="S2947" s="54" t="str">
        <f t="shared" si="141"/>
        <v/>
      </c>
      <c r="T2947" s="54" t="str">
        <f t="shared" si="142"/>
        <v/>
      </c>
      <c r="U2947" s="58" t="str">
        <f t="shared" si="143"/>
        <v/>
      </c>
      <c r="V2947" s="58">
        <f>IF(AND($B2947&lt;&gt;"",$F2947&lt;&gt;"",$F2947=项目明细账!$C$2),N(V2946)+1,N(V2946))</f>
        <v>0</v>
      </c>
      <c r="W2947" s="63" t="str">
        <f>IF($H2947&lt;&gt;"","项目成本",IFERROR(INDEX(基础资料!$W$4:$W$49,MATCH($I2947,基础资料!$V$4:$V$49,0)),""))</f>
        <v/>
      </c>
      <c r="X2947" s="63" t="str">
        <f>IFERROR(INDEX(基础资料!$R$4:$R$17,MATCH($G2947,基础资料!$Q$4:$Q$17,0)),"")</f>
        <v/>
      </c>
    </row>
    <row r="2948" spans="1:24">
      <c r="A2948" s="58" t="str">
        <f>IF($B2948="","",COUNTA($B$5:$B2948))</f>
        <v/>
      </c>
      <c r="B2948" s="53"/>
      <c r="C2948" s="46"/>
      <c r="D2948" s="63" t="str">
        <f>IFERROR(INDEX(基础资料!$F$4:$F$23,MATCH($C2948,基础资料!$E$4:$E$23,0)),IF($C2948="","","未匹配账户"))</f>
        <v/>
      </c>
      <c r="E2948" s="39"/>
      <c r="F2948" s="10"/>
      <c r="G2948" s="10"/>
      <c r="H2948" s="10"/>
      <c r="I2948" s="10"/>
      <c r="J2948" s="10"/>
      <c r="K2948" s="25"/>
      <c r="L2948" s="25"/>
      <c r="M2948" s="25" t="str">
        <f>IFERROR(VLOOKUP($C2948,$C$5:$M$24,11,0)+SUMIF($C$25:$C2948,$C2948,$K$25:$K2948)-SUMIF($C$25:$C2948,$C2948,$L$25:$L2948),"")</f>
        <v/>
      </c>
      <c r="N2948" s="10"/>
      <c r="O2948" s="10"/>
      <c r="P2948" s="65"/>
      <c r="Q2948" s="10"/>
      <c r="R2948" s="10"/>
      <c r="S2948" s="54" t="str">
        <f t="shared" si="141"/>
        <v/>
      </c>
      <c r="T2948" s="54" t="str">
        <f t="shared" si="142"/>
        <v/>
      </c>
      <c r="U2948" s="58" t="str">
        <f t="shared" si="143"/>
        <v/>
      </c>
      <c r="V2948" s="58">
        <f>IF(AND($B2948&lt;&gt;"",$F2948&lt;&gt;"",$F2948=项目明细账!$C$2),N(V2947)+1,N(V2947))</f>
        <v>0</v>
      </c>
      <c r="W2948" s="63" t="str">
        <f>IF($H2948&lt;&gt;"","项目成本",IFERROR(INDEX(基础资料!$W$4:$W$49,MATCH($I2948,基础资料!$V$4:$V$49,0)),""))</f>
        <v/>
      </c>
      <c r="X2948" s="63" t="str">
        <f>IFERROR(INDEX(基础资料!$R$4:$R$17,MATCH($G2948,基础资料!$Q$4:$Q$17,0)),"")</f>
        <v/>
      </c>
    </row>
    <row r="2949" spans="1:24">
      <c r="A2949" s="58" t="str">
        <f>IF($B2949="","",COUNTA($B$5:$B2949))</f>
        <v/>
      </c>
      <c r="B2949" s="53"/>
      <c r="C2949" s="46"/>
      <c r="D2949" s="63" t="str">
        <f>IFERROR(INDEX(基础资料!$F$4:$F$23,MATCH($C2949,基础资料!$E$4:$E$23,0)),IF($C2949="","","未匹配账户"))</f>
        <v/>
      </c>
      <c r="E2949" s="39"/>
      <c r="F2949" s="10"/>
      <c r="G2949" s="10"/>
      <c r="H2949" s="10"/>
      <c r="I2949" s="10"/>
      <c r="J2949" s="10"/>
      <c r="K2949" s="25"/>
      <c r="L2949" s="25"/>
      <c r="M2949" s="25" t="str">
        <f>IFERROR(VLOOKUP($C2949,$C$5:$M$24,11,0)+SUMIF($C$25:$C2949,$C2949,$K$25:$K2949)-SUMIF($C$25:$C2949,$C2949,$L$25:$L2949),"")</f>
        <v/>
      </c>
      <c r="N2949" s="10"/>
      <c r="O2949" s="10"/>
      <c r="P2949" s="65"/>
      <c r="Q2949" s="10"/>
      <c r="R2949" s="10"/>
      <c r="S2949" s="54" t="str">
        <f t="shared" si="141"/>
        <v/>
      </c>
      <c r="T2949" s="54" t="str">
        <f t="shared" si="142"/>
        <v/>
      </c>
      <c r="U2949" s="58" t="str">
        <f t="shared" si="143"/>
        <v/>
      </c>
      <c r="V2949" s="58">
        <f>IF(AND($B2949&lt;&gt;"",$F2949&lt;&gt;"",$F2949=项目明细账!$C$2),N(V2948)+1,N(V2948))</f>
        <v>0</v>
      </c>
      <c r="W2949" s="63" t="str">
        <f>IF($H2949&lt;&gt;"","项目成本",IFERROR(INDEX(基础资料!$W$4:$W$49,MATCH($I2949,基础资料!$V$4:$V$49,0)),""))</f>
        <v/>
      </c>
      <c r="X2949" s="63" t="str">
        <f>IFERROR(INDEX(基础资料!$R$4:$R$17,MATCH($G2949,基础资料!$Q$4:$Q$17,0)),"")</f>
        <v/>
      </c>
    </row>
    <row r="2950" spans="1:24">
      <c r="A2950" s="58" t="str">
        <f>IF($B2950="","",COUNTA($B$5:$B2950))</f>
        <v/>
      </c>
      <c r="B2950" s="53"/>
      <c r="C2950" s="46"/>
      <c r="D2950" s="63" t="str">
        <f>IFERROR(INDEX(基础资料!$F$4:$F$23,MATCH($C2950,基础资料!$E$4:$E$23,0)),IF($C2950="","","未匹配账户"))</f>
        <v/>
      </c>
      <c r="E2950" s="39"/>
      <c r="F2950" s="10"/>
      <c r="G2950" s="10"/>
      <c r="H2950" s="10"/>
      <c r="I2950" s="10"/>
      <c r="J2950" s="10"/>
      <c r="K2950" s="25"/>
      <c r="L2950" s="25"/>
      <c r="M2950" s="25" t="str">
        <f>IFERROR(VLOOKUP($C2950,$C$5:$M$24,11,0)+SUMIF($C$25:$C2950,$C2950,$K$25:$K2950)-SUMIF($C$25:$C2950,$C2950,$L$25:$L2950),"")</f>
        <v/>
      </c>
      <c r="N2950" s="10"/>
      <c r="O2950" s="10"/>
      <c r="P2950" s="65"/>
      <c r="Q2950" s="10"/>
      <c r="R2950" s="10"/>
      <c r="S2950" s="54" t="str">
        <f t="shared" si="141"/>
        <v/>
      </c>
      <c r="T2950" s="54" t="str">
        <f t="shared" si="142"/>
        <v/>
      </c>
      <c r="U2950" s="58" t="str">
        <f t="shared" si="143"/>
        <v/>
      </c>
      <c r="V2950" s="58">
        <f>IF(AND($B2950&lt;&gt;"",$F2950&lt;&gt;"",$F2950=项目明细账!$C$2),N(V2949)+1,N(V2949))</f>
        <v>0</v>
      </c>
      <c r="W2950" s="63" t="str">
        <f>IF($H2950&lt;&gt;"","项目成本",IFERROR(INDEX(基础资料!$W$4:$W$49,MATCH($I2950,基础资料!$V$4:$V$49,0)),""))</f>
        <v/>
      </c>
      <c r="X2950" s="63" t="str">
        <f>IFERROR(INDEX(基础资料!$R$4:$R$17,MATCH($G2950,基础资料!$Q$4:$Q$17,0)),"")</f>
        <v/>
      </c>
    </row>
    <row r="2951" spans="1:24">
      <c r="A2951" s="58" t="str">
        <f>IF($B2951="","",COUNTA($B$5:$B2951))</f>
        <v/>
      </c>
      <c r="B2951" s="53"/>
      <c r="C2951" s="46"/>
      <c r="D2951" s="63" t="str">
        <f>IFERROR(INDEX(基础资料!$F$4:$F$23,MATCH($C2951,基础资料!$E$4:$E$23,0)),IF($C2951="","","未匹配账户"))</f>
        <v/>
      </c>
      <c r="E2951" s="39"/>
      <c r="F2951" s="10"/>
      <c r="G2951" s="10"/>
      <c r="H2951" s="10"/>
      <c r="I2951" s="10"/>
      <c r="J2951" s="10"/>
      <c r="K2951" s="25"/>
      <c r="L2951" s="25"/>
      <c r="M2951" s="25" t="str">
        <f>IFERROR(VLOOKUP($C2951,$C$5:$M$24,11,0)+SUMIF($C$25:$C2951,$C2951,$K$25:$K2951)-SUMIF($C$25:$C2951,$C2951,$L$25:$L2951),"")</f>
        <v/>
      </c>
      <c r="N2951" s="10"/>
      <c r="O2951" s="10"/>
      <c r="P2951" s="65"/>
      <c r="Q2951" s="10"/>
      <c r="R2951" s="10"/>
      <c r="S2951" s="54" t="str">
        <f t="shared" ref="S2951:S3014" si="144">IF($B2951="","",--TEXT($B2951,"yyyymm"))</f>
        <v/>
      </c>
      <c r="T2951" s="54" t="str">
        <f t="shared" ref="T2951:T3014" si="145">IF($B2951="","",IF($P2951="",$S2951,IFERROR($P2951*1,$P2951)))</f>
        <v/>
      </c>
      <c r="U2951" s="58" t="str">
        <f t="shared" ref="U2951:U3014" si="146">IF($B2951="","",IF($T2951=$S2951,"","跨期"))</f>
        <v/>
      </c>
      <c r="V2951" s="58">
        <f>IF(AND($B2951&lt;&gt;"",$F2951&lt;&gt;"",$F2951=项目明细账!$C$2),N(V2950)+1,N(V2950))</f>
        <v>0</v>
      </c>
      <c r="W2951" s="63" t="str">
        <f>IF($H2951&lt;&gt;"","项目成本",IFERROR(INDEX(基础资料!$W$4:$W$49,MATCH($I2951,基础资料!$V$4:$V$49,0)),""))</f>
        <v/>
      </c>
      <c r="X2951" s="63" t="str">
        <f>IFERROR(INDEX(基础资料!$R$4:$R$17,MATCH($G2951,基础资料!$Q$4:$Q$17,0)),"")</f>
        <v/>
      </c>
    </row>
    <row r="2952" spans="1:24">
      <c r="A2952" s="58" t="str">
        <f>IF($B2952="","",COUNTA($B$5:$B2952))</f>
        <v/>
      </c>
      <c r="B2952" s="53"/>
      <c r="C2952" s="46"/>
      <c r="D2952" s="63" t="str">
        <f>IFERROR(INDEX(基础资料!$F$4:$F$23,MATCH($C2952,基础资料!$E$4:$E$23,0)),IF($C2952="","","未匹配账户"))</f>
        <v/>
      </c>
      <c r="E2952" s="39"/>
      <c r="F2952" s="10"/>
      <c r="G2952" s="10"/>
      <c r="H2952" s="10"/>
      <c r="I2952" s="10"/>
      <c r="J2952" s="10"/>
      <c r="K2952" s="25"/>
      <c r="L2952" s="25"/>
      <c r="M2952" s="25" t="str">
        <f>IFERROR(VLOOKUP($C2952,$C$5:$M$24,11,0)+SUMIF($C$25:$C2952,$C2952,$K$25:$K2952)-SUMIF($C$25:$C2952,$C2952,$L$25:$L2952),"")</f>
        <v/>
      </c>
      <c r="N2952" s="10"/>
      <c r="O2952" s="10"/>
      <c r="P2952" s="65"/>
      <c r="Q2952" s="10"/>
      <c r="R2952" s="10"/>
      <c r="S2952" s="54" t="str">
        <f t="shared" si="144"/>
        <v/>
      </c>
      <c r="T2952" s="54" t="str">
        <f t="shared" si="145"/>
        <v/>
      </c>
      <c r="U2952" s="58" t="str">
        <f t="shared" si="146"/>
        <v/>
      </c>
      <c r="V2952" s="58">
        <f>IF(AND($B2952&lt;&gt;"",$F2952&lt;&gt;"",$F2952=项目明细账!$C$2),N(V2951)+1,N(V2951))</f>
        <v>0</v>
      </c>
      <c r="W2952" s="63" t="str">
        <f>IF($H2952&lt;&gt;"","项目成本",IFERROR(INDEX(基础资料!$W$4:$W$49,MATCH($I2952,基础资料!$V$4:$V$49,0)),""))</f>
        <v/>
      </c>
      <c r="X2952" s="63" t="str">
        <f>IFERROR(INDEX(基础资料!$R$4:$R$17,MATCH($G2952,基础资料!$Q$4:$Q$17,0)),"")</f>
        <v/>
      </c>
    </row>
    <row r="2953" spans="1:24">
      <c r="A2953" s="58" t="str">
        <f>IF($B2953="","",COUNTA($B$5:$B2953))</f>
        <v/>
      </c>
      <c r="B2953" s="53"/>
      <c r="C2953" s="46"/>
      <c r="D2953" s="63" t="str">
        <f>IFERROR(INDEX(基础资料!$F$4:$F$23,MATCH($C2953,基础资料!$E$4:$E$23,0)),IF($C2953="","","未匹配账户"))</f>
        <v/>
      </c>
      <c r="E2953" s="39"/>
      <c r="F2953" s="10"/>
      <c r="G2953" s="10"/>
      <c r="H2953" s="10"/>
      <c r="I2953" s="10"/>
      <c r="J2953" s="10"/>
      <c r="K2953" s="25"/>
      <c r="L2953" s="25"/>
      <c r="M2953" s="25" t="str">
        <f>IFERROR(VLOOKUP($C2953,$C$5:$M$24,11,0)+SUMIF($C$25:$C2953,$C2953,$K$25:$K2953)-SUMIF($C$25:$C2953,$C2953,$L$25:$L2953),"")</f>
        <v/>
      </c>
      <c r="N2953" s="10"/>
      <c r="O2953" s="10"/>
      <c r="P2953" s="65"/>
      <c r="Q2953" s="10"/>
      <c r="R2953" s="10"/>
      <c r="S2953" s="54" t="str">
        <f t="shared" si="144"/>
        <v/>
      </c>
      <c r="T2953" s="54" t="str">
        <f t="shared" si="145"/>
        <v/>
      </c>
      <c r="U2953" s="58" t="str">
        <f t="shared" si="146"/>
        <v/>
      </c>
      <c r="V2953" s="58">
        <f>IF(AND($B2953&lt;&gt;"",$F2953&lt;&gt;"",$F2953=项目明细账!$C$2),N(V2952)+1,N(V2952))</f>
        <v>0</v>
      </c>
      <c r="W2953" s="63" t="str">
        <f>IF($H2953&lt;&gt;"","项目成本",IFERROR(INDEX(基础资料!$W$4:$W$49,MATCH($I2953,基础资料!$V$4:$V$49,0)),""))</f>
        <v/>
      </c>
      <c r="X2953" s="63" t="str">
        <f>IFERROR(INDEX(基础资料!$R$4:$R$17,MATCH($G2953,基础资料!$Q$4:$Q$17,0)),"")</f>
        <v/>
      </c>
    </row>
    <row r="2954" spans="1:24">
      <c r="A2954" s="58" t="str">
        <f>IF($B2954="","",COUNTA($B$5:$B2954))</f>
        <v/>
      </c>
      <c r="B2954" s="53"/>
      <c r="C2954" s="46"/>
      <c r="D2954" s="63" t="str">
        <f>IFERROR(INDEX(基础资料!$F$4:$F$23,MATCH($C2954,基础资料!$E$4:$E$23,0)),IF($C2954="","","未匹配账户"))</f>
        <v/>
      </c>
      <c r="E2954" s="39"/>
      <c r="F2954" s="10"/>
      <c r="G2954" s="10"/>
      <c r="H2954" s="10"/>
      <c r="I2954" s="10"/>
      <c r="J2954" s="10"/>
      <c r="K2954" s="25"/>
      <c r="L2954" s="25"/>
      <c r="M2954" s="25" t="str">
        <f>IFERROR(VLOOKUP($C2954,$C$5:$M$24,11,0)+SUMIF($C$25:$C2954,$C2954,$K$25:$K2954)-SUMIF($C$25:$C2954,$C2954,$L$25:$L2954),"")</f>
        <v/>
      </c>
      <c r="N2954" s="10"/>
      <c r="O2954" s="10"/>
      <c r="P2954" s="65"/>
      <c r="Q2954" s="10"/>
      <c r="R2954" s="10"/>
      <c r="S2954" s="54" t="str">
        <f t="shared" si="144"/>
        <v/>
      </c>
      <c r="T2954" s="54" t="str">
        <f t="shared" si="145"/>
        <v/>
      </c>
      <c r="U2954" s="58" t="str">
        <f t="shared" si="146"/>
        <v/>
      </c>
      <c r="V2954" s="58">
        <f>IF(AND($B2954&lt;&gt;"",$F2954&lt;&gt;"",$F2954=项目明细账!$C$2),N(V2953)+1,N(V2953))</f>
        <v>0</v>
      </c>
      <c r="W2954" s="63" t="str">
        <f>IF($H2954&lt;&gt;"","项目成本",IFERROR(INDEX(基础资料!$W$4:$W$49,MATCH($I2954,基础资料!$V$4:$V$49,0)),""))</f>
        <v/>
      </c>
      <c r="X2954" s="63" t="str">
        <f>IFERROR(INDEX(基础资料!$R$4:$R$17,MATCH($G2954,基础资料!$Q$4:$Q$17,0)),"")</f>
        <v/>
      </c>
    </row>
    <row r="2955" spans="1:24">
      <c r="A2955" s="58" t="str">
        <f>IF($B2955="","",COUNTA($B$5:$B2955))</f>
        <v/>
      </c>
      <c r="B2955" s="53"/>
      <c r="C2955" s="46"/>
      <c r="D2955" s="63" t="str">
        <f>IFERROR(INDEX(基础资料!$F$4:$F$23,MATCH($C2955,基础资料!$E$4:$E$23,0)),IF($C2955="","","未匹配账户"))</f>
        <v/>
      </c>
      <c r="E2955" s="39"/>
      <c r="F2955" s="10"/>
      <c r="G2955" s="10"/>
      <c r="H2955" s="10"/>
      <c r="I2955" s="10"/>
      <c r="J2955" s="10"/>
      <c r="K2955" s="25"/>
      <c r="L2955" s="25"/>
      <c r="M2955" s="25" t="str">
        <f>IFERROR(VLOOKUP($C2955,$C$5:$M$24,11,0)+SUMIF($C$25:$C2955,$C2955,$K$25:$K2955)-SUMIF($C$25:$C2955,$C2955,$L$25:$L2955),"")</f>
        <v/>
      </c>
      <c r="N2955" s="10"/>
      <c r="O2955" s="10"/>
      <c r="P2955" s="65"/>
      <c r="Q2955" s="10"/>
      <c r="R2955" s="10"/>
      <c r="S2955" s="54" t="str">
        <f t="shared" si="144"/>
        <v/>
      </c>
      <c r="T2955" s="54" t="str">
        <f t="shared" si="145"/>
        <v/>
      </c>
      <c r="U2955" s="58" t="str">
        <f t="shared" si="146"/>
        <v/>
      </c>
      <c r="V2955" s="58">
        <f>IF(AND($B2955&lt;&gt;"",$F2955&lt;&gt;"",$F2955=项目明细账!$C$2),N(V2954)+1,N(V2954))</f>
        <v>0</v>
      </c>
      <c r="W2955" s="63" t="str">
        <f>IF($H2955&lt;&gt;"","项目成本",IFERROR(INDEX(基础资料!$W$4:$W$49,MATCH($I2955,基础资料!$V$4:$V$49,0)),""))</f>
        <v/>
      </c>
      <c r="X2955" s="63" t="str">
        <f>IFERROR(INDEX(基础资料!$R$4:$R$17,MATCH($G2955,基础资料!$Q$4:$Q$17,0)),"")</f>
        <v/>
      </c>
    </row>
    <row r="2956" spans="1:24">
      <c r="A2956" s="58" t="str">
        <f>IF($B2956="","",COUNTA($B$5:$B2956))</f>
        <v/>
      </c>
      <c r="B2956" s="53"/>
      <c r="C2956" s="46"/>
      <c r="D2956" s="63" t="str">
        <f>IFERROR(INDEX(基础资料!$F$4:$F$23,MATCH($C2956,基础资料!$E$4:$E$23,0)),IF($C2956="","","未匹配账户"))</f>
        <v/>
      </c>
      <c r="E2956" s="39"/>
      <c r="F2956" s="10"/>
      <c r="G2956" s="10"/>
      <c r="H2956" s="10"/>
      <c r="I2956" s="10"/>
      <c r="J2956" s="10"/>
      <c r="K2956" s="25"/>
      <c r="L2956" s="25"/>
      <c r="M2956" s="25" t="str">
        <f>IFERROR(VLOOKUP($C2956,$C$5:$M$24,11,0)+SUMIF($C$25:$C2956,$C2956,$K$25:$K2956)-SUMIF($C$25:$C2956,$C2956,$L$25:$L2956),"")</f>
        <v/>
      </c>
      <c r="N2956" s="10"/>
      <c r="O2956" s="10"/>
      <c r="P2956" s="65"/>
      <c r="Q2956" s="10"/>
      <c r="R2956" s="10"/>
      <c r="S2956" s="54" t="str">
        <f t="shared" si="144"/>
        <v/>
      </c>
      <c r="T2956" s="54" t="str">
        <f t="shared" si="145"/>
        <v/>
      </c>
      <c r="U2956" s="58" t="str">
        <f t="shared" si="146"/>
        <v/>
      </c>
      <c r="V2956" s="58">
        <f>IF(AND($B2956&lt;&gt;"",$F2956&lt;&gt;"",$F2956=项目明细账!$C$2),N(V2955)+1,N(V2955))</f>
        <v>0</v>
      </c>
      <c r="W2956" s="63" t="str">
        <f>IF($H2956&lt;&gt;"","项目成本",IFERROR(INDEX(基础资料!$W$4:$W$49,MATCH($I2956,基础资料!$V$4:$V$49,0)),""))</f>
        <v/>
      </c>
      <c r="X2956" s="63" t="str">
        <f>IFERROR(INDEX(基础资料!$R$4:$R$17,MATCH($G2956,基础资料!$Q$4:$Q$17,0)),"")</f>
        <v/>
      </c>
    </row>
    <row r="2957" spans="1:24">
      <c r="A2957" s="58" t="str">
        <f>IF($B2957="","",COUNTA($B$5:$B2957))</f>
        <v/>
      </c>
      <c r="B2957" s="53"/>
      <c r="C2957" s="46"/>
      <c r="D2957" s="63" t="str">
        <f>IFERROR(INDEX(基础资料!$F$4:$F$23,MATCH($C2957,基础资料!$E$4:$E$23,0)),IF($C2957="","","未匹配账户"))</f>
        <v/>
      </c>
      <c r="E2957" s="39"/>
      <c r="F2957" s="10"/>
      <c r="G2957" s="10"/>
      <c r="H2957" s="10"/>
      <c r="I2957" s="10"/>
      <c r="J2957" s="10"/>
      <c r="K2957" s="25"/>
      <c r="L2957" s="25"/>
      <c r="M2957" s="25" t="str">
        <f>IFERROR(VLOOKUP($C2957,$C$5:$M$24,11,0)+SUMIF($C$25:$C2957,$C2957,$K$25:$K2957)-SUMIF($C$25:$C2957,$C2957,$L$25:$L2957),"")</f>
        <v/>
      </c>
      <c r="N2957" s="10"/>
      <c r="O2957" s="10"/>
      <c r="P2957" s="65"/>
      <c r="Q2957" s="10"/>
      <c r="R2957" s="10"/>
      <c r="S2957" s="54" t="str">
        <f t="shared" si="144"/>
        <v/>
      </c>
      <c r="T2957" s="54" t="str">
        <f t="shared" si="145"/>
        <v/>
      </c>
      <c r="U2957" s="58" t="str">
        <f t="shared" si="146"/>
        <v/>
      </c>
      <c r="V2957" s="58">
        <f>IF(AND($B2957&lt;&gt;"",$F2957&lt;&gt;"",$F2957=项目明细账!$C$2),N(V2956)+1,N(V2956))</f>
        <v>0</v>
      </c>
      <c r="W2957" s="63" t="str">
        <f>IF($H2957&lt;&gt;"","项目成本",IFERROR(INDEX(基础资料!$W$4:$W$49,MATCH($I2957,基础资料!$V$4:$V$49,0)),""))</f>
        <v/>
      </c>
      <c r="X2957" s="63" t="str">
        <f>IFERROR(INDEX(基础资料!$R$4:$R$17,MATCH($G2957,基础资料!$Q$4:$Q$17,0)),"")</f>
        <v/>
      </c>
    </row>
    <row r="2958" spans="1:24">
      <c r="A2958" s="58" t="str">
        <f>IF($B2958="","",COUNTA($B$5:$B2958))</f>
        <v/>
      </c>
      <c r="B2958" s="53"/>
      <c r="C2958" s="46"/>
      <c r="D2958" s="63" t="str">
        <f>IFERROR(INDEX(基础资料!$F$4:$F$23,MATCH($C2958,基础资料!$E$4:$E$23,0)),IF($C2958="","","未匹配账户"))</f>
        <v/>
      </c>
      <c r="E2958" s="39"/>
      <c r="F2958" s="10"/>
      <c r="G2958" s="10"/>
      <c r="H2958" s="10"/>
      <c r="I2958" s="10"/>
      <c r="J2958" s="10"/>
      <c r="K2958" s="25"/>
      <c r="L2958" s="25"/>
      <c r="M2958" s="25" t="str">
        <f>IFERROR(VLOOKUP($C2958,$C$5:$M$24,11,0)+SUMIF($C$25:$C2958,$C2958,$K$25:$K2958)-SUMIF($C$25:$C2958,$C2958,$L$25:$L2958),"")</f>
        <v/>
      </c>
      <c r="N2958" s="10"/>
      <c r="O2958" s="10"/>
      <c r="P2958" s="65"/>
      <c r="Q2958" s="10"/>
      <c r="R2958" s="10"/>
      <c r="S2958" s="54" t="str">
        <f t="shared" si="144"/>
        <v/>
      </c>
      <c r="T2958" s="54" t="str">
        <f t="shared" si="145"/>
        <v/>
      </c>
      <c r="U2958" s="58" t="str">
        <f t="shared" si="146"/>
        <v/>
      </c>
      <c r="V2958" s="58">
        <f>IF(AND($B2958&lt;&gt;"",$F2958&lt;&gt;"",$F2958=项目明细账!$C$2),N(V2957)+1,N(V2957))</f>
        <v>0</v>
      </c>
      <c r="W2958" s="63" t="str">
        <f>IF($H2958&lt;&gt;"","项目成本",IFERROR(INDEX(基础资料!$W$4:$W$49,MATCH($I2958,基础资料!$V$4:$V$49,0)),""))</f>
        <v/>
      </c>
      <c r="X2958" s="63" t="str">
        <f>IFERROR(INDEX(基础资料!$R$4:$R$17,MATCH($G2958,基础资料!$Q$4:$Q$17,0)),"")</f>
        <v/>
      </c>
    </row>
    <row r="2959" spans="1:24">
      <c r="A2959" s="58" t="str">
        <f>IF($B2959="","",COUNTA($B$5:$B2959))</f>
        <v/>
      </c>
      <c r="B2959" s="53"/>
      <c r="C2959" s="46"/>
      <c r="D2959" s="63" t="str">
        <f>IFERROR(INDEX(基础资料!$F$4:$F$23,MATCH($C2959,基础资料!$E$4:$E$23,0)),IF($C2959="","","未匹配账户"))</f>
        <v/>
      </c>
      <c r="E2959" s="39"/>
      <c r="F2959" s="10"/>
      <c r="G2959" s="10"/>
      <c r="H2959" s="10"/>
      <c r="I2959" s="10"/>
      <c r="J2959" s="10"/>
      <c r="K2959" s="25"/>
      <c r="L2959" s="25"/>
      <c r="M2959" s="25" t="str">
        <f>IFERROR(VLOOKUP($C2959,$C$5:$M$24,11,0)+SUMIF($C$25:$C2959,$C2959,$K$25:$K2959)-SUMIF($C$25:$C2959,$C2959,$L$25:$L2959),"")</f>
        <v/>
      </c>
      <c r="N2959" s="10"/>
      <c r="O2959" s="10"/>
      <c r="P2959" s="65"/>
      <c r="Q2959" s="10"/>
      <c r="R2959" s="10"/>
      <c r="S2959" s="54" t="str">
        <f t="shared" si="144"/>
        <v/>
      </c>
      <c r="T2959" s="54" t="str">
        <f t="shared" si="145"/>
        <v/>
      </c>
      <c r="U2959" s="58" t="str">
        <f t="shared" si="146"/>
        <v/>
      </c>
      <c r="V2959" s="58">
        <f>IF(AND($B2959&lt;&gt;"",$F2959&lt;&gt;"",$F2959=项目明细账!$C$2),N(V2958)+1,N(V2958))</f>
        <v>0</v>
      </c>
      <c r="W2959" s="63" t="str">
        <f>IF($H2959&lt;&gt;"","项目成本",IFERROR(INDEX(基础资料!$W$4:$W$49,MATCH($I2959,基础资料!$V$4:$V$49,0)),""))</f>
        <v/>
      </c>
      <c r="X2959" s="63" t="str">
        <f>IFERROR(INDEX(基础资料!$R$4:$R$17,MATCH($G2959,基础资料!$Q$4:$Q$17,0)),"")</f>
        <v/>
      </c>
    </row>
    <row r="2960" spans="1:24">
      <c r="A2960" s="58" t="str">
        <f>IF($B2960="","",COUNTA($B$5:$B2960))</f>
        <v/>
      </c>
      <c r="B2960" s="53"/>
      <c r="C2960" s="46"/>
      <c r="D2960" s="63" t="str">
        <f>IFERROR(INDEX(基础资料!$F$4:$F$23,MATCH($C2960,基础资料!$E$4:$E$23,0)),IF($C2960="","","未匹配账户"))</f>
        <v/>
      </c>
      <c r="E2960" s="39"/>
      <c r="F2960" s="10"/>
      <c r="G2960" s="10"/>
      <c r="H2960" s="10"/>
      <c r="I2960" s="10"/>
      <c r="J2960" s="10"/>
      <c r="K2960" s="25"/>
      <c r="L2960" s="25"/>
      <c r="M2960" s="25" t="str">
        <f>IFERROR(VLOOKUP($C2960,$C$5:$M$24,11,0)+SUMIF($C$25:$C2960,$C2960,$K$25:$K2960)-SUMIF($C$25:$C2960,$C2960,$L$25:$L2960),"")</f>
        <v/>
      </c>
      <c r="N2960" s="10"/>
      <c r="O2960" s="10"/>
      <c r="P2960" s="65"/>
      <c r="Q2960" s="10"/>
      <c r="R2960" s="10"/>
      <c r="S2960" s="54" t="str">
        <f t="shared" si="144"/>
        <v/>
      </c>
      <c r="T2960" s="54" t="str">
        <f t="shared" si="145"/>
        <v/>
      </c>
      <c r="U2960" s="58" t="str">
        <f t="shared" si="146"/>
        <v/>
      </c>
      <c r="V2960" s="58">
        <f>IF(AND($B2960&lt;&gt;"",$F2960&lt;&gt;"",$F2960=项目明细账!$C$2),N(V2959)+1,N(V2959))</f>
        <v>0</v>
      </c>
      <c r="W2960" s="63" t="str">
        <f>IF($H2960&lt;&gt;"","项目成本",IFERROR(INDEX(基础资料!$W$4:$W$49,MATCH($I2960,基础资料!$V$4:$V$49,0)),""))</f>
        <v/>
      </c>
      <c r="X2960" s="63" t="str">
        <f>IFERROR(INDEX(基础资料!$R$4:$R$17,MATCH($G2960,基础资料!$Q$4:$Q$17,0)),"")</f>
        <v/>
      </c>
    </row>
    <row r="2961" spans="1:24">
      <c r="A2961" s="58" t="str">
        <f>IF($B2961="","",COUNTA($B$5:$B2961))</f>
        <v/>
      </c>
      <c r="B2961" s="53"/>
      <c r="C2961" s="46"/>
      <c r="D2961" s="63" t="str">
        <f>IFERROR(INDEX(基础资料!$F$4:$F$23,MATCH($C2961,基础资料!$E$4:$E$23,0)),IF($C2961="","","未匹配账户"))</f>
        <v/>
      </c>
      <c r="E2961" s="39"/>
      <c r="F2961" s="10"/>
      <c r="G2961" s="10"/>
      <c r="H2961" s="10"/>
      <c r="I2961" s="10"/>
      <c r="J2961" s="10"/>
      <c r="K2961" s="25"/>
      <c r="L2961" s="25"/>
      <c r="M2961" s="25" t="str">
        <f>IFERROR(VLOOKUP($C2961,$C$5:$M$24,11,0)+SUMIF($C$25:$C2961,$C2961,$K$25:$K2961)-SUMIF($C$25:$C2961,$C2961,$L$25:$L2961),"")</f>
        <v/>
      </c>
      <c r="N2961" s="10"/>
      <c r="O2961" s="10"/>
      <c r="P2961" s="65"/>
      <c r="Q2961" s="10"/>
      <c r="R2961" s="10"/>
      <c r="S2961" s="54" t="str">
        <f t="shared" si="144"/>
        <v/>
      </c>
      <c r="T2961" s="54" t="str">
        <f t="shared" si="145"/>
        <v/>
      </c>
      <c r="U2961" s="58" t="str">
        <f t="shared" si="146"/>
        <v/>
      </c>
      <c r="V2961" s="58">
        <f>IF(AND($B2961&lt;&gt;"",$F2961&lt;&gt;"",$F2961=项目明细账!$C$2),N(V2960)+1,N(V2960))</f>
        <v>0</v>
      </c>
      <c r="W2961" s="63" t="str">
        <f>IF($H2961&lt;&gt;"","项目成本",IFERROR(INDEX(基础资料!$W$4:$W$49,MATCH($I2961,基础资料!$V$4:$V$49,0)),""))</f>
        <v/>
      </c>
      <c r="X2961" s="63" t="str">
        <f>IFERROR(INDEX(基础资料!$R$4:$R$17,MATCH($G2961,基础资料!$Q$4:$Q$17,0)),"")</f>
        <v/>
      </c>
    </row>
    <row r="2962" spans="1:24">
      <c r="A2962" s="58" t="str">
        <f>IF($B2962="","",COUNTA($B$5:$B2962))</f>
        <v/>
      </c>
      <c r="B2962" s="53"/>
      <c r="C2962" s="46"/>
      <c r="D2962" s="63" t="str">
        <f>IFERROR(INDEX(基础资料!$F$4:$F$23,MATCH($C2962,基础资料!$E$4:$E$23,0)),IF($C2962="","","未匹配账户"))</f>
        <v/>
      </c>
      <c r="E2962" s="39"/>
      <c r="F2962" s="10"/>
      <c r="G2962" s="10"/>
      <c r="H2962" s="10"/>
      <c r="I2962" s="10"/>
      <c r="J2962" s="10"/>
      <c r="K2962" s="25"/>
      <c r="L2962" s="25"/>
      <c r="M2962" s="25" t="str">
        <f>IFERROR(VLOOKUP($C2962,$C$5:$M$24,11,0)+SUMIF($C$25:$C2962,$C2962,$K$25:$K2962)-SUMIF($C$25:$C2962,$C2962,$L$25:$L2962),"")</f>
        <v/>
      </c>
      <c r="N2962" s="10"/>
      <c r="O2962" s="10"/>
      <c r="P2962" s="65"/>
      <c r="Q2962" s="10"/>
      <c r="R2962" s="10"/>
      <c r="S2962" s="54" t="str">
        <f t="shared" si="144"/>
        <v/>
      </c>
      <c r="T2962" s="54" t="str">
        <f t="shared" si="145"/>
        <v/>
      </c>
      <c r="U2962" s="58" t="str">
        <f t="shared" si="146"/>
        <v/>
      </c>
      <c r="V2962" s="58">
        <f>IF(AND($B2962&lt;&gt;"",$F2962&lt;&gt;"",$F2962=项目明细账!$C$2),N(V2961)+1,N(V2961))</f>
        <v>0</v>
      </c>
      <c r="W2962" s="63" t="str">
        <f>IF($H2962&lt;&gt;"","项目成本",IFERROR(INDEX(基础资料!$W$4:$W$49,MATCH($I2962,基础资料!$V$4:$V$49,0)),""))</f>
        <v/>
      </c>
      <c r="X2962" s="63" t="str">
        <f>IFERROR(INDEX(基础资料!$R$4:$R$17,MATCH($G2962,基础资料!$Q$4:$Q$17,0)),"")</f>
        <v/>
      </c>
    </row>
    <row r="2963" spans="1:24">
      <c r="A2963" s="58" t="str">
        <f>IF($B2963="","",COUNTA($B$5:$B2963))</f>
        <v/>
      </c>
      <c r="B2963" s="53"/>
      <c r="C2963" s="46"/>
      <c r="D2963" s="63" t="str">
        <f>IFERROR(INDEX(基础资料!$F$4:$F$23,MATCH($C2963,基础资料!$E$4:$E$23,0)),IF($C2963="","","未匹配账户"))</f>
        <v/>
      </c>
      <c r="E2963" s="39"/>
      <c r="F2963" s="10"/>
      <c r="G2963" s="10"/>
      <c r="H2963" s="10"/>
      <c r="I2963" s="10"/>
      <c r="J2963" s="10"/>
      <c r="K2963" s="25"/>
      <c r="L2963" s="25"/>
      <c r="M2963" s="25" t="str">
        <f>IFERROR(VLOOKUP($C2963,$C$5:$M$24,11,0)+SUMIF($C$25:$C2963,$C2963,$K$25:$K2963)-SUMIF($C$25:$C2963,$C2963,$L$25:$L2963),"")</f>
        <v/>
      </c>
      <c r="N2963" s="10"/>
      <c r="O2963" s="10"/>
      <c r="P2963" s="65"/>
      <c r="Q2963" s="10"/>
      <c r="R2963" s="10"/>
      <c r="S2963" s="54" t="str">
        <f t="shared" si="144"/>
        <v/>
      </c>
      <c r="T2963" s="54" t="str">
        <f t="shared" si="145"/>
        <v/>
      </c>
      <c r="U2963" s="58" t="str">
        <f t="shared" si="146"/>
        <v/>
      </c>
      <c r="V2963" s="58">
        <f>IF(AND($B2963&lt;&gt;"",$F2963&lt;&gt;"",$F2963=项目明细账!$C$2),N(V2962)+1,N(V2962))</f>
        <v>0</v>
      </c>
      <c r="W2963" s="63" t="str">
        <f>IF($H2963&lt;&gt;"","项目成本",IFERROR(INDEX(基础资料!$W$4:$W$49,MATCH($I2963,基础资料!$V$4:$V$49,0)),""))</f>
        <v/>
      </c>
      <c r="X2963" s="63" t="str">
        <f>IFERROR(INDEX(基础资料!$R$4:$R$17,MATCH($G2963,基础资料!$Q$4:$Q$17,0)),"")</f>
        <v/>
      </c>
    </row>
    <row r="2964" spans="1:24">
      <c r="A2964" s="58" t="str">
        <f>IF($B2964="","",COUNTA($B$5:$B2964))</f>
        <v/>
      </c>
      <c r="B2964" s="53"/>
      <c r="C2964" s="46"/>
      <c r="D2964" s="63" t="str">
        <f>IFERROR(INDEX(基础资料!$F$4:$F$23,MATCH($C2964,基础资料!$E$4:$E$23,0)),IF($C2964="","","未匹配账户"))</f>
        <v/>
      </c>
      <c r="E2964" s="39"/>
      <c r="F2964" s="10"/>
      <c r="G2964" s="10"/>
      <c r="H2964" s="10"/>
      <c r="I2964" s="10"/>
      <c r="J2964" s="10"/>
      <c r="K2964" s="25"/>
      <c r="L2964" s="25"/>
      <c r="M2964" s="25" t="str">
        <f>IFERROR(VLOOKUP($C2964,$C$5:$M$24,11,0)+SUMIF($C$25:$C2964,$C2964,$K$25:$K2964)-SUMIF($C$25:$C2964,$C2964,$L$25:$L2964),"")</f>
        <v/>
      </c>
      <c r="N2964" s="10"/>
      <c r="O2964" s="10"/>
      <c r="P2964" s="65"/>
      <c r="Q2964" s="10"/>
      <c r="R2964" s="10"/>
      <c r="S2964" s="54" t="str">
        <f t="shared" si="144"/>
        <v/>
      </c>
      <c r="T2964" s="54" t="str">
        <f t="shared" si="145"/>
        <v/>
      </c>
      <c r="U2964" s="58" t="str">
        <f t="shared" si="146"/>
        <v/>
      </c>
      <c r="V2964" s="58">
        <f>IF(AND($B2964&lt;&gt;"",$F2964&lt;&gt;"",$F2964=项目明细账!$C$2),N(V2963)+1,N(V2963))</f>
        <v>0</v>
      </c>
      <c r="W2964" s="63" t="str">
        <f>IF($H2964&lt;&gt;"","项目成本",IFERROR(INDEX(基础资料!$W$4:$W$49,MATCH($I2964,基础资料!$V$4:$V$49,0)),""))</f>
        <v/>
      </c>
      <c r="X2964" s="63" t="str">
        <f>IFERROR(INDEX(基础资料!$R$4:$R$17,MATCH($G2964,基础资料!$Q$4:$Q$17,0)),"")</f>
        <v/>
      </c>
    </row>
    <row r="2965" spans="1:24">
      <c r="A2965" s="58" t="str">
        <f>IF($B2965="","",COUNTA($B$5:$B2965))</f>
        <v/>
      </c>
      <c r="B2965" s="53"/>
      <c r="C2965" s="46"/>
      <c r="D2965" s="63" t="str">
        <f>IFERROR(INDEX(基础资料!$F$4:$F$23,MATCH($C2965,基础资料!$E$4:$E$23,0)),IF($C2965="","","未匹配账户"))</f>
        <v/>
      </c>
      <c r="E2965" s="39"/>
      <c r="F2965" s="10"/>
      <c r="G2965" s="10"/>
      <c r="H2965" s="10"/>
      <c r="I2965" s="10"/>
      <c r="J2965" s="10"/>
      <c r="K2965" s="25"/>
      <c r="L2965" s="25"/>
      <c r="M2965" s="25" t="str">
        <f>IFERROR(VLOOKUP($C2965,$C$5:$M$24,11,0)+SUMIF($C$25:$C2965,$C2965,$K$25:$K2965)-SUMIF($C$25:$C2965,$C2965,$L$25:$L2965),"")</f>
        <v/>
      </c>
      <c r="N2965" s="10"/>
      <c r="O2965" s="10"/>
      <c r="P2965" s="65"/>
      <c r="Q2965" s="10"/>
      <c r="R2965" s="10"/>
      <c r="S2965" s="54" t="str">
        <f t="shared" si="144"/>
        <v/>
      </c>
      <c r="T2965" s="54" t="str">
        <f t="shared" si="145"/>
        <v/>
      </c>
      <c r="U2965" s="58" t="str">
        <f t="shared" si="146"/>
        <v/>
      </c>
      <c r="V2965" s="58">
        <f>IF(AND($B2965&lt;&gt;"",$F2965&lt;&gt;"",$F2965=项目明细账!$C$2),N(V2964)+1,N(V2964))</f>
        <v>0</v>
      </c>
      <c r="W2965" s="63" t="str">
        <f>IF($H2965&lt;&gt;"","项目成本",IFERROR(INDEX(基础资料!$W$4:$W$49,MATCH($I2965,基础资料!$V$4:$V$49,0)),""))</f>
        <v/>
      </c>
      <c r="X2965" s="63" t="str">
        <f>IFERROR(INDEX(基础资料!$R$4:$R$17,MATCH($G2965,基础资料!$Q$4:$Q$17,0)),"")</f>
        <v/>
      </c>
    </row>
    <row r="2966" spans="1:24">
      <c r="A2966" s="58" t="str">
        <f>IF($B2966="","",COUNTA($B$5:$B2966))</f>
        <v/>
      </c>
      <c r="B2966" s="53"/>
      <c r="C2966" s="46"/>
      <c r="D2966" s="63" t="str">
        <f>IFERROR(INDEX(基础资料!$F$4:$F$23,MATCH($C2966,基础资料!$E$4:$E$23,0)),IF($C2966="","","未匹配账户"))</f>
        <v/>
      </c>
      <c r="E2966" s="39"/>
      <c r="F2966" s="10"/>
      <c r="G2966" s="10"/>
      <c r="H2966" s="10"/>
      <c r="I2966" s="10"/>
      <c r="J2966" s="10"/>
      <c r="K2966" s="25"/>
      <c r="L2966" s="25"/>
      <c r="M2966" s="25" t="str">
        <f>IFERROR(VLOOKUP($C2966,$C$5:$M$24,11,0)+SUMIF($C$25:$C2966,$C2966,$K$25:$K2966)-SUMIF($C$25:$C2966,$C2966,$L$25:$L2966),"")</f>
        <v/>
      </c>
      <c r="N2966" s="10"/>
      <c r="O2966" s="10"/>
      <c r="P2966" s="65"/>
      <c r="Q2966" s="10"/>
      <c r="R2966" s="10"/>
      <c r="S2966" s="54" t="str">
        <f t="shared" si="144"/>
        <v/>
      </c>
      <c r="T2966" s="54" t="str">
        <f t="shared" si="145"/>
        <v/>
      </c>
      <c r="U2966" s="58" t="str">
        <f t="shared" si="146"/>
        <v/>
      </c>
      <c r="V2966" s="58">
        <f>IF(AND($B2966&lt;&gt;"",$F2966&lt;&gt;"",$F2966=项目明细账!$C$2),N(V2965)+1,N(V2965))</f>
        <v>0</v>
      </c>
      <c r="W2966" s="63" t="str">
        <f>IF($H2966&lt;&gt;"","项目成本",IFERROR(INDEX(基础资料!$W$4:$W$49,MATCH($I2966,基础资料!$V$4:$V$49,0)),""))</f>
        <v/>
      </c>
      <c r="X2966" s="63" t="str">
        <f>IFERROR(INDEX(基础资料!$R$4:$R$17,MATCH($G2966,基础资料!$Q$4:$Q$17,0)),"")</f>
        <v/>
      </c>
    </row>
    <row r="2967" spans="1:24">
      <c r="A2967" s="58" t="str">
        <f>IF($B2967="","",COUNTA($B$5:$B2967))</f>
        <v/>
      </c>
      <c r="B2967" s="53"/>
      <c r="C2967" s="46"/>
      <c r="D2967" s="63" t="str">
        <f>IFERROR(INDEX(基础资料!$F$4:$F$23,MATCH($C2967,基础资料!$E$4:$E$23,0)),IF($C2967="","","未匹配账户"))</f>
        <v/>
      </c>
      <c r="E2967" s="39"/>
      <c r="F2967" s="10"/>
      <c r="G2967" s="10"/>
      <c r="H2967" s="10"/>
      <c r="I2967" s="10"/>
      <c r="J2967" s="10"/>
      <c r="K2967" s="25"/>
      <c r="L2967" s="25"/>
      <c r="M2967" s="25" t="str">
        <f>IFERROR(VLOOKUP($C2967,$C$5:$M$24,11,0)+SUMIF($C$25:$C2967,$C2967,$K$25:$K2967)-SUMIF($C$25:$C2967,$C2967,$L$25:$L2967),"")</f>
        <v/>
      </c>
      <c r="N2967" s="10"/>
      <c r="O2967" s="10"/>
      <c r="P2967" s="65"/>
      <c r="Q2967" s="10"/>
      <c r="R2967" s="10"/>
      <c r="S2967" s="54" t="str">
        <f t="shared" si="144"/>
        <v/>
      </c>
      <c r="T2967" s="54" t="str">
        <f t="shared" si="145"/>
        <v/>
      </c>
      <c r="U2967" s="58" t="str">
        <f t="shared" si="146"/>
        <v/>
      </c>
      <c r="V2967" s="58">
        <f>IF(AND($B2967&lt;&gt;"",$F2967&lt;&gt;"",$F2967=项目明细账!$C$2),N(V2966)+1,N(V2966))</f>
        <v>0</v>
      </c>
      <c r="W2967" s="63" t="str">
        <f>IF($H2967&lt;&gt;"","项目成本",IFERROR(INDEX(基础资料!$W$4:$W$49,MATCH($I2967,基础资料!$V$4:$V$49,0)),""))</f>
        <v/>
      </c>
      <c r="X2967" s="63" t="str">
        <f>IFERROR(INDEX(基础资料!$R$4:$R$17,MATCH($G2967,基础资料!$Q$4:$Q$17,0)),"")</f>
        <v/>
      </c>
    </row>
    <row r="2968" spans="1:24">
      <c r="A2968" s="58" t="str">
        <f>IF($B2968="","",COUNTA($B$5:$B2968))</f>
        <v/>
      </c>
      <c r="B2968" s="53"/>
      <c r="C2968" s="46"/>
      <c r="D2968" s="63" t="str">
        <f>IFERROR(INDEX(基础资料!$F$4:$F$23,MATCH($C2968,基础资料!$E$4:$E$23,0)),IF($C2968="","","未匹配账户"))</f>
        <v/>
      </c>
      <c r="E2968" s="39"/>
      <c r="F2968" s="10"/>
      <c r="G2968" s="10"/>
      <c r="H2968" s="10"/>
      <c r="I2968" s="10"/>
      <c r="J2968" s="10"/>
      <c r="K2968" s="25"/>
      <c r="L2968" s="25"/>
      <c r="M2968" s="25" t="str">
        <f>IFERROR(VLOOKUP($C2968,$C$5:$M$24,11,0)+SUMIF($C$25:$C2968,$C2968,$K$25:$K2968)-SUMIF($C$25:$C2968,$C2968,$L$25:$L2968),"")</f>
        <v/>
      </c>
      <c r="N2968" s="10"/>
      <c r="O2968" s="10"/>
      <c r="P2968" s="65"/>
      <c r="Q2968" s="10"/>
      <c r="R2968" s="10"/>
      <c r="S2968" s="54" t="str">
        <f t="shared" si="144"/>
        <v/>
      </c>
      <c r="T2968" s="54" t="str">
        <f t="shared" si="145"/>
        <v/>
      </c>
      <c r="U2968" s="58" t="str">
        <f t="shared" si="146"/>
        <v/>
      </c>
      <c r="V2968" s="58">
        <f>IF(AND($B2968&lt;&gt;"",$F2968&lt;&gt;"",$F2968=项目明细账!$C$2),N(V2967)+1,N(V2967))</f>
        <v>0</v>
      </c>
      <c r="W2968" s="63" t="str">
        <f>IF($H2968&lt;&gt;"","项目成本",IFERROR(INDEX(基础资料!$W$4:$W$49,MATCH($I2968,基础资料!$V$4:$V$49,0)),""))</f>
        <v/>
      </c>
      <c r="X2968" s="63" t="str">
        <f>IFERROR(INDEX(基础资料!$R$4:$R$17,MATCH($G2968,基础资料!$Q$4:$Q$17,0)),"")</f>
        <v/>
      </c>
    </row>
    <row r="2969" spans="1:24">
      <c r="A2969" s="58" t="str">
        <f>IF($B2969="","",COUNTA($B$5:$B2969))</f>
        <v/>
      </c>
      <c r="B2969" s="53"/>
      <c r="C2969" s="46"/>
      <c r="D2969" s="63" t="str">
        <f>IFERROR(INDEX(基础资料!$F$4:$F$23,MATCH($C2969,基础资料!$E$4:$E$23,0)),IF($C2969="","","未匹配账户"))</f>
        <v/>
      </c>
      <c r="E2969" s="39"/>
      <c r="F2969" s="10"/>
      <c r="G2969" s="10"/>
      <c r="H2969" s="10"/>
      <c r="I2969" s="10"/>
      <c r="J2969" s="10"/>
      <c r="K2969" s="25"/>
      <c r="L2969" s="25"/>
      <c r="M2969" s="25" t="str">
        <f>IFERROR(VLOOKUP($C2969,$C$5:$M$24,11,0)+SUMIF($C$25:$C2969,$C2969,$K$25:$K2969)-SUMIF($C$25:$C2969,$C2969,$L$25:$L2969),"")</f>
        <v/>
      </c>
      <c r="N2969" s="10"/>
      <c r="O2969" s="10"/>
      <c r="P2969" s="65"/>
      <c r="Q2969" s="10"/>
      <c r="R2969" s="10"/>
      <c r="S2969" s="54" t="str">
        <f t="shared" si="144"/>
        <v/>
      </c>
      <c r="T2969" s="54" t="str">
        <f t="shared" si="145"/>
        <v/>
      </c>
      <c r="U2969" s="58" t="str">
        <f t="shared" si="146"/>
        <v/>
      </c>
      <c r="V2969" s="58">
        <f>IF(AND($B2969&lt;&gt;"",$F2969&lt;&gt;"",$F2969=项目明细账!$C$2),N(V2968)+1,N(V2968))</f>
        <v>0</v>
      </c>
      <c r="W2969" s="63" t="str">
        <f>IF($H2969&lt;&gt;"","项目成本",IFERROR(INDEX(基础资料!$W$4:$W$49,MATCH($I2969,基础资料!$V$4:$V$49,0)),""))</f>
        <v/>
      </c>
      <c r="X2969" s="63" t="str">
        <f>IFERROR(INDEX(基础资料!$R$4:$R$17,MATCH($G2969,基础资料!$Q$4:$Q$17,0)),"")</f>
        <v/>
      </c>
    </row>
    <row r="2970" spans="1:24">
      <c r="A2970" s="58" t="str">
        <f>IF($B2970="","",COUNTA($B$5:$B2970))</f>
        <v/>
      </c>
      <c r="B2970" s="53"/>
      <c r="C2970" s="46"/>
      <c r="D2970" s="63" t="str">
        <f>IFERROR(INDEX(基础资料!$F$4:$F$23,MATCH($C2970,基础资料!$E$4:$E$23,0)),IF($C2970="","","未匹配账户"))</f>
        <v/>
      </c>
      <c r="E2970" s="39"/>
      <c r="F2970" s="10"/>
      <c r="G2970" s="10"/>
      <c r="H2970" s="10"/>
      <c r="I2970" s="10"/>
      <c r="J2970" s="10"/>
      <c r="K2970" s="25"/>
      <c r="L2970" s="25"/>
      <c r="M2970" s="25" t="str">
        <f>IFERROR(VLOOKUP($C2970,$C$5:$M$24,11,0)+SUMIF($C$25:$C2970,$C2970,$K$25:$K2970)-SUMIF($C$25:$C2970,$C2970,$L$25:$L2970),"")</f>
        <v/>
      </c>
      <c r="N2970" s="10"/>
      <c r="O2970" s="10"/>
      <c r="P2970" s="65"/>
      <c r="Q2970" s="10"/>
      <c r="R2970" s="10"/>
      <c r="S2970" s="54" t="str">
        <f t="shared" si="144"/>
        <v/>
      </c>
      <c r="T2970" s="54" t="str">
        <f t="shared" si="145"/>
        <v/>
      </c>
      <c r="U2970" s="58" t="str">
        <f t="shared" si="146"/>
        <v/>
      </c>
      <c r="V2970" s="58">
        <f>IF(AND($B2970&lt;&gt;"",$F2970&lt;&gt;"",$F2970=项目明细账!$C$2),N(V2969)+1,N(V2969))</f>
        <v>0</v>
      </c>
      <c r="W2970" s="63" t="str">
        <f>IF($H2970&lt;&gt;"","项目成本",IFERROR(INDEX(基础资料!$W$4:$W$49,MATCH($I2970,基础资料!$V$4:$V$49,0)),""))</f>
        <v/>
      </c>
      <c r="X2970" s="63" t="str">
        <f>IFERROR(INDEX(基础资料!$R$4:$R$17,MATCH($G2970,基础资料!$Q$4:$Q$17,0)),"")</f>
        <v/>
      </c>
    </row>
    <row r="2971" spans="1:24">
      <c r="A2971" s="58" t="str">
        <f>IF($B2971="","",COUNTA($B$5:$B2971))</f>
        <v/>
      </c>
      <c r="B2971" s="53"/>
      <c r="C2971" s="46"/>
      <c r="D2971" s="63" t="str">
        <f>IFERROR(INDEX(基础资料!$F$4:$F$23,MATCH($C2971,基础资料!$E$4:$E$23,0)),IF($C2971="","","未匹配账户"))</f>
        <v/>
      </c>
      <c r="E2971" s="39"/>
      <c r="F2971" s="10"/>
      <c r="G2971" s="10"/>
      <c r="H2971" s="10"/>
      <c r="I2971" s="10"/>
      <c r="J2971" s="10"/>
      <c r="K2971" s="25"/>
      <c r="L2971" s="25"/>
      <c r="M2971" s="25" t="str">
        <f>IFERROR(VLOOKUP($C2971,$C$5:$M$24,11,0)+SUMIF($C$25:$C2971,$C2971,$K$25:$K2971)-SUMIF($C$25:$C2971,$C2971,$L$25:$L2971),"")</f>
        <v/>
      </c>
      <c r="N2971" s="10"/>
      <c r="O2971" s="10"/>
      <c r="P2971" s="65"/>
      <c r="Q2971" s="10"/>
      <c r="R2971" s="10"/>
      <c r="S2971" s="54" t="str">
        <f t="shared" si="144"/>
        <v/>
      </c>
      <c r="T2971" s="54" t="str">
        <f t="shared" si="145"/>
        <v/>
      </c>
      <c r="U2971" s="58" t="str">
        <f t="shared" si="146"/>
        <v/>
      </c>
      <c r="V2971" s="58">
        <f>IF(AND($B2971&lt;&gt;"",$F2971&lt;&gt;"",$F2971=项目明细账!$C$2),N(V2970)+1,N(V2970))</f>
        <v>0</v>
      </c>
      <c r="W2971" s="63" t="str">
        <f>IF($H2971&lt;&gt;"","项目成本",IFERROR(INDEX(基础资料!$W$4:$W$49,MATCH($I2971,基础资料!$V$4:$V$49,0)),""))</f>
        <v/>
      </c>
      <c r="X2971" s="63" t="str">
        <f>IFERROR(INDEX(基础资料!$R$4:$R$17,MATCH($G2971,基础资料!$Q$4:$Q$17,0)),"")</f>
        <v/>
      </c>
    </row>
    <row r="2972" spans="1:24">
      <c r="A2972" s="58" t="str">
        <f>IF($B2972="","",COUNTA($B$5:$B2972))</f>
        <v/>
      </c>
      <c r="B2972" s="53"/>
      <c r="C2972" s="46"/>
      <c r="D2972" s="63" t="str">
        <f>IFERROR(INDEX(基础资料!$F$4:$F$23,MATCH($C2972,基础资料!$E$4:$E$23,0)),IF($C2972="","","未匹配账户"))</f>
        <v/>
      </c>
      <c r="E2972" s="39"/>
      <c r="F2972" s="10"/>
      <c r="G2972" s="10"/>
      <c r="H2972" s="10"/>
      <c r="I2972" s="10"/>
      <c r="J2972" s="10"/>
      <c r="K2972" s="25"/>
      <c r="L2972" s="25"/>
      <c r="M2972" s="25" t="str">
        <f>IFERROR(VLOOKUP($C2972,$C$5:$M$24,11,0)+SUMIF($C$25:$C2972,$C2972,$K$25:$K2972)-SUMIF($C$25:$C2972,$C2972,$L$25:$L2972),"")</f>
        <v/>
      </c>
      <c r="N2972" s="10"/>
      <c r="O2972" s="10"/>
      <c r="P2972" s="65"/>
      <c r="Q2972" s="10"/>
      <c r="R2972" s="10"/>
      <c r="S2972" s="54" t="str">
        <f t="shared" si="144"/>
        <v/>
      </c>
      <c r="T2972" s="54" t="str">
        <f t="shared" si="145"/>
        <v/>
      </c>
      <c r="U2972" s="58" t="str">
        <f t="shared" si="146"/>
        <v/>
      </c>
      <c r="V2972" s="58">
        <f>IF(AND($B2972&lt;&gt;"",$F2972&lt;&gt;"",$F2972=项目明细账!$C$2),N(V2971)+1,N(V2971))</f>
        <v>0</v>
      </c>
      <c r="W2972" s="63" t="str">
        <f>IF($H2972&lt;&gt;"","项目成本",IFERROR(INDEX(基础资料!$W$4:$W$49,MATCH($I2972,基础资料!$V$4:$V$49,0)),""))</f>
        <v/>
      </c>
      <c r="X2972" s="63" t="str">
        <f>IFERROR(INDEX(基础资料!$R$4:$R$17,MATCH($G2972,基础资料!$Q$4:$Q$17,0)),"")</f>
        <v/>
      </c>
    </row>
    <row r="2973" spans="1:24">
      <c r="A2973" s="58" t="str">
        <f>IF($B2973="","",COUNTA($B$5:$B2973))</f>
        <v/>
      </c>
      <c r="B2973" s="53"/>
      <c r="C2973" s="46"/>
      <c r="D2973" s="63" t="str">
        <f>IFERROR(INDEX(基础资料!$F$4:$F$23,MATCH($C2973,基础资料!$E$4:$E$23,0)),IF($C2973="","","未匹配账户"))</f>
        <v/>
      </c>
      <c r="E2973" s="39"/>
      <c r="F2973" s="10"/>
      <c r="G2973" s="10"/>
      <c r="H2973" s="10"/>
      <c r="I2973" s="10"/>
      <c r="J2973" s="10"/>
      <c r="K2973" s="25"/>
      <c r="L2973" s="25"/>
      <c r="M2973" s="25" t="str">
        <f>IFERROR(VLOOKUP($C2973,$C$5:$M$24,11,0)+SUMIF($C$25:$C2973,$C2973,$K$25:$K2973)-SUMIF($C$25:$C2973,$C2973,$L$25:$L2973),"")</f>
        <v/>
      </c>
      <c r="N2973" s="10"/>
      <c r="O2973" s="10"/>
      <c r="P2973" s="65"/>
      <c r="Q2973" s="10"/>
      <c r="R2973" s="10"/>
      <c r="S2973" s="54" t="str">
        <f t="shared" si="144"/>
        <v/>
      </c>
      <c r="T2973" s="54" t="str">
        <f t="shared" si="145"/>
        <v/>
      </c>
      <c r="U2973" s="58" t="str">
        <f t="shared" si="146"/>
        <v/>
      </c>
      <c r="V2973" s="58">
        <f>IF(AND($B2973&lt;&gt;"",$F2973&lt;&gt;"",$F2973=项目明细账!$C$2),N(V2972)+1,N(V2972))</f>
        <v>0</v>
      </c>
      <c r="W2973" s="63" t="str">
        <f>IF($H2973&lt;&gt;"","项目成本",IFERROR(INDEX(基础资料!$W$4:$W$49,MATCH($I2973,基础资料!$V$4:$V$49,0)),""))</f>
        <v/>
      </c>
      <c r="X2973" s="63" t="str">
        <f>IFERROR(INDEX(基础资料!$R$4:$R$17,MATCH($G2973,基础资料!$Q$4:$Q$17,0)),"")</f>
        <v/>
      </c>
    </row>
    <row r="2974" spans="1:24">
      <c r="A2974" s="58" t="str">
        <f>IF($B2974="","",COUNTA($B$5:$B2974))</f>
        <v/>
      </c>
      <c r="B2974" s="53"/>
      <c r="C2974" s="46"/>
      <c r="D2974" s="63" t="str">
        <f>IFERROR(INDEX(基础资料!$F$4:$F$23,MATCH($C2974,基础资料!$E$4:$E$23,0)),IF($C2974="","","未匹配账户"))</f>
        <v/>
      </c>
      <c r="E2974" s="39"/>
      <c r="F2974" s="10"/>
      <c r="G2974" s="10"/>
      <c r="H2974" s="10"/>
      <c r="I2974" s="10"/>
      <c r="J2974" s="10"/>
      <c r="K2974" s="25"/>
      <c r="L2974" s="25"/>
      <c r="M2974" s="25" t="str">
        <f>IFERROR(VLOOKUP($C2974,$C$5:$M$24,11,0)+SUMIF($C$25:$C2974,$C2974,$K$25:$K2974)-SUMIF($C$25:$C2974,$C2974,$L$25:$L2974),"")</f>
        <v/>
      </c>
      <c r="N2974" s="10"/>
      <c r="O2974" s="10"/>
      <c r="P2974" s="65"/>
      <c r="Q2974" s="10"/>
      <c r="R2974" s="10"/>
      <c r="S2974" s="54" t="str">
        <f t="shared" si="144"/>
        <v/>
      </c>
      <c r="T2974" s="54" t="str">
        <f t="shared" si="145"/>
        <v/>
      </c>
      <c r="U2974" s="58" t="str">
        <f t="shared" si="146"/>
        <v/>
      </c>
      <c r="V2974" s="58">
        <f>IF(AND($B2974&lt;&gt;"",$F2974&lt;&gt;"",$F2974=项目明细账!$C$2),N(V2973)+1,N(V2973))</f>
        <v>0</v>
      </c>
      <c r="W2974" s="63" t="str">
        <f>IF($H2974&lt;&gt;"","项目成本",IFERROR(INDEX(基础资料!$W$4:$W$49,MATCH($I2974,基础资料!$V$4:$V$49,0)),""))</f>
        <v/>
      </c>
      <c r="X2974" s="63" t="str">
        <f>IFERROR(INDEX(基础资料!$R$4:$R$17,MATCH($G2974,基础资料!$Q$4:$Q$17,0)),"")</f>
        <v/>
      </c>
    </row>
    <row r="2975" spans="1:24">
      <c r="A2975" s="58" t="str">
        <f>IF($B2975="","",COUNTA($B$5:$B2975))</f>
        <v/>
      </c>
      <c r="B2975" s="53"/>
      <c r="C2975" s="46"/>
      <c r="D2975" s="63" t="str">
        <f>IFERROR(INDEX(基础资料!$F$4:$F$23,MATCH($C2975,基础资料!$E$4:$E$23,0)),IF($C2975="","","未匹配账户"))</f>
        <v/>
      </c>
      <c r="E2975" s="39"/>
      <c r="F2975" s="10"/>
      <c r="G2975" s="10"/>
      <c r="H2975" s="10"/>
      <c r="I2975" s="10"/>
      <c r="J2975" s="10"/>
      <c r="K2975" s="25"/>
      <c r="L2975" s="25"/>
      <c r="M2975" s="25" t="str">
        <f>IFERROR(VLOOKUP($C2975,$C$5:$M$24,11,0)+SUMIF($C$25:$C2975,$C2975,$K$25:$K2975)-SUMIF($C$25:$C2975,$C2975,$L$25:$L2975),"")</f>
        <v/>
      </c>
      <c r="N2975" s="10"/>
      <c r="O2975" s="10"/>
      <c r="P2975" s="65"/>
      <c r="Q2975" s="10"/>
      <c r="R2975" s="10"/>
      <c r="S2975" s="54" t="str">
        <f t="shared" si="144"/>
        <v/>
      </c>
      <c r="T2975" s="54" t="str">
        <f t="shared" si="145"/>
        <v/>
      </c>
      <c r="U2975" s="58" t="str">
        <f t="shared" si="146"/>
        <v/>
      </c>
      <c r="V2975" s="58">
        <f>IF(AND($B2975&lt;&gt;"",$F2975&lt;&gt;"",$F2975=项目明细账!$C$2),N(V2974)+1,N(V2974))</f>
        <v>0</v>
      </c>
      <c r="W2975" s="63" t="str">
        <f>IF($H2975&lt;&gt;"","项目成本",IFERROR(INDEX(基础资料!$W$4:$W$49,MATCH($I2975,基础资料!$V$4:$V$49,0)),""))</f>
        <v/>
      </c>
      <c r="X2975" s="63" t="str">
        <f>IFERROR(INDEX(基础资料!$R$4:$R$17,MATCH($G2975,基础资料!$Q$4:$Q$17,0)),"")</f>
        <v/>
      </c>
    </row>
    <row r="2976" spans="1:24">
      <c r="A2976" s="58" t="str">
        <f>IF($B2976="","",COUNTA($B$5:$B2976))</f>
        <v/>
      </c>
      <c r="B2976" s="53"/>
      <c r="C2976" s="46"/>
      <c r="D2976" s="63" t="str">
        <f>IFERROR(INDEX(基础资料!$F$4:$F$23,MATCH($C2976,基础资料!$E$4:$E$23,0)),IF($C2976="","","未匹配账户"))</f>
        <v/>
      </c>
      <c r="E2976" s="39"/>
      <c r="F2976" s="10"/>
      <c r="G2976" s="10"/>
      <c r="H2976" s="10"/>
      <c r="I2976" s="10"/>
      <c r="J2976" s="10"/>
      <c r="K2976" s="25"/>
      <c r="L2976" s="25"/>
      <c r="M2976" s="25" t="str">
        <f>IFERROR(VLOOKUP($C2976,$C$5:$M$24,11,0)+SUMIF($C$25:$C2976,$C2976,$K$25:$K2976)-SUMIF($C$25:$C2976,$C2976,$L$25:$L2976),"")</f>
        <v/>
      </c>
      <c r="N2976" s="10"/>
      <c r="O2976" s="10"/>
      <c r="P2976" s="65"/>
      <c r="Q2976" s="10"/>
      <c r="R2976" s="10"/>
      <c r="S2976" s="54" t="str">
        <f t="shared" si="144"/>
        <v/>
      </c>
      <c r="T2976" s="54" t="str">
        <f t="shared" si="145"/>
        <v/>
      </c>
      <c r="U2976" s="58" t="str">
        <f t="shared" si="146"/>
        <v/>
      </c>
      <c r="V2976" s="58">
        <f>IF(AND($B2976&lt;&gt;"",$F2976&lt;&gt;"",$F2976=项目明细账!$C$2),N(V2975)+1,N(V2975))</f>
        <v>0</v>
      </c>
      <c r="W2976" s="63" t="str">
        <f>IF($H2976&lt;&gt;"","项目成本",IFERROR(INDEX(基础资料!$W$4:$W$49,MATCH($I2976,基础资料!$V$4:$V$49,0)),""))</f>
        <v/>
      </c>
      <c r="X2976" s="63" t="str">
        <f>IFERROR(INDEX(基础资料!$R$4:$R$17,MATCH($G2976,基础资料!$Q$4:$Q$17,0)),"")</f>
        <v/>
      </c>
    </row>
    <row r="2977" spans="1:24">
      <c r="A2977" s="58" t="str">
        <f>IF($B2977="","",COUNTA($B$5:$B2977))</f>
        <v/>
      </c>
      <c r="B2977" s="53"/>
      <c r="C2977" s="46"/>
      <c r="D2977" s="63" t="str">
        <f>IFERROR(INDEX(基础资料!$F$4:$F$23,MATCH($C2977,基础资料!$E$4:$E$23,0)),IF($C2977="","","未匹配账户"))</f>
        <v/>
      </c>
      <c r="E2977" s="39"/>
      <c r="F2977" s="10"/>
      <c r="G2977" s="10"/>
      <c r="H2977" s="10"/>
      <c r="I2977" s="10"/>
      <c r="J2977" s="10"/>
      <c r="K2977" s="25"/>
      <c r="L2977" s="25"/>
      <c r="M2977" s="25" t="str">
        <f>IFERROR(VLOOKUP($C2977,$C$5:$M$24,11,0)+SUMIF($C$25:$C2977,$C2977,$K$25:$K2977)-SUMIF($C$25:$C2977,$C2977,$L$25:$L2977),"")</f>
        <v/>
      </c>
      <c r="N2977" s="10"/>
      <c r="O2977" s="10"/>
      <c r="P2977" s="65"/>
      <c r="Q2977" s="10"/>
      <c r="R2977" s="10"/>
      <c r="S2977" s="54" t="str">
        <f t="shared" si="144"/>
        <v/>
      </c>
      <c r="T2977" s="54" t="str">
        <f t="shared" si="145"/>
        <v/>
      </c>
      <c r="U2977" s="58" t="str">
        <f t="shared" si="146"/>
        <v/>
      </c>
      <c r="V2977" s="58">
        <f>IF(AND($B2977&lt;&gt;"",$F2977&lt;&gt;"",$F2977=项目明细账!$C$2),N(V2976)+1,N(V2976))</f>
        <v>0</v>
      </c>
      <c r="W2977" s="63" t="str">
        <f>IF($H2977&lt;&gt;"","项目成本",IFERROR(INDEX(基础资料!$W$4:$W$49,MATCH($I2977,基础资料!$V$4:$V$49,0)),""))</f>
        <v/>
      </c>
      <c r="X2977" s="63" t="str">
        <f>IFERROR(INDEX(基础资料!$R$4:$R$17,MATCH($G2977,基础资料!$Q$4:$Q$17,0)),"")</f>
        <v/>
      </c>
    </row>
    <row r="2978" spans="1:24">
      <c r="A2978" s="58" t="str">
        <f>IF($B2978="","",COUNTA($B$5:$B2978))</f>
        <v/>
      </c>
      <c r="B2978" s="53"/>
      <c r="C2978" s="46"/>
      <c r="D2978" s="63" t="str">
        <f>IFERROR(INDEX(基础资料!$F$4:$F$23,MATCH($C2978,基础资料!$E$4:$E$23,0)),IF($C2978="","","未匹配账户"))</f>
        <v/>
      </c>
      <c r="E2978" s="39"/>
      <c r="F2978" s="10"/>
      <c r="G2978" s="10"/>
      <c r="H2978" s="10"/>
      <c r="I2978" s="10"/>
      <c r="J2978" s="10"/>
      <c r="K2978" s="25"/>
      <c r="L2978" s="25"/>
      <c r="M2978" s="25" t="str">
        <f>IFERROR(VLOOKUP($C2978,$C$5:$M$24,11,0)+SUMIF($C$25:$C2978,$C2978,$K$25:$K2978)-SUMIF($C$25:$C2978,$C2978,$L$25:$L2978),"")</f>
        <v/>
      </c>
      <c r="N2978" s="10"/>
      <c r="O2978" s="10"/>
      <c r="P2978" s="65"/>
      <c r="Q2978" s="10"/>
      <c r="R2978" s="10"/>
      <c r="S2978" s="54" t="str">
        <f t="shared" si="144"/>
        <v/>
      </c>
      <c r="T2978" s="54" t="str">
        <f t="shared" si="145"/>
        <v/>
      </c>
      <c r="U2978" s="58" t="str">
        <f t="shared" si="146"/>
        <v/>
      </c>
      <c r="V2978" s="58">
        <f>IF(AND($B2978&lt;&gt;"",$F2978&lt;&gt;"",$F2978=项目明细账!$C$2),N(V2977)+1,N(V2977))</f>
        <v>0</v>
      </c>
      <c r="W2978" s="63" t="str">
        <f>IF($H2978&lt;&gt;"","项目成本",IFERROR(INDEX(基础资料!$W$4:$W$49,MATCH($I2978,基础资料!$V$4:$V$49,0)),""))</f>
        <v/>
      </c>
      <c r="X2978" s="63" t="str">
        <f>IFERROR(INDEX(基础资料!$R$4:$R$17,MATCH($G2978,基础资料!$Q$4:$Q$17,0)),"")</f>
        <v/>
      </c>
    </row>
    <row r="2979" spans="1:24">
      <c r="A2979" s="58" t="str">
        <f>IF($B2979="","",COUNTA($B$5:$B2979))</f>
        <v/>
      </c>
      <c r="B2979" s="53"/>
      <c r="C2979" s="46"/>
      <c r="D2979" s="63" t="str">
        <f>IFERROR(INDEX(基础资料!$F$4:$F$23,MATCH($C2979,基础资料!$E$4:$E$23,0)),IF($C2979="","","未匹配账户"))</f>
        <v/>
      </c>
      <c r="E2979" s="39"/>
      <c r="F2979" s="10"/>
      <c r="G2979" s="10"/>
      <c r="H2979" s="10"/>
      <c r="I2979" s="10"/>
      <c r="J2979" s="10"/>
      <c r="K2979" s="25"/>
      <c r="L2979" s="25"/>
      <c r="M2979" s="25" t="str">
        <f>IFERROR(VLOOKUP($C2979,$C$5:$M$24,11,0)+SUMIF($C$25:$C2979,$C2979,$K$25:$K2979)-SUMIF($C$25:$C2979,$C2979,$L$25:$L2979),"")</f>
        <v/>
      </c>
      <c r="N2979" s="10"/>
      <c r="O2979" s="10"/>
      <c r="P2979" s="65"/>
      <c r="Q2979" s="10"/>
      <c r="R2979" s="10"/>
      <c r="S2979" s="54" t="str">
        <f t="shared" si="144"/>
        <v/>
      </c>
      <c r="T2979" s="54" t="str">
        <f t="shared" si="145"/>
        <v/>
      </c>
      <c r="U2979" s="58" t="str">
        <f t="shared" si="146"/>
        <v/>
      </c>
      <c r="V2979" s="58">
        <f>IF(AND($B2979&lt;&gt;"",$F2979&lt;&gt;"",$F2979=项目明细账!$C$2),N(V2978)+1,N(V2978))</f>
        <v>0</v>
      </c>
      <c r="W2979" s="63" t="str">
        <f>IF($H2979&lt;&gt;"","项目成本",IFERROR(INDEX(基础资料!$W$4:$W$49,MATCH($I2979,基础资料!$V$4:$V$49,0)),""))</f>
        <v/>
      </c>
      <c r="X2979" s="63" t="str">
        <f>IFERROR(INDEX(基础资料!$R$4:$R$17,MATCH($G2979,基础资料!$Q$4:$Q$17,0)),"")</f>
        <v/>
      </c>
    </row>
    <row r="2980" spans="1:24">
      <c r="A2980" s="58" t="str">
        <f>IF($B2980="","",COUNTA($B$5:$B2980))</f>
        <v/>
      </c>
      <c r="B2980" s="53"/>
      <c r="C2980" s="46"/>
      <c r="D2980" s="63" t="str">
        <f>IFERROR(INDEX(基础资料!$F$4:$F$23,MATCH($C2980,基础资料!$E$4:$E$23,0)),IF($C2980="","","未匹配账户"))</f>
        <v/>
      </c>
      <c r="E2980" s="39"/>
      <c r="F2980" s="10"/>
      <c r="G2980" s="10"/>
      <c r="H2980" s="10"/>
      <c r="I2980" s="10"/>
      <c r="J2980" s="10"/>
      <c r="K2980" s="25"/>
      <c r="L2980" s="25"/>
      <c r="M2980" s="25" t="str">
        <f>IFERROR(VLOOKUP($C2980,$C$5:$M$24,11,0)+SUMIF($C$25:$C2980,$C2980,$K$25:$K2980)-SUMIF($C$25:$C2980,$C2980,$L$25:$L2980),"")</f>
        <v/>
      </c>
      <c r="N2980" s="10"/>
      <c r="O2980" s="10"/>
      <c r="P2980" s="65"/>
      <c r="Q2980" s="10"/>
      <c r="R2980" s="10"/>
      <c r="S2980" s="54" t="str">
        <f t="shared" si="144"/>
        <v/>
      </c>
      <c r="T2980" s="54" t="str">
        <f t="shared" si="145"/>
        <v/>
      </c>
      <c r="U2980" s="58" t="str">
        <f t="shared" si="146"/>
        <v/>
      </c>
      <c r="V2980" s="58">
        <f>IF(AND($B2980&lt;&gt;"",$F2980&lt;&gt;"",$F2980=项目明细账!$C$2),N(V2979)+1,N(V2979))</f>
        <v>0</v>
      </c>
      <c r="W2980" s="63" t="str">
        <f>IF($H2980&lt;&gt;"","项目成本",IFERROR(INDEX(基础资料!$W$4:$W$49,MATCH($I2980,基础资料!$V$4:$V$49,0)),""))</f>
        <v/>
      </c>
      <c r="X2980" s="63" t="str">
        <f>IFERROR(INDEX(基础资料!$R$4:$R$17,MATCH($G2980,基础资料!$Q$4:$Q$17,0)),"")</f>
        <v/>
      </c>
    </row>
    <row r="2981" spans="1:24">
      <c r="A2981" s="58" t="str">
        <f>IF($B2981="","",COUNTA($B$5:$B2981))</f>
        <v/>
      </c>
      <c r="B2981" s="53"/>
      <c r="C2981" s="46"/>
      <c r="D2981" s="63" t="str">
        <f>IFERROR(INDEX(基础资料!$F$4:$F$23,MATCH($C2981,基础资料!$E$4:$E$23,0)),IF($C2981="","","未匹配账户"))</f>
        <v/>
      </c>
      <c r="E2981" s="39"/>
      <c r="F2981" s="10"/>
      <c r="G2981" s="10"/>
      <c r="H2981" s="10"/>
      <c r="I2981" s="10"/>
      <c r="J2981" s="10"/>
      <c r="K2981" s="25"/>
      <c r="L2981" s="25"/>
      <c r="M2981" s="25" t="str">
        <f>IFERROR(VLOOKUP($C2981,$C$5:$M$24,11,0)+SUMIF($C$25:$C2981,$C2981,$K$25:$K2981)-SUMIF($C$25:$C2981,$C2981,$L$25:$L2981),"")</f>
        <v/>
      </c>
      <c r="N2981" s="10"/>
      <c r="O2981" s="10"/>
      <c r="P2981" s="65"/>
      <c r="Q2981" s="10"/>
      <c r="R2981" s="10"/>
      <c r="S2981" s="54" t="str">
        <f t="shared" si="144"/>
        <v/>
      </c>
      <c r="T2981" s="54" t="str">
        <f t="shared" si="145"/>
        <v/>
      </c>
      <c r="U2981" s="58" t="str">
        <f t="shared" si="146"/>
        <v/>
      </c>
      <c r="V2981" s="58">
        <f>IF(AND($B2981&lt;&gt;"",$F2981&lt;&gt;"",$F2981=项目明细账!$C$2),N(V2980)+1,N(V2980))</f>
        <v>0</v>
      </c>
      <c r="W2981" s="63" t="str">
        <f>IF($H2981&lt;&gt;"","项目成本",IFERROR(INDEX(基础资料!$W$4:$W$49,MATCH($I2981,基础资料!$V$4:$V$49,0)),""))</f>
        <v/>
      </c>
      <c r="X2981" s="63" t="str">
        <f>IFERROR(INDEX(基础资料!$R$4:$R$17,MATCH($G2981,基础资料!$Q$4:$Q$17,0)),"")</f>
        <v/>
      </c>
    </row>
    <row r="2982" spans="1:24">
      <c r="A2982" s="58" t="str">
        <f>IF($B2982="","",COUNTA($B$5:$B2982))</f>
        <v/>
      </c>
      <c r="B2982" s="53"/>
      <c r="C2982" s="46"/>
      <c r="D2982" s="63" t="str">
        <f>IFERROR(INDEX(基础资料!$F$4:$F$23,MATCH($C2982,基础资料!$E$4:$E$23,0)),IF($C2982="","","未匹配账户"))</f>
        <v/>
      </c>
      <c r="E2982" s="39"/>
      <c r="F2982" s="10"/>
      <c r="G2982" s="10"/>
      <c r="H2982" s="10"/>
      <c r="I2982" s="10"/>
      <c r="J2982" s="10"/>
      <c r="K2982" s="25"/>
      <c r="L2982" s="25"/>
      <c r="M2982" s="25" t="str">
        <f>IFERROR(VLOOKUP($C2982,$C$5:$M$24,11,0)+SUMIF($C$25:$C2982,$C2982,$K$25:$K2982)-SUMIF($C$25:$C2982,$C2982,$L$25:$L2982),"")</f>
        <v/>
      </c>
      <c r="N2982" s="10"/>
      <c r="O2982" s="10"/>
      <c r="P2982" s="65"/>
      <c r="Q2982" s="10"/>
      <c r="R2982" s="10"/>
      <c r="S2982" s="54" t="str">
        <f t="shared" si="144"/>
        <v/>
      </c>
      <c r="T2982" s="54" t="str">
        <f t="shared" si="145"/>
        <v/>
      </c>
      <c r="U2982" s="58" t="str">
        <f t="shared" si="146"/>
        <v/>
      </c>
      <c r="V2982" s="58">
        <f>IF(AND($B2982&lt;&gt;"",$F2982&lt;&gt;"",$F2982=项目明细账!$C$2),N(V2981)+1,N(V2981))</f>
        <v>0</v>
      </c>
      <c r="W2982" s="63" t="str">
        <f>IF($H2982&lt;&gt;"","项目成本",IFERROR(INDEX(基础资料!$W$4:$W$49,MATCH($I2982,基础资料!$V$4:$V$49,0)),""))</f>
        <v/>
      </c>
      <c r="X2982" s="63" t="str">
        <f>IFERROR(INDEX(基础资料!$R$4:$R$17,MATCH($G2982,基础资料!$Q$4:$Q$17,0)),"")</f>
        <v/>
      </c>
    </row>
    <row r="2983" spans="1:24">
      <c r="A2983" s="58" t="str">
        <f>IF($B2983="","",COUNTA($B$5:$B2983))</f>
        <v/>
      </c>
      <c r="B2983" s="53"/>
      <c r="C2983" s="46"/>
      <c r="D2983" s="63" t="str">
        <f>IFERROR(INDEX(基础资料!$F$4:$F$23,MATCH($C2983,基础资料!$E$4:$E$23,0)),IF($C2983="","","未匹配账户"))</f>
        <v/>
      </c>
      <c r="E2983" s="39"/>
      <c r="F2983" s="10"/>
      <c r="G2983" s="10"/>
      <c r="H2983" s="10"/>
      <c r="I2983" s="10"/>
      <c r="J2983" s="10"/>
      <c r="K2983" s="25"/>
      <c r="L2983" s="25"/>
      <c r="M2983" s="25" t="str">
        <f>IFERROR(VLOOKUP($C2983,$C$5:$M$24,11,0)+SUMIF($C$25:$C2983,$C2983,$K$25:$K2983)-SUMIF($C$25:$C2983,$C2983,$L$25:$L2983),"")</f>
        <v/>
      </c>
      <c r="N2983" s="10"/>
      <c r="O2983" s="10"/>
      <c r="P2983" s="65"/>
      <c r="Q2983" s="10"/>
      <c r="R2983" s="10"/>
      <c r="S2983" s="54" t="str">
        <f t="shared" si="144"/>
        <v/>
      </c>
      <c r="T2983" s="54" t="str">
        <f t="shared" si="145"/>
        <v/>
      </c>
      <c r="U2983" s="58" t="str">
        <f t="shared" si="146"/>
        <v/>
      </c>
      <c r="V2983" s="58">
        <f>IF(AND($B2983&lt;&gt;"",$F2983&lt;&gt;"",$F2983=项目明细账!$C$2),N(V2982)+1,N(V2982))</f>
        <v>0</v>
      </c>
      <c r="W2983" s="63" t="str">
        <f>IF($H2983&lt;&gt;"","项目成本",IFERROR(INDEX(基础资料!$W$4:$W$49,MATCH($I2983,基础资料!$V$4:$V$49,0)),""))</f>
        <v/>
      </c>
      <c r="X2983" s="63" t="str">
        <f>IFERROR(INDEX(基础资料!$R$4:$R$17,MATCH($G2983,基础资料!$Q$4:$Q$17,0)),"")</f>
        <v/>
      </c>
    </row>
    <row r="2984" spans="1:24">
      <c r="A2984" s="58" t="str">
        <f>IF($B2984="","",COUNTA($B$5:$B2984))</f>
        <v/>
      </c>
      <c r="B2984" s="53"/>
      <c r="C2984" s="46"/>
      <c r="D2984" s="63" t="str">
        <f>IFERROR(INDEX(基础资料!$F$4:$F$23,MATCH($C2984,基础资料!$E$4:$E$23,0)),IF($C2984="","","未匹配账户"))</f>
        <v/>
      </c>
      <c r="E2984" s="39"/>
      <c r="F2984" s="10"/>
      <c r="G2984" s="10"/>
      <c r="H2984" s="10"/>
      <c r="I2984" s="10"/>
      <c r="J2984" s="10"/>
      <c r="K2984" s="25"/>
      <c r="L2984" s="25"/>
      <c r="M2984" s="25" t="str">
        <f>IFERROR(VLOOKUP($C2984,$C$5:$M$24,11,0)+SUMIF($C$25:$C2984,$C2984,$K$25:$K2984)-SUMIF($C$25:$C2984,$C2984,$L$25:$L2984),"")</f>
        <v/>
      </c>
      <c r="N2984" s="10"/>
      <c r="O2984" s="10"/>
      <c r="P2984" s="65"/>
      <c r="Q2984" s="10"/>
      <c r="R2984" s="10"/>
      <c r="S2984" s="54" t="str">
        <f t="shared" si="144"/>
        <v/>
      </c>
      <c r="T2984" s="54" t="str">
        <f t="shared" si="145"/>
        <v/>
      </c>
      <c r="U2984" s="58" t="str">
        <f t="shared" si="146"/>
        <v/>
      </c>
      <c r="V2984" s="58">
        <f>IF(AND($B2984&lt;&gt;"",$F2984&lt;&gt;"",$F2984=项目明细账!$C$2),N(V2983)+1,N(V2983))</f>
        <v>0</v>
      </c>
      <c r="W2984" s="63" t="str">
        <f>IF($H2984&lt;&gt;"","项目成本",IFERROR(INDEX(基础资料!$W$4:$W$49,MATCH($I2984,基础资料!$V$4:$V$49,0)),""))</f>
        <v/>
      </c>
      <c r="X2984" s="63" t="str">
        <f>IFERROR(INDEX(基础资料!$R$4:$R$17,MATCH($G2984,基础资料!$Q$4:$Q$17,0)),"")</f>
        <v/>
      </c>
    </row>
    <row r="2985" spans="1:24">
      <c r="A2985" s="58" t="str">
        <f>IF($B2985="","",COUNTA($B$5:$B2985))</f>
        <v/>
      </c>
      <c r="B2985" s="53"/>
      <c r="C2985" s="46"/>
      <c r="D2985" s="63" t="str">
        <f>IFERROR(INDEX(基础资料!$F$4:$F$23,MATCH($C2985,基础资料!$E$4:$E$23,0)),IF($C2985="","","未匹配账户"))</f>
        <v/>
      </c>
      <c r="E2985" s="39"/>
      <c r="F2985" s="10"/>
      <c r="G2985" s="10"/>
      <c r="H2985" s="10"/>
      <c r="I2985" s="10"/>
      <c r="J2985" s="10"/>
      <c r="K2985" s="25"/>
      <c r="L2985" s="25"/>
      <c r="M2985" s="25" t="str">
        <f>IFERROR(VLOOKUP($C2985,$C$5:$M$24,11,0)+SUMIF($C$25:$C2985,$C2985,$K$25:$K2985)-SUMIF($C$25:$C2985,$C2985,$L$25:$L2985),"")</f>
        <v/>
      </c>
      <c r="N2985" s="10"/>
      <c r="O2985" s="10"/>
      <c r="P2985" s="65"/>
      <c r="Q2985" s="10"/>
      <c r="R2985" s="10"/>
      <c r="S2985" s="54" t="str">
        <f t="shared" si="144"/>
        <v/>
      </c>
      <c r="T2985" s="54" t="str">
        <f t="shared" si="145"/>
        <v/>
      </c>
      <c r="U2985" s="58" t="str">
        <f t="shared" si="146"/>
        <v/>
      </c>
      <c r="V2985" s="58">
        <f>IF(AND($B2985&lt;&gt;"",$F2985&lt;&gt;"",$F2985=项目明细账!$C$2),N(V2984)+1,N(V2984))</f>
        <v>0</v>
      </c>
      <c r="W2985" s="63" t="str">
        <f>IF($H2985&lt;&gt;"","项目成本",IFERROR(INDEX(基础资料!$W$4:$W$49,MATCH($I2985,基础资料!$V$4:$V$49,0)),""))</f>
        <v/>
      </c>
      <c r="X2985" s="63" t="str">
        <f>IFERROR(INDEX(基础资料!$R$4:$R$17,MATCH($G2985,基础资料!$Q$4:$Q$17,0)),"")</f>
        <v/>
      </c>
    </row>
    <row r="2986" spans="1:24">
      <c r="A2986" s="58" t="str">
        <f>IF($B2986="","",COUNTA($B$5:$B2986))</f>
        <v/>
      </c>
      <c r="B2986" s="53"/>
      <c r="C2986" s="46"/>
      <c r="D2986" s="63" t="str">
        <f>IFERROR(INDEX(基础资料!$F$4:$F$23,MATCH($C2986,基础资料!$E$4:$E$23,0)),IF($C2986="","","未匹配账户"))</f>
        <v/>
      </c>
      <c r="E2986" s="39"/>
      <c r="F2986" s="10"/>
      <c r="G2986" s="10"/>
      <c r="H2986" s="10"/>
      <c r="I2986" s="10"/>
      <c r="J2986" s="10"/>
      <c r="K2986" s="25"/>
      <c r="L2986" s="25"/>
      <c r="M2986" s="25" t="str">
        <f>IFERROR(VLOOKUP($C2986,$C$5:$M$24,11,0)+SUMIF($C$25:$C2986,$C2986,$K$25:$K2986)-SUMIF($C$25:$C2986,$C2986,$L$25:$L2986),"")</f>
        <v/>
      </c>
      <c r="N2986" s="10"/>
      <c r="O2986" s="10"/>
      <c r="P2986" s="65"/>
      <c r="Q2986" s="10"/>
      <c r="R2986" s="10"/>
      <c r="S2986" s="54" t="str">
        <f t="shared" si="144"/>
        <v/>
      </c>
      <c r="T2986" s="54" t="str">
        <f t="shared" si="145"/>
        <v/>
      </c>
      <c r="U2986" s="58" t="str">
        <f t="shared" si="146"/>
        <v/>
      </c>
      <c r="V2986" s="58">
        <f>IF(AND($B2986&lt;&gt;"",$F2986&lt;&gt;"",$F2986=项目明细账!$C$2),N(V2985)+1,N(V2985))</f>
        <v>0</v>
      </c>
      <c r="W2986" s="63" t="str">
        <f>IF($H2986&lt;&gt;"","项目成本",IFERROR(INDEX(基础资料!$W$4:$W$49,MATCH($I2986,基础资料!$V$4:$V$49,0)),""))</f>
        <v/>
      </c>
      <c r="X2986" s="63" t="str">
        <f>IFERROR(INDEX(基础资料!$R$4:$R$17,MATCH($G2986,基础资料!$Q$4:$Q$17,0)),"")</f>
        <v/>
      </c>
    </row>
    <row r="2987" spans="1:24">
      <c r="A2987" s="58" t="str">
        <f>IF($B2987="","",COUNTA($B$5:$B2987))</f>
        <v/>
      </c>
      <c r="B2987" s="53"/>
      <c r="C2987" s="46"/>
      <c r="D2987" s="63" t="str">
        <f>IFERROR(INDEX(基础资料!$F$4:$F$23,MATCH($C2987,基础资料!$E$4:$E$23,0)),IF($C2987="","","未匹配账户"))</f>
        <v/>
      </c>
      <c r="E2987" s="39"/>
      <c r="F2987" s="10"/>
      <c r="G2987" s="10"/>
      <c r="H2987" s="10"/>
      <c r="I2987" s="10"/>
      <c r="J2987" s="10"/>
      <c r="K2987" s="25"/>
      <c r="L2987" s="25"/>
      <c r="M2987" s="25" t="str">
        <f>IFERROR(VLOOKUP($C2987,$C$5:$M$24,11,0)+SUMIF($C$25:$C2987,$C2987,$K$25:$K2987)-SUMIF($C$25:$C2987,$C2987,$L$25:$L2987),"")</f>
        <v/>
      </c>
      <c r="N2987" s="10"/>
      <c r="O2987" s="10"/>
      <c r="P2987" s="65"/>
      <c r="Q2987" s="10"/>
      <c r="R2987" s="10"/>
      <c r="S2987" s="54" t="str">
        <f t="shared" si="144"/>
        <v/>
      </c>
      <c r="T2987" s="54" t="str">
        <f t="shared" si="145"/>
        <v/>
      </c>
      <c r="U2987" s="58" t="str">
        <f t="shared" si="146"/>
        <v/>
      </c>
      <c r="V2987" s="58">
        <f>IF(AND($B2987&lt;&gt;"",$F2987&lt;&gt;"",$F2987=项目明细账!$C$2),N(V2986)+1,N(V2986))</f>
        <v>0</v>
      </c>
      <c r="W2987" s="63" t="str">
        <f>IF($H2987&lt;&gt;"","项目成本",IFERROR(INDEX(基础资料!$W$4:$W$49,MATCH($I2987,基础资料!$V$4:$V$49,0)),""))</f>
        <v/>
      </c>
      <c r="X2987" s="63" t="str">
        <f>IFERROR(INDEX(基础资料!$R$4:$R$17,MATCH($G2987,基础资料!$Q$4:$Q$17,0)),"")</f>
        <v/>
      </c>
    </row>
    <row r="2988" spans="1:24">
      <c r="A2988" s="58" t="str">
        <f>IF($B2988="","",COUNTA($B$5:$B2988))</f>
        <v/>
      </c>
      <c r="B2988" s="53"/>
      <c r="C2988" s="46"/>
      <c r="D2988" s="63" t="str">
        <f>IFERROR(INDEX(基础资料!$F$4:$F$23,MATCH($C2988,基础资料!$E$4:$E$23,0)),IF($C2988="","","未匹配账户"))</f>
        <v/>
      </c>
      <c r="E2988" s="39"/>
      <c r="F2988" s="10"/>
      <c r="G2988" s="10"/>
      <c r="H2988" s="10"/>
      <c r="I2988" s="10"/>
      <c r="J2988" s="10"/>
      <c r="K2988" s="25"/>
      <c r="L2988" s="25"/>
      <c r="M2988" s="25" t="str">
        <f>IFERROR(VLOOKUP($C2988,$C$5:$M$24,11,0)+SUMIF($C$25:$C2988,$C2988,$K$25:$K2988)-SUMIF($C$25:$C2988,$C2988,$L$25:$L2988),"")</f>
        <v/>
      </c>
      <c r="N2988" s="10"/>
      <c r="O2988" s="10"/>
      <c r="P2988" s="65"/>
      <c r="Q2988" s="10"/>
      <c r="R2988" s="10"/>
      <c r="S2988" s="54" t="str">
        <f t="shared" si="144"/>
        <v/>
      </c>
      <c r="T2988" s="54" t="str">
        <f t="shared" si="145"/>
        <v/>
      </c>
      <c r="U2988" s="58" t="str">
        <f t="shared" si="146"/>
        <v/>
      </c>
      <c r="V2988" s="58">
        <f>IF(AND($B2988&lt;&gt;"",$F2988&lt;&gt;"",$F2988=项目明细账!$C$2),N(V2987)+1,N(V2987))</f>
        <v>0</v>
      </c>
      <c r="W2988" s="63" t="str">
        <f>IF($H2988&lt;&gt;"","项目成本",IFERROR(INDEX(基础资料!$W$4:$W$49,MATCH($I2988,基础资料!$V$4:$V$49,0)),""))</f>
        <v/>
      </c>
      <c r="X2988" s="63" t="str">
        <f>IFERROR(INDEX(基础资料!$R$4:$R$17,MATCH($G2988,基础资料!$Q$4:$Q$17,0)),"")</f>
        <v/>
      </c>
    </row>
    <row r="2989" spans="1:24">
      <c r="A2989" s="58" t="str">
        <f>IF($B2989="","",COUNTA($B$5:$B2989))</f>
        <v/>
      </c>
      <c r="B2989" s="53"/>
      <c r="C2989" s="46"/>
      <c r="D2989" s="63" t="str">
        <f>IFERROR(INDEX(基础资料!$F$4:$F$23,MATCH($C2989,基础资料!$E$4:$E$23,0)),IF($C2989="","","未匹配账户"))</f>
        <v/>
      </c>
      <c r="E2989" s="39"/>
      <c r="F2989" s="10"/>
      <c r="G2989" s="10"/>
      <c r="H2989" s="10"/>
      <c r="I2989" s="10"/>
      <c r="J2989" s="10"/>
      <c r="K2989" s="25"/>
      <c r="L2989" s="25"/>
      <c r="M2989" s="25" t="str">
        <f>IFERROR(VLOOKUP($C2989,$C$5:$M$24,11,0)+SUMIF($C$25:$C2989,$C2989,$K$25:$K2989)-SUMIF($C$25:$C2989,$C2989,$L$25:$L2989),"")</f>
        <v/>
      </c>
      <c r="N2989" s="10"/>
      <c r="O2989" s="10"/>
      <c r="P2989" s="65"/>
      <c r="Q2989" s="10"/>
      <c r="R2989" s="10"/>
      <c r="S2989" s="54" t="str">
        <f t="shared" si="144"/>
        <v/>
      </c>
      <c r="T2989" s="54" t="str">
        <f t="shared" si="145"/>
        <v/>
      </c>
      <c r="U2989" s="58" t="str">
        <f t="shared" si="146"/>
        <v/>
      </c>
      <c r="V2989" s="58">
        <f>IF(AND($B2989&lt;&gt;"",$F2989&lt;&gt;"",$F2989=项目明细账!$C$2),N(V2988)+1,N(V2988))</f>
        <v>0</v>
      </c>
      <c r="W2989" s="63" t="str">
        <f>IF($H2989&lt;&gt;"","项目成本",IFERROR(INDEX(基础资料!$W$4:$W$49,MATCH($I2989,基础资料!$V$4:$V$49,0)),""))</f>
        <v/>
      </c>
      <c r="X2989" s="63" t="str">
        <f>IFERROR(INDEX(基础资料!$R$4:$R$17,MATCH($G2989,基础资料!$Q$4:$Q$17,0)),"")</f>
        <v/>
      </c>
    </row>
    <row r="2990" spans="1:24">
      <c r="A2990" s="58" t="str">
        <f>IF($B2990="","",COUNTA($B$5:$B2990))</f>
        <v/>
      </c>
      <c r="B2990" s="53"/>
      <c r="C2990" s="46"/>
      <c r="D2990" s="63" t="str">
        <f>IFERROR(INDEX(基础资料!$F$4:$F$23,MATCH($C2990,基础资料!$E$4:$E$23,0)),IF($C2990="","","未匹配账户"))</f>
        <v/>
      </c>
      <c r="E2990" s="39"/>
      <c r="F2990" s="10"/>
      <c r="G2990" s="10"/>
      <c r="H2990" s="10"/>
      <c r="I2990" s="10"/>
      <c r="J2990" s="10"/>
      <c r="K2990" s="25"/>
      <c r="L2990" s="25"/>
      <c r="M2990" s="25" t="str">
        <f>IFERROR(VLOOKUP($C2990,$C$5:$M$24,11,0)+SUMIF($C$25:$C2990,$C2990,$K$25:$K2990)-SUMIF($C$25:$C2990,$C2990,$L$25:$L2990),"")</f>
        <v/>
      </c>
      <c r="N2990" s="10"/>
      <c r="O2990" s="10"/>
      <c r="P2990" s="65"/>
      <c r="Q2990" s="10"/>
      <c r="R2990" s="10"/>
      <c r="S2990" s="54" t="str">
        <f t="shared" si="144"/>
        <v/>
      </c>
      <c r="T2990" s="54" t="str">
        <f t="shared" si="145"/>
        <v/>
      </c>
      <c r="U2990" s="58" t="str">
        <f t="shared" si="146"/>
        <v/>
      </c>
      <c r="V2990" s="58">
        <f>IF(AND($B2990&lt;&gt;"",$F2990&lt;&gt;"",$F2990=项目明细账!$C$2),N(V2989)+1,N(V2989))</f>
        <v>0</v>
      </c>
      <c r="W2990" s="63" t="str">
        <f>IF($H2990&lt;&gt;"","项目成本",IFERROR(INDEX(基础资料!$W$4:$W$49,MATCH($I2990,基础资料!$V$4:$V$49,0)),""))</f>
        <v/>
      </c>
      <c r="X2990" s="63" t="str">
        <f>IFERROR(INDEX(基础资料!$R$4:$R$17,MATCH($G2990,基础资料!$Q$4:$Q$17,0)),"")</f>
        <v/>
      </c>
    </row>
    <row r="2991" spans="1:24">
      <c r="A2991" s="58" t="str">
        <f>IF($B2991="","",COUNTA($B$5:$B2991))</f>
        <v/>
      </c>
      <c r="B2991" s="53"/>
      <c r="C2991" s="46"/>
      <c r="D2991" s="63" t="str">
        <f>IFERROR(INDEX(基础资料!$F$4:$F$23,MATCH($C2991,基础资料!$E$4:$E$23,0)),IF($C2991="","","未匹配账户"))</f>
        <v/>
      </c>
      <c r="E2991" s="39"/>
      <c r="F2991" s="10"/>
      <c r="G2991" s="10"/>
      <c r="H2991" s="10"/>
      <c r="I2991" s="10"/>
      <c r="J2991" s="10"/>
      <c r="K2991" s="25"/>
      <c r="L2991" s="25"/>
      <c r="M2991" s="25" t="str">
        <f>IFERROR(VLOOKUP($C2991,$C$5:$M$24,11,0)+SUMIF($C$25:$C2991,$C2991,$K$25:$K2991)-SUMIF($C$25:$C2991,$C2991,$L$25:$L2991),"")</f>
        <v/>
      </c>
      <c r="N2991" s="10"/>
      <c r="O2991" s="10"/>
      <c r="P2991" s="65"/>
      <c r="Q2991" s="10"/>
      <c r="R2991" s="10"/>
      <c r="S2991" s="54" t="str">
        <f t="shared" si="144"/>
        <v/>
      </c>
      <c r="T2991" s="54" t="str">
        <f t="shared" si="145"/>
        <v/>
      </c>
      <c r="U2991" s="58" t="str">
        <f t="shared" si="146"/>
        <v/>
      </c>
      <c r="V2991" s="58">
        <f>IF(AND($B2991&lt;&gt;"",$F2991&lt;&gt;"",$F2991=项目明细账!$C$2),N(V2990)+1,N(V2990))</f>
        <v>0</v>
      </c>
      <c r="W2991" s="63" t="str">
        <f>IF($H2991&lt;&gt;"","项目成本",IFERROR(INDEX(基础资料!$W$4:$W$49,MATCH($I2991,基础资料!$V$4:$V$49,0)),""))</f>
        <v/>
      </c>
      <c r="X2991" s="63" t="str">
        <f>IFERROR(INDEX(基础资料!$R$4:$R$17,MATCH($G2991,基础资料!$Q$4:$Q$17,0)),"")</f>
        <v/>
      </c>
    </row>
    <row r="2992" spans="1:24">
      <c r="A2992" s="58" t="str">
        <f>IF($B2992="","",COUNTA($B$5:$B2992))</f>
        <v/>
      </c>
      <c r="B2992" s="53"/>
      <c r="C2992" s="46"/>
      <c r="D2992" s="63" t="str">
        <f>IFERROR(INDEX(基础资料!$F$4:$F$23,MATCH($C2992,基础资料!$E$4:$E$23,0)),IF($C2992="","","未匹配账户"))</f>
        <v/>
      </c>
      <c r="E2992" s="39"/>
      <c r="F2992" s="10"/>
      <c r="G2992" s="10"/>
      <c r="H2992" s="10"/>
      <c r="I2992" s="10"/>
      <c r="J2992" s="10"/>
      <c r="K2992" s="25"/>
      <c r="L2992" s="25"/>
      <c r="M2992" s="25" t="str">
        <f>IFERROR(VLOOKUP($C2992,$C$5:$M$24,11,0)+SUMIF($C$25:$C2992,$C2992,$K$25:$K2992)-SUMIF($C$25:$C2992,$C2992,$L$25:$L2992),"")</f>
        <v/>
      </c>
      <c r="N2992" s="10"/>
      <c r="O2992" s="10"/>
      <c r="P2992" s="65"/>
      <c r="Q2992" s="10"/>
      <c r="R2992" s="10"/>
      <c r="S2992" s="54" t="str">
        <f t="shared" si="144"/>
        <v/>
      </c>
      <c r="T2992" s="54" t="str">
        <f t="shared" si="145"/>
        <v/>
      </c>
      <c r="U2992" s="58" t="str">
        <f t="shared" si="146"/>
        <v/>
      </c>
      <c r="V2992" s="58">
        <f>IF(AND($B2992&lt;&gt;"",$F2992&lt;&gt;"",$F2992=项目明细账!$C$2),N(V2991)+1,N(V2991))</f>
        <v>0</v>
      </c>
      <c r="W2992" s="63" t="str">
        <f>IF($H2992&lt;&gt;"","项目成本",IFERROR(INDEX(基础资料!$W$4:$W$49,MATCH($I2992,基础资料!$V$4:$V$49,0)),""))</f>
        <v/>
      </c>
      <c r="X2992" s="63" t="str">
        <f>IFERROR(INDEX(基础资料!$R$4:$R$17,MATCH($G2992,基础资料!$Q$4:$Q$17,0)),"")</f>
        <v/>
      </c>
    </row>
    <row r="2993" spans="1:24">
      <c r="A2993" s="58" t="str">
        <f>IF($B2993="","",COUNTA($B$5:$B2993))</f>
        <v/>
      </c>
      <c r="B2993" s="53"/>
      <c r="C2993" s="46"/>
      <c r="D2993" s="63" t="str">
        <f>IFERROR(INDEX(基础资料!$F$4:$F$23,MATCH($C2993,基础资料!$E$4:$E$23,0)),IF($C2993="","","未匹配账户"))</f>
        <v/>
      </c>
      <c r="E2993" s="39"/>
      <c r="F2993" s="10"/>
      <c r="G2993" s="10"/>
      <c r="H2993" s="10"/>
      <c r="I2993" s="10"/>
      <c r="J2993" s="10"/>
      <c r="K2993" s="25"/>
      <c r="L2993" s="25"/>
      <c r="M2993" s="25" t="str">
        <f>IFERROR(VLOOKUP($C2993,$C$5:$M$24,11,0)+SUMIF($C$25:$C2993,$C2993,$K$25:$K2993)-SUMIF($C$25:$C2993,$C2993,$L$25:$L2993),"")</f>
        <v/>
      </c>
      <c r="N2993" s="10"/>
      <c r="O2993" s="10"/>
      <c r="P2993" s="65"/>
      <c r="Q2993" s="10"/>
      <c r="R2993" s="10"/>
      <c r="S2993" s="54" t="str">
        <f t="shared" si="144"/>
        <v/>
      </c>
      <c r="T2993" s="54" t="str">
        <f t="shared" si="145"/>
        <v/>
      </c>
      <c r="U2993" s="58" t="str">
        <f t="shared" si="146"/>
        <v/>
      </c>
      <c r="V2993" s="58">
        <f>IF(AND($B2993&lt;&gt;"",$F2993&lt;&gt;"",$F2993=项目明细账!$C$2),N(V2992)+1,N(V2992))</f>
        <v>0</v>
      </c>
      <c r="W2993" s="63" t="str">
        <f>IF($H2993&lt;&gt;"","项目成本",IFERROR(INDEX(基础资料!$W$4:$W$49,MATCH($I2993,基础资料!$V$4:$V$49,0)),""))</f>
        <v/>
      </c>
      <c r="X2993" s="63" t="str">
        <f>IFERROR(INDEX(基础资料!$R$4:$R$17,MATCH($G2993,基础资料!$Q$4:$Q$17,0)),"")</f>
        <v/>
      </c>
    </row>
    <row r="2994" spans="1:24">
      <c r="A2994" s="58" t="str">
        <f>IF($B2994="","",COUNTA($B$5:$B2994))</f>
        <v/>
      </c>
      <c r="B2994" s="53"/>
      <c r="C2994" s="46"/>
      <c r="D2994" s="63" t="str">
        <f>IFERROR(INDEX(基础资料!$F$4:$F$23,MATCH($C2994,基础资料!$E$4:$E$23,0)),IF($C2994="","","未匹配账户"))</f>
        <v/>
      </c>
      <c r="E2994" s="39"/>
      <c r="F2994" s="10"/>
      <c r="G2994" s="10"/>
      <c r="H2994" s="10"/>
      <c r="I2994" s="10"/>
      <c r="J2994" s="10"/>
      <c r="K2994" s="25"/>
      <c r="L2994" s="25"/>
      <c r="M2994" s="25" t="str">
        <f>IFERROR(VLOOKUP($C2994,$C$5:$M$24,11,0)+SUMIF($C$25:$C2994,$C2994,$K$25:$K2994)-SUMIF($C$25:$C2994,$C2994,$L$25:$L2994),"")</f>
        <v/>
      </c>
      <c r="N2994" s="10"/>
      <c r="O2994" s="10"/>
      <c r="P2994" s="65"/>
      <c r="Q2994" s="10"/>
      <c r="R2994" s="10"/>
      <c r="S2994" s="54" t="str">
        <f t="shared" si="144"/>
        <v/>
      </c>
      <c r="T2994" s="54" t="str">
        <f t="shared" si="145"/>
        <v/>
      </c>
      <c r="U2994" s="58" t="str">
        <f t="shared" si="146"/>
        <v/>
      </c>
      <c r="V2994" s="58">
        <f>IF(AND($B2994&lt;&gt;"",$F2994&lt;&gt;"",$F2994=项目明细账!$C$2),N(V2993)+1,N(V2993))</f>
        <v>0</v>
      </c>
      <c r="W2994" s="63" t="str">
        <f>IF($H2994&lt;&gt;"","项目成本",IFERROR(INDEX(基础资料!$W$4:$W$49,MATCH($I2994,基础资料!$V$4:$V$49,0)),""))</f>
        <v/>
      </c>
      <c r="X2994" s="63" t="str">
        <f>IFERROR(INDEX(基础资料!$R$4:$R$17,MATCH($G2994,基础资料!$Q$4:$Q$17,0)),"")</f>
        <v/>
      </c>
    </row>
    <row r="2995" spans="1:24">
      <c r="A2995" s="58" t="str">
        <f>IF($B2995="","",COUNTA($B$5:$B2995))</f>
        <v/>
      </c>
      <c r="B2995" s="53"/>
      <c r="C2995" s="46"/>
      <c r="D2995" s="63" t="str">
        <f>IFERROR(INDEX(基础资料!$F$4:$F$23,MATCH($C2995,基础资料!$E$4:$E$23,0)),IF($C2995="","","未匹配账户"))</f>
        <v/>
      </c>
      <c r="E2995" s="39"/>
      <c r="F2995" s="10"/>
      <c r="G2995" s="10"/>
      <c r="H2995" s="10"/>
      <c r="I2995" s="10"/>
      <c r="J2995" s="10"/>
      <c r="K2995" s="25"/>
      <c r="L2995" s="25"/>
      <c r="M2995" s="25" t="str">
        <f>IFERROR(VLOOKUP($C2995,$C$5:$M$24,11,0)+SUMIF($C$25:$C2995,$C2995,$K$25:$K2995)-SUMIF($C$25:$C2995,$C2995,$L$25:$L2995),"")</f>
        <v/>
      </c>
      <c r="N2995" s="10"/>
      <c r="O2995" s="10"/>
      <c r="P2995" s="65"/>
      <c r="Q2995" s="10"/>
      <c r="R2995" s="10"/>
      <c r="S2995" s="54" t="str">
        <f t="shared" si="144"/>
        <v/>
      </c>
      <c r="T2995" s="54" t="str">
        <f t="shared" si="145"/>
        <v/>
      </c>
      <c r="U2995" s="58" t="str">
        <f t="shared" si="146"/>
        <v/>
      </c>
      <c r="V2995" s="58">
        <f>IF(AND($B2995&lt;&gt;"",$F2995&lt;&gt;"",$F2995=项目明细账!$C$2),N(V2994)+1,N(V2994))</f>
        <v>0</v>
      </c>
      <c r="W2995" s="63" t="str">
        <f>IF($H2995&lt;&gt;"","项目成本",IFERROR(INDEX(基础资料!$W$4:$W$49,MATCH($I2995,基础资料!$V$4:$V$49,0)),""))</f>
        <v/>
      </c>
      <c r="X2995" s="63" t="str">
        <f>IFERROR(INDEX(基础资料!$R$4:$R$17,MATCH($G2995,基础资料!$Q$4:$Q$17,0)),"")</f>
        <v/>
      </c>
    </row>
    <row r="2996" spans="1:24">
      <c r="A2996" s="58" t="str">
        <f>IF($B2996="","",COUNTA($B$5:$B2996))</f>
        <v/>
      </c>
      <c r="B2996" s="53"/>
      <c r="C2996" s="46"/>
      <c r="D2996" s="63" t="str">
        <f>IFERROR(INDEX(基础资料!$F$4:$F$23,MATCH($C2996,基础资料!$E$4:$E$23,0)),IF($C2996="","","未匹配账户"))</f>
        <v/>
      </c>
      <c r="E2996" s="39"/>
      <c r="F2996" s="10"/>
      <c r="G2996" s="10"/>
      <c r="H2996" s="10"/>
      <c r="I2996" s="10"/>
      <c r="J2996" s="10"/>
      <c r="K2996" s="25"/>
      <c r="L2996" s="25"/>
      <c r="M2996" s="25" t="str">
        <f>IFERROR(VLOOKUP($C2996,$C$5:$M$24,11,0)+SUMIF($C$25:$C2996,$C2996,$K$25:$K2996)-SUMIF($C$25:$C2996,$C2996,$L$25:$L2996),"")</f>
        <v/>
      </c>
      <c r="N2996" s="10"/>
      <c r="O2996" s="10"/>
      <c r="P2996" s="65"/>
      <c r="Q2996" s="10"/>
      <c r="R2996" s="10"/>
      <c r="S2996" s="54" t="str">
        <f t="shared" si="144"/>
        <v/>
      </c>
      <c r="T2996" s="54" t="str">
        <f t="shared" si="145"/>
        <v/>
      </c>
      <c r="U2996" s="58" t="str">
        <f t="shared" si="146"/>
        <v/>
      </c>
      <c r="V2996" s="58">
        <f>IF(AND($B2996&lt;&gt;"",$F2996&lt;&gt;"",$F2996=项目明细账!$C$2),N(V2995)+1,N(V2995))</f>
        <v>0</v>
      </c>
      <c r="W2996" s="63" t="str">
        <f>IF($H2996&lt;&gt;"","项目成本",IFERROR(INDEX(基础资料!$W$4:$W$49,MATCH($I2996,基础资料!$V$4:$V$49,0)),""))</f>
        <v/>
      </c>
      <c r="X2996" s="63" t="str">
        <f>IFERROR(INDEX(基础资料!$R$4:$R$17,MATCH($G2996,基础资料!$Q$4:$Q$17,0)),"")</f>
        <v/>
      </c>
    </row>
    <row r="2997" spans="1:24">
      <c r="A2997" s="58" t="str">
        <f>IF($B2997="","",COUNTA($B$5:$B2997))</f>
        <v/>
      </c>
      <c r="B2997" s="53"/>
      <c r="C2997" s="46"/>
      <c r="D2997" s="63" t="str">
        <f>IFERROR(INDEX(基础资料!$F$4:$F$23,MATCH($C2997,基础资料!$E$4:$E$23,0)),IF($C2997="","","未匹配账户"))</f>
        <v/>
      </c>
      <c r="E2997" s="39"/>
      <c r="F2997" s="10"/>
      <c r="G2997" s="10"/>
      <c r="H2997" s="10"/>
      <c r="I2997" s="10"/>
      <c r="J2997" s="10"/>
      <c r="K2997" s="25"/>
      <c r="L2997" s="25"/>
      <c r="M2997" s="25" t="str">
        <f>IFERROR(VLOOKUP($C2997,$C$5:$M$24,11,0)+SUMIF($C$25:$C2997,$C2997,$K$25:$K2997)-SUMIF($C$25:$C2997,$C2997,$L$25:$L2997),"")</f>
        <v/>
      </c>
      <c r="N2997" s="10"/>
      <c r="O2997" s="10"/>
      <c r="P2997" s="65"/>
      <c r="Q2997" s="10"/>
      <c r="R2997" s="10"/>
      <c r="S2997" s="54" t="str">
        <f t="shared" si="144"/>
        <v/>
      </c>
      <c r="T2997" s="54" t="str">
        <f t="shared" si="145"/>
        <v/>
      </c>
      <c r="U2997" s="58" t="str">
        <f t="shared" si="146"/>
        <v/>
      </c>
      <c r="V2997" s="58">
        <f>IF(AND($B2997&lt;&gt;"",$F2997&lt;&gt;"",$F2997=项目明细账!$C$2),N(V2996)+1,N(V2996))</f>
        <v>0</v>
      </c>
      <c r="W2997" s="63" t="str">
        <f>IF($H2997&lt;&gt;"","项目成本",IFERROR(INDEX(基础资料!$W$4:$W$49,MATCH($I2997,基础资料!$V$4:$V$49,0)),""))</f>
        <v/>
      </c>
      <c r="X2997" s="63" t="str">
        <f>IFERROR(INDEX(基础资料!$R$4:$R$17,MATCH($G2997,基础资料!$Q$4:$Q$17,0)),"")</f>
        <v/>
      </c>
    </row>
    <row r="2998" spans="1:24">
      <c r="A2998" s="58" t="str">
        <f>IF($B2998="","",COUNTA($B$5:$B2998))</f>
        <v/>
      </c>
      <c r="B2998" s="53"/>
      <c r="C2998" s="46"/>
      <c r="D2998" s="63" t="str">
        <f>IFERROR(INDEX(基础资料!$F$4:$F$23,MATCH($C2998,基础资料!$E$4:$E$23,0)),IF($C2998="","","未匹配账户"))</f>
        <v/>
      </c>
      <c r="E2998" s="39"/>
      <c r="F2998" s="10"/>
      <c r="G2998" s="10"/>
      <c r="H2998" s="10"/>
      <c r="I2998" s="10"/>
      <c r="J2998" s="10"/>
      <c r="K2998" s="25"/>
      <c r="L2998" s="25"/>
      <c r="M2998" s="25" t="str">
        <f>IFERROR(VLOOKUP($C2998,$C$5:$M$24,11,0)+SUMIF($C$25:$C2998,$C2998,$K$25:$K2998)-SUMIF($C$25:$C2998,$C2998,$L$25:$L2998),"")</f>
        <v/>
      </c>
      <c r="N2998" s="10"/>
      <c r="O2998" s="10"/>
      <c r="P2998" s="65"/>
      <c r="Q2998" s="10"/>
      <c r="R2998" s="10"/>
      <c r="S2998" s="54" t="str">
        <f t="shared" si="144"/>
        <v/>
      </c>
      <c r="T2998" s="54" t="str">
        <f t="shared" si="145"/>
        <v/>
      </c>
      <c r="U2998" s="58" t="str">
        <f t="shared" si="146"/>
        <v/>
      </c>
      <c r="V2998" s="58">
        <f>IF(AND($B2998&lt;&gt;"",$F2998&lt;&gt;"",$F2998=项目明细账!$C$2),N(V2997)+1,N(V2997))</f>
        <v>0</v>
      </c>
      <c r="W2998" s="63" t="str">
        <f>IF($H2998&lt;&gt;"","项目成本",IFERROR(INDEX(基础资料!$W$4:$W$49,MATCH($I2998,基础资料!$V$4:$V$49,0)),""))</f>
        <v/>
      </c>
      <c r="X2998" s="63" t="str">
        <f>IFERROR(INDEX(基础资料!$R$4:$R$17,MATCH($G2998,基础资料!$Q$4:$Q$17,0)),"")</f>
        <v/>
      </c>
    </row>
    <row r="2999" spans="1:24">
      <c r="A2999" s="58" t="str">
        <f>IF($B2999="","",COUNTA($B$5:$B2999))</f>
        <v/>
      </c>
      <c r="B2999" s="53"/>
      <c r="C2999" s="46"/>
      <c r="D2999" s="63" t="str">
        <f>IFERROR(INDEX(基础资料!$F$4:$F$23,MATCH($C2999,基础资料!$E$4:$E$23,0)),IF($C2999="","","未匹配账户"))</f>
        <v/>
      </c>
      <c r="E2999" s="39"/>
      <c r="F2999" s="10"/>
      <c r="G2999" s="10"/>
      <c r="H2999" s="10"/>
      <c r="I2999" s="10"/>
      <c r="J2999" s="10"/>
      <c r="K2999" s="25"/>
      <c r="L2999" s="25"/>
      <c r="M2999" s="25" t="str">
        <f>IFERROR(VLOOKUP($C2999,$C$5:$M$24,11,0)+SUMIF($C$25:$C2999,$C2999,$K$25:$K2999)-SUMIF($C$25:$C2999,$C2999,$L$25:$L2999),"")</f>
        <v/>
      </c>
      <c r="N2999" s="10"/>
      <c r="O2999" s="10"/>
      <c r="P2999" s="65"/>
      <c r="Q2999" s="10"/>
      <c r="R2999" s="10"/>
      <c r="S2999" s="54" t="str">
        <f t="shared" si="144"/>
        <v/>
      </c>
      <c r="T2999" s="54" t="str">
        <f t="shared" si="145"/>
        <v/>
      </c>
      <c r="U2999" s="58" t="str">
        <f t="shared" si="146"/>
        <v/>
      </c>
      <c r="V2999" s="58">
        <f>IF(AND($B2999&lt;&gt;"",$F2999&lt;&gt;"",$F2999=项目明细账!$C$2),N(V2998)+1,N(V2998))</f>
        <v>0</v>
      </c>
      <c r="W2999" s="63" t="str">
        <f>IF($H2999&lt;&gt;"","项目成本",IFERROR(INDEX(基础资料!$W$4:$W$49,MATCH($I2999,基础资料!$V$4:$V$49,0)),""))</f>
        <v/>
      </c>
      <c r="X2999" s="63" t="str">
        <f>IFERROR(INDEX(基础资料!$R$4:$R$17,MATCH($G2999,基础资料!$Q$4:$Q$17,0)),"")</f>
        <v/>
      </c>
    </row>
    <row r="3000" spans="1:24">
      <c r="A3000" s="58" t="str">
        <f>IF($B3000="","",COUNTA($B$5:$B3000))</f>
        <v/>
      </c>
      <c r="B3000" s="53"/>
      <c r="C3000" s="46"/>
      <c r="D3000" s="63" t="str">
        <f>IFERROR(INDEX(基础资料!$F$4:$F$23,MATCH($C3000,基础资料!$E$4:$E$23,0)),IF($C3000="","","未匹配账户"))</f>
        <v/>
      </c>
      <c r="E3000" s="39"/>
      <c r="F3000" s="10"/>
      <c r="G3000" s="10"/>
      <c r="H3000" s="10"/>
      <c r="I3000" s="10"/>
      <c r="J3000" s="10"/>
      <c r="K3000" s="25"/>
      <c r="L3000" s="25"/>
      <c r="M3000" s="25" t="str">
        <f>IFERROR(VLOOKUP($C3000,$C$5:$M$24,11,0)+SUMIF($C$25:$C3000,$C3000,$K$25:$K3000)-SUMIF($C$25:$C3000,$C3000,$L$25:$L3000),"")</f>
        <v/>
      </c>
      <c r="N3000" s="10"/>
      <c r="O3000" s="10"/>
      <c r="P3000" s="65"/>
      <c r="Q3000" s="10"/>
      <c r="R3000" s="10"/>
      <c r="S3000" s="54" t="str">
        <f t="shared" si="144"/>
        <v/>
      </c>
      <c r="T3000" s="54" t="str">
        <f t="shared" si="145"/>
        <v/>
      </c>
      <c r="U3000" s="58" t="str">
        <f t="shared" si="146"/>
        <v/>
      </c>
      <c r="V3000" s="58">
        <f>IF(AND($B3000&lt;&gt;"",$F3000&lt;&gt;"",$F3000=项目明细账!$C$2),N(V2999)+1,N(V2999))</f>
        <v>0</v>
      </c>
      <c r="W3000" s="63" t="str">
        <f>IF($H3000&lt;&gt;"","项目成本",IFERROR(INDEX(基础资料!$W$4:$W$49,MATCH($I3000,基础资料!$V$4:$V$49,0)),""))</f>
        <v/>
      </c>
      <c r="X3000" s="63" t="str">
        <f>IFERROR(INDEX(基础资料!$R$4:$R$17,MATCH($G3000,基础资料!$Q$4:$Q$17,0)),"")</f>
        <v/>
      </c>
    </row>
    <row r="3001" spans="1:24">
      <c r="A3001" s="58" t="str">
        <f>IF($B3001="","",COUNTA($B$5:$B3001))</f>
        <v/>
      </c>
      <c r="B3001" s="53"/>
      <c r="C3001" s="46"/>
      <c r="D3001" s="63" t="str">
        <f>IFERROR(INDEX(基础资料!$F$4:$F$23,MATCH($C3001,基础资料!$E$4:$E$23,0)),IF($C3001="","","未匹配账户"))</f>
        <v/>
      </c>
      <c r="E3001" s="39"/>
      <c r="F3001" s="10"/>
      <c r="G3001" s="10"/>
      <c r="H3001" s="10"/>
      <c r="I3001" s="10"/>
      <c r="J3001" s="10"/>
      <c r="K3001" s="25"/>
      <c r="L3001" s="25"/>
      <c r="M3001" s="25" t="str">
        <f>IFERROR(VLOOKUP($C3001,$C$5:$M$24,11,0)+SUMIF($C$25:$C3001,$C3001,$K$25:$K3001)-SUMIF($C$25:$C3001,$C3001,$L$25:$L3001),"")</f>
        <v/>
      </c>
      <c r="N3001" s="10"/>
      <c r="O3001" s="10"/>
      <c r="P3001" s="65"/>
      <c r="Q3001" s="10"/>
      <c r="R3001" s="10"/>
      <c r="S3001" s="54" t="str">
        <f t="shared" si="144"/>
        <v/>
      </c>
      <c r="T3001" s="54" t="str">
        <f t="shared" si="145"/>
        <v/>
      </c>
      <c r="U3001" s="58" t="str">
        <f t="shared" si="146"/>
        <v/>
      </c>
      <c r="V3001" s="58">
        <f>IF(AND($B3001&lt;&gt;"",$F3001&lt;&gt;"",$F3001=项目明细账!$C$2),N(V3000)+1,N(V3000))</f>
        <v>0</v>
      </c>
      <c r="W3001" s="63" t="str">
        <f>IF($H3001&lt;&gt;"","项目成本",IFERROR(INDEX(基础资料!$W$4:$W$49,MATCH($I3001,基础资料!$V$4:$V$49,0)),""))</f>
        <v/>
      </c>
      <c r="X3001" s="63" t="str">
        <f>IFERROR(INDEX(基础资料!$R$4:$R$17,MATCH($G3001,基础资料!$Q$4:$Q$17,0)),"")</f>
        <v/>
      </c>
    </row>
    <row r="3002" spans="1:24">
      <c r="A3002" s="58" t="str">
        <f>IF($B3002="","",COUNTA($B$5:$B3002))</f>
        <v/>
      </c>
      <c r="B3002" s="53"/>
      <c r="C3002" s="46"/>
      <c r="D3002" s="63" t="str">
        <f>IFERROR(INDEX(基础资料!$F$4:$F$23,MATCH($C3002,基础资料!$E$4:$E$23,0)),IF($C3002="","","未匹配账户"))</f>
        <v/>
      </c>
      <c r="E3002" s="39"/>
      <c r="F3002" s="10"/>
      <c r="G3002" s="10"/>
      <c r="H3002" s="10"/>
      <c r="I3002" s="10"/>
      <c r="J3002" s="10"/>
      <c r="K3002" s="25"/>
      <c r="L3002" s="25"/>
      <c r="M3002" s="25" t="str">
        <f>IFERROR(VLOOKUP($C3002,$C$5:$M$24,11,0)+SUMIF($C$25:$C3002,$C3002,$K$25:$K3002)-SUMIF($C$25:$C3002,$C3002,$L$25:$L3002),"")</f>
        <v/>
      </c>
      <c r="N3002" s="10"/>
      <c r="O3002" s="10"/>
      <c r="P3002" s="65"/>
      <c r="Q3002" s="10"/>
      <c r="R3002" s="10"/>
      <c r="S3002" s="54" t="str">
        <f t="shared" si="144"/>
        <v/>
      </c>
      <c r="T3002" s="54" t="str">
        <f t="shared" si="145"/>
        <v/>
      </c>
      <c r="U3002" s="58" t="str">
        <f t="shared" si="146"/>
        <v/>
      </c>
      <c r="V3002" s="58">
        <f>IF(AND($B3002&lt;&gt;"",$F3002&lt;&gt;"",$F3002=项目明细账!$C$2),N(V3001)+1,N(V3001))</f>
        <v>0</v>
      </c>
      <c r="W3002" s="63" t="str">
        <f>IF($H3002&lt;&gt;"","项目成本",IFERROR(INDEX(基础资料!$W$4:$W$49,MATCH($I3002,基础资料!$V$4:$V$49,0)),""))</f>
        <v/>
      </c>
      <c r="X3002" s="63" t="str">
        <f>IFERROR(INDEX(基础资料!$R$4:$R$17,MATCH($G3002,基础资料!$Q$4:$Q$17,0)),"")</f>
        <v/>
      </c>
    </row>
    <row r="3003" spans="1:24">
      <c r="A3003" s="58" t="str">
        <f>IF($B3003="","",COUNTA($B$5:$B3003))</f>
        <v/>
      </c>
      <c r="B3003" s="53"/>
      <c r="C3003" s="46"/>
      <c r="D3003" s="63" t="str">
        <f>IFERROR(INDEX(基础资料!$F$4:$F$23,MATCH($C3003,基础资料!$E$4:$E$23,0)),IF($C3003="","","未匹配账户"))</f>
        <v/>
      </c>
      <c r="E3003" s="39"/>
      <c r="F3003" s="10"/>
      <c r="G3003" s="10"/>
      <c r="H3003" s="10"/>
      <c r="I3003" s="10"/>
      <c r="J3003" s="10"/>
      <c r="K3003" s="25"/>
      <c r="L3003" s="25"/>
      <c r="M3003" s="25" t="str">
        <f>IFERROR(VLOOKUP($C3003,$C$5:$M$24,11,0)+SUMIF($C$25:$C3003,$C3003,$K$25:$K3003)-SUMIF($C$25:$C3003,$C3003,$L$25:$L3003),"")</f>
        <v/>
      </c>
      <c r="N3003" s="10"/>
      <c r="O3003" s="10"/>
      <c r="P3003" s="65"/>
      <c r="Q3003" s="10"/>
      <c r="R3003" s="10"/>
      <c r="S3003" s="54" t="str">
        <f t="shared" si="144"/>
        <v/>
      </c>
      <c r="T3003" s="54" t="str">
        <f t="shared" si="145"/>
        <v/>
      </c>
      <c r="U3003" s="58" t="str">
        <f t="shared" si="146"/>
        <v/>
      </c>
      <c r="V3003" s="58">
        <f>IF(AND($B3003&lt;&gt;"",$F3003&lt;&gt;"",$F3003=项目明细账!$C$2),N(V3002)+1,N(V3002))</f>
        <v>0</v>
      </c>
      <c r="W3003" s="63" t="str">
        <f>IF($H3003&lt;&gt;"","项目成本",IFERROR(INDEX(基础资料!$W$4:$W$49,MATCH($I3003,基础资料!$V$4:$V$49,0)),""))</f>
        <v/>
      </c>
      <c r="X3003" s="63" t="str">
        <f>IFERROR(INDEX(基础资料!$R$4:$R$17,MATCH($G3003,基础资料!$Q$4:$Q$17,0)),"")</f>
        <v/>
      </c>
    </row>
    <row r="3004" spans="1:24">
      <c r="A3004" s="58" t="str">
        <f>IF($B3004="","",COUNTA($B$5:$B3004))</f>
        <v/>
      </c>
      <c r="B3004" s="53"/>
      <c r="C3004" s="46"/>
      <c r="D3004" s="63" t="str">
        <f>IFERROR(INDEX(基础资料!$F$4:$F$23,MATCH($C3004,基础资料!$E$4:$E$23,0)),IF($C3004="","","未匹配账户"))</f>
        <v/>
      </c>
      <c r="E3004" s="39"/>
      <c r="F3004" s="10"/>
      <c r="G3004" s="10"/>
      <c r="H3004" s="10"/>
      <c r="I3004" s="10"/>
      <c r="J3004" s="10"/>
      <c r="K3004" s="25"/>
      <c r="L3004" s="25"/>
      <c r="M3004" s="25" t="str">
        <f>IFERROR(VLOOKUP($C3004,$C$5:$M$24,11,0)+SUMIF($C$25:$C3004,$C3004,$K$25:$K3004)-SUMIF($C$25:$C3004,$C3004,$L$25:$L3004),"")</f>
        <v/>
      </c>
      <c r="N3004" s="10"/>
      <c r="O3004" s="10"/>
      <c r="P3004" s="65"/>
      <c r="Q3004" s="10"/>
      <c r="R3004" s="10"/>
      <c r="S3004" s="54" t="str">
        <f t="shared" si="144"/>
        <v/>
      </c>
      <c r="T3004" s="54" t="str">
        <f t="shared" si="145"/>
        <v/>
      </c>
      <c r="U3004" s="58" t="str">
        <f t="shared" si="146"/>
        <v/>
      </c>
      <c r="V3004" s="58">
        <f>IF(AND($B3004&lt;&gt;"",$F3004&lt;&gt;"",$F3004=项目明细账!$C$2),N(V3003)+1,N(V3003))</f>
        <v>0</v>
      </c>
      <c r="W3004" s="63" t="str">
        <f>IF($H3004&lt;&gt;"","项目成本",IFERROR(INDEX(基础资料!$W$4:$W$49,MATCH($I3004,基础资料!$V$4:$V$49,0)),""))</f>
        <v/>
      </c>
      <c r="X3004" s="63" t="str">
        <f>IFERROR(INDEX(基础资料!$R$4:$R$17,MATCH($G3004,基础资料!$Q$4:$Q$17,0)),"")</f>
        <v/>
      </c>
    </row>
    <row r="3005" spans="1:24">
      <c r="A3005" s="58" t="str">
        <f>IF($B3005="","",COUNTA($B$5:$B3005))</f>
        <v/>
      </c>
      <c r="B3005" s="53"/>
      <c r="C3005" s="46"/>
      <c r="D3005" s="63" t="str">
        <f>IFERROR(INDEX(基础资料!$F$4:$F$23,MATCH($C3005,基础资料!$E$4:$E$23,0)),IF($C3005="","","未匹配账户"))</f>
        <v/>
      </c>
      <c r="E3005" s="39"/>
      <c r="F3005" s="10"/>
      <c r="G3005" s="10"/>
      <c r="H3005" s="10"/>
      <c r="I3005" s="10"/>
      <c r="J3005" s="10"/>
      <c r="K3005" s="25"/>
      <c r="L3005" s="25"/>
      <c r="M3005" s="25" t="str">
        <f>IFERROR(VLOOKUP($C3005,$C$5:$M$24,11,0)+SUMIF($C$25:$C3005,$C3005,$K$25:$K3005)-SUMIF($C$25:$C3005,$C3005,$L$25:$L3005),"")</f>
        <v/>
      </c>
      <c r="N3005" s="10"/>
      <c r="O3005" s="10"/>
      <c r="P3005" s="65"/>
      <c r="Q3005" s="10"/>
      <c r="R3005" s="10"/>
      <c r="S3005" s="54" t="str">
        <f t="shared" si="144"/>
        <v/>
      </c>
      <c r="T3005" s="54" t="str">
        <f t="shared" si="145"/>
        <v/>
      </c>
      <c r="U3005" s="58" t="str">
        <f t="shared" si="146"/>
        <v/>
      </c>
      <c r="V3005" s="58">
        <f>IF(AND($B3005&lt;&gt;"",$F3005&lt;&gt;"",$F3005=项目明细账!$C$2),N(V3004)+1,N(V3004))</f>
        <v>0</v>
      </c>
      <c r="W3005" s="63" t="str">
        <f>IF($H3005&lt;&gt;"","项目成本",IFERROR(INDEX(基础资料!$W$4:$W$49,MATCH($I3005,基础资料!$V$4:$V$49,0)),""))</f>
        <v/>
      </c>
      <c r="X3005" s="63" t="str">
        <f>IFERROR(INDEX(基础资料!$R$4:$R$17,MATCH($G3005,基础资料!$Q$4:$Q$17,0)),"")</f>
        <v/>
      </c>
    </row>
    <row r="3006" spans="1:24">
      <c r="A3006" s="58" t="str">
        <f>IF($B3006="","",COUNTA($B$5:$B3006))</f>
        <v/>
      </c>
      <c r="B3006" s="53"/>
      <c r="C3006" s="46"/>
      <c r="D3006" s="63" t="str">
        <f>IFERROR(INDEX(基础资料!$F$4:$F$23,MATCH($C3006,基础资料!$E$4:$E$23,0)),IF($C3006="","","未匹配账户"))</f>
        <v/>
      </c>
      <c r="E3006" s="39"/>
      <c r="F3006" s="10"/>
      <c r="G3006" s="10"/>
      <c r="H3006" s="10"/>
      <c r="I3006" s="10"/>
      <c r="J3006" s="10"/>
      <c r="K3006" s="25"/>
      <c r="L3006" s="25"/>
      <c r="M3006" s="25" t="str">
        <f>IFERROR(VLOOKUP($C3006,$C$5:$M$24,11,0)+SUMIF($C$25:$C3006,$C3006,$K$25:$K3006)-SUMIF($C$25:$C3006,$C3006,$L$25:$L3006),"")</f>
        <v/>
      </c>
      <c r="N3006" s="10"/>
      <c r="O3006" s="10"/>
      <c r="P3006" s="65"/>
      <c r="Q3006" s="10"/>
      <c r="R3006" s="10"/>
      <c r="S3006" s="54" t="str">
        <f t="shared" si="144"/>
        <v/>
      </c>
      <c r="T3006" s="54" t="str">
        <f t="shared" si="145"/>
        <v/>
      </c>
      <c r="U3006" s="58" t="str">
        <f t="shared" si="146"/>
        <v/>
      </c>
      <c r="V3006" s="58">
        <f>IF(AND($B3006&lt;&gt;"",$F3006&lt;&gt;"",$F3006=项目明细账!$C$2),N(V3005)+1,N(V3005))</f>
        <v>0</v>
      </c>
      <c r="W3006" s="63" t="str">
        <f>IF($H3006&lt;&gt;"","项目成本",IFERROR(INDEX(基础资料!$W$4:$W$49,MATCH($I3006,基础资料!$V$4:$V$49,0)),""))</f>
        <v/>
      </c>
      <c r="X3006" s="63" t="str">
        <f>IFERROR(INDEX(基础资料!$R$4:$R$17,MATCH($G3006,基础资料!$Q$4:$Q$17,0)),"")</f>
        <v/>
      </c>
    </row>
    <row r="3007" spans="1:24">
      <c r="A3007" s="58" t="str">
        <f>IF($B3007="","",COUNTA($B$5:$B3007))</f>
        <v/>
      </c>
      <c r="B3007" s="53"/>
      <c r="C3007" s="46"/>
      <c r="D3007" s="63" t="str">
        <f>IFERROR(INDEX(基础资料!$F$4:$F$23,MATCH($C3007,基础资料!$E$4:$E$23,0)),IF($C3007="","","未匹配账户"))</f>
        <v/>
      </c>
      <c r="E3007" s="39"/>
      <c r="F3007" s="10"/>
      <c r="G3007" s="10"/>
      <c r="H3007" s="10"/>
      <c r="I3007" s="10"/>
      <c r="J3007" s="10"/>
      <c r="K3007" s="25"/>
      <c r="L3007" s="25"/>
      <c r="M3007" s="25" t="str">
        <f>IFERROR(VLOOKUP($C3007,$C$5:$M$24,11,0)+SUMIF($C$25:$C3007,$C3007,$K$25:$K3007)-SUMIF($C$25:$C3007,$C3007,$L$25:$L3007),"")</f>
        <v/>
      </c>
      <c r="N3007" s="10"/>
      <c r="O3007" s="10"/>
      <c r="P3007" s="65"/>
      <c r="Q3007" s="10"/>
      <c r="R3007" s="10"/>
      <c r="S3007" s="54" t="str">
        <f t="shared" si="144"/>
        <v/>
      </c>
      <c r="T3007" s="54" t="str">
        <f t="shared" si="145"/>
        <v/>
      </c>
      <c r="U3007" s="58" t="str">
        <f t="shared" si="146"/>
        <v/>
      </c>
      <c r="V3007" s="58">
        <f>IF(AND($B3007&lt;&gt;"",$F3007&lt;&gt;"",$F3007=项目明细账!$C$2),N(V3006)+1,N(V3006))</f>
        <v>0</v>
      </c>
      <c r="W3007" s="63" t="str">
        <f>IF($H3007&lt;&gt;"","项目成本",IFERROR(INDEX(基础资料!$W$4:$W$49,MATCH($I3007,基础资料!$V$4:$V$49,0)),""))</f>
        <v/>
      </c>
      <c r="X3007" s="63" t="str">
        <f>IFERROR(INDEX(基础资料!$R$4:$R$17,MATCH($G3007,基础资料!$Q$4:$Q$17,0)),"")</f>
        <v/>
      </c>
    </row>
    <row r="3008" spans="1:24">
      <c r="A3008" s="58" t="str">
        <f>IF($B3008="","",COUNTA($B$5:$B3008))</f>
        <v/>
      </c>
      <c r="B3008" s="53"/>
      <c r="C3008" s="46"/>
      <c r="D3008" s="63" t="str">
        <f>IFERROR(INDEX(基础资料!$F$4:$F$23,MATCH($C3008,基础资料!$E$4:$E$23,0)),IF($C3008="","","未匹配账户"))</f>
        <v/>
      </c>
      <c r="E3008" s="39"/>
      <c r="F3008" s="10"/>
      <c r="G3008" s="10"/>
      <c r="H3008" s="10"/>
      <c r="I3008" s="10"/>
      <c r="J3008" s="10"/>
      <c r="K3008" s="25"/>
      <c r="L3008" s="25"/>
      <c r="M3008" s="25" t="str">
        <f>IFERROR(VLOOKUP($C3008,$C$5:$M$24,11,0)+SUMIF($C$25:$C3008,$C3008,$K$25:$K3008)-SUMIF($C$25:$C3008,$C3008,$L$25:$L3008),"")</f>
        <v/>
      </c>
      <c r="N3008" s="10"/>
      <c r="O3008" s="10"/>
      <c r="P3008" s="65"/>
      <c r="Q3008" s="10"/>
      <c r="R3008" s="10"/>
      <c r="S3008" s="54" t="str">
        <f t="shared" si="144"/>
        <v/>
      </c>
      <c r="T3008" s="54" t="str">
        <f t="shared" si="145"/>
        <v/>
      </c>
      <c r="U3008" s="58" t="str">
        <f t="shared" si="146"/>
        <v/>
      </c>
      <c r="V3008" s="58">
        <f>IF(AND($B3008&lt;&gt;"",$F3008&lt;&gt;"",$F3008=项目明细账!$C$2),N(V3007)+1,N(V3007))</f>
        <v>0</v>
      </c>
      <c r="W3008" s="63" t="str">
        <f>IF($H3008&lt;&gt;"","项目成本",IFERROR(INDEX(基础资料!$W$4:$W$49,MATCH($I3008,基础资料!$V$4:$V$49,0)),""))</f>
        <v/>
      </c>
      <c r="X3008" s="63" t="str">
        <f>IFERROR(INDEX(基础资料!$R$4:$R$17,MATCH($G3008,基础资料!$Q$4:$Q$17,0)),"")</f>
        <v/>
      </c>
    </row>
    <row r="3009" spans="1:24">
      <c r="A3009" s="58" t="str">
        <f>IF($B3009="","",COUNTA($B$5:$B3009))</f>
        <v/>
      </c>
      <c r="B3009" s="53"/>
      <c r="C3009" s="46"/>
      <c r="D3009" s="63" t="str">
        <f>IFERROR(INDEX(基础资料!$F$4:$F$23,MATCH($C3009,基础资料!$E$4:$E$23,0)),IF($C3009="","","未匹配账户"))</f>
        <v/>
      </c>
      <c r="E3009" s="39"/>
      <c r="F3009" s="10"/>
      <c r="G3009" s="10"/>
      <c r="H3009" s="10"/>
      <c r="I3009" s="10"/>
      <c r="J3009" s="10"/>
      <c r="K3009" s="25"/>
      <c r="L3009" s="25"/>
      <c r="M3009" s="25" t="str">
        <f>IFERROR(VLOOKUP($C3009,$C$5:$M$24,11,0)+SUMIF($C$25:$C3009,$C3009,$K$25:$K3009)-SUMIF($C$25:$C3009,$C3009,$L$25:$L3009),"")</f>
        <v/>
      </c>
      <c r="N3009" s="10"/>
      <c r="O3009" s="10"/>
      <c r="P3009" s="65"/>
      <c r="Q3009" s="10"/>
      <c r="R3009" s="10"/>
      <c r="S3009" s="54" t="str">
        <f t="shared" si="144"/>
        <v/>
      </c>
      <c r="T3009" s="54" t="str">
        <f t="shared" si="145"/>
        <v/>
      </c>
      <c r="U3009" s="58" t="str">
        <f t="shared" si="146"/>
        <v/>
      </c>
      <c r="V3009" s="58">
        <f>IF(AND($B3009&lt;&gt;"",$F3009&lt;&gt;"",$F3009=项目明细账!$C$2),N(V3008)+1,N(V3008))</f>
        <v>0</v>
      </c>
      <c r="W3009" s="63" t="str">
        <f>IF($H3009&lt;&gt;"","项目成本",IFERROR(INDEX(基础资料!$W$4:$W$49,MATCH($I3009,基础资料!$V$4:$V$49,0)),""))</f>
        <v/>
      </c>
      <c r="X3009" s="63" t="str">
        <f>IFERROR(INDEX(基础资料!$R$4:$R$17,MATCH($G3009,基础资料!$Q$4:$Q$17,0)),"")</f>
        <v/>
      </c>
    </row>
    <row r="3010" spans="1:24">
      <c r="A3010" s="58" t="str">
        <f>IF($B3010="","",COUNTA($B$5:$B3010))</f>
        <v/>
      </c>
      <c r="B3010" s="53"/>
      <c r="C3010" s="46"/>
      <c r="D3010" s="63" t="str">
        <f>IFERROR(INDEX(基础资料!$F$4:$F$23,MATCH($C3010,基础资料!$E$4:$E$23,0)),IF($C3010="","","未匹配账户"))</f>
        <v/>
      </c>
      <c r="E3010" s="39"/>
      <c r="F3010" s="10"/>
      <c r="G3010" s="10"/>
      <c r="H3010" s="10"/>
      <c r="I3010" s="10"/>
      <c r="J3010" s="10"/>
      <c r="K3010" s="25"/>
      <c r="L3010" s="25"/>
      <c r="M3010" s="25" t="str">
        <f>IFERROR(VLOOKUP($C3010,$C$5:$M$24,11,0)+SUMIF($C$25:$C3010,$C3010,$K$25:$K3010)-SUMIF($C$25:$C3010,$C3010,$L$25:$L3010),"")</f>
        <v/>
      </c>
      <c r="N3010" s="10"/>
      <c r="O3010" s="10"/>
      <c r="P3010" s="65"/>
      <c r="Q3010" s="10"/>
      <c r="R3010" s="10"/>
      <c r="S3010" s="54" t="str">
        <f t="shared" si="144"/>
        <v/>
      </c>
      <c r="T3010" s="54" t="str">
        <f t="shared" si="145"/>
        <v/>
      </c>
      <c r="U3010" s="58" t="str">
        <f t="shared" si="146"/>
        <v/>
      </c>
      <c r="V3010" s="58">
        <f>IF(AND($B3010&lt;&gt;"",$F3010&lt;&gt;"",$F3010=项目明细账!$C$2),N(V3009)+1,N(V3009))</f>
        <v>0</v>
      </c>
      <c r="W3010" s="63" t="str">
        <f>IF($H3010&lt;&gt;"","项目成本",IFERROR(INDEX(基础资料!$W$4:$W$49,MATCH($I3010,基础资料!$V$4:$V$49,0)),""))</f>
        <v/>
      </c>
      <c r="X3010" s="63" t="str">
        <f>IFERROR(INDEX(基础资料!$R$4:$R$17,MATCH($G3010,基础资料!$Q$4:$Q$17,0)),"")</f>
        <v/>
      </c>
    </row>
    <row r="3011" spans="1:24">
      <c r="A3011" s="58" t="str">
        <f>IF($B3011="","",COUNTA($B$5:$B3011))</f>
        <v/>
      </c>
      <c r="B3011" s="53"/>
      <c r="C3011" s="46"/>
      <c r="D3011" s="63" t="str">
        <f>IFERROR(INDEX(基础资料!$F$4:$F$23,MATCH($C3011,基础资料!$E$4:$E$23,0)),IF($C3011="","","未匹配账户"))</f>
        <v/>
      </c>
      <c r="E3011" s="39"/>
      <c r="F3011" s="10"/>
      <c r="G3011" s="10"/>
      <c r="H3011" s="10"/>
      <c r="I3011" s="10"/>
      <c r="J3011" s="10"/>
      <c r="K3011" s="25"/>
      <c r="L3011" s="25"/>
      <c r="M3011" s="25" t="str">
        <f>IFERROR(VLOOKUP($C3011,$C$5:$M$24,11,0)+SUMIF($C$25:$C3011,$C3011,$K$25:$K3011)-SUMIF($C$25:$C3011,$C3011,$L$25:$L3011),"")</f>
        <v/>
      </c>
      <c r="N3011" s="10"/>
      <c r="O3011" s="10"/>
      <c r="P3011" s="65"/>
      <c r="Q3011" s="10"/>
      <c r="R3011" s="10"/>
      <c r="S3011" s="54" t="str">
        <f t="shared" si="144"/>
        <v/>
      </c>
      <c r="T3011" s="54" t="str">
        <f t="shared" si="145"/>
        <v/>
      </c>
      <c r="U3011" s="58" t="str">
        <f t="shared" si="146"/>
        <v/>
      </c>
      <c r="V3011" s="58">
        <f>IF(AND($B3011&lt;&gt;"",$F3011&lt;&gt;"",$F3011=项目明细账!$C$2),N(V3010)+1,N(V3010))</f>
        <v>0</v>
      </c>
      <c r="W3011" s="63" t="str">
        <f>IF($H3011&lt;&gt;"","项目成本",IFERROR(INDEX(基础资料!$W$4:$W$49,MATCH($I3011,基础资料!$V$4:$V$49,0)),""))</f>
        <v/>
      </c>
      <c r="X3011" s="63" t="str">
        <f>IFERROR(INDEX(基础资料!$R$4:$R$17,MATCH($G3011,基础资料!$Q$4:$Q$17,0)),"")</f>
        <v/>
      </c>
    </row>
    <row r="3012" spans="1:24">
      <c r="A3012" s="58" t="str">
        <f>IF($B3012="","",COUNTA($B$5:$B3012))</f>
        <v/>
      </c>
      <c r="B3012" s="53"/>
      <c r="C3012" s="46"/>
      <c r="D3012" s="63" t="str">
        <f>IFERROR(INDEX(基础资料!$F$4:$F$23,MATCH($C3012,基础资料!$E$4:$E$23,0)),IF($C3012="","","未匹配账户"))</f>
        <v/>
      </c>
      <c r="E3012" s="39"/>
      <c r="F3012" s="10"/>
      <c r="G3012" s="10"/>
      <c r="H3012" s="10"/>
      <c r="I3012" s="10"/>
      <c r="J3012" s="10"/>
      <c r="K3012" s="25"/>
      <c r="L3012" s="25"/>
      <c r="M3012" s="25" t="str">
        <f>IFERROR(VLOOKUP($C3012,$C$5:$M$24,11,0)+SUMIF($C$25:$C3012,$C3012,$K$25:$K3012)-SUMIF($C$25:$C3012,$C3012,$L$25:$L3012),"")</f>
        <v/>
      </c>
      <c r="N3012" s="10"/>
      <c r="O3012" s="10"/>
      <c r="P3012" s="65"/>
      <c r="Q3012" s="10"/>
      <c r="R3012" s="10"/>
      <c r="S3012" s="54" t="str">
        <f t="shared" si="144"/>
        <v/>
      </c>
      <c r="T3012" s="54" t="str">
        <f t="shared" si="145"/>
        <v/>
      </c>
      <c r="U3012" s="58" t="str">
        <f t="shared" si="146"/>
        <v/>
      </c>
      <c r="V3012" s="58">
        <f>IF(AND($B3012&lt;&gt;"",$F3012&lt;&gt;"",$F3012=项目明细账!$C$2),N(V3011)+1,N(V3011))</f>
        <v>0</v>
      </c>
      <c r="W3012" s="63" t="str">
        <f>IF($H3012&lt;&gt;"","项目成本",IFERROR(INDEX(基础资料!$W$4:$W$49,MATCH($I3012,基础资料!$V$4:$V$49,0)),""))</f>
        <v/>
      </c>
      <c r="X3012" s="63" t="str">
        <f>IFERROR(INDEX(基础资料!$R$4:$R$17,MATCH($G3012,基础资料!$Q$4:$Q$17,0)),"")</f>
        <v/>
      </c>
    </row>
    <row r="3013" spans="1:24">
      <c r="A3013" s="58" t="str">
        <f>IF($B3013="","",COUNTA($B$5:$B3013))</f>
        <v/>
      </c>
      <c r="B3013" s="53"/>
      <c r="C3013" s="46"/>
      <c r="D3013" s="63" t="str">
        <f>IFERROR(INDEX(基础资料!$F$4:$F$23,MATCH($C3013,基础资料!$E$4:$E$23,0)),IF($C3013="","","未匹配账户"))</f>
        <v/>
      </c>
      <c r="E3013" s="39"/>
      <c r="F3013" s="10"/>
      <c r="G3013" s="10"/>
      <c r="H3013" s="10"/>
      <c r="I3013" s="10"/>
      <c r="J3013" s="10"/>
      <c r="K3013" s="25"/>
      <c r="L3013" s="25"/>
      <c r="M3013" s="25" t="str">
        <f>IFERROR(VLOOKUP($C3013,$C$5:$M$24,11,0)+SUMIF($C$25:$C3013,$C3013,$K$25:$K3013)-SUMIF($C$25:$C3013,$C3013,$L$25:$L3013),"")</f>
        <v/>
      </c>
      <c r="N3013" s="10"/>
      <c r="O3013" s="10"/>
      <c r="P3013" s="65"/>
      <c r="Q3013" s="10"/>
      <c r="R3013" s="10"/>
      <c r="S3013" s="54" t="str">
        <f t="shared" si="144"/>
        <v/>
      </c>
      <c r="T3013" s="54" t="str">
        <f t="shared" si="145"/>
        <v/>
      </c>
      <c r="U3013" s="58" t="str">
        <f t="shared" si="146"/>
        <v/>
      </c>
      <c r="V3013" s="58">
        <f>IF(AND($B3013&lt;&gt;"",$F3013&lt;&gt;"",$F3013=项目明细账!$C$2),N(V3012)+1,N(V3012))</f>
        <v>0</v>
      </c>
      <c r="W3013" s="63" t="str">
        <f>IF($H3013&lt;&gt;"","项目成本",IFERROR(INDEX(基础资料!$W$4:$W$49,MATCH($I3013,基础资料!$V$4:$V$49,0)),""))</f>
        <v/>
      </c>
      <c r="X3013" s="63" t="str">
        <f>IFERROR(INDEX(基础资料!$R$4:$R$17,MATCH($G3013,基础资料!$Q$4:$Q$17,0)),"")</f>
        <v/>
      </c>
    </row>
    <row r="3014" spans="1:24">
      <c r="A3014" s="58" t="str">
        <f>IF($B3014="","",COUNTA($B$5:$B3014))</f>
        <v/>
      </c>
      <c r="B3014" s="53"/>
      <c r="C3014" s="46"/>
      <c r="D3014" s="63" t="str">
        <f>IFERROR(INDEX(基础资料!$F$4:$F$23,MATCH($C3014,基础资料!$E$4:$E$23,0)),IF($C3014="","","未匹配账户"))</f>
        <v/>
      </c>
      <c r="E3014" s="39"/>
      <c r="F3014" s="10"/>
      <c r="G3014" s="10"/>
      <c r="H3014" s="10"/>
      <c r="I3014" s="10"/>
      <c r="J3014" s="10"/>
      <c r="K3014" s="25"/>
      <c r="L3014" s="25"/>
      <c r="M3014" s="25" t="str">
        <f>IFERROR(VLOOKUP($C3014,$C$5:$M$24,11,0)+SUMIF($C$25:$C3014,$C3014,$K$25:$K3014)-SUMIF($C$25:$C3014,$C3014,$L$25:$L3014),"")</f>
        <v/>
      </c>
      <c r="N3014" s="10"/>
      <c r="O3014" s="10"/>
      <c r="P3014" s="65"/>
      <c r="Q3014" s="10"/>
      <c r="R3014" s="10"/>
      <c r="S3014" s="54" t="str">
        <f t="shared" si="144"/>
        <v/>
      </c>
      <c r="T3014" s="54" t="str">
        <f t="shared" si="145"/>
        <v/>
      </c>
      <c r="U3014" s="58" t="str">
        <f t="shared" si="146"/>
        <v/>
      </c>
      <c r="V3014" s="58">
        <f>IF(AND($B3014&lt;&gt;"",$F3014&lt;&gt;"",$F3014=项目明细账!$C$2),N(V3013)+1,N(V3013))</f>
        <v>0</v>
      </c>
      <c r="W3014" s="63" t="str">
        <f>IF($H3014&lt;&gt;"","项目成本",IFERROR(INDEX(基础资料!$W$4:$W$49,MATCH($I3014,基础资料!$V$4:$V$49,0)),""))</f>
        <v/>
      </c>
      <c r="X3014" s="63" t="str">
        <f>IFERROR(INDEX(基础资料!$R$4:$R$17,MATCH($G3014,基础资料!$Q$4:$Q$17,0)),"")</f>
        <v/>
      </c>
    </row>
    <row r="3015" spans="1:24">
      <c r="A3015" s="58" t="str">
        <f>IF($B3015="","",COUNTA($B$5:$B3015))</f>
        <v/>
      </c>
      <c r="B3015" s="53"/>
      <c r="C3015" s="46"/>
      <c r="D3015" s="63" t="str">
        <f>IFERROR(INDEX(基础资料!$F$4:$F$23,MATCH($C3015,基础资料!$E$4:$E$23,0)),IF($C3015="","","未匹配账户"))</f>
        <v/>
      </c>
      <c r="E3015" s="39"/>
      <c r="F3015" s="10"/>
      <c r="G3015" s="10"/>
      <c r="H3015" s="10"/>
      <c r="I3015" s="10"/>
      <c r="J3015" s="10"/>
      <c r="K3015" s="25"/>
      <c r="L3015" s="25"/>
      <c r="M3015" s="25" t="str">
        <f>IFERROR(VLOOKUP($C3015,$C$5:$M$24,11,0)+SUMIF($C$25:$C3015,$C3015,$K$25:$K3015)-SUMIF($C$25:$C3015,$C3015,$L$25:$L3015),"")</f>
        <v/>
      </c>
      <c r="N3015" s="10"/>
      <c r="O3015" s="10"/>
      <c r="P3015" s="65"/>
      <c r="Q3015" s="10"/>
      <c r="R3015" s="10"/>
      <c r="S3015" s="54" t="str">
        <f>IF($B3015="","",--TEXT($B3015,"yyyymm"))</f>
        <v/>
      </c>
      <c r="T3015" s="54" t="str">
        <f>IF($B3015="","",IF($P3015="",$S3015,IFERROR($P3015*1,$P3015)))</f>
        <v/>
      </c>
      <c r="U3015" s="58" t="str">
        <f>IF($B3015="","",IF($T3015=$S3015,"","跨期"))</f>
        <v/>
      </c>
      <c r="V3015" s="58">
        <f>IF(AND($B3015&lt;&gt;"",$F3015&lt;&gt;"",$F3015=项目明细账!$C$2),N(V3014)+1,N(V3014))</f>
        <v>0</v>
      </c>
      <c r="W3015" s="63" t="str">
        <f>IF($H3015&lt;&gt;"","项目成本",IFERROR(INDEX(基础资料!$W$4:$W$49,MATCH($I3015,基础资料!$V$4:$V$49,0)),""))</f>
        <v/>
      </c>
      <c r="X3015" s="63" t="str">
        <f>IFERROR(INDEX(基础资料!$R$4:$R$17,MATCH($G3015,基础资料!$Q$4:$Q$17,0)),"")</f>
        <v/>
      </c>
    </row>
    <row r="3016" spans="1:24">
      <c r="B3016" s="53"/>
      <c r="C3016" s="46"/>
      <c r="D3016" s="63" t="str">
        <f>IFERROR(INDEX(基础资料!$F$4:$F$23,MATCH($C3016,基础资料!$E$4:$E$23,0)),IF($C3016="","","未匹配账户"))</f>
        <v/>
      </c>
      <c r="E3016" s="39"/>
      <c r="F3016" s="10"/>
      <c r="G3016" s="10"/>
      <c r="H3016" s="10"/>
      <c r="I3016" s="10"/>
      <c r="J3016" s="10"/>
      <c r="K3016" s="25"/>
      <c r="L3016" s="25"/>
    </row>
    <row r="3017" spans="1:24">
      <c r="B3017" s="53"/>
      <c r="C3017" s="46"/>
      <c r="D3017" s="63" t="str">
        <f>IFERROR(INDEX(基础资料!$F$4:$F$23,MATCH($C3017,基础资料!$E$4:$E$23,0)),IF($C3017="","","未匹配账户"))</f>
        <v/>
      </c>
      <c r="E3017" s="39"/>
      <c r="F3017" s="10"/>
      <c r="G3017" s="10"/>
      <c r="H3017" s="10"/>
      <c r="I3017" s="10"/>
      <c r="J3017" s="10"/>
      <c r="K3017" s="25"/>
      <c r="L3017" s="25"/>
    </row>
    <row r="3018" spans="1:24">
      <c r="B3018" s="53"/>
      <c r="C3018" s="46"/>
      <c r="D3018" s="63" t="str">
        <f>IFERROR(INDEX(基础资料!$F$4:$F$23,MATCH($C3018,基础资料!$E$4:$E$23,0)),IF($C3018="","","未匹配账户"))</f>
        <v/>
      </c>
      <c r="E3018" s="39"/>
      <c r="F3018" s="10"/>
      <c r="G3018" s="10"/>
      <c r="H3018" s="10"/>
      <c r="I3018" s="10"/>
      <c r="J3018" s="10"/>
      <c r="K3018" s="25"/>
      <c r="L3018" s="25"/>
    </row>
    <row r="3019" spans="1:24">
      <c r="B3019" s="53"/>
      <c r="C3019" s="46"/>
      <c r="D3019" s="63" t="str">
        <f>IFERROR(INDEX(基础资料!$F$4:$F$23,MATCH($C3019,基础资料!$E$4:$E$23,0)),IF($C3019="","","未匹配账户"))</f>
        <v/>
      </c>
      <c r="E3019" s="39"/>
      <c r="F3019" s="10"/>
      <c r="G3019" s="10"/>
      <c r="H3019" s="10"/>
      <c r="I3019" s="10"/>
      <c r="J3019" s="10"/>
      <c r="K3019" s="25"/>
      <c r="L3019" s="25"/>
    </row>
    <row r="3020" spans="1:24">
      <c r="B3020" s="53"/>
      <c r="C3020" s="46"/>
      <c r="D3020" s="63" t="str">
        <f>IFERROR(INDEX(基础资料!$F$4:$F$23,MATCH($C3020,基础资料!$E$4:$E$23,0)),IF($C3020="","","未匹配账户"))</f>
        <v/>
      </c>
      <c r="E3020" s="39"/>
      <c r="F3020" s="10"/>
      <c r="G3020" s="10"/>
      <c r="H3020" s="10"/>
      <c r="I3020" s="10"/>
      <c r="J3020" s="10"/>
      <c r="K3020" s="25"/>
      <c r="L3020" s="25"/>
    </row>
    <row r="3021" spans="1:24">
      <c r="B3021" s="53"/>
      <c r="C3021" s="46"/>
      <c r="D3021" s="63" t="str">
        <f>IFERROR(INDEX(基础资料!$F$4:$F$23,MATCH($C3021,基础资料!$E$4:$E$23,0)),IF($C3021="","","未匹配账户"))</f>
        <v/>
      </c>
      <c r="E3021" s="39"/>
      <c r="F3021" s="10"/>
      <c r="G3021" s="10"/>
      <c r="H3021" s="10"/>
      <c r="I3021" s="10"/>
      <c r="J3021" s="10"/>
      <c r="K3021" s="25"/>
      <c r="L3021" s="25"/>
    </row>
    <row r="3022" spans="1:24">
      <c r="B3022" s="53"/>
      <c r="C3022" s="46"/>
      <c r="D3022" s="63" t="str">
        <f>IFERROR(INDEX(基础资料!$F$4:$F$23,MATCH($C3022,基础资料!$E$4:$E$23,0)),IF($C3022="","","未匹配账户"))</f>
        <v/>
      </c>
      <c r="E3022" s="39"/>
      <c r="F3022" s="10"/>
      <c r="G3022" s="10"/>
      <c r="H3022" s="10"/>
      <c r="I3022" s="10"/>
      <c r="J3022" s="10"/>
      <c r="K3022" s="25"/>
      <c r="L3022" s="25"/>
    </row>
    <row r="3023" spans="1:24">
      <c r="B3023" s="53"/>
      <c r="C3023" s="46"/>
      <c r="D3023" s="63" t="str">
        <f>IFERROR(INDEX(基础资料!$F$4:$F$23,MATCH($C3023,基础资料!$E$4:$E$23,0)),IF($C3023="","","未匹配账户"))</f>
        <v/>
      </c>
      <c r="E3023" s="39"/>
      <c r="F3023" s="10"/>
      <c r="G3023" s="10"/>
      <c r="H3023" s="10"/>
      <c r="I3023" s="10"/>
      <c r="J3023" s="10"/>
      <c r="K3023" s="25"/>
      <c r="L3023" s="25"/>
    </row>
    <row r="3024" spans="1:24">
      <c r="B3024" s="53"/>
      <c r="C3024" s="46"/>
      <c r="D3024" s="63" t="str">
        <f>IFERROR(INDEX(基础资料!$F$4:$F$23,MATCH($C3024,基础资料!$E$4:$E$23,0)),IF($C3024="","","未匹配账户"))</f>
        <v/>
      </c>
      <c r="E3024" s="39"/>
      <c r="F3024" s="10"/>
      <c r="G3024" s="10"/>
      <c r="H3024" s="10"/>
      <c r="I3024" s="10"/>
      <c r="J3024" s="10"/>
      <c r="K3024" s="25"/>
      <c r="L3024" s="25"/>
    </row>
    <row r="3025" spans="2:12">
      <c r="B3025" s="53"/>
      <c r="C3025" s="46"/>
      <c r="D3025" s="63" t="str">
        <f>IFERROR(INDEX(基础资料!$F$4:$F$23,MATCH($C3025,基础资料!$E$4:$E$23,0)),IF($C3025="","","未匹配账户"))</f>
        <v/>
      </c>
      <c r="E3025" s="39"/>
      <c r="F3025" s="10"/>
      <c r="G3025" s="10"/>
      <c r="H3025" s="10"/>
      <c r="I3025" s="10"/>
      <c r="J3025" s="10"/>
      <c r="K3025" s="25"/>
      <c r="L3025" s="25"/>
    </row>
    <row r="3026" spans="2:12">
      <c r="B3026" s="53"/>
      <c r="C3026" s="46"/>
      <c r="D3026" s="63" t="str">
        <f>IFERROR(INDEX(基础资料!$F$4:$F$23,MATCH($C3026,基础资料!$E$4:$E$23,0)),IF($C3026="","","未匹配账户"))</f>
        <v/>
      </c>
      <c r="E3026" s="39"/>
      <c r="F3026" s="10"/>
      <c r="G3026" s="10"/>
      <c r="H3026" s="10"/>
      <c r="I3026" s="10"/>
      <c r="J3026" s="10"/>
      <c r="K3026" s="25"/>
      <c r="L3026" s="25"/>
    </row>
    <row r="3027" spans="2:12">
      <c r="B3027" s="53"/>
      <c r="C3027" s="46"/>
      <c r="D3027" s="63" t="str">
        <f>IFERROR(INDEX(基础资料!$F$4:$F$23,MATCH($C3027,基础资料!$E$4:$E$23,0)),IF($C3027="","","未匹配账户"))</f>
        <v/>
      </c>
      <c r="E3027" s="39"/>
      <c r="F3027" s="10"/>
      <c r="G3027" s="10"/>
      <c r="H3027" s="10"/>
      <c r="I3027" s="10"/>
      <c r="J3027" s="10"/>
      <c r="K3027" s="25"/>
      <c r="L3027" s="25"/>
    </row>
    <row r="3028" spans="2:12">
      <c r="B3028" s="53"/>
      <c r="C3028" s="46"/>
      <c r="D3028" s="63" t="str">
        <f>IFERROR(INDEX(基础资料!$F$4:$F$23,MATCH($C3028,基础资料!$E$4:$E$23,0)),IF($C3028="","","未匹配账户"))</f>
        <v/>
      </c>
      <c r="E3028" s="39"/>
      <c r="F3028" s="10"/>
      <c r="G3028" s="10"/>
      <c r="H3028" s="10"/>
      <c r="I3028" s="10"/>
      <c r="J3028" s="10"/>
      <c r="K3028" s="25"/>
      <c r="L3028" s="25"/>
    </row>
    <row r="3029" spans="2:12">
      <c r="B3029" s="53"/>
      <c r="C3029" s="46"/>
      <c r="D3029" s="63" t="str">
        <f>IFERROR(INDEX(基础资料!$F$4:$F$23,MATCH($C3029,基础资料!$E$4:$E$23,0)),IF($C3029="","","未匹配账户"))</f>
        <v/>
      </c>
      <c r="E3029" s="39"/>
      <c r="F3029" s="10"/>
      <c r="G3029" s="10"/>
      <c r="H3029" s="10"/>
      <c r="I3029" s="10"/>
      <c r="J3029" s="10"/>
      <c r="K3029" s="25"/>
      <c r="L3029" s="25"/>
    </row>
    <row r="3030" spans="2:12">
      <c r="B3030" s="53"/>
      <c r="C3030" s="46"/>
      <c r="D3030" s="63" t="str">
        <f>IFERROR(INDEX(基础资料!$F$4:$F$23,MATCH($C3030,基础资料!$E$4:$E$23,0)),IF($C3030="","","未匹配账户"))</f>
        <v/>
      </c>
      <c r="E3030" s="39"/>
      <c r="F3030" s="10"/>
      <c r="G3030" s="10"/>
      <c r="H3030" s="10"/>
      <c r="I3030" s="10"/>
      <c r="J3030" s="10"/>
      <c r="K3030" s="25"/>
      <c r="L3030" s="25"/>
    </row>
    <row r="3031" spans="2:12">
      <c r="B3031" s="53"/>
      <c r="C3031" s="46"/>
      <c r="D3031" s="63" t="str">
        <f>IFERROR(INDEX(基础资料!$F$4:$F$23,MATCH($C3031,基础资料!$E$4:$E$23,0)),IF($C3031="","","未匹配账户"))</f>
        <v/>
      </c>
      <c r="E3031" s="39"/>
      <c r="F3031" s="10"/>
      <c r="G3031" s="10"/>
      <c r="H3031" s="10"/>
      <c r="I3031" s="10"/>
      <c r="J3031" s="10"/>
      <c r="K3031" s="25"/>
      <c r="L3031" s="25"/>
    </row>
    <row r="3032" spans="2:12">
      <c r="B3032" s="53"/>
      <c r="C3032" s="46"/>
      <c r="D3032" s="63" t="str">
        <f>IFERROR(INDEX(基础资料!$F$4:$F$23,MATCH($C3032,基础资料!$E$4:$E$23,0)),IF($C3032="","","未匹配账户"))</f>
        <v/>
      </c>
      <c r="E3032" s="39"/>
      <c r="F3032" s="10"/>
      <c r="G3032" s="10"/>
      <c r="H3032" s="10"/>
      <c r="I3032" s="10"/>
      <c r="J3032" s="10"/>
      <c r="K3032" s="25"/>
      <c r="L3032" s="25"/>
    </row>
  </sheetData>
  <autoFilter xmlns:etc="http://www.wps.cn/officeDocument/2017/etCustomData" ref="A4:X3032" etc:filterBottomFollowUsedRange="0">
    <extLst/>
  </autoFilter>
  <mergeCells count="5">
    <mergeCell ref="A1:R1"/>
    <mergeCell ref="A2:B2"/>
    <mergeCell ref="D2:E2"/>
    <mergeCell ref="G2:H2"/>
    <mergeCell ref="A3:R3"/>
  </mergeCells>
  <conditionalFormatting sqref="B14:R14">
    <cfRule type="expression" dxfId="2" priority="35">
      <formula>$U14="跨期"</formula>
    </cfRule>
  </conditionalFormatting>
  <conditionalFormatting sqref="K14:L14">
    <cfRule type="cellIs" dxfId="3" priority="43" operator="lessThan">
      <formula>0</formula>
    </cfRule>
  </conditionalFormatting>
  <conditionalFormatting sqref="B15:R15">
    <cfRule type="expression" dxfId="2" priority="34">
      <formula>$U15="跨期"</formula>
    </cfRule>
  </conditionalFormatting>
  <conditionalFormatting sqref="K15:L15">
    <cfRule type="cellIs" dxfId="3" priority="42" operator="lessThan">
      <formula>0</formula>
    </cfRule>
  </conditionalFormatting>
  <conditionalFormatting sqref="B16:R16">
    <cfRule type="expression" dxfId="2" priority="33">
      <formula>$U16="跨期"</formula>
    </cfRule>
  </conditionalFormatting>
  <conditionalFormatting sqref="K16:L16">
    <cfRule type="cellIs" dxfId="3" priority="41" operator="lessThan">
      <formula>0</formula>
    </cfRule>
  </conditionalFormatting>
  <conditionalFormatting sqref="B17:R17">
    <cfRule type="expression" dxfId="2" priority="32">
      <formula>$U17="跨期"</formula>
    </cfRule>
  </conditionalFormatting>
  <conditionalFormatting sqref="K17:L17">
    <cfRule type="cellIs" dxfId="3" priority="40" operator="lessThan">
      <formula>0</formula>
    </cfRule>
  </conditionalFormatting>
  <conditionalFormatting sqref="K18:L18">
    <cfRule type="cellIs" dxfId="3" priority="39" operator="lessThan">
      <formula>0</formula>
    </cfRule>
  </conditionalFormatting>
  <conditionalFormatting sqref="C19:R19">
    <cfRule type="expression" dxfId="2" priority="30">
      <formula>$U19="跨期"</formula>
    </cfRule>
  </conditionalFormatting>
  <conditionalFormatting sqref="K19:L19">
    <cfRule type="cellIs" dxfId="3" priority="38" operator="lessThan">
      <formula>0</formula>
    </cfRule>
  </conditionalFormatting>
  <conditionalFormatting sqref="B20:R20">
    <cfRule type="expression" dxfId="2" priority="29">
      <formula>$U20="跨期"</formula>
    </cfRule>
  </conditionalFormatting>
  <conditionalFormatting sqref="K20:L20">
    <cfRule type="cellIs" dxfId="3" priority="37" operator="lessThan">
      <formula>0</formula>
    </cfRule>
  </conditionalFormatting>
  <conditionalFormatting sqref="B21:R21">
    <cfRule type="expression" dxfId="2" priority="28">
      <formula>$U21="跨期"</formula>
    </cfRule>
  </conditionalFormatting>
  <conditionalFormatting sqref="K21:L21">
    <cfRule type="cellIs" dxfId="3" priority="36" operator="lessThan">
      <formula>0</formula>
    </cfRule>
  </conditionalFormatting>
  <conditionalFormatting sqref="B22:R22">
    <cfRule type="expression" dxfId="2" priority="25">
      <formula>$U22="跨期"</formula>
    </cfRule>
  </conditionalFormatting>
  <conditionalFormatting sqref="K22:L22">
    <cfRule type="cellIs" dxfId="3" priority="27" operator="lessThan">
      <formula>0</formula>
    </cfRule>
  </conditionalFormatting>
  <conditionalFormatting sqref="B23:R23">
    <cfRule type="expression" dxfId="2" priority="24">
      <formula>$U23="跨期"</formula>
    </cfRule>
  </conditionalFormatting>
  <conditionalFormatting sqref="K23:L23">
    <cfRule type="cellIs" dxfId="3" priority="26" operator="lessThan">
      <formula>0</formula>
    </cfRule>
  </conditionalFormatting>
  <conditionalFormatting sqref="K161:L161">
    <cfRule type="cellIs" dxfId="3" priority="17" operator="lessThan">
      <formula>0</formula>
    </cfRule>
  </conditionalFormatting>
  <conditionalFormatting sqref="K167:L167">
    <cfRule type="cellIs" dxfId="3" priority="16" operator="lessThan">
      <formula>0</formula>
    </cfRule>
  </conditionalFormatting>
  <conditionalFormatting sqref="K384">
    <cfRule type="cellIs" dxfId="3" priority="10" operator="lessThan">
      <formula>0</formula>
    </cfRule>
  </conditionalFormatting>
  <conditionalFormatting sqref="K455:L455">
    <cfRule type="cellIs" dxfId="3" priority="9" operator="lessThan">
      <formula>0</formula>
    </cfRule>
  </conditionalFormatting>
  <conditionalFormatting sqref="K496:L496">
    <cfRule type="cellIs" dxfId="3" priority="8" operator="lessThan">
      <formula>0</formula>
    </cfRule>
  </conditionalFormatting>
  <conditionalFormatting sqref="K562:L562">
    <cfRule type="cellIs" dxfId="3" priority="7" operator="lessThan">
      <formula>0</formula>
    </cfRule>
  </conditionalFormatting>
  <conditionalFormatting sqref="K563">
    <cfRule type="cellIs" dxfId="3" priority="6" operator="lessThan">
      <formula>0</formula>
    </cfRule>
  </conditionalFormatting>
  <conditionalFormatting sqref="B609">
    <cfRule type="expression" dxfId="2" priority="1">
      <formula>$U591="跨期"</formula>
    </cfRule>
  </conditionalFormatting>
  <conditionalFormatting sqref="J609">
    <cfRule type="expression" dxfId="2" priority="2">
      <formula>$U591="跨期"</formula>
    </cfRule>
  </conditionalFormatting>
  <conditionalFormatting sqref="K609:L609">
    <cfRule type="cellIs" dxfId="3" priority="4" operator="lessThan">
      <formula>0</formula>
    </cfRule>
  </conditionalFormatting>
  <conditionalFormatting sqref="A5:X13 A14:A23 S14:X23 A24:X167 A168:A608 M168:X608 A610:A3015 M610:X3015">
    <cfRule type="expression" dxfId="2" priority="45">
      <formula>$U5="跨期"</formula>
    </cfRule>
  </conditionalFormatting>
  <conditionalFormatting sqref="K5:L13 K24:L160 K162:L166 K172:L176 K190:L319 K322:L383 L384 K385:L454 K456:L495 K497:L561 L563 K564:L608 K610:L3032">
    <cfRule type="cellIs" dxfId="3" priority="46" operator="lessThan">
      <formula>0</formula>
    </cfRule>
  </conditionalFormatting>
  <conditionalFormatting sqref="B18:R18 B19">
    <cfRule type="expression" dxfId="2" priority="31">
      <formula>$U18="跨期"</formula>
    </cfRule>
  </conditionalFormatting>
  <conditionalFormatting sqref="B168:L171">
    <cfRule type="expression" dxfId="2" priority="14">
      <formula>$U164="跨期"</formula>
    </cfRule>
  </conditionalFormatting>
  <conditionalFormatting sqref="K168:L171">
    <cfRule type="cellIs" dxfId="3" priority="13" operator="lessThan">
      <formula>0</formula>
    </cfRule>
  </conditionalFormatting>
  <conditionalFormatting sqref="B172:L176">
    <cfRule type="expression" dxfId="2" priority="47">
      <formula>$U168="跨期"</formula>
    </cfRule>
  </conditionalFormatting>
  <conditionalFormatting sqref="B177:L189">
    <cfRule type="expression" dxfId="2" priority="12">
      <formula>$U160="跨期"</formula>
    </cfRule>
  </conditionalFormatting>
  <conditionalFormatting sqref="K177:L189">
    <cfRule type="cellIs" dxfId="3" priority="11" operator="lessThan">
      <formula>0</formula>
    </cfRule>
  </conditionalFormatting>
  <conditionalFormatting sqref="B190:L608 B627:L3032">
    <cfRule type="expression" dxfId="2" priority="48">
      <formula>$U173="跨期"</formula>
    </cfRule>
  </conditionalFormatting>
  <conditionalFormatting sqref="K320:L321">
    <cfRule type="cellIs" dxfId="3" priority="15" operator="lessThan">
      <formula>0</formula>
    </cfRule>
  </conditionalFormatting>
  <conditionalFormatting sqref="A609 M609:X609">
    <cfRule type="expression" dxfId="2" priority="3">
      <formula>$U609="跨期"</formula>
    </cfRule>
  </conditionalFormatting>
  <conditionalFormatting sqref="C609:I609 K609:L609">
    <cfRule type="expression" dxfId="2" priority="5">
      <formula>$U592="跨期"</formula>
    </cfRule>
  </conditionalFormatting>
  <conditionalFormatting sqref="B610:L626">
    <cfRule type="expression" dxfId="2" priority="49">
      <formula>$U592="跨期"</formula>
    </cfRule>
  </conditionalFormatting>
  <dataValidations count="9">
    <dataValidation type="list" allowBlank="1" sqref="C5:C3032">
      <formula1>基础资料!$E$4:$E$23</formula1>
    </dataValidation>
    <dataValidation type="list" allowBlank="1" sqref="E5:E3032">
      <formula1>"收入,支出,期初余额,内部转入,内部转出"</formula1>
    </dataValidation>
    <dataValidation type="list" allowBlank="1" showInputMessage="1" showErrorMessage="1" sqref="F1:F4 F5:F1048576">
      <formula1>基础资料!$J:$J</formula1>
    </dataValidation>
    <dataValidation type="list" allowBlank="1" sqref="G5:G3032">
      <formula1>基础资料!$Q$4:$Q$17</formula1>
    </dataValidation>
    <dataValidation type="list" allowBlank="1" sqref="H5:H3032">
      <formula1>基础资料!$T$4:$T$17</formula1>
    </dataValidation>
    <dataValidation type="list" allowBlank="1" sqref="I5:I3032">
      <formula1>基础资料!$V$4:$V$49</formula1>
    </dataValidation>
    <dataValidation type="list" allowBlank="1" sqref="N5:N3015">
      <formula1>基础资料!$Y$4:$Y$63</formula1>
    </dataValidation>
    <dataValidation type="list" allowBlank="1" sqref="O5:O3015">
      <formula1>基础资料!$AA$4:$AA$63</formula1>
    </dataValidation>
    <dataValidation type="whole" operator="between" allowBlank="1" showErrorMessage="1" errorTitle="归属月格式不对" error="请填 6 位数字年月，例如 202512。留空表示按发生月。" sqref="P5:P3015">
      <formula1>190001</formula1>
      <formula2>299912</formula2>
    </dataValidation>
  </dataValidation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sheetPr>
  <dimension ref="A1:P304"/>
  <sheetViews>
    <sheetView showGridLines="0" workbookViewId="0">
      <pane xSplit="2" ySplit="4" topLeftCell="C5" activePane="bottomRight" state="frozen"/>
      <selection/>
      <selection pane="topRight"/>
      <selection pane="bottomLeft"/>
      <selection pane="bottomRight" activeCell="J15" sqref="J15"/>
    </sheetView>
  </sheetViews>
  <sheetFormatPr defaultColWidth="8.67619047619048" defaultRowHeight="15"/>
  <cols>
    <col min="1" max="1" width="6" customWidth="1"/>
    <col min="2" max="2" width="9" customWidth="1"/>
    <col min="3" max="3" width="13" customWidth="1"/>
    <col min="4" max="5" width="18" customWidth="1"/>
    <col min="6" max="7" width="12" customWidth="1"/>
    <col min="8" max="8" width="14" customWidth="1"/>
    <col min="9" max="9" width="16" customWidth="1"/>
    <col min="10" max="10" width="14" customWidth="1"/>
    <col min="11" max="11" width="12" customWidth="1"/>
    <col min="12" max="12" width="14" customWidth="1"/>
    <col min="13" max="13" width="11" customWidth="1"/>
    <col min="14" max="14" width="9" customWidth="1"/>
    <col min="15" max="15" width="12" customWidth="1"/>
    <col min="16" max="16" width="18" customWidth="1"/>
  </cols>
  <sheetData>
    <row r="1" ht="25.5" customHeight="1" spans="1:16">
      <c r="A1" s="1" t="s">
        <v>828</v>
      </c>
      <c r="B1" s="1"/>
      <c r="C1" s="1"/>
      <c r="D1" s="1"/>
      <c r="E1" s="1"/>
      <c r="F1" s="1"/>
      <c r="G1" s="1"/>
      <c r="H1" s="1"/>
      <c r="I1" s="1"/>
      <c r="J1" s="1"/>
      <c r="K1" s="1"/>
      <c r="L1" s="1"/>
      <c r="M1" s="1"/>
      <c r="N1" s="1"/>
      <c r="O1" s="1"/>
      <c r="P1" s="1"/>
    </row>
    <row r="2" ht="16.5" spans="1:16">
      <c r="A2" s="2" t="s">
        <v>829</v>
      </c>
      <c r="C2" s="5" t="e">
        <f>SUMIFS($L$5:$L$304,$B$5:$B$304,"应收")</f>
        <v>#VALUE!</v>
      </c>
      <c r="D2" s="2" t="s">
        <v>830</v>
      </c>
      <c r="F2" s="5" t="e">
        <f>SUMIFS($L$5:$L$304,$B$5:$B$304,"应付")</f>
        <v>#VALUE!</v>
      </c>
      <c r="G2" s="2" t="s">
        <v>831</v>
      </c>
      <c r="I2" s="5" t="e">
        <f>$C$2-$F$2</f>
        <v>#VALUE!</v>
      </c>
    </row>
    <row r="3" ht="42" customHeight="1" spans="1:16">
      <c r="A3" s="33" t="s">
        <v>832</v>
      </c>
      <c r="B3" s="33"/>
      <c r="C3" s="33"/>
      <c r="D3" s="33"/>
      <c r="E3" s="33"/>
      <c r="F3" s="33"/>
      <c r="G3" s="33"/>
      <c r="H3" s="33"/>
      <c r="I3" s="33"/>
      <c r="J3" s="33"/>
      <c r="K3" s="33"/>
      <c r="L3" s="33"/>
      <c r="M3" s="33"/>
      <c r="N3" s="33"/>
      <c r="O3" s="33"/>
      <c r="P3" s="33"/>
    </row>
    <row r="4" ht="42" customHeight="1" spans="1:16">
      <c r="A4" s="22" t="s">
        <v>393</v>
      </c>
      <c r="B4" s="22" t="s">
        <v>833</v>
      </c>
      <c r="C4" s="22" t="s">
        <v>834</v>
      </c>
      <c r="D4" s="22" t="s">
        <v>835</v>
      </c>
      <c r="E4" s="22" t="s">
        <v>62</v>
      </c>
      <c r="F4" s="22" t="s">
        <v>836</v>
      </c>
      <c r="G4" s="22" t="s">
        <v>837</v>
      </c>
      <c r="H4" s="22" t="s">
        <v>838</v>
      </c>
      <c r="I4" s="22" t="s">
        <v>839</v>
      </c>
      <c r="J4" s="22" t="s">
        <v>840</v>
      </c>
      <c r="K4" s="22" t="s">
        <v>841</v>
      </c>
      <c r="L4" s="22" t="s">
        <v>842</v>
      </c>
      <c r="M4" s="22" t="s">
        <v>843</v>
      </c>
      <c r="N4" s="22" t="s">
        <v>407</v>
      </c>
      <c r="O4" s="22" t="s">
        <v>844</v>
      </c>
      <c r="P4" s="22" t="s">
        <v>408</v>
      </c>
    </row>
    <row r="5" spans="1:16">
      <c r="A5" s="56">
        <f>IF($D5="","",COUNTA($D$5:$D5))</f>
        <v>1</v>
      </c>
      <c r="B5" s="39" t="s">
        <v>845</v>
      </c>
      <c r="C5" s="46" t="s">
        <v>77</v>
      </c>
      <c r="D5" s="46" t="s">
        <v>409</v>
      </c>
      <c r="E5" s="10" t="s">
        <v>410</v>
      </c>
      <c r="F5" s="29">
        <v>202512</v>
      </c>
      <c r="G5" s="53">
        <v>45981</v>
      </c>
      <c r="H5" s="25">
        <v>300000</v>
      </c>
      <c r="I5" s="10" t="s">
        <v>411</v>
      </c>
      <c r="J5" s="57" t="e">
        <f>IF($I5="","",IF($B5="应收",SUMIFS(资金流水!$K$5:$K$3032,资金流水!$Q$5:$Q$3015,$I5),SUMIFS(资金流水!$L$5:$L$3032,资金流水!$Q$5:$Q$3015,$I5)))</f>
        <v>#VALUE!</v>
      </c>
      <c r="K5" s="25"/>
      <c r="L5" s="57" t="e">
        <f t="shared" ref="L5:L68" si="0">IF($H5="","",ROUND($H5-IF($J5="",0,$J5)-IF($K5="",0,$K5),2))</f>
        <v>#VALUE!</v>
      </c>
      <c r="M5" s="56" t="e">
        <f t="shared" ref="M5:M68" si="1">IF($H5="","",IF($L5&lt;=0.005,"已结清",IF($L5&lt;$H5,"部分结算","未结算")))</f>
        <v>#VALUE!</v>
      </c>
      <c r="N5" s="58" t="e">
        <f ca="1" t="shared" ref="N5:N68" si="2">IF(OR($G5="",$L5="",$L5&lt;=0.005),"",TODAY()-$G5)</f>
        <v>#VALUE!</v>
      </c>
      <c r="O5" s="53">
        <v>46295</v>
      </c>
      <c r="P5" s="46" t="s">
        <v>846</v>
      </c>
    </row>
    <row r="6" spans="1:16">
      <c r="A6" s="56">
        <f>IF($D6="","",COUNTA($D$5:$D6))</f>
        <v>2</v>
      </c>
      <c r="B6" s="39" t="s">
        <v>847</v>
      </c>
      <c r="C6" s="46" t="s">
        <v>848</v>
      </c>
      <c r="D6" s="46" t="s">
        <v>514</v>
      </c>
      <c r="E6" s="10" t="s">
        <v>410</v>
      </c>
      <c r="F6" s="29">
        <v>202512</v>
      </c>
      <c r="G6" s="53">
        <v>46019</v>
      </c>
      <c r="H6" s="25">
        <v>50000</v>
      </c>
      <c r="I6" s="10" t="s">
        <v>613</v>
      </c>
      <c r="J6" s="57" t="e">
        <f>IF($I6="","",IF($B6="应收",SUMIFS(资金流水!$K$5:$K$3032,资金流水!$Q$5:$Q$3015,$I6),SUMIFS(资金流水!$L$5:$L$3032,资金流水!$Q$5:$Q$3015,$I6)))</f>
        <v>#VALUE!</v>
      </c>
      <c r="K6" s="25"/>
      <c r="L6" s="57" t="e">
        <f t="shared" si="0"/>
        <v>#VALUE!</v>
      </c>
      <c r="M6" s="56" t="e">
        <f t="shared" si="1"/>
        <v>#VALUE!</v>
      </c>
      <c r="N6" s="58" t="e">
        <f ca="1" t="shared" si="2"/>
        <v>#VALUE!</v>
      </c>
      <c r="O6" s="53">
        <v>46203</v>
      </c>
      <c r="P6" s="46" t="s">
        <v>849</v>
      </c>
    </row>
    <row r="7" spans="1:16">
      <c r="A7" s="56" t="str">
        <f>IF($D7="","",COUNTA($D$5:$D7))</f>
        <v/>
      </c>
      <c r="B7" s="39"/>
      <c r="C7" s="46"/>
      <c r="D7" s="10"/>
      <c r="E7" s="10"/>
      <c r="F7" s="29"/>
      <c r="G7" s="53"/>
      <c r="H7" s="25"/>
      <c r="I7" s="10"/>
      <c r="J7" s="57" t="str">
        <f>IF($I7="","",IF($B7="应收",SUMIFS(资金流水!$K$5:$K$3032,资金流水!$Q$5:$Q$3015,$I7),SUMIFS(资金流水!$L$5:$L$3032,资金流水!$Q$5:$Q$3015,$I7)))</f>
        <v/>
      </c>
      <c r="K7" s="25"/>
      <c r="L7" s="57" t="str">
        <f t="shared" si="0"/>
        <v/>
      </c>
      <c r="M7" s="56" t="str">
        <f t="shared" si="1"/>
        <v/>
      </c>
      <c r="N7" s="58" t="str">
        <f ca="1" t="shared" si="2"/>
        <v/>
      </c>
      <c r="O7" s="53"/>
      <c r="P7" s="10"/>
    </row>
    <row r="8" spans="1:16">
      <c r="A8" s="56" t="str">
        <f>IF($D8="","",COUNTA($D$5:$D8))</f>
        <v/>
      </c>
      <c r="B8" s="39"/>
      <c r="C8" s="46"/>
      <c r="D8" s="10"/>
      <c r="E8" s="10"/>
      <c r="F8" s="29"/>
      <c r="G8" s="53"/>
      <c r="H8" s="25"/>
      <c r="I8" s="10"/>
      <c r="J8" s="57" t="str">
        <f>IF($I8="","",IF($B8="应收",SUMIFS(资金流水!$K$5:$K$3032,资金流水!$Q$5:$Q$3015,$I8),SUMIFS(资金流水!$L$5:$L$3032,资金流水!$Q$5:$Q$3015,$I8)))</f>
        <v/>
      </c>
      <c r="K8" s="25"/>
      <c r="L8" s="57" t="str">
        <f t="shared" si="0"/>
        <v/>
      </c>
      <c r="M8" s="56" t="str">
        <f t="shared" si="1"/>
        <v/>
      </c>
      <c r="N8" s="58" t="str">
        <f ca="1" t="shared" si="2"/>
        <v/>
      </c>
      <c r="O8" s="53"/>
      <c r="P8" s="10"/>
    </row>
    <row r="9" spans="1:16">
      <c r="A9" s="56" t="str">
        <f>IF($D9="","",COUNTA($D$5:$D9))</f>
        <v/>
      </c>
      <c r="B9" s="39"/>
      <c r="C9" s="46"/>
      <c r="D9" s="10"/>
      <c r="E9" s="10"/>
      <c r="F9" s="29"/>
      <c r="G9" s="53"/>
      <c r="H9" s="25"/>
      <c r="I9" s="10"/>
      <c r="J9" s="57" t="str">
        <f>IF($I9="","",IF($B9="应收",SUMIFS(资金流水!$K$5:$K$3032,资金流水!$Q$5:$Q$3015,$I9),SUMIFS(资金流水!$L$5:$L$3032,资金流水!$Q$5:$Q$3015,$I9)))</f>
        <v/>
      </c>
      <c r="K9" s="25"/>
      <c r="L9" s="57" t="str">
        <f t="shared" si="0"/>
        <v/>
      </c>
      <c r="M9" s="56" t="str">
        <f t="shared" si="1"/>
        <v/>
      </c>
      <c r="N9" s="58" t="str">
        <f ca="1" t="shared" si="2"/>
        <v/>
      </c>
      <c r="O9" s="53"/>
      <c r="P9" s="10"/>
    </row>
    <row r="10" spans="1:16">
      <c r="A10" s="56" t="str">
        <f>IF($D10="","",COUNTA($D$5:$D10))</f>
        <v/>
      </c>
      <c r="B10" s="39"/>
      <c r="C10" s="46"/>
      <c r="D10" s="10"/>
      <c r="E10" s="10"/>
      <c r="F10" s="29"/>
      <c r="G10" s="53"/>
      <c r="H10" s="25"/>
      <c r="I10" s="10"/>
      <c r="J10" s="57" t="str">
        <f>IF($I10="","",IF($B10="应收",SUMIFS(资金流水!$K$5:$K$3032,资金流水!$Q$5:$Q$3015,$I10),SUMIFS(资金流水!$L$5:$L$3032,资金流水!$Q$5:$Q$3015,$I10)))</f>
        <v/>
      </c>
      <c r="K10" s="25"/>
      <c r="L10" s="57" t="str">
        <f t="shared" si="0"/>
        <v/>
      </c>
      <c r="M10" s="56" t="str">
        <f t="shared" si="1"/>
        <v/>
      </c>
      <c r="N10" s="58" t="str">
        <f ca="1" t="shared" si="2"/>
        <v/>
      </c>
      <c r="O10" s="53"/>
      <c r="P10" s="10"/>
    </row>
    <row r="11" spans="1:16">
      <c r="A11" s="56" t="str">
        <f>IF($D11="","",COUNTA($D$5:$D11))</f>
        <v/>
      </c>
      <c r="B11" s="39"/>
      <c r="C11" s="46"/>
      <c r="D11" s="10"/>
      <c r="E11" s="10"/>
      <c r="F11" s="29"/>
      <c r="G11" s="53"/>
      <c r="H11" s="25"/>
      <c r="I11" s="10"/>
      <c r="J11" s="57" t="str">
        <f>IF($I11="","",IF($B11="应收",SUMIFS(资金流水!$K$5:$K$3032,资金流水!$Q$5:$Q$3015,$I11),SUMIFS(资金流水!$L$5:$L$3032,资金流水!$Q$5:$Q$3015,$I11)))</f>
        <v/>
      </c>
      <c r="K11" s="25"/>
      <c r="L11" s="57" t="str">
        <f t="shared" si="0"/>
        <v/>
      </c>
      <c r="M11" s="56" t="str">
        <f t="shared" si="1"/>
        <v/>
      </c>
      <c r="N11" s="58" t="str">
        <f ca="1" t="shared" si="2"/>
        <v/>
      </c>
      <c r="O11" s="53"/>
      <c r="P11" s="10"/>
    </row>
    <row r="12" spans="1:16">
      <c r="A12" s="56" t="str">
        <f>IF($D12="","",COUNTA($D$5:$D12))</f>
        <v/>
      </c>
      <c r="B12" s="39"/>
      <c r="C12" s="46"/>
      <c r="D12" s="10"/>
      <c r="E12" s="10"/>
      <c r="F12" s="29"/>
      <c r="G12" s="53"/>
      <c r="H12" s="25"/>
      <c r="I12" s="10"/>
      <c r="J12" s="57" t="str">
        <f>IF($I12="","",IF($B12="应收",SUMIFS(资金流水!$K$5:$K$3032,资金流水!$Q$5:$Q$3015,$I12),SUMIFS(资金流水!$L$5:$L$3032,资金流水!$Q$5:$Q$3015,$I12)))</f>
        <v/>
      </c>
      <c r="K12" s="25"/>
      <c r="L12" s="57" t="str">
        <f t="shared" si="0"/>
        <v/>
      </c>
      <c r="M12" s="56" t="str">
        <f t="shared" si="1"/>
        <v/>
      </c>
      <c r="N12" s="58" t="str">
        <f ca="1" t="shared" si="2"/>
        <v/>
      </c>
      <c r="O12" s="53"/>
      <c r="P12" s="10"/>
    </row>
    <row r="13" spans="1:16">
      <c r="A13" s="56" t="str">
        <f>IF($D13="","",COUNTA($D$5:$D13))</f>
        <v/>
      </c>
      <c r="B13" s="39"/>
      <c r="C13" s="46"/>
      <c r="D13" s="10"/>
      <c r="E13" s="10"/>
      <c r="F13" s="29"/>
      <c r="G13" s="53"/>
      <c r="H13" s="25"/>
      <c r="I13" s="10"/>
      <c r="J13" s="57" t="str">
        <f>IF($I13="","",IF($B13="应收",SUMIFS(资金流水!$K$5:$K$3032,资金流水!$Q$5:$Q$3015,$I13),SUMIFS(资金流水!$L$5:$L$3032,资金流水!$Q$5:$Q$3015,$I13)))</f>
        <v/>
      </c>
      <c r="K13" s="25"/>
      <c r="L13" s="57" t="str">
        <f t="shared" si="0"/>
        <v/>
      </c>
      <c r="M13" s="56" t="str">
        <f t="shared" si="1"/>
        <v/>
      </c>
      <c r="N13" s="58" t="str">
        <f ca="1" t="shared" si="2"/>
        <v/>
      </c>
      <c r="O13" s="53"/>
      <c r="P13" s="10"/>
    </row>
    <row r="14" spans="1:16">
      <c r="A14" s="56" t="str">
        <f>IF($D14="","",COUNTA($D$5:$D14))</f>
        <v/>
      </c>
      <c r="B14" s="39"/>
      <c r="C14" s="46"/>
      <c r="D14" s="10"/>
      <c r="E14" s="10"/>
      <c r="F14" s="29"/>
      <c r="G14" s="53"/>
      <c r="H14" s="25"/>
      <c r="I14" s="10"/>
      <c r="J14" s="57" t="str">
        <f>IF($I14="","",IF($B14="应收",SUMIFS(资金流水!$K$5:$K$3032,资金流水!$Q$5:$Q$3015,$I14),SUMIFS(资金流水!$L$5:$L$3032,资金流水!$Q$5:$Q$3015,$I14)))</f>
        <v/>
      </c>
      <c r="K14" s="25"/>
      <c r="L14" s="57" t="str">
        <f t="shared" si="0"/>
        <v/>
      </c>
      <c r="M14" s="56" t="str">
        <f t="shared" si="1"/>
        <v/>
      </c>
      <c r="N14" s="58" t="str">
        <f ca="1" t="shared" si="2"/>
        <v/>
      </c>
      <c r="O14" s="53"/>
      <c r="P14" s="10"/>
    </row>
    <row r="15" spans="1:16">
      <c r="A15" s="56" t="str">
        <f>IF($D15="","",COUNTA($D$5:$D15))</f>
        <v/>
      </c>
      <c r="B15" s="39"/>
      <c r="C15" s="46"/>
      <c r="D15" s="10"/>
      <c r="E15" s="10"/>
      <c r="F15" s="29"/>
      <c r="G15" s="53"/>
      <c r="H15" s="25"/>
      <c r="I15" s="10"/>
      <c r="J15" s="57" t="str">
        <f>IF($I15="","",IF($B15="应收",SUMIFS(资金流水!$K$5:$K$3032,资金流水!$Q$5:$Q$3015,$I15),SUMIFS(资金流水!$L$5:$L$3032,资金流水!$Q$5:$Q$3015,$I15)))</f>
        <v/>
      </c>
      <c r="K15" s="25"/>
      <c r="L15" s="57" t="str">
        <f t="shared" si="0"/>
        <v/>
      </c>
      <c r="M15" s="56" t="str">
        <f t="shared" si="1"/>
        <v/>
      </c>
      <c r="N15" s="58" t="str">
        <f ca="1" t="shared" si="2"/>
        <v/>
      </c>
      <c r="O15" s="53"/>
      <c r="P15" s="10"/>
    </row>
    <row r="16" spans="1:16">
      <c r="A16" s="56" t="str">
        <f>IF($D16="","",COUNTA($D$5:$D16))</f>
        <v/>
      </c>
      <c r="B16" s="39"/>
      <c r="C16" s="46"/>
      <c r="D16" s="10"/>
      <c r="E16" s="10"/>
      <c r="F16" s="29"/>
      <c r="G16" s="53"/>
      <c r="H16" s="25"/>
      <c r="I16" s="10"/>
      <c r="J16" s="57" t="str">
        <f>IF($I16="","",IF($B16="应收",SUMIFS(资金流水!$K$5:$K$3032,资金流水!$Q$5:$Q$3015,$I16),SUMIFS(资金流水!$L$5:$L$3032,资金流水!$Q$5:$Q$3015,$I16)))</f>
        <v/>
      </c>
      <c r="K16" s="25"/>
      <c r="L16" s="57" t="str">
        <f t="shared" si="0"/>
        <v/>
      </c>
      <c r="M16" s="56" t="str">
        <f t="shared" si="1"/>
        <v/>
      </c>
      <c r="N16" s="58" t="str">
        <f ca="1" t="shared" si="2"/>
        <v/>
      </c>
      <c r="O16" s="53"/>
      <c r="P16" s="10"/>
    </row>
    <row r="17" spans="1:16">
      <c r="A17" s="56" t="str">
        <f>IF($D17="","",COUNTA($D$5:$D17))</f>
        <v/>
      </c>
      <c r="B17" s="39"/>
      <c r="C17" s="46"/>
      <c r="D17" s="10"/>
      <c r="E17" s="10"/>
      <c r="F17" s="29"/>
      <c r="G17" s="53"/>
      <c r="H17" s="25"/>
      <c r="I17" s="10"/>
      <c r="J17" s="57" t="str">
        <f>IF($I17="","",IF($B17="应收",SUMIFS(资金流水!$K$5:$K$3032,资金流水!$Q$5:$Q$3015,$I17),SUMIFS(资金流水!$L$5:$L$3032,资金流水!$Q$5:$Q$3015,$I17)))</f>
        <v/>
      </c>
      <c r="K17" s="25"/>
      <c r="L17" s="57" t="str">
        <f t="shared" si="0"/>
        <v/>
      </c>
      <c r="M17" s="56" t="str">
        <f t="shared" si="1"/>
        <v/>
      </c>
      <c r="N17" s="58" t="str">
        <f ca="1" t="shared" si="2"/>
        <v/>
      </c>
      <c r="O17" s="53"/>
      <c r="P17" s="10"/>
    </row>
    <row r="18" spans="1:16">
      <c r="A18" s="56" t="str">
        <f>IF($D18="","",COUNTA($D$5:$D18))</f>
        <v/>
      </c>
      <c r="B18" s="39"/>
      <c r="C18" s="46"/>
      <c r="D18" s="10"/>
      <c r="E18" s="10"/>
      <c r="F18" s="29"/>
      <c r="G18" s="53"/>
      <c r="H18" s="25"/>
      <c r="I18" s="10"/>
      <c r="J18" s="57" t="str">
        <f>IF($I18="","",IF($B18="应收",SUMIFS(资金流水!$K$5:$K$3032,资金流水!$Q$5:$Q$3015,$I18),SUMIFS(资金流水!$L$5:$L$3032,资金流水!$Q$5:$Q$3015,$I18)))</f>
        <v/>
      </c>
      <c r="K18" s="25"/>
      <c r="L18" s="57" t="str">
        <f t="shared" si="0"/>
        <v/>
      </c>
      <c r="M18" s="56" t="str">
        <f t="shared" si="1"/>
        <v/>
      </c>
      <c r="N18" s="58" t="str">
        <f ca="1" t="shared" si="2"/>
        <v/>
      </c>
      <c r="O18" s="53"/>
      <c r="P18" s="10"/>
    </row>
    <row r="19" spans="1:16">
      <c r="A19" s="56" t="str">
        <f>IF($D19="","",COUNTA($D$5:$D19))</f>
        <v/>
      </c>
      <c r="B19" s="39"/>
      <c r="C19" s="46"/>
      <c r="D19" s="10"/>
      <c r="E19" s="10"/>
      <c r="F19" s="29"/>
      <c r="G19" s="53"/>
      <c r="H19" s="25"/>
      <c r="I19" s="10"/>
      <c r="J19" s="57" t="str">
        <f>IF($I19="","",IF($B19="应收",SUMIFS(资金流水!$K$5:$K$3032,资金流水!$Q$5:$Q$3015,$I19),SUMIFS(资金流水!$L$5:$L$3032,资金流水!$Q$5:$Q$3015,$I19)))</f>
        <v/>
      </c>
      <c r="K19" s="25"/>
      <c r="L19" s="57" t="str">
        <f t="shared" si="0"/>
        <v/>
      </c>
      <c r="M19" s="56" t="str">
        <f t="shared" si="1"/>
        <v/>
      </c>
      <c r="N19" s="58" t="str">
        <f ca="1" t="shared" si="2"/>
        <v/>
      </c>
      <c r="O19" s="53"/>
      <c r="P19" s="10"/>
    </row>
    <row r="20" spans="1:16">
      <c r="A20" s="56" t="str">
        <f>IF($D20="","",COUNTA($D$5:$D20))</f>
        <v/>
      </c>
      <c r="B20" s="39"/>
      <c r="C20" s="46"/>
      <c r="D20" s="10"/>
      <c r="E20" s="10"/>
      <c r="F20" s="29"/>
      <c r="G20" s="53"/>
      <c r="H20" s="25"/>
      <c r="I20" s="10"/>
      <c r="J20" s="57" t="str">
        <f>IF($I20="","",IF($B20="应收",SUMIFS(资金流水!$K$5:$K$3032,资金流水!$Q$5:$Q$3015,$I20),SUMIFS(资金流水!$L$5:$L$3032,资金流水!$Q$5:$Q$3015,$I20)))</f>
        <v/>
      </c>
      <c r="K20" s="25"/>
      <c r="L20" s="57" t="str">
        <f t="shared" si="0"/>
        <v/>
      </c>
      <c r="M20" s="56" t="str">
        <f t="shared" si="1"/>
        <v/>
      </c>
      <c r="N20" s="58" t="str">
        <f ca="1" t="shared" si="2"/>
        <v/>
      </c>
      <c r="O20" s="53"/>
      <c r="P20" s="10"/>
    </row>
    <row r="21" spans="1:16">
      <c r="A21" s="56" t="str">
        <f>IF($D21="","",COUNTA($D$5:$D21))</f>
        <v/>
      </c>
      <c r="B21" s="39"/>
      <c r="C21" s="46"/>
      <c r="D21" s="10"/>
      <c r="E21" s="10"/>
      <c r="F21" s="29"/>
      <c r="G21" s="53"/>
      <c r="H21" s="25"/>
      <c r="I21" s="10"/>
      <c r="J21" s="57" t="str">
        <f>IF($I21="","",IF($B21="应收",SUMIFS(资金流水!$K$5:$K$3032,资金流水!$Q$5:$Q$3015,$I21),SUMIFS(资金流水!$L$5:$L$3032,资金流水!$Q$5:$Q$3015,$I21)))</f>
        <v/>
      </c>
      <c r="K21" s="25"/>
      <c r="L21" s="57" t="str">
        <f t="shared" si="0"/>
        <v/>
      </c>
      <c r="M21" s="56" t="str">
        <f t="shared" si="1"/>
        <v/>
      </c>
      <c r="N21" s="58" t="str">
        <f ca="1" t="shared" si="2"/>
        <v/>
      </c>
      <c r="O21" s="53"/>
      <c r="P21" s="10"/>
    </row>
    <row r="22" spans="1:16">
      <c r="A22" s="56" t="str">
        <f>IF($D22="","",COUNTA($D$5:$D22))</f>
        <v/>
      </c>
      <c r="B22" s="39"/>
      <c r="C22" s="46"/>
      <c r="D22" s="10"/>
      <c r="E22" s="10"/>
      <c r="F22" s="29"/>
      <c r="G22" s="53"/>
      <c r="H22" s="25"/>
      <c r="I22" s="10"/>
      <c r="J22" s="57" t="str">
        <f>IF($I22="","",IF($B22="应收",SUMIFS(资金流水!$K$5:$K$3032,资金流水!$Q$5:$Q$3015,$I22),SUMIFS(资金流水!$L$5:$L$3032,资金流水!$Q$5:$Q$3015,$I22)))</f>
        <v/>
      </c>
      <c r="K22" s="25"/>
      <c r="L22" s="57" t="str">
        <f t="shared" si="0"/>
        <v/>
      </c>
      <c r="M22" s="56" t="str">
        <f t="shared" si="1"/>
        <v/>
      </c>
      <c r="N22" s="58" t="str">
        <f ca="1" t="shared" si="2"/>
        <v/>
      </c>
      <c r="O22" s="53"/>
      <c r="P22" s="10"/>
    </row>
    <row r="23" spans="1:16">
      <c r="A23" s="56" t="str">
        <f>IF($D23="","",COUNTA($D$5:$D23))</f>
        <v/>
      </c>
      <c r="B23" s="39"/>
      <c r="C23" s="46"/>
      <c r="D23" s="10"/>
      <c r="E23" s="10"/>
      <c r="F23" s="29"/>
      <c r="G23" s="53"/>
      <c r="H23" s="25"/>
      <c r="I23" s="10"/>
      <c r="J23" s="57" t="str">
        <f>IF($I23="","",IF($B23="应收",SUMIFS(资金流水!$K$5:$K$3032,资金流水!$Q$5:$Q$3015,$I23),SUMIFS(资金流水!$L$5:$L$3032,资金流水!$Q$5:$Q$3015,$I23)))</f>
        <v/>
      </c>
      <c r="K23" s="25"/>
      <c r="L23" s="57" t="str">
        <f t="shared" si="0"/>
        <v/>
      </c>
      <c r="M23" s="56" t="str">
        <f t="shared" si="1"/>
        <v/>
      </c>
      <c r="N23" s="58" t="str">
        <f ca="1" t="shared" si="2"/>
        <v/>
      </c>
      <c r="O23" s="53"/>
      <c r="P23" s="10"/>
    </row>
    <row r="24" spans="1:16">
      <c r="A24" s="56" t="str">
        <f>IF($D24="","",COUNTA($D$5:$D24))</f>
        <v/>
      </c>
      <c r="B24" s="39"/>
      <c r="C24" s="46"/>
      <c r="D24" s="10"/>
      <c r="E24" s="10"/>
      <c r="F24" s="29"/>
      <c r="G24" s="53"/>
      <c r="H24" s="25"/>
      <c r="I24" s="10"/>
      <c r="J24" s="57" t="str">
        <f>IF($I24="","",IF($B24="应收",SUMIFS(资金流水!$K$5:$K$3032,资金流水!$Q$5:$Q$3015,$I24),SUMIFS(资金流水!$L$5:$L$3032,资金流水!$Q$5:$Q$3015,$I24)))</f>
        <v/>
      </c>
      <c r="K24" s="25"/>
      <c r="L24" s="57" t="str">
        <f t="shared" si="0"/>
        <v/>
      </c>
      <c r="M24" s="56" t="str">
        <f t="shared" si="1"/>
        <v/>
      </c>
      <c r="N24" s="58" t="str">
        <f ca="1" t="shared" si="2"/>
        <v/>
      </c>
      <c r="O24" s="53"/>
      <c r="P24" s="10"/>
    </row>
    <row r="25" spans="1:16">
      <c r="A25" s="56" t="str">
        <f>IF($D25="","",COUNTA($D$5:$D25))</f>
        <v/>
      </c>
      <c r="B25" s="39"/>
      <c r="C25" s="46"/>
      <c r="D25" s="10"/>
      <c r="E25" s="10"/>
      <c r="F25" s="29"/>
      <c r="G25" s="53"/>
      <c r="H25" s="25"/>
      <c r="I25" s="10"/>
      <c r="J25" s="57" t="str">
        <f>IF($I25="","",IF($B25="应收",SUMIFS(资金流水!$K$5:$K$3032,资金流水!$Q$5:$Q$3015,$I25),SUMIFS(资金流水!$L$5:$L$3032,资金流水!$Q$5:$Q$3015,$I25)))</f>
        <v/>
      </c>
      <c r="K25" s="25"/>
      <c r="L25" s="57" t="str">
        <f t="shared" si="0"/>
        <v/>
      </c>
      <c r="M25" s="56" t="str">
        <f t="shared" si="1"/>
        <v/>
      </c>
      <c r="N25" s="58" t="str">
        <f ca="1" t="shared" si="2"/>
        <v/>
      </c>
      <c r="O25" s="53"/>
      <c r="P25" s="10"/>
    </row>
    <row r="26" spans="1:16">
      <c r="A26" s="56" t="str">
        <f>IF($D26="","",COUNTA($D$5:$D26))</f>
        <v/>
      </c>
      <c r="B26" s="39"/>
      <c r="C26" s="46"/>
      <c r="D26" s="10"/>
      <c r="E26" s="10"/>
      <c r="F26" s="29"/>
      <c r="G26" s="53"/>
      <c r="H26" s="25"/>
      <c r="I26" s="10"/>
      <c r="J26" s="57" t="str">
        <f>IF($I26="","",IF($B26="应收",SUMIFS(资金流水!$K$5:$K$3032,资金流水!$Q$5:$Q$3015,$I26),SUMIFS(资金流水!$L$5:$L$3032,资金流水!$Q$5:$Q$3015,$I26)))</f>
        <v/>
      </c>
      <c r="K26" s="25"/>
      <c r="L26" s="57" t="str">
        <f t="shared" si="0"/>
        <v/>
      </c>
      <c r="M26" s="56" t="str">
        <f t="shared" si="1"/>
        <v/>
      </c>
      <c r="N26" s="58" t="str">
        <f ca="1" t="shared" si="2"/>
        <v/>
      </c>
      <c r="O26" s="53"/>
      <c r="P26" s="10"/>
    </row>
    <row r="27" spans="1:16">
      <c r="A27" s="56" t="str">
        <f>IF($D27="","",COUNTA($D$5:$D27))</f>
        <v/>
      </c>
      <c r="B27" s="39"/>
      <c r="C27" s="46"/>
      <c r="D27" s="10"/>
      <c r="E27" s="10"/>
      <c r="F27" s="29"/>
      <c r="G27" s="53"/>
      <c r="H27" s="25"/>
      <c r="I27" s="10"/>
      <c r="J27" s="57" t="str">
        <f>IF($I27="","",IF($B27="应收",SUMIFS(资金流水!$K$5:$K$3032,资金流水!$Q$5:$Q$3015,$I27),SUMIFS(资金流水!$L$5:$L$3032,资金流水!$Q$5:$Q$3015,$I27)))</f>
        <v/>
      </c>
      <c r="K27" s="25"/>
      <c r="L27" s="57" t="str">
        <f t="shared" si="0"/>
        <v/>
      </c>
      <c r="M27" s="56" t="str">
        <f t="shared" si="1"/>
        <v/>
      </c>
      <c r="N27" s="58" t="str">
        <f ca="1" t="shared" si="2"/>
        <v/>
      </c>
      <c r="O27" s="53"/>
      <c r="P27" s="10"/>
    </row>
    <row r="28" spans="1:16">
      <c r="A28" s="56" t="str">
        <f>IF($D28="","",COUNTA($D$5:$D28))</f>
        <v/>
      </c>
      <c r="B28" s="39"/>
      <c r="C28" s="46"/>
      <c r="D28" s="10"/>
      <c r="E28" s="10"/>
      <c r="F28" s="29"/>
      <c r="G28" s="53"/>
      <c r="H28" s="25"/>
      <c r="I28" s="10"/>
      <c r="J28" s="57" t="str">
        <f>IF($I28="","",IF($B28="应收",SUMIFS(资金流水!$K$5:$K$3032,资金流水!$Q$5:$Q$3015,$I28),SUMIFS(资金流水!$L$5:$L$3032,资金流水!$Q$5:$Q$3015,$I28)))</f>
        <v/>
      </c>
      <c r="K28" s="25"/>
      <c r="L28" s="57" t="str">
        <f t="shared" si="0"/>
        <v/>
      </c>
      <c r="M28" s="56" t="str">
        <f t="shared" si="1"/>
        <v/>
      </c>
      <c r="N28" s="58" t="str">
        <f ca="1" t="shared" si="2"/>
        <v/>
      </c>
      <c r="O28" s="53"/>
      <c r="P28" s="10"/>
    </row>
    <row r="29" spans="1:16">
      <c r="A29" s="56" t="str">
        <f>IF($D29="","",COUNTA($D$5:$D29))</f>
        <v/>
      </c>
      <c r="B29" s="39"/>
      <c r="C29" s="46"/>
      <c r="D29" s="10"/>
      <c r="E29" s="10"/>
      <c r="F29" s="29"/>
      <c r="G29" s="53"/>
      <c r="H29" s="25"/>
      <c r="I29" s="10"/>
      <c r="J29" s="57" t="str">
        <f>IF($I29="","",IF($B29="应收",SUMIFS(资金流水!$K$5:$K$3032,资金流水!$Q$5:$Q$3015,$I29),SUMIFS(资金流水!$L$5:$L$3032,资金流水!$Q$5:$Q$3015,$I29)))</f>
        <v/>
      </c>
      <c r="K29" s="25"/>
      <c r="L29" s="57" t="str">
        <f t="shared" si="0"/>
        <v/>
      </c>
      <c r="M29" s="56" t="str">
        <f t="shared" si="1"/>
        <v/>
      </c>
      <c r="N29" s="58" t="str">
        <f ca="1" t="shared" si="2"/>
        <v/>
      </c>
      <c r="O29" s="53"/>
      <c r="P29" s="10"/>
    </row>
    <row r="30" spans="1:16">
      <c r="A30" s="56" t="str">
        <f>IF($D30="","",COUNTA($D$5:$D30))</f>
        <v/>
      </c>
      <c r="B30" s="39"/>
      <c r="C30" s="46"/>
      <c r="D30" s="10"/>
      <c r="E30" s="10"/>
      <c r="F30" s="29"/>
      <c r="G30" s="53"/>
      <c r="H30" s="25"/>
      <c r="I30" s="10"/>
      <c r="J30" s="57" t="str">
        <f>IF($I30="","",IF($B30="应收",SUMIFS(资金流水!$K$5:$K$3032,资金流水!$Q$5:$Q$3015,$I30),SUMIFS(资金流水!$L$5:$L$3032,资金流水!$Q$5:$Q$3015,$I30)))</f>
        <v/>
      </c>
      <c r="K30" s="25"/>
      <c r="L30" s="57" t="str">
        <f t="shared" si="0"/>
        <v/>
      </c>
      <c r="M30" s="56" t="str">
        <f t="shared" si="1"/>
        <v/>
      </c>
      <c r="N30" s="58" t="str">
        <f ca="1" t="shared" si="2"/>
        <v/>
      </c>
      <c r="O30" s="53"/>
      <c r="P30" s="10"/>
    </row>
    <row r="31" spans="1:16">
      <c r="A31" s="56" t="str">
        <f>IF($D31="","",COUNTA($D$5:$D31))</f>
        <v/>
      </c>
      <c r="B31" s="39"/>
      <c r="C31" s="46"/>
      <c r="D31" s="10"/>
      <c r="E31" s="10"/>
      <c r="F31" s="29"/>
      <c r="G31" s="53"/>
      <c r="H31" s="25"/>
      <c r="I31" s="10"/>
      <c r="J31" s="57" t="str">
        <f>IF($I31="","",IF($B31="应收",SUMIFS(资金流水!$K$5:$K$3032,资金流水!$Q$5:$Q$3015,$I31),SUMIFS(资金流水!$L$5:$L$3032,资金流水!$Q$5:$Q$3015,$I31)))</f>
        <v/>
      </c>
      <c r="K31" s="25"/>
      <c r="L31" s="57" t="str">
        <f t="shared" si="0"/>
        <v/>
      </c>
      <c r="M31" s="56" t="str">
        <f t="shared" si="1"/>
        <v/>
      </c>
      <c r="N31" s="58" t="str">
        <f ca="1" t="shared" si="2"/>
        <v/>
      </c>
      <c r="O31" s="53"/>
      <c r="P31" s="10"/>
    </row>
    <row r="32" spans="1:16">
      <c r="A32" s="56" t="str">
        <f>IF($D32="","",COUNTA($D$5:$D32))</f>
        <v/>
      </c>
      <c r="B32" s="39"/>
      <c r="C32" s="46"/>
      <c r="D32" s="10"/>
      <c r="E32" s="10"/>
      <c r="F32" s="29"/>
      <c r="G32" s="53"/>
      <c r="H32" s="25"/>
      <c r="I32" s="10"/>
      <c r="J32" s="57" t="str">
        <f>IF($I32="","",IF($B32="应收",SUMIFS(资金流水!$K$5:$K$3032,资金流水!$Q$5:$Q$3015,$I32),SUMIFS(资金流水!$L$5:$L$3032,资金流水!$Q$5:$Q$3015,$I32)))</f>
        <v/>
      </c>
      <c r="K32" s="25"/>
      <c r="L32" s="57" t="str">
        <f t="shared" si="0"/>
        <v/>
      </c>
      <c r="M32" s="56" t="str">
        <f t="shared" si="1"/>
        <v/>
      </c>
      <c r="N32" s="58" t="str">
        <f ca="1" t="shared" si="2"/>
        <v/>
      </c>
      <c r="O32" s="53"/>
      <c r="P32" s="10"/>
    </row>
    <row r="33" spans="1:16">
      <c r="A33" s="56" t="str">
        <f>IF($D33="","",COUNTA($D$5:$D33))</f>
        <v/>
      </c>
      <c r="B33" s="39"/>
      <c r="C33" s="46"/>
      <c r="D33" s="10"/>
      <c r="E33" s="10"/>
      <c r="F33" s="29"/>
      <c r="G33" s="53"/>
      <c r="H33" s="25"/>
      <c r="I33" s="10"/>
      <c r="J33" s="57" t="str">
        <f>IF($I33="","",IF($B33="应收",SUMIFS(资金流水!$K$5:$K$3032,资金流水!$Q$5:$Q$3015,$I33),SUMIFS(资金流水!$L$5:$L$3032,资金流水!$Q$5:$Q$3015,$I33)))</f>
        <v/>
      </c>
      <c r="K33" s="25"/>
      <c r="L33" s="57" t="str">
        <f t="shared" si="0"/>
        <v/>
      </c>
      <c r="M33" s="56" t="str">
        <f t="shared" si="1"/>
        <v/>
      </c>
      <c r="N33" s="58" t="str">
        <f ca="1" t="shared" si="2"/>
        <v/>
      </c>
      <c r="O33" s="53"/>
      <c r="P33" s="10"/>
    </row>
    <row r="34" spans="1:16">
      <c r="A34" s="56" t="str">
        <f>IF($D34="","",COUNTA($D$5:$D34))</f>
        <v/>
      </c>
      <c r="B34" s="39"/>
      <c r="C34" s="46"/>
      <c r="D34" s="10"/>
      <c r="E34" s="10"/>
      <c r="F34" s="29"/>
      <c r="G34" s="53"/>
      <c r="H34" s="25"/>
      <c r="I34" s="10"/>
      <c r="J34" s="57" t="str">
        <f>IF($I34="","",IF($B34="应收",SUMIFS(资金流水!$K$5:$K$3032,资金流水!$Q$5:$Q$3015,$I34),SUMIFS(资金流水!$L$5:$L$3032,资金流水!$Q$5:$Q$3015,$I34)))</f>
        <v/>
      </c>
      <c r="K34" s="25"/>
      <c r="L34" s="57" t="str">
        <f t="shared" si="0"/>
        <v/>
      </c>
      <c r="M34" s="56" t="str">
        <f t="shared" si="1"/>
        <v/>
      </c>
      <c r="N34" s="58" t="str">
        <f ca="1" t="shared" si="2"/>
        <v/>
      </c>
      <c r="O34" s="53"/>
      <c r="P34" s="10"/>
    </row>
    <row r="35" spans="1:16">
      <c r="A35" s="56" t="str">
        <f>IF($D35="","",COUNTA($D$5:$D35))</f>
        <v/>
      </c>
      <c r="B35" s="39"/>
      <c r="C35" s="46"/>
      <c r="D35" s="10"/>
      <c r="E35" s="10"/>
      <c r="F35" s="29"/>
      <c r="G35" s="53"/>
      <c r="H35" s="25"/>
      <c r="I35" s="10"/>
      <c r="J35" s="57" t="str">
        <f>IF($I35="","",IF($B35="应收",SUMIFS(资金流水!$K$5:$K$3032,资金流水!$Q$5:$Q$3015,$I35),SUMIFS(资金流水!$L$5:$L$3032,资金流水!$Q$5:$Q$3015,$I35)))</f>
        <v/>
      </c>
      <c r="K35" s="25"/>
      <c r="L35" s="57" t="str">
        <f t="shared" si="0"/>
        <v/>
      </c>
      <c r="M35" s="56" t="str">
        <f t="shared" si="1"/>
        <v/>
      </c>
      <c r="N35" s="58" t="str">
        <f ca="1" t="shared" si="2"/>
        <v/>
      </c>
      <c r="O35" s="53"/>
      <c r="P35" s="10"/>
    </row>
    <row r="36" spans="1:16">
      <c r="A36" s="56" t="str">
        <f>IF($D36="","",COUNTA($D$5:$D36))</f>
        <v/>
      </c>
      <c r="B36" s="39"/>
      <c r="C36" s="46"/>
      <c r="D36" s="10"/>
      <c r="E36" s="10"/>
      <c r="F36" s="29"/>
      <c r="G36" s="53"/>
      <c r="H36" s="25"/>
      <c r="I36" s="10"/>
      <c r="J36" s="57" t="str">
        <f>IF($I36="","",IF($B36="应收",SUMIFS(资金流水!$K$5:$K$3032,资金流水!$Q$5:$Q$3015,$I36),SUMIFS(资金流水!$L$5:$L$3032,资金流水!$Q$5:$Q$3015,$I36)))</f>
        <v/>
      </c>
      <c r="K36" s="25"/>
      <c r="L36" s="57" t="str">
        <f t="shared" si="0"/>
        <v/>
      </c>
      <c r="M36" s="56" t="str">
        <f t="shared" si="1"/>
        <v/>
      </c>
      <c r="N36" s="58" t="str">
        <f ca="1" t="shared" si="2"/>
        <v/>
      </c>
      <c r="O36" s="53"/>
      <c r="P36" s="10"/>
    </row>
    <row r="37" spans="1:16">
      <c r="A37" s="56" t="str">
        <f>IF($D37="","",COUNTA($D$5:$D37))</f>
        <v/>
      </c>
      <c r="B37" s="39"/>
      <c r="C37" s="46"/>
      <c r="D37" s="10"/>
      <c r="E37" s="10"/>
      <c r="F37" s="29"/>
      <c r="G37" s="53"/>
      <c r="H37" s="25"/>
      <c r="I37" s="10"/>
      <c r="J37" s="57" t="str">
        <f>IF($I37="","",IF($B37="应收",SUMIFS(资金流水!$K$5:$K$3032,资金流水!$Q$5:$Q$3015,$I37),SUMIFS(资金流水!$L$5:$L$3032,资金流水!$Q$5:$Q$3015,$I37)))</f>
        <v/>
      </c>
      <c r="K37" s="25"/>
      <c r="L37" s="57" t="str">
        <f t="shared" si="0"/>
        <v/>
      </c>
      <c r="M37" s="56" t="str">
        <f t="shared" si="1"/>
        <v/>
      </c>
      <c r="N37" s="58" t="str">
        <f ca="1" t="shared" si="2"/>
        <v/>
      </c>
      <c r="O37" s="53"/>
      <c r="P37" s="10"/>
    </row>
    <row r="38" spans="1:16">
      <c r="A38" s="56" t="str">
        <f>IF($D38="","",COUNTA($D$5:$D38))</f>
        <v/>
      </c>
      <c r="B38" s="39"/>
      <c r="C38" s="46"/>
      <c r="D38" s="10"/>
      <c r="E38" s="10"/>
      <c r="F38" s="29"/>
      <c r="G38" s="53"/>
      <c r="H38" s="25"/>
      <c r="I38" s="10"/>
      <c r="J38" s="57" t="str">
        <f>IF($I38="","",IF($B38="应收",SUMIFS(资金流水!$K$5:$K$3032,资金流水!$Q$5:$Q$3015,$I38),SUMIFS(资金流水!$L$5:$L$3032,资金流水!$Q$5:$Q$3015,$I38)))</f>
        <v/>
      </c>
      <c r="K38" s="25"/>
      <c r="L38" s="57" t="str">
        <f t="shared" si="0"/>
        <v/>
      </c>
      <c r="M38" s="56" t="str">
        <f t="shared" si="1"/>
        <v/>
      </c>
      <c r="N38" s="58" t="str">
        <f ca="1" t="shared" si="2"/>
        <v/>
      </c>
      <c r="O38" s="53"/>
      <c r="P38" s="10"/>
    </row>
    <row r="39" spans="1:16">
      <c r="A39" s="56" t="str">
        <f>IF($D39="","",COUNTA($D$5:$D39))</f>
        <v/>
      </c>
      <c r="B39" s="39"/>
      <c r="C39" s="46"/>
      <c r="D39" s="10"/>
      <c r="E39" s="10"/>
      <c r="F39" s="29"/>
      <c r="G39" s="53"/>
      <c r="H39" s="25"/>
      <c r="I39" s="10"/>
      <c r="J39" s="57" t="str">
        <f>IF($I39="","",IF($B39="应收",SUMIFS(资金流水!$K$5:$K$3032,资金流水!$Q$5:$Q$3015,$I39),SUMIFS(资金流水!$L$5:$L$3032,资金流水!$Q$5:$Q$3015,$I39)))</f>
        <v/>
      </c>
      <c r="K39" s="25"/>
      <c r="L39" s="57" t="str">
        <f t="shared" si="0"/>
        <v/>
      </c>
      <c r="M39" s="56" t="str">
        <f t="shared" si="1"/>
        <v/>
      </c>
      <c r="N39" s="58" t="str">
        <f ca="1" t="shared" si="2"/>
        <v/>
      </c>
      <c r="O39" s="53"/>
      <c r="P39" s="10"/>
    </row>
    <row r="40" spans="1:16">
      <c r="A40" s="56" t="str">
        <f>IF($D40="","",COUNTA($D$5:$D40))</f>
        <v/>
      </c>
      <c r="B40" s="39"/>
      <c r="C40" s="46"/>
      <c r="D40" s="10"/>
      <c r="E40" s="10"/>
      <c r="F40" s="29"/>
      <c r="G40" s="53"/>
      <c r="H40" s="25"/>
      <c r="I40" s="10"/>
      <c r="J40" s="57" t="str">
        <f>IF($I40="","",IF($B40="应收",SUMIFS(资金流水!$K$5:$K$3032,资金流水!$Q$5:$Q$3015,$I40),SUMIFS(资金流水!$L$5:$L$3032,资金流水!$Q$5:$Q$3015,$I40)))</f>
        <v/>
      </c>
      <c r="K40" s="25"/>
      <c r="L40" s="57" t="str">
        <f t="shared" si="0"/>
        <v/>
      </c>
      <c r="M40" s="56" t="str">
        <f t="shared" si="1"/>
        <v/>
      </c>
      <c r="N40" s="58" t="str">
        <f ca="1" t="shared" si="2"/>
        <v/>
      </c>
      <c r="O40" s="53"/>
      <c r="P40" s="10"/>
    </row>
    <row r="41" spans="1:16">
      <c r="A41" s="56" t="str">
        <f>IF($D41="","",COUNTA($D$5:$D41))</f>
        <v/>
      </c>
      <c r="B41" s="39"/>
      <c r="C41" s="46"/>
      <c r="D41" s="10"/>
      <c r="E41" s="10"/>
      <c r="F41" s="29"/>
      <c r="G41" s="53"/>
      <c r="H41" s="25"/>
      <c r="I41" s="10"/>
      <c r="J41" s="57" t="str">
        <f>IF($I41="","",IF($B41="应收",SUMIFS(资金流水!$K$5:$K$3032,资金流水!$Q$5:$Q$3015,$I41),SUMIFS(资金流水!$L$5:$L$3032,资金流水!$Q$5:$Q$3015,$I41)))</f>
        <v/>
      </c>
      <c r="K41" s="25"/>
      <c r="L41" s="57" t="str">
        <f t="shared" si="0"/>
        <v/>
      </c>
      <c r="M41" s="56" t="str">
        <f t="shared" si="1"/>
        <v/>
      </c>
      <c r="N41" s="58" t="str">
        <f ca="1" t="shared" si="2"/>
        <v/>
      </c>
      <c r="O41" s="53"/>
      <c r="P41" s="10"/>
    </row>
    <row r="42" spans="1:16">
      <c r="A42" s="56" t="str">
        <f>IF($D42="","",COUNTA($D$5:$D42))</f>
        <v/>
      </c>
      <c r="B42" s="39"/>
      <c r="C42" s="46"/>
      <c r="D42" s="10"/>
      <c r="E42" s="10"/>
      <c r="F42" s="29"/>
      <c r="G42" s="53"/>
      <c r="H42" s="25"/>
      <c r="I42" s="10"/>
      <c r="J42" s="57" t="str">
        <f>IF($I42="","",IF($B42="应收",SUMIFS(资金流水!$K$5:$K$3032,资金流水!$Q$5:$Q$3015,$I42),SUMIFS(资金流水!$L$5:$L$3032,资金流水!$Q$5:$Q$3015,$I42)))</f>
        <v/>
      </c>
      <c r="K42" s="25"/>
      <c r="L42" s="57" t="str">
        <f t="shared" si="0"/>
        <v/>
      </c>
      <c r="M42" s="56" t="str">
        <f t="shared" si="1"/>
        <v/>
      </c>
      <c r="N42" s="58" t="str">
        <f ca="1" t="shared" si="2"/>
        <v/>
      </c>
      <c r="O42" s="53"/>
      <c r="P42" s="10"/>
    </row>
    <row r="43" spans="1:16">
      <c r="A43" s="56" t="str">
        <f>IF($D43="","",COUNTA($D$5:$D43))</f>
        <v/>
      </c>
      <c r="B43" s="39"/>
      <c r="C43" s="46"/>
      <c r="D43" s="10"/>
      <c r="E43" s="10"/>
      <c r="F43" s="29"/>
      <c r="G43" s="53"/>
      <c r="H43" s="25"/>
      <c r="I43" s="10"/>
      <c r="J43" s="57" t="str">
        <f>IF($I43="","",IF($B43="应收",SUMIFS(资金流水!$K$5:$K$3032,资金流水!$Q$5:$Q$3015,$I43),SUMIFS(资金流水!$L$5:$L$3032,资金流水!$Q$5:$Q$3015,$I43)))</f>
        <v/>
      </c>
      <c r="K43" s="25"/>
      <c r="L43" s="57" t="str">
        <f t="shared" si="0"/>
        <v/>
      </c>
      <c r="M43" s="56" t="str">
        <f t="shared" si="1"/>
        <v/>
      </c>
      <c r="N43" s="58" t="str">
        <f ca="1" t="shared" si="2"/>
        <v/>
      </c>
      <c r="O43" s="53"/>
      <c r="P43" s="10"/>
    </row>
    <row r="44" spans="1:16">
      <c r="A44" s="56" t="str">
        <f>IF($D44="","",COUNTA($D$5:$D44))</f>
        <v/>
      </c>
      <c r="B44" s="39"/>
      <c r="C44" s="46"/>
      <c r="D44" s="10"/>
      <c r="E44" s="10"/>
      <c r="F44" s="29"/>
      <c r="G44" s="53"/>
      <c r="H44" s="25"/>
      <c r="I44" s="10"/>
      <c r="J44" s="57" t="str">
        <f>IF($I44="","",IF($B44="应收",SUMIFS(资金流水!$K$5:$K$3032,资金流水!$Q$5:$Q$3015,$I44),SUMIFS(资金流水!$L$5:$L$3032,资金流水!$Q$5:$Q$3015,$I44)))</f>
        <v/>
      </c>
      <c r="K44" s="25"/>
      <c r="L44" s="57" t="str">
        <f t="shared" si="0"/>
        <v/>
      </c>
      <c r="M44" s="56" t="str">
        <f t="shared" si="1"/>
        <v/>
      </c>
      <c r="N44" s="58" t="str">
        <f ca="1" t="shared" si="2"/>
        <v/>
      </c>
      <c r="O44" s="53"/>
      <c r="P44" s="10"/>
    </row>
    <row r="45" spans="1:16">
      <c r="A45" s="56" t="str">
        <f>IF($D45="","",COUNTA($D$5:$D45))</f>
        <v/>
      </c>
      <c r="B45" s="39"/>
      <c r="C45" s="46"/>
      <c r="D45" s="10"/>
      <c r="E45" s="10"/>
      <c r="F45" s="29"/>
      <c r="G45" s="53"/>
      <c r="H45" s="25"/>
      <c r="I45" s="10"/>
      <c r="J45" s="57" t="str">
        <f>IF($I45="","",IF($B45="应收",SUMIFS(资金流水!$K$5:$K$3032,资金流水!$Q$5:$Q$3015,$I45),SUMIFS(资金流水!$L$5:$L$3032,资金流水!$Q$5:$Q$3015,$I45)))</f>
        <v/>
      </c>
      <c r="K45" s="25"/>
      <c r="L45" s="57" t="str">
        <f t="shared" si="0"/>
        <v/>
      </c>
      <c r="M45" s="56" t="str">
        <f t="shared" si="1"/>
        <v/>
      </c>
      <c r="N45" s="58" t="str">
        <f ca="1" t="shared" si="2"/>
        <v/>
      </c>
      <c r="O45" s="53"/>
      <c r="P45" s="10"/>
    </row>
    <row r="46" spans="1:16">
      <c r="A46" s="56" t="str">
        <f>IF($D46="","",COUNTA($D$5:$D46))</f>
        <v/>
      </c>
      <c r="B46" s="39"/>
      <c r="C46" s="46"/>
      <c r="D46" s="10"/>
      <c r="E46" s="10"/>
      <c r="F46" s="29"/>
      <c r="G46" s="53"/>
      <c r="H46" s="25"/>
      <c r="I46" s="10"/>
      <c r="J46" s="57" t="str">
        <f>IF($I46="","",IF($B46="应收",SUMIFS(资金流水!$K$5:$K$3032,资金流水!$Q$5:$Q$3015,$I46),SUMIFS(资金流水!$L$5:$L$3032,资金流水!$Q$5:$Q$3015,$I46)))</f>
        <v/>
      </c>
      <c r="K46" s="25"/>
      <c r="L46" s="57" t="str">
        <f t="shared" si="0"/>
        <v/>
      </c>
      <c r="M46" s="56" t="str">
        <f t="shared" si="1"/>
        <v/>
      </c>
      <c r="N46" s="58" t="str">
        <f ca="1" t="shared" si="2"/>
        <v/>
      </c>
      <c r="O46" s="53"/>
      <c r="P46" s="10"/>
    </row>
    <row r="47" spans="1:16">
      <c r="A47" s="56" t="str">
        <f>IF($D47="","",COUNTA($D$5:$D47))</f>
        <v/>
      </c>
      <c r="B47" s="39"/>
      <c r="C47" s="46"/>
      <c r="D47" s="10"/>
      <c r="E47" s="10"/>
      <c r="F47" s="29"/>
      <c r="G47" s="53"/>
      <c r="H47" s="25"/>
      <c r="I47" s="10"/>
      <c r="J47" s="57" t="str">
        <f>IF($I47="","",IF($B47="应收",SUMIFS(资金流水!$K$5:$K$3032,资金流水!$Q$5:$Q$3015,$I47),SUMIFS(资金流水!$L$5:$L$3032,资金流水!$Q$5:$Q$3015,$I47)))</f>
        <v/>
      </c>
      <c r="K47" s="25"/>
      <c r="L47" s="57" t="str">
        <f t="shared" si="0"/>
        <v/>
      </c>
      <c r="M47" s="56" t="str">
        <f t="shared" si="1"/>
        <v/>
      </c>
      <c r="N47" s="58" t="str">
        <f ca="1" t="shared" si="2"/>
        <v/>
      </c>
      <c r="O47" s="53"/>
      <c r="P47" s="10"/>
    </row>
    <row r="48" spans="1:16">
      <c r="A48" s="56" t="str">
        <f>IF($D48="","",COUNTA($D$5:$D48))</f>
        <v/>
      </c>
      <c r="B48" s="39"/>
      <c r="C48" s="46"/>
      <c r="D48" s="10"/>
      <c r="E48" s="10"/>
      <c r="F48" s="29"/>
      <c r="G48" s="53"/>
      <c r="H48" s="25"/>
      <c r="I48" s="10"/>
      <c r="J48" s="57" t="str">
        <f>IF($I48="","",IF($B48="应收",SUMIFS(资金流水!$K$5:$K$3032,资金流水!$Q$5:$Q$3015,$I48),SUMIFS(资金流水!$L$5:$L$3032,资金流水!$Q$5:$Q$3015,$I48)))</f>
        <v/>
      </c>
      <c r="K48" s="25"/>
      <c r="L48" s="57" t="str">
        <f t="shared" si="0"/>
        <v/>
      </c>
      <c r="M48" s="56" t="str">
        <f t="shared" si="1"/>
        <v/>
      </c>
      <c r="N48" s="58" t="str">
        <f ca="1" t="shared" si="2"/>
        <v/>
      </c>
      <c r="O48" s="53"/>
      <c r="P48" s="10"/>
    </row>
    <row r="49" spans="1:16">
      <c r="A49" s="56" t="str">
        <f>IF($D49="","",COUNTA($D$5:$D49))</f>
        <v/>
      </c>
      <c r="B49" s="39"/>
      <c r="C49" s="46"/>
      <c r="D49" s="10"/>
      <c r="E49" s="10"/>
      <c r="F49" s="29"/>
      <c r="G49" s="53"/>
      <c r="H49" s="25"/>
      <c r="I49" s="10"/>
      <c r="J49" s="57" t="str">
        <f>IF($I49="","",IF($B49="应收",SUMIFS(资金流水!$K$5:$K$3032,资金流水!$Q$5:$Q$3015,$I49),SUMIFS(资金流水!$L$5:$L$3032,资金流水!$Q$5:$Q$3015,$I49)))</f>
        <v/>
      </c>
      <c r="K49" s="25"/>
      <c r="L49" s="57" t="str">
        <f t="shared" si="0"/>
        <v/>
      </c>
      <c r="M49" s="56" t="str">
        <f t="shared" si="1"/>
        <v/>
      </c>
      <c r="N49" s="58" t="str">
        <f ca="1" t="shared" si="2"/>
        <v/>
      </c>
      <c r="O49" s="53"/>
      <c r="P49" s="10"/>
    </row>
    <row r="50" spans="1:16">
      <c r="A50" s="56" t="str">
        <f>IF($D50="","",COUNTA($D$5:$D50))</f>
        <v/>
      </c>
      <c r="B50" s="39"/>
      <c r="C50" s="46"/>
      <c r="D50" s="10"/>
      <c r="E50" s="10"/>
      <c r="F50" s="29"/>
      <c r="G50" s="53"/>
      <c r="H50" s="25"/>
      <c r="I50" s="10"/>
      <c r="J50" s="57" t="str">
        <f>IF($I50="","",IF($B50="应收",SUMIFS(资金流水!$K$5:$K$3032,资金流水!$Q$5:$Q$3015,$I50),SUMIFS(资金流水!$L$5:$L$3032,资金流水!$Q$5:$Q$3015,$I50)))</f>
        <v/>
      </c>
      <c r="K50" s="25"/>
      <c r="L50" s="57" t="str">
        <f t="shared" si="0"/>
        <v/>
      </c>
      <c r="M50" s="56" t="str">
        <f t="shared" si="1"/>
        <v/>
      </c>
      <c r="N50" s="58" t="str">
        <f ca="1" t="shared" si="2"/>
        <v/>
      </c>
      <c r="O50" s="53"/>
      <c r="P50" s="10"/>
    </row>
    <row r="51" spans="1:16">
      <c r="A51" s="56" t="str">
        <f>IF($D51="","",COUNTA($D$5:$D51))</f>
        <v/>
      </c>
      <c r="B51" s="39"/>
      <c r="C51" s="46"/>
      <c r="D51" s="10"/>
      <c r="E51" s="10"/>
      <c r="F51" s="29"/>
      <c r="G51" s="53"/>
      <c r="H51" s="25"/>
      <c r="I51" s="10"/>
      <c r="J51" s="57" t="str">
        <f>IF($I51="","",IF($B51="应收",SUMIFS(资金流水!$K$5:$K$3032,资金流水!$Q$5:$Q$3015,$I51),SUMIFS(资金流水!$L$5:$L$3032,资金流水!$Q$5:$Q$3015,$I51)))</f>
        <v/>
      </c>
      <c r="K51" s="25"/>
      <c r="L51" s="57" t="str">
        <f t="shared" si="0"/>
        <v/>
      </c>
      <c r="M51" s="56" t="str">
        <f t="shared" si="1"/>
        <v/>
      </c>
      <c r="N51" s="58" t="str">
        <f ca="1" t="shared" si="2"/>
        <v/>
      </c>
      <c r="O51" s="53"/>
      <c r="P51" s="10"/>
    </row>
    <row r="52" spans="1:16">
      <c r="A52" s="56" t="str">
        <f>IF($D52="","",COUNTA($D$5:$D52))</f>
        <v/>
      </c>
      <c r="B52" s="39"/>
      <c r="C52" s="46"/>
      <c r="D52" s="10"/>
      <c r="E52" s="10"/>
      <c r="F52" s="29"/>
      <c r="G52" s="53"/>
      <c r="H52" s="25"/>
      <c r="I52" s="10"/>
      <c r="J52" s="57" t="str">
        <f>IF($I52="","",IF($B52="应收",SUMIFS(资金流水!$K$5:$K$3032,资金流水!$Q$5:$Q$3015,$I52),SUMIFS(资金流水!$L$5:$L$3032,资金流水!$Q$5:$Q$3015,$I52)))</f>
        <v/>
      </c>
      <c r="K52" s="25"/>
      <c r="L52" s="57" t="str">
        <f t="shared" si="0"/>
        <v/>
      </c>
      <c r="M52" s="56" t="str">
        <f t="shared" si="1"/>
        <v/>
      </c>
      <c r="N52" s="58" t="str">
        <f ca="1" t="shared" si="2"/>
        <v/>
      </c>
      <c r="O52" s="53"/>
      <c r="P52" s="10"/>
    </row>
    <row r="53" spans="1:16">
      <c r="A53" s="56" t="str">
        <f>IF($D53="","",COUNTA($D$5:$D53))</f>
        <v/>
      </c>
      <c r="B53" s="39"/>
      <c r="C53" s="46"/>
      <c r="D53" s="10"/>
      <c r="E53" s="10"/>
      <c r="F53" s="29"/>
      <c r="G53" s="53"/>
      <c r="H53" s="25"/>
      <c r="I53" s="10"/>
      <c r="J53" s="57" t="str">
        <f>IF($I53="","",IF($B53="应收",SUMIFS(资金流水!$K$5:$K$3032,资金流水!$Q$5:$Q$3015,$I53),SUMIFS(资金流水!$L$5:$L$3032,资金流水!$Q$5:$Q$3015,$I53)))</f>
        <v/>
      </c>
      <c r="K53" s="25"/>
      <c r="L53" s="57" t="str">
        <f t="shared" si="0"/>
        <v/>
      </c>
      <c r="M53" s="56" t="str">
        <f t="shared" si="1"/>
        <v/>
      </c>
      <c r="N53" s="58" t="str">
        <f ca="1" t="shared" si="2"/>
        <v/>
      </c>
      <c r="O53" s="53"/>
      <c r="P53" s="10"/>
    </row>
    <row r="54" spans="1:16">
      <c r="A54" s="56" t="str">
        <f>IF($D54="","",COUNTA($D$5:$D54))</f>
        <v/>
      </c>
      <c r="B54" s="39"/>
      <c r="C54" s="46"/>
      <c r="D54" s="10"/>
      <c r="E54" s="10"/>
      <c r="F54" s="29"/>
      <c r="G54" s="53"/>
      <c r="H54" s="25"/>
      <c r="I54" s="10"/>
      <c r="J54" s="57" t="str">
        <f>IF($I54="","",IF($B54="应收",SUMIFS(资金流水!$K$5:$K$3032,资金流水!$Q$5:$Q$3015,$I54),SUMIFS(资金流水!$L$5:$L$3032,资金流水!$Q$5:$Q$3015,$I54)))</f>
        <v/>
      </c>
      <c r="K54" s="25"/>
      <c r="L54" s="57" t="str">
        <f t="shared" si="0"/>
        <v/>
      </c>
      <c r="M54" s="56" t="str">
        <f t="shared" si="1"/>
        <v/>
      </c>
      <c r="N54" s="58" t="str">
        <f ca="1" t="shared" si="2"/>
        <v/>
      </c>
      <c r="O54" s="53"/>
      <c r="P54" s="10"/>
    </row>
    <row r="55" spans="1:16">
      <c r="A55" s="56" t="str">
        <f>IF($D55="","",COUNTA($D$5:$D55))</f>
        <v/>
      </c>
      <c r="B55" s="39"/>
      <c r="C55" s="46"/>
      <c r="D55" s="10"/>
      <c r="E55" s="10"/>
      <c r="F55" s="29"/>
      <c r="G55" s="53"/>
      <c r="H55" s="25"/>
      <c r="I55" s="10"/>
      <c r="J55" s="57" t="str">
        <f>IF($I55="","",IF($B55="应收",SUMIFS(资金流水!$K$5:$K$3032,资金流水!$Q$5:$Q$3015,$I55),SUMIFS(资金流水!$L$5:$L$3032,资金流水!$Q$5:$Q$3015,$I55)))</f>
        <v/>
      </c>
      <c r="K55" s="25"/>
      <c r="L55" s="57" t="str">
        <f t="shared" si="0"/>
        <v/>
      </c>
      <c r="M55" s="56" t="str">
        <f t="shared" si="1"/>
        <v/>
      </c>
      <c r="N55" s="58" t="str">
        <f ca="1" t="shared" si="2"/>
        <v/>
      </c>
      <c r="O55" s="53"/>
      <c r="P55" s="10"/>
    </row>
    <row r="56" spans="1:16">
      <c r="A56" s="56" t="str">
        <f>IF($D56="","",COUNTA($D$5:$D56))</f>
        <v/>
      </c>
      <c r="B56" s="39"/>
      <c r="C56" s="46"/>
      <c r="D56" s="10"/>
      <c r="E56" s="10"/>
      <c r="F56" s="29"/>
      <c r="G56" s="53"/>
      <c r="H56" s="25"/>
      <c r="I56" s="10"/>
      <c r="J56" s="57" t="str">
        <f>IF($I56="","",IF($B56="应收",SUMIFS(资金流水!$K$5:$K$3032,资金流水!$Q$5:$Q$3015,$I56),SUMIFS(资金流水!$L$5:$L$3032,资金流水!$Q$5:$Q$3015,$I56)))</f>
        <v/>
      </c>
      <c r="K56" s="25"/>
      <c r="L56" s="57" t="str">
        <f t="shared" si="0"/>
        <v/>
      </c>
      <c r="M56" s="56" t="str">
        <f t="shared" si="1"/>
        <v/>
      </c>
      <c r="N56" s="58" t="str">
        <f ca="1" t="shared" si="2"/>
        <v/>
      </c>
      <c r="O56" s="53"/>
      <c r="P56" s="10"/>
    </row>
    <row r="57" spans="1:16">
      <c r="A57" s="56" t="str">
        <f>IF($D57="","",COUNTA($D$5:$D57))</f>
        <v/>
      </c>
      <c r="B57" s="39"/>
      <c r="C57" s="46"/>
      <c r="D57" s="10"/>
      <c r="E57" s="10"/>
      <c r="F57" s="29"/>
      <c r="G57" s="53"/>
      <c r="H57" s="25"/>
      <c r="I57" s="10"/>
      <c r="J57" s="57" t="str">
        <f>IF($I57="","",IF($B57="应收",SUMIFS(资金流水!$K$5:$K$3032,资金流水!$Q$5:$Q$3015,$I57),SUMIFS(资金流水!$L$5:$L$3032,资金流水!$Q$5:$Q$3015,$I57)))</f>
        <v/>
      </c>
      <c r="K57" s="25"/>
      <c r="L57" s="57" t="str">
        <f t="shared" si="0"/>
        <v/>
      </c>
      <c r="M57" s="56" t="str">
        <f t="shared" si="1"/>
        <v/>
      </c>
      <c r="N57" s="58" t="str">
        <f ca="1" t="shared" si="2"/>
        <v/>
      </c>
      <c r="O57" s="53"/>
      <c r="P57" s="10"/>
    </row>
    <row r="58" spans="1:16">
      <c r="A58" s="56" t="str">
        <f>IF($D58="","",COUNTA($D$5:$D58))</f>
        <v/>
      </c>
      <c r="B58" s="39"/>
      <c r="C58" s="46"/>
      <c r="D58" s="10"/>
      <c r="E58" s="10"/>
      <c r="F58" s="29"/>
      <c r="G58" s="53"/>
      <c r="H58" s="25"/>
      <c r="I58" s="10"/>
      <c r="J58" s="57" t="str">
        <f>IF($I58="","",IF($B58="应收",SUMIFS(资金流水!$K$5:$K$3032,资金流水!$Q$5:$Q$3015,$I58),SUMIFS(资金流水!$L$5:$L$3032,资金流水!$Q$5:$Q$3015,$I58)))</f>
        <v/>
      </c>
      <c r="K58" s="25"/>
      <c r="L58" s="57" t="str">
        <f t="shared" si="0"/>
        <v/>
      </c>
      <c r="M58" s="56" t="str">
        <f t="shared" si="1"/>
        <v/>
      </c>
      <c r="N58" s="58" t="str">
        <f ca="1" t="shared" si="2"/>
        <v/>
      </c>
      <c r="O58" s="53"/>
      <c r="P58" s="10"/>
    </row>
    <row r="59" spans="1:16">
      <c r="A59" s="56" t="str">
        <f>IF($D59="","",COUNTA($D$5:$D59))</f>
        <v/>
      </c>
      <c r="B59" s="39"/>
      <c r="C59" s="46"/>
      <c r="D59" s="10"/>
      <c r="E59" s="10"/>
      <c r="F59" s="29"/>
      <c r="G59" s="53"/>
      <c r="H59" s="25"/>
      <c r="I59" s="10"/>
      <c r="J59" s="57" t="str">
        <f>IF($I59="","",IF($B59="应收",SUMIFS(资金流水!$K$5:$K$3032,资金流水!$Q$5:$Q$3015,$I59),SUMIFS(资金流水!$L$5:$L$3032,资金流水!$Q$5:$Q$3015,$I59)))</f>
        <v/>
      </c>
      <c r="K59" s="25"/>
      <c r="L59" s="57" t="str">
        <f t="shared" si="0"/>
        <v/>
      </c>
      <c r="M59" s="56" t="str">
        <f t="shared" si="1"/>
        <v/>
      </c>
      <c r="N59" s="58" t="str">
        <f ca="1" t="shared" si="2"/>
        <v/>
      </c>
      <c r="O59" s="53"/>
      <c r="P59" s="10"/>
    </row>
    <row r="60" spans="1:16">
      <c r="A60" s="56" t="str">
        <f>IF($D60="","",COUNTA($D$5:$D60))</f>
        <v/>
      </c>
      <c r="B60" s="39"/>
      <c r="C60" s="46"/>
      <c r="D60" s="10"/>
      <c r="E60" s="10"/>
      <c r="F60" s="29"/>
      <c r="G60" s="53"/>
      <c r="H60" s="25"/>
      <c r="I60" s="10"/>
      <c r="J60" s="57" t="str">
        <f>IF($I60="","",IF($B60="应收",SUMIFS(资金流水!$K$5:$K$3032,资金流水!$Q$5:$Q$3015,$I60),SUMIFS(资金流水!$L$5:$L$3032,资金流水!$Q$5:$Q$3015,$I60)))</f>
        <v/>
      </c>
      <c r="K60" s="25"/>
      <c r="L60" s="57" t="str">
        <f t="shared" si="0"/>
        <v/>
      </c>
      <c r="M60" s="56" t="str">
        <f t="shared" si="1"/>
        <v/>
      </c>
      <c r="N60" s="58" t="str">
        <f ca="1" t="shared" si="2"/>
        <v/>
      </c>
      <c r="O60" s="53"/>
      <c r="P60" s="10"/>
    </row>
    <row r="61" spans="1:16">
      <c r="A61" s="56" t="str">
        <f>IF($D61="","",COUNTA($D$5:$D61))</f>
        <v/>
      </c>
      <c r="B61" s="39"/>
      <c r="C61" s="46"/>
      <c r="D61" s="10"/>
      <c r="E61" s="10"/>
      <c r="F61" s="29"/>
      <c r="G61" s="53"/>
      <c r="H61" s="25"/>
      <c r="I61" s="10"/>
      <c r="J61" s="57" t="str">
        <f>IF($I61="","",IF($B61="应收",SUMIFS(资金流水!$K$5:$K$3032,资金流水!$Q$5:$Q$3015,$I61),SUMIFS(资金流水!$L$5:$L$3032,资金流水!$Q$5:$Q$3015,$I61)))</f>
        <v/>
      </c>
      <c r="K61" s="25"/>
      <c r="L61" s="57" t="str">
        <f t="shared" si="0"/>
        <v/>
      </c>
      <c r="M61" s="56" t="str">
        <f t="shared" si="1"/>
        <v/>
      </c>
      <c r="N61" s="58" t="str">
        <f ca="1" t="shared" si="2"/>
        <v/>
      </c>
      <c r="O61" s="53"/>
      <c r="P61" s="10"/>
    </row>
    <row r="62" spans="1:16">
      <c r="A62" s="56" t="str">
        <f>IF($D62="","",COUNTA($D$5:$D62))</f>
        <v/>
      </c>
      <c r="B62" s="39"/>
      <c r="C62" s="46"/>
      <c r="D62" s="10"/>
      <c r="E62" s="10"/>
      <c r="F62" s="29"/>
      <c r="G62" s="53"/>
      <c r="H62" s="25"/>
      <c r="I62" s="10"/>
      <c r="J62" s="57" t="str">
        <f>IF($I62="","",IF($B62="应收",SUMIFS(资金流水!$K$5:$K$3032,资金流水!$Q$5:$Q$3015,$I62),SUMIFS(资金流水!$L$5:$L$3032,资金流水!$Q$5:$Q$3015,$I62)))</f>
        <v/>
      </c>
      <c r="K62" s="25"/>
      <c r="L62" s="57" t="str">
        <f t="shared" si="0"/>
        <v/>
      </c>
      <c r="M62" s="56" t="str">
        <f t="shared" si="1"/>
        <v/>
      </c>
      <c r="N62" s="58" t="str">
        <f ca="1" t="shared" si="2"/>
        <v/>
      </c>
      <c r="O62" s="53"/>
      <c r="P62" s="10"/>
    </row>
    <row r="63" spans="1:16">
      <c r="A63" s="56" t="str">
        <f>IF($D63="","",COUNTA($D$5:$D63))</f>
        <v/>
      </c>
      <c r="B63" s="39"/>
      <c r="C63" s="46"/>
      <c r="D63" s="10"/>
      <c r="E63" s="10"/>
      <c r="F63" s="29"/>
      <c r="G63" s="53"/>
      <c r="H63" s="25"/>
      <c r="I63" s="10"/>
      <c r="J63" s="57" t="str">
        <f>IF($I63="","",IF($B63="应收",SUMIFS(资金流水!$K$5:$K$3032,资金流水!$Q$5:$Q$3015,$I63),SUMIFS(资金流水!$L$5:$L$3032,资金流水!$Q$5:$Q$3015,$I63)))</f>
        <v/>
      </c>
      <c r="K63" s="25"/>
      <c r="L63" s="57" t="str">
        <f t="shared" si="0"/>
        <v/>
      </c>
      <c r="M63" s="56" t="str">
        <f t="shared" si="1"/>
        <v/>
      </c>
      <c r="N63" s="58" t="str">
        <f ca="1" t="shared" si="2"/>
        <v/>
      </c>
      <c r="O63" s="53"/>
      <c r="P63" s="10"/>
    </row>
    <row r="64" spans="1:16">
      <c r="A64" s="56" t="str">
        <f>IF($D64="","",COUNTA($D$5:$D64))</f>
        <v/>
      </c>
      <c r="B64" s="39"/>
      <c r="C64" s="46"/>
      <c r="D64" s="10"/>
      <c r="E64" s="10"/>
      <c r="F64" s="29"/>
      <c r="G64" s="53"/>
      <c r="H64" s="25"/>
      <c r="I64" s="10"/>
      <c r="J64" s="57" t="str">
        <f>IF($I64="","",IF($B64="应收",SUMIFS(资金流水!$K$5:$K$3032,资金流水!$Q$5:$Q$3015,$I64),SUMIFS(资金流水!$L$5:$L$3032,资金流水!$Q$5:$Q$3015,$I64)))</f>
        <v/>
      </c>
      <c r="K64" s="25"/>
      <c r="L64" s="57" t="str">
        <f t="shared" si="0"/>
        <v/>
      </c>
      <c r="M64" s="56" t="str">
        <f t="shared" si="1"/>
        <v/>
      </c>
      <c r="N64" s="58" t="str">
        <f ca="1" t="shared" si="2"/>
        <v/>
      </c>
      <c r="O64" s="53"/>
      <c r="P64" s="10"/>
    </row>
    <row r="65" spans="1:16">
      <c r="A65" s="56" t="str">
        <f>IF($D65="","",COUNTA($D$5:$D65))</f>
        <v/>
      </c>
      <c r="B65" s="39"/>
      <c r="C65" s="46"/>
      <c r="D65" s="10"/>
      <c r="E65" s="10"/>
      <c r="F65" s="29"/>
      <c r="G65" s="53"/>
      <c r="H65" s="25"/>
      <c r="I65" s="10"/>
      <c r="J65" s="57" t="str">
        <f>IF($I65="","",IF($B65="应收",SUMIFS(资金流水!$K$5:$K$3032,资金流水!$Q$5:$Q$3015,$I65),SUMIFS(资金流水!$L$5:$L$3032,资金流水!$Q$5:$Q$3015,$I65)))</f>
        <v/>
      </c>
      <c r="K65" s="25"/>
      <c r="L65" s="57" t="str">
        <f t="shared" si="0"/>
        <v/>
      </c>
      <c r="M65" s="56" t="str">
        <f t="shared" si="1"/>
        <v/>
      </c>
      <c r="N65" s="58" t="str">
        <f ca="1" t="shared" si="2"/>
        <v/>
      </c>
      <c r="O65" s="53"/>
      <c r="P65" s="10"/>
    </row>
    <row r="66" spans="1:16">
      <c r="A66" s="56" t="str">
        <f>IF($D66="","",COUNTA($D$5:$D66))</f>
        <v/>
      </c>
      <c r="B66" s="39"/>
      <c r="C66" s="46"/>
      <c r="D66" s="10"/>
      <c r="E66" s="10"/>
      <c r="F66" s="29"/>
      <c r="G66" s="53"/>
      <c r="H66" s="25"/>
      <c r="I66" s="10"/>
      <c r="J66" s="57" t="str">
        <f>IF($I66="","",IF($B66="应收",SUMIFS(资金流水!$K$5:$K$3032,资金流水!$Q$5:$Q$3015,$I66),SUMIFS(资金流水!$L$5:$L$3032,资金流水!$Q$5:$Q$3015,$I66)))</f>
        <v/>
      </c>
      <c r="K66" s="25"/>
      <c r="L66" s="57" t="str">
        <f t="shared" si="0"/>
        <v/>
      </c>
      <c r="M66" s="56" t="str">
        <f t="shared" si="1"/>
        <v/>
      </c>
      <c r="N66" s="58" t="str">
        <f ca="1" t="shared" si="2"/>
        <v/>
      </c>
      <c r="O66" s="53"/>
      <c r="P66" s="10"/>
    </row>
    <row r="67" spans="1:16">
      <c r="A67" s="56" t="str">
        <f>IF($D67="","",COUNTA($D$5:$D67))</f>
        <v/>
      </c>
      <c r="B67" s="39"/>
      <c r="C67" s="46"/>
      <c r="D67" s="10"/>
      <c r="E67" s="10"/>
      <c r="F67" s="29"/>
      <c r="G67" s="53"/>
      <c r="H67" s="25"/>
      <c r="I67" s="10"/>
      <c r="J67" s="57" t="str">
        <f>IF($I67="","",IF($B67="应收",SUMIFS(资金流水!$K$5:$K$3032,资金流水!$Q$5:$Q$3015,$I67),SUMIFS(资金流水!$L$5:$L$3032,资金流水!$Q$5:$Q$3015,$I67)))</f>
        <v/>
      </c>
      <c r="K67" s="25"/>
      <c r="L67" s="57" t="str">
        <f t="shared" si="0"/>
        <v/>
      </c>
      <c r="M67" s="56" t="str">
        <f t="shared" si="1"/>
        <v/>
      </c>
      <c r="N67" s="58" t="str">
        <f ca="1" t="shared" si="2"/>
        <v/>
      </c>
      <c r="O67" s="53"/>
      <c r="P67" s="10"/>
    </row>
    <row r="68" spans="1:16">
      <c r="A68" s="56" t="str">
        <f>IF($D68="","",COUNTA($D$5:$D68))</f>
        <v/>
      </c>
      <c r="B68" s="39"/>
      <c r="C68" s="46"/>
      <c r="D68" s="10"/>
      <c r="E68" s="10"/>
      <c r="F68" s="29"/>
      <c r="G68" s="53"/>
      <c r="H68" s="25"/>
      <c r="I68" s="10"/>
      <c r="J68" s="57" t="str">
        <f>IF($I68="","",IF($B68="应收",SUMIFS(资金流水!$K$5:$K$3032,资金流水!$Q$5:$Q$3015,$I68),SUMIFS(资金流水!$L$5:$L$3032,资金流水!$Q$5:$Q$3015,$I68)))</f>
        <v/>
      </c>
      <c r="K68" s="25"/>
      <c r="L68" s="57" t="str">
        <f t="shared" si="0"/>
        <v/>
      </c>
      <c r="M68" s="56" t="str">
        <f t="shared" si="1"/>
        <v/>
      </c>
      <c r="N68" s="58" t="str">
        <f ca="1" t="shared" si="2"/>
        <v/>
      </c>
      <c r="O68" s="53"/>
      <c r="P68" s="10"/>
    </row>
    <row r="69" spans="1:16">
      <c r="A69" s="56" t="str">
        <f>IF($D69="","",COUNTA($D$5:$D69))</f>
        <v/>
      </c>
      <c r="B69" s="39"/>
      <c r="C69" s="46"/>
      <c r="D69" s="10"/>
      <c r="E69" s="10"/>
      <c r="F69" s="29"/>
      <c r="G69" s="53"/>
      <c r="H69" s="25"/>
      <c r="I69" s="10"/>
      <c r="J69" s="57" t="str">
        <f>IF($I69="","",IF($B69="应收",SUMIFS(资金流水!$K$5:$K$3032,资金流水!$Q$5:$Q$3015,$I69),SUMIFS(资金流水!$L$5:$L$3032,资金流水!$Q$5:$Q$3015,$I69)))</f>
        <v/>
      </c>
      <c r="K69" s="25"/>
      <c r="L69" s="57" t="str">
        <f t="shared" ref="L69:L132" si="3">IF($H69="","",ROUND($H69-IF($J69="",0,$J69)-IF($K69="",0,$K69),2))</f>
        <v/>
      </c>
      <c r="M69" s="56" t="str">
        <f t="shared" ref="M69:M132" si="4">IF($H69="","",IF($L69&lt;=0.005,"已结清",IF($L69&lt;$H69,"部分结算","未结算")))</f>
        <v/>
      </c>
      <c r="N69" s="58" t="str">
        <f ca="1" t="shared" ref="N69:N132" si="5">IF(OR($G69="",$L69="",$L69&lt;=0.005),"",TODAY()-$G69)</f>
        <v/>
      </c>
      <c r="O69" s="53"/>
      <c r="P69" s="10"/>
    </row>
    <row r="70" spans="1:16">
      <c r="A70" s="56" t="str">
        <f>IF($D70="","",COUNTA($D$5:$D70))</f>
        <v/>
      </c>
      <c r="B70" s="39"/>
      <c r="C70" s="46"/>
      <c r="D70" s="10"/>
      <c r="E70" s="10"/>
      <c r="F70" s="29"/>
      <c r="G70" s="53"/>
      <c r="H70" s="25"/>
      <c r="I70" s="10"/>
      <c r="J70" s="57" t="str">
        <f>IF($I70="","",IF($B70="应收",SUMIFS(资金流水!$K$5:$K$3032,资金流水!$Q$5:$Q$3015,$I70),SUMIFS(资金流水!$L$5:$L$3032,资金流水!$Q$5:$Q$3015,$I70)))</f>
        <v/>
      </c>
      <c r="K70" s="25"/>
      <c r="L70" s="57" t="str">
        <f t="shared" si="3"/>
        <v/>
      </c>
      <c r="M70" s="56" t="str">
        <f t="shared" si="4"/>
        <v/>
      </c>
      <c r="N70" s="58" t="str">
        <f ca="1" t="shared" si="5"/>
        <v/>
      </c>
      <c r="O70" s="53"/>
      <c r="P70" s="10"/>
    </row>
    <row r="71" spans="1:16">
      <c r="A71" s="56" t="str">
        <f>IF($D71="","",COUNTA($D$5:$D71))</f>
        <v/>
      </c>
      <c r="B71" s="39"/>
      <c r="C71" s="46"/>
      <c r="D71" s="10"/>
      <c r="E71" s="10"/>
      <c r="F71" s="29"/>
      <c r="G71" s="53"/>
      <c r="H71" s="25"/>
      <c r="I71" s="10"/>
      <c r="J71" s="57" t="str">
        <f>IF($I71="","",IF($B71="应收",SUMIFS(资金流水!$K$5:$K$3032,资金流水!$Q$5:$Q$3015,$I71),SUMIFS(资金流水!$L$5:$L$3032,资金流水!$Q$5:$Q$3015,$I71)))</f>
        <v/>
      </c>
      <c r="K71" s="25"/>
      <c r="L71" s="57" t="str">
        <f t="shared" si="3"/>
        <v/>
      </c>
      <c r="M71" s="56" t="str">
        <f t="shared" si="4"/>
        <v/>
      </c>
      <c r="N71" s="58" t="str">
        <f ca="1" t="shared" si="5"/>
        <v/>
      </c>
      <c r="O71" s="53"/>
      <c r="P71" s="10"/>
    </row>
    <row r="72" spans="1:16">
      <c r="A72" s="56" t="str">
        <f>IF($D72="","",COUNTA($D$5:$D72))</f>
        <v/>
      </c>
      <c r="B72" s="39"/>
      <c r="C72" s="46"/>
      <c r="D72" s="10"/>
      <c r="E72" s="10"/>
      <c r="F72" s="29"/>
      <c r="G72" s="53"/>
      <c r="H72" s="25"/>
      <c r="I72" s="10"/>
      <c r="J72" s="57" t="str">
        <f>IF($I72="","",IF($B72="应收",SUMIFS(资金流水!$K$5:$K$3032,资金流水!$Q$5:$Q$3015,$I72),SUMIFS(资金流水!$L$5:$L$3032,资金流水!$Q$5:$Q$3015,$I72)))</f>
        <v/>
      </c>
      <c r="K72" s="25"/>
      <c r="L72" s="57" t="str">
        <f t="shared" si="3"/>
        <v/>
      </c>
      <c r="M72" s="56" t="str">
        <f t="shared" si="4"/>
        <v/>
      </c>
      <c r="N72" s="58" t="str">
        <f ca="1" t="shared" si="5"/>
        <v/>
      </c>
      <c r="O72" s="53"/>
      <c r="P72" s="10"/>
    </row>
    <row r="73" spans="1:16">
      <c r="A73" s="56" t="str">
        <f>IF($D73="","",COUNTA($D$5:$D73))</f>
        <v/>
      </c>
      <c r="B73" s="39"/>
      <c r="C73" s="46"/>
      <c r="D73" s="10"/>
      <c r="E73" s="10"/>
      <c r="F73" s="29"/>
      <c r="G73" s="53"/>
      <c r="H73" s="25"/>
      <c r="I73" s="10"/>
      <c r="J73" s="57" t="str">
        <f>IF($I73="","",IF($B73="应收",SUMIFS(资金流水!$K$5:$K$3032,资金流水!$Q$5:$Q$3015,$I73),SUMIFS(资金流水!$L$5:$L$3032,资金流水!$Q$5:$Q$3015,$I73)))</f>
        <v/>
      </c>
      <c r="K73" s="25"/>
      <c r="L73" s="57" t="str">
        <f t="shared" si="3"/>
        <v/>
      </c>
      <c r="M73" s="56" t="str">
        <f t="shared" si="4"/>
        <v/>
      </c>
      <c r="N73" s="58" t="str">
        <f ca="1" t="shared" si="5"/>
        <v/>
      </c>
      <c r="O73" s="53"/>
      <c r="P73" s="10"/>
    </row>
    <row r="74" spans="1:16">
      <c r="A74" s="56" t="str">
        <f>IF($D74="","",COUNTA($D$5:$D74))</f>
        <v/>
      </c>
      <c r="B74" s="39"/>
      <c r="C74" s="46"/>
      <c r="D74" s="10"/>
      <c r="E74" s="10"/>
      <c r="F74" s="29"/>
      <c r="G74" s="53"/>
      <c r="H74" s="25"/>
      <c r="I74" s="10"/>
      <c r="J74" s="57" t="str">
        <f>IF($I74="","",IF($B74="应收",SUMIFS(资金流水!$K$5:$K$3032,资金流水!$Q$5:$Q$3015,$I74),SUMIFS(资金流水!$L$5:$L$3032,资金流水!$Q$5:$Q$3015,$I74)))</f>
        <v/>
      </c>
      <c r="K74" s="25"/>
      <c r="L74" s="57" t="str">
        <f t="shared" si="3"/>
        <v/>
      </c>
      <c r="M74" s="56" t="str">
        <f t="shared" si="4"/>
        <v/>
      </c>
      <c r="N74" s="58" t="str">
        <f ca="1" t="shared" si="5"/>
        <v/>
      </c>
      <c r="O74" s="53"/>
      <c r="P74" s="10"/>
    </row>
    <row r="75" spans="1:16">
      <c r="A75" s="56" t="str">
        <f>IF($D75="","",COUNTA($D$5:$D75))</f>
        <v/>
      </c>
      <c r="B75" s="39"/>
      <c r="C75" s="46"/>
      <c r="D75" s="10"/>
      <c r="E75" s="10"/>
      <c r="F75" s="29"/>
      <c r="G75" s="53"/>
      <c r="H75" s="25"/>
      <c r="I75" s="10"/>
      <c r="J75" s="57" t="str">
        <f>IF($I75="","",IF($B75="应收",SUMIFS(资金流水!$K$5:$K$3032,资金流水!$Q$5:$Q$3015,$I75),SUMIFS(资金流水!$L$5:$L$3032,资金流水!$Q$5:$Q$3015,$I75)))</f>
        <v/>
      </c>
      <c r="K75" s="25"/>
      <c r="L75" s="57" t="str">
        <f t="shared" si="3"/>
        <v/>
      </c>
      <c r="M75" s="56" t="str">
        <f t="shared" si="4"/>
        <v/>
      </c>
      <c r="N75" s="58" t="str">
        <f ca="1" t="shared" si="5"/>
        <v/>
      </c>
      <c r="O75" s="53"/>
      <c r="P75" s="10"/>
    </row>
    <row r="76" spans="1:16">
      <c r="A76" s="56" t="str">
        <f>IF($D76="","",COUNTA($D$5:$D76))</f>
        <v/>
      </c>
      <c r="B76" s="39"/>
      <c r="C76" s="46"/>
      <c r="D76" s="10"/>
      <c r="E76" s="10"/>
      <c r="F76" s="29"/>
      <c r="G76" s="53"/>
      <c r="H76" s="25"/>
      <c r="I76" s="10"/>
      <c r="J76" s="57" t="str">
        <f>IF($I76="","",IF($B76="应收",SUMIFS(资金流水!$K$5:$K$3032,资金流水!$Q$5:$Q$3015,$I76),SUMIFS(资金流水!$L$5:$L$3032,资金流水!$Q$5:$Q$3015,$I76)))</f>
        <v/>
      </c>
      <c r="K76" s="25"/>
      <c r="L76" s="57" t="str">
        <f t="shared" si="3"/>
        <v/>
      </c>
      <c r="M76" s="56" t="str">
        <f t="shared" si="4"/>
        <v/>
      </c>
      <c r="N76" s="58" t="str">
        <f ca="1" t="shared" si="5"/>
        <v/>
      </c>
      <c r="O76" s="53"/>
      <c r="P76" s="10"/>
    </row>
    <row r="77" spans="1:16">
      <c r="A77" s="56" t="str">
        <f>IF($D77="","",COUNTA($D$5:$D77))</f>
        <v/>
      </c>
      <c r="B77" s="39"/>
      <c r="C77" s="46"/>
      <c r="D77" s="10"/>
      <c r="E77" s="10"/>
      <c r="F77" s="29"/>
      <c r="G77" s="53"/>
      <c r="H77" s="25"/>
      <c r="I77" s="10"/>
      <c r="J77" s="57" t="str">
        <f>IF($I77="","",IF($B77="应收",SUMIFS(资金流水!$K$5:$K$3032,资金流水!$Q$5:$Q$3015,$I77),SUMIFS(资金流水!$L$5:$L$3032,资金流水!$Q$5:$Q$3015,$I77)))</f>
        <v/>
      </c>
      <c r="K77" s="25"/>
      <c r="L77" s="57" t="str">
        <f t="shared" si="3"/>
        <v/>
      </c>
      <c r="M77" s="56" t="str">
        <f t="shared" si="4"/>
        <v/>
      </c>
      <c r="N77" s="58" t="str">
        <f ca="1" t="shared" si="5"/>
        <v/>
      </c>
      <c r="O77" s="53"/>
      <c r="P77" s="10"/>
    </row>
    <row r="78" spans="1:16">
      <c r="A78" s="56" t="str">
        <f>IF($D78="","",COUNTA($D$5:$D78))</f>
        <v/>
      </c>
      <c r="B78" s="39"/>
      <c r="C78" s="46"/>
      <c r="D78" s="10"/>
      <c r="E78" s="10"/>
      <c r="F78" s="29"/>
      <c r="G78" s="53"/>
      <c r="H78" s="25"/>
      <c r="I78" s="10"/>
      <c r="J78" s="57" t="str">
        <f>IF($I78="","",IF($B78="应收",SUMIFS(资金流水!$K$5:$K$3032,资金流水!$Q$5:$Q$3015,$I78),SUMIFS(资金流水!$L$5:$L$3032,资金流水!$Q$5:$Q$3015,$I78)))</f>
        <v/>
      </c>
      <c r="K78" s="25"/>
      <c r="L78" s="57" t="str">
        <f t="shared" si="3"/>
        <v/>
      </c>
      <c r="M78" s="56" t="str">
        <f t="shared" si="4"/>
        <v/>
      </c>
      <c r="N78" s="58" t="str">
        <f ca="1" t="shared" si="5"/>
        <v/>
      </c>
      <c r="O78" s="53"/>
      <c r="P78" s="10"/>
    </row>
    <row r="79" spans="1:16">
      <c r="A79" s="56" t="str">
        <f>IF($D79="","",COUNTA($D$5:$D79))</f>
        <v/>
      </c>
      <c r="B79" s="39"/>
      <c r="C79" s="46"/>
      <c r="D79" s="10"/>
      <c r="E79" s="10"/>
      <c r="F79" s="29"/>
      <c r="G79" s="53"/>
      <c r="H79" s="25"/>
      <c r="I79" s="10"/>
      <c r="J79" s="57" t="str">
        <f>IF($I79="","",IF($B79="应收",SUMIFS(资金流水!$K$5:$K$3032,资金流水!$Q$5:$Q$3015,$I79),SUMIFS(资金流水!$L$5:$L$3032,资金流水!$Q$5:$Q$3015,$I79)))</f>
        <v/>
      </c>
      <c r="K79" s="25"/>
      <c r="L79" s="57" t="str">
        <f t="shared" si="3"/>
        <v/>
      </c>
      <c r="M79" s="56" t="str">
        <f t="shared" si="4"/>
        <v/>
      </c>
      <c r="N79" s="58" t="str">
        <f ca="1" t="shared" si="5"/>
        <v/>
      </c>
      <c r="O79" s="53"/>
      <c r="P79" s="10"/>
    </row>
    <row r="80" spans="1:16">
      <c r="A80" s="56" t="str">
        <f>IF($D80="","",COUNTA($D$5:$D80))</f>
        <v/>
      </c>
      <c r="B80" s="39"/>
      <c r="C80" s="46"/>
      <c r="D80" s="10"/>
      <c r="E80" s="10"/>
      <c r="F80" s="29"/>
      <c r="G80" s="53"/>
      <c r="H80" s="25"/>
      <c r="I80" s="10"/>
      <c r="J80" s="57" t="str">
        <f>IF($I80="","",IF($B80="应收",SUMIFS(资金流水!$K$5:$K$3032,资金流水!$Q$5:$Q$3015,$I80),SUMIFS(资金流水!$L$5:$L$3032,资金流水!$Q$5:$Q$3015,$I80)))</f>
        <v/>
      </c>
      <c r="K80" s="25"/>
      <c r="L80" s="57" t="str">
        <f t="shared" si="3"/>
        <v/>
      </c>
      <c r="M80" s="56" t="str">
        <f t="shared" si="4"/>
        <v/>
      </c>
      <c r="N80" s="58" t="str">
        <f ca="1" t="shared" si="5"/>
        <v/>
      </c>
      <c r="O80" s="53"/>
      <c r="P80" s="10"/>
    </row>
    <row r="81" spans="1:16">
      <c r="A81" s="56" t="str">
        <f>IF($D81="","",COUNTA($D$5:$D81))</f>
        <v/>
      </c>
      <c r="B81" s="39"/>
      <c r="C81" s="46"/>
      <c r="D81" s="10"/>
      <c r="E81" s="10"/>
      <c r="F81" s="29"/>
      <c r="G81" s="53"/>
      <c r="H81" s="25"/>
      <c r="I81" s="10"/>
      <c r="J81" s="57" t="str">
        <f>IF($I81="","",IF($B81="应收",SUMIFS(资金流水!$K$5:$K$3032,资金流水!$Q$5:$Q$3015,$I81),SUMIFS(资金流水!$L$5:$L$3032,资金流水!$Q$5:$Q$3015,$I81)))</f>
        <v/>
      </c>
      <c r="K81" s="25"/>
      <c r="L81" s="57" t="str">
        <f t="shared" si="3"/>
        <v/>
      </c>
      <c r="M81" s="56" t="str">
        <f t="shared" si="4"/>
        <v/>
      </c>
      <c r="N81" s="58" t="str">
        <f ca="1" t="shared" si="5"/>
        <v/>
      </c>
      <c r="O81" s="53"/>
      <c r="P81" s="10"/>
    </row>
    <row r="82" spans="1:16">
      <c r="A82" s="56" t="str">
        <f>IF($D82="","",COUNTA($D$5:$D82))</f>
        <v/>
      </c>
      <c r="B82" s="39"/>
      <c r="C82" s="46"/>
      <c r="D82" s="10"/>
      <c r="E82" s="10"/>
      <c r="F82" s="29"/>
      <c r="G82" s="53"/>
      <c r="H82" s="25"/>
      <c r="I82" s="10"/>
      <c r="J82" s="57" t="str">
        <f>IF($I82="","",IF($B82="应收",SUMIFS(资金流水!$K$5:$K$3032,资金流水!$Q$5:$Q$3015,$I82),SUMIFS(资金流水!$L$5:$L$3032,资金流水!$Q$5:$Q$3015,$I82)))</f>
        <v/>
      </c>
      <c r="K82" s="25"/>
      <c r="L82" s="57" t="str">
        <f t="shared" si="3"/>
        <v/>
      </c>
      <c r="M82" s="56" t="str">
        <f t="shared" si="4"/>
        <v/>
      </c>
      <c r="N82" s="58" t="str">
        <f ca="1" t="shared" si="5"/>
        <v/>
      </c>
      <c r="O82" s="53"/>
      <c r="P82" s="10"/>
    </row>
    <row r="83" spans="1:16">
      <c r="A83" s="56" t="str">
        <f>IF($D83="","",COUNTA($D$5:$D83))</f>
        <v/>
      </c>
      <c r="B83" s="39"/>
      <c r="C83" s="46"/>
      <c r="D83" s="10"/>
      <c r="E83" s="10"/>
      <c r="F83" s="29"/>
      <c r="G83" s="53"/>
      <c r="H83" s="25"/>
      <c r="I83" s="10"/>
      <c r="J83" s="57" t="str">
        <f>IF($I83="","",IF($B83="应收",SUMIFS(资金流水!$K$5:$K$3032,资金流水!$Q$5:$Q$3015,$I83),SUMIFS(资金流水!$L$5:$L$3032,资金流水!$Q$5:$Q$3015,$I83)))</f>
        <v/>
      </c>
      <c r="K83" s="25"/>
      <c r="L83" s="57" t="str">
        <f t="shared" si="3"/>
        <v/>
      </c>
      <c r="M83" s="56" t="str">
        <f t="shared" si="4"/>
        <v/>
      </c>
      <c r="N83" s="58" t="str">
        <f ca="1" t="shared" si="5"/>
        <v/>
      </c>
      <c r="O83" s="53"/>
      <c r="P83" s="10"/>
    </row>
    <row r="84" spans="1:16">
      <c r="A84" s="56" t="str">
        <f>IF($D84="","",COUNTA($D$5:$D84))</f>
        <v/>
      </c>
      <c r="B84" s="39"/>
      <c r="C84" s="46"/>
      <c r="D84" s="10"/>
      <c r="E84" s="10"/>
      <c r="F84" s="29"/>
      <c r="G84" s="53"/>
      <c r="H84" s="25"/>
      <c r="I84" s="10"/>
      <c r="J84" s="57" t="str">
        <f>IF($I84="","",IF($B84="应收",SUMIFS(资金流水!$K$5:$K$3032,资金流水!$Q$5:$Q$3015,$I84),SUMIFS(资金流水!$L$5:$L$3032,资金流水!$Q$5:$Q$3015,$I84)))</f>
        <v/>
      </c>
      <c r="K84" s="25"/>
      <c r="L84" s="57" t="str">
        <f t="shared" si="3"/>
        <v/>
      </c>
      <c r="M84" s="56" t="str">
        <f t="shared" si="4"/>
        <v/>
      </c>
      <c r="N84" s="58" t="str">
        <f ca="1" t="shared" si="5"/>
        <v/>
      </c>
      <c r="O84" s="53"/>
      <c r="P84" s="10"/>
    </row>
    <row r="85" spans="1:16">
      <c r="A85" s="56" t="str">
        <f>IF($D85="","",COUNTA($D$5:$D85))</f>
        <v/>
      </c>
      <c r="B85" s="39"/>
      <c r="C85" s="46"/>
      <c r="D85" s="10"/>
      <c r="E85" s="10"/>
      <c r="F85" s="29"/>
      <c r="G85" s="53"/>
      <c r="H85" s="25"/>
      <c r="I85" s="10"/>
      <c r="J85" s="57" t="str">
        <f>IF($I85="","",IF($B85="应收",SUMIFS(资金流水!$K$5:$K$3032,资金流水!$Q$5:$Q$3015,$I85),SUMIFS(资金流水!$L$5:$L$3032,资金流水!$Q$5:$Q$3015,$I85)))</f>
        <v/>
      </c>
      <c r="K85" s="25"/>
      <c r="L85" s="57" t="str">
        <f t="shared" si="3"/>
        <v/>
      </c>
      <c r="M85" s="56" t="str">
        <f t="shared" si="4"/>
        <v/>
      </c>
      <c r="N85" s="58" t="str">
        <f ca="1" t="shared" si="5"/>
        <v/>
      </c>
      <c r="O85" s="53"/>
      <c r="P85" s="10"/>
    </row>
    <row r="86" spans="1:16">
      <c r="A86" s="56" t="str">
        <f>IF($D86="","",COUNTA($D$5:$D86))</f>
        <v/>
      </c>
      <c r="B86" s="39"/>
      <c r="C86" s="46"/>
      <c r="D86" s="10"/>
      <c r="E86" s="10"/>
      <c r="F86" s="29"/>
      <c r="G86" s="53"/>
      <c r="H86" s="25"/>
      <c r="I86" s="10"/>
      <c r="J86" s="57" t="str">
        <f>IF($I86="","",IF($B86="应收",SUMIFS(资金流水!$K$5:$K$3032,资金流水!$Q$5:$Q$3015,$I86),SUMIFS(资金流水!$L$5:$L$3032,资金流水!$Q$5:$Q$3015,$I86)))</f>
        <v/>
      </c>
      <c r="K86" s="25"/>
      <c r="L86" s="57" t="str">
        <f t="shared" si="3"/>
        <v/>
      </c>
      <c r="M86" s="56" t="str">
        <f t="shared" si="4"/>
        <v/>
      </c>
      <c r="N86" s="58" t="str">
        <f ca="1" t="shared" si="5"/>
        <v/>
      </c>
      <c r="O86" s="53"/>
      <c r="P86" s="10"/>
    </row>
    <row r="87" spans="1:16">
      <c r="A87" s="56" t="str">
        <f>IF($D87="","",COUNTA($D$5:$D87))</f>
        <v/>
      </c>
      <c r="B87" s="39"/>
      <c r="C87" s="46"/>
      <c r="D87" s="10"/>
      <c r="E87" s="10"/>
      <c r="F87" s="29"/>
      <c r="G87" s="53"/>
      <c r="H87" s="25"/>
      <c r="I87" s="10"/>
      <c r="J87" s="57" t="str">
        <f>IF($I87="","",IF($B87="应收",SUMIFS(资金流水!$K$5:$K$3032,资金流水!$Q$5:$Q$3015,$I87),SUMIFS(资金流水!$L$5:$L$3032,资金流水!$Q$5:$Q$3015,$I87)))</f>
        <v/>
      </c>
      <c r="K87" s="25"/>
      <c r="L87" s="57" t="str">
        <f t="shared" si="3"/>
        <v/>
      </c>
      <c r="M87" s="56" t="str">
        <f t="shared" si="4"/>
        <v/>
      </c>
      <c r="N87" s="58" t="str">
        <f ca="1" t="shared" si="5"/>
        <v/>
      </c>
      <c r="O87" s="53"/>
      <c r="P87" s="10"/>
    </row>
    <row r="88" spans="1:16">
      <c r="A88" s="56" t="str">
        <f>IF($D88="","",COUNTA($D$5:$D88))</f>
        <v/>
      </c>
      <c r="B88" s="39"/>
      <c r="C88" s="46"/>
      <c r="D88" s="10"/>
      <c r="E88" s="10"/>
      <c r="F88" s="29"/>
      <c r="G88" s="53"/>
      <c r="H88" s="25"/>
      <c r="I88" s="10"/>
      <c r="J88" s="57" t="str">
        <f>IF($I88="","",IF($B88="应收",SUMIFS(资金流水!$K$5:$K$3032,资金流水!$Q$5:$Q$3015,$I88),SUMIFS(资金流水!$L$5:$L$3032,资金流水!$Q$5:$Q$3015,$I88)))</f>
        <v/>
      </c>
      <c r="K88" s="25"/>
      <c r="L88" s="57" t="str">
        <f t="shared" si="3"/>
        <v/>
      </c>
      <c r="M88" s="56" t="str">
        <f t="shared" si="4"/>
        <v/>
      </c>
      <c r="N88" s="58" t="str">
        <f ca="1" t="shared" si="5"/>
        <v/>
      </c>
      <c r="O88" s="53"/>
      <c r="P88" s="10"/>
    </row>
    <row r="89" spans="1:16">
      <c r="A89" s="56" t="str">
        <f>IF($D89="","",COUNTA($D$5:$D89))</f>
        <v/>
      </c>
      <c r="B89" s="39"/>
      <c r="C89" s="46"/>
      <c r="D89" s="10"/>
      <c r="E89" s="10"/>
      <c r="F89" s="29"/>
      <c r="G89" s="53"/>
      <c r="H89" s="25"/>
      <c r="I89" s="10"/>
      <c r="J89" s="57" t="str">
        <f>IF($I89="","",IF($B89="应收",SUMIFS(资金流水!$K$5:$K$3032,资金流水!$Q$5:$Q$3015,$I89),SUMIFS(资金流水!$L$5:$L$3032,资金流水!$Q$5:$Q$3015,$I89)))</f>
        <v/>
      </c>
      <c r="K89" s="25"/>
      <c r="L89" s="57" t="str">
        <f t="shared" si="3"/>
        <v/>
      </c>
      <c r="M89" s="56" t="str">
        <f t="shared" si="4"/>
        <v/>
      </c>
      <c r="N89" s="58" t="str">
        <f ca="1" t="shared" si="5"/>
        <v/>
      </c>
      <c r="O89" s="53"/>
      <c r="P89" s="10"/>
    </row>
    <row r="90" spans="1:16">
      <c r="A90" s="56" t="str">
        <f>IF($D90="","",COUNTA($D$5:$D90))</f>
        <v/>
      </c>
      <c r="B90" s="39"/>
      <c r="C90" s="46"/>
      <c r="D90" s="10"/>
      <c r="E90" s="10"/>
      <c r="F90" s="29"/>
      <c r="G90" s="53"/>
      <c r="H90" s="25"/>
      <c r="I90" s="10"/>
      <c r="J90" s="57" t="str">
        <f>IF($I90="","",IF($B90="应收",SUMIFS(资金流水!$K$5:$K$3032,资金流水!$Q$5:$Q$3015,$I90),SUMIFS(资金流水!$L$5:$L$3032,资金流水!$Q$5:$Q$3015,$I90)))</f>
        <v/>
      </c>
      <c r="K90" s="25"/>
      <c r="L90" s="57" t="str">
        <f t="shared" si="3"/>
        <v/>
      </c>
      <c r="M90" s="56" t="str">
        <f t="shared" si="4"/>
        <v/>
      </c>
      <c r="N90" s="58" t="str">
        <f ca="1" t="shared" si="5"/>
        <v/>
      </c>
      <c r="O90" s="53"/>
      <c r="P90" s="10"/>
    </row>
    <row r="91" spans="1:16">
      <c r="A91" s="56" t="str">
        <f>IF($D91="","",COUNTA($D$5:$D91))</f>
        <v/>
      </c>
      <c r="B91" s="39"/>
      <c r="C91" s="46"/>
      <c r="D91" s="10"/>
      <c r="E91" s="10"/>
      <c r="F91" s="29"/>
      <c r="G91" s="53"/>
      <c r="H91" s="25"/>
      <c r="I91" s="10"/>
      <c r="J91" s="57" t="str">
        <f>IF($I91="","",IF($B91="应收",SUMIFS(资金流水!$K$5:$K$3032,资金流水!$Q$5:$Q$3015,$I91),SUMIFS(资金流水!$L$5:$L$3032,资金流水!$Q$5:$Q$3015,$I91)))</f>
        <v/>
      </c>
      <c r="K91" s="25"/>
      <c r="L91" s="57" t="str">
        <f t="shared" si="3"/>
        <v/>
      </c>
      <c r="M91" s="56" t="str">
        <f t="shared" si="4"/>
        <v/>
      </c>
      <c r="N91" s="58" t="str">
        <f ca="1" t="shared" si="5"/>
        <v/>
      </c>
      <c r="O91" s="53"/>
      <c r="P91" s="10"/>
    </row>
    <row r="92" spans="1:16">
      <c r="A92" s="56" t="str">
        <f>IF($D92="","",COUNTA($D$5:$D92))</f>
        <v/>
      </c>
      <c r="B92" s="39"/>
      <c r="C92" s="46"/>
      <c r="D92" s="10"/>
      <c r="E92" s="10"/>
      <c r="F92" s="29"/>
      <c r="G92" s="53"/>
      <c r="H92" s="25"/>
      <c r="I92" s="10"/>
      <c r="J92" s="57" t="str">
        <f>IF($I92="","",IF($B92="应收",SUMIFS(资金流水!$K$5:$K$3032,资金流水!$Q$5:$Q$3015,$I92),SUMIFS(资金流水!$L$5:$L$3032,资金流水!$Q$5:$Q$3015,$I92)))</f>
        <v/>
      </c>
      <c r="K92" s="25"/>
      <c r="L92" s="57" t="str">
        <f t="shared" si="3"/>
        <v/>
      </c>
      <c r="M92" s="56" t="str">
        <f t="shared" si="4"/>
        <v/>
      </c>
      <c r="N92" s="58" t="str">
        <f ca="1" t="shared" si="5"/>
        <v/>
      </c>
      <c r="O92" s="53"/>
      <c r="P92" s="10"/>
    </row>
    <row r="93" spans="1:16">
      <c r="A93" s="56" t="str">
        <f>IF($D93="","",COUNTA($D$5:$D93))</f>
        <v/>
      </c>
      <c r="B93" s="39"/>
      <c r="C93" s="46"/>
      <c r="D93" s="10"/>
      <c r="E93" s="10"/>
      <c r="F93" s="29"/>
      <c r="G93" s="53"/>
      <c r="H93" s="25"/>
      <c r="I93" s="10"/>
      <c r="J93" s="57" t="str">
        <f>IF($I93="","",IF($B93="应收",SUMIFS(资金流水!$K$5:$K$3032,资金流水!$Q$5:$Q$3015,$I93),SUMIFS(资金流水!$L$5:$L$3032,资金流水!$Q$5:$Q$3015,$I93)))</f>
        <v/>
      </c>
      <c r="K93" s="25"/>
      <c r="L93" s="57" t="str">
        <f t="shared" si="3"/>
        <v/>
      </c>
      <c r="M93" s="56" t="str">
        <f t="shared" si="4"/>
        <v/>
      </c>
      <c r="N93" s="58" t="str">
        <f ca="1" t="shared" si="5"/>
        <v/>
      </c>
      <c r="O93" s="53"/>
      <c r="P93" s="10"/>
    </row>
    <row r="94" spans="1:16">
      <c r="A94" s="56" t="str">
        <f>IF($D94="","",COUNTA($D$5:$D94))</f>
        <v/>
      </c>
      <c r="B94" s="39"/>
      <c r="C94" s="46"/>
      <c r="D94" s="10"/>
      <c r="E94" s="10"/>
      <c r="F94" s="29"/>
      <c r="G94" s="53"/>
      <c r="H94" s="25"/>
      <c r="I94" s="10"/>
      <c r="J94" s="57" t="str">
        <f>IF($I94="","",IF($B94="应收",SUMIFS(资金流水!$K$5:$K$3032,资金流水!$Q$5:$Q$3015,$I94),SUMIFS(资金流水!$L$5:$L$3032,资金流水!$Q$5:$Q$3015,$I94)))</f>
        <v/>
      </c>
      <c r="K94" s="25"/>
      <c r="L94" s="57" t="str">
        <f t="shared" si="3"/>
        <v/>
      </c>
      <c r="M94" s="56" t="str">
        <f t="shared" si="4"/>
        <v/>
      </c>
      <c r="N94" s="58" t="str">
        <f ca="1" t="shared" si="5"/>
        <v/>
      </c>
      <c r="O94" s="53"/>
      <c r="P94" s="10"/>
    </row>
    <row r="95" spans="1:16">
      <c r="A95" s="56" t="str">
        <f>IF($D95="","",COUNTA($D$5:$D95))</f>
        <v/>
      </c>
      <c r="B95" s="39"/>
      <c r="C95" s="46"/>
      <c r="D95" s="10"/>
      <c r="E95" s="10"/>
      <c r="F95" s="29"/>
      <c r="G95" s="53"/>
      <c r="H95" s="25"/>
      <c r="I95" s="10"/>
      <c r="J95" s="57" t="str">
        <f>IF($I95="","",IF($B95="应收",SUMIFS(资金流水!$K$5:$K$3032,资金流水!$Q$5:$Q$3015,$I95),SUMIFS(资金流水!$L$5:$L$3032,资金流水!$Q$5:$Q$3015,$I95)))</f>
        <v/>
      </c>
      <c r="K95" s="25"/>
      <c r="L95" s="57" t="str">
        <f t="shared" si="3"/>
        <v/>
      </c>
      <c r="M95" s="56" t="str">
        <f t="shared" si="4"/>
        <v/>
      </c>
      <c r="N95" s="58" t="str">
        <f ca="1" t="shared" si="5"/>
        <v/>
      </c>
      <c r="O95" s="53"/>
      <c r="P95" s="10"/>
    </row>
    <row r="96" spans="1:16">
      <c r="A96" s="56" t="str">
        <f>IF($D96="","",COUNTA($D$5:$D96))</f>
        <v/>
      </c>
      <c r="B96" s="39"/>
      <c r="C96" s="46"/>
      <c r="D96" s="10"/>
      <c r="E96" s="10"/>
      <c r="F96" s="29"/>
      <c r="G96" s="53"/>
      <c r="H96" s="25"/>
      <c r="I96" s="10"/>
      <c r="J96" s="57" t="str">
        <f>IF($I96="","",IF($B96="应收",SUMIFS(资金流水!$K$5:$K$3032,资金流水!$Q$5:$Q$3015,$I96),SUMIFS(资金流水!$L$5:$L$3032,资金流水!$Q$5:$Q$3015,$I96)))</f>
        <v/>
      </c>
      <c r="K96" s="25"/>
      <c r="L96" s="57" t="str">
        <f t="shared" si="3"/>
        <v/>
      </c>
      <c r="M96" s="56" t="str">
        <f t="shared" si="4"/>
        <v/>
      </c>
      <c r="N96" s="58" t="str">
        <f ca="1" t="shared" si="5"/>
        <v/>
      </c>
      <c r="O96" s="53"/>
      <c r="P96" s="10"/>
    </row>
    <row r="97" spans="1:16">
      <c r="A97" s="56" t="str">
        <f>IF($D97="","",COUNTA($D$5:$D97))</f>
        <v/>
      </c>
      <c r="B97" s="39"/>
      <c r="C97" s="46"/>
      <c r="D97" s="10"/>
      <c r="E97" s="10"/>
      <c r="F97" s="29"/>
      <c r="G97" s="53"/>
      <c r="H97" s="25"/>
      <c r="I97" s="10"/>
      <c r="J97" s="57" t="str">
        <f>IF($I97="","",IF($B97="应收",SUMIFS(资金流水!$K$5:$K$3032,资金流水!$Q$5:$Q$3015,$I97),SUMIFS(资金流水!$L$5:$L$3032,资金流水!$Q$5:$Q$3015,$I97)))</f>
        <v/>
      </c>
      <c r="K97" s="25"/>
      <c r="L97" s="57" t="str">
        <f t="shared" si="3"/>
        <v/>
      </c>
      <c r="M97" s="56" t="str">
        <f t="shared" si="4"/>
        <v/>
      </c>
      <c r="N97" s="58" t="str">
        <f ca="1" t="shared" si="5"/>
        <v/>
      </c>
      <c r="O97" s="53"/>
      <c r="P97" s="10"/>
    </row>
    <row r="98" spans="1:16">
      <c r="A98" s="56" t="str">
        <f>IF($D98="","",COUNTA($D$5:$D98))</f>
        <v/>
      </c>
      <c r="B98" s="39"/>
      <c r="C98" s="46"/>
      <c r="D98" s="10"/>
      <c r="E98" s="10"/>
      <c r="F98" s="29"/>
      <c r="G98" s="53"/>
      <c r="H98" s="25"/>
      <c r="I98" s="10"/>
      <c r="J98" s="57" t="str">
        <f>IF($I98="","",IF($B98="应收",SUMIFS(资金流水!$K$5:$K$3032,资金流水!$Q$5:$Q$3015,$I98),SUMIFS(资金流水!$L$5:$L$3032,资金流水!$Q$5:$Q$3015,$I98)))</f>
        <v/>
      </c>
      <c r="K98" s="25"/>
      <c r="L98" s="57" t="str">
        <f t="shared" si="3"/>
        <v/>
      </c>
      <c r="M98" s="56" t="str">
        <f t="shared" si="4"/>
        <v/>
      </c>
      <c r="N98" s="58" t="str">
        <f ca="1" t="shared" si="5"/>
        <v/>
      </c>
      <c r="O98" s="53"/>
      <c r="P98" s="10"/>
    </row>
    <row r="99" spans="1:16">
      <c r="A99" s="56" t="str">
        <f>IF($D99="","",COUNTA($D$5:$D99))</f>
        <v/>
      </c>
      <c r="B99" s="39"/>
      <c r="C99" s="46"/>
      <c r="D99" s="10"/>
      <c r="E99" s="10"/>
      <c r="F99" s="29"/>
      <c r="G99" s="53"/>
      <c r="H99" s="25"/>
      <c r="I99" s="10"/>
      <c r="J99" s="57" t="str">
        <f>IF($I99="","",IF($B99="应收",SUMIFS(资金流水!$K$5:$K$3032,资金流水!$Q$5:$Q$3015,$I99),SUMIFS(资金流水!$L$5:$L$3032,资金流水!$Q$5:$Q$3015,$I99)))</f>
        <v/>
      </c>
      <c r="K99" s="25"/>
      <c r="L99" s="57" t="str">
        <f t="shared" si="3"/>
        <v/>
      </c>
      <c r="M99" s="56" t="str">
        <f t="shared" si="4"/>
        <v/>
      </c>
      <c r="N99" s="58" t="str">
        <f ca="1" t="shared" si="5"/>
        <v/>
      </c>
      <c r="O99" s="53"/>
      <c r="P99" s="10"/>
    </row>
    <row r="100" spans="1:16">
      <c r="A100" s="56" t="str">
        <f>IF($D100="","",COUNTA($D$5:$D100))</f>
        <v/>
      </c>
      <c r="B100" s="39"/>
      <c r="C100" s="46"/>
      <c r="D100" s="10"/>
      <c r="E100" s="10"/>
      <c r="F100" s="29"/>
      <c r="G100" s="53"/>
      <c r="H100" s="25"/>
      <c r="I100" s="10"/>
      <c r="J100" s="57" t="str">
        <f>IF($I100="","",IF($B100="应收",SUMIFS(资金流水!$K$5:$K$3032,资金流水!$Q$5:$Q$3015,$I100),SUMIFS(资金流水!$L$5:$L$3032,资金流水!$Q$5:$Q$3015,$I100)))</f>
        <v/>
      </c>
      <c r="K100" s="25"/>
      <c r="L100" s="57" t="str">
        <f t="shared" si="3"/>
        <v/>
      </c>
      <c r="M100" s="56" t="str">
        <f t="shared" si="4"/>
        <v/>
      </c>
      <c r="N100" s="58" t="str">
        <f ca="1" t="shared" si="5"/>
        <v/>
      </c>
      <c r="O100" s="53"/>
      <c r="P100" s="10"/>
    </row>
    <row r="101" spans="1:16">
      <c r="A101" s="56" t="str">
        <f>IF($D101="","",COUNTA($D$5:$D101))</f>
        <v/>
      </c>
      <c r="B101" s="39"/>
      <c r="C101" s="46"/>
      <c r="D101" s="10"/>
      <c r="E101" s="10"/>
      <c r="F101" s="29"/>
      <c r="G101" s="53"/>
      <c r="H101" s="25"/>
      <c r="I101" s="10"/>
      <c r="J101" s="57" t="str">
        <f>IF($I101="","",IF($B101="应收",SUMIFS(资金流水!$K$5:$K$3032,资金流水!$Q$5:$Q$3015,$I101),SUMIFS(资金流水!$L$5:$L$3032,资金流水!$Q$5:$Q$3015,$I101)))</f>
        <v/>
      </c>
      <c r="K101" s="25"/>
      <c r="L101" s="57" t="str">
        <f t="shared" si="3"/>
        <v/>
      </c>
      <c r="M101" s="56" t="str">
        <f t="shared" si="4"/>
        <v/>
      </c>
      <c r="N101" s="58" t="str">
        <f ca="1" t="shared" si="5"/>
        <v/>
      </c>
      <c r="O101" s="53"/>
      <c r="P101" s="10"/>
    </row>
    <row r="102" spans="1:16">
      <c r="A102" s="56" t="str">
        <f>IF($D102="","",COUNTA($D$5:$D102))</f>
        <v/>
      </c>
      <c r="B102" s="39"/>
      <c r="C102" s="46"/>
      <c r="D102" s="10"/>
      <c r="E102" s="10"/>
      <c r="F102" s="29"/>
      <c r="G102" s="53"/>
      <c r="H102" s="25"/>
      <c r="I102" s="10"/>
      <c r="J102" s="57" t="str">
        <f>IF($I102="","",IF($B102="应收",SUMIFS(资金流水!$K$5:$K$3032,资金流水!$Q$5:$Q$3015,$I102),SUMIFS(资金流水!$L$5:$L$3032,资金流水!$Q$5:$Q$3015,$I102)))</f>
        <v/>
      </c>
      <c r="K102" s="25"/>
      <c r="L102" s="57" t="str">
        <f t="shared" si="3"/>
        <v/>
      </c>
      <c r="M102" s="56" t="str">
        <f t="shared" si="4"/>
        <v/>
      </c>
      <c r="N102" s="58" t="str">
        <f ca="1" t="shared" si="5"/>
        <v/>
      </c>
      <c r="O102" s="53"/>
      <c r="P102" s="10"/>
    </row>
    <row r="103" spans="1:16">
      <c r="A103" s="56" t="str">
        <f>IF($D103="","",COUNTA($D$5:$D103))</f>
        <v/>
      </c>
      <c r="B103" s="39"/>
      <c r="C103" s="46"/>
      <c r="D103" s="10"/>
      <c r="E103" s="10"/>
      <c r="F103" s="29"/>
      <c r="G103" s="53"/>
      <c r="H103" s="25"/>
      <c r="I103" s="10"/>
      <c r="J103" s="57" t="str">
        <f>IF($I103="","",IF($B103="应收",SUMIFS(资金流水!$K$5:$K$3032,资金流水!$Q$5:$Q$3015,$I103),SUMIFS(资金流水!$L$5:$L$3032,资金流水!$Q$5:$Q$3015,$I103)))</f>
        <v/>
      </c>
      <c r="K103" s="25"/>
      <c r="L103" s="57" t="str">
        <f t="shared" si="3"/>
        <v/>
      </c>
      <c r="M103" s="56" t="str">
        <f t="shared" si="4"/>
        <v/>
      </c>
      <c r="N103" s="58" t="str">
        <f ca="1" t="shared" si="5"/>
        <v/>
      </c>
      <c r="O103" s="53"/>
      <c r="P103" s="10"/>
    </row>
    <row r="104" spans="1:16">
      <c r="A104" s="56" t="str">
        <f>IF($D104="","",COUNTA($D$5:$D104))</f>
        <v/>
      </c>
      <c r="B104" s="39"/>
      <c r="C104" s="46"/>
      <c r="D104" s="10"/>
      <c r="E104" s="10"/>
      <c r="F104" s="29"/>
      <c r="G104" s="53"/>
      <c r="H104" s="25"/>
      <c r="I104" s="10"/>
      <c r="J104" s="57" t="str">
        <f>IF($I104="","",IF($B104="应收",SUMIFS(资金流水!$K$5:$K$3032,资金流水!$Q$5:$Q$3015,$I104),SUMIFS(资金流水!$L$5:$L$3032,资金流水!$Q$5:$Q$3015,$I104)))</f>
        <v/>
      </c>
      <c r="K104" s="25"/>
      <c r="L104" s="57" t="str">
        <f t="shared" si="3"/>
        <v/>
      </c>
      <c r="M104" s="56" t="str">
        <f t="shared" si="4"/>
        <v/>
      </c>
      <c r="N104" s="58" t="str">
        <f ca="1" t="shared" si="5"/>
        <v/>
      </c>
      <c r="O104" s="53"/>
      <c r="P104" s="10"/>
    </row>
    <row r="105" spans="1:16">
      <c r="A105" s="56" t="str">
        <f>IF($D105="","",COUNTA($D$5:$D105))</f>
        <v/>
      </c>
      <c r="B105" s="39"/>
      <c r="C105" s="46"/>
      <c r="D105" s="10"/>
      <c r="E105" s="10"/>
      <c r="F105" s="29"/>
      <c r="G105" s="53"/>
      <c r="H105" s="25"/>
      <c r="I105" s="10"/>
      <c r="J105" s="57" t="str">
        <f>IF($I105="","",IF($B105="应收",SUMIFS(资金流水!$K$5:$K$3032,资金流水!$Q$5:$Q$3015,$I105),SUMIFS(资金流水!$L$5:$L$3032,资金流水!$Q$5:$Q$3015,$I105)))</f>
        <v/>
      </c>
      <c r="K105" s="25"/>
      <c r="L105" s="57" t="str">
        <f t="shared" si="3"/>
        <v/>
      </c>
      <c r="M105" s="56" t="str">
        <f t="shared" si="4"/>
        <v/>
      </c>
      <c r="N105" s="58" t="str">
        <f ca="1" t="shared" si="5"/>
        <v/>
      </c>
      <c r="O105" s="53"/>
      <c r="P105" s="10"/>
    </row>
    <row r="106" spans="1:16">
      <c r="A106" s="56" t="str">
        <f>IF($D106="","",COUNTA($D$5:$D106))</f>
        <v/>
      </c>
      <c r="B106" s="39"/>
      <c r="C106" s="46"/>
      <c r="D106" s="10"/>
      <c r="E106" s="10"/>
      <c r="F106" s="29"/>
      <c r="G106" s="53"/>
      <c r="H106" s="25"/>
      <c r="I106" s="10"/>
      <c r="J106" s="57" t="str">
        <f>IF($I106="","",IF($B106="应收",SUMIFS(资金流水!$K$5:$K$3032,资金流水!$Q$5:$Q$3015,$I106),SUMIFS(资金流水!$L$5:$L$3032,资金流水!$Q$5:$Q$3015,$I106)))</f>
        <v/>
      </c>
      <c r="K106" s="25"/>
      <c r="L106" s="57" t="str">
        <f t="shared" si="3"/>
        <v/>
      </c>
      <c r="M106" s="56" t="str">
        <f t="shared" si="4"/>
        <v/>
      </c>
      <c r="N106" s="58" t="str">
        <f ca="1" t="shared" si="5"/>
        <v/>
      </c>
      <c r="O106" s="53"/>
      <c r="P106" s="10"/>
    </row>
    <row r="107" spans="1:16">
      <c r="A107" s="56" t="str">
        <f>IF($D107="","",COUNTA($D$5:$D107))</f>
        <v/>
      </c>
      <c r="B107" s="39"/>
      <c r="C107" s="46"/>
      <c r="D107" s="10"/>
      <c r="E107" s="10"/>
      <c r="F107" s="29"/>
      <c r="G107" s="53"/>
      <c r="H107" s="25"/>
      <c r="I107" s="10"/>
      <c r="J107" s="57" t="str">
        <f>IF($I107="","",IF($B107="应收",SUMIFS(资金流水!$K$5:$K$3032,资金流水!$Q$5:$Q$3015,$I107),SUMIFS(资金流水!$L$5:$L$3032,资金流水!$Q$5:$Q$3015,$I107)))</f>
        <v/>
      </c>
      <c r="K107" s="25"/>
      <c r="L107" s="57" t="str">
        <f t="shared" si="3"/>
        <v/>
      </c>
      <c r="M107" s="56" t="str">
        <f t="shared" si="4"/>
        <v/>
      </c>
      <c r="N107" s="58" t="str">
        <f ca="1" t="shared" si="5"/>
        <v/>
      </c>
      <c r="O107" s="53"/>
      <c r="P107" s="10"/>
    </row>
    <row r="108" spans="1:16">
      <c r="A108" s="56" t="str">
        <f>IF($D108="","",COUNTA($D$5:$D108))</f>
        <v/>
      </c>
      <c r="B108" s="39"/>
      <c r="C108" s="46"/>
      <c r="D108" s="10"/>
      <c r="E108" s="10"/>
      <c r="F108" s="29"/>
      <c r="G108" s="53"/>
      <c r="H108" s="25"/>
      <c r="I108" s="10"/>
      <c r="J108" s="57" t="str">
        <f>IF($I108="","",IF($B108="应收",SUMIFS(资金流水!$K$5:$K$3032,资金流水!$Q$5:$Q$3015,$I108),SUMIFS(资金流水!$L$5:$L$3032,资金流水!$Q$5:$Q$3015,$I108)))</f>
        <v/>
      </c>
      <c r="K108" s="25"/>
      <c r="L108" s="57" t="str">
        <f t="shared" si="3"/>
        <v/>
      </c>
      <c r="M108" s="56" t="str">
        <f t="shared" si="4"/>
        <v/>
      </c>
      <c r="N108" s="58" t="str">
        <f ca="1" t="shared" si="5"/>
        <v/>
      </c>
      <c r="O108" s="53"/>
      <c r="P108" s="10"/>
    </row>
    <row r="109" spans="1:16">
      <c r="A109" s="56" t="str">
        <f>IF($D109="","",COUNTA($D$5:$D109))</f>
        <v/>
      </c>
      <c r="B109" s="39"/>
      <c r="C109" s="46"/>
      <c r="D109" s="10"/>
      <c r="E109" s="10"/>
      <c r="F109" s="29"/>
      <c r="G109" s="53"/>
      <c r="H109" s="25"/>
      <c r="I109" s="10"/>
      <c r="J109" s="57" t="str">
        <f>IF($I109="","",IF($B109="应收",SUMIFS(资金流水!$K$5:$K$3032,资金流水!$Q$5:$Q$3015,$I109),SUMIFS(资金流水!$L$5:$L$3032,资金流水!$Q$5:$Q$3015,$I109)))</f>
        <v/>
      </c>
      <c r="K109" s="25"/>
      <c r="L109" s="57" t="str">
        <f t="shared" si="3"/>
        <v/>
      </c>
      <c r="M109" s="56" t="str">
        <f t="shared" si="4"/>
        <v/>
      </c>
      <c r="N109" s="58" t="str">
        <f ca="1" t="shared" si="5"/>
        <v/>
      </c>
      <c r="O109" s="53"/>
      <c r="P109" s="10"/>
    </row>
    <row r="110" spans="1:16">
      <c r="A110" s="56" t="str">
        <f>IF($D110="","",COUNTA($D$5:$D110))</f>
        <v/>
      </c>
      <c r="B110" s="39"/>
      <c r="C110" s="46"/>
      <c r="D110" s="10"/>
      <c r="E110" s="10"/>
      <c r="F110" s="29"/>
      <c r="G110" s="53"/>
      <c r="H110" s="25"/>
      <c r="I110" s="10"/>
      <c r="J110" s="57" t="str">
        <f>IF($I110="","",IF($B110="应收",SUMIFS(资金流水!$K$5:$K$3032,资金流水!$Q$5:$Q$3015,$I110),SUMIFS(资金流水!$L$5:$L$3032,资金流水!$Q$5:$Q$3015,$I110)))</f>
        <v/>
      </c>
      <c r="K110" s="25"/>
      <c r="L110" s="57" t="str">
        <f t="shared" si="3"/>
        <v/>
      </c>
      <c r="M110" s="56" t="str">
        <f t="shared" si="4"/>
        <v/>
      </c>
      <c r="N110" s="58" t="str">
        <f ca="1" t="shared" si="5"/>
        <v/>
      </c>
      <c r="O110" s="53"/>
      <c r="P110" s="10"/>
    </row>
    <row r="111" spans="1:16">
      <c r="A111" s="56" t="str">
        <f>IF($D111="","",COUNTA($D$5:$D111))</f>
        <v/>
      </c>
      <c r="B111" s="39"/>
      <c r="C111" s="46"/>
      <c r="D111" s="10"/>
      <c r="E111" s="10"/>
      <c r="F111" s="29"/>
      <c r="G111" s="53"/>
      <c r="H111" s="25"/>
      <c r="I111" s="10"/>
      <c r="J111" s="57" t="str">
        <f>IF($I111="","",IF($B111="应收",SUMIFS(资金流水!$K$5:$K$3032,资金流水!$Q$5:$Q$3015,$I111),SUMIFS(资金流水!$L$5:$L$3032,资金流水!$Q$5:$Q$3015,$I111)))</f>
        <v/>
      </c>
      <c r="K111" s="25"/>
      <c r="L111" s="57" t="str">
        <f t="shared" si="3"/>
        <v/>
      </c>
      <c r="M111" s="56" t="str">
        <f t="shared" si="4"/>
        <v/>
      </c>
      <c r="N111" s="58" t="str">
        <f ca="1" t="shared" si="5"/>
        <v/>
      </c>
      <c r="O111" s="53"/>
      <c r="P111" s="10"/>
    </row>
    <row r="112" spans="1:16">
      <c r="A112" s="56" t="str">
        <f>IF($D112="","",COUNTA($D$5:$D112))</f>
        <v/>
      </c>
      <c r="B112" s="39"/>
      <c r="C112" s="46"/>
      <c r="D112" s="10"/>
      <c r="E112" s="10"/>
      <c r="F112" s="29"/>
      <c r="G112" s="53"/>
      <c r="H112" s="25"/>
      <c r="I112" s="10"/>
      <c r="J112" s="57" t="str">
        <f>IF($I112="","",IF($B112="应收",SUMIFS(资金流水!$K$5:$K$3032,资金流水!$Q$5:$Q$3015,$I112),SUMIFS(资金流水!$L$5:$L$3032,资金流水!$Q$5:$Q$3015,$I112)))</f>
        <v/>
      </c>
      <c r="K112" s="25"/>
      <c r="L112" s="57" t="str">
        <f t="shared" si="3"/>
        <v/>
      </c>
      <c r="M112" s="56" t="str">
        <f t="shared" si="4"/>
        <v/>
      </c>
      <c r="N112" s="58" t="str">
        <f ca="1" t="shared" si="5"/>
        <v/>
      </c>
      <c r="O112" s="53"/>
      <c r="P112" s="10"/>
    </row>
    <row r="113" spans="1:16">
      <c r="A113" s="56" t="str">
        <f>IF($D113="","",COUNTA($D$5:$D113))</f>
        <v/>
      </c>
      <c r="B113" s="39"/>
      <c r="C113" s="46"/>
      <c r="D113" s="10"/>
      <c r="E113" s="10"/>
      <c r="F113" s="29"/>
      <c r="G113" s="53"/>
      <c r="H113" s="25"/>
      <c r="I113" s="10"/>
      <c r="J113" s="57" t="str">
        <f>IF($I113="","",IF($B113="应收",SUMIFS(资金流水!$K$5:$K$3032,资金流水!$Q$5:$Q$3015,$I113),SUMIFS(资金流水!$L$5:$L$3032,资金流水!$Q$5:$Q$3015,$I113)))</f>
        <v/>
      </c>
      <c r="K113" s="25"/>
      <c r="L113" s="57" t="str">
        <f t="shared" si="3"/>
        <v/>
      </c>
      <c r="M113" s="56" t="str">
        <f t="shared" si="4"/>
        <v/>
      </c>
      <c r="N113" s="58" t="str">
        <f ca="1" t="shared" si="5"/>
        <v/>
      </c>
      <c r="O113" s="53"/>
      <c r="P113" s="10"/>
    </row>
    <row r="114" spans="1:16">
      <c r="A114" s="56" t="str">
        <f>IF($D114="","",COUNTA($D$5:$D114))</f>
        <v/>
      </c>
      <c r="B114" s="39"/>
      <c r="C114" s="46"/>
      <c r="D114" s="10"/>
      <c r="E114" s="10"/>
      <c r="F114" s="29"/>
      <c r="G114" s="53"/>
      <c r="H114" s="25"/>
      <c r="I114" s="10"/>
      <c r="J114" s="57" t="str">
        <f>IF($I114="","",IF($B114="应收",SUMIFS(资金流水!$K$5:$K$3032,资金流水!$Q$5:$Q$3015,$I114),SUMIFS(资金流水!$L$5:$L$3032,资金流水!$Q$5:$Q$3015,$I114)))</f>
        <v/>
      </c>
      <c r="K114" s="25"/>
      <c r="L114" s="57" t="str">
        <f t="shared" si="3"/>
        <v/>
      </c>
      <c r="M114" s="56" t="str">
        <f t="shared" si="4"/>
        <v/>
      </c>
      <c r="N114" s="58" t="str">
        <f ca="1" t="shared" si="5"/>
        <v/>
      </c>
      <c r="O114" s="53"/>
      <c r="P114" s="10"/>
    </row>
    <row r="115" spans="1:16">
      <c r="A115" s="56" t="str">
        <f>IF($D115="","",COUNTA($D$5:$D115))</f>
        <v/>
      </c>
      <c r="B115" s="39"/>
      <c r="C115" s="46"/>
      <c r="D115" s="10"/>
      <c r="E115" s="10"/>
      <c r="F115" s="29"/>
      <c r="G115" s="53"/>
      <c r="H115" s="25"/>
      <c r="I115" s="10"/>
      <c r="J115" s="57" t="str">
        <f>IF($I115="","",IF($B115="应收",SUMIFS(资金流水!$K$5:$K$3032,资金流水!$Q$5:$Q$3015,$I115),SUMIFS(资金流水!$L$5:$L$3032,资金流水!$Q$5:$Q$3015,$I115)))</f>
        <v/>
      </c>
      <c r="K115" s="25"/>
      <c r="L115" s="57" t="str">
        <f t="shared" si="3"/>
        <v/>
      </c>
      <c r="M115" s="56" t="str">
        <f t="shared" si="4"/>
        <v/>
      </c>
      <c r="N115" s="58" t="str">
        <f ca="1" t="shared" si="5"/>
        <v/>
      </c>
      <c r="O115" s="53"/>
      <c r="P115" s="10"/>
    </row>
    <row r="116" spans="1:16">
      <c r="A116" s="56" t="str">
        <f>IF($D116="","",COUNTA($D$5:$D116))</f>
        <v/>
      </c>
      <c r="B116" s="39"/>
      <c r="C116" s="46"/>
      <c r="D116" s="10"/>
      <c r="E116" s="10"/>
      <c r="F116" s="29"/>
      <c r="G116" s="53"/>
      <c r="H116" s="25"/>
      <c r="I116" s="10"/>
      <c r="J116" s="57" t="str">
        <f>IF($I116="","",IF($B116="应收",SUMIFS(资金流水!$K$5:$K$3032,资金流水!$Q$5:$Q$3015,$I116),SUMIFS(资金流水!$L$5:$L$3032,资金流水!$Q$5:$Q$3015,$I116)))</f>
        <v/>
      </c>
      <c r="K116" s="25"/>
      <c r="L116" s="57" t="str">
        <f t="shared" si="3"/>
        <v/>
      </c>
      <c r="M116" s="56" t="str">
        <f t="shared" si="4"/>
        <v/>
      </c>
      <c r="N116" s="58" t="str">
        <f ca="1" t="shared" si="5"/>
        <v/>
      </c>
      <c r="O116" s="53"/>
      <c r="P116" s="10"/>
    </row>
    <row r="117" spans="1:16">
      <c r="A117" s="56" t="str">
        <f>IF($D117="","",COUNTA($D$5:$D117))</f>
        <v/>
      </c>
      <c r="B117" s="39"/>
      <c r="C117" s="46"/>
      <c r="D117" s="10"/>
      <c r="E117" s="10"/>
      <c r="F117" s="29"/>
      <c r="G117" s="53"/>
      <c r="H117" s="25"/>
      <c r="I117" s="10"/>
      <c r="J117" s="57" t="str">
        <f>IF($I117="","",IF($B117="应收",SUMIFS(资金流水!$K$5:$K$3032,资金流水!$Q$5:$Q$3015,$I117),SUMIFS(资金流水!$L$5:$L$3032,资金流水!$Q$5:$Q$3015,$I117)))</f>
        <v/>
      </c>
      <c r="K117" s="25"/>
      <c r="L117" s="57" t="str">
        <f t="shared" si="3"/>
        <v/>
      </c>
      <c r="M117" s="56" t="str">
        <f t="shared" si="4"/>
        <v/>
      </c>
      <c r="N117" s="58" t="str">
        <f ca="1" t="shared" si="5"/>
        <v/>
      </c>
      <c r="O117" s="53"/>
      <c r="P117" s="10"/>
    </row>
    <row r="118" spans="1:16">
      <c r="A118" s="56" t="str">
        <f>IF($D118="","",COUNTA($D$5:$D118))</f>
        <v/>
      </c>
      <c r="B118" s="39"/>
      <c r="C118" s="46"/>
      <c r="D118" s="10"/>
      <c r="E118" s="10"/>
      <c r="F118" s="29"/>
      <c r="G118" s="53"/>
      <c r="H118" s="25"/>
      <c r="I118" s="10"/>
      <c r="J118" s="57" t="str">
        <f>IF($I118="","",IF($B118="应收",SUMIFS(资金流水!$K$5:$K$3032,资金流水!$Q$5:$Q$3015,$I118),SUMIFS(资金流水!$L$5:$L$3032,资金流水!$Q$5:$Q$3015,$I118)))</f>
        <v/>
      </c>
      <c r="K118" s="25"/>
      <c r="L118" s="57" t="str">
        <f t="shared" si="3"/>
        <v/>
      </c>
      <c r="M118" s="56" t="str">
        <f t="shared" si="4"/>
        <v/>
      </c>
      <c r="N118" s="58" t="str">
        <f ca="1" t="shared" si="5"/>
        <v/>
      </c>
      <c r="O118" s="53"/>
      <c r="P118" s="10"/>
    </row>
    <row r="119" spans="1:16">
      <c r="A119" s="56" t="str">
        <f>IF($D119="","",COUNTA($D$5:$D119))</f>
        <v/>
      </c>
      <c r="B119" s="39"/>
      <c r="C119" s="46"/>
      <c r="D119" s="10"/>
      <c r="E119" s="10"/>
      <c r="F119" s="29"/>
      <c r="G119" s="53"/>
      <c r="H119" s="25"/>
      <c r="I119" s="10"/>
      <c r="J119" s="57" t="str">
        <f>IF($I119="","",IF($B119="应收",SUMIFS(资金流水!$K$5:$K$3032,资金流水!$Q$5:$Q$3015,$I119),SUMIFS(资金流水!$L$5:$L$3032,资金流水!$Q$5:$Q$3015,$I119)))</f>
        <v/>
      </c>
      <c r="K119" s="25"/>
      <c r="L119" s="57" t="str">
        <f t="shared" si="3"/>
        <v/>
      </c>
      <c r="M119" s="56" t="str">
        <f t="shared" si="4"/>
        <v/>
      </c>
      <c r="N119" s="58" t="str">
        <f ca="1" t="shared" si="5"/>
        <v/>
      </c>
      <c r="O119" s="53"/>
      <c r="P119" s="10"/>
    </row>
    <row r="120" spans="1:16">
      <c r="A120" s="56" t="str">
        <f>IF($D120="","",COUNTA($D$5:$D120))</f>
        <v/>
      </c>
      <c r="B120" s="39"/>
      <c r="C120" s="46"/>
      <c r="D120" s="10"/>
      <c r="E120" s="10"/>
      <c r="F120" s="29"/>
      <c r="G120" s="53"/>
      <c r="H120" s="25"/>
      <c r="I120" s="10"/>
      <c r="J120" s="57" t="str">
        <f>IF($I120="","",IF($B120="应收",SUMIFS(资金流水!$K$5:$K$3032,资金流水!$Q$5:$Q$3015,$I120),SUMIFS(资金流水!$L$5:$L$3032,资金流水!$Q$5:$Q$3015,$I120)))</f>
        <v/>
      </c>
      <c r="K120" s="25"/>
      <c r="L120" s="57" t="str">
        <f t="shared" si="3"/>
        <v/>
      </c>
      <c r="M120" s="56" t="str">
        <f t="shared" si="4"/>
        <v/>
      </c>
      <c r="N120" s="58" t="str">
        <f ca="1" t="shared" si="5"/>
        <v/>
      </c>
      <c r="O120" s="53"/>
      <c r="P120" s="10"/>
    </row>
    <row r="121" spans="1:16">
      <c r="A121" s="56" t="str">
        <f>IF($D121="","",COUNTA($D$5:$D121))</f>
        <v/>
      </c>
      <c r="B121" s="39"/>
      <c r="C121" s="46"/>
      <c r="D121" s="10"/>
      <c r="E121" s="10"/>
      <c r="F121" s="29"/>
      <c r="G121" s="53"/>
      <c r="H121" s="25"/>
      <c r="I121" s="10"/>
      <c r="J121" s="57" t="str">
        <f>IF($I121="","",IF($B121="应收",SUMIFS(资金流水!$K$5:$K$3032,资金流水!$Q$5:$Q$3015,$I121),SUMIFS(资金流水!$L$5:$L$3032,资金流水!$Q$5:$Q$3015,$I121)))</f>
        <v/>
      </c>
      <c r="K121" s="25"/>
      <c r="L121" s="57" t="str">
        <f t="shared" si="3"/>
        <v/>
      </c>
      <c r="M121" s="56" t="str">
        <f t="shared" si="4"/>
        <v/>
      </c>
      <c r="N121" s="58" t="str">
        <f ca="1" t="shared" si="5"/>
        <v/>
      </c>
      <c r="O121" s="53"/>
      <c r="P121" s="10"/>
    </row>
    <row r="122" spans="1:16">
      <c r="A122" s="56" t="str">
        <f>IF($D122="","",COUNTA($D$5:$D122))</f>
        <v/>
      </c>
      <c r="B122" s="39"/>
      <c r="C122" s="46"/>
      <c r="D122" s="10"/>
      <c r="E122" s="10"/>
      <c r="F122" s="29"/>
      <c r="G122" s="53"/>
      <c r="H122" s="25"/>
      <c r="I122" s="10"/>
      <c r="J122" s="57" t="str">
        <f>IF($I122="","",IF($B122="应收",SUMIFS(资金流水!$K$5:$K$3032,资金流水!$Q$5:$Q$3015,$I122),SUMIFS(资金流水!$L$5:$L$3032,资金流水!$Q$5:$Q$3015,$I122)))</f>
        <v/>
      </c>
      <c r="K122" s="25"/>
      <c r="L122" s="57" t="str">
        <f t="shared" si="3"/>
        <v/>
      </c>
      <c r="M122" s="56" t="str">
        <f t="shared" si="4"/>
        <v/>
      </c>
      <c r="N122" s="58" t="str">
        <f ca="1" t="shared" si="5"/>
        <v/>
      </c>
      <c r="O122" s="53"/>
      <c r="P122" s="10"/>
    </row>
    <row r="123" spans="1:16">
      <c r="A123" s="56" t="str">
        <f>IF($D123="","",COUNTA($D$5:$D123))</f>
        <v/>
      </c>
      <c r="B123" s="39"/>
      <c r="C123" s="46"/>
      <c r="D123" s="10"/>
      <c r="E123" s="10"/>
      <c r="F123" s="29"/>
      <c r="G123" s="53"/>
      <c r="H123" s="25"/>
      <c r="I123" s="10"/>
      <c r="J123" s="57" t="str">
        <f>IF($I123="","",IF($B123="应收",SUMIFS(资金流水!$K$5:$K$3032,资金流水!$Q$5:$Q$3015,$I123),SUMIFS(资金流水!$L$5:$L$3032,资金流水!$Q$5:$Q$3015,$I123)))</f>
        <v/>
      </c>
      <c r="K123" s="25"/>
      <c r="L123" s="57" t="str">
        <f t="shared" si="3"/>
        <v/>
      </c>
      <c r="M123" s="56" t="str">
        <f t="shared" si="4"/>
        <v/>
      </c>
      <c r="N123" s="58" t="str">
        <f ca="1" t="shared" si="5"/>
        <v/>
      </c>
      <c r="O123" s="53"/>
      <c r="P123" s="10"/>
    </row>
    <row r="124" spans="1:16">
      <c r="A124" s="56" t="str">
        <f>IF($D124="","",COUNTA($D$5:$D124))</f>
        <v/>
      </c>
      <c r="B124" s="39"/>
      <c r="C124" s="46"/>
      <c r="D124" s="10"/>
      <c r="E124" s="10"/>
      <c r="F124" s="29"/>
      <c r="G124" s="53"/>
      <c r="H124" s="25"/>
      <c r="I124" s="10"/>
      <c r="J124" s="57" t="str">
        <f>IF($I124="","",IF($B124="应收",SUMIFS(资金流水!$K$5:$K$3032,资金流水!$Q$5:$Q$3015,$I124),SUMIFS(资金流水!$L$5:$L$3032,资金流水!$Q$5:$Q$3015,$I124)))</f>
        <v/>
      </c>
      <c r="K124" s="25"/>
      <c r="L124" s="57" t="str">
        <f t="shared" si="3"/>
        <v/>
      </c>
      <c r="M124" s="56" t="str">
        <f t="shared" si="4"/>
        <v/>
      </c>
      <c r="N124" s="58" t="str">
        <f ca="1" t="shared" si="5"/>
        <v/>
      </c>
      <c r="O124" s="53"/>
      <c r="P124" s="10"/>
    </row>
    <row r="125" spans="1:16">
      <c r="A125" s="56" t="str">
        <f>IF($D125="","",COUNTA($D$5:$D125))</f>
        <v/>
      </c>
      <c r="B125" s="39"/>
      <c r="C125" s="46"/>
      <c r="D125" s="10"/>
      <c r="E125" s="10"/>
      <c r="F125" s="29"/>
      <c r="G125" s="53"/>
      <c r="H125" s="25"/>
      <c r="I125" s="10"/>
      <c r="J125" s="57" t="str">
        <f>IF($I125="","",IF($B125="应收",SUMIFS(资金流水!$K$5:$K$3032,资金流水!$Q$5:$Q$3015,$I125),SUMIFS(资金流水!$L$5:$L$3032,资金流水!$Q$5:$Q$3015,$I125)))</f>
        <v/>
      </c>
      <c r="K125" s="25"/>
      <c r="L125" s="57" t="str">
        <f t="shared" si="3"/>
        <v/>
      </c>
      <c r="M125" s="56" t="str">
        <f t="shared" si="4"/>
        <v/>
      </c>
      <c r="N125" s="58" t="str">
        <f ca="1" t="shared" si="5"/>
        <v/>
      </c>
      <c r="O125" s="53"/>
      <c r="P125" s="10"/>
    </row>
    <row r="126" spans="1:16">
      <c r="A126" s="56" t="str">
        <f>IF($D126="","",COUNTA($D$5:$D126))</f>
        <v/>
      </c>
      <c r="B126" s="39"/>
      <c r="C126" s="46"/>
      <c r="D126" s="10"/>
      <c r="E126" s="10"/>
      <c r="F126" s="29"/>
      <c r="G126" s="53"/>
      <c r="H126" s="25"/>
      <c r="I126" s="10"/>
      <c r="J126" s="57" t="str">
        <f>IF($I126="","",IF($B126="应收",SUMIFS(资金流水!$K$5:$K$3032,资金流水!$Q$5:$Q$3015,$I126),SUMIFS(资金流水!$L$5:$L$3032,资金流水!$Q$5:$Q$3015,$I126)))</f>
        <v/>
      </c>
      <c r="K126" s="25"/>
      <c r="L126" s="57" t="str">
        <f t="shared" si="3"/>
        <v/>
      </c>
      <c r="M126" s="56" t="str">
        <f t="shared" si="4"/>
        <v/>
      </c>
      <c r="N126" s="58" t="str">
        <f ca="1" t="shared" si="5"/>
        <v/>
      </c>
      <c r="O126" s="53"/>
      <c r="P126" s="10"/>
    </row>
    <row r="127" spans="1:16">
      <c r="A127" s="56" t="str">
        <f>IF($D127="","",COUNTA($D$5:$D127))</f>
        <v/>
      </c>
      <c r="B127" s="39"/>
      <c r="C127" s="46"/>
      <c r="D127" s="10"/>
      <c r="E127" s="10"/>
      <c r="F127" s="29"/>
      <c r="G127" s="53"/>
      <c r="H127" s="25"/>
      <c r="I127" s="10"/>
      <c r="J127" s="57" t="str">
        <f>IF($I127="","",IF($B127="应收",SUMIFS(资金流水!$K$5:$K$3032,资金流水!$Q$5:$Q$3015,$I127),SUMIFS(资金流水!$L$5:$L$3032,资金流水!$Q$5:$Q$3015,$I127)))</f>
        <v/>
      </c>
      <c r="K127" s="25"/>
      <c r="L127" s="57" t="str">
        <f t="shared" si="3"/>
        <v/>
      </c>
      <c r="M127" s="56" t="str">
        <f t="shared" si="4"/>
        <v/>
      </c>
      <c r="N127" s="58" t="str">
        <f ca="1" t="shared" si="5"/>
        <v/>
      </c>
      <c r="O127" s="53"/>
      <c r="P127" s="10"/>
    </row>
    <row r="128" spans="1:16">
      <c r="A128" s="56" t="str">
        <f>IF($D128="","",COUNTA($D$5:$D128))</f>
        <v/>
      </c>
      <c r="B128" s="39"/>
      <c r="C128" s="46"/>
      <c r="D128" s="10"/>
      <c r="E128" s="10"/>
      <c r="F128" s="29"/>
      <c r="G128" s="53"/>
      <c r="H128" s="25"/>
      <c r="I128" s="10"/>
      <c r="J128" s="57" t="str">
        <f>IF($I128="","",IF($B128="应收",SUMIFS(资金流水!$K$5:$K$3032,资金流水!$Q$5:$Q$3015,$I128),SUMIFS(资金流水!$L$5:$L$3032,资金流水!$Q$5:$Q$3015,$I128)))</f>
        <v/>
      </c>
      <c r="K128" s="25"/>
      <c r="L128" s="57" t="str">
        <f t="shared" si="3"/>
        <v/>
      </c>
      <c r="M128" s="56" t="str">
        <f t="shared" si="4"/>
        <v/>
      </c>
      <c r="N128" s="58" t="str">
        <f ca="1" t="shared" si="5"/>
        <v/>
      </c>
      <c r="O128" s="53"/>
      <c r="P128" s="10"/>
    </row>
    <row r="129" spans="1:16">
      <c r="A129" s="56" t="str">
        <f>IF($D129="","",COUNTA($D$5:$D129))</f>
        <v/>
      </c>
      <c r="B129" s="39"/>
      <c r="C129" s="46"/>
      <c r="D129" s="10"/>
      <c r="E129" s="10"/>
      <c r="F129" s="29"/>
      <c r="G129" s="53"/>
      <c r="H129" s="25"/>
      <c r="I129" s="10"/>
      <c r="J129" s="57" t="str">
        <f>IF($I129="","",IF($B129="应收",SUMIFS(资金流水!$K$5:$K$3032,资金流水!$Q$5:$Q$3015,$I129),SUMIFS(资金流水!$L$5:$L$3032,资金流水!$Q$5:$Q$3015,$I129)))</f>
        <v/>
      </c>
      <c r="K129" s="25"/>
      <c r="L129" s="57" t="str">
        <f t="shared" si="3"/>
        <v/>
      </c>
      <c r="M129" s="56" t="str">
        <f t="shared" si="4"/>
        <v/>
      </c>
      <c r="N129" s="58" t="str">
        <f ca="1" t="shared" si="5"/>
        <v/>
      </c>
      <c r="O129" s="53"/>
      <c r="P129" s="10"/>
    </row>
    <row r="130" spans="1:16">
      <c r="A130" s="56" t="str">
        <f>IF($D130="","",COUNTA($D$5:$D130))</f>
        <v/>
      </c>
      <c r="B130" s="39"/>
      <c r="C130" s="46"/>
      <c r="D130" s="10"/>
      <c r="E130" s="10"/>
      <c r="F130" s="29"/>
      <c r="G130" s="53"/>
      <c r="H130" s="25"/>
      <c r="I130" s="10"/>
      <c r="J130" s="57" t="str">
        <f>IF($I130="","",IF($B130="应收",SUMIFS(资金流水!$K$5:$K$3032,资金流水!$Q$5:$Q$3015,$I130),SUMIFS(资金流水!$L$5:$L$3032,资金流水!$Q$5:$Q$3015,$I130)))</f>
        <v/>
      </c>
      <c r="K130" s="25"/>
      <c r="L130" s="57" t="str">
        <f t="shared" si="3"/>
        <v/>
      </c>
      <c r="M130" s="56" t="str">
        <f t="shared" si="4"/>
        <v/>
      </c>
      <c r="N130" s="58" t="str">
        <f ca="1" t="shared" si="5"/>
        <v/>
      </c>
      <c r="O130" s="53"/>
      <c r="P130" s="10"/>
    </row>
    <row r="131" spans="1:16">
      <c r="A131" s="56" t="str">
        <f>IF($D131="","",COUNTA($D$5:$D131))</f>
        <v/>
      </c>
      <c r="B131" s="39"/>
      <c r="C131" s="46"/>
      <c r="D131" s="10"/>
      <c r="E131" s="10"/>
      <c r="F131" s="29"/>
      <c r="G131" s="53"/>
      <c r="H131" s="25"/>
      <c r="I131" s="10"/>
      <c r="J131" s="57" t="str">
        <f>IF($I131="","",IF($B131="应收",SUMIFS(资金流水!$K$5:$K$3032,资金流水!$Q$5:$Q$3015,$I131),SUMIFS(资金流水!$L$5:$L$3032,资金流水!$Q$5:$Q$3015,$I131)))</f>
        <v/>
      </c>
      <c r="K131" s="25"/>
      <c r="L131" s="57" t="str">
        <f t="shared" si="3"/>
        <v/>
      </c>
      <c r="M131" s="56" t="str">
        <f t="shared" si="4"/>
        <v/>
      </c>
      <c r="N131" s="58" t="str">
        <f ca="1" t="shared" si="5"/>
        <v/>
      </c>
      <c r="O131" s="53"/>
      <c r="P131" s="10"/>
    </row>
    <row r="132" spans="1:16">
      <c r="A132" s="56" t="str">
        <f>IF($D132="","",COUNTA($D$5:$D132))</f>
        <v/>
      </c>
      <c r="B132" s="39"/>
      <c r="C132" s="46"/>
      <c r="D132" s="10"/>
      <c r="E132" s="10"/>
      <c r="F132" s="29"/>
      <c r="G132" s="53"/>
      <c r="H132" s="25"/>
      <c r="I132" s="10"/>
      <c r="J132" s="57" t="str">
        <f>IF($I132="","",IF($B132="应收",SUMIFS(资金流水!$K$5:$K$3032,资金流水!$Q$5:$Q$3015,$I132),SUMIFS(资金流水!$L$5:$L$3032,资金流水!$Q$5:$Q$3015,$I132)))</f>
        <v/>
      </c>
      <c r="K132" s="25"/>
      <c r="L132" s="57" t="str">
        <f t="shared" si="3"/>
        <v/>
      </c>
      <c r="M132" s="56" t="str">
        <f t="shared" si="4"/>
        <v/>
      </c>
      <c r="N132" s="58" t="str">
        <f ca="1" t="shared" si="5"/>
        <v/>
      </c>
      <c r="O132" s="53"/>
      <c r="P132" s="10"/>
    </row>
    <row r="133" spans="1:16">
      <c r="A133" s="56" t="str">
        <f>IF($D133="","",COUNTA($D$5:$D133))</f>
        <v/>
      </c>
      <c r="B133" s="39"/>
      <c r="C133" s="46"/>
      <c r="D133" s="10"/>
      <c r="E133" s="10"/>
      <c r="F133" s="29"/>
      <c r="G133" s="53"/>
      <c r="H133" s="25"/>
      <c r="I133" s="10"/>
      <c r="J133" s="57" t="str">
        <f>IF($I133="","",IF($B133="应收",SUMIFS(资金流水!$K$5:$K$3032,资金流水!$Q$5:$Q$3015,$I133),SUMIFS(资金流水!$L$5:$L$3032,资金流水!$Q$5:$Q$3015,$I133)))</f>
        <v/>
      </c>
      <c r="K133" s="25"/>
      <c r="L133" s="57" t="str">
        <f t="shared" ref="L133:L196" si="6">IF($H133="","",ROUND($H133-IF($J133="",0,$J133)-IF($K133="",0,$K133),2))</f>
        <v/>
      </c>
      <c r="M133" s="56" t="str">
        <f t="shared" ref="M133:M196" si="7">IF($H133="","",IF($L133&lt;=0.005,"已结清",IF($L133&lt;$H133,"部分结算","未结算")))</f>
        <v/>
      </c>
      <c r="N133" s="58" t="str">
        <f ca="1" t="shared" ref="N133:N196" si="8">IF(OR($G133="",$L133="",$L133&lt;=0.005),"",TODAY()-$G133)</f>
        <v/>
      </c>
      <c r="O133" s="53"/>
      <c r="P133" s="10"/>
    </row>
    <row r="134" spans="1:16">
      <c r="A134" s="56" t="str">
        <f>IF($D134="","",COUNTA($D$5:$D134))</f>
        <v/>
      </c>
      <c r="B134" s="39"/>
      <c r="C134" s="46"/>
      <c r="D134" s="10"/>
      <c r="E134" s="10"/>
      <c r="F134" s="29"/>
      <c r="G134" s="53"/>
      <c r="H134" s="25"/>
      <c r="I134" s="10"/>
      <c r="J134" s="57" t="str">
        <f>IF($I134="","",IF($B134="应收",SUMIFS(资金流水!$K$5:$K$3032,资金流水!$Q$5:$Q$3015,$I134),SUMIFS(资金流水!$L$5:$L$3032,资金流水!$Q$5:$Q$3015,$I134)))</f>
        <v/>
      </c>
      <c r="K134" s="25"/>
      <c r="L134" s="57" t="str">
        <f t="shared" si="6"/>
        <v/>
      </c>
      <c r="M134" s="56" t="str">
        <f t="shared" si="7"/>
        <v/>
      </c>
      <c r="N134" s="58" t="str">
        <f ca="1" t="shared" si="8"/>
        <v/>
      </c>
      <c r="O134" s="53"/>
      <c r="P134" s="10"/>
    </row>
    <row r="135" spans="1:16">
      <c r="A135" s="56" t="str">
        <f>IF($D135="","",COUNTA($D$5:$D135))</f>
        <v/>
      </c>
      <c r="B135" s="39"/>
      <c r="C135" s="46"/>
      <c r="D135" s="10"/>
      <c r="E135" s="10"/>
      <c r="F135" s="29"/>
      <c r="G135" s="53"/>
      <c r="H135" s="25"/>
      <c r="I135" s="10"/>
      <c r="J135" s="57" t="str">
        <f>IF($I135="","",IF($B135="应收",SUMIFS(资金流水!$K$5:$K$3032,资金流水!$Q$5:$Q$3015,$I135),SUMIFS(资金流水!$L$5:$L$3032,资金流水!$Q$5:$Q$3015,$I135)))</f>
        <v/>
      </c>
      <c r="K135" s="25"/>
      <c r="L135" s="57" t="str">
        <f t="shared" si="6"/>
        <v/>
      </c>
      <c r="M135" s="56" t="str">
        <f t="shared" si="7"/>
        <v/>
      </c>
      <c r="N135" s="58" t="str">
        <f ca="1" t="shared" si="8"/>
        <v/>
      </c>
      <c r="O135" s="53"/>
      <c r="P135" s="10"/>
    </row>
    <row r="136" spans="1:16">
      <c r="A136" s="56" t="str">
        <f>IF($D136="","",COUNTA($D$5:$D136))</f>
        <v/>
      </c>
      <c r="B136" s="39"/>
      <c r="C136" s="46"/>
      <c r="D136" s="10"/>
      <c r="E136" s="10"/>
      <c r="F136" s="29"/>
      <c r="G136" s="53"/>
      <c r="H136" s="25"/>
      <c r="I136" s="10"/>
      <c r="J136" s="57" t="str">
        <f>IF($I136="","",IF($B136="应收",SUMIFS(资金流水!$K$5:$K$3032,资金流水!$Q$5:$Q$3015,$I136),SUMIFS(资金流水!$L$5:$L$3032,资金流水!$Q$5:$Q$3015,$I136)))</f>
        <v/>
      </c>
      <c r="K136" s="25"/>
      <c r="L136" s="57" t="str">
        <f t="shared" si="6"/>
        <v/>
      </c>
      <c r="M136" s="56" t="str">
        <f t="shared" si="7"/>
        <v/>
      </c>
      <c r="N136" s="58" t="str">
        <f ca="1" t="shared" si="8"/>
        <v/>
      </c>
      <c r="O136" s="53"/>
      <c r="P136" s="10"/>
    </row>
    <row r="137" spans="1:16">
      <c r="A137" s="56" t="str">
        <f>IF($D137="","",COUNTA($D$5:$D137))</f>
        <v/>
      </c>
      <c r="B137" s="39"/>
      <c r="C137" s="46"/>
      <c r="D137" s="10"/>
      <c r="E137" s="10"/>
      <c r="F137" s="29"/>
      <c r="G137" s="53"/>
      <c r="H137" s="25"/>
      <c r="I137" s="10"/>
      <c r="J137" s="57" t="str">
        <f>IF($I137="","",IF($B137="应收",SUMIFS(资金流水!$K$5:$K$3032,资金流水!$Q$5:$Q$3015,$I137),SUMIFS(资金流水!$L$5:$L$3032,资金流水!$Q$5:$Q$3015,$I137)))</f>
        <v/>
      </c>
      <c r="K137" s="25"/>
      <c r="L137" s="57" t="str">
        <f t="shared" si="6"/>
        <v/>
      </c>
      <c r="M137" s="56" t="str">
        <f t="shared" si="7"/>
        <v/>
      </c>
      <c r="N137" s="58" t="str">
        <f ca="1" t="shared" si="8"/>
        <v/>
      </c>
      <c r="O137" s="53"/>
      <c r="P137" s="10"/>
    </row>
    <row r="138" spans="1:16">
      <c r="A138" s="56" t="str">
        <f>IF($D138="","",COUNTA($D$5:$D138))</f>
        <v/>
      </c>
      <c r="B138" s="39"/>
      <c r="C138" s="46"/>
      <c r="D138" s="10"/>
      <c r="E138" s="10"/>
      <c r="F138" s="29"/>
      <c r="G138" s="53"/>
      <c r="H138" s="25"/>
      <c r="I138" s="10"/>
      <c r="J138" s="57" t="str">
        <f>IF($I138="","",IF($B138="应收",SUMIFS(资金流水!$K$5:$K$3032,资金流水!$Q$5:$Q$3015,$I138),SUMIFS(资金流水!$L$5:$L$3032,资金流水!$Q$5:$Q$3015,$I138)))</f>
        <v/>
      </c>
      <c r="K138" s="25"/>
      <c r="L138" s="57" t="str">
        <f t="shared" si="6"/>
        <v/>
      </c>
      <c r="M138" s="56" t="str">
        <f t="shared" si="7"/>
        <v/>
      </c>
      <c r="N138" s="58" t="str">
        <f ca="1" t="shared" si="8"/>
        <v/>
      </c>
      <c r="O138" s="53"/>
      <c r="P138" s="10"/>
    </row>
    <row r="139" spans="1:16">
      <c r="A139" s="56" t="str">
        <f>IF($D139="","",COUNTA($D$5:$D139))</f>
        <v/>
      </c>
      <c r="B139" s="39"/>
      <c r="C139" s="46"/>
      <c r="D139" s="10"/>
      <c r="E139" s="10"/>
      <c r="F139" s="29"/>
      <c r="G139" s="53"/>
      <c r="H139" s="25"/>
      <c r="I139" s="10"/>
      <c r="J139" s="57" t="str">
        <f>IF($I139="","",IF($B139="应收",SUMIFS(资金流水!$K$5:$K$3032,资金流水!$Q$5:$Q$3015,$I139),SUMIFS(资金流水!$L$5:$L$3032,资金流水!$Q$5:$Q$3015,$I139)))</f>
        <v/>
      </c>
      <c r="K139" s="25"/>
      <c r="L139" s="57" t="str">
        <f t="shared" si="6"/>
        <v/>
      </c>
      <c r="M139" s="56" t="str">
        <f t="shared" si="7"/>
        <v/>
      </c>
      <c r="N139" s="58" t="str">
        <f ca="1" t="shared" si="8"/>
        <v/>
      </c>
      <c r="O139" s="53"/>
      <c r="P139" s="10"/>
    </row>
    <row r="140" spans="1:16">
      <c r="A140" s="56" t="str">
        <f>IF($D140="","",COUNTA($D$5:$D140))</f>
        <v/>
      </c>
      <c r="B140" s="39"/>
      <c r="C140" s="46"/>
      <c r="D140" s="10"/>
      <c r="E140" s="10"/>
      <c r="F140" s="29"/>
      <c r="G140" s="53"/>
      <c r="H140" s="25"/>
      <c r="I140" s="10"/>
      <c r="J140" s="57" t="str">
        <f>IF($I140="","",IF($B140="应收",SUMIFS(资金流水!$K$5:$K$3032,资金流水!$Q$5:$Q$3015,$I140),SUMIFS(资金流水!$L$5:$L$3032,资金流水!$Q$5:$Q$3015,$I140)))</f>
        <v/>
      </c>
      <c r="K140" s="25"/>
      <c r="L140" s="57" t="str">
        <f t="shared" si="6"/>
        <v/>
      </c>
      <c r="M140" s="56" t="str">
        <f t="shared" si="7"/>
        <v/>
      </c>
      <c r="N140" s="58" t="str">
        <f ca="1" t="shared" si="8"/>
        <v/>
      </c>
      <c r="O140" s="53"/>
      <c r="P140" s="10"/>
    </row>
    <row r="141" spans="1:16">
      <c r="A141" s="56" t="str">
        <f>IF($D141="","",COUNTA($D$5:$D141))</f>
        <v/>
      </c>
      <c r="B141" s="39"/>
      <c r="C141" s="46"/>
      <c r="D141" s="10"/>
      <c r="E141" s="10"/>
      <c r="F141" s="29"/>
      <c r="G141" s="53"/>
      <c r="H141" s="25"/>
      <c r="I141" s="10"/>
      <c r="J141" s="57" t="str">
        <f>IF($I141="","",IF($B141="应收",SUMIFS(资金流水!$K$5:$K$3032,资金流水!$Q$5:$Q$3015,$I141),SUMIFS(资金流水!$L$5:$L$3032,资金流水!$Q$5:$Q$3015,$I141)))</f>
        <v/>
      </c>
      <c r="K141" s="25"/>
      <c r="L141" s="57" t="str">
        <f t="shared" si="6"/>
        <v/>
      </c>
      <c r="M141" s="56" t="str">
        <f t="shared" si="7"/>
        <v/>
      </c>
      <c r="N141" s="58" t="str">
        <f ca="1" t="shared" si="8"/>
        <v/>
      </c>
      <c r="O141" s="53"/>
      <c r="P141" s="10"/>
    </row>
    <row r="142" spans="1:16">
      <c r="A142" s="56" t="str">
        <f>IF($D142="","",COUNTA($D$5:$D142))</f>
        <v/>
      </c>
      <c r="B142" s="39"/>
      <c r="C142" s="46"/>
      <c r="D142" s="10"/>
      <c r="E142" s="10"/>
      <c r="F142" s="29"/>
      <c r="G142" s="53"/>
      <c r="H142" s="25"/>
      <c r="I142" s="10"/>
      <c r="J142" s="57" t="str">
        <f>IF($I142="","",IF($B142="应收",SUMIFS(资金流水!$K$5:$K$3032,资金流水!$Q$5:$Q$3015,$I142),SUMIFS(资金流水!$L$5:$L$3032,资金流水!$Q$5:$Q$3015,$I142)))</f>
        <v/>
      </c>
      <c r="K142" s="25"/>
      <c r="L142" s="57" t="str">
        <f t="shared" si="6"/>
        <v/>
      </c>
      <c r="M142" s="56" t="str">
        <f t="shared" si="7"/>
        <v/>
      </c>
      <c r="N142" s="58" t="str">
        <f ca="1" t="shared" si="8"/>
        <v/>
      </c>
      <c r="O142" s="53"/>
      <c r="P142" s="10"/>
    </row>
    <row r="143" spans="1:16">
      <c r="A143" s="56" t="str">
        <f>IF($D143="","",COUNTA($D$5:$D143))</f>
        <v/>
      </c>
      <c r="B143" s="39"/>
      <c r="C143" s="46"/>
      <c r="D143" s="10"/>
      <c r="E143" s="10"/>
      <c r="F143" s="29"/>
      <c r="G143" s="53"/>
      <c r="H143" s="25"/>
      <c r="I143" s="10"/>
      <c r="J143" s="57" t="str">
        <f>IF($I143="","",IF($B143="应收",SUMIFS(资金流水!$K$5:$K$3032,资金流水!$Q$5:$Q$3015,$I143),SUMIFS(资金流水!$L$5:$L$3032,资金流水!$Q$5:$Q$3015,$I143)))</f>
        <v/>
      </c>
      <c r="K143" s="25"/>
      <c r="L143" s="57" t="str">
        <f t="shared" si="6"/>
        <v/>
      </c>
      <c r="M143" s="56" t="str">
        <f t="shared" si="7"/>
        <v/>
      </c>
      <c r="N143" s="58" t="str">
        <f ca="1" t="shared" si="8"/>
        <v/>
      </c>
      <c r="O143" s="53"/>
      <c r="P143" s="10"/>
    </row>
    <row r="144" spans="1:16">
      <c r="A144" s="56" t="str">
        <f>IF($D144="","",COUNTA($D$5:$D144))</f>
        <v/>
      </c>
      <c r="B144" s="39"/>
      <c r="C144" s="46"/>
      <c r="D144" s="10"/>
      <c r="E144" s="10"/>
      <c r="F144" s="29"/>
      <c r="G144" s="53"/>
      <c r="H144" s="25"/>
      <c r="I144" s="10"/>
      <c r="J144" s="57" t="str">
        <f>IF($I144="","",IF($B144="应收",SUMIFS(资金流水!$K$5:$K$3032,资金流水!$Q$5:$Q$3015,$I144),SUMIFS(资金流水!$L$5:$L$3032,资金流水!$Q$5:$Q$3015,$I144)))</f>
        <v/>
      </c>
      <c r="K144" s="25"/>
      <c r="L144" s="57" t="str">
        <f t="shared" si="6"/>
        <v/>
      </c>
      <c r="M144" s="56" t="str">
        <f t="shared" si="7"/>
        <v/>
      </c>
      <c r="N144" s="58" t="str">
        <f ca="1" t="shared" si="8"/>
        <v/>
      </c>
      <c r="O144" s="53"/>
      <c r="P144" s="10"/>
    </row>
    <row r="145" spans="1:16">
      <c r="A145" s="56" t="str">
        <f>IF($D145="","",COUNTA($D$5:$D145))</f>
        <v/>
      </c>
      <c r="B145" s="39"/>
      <c r="C145" s="46"/>
      <c r="D145" s="10"/>
      <c r="E145" s="10"/>
      <c r="F145" s="29"/>
      <c r="G145" s="53"/>
      <c r="H145" s="25"/>
      <c r="I145" s="10"/>
      <c r="J145" s="57" t="str">
        <f>IF($I145="","",IF($B145="应收",SUMIFS(资金流水!$K$5:$K$3032,资金流水!$Q$5:$Q$3015,$I145),SUMIFS(资金流水!$L$5:$L$3032,资金流水!$Q$5:$Q$3015,$I145)))</f>
        <v/>
      </c>
      <c r="K145" s="25"/>
      <c r="L145" s="57" t="str">
        <f t="shared" si="6"/>
        <v/>
      </c>
      <c r="M145" s="56" t="str">
        <f t="shared" si="7"/>
        <v/>
      </c>
      <c r="N145" s="58" t="str">
        <f ca="1" t="shared" si="8"/>
        <v/>
      </c>
      <c r="O145" s="53"/>
      <c r="P145" s="10"/>
    </row>
    <row r="146" spans="1:16">
      <c r="A146" s="56" t="str">
        <f>IF($D146="","",COUNTA($D$5:$D146))</f>
        <v/>
      </c>
      <c r="B146" s="39"/>
      <c r="C146" s="46"/>
      <c r="D146" s="10"/>
      <c r="E146" s="10"/>
      <c r="F146" s="29"/>
      <c r="G146" s="53"/>
      <c r="H146" s="25"/>
      <c r="I146" s="10"/>
      <c r="J146" s="57" t="str">
        <f>IF($I146="","",IF($B146="应收",SUMIFS(资金流水!$K$5:$K$3032,资金流水!$Q$5:$Q$3015,$I146),SUMIFS(资金流水!$L$5:$L$3032,资金流水!$Q$5:$Q$3015,$I146)))</f>
        <v/>
      </c>
      <c r="K146" s="25"/>
      <c r="L146" s="57" t="str">
        <f t="shared" si="6"/>
        <v/>
      </c>
      <c r="M146" s="56" t="str">
        <f t="shared" si="7"/>
        <v/>
      </c>
      <c r="N146" s="58" t="str">
        <f ca="1" t="shared" si="8"/>
        <v/>
      </c>
      <c r="O146" s="53"/>
      <c r="P146" s="10"/>
    </row>
    <row r="147" spans="1:16">
      <c r="A147" s="56" t="str">
        <f>IF($D147="","",COUNTA($D$5:$D147))</f>
        <v/>
      </c>
      <c r="B147" s="39"/>
      <c r="C147" s="46"/>
      <c r="D147" s="10"/>
      <c r="E147" s="10"/>
      <c r="F147" s="29"/>
      <c r="G147" s="53"/>
      <c r="H147" s="25"/>
      <c r="I147" s="10"/>
      <c r="J147" s="57" t="str">
        <f>IF($I147="","",IF($B147="应收",SUMIFS(资金流水!$K$5:$K$3032,资金流水!$Q$5:$Q$3015,$I147),SUMIFS(资金流水!$L$5:$L$3032,资金流水!$Q$5:$Q$3015,$I147)))</f>
        <v/>
      </c>
      <c r="K147" s="25"/>
      <c r="L147" s="57" t="str">
        <f t="shared" si="6"/>
        <v/>
      </c>
      <c r="M147" s="56" t="str">
        <f t="shared" si="7"/>
        <v/>
      </c>
      <c r="N147" s="58" t="str">
        <f ca="1" t="shared" si="8"/>
        <v/>
      </c>
      <c r="O147" s="53"/>
      <c r="P147" s="10"/>
    </row>
    <row r="148" spans="1:16">
      <c r="A148" s="56" t="str">
        <f>IF($D148="","",COUNTA($D$5:$D148))</f>
        <v/>
      </c>
      <c r="B148" s="39"/>
      <c r="C148" s="46"/>
      <c r="D148" s="10"/>
      <c r="E148" s="10"/>
      <c r="F148" s="29"/>
      <c r="G148" s="53"/>
      <c r="H148" s="25"/>
      <c r="I148" s="10"/>
      <c r="J148" s="57" t="str">
        <f>IF($I148="","",IF($B148="应收",SUMIFS(资金流水!$K$5:$K$3032,资金流水!$Q$5:$Q$3015,$I148),SUMIFS(资金流水!$L$5:$L$3032,资金流水!$Q$5:$Q$3015,$I148)))</f>
        <v/>
      </c>
      <c r="K148" s="25"/>
      <c r="L148" s="57" t="str">
        <f t="shared" si="6"/>
        <v/>
      </c>
      <c r="M148" s="56" t="str">
        <f t="shared" si="7"/>
        <v/>
      </c>
      <c r="N148" s="58" t="str">
        <f ca="1" t="shared" si="8"/>
        <v/>
      </c>
      <c r="O148" s="53"/>
      <c r="P148" s="10"/>
    </row>
    <row r="149" spans="1:16">
      <c r="A149" s="56" t="str">
        <f>IF($D149="","",COUNTA($D$5:$D149))</f>
        <v/>
      </c>
      <c r="B149" s="39"/>
      <c r="C149" s="46"/>
      <c r="D149" s="10"/>
      <c r="E149" s="10"/>
      <c r="F149" s="29"/>
      <c r="G149" s="53"/>
      <c r="H149" s="25"/>
      <c r="I149" s="10"/>
      <c r="J149" s="57" t="str">
        <f>IF($I149="","",IF($B149="应收",SUMIFS(资金流水!$K$5:$K$3032,资金流水!$Q$5:$Q$3015,$I149),SUMIFS(资金流水!$L$5:$L$3032,资金流水!$Q$5:$Q$3015,$I149)))</f>
        <v/>
      </c>
      <c r="K149" s="25"/>
      <c r="L149" s="57" t="str">
        <f t="shared" si="6"/>
        <v/>
      </c>
      <c r="M149" s="56" t="str">
        <f t="shared" si="7"/>
        <v/>
      </c>
      <c r="N149" s="58" t="str">
        <f ca="1" t="shared" si="8"/>
        <v/>
      </c>
      <c r="O149" s="53"/>
      <c r="P149" s="10"/>
    </row>
    <row r="150" spans="1:16">
      <c r="A150" s="56" t="str">
        <f>IF($D150="","",COUNTA($D$5:$D150))</f>
        <v/>
      </c>
      <c r="B150" s="39"/>
      <c r="C150" s="46"/>
      <c r="D150" s="10"/>
      <c r="E150" s="10"/>
      <c r="F150" s="29"/>
      <c r="G150" s="53"/>
      <c r="H150" s="25"/>
      <c r="I150" s="10"/>
      <c r="J150" s="57" t="str">
        <f>IF($I150="","",IF($B150="应收",SUMIFS(资金流水!$K$5:$K$3032,资金流水!$Q$5:$Q$3015,$I150),SUMIFS(资金流水!$L$5:$L$3032,资金流水!$Q$5:$Q$3015,$I150)))</f>
        <v/>
      </c>
      <c r="K150" s="25"/>
      <c r="L150" s="57" t="str">
        <f t="shared" si="6"/>
        <v/>
      </c>
      <c r="M150" s="56" t="str">
        <f t="shared" si="7"/>
        <v/>
      </c>
      <c r="N150" s="58" t="str">
        <f ca="1" t="shared" si="8"/>
        <v/>
      </c>
      <c r="O150" s="53"/>
      <c r="P150" s="10"/>
    </row>
    <row r="151" spans="1:16">
      <c r="A151" s="56" t="str">
        <f>IF($D151="","",COUNTA($D$5:$D151))</f>
        <v/>
      </c>
      <c r="B151" s="39"/>
      <c r="C151" s="46"/>
      <c r="D151" s="10"/>
      <c r="E151" s="10"/>
      <c r="F151" s="29"/>
      <c r="G151" s="53"/>
      <c r="H151" s="25"/>
      <c r="I151" s="10"/>
      <c r="J151" s="57" t="str">
        <f>IF($I151="","",IF($B151="应收",SUMIFS(资金流水!$K$5:$K$3032,资金流水!$Q$5:$Q$3015,$I151),SUMIFS(资金流水!$L$5:$L$3032,资金流水!$Q$5:$Q$3015,$I151)))</f>
        <v/>
      </c>
      <c r="K151" s="25"/>
      <c r="L151" s="57" t="str">
        <f t="shared" si="6"/>
        <v/>
      </c>
      <c r="M151" s="56" t="str">
        <f t="shared" si="7"/>
        <v/>
      </c>
      <c r="N151" s="58" t="str">
        <f ca="1" t="shared" si="8"/>
        <v/>
      </c>
      <c r="O151" s="53"/>
      <c r="P151" s="10"/>
    </row>
    <row r="152" spans="1:16">
      <c r="A152" s="56" t="str">
        <f>IF($D152="","",COUNTA($D$5:$D152))</f>
        <v/>
      </c>
      <c r="B152" s="39"/>
      <c r="C152" s="46"/>
      <c r="D152" s="10"/>
      <c r="E152" s="10"/>
      <c r="F152" s="29"/>
      <c r="G152" s="53"/>
      <c r="H152" s="25"/>
      <c r="I152" s="10"/>
      <c r="J152" s="57" t="str">
        <f>IF($I152="","",IF($B152="应收",SUMIFS(资金流水!$K$5:$K$3032,资金流水!$Q$5:$Q$3015,$I152),SUMIFS(资金流水!$L$5:$L$3032,资金流水!$Q$5:$Q$3015,$I152)))</f>
        <v/>
      </c>
      <c r="K152" s="25"/>
      <c r="L152" s="57" t="str">
        <f t="shared" si="6"/>
        <v/>
      </c>
      <c r="M152" s="56" t="str">
        <f t="shared" si="7"/>
        <v/>
      </c>
      <c r="N152" s="58" t="str">
        <f ca="1" t="shared" si="8"/>
        <v/>
      </c>
      <c r="O152" s="53"/>
      <c r="P152" s="10"/>
    </row>
    <row r="153" spans="1:16">
      <c r="A153" s="56" t="str">
        <f>IF($D153="","",COUNTA($D$5:$D153))</f>
        <v/>
      </c>
      <c r="B153" s="39"/>
      <c r="C153" s="46"/>
      <c r="D153" s="10"/>
      <c r="E153" s="10"/>
      <c r="F153" s="29"/>
      <c r="G153" s="53"/>
      <c r="H153" s="25"/>
      <c r="I153" s="10"/>
      <c r="J153" s="57" t="str">
        <f>IF($I153="","",IF($B153="应收",SUMIFS(资金流水!$K$5:$K$3032,资金流水!$Q$5:$Q$3015,$I153),SUMIFS(资金流水!$L$5:$L$3032,资金流水!$Q$5:$Q$3015,$I153)))</f>
        <v/>
      </c>
      <c r="K153" s="25"/>
      <c r="L153" s="57" t="str">
        <f t="shared" si="6"/>
        <v/>
      </c>
      <c r="M153" s="56" t="str">
        <f t="shared" si="7"/>
        <v/>
      </c>
      <c r="N153" s="58" t="str">
        <f ca="1" t="shared" si="8"/>
        <v/>
      </c>
      <c r="O153" s="53"/>
      <c r="P153" s="10"/>
    </row>
    <row r="154" spans="1:16">
      <c r="A154" s="56" t="str">
        <f>IF($D154="","",COUNTA($D$5:$D154))</f>
        <v/>
      </c>
      <c r="B154" s="39"/>
      <c r="C154" s="46"/>
      <c r="D154" s="10"/>
      <c r="E154" s="10"/>
      <c r="F154" s="29"/>
      <c r="G154" s="53"/>
      <c r="H154" s="25"/>
      <c r="I154" s="10"/>
      <c r="J154" s="57" t="str">
        <f>IF($I154="","",IF($B154="应收",SUMIFS(资金流水!$K$5:$K$3032,资金流水!$Q$5:$Q$3015,$I154),SUMIFS(资金流水!$L$5:$L$3032,资金流水!$Q$5:$Q$3015,$I154)))</f>
        <v/>
      </c>
      <c r="K154" s="25"/>
      <c r="L154" s="57" t="str">
        <f t="shared" si="6"/>
        <v/>
      </c>
      <c r="M154" s="56" t="str">
        <f t="shared" si="7"/>
        <v/>
      </c>
      <c r="N154" s="58" t="str">
        <f ca="1" t="shared" si="8"/>
        <v/>
      </c>
      <c r="O154" s="53"/>
      <c r="P154" s="10"/>
    </row>
    <row r="155" spans="1:16">
      <c r="A155" s="56" t="str">
        <f>IF($D155="","",COUNTA($D$5:$D155))</f>
        <v/>
      </c>
      <c r="B155" s="39"/>
      <c r="C155" s="46"/>
      <c r="D155" s="10"/>
      <c r="E155" s="10"/>
      <c r="F155" s="29"/>
      <c r="G155" s="53"/>
      <c r="H155" s="25"/>
      <c r="I155" s="10"/>
      <c r="J155" s="57" t="str">
        <f>IF($I155="","",IF($B155="应收",SUMIFS(资金流水!$K$5:$K$3032,资金流水!$Q$5:$Q$3015,$I155),SUMIFS(资金流水!$L$5:$L$3032,资金流水!$Q$5:$Q$3015,$I155)))</f>
        <v/>
      </c>
      <c r="K155" s="25"/>
      <c r="L155" s="57" t="str">
        <f t="shared" si="6"/>
        <v/>
      </c>
      <c r="M155" s="56" t="str">
        <f t="shared" si="7"/>
        <v/>
      </c>
      <c r="N155" s="58" t="str">
        <f ca="1" t="shared" si="8"/>
        <v/>
      </c>
      <c r="O155" s="53"/>
      <c r="P155" s="10"/>
    </row>
    <row r="156" spans="1:16">
      <c r="A156" s="56" t="str">
        <f>IF($D156="","",COUNTA($D$5:$D156))</f>
        <v/>
      </c>
      <c r="B156" s="39"/>
      <c r="C156" s="46"/>
      <c r="D156" s="10"/>
      <c r="E156" s="10"/>
      <c r="F156" s="29"/>
      <c r="G156" s="53"/>
      <c r="H156" s="25"/>
      <c r="I156" s="10"/>
      <c r="J156" s="57" t="str">
        <f>IF($I156="","",IF($B156="应收",SUMIFS(资金流水!$K$5:$K$3032,资金流水!$Q$5:$Q$3015,$I156),SUMIFS(资金流水!$L$5:$L$3032,资金流水!$Q$5:$Q$3015,$I156)))</f>
        <v/>
      </c>
      <c r="K156" s="25"/>
      <c r="L156" s="57" t="str">
        <f t="shared" si="6"/>
        <v/>
      </c>
      <c r="M156" s="56" t="str">
        <f t="shared" si="7"/>
        <v/>
      </c>
      <c r="N156" s="58" t="str">
        <f ca="1" t="shared" si="8"/>
        <v/>
      </c>
      <c r="O156" s="53"/>
      <c r="P156" s="10"/>
    </row>
    <row r="157" spans="1:16">
      <c r="A157" s="56" t="str">
        <f>IF($D157="","",COUNTA($D$5:$D157))</f>
        <v/>
      </c>
      <c r="B157" s="39"/>
      <c r="C157" s="46"/>
      <c r="D157" s="10"/>
      <c r="E157" s="10"/>
      <c r="F157" s="29"/>
      <c r="G157" s="53"/>
      <c r="H157" s="25"/>
      <c r="I157" s="10"/>
      <c r="J157" s="57" t="str">
        <f>IF($I157="","",IF($B157="应收",SUMIFS(资金流水!$K$5:$K$3032,资金流水!$Q$5:$Q$3015,$I157),SUMIFS(资金流水!$L$5:$L$3032,资金流水!$Q$5:$Q$3015,$I157)))</f>
        <v/>
      </c>
      <c r="K157" s="25"/>
      <c r="L157" s="57" t="str">
        <f t="shared" si="6"/>
        <v/>
      </c>
      <c r="M157" s="56" t="str">
        <f t="shared" si="7"/>
        <v/>
      </c>
      <c r="N157" s="58" t="str">
        <f ca="1" t="shared" si="8"/>
        <v/>
      </c>
      <c r="O157" s="53"/>
      <c r="P157" s="10"/>
    </row>
    <row r="158" spans="1:16">
      <c r="A158" s="56" t="str">
        <f>IF($D158="","",COUNTA($D$5:$D158))</f>
        <v/>
      </c>
      <c r="B158" s="39"/>
      <c r="C158" s="46"/>
      <c r="D158" s="10"/>
      <c r="E158" s="10"/>
      <c r="F158" s="29"/>
      <c r="G158" s="53"/>
      <c r="H158" s="25"/>
      <c r="I158" s="10"/>
      <c r="J158" s="57" t="str">
        <f>IF($I158="","",IF($B158="应收",SUMIFS(资金流水!$K$5:$K$3032,资金流水!$Q$5:$Q$3015,$I158),SUMIFS(资金流水!$L$5:$L$3032,资金流水!$Q$5:$Q$3015,$I158)))</f>
        <v/>
      </c>
      <c r="K158" s="25"/>
      <c r="L158" s="57" t="str">
        <f t="shared" si="6"/>
        <v/>
      </c>
      <c r="M158" s="56" t="str">
        <f t="shared" si="7"/>
        <v/>
      </c>
      <c r="N158" s="58" t="str">
        <f ca="1" t="shared" si="8"/>
        <v/>
      </c>
      <c r="O158" s="53"/>
      <c r="P158" s="10"/>
    </row>
    <row r="159" spans="1:16">
      <c r="A159" s="56" t="str">
        <f>IF($D159="","",COUNTA($D$5:$D159))</f>
        <v/>
      </c>
      <c r="B159" s="39"/>
      <c r="C159" s="46"/>
      <c r="D159" s="10"/>
      <c r="E159" s="10"/>
      <c r="F159" s="29"/>
      <c r="G159" s="53"/>
      <c r="H159" s="25"/>
      <c r="I159" s="10"/>
      <c r="J159" s="57" t="str">
        <f>IF($I159="","",IF($B159="应收",SUMIFS(资金流水!$K$5:$K$3032,资金流水!$Q$5:$Q$3015,$I159),SUMIFS(资金流水!$L$5:$L$3032,资金流水!$Q$5:$Q$3015,$I159)))</f>
        <v/>
      </c>
      <c r="K159" s="25"/>
      <c r="L159" s="57" t="str">
        <f t="shared" si="6"/>
        <v/>
      </c>
      <c r="M159" s="56" t="str">
        <f t="shared" si="7"/>
        <v/>
      </c>
      <c r="N159" s="58" t="str">
        <f ca="1" t="shared" si="8"/>
        <v/>
      </c>
      <c r="O159" s="53"/>
      <c r="P159" s="10"/>
    </row>
    <row r="160" spans="1:16">
      <c r="A160" s="56" t="str">
        <f>IF($D160="","",COUNTA($D$5:$D160))</f>
        <v/>
      </c>
      <c r="B160" s="39"/>
      <c r="C160" s="46"/>
      <c r="D160" s="10"/>
      <c r="E160" s="10"/>
      <c r="F160" s="29"/>
      <c r="G160" s="53"/>
      <c r="H160" s="25"/>
      <c r="I160" s="10"/>
      <c r="J160" s="57" t="str">
        <f>IF($I160="","",IF($B160="应收",SUMIFS(资金流水!$K$5:$K$3032,资金流水!$Q$5:$Q$3015,$I160),SUMIFS(资金流水!$L$5:$L$3032,资金流水!$Q$5:$Q$3015,$I160)))</f>
        <v/>
      </c>
      <c r="K160" s="25"/>
      <c r="L160" s="57" t="str">
        <f t="shared" si="6"/>
        <v/>
      </c>
      <c r="M160" s="56" t="str">
        <f t="shared" si="7"/>
        <v/>
      </c>
      <c r="N160" s="58" t="str">
        <f ca="1" t="shared" si="8"/>
        <v/>
      </c>
      <c r="O160" s="53"/>
      <c r="P160" s="10"/>
    </row>
    <row r="161" spans="1:16">
      <c r="A161" s="56" t="str">
        <f>IF($D161="","",COUNTA($D$5:$D161))</f>
        <v/>
      </c>
      <c r="B161" s="39"/>
      <c r="C161" s="46"/>
      <c r="D161" s="10"/>
      <c r="E161" s="10"/>
      <c r="F161" s="29"/>
      <c r="G161" s="53"/>
      <c r="H161" s="25"/>
      <c r="I161" s="10"/>
      <c r="J161" s="57" t="str">
        <f>IF($I161="","",IF($B161="应收",SUMIFS(资金流水!$K$5:$K$3032,资金流水!$Q$5:$Q$3015,$I161),SUMIFS(资金流水!$L$5:$L$3032,资金流水!$Q$5:$Q$3015,$I161)))</f>
        <v/>
      </c>
      <c r="K161" s="25"/>
      <c r="L161" s="57" t="str">
        <f t="shared" si="6"/>
        <v/>
      </c>
      <c r="M161" s="56" t="str">
        <f t="shared" si="7"/>
        <v/>
      </c>
      <c r="N161" s="58" t="str">
        <f ca="1" t="shared" si="8"/>
        <v/>
      </c>
      <c r="O161" s="53"/>
      <c r="P161" s="10"/>
    </row>
    <row r="162" spans="1:16">
      <c r="A162" s="56" t="str">
        <f>IF($D162="","",COUNTA($D$5:$D162))</f>
        <v/>
      </c>
      <c r="B162" s="39"/>
      <c r="C162" s="46"/>
      <c r="D162" s="10"/>
      <c r="E162" s="10"/>
      <c r="F162" s="29"/>
      <c r="G162" s="53"/>
      <c r="H162" s="25"/>
      <c r="I162" s="10"/>
      <c r="J162" s="57" t="str">
        <f>IF($I162="","",IF($B162="应收",SUMIFS(资金流水!$K$5:$K$3032,资金流水!$Q$5:$Q$3015,$I162),SUMIFS(资金流水!$L$5:$L$3032,资金流水!$Q$5:$Q$3015,$I162)))</f>
        <v/>
      </c>
      <c r="K162" s="25"/>
      <c r="L162" s="57" t="str">
        <f t="shared" si="6"/>
        <v/>
      </c>
      <c r="M162" s="56" t="str">
        <f t="shared" si="7"/>
        <v/>
      </c>
      <c r="N162" s="58" t="str">
        <f ca="1" t="shared" si="8"/>
        <v/>
      </c>
      <c r="O162" s="53"/>
      <c r="P162" s="10"/>
    </row>
    <row r="163" spans="1:16">
      <c r="A163" s="56" t="str">
        <f>IF($D163="","",COUNTA($D$5:$D163))</f>
        <v/>
      </c>
      <c r="B163" s="39"/>
      <c r="C163" s="46"/>
      <c r="D163" s="10"/>
      <c r="E163" s="10"/>
      <c r="F163" s="29"/>
      <c r="G163" s="53"/>
      <c r="H163" s="25"/>
      <c r="I163" s="10"/>
      <c r="J163" s="57" t="str">
        <f>IF($I163="","",IF($B163="应收",SUMIFS(资金流水!$K$5:$K$3032,资金流水!$Q$5:$Q$3015,$I163),SUMIFS(资金流水!$L$5:$L$3032,资金流水!$Q$5:$Q$3015,$I163)))</f>
        <v/>
      </c>
      <c r="K163" s="25"/>
      <c r="L163" s="57" t="str">
        <f t="shared" si="6"/>
        <v/>
      </c>
      <c r="M163" s="56" t="str">
        <f t="shared" si="7"/>
        <v/>
      </c>
      <c r="N163" s="58" t="str">
        <f ca="1" t="shared" si="8"/>
        <v/>
      </c>
      <c r="O163" s="53"/>
      <c r="P163" s="10"/>
    </row>
    <row r="164" spans="1:16">
      <c r="A164" s="56" t="str">
        <f>IF($D164="","",COUNTA($D$5:$D164))</f>
        <v/>
      </c>
      <c r="B164" s="39"/>
      <c r="C164" s="46"/>
      <c r="D164" s="10"/>
      <c r="E164" s="10"/>
      <c r="F164" s="29"/>
      <c r="G164" s="53"/>
      <c r="H164" s="25"/>
      <c r="I164" s="10"/>
      <c r="J164" s="57" t="str">
        <f>IF($I164="","",IF($B164="应收",SUMIFS(资金流水!$K$5:$K$3032,资金流水!$Q$5:$Q$3015,$I164),SUMIFS(资金流水!$L$5:$L$3032,资金流水!$Q$5:$Q$3015,$I164)))</f>
        <v/>
      </c>
      <c r="K164" s="25"/>
      <c r="L164" s="57" t="str">
        <f t="shared" si="6"/>
        <v/>
      </c>
      <c r="M164" s="56" t="str">
        <f t="shared" si="7"/>
        <v/>
      </c>
      <c r="N164" s="58" t="str">
        <f ca="1" t="shared" si="8"/>
        <v/>
      </c>
      <c r="O164" s="53"/>
      <c r="P164" s="10"/>
    </row>
    <row r="165" spans="1:16">
      <c r="A165" s="56" t="str">
        <f>IF($D165="","",COUNTA($D$5:$D165))</f>
        <v/>
      </c>
      <c r="B165" s="39"/>
      <c r="C165" s="46"/>
      <c r="D165" s="10"/>
      <c r="E165" s="10"/>
      <c r="F165" s="29"/>
      <c r="G165" s="53"/>
      <c r="H165" s="25"/>
      <c r="I165" s="10"/>
      <c r="J165" s="57" t="str">
        <f>IF($I165="","",IF($B165="应收",SUMIFS(资金流水!$K$5:$K$3032,资金流水!$Q$5:$Q$3015,$I165),SUMIFS(资金流水!$L$5:$L$3032,资金流水!$Q$5:$Q$3015,$I165)))</f>
        <v/>
      </c>
      <c r="K165" s="25"/>
      <c r="L165" s="57" t="str">
        <f t="shared" si="6"/>
        <v/>
      </c>
      <c r="M165" s="56" t="str">
        <f t="shared" si="7"/>
        <v/>
      </c>
      <c r="N165" s="58" t="str">
        <f ca="1" t="shared" si="8"/>
        <v/>
      </c>
      <c r="O165" s="53"/>
      <c r="P165" s="10"/>
    </row>
    <row r="166" spans="1:16">
      <c r="A166" s="56" t="str">
        <f>IF($D166="","",COUNTA($D$5:$D166))</f>
        <v/>
      </c>
      <c r="B166" s="39"/>
      <c r="C166" s="46"/>
      <c r="D166" s="10"/>
      <c r="E166" s="10"/>
      <c r="F166" s="29"/>
      <c r="G166" s="53"/>
      <c r="H166" s="25"/>
      <c r="I166" s="10"/>
      <c r="J166" s="57" t="str">
        <f>IF($I166="","",IF($B166="应收",SUMIFS(资金流水!$K$5:$K$3032,资金流水!$Q$5:$Q$3015,$I166),SUMIFS(资金流水!$L$5:$L$3032,资金流水!$Q$5:$Q$3015,$I166)))</f>
        <v/>
      </c>
      <c r="K166" s="25"/>
      <c r="L166" s="57" t="str">
        <f t="shared" si="6"/>
        <v/>
      </c>
      <c r="M166" s="56" t="str">
        <f t="shared" si="7"/>
        <v/>
      </c>
      <c r="N166" s="58" t="str">
        <f ca="1" t="shared" si="8"/>
        <v/>
      </c>
      <c r="O166" s="53"/>
      <c r="P166" s="10"/>
    </row>
    <row r="167" spans="1:16">
      <c r="A167" s="56" t="str">
        <f>IF($D167="","",COUNTA($D$5:$D167))</f>
        <v/>
      </c>
      <c r="B167" s="39"/>
      <c r="C167" s="46"/>
      <c r="D167" s="10"/>
      <c r="E167" s="10"/>
      <c r="F167" s="29"/>
      <c r="G167" s="53"/>
      <c r="H167" s="25"/>
      <c r="I167" s="10"/>
      <c r="J167" s="57" t="str">
        <f>IF($I167="","",IF($B167="应收",SUMIFS(资金流水!$K$5:$K$3032,资金流水!$Q$5:$Q$3015,$I167),SUMIFS(资金流水!$L$5:$L$3032,资金流水!$Q$5:$Q$3015,$I167)))</f>
        <v/>
      </c>
      <c r="K167" s="25"/>
      <c r="L167" s="57" t="str">
        <f t="shared" si="6"/>
        <v/>
      </c>
      <c r="M167" s="56" t="str">
        <f t="shared" si="7"/>
        <v/>
      </c>
      <c r="N167" s="58" t="str">
        <f ca="1" t="shared" si="8"/>
        <v/>
      </c>
      <c r="O167" s="53"/>
      <c r="P167" s="10"/>
    </row>
    <row r="168" spans="1:16">
      <c r="A168" s="56" t="str">
        <f>IF($D168="","",COUNTA($D$5:$D168))</f>
        <v/>
      </c>
      <c r="B168" s="39"/>
      <c r="C168" s="46"/>
      <c r="D168" s="10"/>
      <c r="E168" s="10"/>
      <c r="F168" s="29"/>
      <c r="G168" s="53"/>
      <c r="H168" s="25"/>
      <c r="I168" s="10"/>
      <c r="J168" s="57" t="str">
        <f>IF($I168="","",IF($B168="应收",SUMIFS(资金流水!$K$5:$K$3032,资金流水!$Q$5:$Q$3015,$I168),SUMIFS(资金流水!$L$5:$L$3032,资金流水!$Q$5:$Q$3015,$I168)))</f>
        <v/>
      </c>
      <c r="K168" s="25"/>
      <c r="L168" s="57" t="str">
        <f t="shared" si="6"/>
        <v/>
      </c>
      <c r="M168" s="56" t="str">
        <f t="shared" si="7"/>
        <v/>
      </c>
      <c r="N168" s="58" t="str">
        <f ca="1" t="shared" si="8"/>
        <v/>
      </c>
      <c r="O168" s="53"/>
      <c r="P168" s="10"/>
    </row>
    <row r="169" spans="1:16">
      <c r="A169" s="56" t="str">
        <f>IF($D169="","",COUNTA($D$5:$D169))</f>
        <v/>
      </c>
      <c r="B169" s="39"/>
      <c r="C169" s="46"/>
      <c r="D169" s="10"/>
      <c r="E169" s="10"/>
      <c r="F169" s="29"/>
      <c r="G169" s="53"/>
      <c r="H169" s="25"/>
      <c r="I169" s="10"/>
      <c r="J169" s="57" t="str">
        <f>IF($I169="","",IF($B169="应收",SUMIFS(资金流水!$K$5:$K$3032,资金流水!$Q$5:$Q$3015,$I169),SUMIFS(资金流水!$L$5:$L$3032,资金流水!$Q$5:$Q$3015,$I169)))</f>
        <v/>
      </c>
      <c r="K169" s="25"/>
      <c r="L169" s="57" t="str">
        <f t="shared" si="6"/>
        <v/>
      </c>
      <c r="M169" s="56" t="str">
        <f t="shared" si="7"/>
        <v/>
      </c>
      <c r="N169" s="58" t="str">
        <f ca="1" t="shared" si="8"/>
        <v/>
      </c>
      <c r="O169" s="53"/>
      <c r="P169" s="10"/>
    </row>
    <row r="170" spans="1:16">
      <c r="A170" s="56" t="str">
        <f>IF($D170="","",COUNTA($D$5:$D170))</f>
        <v/>
      </c>
      <c r="B170" s="39"/>
      <c r="C170" s="46"/>
      <c r="D170" s="10"/>
      <c r="E170" s="10"/>
      <c r="F170" s="29"/>
      <c r="G170" s="53"/>
      <c r="H170" s="25"/>
      <c r="I170" s="10"/>
      <c r="J170" s="57" t="str">
        <f>IF($I170="","",IF($B170="应收",SUMIFS(资金流水!$K$5:$K$3032,资金流水!$Q$5:$Q$3015,$I170),SUMIFS(资金流水!$L$5:$L$3032,资金流水!$Q$5:$Q$3015,$I170)))</f>
        <v/>
      </c>
      <c r="K170" s="25"/>
      <c r="L170" s="57" t="str">
        <f t="shared" si="6"/>
        <v/>
      </c>
      <c r="M170" s="56" t="str">
        <f t="shared" si="7"/>
        <v/>
      </c>
      <c r="N170" s="58" t="str">
        <f ca="1" t="shared" si="8"/>
        <v/>
      </c>
      <c r="O170" s="53"/>
      <c r="P170" s="10"/>
    </row>
    <row r="171" spans="1:16">
      <c r="A171" s="56" t="str">
        <f>IF($D171="","",COUNTA($D$5:$D171))</f>
        <v/>
      </c>
      <c r="B171" s="39"/>
      <c r="C171" s="46"/>
      <c r="D171" s="10"/>
      <c r="E171" s="10"/>
      <c r="F171" s="29"/>
      <c r="G171" s="53"/>
      <c r="H171" s="25"/>
      <c r="I171" s="10"/>
      <c r="J171" s="57" t="str">
        <f>IF($I171="","",IF($B171="应收",SUMIFS(资金流水!$K$5:$K$3032,资金流水!$Q$5:$Q$3015,$I171),SUMIFS(资金流水!$L$5:$L$3032,资金流水!$Q$5:$Q$3015,$I171)))</f>
        <v/>
      </c>
      <c r="K171" s="25"/>
      <c r="L171" s="57" t="str">
        <f t="shared" si="6"/>
        <v/>
      </c>
      <c r="M171" s="56" t="str">
        <f t="shared" si="7"/>
        <v/>
      </c>
      <c r="N171" s="58" t="str">
        <f ca="1" t="shared" si="8"/>
        <v/>
      </c>
      <c r="O171" s="53"/>
      <c r="P171" s="10"/>
    </row>
    <row r="172" spans="1:16">
      <c r="A172" s="56" t="str">
        <f>IF($D172="","",COUNTA($D$5:$D172))</f>
        <v/>
      </c>
      <c r="B172" s="39"/>
      <c r="C172" s="46"/>
      <c r="D172" s="10"/>
      <c r="E172" s="10"/>
      <c r="F172" s="29"/>
      <c r="G172" s="53"/>
      <c r="H172" s="25"/>
      <c r="I172" s="10"/>
      <c r="J172" s="57" t="str">
        <f>IF($I172="","",IF($B172="应收",SUMIFS(资金流水!$K$5:$K$3032,资金流水!$Q$5:$Q$3015,$I172),SUMIFS(资金流水!$L$5:$L$3032,资金流水!$Q$5:$Q$3015,$I172)))</f>
        <v/>
      </c>
      <c r="K172" s="25"/>
      <c r="L172" s="57" t="str">
        <f t="shared" si="6"/>
        <v/>
      </c>
      <c r="M172" s="56" t="str">
        <f t="shared" si="7"/>
        <v/>
      </c>
      <c r="N172" s="58" t="str">
        <f ca="1" t="shared" si="8"/>
        <v/>
      </c>
      <c r="O172" s="53"/>
      <c r="P172" s="10"/>
    </row>
    <row r="173" spans="1:16">
      <c r="A173" s="56" t="str">
        <f>IF($D173="","",COUNTA($D$5:$D173))</f>
        <v/>
      </c>
      <c r="B173" s="39"/>
      <c r="C173" s="46"/>
      <c r="D173" s="10"/>
      <c r="E173" s="10"/>
      <c r="F173" s="29"/>
      <c r="G173" s="53"/>
      <c r="H173" s="25"/>
      <c r="I173" s="10"/>
      <c r="J173" s="57" t="str">
        <f>IF($I173="","",IF($B173="应收",SUMIFS(资金流水!$K$5:$K$3032,资金流水!$Q$5:$Q$3015,$I173),SUMIFS(资金流水!$L$5:$L$3032,资金流水!$Q$5:$Q$3015,$I173)))</f>
        <v/>
      </c>
      <c r="K173" s="25"/>
      <c r="L173" s="57" t="str">
        <f t="shared" si="6"/>
        <v/>
      </c>
      <c r="M173" s="56" t="str">
        <f t="shared" si="7"/>
        <v/>
      </c>
      <c r="N173" s="58" t="str">
        <f ca="1" t="shared" si="8"/>
        <v/>
      </c>
      <c r="O173" s="53"/>
      <c r="P173" s="10"/>
    </row>
    <row r="174" spans="1:16">
      <c r="A174" s="56" t="str">
        <f>IF($D174="","",COUNTA($D$5:$D174))</f>
        <v/>
      </c>
      <c r="B174" s="39"/>
      <c r="C174" s="46"/>
      <c r="D174" s="10"/>
      <c r="E174" s="10"/>
      <c r="F174" s="29"/>
      <c r="G174" s="53"/>
      <c r="H174" s="25"/>
      <c r="I174" s="10"/>
      <c r="J174" s="57" t="str">
        <f>IF($I174="","",IF($B174="应收",SUMIFS(资金流水!$K$5:$K$3032,资金流水!$Q$5:$Q$3015,$I174),SUMIFS(资金流水!$L$5:$L$3032,资金流水!$Q$5:$Q$3015,$I174)))</f>
        <v/>
      </c>
      <c r="K174" s="25"/>
      <c r="L174" s="57" t="str">
        <f t="shared" si="6"/>
        <v/>
      </c>
      <c r="M174" s="56" t="str">
        <f t="shared" si="7"/>
        <v/>
      </c>
      <c r="N174" s="58" t="str">
        <f ca="1" t="shared" si="8"/>
        <v/>
      </c>
      <c r="O174" s="53"/>
      <c r="P174" s="10"/>
    </row>
    <row r="175" spans="1:16">
      <c r="A175" s="56" t="str">
        <f>IF($D175="","",COUNTA($D$5:$D175))</f>
        <v/>
      </c>
      <c r="B175" s="39"/>
      <c r="C175" s="46"/>
      <c r="D175" s="10"/>
      <c r="E175" s="10"/>
      <c r="F175" s="29"/>
      <c r="G175" s="53"/>
      <c r="H175" s="25"/>
      <c r="I175" s="10"/>
      <c r="J175" s="57" t="str">
        <f>IF($I175="","",IF($B175="应收",SUMIFS(资金流水!$K$5:$K$3032,资金流水!$Q$5:$Q$3015,$I175),SUMIFS(资金流水!$L$5:$L$3032,资金流水!$Q$5:$Q$3015,$I175)))</f>
        <v/>
      </c>
      <c r="K175" s="25"/>
      <c r="L175" s="57" t="str">
        <f t="shared" si="6"/>
        <v/>
      </c>
      <c r="M175" s="56" t="str">
        <f t="shared" si="7"/>
        <v/>
      </c>
      <c r="N175" s="58" t="str">
        <f ca="1" t="shared" si="8"/>
        <v/>
      </c>
      <c r="O175" s="53"/>
      <c r="P175" s="10"/>
    </row>
    <row r="176" spans="1:16">
      <c r="A176" s="56" t="str">
        <f>IF($D176="","",COUNTA($D$5:$D176))</f>
        <v/>
      </c>
      <c r="B176" s="39"/>
      <c r="C176" s="46"/>
      <c r="D176" s="10"/>
      <c r="E176" s="10"/>
      <c r="F176" s="29"/>
      <c r="G176" s="53"/>
      <c r="H176" s="25"/>
      <c r="I176" s="10"/>
      <c r="J176" s="57" t="str">
        <f>IF($I176="","",IF($B176="应收",SUMIFS(资金流水!$K$5:$K$3032,资金流水!$Q$5:$Q$3015,$I176),SUMIFS(资金流水!$L$5:$L$3032,资金流水!$Q$5:$Q$3015,$I176)))</f>
        <v/>
      </c>
      <c r="K176" s="25"/>
      <c r="L176" s="57" t="str">
        <f t="shared" si="6"/>
        <v/>
      </c>
      <c r="M176" s="56" t="str">
        <f t="shared" si="7"/>
        <v/>
      </c>
      <c r="N176" s="58" t="str">
        <f ca="1" t="shared" si="8"/>
        <v/>
      </c>
      <c r="O176" s="53"/>
      <c r="P176" s="10"/>
    </row>
    <row r="177" spans="1:16">
      <c r="A177" s="56" t="str">
        <f>IF($D177="","",COUNTA($D$5:$D177))</f>
        <v/>
      </c>
      <c r="B177" s="39"/>
      <c r="C177" s="46"/>
      <c r="D177" s="10"/>
      <c r="E177" s="10"/>
      <c r="F177" s="29"/>
      <c r="G177" s="53"/>
      <c r="H177" s="25"/>
      <c r="I177" s="10"/>
      <c r="J177" s="57" t="str">
        <f>IF($I177="","",IF($B177="应收",SUMIFS(资金流水!$K$5:$K$3032,资金流水!$Q$5:$Q$3015,$I177),SUMIFS(资金流水!$L$5:$L$3032,资金流水!$Q$5:$Q$3015,$I177)))</f>
        <v/>
      </c>
      <c r="K177" s="25"/>
      <c r="L177" s="57" t="str">
        <f t="shared" si="6"/>
        <v/>
      </c>
      <c r="M177" s="56" t="str">
        <f t="shared" si="7"/>
        <v/>
      </c>
      <c r="N177" s="58" t="str">
        <f ca="1" t="shared" si="8"/>
        <v/>
      </c>
      <c r="O177" s="53"/>
      <c r="P177" s="10"/>
    </row>
    <row r="178" spans="1:16">
      <c r="A178" s="56" t="str">
        <f>IF($D178="","",COUNTA($D$5:$D178))</f>
        <v/>
      </c>
      <c r="B178" s="39"/>
      <c r="C178" s="46"/>
      <c r="D178" s="10"/>
      <c r="E178" s="10"/>
      <c r="F178" s="29"/>
      <c r="G178" s="53"/>
      <c r="H178" s="25"/>
      <c r="I178" s="10"/>
      <c r="J178" s="57" t="str">
        <f>IF($I178="","",IF($B178="应收",SUMIFS(资金流水!$K$5:$K$3032,资金流水!$Q$5:$Q$3015,$I178),SUMIFS(资金流水!$L$5:$L$3032,资金流水!$Q$5:$Q$3015,$I178)))</f>
        <v/>
      </c>
      <c r="K178" s="25"/>
      <c r="L178" s="57" t="str">
        <f t="shared" si="6"/>
        <v/>
      </c>
      <c r="M178" s="56" t="str">
        <f t="shared" si="7"/>
        <v/>
      </c>
      <c r="N178" s="58" t="str">
        <f ca="1" t="shared" si="8"/>
        <v/>
      </c>
      <c r="O178" s="53"/>
      <c r="P178" s="10"/>
    </row>
    <row r="179" spans="1:16">
      <c r="A179" s="56" t="str">
        <f>IF($D179="","",COUNTA($D$5:$D179))</f>
        <v/>
      </c>
      <c r="B179" s="39"/>
      <c r="C179" s="46"/>
      <c r="D179" s="10"/>
      <c r="E179" s="10"/>
      <c r="F179" s="29"/>
      <c r="G179" s="53"/>
      <c r="H179" s="25"/>
      <c r="I179" s="10"/>
      <c r="J179" s="57" t="str">
        <f>IF($I179="","",IF($B179="应收",SUMIFS(资金流水!$K$5:$K$3032,资金流水!$Q$5:$Q$3015,$I179),SUMIFS(资金流水!$L$5:$L$3032,资金流水!$Q$5:$Q$3015,$I179)))</f>
        <v/>
      </c>
      <c r="K179" s="25"/>
      <c r="L179" s="57" t="str">
        <f t="shared" si="6"/>
        <v/>
      </c>
      <c r="M179" s="56" t="str">
        <f t="shared" si="7"/>
        <v/>
      </c>
      <c r="N179" s="58" t="str">
        <f ca="1" t="shared" si="8"/>
        <v/>
      </c>
      <c r="O179" s="53"/>
      <c r="P179" s="10"/>
    </row>
    <row r="180" spans="1:16">
      <c r="A180" s="56" t="str">
        <f>IF($D180="","",COUNTA($D$5:$D180))</f>
        <v/>
      </c>
      <c r="B180" s="39"/>
      <c r="C180" s="46"/>
      <c r="D180" s="10"/>
      <c r="E180" s="10"/>
      <c r="F180" s="29"/>
      <c r="G180" s="53"/>
      <c r="H180" s="25"/>
      <c r="I180" s="10"/>
      <c r="J180" s="57" t="str">
        <f>IF($I180="","",IF($B180="应收",SUMIFS(资金流水!$K$5:$K$3032,资金流水!$Q$5:$Q$3015,$I180),SUMIFS(资金流水!$L$5:$L$3032,资金流水!$Q$5:$Q$3015,$I180)))</f>
        <v/>
      </c>
      <c r="K180" s="25"/>
      <c r="L180" s="57" t="str">
        <f t="shared" si="6"/>
        <v/>
      </c>
      <c r="M180" s="56" t="str">
        <f t="shared" si="7"/>
        <v/>
      </c>
      <c r="N180" s="58" t="str">
        <f ca="1" t="shared" si="8"/>
        <v/>
      </c>
      <c r="O180" s="53"/>
      <c r="P180" s="10"/>
    </row>
    <row r="181" spans="1:16">
      <c r="A181" s="56" t="str">
        <f>IF($D181="","",COUNTA($D$5:$D181))</f>
        <v/>
      </c>
      <c r="B181" s="39"/>
      <c r="C181" s="46"/>
      <c r="D181" s="10"/>
      <c r="E181" s="10"/>
      <c r="F181" s="29"/>
      <c r="G181" s="53"/>
      <c r="H181" s="25"/>
      <c r="I181" s="10"/>
      <c r="J181" s="57" t="str">
        <f>IF($I181="","",IF($B181="应收",SUMIFS(资金流水!$K$5:$K$3032,资金流水!$Q$5:$Q$3015,$I181),SUMIFS(资金流水!$L$5:$L$3032,资金流水!$Q$5:$Q$3015,$I181)))</f>
        <v/>
      </c>
      <c r="K181" s="25"/>
      <c r="L181" s="57" t="str">
        <f t="shared" si="6"/>
        <v/>
      </c>
      <c r="M181" s="56" t="str">
        <f t="shared" si="7"/>
        <v/>
      </c>
      <c r="N181" s="58" t="str">
        <f ca="1" t="shared" si="8"/>
        <v/>
      </c>
      <c r="O181" s="53"/>
      <c r="P181" s="10"/>
    </row>
    <row r="182" spans="1:16">
      <c r="A182" s="56" t="str">
        <f>IF($D182="","",COUNTA($D$5:$D182))</f>
        <v/>
      </c>
      <c r="B182" s="39"/>
      <c r="C182" s="46"/>
      <c r="D182" s="10"/>
      <c r="E182" s="10"/>
      <c r="F182" s="29"/>
      <c r="G182" s="53"/>
      <c r="H182" s="25"/>
      <c r="I182" s="10"/>
      <c r="J182" s="57" t="str">
        <f>IF($I182="","",IF($B182="应收",SUMIFS(资金流水!$K$5:$K$3032,资金流水!$Q$5:$Q$3015,$I182),SUMIFS(资金流水!$L$5:$L$3032,资金流水!$Q$5:$Q$3015,$I182)))</f>
        <v/>
      </c>
      <c r="K182" s="25"/>
      <c r="L182" s="57" t="str">
        <f t="shared" si="6"/>
        <v/>
      </c>
      <c r="M182" s="56" t="str">
        <f t="shared" si="7"/>
        <v/>
      </c>
      <c r="N182" s="58" t="str">
        <f ca="1" t="shared" si="8"/>
        <v/>
      </c>
      <c r="O182" s="53"/>
      <c r="P182" s="10"/>
    </row>
    <row r="183" spans="1:16">
      <c r="A183" s="56" t="str">
        <f>IF($D183="","",COUNTA($D$5:$D183))</f>
        <v/>
      </c>
      <c r="B183" s="39"/>
      <c r="C183" s="46"/>
      <c r="D183" s="10"/>
      <c r="E183" s="10"/>
      <c r="F183" s="29"/>
      <c r="G183" s="53"/>
      <c r="H183" s="25"/>
      <c r="I183" s="10"/>
      <c r="J183" s="57" t="str">
        <f>IF($I183="","",IF($B183="应收",SUMIFS(资金流水!$K$5:$K$3032,资金流水!$Q$5:$Q$3015,$I183),SUMIFS(资金流水!$L$5:$L$3032,资金流水!$Q$5:$Q$3015,$I183)))</f>
        <v/>
      </c>
      <c r="K183" s="25"/>
      <c r="L183" s="57" t="str">
        <f t="shared" si="6"/>
        <v/>
      </c>
      <c r="M183" s="56" t="str">
        <f t="shared" si="7"/>
        <v/>
      </c>
      <c r="N183" s="58" t="str">
        <f ca="1" t="shared" si="8"/>
        <v/>
      </c>
      <c r="O183" s="53"/>
      <c r="P183" s="10"/>
    </row>
    <row r="184" spans="1:16">
      <c r="A184" s="56" t="str">
        <f>IF($D184="","",COUNTA($D$5:$D184))</f>
        <v/>
      </c>
      <c r="B184" s="39"/>
      <c r="C184" s="46"/>
      <c r="D184" s="10"/>
      <c r="E184" s="10"/>
      <c r="F184" s="29"/>
      <c r="G184" s="53"/>
      <c r="H184" s="25"/>
      <c r="I184" s="10"/>
      <c r="J184" s="57" t="str">
        <f>IF($I184="","",IF($B184="应收",SUMIFS(资金流水!$K$5:$K$3032,资金流水!$Q$5:$Q$3015,$I184),SUMIFS(资金流水!$L$5:$L$3032,资金流水!$Q$5:$Q$3015,$I184)))</f>
        <v/>
      </c>
      <c r="K184" s="25"/>
      <c r="L184" s="57" t="str">
        <f t="shared" si="6"/>
        <v/>
      </c>
      <c r="M184" s="56" t="str">
        <f t="shared" si="7"/>
        <v/>
      </c>
      <c r="N184" s="58" t="str">
        <f ca="1" t="shared" si="8"/>
        <v/>
      </c>
      <c r="O184" s="53"/>
      <c r="P184" s="10"/>
    </row>
    <row r="185" spans="1:16">
      <c r="A185" s="56" t="str">
        <f>IF($D185="","",COUNTA($D$5:$D185))</f>
        <v/>
      </c>
      <c r="B185" s="39"/>
      <c r="C185" s="46"/>
      <c r="D185" s="10"/>
      <c r="E185" s="10"/>
      <c r="F185" s="29"/>
      <c r="G185" s="53"/>
      <c r="H185" s="25"/>
      <c r="I185" s="10"/>
      <c r="J185" s="57" t="str">
        <f>IF($I185="","",IF($B185="应收",SUMIFS(资金流水!$K$5:$K$3032,资金流水!$Q$5:$Q$3015,$I185),SUMIFS(资金流水!$L$5:$L$3032,资金流水!$Q$5:$Q$3015,$I185)))</f>
        <v/>
      </c>
      <c r="K185" s="25"/>
      <c r="L185" s="57" t="str">
        <f t="shared" si="6"/>
        <v/>
      </c>
      <c r="M185" s="56" t="str">
        <f t="shared" si="7"/>
        <v/>
      </c>
      <c r="N185" s="58" t="str">
        <f ca="1" t="shared" si="8"/>
        <v/>
      </c>
      <c r="O185" s="53"/>
      <c r="P185" s="10"/>
    </row>
    <row r="186" spans="1:16">
      <c r="A186" s="56" t="str">
        <f>IF($D186="","",COUNTA($D$5:$D186))</f>
        <v/>
      </c>
      <c r="B186" s="39"/>
      <c r="C186" s="46"/>
      <c r="D186" s="10"/>
      <c r="E186" s="10"/>
      <c r="F186" s="29"/>
      <c r="G186" s="53"/>
      <c r="H186" s="25"/>
      <c r="I186" s="10"/>
      <c r="J186" s="57" t="str">
        <f>IF($I186="","",IF($B186="应收",SUMIFS(资金流水!$K$5:$K$3032,资金流水!$Q$5:$Q$3015,$I186),SUMIFS(资金流水!$L$5:$L$3032,资金流水!$Q$5:$Q$3015,$I186)))</f>
        <v/>
      </c>
      <c r="K186" s="25"/>
      <c r="L186" s="57" t="str">
        <f t="shared" si="6"/>
        <v/>
      </c>
      <c r="M186" s="56" t="str">
        <f t="shared" si="7"/>
        <v/>
      </c>
      <c r="N186" s="58" t="str">
        <f ca="1" t="shared" si="8"/>
        <v/>
      </c>
      <c r="O186" s="53"/>
      <c r="P186" s="10"/>
    </row>
    <row r="187" spans="1:16">
      <c r="A187" s="56" t="str">
        <f>IF($D187="","",COUNTA($D$5:$D187))</f>
        <v/>
      </c>
      <c r="B187" s="39"/>
      <c r="C187" s="46"/>
      <c r="D187" s="10"/>
      <c r="E187" s="10"/>
      <c r="F187" s="29"/>
      <c r="G187" s="53"/>
      <c r="H187" s="25"/>
      <c r="I187" s="10"/>
      <c r="J187" s="57" t="str">
        <f>IF($I187="","",IF($B187="应收",SUMIFS(资金流水!$K$5:$K$3032,资金流水!$Q$5:$Q$3015,$I187),SUMIFS(资金流水!$L$5:$L$3032,资金流水!$Q$5:$Q$3015,$I187)))</f>
        <v/>
      </c>
      <c r="K187" s="25"/>
      <c r="L187" s="57" t="str">
        <f t="shared" si="6"/>
        <v/>
      </c>
      <c r="M187" s="56" t="str">
        <f t="shared" si="7"/>
        <v/>
      </c>
      <c r="N187" s="58" t="str">
        <f ca="1" t="shared" si="8"/>
        <v/>
      </c>
      <c r="O187" s="53"/>
      <c r="P187" s="10"/>
    </row>
    <row r="188" spans="1:16">
      <c r="A188" s="56" t="str">
        <f>IF($D188="","",COUNTA($D$5:$D188))</f>
        <v/>
      </c>
      <c r="B188" s="39"/>
      <c r="C188" s="46"/>
      <c r="D188" s="10"/>
      <c r="E188" s="10"/>
      <c r="F188" s="29"/>
      <c r="G188" s="53"/>
      <c r="H188" s="25"/>
      <c r="I188" s="10"/>
      <c r="J188" s="57" t="str">
        <f>IF($I188="","",IF($B188="应收",SUMIFS(资金流水!$K$5:$K$3032,资金流水!$Q$5:$Q$3015,$I188),SUMIFS(资金流水!$L$5:$L$3032,资金流水!$Q$5:$Q$3015,$I188)))</f>
        <v/>
      </c>
      <c r="K188" s="25"/>
      <c r="L188" s="57" t="str">
        <f t="shared" si="6"/>
        <v/>
      </c>
      <c r="M188" s="56" t="str">
        <f t="shared" si="7"/>
        <v/>
      </c>
      <c r="N188" s="58" t="str">
        <f ca="1" t="shared" si="8"/>
        <v/>
      </c>
      <c r="O188" s="53"/>
      <c r="P188" s="10"/>
    </row>
    <row r="189" spans="1:16">
      <c r="A189" s="56" t="str">
        <f>IF($D189="","",COUNTA($D$5:$D189))</f>
        <v/>
      </c>
      <c r="B189" s="39"/>
      <c r="C189" s="46"/>
      <c r="D189" s="10"/>
      <c r="E189" s="10"/>
      <c r="F189" s="29"/>
      <c r="G189" s="53"/>
      <c r="H189" s="25"/>
      <c r="I189" s="10"/>
      <c r="J189" s="57" t="str">
        <f>IF($I189="","",IF($B189="应收",SUMIFS(资金流水!$K$5:$K$3032,资金流水!$Q$5:$Q$3015,$I189),SUMIFS(资金流水!$L$5:$L$3032,资金流水!$Q$5:$Q$3015,$I189)))</f>
        <v/>
      </c>
      <c r="K189" s="25"/>
      <c r="L189" s="57" t="str">
        <f t="shared" si="6"/>
        <v/>
      </c>
      <c r="M189" s="56" t="str">
        <f t="shared" si="7"/>
        <v/>
      </c>
      <c r="N189" s="58" t="str">
        <f ca="1" t="shared" si="8"/>
        <v/>
      </c>
      <c r="O189" s="53"/>
      <c r="P189" s="10"/>
    </row>
    <row r="190" spans="1:16">
      <c r="A190" s="56" t="str">
        <f>IF($D190="","",COUNTA($D$5:$D190))</f>
        <v/>
      </c>
      <c r="B190" s="39"/>
      <c r="C190" s="46"/>
      <c r="D190" s="10"/>
      <c r="E190" s="10"/>
      <c r="F190" s="29"/>
      <c r="G190" s="53"/>
      <c r="H190" s="25"/>
      <c r="I190" s="10"/>
      <c r="J190" s="57" t="str">
        <f>IF($I190="","",IF($B190="应收",SUMIFS(资金流水!$K$5:$K$3032,资金流水!$Q$5:$Q$3015,$I190),SUMIFS(资金流水!$L$5:$L$3032,资金流水!$Q$5:$Q$3015,$I190)))</f>
        <v/>
      </c>
      <c r="K190" s="25"/>
      <c r="L190" s="57" t="str">
        <f t="shared" si="6"/>
        <v/>
      </c>
      <c r="M190" s="56" t="str">
        <f t="shared" si="7"/>
        <v/>
      </c>
      <c r="N190" s="58" t="str">
        <f ca="1" t="shared" si="8"/>
        <v/>
      </c>
      <c r="O190" s="53"/>
      <c r="P190" s="10"/>
    </row>
    <row r="191" spans="1:16">
      <c r="A191" s="56" t="str">
        <f>IF($D191="","",COUNTA($D$5:$D191))</f>
        <v/>
      </c>
      <c r="B191" s="39"/>
      <c r="C191" s="46"/>
      <c r="D191" s="10"/>
      <c r="E191" s="10"/>
      <c r="F191" s="29"/>
      <c r="G191" s="53"/>
      <c r="H191" s="25"/>
      <c r="I191" s="10"/>
      <c r="J191" s="57" t="str">
        <f>IF($I191="","",IF($B191="应收",SUMIFS(资金流水!$K$5:$K$3032,资金流水!$Q$5:$Q$3015,$I191),SUMIFS(资金流水!$L$5:$L$3032,资金流水!$Q$5:$Q$3015,$I191)))</f>
        <v/>
      </c>
      <c r="K191" s="25"/>
      <c r="L191" s="57" t="str">
        <f t="shared" si="6"/>
        <v/>
      </c>
      <c r="M191" s="56" t="str">
        <f t="shared" si="7"/>
        <v/>
      </c>
      <c r="N191" s="58" t="str">
        <f ca="1" t="shared" si="8"/>
        <v/>
      </c>
      <c r="O191" s="53"/>
      <c r="P191" s="10"/>
    </row>
    <row r="192" spans="1:16">
      <c r="A192" s="56" t="str">
        <f>IF($D192="","",COUNTA($D$5:$D192))</f>
        <v/>
      </c>
      <c r="B192" s="39"/>
      <c r="C192" s="46"/>
      <c r="D192" s="10"/>
      <c r="E192" s="10"/>
      <c r="F192" s="29"/>
      <c r="G192" s="53"/>
      <c r="H192" s="25"/>
      <c r="I192" s="10"/>
      <c r="J192" s="57" t="str">
        <f>IF($I192="","",IF($B192="应收",SUMIFS(资金流水!$K$5:$K$3032,资金流水!$Q$5:$Q$3015,$I192),SUMIFS(资金流水!$L$5:$L$3032,资金流水!$Q$5:$Q$3015,$I192)))</f>
        <v/>
      </c>
      <c r="K192" s="25"/>
      <c r="L192" s="57" t="str">
        <f t="shared" si="6"/>
        <v/>
      </c>
      <c r="M192" s="56" t="str">
        <f t="shared" si="7"/>
        <v/>
      </c>
      <c r="N192" s="58" t="str">
        <f ca="1" t="shared" si="8"/>
        <v/>
      </c>
      <c r="O192" s="53"/>
      <c r="P192" s="10"/>
    </row>
    <row r="193" spans="1:16">
      <c r="A193" s="56" t="str">
        <f>IF($D193="","",COUNTA($D$5:$D193))</f>
        <v/>
      </c>
      <c r="B193" s="39"/>
      <c r="C193" s="46"/>
      <c r="D193" s="10"/>
      <c r="E193" s="10"/>
      <c r="F193" s="29"/>
      <c r="G193" s="53"/>
      <c r="H193" s="25"/>
      <c r="I193" s="10"/>
      <c r="J193" s="57" t="str">
        <f>IF($I193="","",IF($B193="应收",SUMIFS(资金流水!$K$5:$K$3032,资金流水!$Q$5:$Q$3015,$I193),SUMIFS(资金流水!$L$5:$L$3032,资金流水!$Q$5:$Q$3015,$I193)))</f>
        <v/>
      </c>
      <c r="K193" s="25"/>
      <c r="L193" s="57" t="str">
        <f t="shared" si="6"/>
        <v/>
      </c>
      <c r="M193" s="56" t="str">
        <f t="shared" si="7"/>
        <v/>
      </c>
      <c r="N193" s="58" t="str">
        <f ca="1" t="shared" si="8"/>
        <v/>
      </c>
      <c r="O193" s="53"/>
      <c r="P193" s="10"/>
    </row>
    <row r="194" spans="1:16">
      <c r="A194" s="56" t="str">
        <f>IF($D194="","",COUNTA($D$5:$D194))</f>
        <v/>
      </c>
      <c r="B194" s="39"/>
      <c r="C194" s="46"/>
      <c r="D194" s="10"/>
      <c r="E194" s="10"/>
      <c r="F194" s="29"/>
      <c r="G194" s="53"/>
      <c r="H194" s="25"/>
      <c r="I194" s="10"/>
      <c r="J194" s="57" t="str">
        <f>IF($I194="","",IF($B194="应收",SUMIFS(资金流水!$K$5:$K$3032,资金流水!$Q$5:$Q$3015,$I194),SUMIFS(资金流水!$L$5:$L$3032,资金流水!$Q$5:$Q$3015,$I194)))</f>
        <v/>
      </c>
      <c r="K194" s="25"/>
      <c r="L194" s="57" t="str">
        <f t="shared" si="6"/>
        <v/>
      </c>
      <c r="M194" s="56" t="str">
        <f t="shared" si="7"/>
        <v/>
      </c>
      <c r="N194" s="58" t="str">
        <f ca="1" t="shared" si="8"/>
        <v/>
      </c>
      <c r="O194" s="53"/>
      <c r="P194" s="10"/>
    </row>
    <row r="195" spans="1:16">
      <c r="A195" s="56" t="str">
        <f>IF($D195="","",COUNTA($D$5:$D195))</f>
        <v/>
      </c>
      <c r="B195" s="39"/>
      <c r="C195" s="46"/>
      <c r="D195" s="10"/>
      <c r="E195" s="10"/>
      <c r="F195" s="29"/>
      <c r="G195" s="53"/>
      <c r="H195" s="25"/>
      <c r="I195" s="10"/>
      <c r="J195" s="57" t="str">
        <f>IF($I195="","",IF($B195="应收",SUMIFS(资金流水!$K$5:$K$3032,资金流水!$Q$5:$Q$3015,$I195),SUMIFS(资金流水!$L$5:$L$3032,资金流水!$Q$5:$Q$3015,$I195)))</f>
        <v/>
      </c>
      <c r="K195" s="25"/>
      <c r="L195" s="57" t="str">
        <f t="shared" si="6"/>
        <v/>
      </c>
      <c r="M195" s="56" t="str">
        <f t="shared" si="7"/>
        <v/>
      </c>
      <c r="N195" s="58" t="str">
        <f ca="1" t="shared" si="8"/>
        <v/>
      </c>
      <c r="O195" s="53"/>
      <c r="P195" s="10"/>
    </row>
    <row r="196" spans="1:16">
      <c r="A196" s="56" t="str">
        <f>IF($D196="","",COUNTA($D$5:$D196))</f>
        <v/>
      </c>
      <c r="B196" s="39"/>
      <c r="C196" s="46"/>
      <c r="D196" s="10"/>
      <c r="E196" s="10"/>
      <c r="F196" s="29"/>
      <c r="G196" s="53"/>
      <c r="H196" s="25"/>
      <c r="I196" s="10"/>
      <c r="J196" s="57" t="str">
        <f>IF($I196="","",IF($B196="应收",SUMIFS(资金流水!$K$5:$K$3032,资金流水!$Q$5:$Q$3015,$I196),SUMIFS(资金流水!$L$5:$L$3032,资金流水!$Q$5:$Q$3015,$I196)))</f>
        <v/>
      </c>
      <c r="K196" s="25"/>
      <c r="L196" s="57" t="str">
        <f t="shared" si="6"/>
        <v/>
      </c>
      <c r="M196" s="56" t="str">
        <f t="shared" si="7"/>
        <v/>
      </c>
      <c r="N196" s="58" t="str">
        <f ca="1" t="shared" si="8"/>
        <v/>
      </c>
      <c r="O196" s="53"/>
      <c r="P196" s="10"/>
    </row>
    <row r="197" spans="1:16">
      <c r="A197" s="56" t="str">
        <f>IF($D197="","",COUNTA($D$5:$D197))</f>
        <v/>
      </c>
      <c r="B197" s="39"/>
      <c r="C197" s="46"/>
      <c r="D197" s="10"/>
      <c r="E197" s="10"/>
      <c r="F197" s="29"/>
      <c r="G197" s="53"/>
      <c r="H197" s="25"/>
      <c r="I197" s="10"/>
      <c r="J197" s="57" t="str">
        <f>IF($I197="","",IF($B197="应收",SUMIFS(资金流水!$K$5:$K$3032,资金流水!$Q$5:$Q$3015,$I197),SUMIFS(资金流水!$L$5:$L$3032,资金流水!$Q$5:$Q$3015,$I197)))</f>
        <v/>
      </c>
      <c r="K197" s="25"/>
      <c r="L197" s="57" t="str">
        <f t="shared" ref="L197:L260" si="9">IF($H197="","",ROUND($H197-IF($J197="",0,$J197)-IF($K197="",0,$K197),2))</f>
        <v/>
      </c>
      <c r="M197" s="56" t="str">
        <f t="shared" ref="M197:M260" si="10">IF($H197="","",IF($L197&lt;=0.005,"已结清",IF($L197&lt;$H197,"部分结算","未结算")))</f>
        <v/>
      </c>
      <c r="N197" s="58" t="str">
        <f ca="1" t="shared" ref="N197:N260" si="11">IF(OR($G197="",$L197="",$L197&lt;=0.005),"",TODAY()-$G197)</f>
        <v/>
      </c>
      <c r="O197" s="53"/>
      <c r="P197" s="10"/>
    </row>
    <row r="198" spans="1:16">
      <c r="A198" s="56" t="str">
        <f>IF($D198="","",COUNTA($D$5:$D198))</f>
        <v/>
      </c>
      <c r="B198" s="39"/>
      <c r="C198" s="46"/>
      <c r="D198" s="10"/>
      <c r="E198" s="10"/>
      <c r="F198" s="29"/>
      <c r="G198" s="53"/>
      <c r="H198" s="25"/>
      <c r="I198" s="10"/>
      <c r="J198" s="57" t="str">
        <f>IF($I198="","",IF($B198="应收",SUMIFS(资金流水!$K$5:$K$3032,资金流水!$Q$5:$Q$3015,$I198),SUMIFS(资金流水!$L$5:$L$3032,资金流水!$Q$5:$Q$3015,$I198)))</f>
        <v/>
      </c>
      <c r="K198" s="25"/>
      <c r="L198" s="57" t="str">
        <f t="shared" si="9"/>
        <v/>
      </c>
      <c r="M198" s="56" t="str">
        <f t="shared" si="10"/>
        <v/>
      </c>
      <c r="N198" s="58" t="str">
        <f ca="1" t="shared" si="11"/>
        <v/>
      </c>
      <c r="O198" s="53"/>
      <c r="P198" s="10"/>
    </row>
    <row r="199" spans="1:16">
      <c r="A199" s="56" t="str">
        <f>IF($D199="","",COUNTA($D$5:$D199))</f>
        <v/>
      </c>
      <c r="B199" s="39"/>
      <c r="C199" s="46"/>
      <c r="D199" s="10"/>
      <c r="E199" s="10"/>
      <c r="F199" s="29"/>
      <c r="G199" s="53"/>
      <c r="H199" s="25"/>
      <c r="I199" s="10"/>
      <c r="J199" s="57" t="str">
        <f>IF($I199="","",IF($B199="应收",SUMIFS(资金流水!$K$5:$K$3032,资金流水!$Q$5:$Q$3015,$I199),SUMIFS(资金流水!$L$5:$L$3032,资金流水!$Q$5:$Q$3015,$I199)))</f>
        <v/>
      </c>
      <c r="K199" s="25"/>
      <c r="L199" s="57" t="str">
        <f t="shared" si="9"/>
        <v/>
      </c>
      <c r="M199" s="56" t="str">
        <f t="shared" si="10"/>
        <v/>
      </c>
      <c r="N199" s="58" t="str">
        <f ca="1" t="shared" si="11"/>
        <v/>
      </c>
      <c r="O199" s="53"/>
      <c r="P199" s="10"/>
    </row>
    <row r="200" spans="1:16">
      <c r="A200" s="56" t="str">
        <f>IF($D200="","",COUNTA($D$5:$D200))</f>
        <v/>
      </c>
      <c r="B200" s="39"/>
      <c r="C200" s="46"/>
      <c r="D200" s="10"/>
      <c r="E200" s="10"/>
      <c r="F200" s="29"/>
      <c r="G200" s="53"/>
      <c r="H200" s="25"/>
      <c r="I200" s="10"/>
      <c r="J200" s="57" t="str">
        <f>IF($I200="","",IF($B200="应收",SUMIFS(资金流水!$K$5:$K$3032,资金流水!$Q$5:$Q$3015,$I200),SUMIFS(资金流水!$L$5:$L$3032,资金流水!$Q$5:$Q$3015,$I200)))</f>
        <v/>
      </c>
      <c r="K200" s="25"/>
      <c r="L200" s="57" t="str">
        <f t="shared" si="9"/>
        <v/>
      </c>
      <c r="M200" s="56" t="str">
        <f t="shared" si="10"/>
        <v/>
      </c>
      <c r="N200" s="58" t="str">
        <f ca="1" t="shared" si="11"/>
        <v/>
      </c>
      <c r="O200" s="53"/>
      <c r="P200" s="10"/>
    </row>
    <row r="201" spans="1:16">
      <c r="A201" s="56" t="str">
        <f>IF($D201="","",COUNTA($D$5:$D201))</f>
        <v/>
      </c>
      <c r="B201" s="39"/>
      <c r="C201" s="46"/>
      <c r="D201" s="10"/>
      <c r="E201" s="10"/>
      <c r="F201" s="29"/>
      <c r="G201" s="53"/>
      <c r="H201" s="25"/>
      <c r="I201" s="10"/>
      <c r="J201" s="57" t="str">
        <f>IF($I201="","",IF($B201="应收",SUMIFS(资金流水!$K$5:$K$3032,资金流水!$Q$5:$Q$3015,$I201),SUMIFS(资金流水!$L$5:$L$3032,资金流水!$Q$5:$Q$3015,$I201)))</f>
        <v/>
      </c>
      <c r="K201" s="25"/>
      <c r="L201" s="57" t="str">
        <f t="shared" si="9"/>
        <v/>
      </c>
      <c r="M201" s="56" t="str">
        <f t="shared" si="10"/>
        <v/>
      </c>
      <c r="N201" s="58" t="str">
        <f ca="1" t="shared" si="11"/>
        <v/>
      </c>
      <c r="O201" s="53"/>
      <c r="P201" s="10"/>
    </row>
    <row r="202" spans="1:16">
      <c r="A202" s="56" t="str">
        <f>IF($D202="","",COUNTA($D$5:$D202))</f>
        <v/>
      </c>
      <c r="B202" s="39"/>
      <c r="C202" s="46"/>
      <c r="D202" s="10"/>
      <c r="E202" s="10"/>
      <c r="F202" s="29"/>
      <c r="G202" s="53"/>
      <c r="H202" s="25"/>
      <c r="I202" s="10"/>
      <c r="J202" s="57" t="str">
        <f>IF($I202="","",IF($B202="应收",SUMIFS(资金流水!$K$5:$K$3032,资金流水!$Q$5:$Q$3015,$I202),SUMIFS(资金流水!$L$5:$L$3032,资金流水!$Q$5:$Q$3015,$I202)))</f>
        <v/>
      </c>
      <c r="K202" s="25"/>
      <c r="L202" s="57" t="str">
        <f t="shared" si="9"/>
        <v/>
      </c>
      <c r="M202" s="56" t="str">
        <f t="shared" si="10"/>
        <v/>
      </c>
      <c r="N202" s="58" t="str">
        <f ca="1" t="shared" si="11"/>
        <v/>
      </c>
      <c r="O202" s="53"/>
      <c r="P202" s="10"/>
    </row>
    <row r="203" spans="1:16">
      <c r="A203" s="56" t="str">
        <f>IF($D203="","",COUNTA($D$5:$D203))</f>
        <v/>
      </c>
      <c r="B203" s="39"/>
      <c r="C203" s="46"/>
      <c r="D203" s="10"/>
      <c r="E203" s="10"/>
      <c r="F203" s="29"/>
      <c r="G203" s="53"/>
      <c r="H203" s="25"/>
      <c r="I203" s="10"/>
      <c r="J203" s="57" t="str">
        <f>IF($I203="","",IF($B203="应收",SUMIFS(资金流水!$K$5:$K$3032,资金流水!$Q$5:$Q$3015,$I203),SUMIFS(资金流水!$L$5:$L$3032,资金流水!$Q$5:$Q$3015,$I203)))</f>
        <v/>
      </c>
      <c r="K203" s="25"/>
      <c r="L203" s="57" t="str">
        <f t="shared" si="9"/>
        <v/>
      </c>
      <c r="M203" s="56" t="str">
        <f t="shared" si="10"/>
        <v/>
      </c>
      <c r="N203" s="58" t="str">
        <f ca="1" t="shared" si="11"/>
        <v/>
      </c>
      <c r="O203" s="53"/>
      <c r="P203" s="10"/>
    </row>
    <row r="204" spans="1:16">
      <c r="A204" s="56" t="str">
        <f>IF($D204="","",COUNTA($D$5:$D204))</f>
        <v/>
      </c>
      <c r="B204" s="39"/>
      <c r="C204" s="46"/>
      <c r="D204" s="10"/>
      <c r="E204" s="10"/>
      <c r="F204" s="29"/>
      <c r="G204" s="53"/>
      <c r="H204" s="25"/>
      <c r="I204" s="10"/>
      <c r="J204" s="57" t="str">
        <f>IF($I204="","",IF($B204="应收",SUMIFS(资金流水!$K$5:$K$3032,资金流水!$Q$5:$Q$3015,$I204),SUMIFS(资金流水!$L$5:$L$3032,资金流水!$Q$5:$Q$3015,$I204)))</f>
        <v/>
      </c>
      <c r="K204" s="25"/>
      <c r="L204" s="57" t="str">
        <f t="shared" si="9"/>
        <v/>
      </c>
      <c r="M204" s="56" t="str">
        <f t="shared" si="10"/>
        <v/>
      </c>
      <c r="N204" s="58" t="str">
        <f ca="1" t="shared" si="11"/>
        <v/>
      </c>
      <c r="O204" s="53"/>
      <c r="P204" s="10"/>
    </row>
    <row r="205" spans="1:16">
      <c r="A205" s="56" t="str">
        <f>IF($D205="","",COUNTA($D$5:$D205))</f>
        <v/>
      </c>
      <c r="B205" s="39"/>
      <c r="C205" s="46"/>
      <c r="D205" s="10"/>
      <c r="E205" s="10"/>
      <c r="F205" s="29"/>
      <c r="G205" s="53"/>
      <c r="H205" s="25"/>
      <c r="I205" s="10"/>
      <c r="J205" s="57" t="str">
        <f>IF($I205="","",IF($B205="应收",SUMIFS(资金流水!$K$5:$K$3032,资金流水!$Q$5:$Q$3015,$I205),SUMIFS(资金流水!$L$5:$L$3032,资金流水!$Q$5:$Q$3015,$I205)))</f>
        <v/>
      </c>
      <c r="K205" s="25"/>
      <c r="L205" s="57" t="str">
        <f t="shared" si="9"/>
        <v/>
      </c>
      <c r="M205" s="56" t="str">
        <f t="shared" si="10"/>
        <v/>
      </c>
      <c r="N205" s="58" t="str">
        <f ca="1" t="shared" si="11"/>
        <v/>
      </c>
      <c r="O205" s="53"/>
      <c r="P205" s="10"/>
    </row>
    <row r="206" spans="1:16">
      <c r="A206" s="56" t="str">
        <f>IF($D206="","",COUNTA($D$5:$D206))</f>
        <v/>
      </c>
      <c r="B206" s="39"/>
      <c r="C206" s="46"/>
      <c r="D206" s="10"/>
      <c r="E206" s="10"/>
      <c r="F206" s="29"/>
      <c r="G206" s="53"/>
      <c r="H206" s="25"/>
      <c r="I206" s="10"/>
      <c r="J206" s="57" t="str">
        <f>IF($I206="","",IF($B206="应收",SUMIFS(资金流水!$K$5:$K$3032,资金流水!$Q$5:$Q$3015,$I206),SUMIFS(资金流水!$L$5:$L$3032,资金流水!$Q$5:$Q$3015,$I206)))</f>
        <v/>
      </c>
      <c r="K206" s="25"/>
      <c r="L206" s="57" t="str">
        <f t="shared" si="9"/>
        <v/>
      </c>
      <c r="M206" s="56" t="str">
        <f t="shared" si="10"/>
        <v/>
      </c>
      <c r="N206" s="58" t="str">
        <f ca="1" t="shared" si="11"/>
        <v/>
      </c>
      <c r="O206" s="53"/>
      <c r="P206" s="10"/>
    </row>
    <row r="207" spans="1:16">
      <c r="A207" s="56" t="str">
        <f>IF($D207="","",COUNTA($D$5:$D207))</f>
        <v/>
      </c>
      <c r="B207" s="39"/>
      <c r="C207" s="46"/>
      <c r="D207" s="10"/>
      <c r="E207" s="10"/>
      <c r="F207" s="29"/>
      <c r="G207" s="53"/>
      <c r="H207" s="25"/>
      <c r="I207" s="10"/>
      <c r="J207" s="57" t="str">
        <f>IF($I207="","",IF($B207="应收",SUMIFS(资金流水!$K$5:$K$3032,资金流水!$Q$5:$Q$3015,$I207),SUMIFS(资金流水!$L$5:$L$3032,资金流水!$Q$5:$Q$3015,$I207)))</f>
        <v/>
      </c>
      <c r="K207" s="25"/>
      <c r="L207" s="57" t="str">
        <f t="shared" si="9"/>
        <v/>
      </c>
      <c r="M207" s="56" t="str">
        <f t="shared" si="10"/>
        <v/>
      </c>
      <c r="N207" s="58" t="str">
        <f ca="1" t="shared" si="11"/>
        <v/>
      </c>
      <c r="O207" s="53"/>
      <c r="P207" s="10"/>
    </row>
    <row r="208" spans="1:16">
      <c r="A208" s="56" t="str">
        <f>IF($D208="","",COUNTA($D$5:$D208))</f>
        <v/>
      </c>
      <c r="B208" s="39"/>
      <c r="C208" s="46"/>
      <c r="D208" s="10"/>
      <c r="E208" s="10"/>
      <c r="F208" s="29"/>
      <c r="G208" s="53"/>
      <c r="H208" s="25"/>
      <c r="I208" s="10"/>
      <c r="J208" s="57" t="str">
        <f>IF($I208="","",IF($B208="应收",SUMIFS(资金流水!$K$5:$K$3032,资金流水!$Q$5:$Q$3015,$I208),SUMIFS(资金流水!$L$5:$L$3032,资金流水!$Q$5:$Q$3015,$I208)))</f>
        <v/>
      </c>
      <c r="K208" s="25"/>
      <c r="L208" s="57" t="str">
        <f t="shared" si="9"/>
        <v/>
      </c>
      <c r="M208" s="56" t="str">
        <f t="shared" si="10"/>
        <v/>
      </c>
      <c r="N208" s="58" t="str">
        <f ca="1" t="shared" si="11"/>
        <v/>
      </c>
      <c r="O208" s="53"/>
      <c r="P208" s="10"/>
    </row>
    <row r="209" spans="1:16">
      <c r="A209" s="56" t="str">
        <f>IF($D209="","",COUNTA($D$5:$D209))</f>
        <v/>
      </c>
      <c r="B209" s="39"/>
      <c r="C209" s="46"/>
      <c r="D209" s="10"/>
      <c r="E209" s="10"/>
      <c r="F209" s="29"/>
      <c r="G209" s="53"/>
      <c r="H209" s="25"/>
      <c r="I209" s="10"/>
      <c r="J209" s="57" t="str">
        <f>IF($I209="","",IF($B209="应收",SUMIFS(资金流水!$K$5:$K$3032,资金流水!$Q$5:$Q$3015,$I209),SUMIFS(资金流水!$L$5:$L$3032,资金流水!$Q$5:$Q$3015,$I209)))</f>
        <v/>
      </c>
      <c r="K209" s="25"/>
      <c r="L209" s="57" t="str">
        <f t="shared" si="9"/>
        <v/>
      </c>
      <c r="M209" s="56" t="str">
        <f t="shared" si="10"/>
        <v/>
      </c>
      <c r="N209" s="58" t="str">
        <f ca="1" t="shared" si="11"/>
        <v/>
      </c>
      <c r="O209" s="53"/>
      <c r="P209" s="10"/>
    </row>
    <row r="210" spans="1:16">
      <c r="A210" s="56" t="str">
        <f>IF($D210="","",COUNTA($D$5:$D210))</f>
        <v/>
      </c>
      <c r="B210" s="39"/>
      <c r="C210" s="46"/>
      <c r="D210" s="10"/>
      <c r="E210" s="10"/>
      <c r="F210" s="29"/>
      <c r="G210" s="53"/>
      <c r="H210" s="25"/>
      <c r="I210" s="10"/>
      <c r="J210" s="57" t="str">
        <f>IF($I210="","",IF($B210="应收",SUMIFS(资金流水!$K$5:$K$3032,资金流水!$Q$5:$Q$3015,$I210),SUMIFS(资金流水!$L$5:$L$3032,资金流水!$Q$5:$Q$3015,$I210)))</f>
        <v/>
      </c>
      <c r="K210" s="25"/>
      <c r="L210" s="57" t="str">
        <f t="shared" si="9"/>
        <v/>
      </c>
      <c r="M210" s="56" t="str">
        <f t="shared" si="10"/>
        <v/>
      </c>
      <c r="N210" s="58" t="str">
        <f ca="1" t="shared" si="11"/>
        <v/>
      </c>
      <c r="O210" s="53"/>
      <c r="P210" s="10"/>
    </row>
    <row r="211" spans="1:16">
      <c r="A211" s="56" t="str">
        <f>IF($D211="","",COUNTA($D$5:$D211))</f>
        <v/>
      </c>
      <c r="B211" s="39"/>
      <c r="C211" s="46"/>
      <c r="D211" s="10"/>
      <c r="E211" s="10"/>
      <c r="F211" s="29"/>
      <c r="G211" s="53"/>
      <c r="H211" s="25"/>
      <c r="I211" s="10"/>
      <c r="J211" s="57" t="str">
        <f>IF($I211="","",IF($B211="应收",SUMIFS(资金流水!$K$5:$K$3032,资金流水!$Q$5:$Q$3015,$I211),SUMIFS(资金流水!$L$5:$L$3032,资金流水!$Q$5:$Q$3015,$I211)))</f>
        <v/>
      </c>
      <c r="K211" s="25"/>
      <c r="L211" s="57" t="str">
        <f t="shared" si="9"/>
        <v/>
      </c>
      <c r="M211" s="56" t="str">
        <f t="shared" si="10"/>
        <v/>
      </c>
      <c r="N211" s="58" t="str">
        <f ca="1" t="shared" si="11"/>
        <v/>
      </c>
      <c r="O211" s="53"/>
      <c r="P211" s="10"/>
    </row>
    <row r="212" spans="1:16">
      <c r="A212" s="56" t="str">
        <f>IF($D212="","",COUNTA($D$5:$D212))</f>
        <v/>
      </c>
      <c r="B212" s="39"/>
      <c r="C212" s="46"/>
      <c r="D212" s="10"/>
      <c r="E212" s="10"/>
      <c r="F212" s="29"/>
      <c r="G212" s="53"/>
      <c r="H212" s="25"/>
      <c r="I212" s="10"/>
      <c r="J212" s="57" t="str">
        <f>IF($I212="","",IF($B212="应收",SUMIFS(资金流水!$K$5:$K$3032,资金流水!$Q$5:$Q$3015,$I212),SUMIFS(资金流水!$L$5:$L$3032,资金流水!$Q$5:$Q$3015,$I212)))</f>
        <v/>
      </c>
      <c r="K212" s="25"/>
      <c r="L212" s="57" t="str">
        <f t="shared" si="9"/>
        <v/>
      </c>
      <c r="M212" s="56" t="str">
        <f t="shared" si="10"/>
        <v/>
      </c>
      <c r="N212" s="58" t="str">
        <f ca="1" t="shared" si="11"/>
        <v/>
      </c>
      <c r="O212" s="53"/>
      <c r="P212" s="10"/>
    </row>
    <row r="213" spans="1:16">
      <c r="A213" s="56" t="str">
        <f>IF($D213="","",COUNTA($D$5:$D213))</f>
        <v/>
      </c>
      <c r="B213" s="39"/>
      <c r="C213" s="46"/>
      <c r="D213" s="10"/>
      <c r="E213" s="10"/>
      <c r="F213" s="29"/>
      <c r="G213" s="53"/>
      <c r="H213" s="25"/>
      <c r="I213" s="10"/>
      <c r="J213" s="57" t="str">
        <f>IF($I213="","",IF($B213="应收",SUMIFS(资金流水!$K$5:$K$3032,资金流水!$Q$5:$Q$3015,$I213),SUMIFS(资金流水!$L$5:$L$3032,资金流水!$Q$5:$Q$3015,$I213)))</f>
        <v/>
      </c>
      <c r="K213" s="25"/>
      <c r="L213" s="57" t="str">
        <f t="shared" si="9"/>
        <v/>
      </c>
      <c r="M213" s="56" t="str">
        <f t="shared" si="10"/>
        <v/>
      </c>
      <c r="N213" s="58" t="str">
        <f ca="1" t="shared" si="11"/>
        <v/>
      </c>
      <c r="O213" s="53"/>
      <c r="P213" s="10"/>
    </row>
    <row r="214" spans="1:16">
      <c r="A214" s="56" t="str">
        <f>IF($D214="","",COUNTA($D$5:$D214))</f>
        <v/>
      </c>
      <c r="B214" s="39"/>
      <c r="C214" s="46"/>
      <c r="D214" s="10"/>
      <c r="E214" s="10"/>
      <c r="F214" s="29"/>
      <c r="G214" s="53"/>
      <c r="H214" s="25"/>
      <c r="I214" s="10"/>
      <c r="J214" s="57" t="str">
        <f>IF($I214="","",IF($B214="应收",SUMIFS(资金流水!$K$5:$K$3032,资金流水!$Q$5:$Q$3015,$I214),SUMIFS(资金流水!$L$5:$L$3032,资金流水!$Q$5:$Q$3015,$I214)))</f>
        <v/>
      </c>
      <c r="K214" s="25"/>
      <c r="L214" s="57" t="str">
        <f t="shared" si="9"/>
        <v/>
      </c>
      <c r="M214" s="56" t="str">
        <f t="shared" si="10"/>
        <v/>
      </c>
      <c r="N214" s="58" t="str">
        <f ca="1" t="shared" si="11"/>
        <v/>
      </c>
      <c r="O214" s="53"/>
      <c r="P214" s="10"/>
    </row>
    <row r="215" spans="1:16">
      <c r="A215" s="56" t="str">
        <f>IF($D215="","",COUNTA($D$5:$D215))</f>
        <v/>
      </c>
      <c r="B215" s="39"/>
      <c r="C215" s="46"/>
      <c r="D215" s="10"/>
      <c r="E215" s="10"/>
      <c r="F215" s="29"/>
      <c r="G215" s="53"/>
      <c r="H215" s="25"/>
      <c r="I215" s="10"/>
      <c r="J215" s="57" t="str">
        <f>IF($I215="","",IF($B215="应收",SUMIFS(资金流水!$K$5:$K$3032,资金流水!$Q$5:$Q$3015,$I215),SUMIFS(资金流水!$L$5:$L$3032,资金流水!$Q$5:$Q$3015,$I215)))</f>
        <v/>
      </c>
      <c r="K215" s="25"/>
      <c r="L215" s="57" t="str">
        <f t="shared" si="9"/>
        <v/>
      </c>
      <c r="M215" s="56" t="str">
        <f t="shared" si="10"/>
        <v/>
      </c>
      <c r="N215" s="58" t="str">
        <f ca="1" t="shared" si="11"/>
        <v/>
      </c>
      <c r="O215" s="53"/>
      <c r="P215" s="10"/>
    </row>
    <row r="216" spans="1:16">
      <c r="A216" s="56" t="str">
        <f>IF($D216="","",COUNTA($D$5:$D216))</f>
        <v/>
      </c>
      <c r="B216" s="39"/>
      <c r="C216" s="46"/>
      <c r="D216" s="10"/>
      <c r="E216" s="10"/>
      <c r="F216" s="29"/>
      <c r="G216" s="53"/>
      <c r="H216" s="25"/>
      <c r="I216" s="10"/>
      <c r="J216" s="57" t="str">
        <f>IF($I216="","",IF($B216="应收",SUMIFS(资金流水!$K$5:$K$3032,资金流水!$Q$5:$Q$3015,$I216),SUMIFS(资金流水!$L$5:$L$3032,资金流水!$Q$5:$Q$3015,$I216)))</f>
        <v/>
      </c>
      <c r="K216" s="25"/>
      <c r="L216" s="57" t="str">
        <f t="shared" si="9"/>
        <v/>
      </c>
      <c r="M216" s="56" t="str">
        <f t="shared" si="10"/>
        <v/>
      </c>
      <c r="N216" s="58" t="str">
        <f ca="1" t="shared" si="11"/>
        <v/>
      </c>
      <c r="O216" s="53"/>
      <c r="P216" s="10"/>
    </row>
    <row r="217" spans="1:16">
      <c r="A217" s="56" t="str">
        <f>IF($D217="","",COUNTA($D$5:$D217))</f>
        <v/>
      </c>
      <c r="B217" s="39"/>
      <c r="C217" s="46"/>
      <c r="D217" s="10"/>
      <c r="E217" s="10"/>
      <c r="F217" s="29"/>
      <c r="G217" s="53"/>
      <c r="H217" s="25"/>
      <c r="I217" s="10"/>
      <c r="J217" s="57" t="str">
        <f>IF($I217="","",IF($B217="应收",SUMIFS(资金流水!$K$5:$K$3032,资金流水!$Q$5:$Q$3015,$I217),SUMIFS(资金流水!$L$5:$L$3032,资金流水!$Q$5:$Q$3015,$I217)))</f>
        <v/>
      </c>
      <c r="K217" s="25"/>
      <c r="L217" s="57" t="str">
        <f t="shared" si="9"/>
        <v/>
      </c>
      <c r="M217" s="56" t="str">
        <f t="shared" si="10"/>
        <v/>
      </c>
      <c r="N217" s="58" t="str">
        <f ca="1" t="shared" si="11"/>
        <v/>
      </c>
      <c r="O217" s="53"/>
      <c r="P217" s="10"/>
    </row>
    <row r="218" spans="1:16">
      <c r="A218" s="56" t="str">
        <f>IF($D218="","",COUNTA($D$5:$D218))</f>
        <v/>
      </c>
      <c r="B218" s="39"/>
      <c r="C218" s="46"/>
      <c r="D218" s="10"/>
      <c r="E218" s="10"/>
      <c r="F218" s="29"/>
      <c r="G218" s="53"/>
      <c r="H218" s="25"/>
      <c r="I218" s="10"/>
      <c r="J218" s="57" t="str">
        <f>IF($I218="","",IF($B218="应收",SUMIFS(资金流水!$K$5:$K$3032,资金流水!$Q$5:$Q$3015,$I218),SUMIFS(资金流水!$L$5:$L$3032,资金流水!$Q$5:$Q$3015,$I218)))</f>
        <v/>
      </c>
      <c r="K218" s="25"/>
      <c r="L218" s="57" t="str">
        <f t="shared" si="9"/>
        <v/>
      </c>
      <c r="M218" s="56" t="str">
        <f t="shared" si="10"/>
        <v/>
      </c>
      <c r="N218" s="58" t="str">
        <f ca="1" t="shared" si="11"/>
        <v/>
      </c>
      <c r="O218" s="53"/>
      <c r="P218" s="10"/>
    </row>
    <row r="219" spans="1:16">
      <c r="A219" s="56" t="str">
        <f>IF($D219="","",COUNTA($D$5:$D219))</f>
        <v/>
      </c>
      <c r="B219" s="39"/>
      <c r="C219" s="46"/>
      <c r="D219" s="10"/>
      <c r="E219" s="10"/>
      <c r="F219" s="29"/>
      <c r="G219" s="53"/>
      <c r="H219" s="25"/>
      <c r="I219" s="10"/>
      <c r="J219" s="57" t="str">
        <f>IF($I219="","",IF($B219="应收",SUMIFS(资金流水!$K$5:$K$3032,资金流水!$Q$5:$Q$3015,$I219),SUMIFS(资金流水!$L$5:$L$3032,资金流水!$Q$5:$Q$3015,$I219)))</f>
        <v/>
      </c>
      <c r="K219" s="25"/>
      <c r="L219" s="57" t="str">
        <f t="shared" si="9"/>
        <v/>
      </c>
      <c r="M219" s="56" t="str">
        <f t="shared" si="10"/>
        <v/>
      </c>
      <c r="N219" s="58" t="str">
        <f ca="1" t="shared" si="11"/>
        <v/>
      </c>
      <c r="O219" s="53"/>
      <c r="P219" s="10"/>
    </row>
    <row r="220" spans="1:16">
      <c r="A220" s="56" t="str">
        <f>IF($D220="","",COUNTA($D$5:$D220))</f>
        <v/>
      </c>
      <c r="B220" s="39"/>
      <c r="C220" s="46"/>
      <c r="D220" s="10"/>
      <c r="E220" s="10"/>
      <c r="F220" s="29"/>
      <c r="G220" s="53"/>
      <c r="H220" s="25"/>
      <c r="I220" s="10"/>
      <c r="J220" s="57" t="str">
        <f>IF($I220="","",IF($B220="应收",SUMIFS(资金流水!$K$5:$K$3032,资金流水!$Q$5:$Q$3015,$I220),SUMIFS(资金流水!$L$5:$L$3032,资金流水!$Q$5:$Q$3015,$I220)))</f>
        <v/>
      </c>
      <c r="K220" s="25"/>
      <c r="L220" s="57" t="str">
        <f t="shared" si="9"/>
        <v/>
      </c>
      <c r="M220" s="56" t="str">
        <f t="shared" si="10"/>
        <v/>
      </c>
      <c r="N220" s="58" t="str">
        <f ca="1" t="shared" si="11"/>
        <v/>
      </c>
      <c r="O220" s="53"/>
      <c r="P220" s="10"/>
    </row>
    <row r="221" spans="1:16">
      <c r="A221" s="56" t="str">
        <f>IF($D221="","",COUNTA($D$5:$D221))</f>
        <v/>
      </c>
      <c r="B221" s="39"/>
      <c r="C221" s="46"/>
      <c r="D221" s="10"/>
      <c r="E221" s="10"/>
      <c r="F221" s="29"/>
      <c r="G221" s="53"/>
      <c r="H221" s="25"/>
      <c r="I221" s="10"/>
      <c r="J221" s="57" t="str">
        <f>IF($I221="","",IF($B221="应收",SUMIFS(资金流水!$K$5:$K$3032,资金流水!$Q$5:$Q$3015,$I221),SUMIFS(资金流水!$L$5:$L$3032,资金流水!$Q$5:$Q$3015,$I221)))</f>
        <v/>
      </c>
      <c r="K221" s="25"/>
      <c r="L221" s="57" t="str">
        <f t="shared" si="9"/>
        <v/>
      </c>
      <c r="M221" s="56" t="str">
        <f t="shared" si="10"/>
        <v/>
      </c>
      <c r="N221" s="58" t="str">
        <f ca="1" t="shared" si="11"/>
        <v/>
      </c>
      <c r="O221" s="53"/>
      <c r="P221" s="10"/>
    </row>
    <row r="222" spans="1:16">
      <c r="A222" s="56" t="str">
        <f>IF($D222="","",COUNTA($D$5:$D222))</f>
        <v/>
      </c>
      <c r="B222" s="39"/>
      <c r="C222" s="46"/>
      <c r="D222" s="10"/>
      <c r="E222" s="10"/>
      <c r="F222" s="29"/>
      <c r="G222" s="53"/>
      <c r="H222" s="25"/>
      <c r="I222" s="10"/>
      <c r="J222" s="57" t="str">
        <f>IF($I222="","",IF($B222="应收",SUMIFS(资金流水!$K$5:$K$3032,资金流水!$Q$5:$Q$3015,$I222),SUMIFS(资金流水!$L$5:$L$3032,资金流水!$Q$5:$Q$3015,$I222)))</f>
        <v/>
      </c>
      <c r="K222" s="25"/>
      <c r="L222" s="57" t="str">
        <f t="shared" si="9"/>
        <v/>
      </c>
      <c r="M222" s="56" t="str">
        <f t="shared" si="10"/>
        <v/>
      </c>
      <c r="N222" s="58" t="str">
        <f ca="1" t="shared" si="11"/>
        <v/>
      </c>
      <c r="O222" s="53"/>
      <c r="P222" s="10"/>
    </row>
    <row r="223" spans="1:16">
      <c r="A223" s="56" t="str">
        <f>IF($D223="","",COUNTA($D$5:$D223))</f>
        <v/>
      </c>
      <c r="B223" s="39"/>
      <c r="C223" s="46"/>
      <c r="D223" s="10"/>
      <c r="E223" s="10"/>
      <c r="F223" s="29"/>
      <c r="G223" s="53"/>
      <c r="H223" s="25"/>
      <c r="I223" s="10"/>
      <c r="J223" s="57" t="str">
        <f>IF($I223="","",IF($B223="应收",SUMIFS(资金流水!$K$5:$K$3032,资金流水!$Q$5:$Q$3015,$I223),SUMIFS(资金流水!$L$5:$L$3032,资金流水!$Q$5:$Q$3015,$I223)))</f>
        <v/>
      </c>
      <c r="K223" s="25"/>
      <c r="L223" s="57" t="str">
        <f t="shared" si="9"/>
        <v/>
      </c>
      <c r="M223" s="56" t="str">
        <f t="shared" si="10"/>
        <v/>
      </c>
      <c r="N223" s="58" t="str">
        <f ca="1" t="shared" si="11"/>
        <v/>
      </c>
      <c r="O223" s="53"/>
      <c r="P223" s="10"/>
    </row>
    <row r="224" spans="1:16">
      <c r="A224" s="56" t="str">
        <f>IF($D224="","",COUNTA($D$5:$D224))</f>
        <v/>
      </c>
      <c r="B224" s="39"/>
      <c r="C224" s="46"/>
      <c r="D224" s="10"/>
      <c r="E224" s="10"/>
      <c r="F224" s="29"/>
      <c r="G224" s="53"/>
      <c r="H224" s="25"/>
      <c r="I224" s="10"/>
      <c r="J224" s="57" t="str">
        <f>IF($I224="","",IF($B224="应收",SUMIFS(资金流水!$K$5:$K$3032,资金流水!$Q$5:$Q$3015,$I224),SUMIFS(资金流水!$L$5:$L$3032,资金流水!$Q$5:$Q$3015,$I224)))</f>
        <v/>
      </c>
      <c r="K224" s="25"/>
      <c r="L224" s="57" t="str">
        <f t="shared" si="9"/>
        <v/>
      </c>
      <c r="M224" s="56" t="str">
        <f t="shared" si="10"/>
        <v/>
      </c>
      <c r="N224" s="58" t="str">
        <f ca="1" t="shared" si="11"/>
        <v/>
      </c>
      <c r="O224" s="53"/>
      <c r="P224" s="10"/>
    </row>
    <row r="225" spans="1:16">
      <c r="A225" s="56" t="str">
        <f>IF($D225="","",COUNTA($D$5:$D225))</f>
        <v/>
      </c>
      <c r="B225" s="39"/>
      <c r="C225" s="46"/>
      <c r="D225" s="10"/>
      <c r="E225" s="10"/>
      <c r="F225" s="29"/>
      <c r="G225" s="53"/>
      <c r="H225" s="25"/>
      <c r="I225" s="10"/>
      <c r="J225" s="57" t="str">
        <f>IF($I225="","",IF($B225="应收",SUMIFS(资金流水!$K$5:$K$3032,资金流水!$Q$5:$Q$3015,$I225),SUMIFS(资金流水!$L$5:$L$3032,资金流水!$Q$5:$Q$3015,$I225)))</f>
        <v/>
      </c>
      <c r="K225" s="25"/>
      <c r="L225" s="57" t="str">
        <f t="shared" si="9"/>
        <v/>
      </c>
      <c r="M225" s="56" t="str">
        <f t="shared" si="10"/>
        <v/>
      </c>
      <c r="N225" s="58" t="str">
        <f ca="1" t="shared" si="11"/>
        <v/>
      </c>
      <c r="O225" s="53"/>
      <c r="P225" s="10"/>
    </row>
    <row r="226" spans="1:16">
      <c r="A226" s="56" t="str">
        <f>IF($D226="","",COUNTA($D$5:$D226))</f>
        <v/>
      </c>
      <c r="B226" s="39"/>
      <c r="C226" s="46"/>
      <c r="D226" s="10"/>
      <c r="E226" s="10"/>
      <c r="F226" s="29"/>
      <c r="G226" s="53"/>
      <c r="H226" s="25"/>
      <c r="I226" s="10"/>
      <c r="J226" s="57" t="str">
        <f>IF($I226="","",IF($B226="应收",SUMIFS(资金流水!$K$5:$K$3032,资金流水!$Q$5:$Q$3015,$I226),SUMIFS(资金流水!$L$5:$L$3032,资金流水!$Q$5:$Q$3015,$I226)))</f>
        <v/>
      </c>
      <c r="K226" s="25"/>
      <c r="L226" s="57" t="str">
        <f t="shared" si="9"/>
        <v/>
      </c>
      <c r="M226" s="56" t="str">
        <f t="shared" si="10"/>
        <v/>
      </c>
      <c r="N226" s="58" t="str">
        <f ca="1" t="shared" si="11"/>
        <v/>
      </c>
      <c r="O226" s="53"/>
      <c r="P226" s="10"/>
    </row>
    <row r="227" spans="1:16">
      <c r="A227" s="56" t="str">
        <f>IF($D227="","",COUNTA($D$5:$D227))</f>
        <v/>
      </c>
      <c r="B227" s="39"/>
      <c r="C227" s="46"/>
      <c r="D227" s="10"/>
      <c r="E227" s="10"/>
      <c r="F227" s="29"/>
      <c r="G227" s="53"/>
      <c r="H227" s="25"/>
      <c r="I227" s="10"/>
      <c r="J227" s="57" t="str">
        <f>IF($I227="","",IF($B227="应收",SUMIFS(资金流水!$K$5:$K$3032,资金流水!$Q$5:$Q$3015,$I227),SUMIFS(资金流水!$L$5:$L$3032,资金流水!$Q$5:$Q$3015,$I227)))</f>
        <v/>
      </c>
      <c r="K227" s="25"/>
      <c r="L227" s="57" t="str">
        <f t="shared" si="9"/>
        <v/>
      </c>
      <c r="M227" s="56" t="str">
        <f t="shared" si="10"/>
        <v/>
      </c>
      <c r="N227" s="58" t="str">
        <f ca="1" t="shared" si="11"/>
        <v/>
      </c>
      <c r="O227" s="53"/>
      <c r="P227" s="10"/>
    </row>
    <row r="228" spans="1:16">
      <c r="A228" s="56" t="str">
        <f>IF($D228="","",COUNTA($D$5:$D228))</f>
        <v/>
      </c>
      <c r="B228" s="39"/>
      <c r="C228" s="46"/>
      <c r="D228" s="10"/>
      <c r="E228" s="10"/>
      <c r="F228" s="29"/>
      <c r="G228" s="53"/>
      <c r="H228" s="25"/>
      <c r="I228" s="10"/>
      <c r="J228" s="57" t="str">
        <f>IF($I228="","",IF($B228="应收",SUMIFS(资金流水!$K$5:$K$3032,资金流水!$Q$5:$Q$3015,$I228),SUMIFS(资金流水!$L$5:$L$3032,资金流水!$Q$5:$Q$3015,$I228)))</f>
        <v/>
      </c>
      <c r="K228" s="25"/>
      <c r="L228" s="57" t="str">
        <f t="shared" si="9"/>
        <v/>
      </c>
      <c r="M228" s="56" t="str">
        <f t="shared" si="10"/>
        <v/>
      </c>
      <c r="N228" s="58" t="str">
        <f ca="1" t="shared" si="11"/>
        <v/>
      </c>
      <c r="O228" s="53"/>
      <c r="P228" s="10"/>
    </row>
    <row r="229" spans="1:16">
      <c r="A229" s="56" t="str">
        <f>IF($D229="","",COUNTA($D$5:$D229))</f>
        <v/>
      </c>
      <c r="B229" s="39"/>
      <c r="C229" s="46"/>
      <c r="D229" s="10"/>
      <c r="E229" s="10"/>
      <c r="F229" s="29"/>
      <c r="G229" s="53"/>
      <c r="H229" s="25"/>
      <c r="I229" s="10"/>
      <c r="J229" s="57" t="str">
        <f>IF($I229="","",IF($B229="应收",SUMIFS(资金流水!$K$5:$K$3032,资金流水!$Q$5:$Q$3015,$I229),SUMIFS(资金流水!$L$5:$L$3032,资金流水!$Q$5:$Q$3015,$I229)))</f>
        <v/>
      </c>
      <c r="K229" s="25"/>
      <c r="L229" s="57" t="str">
        <f t="shared" si="9"/>
        <v/>
      </c>
      <c r="M229" s="56" t="str">
        <f t="shared" si="10"/>
        <v/>
      </c>
      <c r="N229" s="58" t="str">
        <f ca="1" t="shared" si="11"/>
        <v/>
      </c>
      <c r="O229" s="53"/>
      <c r="P229" s="10"/>
    </row>
    <row r="230" spans="1:16">
      <c r="A230" s="56" t="str">
        <f>IF($D230="","",COUNTA($D$5:$D230))</f>
        <v/>
      </c>
      <c r="B230" s="39"/>
      <c r="C230" s="46"/>
      <c r="D230" s="10"/>
      <c r="E230" s="10"/>
      <c r="F230" s="29"/>
      <c r="G230" s="53"/>
      <c r="H230" s="25"/>
      <c r="I230" s="10"/>
      <c r="J230" s="57" t="str">
        <f>IF($I230="","",IF($B230="应收",SUMIFS(资金流水!$K$5:$K$3032,资金流水!$Q$5:$Q$3015,$I230),SUMIFS(资金流水!$L$5:$L$3032,资金流水!$Q$5:$Q$3015,$I230)))</f>
        <v/>
      </c>
      <c r="K230" s="25"/>
      <c r="L230" s="57" t="str">
        <f t="shared" si="9"/>
        <v/>
      </c>
      <c r="M230" s="56" t="str">
        <f t="shared" si="10"/>
        <v/>
      </c>
      <c r="N230" s="58" t="str">
        <f ca="1" t="shared" si="11"/>
        <v/>
      </c>
      <c r="O230" s="53"/>
      <c r="P230" s="10"/>
    </row>
    <row r="231" spans="1:16">
      <c r="A231" s="56" t="str">
        <f>IF($D231="","",COUNTA($D$5:$D231))</f>
        <v/>
      </c>
      <c r="B231" s="39"/>
      <c r="C231" s="46"/>
      <c r="D231" s="10"/>
      <c r="E231" s="10"/>
      <c r="F231" s="29"/>
      <c r="G231" s="53"/>
      <c r="H231" s="25"/>
      <c r="I231" s="10"/>
      <c r="J231" s="57" t="str">
        <f>IF($I231="","",IF($B231="应收",SUMIFS(资金流水!$K$5:$K$3032,资金流水!$Q$5:$Q$3015,$I231),SUMIFS(资金流水!$L$5:$L$3032,资金流水!$Q$5:$Q$3015,$I231)))</f>
        <v/>
      </c>
      <c r="K231" s="25"/>
      <c r="L231" s="57" t="str">
        <f t="shared" si="9"/>
        <v/>
      </c>
      <c r="M231" s="56" t="str">
        <f t="shared" si="10"/>
        <v/>
      </c>
      <c r="N231" s="58" t="str">
        <f ca="1" t="shared" si="11"/>
        <v/>
      </c>
      <c r="O231" s="53"/>
      <c r="P231" s="10"/>
    </row>
    <row r="232" spans="1:16">
      <c r="A232" s="56" t="str">
        <f>IF($D232="","",COUNTA($D$5:$D232))</f>
        <v/>
      </c>
      <c r="B232" s="39"/>
      <c r="C232" s="46"/>
      <c r="D232" s="10"/>
      <c r="E232" s="10"/>
      <c r="F232" s="29"/>
      <c r="G232" s="53"/>
      <c r="H232" s="25"/>
      <c r="I232" s="10"/>
      <c r="J232" s="57" t="str">
        <f>IF($I232="","",IF($B232="应收",SUMIFS(资金流水!$K$5:$K$3032,资金流水!$Q$5:$Q$3015,$I232),SUMIFS(资金流水!$L$5:$L$3032,资金流水!$Q$5:$Q$3015,$I232)))</f>
        <v/>
      </c>
      <c r="K232" s="25"/>
      <c r="L232" s="57" t="str">
        <f t="shared" si="9"/>
        <v/>
      </c>
      <c r="M232" s="56" t="str">
        <f t="shared" si="10"/>
        <v/>
      </c>
      <c r="N232" s="58" t="str">
        <f ca="1" t="shared" si="11"/>
        <v/>
      </c>
      <c r="O232" s="53"/>
      <c r="P232" s="10"/>
    </row>
    <row r="233" spans="1:16">
      <c r="A233" s="56" t="str">
        <f>IF($D233="","",COUNTA($D$5:$D233))</f>
        <v/>
      </c>
      <c r="B233" s="39"/>
      <c r="C233" s="46"/>
      <c r="D233" s="10"/>
      <c r="E233" s="10"/>
      <c r="F233" s="29"/>
      <c r="G233" s="53"/>
      <c r="H233" s="25"/>
      <c r="I233" s="10"/>
      <c r="J233" s="57" t="str">
        <f>IF($I233="","",IF($B233="应收",SUMIFS(资金流水!$K$5:$K$3032,资金流水!$Q$5:$Q$3015,$I233),SUMIFS(资金流水!$L$5:$L$3032,资金流水!$Q$5:$Q$3015,$I233)))</f>
        <v/>
      </c>
      <c r="K233" s="25"/>
      <c r="L233" s="57" t="str">
        <f t="shared" si="9"/>
        <v/>
      </c>
      <c r="M233" s="56" t="str">
        <f t="shared" si="10"/>
        <v/>
      </c>
      <c r="N233" s="58" t="str">
        <f ca="1" t="shared" si="11"/>
        <v/>
      </c>
      <c r="O233" s="53"/>
      <c r="P233" s="10"/>
    </row>
    <row r="234" spans="1:16">
      <c r="A234" s="56" t="str">
        <f>IF($D234="","",COUNTA($D$5:$D234))</f>
        <v/>
      </c>
      <c r="B234" s="39"/>
      <c r="C234" s="46"/>
      <c r="D234" s="10"/>
      <c r="E234" s="10"/>
      <c r="F234" s="29"/>
      <c r="G234" s="53"/>
      <c r="H234" s="25"/>
      <c r="I234" s="10"/>
      <c r="J234" s="57" t="str">
        <f>IF($I234="","",IF($B234="应收",SUMIFS(资金流水!$K$5:$K$3032,资金流水!$Q$5:$Q$3015,$I234),SUMIFS(资金流水!$L$5:$L$3032,资金流水!$Q$5:$Q$3015,$I234)))</f>
        <v/>
      </c>
      <c r="K234" s="25"/>
      <c r="L234" s="57" t="str">
        <f t="shared" si="9"/>
        <v/>
      </c>
      <c r="M234" s="56" t="str">
        <f t="shared" si="10"/>
        <v/>
      </c>
      <c r="N234" s="58" t="str">
        <f ca="1" t="shared" si="11"/>
        <v/>
      </c>
      <c r="O234" s="53"/>
      <c r="P234" s="10"/>
    </row>
    <row r="235" spans="1:16">
      <c r="A235" s="56" t="str">
        <f>IF($D235="","",COUNTA($D$5:$D235))</f>
        <v/>
      </c>
      <c r="B235" s="39"/>
      <c r="C235" s="46"/>
      <c r="D235" s="10"/>
      <c r="E235" s="10"/>
      <c r="F235" s="29"/>
      <c r="G235" s="53"/>
      <c r="H235" s="25"/>
      <c r="I235" s="10"/>
      <c r="J235" s="57" t="str">
        <f>IF($I235="","",IF($B235="应收",SUMIFS(资金流水!$K$5:$K$3032,资金流水!$Q$5:$Q$3015,$I235),SUMIFS(资金流水!$L$5:$L$3032,资金流水!$Q$5:$Q$3015,$I235)))</f>
        <v/>
      </c>
      <c r="K235" s="25"/>
      <c r="L235" s="57" t="str">
        <f t="shared" si="9"/>
        <v/>
      </c>
      <c r="M235" s="56" t="str">
        <f t="shared" si="10"/>
        <v/>
      </c>
      <c r="N235" s="58" t="str">
        <f ca="1" t="shared" si="11"/>
        <v/>
      </c>
      <c r="O235" s="53"/>
      <c r="P235" s="10"/>
    </row>
    <row r="236" spans="1:16">
      <c r="A236" s="56" t="str">
        <f>IF($D236="","",COUNTA($D$5:$D236))</f>
        <v/>
      </c>
      <c r="B236" s="39"/>
      <c r="C236" s="46"/>
      <c r="D236" s="10"/>
      <c r="E236" s="10"/>
      <c r="F236" s="29"/>
      <c r="G236" s="53"/>
      <c r="H236" s="25"/>
      <c r="I236" s="10"/>
      <c r="J236" s="57" t="str">
        <f>IF($I236="","",IF($B236="应收",SUMIFS(资金流水!$K$5:$K$3032,资金流水!$Q$5:$Q$3015,$I236),SUMIFS(资金流水!$L$5:$L$3032,资金流水!$Q$5:$Q$3015,$I236)))</f>
        <v/>
      </c>
      <c r="K236" s="25"/>
      <c r="L236" s="57" t="str">
        <f t="shared" si="9"/>
        <v/>
      </c>
      <c r="M236" s="56" t="str">
        <f t="shared" si="10"/>
        <v/>
      </c>
      <c r="N236" s="58" t="str">
        <f ca="1" t="shared" si="11"/>
        <v/>
      </c>
      <c r="O236" s="53"/>
      <c r="P236" s="10"/>
    </row>
    <row r="237" spans="1:16">
      <c r="A237" s="56" t="str">
        <f>IF($D237="","",COUNTA($D$5:$D237))</f>
        <v/>
      </c>
      <c r="B237" s="39"/>
      <c r="C237" s="46"/>
      <c r="D237" s="10"/>
      <c r="E237" s="10"/>
      <c r="F237" s="29"/>
      <c r="G237" s="53"/>
      <c r="H237" s="25"/>
      <c r="I237" s="10"/>
      <c r="J237" s="57" t="str">
        <f>IF($I237="","",IF($B237="应收",SUMIFS(资金流水!$K$5:$K$3032,资金流水!$Q$5:$Q$3015,$I237),SUMIFS(资金流水!$L$5:$L$3032,资金流水!$Q$5:$Q$3015,$I237)))</f>
        <v/>
      </c>
      <c r="K237" s="25"/>
      <c r="L237" s="57" t="str">
        <f t="shared" si="9"/>
        <v/>
      </c>
      <c r="M237" s="56" t="str">
        <f t="shared" si="10"/>
        <v/>
      </c>
      <c r="N237" s="58" t="str">
        <f ca="1" t="shared" si="11"/>
        <v/>
      </c>
      <c r="O237" s="53"/>
      <c r="P237" s="10"/>
    </row>
    <row r="238" spans="1:16">
      <c r="A238" s="56" t="str">
        <f>IF($D238="","",COUNTA($D$5:$D238))</f>
        <v/>
      </c>
      <c r="B238" s="39"/>
      <c r="C238" s="46"/>
      <c r="D238" s="10"/>
      <c r="E238" s="10"/>
      <c r="F238" s="29"/>
      <c r="G238" s="53"/>
      <c r="H238" s="25"/>
      <c r="I238" s="10"/>
      <c r="J238" s="57" t="str">
        <f>IF($I238="","",IF($B238="应收",SUMIFS(资金流水!$K$5:$K$3032,资金流水!$Q$5:$Q$3015,$I238),SUMIFS(资金流水!$L$5:$L$3032,资金流水!$Q$5:$Q$3015,$I238)))</f>
        <v/>
      </c>
      <c r="K238" s="25"/>
      <c r="L238" s="57" t="str">
        <f t="shared" si="9"/>
        <v/>
      </c>
      <c r="M238" s="56" t="str">
        <f t="shared" si="10"/>
        <v/>
      </c>
      <c r="N238" s="58" t="str">
        <f ca="1" t="shared" si="11"/>
        <v/>
      </c>
      <c r="O238" s="53"/>
      <c r="P238" s="10"/>
    </row>
    <row r="239" spans="1:16">
      <c r="A239" s="56" t="str">
        <f>IF($D239="","",COUNTA($D$5:$D239))</f>
        <v/>
      </c>
      <c r="B239" s="39"/>
      <c r="C239" s="46"/>
      <c r="D239" s="10"/>
      <c r="E239" s="10"/>
      <c r="F239" s="29"/>
      <c r="G239" s="53"/>
      <c r="H239" s="25"/>
      <c r="I239" s="10"/>
      <c r="J239" s="57" t="str">
        <f>IF($I239="","",IF($B239="应收",SUMIFS(资金流水!$K$5:$K$3032,资金流水!$Q$5:$Q$3015,$I239),SUMIFS(资金流水!$L$5:$L$3032,资金流水!$Q$5:$Q$3015,$I239)))</f>
        <v/>
      </c>
      <c r="K239" s="25"/>
      <c r="L239" s="57" t="str">
        <f t="shared" si="9"/>
        <v/>
      </c>
      <c r="M239" s="56" t="str">
        <f t="shared" si="10"/>
        <v/>
      </c>
      <c r="N239" s="58" t="str">
        <f ca="1" t="shared" si="11"/>
        <v/>
      </c>
      <c r="O239" s="53"/>
      <c r="P239" s="10"/>
    </row>
    <row r="240" spans="1:16">
      <c r="A240" s="56" t="str">
        <f>IF($D240="","",COUNTA($D$5:$D240))</f>
        <v/>
      </c>
      <c r="B240" s="39"/>
      <c r="C240" s="46"/>
      <c r="D240" s="10"/>
      <c r="E240" s="10"/>
      <c r="F240" s="29"/>
      <c r="G240" s="53"/>
      <c r="H240" s="25"/>
      <c r="I240" s="10"/>
      <c r="J240" s="57" t="str">
        <f>IF($I240="","",IF($B240="应收",SUMIFS(资金流水!$K$5:$K$3032,资金流水!$Q$5:$Q$3015,$I240),SUMIFS(资金流水!$L$5:$L$3032,资金流水!$Q$5:$Q$3015,$I240)))</f>
        <v/>
      </c>
      <c r="K240" s="25"/>
      <c r="L240" s="57" t="str">
        <f t="shared" si="9"/>
        <v/>
      </c>
      <c r="M240" s="56" t="str">
        <f t="shared" si="10"/>
        <v/>
      </c>
      <c r="N240" s="58" t="str">
        <f ca="1" t="shared" si="11"/>
        <v/>
      </c>
      <c r="O240" s="53"/>
      <c r="P240" s="10"/>
    </row>
    <row r="241" spans="1:16">
      <c r="A241" s="56" t="str">
        <f>IF($D241="","",COUNTA($D$5:$D241))</f>
        <v/>
      </c>
      <c r="B241" s="39"/>
      <c r="C241" s="46"/>
      <c r="D241" s="10"/>
      <c r="E241" s="10"/>
      <c r="F241" s="29"/>
      <c r="G241" s="53"/>
      <c r="H241" s="25"/>
      <c r="I241" s="10"/>
      <c r="J241" s="57" t="str">
        <f>IF($I241="","",IF($B241="应收",SUMIFS(资金流水!$K$5:$K$3032,资金流水!$Q$5:$Q$3015,$I241),SUMIFS(资金流水!$L$5:$L$3032,资金流水!$Q$5:$Q$3015,$I241)))</f>
        <v/>
      </c>
      <c r="K241" s="25"/>
      <c r="L241" s="57" t="str">
        <f t="shared" si="9"/>
        <v/>
      </c>
      <c r="M241" s="56" t="str">
        <f t="shared" si="10"/>
        <v/>
      </c>
      <c r="N241" s="58" t="str">
        <f ca="1" t="shared" si="11"/>
        <v/>
      </c>
      <c r="O241" s="53"/>
      <c r="P241" s="10"/>
    </row>
    <row r="242" spans="1:16">
      <c r="A242" s="56" t="str">
        <f>IF($D242="","",COUNTA($D$5:$D242))</f>
        <v/>
      </c>
      <c r="B242" s="39"/>
      <c r="C242" s="46"/>
      <c r="D242" s="10"/>
      <c r="E242" s="10"/>
      <c r="F242" s="29"/>
      <c r="G242" s="53"/>
      <c r="H242" s="25"/>
      <c r="I242" s="10"/>
      <c r="J242" s="57" t="str">
        <f>IF($I242="","",IF($B242="应收",SUMIFS(资金流水!$K$5:$K$3032,资金流水!$Q$5:$Q$3015,$I242),SUMIFS(资金流水!$L$5:$L$3032,资金流水!$Q$5:$Q$3015,$I242)))</f>
        <v/>
      </c>
      <c r="K242" s="25"/>
      <c r="L242" s="57" t="str">
        <f t="shared" si="9"/>
        <v/>
      </c>
      <c r="M242" s="56" t="str">
        <f t="shared" si="10"/>
        <v/>
      </c>
      <c r="N242" s="58" t="str">
        <f ca="1" t="shared" si="11"/>
        <v/>
      </c>
      <c r="O242" s="53"/>
      <c r="P242" s="10"/>
    </row>
    <row r="243" spans="1:16">
      <c r="A243" s="56" t="str">
        <f>IF($D243="","",COUNTA($D$5:$D243))</f>
        <v/>
      </c>
      <c r="B243" s="39"/>
      <c r="C243" s="46"/>
      <c r="D243" s="10"/>
      <c r="E243" s="10"/>
      <c r="F243" s="29"/>
      <c r="G243" s="53"/>
      <c r="H243" s="25"/>
      <c r="I243" s="10"/>
      <c r="J243" s="57" t="str">
        <f>IF($I243="","",IF($B243="应收",SUMIFS(资金流水!$K$5:$K$3032,资金流水!$Q$5:$Q$3015,$I243),SUMIFS(资金流水!$L$5:$L$3032,资金流水!$Q$5:$Q$3015,$I243)))</f>
        <v/>
      </c>
      <c r="K243" s="25"/>
      <c r="L243" s="57" t="str">
        <f t="shared" si="9"/>
        <v/>
      </c>
      <c r="M243" s="56" t="str">
        <f t="shared" si="10"/>
        <v/>
      </c>
      <c r="N243" s="58" t="str">
        <f ca="1" t="shared" si="11"/>
        <v/>
      </c>
      <c r="O243" s="53"/>
      <c r="P243" s="10"/>
    </row>
    <row r="244" spans="1:16">
      <c r="A244" s="56" t="str">
        <f>IF($D244="","",COUNTA($D$5:$D244))</f>
        <v/>
      </c>
      <c r="B244" s="39"/>
      <c r="C244" s="46"/>
      <c r="D244" s="10"/>
      <c r="E244" s="10"/>
      <c r="F244" s="29"/>
      <c r="G244" s="53"/>
      <c r="H244" s="25"/>
      <c r="I244" s="10"/>
      <c r="J244" s="57" t="str">
        <f>IF($I244="","",IF($B244="应收",SUMIFS(资金流水!$K$5:$K$3032,资金流水!$Q$5:$Q$3015,$I244),SUMIFS(资金流水!$L$5:$L$3032,资金流水!$Q$5:$Q$3015,$I244)))</f>
        <v/>
      </c>
      <c r="K244" s="25"/>
      <c r="L244" s="57" t="str">
        <f t="shared" si="9"/>
        <v/>
      </c>
      <c r="M244" s="56" t="str">
        <f t="shared" si="10"/>
        <v/>
      </c>
      <c r="N244" s="58" t="str">
        <f ca="1" t="shared" si="11"/>
        <v/>
      </c>
      <c r="O244" s="53"/>
      <c r="P244" s="10"/>
    </row>
    <row r="245" spans="1:16">
      <c r="A245" s="56" t="str">
        <f>IF($D245="","",COUNTA($D$5:$D245))</f>
        <v/>
      </c>
      <c r="B245" s="39"/>
      <c r="C245" s="46"/>
      <c r="D245" s="10"/>
      <c r="E245" s="10"/>
      <c r="F245" s="29"/>
      <c r="G245" s="53"/>
      <c r="H245" s="25"/>
      <c r="I245" s="10"/>
      <c r="J245" s="57" t="str">
        <f>IF($I245="","",IF($B245="应收",SUMIFS(资金流水!$K$5:$K$3032,资金流水!$Q$5:$Q$3015,$I245),SUMIFS(资金流水!$L$5:$L$3032,资金流水!$Q$5:$Q$3015,$I245)))</f>
        <v/>
      </c>
      <c r="K245" s="25"/>
      <c r="L245" s="57" t="str">
        <f t="shared" si="9"/>
        <v/>
      </c>
      <c r="M245" s="56" t="str">
        <f t="shared" si="10"/>
        <v/>
      </c>
      <c r="N245" s="58" t="str">
        <f ca="1" t="shared" si="11"/>
        <v/>
      </c>
      <c r="O245" s="53"/>
      <c r="P245" s="10"/>
    </row>
    <row r="246" spans="1:16">
      <c r="A246" s="56" t="str">
        <f>IF($D246="","",COUNTA($D$5:$D246))</f>
        <v/>
      </c>
      <c r="B246" s="39"/>
      <c r="C246" s="46"/>
      <c r="D246" s="10"/>
      <c r="E246" s="10"/>
      <c r="F246" s="29"/>
      <c r="G246" s="53"/>
      <c r="H246" s="25"/>
      <c r="I246" s="10"/>
      <c r="J246" s="57" t="str">
        <f>IF($I246="","",IF($B246="应收",SUMIFS(资金流水!$K$5:$K$3032,资金流水!$Q$5:$Q$3015,$I246),SUMIFS(资金流水!$L$5:$L$3032,资金流水!$Q$5:$Q$3015,$I246)))</f>
        <v/>
      </c>
      <c r="K246" s="25"/>
      <c r="L246" s="57" t="str">
        <f t="shared" si="9"/>
        <v/>
      </c>
      <c r="M246" s="56" t="str">
        <f t="shared" si="10"/>
        <v/>
      </c>
      <c r="N246" s="58" t="str">
        <f ca="1" t="shared" si="11"/>
        <v/>
      </c>
      <c r="O246" s="53"/>
      <c r="P246" s="10"/>
    </row>
    <row r="247" spans="1:16">
      <c r="A247" s="56" t="str">
        <f>IF($D247="","",COUNTA($D$5:$D247))</f>
        <v/>
      </c>
      <c r="B247" s="39"/>
      <c r="C247" s="46"/>
      <c r="D247" s="10"/>
      <c r="E247" s="10"/>
      <c r="F247" s="29"/>
      <c r="G247" s="53"/>
      <c r="H247" s="25"/>
      <c r="I247" s="10"/>
      <c r="J247" s="57" t="str">
        <f>IF($I247="","",IF($B247="应收",SUMIFS(资金流水!$K$5:$K$3032,资金流水!$Q$5:$Q$3015,$I247),SUMIFS(资金流水!$L$5:$L$3032,资金流水!$Q$5:$Q$3015,$I247)))</f>
        <v/>
      </c>
      <c r="K247" s="25"/>
      <c r="L247" s="57" t="str">
        <f t="shared" si="9"/>
        <v/>
      </c>
      <c r="M247" s="56" t="str">
        <f t="shared" si="10"/>
        <v/>
      </c>
      <c r="N247" s="58" t="str">
        <f ca="1" t="shared" si="11"/>
        <v/>
      </c>
      <c r="O247" s="53"/>
      <c r="P247" s="10"/>
    </row>
    <row r="248" spans="1:16">
      <c r="A248" s="56" t="str">
        <f>IF($D248="","",COUNTA($D$5:$D248))</f>
        <v/>
      </c>
      <c r="B248" s="39"/>
      <c r="C248" s="46"/>
      <c r="D248" s="10"/>
      <c r="E248" s="10"/>
      <c r="F248" s="29"/>
      <c r="G248" s="53"/>
      <c r="H248" s="25"/>
      <c r="I248" s="10"/>
      <c r="J248" s="57" t="str">
        <f>IF($I248="","",IF($B248="应收",SUMIFS(资金流水!$K$5:$K$3032,资金流水!$Q$5:$Q$3015,$I248),SUMIFS(资金流水!$L$5:$L$3032,资金流水!$Q$5:$Q$3015,$I248)))</f>
        <v/>
      </c>
      <c r="K248" s="25"/>
      <c r="L248" s="57" t="str">
        <f t="shared" si="9"/>
        <v/>
      </c>
      <c r="M248" s="56" t="str">
        <f t="shared" si="10"/>
        <v/>
      </c>
      <c r="N248" s="58" t="str">
        <f ca="1" t="shared" si="11"/>
        <v/>
      </c>
      <c r="O248" s="53"/>
      <c r="P248" s="10"/>
    </row>
    <row r="249" spans="1:16">
      <c r="A249" s="56" t="str">
        <f>IF($D249="","",COUNTA($D$5:$D249))</f>
        <v/>
      </c>
      <c r="B249" s="39"/>
      <c r="C249" s="46"/>
      <c r="D249" s="10"/>
      <c r="E249" s="10"/>
      <c r="F249" s="29"/>
      <c r="G249" s="53"/>
      <c r="H249" s="25"/>
      <c r="I249" s="10"/>
      <c r="J249" s="57" t="str">
        <f>IF($I249="","",IF($B249="应收",SUMIFS(资金流水!$K$5:$K$3032,资金流水!$Q$5:$Q$3015,$I249),SUMIFS(资金流水!$L$5:$L$3032,资金流水!$Q$5:$Q$3015,$I249)))</f>
        <v/>
      </c>
      <c r="K249" s="25"/>
      <c r="L249" s="57" t="str">
        <f t="shared" si="9"/>
        <v/>
      </c>
      <c r="M249" s="56" t="str">
        <f t="shared" si="10"/>
        <v/>
      </c>
      <c r="N249" s="58" t="str">
        <f ca="1" t="shared" si="11"/>
        <v/>
      </c>
      <c r="O249" s="53"/>
      <c r="P249" s="10"/>
    </row>
    <row r="250" spans="1:16">
      <c r="A250" s="56" t="str">
        <f>IF($D250="","",COUNTA($D$5:$D250))</f>
        <v/>
      </c>
      <c r="B250" s="39"/>
      <c r="C250" s="46"/>
      <c r="D250" s="10"/>
      <c r="E250" s="10"/>
      <c r="F250" s="29"/>
      <c r="G250" s="53"/>
      <c r="H250" s="25"/>
      <c r="I250" s="10"/>
      <c r="J250" s="57" t="str">
        <f>IF($I250="","",IF($B250="应收",SUMIFS(资金流水!$K$5:$K$3032,资金流水!$Q$5:$Q$3015,$I250),SUMIFS(资金流水!$L$5:$L$3032,资金流水!$Q$5:$Q$3015,$I250)))</f>
        <v/>
      </c>
      <c r="K250" s="25"/>
      <c r="L250" s="57" t="str">
        <f t="shared" si="9"/>
        <v/>
      </c>
      <c r="M250" s="56" t="str">
        <f t="shared" si="10"/>
        <v/>
      </c>
      <c r="N250" s="58" t="str">
        <f ca="1" t="shared" si="11"/>
        <v/>
      </c>
      <c r="O250" s="53"/>
      <c r="P250" s="10"/>
    </row>
    <row r="251" spans="1:16">
      <c r="A251" s="56" t="str">
        <f>IF($D251="","",COUNTA($D$5:$D251))</f>
        <v/>
      </c>
      <c r="B251" s="39"/>
      <c r="C251" s="46"/>
      <c r="D251" s="10"/>
      <c r="E251" s="10"/>
      <c r="F251" s="29"/>
      <c r="G251" s="53"/>
      <c r="H251" s="25"/>
      <c r="I251" s="10"/>
      <c r="J251" s="57" t="str">
        <f>IF($I251="","",IF($B251="应收",SUMIFS(资金流水!$K$5:$K$3032,资金流水!$Q$5:$Q$3015,$I251),SUMIFS(资金流水!$L$5:$L$3032,资金流水!$Q$5:$Q$3015,$I251)))</f>
        <v/>
      </c>
      <c r="K251" s="25"/>
      <c r="L251" s="57" t="str">
        <f t="shared" si="9"/>
        <v/>
      </c>
      <c r="M251" s="56" t="str">
        <f t="shared" si="10"/>
        <v/>
      </c>
      <c r="N251" s="58" t="str">
        <f ca="1" t="shared" si="11"/>
        <v/>
      </c>
      <c r="O251" s="53"/>
      <c r="P251" s="10"/>
    </row>
    <row r="252" spans="1:16">
      <c r="A252" s="56" t="str">
        <f>IF($D252="","",COUNTA($D$5:$D252))</f>
        <v/>
      </c>
      <c r="B252" s="39"/>
      <c r="C252" s="46"/>
      <c r="D252" s="10"/>
      <c r="E252" s="10"/>
      <c r="F252" s="29"/>
      <c r="G252" s="53"/>
      <c r="H252" s="25"/>
      <c r="I252" s="10"/>
      <c r="J252" s="57" t="str">
        <f>IF($I252="","",IF($B252="应收",SUMIFS(资金流水!$K$5:$K$3032,资金流水!$Q$5:$Q$3015,$I252),SUMIFS(资金流水!$L$5:$L$3032,资金流水!$Q$5:$Q$3015,$I252)))</f>
        <v/>
      </c>
      <c r="K252" s="25"/>
      <c r="L252" s="57" t="str">
        <f t="shared" si="9"/>
        <v/>
      </c>
      <c r="M252" s="56" t="str">
        <f t="shared" si="10"/>
        <v/>
      </c>
      <c r="N252" s="58" t="str">
        <f ca="1" t="shared" si="11"/>
        <v/>
      </c>
      <c r="O252" s="53"/>
      <c r="P252" s="10"/>
    </row>
    <row r="253" spans="1:16">
      <c r="A253" s="56" t="str">
        <f>IF($D253="","",COUNTA($D$5:$D253))</f>
        <v/>
      </c>
      <c r="B253" s="39"/>
      <c r="C253" s="46"/>
      <c r="D253" s="10"/>
      <c r="E253" s="10"/>
      <c r="F253" s="29"/>
      <c r="G253" s="53"/>
      <c r="H253" s="25"/>
      <c r="I253" s="10"/>
      <c r="J253" s="57" t="str">
        <f>IF($I253="","",IF($B253="应收",SUMIFS(资金流水!$K$5:$K$3032,资金流水!$Q$5:$Q$3015,$I253),SUMIFS(资金流水!$L$5:$L$3032,资金流水!$Q$5:$Q$3015,$I253)))</f>
        <v/>
      </c>
      <c r="K253" s="25"/>
      <c r="L253" s="57" t="str">
        <f t="shared" si="9"/>
        <v/>
      </c>
      <c r="M253" s="56" t="str">
        <f t="shared" si="10"/>
        <v/>
      </c>
      <c r="N253" s="58" t="str">
        <f ca="1" t="shared" si="11"/>
        <v/>
      </c>
      <c r="O253" s="53"/>
      <c r="P253" s="10"/>
    </row>
    <row r="254" spans="1:16">
      <c r="A254" s="56" t="str">
        <f>IF($D254="","",COUNTA($D$5:$D254))</f>
        <v/>
      </c>
      <c r="B254" s="39"/>
      <c r="C254" s="46"/>
      <c r="D254" s="10"/>
      <c r="E254" s="10"/>
      <c r="F254" s="29"/>
      <c r="G254" s="53"/>
      <c r="H254" s="25"/>
      <c r="I254" s="10"/>
      <c r="J254" s="57" t="str">
        <f>IF($I254="","",IF($B254="应收",SUMIFS(资金流水!$K$5:$K$3032,资金流水!$Q$5:$Q$3015,$I254),SUMIFS(资金流水!$L$5:$L$3032,资金流水!$Q$5:$Q$3015,$I254)))</f>
        <v/>
      </c>
      <c r="K254" s="25"/>
      <c r="L254" s="57" t="str">
        <f t="shared" si="9"/>
        <v/>
      </c>
      <c r="M254" s="56" t="str">
        <f t="shared" si="10"/>
        <v/>
      </c>
      <c r="N254" s="58" t="str">
        <f ca="1" t="shared" si="11"/>
        <v/>
      </c>
      <c r="O254" s="53"/>
      <c r="P254" s="10"/>
    </row>
    <row r="255" spans="1:16">
      <c r="A255" s="56" t="str">
        <f>IF($D255="","",COUNTA($D$5:$D255))</f>
        <v/>
      </c>
      <c r="B255" s="39"/>
      <c r="C255" s="46"/>
      <c r="D255" s="10"/>
      <c r="E255" s="10"/>
      <c r="F255" s="29"/>
      <c r="G255" s="53"/>
      <c r="H255" s="25"/>
      <c r="I255" s="10"/>
      <c r="J255" s="57" t="str">
        <f>IF($I255="","",IF($B255="应收",SUMIFS(资金流水!$K$5:$K$3032,资金流水!$Q$5:$Q$3015,$I255),SUMIFS(资金流水!$L$5:$L$3032,资金流水!$Q$5:$Q$3015,$I255)))</f>
        <v/>
      </c>
      <c r="K255" s="25"/>
      <c r="L255" s="57" t="str">
        <f t="shared" si="9"/>
        <v/>
      </c>
      <c r="M255" s="56" t="str">
        <f t="shared" si="10"/>
        <v/>
      </c>
      <c r="N255" s="58" t="str">
        <f ca="1" t="shared" si="11"/>
        <v/>
      </c>
      <c r="O255" s="53"/>
      <c r="P255" s="10"/>
    </row>
    <row r="256" spans="1:16">
      <c r="A256" s="56" t="str">
        <f>IF($D256="","",COUNTA($D$5:$D256))</f>
        <v/>
      </c>
      <c r="B256" s="39"/>
      <c r="C256" s="46"/>
      <c r="D256" s="10"/>
      <c r="E256" s="10"/>
      <c r="F256" s="29"/>
      <c r="G256" s="53"/>
      <c r="H256" s="25"/>
      <c r="I256" s="10"/>
      <c r="J256" s="57" t="str">
        <f>IF($I256="","",IF($B256="应收",SUMIFS(资金流水!$K$5:$K$3032,资金流水!$Q$5:$Q$3015,$I256),SUMIFS(资金流水!$L$5:$L$3032,资金流水!$Q$5:$Q$3015,$I256)))</f>
        <v/>
      </c>
      <c r="K256" s="25"/>
      <c r="L256" s="57" t="str">
        <f t="shared" si="9"/>
        <v/>
      </c>
      <c r="M256" s="56" t="str">
        <f t="shared" si="10"/>
        <v/>
      </c>
      <c r="N256" s="58" t="str">
        <f ca="1" t="shared" si="11"/>
        <v/>
      </c>
      <c r="O256" s="53"/>
      <c r="P256" s="10"/>
    </row>
    <row r="257" spans="1:16">
      <c r="A257" s="56" t="str">
        <f>IF($D257="","",COUNTA($D$5:$D257))</f>
        <v/>
      </c>
      <c r="B257" s="39"/>
      <c r="C257" s="46"/>
      <c r="D257" s="10"/>
      <c r="E257" s="10"/>
      <c r="F257" s="29"/>
      <c r="G257" s="53"/>
      <c r="H257" s="25"/>
      <c r="I257" s="10"/>
      <c r="J257" s="57" t="str">
        <f>IF($I257="","",IF($B257="应收",SUMIFS(资金流水!$K$5:$K$3032,资金流水!$Q$5:$Q$3015,$I257),SUMIFS(资金流水!$L$5:$L$3032,资金流水!$Q$5:$Q$3015,$I257)))</f>
        <v/>
      </c>
      <c r="K257" s="25"/>
      <c r="L257" s="57" t="str">
        <f t="shared" si="9"/>
        <v/>
      </c>
      <c r="M257" s="56" t="str">
        <f t="shared" si="10"/>
        <v/>
      </c>
      <c r="N257" s="58" t="str">
        <f ca="1" t="shared" si="11"/>
        <v/>
      </c>
      <c r="O257" s="53"/>
      <c r="P257" s="10"/>
    </row>
    <row r="258" spans="1:16">
      <c r="A258" s="56" t="str">
        <f>IF($D258="","",COUNTA($D$5:$D258))</f>
        <v/>
      </c>
      <c r="B258" s="39"/>
      <c r="C258" s="46"/>
      <c r="D258" s="10"/>
      <c r="E258" s="10"/>
      <c r="F258" s="29"/>
      <c r="G258" s="53"/>
      <c r="H258" s="25"/>
      <c r="I258" s="10"/>
      <c r="J258" s="57" t="str">
        <f>IF($I258="","",IF($B258="应收",SUMIFS(资金流水!$K$5:$K$3032,资金流水!$Q$5:$Q$3015,$I258),SUMIFS(资金流水!$L$5:$L$3032,资金流水!$Q$5:$Q$3015,$I258)))</f>
        <v/>
      </c>
      <c r="K258" s="25"/>
      <c r="L258" s="57" t="str">
        <f t="shared" si="9"/>
        <v/>
      </c>
      <c r="M258" s="56" t="str">
        <f t="shared" si="10"/>
        <v/>
      </c>
      <c r="N258" s="58" t="str">
        <f ca="1" t="shared" si="11"/>
        <v/>
      </c>
      <c r="O258" s="53"/>
      <c r="P258" s="10"/>
    </row>
    <row r="259" spans="1:16">
      <c r="A259" s="56" t="str">
        <f>IF($D259="","",COUNTA($D$5:$D259))</f>
        <v/>
      </c>
      <c r="B259" s="39"/>
      <c r="C259" s="46"/>
      <c r="D259" s="10"/>
      <c r="E259" s="10"/>
      <c r="F259" s="29"/>
      <c r="G259" s="53"/>
      <c r="H259" s="25"/>
      <c r="I259" s="10"/>
      <c r="J259" s="57" t="str">
        <f>IF($I259="","",IF($B259="应收",SUMIFS(资金流水!$K$5:$K$3032,资金流水!$Q$5:$Q$3015,$I259),SUMIFS(资金流水!$L$5:$L$3032,资金流水!$Q$5:$Q$3015,$I259)))</f>
        <v/>
      </c>
      <c r="K259" s="25"/>
      <c r="L259" s="57" t="str">
        <f t="shared" si="9"/>
        <v/>
      </c>
      <c r="M259" s="56" t="str">
        <f t="shared" si="10"/>
        <v/>
      </c>
      <c r="N259" s="58" t="str">
        <f ca="1" t="shared" si="11"/>
        <v/>
      </c>
      <c r="O259" s="53"/>
      <c r="P259" s="10"/>
    </row>
    <row r="260" spans="1:16">
      <c r="A260" s="56" t="str">
        <f>IF($D260="","",COUNTA($D$5:$D260))</f>
        <v/>
      </c>
      <c r="B260" s="39"/>
      <c r="C260" s="46"/>
      <c r="D260" s="10"/>
      <c r="E260" s="10"/>
      <c r="F260" s="29"/>
      <c r="G260" s="53"/>
      <c r="H260" s="25"/>
      <c r="I260" s="10"/>
      <c r="J260" s="57" t="str">
        <f>IF($I260="","",IF($B260="应收",SUMIFS(资金流水!$K$5:$K$3032,资金流水!$Q$5:$Q$3015,$I260),SUMIFS(资金流水!$L$5:$L$3032,资金流水!$Q$5:$Q$3015,$I260)))</f>
        <v/>
      </c>
      <c r="K260" s="25"/>
      <c r="L260" s="57" t="str">
        <f t="shared" si="9"/>
        <v/>
      </c>
      <c r="M260" s="56" t="str">
        <f t="shared" si="10"/>
        <v/>
      </c>
      <c r="N260" s="58" t="str">
        <f ca="1" t="shared" si="11"/>
        <v/>
      </c>
      <c r="O260" s="53"/>
      <c r="P260" s="10"/>
    </row>
    <row r="261" spans="1:16">
      <c r="A261" s="56" t="str">
        <f>IF($D261="","",COUNTA($D$5:$D261))</f>
        <v/>
      </c>
      <c r="B261" s="39"/>
      <c r="C261" s="46"/>
      <c r="D261" s="10"/>
      <c r="E261" s="10"/>
      <c r="F261" s="29"/>
      <c r="G261" s="53"/>
      <c r="H261" s="25"/>
      <c r="I261" s="10"/>
      <c r="J261" s="57" t="str">
        <f>IF($I261="","",IF($B261="应收",SUMIFS(资金流水!$K$5:$K$3032,资金流水!$Q$5:$Q$3015,$I261),SUMIFS(资金流水!$L$5:$L$3032,资金流水!$Q$5:$Q$3015,$I261)))</f>
        <v/>
      </c>
      <c r="K261" s="25"/>
      <c r="L261" s="57" t="str">
        <f t="shared" ref="L261:L304" si="12">IF($H261="","",ROUND($H261-IF($J261="",0,$J261)-IF($K261="",0,$K261),2))</f>
        <v/>
      </c>
      <c r="M261" s="56" t="str">
        <f t="shared" ref="M261:M304" si="13">IF($H261="","",IF($L261&lt;=0.005,"已结清",IF($L261&lt;$H261,"部分结算","未结算")))</f>
        <v/>
      </c>
      <c r="N261" s="58" t="str">
        <f ca="1" t="shared" ref="N261:N304" si="14">IF(OR($G261="",$L261="",$L261&lt;=0.005),"",TODAY()-$G261)</f>
        <v/>
      </c>
      <c r="O261" s="53"/>
      <c r="P261" s="10"/>
    </row>
    <row r="262" spans="1:16">
      <c r="A262" s="56" t="str">
        <f>IF($D262="","",COUNTA($D$5:$D262))</f>
        <v/>
      </c>
      <c r="B262" s="39"/>
      <c r="C262" s="46"/>
      <c r="D262" s="10"/>
      <c r="E262" s="10"/>
      <c r="F262" s="29"/>
      <c r="G262" s="53"/>
      <c r="H262" s="25"/>
      <c r="I262" s="10"/>
      <c r="J262" s="57" t="str">
        <f>IF($I262="","",IF($B262="应收",SUMIFS(资金流水!$K$5:$K$3032,资金流水!$Q$5:$Q$3015,$I262),SUMIFS(资金流水!$L$5:$L$3032,资金流水!$Q$5:$Q$3015,$I262)))</f>
        <v/>
      </c>
      <c r="K262" s="25"/>
      <c r="L262" s="57" t="str">
        <f t="shared" si="12"/>
        <v/>
      </c>
      <c r="M262" s="56" t="str">
        <f t="shared" si="13"/>
        <v/>
      </c>
      <c r="N262" s="58" t="str">
        <f ca="1" t="shared" si="14"/>
        <v/>
      </c>
      <c r="O262" s="53"/>
      <c r="P262" s="10"/>
    </row>
    <row r="263" spans="1:16">
      <c r="A263" s="56" t="str">
        <f>IF($D263="","",COUNTA($D$5:$D263))</f>
        <v/>
      </c>
      <c r="B263" s="39"/>
      <c r="C263" s="46"/>
      <c r="D263" s="10"/>
      <c r="E263" s="10"/>
      <c r="F263" s="29"/>
      <c r="G263" s="53"/>
      <c r="H263" s="25"/>
      <c r="I263" s="10"/>
      <c r="J263" s="57" t="str">
        <f>IF($I263="","",IF($B263="应收",SUMIFS(资金流水!$K$5:$K$3032,资金流水!$Q$5:$Q$3015,$I263),SUMIFS(资金流水!$L$5:$L$3032,资金流水!$Q$5:$Q$3015,$I263)))</f>
        <v/>
      </c>
      <c r="K263" s="25"/>
      <c r="L263" s="57" t="str">
        <f t="shared" si="12"/>
        <v/>
      </c>
      <c r="M263" s="56" t="str">
        <f t="shared" si="13"/>
        <v/>
      </c>
      <c r="N263" s="58" t="str">
        <f ca="1" t="shared" si="14"/>
        <v/>
      </c>
      <c r="O263" s="53"/>
      <c r="P263" s="10"/>
    </row>
    <row r="264" spans="1:16">
      <c r="A264" s="56" t="str">
        <f>IF($D264="","",COUNTA($D$5:$D264))</f>
        <v/>
      </c>
      <c r="B264" s="39"/>
      <c r="C264" s="46"/>
      <c r="D264" s="10"/>
      <c r="E264" s="10"/>
      <c r="F264" s="29"/>
      <c r="G264" s="53"/>
      <c r="H264" s="25"/>
      <c r="I264" s="10"/>
      <c r="J264" s="57" t="str">
        <f>IF($I264="","",IF($B264="应收",SUMIFS(资金流水!$K$5:$K$3032,资金流水!$Q$5:$Q$3015,$I264),SUMIFS(资金流水!$L$5:$L$3032,资金流水!$Q$5:$Q$3015,$I264)))</f>
        <v/>
      </c>
      <c r="K264" s="25"/>
      <c r="L264" s="57" t="str">
        <f t="shared" si="12"/>
        <v/>
      </c>
      <c r="M264" s="56" t="str">
        <f t="shared" si="13"/>
        <v/>
      </c>
      <c r="N264" s="58" t="str">
        <f ca="1" t="shared" si="14"/>
        <v/>
      </c>
      <c r="O264" s="53"/>
      <c r="P264" s="10"/>
    </row>
    <row r="265" spans="1:16">
      <c r="A265" s="56" t="str">
        <f>IF($D265="","",COUNTA($D$5:$D265))</f>
        <v/>
      </c>
      <c r="B265" s="39"/>
      <c r="C265" s="46"/>
      <c r="D265" s="10"/>
      <c r="E265" s="10"/>
      <c r="F265" s="29"/>
      <c r="G265" s="53"/>
      <c r="H265" s="25"/>
      <c r="I265" s="10"/>
      <c r="J265" s="57" t="str">
        <f>IF($I265="","",IF($B265="应收",SUMIFS(资金流水!$K$5:$K$3032,资金流水!$Q$5:$Q$3015,$I265),SUMIFS(资金流水!$L$5:$L$3032,资金流水!$Q$5:$Q$3015,$I265)))</f>
        <v/>
      </c>
      <c r="K265" s="25"/>
      <c r="L265" s="57" t="str">
        <f t="shared" si="12"/>
        <v/>
      </c>
      <c r="M265" s="56" t="str">
        <f t="shared" si="13"/>
        <v/>
      </c>
      <c r="N265" s="58" t="str">
        <f ca="1" t="shared" si="14"/>
        <v/>
      </c>
      <c r="O265" s="53"/>
      <c r="P265" s="10"/>
    </row>
    <row r="266" spans="1:16">
      <c r="A266" s="56" t="str">
        <f>IF($D266="","",COUNTA($D$5:$D266))</f>
        <v/>
      </c>
      <c r="B266" s="39"/>
      <c r="C266" s="46"/>
      <c r="D266" s="10"/>
      <c r="E266" s="10"/>
      <c r="F266" s="29"/>
      <c r="G266" s="53"/>
      <c r="H266" s="25"/>
      <c r="I266" s="10"/>
      <c r="J266" s="57" t="str">
        <f>IF($I266="","",IF($B266="应收",SUMIFS(资金流水!$K$5:$K$3032,资金流水!$Q$5:$Q$3015,$I266),SUMIFS(资金流水!$L$5:$L$3032,资金流水!$Q$5:$Q$3015,$I266)))</f>
        <v/>
      </c>
      <c r="K266" s="25"/>
      <c r="L266" s="57" t="str">
        <f t="shared" si="12"/>
        <v/>
      </c>
      <c r="M266" s="56" t="str">
        <f t="shared" si="13"/>
        <v/>
      </c>
      <c r="N266" s="58" t="str">
        <f ca="1" t="shared" si="14"/>
        <v/>
      </c>
      <c r="O266" s="53"/>
      <c r="P266" s="10"/>
    </row>
    <row r="267" spans="1:16">
      <c r="A267" s="56" t="str">
        <f>IF($D267="","",COUNTA($D$5:$D267))</f>
        <v/>
      </c>
      <c r="B267" s="39"/>
      <c r="C267" s="46"/>
      <c r="D267" s="10"/>
      <c r="E267" s="10"/>
      <c r="F267" s="29"/>
      <c r="G267" s="53"/>
      <c r="H267" s="25"/>
      <c r="I267" s="10"/>
      <c r="J267" s="57" t="str">
        <f>IF($I267="","",IF($B267="应收",SUMIFS(资金流水!$K$5:$K$3032,资金流水!$Q$5:$Q$3015,$I267),SUMIFS(资金流水!$L$5:$L$3032,资金流水!$Q$5:$Q$3015,$I267)))</f>
        <v/>
      </c>
      <c r="K267" s="25"/>
      <c r="L267" s="57" t="str">
        <f t="shared" si="12"/>
        <v/>
      </c>
      <c r="M267" s="56" t="str">
        <f t="shared" si="13"/>
        <v/>
      </c>
      <c r="N267" s="58" t="str">
        <f ca="1" t="shared" si="14"/>
        <v/>
      </c>
      <c r="O267" s="53"/>
      <c r="P267" s="10"/>
    </row>
    <row r="268" spans="1:16">
      <c r="A268" s="56" t="str">
        <f>IF($D268="","",COUNTA($D$5:$D268))</f>
        <v/>
      </c>
      <c r="B268" s="39"/>
      <c r="C268" s="46"/>
      <c r="D268" s="10"/>
      <c r="E268" s="10"/>
      <c r="F268" s="29"/>
      <c r="G268" s="53"/>
      <c r="H268" s="25"/>
      <c r="I268" s="10"/>
      <c r="J268" s="57" t="str">
        <f>IF($I268="","",IF($B268="应收",SUMIFS(资金流水!$K$5:$K$3032,资金流水!$Q$5:$Q$3015,$I268),SUMIFS(资金流水!$L$5:$L$3032,资金流水!$Q$5:$Q$3015,$I268)))</f>
        <v/>
      </c>
      <c r="K268" s="25"/>
      <c r="L268" s="57" t="str">
        <f t="shared" si="12"/>
        <v/>
      </c>
      <c r="M268" s="56" t="str">
        <f t="shared" si="13"/>
        <v/>
      </c>
      <c r="N268" s="58" t="str">
        <f ca="1" t="shared" si="14"/>
        <v/>
      </c>
      <c r="O268" s="53"/>
      <c r="P268" s="10"/>
    </row>
    <row r="269" spans="1:16">
      <c r="A269" s="56" t="str">
        <f>IF($D269="","",COUNTA($D$5:$D269))</f>
        <v/>
      </c>
      <c r="B269" s="39"/>
      <c r="C269" s="46"/>
      <c r="D269" s="10"/>
      <c r="E269" s="10"/>
      <c r="F269" s="29"/>
      <c r="G269" s="53"/>
      <c r="H269" s="25"/>
      <c r="I269" s="10"/>
      <c r="J269" s="57" t="str">
        <f>IF($I269="","",IF($B269="应收",SUMIFS(资金流水!$K$5:$K$3032,资金流水!$Q$5:$Q$3015,$I269),SUMIFS(资金流水!$L$5:$L$3032,资金流水!$Q$5:$Q$3015,$I269)))</f>
        <v/>
      </c>
      <c r="K269" s="25"/>
      <c r="L269" s="57" t="str">
        <f t="shared" si="12"/>
        <v/>
      </c>
      <c r="M269" s="56" t="str">
        <f t="shared" si="13"/>
        <v/>
      </c>
      <c r="N269" s="58" t="str">
        <f ca="1" t="shared" si="14"/>
        <v/>
      </c>
      <c r="O269" s="53"/>
      <c r="P269" s="10"/>
    </row>
    <row r="270" spans="1:16">
      <c r="A270" s="56" t="str">
        <f>IF($D270="","",COUNTA($D$5:$D270))</f>
        <v/>
      </c>
      <c r="B270" s="39"/>
      <c r="C270" s="46"/>
      <c r="D270" s="10"/>
      <c r="E270" s="10"/>
      <c r="F270" s="29"/>
      <c r="G270" s="53"/>
      <c r="H270" s="25"/>
      <c r="I270" s="10"/>
      <c r="J270" s="57" t="str">
        <f>IF($I270="","",IF($B270="应收",SUMIFS(资金流水!$K$5:$K$3032,资金流水!$Q$5:$Q$3015,$I270),SUMIFS(资金流水!$L$5:$L$3032,资金流水!$Q$5:$Q$3015,$I270)))</f>
        <v/>
      </c>
      <c r="K270" s="25"/>
      <c r="L270" s="57" t="str">
        <f t="shared" si="12"/>
        <v/>
      </c>
      <c r="M270" s="56" t="str">
        <f t="shared" si="13"/>
        <v/>
      </c>
      <c r="N270" s="58" t="str">
        <f ca="1" t="shared" si="14"/>
        <v/>
      </c>
      <c r="O270" s="53"/>
      <c r="P270" s="10"/>
    </row>
    <row r="271" spans="1:16">
      <c r="A271" s="56" t="str">
        <f>IF($D271="","",COUNTA($D$5:$D271))</f>
        <v/>
      </c>
      <c r="B271" s="39"/>
      <c r="C271" s="46"/>
      <c r="D271" s="10"/>
      <c r="E271" s="10"/>
      <c r="F271" s="29"/>
      <c r="G271" s="53"/>
      <c r="H271" s="25"/>
      <c r="I271" s="10"/>
      <c r="J271" s="57" t="str">
        <f>IF($I271="","",IF($B271="应收",SUMIFS(资金流水!$K$5:$K$3032,资金流水!$Q$5:$Q$3015,$I271),SUMIFS(资金流水!$L$5:$L$3032,资金流水!$Q$5:$Q$3015,$I271)))</f>
        <v/>
      </c>
      <c r="K271" s="25"/>
      <c r="L271" s="57" t="str">
        <f t="shared" si="12"/>
        <v/>
      </c>
      <c r="M271" s="56" t="str">
        <f t="shared" si="13"/>
        <v/>
      </c>
      <c r="N271" s="58" t="str">
        <f ca="1" t="shared" si="14"/>
        <v/>
      </c>
      <c r="O271" s="53"/>
      <c r="P271" s="10"/>
    </row>
    <row r="272" spans="1:16">
      <c r="A272" s="56" t="str">
        <f>IF($D272="","",COUNTA($D$5:$D272))</f>
        <v/>
      </c>
      <c r="B272" s="39"/>
      <c r="C272" s="46"/>
      <c r="D272" s="10"/>
      <c r="E272" s="10"/>
      <c r="F272" s="29"/>
      <c r="G272" s="53"/>
      <c r="H272" s="25"/>
      <c r="I272" s="10"/>
      <c r="J272" s="57" t="str">
        <f>IF($I272="","",IF($B272="应收",SUMIFS(资金流水!$K$5:$K$3032,资金流水!$Q$5:$Q$3015,$I272),SUMIFS(资金流水!$L$5:$L$3032,资金流水!$Q$5:$Q$3015,$I272)))</f>
        <v/>
      </c>
      <c r="K272" s="25"/>
      <c r="L272" s="57" t="str">
        <f t="shared" si="12"/>
        <v/>
      </c>
      <c r="M272" s="56" t="str">
        <f t="shared" si="13"/>
        <v/>
      </c>
      <c r="N272" s="58" t="str">
        <f ca="1" t="shared" si="14"/>
        <v/>
      </c>
      <c r="O272" s="53"/>
      <c r="P272" s="10"/>
    </row>
    <row r="273" spans="1:16">
      <c r="A273" s="56" t="str">
        <f>IF($D273="","",COUNTA($D$5:$D273))</f>
        <v/>
      </c>
      <c r="B273" s="39"/>
      <c r="C273" s="46"/>
      <c r="D273" s="10"/>
      <c r="E273" s="10"/>
      <c r="F273" s="29"/>
      <c r="G273" s="53"/>
      <c r="H273" s="25"/>
      <c r="I273" s="10"/>
      <c r="J273" s="57" t="str">
        <f>IF($I273="","",IF($B273="应收",SUMIFS(资金流水!$K$5:$K$3032,资金流水!$Q$5:$Q$3015,$I273),SUMIFS(资金流水!$L$5:$L$3032,资金流水!$Q$5:$Q$3015,$I273)))</f>
        <v/>
      </c>
      <c r="K273" s="25"/>
      <c r="L273" s="57" t="str">
        <f t="shared" si="12"/>
        <v/>
      </c>
      <c r="M273" s="56" t="str">
        <f t="shared" si="13"/>
        <v/>
      </c>
      <c r="N273" s="58" t="str">
        <f ca="1" t="shared" si="14"/>
        <v/>
      </c>
      <c r="O273" s="53"/>
      <c r="P273" s="10"/>
    </row>
    <row r="274" spans="1:16">
      <c r="A274" s="56" t="str">
        <f>IF($D274="","",COUNTA($D$5:$D274))</f>
        <v/>
      </c>
      <c r="B274" s="39"/>
      <c r="C274" s="46"/>
      <c r="D274" s="10"/>
      <c r="E274" s="10"/>
      <c r="F274" s="29"/>
      <c r="G274" s="53"/>
      <c r="H274" s="25"/>
      <c r="I274" s="10"/>
      <c r="J274" s="57" t="str">
        <f>IF($I274="","",IF($B274="应收",SUMIFS(资金流水!$K$5:$K$3032,资金流水!$Q$5:$Q$3015,$I274),SUMIFS(资金流水!$L$5:$L$3032,资金流水!$Q$5:$Q$3015,$I274)))</f>
        <v/>
      </c>
      <c r="K274" s="25"/>
      <c r="L274" s="57" t="str">
        <f t="shared" si="12"/>
        <v/>
      </c>
      <c r="M274" s="56" t="str">
        <f t="shared" si="13"/>
        <v/>
      </c>
      <c r="N274" s="58" t="str">
        <f ca="1" t="shared" si="14"/>
        <v/>
      </c>
      <c r="O274" s="53"/>
      <c r="P274" s="10"/>
    </row>
    <row r="275" spans="1:16">
      <c r="A275" s="56" t="str">
        <f>IF($D275="","",COUNTA($D$5:$D275))</f>
        <v/>
      </c>
      <c r="B275" s="39"/>
      <c r="C275" s="46"/>
      <c r="D275" s="10"/>
      <c r="E275" s="10"/>
      <c r="F275" s="29"/>
      <c r="G275" s="53"/>
      <c r="H275" s="25"/>
      <c r="I275" s="10"/>
      <c r="J275" s="57" t="str">
        <f>IF($I275="","",IF($B275="应收",SUMIFS(资金流水!$K$5:$K$3032,资金流水!$Q$5:$Q$3015,$I275),SUMIFS(资金流水!$L$5:$L$3032,资金流水!$Q$5:$Q$3015,$I275)))</f>
        <v/>
      </c>
      <c r="K275" s="25"/>
      <c r="L275" s="57" t="str">
        <f t="shared" si="12"/>
        <v/>
      </c>
      <c r="M275" s="56" t="str">
        <f t="shared" si="13"/>
        <v/>
      </c>
      <c r="N275" s="58" t="str">
        <f ca="1" t="shared" si="14"/>
        <v/>
      </c>
      <c r="O275" s="53"/>
      <c r="P275" s="10"/>
    </row>
    <row r="276" spans="1:16">
      <c r="A276" s="56" t="str">
        <f>IF($D276="","",COUNTA($D$5:$D276))</f>
        <v/>
      </c>
      <c r="B276" s="39"/>
      <c r="C276" s="46"/>
      <c r="D276" s="10"/>
      <c r="E276" s="10"/>
      <c r="F276" s="29"/>
      <c r="G276" s="53"/>
      <c r="H276" s="25"/>
      <c r="I276" s="10"/>
      <c r="J276" s="57" t="str">
        <f>IF($I276="","",IF($B276="应收",SUMIFS(资金流水!$K$5:$K$3032,资金流水!$Q$5:$Q$3015,$I276),SUMIFS(资金流水!$L$5:$L$3032,资金流水!$Q$5:$Q$3015,$I276)))</f>
        <v/>
      </c>
      <c r="K276" s="25"/>
      <c r="L276" s="57" t="str">
        <f t="shared" si="12"/>
        <v/>
      </c>
      <c r="M276" s="56" t="str">
        <f t="shared" si="13"/>
        <v/>
      </c>
      <c r="N276" s="58" t="str">
        <f ca="1" t="shared" si="14"/>
        <v/>
      </c>
      <c r="O276" s="53"/>
      <c r="P276" s="10"/>
    </row>
    <row r="277" spans="1:16">
      <c r="A277" s="56" t="str">
        <f>IF($D277="","",COUNTA($D$5:$D277))</f>
        <v/>
      </c>
      <c r="B277" s="39"/>
      <c r="C277" s="46"/>
      <c r="D277" s="10"/>
      <c r="E277" s="10"/>
      <c r="F277" s="29"/>
      <c r="G277" s="53"/>
      <c r="H277" s="25"/>
      <c r="I277" s="10"/>
      <c r="J277" s="57" t="str">
        <f>IF($I277="","",IF($B277="应收",SUMIFS(资金流水!$K$5:$K$3032,资金流水!$Q$5:$Q$3015,$I277),SUMIFS(资金流水!$L$5:$L$3032,资金流水!$Q$5:$Q$3015,$I277)))</f>
        <v/>
      </c>
      <c r="K277" s="25"/>
      <c r="L277" s="57" t="str">
        <f t="shared" si="12"/>
        <v/>
      </c>
      <c r="M277" s="56" t="str">
        <f t="shared" si="13"/>
        <v/>
      </c>
      <c r="N277" s="58" t="str">
        <f ca="1" t="shared" si="14"/>
        <v/>
      </c>
      <c r="O277" s="53"/>
      <c r="P277" s="10"/>
    </row>
    <row r="278" spans="1:16">
      <c r="A278" s="56" t="str">
        <f>IF($D278="","",COUNTA($D$5:$D278))</f>
        <v/>
      </c>
      <c r="B278" s="39"/>
      <c r="C278" s="46"/>
      <c r="D278" s="10"/>
      <c r="E278" s="10"/>
      <c r="F278" s="29"/>
      <c r="G278" s="53"/>
      <c r="H278" s="25"/>
      <c r="I278" s="10"/>
      <c r="J278" s="57" t="str">
        <f>IF($I278="","",IF($B278="应收",SUMIFS(资金流水!$K$5:$K$3032,资金流水!$Q$5:$Q$3015,$I278),SUMIFS(资金流水!$L$5:$L$3032,资金流水!$Q$5:$Q$3015,$I278)))</f>
        <v/>
      </c>
      <c r="K278" s="25"/>
      <c r="L278" s="57" t="str">
        <f t="shared" si="12"/>
        <v/>
      </c>
      <c r="M278" s="56" t="str">
        <f t="shared" si="13"/>
        <v/>
      </c>
      <c r="N278" s="58" t="str">
        <f ca="1" t="shared" si="14"/>
        <v/>
      </c>
      <c r="O278" s="53"/>
      <c r="P278" s="10"/>
    </row>
    <row r="279" spans="1:16">
      <c r="A279" s="56" t="str">
        <f>IF($D279="","",COUNTA($D$5:$D279))</f>
        <v/>
      </c>
      <c r="B279" s="39"/>
      <c r="C279" s="46"/>
      <c r="D279" s="10"/>
      <c r="E279" s="10"/>
      <c r="F279" s="29"/>
      <c r="G279" s="53"/>
      <c r="H279" s="25"/>
      <c r="I279" s="10"/>
      <c r="J279" s="57" t="str">
        <f>IF($I279="","",IF($B279="应收",SUMIFS(资金流水!$K$5:$K$3032,资金流水!$Q$5:$Q$3015,$I279),SUMIFS(资金流水!$L$5:$L$3032,资金流水!$Q$5:$Q$3015,$I279)))</f>
        <v/>
      </c>
      <c r="K279" s="25"/>
      <c r="L279" s="57" t="str">
        <f t="shared" si="12"/>
        <v/>
      </c>
      <c r="M279" s="56" t="str">
        <f t="shared" si="13"/>
        <v/>
      </c>
      <c r="N279" s="58" t="str">
        <f ca="1" t="shared" si="14"/>
        <v/>
      </c>
      <c r="O279" s="53"/>
      <c r="P279" s="10"/>
    </row>
    <row r="280" spans="1:16">
      <c r="A280" s="56" t="str">
        <f>IF($D280="","",COUNTA($D$5:$D280))</f>
        <v/>
      </c>
      <c r="B280" s="39"/>
      <c r="C280" s="46"/>
      <c r="D280" s="10"/>
      <c r="E280" s="10"/>
      <c r="F280" s="29"/>
      <c r="G280" s="53"/>
      <c r="H280" s="25"/>
      <c r="I280" s="10"/>
      <c r="J280" s="57" t="str">
        <f>IF($I280="","",IF($B280="应收",SUMIFS(资金流水!$K$5:$K$3032,资金流水!$Q$5:$Q$3015,$I280),SUMIFS(资金流水!$L$5:$L$3032,资金流水!$Q$5:$Q$3015,$I280)))</f>
        <v/>
      </c>
      <c r="K280" s="25"/>
      <c r="L280" s="57" t="str">
        <f t="shared" si="12"/>
        <v/>
      </c>
      <c r="M280" s="56" t="str">
        <f t="shared" si="13"/>
        <v/>
      </c>
      <c r="N280" s="58" t="str">
        <f ca="1" t="shared" si="14"/>
        <v/>
      </c>
      <c r="O280" s="53"/>
      <c r="P280" s="10"/>
    </row>
    <row r="281" spans="1:16">
      <c r="A281" s="56" t="str">
        <f>IF($D281="","",COUNTA($D$5:$D281))</f>
        <v/>
      </c>
      <c r="B281" s="39"/>
      <c r="C281" s="46"/>
      <c r="D281" s="10"/>
      <c r="E281" s="10"/>
      <c r="F281" s="29"/>
      <c r="G281" s="53"/>
      <c r="H281" s="25"/>
      <c r="I281" s="10"/>
      <c r="J281" s="57" t="str">
        <f>IF($I281="","",IF($B281="应收",SUMIFS(资金流水!$K$5:$K$3032,资金流水!$Q$5:$Q$3015,$I281),SUMIFS(资金流水!$L$5:$L$3032,资金流水!$Q$5:$Q$3015,$I281)))</f>
        <v/>
      </c>
      <c r="K281" s="25"/>
      <c r="L281" s="57" t="str">
        <f t="shared" si="12"/>
        <v/>
      </c>
      <c r="M281" s="56" t="str">
        <f t="shared" si="13"/>
        <v/>
      </c>
      <c r="N281" s="58" t="str">
        <f ca="1" t="shared" si="14"/>
        <v/>
      </c>
      <c r="O281" s="53"/>
      <c r="P281" s="10"/>
    </row>
    <row r="282" spans="1:16">
      <c r="A282" s="56" t="str">
        <f>IF($D282="","",COUNTA($D$5:$D282))</f>
        <v/>
      </c>
      <c r="B282" s="39"/>
      <c r="C282" s="46"/>
      <c r="D282" s="10"/>
      <c r="E282" s="10"/>
      <c r="F282" s="29"/>
      <c r="G282" s="53"/>
      <c r="H282" s="25"/>
      <c r="I282" s="10"/>
      <c r="J282" s="57" t="str">
        <f>IF($I282="","",IF($B282="应收",SUMIFS(资金流水!$K$5:$K$3032,资金流水!$Q$5:$Q$3015,$I282),SUMIFS(资金流水!$L$5:$L$3032,资金流水!$Q$5:$Q$3015,$I282)))</f>
        <v/>
      </c>
      <c r="K282" s="25"/>
      <c r="L282" s="57" t="str">
        <f t="shared" si="12"/>
        <v/>
      </c>
      <c r="M282" s="56" t="str">
        <f t="shared" si="13"/>
        <v/>
      </c>
      <c r="N282" s="58" t="str">
        <f ca="1" t="shared" si="14"/>
        <v/>
      </c>
      <c r="O282" s="53"/>
      <c r="P282" s="10"/>
    </row>
    <row r="283" spans="1:16">
      <c r="A283" s="56" t="str">
        <f>IF($D283="","",COUNTA($D$5:$D283))</f>
        <v/>
      </c>
      <c r="B283" s="39"/>
      <c r="C283" s="46"/>
      <c r="D283" s="10"/>
      <c r="E283" s="10"/>
      <c r="F283" s="29"/>
      <c r="G283" s="53"/>
      <c r="H283" s="25"/>
      <c r="I283" s="10"/>
      <c r="J283" s="57" t="str">
        <f>IF($I283="","",IF($B283="应收",SUMIFS(资金流水!$K$5:$K$3032,资金流水!$Q$5:$Q$3015,$I283),SUMIFS(资金流水!$L$5:$L$3032,资金流水!$Q$5:$Q$3015,$I283)))</f>
        <v/>
      </c>
      <c r="K283" s="25"/>
      <c r="L283" s="57" t="str">
        <f t="shared" si="12"/>
        <v/>
      </c>
      <c r="M283" s="56" t="str">
        <f t="shared" si="13"/>
        <v/>
      </c>
      <c r="N283" s="58" t="str">
        <f ca="1" t="shared" si="14"/>
        <v/>
      </c>
      <c r="O283" s="53"/>
      <c r="P283" s="10"/>
    </row>
    <row r="284" spans="1:16">
      <c r="A284" s="56" t="str">
        <f>IF($D284="","",COUNTA($D$5:$D284))</f>
        <v/>
      </c>
      <c r="B284" s="39"/>
      <c r="C284" s="46"/>
      <c r="D284" s="10"/>
      <c r="E284" s="10"/>
      <c r="F284" s="29"/>
      <c r="G284" s="53"/>
      <c r="H284" s="25"/>
      <c r="I284" s="10"/>
      <c r="J284" s="57" t="str">
        <f>IF($I284="","",IF($B284="应收",SUMIFS(资金流水!$K$5:$K$3032,资金流水!$Q$5:$Q$3015,$I284),SUMIFS(资金流水!$L$5:$L$3032,资金流水!$Q$5:$Q$3015,$I284)))</f>
        <v/>
      </c>
      <c r="K284" s="25"/>
      <c r="L284" s="57" t="str">
        <f t="shared" si="12"/>
        <v/>
      </c>
      <c r="M284" s="56" t="str">
        <f t="shared" si="13"/>
        <v/>
      </c>
      <c r="N284" s="58" t="str">
        <f ca="1" t="shared" si="14"/>
        <v/>
      </c>
      <c r="O284" s="53"/>
      <c r="P284" s="10"/>
    </row>
    <row r="285" spans="1:16">
      <c r="A285" s="56" t="str">
        <f>IF($D285="","",COUNTA($D$5:$D285))</f>
        <v/>
      </c>
      <c r="B285" s="39"/>
      <c r="C285" s="46"/>
      <c r="D285" s="10"/>
      <c r="E285" s="10"/>
      <c r="F285" s="29"/>
      <c r="G285" s="53"/>
      <c r="H285" s="25"/>
      <c r="I285" s="10"/>
      <c r="J285" s="57" t="str">
        <f>IF($I285="","",IF($B285="应收",SUMIFS(资金流水!$K$5:$K$3032,资金流水!$Q$5:$Q$3015,$I285),SUMIFS(资金流水!$L$5:$L$3032,资金流水!$Q$5:$Q$3015,$I285)))</f>
        <v/>
      </c>
      <c r="K285" s="25"/>
      <c r="L285" s="57" t="str">
        <f t="shared" si="12"/>
        <v/>
      </c>
      <c r="M285" s="56" t="str">
        <f t="shared" si="13"/>
        <v/>
      </c>
      <c r="N285" s="58" t="str">
        <f ca="1" t="shared" si="14"/>
        <v/>
      </c>
      <c r="O285" s="53"/>
      <c r="P285" s="10"/>
    </row>
    <row r="286" spans="1:16">
      <c r="A286" s="56" t="str">
        <f>IF($D286="","",COUNTA($D$5:$D286))</f>
        <v/>
      </c>
      <c r="B286" s="39"/>
      <c r="C286" s="46"/>
      <c r="D286" s="10"/>
      <c r="E286" s="10"/>
      <c r="F286" s="29"/>
      <c r="G286" s="53"/>
      <c r="H286" s="25"/>
      <c r="I286" s="10"/>
      <c r="J286" s="57" t="str">
        <f>IF($I286="","",IF($B286="应收",SUMIFS(资金流水!$K$5:$K$3032,资金流水!$Q$5:$Q$3015,$I286),SUMIFS(资金流水!$L$5:$L$3032,资金流水!$Q$5:$Q$3015,$I286)))</f>
        <v/>
      </c>
      <c r="K286" s="25"/>
      <c r="L286" s="57" t="str">
        <f t="shared" si="12"/>
        <v/>
      </c>
      <c r="M286" s="56" t="str">
        <f t="shared" si="13"/>
        <v/>
      </c>
      <c r="N286" s="58" t="str">
        <f ca="1" t="shared" si="14"/>
        <v/>
      </c>
      <c r="O286" s="53"/>
      <c r="P286" s="10"/>
    </row>
    <row r="287" spans="1:16">
      <c r="A287" s="56" t="str">
        <f>IF($D287="","",COUNTA($D$5:$D287))</f>
        <v/>
      </c>
      <c r="B287" s="39"/>
      <c r="C287" s="46"/>
      <c r="D287" s="10"/>
      <c r="E287" s="10"/>
      <c r="F287" s="29"/>
      <c r="G287" s="53"/>
      <c r="H287" s="25"/>
      <c r="I287" s="10"/>
      <c r="J287" s="57" t="str">
        <f>IF($I287="","",IF($B287="应收",SUMIFS(资金流水!$K$5:$K$3032,资金流水!$Q$5:$Q$3015,$I287),SUMIFS(资金流水!$L$5:$L$3032,资金流水!$Q$5:$Q$3015,$I287)))</f>
        <v/>
      </c>
      <c r="K287" s="25"/>
      <c r="L287" s="57" t="str">
        <f t="shared" si="12"/>
        <v/>
      </c>
      <c r="M287" s="56" t="str">
        <f t="shared" si="13"/>
        <v/>
      </c>
      <c r="N287" s="58" t="str">
        <f ca="1" t="shared" si="14"/>
        <v/>
      </c>
      <c r="O287" s="53"/>
      <c r="P287" s="10"/>
    </row>
    <row r="288" spans="1:16">
      <c r="A288" s="56" t="str">
        <f>IF($D288="","",COUNTA($D$5:$D288))</f>
        <v/>
      </c>
      <c r="B288" s="39"/>
      <c r="C288" s="46"/>
      <c r="D288" s="10"/>
      <c r="E288" s="10"/>
      <c r="F288" s="29"/>
      <c r="G288" s="53"/>
      <c r="H288" s="25"/>
      <c r="I288" s="10"/>
      <c r="J288" s="57" t="str">
        <f>IF($I288="","",IF($B288="应收",SUMIFS(资金流水!$K$5:$K$3032,资金流水!$Q$5:$Q$3015,$I288),SUMIFS(资金流水!$L$5:$L$3032,资金流水!$Q$5:$Q$3015,$I288)))</f>
        <v/>
      </c>
      <c r="K288" s="25"/>
      <c r="L288" s="57" t="str">
        <f t="shared" si="12"/>
        <v/>
      </c>
      <c r="M288" s="56" t="str">
        <f t="shared" si="13"/>
        <v/>
      </c>
      <c r="N288" s="58" t="str">
        <f ca="1" t="shared" si="14"/>
        <v/>
      </c>
      <c r="O288" s="53"/>
      <c r="P288" s="10"/>
    </row>
    <row r="289" spans="1:16">
      <c r="A289" s="56" t="str">
        <f>IF($D289="","",COUNTA($D$5:$D289))</f>
        <v/>
      </c>
      <c r="B289" s="39"/>
      <c r="C289" s="46"/>
      <c r="D289" s="10"/>
      <c r="E289" s="10"/>
      <c r="F289" s="29"/>
      <c r="G289" s="53"/>
      <c r="H289" s="25"/>
      <c r="I289" s="10"/>
      <c r="J289" s="57" t="str">
        <f>IF($I289="","",IF($B289="应收",SUMIFS(资金流水!$K$5:$K$3032,资金流水!$Q$5:$Q$3015,$I289),SUMIFS(资金流水!$L$5:$L$3032,资金流水!$Q$5:$Q$3015,$I289)))</f>
        <v/>
      </c>
      <c r="K289" s="25"/>
      <c r="L289" s="57" t="str">
        <f t="shared" si="12"/>
        <v/>
      </c>
      <c r="M289" s="56" t="str">
        <f t="shared" si="13"/>
        <v/>
      </c>
      <c r="N289" s="58" t="str">
        <f ca="1" t="shared" si="14"/>
        <v/>
      </c>
      <c r="O289" s="53"/>
      <c r="P289" s="10"/>
    </row>
    <row r="290" spans="1:16">
      <c r="A290" s="56" t="str">
        <f>IF($D290="","",COUNTA($D$5:$D290))</f>
        <v/>
      </c>
      <c r="B290" s="39"/>
      <c r="C290" s="46"/>
      <c r="D290" s="10"/>
      <c r="E290" s="10"/>
      <c r="F290" s="29"/>
      <c r="G290" s="53"/>
      <c r="H290" s="25"/>
      <c r="I290" s="10"/>
      <c r="J290" s="57" t="str">
        <f>IF($I290="","",IF($B290="应收",SUMIFS(资金流水!$K$5:$K$3032,资金流水!$Q$5:$Q$3015,$I290),SUMIFS(资金流水!$L$5:$L$3032,资金流水!$Q$5:$Q$3015,$I290)))</f>
        <v/>
      </c>
      <c r="K290" s="25"/>
      <c r="L290" s="57" t="str">
        <f t="shared" si="12"/>
        <v/>
      </c>
      <c r="M290" s="56" t="str">
        <f t="shared" si="13"/>
        <v/>
      </c>
      <c r="N290" s="58" t="str">
        <f ca="1" t="shared" si="14"/>
        <v/>
      </c>
      <c r="O290" s="53"/>
      <c r="P290" s="10"/>
    </row>
    <row r="291" spans="1:16">
      <c r="A291" s="56" t="str">
        <f>IF($D291="","",COUNTA($D$5:$D291))</f>
        <v/>
      </c>
      <c r="B291" s="39"/>
      <c r="C291" s="46"/>
      <c r="D291" s="10"/>
      <c r="E291" s="10"/>
      <c r="F291" s="29"/>
      <c r="G291" s="53"/>
      <c r="H291" s="25"/>
      <c r="I291" s="10"/>
      <c r="J291" s="57" t="str">
        <f>IF($I291="","",IF($B291="应收",SUMIFS(资金流水!$K$5:$K$3032,资金流水!$Q$5:$Q$3015,$I291),SUMIFS(资金流水!$L$5:$L$3032,资金流水!$Q$5:$Q$3015,$I291)))</f>
        <v/>
      </c>
      <c r="K291" s="25"/>
      <c r="L291" s="57" t="str">
        <f t="shared" si="12"/>
        <v/>
      </c>
      <c r="M291" s="56" t="str">
        <f t="shared" si="13"/>
        <v/>
      </c>
      <c r="N291" s="58" t="str">
        <f ca="1" t="shared" si="14"/>
        <v/>
      </c>
      <c r="O291" s="53"/>
      <c r="P291" s="10"/>
    </row>
    <row r="292" spans="1:16">
      <c r="A292" s="56" t="str">
        <f>IF($D292="","",COUNTA($D$5:$D292))</f>
        <v/>
      </c>
      <c r="B292" s="39"/>
      <c r="C292" s="46"/>
      <c r="D292" s="10"/>
      <c r="E292" s="10"/>
      <c r="F292" s="29"/>
      <c r="G292" s="53"/>
      <c r="H292" s="25"/>
      <c r="I292" s="10"/>
      <c r="J292" s="57" t="str">
        <f>IF($I292="","",IF($B292="应收",SUMIFS(资金流水!$K$5:$K$3032,资金流水!$Q$5:$Q$3015,$I292),SUMIFS(资金流水!$L$5:$L$3032,资金流水!$Q$5:$Q$3015,$I292)))</f>
        <v/>
      </c>
      <c r="K292" s="25"/>
      <c r="L292" s="57" t="str">
        <f t="shared" si="12"/>
        <v/>
      </c>
      <c r="M292" s="56" t="str">
        <f t="shared" si="13"/>
        <v/>
      </c>
      <c r="N292" s="58" t="str">
        <f ca="1" t="shared" si="14"/>
        <v/>
      </c>
      <c r="O292" s="53"/>
      <c r="P292" s="10"/>
    </row>
    <row r="293" spans="1:16">
      <c r="A293" s="56" t="str">
        <f>IF($D293="","",COUNTA($D$5:$D293))</f>
        <v/>
      </c>
      <c r="B293" s="39"/>
      <c r="C293" s="46"/>
      <c r="D293" s="10"/>
      <c r="E293" s="10"/>
      <c r="F293" s="29"/>
      <c r="G293" s="53"/>
      <c r="H293" s="25"/>
      <c r="I293" s="10"/>
      <c r="J293" s="57" t="str">
        <f>IF($I293="","",IF($B293="应收",SUMIFS(资金流水!$K$5:$K$3032,资金流水!$Q$5:$Q$3015,$I293),SUMIFS(资金流水!$L$5:$L$3032,资金流水!$Q$5:$Q$3015,$I293)))</f>
        <v/>
      </c>
      <c r="K293" s="25"/>
      <c r="L293" s="57" t="str">
        <f t="shared" si="12"/>
        <v/>
      </c>
      <c r="M293" s="56" t="str">
        <f t="shared" si="13"/>
        <v/>
      </c>
      <c r="N293" s="58" t="str">
        <f ca="1" t="shared" si="14"/>
        <v/>
      </c>
      <c r="O293" s="53"/>
      <c r="P293" s="10"/>
    </row>
    <row r="294" spans="1:16">
      <c r="A294" s="56" t="str">
        <f>IF($D294="","",COUNTA($D$5:$D294))</f>
        <v/>
      </c>
      <c r="B294" s="39"/>
      <c r="C294" s="46"/>
      <c r="D294" s="10"/>
      <c r="E294" s="10"/>
      <c r="F294" s="29"/>
      <c r="G294" s="53"/>
      <c r="H294" s="25"/>
      <c r="I294" s="10"/>
      <c r="J294" s="57" t="str">
        <f>IF($I294="","",IF($B294="应收",SUMIFS(资金流水!$K$5:$K$3032,资金流水!$Q$5:$Q$3015,$I294),SUMIFS(资金流水!$L$5:$L$3032,资金流水!$Q$5:$Q$3015,$I294)))</f>
        <v/>
      </c>
      <c r="K294" s="25"/>
      <c r="L294" s="57" t="str">
        <f t="shared" si="12"/>
        <v/>
      </c>
      <c r="M294" s="56" t="str">
        <f t="shared" si="13"/>
        <v/>
      </c>
      <c r="N294" s="58" t="str">
        <f ca="1" t="shared" si="14"/>
        <v/>
      </c>
      <c r="O294" s="53"/>
      <c r="P294" s="10"/>
    </row>
    <row r="295" spans="1:16">
      <c r="A295" s="56" t="str">
        <f>IF($D295="","",COUNTA($D$5:$D295))</f>
        <v/>
      </c>
      <c r="B295" s="39"/>
      <c r="C295" s="46"/>
      <c r="D295" s="10"/>
      <c r="E295" s="10"/>
      <c r="F295" s="29"/>
      <c r="G295" s="53"/>
      <c r="H295" s="25"/>
      <c r="I295" s="10"/>
      <c r="J295" s="57" t="str">
        <f>IF($I295="","",IF($B295="应收",SUMIFS(资金流水!$K$5:$K$3032,资金流水!$Q$5:$Q$3015,$I295),SUMIFS(资金流水!$L$5:$L$3032,资金流水!$Q$5:$Q$3015,$I295)))</f>
        <v/>
      </c>
      <c r="K295" s="25"/>
      <c r="L295" s="57" t="str">
        <f t="shared" si="12"/>
        <v/>
      </c>
      <c r="M295" s="56" t="str">
        <f t="shared" si="13"/>
        <v/>
      </c>
      <c r="N295" s="58" t="str">
        <f ca="1" t="shared" si="14"/>
        <v/>
      </c>
      <c r="O295" s="53"/>
      <c r="P295" s="10"/>
    </row>
    <row r="296" spans="1:16">
      <c r="A296" s="56" t="str">
        <f>IF($D296="","",COUNTA($D$5:$D296))</f>
        <v/>
      </c>
      <c r="B296" s="39"/>
      <c r="C296" s="46"/>
      <c r="D296" s="10"/>
      <c r="E296" s="10"/>
      <c r="F296" s="29"/>
      <c r="G296" s="53"/>
      <c r="H296" s="25"/>
      <c r="I296" s="10"/>
      <c r="J296" s="57" t="str">
        <f>IF($I296="","",IF($B296="应收",SUMIFS(资金流水!$K$5:$K$3032,资金流水!$Q$5:$Q$3015,$I296),SUMIFS(资金流水!$L$5:$L$3032,资金流水!$Q$5:$Q$3015,$I296)))</f>
        <v/>
      </c>
      <c r="K296" s="25"/>
      <c r="L296" s="57" t="str">
        <f t="shared" si="12"/>
        <v/>
      </c>
      <c r="M296" s="56" t="str">
        <f t="shared" si="13"/>
        <v/>
      </c>
      <c r="N296" s="58" t="str">
        <f ca="1" t="shared" si="14"/>
        <v/>
      </c>
      <c r="O296" s="53"/>
      <c r="P296" s="10"/>
    </row>
    <row r="297" spans="1:16">
      <c r="A297" s="56" t="str">
        <f>IF($D297="","",COUNTA($D$5:$D297))</f>
        <v/>
      </c>
      <c r="B297" s="39"/>
      <c r="C297" s="46"/>
      <c r="D297" s="10"/>
      <c r="E297" s="10"/>
      <c r="F297" s="29"/>
      <c r="G297" s="53"/>
      <c r="H297" s="25"/>
      <c r="I297" s="10"/>
      <c r="J297" s="57" t="str">
        <f>IF($I297="","",IF($B297="应收",SUMIFS(资金流水!$K$5:$K$3032,资金流水!$Q$5:$Q$3015,$I297),SUMIFS(资金流水!$L$5:$L$3032,资金流水!$Q$5:$Q$3015,$I297)))</f>
        <v/>
      </c>
      <c r="K297" s="25"/>
      <c r="L297" s="57" t="str">
        <f t="shared" si="12"/>
        <v/>
      </c>
      <c r="M297" s="56" t="str">
        <f t="shared" si="13"/>
        <v/>
      </c>
      <c r="N297" s="58" t="str">
        <f ca="1" t="shared" si="14"/>
        <v/>
      </c>
      <c r="O297" s="53"/>
      <c r="P297" s="10"/>
    </row>
    <row r="298" spans="1:16">
      <c r="A298" s="56" t="str">
        <f>IF($D298="","",COUNTA($D$5:$D298))</f>
        <v/>
      </c>
      <c r="B298" s="39"/>
      <c r="C298" s="46"/>
      <c r="D298" s="10"/>
      <c r="E298" s="10"/>
      <c r="F298" s="29"/>
      <c r="G298" s="53"/>
      <c r="H298" s="25"/>
      <c r="I298" s="10"/>
      <c r="J298" s="57" t="str">
        <f>IF($I298="","",IF($B298="应收",SUMIFS(资金流水!$K$5:$K$3032,资金流水!$Q$5:$Q$3015,$I298),SUMIFS(资金流水!$L$5:$L$3032,资金流水!$Q$5:$Q$3015,$I298)))</f>
        <v/>
      </c>
      <c r="K298" s="25"/>
      <c r="L298" s="57" t="str">
        <f t="shared" si="12"/>
        <v/>
      </c>
      <c r="M298" s="56" t="str">
        <f t="shared" si="13"/>
        <v/>
      </c>
      <c r="N298" s="58" t="str">
        <f ca="1" t="shared" si="14"/>
        <v/>
      </c>
      <c r="O298" s="53"/>
      <c r="P298" s="10"/>
    </row>
    <row r="299" spans="1:16">
      <c r="A299" s="56" t="str">
        <f>IF($D299="","",COUNTA($D$5:$D299))</f>
        <v/>
      </c>
      <c r="B299" s="39"/>
      <c r="C299" s="46"/>
      <c r="D299" s="10"/>
      <c r="E299" s="10"/>
      <c r="F299" s="29"/>
      <c r="G299" s="53"/>
      <c r="H299" s="25"/>
      <c r="I299" s="10"/>
      <c r="J299" s="57" t="str">
        <f>IF($I299="","",IF($B299="应收",SUMIFS(资金流水!$K$5:$K$3032,资金流水!$Q$5:$Q$3015,$I299),SUMIFS(资金流水!$L$5:$L$3032,资金流水!$Q$5:$Q$3015,$I299)))</f>
        <v/>
      </c>
      <c r="K299" s="25"/>
      <c r="L299" s="57" t="str">
        <f t="shared" si="12"/>
        <v/>
      </c>
      <c r="M299" s="56" t="str">
        <f t="shared" si="13"/>
        <v/>
      </c>
      <c r="N299" s="58" t="str">
        <f ca="1" t="shared" si="14"/>
        <v/>
      </c>
      <c r="O299" s="53"/>
      <c r="P299" s="10"/>
    </row>
    <row r="300" spans="1:16">
      <c r="A300" s="56" t="str">
        <f>IF($D300="","",COUNTA($D$5:$D300))</f>
        <v/>
      </c>
      <c r="B300" s="39"/>
      <c r="C300" s="46"/>
      <c r="D300" s="10"/>
      <c r="E300" s="10"/>
      <c r="F300" s="29"/>
      <c r="G300" s="53"/>
      <c r="H300" s="25"/>
      <c r="I300" s="10"/>
      <c r="J300" s="57" t="str">
        <f>IF($I300="","",IF($B300="应收",SUMIFS(资金流水!$K$5:$K$3032,资金流水!$Q$5:$Q$3015,$I300),SUMIFS(资金流水!$L$5:$L$3032,资金流水!$Q$5:$Q$3015,$I300)))</f>
        <v/>
      </c>
      <c r="K300" s="25"/>
      <c r="L300" s="57" t="str">
        <f t="shared" si="12"/>
        <v/>
      </c>
      <c r="M300" s="56" t="str">
        <f t="shared" si="13"/>
        <v/>
      </c>
      <c r="N300" s="58" t="str">
        <f ca="1" t="shared" si="14"/>
        <v/>
      </c>
      <c r="O300" s="53"/>
      <c r="P300" s="10"/>
    </row>
    <row r="301" spans="1:16">
      <c r="A301" s="56" t="str">
        <f>IF($D301="","",COUNTA($D$5:$D301))</f>
        <v/>
      </c>
      <c r="B301" s="39"/>
      <c r="C301" s="46"/>
      <c r="D301" s="10"/>
      <c r="E301" s="10"/>
      <c r="F301" s="29"/>
      <c r="G301" s="53"/>
      <c r="H301" s="25"/>
      <c r="I301" s="10"/>
      <c r="J301" s="57" t="str">
        <f>IF($I301="","",IF($B301="应收",SUMIFS(资金流水!$K$5:$K$3032,资金流水!$Q$5:$Q$3015,$I301),SUMIFS(资金流水!$L$5:$L$3032,资金流水!$Q$5:$Q$3015,$I301)))</f>
        <v/>
      </c>
      <c r="K301" s="25"/>
      <c r="L301" s="57" t="str">
        <f t="shared" si="12"/>
        <v/>
      </c>
      <c r="M301" s="56" t="str">
        <f t="shared" si="13"/>
        <v/>
      </c>
      <c r="N301" s="58" t="str">
        <f ca="1" t="shared" si="14"/>
        <v/>
      </c>
      <c r="O301" s="53"/>
      <c r="P301" s="10"/>
    </row>
    <row r="302" spans="1:16">
      <c r="A302" s="56" t="str">
        <f>IF($D302="","",COUNTA($D$5:$D302))</f>
        <v/>
      </c>
      <c r="B302" s="39"/>
      <c r="C302" s="46"/>
      <c r="D302" s="10"/>
      <c r="E302" s="10"/>
      <c r="F302" s="29"/>
      <c r="G302" s="53"/>
      <c r="H302" s="25"/>
      <c r="I302" s="10"/>
      <c r="J302" s="57" t="str">
        <f>IF($I302="","",IF($B302="应收",SUMIFS(资金流水!$K$5:$K$3032,资金流水!$Q$5:$Q$3015,$I302),SUMIFS(资金流水!$L$5:$L$3032,资金流水!$Q$5:$Q$3015,$I302)))</f>
        <v/>
      </c>
      <c r="K302" s="25"/>
      <c r="L302" s="57" t="str">
        <f t="shared" si="12"/>
        <v/>
      </c>
      <c r="M302" s="56" t="str">
        <f t="shared" si="13"/>
        <v/>
      </c>
      <c r="N302" s="58" t="str">
        <f ca="1" t="shared" si="14"/>
        <v/>
      </c>
      <c r="O302" s="53"/>
      <c r="P302" s="10"/>
    </row>
    <row r="303" spans="1:16">
      <c r="A303" s="56" t="str">
        <f>IF($D303="","",COUNTA($D$5:$D303))</f>
        <v/>
      </c>
      <c r="B303" s="39"/>
      <c r="C303" s="46"/>
      <c r="D303" s="10"/>
      <c r="E303" s="10"/>
      <c r="F303" s="29"/>
      <c r="G303" s="53"/>
      <c r="H303" s="25"/>
      <c r="I303" s="10"/>
      <c r="J303" s="57" t="str">
        <f>IF($I303="","",IF($B303="应收",SUMIFS(资金流水!$K$5:$K$3032,资金流水!$Q$5:$Q$3015,$I303),SUMIFS(资金流水!$L$5:$L$3032,资金流水!$Q$5:$Q$3015,$I303)))</f>
        <v/>
      </c>
      <c r="K303" s="25"/>
      <c r="L303" s="57" t="str">
        <f t="shared" si="12"/>
        <v/>
      </c>
      <c r="M303" s="56" t="str">
        <f t="shared" si="13"/>
        <v/>
      </c>
      <c r="N303" s="58" t="str">
        <f ca="1" t="shared" si="14"/>
        <v/>
      </c>
      <c r="O303" s="53"/>
      <c r="P303" s="10"/>
    </row>
    <row r="304" spans="1:16">
      <c r="A304" s="56" t="str">
        <f>IF($D304="","",COUNTA($D$5:$D304))</f>
        <v/>
      </c>
      <c r="B304" s="39"/>
      <c r="C304" s="46"/>
      <c r="D304" s="10"/>
      <c r="E304" s="10"/>
      <c r="F304" s="29"/>
      <c r="G304" s="53"/>
      <c r="H304" s="25"/>
      <c r="I304" s="10"/>
      <c r="J304" s="57" t="str">
        <f>IF($I304="","",IF($B304="应收",SUMIFS(资金流水!$K$5:$K$3032,资金流水!$Q$5:$Q$3015,$I304),SUMIFS(资金流水!$L$5:$L$3032,资金流水!$Q$5:$Q$3015,$I304)))</f>
        <v/>
      </c>
      <c r="K304" s="25"/>
      <c r="L304" s="57" t="str">
        <f t="shared" si="12"/>
        <v/>
      </c>
      <c r="M304" s="56" t="str">
        <f t="shared" si="13"/>
        <v/>
      </c>
      <c r="N304" s="58" t="str">
        <f ca="1" t="shared" si="14"/>
        <v/>
      </c>
      <c r="O304" s="53"/>
      <c r="P304" s="10"/>
    </row>
  </sheetData>
  <autoFilter xmlns:etc="http://www.wps.cn/officeDocument/2017/etCustomData" ref="A4:P304" etc:filterBottomFollowUsedRange="0">
    <extLst/>
  </autoFilter>
  <mergeCells count="2">
    <mergeCell ref="A1:P1"/>
    <mergeCell ref="A3:P3"/>
  </mergeCells>
  <conditionalFormatting sqref="N5:N304">
    <cfRule type="cellIs" dxfId="1" priority="2" operator="greaterThan">
      <formula>60</formula>
    </cfRule>
  </conditionalFormatting>
  <dataValidations count="3">
    <dataValidation type="list" allowBlank="1" sqref="B5:B304">
      <formula1>"应收,应付"</formula1>
    </dataValidation>
    <dataValidation type="list" allowBlank="1" sqref="C5:C304">
      <formula1>基础资料!$A$4:$A$11</formula1>
    </dataValidation>
    <dataValidation type="list" allowBlank="1" sqref="E5:E304">
      <formula1>基础资料!$J$4:$J$63</formula1>
    </dataValidation>
  </dataValidation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2F5597"/>
  </sheetPr>
  <dimension ref="A1:AC65"/>
  <sheetViews>
    <sheetView showGridLines="0" workbookViewId="0">
      <pane xSplit="2" ySplit="4" topLeftCell="C5" activePane="bottomRight" state="frozen"/>
      <selection/>
      <selection pane="topRight"/>
      <selection pane="bottomLeft"/>
      <selection pane="bottomRight" activeCell="H8" sqref="H8"/>
    </sheetView>
  </sheetViews>
  <sheetFormatPr defaultColWidth="8.67619047619048" defaultRowHeight="15"/>
  <cols>
    <col min="1" max="1" width="10" customWidth="1"/>
    <col min="2" max="2" width="20" customWidth="1"/>
    <col min="3" max="4" width="11" customWidth="1"/>
    <col min="5" max="8" width="13" customWidth="1"/>
    <col min="9" max="9" width="15" customWidth="1"/>
    <col min="10" max="23" width="12" customWidth="1"/>
    <col min="24" max="24" width="13" customWidth="1"/>
    <col min="25" max="25" width="15" customWidth="1"/>
    <col min="26" max="26" width="9" customWidth="1"/>
    <col min="27" max="27" width="15" customWidth="1"/>
    <col min="28" max="28" width="10" customWidth="1"/>
    <col min="29" max="29" width="12" customWidth="1"/>
  </cols>
  <sheetData>
    <row r="1" ht="25.5" customHeight="1" spans="1:29">
      <c r="A1" s="1" t="s">
        <v>850</v>
      </c>
      <c r="B1" s="1"/>
      <c r="C1" s="1"/>
      <c r="D1" s="1"/>
      <c r="E1" s="1"/>
      <c r="F1" s="1"/>
      <c r="G1" s="1"/>
      <c r="H1" s="1"/>
      <c r="I1" s="1"/>
      <c r="J1" s="1"/>
      <c r="K1" s="1"/>
      <c r="L1" s="1"/>
      <c r="M1" s="1"/>
      <c r="N1" s="1"/>
      <c r="O1" s="1"/>
      <c r="P1" s="1"/>
      <c r="Q1" s="1"/>
      <c r="R1" s="1"/>
      <c r="S1" s="1"/>
      <c r="T1" s="1"/>
      <c r="U1" s="1"/>
      <c r="V1" s="1"/>
      <c r="W1" s="1"/>
      <c r="X1" s="1"/>
      <c r="Y1" s="1"/>
      <c r="Z1" s="1"/>
      <c r="AA1" s="1"/>
      <c r="AB1" s="1"/>
      <c r="AC1" s="1"/>
    </row>
    <row r="2" ht="43.5" customHeight="1" spans="1:29">
      <c r="A2" s="33" t="s">
        <v>851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4" ht="43.5" customHeight="1" spans="1:29">
      <c r="A4" s="22" t="s">
        <v>61</v>
      </c>
      <c r="B4" s="22" t="s">
        <v>62</v>
      </c>
      <c r="C4" s="22" t="s">
        <v>59</v>
      </c>
      <c r="D4" s="22" t="s">
        <v>63</v>
      </c>
      <c r="E4" s="22" t="s">
        <v>64</v>
      </c>
      <c r="F4" s="22" t="s">
        <v>852</v>
      </c>
      <c r="G4" s="22" t="s">
        <v>853</v>
      </c>
      <c r="H4" s="22" t="s">
        <v>854</v>
      </c>
      <c r="I4" s="22" t="s">
        <v>855</v>
      </c>
      <c r="J4" s="22" t="str">
        <f>IF(基础资料!$T$4="","",基础资料!$T$4)</f>
        <v>项目-材料</v>
      </c>
      <c r="K4" s="22" t="str">
        <f>IF(基础资料!$T$5="","",基础资料!$T$5)</f>
        <v>项目-人工</v>
      </c>
      <c r="L4" s="22" t="str">
        <f>IF(基础资料!$T$6="","",基础资料!$T$6)</f>
        <v>项目-机械设备</v>
      </c>
      <c r="M4" s="22" t="str">
        <f>IF(基础资料!$T$7="","",基础资料!$T$7)</f>
        <v>项目-零星开支</v>
      </c>
      <c r="N4" s="22" t="str">
        <f>IF(基础资料!$T$8="","",基础资料!$T$8)</f>
        <v>项目-运费</v>
      </c>
      <c r="O4" s="22" t="str">
        <f>IF(基础资料!$T$9="","",基础资料!$T$9)</f>
        <v>项目-分包/劳务</v>
      </c>
      <c r="P4" s="22" t="str">
        <f>IF(基础资料!$T$10="","",基础资料!$T$10)</f>
        <v>项目-税款</v>
      </c>
      <c r="Q4" s="22" t="str">
        <f>IF(基础资料!$T$11="","",基础资料!$T$11)</f>
        <v>项目-其他直接成本</v>
      </c>
      <c r="R4" s="22" t="str">
        <f>IF(基础资料!$T$12="","",基础资料!$T$12)</f>
        <v>费用摊销</v>
      </c>
      <c r="S4" s="22" t="str">
        <f>IF(基础资料!$T$13="","",基础资料!$T$13)</f>
        <v/>
      </c>
      <c r="T4" s="22" t="str">
        <f>IF(基础资料!$T$14="","",基础资料!$T$14)</f>
        <v/>
      </c>
      <c r="U4" s="22" t="str">
        <f>IF(基础资料!$T$15="","",基础资料!$T$15)</f>
        <v/>
      </c>
      <c r="V4" s="22" t="str">
        <f>IF(基础资料!$T$16="","",基础资料!$T$16)</f>
        <v/>
      </c>
      <c r="W4" s="22" t="str">
        <f>IF(基础资料!$T$17="","",基础资料!$T$17)</f>
        <v/>
      </c>
      <c r="X4" s="22" t="s">
        <v>856</v>
      </c>
      <c r="Y4" s="22" t="s">
        <v>857</v>
      </c>
      <c r="Z4" s="22" t="s">
        <v>858</v>
      </c>
      <c r="AA4" s="22" t="s">
        <v>859</v>
      </c>
      <c r="AB4" s="22" t="s">
        <v>860</v>
      </c>
      <c r="AC4" s="22" t="s">
        <v>66</v>
      </c>
    </row>
    <row r="5" ht="48" spans="1:29">
      <c r="A5" s="28" t="str">
        <f>IF(基础资料!$I4="","",基础资料!$I4)</f>
        <v>P001</v>
      </c>
      <c r="B5" s="28" t="str">
        <f>IF(基础资料!$J4="","",基础资料!$J4)</f>
        <v>昌吉市中小学数字化校园建设工程（昌吉市第十五小学教学仪器设备采购项目）</v>
      </c>
      <c r="C5" s="28" t="str">
        <f>IF(基础资料!$K4="","",基础资料!$K4)</f>
        <v>双思威</v>
      </c>
      <c r="D5" s="28" t="str">
        <f>IF(基础资料!$L4="","",基础资料!$L4)</f>
        <v>中移系统集成有限公司</v>
      </c>
      <c r="E5" s="25">
        <f>IF(基础资料!$M4="","",基础资料!$M4)</f>
        <v>7443095.17</v>
      </c>
      <c r="F5" s="11">
        <f>IF($B5="","",IF(基础资料!$AH$4="不含税金额",SUMIFS(开票登记!$J$5:$J$504,开票登记!$G$5:$G$504,$B5),SUMIFS(开票登记!$M$5:$M$504,开票登记!$G$5:$G$504,$B5)))</f>
        <v>0</v>
      </c>
      <c r="G5" s="11">
        <f>IF($B5="","",SUMIFS(资金流水!$K$5:$K$3032,资金流水!$F$5:$F$3032,$B5))</f>
        <v>0</v>
      </c>
      <c r="H5" s="11">
        <f t="shared" ref="H5:H64" si="0">IF(OR($B5="",$E5=""),"",$E5-$G5)</f>
        <v>7443095.17</v>
      </c>
      <c r="I5" s="11">
        <f>IF($B5="","",SUMIFS(开票登记!$M$5:$M$504,开票登记!$G$5:$G$504,$B5)-$G5)</f>
        <v>0</v>
      </c>
      <c r="J5" s="11">
        <f>IF(OR($B5="",J$4=""),"",SUMIFS(资金流水!$L$5:$L$3032,资金流水!$F$5:$F$3032,$B5,资金流水!$H$5:$H$3032,J$4))</f>
        <v>391660.71</v>
      </c>
      <c r="K5" s="11">
        <f>IF(OR($B5="",K$4=""),"",SUMIFS(资金流水!$L$5:$L$3032,资金流水!$F$5:$F$3032,$B5,资金流水!$H$5:$H$3032,K$4))</f>
        <v>39453</v>
      </c>
      <c r="L5" s="11">
        <f>IF(OR($B5="",L$4=""),"",SUMIFS(资金流水!$L$5:$L$3032,资金流水!$F$5:$F$3032,$B5,资金流水!$H$5:$H$3032,L$4))</f>
        <v>0</v>
      </c>
      <c r="M5" s="11">
        <f>IF(OR($B5="",M$4=""),"",SUMIFS(资金流水!$L$5:$L$3032,资金流水!$F$5:$F$3032,$B5,资金流水!$H$5:$H$3032,M$4))</f>
        <v>0</v>
      </c>
      <c r="N5" s="11">
        <f>IF(OR($B5="",N$4=""),"",SUMIFS(资金流水!$L$5:$L$3032,资金流水!$F$5:$F$3032,$B5,资金流水!$H$5:$H$3032,N$4))</f>
        <v>8951</v>
      </c>
      <c r="O5" s="11">
        <f>IF(OR($B5="",O$4=""),"",SUMIFS(资金流水!$L$5:$L$3032,资金流水!$F$5:$F$3032,$B5,资金流水!$H$5:$H$3032,O$4))</f>
        <v>0</v>
      </c>
      <c r="P5" s="11">
        <f>IF(OR($B5="",P$4=""),"",SUMIFS(资金流水!$L$5:$L$3032,资金流水!$F$5:$F$3032,$B5,资金流水!$H$5:$H$3032,P$4))</f>
        <v>0</v>
      </c>
      <c r="Q5" s="11">
        <f>IF(OR($B5="",Q$4=""),"",SUMIFS(资金流水!$L$5:$L$3032,资金流水!$F$5:$F$3032,$B5,资金流水!$H$5:$H$3032,Q$4))</f>
        <v>0</v>
      </c>
      <c r="R5" s="11">
        <f>IF(OR($B5="",R$4=""),"",SUMIFS(资金流水!$L$5:$L$3032,资金流水!$F$5:$F$3032,$B5,资金流水!$H$5:$H$3032,R$4))</f>
        <v>0</v>
      </c>
      <c r="S5" s="11" t="str">
        <f>IF(OR($B5="",S$4=""),"",SUMIFS(资金流水!$L$5:$L$3032,资金流水!$F$5:$F$3032,$B5,资金流水!$H$5:$H$3032,S$4))</f>
        <v/>
      </c>
      <c r="T5" s="11" t="str">
        <f>IF(OR($B5="",T$4=""),"",SUMIFS(资金流水!$L$5:$L$3032,资金流水!$F$5:$F$3032,$B5,资金流水!$H$5:$H$3032,T$4))</f>
        <v/>
      </c>
      <c r="U5" s="11" t="str">
        <f>IF(OR($B5="",U$4=""),"",SUMIFS(资金流水!$L$5:$L$3032,资金流水!$F$5:$F$3032,$B5,资金流水!$H$5:$H$3032,U$4))</f>
        <v/>
      </c>
      <c r="V5" s="11" t="str">
        <f>IF(OR($B5="",V$4=""),"",SUMIFS(资金流水!$L$5:$L$3032,资金流水!$F$5:$F$3032,$B5,资金流水!$H$5:$H$3032,V$4))</f>
        <v/>
      </c>
      <c r="W5" s="11" t="str">
        <f>IF(OR($B5="",W$4=""),"",SUMIFS(资金流水!$L$5:$L$3032,资金流水!$F$5:$F$3032,$B5,资金流水!$H$5:$H$3032,W$4))</f>
        <v/>
      </c>
      <c r="X5" s="11">
        <f t="shared" ref="X5:X64" si="1">IF($B5="","",SUM($J5:$W5))</f>
        <v>440064.71</v>
      </c>
      <c r="Y5" s="11">
        <f t="shared" ref="Y5:Y64" si="2">IF($B5="","",$F5-$X5)</f>
        <v>-440064.71</v>
      </c>
      <c r="Z5" s="12" t="str">
        <f t="shared" ref="Z5:Z65" si="3">IFERROR($Y5/$F5,"")</f>
        <v/>
      </c>
      <c r="AA5" s="11">
        <f t="shared" ref="AA5:AA64" si="4">IF(OR($B5="",$E5=""),"",$E5-$X5)</f>
        <v>7003030.46</v>
      </c>
      <c r="AB5" s="12">
        <f t="shared" ref="AB5:AB65" si="5">IFERROR($G5/$E5,"")</f>
        <v>0</v>
      </c>
      <c r="AC5" s="28" t="str">
        <f>IF(基础资料!$O4="","",基础资料!$O4)</f>
        <v>在建</v>
      </c>
    </row>
    <row r="6" ht="48" spans="1:29">
      <c r="A6" s="28" t="str">
        <f>IF(基础资料!$I5="","",基础资料!$I5)</f>
        <v>P002</v>
      </c>
      <c r="B6" s="28" t="str">
        <f>IF(基础资料!$J5="","",基础资料!$J5)</f>
        <v>昌吉市中小学数字化校园建设工程（昌吉市第十八小学教学仪器设备采购项目）</v>
      </c>
      <c r="C6" s="28" t="str">
        <f>IF(基础资料!$K5="","",基础资料!$K5)</f>
        <v>双思威</v>
      </c>
      <c r="D6" s="28" t="str">
        <f>IF(基础资料!$L5="","",基础资料!$L5)</f>
        <v>昌吉代建局</v>
      </c>
      <c r="E6" s="25">
        <f>IF(基础资料!$M5="","",基础资料!$M5)</f>
        <v>7790000</v>
      </c>
      <c r="F6" s="11">
        <f>IF($B6="","",IF(基础资料!$AH$4="不含税金额",SUMIFS(开票登记!$J$5:$J$504,开票登记!$G$5:$G$504,$B6),SUMIFS(开票登记!$M$5:$M$504,开票登记!$G$5:$G$504,$B6)))</f>
        <v>0</v>
      </c>
      <c r="G6" s="11">
        <f>IF($B6="","",SUMIFS(资金流水!$K$5:$K$3032,资金流水!$F$5:$F$3032,$B6))</f>
        <v>0</v>
      </c>
      <c r="H6" s="11">
        <f t="shared" si="0"/>
        <v>7790000</v>
      </c>
      <c r="I6" s="11">
        <f>IF($B6="","",SUMIFS(开票登记!$M$5:$M$504,开票登记!$G$5:$G$504,$B6)-$G6)</f>
        <v>0</v>
      </c>
      <c r="J6" s="11">
        <f>IF(OR($B6="",J$4=""),"",SUMIFS(资金流水!$L$5:$L$3032,资金流水!$F$5:$F$3032,$B6,资金流水!$H$5:$H$3032,J$4))</f>
        <v>0</v>
      </c>
      <c r="K6" s="11">
        <f>IF(OR($B6="",K$4=""),"",SUMIFS(资金流水!$L$5:$L$3032,资金流水!$F$5:$F$3032,$B6,资金流水!$H$5:$H$3032,K$4))</f>
        <v>0</v>
      </c>
      <c r="L6" s="11">
        <f>IF(OR($B6="",L$4=""),"",SUMIFS(资金流水!$L$5:$L$3032,资金流水!$F$5:$F$3032,$B6,资金流水!$H$5:$H$3032,L$4))</f>
        <v>0</v>
      </c>
      <c r="M6" s="11">
        <f>IF(OR($B6="",M$4=""),"",SUMIFS(资金流水!$L$5:$L$3032,资金流水!$F$5:$F$3032,$B6,资金流水!$H$5:$H$3032,M$4))</f>
        <v>0</v>
      </c>
      <c r="N6" s="11">
        <f>IF(OR($B6="",N$4=""),"",SUMIFS(资金流水!$L$5:$L$3032,资金流水!$F$5:$F$3032,$B6,资金流水!$H$5:$H$3032,N$4))</f>
        <v>0</v>
      </c>
      <c r="O6" s="11">
        <f>IF(OR($B6="",O$4=""),"",SUMIFS(资金流水!$L$5:$L$3032,资金流水!$F$5:$F$3032,$B6,资金流水!$H$5:$H$3032,O$4))</f>
        <v>0</v>
      </c>
      <c r="P6" s="11">
        <f>IF(OR($B6="",P$4=""),"",SUMIFS(资金流水!$L$5:$L$3032,资金流水!$F$5:$F$3032,$B6,资金流水!$H$5:$H$3032,P$4))</f>
        <v>0</v>
      </c>
      <c r="Q6" s="11">
        <f>IF(OR($B6="",Q$4=""),"",SUMIFS(资金流水!$L$5:$L$3032,资金流水!$F$5:$F$3032,$B6,资金流水!$H$5:$H$3032,Q$4))</f>
        <v>0</v>
      </c>
      <c r="R6" s="11">
        <f>IF(OR($B6="",R$4=""),"",SUMIFS(资金流水!$L$5:$L$3032,资金流水!$F$5:$F$3032,$B6,资金流水!$H$5:$H$3032,R$4))</f>
        <v>0</v>
      </c>
      <c r="S6" s="11" t="str">
        <f>IF(OR($B6="",S$4=""),"",SUMIFS(资金流水!$L$5:$L$3032,资金流水!$F$5:$F$3032,$B6,资金流水!$H$5:$H$3032,S$4))</f>
        <v/>
      </c>
      <c r="T6" s="11" t="str">
        <f>IF(OR($B6="",T$4=""),"",SUMIFS(资金流水!$L$5:$L$3032,资金流水!$F$5:$F$3032,$B6,资金流水!$H$5:$H$3032,T$4))</f>
        <v/>
      </c>
      <c r="U6" s="11" t="str">
        <f>IF(OR($B6="",U$4=""),"",SUMIFS(资金流水!$L$5:$L$3032,资金流水!$F$5:$F$3032,$B6,资金流水!$H$5:$H$3032,U$4))</f>
        <v/>
      </c>
      <c r="V6" s="11" t="str">
        <f>IF(OR($B6="",V$4=""),"",SUMIFS(资金流水!$L$5:$L$3032,资金流水!$F$5:$F$3032,$B6,资金流水!$H$5:$H$3032,V$4))</f>
        <v/>
      </c>
      <c r="W6" s="11" t="str">
        <f>IF(OR($B6="",W$4=""),"",SUMIFS(资金流水!$L$5:$L$3032,资金流水!$F$5:$F$3032,$B6,资金流水!$H$5:$H$3032,W$4))</f>
        <v/>
      </c>
      <c r="X6" s="11">
        <f t="shared" si="1"/>
        <v>0</v>
      </c>
      <c r="Y6" s="11">
        <f t="shared" si="2"/>
        <v>0</v>
      </c>
      <c r="Z6" s="12" t="str">
        <f t="shared" si="3"/>
        <v/>
      </c>
      <c r="AA6" s="11">
        <f t="shared" si="4"/>
        <v>7790000</v>
      </c>
      <c r="AB6" s="12">
        <f t="shared" si="5"/>
        <v>0</v>
      </c>
      <c r="AC6" s="28" t="str">
        <f>IF(基础资料!$O5="","",基础资料!$O5)</f>
        <v>在建</v>
      </c>
    </row>
    <row r="7" spans="1:29">
      <c r="A7" s="28" t="str">
        <f>IF(基础资料!$I6="","",基础资料!$I6)</f>
        <v>P003</v>
      </c>
      <c r="B7" s="28" t="str">
        <f>IF(基础资料!$J6="","",基础资料!$J6)</f>
        <v/>
      </c>
      <c r="C7" s="28" t="str">
        <f>IF(基础资料!$K6="","",基础资料!$K6)</f>
        <v>双思威</v>
      </c>
      <c r="D7" s="28" t="str">
        <f>IF(基础资料!$L6="","",基础资料!$L6)</f>
        <v/>
      </c>
      <c r="E7" s="25" t="str">
        <f>IF(基础资料!$M6="","",基础资料!$M6)</f>
        <v/>
      </c>
      <c r="F7" s="11" t="str">
        <f>IF($B7="","",IF(基础资料!$AH$4="不含税金额",SUMIFS(开票登记!$J$5:$J$504,开票登记!$G$5:$G$504,$B7),SUMIFS(开票登记!$M$5:$M$504,开票登记!$G$5:$G$504,$B7)))</f>
        <v/>
      </c>
      <c r="G7" s="11" t="str">
        <f>IF($B7="","",SUMIFS(资金流水!$K$5:$K$3032,资金流水!$F$5:$F$3032,$B7))</f>
        <v/>
      </c>
      <c r="H7" s="11" t="str">
        <f t="shared" si="0"/>
        <v/>
      </c>
      <c r="I7" s="11" t="str">
        <f>IF($B7="","",SUMIFS(开票登记!$M$5:$M$504,开票登记!$G$5:$G$504,$B7)-$G7)</f>
        <v/>
      </c>
      <c r="J7" s="11" t="str">
        <f>IF(OR($B7="",J$4=""),"",SUMIFS(资金流水!$L$5:$L$3032,资金流水!$F$5:$F$3032,$B7,资金流水!$H$5:$H$3032,J$4))</f>
        <v/>
      </c>
      <c r="K7" s="11" t="str">
        <f>IF(OR($B7="",K$4=""),"",SUMIFS(资金流水!$L$5:$L$3032,资金流水!$F$5:$F$3032,$B7,资金流水!$H$5:$H$3032,K$4))</f>
        <v/>
      </c>
      <c r="L7" s="11" t="str">
        <f>IF(OR($B7="",L$4=""),"",SUMIFS(资金流水!$L$5:$L$3032,资金流水!$F$5:$F$3032,$B7,资金流水!$H$5:$H$3032,L$4))</f>
        <v/>
      </c>
      <c r="M7" s="11" t="str">
        <f>IF(OR($B7="",M$4=""),"",SUMIFS(资金流水!$L$5:$L$3032,资金流水!$F$5:$F$3032,$B7,资金流水!$H$5:$H$3032,M$4))</f>
        <v/>
      </c>
      <c r="N7" s="11" t="str">
        <f>IF(OR($B7="",N$4=""),"",SUMIFS(资金流水!$L$5:$L$3032,资金流水!$F$5:$F$3032,$B7,资金流水!$H$5:$H$3032,N$4))</f>
        <v/>
      </c>
      <c r="O7" s="11" t="str">
        <f>IF(OR($B7="",O$4=""),"",SUMIFS(资金流水!$L$5:$L$3032,资金流水!$F$5:$F$3032,$B7,资金流水!$H$5:$H$3032,O$4))</f>
        <v/>
      </c>
      <c r="P7" s="11" t="str">
        <f>IF(OR($B7="",P$4=""),"",SUMIFS(资金流水!$L$5:$L$3032,资金流水!$F$5:$F$3032,$B7,资金流水!$H$5:$H$3032,P$4))</f>
        <v/>
      </c>
      <c r="Q7" s="11" t="str">
        <f>IF(OR($B7="",Q$4=""),"",SUMIFS(资金流水!$L$5:$L$3032,资金流水!$F$5:$F$3032,$B7,资金流水!$H$5:$H$3032,Q$4))</f>
        <v/>
      </c>
      <c r="R7" s="11" t="str">
        <f>IF(OR($B7="",R$4=""),"",SUMIFS(资金流水!$L$5:$L$3032,资金流水!$F$5:$F$3032,$B7,资金流水!$H$5:$H$3032,R$4))</f>
        <v/>
      </c>
      <c r="S7" s="11" t="str">
        <f>IF(OR($B7="",S$4=""),"",SUMIFS(资金流水!$L$5:$L$3032,资金流水!$F$5:$F$3032,$B7,资金流水!$H$5:$H$3032,S$4))</f>
        <v/>
      </c>
      <c r="T7" s="11" t="str">
        <f>IF(OR($B7="",T$4=""),"",SUMIFS(资金流水!$L$5:$L$3032,资金流水!$F$5:$F$3032,$B7,资金流水!$H$5:$H$3032,T$4))</f>
        <v/>
      </c>
      <c r="U7" s="11" t="str">
        <f>IF(OR($B7="",U$4=""),"",SUMIFS(资金流水!$L$5:$L$3032,资金流水!$F$5:$F$3032,$B7,资金流水!$H$5:$H$3032,U$4))</f>
        <v/>
      </c>
      <c r="V7" s="11" t="str">
        <f>IF(OR($B7="",V$4=""),"",SUMIFS(资金流水!$L$5:$L$3032,资金流水!$F$5:$F$3032,$B7,资金流水!$H$5:$H$3032,V$4))</f>
        <v/>
      </c>
      <c r="W7" s="11" t="str">
        <f>IF(OR($B7="",W$4=""),"",SUMIFS(资金流水!$L$5:$L$3032,资金流水!$F$5:$F$3032,$B7,资金流水!$H$5:$H$3032,W$4))</f>
        <v/>
      </c>
      <c r="X7" s="11" t="str">
        <f t="shared" si="1"/>
        <v/>
      </c>
      <c r="Y7" s="11" t="str">
        <f t="shared" si="2"/>
        <v/>
      </c>
      <c r="Z7" s="12" t="str">
        <f t="shared" si="3"/>
        <v/>
      </c>
      <c r="AA7" s="11" t="str">
        <f t="shared" si="4"/>
        <v/>
      </c>
      <c r="AB7" s="12" t="str">
        <f t="shared" si="5"/>
        <v/>
      </c>
      <c r="AC7" s="28" t="str">
        <f>IF(基础资料!$O6="","",基础资料!$O6)</f>
        <v>已完工待收款</v>
      </c>
    </row>
    <row r="8" ht="36" spans="1:29">
      <c r="A8" s="28" t="str">
        <f>IF(基础资料!$I7="","",基础资料!$I7)</f>
        <v/>
      </c>
      <c r="B8" s="28" t="str">
        <f>IF(基础资料!$J7="","",基础资料!$J7)</f>
        <v>李广新昌吉市第十六小学教学仪器设备采购</v>
      </c>
      <c r="C8" s="28" t="str">
        <f>IF(基础资料!$K7="","",基础资料!$K7)</f>
        <v>双思威</v>
      </c>
      <c r="D8" s="28" t="str">
        <f>IF(基础资料!$L7="","",基础资料!$L7)</f>
        <v>新疆新广立科技有限公司</v>
      </c>
      <c r="E8" s="25">
        <f>IF(基础资料!$M7="","",基础资料!$M7)</f>
        <v>6210476.08</v>
      </c>
      <c r="F8" s="11">
        <f>IF($B8="","",IF(基础资料!$AH$4="不含税金额",SUMIFS(开票登记!$J$5:$J$504,开票登记!$G$5:$G$504,$B8),SUMIFS(开票登记!$M$5:$M$504,开票登记!$G$5:$G$504,$B8)))</f>
        <v>0</v>
      </c>
      <c r="G8" s="11">
        <f>IF($B8="","",SUMIFS(资金流水!$K$5:$K$3032,资金流水!$F$5:$F$3032,$B8))</f>
        <v>0</v>
      </c>
      <c r="H8" s="11">
        <f t="shared" si="0"/>
        <v>6210476.08</v>
      </c>
      <c r="I8" s="11">
        <f>IF($B8="","",SUMIFS(开票登记!$M$5:$M$504,开票登记!$G$5:$G$504,$B8)-$G8)</f>
        <v>0</v>
      </c>
      <c r="J8" s="11">
        <f>IF(OR($B8="",J$4=""),"",SUMIFS(资金流水!$L$5:$L$3032,资金流水!$F$5:$F$3032,$B8,资金流水!$H$5:$H$3032,J$4))</f>
        <v>147063.5</v>
      </c>
      <c r="K8" s="11">
        <f>IF(OR($B8="",K$4=""),"",SUMIFS(资金流水!$L$5:$L$3032,资金流水!$F$5:$F$3032,$B8,资金流水!$H$5:$H$3032,K$4))</f>
        <v>73839</v>
      </c>
      <c r="L8" s="11">
        <f>IF(OR($B8="",L$4=""),"",SUMIFS(资金流水!$L$5:$L$3032,资金流水!$F$5:$F$3032,$B8,资金流水!$H$5:$H$3032,L$4))</f>
        <v>0</v>
      </c>
      <c r="M8" s="11">
        <f>IF(OR($B8="",M$4=""),"",SUMIFS(资金流水!$L$5:$L$3032,资金流水!$F$5:$F$3032,$B8,资金流水!$H$5:$H$3032,M$4))</f>
        <v>0</v>
      </c>
      <c r="N8" s="11">
        <f>IF(OR($B8="",N$4=""),"",SUMIFS(资金流水!$L$5:$L$3032,资金流水!$F$5:$F$3032,$B8,资金流水!$H$5:$H$3032,N$4))</f>
        <v>0</v>
      </c>
      <c r="O8" s="11">
        <f>IF(OR($B8="",O$4=""),"",SUMIFS(资金流水!$L$5:$L$3032,资金流水!$F$5:$F$3032,$B8,资金流水!$H$5:$H$3032,O$4))</f>
        <v>0</v>
      </c>
      <c r="P8" s="11">
        <f>IF(OR($B8="",P$4=""),"",SUMIFS(资金流水!$L$5:$L$3032,资金流水!$F$5:$F$3032,$B8,资金流水!$H$5:$H$3032,P$4))</f>
        <v>0</v>
      </c>
      <c r="Q8" s="11">
        <f>IF(OR($B8="",Q$4=""),"",SUMIFS(资金流水!$L$5:$L$3032,资金流水!$F$5:$F$3032,$B8,资金流水!$H$5:$H$3032,Q$4))</f>
        <v>0</v>
      </c>
      <c r="R8" s="11">
        <f>IF(OR($B8="",R$4=""),"",SUMIFS(资金流水!$L$5:$L$3032,资金流水!$F$5:$F$3032,$B8,资金流水!$H$5:$H$3032,R$4))</f>
        <v>0</v>
      </c>
      <c r="S8" s="11" t="str">
        <f>IF(OR($B8="",S$4=""),"",SUMIFS(资金流水!$L$5:$L$3032,资金流水!$F$5:$F$3032,$B8,资金流水!$H$5:$H$3032,S$4))</f>
        <v/>
      </c>
      <c r="T8" s="11" t="str">
        <f>IF(OR($B8="",T$4=""),"",SUMIFS(资金流水!$L$5:$L$3032,资金流水!$F$5:$F$3032,$B8,资金流水!$H$5:$H$3032,T$4))</f>
        <v/>
      </c>
      <c r="U8" s="11" t="str">
        <f>IF(OR($B8="",U$4=""),"",SUMIFS(资金流水!$L$5:$L$3032,资金流水!$F$5:$F$3032,$B8,资金流水!$H$5:$H$3032,U$4))</f>
        <v/>
      </c>
      <c r="V8" s="11" t="str">
        <f>IF(OR($B8="",V$4=""),"",SUMIFS(资金流水!$L$5:$L$3032,资金流水!$F$5:$F$3032,$B8,资金流水!$H$5:$H$3032,V$4))</f>
        <v/>
      </c>
      <c r="W8" s="11" t="str">
        <f>IF(OR($B8="",W$4=""),"",SUMIFS(资金流水!$L$5:$L$3032,资金流水!$F$5:$F$3032,$B8,资金流水!$H$5:$H$3032,W$4))</f>
        <v/>
      </c>
      <c r="X8" s="11">
        <f t="shared" si="1"/>
        <v>220902.5</v>
      </c>
      <c r="Y8" s="11">
        <f t="shared" si="2"/>
        <v>-220902.5</v>
      </c>
      <c r="Z8" s="12" t="str">
        <f t="shared" si="3"/>
        <v/>
      </c>
      <c r="AA8" s="11">
        <f t="shared" si="4"/>
        <v>5989573.58</v>
      </c>
      <c r="AB8" s="12">
        <f t="shared" si="5"/>
        <v>0</v>
      </c>
      <c r="AC8" s="28" t="str">
        <f>IF(基础资料!$O7="","",基础资料!$O7)</f>
        <v>已完工待收款</v>
      </c>
    </row>
    <row r="9" ht="36" spans="1:29">
      <c r="A9" s="28" t="str">
        <f>IF(基础资料!$I8="","",基础资料!$I8)</f>
        <v/>
      </c>
      <c r="B9" s="28" t="str">
        <f>IF(基础资料!$J8="","",基础资料!$J8)</f>
        <v>昌吉市第十八小学教学设备采购及安装设备购置项目（二次）</v>
      </c>
      <c r="C9" s="28" t="str">
        <f>IF(基础资料!$K8="","",基础资料!$K8)</f>
        <v>双思威</v>
      </c>
      <c r="D9" s="28" t="str">
        <f>IF(基础资料!$L8="","",基础资料!$L8)</f>
        <v>昌吉市教育局</v>
      </c>
      <c r="E9" s="25">
        <f>IF(基础资料!$M8="","",基础资料!$M8)</f>
        <v>3733820</v>
      </c>
      <c r="F9" s="11">
        <f>IF($B9="","",IF(基础资料!$AH$4="不含税金额",SUMIFS(开票登记!$J$5:$J$504,开票登记!$G$5:$G$504,$B9),SUMIFS(开票登记!$M$5:$M$504,开票登记!$G$5:$G$504,$B9)))</f>
        <v>0</v>
      </c>
      <c r="G9" s="11">
        <f>IF($B9="","",SUMIFS(资金流水!$K$5:$K$3032,资金流水!$F$5:$F$3032,$B9))</f>
        <v>0</v>
      </c>
      <c r="H9" s="11">
        <f t="shared" si="0"/>
        <v>3733820</v>
      </c>
      <c r="I9" s="11">
        <f>IF($B9="","",SUMIFS(开票登记!$M$5:$M$504,开票登记!$G$5:$G$504,$B9)-$G9)</f>
        <v>0</v>
      </c>
      <c r="J9" s="11">
        <f>IF(OR($B9="",J$4=""),"",SUMIFS(资金流水!$L$5:$L$3032,资金流水!$F$5:$F$3032,$B9,资金流水!$H$5:$H$3032,J$4))</f>
        <v>0</v>
      </c>
      <c r="K9" s="11">
        <f>IF(OR($B9="",K$4=""),"",SUMIFS(资金流水!$L$5:$L$3032,资金流水!$F$5:$F$3032,$B9,资金流水!$H$5:$H$3032,K$4))</f>
        <v>0</v>
      </c>
      <c r="L9" s="11">
        <f>IF(OR($B9="",L$4=""),"",SUMIFS(资金流水!$L$5:$L$3032,资金流水!$F$5:$F$3032,$B9,资金流水!$H$5:$H$3032,L$4))</f>
        <v>0</v>
      </c>
      <c r="M9" s="11">
        <f>IF(OR($B9="",M$4=""),"",SUMIFS(资金流水!$L$5:$L$3032,资金流水!$F$5:$F$3032,$B9,资金流水!$H$5:$H$3032,M$4))</f>
        <v>0</v>
      </c>
      <c r="N9" s="11">
        <f>IF(OR($B9="",N$4=""),"",SUMIFS(资金流水!$L$5:$L$3032,资金流水!$F$5:$F$3032,$B9,资金流水!$H$5:$H$3032,N$4))</f>
        <v>0</v>
      </c>
      <c r="O9" s="11">
        <f>IF(OR($B9="",O$4=""),"",SUMIFS(资金流水!$L$5:$L$3032,资金流水!$F$5:$F$3032,$B9,资金流水!$H$5:$H$3032,O$4))</f>
        <v>0</v>
      </c>
      <c r="P9" s="11">
        <f>IF(OR($B9="",P$4=""),"",SUMIFS(资金流水!$L$5:$L$3032,资金流水!$F$5:$F$3032,$B9,资金流水!$H$5:$H$3032,P$4))</f>
        <v>0</v>
      </c>
      <c r="Q9" s="11">
        <f>IF(OR($B9="",Q$4=""),"",SUMIFS(资金流水!$L$5:$L$3032,资金流水!$F$5:$F$3032,$B9,资金流水!$H$5:$H$3032,Q$4))</f>
        <v>0</v>
      </c>
      <c r="R9" s="11">
        <f>IF(OR($B9="",R$4=""),"",SUMIFS(资金流水!$L$5:$L$3032,资金流水!$F$5:$F$3032,$B9,资金流水!$H$5:$H$3032,R$4))</f>
        <v>0</v>
      </c>
      <c r="S9" s="11" t="str">
        <f>IF(OR($B9="",S$4=""),"",SUMIFS(资金流水!$L$5:$L$3032,资金流水!$F$5:$F$3032,$B9,资金流水!$H$5:$H$3032,S$4))</f>
        <v/>
      </c>
      <c r="T9" s="11" t="str">
        <f>IF(OR($B9="",T$4=""),"",SUMIFS(资金流水!$L$5:$L$3032,资金流水!$F$5:$F$3032,$B9,资金流水!$H$5:$H$3032,T$4))</f>
        <v/>
      </c>
      <c r="U9" s="11" t="str">
        <f>IF(OR($B9="",U$4=""),"",SUMIFS(资金流水!$L$5:$L$3032,资金流水!$F$5:$F$3032,$B9,资金流水!$H$5:$H$3032,U$4))</f>
        <v/>
      </c>
      <c r="V9" s="11" t="str">
        <f>IF(OR($B9="",V$4=""),"",SUMIFS(资金流水!$L$5:$L$3032,资金流水!$F$5:$F$3032,$B9,资金流水!$H$5:$H$3032,V$4))</f>
        <v/>
      </c>
      <c r="W9" s="11" t="str">
        <f>IF(OR($B9="",W$4=""),"",SUMIFS(资金流水!$L$5:$L$3032,资金流水!$F$5:$F$3032,$B9,资金流水!$H$5:$H$3032,W$4))</f>
        <v/>
      </c>
      <c r="X9" s="11">
        <f t="shared" si="1"/>
        <v>0</v>
      </c>
      <c r="Y9" s="11">
        <f t="shared" si="2"/>
        <v>0</v>
      </c>
      <c r="Z9" s="12" t="str">
        <f t="shared" si="3"/>
        <v/>
      </c>
      <c r="AA9" s="11">
        <f t="shared" si="4"/>
        <v>3733820</v>
      </c>
      <c r="AB9" s="12">
        <f t="shared" si="5"/>
        <v>0</v>
      </c>
      <c r="AC9" s="28" t="str">
        <f>IF(基础资料!$O8="","",基础资料!$O8)</f>
        <v>已完工待收款</v>
      </c>
    </row>
    <row r="10" ht="24" spans="1:29">
      <c r="A10" s="28" t="str">
        <f>IF(基础资料!$I9="","",基础资料!$I9)</f>
        <v/>
      </c>
      <c r="B10" s="28" t="str">
        <f>IF(基础资料!$J9="","",基础资料!$J9)</f>
        <v>新疆某单位教育教学设备（二标段）六中项目</v>
      </c>
      <c r="C10" s="28" t="str">
        <f>IF(基础资料!$K9="","",基础资料!$K9)</f>
        <v>双思威</v>
      </c>
      <c r="D10" s="28" t="str">
        <f>IF(基础资料!$L9="","",基础资料!$L9)</f>
        <v>中移系统集成有限公司</v>
      </c>
      <c r="E10" s="25">
        <f>IF(基础资料!$M9="","",基础资料!$M9)</f>
        <v>6515900.87</v>
      </c>
      <c r="F10" s="11">
        <f>IF($B10="","",IF(基础资料!$AH$4="不含税金额",SUMIFS(开票登记!$J$5:$J$504,开票登记!$G$5:$G$504,$B10),SUMIFS(开票登记!$M$5:$M$504,开票登记!$G$5:$G$504,$B10)))</f>
        <v>0</v>
      </c>
      <c r="G10" s="11">
        <f>IF($B10="","",SUMIFS(资金流水!$K$5:$K$3032,资金流水!$F$5:$F$3032,$B10))</f>
        <v>0</v>
      </c>
      <c r="H10" s="11">
        <f t="shared" si="0"/>
        <v>6515900.87</v>
      </c>
      <c r="I10" s="11">
        <f>IF($B10="","",SUMIFS(开票登记!$M$5:$M$504,开票登记!$G$5:$G$504,$B10)-$G10)</f>
        <v>0</v>
      </c>
      <c r="J10" s="11">
        <f>IF(OR($B10="",J$4=""),"",SUMIFS(资金流水!$L$5:$L$3032,资金流水!$F$5:$F$3032,$B10,资金流水!$H$5:$H$3032,J$4))</f>
        <v>0</v>
      </c>
      <c r="K10" s="11">
        <f>IF(OR($B10="",K$4=""),"",SUMIFS(资金流水!$L$5:$L$3032,资金流水!$F$5:$F$3032,$B10,资金流水!$H$5:$H$3032,K$4))</f>
        <v>7000</v>
      </c>
      <c r="L10" s="11">
        <f>IF(OR($B10="",L$4=""),"",SUMIFS(资金流水!$L$5:$L$3032,资金流水!$F$5:$F$3032,$B10,资金流水!$H$5:$H$3032,L$4))</f>
        <v>0</v>
      </c>
      <c r="M10" s="11">
        <f>IF(OR($B10="",M$4=""),"",SUMIFS(资金流水!$L$5:$L$3032,资金流水!$F$5:$F$3032,$B10,资金流水!$H$5:$H$3032,M$4))</f>
        <v>0</v>
      </c>
      <c r="N10" s="11">
        <f>IF(OR($B10="",N$4=""),"",SUMIFS(资金流水!$L$5:$L$3032,资金流水!$F$5:$F$3032,$B10,资金流水!$H$5:$H$3032,N$4))</f>
        <v>0</v>
      </c>
      <c r="O10" s="11">
        <f>IF(OR($B10="",O$4=""),"",SUMIFS(资金流水!$L$5:$L$3032,资金流水!$F$5:$F$3032,$B10,资金流水!$H$5:$H$3032,O$4))</f>
        <v>0</v>
      </c>
      <c r="P10" s="11">
        <f>IF(OR($B10="",P$4=""),"",SUMIFS(资金流水!$L$5:$L$3032,资金流水!$F$5:$F$3032,$B10,资金流水!$H$5:$H$3032,P$4))</f>
        <v>0</v>
      </c>
      <c r="Q10" s="11">
        <f>IF(OR($B10="",Q$4=""),"",SUMIFS(资金流水!$L$5:$L$3032,资金流水!$F$5:$F$3032,$B10,资金流水!$H$5:$H$3032,Q$4))</f>
        <v>0</v>
      </c>
      <c r="R10" s="11">
        <f>IF(OR($B10="",R$4=""),"",SUMIFS(资金流水!$L$5:$L$3032,资金流水!$F$5:$F$3032,$B10,资金流水!$H$5:$H$3032,R$4))</f>
        <v>0</v>
      </c>
      <c r="S10" s="11" t="str">
        <f>IF(OR($B10="",S$4=""),"",SUMIFS(资金流水!$L$5:$L$3032,资金流水!$F$5:$F$3032,$B10,资金流水!$H$5:$H$3032,S$4))</f>
        <v/>
      </c>
      <c r="T10" s="11" t="str">
        <f>IF(OR($B10="",T$4=""),"",SUMIFS(资金流水!$L$5:$L$3032,资金流水!$F$5:$F$3032,$B10,资金流水!$H$5:$H$3032,T$4))</f>
        <v/>
      </c>
      <c r="U10" s="11" t="str">
        <f>IF(OR($B10="",U$4=""),"",SUMIFS(资金流水!$L$5:$L$3032,资金流水!$F$5:$F$3032,$B10,资金流水!$H$5:$H$3032,U$4))</f>
        <v/>
      </c>
      <c r="V10" s="11" t="str">
        <f>IF(OR($B10="",V$4=""),"",SUMIFS(资金流水!$L$5:$L$3032,资金流水!$F$5:$F$3032,$B10,资金流水!$H$5:$H$3032,V$4))</f>
        <v/>
      </c>
      <c r="W10" s="11" t="str">
        <f>IF(OR($B10="",W$4=""),"",SUMIFS(资金流水!$L$5:$L$3032,资金流水!$F$5:$F$3032,$B10,资金流水!$H$5:$H$3032,W$4))</f>
        <v/>
      </c>
      <c r="X10" s="11">
        <f t="shared" si="1"/>
        <v>7000</v>
      </c>
      <c r="Y10" s="11">
        <f t="shared" si="2"/>
        <v>-7000</v>
      </c>
      <c r="Z10" s="12" t="str">
        <f t="shared" si="3"/>
        <v/>
      </c>
      <c r="AA10" s="11">
        <f t="shared" si="4"/>
        <v>6508900.87</v>
      </c>
      <c r="AB10" s="12">
        <f t="shared" si="5"/>
        <v>0</v>
      </c>
      <c r="AC10" s="28" t="str">
        <f>IF(基础资料!$O9="","",基础资料!$O9)</f>
        <v>已完工待收款</v>
      </c>
    </row>
    <row r="11" ht="60" spans="1:29">
      <c r="A11" s="28" t="str">
        <f>IF(基础资料!$I10="","",基础资料!$I10)</f>
        <v/>
      </c>
      <c r="B11" s="28" t="str">
        <f>IF(基础资料!$J10="","",基础资料!$J10)</f>
        <v>第二师铁门关市武安街消防站改造项目</v>
      </c>
      <c r="C11" s="28" t="str">
        <f>IF(基础资料!$K10="","",基础资料!$K10)</f>
        <v>双思威</v>
      </c>
      <c r="D11" s="28" t="str">
        <f>IF(基础资料!$L10="","",基础资料!$L10)</f>
        <v>中国电信股份有限公司巴音郭楞蒙古自治州分公司</v>
      </c>
      <c r="E11" s="25">
        <f>IF(基础资料!$M10="","",基础资料!$M10)</f>
        <v>737890</v>
      </c>
      <c r="F11" s="11">
        <f>IF($B11="","",IF(基础资料!$AH$4="不含税金额",SUMIFS(开票登记!$J$5:$J$504,开票登记!$G$5:$G$504,$B11),SUMIFS(开票登记!$M$5:$M$504,开票登记!$G$5:$G$504,$B11)))</f>
        <v>286729.92</v>
      </c>
      <c r="G11" s="11">
        <f>IF($B11="","",SUMIFS(资金流水!$K$5:$K$3032,资金流水!$F$5:$F$3032,$B11))</f>
        <v>286729.93</v>
      </c>
      <c r="H11" s="11">
        <f t="shared" si="0"/>
        <v>451160.07</v>
      </c>
      <c r="I11" s="11">
        <f>IF($B11="","",SUMIFS(开票登记!$M$5:$M$504,开票登记!$G$5:$G$504,$B11)-$G11)</f>
        <v>-0.0100000000093132</v>
      </c>
      <c r="J11" s="11">
        <f>IF(OR($B11="",J$4=""),"",SUMIFS(资金流水!$L$5:$L$3032,资金流水!$F$5:$F$3032,$B11,资金流水!$H$5:$H$3032,J$4))</f>
        <v>0</v>
      </c>
      <c r="K11" s="11">
        <f>IF(OR($B11="",K$4=""),"",SUMIFS(资金流水!$L$5:$L$3032,资金流水!$F$5:$F$3032,$B11,资金流水!$H$5:$H$3032,K$4))</f>
        <v>0</v>
      </c>
      <c r="L11" s="11">
        <f>IF(OR($B11="",L$4=""),"",SUMIFS(资金流水!$L$5:$L$3032,资金流水!$F$5:$F$3032,$B11,资金流水!$H$5:$H$3032,L$4))</f>
        <v>0</v>
      </c>
      <c r="M11" s="11">
        <f>IF(OR($B11="",M$4=""),"",SUMIFS(资金流水!$L$5:$L$3032,资金流水!$F$5:$F$3032,$B11,资金流水!$H$5:$H$3032,M$4))</f>
        <v>0</v>
      </c>
      <c r="N11" s="11">
        <f>IF(OR($B11="",N$4=""),"",SUMIFS(资金流水!$L$5:$L$3032,资金流水!$F$5:$F$3032,$B11,资金流水!$H$5:$H$3032,N$4))</f>
        <v>0</v>
      </c>
      <c r="O11" s="11">
        <f>IF(OR($B11="",O$4=""),"",SUMIFS(资金流水!$L$5:$L$3032,资金流水!$F$5:$F$3032,$B11,资金流水!$H$5:$H$3032,O$4))</f>
        <v>0</v>
      </c>
      <c r="P11" s="11">
        <f>IF(OR($B11="",P$4=""),"",SUMIFS(资金流水!$L$5:$L$3032,资金流水!$F$5:$F$3032,$B11,资金流水!$H$5:$H$3032,P$4))</f>
        <v>0</v>
      </c>
      <c r="Q11" s="11">
        <f>IF(OR($B11="",Q$4=""),"",SUMIFS(资金流水!$L$5:$L$3032,资金流水!$F$5:$F$3032,$B11,资金流水!$H$5:$H$3032,Q$4))</f>
        <v>0</v>
      </c>
      <c r="R11" s="11">
        <f>IF(OR($B11="",R$4=""),"",SUMIFS(资金流水!$L$5:$L$3032,资金流水!$F$5:$F$3032,$B11,资金流水!$H$5:$H$3032,R$4))</f>
        <v>0</v>
      </c>
      <c r="S11" s="11" t="str">
        <f>IF(OR($B11="",S$4=""),"",SUMIFS(资金流水!$L$5:$L$3032,资金流水!$F$5:$F$3032,$B11,资金流水!$H$5:$H$3032,S$4))</f>
        <v/>
      </c>
      <c r="T11" s="11" t="str">
        <f>IF(OR($B11="",T$4=""),"",SUMIFS(资金流水!$L$5:$L$3032,资金流水!$F$5:$F$3032,$B11,资金流水!$H$5:$H$3032,T$4))</f>
        <v/>
      </c>
      <c r="U11" s="11" t="str">
        <f>IF(OR($B11="",U$4=""),"",SUMIFS(资金流水!$L$5:$L$3032,资金流水!$F$5:$F$3032,$B11,资金流水!$H$5:$H$3032,U$4))</f>
        <v/>
      </c>
      <c r="V11" s="11" t="str">
        <f>IF(OR($B11="",V$4=""),"",SUMIFS(资金流水!$L$5:$L$3032,资金流水!$F$5:$F$3032,$B11,资金流水!$H$5:$H$3032,V$4))</f>
        <v/>
      </c>
      <c r="W11" s="11" t="str">
        <f>IF(OR($B11="",W$4=""),"",SUMIFS(资金流水!$L$5:$L$3032,资金流水!$F$5:$F$3032,$B11,资金流水!$H$5:$H$3032,W$4))</f>
        <v/>
      </c>
      <c r="X11" s="11">
        <f t="shared" si="1"/>
        <v>0</v>
      </c>
      <c r="Y11" s="11">
        <f t="shared" si="2"/>
        <v>286729.92</v>
      </c>
      <c r="Z11" s="12">
        <f t="shared" si="3"/>
        <v>1</v>
      </c>
      <c r="AA11" s="11">
        <f t="shared" si="4"/>
        <v>737890</v>
      </c>
      <c r="AB11" s="12">
        <f t="shared" si="5"/>
        <v>0.388580858935614</v>
      </c>
      <c r="AC11" s="28" t="str">
        <f>IF(基础资料!$O10="","",基础资料!$O10)</f>
        <v>已完工待收款</v>
      </c>
    </row>
    <row r="12" ht="36" spans="1:29">
      <c r="A12" s="28" t="str">
        <f>IF(基础资料!$I11="","",基础资料!$I11)</f>
        <v/>
      </c>
      <c r="B12" s="28" t="str">
        <f>IF(基础资料!$J11="","",基础资料!$J11)</f>
        <v>昌吉市中等职业学校教学设备采购项目(二标段)</v>
      </c>
      <c r="C12" s="28" t="str">
        <f>IF(基础资料!$K11="","",基础资料!$K11)</f>
        <v>双思威</v>
      </c>
      <c r="D12" s="28" t="str">
        <f>IF(基础资料!$L11="","",基础资料!$L11)</f>
        <v>中移建设有限公司新疆分公司</v>
      </c>
      <c r="E12" s="25">
        <f>IF(基础资料!$M11="","",基础资料!$M11)</f>
        <v>2913561.43</v>
      </c>
      <c r="F12" s="11">
        <f>IF($B12="","",IF(基础资料!$AH$4="不含税金额",SUMIFS(开票登记!$J$5:$J$504,开票登记!$G$5:$G$504,$B12),SUMIFS(开票登记!$M$5:$M$504,开票登记!$G$5:$G$504,$B12)))</f>
        <v>0</v>
      </c>
      <c r="G12" s="11">
        <f>IF($B12="","",SUMIFS(资金流水!$K$5:$K$3032,资金流水!$F$5:$F$3032,$B12))</f>
        <v>582712.28</v>
      </c>
      <c r="H12" s="11">
        <f t="shared" si="0"/>
        <v>2330849.15</v>
      </c>
      <c r="I12" s="11">
        <f>IF($B12="","",SUMIFS(开票登记!$M$5:$M$504,开票登记!$G$5:$G$504,$B12)-$G12)</f>
        <v>-582712.28</v>
      </c>
      <c r="J12" s="11">
        <f>IF(OR($B12="",J$4=""),"",SUMIFS(资金流水!$L$5:$L$3032,资金流水!$F$5:$F$3032,$B12,资金流水!$H$5:$H$3032,J$4))</f>
        <v>0</v>
      </c>
      <c r="K12" s="11">
        <f>IF(OR($B12="",K$4=""),"",SUMIFS(资金流水!$L$5:$L$3032,资金流水!$F$5:$F$3032,$B12,资金流水!$H$5:$H$3032,K$4))</f>
        <v>0</v>
      </c>
      <c r="L12" s="11">
        <f>IF(OR($B12="",L$4=""),"",SUMIFS(资金流水!$L$5:$L$3032,资金流水!$F$5:$F$3032,$B12,资金流水!$H$5:$H$3032,L$4))</f>
        <v>0</v>
      </c>
      <c r="M12" s="11">
        <f>IF(OR($B12="",M$4=""),"",SUMIFS(资金流水!$L$5:$L$3032,资金流水!$F$5:$F$3032,$B12,资金流水!$H$5:$H$3032,M$4))</f>
        <v>0</v>
      </c>
      <c r="N12" s="11">
        <f>IF(OR($B12="",N$4=""),"",SUMIFS(资金流水!$L$5:$L$3032,资金流水!$F$5:$F$3032,$B12,资金流水!$H$5:$H$3032,N$4))</f>
        <v>0</v>
      </c>
      <c r="O12" s="11">
        <f>IF(OR($B12="",O$4=""),"",SUMIFS(资金流水!$L$5:$L$3032,资金流水!$F$5:$F$3032,$B12,资金流水!$H$5:$H$3032,O$4))</f>
        <v>0</v>
      </c>
      <c r="P12" s="11">
        <f>IF(OR($B12="",P$4=""),"",SUMIFS(资金流水!$L$5:$L$3032,资金流水!$F$5:$F$3032,$B12,资金流水!$H$5:$H$3032,P$4))</f>
        <v>0</v>
      </c>
      <c r="Q12" s="11">
        <f>IF(OR($B12="",Q$4=""),"",SUMIFS(资金流水!$L$5:$L$3032,资金流水!$F$5:$F$3032,$B12,资金流水!$H$5:$H$3032,Q$4))</f>
        <v>0</v>
      </c>
      <c r="R12" s="11">
        <f>IF(OR($B12="",R$4=""),"",SUMIFS(资金流水!$L$5:$L$3032,资金流水!$F$5:$F$3032,$B12,资金流水!$H$5:$H$3032,R$4))</f>
        <v>0</v>
      </c>
      <c r="S12" s="11" t="str">
        <f>IF(OR($B12="",S$4=""),"",SUMIFS(资金流水!$L$5:$L$3032,资金流水!$F$5:$F$3032,$B12,资金流水!$H$5:$H$3032,S$4))</f>
        <v/>
      </c>
      <c r="T12" s="11" t="str">
        <f>IF(OR($B12="",T$4=""),"",SUMIFS(资金流水!$L$5:$L$3032,资金流水!$F$5:$F$3032,$B12,资金流水!$H$5:$H$3032,T$4))</f>
        <v/>
      </c>
      <c r="U12" s="11" t="str">
        <f>IF(OR($B12="",U$4=""),"",SUMIFS(资金流水!$L$5:$L$3032,资金流水!$F$5:$F$3032,$B12,资金流水!$H$5:$H$3032,U$4))</f>
        <v/>
      </c>
      <c r="V12" s="11" t="str">
        <f>IF(OR($B12="",V$4=""),"",SUMIFS(资金流水!$L$5:$L$3032,资金流水!$F$5:$F$3032,$B12,资金流水!$H$5:$H$3032,V$4))</f>
        <v/>
      </c>
      <c r="W12" s="11" t="str">
        <f>IF(OR($B12="",W$4=""),"",SUMIFS(资金流水!$L$5:$L$3032,资金流水!$F$5:$F$3032,$B12,资金流水!$H$5:$H$3032,W$4))</f>
        <v/>
      </c>
      <c r="X12" s="11">
        <f t="shared" si="1"/>
        <v>0</v>
      </c>
      <c r="Y12" s="11">
        <f t="shared" si="2"/>
        <v>0</v>
      </c>
      <c r="Z12" s="12" t="str">
        <f t="shared" si="3"/>
        <v/>
      </c>
      <c r="AA12" s="11">
        <f t="shared" si="4"/>
        <v>2913561.43</v>
      </c>
      <c r="AB12" s="12">
        <f t="shared" si="5"/>
        <v>0.199999997940665</v>
      </c>
      <c r="AC12" s="28" t="str">
        <f>IF(基础资料!$O11="","",基础资料!$O11)</f>
        <v/>
      </c>
    </row>
    <row r="13" ht="48" spans="1:29">
      <c r="A13" s="28" t="str">
        <f>IF(基础资料!$I12="","",基础资料!$I12)</f>
        <v/>
      </c>
      <c r="B13" s="28" t="str">
        <f>IF(基础资料!$J12="","",基础资料!$J12)</f>
        <v>中电信数智科技有限公司昌吉分公司2025年某学校智慧教室建设项目</v>
      </c>
      <c r="C13" s="28" t="str">
        <f>IF(基础资料!$K12="","",基础资料!$K12)</f>
        <v>双思威</v>
      </c>
      <c r="D13" s="28" t="str">
        <f>IF(基础资料!$L12="","",基础资料!$L12)</f>
        <v>中电信数智科技有限公司昌吉分公司</v>
      </c>
      <c r="E13" s="25">
        <f>IF(基础资料!$M12="","",基础资料!$M12)</f>
        <v>295570</v>
      </c>
      <c r="F13" s="11">
        <f>IF($B13="","",IF(基础资料!$AH$4="不含税金额",SUMIFS(开票登记!$J$5:$J$504,开票登记!$G$5:$G$504,$B13),SUMIFS(开票登记!$M$5:$M$504,开票登记!$G$5:$G$504,$B13)))</f>
        <v>485572</v>
      </c>
      <c r="G13" s="11">
        <f>IF($B13="","",SUMIFS(资金流水!$K$5:$K$3032,资金流水!$F$5:$F$3032,$B13))</f>
        <v>485572</v>
      </c>
      <c r="H13" s="11">
        <f t="shared" si="0"/>
        <v>-190002</v>
      </c>
      <c r="I13" s="11">
        <f>IF($B13="","",SUMIFS(开票登记!$M$5:$M$504,开票登记!$G$5:$G$504,$B13)-$G13)</f>
        <v>0</v>
      </c>
      <c r="J13" s="11">
        <f>IF(OR($B13="",J$4=""),"",SUMIFS(资金流水!$L$5:$L$3032,资金流水!$F$5:$F$3032,$B13,资金流水!$H$5:$H$3032,J$4))</f>
        <v>0</v>
      </c>
      <c r="K13" s="11">
        <f>IF(OR($B13="",K$4=""),"",SUMIFS(资金流水!$L$5:$L$3032,资金流水!$F$5:$F$3032,$B13,资金流水!$H$5:$H$3032,K$4))</f>
        <v>0</v>
      </c>
      <c r="L13" s="11">
        <f>IF(OR($B13="",L$4=""),"",SUMIFS(资金流水!$L$5:$L$3032,资金流水!$F$5:$F$3032,$B13,资金流水!$H$5:$H$3032,L$4))</f>
        <v>0</v>
      </c>
      <c r="M13" s="11">
        <f>IF(OR($B13="",M$4=""),"",SUMIFS(资金流水!$L$5:$L$3032,资金流水!$F$5:$F$3032,$B13,资金流水!$H$5:$H$3032,M$4))</f>
        <v>0</v>
      </c>
      <c r="N13" s="11">
        <f>IF(OR($B13="",N$4=""),"",SUMIFS(资金流水!$L$5:$L$3032,资金流水!$F$5:$F$3032,$B13,资金流水!$H$5:$H$3032,N$4))</f>
        <v>0</v>
      </c>
      <c r="O13" s="11">
        <f>IF(OR($B13="",O$4=""),"",SUMIFS(资金流水!$L$5:$L$3032,资金流水!$F$5:$F$3032,$B13,资金流水!$H$5:$H$3032,O$4))</f>
        <v>0</v>
      </c>
      <c r="P13" s="11">
        <f>IF(OR($B13="",P$4=""),"",SUMIFS(资金流水!$L$5:$L$3032,资金流水!$F$5:$F$3032,$B13,资金流水!$H$5:$H$3032,P$4))</f>
        <v>0</v>
      </c>
      <c r="Q13" s="11">
        <f>IF(OR($B13="",Q$4=""),"",SUMIFS(资金流水!$L$5:$L$3032,资金流水!$F$5:$F$3032,$B13,资金流水!$H$5:$H$3032,Q$4))</f>
        <v>0</v>
      </c>
      <c r="R13" s="11">
        <f>IF(OR($B13="",R$4=""),"",SUMIFS(资金流水!$L$5:$L$3032,资金流水!$F$5:$F$3032,$B13,资金流水!$H$5:$H$3032,R$4))</f>
        <v>0</v>
      </c>
      <c r="S13" s="11" t="str">
        <f>IF(OR($B13="",S$4=""),"",SUMIFS(资金流水!$L$5:$L$3032,资金流水!$F$5:$F$3032,$B13,资金流水!$H$5:$H$3032,S$4))</f>
        <v/>
      </c>
      <c r="T13" s="11" t="str">
        <f>IF(OR($B13="",T$4=""),"",SUMIFS(资金流水!$L$5:$L$3032,资金流水!$F$5:$F$3032,$B13,资金流水!$H$5:$H$3032,T$4))</f>
        <v/>
      </c>
      <c r="U13" s="11" t="str">
        <f>IF(OR($B13="",U$4=""),"",SUMIFS(资金流水!$L$5:$L$3032,资金流水!$F$5:$F$3032,$B13,资金流水!$H$5:$H$3032,U$4))</f>
        <v/>
      </c>
      <c r="V13" s="11" t="str">
        <f>IF(OR($B13="",V$4=""),"",SUMIFS(资金流水!$L$5:$L$3032,资金流水!$F$5:$F$3032,$B13,资金流水!$H$5:$H$3032,V$4))</f>
        <v/>
      </c>
      <c r="W13" s="11" t="str">
        <f>IF(OR($B13="",W$4=""),"",SUMIFS(资金流水!$L$5:$L$3032,资金流水!$F$5:$F$3032,$B13,资金流水!$H$5:$H$3032,W$4))</f>
        <v/>
      </c>
      <c r="X13" s="11">
        <f t="shared" si="1"/>
        <v>0</v>
      </c>
      <c r="Y13" s="11">
        <f t="shared" si="2"/>
        <v>485572</v>
      </c>
      <c r="Z13" s="12">
        <f t="shared" si="3"/>
        <v>1</v>
      </c>
      <c r="AA13" s="11">
        <f t="shared" si="4"/>
        <v>295570</v>
      </c>
      <c r="AB13" s="12">
        <f t="shared" si="5"/>
        <v>1.64283249314883</v>
      </c>
      <c r="AC13" s="28" t="str">
        <f>IF(基础资料!$O12="","",基础资料!$O12)</f>
        <v/>
      </c>
    </row>
    <row r="14" ht="60" spans="1:29">
      <c r="A14" s="28" t="str">
        <f>IF(基础资料!$I13="","",基础资料!$I13)</f>
        <v/>
      </c>
      <c r="B14" s="28" t="str">
        <f>IF(基础资料!$J13="","",基础资料!$J13)</f>
        <v>中国电信巴州分公司2025年某部幼儿园视频监控系统服务采购</v>
      </c>
      <c r="C14" s="28" t="str">
        <f>IF(基础资料!$K13="","",基础资料!$K13)</f>
        <v>双思威</v>
      </c>
      <c r="D14" s="28" t="str">
        <f>IF(基础资料!$L13="","",基础资料!$L13)</f>
        <v>中国电信股份有限公司巴音郭楞蒙古自治州分公司</v>
      </c>
      <c r="E14" s="25">
        <f>IF(基础资料!$M13="","",基础资料!$M13)</f>
        <v>126140</v>
      </c>
      <c r="F14" s="11">
        <f>IF($B14="","",IF(基础资料!$AH$4="不含税金额",SUMIFS(开票登记!$J$5:$J$504,开票登记!$G$5:$G$504,$B14),SUMIFS(开票登记!$M$5:$M$504,开票登记!$G$5:$G$504,$B14)))</f>
        <v>108867</v>
      </c>
      <c r="G14" s="11">
        <f>IF($B14="","",SUMIFS(资金流水!$K$5:$K$3032,资金流水!$F$5:$F$3032,$B14))</f>
        <v>82000</v>
      </c>
      <c r="H14" s="11">
        <f t="shared" si="0"/>
        <v>44140</v>
      </c>
      <c r="I14" s="11">
        <f>IF($B14="","",SUMIFS(开票登记!$M$5:$M$504,开票登记!$G$5:$G$504,$B14)-$G14)</f>
        <v>26867</v>
      </c>
      <c r="J14" s="11">
        <f>IF(OR($B14="",J$4=""),"",SUMIFS(资金流水!$L$5:$L$3032,资金流水!$F$5:$F$3032,$B14,资金流水!$H$5:$H$3032,J$4))</f>
        <v>0</v>
      </c>
      <c r="K14" s="11">
        <f>IF(OR($B14="",K$4=""),"",SUMIFS(资金流水!$L$5:$L$3032,资金流水!$F$5:$F$3032,$B14,资金流水!$H$5:$H$3032,K$4))</f>
        <v>0</v>
      </c>
      <c r="L14" s="11">
        <f>IF(OR($B14="",L$4=""),"",SUMIFS(资金流水!$L$5:$L$3032,资金流水!$F$5:$F$3032,$B14,资金流水!$H$5:$H$3032,L$4))</f>
        <v>0</v>
      </c>
      <c r="M14" s="11">
        <f>IF(OR($B14="",M$4=""),"",SUMIFS(资金流水!$L$5:$L$3032,资金流水!$F$5:$F$3032,$B14,资金流水!$H$5:$H$3032,M$4))</f>
        <v>0</v>
      </c>
      <c r="N14" s="11">
        <f>IF(OR($B14="",N$4=""),"",SUMIFS(资金流水!$L$5:$L$3032,资金流水!$F$5:$F$3032,$B14,资金流水!$H$5:$H$3032,N$4))</f>
        <v>0</v>
      </c>
      <c r="O14" s="11">
        <f>IF(OR($B14="",O$4=""),"",SUMIFS(资金流水!$L$5:$L$3032,资金流水!$F$5:$F$3032,$B14,资金流水!$H$5:$H$3032,O$4))</f>
        <v>0</v>
      </c>
      <c r="P14" s="11">
        <f>IF(OR($B14="",P$4=""),"",SUMIFS(资金流水!$L$5:$L$3032,资金流水!$F$5:$F$3032,$B14,资金流水!$H$5:$H$3032,P$4))</f>
        <v>0</v>
      </c>
      <c r="Q14" s="11">
        <f>IF(OR($B14="",Q$4=""),"",SUMIFS(资金流水!$L$5:$L$3032,资金流水!$F$5:$F$3032,$B14,资金流水!$H$5:$H$3032,Q$4))</f>
        <v>0</v>
      </c>
      <c r="R14" s="11">
        <f>IF(OR($B14="",R$4=""),"",SUMIFS(资金流水!$L$5:$L$3032,资金流水!$F$5:$F$3032,$B14,资金流水!$H$5:$H$3032,R$4))</f>
        <v>0</v>
      </c>
      <c r="S14" s="11" t="str">
        <f>IF(OR($B14="",S$4=""),"",SUMIFS(资金流水!$L$5:$L$3032,资金流水!$F$5:$F$3032,$B14,资金流水!$H$5:$H$3032,S$4))</f>
        <v/>
      </c>
      <c r="T14" s="11" t="str">
        <f>IF(OR($B14="",T$4=""),"",SUMIFS(资金流水!$L$5:$L$3032,资金流水!$F$5:$F$3032,$B14,资金流水!$H$5:$H$3032,T$4))</f>
        <v/>
      </c>
      <c r="U14" s="11" t="str">
        <f>IF(OR($B14="",U$4=""),"",SUMIFS(资金流水!$L$5:$L$3032,资金流水!$F$5:$F$3032,$B14,资金流水!$H$5:$H$3032,U$4))</f>
        <v/>
      </c>
      <c r="V14" s="11" t="str">
        <f>IF(OR($B14="",V$4=""),"",SUMIFS(资金流水!$L$5:$L$3032,资金流水!$F$5:$F$3032,$B14,资金流水!$H$5:$H$3032,V$4))</f>
        <v/>
      </c>
      <c r="W14" s="11" t="str">
        <f>IF(OR($B14="",W$4=""),"",SUMIFS(资金流水!$L$5:$L$3032,资金流水!$F$5:$F$3032,$B14,资金流水!$H$5:$H$3032,W$4))</f>
        <v/>
      </c>
      <c r="X14" s="11">
        <f t="shared" si="1"/>
        <v>0</v>
      </c>
      <c r="Y14" s="11">
        <f t="shared" si="2"/>
        <v>108867</v>
      </c>
      <c r="Z14" s="12">
        <f t="shared" si="3"/>
        <v>1</v>
      </c>
      <c r="AA14" s="11">
        <f t="shared" si="4"/>
        <v>126140</v>
      </c>
      <c r="AB14" s="12">
        <f t="shared" si="5"/>
        <v>0.650071349294435</v>
      </c>
      <c r="AC14" s="28" t="str">
        <f>IF(基础资料!$O13="","",基础资料!$O13)</f>
        <v/>
      </c>
    </row>
    <row r="15" ht="36" spans="1:29">
      <c r="A15" s="28" t="str">
        <f>IF(基础资料!$I14="","",基础资料!$I14)</f>
        <v/>
      </c>
      <c r="B15" s="28" t="str">
        <f>IF(基础资料!$J14="","",基础资料!$J14)</f>
        <v>昌吉市中等职业学校教学设备采购项目（一标段）</v>
      </c>
      <c r="C15" s="28" t="str">
        <f>IF(基础资料!$K14="","",基础资料!$K14)</f>
        <v>双思威</v>
      </c>
      <c r="D15" s="28" t="str">
        <f>IF(基础资料!$L14="","",基础资料!$L14)</f>
        <v>北京竞业达数码科技股份有限公司</v>
      </c>
      <c r="E15" s="25">
        <f>IF(基础资料!$M14="","",基础资料!$M14)</f>
        <v>3903000</v>
      </c>
      <c r="F15" s="11">
        <f>IF($B15="","",IF(基础资料!$AH$4="不含税金额",SUMIFS(开票登记!$J$5:$J$504,开票登记!$G$5:$G$504,$B15),SUMIFS(开票登记!$M$5:$M$504,开票登记!$G$5:$G$504,$B15)))</f>
        <v>3122400</v>
      </c>
      <c r="G15" s="11">
        <f>IF($B15="","",SUMIFS(资金流水!$K$5:$K$3032,资金流水!$F$5:$F$3032,$B15))</f>
        <v>6244800</v>
      </c>
      <c r="H15" s="11">
        <f t="shared" si="0"/>
        <v>-2341800</v>
      </c>
      <c r="I15" s="11">
        <f>IF($B15="","",SUMIFS(开票登记!$M$5:$M$504,开票登记!$G$5:$G$504,$B15)-$G15)</f>
        <v>-3122400</v>
      </c>
      <c r="J15" s="11">
        <f>IF(OR($B15="",J$4=""),"",SUMIFS(资金流水!$L$5:$L$3032,资金流水!$F$5:$F$3032,$B15,资金流水!$H$5:$H$3032,J$4))</f>
        <v>0</v>
      </c>
      <c r="K15" s="11">
        <f>IF(OR($B15="",K$4=""),"",SUMIFS(资金流水!$L$5:$L$3032,资金流水!$F$5:$F$3032,$B15,资金流水!$H$5:$H$3032,K$4))</f>
        <v>0</v>
      </c>
      <c r="L15" s="11">
        <f>IF(OR($B15="",L$4=""),"",SUMIFS(资金流水!$L$5:$L$3032,资金流水!$F$5:$F$3032,$B15,资金流水!$H$5:$H$3032,L$4))</f>
        <v>0</v>
      </c>
      <c r="M15" s="11">
        <f>IF(OR($B15="",M$4=""),"",SUMIFS(资金流水!$L$5:$L$3032,资金流水!$F$5:$F$3032,$B15,资金流水!$H$5:$H$3032,M$4))</f>
        <v>300</v>
      </c>
      <c r="N15" s="11">
        <f>IF(OR($B15="",N$4=""),"",SUMIFS(资金流水!$L$5:$L$3032,资金流水!$F$5:$F$3032,$B15,资金流水!$H$5:$H$3032,N$4))</f>
        <v>0</v>
      </c>
      <c r="O15" s="11">
        <f>IF(OR($B15="",O$4=""),"",SUMIFS(资金流水!$L$5:$L$3032,资金流水!$F$5:$F$3032,$B15,资金流水!$H$5:$H$3032,O$4))</f>
        <v>0</v>
      </c>
      <c r="P15" s="11">
        <f>IF(OR($B15="",P$4=""),"",SUMIFS(资金流水!$L$5:$L$3032,资金流水!$F$5:$F$3032,$B15,资金流水!$H$5:$H$3032,P$4))</f>
        <v>0</v>
      </c>
      <c r="Q15" s="11">
        <f>IF(OR($B15="",Q$4=""),"",SUMIFS(资金流水!$L$5:$L$3032,资金流水!$F$5:$F$3032,$B15,资金流水!$H$5:$H$3032,Q$4))</f>
        <v>0</v>
      </c>
      <c r="R15" s="11">
        <f>IF(OR($B15="",R$4=""),"",SUMIFS(资金流水!$L$5:$L$3032,资金流水!$F$5:$F$3032,$B15,资金流水!$H$5:$H$3032,R$4))</f>
        <v>0</v>
      </c>
      <c r="S15" s="11" t="str">
        <f>IF(OR($B15="",S$4=""),"",SUMIFS(资金流水!$L$5:$L$3032,资金流水!$F$5:$F$3032,$B15,资金流水!$H$5:$H$3032,S$4))</f>
        <v/>
      </c>
      <c r="T15" s="11" t="str">
        <f>IF(OR($B15="",T$4=""),"",SUMIFS(资金流水!$L$5:$L$3032,资金流水!$F$5:$F$3032,$B15,资金流水!$H$5:$H$3032,T$4))</f>
        <v/>
      </c>
      <c r="U15" s="11" t="str">
        <f>IF(OR($B15="",U$4=""),"",SUMIFS(资金流水!$L$5:$L$3032,资金流水!$F$5:$F$3032,$B15,资金流水!$H$5:$H$3032,U$4))</f>
        <v/>
      </c>
      <c r="V15" s="11" t="str">
        <f>IF(OR($B15="",V$4=""),"",SUMIFS(资金流水!$L$5:$L$3032,资金流水!$F$5:$F$3032,$B15,资金流水!$H$5:$H$3032,V$4))</f>
        <v/>
      </c>
      <c r="W15" s="11" t="str">
        <f>IF(OR($B15="",W$4=""),"",SUMIFS(资金流水!$L$5:$L$3032,资金流水!$F$5:$F$3032,$B15,资金流水!$H$5:$H$3032,W$4))</f>
        <v/>
      </c>
      <c r="X15" s="11">
        <f t="shared" si="1"/>
        <v>300</v>
      </c>
      <c r="Y15" s="11">
        <f t="shared" si="2"/>
        <v>3122100</v>
      </c>
      <c r="Z15" s="12">
        <f t="shared" si="3"/>
        <v>0.999903920061491</v>
      </c>
      <c r="AA15" s="11">
        <f t="shared" si="4"/>
        <v>3902700</v>
      </c>
      <c r="AB15" s="12">
        <f t="shared" si="5"/>
        <v>1.6</v>
      </c>
      <c r="AC15" s="28" t="str">
        <f>IF(基础资料!$O14="","",基础资料!$O14)</f>
        <v/>
      </c>
    </row>
    <row r="16" ht="48" spans="1:29">
      <c r="A16" s="28" t="str">
        <f>IF(基础资料!$I15="","",基础资料!$I15)</f>
        <v/>
      </c>
      <c r="B16" s="28" t="str">
        <f>IF(基础资料!$J15="","",基础资料!$J15)</f>
        <v>草湖标识标牌项目</v>
      </c>
      <c r="C16" s="28" t="str">
        <f>IF(基础资料!$K15="","",基础资料!$K15)</f>
        <v>双思威</v>
      </c>
      <c r="D16" s="28" t="str">
        <f>IF(基础资料!$L15="","",基础资料!$L15)</f>
        <v>收新疆博创未来信息工程技术有限公司货款</v>
      </c>
      <c r="E16" s="25">
        <f>IF(基础资料!$M15="","",基础资料!$M15)</f>
        <v>1240000</v>
      </c>
      <c r="F16" s="11">
        <f>IF($B16="","",IF(基础资料!$AH$4="不含税金额",SUMIFS(开票登记!$J$5:$J$504,开票登记!$G$5:$G$504,$B16),SUMIFS(开票登记!$M$5:$M$504,开票登记!$G$5:$G$504,$B16)))</f>
        <v>1240000</v>
      </c>
      <c r="G16" s="11">
        <f>IF($B16="","",SUMIFS(资金流水!$K$5:$K$3032,资金流水!$F$5:$F$3032,$B16))</f>
        <v>400000</v>
      </c>
      <c r="H16" s="11">
        <f t="shared" si="0"/>
        <v>840000</v>
      </c>
      <c r="I16" s="11">
        <f>IF($B16="","",SUMIFS(开票登记!$M$5:$M$504,开票登记!$G$5:$G$504,$B16)-$G16)</f>
        <v>840000</v>
      </c>
      <c r="J16" s="11">
        <f>IF(OR($B16="",J$4=""),"",SUMIFS(资金流水!$L$5:$L$3032,资金流水!$F$5:$F$3032,$B16,资金流水!$H$5:$H$3032,J$4))</f>
        <v>175</v>
      </c>
      <c r="K16" s="11">
        <f>IF(OR($B16="",K$4=""),"",SUMIFS(资金流水!$L$5:$L$3032,资金流水!$F$5:$F$3032,$B16,资金流水!$H$5:$H$3032,K$4))</f>
        <v>0</v>
      </c>
      <c r="L16" s="11">
        <f>IF(OR($B16="",L$4=""),"",SUMIFS(资金流水!$L$5:$L$3032,资金流水!$F$5:$F$3032,$B16,资金流水!$H$5:$H$3032,L$4))</f>
        <v>0</v>
      </c>
      <c r="M16" s="11">
        <f>IF(OR($B16="",M$4=""),"",SUMIFS(资金流水!$L$5:$L$3032,资金流水!$F$5:$F$3032,$B16,资金流水!$H$5:$H$3032,M$4))</f>
        <v>0</v>
      </c>
      <c r="N16" s="11">
        <f>IF(OR($B16="",N$4=""),"",SUMIFS(资金流水!$L$5:$L$3032,资金流水!$F$5:$F$3032,$B16,资金流水!$H$5:$H$3032,N$4))</f>
        <v>0</v>
      </c>
      <c r="O16" s="11">
        <f>IF(OR($B16="",O$4=""),"",SUMIFS(资金流水!$L$5:$L$3032,资金流水!$F$5:$F$3032,$B16,资金流水!$H$5:$H$3032,O$4))</f>
        <v>0</v>
      </c>
      <c r="P16" s="11">
        <f>IF(OR($B16="",P$4=""),"",SUMIFS(资金流水!$L$5:$L$3032,资金流水!$F$5:$F$3032,$B16,资金流水!$H$5:$H$3032,P$4))</f>
        <v>0</v>
      </c>
      <c r="Q16" s="11">
        <f>IF(OR($B16="",Q$4=""),"",SUMIFS(资金流水!$L$5:$L$3032,资金流水!$F$5:$F$3032,$B16,资金流水!$H$5:$H$3032,Q$4))</f>
        <v>0</v>
      </c>
      <c r="R16" s="11">
        <f>IF(OR($B16="",R$4=""),"",SUMIFS(资金流水!$L$5:$L$3032,资金流水!$F$5:$F$3032,$B16,资金流水!$H$5:$H$3032,R$4))</f>
        <v>0</v>
      </c>
      <c r="S16" s="11" t="str">
        <f>IF(OR($B16="",S$4=""),"",SUMIFS(资金流水!$L$5:$L$3032,资金流水!$F$5:$F$3032,$B16,资金流水!$H$5:$H$3032,S$4))</f>
        <v/>
      </c>
      <c r="T16" s="11" t="str">
        <f>IF(OR($B16="",T$4=""),"",SUMIFS(资金流水!$L$5:$L$3032,资金流水!$F$5:$F$3032,$B16,资金流水!$H$5:$H$3032,T$4))</f>
        <v/>
      </c>
      <c r="U16" s="11" t="str">
        <f>IF(OR($B16="",U$4=""),"",SUMIFS(资金流水!$L$5:$L$3032,资金流水!$F$5:$F$3032,$B16,资金流水!$H$5:$H$3032,U$4))</f>
        <v/>
      </c>
      <c r="V16" s="11" t="str">
        <f>IF(OR($B16="",V$4=""),"",SUMIFS(资金流水!$L$5:$L$3032,资金流水!$F$5:$F$3032,$B16,资金流水!$H$5:$H$3032,V$4))</f>
        <v/>
      </c>
      <c r="W16" s="11" t="str">
        <f>IF(OR($B16="",W$4=""),"",SUMIFS(资金流水!$L$5:$L$3032,资金流水!$F$5:$F$3032,$B16,资金流水!$H$5:$H$3032,W$4))</f>
        <v/>
      </c>
      <c r="X16" s="11">
        <f t="shared" si="1"/>
        <v>175</v>
      </c>
      <c r="Y16" s="11">
        <f t="shared" si="2"/>
        <v>1239825</v>
      </c>
      <c r="Z16" s="12">
        <f t="shared" si="3"/>
        <v>0.999858870967742</v>
      </c>
      <c r="AA16" s="11">
        <f t="shared" si="4"/>
        <v>1239825</v>
      </c>
      <c r="AB16" s="12">
        <f t="shared" si="5"/>
        <v>0.32258064516129</v>
      </c>
      <c r="AC16" s="28" t="str">
        <f>IF(基础资料!$O15="","",基础资料!$O15)</f>
        <v/>
      </c>
    </row>
    <row r="17" ht="36" spans="1:29">
      <c r="A17" s="28" t="str">
        <f>IF(基础资料!$I16="","",基础资料!$I16)</f>
        <v/>
      </c>
      <c r="B17" s="28" t="str">
        <f>IF(基础资料!$J16="","",基础资料!$J16)</f>
        <v>昌吉市第二十一小学教育教学设备采购项目（三标段）</v>
      </c>
      <c r="C17" s="28" t="str">
        <f>IF(基础资料!$K16="","",基础资料!$K16)</f>
        <v>双思威</v>
      </c>
      <c r="D17" s="28" t="str">
        <f>IF(基础资料!$L16="","",基础资料!$L16)</f>
        <v>昌吉市教育局</v>
      </c>
      <c r="E17" s="25">
        <f>IF(基础资料!$M16="","",基础资料!$M16)</f>
        <v>1302839.15</v>
      </c>
      <c r="F17" s="11">
        <f>IF($B17="","",IF(基础资料!$AH$4="不含税金额",SUMIFS(开票登记!$J$5:$J$504,开票登记!$G$5:$G$504,$B17),SUMIFS(开票登记!$M$5:$M$504,开票登记!$G$5:$G$504,$B17)))</f>
        <v>0</v>
      </c>
      <c r="G17" s="11">
        <f>IF($B17="","",SUMIFS(资金流水!$K$5:$K$3032,资金流水!$F$5:$F$3032,$B17))</f>
        <v>0</v>
      </c>
      <c r="H17" s="11">
        <f t="shared" si="0"/>
        <v>1302839.15</v>
      </c>
      <c r="I17" s="11">
        <f>IF($B17="","",SUMIFS(开票登记!$M$5:$M$504,开票登记!$G$5:$G$504,$B17)-$G17)</f>
        <v>0</v>
      </c>
      <c r="J17" s="11">
        <f>IF(OR($B17="",J$4=""),"",SUMIFS(资金流水!$L$5:$L$3032,资金流水!$F$5:$F$3032,$B17,资金流水!$H$5:$H$3032,J$4))</f>
        <v>11640.1</v>
      </c>
      <c r="K17" s="11">
        <f>IF(OR($B17="",K$4=""),"",SUMIFS(资金流水!$L$5:$L$3032,资金流水!$F$5:$F$3032,$B17,资金流水!$H$5:$H$3032,K$4))</f>
        <v>2000</v>
      </c>
      <c r="L17" s="11">
        <f>IF(OR($B17="",L$4=""),"",SUMIFS(资金流水!$L$5:$L$3032,资金流水!$F$5:$F$3032,$B17,资金流水!$H$5:$H$3032,L$4))</f>
        <v>0</v>
      </c>
      <c r="M17" s="11">
        <f>IF(OR($B17="",M$4=""),"",SUMIFS(资金流水!$L$5:$L$3032,资金流水!$F$5:$F$3032,$B17,资金流水!$H$5:$H$3032,M$4))</f>
        <v>0</v>
      </c>
      <c r="N17" s="11">
        <f>IF(OR($B17="",N$4=""),"",SUMIFS(资金流水!$L$5:$L$3032,资金流水!$F$5:$F$3032,$B17,资金流水!$H$5:$H$3032,N$4))</f>
        <v>0</v>
      </c>
      <c r="O17" s="11">
        <f>IF(OR($B17="",O$4=""),"",SUMIFS(资金流水!$L$5:$L$3032,资金流水!$F$5:$F$3032,$B17,资金流水!$H$5:$H$3032,O$4))</f>
        <v>0</v>
      </c>
      <c r="P17" s="11">
        <f>IF(OR($B17="",P$4=""),"",SUMIFS(资金流水!$L$5:$L$3032,资金流水!$F$5:$F$3032,$B17,资金流水!$H$5:$H$3032,P$4))</f>
        <v>0</v>
      </c>
      <c r="Q17" s="11">
        <f>IF(OR($B17="",Q$4=""),"",SUMIFS(资金流水!$L$5:$L$3032,资金流水!$F$5:$F$3032,$B17,资金流水!$H$5:$H$3032,Q$4))</f>
        <v>0</v>
      </c>
      <c r="R17" s="11">
        <f>IF(OR($B17="",R$4=""),"",SUMIFS(资金流水!$L$5:$L$3032,资金流水!$F$5:$F$3032,$B17,资金流水!$H$5:$H$3032,R$4))</f>
        <v>0</v>
      </c>
      <c r="S17" s="11" t="str">
        <f>IF(OR($B17="",S$4=""),"",SUMIFS(资金流水!$L$5:$L$3032,资金流水!$F$5:$F$3032,$B17,资金流水!$H$5:$H$3032,S$4))</f>
        <v/>
      </c>
      <c r="T17" s="11" t="str">
        <f>IF(OR($B17="",T$4=""),"",SUMIFS(资金流水!$L$5:$L$3032,资金流水!$F$5:$F$3032,$B17,资金流水!$H$5:$H$3032,T$4))</f>
        <v/>
      </c>
      <c r="U17" s="11" t="str">
        <f>IF(OR($B17="",U$4=""),"",SUMIFS(资金流水!$L$5:$L$3032,资金流水!$F$5:$F$3032,$B17,资金流水!$H$5:$H$3032,U$4))</f>
        <v/>
      </c>
      <c r="V17" s="11" t="str">
        <f>IF(OR($B17="",V$4=""),"",SUMIFS(资金流水!$L$5:$L$3032,资金流水!$F$5:$F$3032,$B17,资金流水!$H$5:$H$3032,V$4))</f>
        <v/>
      </c>
      <c r="W17" s="11" t="str">
        <f>IF(OR($B17="",W$4=""),"",SUMIFS(资金流水!$L$5:$L$3032,资金流水!$F$5:$F$3032,$B17,资金流水!$H$5:$H$3032,W$4))</f>
        <v/>
      </c>
      <c r="X17" s="11">
        <f t="shared" si="1"/>
        <v>13640.1</v>
      </c>
      <c r="Y17" s="11">
        <f t="shared" si="2"/>
        <v>-13640.1</v>
      </c>
      <c r="Z17" s="12" t="str">
        <f t="shared" si="3"/>
        <v/>
      </c>
      <c r="AA17" s="11">
        <f t="shared" si="4"/>
        <v>1289199.05</v>
      </c>
      <c r="AB17" s="12">
        <f t="shared" si="5"/>
        <v>0</v>
      </c>
      <c r="AC17" s="28" t="str">
        <f>IF(基础资料!$O16="","",基础资料!$O16)</f>
        <v/>
      </c>
    </row>
    <row r="18" ht="36" spans="1:29">
      <c r="A18" s="28" t="str">
        <f>IF(基础资料!$I17="","",基础资料!$I17)</f>
        <v/>
      </c>
      <c r="B18" s="28" t="str">
        <f>IF(基础资料!$J17="","",基础资料!$J17)</f>
        <v>昌吉市第七小学润苗楼教室文化墙、图书角及会议室项目</v>
      </c>
      <c r="C18" s="28" t="str">
        <f>IF(基础资料!$K17="","",基础资料!$K17)</f>
        <v>元界极光</v>
      </c>
      <c r="D18" s="28" t="str">
        <f>IF(基础资料!$L17="","",基础资料!$L17)</f>
        <v>昌吉市第七小学</v>
      </c>
      <c r="E18" s="25">
        <f>IF(基础资料!$M17="","",基础资料!$M17)</f>
        <v>162144.8</v>
      </c>
      <c r="F18" s="11">
        <f>IF($B18="","",IF(基础资料!$AH$4="不含税金额",SUMIFS(开票登记!$J$5:$J$504,开票登记!$G$5:$G$504,$B18),SUMIFS(开票登记!$M$5:$M$504,开票登记!$G$5:$G$504,$B18)))</f>
        <v>162144.81</v>
      </c>
      <c r="G18" s="11">
        <f>IF($B18="","",SUMIFS(资金流水!$K$5:$K$3032,资金流水!$F$5:$F$3032,$B18))</f>
        <v>0</v>
      </c>
      <c r="H18" s="11">
        <f t="shared" si="0"/>
        <v>162144.8</v>
      </c>
      <c r="I18" s="11">
        <f>IF($B18="","",SUMIFS(开票登记!$M$5:$M$504,开票登记!$G$5:$G$504,$B18)-$G18)</f>
        <v>162144.81</v>
      </c>
      <c r="J18" s="11">
        <f>IF(OR($B18="",J$4=""),"",SUMIFS(资金流水!$L$5:$L$3032,资金流水!$F$5:$F$3032,$B18,资金流水!$H$5:$H$3032,J$4))</f>
        <v>43313.58</v>
      </c>
      <c r="K18" s="11">
        <f>IF(OR($B18="",K$4=""),"",SUMIFS(资金流水!$L$5:$L$3032,资金流水!$F$5:$F$3032,$B18,资金流水!$H$5:$H$3032,K$4))</f>
        <v>0</v>
      </c>
      <c r="L18" s="11">
        <f>IF(OR($B18="",L$4=""),"",SUMIFS(资金流水!$L$5:$L$3032,资金流水!$F$5:$F$3032,$B18,资金流水!$H$5:$H$3032,L$4))</f>
        <v>0</v>
      </c>
      <c r="M18" s="11">
        <f>IF(OR($B18="",M$4=""),"",SUMIFS(资金流水!$L$5:$L$3032,资金流水!$F$5:$F$3032,$B18,资金流水!$H$5:$H$3032,M$4))</f>
        <v>0</v>
      </c>
      <c r="N18" s="11">
        <f>IF(OR($B18="",N$4=""),"",SUMIFS(资金流水!$L$5:$L$3032,资金流水!$F$5:$F$3032,$B18,资金流水!$H$5:$H$3032,N$4))</f>
        <v>0</v>
      </c>
      <c r="O18" s="11">
        <f>IF(OR($B18="",O$4=""),"",SUMIFS(资金流水!$L$5:$L$3032,资金流水!$F$5:$F$3032,$B18,资金流水!$H$5:$H$3032,O$4))</f>
        <v>0</v>
      </c>
      <c r="P18" s="11">
        <f>IF(OR($B18="",P$4=""),"",SUMIFS(资金流水!$L$5:$L$3032,资金流水!$F$5:$F$3032,$B18,资金流水!$H$5:$H$3032,P$4))</f>
        <v>0</v>
      </c>
      <c r="Q18" s="11">
        <f>IF(OR($B18="",Q$4=""),"",SUMIFS(资金流水!$L$5:$L$3032,资金流水!$F$5:$F$3032,$B18,资金流水!$H$5:$H$3032,Q$4))</f>
        <v>0</v>
      </c>
      <c r="R18" s="11">
        <f>IF(OR($B18="",R$4=""),"",SUMIFS(资金流水!$L$5:$L$3032,资金流水!$F$5:$F$3032,$B18,资金流水!$H$5:$H$3032,R$4))</f>
        <v>0</v>
      </c>
      <c r="S18" s="11" t="str">
        <f>IF(OR($B18="",S$4=""),"",SUMIFS(资金流水!$L$5:$L$3032,资金流水!$F$5:$F$3032,$B18,资金流水!$H$5:$H$3032,S$4))</f>
        <v/>
      </c>
      <c r="T18" s="11" t="str">
        <f>IF(OR($B18="",T$4=""),"",SUMIFS(资金流水!$L$5:$L$3032,资金流水!$F$5:$F$3032,$B18,资金流水!$H$5:$H$3032,T$4))</f>
        <v/>
      </c>
      <c r="U18" s="11" t="str">
        <f>IF(OR($B18="",U$4=""),"",SUMIFS(资金流水!$L$5:$L$3032,资金流水!$F$5:$F$3032,$B18,资金流水!$H$5:$H$3032,U$4))</f>
        <v/>
      </c>
      <c r="V18" s="11" t="str">
        <f>IF(OR($B18="",V$4=""),"",SUMIFS(资金流水!$L$5:$L$3032,资金流水!$F$5:$F$3032,$B18,资金流水!$H$5:$H$3032,V$4))</f>
        <v/>
      </c>
      <c r="W18" s="11" t="str">
        <f>IF(OR($B18="",W$4=""),"",SUMIFS(资金流水!$L$5:$L$3032,资金流水!$F$5:$F$3032,$B18,资金流水!$H$5:$H$3032,W$4))</f>
        <v/>
      </c>
      <c r="X18" s="11">
        <f t="shared" si="1"/>
        <v>43313.58</v>
      </c>
      <c r="Y18" s="11">
        <f t="shared" si="2"/>
        <v>118831.23</v>
      </c>
      <c r="Z18" s="12">
        <f t="shared" si="3"/>
        <v>0.732871005861982</v>
      </c>
      <c r="AA18" s="11">
        <f t="shared" si="4"/>
        <v>118831.22</v>
      </c>
      <c r="AB18" s="12">
        <f t="shared" si="5"/>
        <v>0</v>
      </c>
      <c r="AC18" s="28" t="str">
        <f>IF(基础资料!$O17="","",基础资料!$O17)</f>
        <v>已完工已收款</v>
      </c>
    </row>
    <row r="19" ht="24" spans="1:29">
      <c r="A19" s="28" t="str">
        <f>IF(基础资料!$I18="","",基础资料!$I18)</f>
        <v/>
      </c>
      <c r="B19" s="28" t="str">
        <f>IF(基础资料!$J18="","",基础资料!$J18)</f>
        <v>昌吉市第十小学售后</v>
      </c>
      <c r="C19" s="28" t="str">
        <f>IF(基础资料!$K18="","",基础资料!$K18)</f>
        <v>中展</v>
      </c>
      <c r="D19" s="28" t="str">
        <f>IF(基础资料!$L18="","",基础资料!$L18)</f>
        <v>昌吉市第十小学</v>
      </c>
      <c r="E19" s="25">
        <f>IF(基础资料!$M18="","",基础资料!$M18)</f>
        <v>2760</v>
      </c>
      <c r="F19" s="11">
        <f>IF($B19="","",IF(基础资料!$AH$4="不含税金额",SUMIFS(开票登记!$J$5:$J$504,开票登记!$G$5:$G$504,$B19),SUMIFS(开票登记!$M$5:$M$504,开票登记!$G$5:$G$504,$B19)))</f>
        <v>0</v>
      </c>
      <c r="G19" s="11">
        <f>IF($B19="","",SUMIFS(资金流水!$K$5:$K$3032,资金流水!$F$5:$F$3032,$B19))</f>
        <v>0</v>
      </c>
      <c r="H19" s="11">
        <f t="shared" si="0"/>
        <v>2760</v>
      </c>
      <c r="I19" s="11">
        <f>IF($B19="","",SUMIFS(开票登记!$M$5:$M$504,开票登记!$G$5:$G$504,$B19)-$G19)</f>
        <v>0</v>
      </c>
      <c r="J19" s="11">
        <f>IF(OR($B19="",J$4=""),"",SUMIFS(资金流水!$L$5:$L$3032,资金流水!$F$5:$F$3032,$B19,资金流水!$H$5:$H$3032,J$4))</f>
        <v>1800</v>
      </c>
      <c r="K19" s="11">
        <f>IF(OR($B19="",K$4=""),"",SUMIFS(资金流水!$L$5:$L$3032,资金流水!$F$5:$F$3032,$B19,资金流水!$H$5:$H$3032,K$4))</f>
        <v>0</v>
      </c>
      <c r="L19" s="11">
        <f>IF(OR($B19="",L$4=""),"",SUMIFS(资金流水!$L$5:$L$3032,资金流水!$F$5:$F$3032,$B19,资金流水!$H$5:$H$3032,L$4))</f>
        <v>0</v>
      </c>
      <c r="M19" s="11">
        <f>IF(OR($B19="",M$4=""),"",SUMIFS(资金流水!$L$5:$L$3032,资金流水!$F$5:$F$3032,$B19,资金流水!$H$5:$H$3032,M$4))</f>
        <v>0</v>
      </c>
      <c r="N19" s="11">
        <f>IF(OR($B19="",N$4=""),"",SUMIFS(资金流水!$L$5:$L$3032,资金流水!$F$5:$F$3032,$B19,资金流水!$H$5:$H$3032,N$4))</f>
        <v>0</v>
      </c>
      <c r="O19" s="11">
        <f>IF(OR($B19="",O$4=""),"",SUMIFS(资金流水!$L$5:$L$3032,资金流水!$F$5:$F$3032,$B19,资金流水!$H$5:$H$3032,O$4))</f>
        <v>0</v>
      </c>
      <c r="P19" s="11">
        <f>IF(OR($B19="",P$4=""),"",SUMIFS(资金流水!$L$5:$L$3032,资金流水!$F$5:$F$3032,$B19,资金流水!$H$5:$H$3032,P$4))</f>
        <v>0</v>
      </c>
      <c r="Q19" s="11">
        <f>IF(OR($B19="",Q$4=""),"",SUMIFS(资金流水!$L$5:$L$3032,资金流水!$F$5:$F$3032,$B19,资金流水!$H$5:$H$3032,Q$4))</f>
        <v>0</v>
      </c>
      <c r="R19" s="11">
        <f>IF(OR($B19="",R$4=""),"",SUMIFS(资金流水!$L$5:$L$3032,资金流水!$F$5:$F$3032,$B19,资金流水!$H$5:$H$3032,R$4))</f>
        <v>0</v>
      </c>
      <c r="S19" s="11" t="str">
        <f>IF(OR($B19="",S$4=""),"",SUMIFS(资金流水!$L$5:$L$3032,资金流水!$F$5:$F$3032,$B19,资金流水!$H$5:$H$3032,S$4))</f>
        <v/>
      </c>
      <c r="T19" s="11" t="str">
        <f>IF(OR($B19="",T$4=""),"",SUMIFS(资金流水!$L$5:$L$3032,资金流水!$F$5:$F$3032,$B19,资金流水!$H$5:$H$3032,T$4))</f>
        <v/>
      </c>
      <c r="U19" s="11" t="str">
        <f>IF(OR($B19="",U$4=""),"",SUMIFS(资金流水!$L$5:$L$3032,资金流水!$F$5:$F$3032,$B19,资金流水!$H$5:$H$3032,U$4))</f>
        <v/>
      </c>
      <c r="V19" s="11" t="str">
        <f>IF(OR($B19="",V$4=""),"",SUMIFS(资金流水!$L$5:$L$3032,资金流水!$F$5:$F$3032,$B19,资金流水!$H$5:$H$3032,V$4))</f>
        <v/>
      </c>
      <c r="W19" s="11" t="str">
        <f>IF(OR($B19="",W$4=""),"",SUMIFS(资金流水!$L$5:$L$3032,资金流水!$F$5:$F$3032,$B19,资金流水!$H$5:$H$3032,W$4))</f>
        <v/>
      </c>
      <c r="X19" s="11">
        <f t="shared" si="1"/>
        <v>1800</v>
      </c>
      <c r="Y19" s="11">
        <f t="shared" si="2"/>
        <v>-1800</v>
      </c>
      <c r="Z19" s="12" t="str">
        <f t="shared" si="3"/>
        <v/>
      </c>
      <c r="AA19" s="11">
        <f t="shared" si="4"/>
        <v>960</v>
      </c>
      <c r="AB19" s="12">
        <f t="shared" si="5"/>
        <v>0</v>
      </c>
      <c r="AC19" s="28" t="str">
        <f>IF(基础资料!$O18="","",基础资料!$O18)</f>
        <v>已完工已收款</v>
      </c>
    </row>
    <row r="20" ht="36" spans="1:29">
      <c r="A20" s="28" t="str">
        <f>IF(基础资料!$I19="","",基础资料!$I19)</f>
        <v/>
      </c>
      <c r="B20" s="28" t="str">
        <f>IF(基础资料!$J19="","",基础资料!$J19)</f>
        <v>昌吉市第三幼儿园（二十幼）厨房设备采购项目</v>
      </c>
      <c r="C20" s="28" t="str">
        <f>IF(基础资料!$K19="","",基础资料!$K19)</f>
        <v>中展</v>
      </c>
      <c r="D20" s="28" t="str">
        <f>IF(基础资料!$L19="","",基础资料!$L19)</f>
        <v>昌吉市第三幼儿园</v>
      </c>
      <c r="E20" s="25">
        <f>IF(基础资料!$M19="","",基础资料!$M19)</f>
        <v>25000</v>
      </c>
      <c r="F20" s="11">
        <f>IF($B20="","",IF(基础资料!$AH$4="不含税金额",SUMIFS(开票登记!$J$5:$J$504,开票登记!$G$5:$G$504,$B20),SUMIFS(开票登记!$M$5:$M$504,开票登记!$G$5:$G$504,$B20)))</f>
        <v>25000</v>
      </c>
      <c r="G20" s="11">
        <f>IF($B20="","",SUMIFS(资金流水!$K$5:$K$3032,资金流水!$F$5:$F$3032,$B20))</f>
        <v>0</v>
      </c>
      <c r="H20" s="11">
        <f t="shared" si="0"/>
        <v>25000</v>
      </c>
      <c r="I20" s="11">
        <f>IF($B20="","",SUMIFS(开票登记!$M$5:$M$504,开票登记!$G$5:$G$504,$B20)-$G20)</f>
        <v>25000</v>
      </c>
      <c r="J20" s="11">
        <f>IF(OR($B20="",J$4=""),"",SUMIFS(资金流水!$L$5:$L$3032,资金流水!$F$5:$F$3032,$B20,资金流水!$H$5:$H$3032,J$4))</f>
        <v>0</v>
      </c>
      <c r="K20" s="11">
        <f>IF(OR($B20="",K$4=""),"",SUMIFS(资金流水!$L$5:$L$3032,资金流水!$F$5:$F$3032,$B20,资金流水!$H$5:$H$3032,K$4))</f>
        <v>0</v>
      </c>
      <c r="L20" s="11">
        <f>IF(OR($B20="",L$4=""),"",SUMIFS(资金流水!$L$5:$L$3032,资金流水!$F$5:$F$3032,$B20,资金流水!$H$5:$H$3032,L$4))</f>
        <v>0</v>
      </c>
      <c r="M20" s="11">
        <f>IF(OR($B20="",M$4=""),"",SUMIFS(资金流水!$L$5:$L$3032,资金流水!$F$5:$F$3032,$B20,资金流水!$H$5:$H$3032,M$4))</f>
        <v>0</v>
      </c>
      <c r="N20" s="11">
        <f>IF(OR($B20="",N$4=""),"",SUMIFS(资金流水!$L$5:$L$3032,资金流水!$F$5:$F$3032,$B20,资金流水!$H$5:$H$3032,N$4))</f>
        <v>0</v>
      </c>
      <c r="O20" s="11">
        <f>IF(OR($B20="",O$4=""),"",SUMIFS(资金流水!$L$5:$L$3032,资金流水!$F$5:$F$3032,$B20,资金流水!$H$5:$H$3032,O$4))</f>
        <v>0</v>
      </c>
      <c r="P20" s="11">
        <f>IF(OR($B20="",P$4=""),"",SUMIFS(资金流水!$L$5:$L$3032,资金流水!$F$5:$F$3032,$B20,资金流水!$H$5:$H$3032,P$4))</f>
        <v>0</v>
      </c>
      <c r="Q20" s="11">
        <f>IF(OR($B20="",Q$4=""),"",SUMIFS(资金流水!$L$5:$L$3032,资金流水!$F$5:$F$3032,$B20,资金流水!$H$5:$H$3032,Q$4))</f>
        <v>0</v>
      </c>
      <c r="R20" s="11">
        <f>IF(OR($B20="",R$4=""),"",SUMIFS(资金流水!$L$5:$L$3032,资金流水!$F$5:$F$3032,$B20,资金流水!$H$5:$H$3032,R$4))</f>
        <v>0</v>
      </c>
      <c r="S20" s="11" t="str">
        <f>IF(OR($B20="",S$4=""),"",SUMIFS(资金流水!$L$5:$L$3032,资金流水!$F$5:$F$3032,$B20,资金流水!$H$5:$H$3032,S$4))</f>
        <v/>
      </c>
      <c r="T20" s="11" t="str">
        <f>IF(OR($B20="",T$4=""),"",SUMIFS(资金流水!$L$5:$L$3032,资金流水!$F$5:$F$3032,$B20,资金流水!$H$5:$H$3032,T$4))</f>
        <v/>
      </c>
      <c r="U20" s="11" t="str">
        <f>IF(OR($B20="",U$4=""),"",SUMIFS(资金流水!$L$5:$L$3032,资金流水!$F$5:$F$3032,$B20,资金流水!$H$5:$H$3032,U$4))</f>
        <v/>
      </c>
      <c r="V20" s="11" t="str">
        <f>IF(OR($B20="",V$4=""),"",SUMIFS(资金流水!$L$5:$L$3032,资金流水!$F$5:$F$3032,$B20,资金流水!$H$5:$H$3032,V$4))</f>
        <v/>
      </c>
      <c r="W20" s="11" t="str">
        <f>IF(OR($B20="",W$4=""),"",SUMIFS(资金流水!$L$5:$L$3032,资金流水!$F$5:$F$3032,$B20,资金流水!$H$5:$H$3032,W$4))</f>
        <v/>
      </c>
      <c r="X20" s="11">
        <f t="shared" si="1"/>
        <v>0</v>
      </c>
      <c r="Y20" s="11">
        <f t="shared" si="2"/>
        <v>25000</v>
      </c>
      <c r="Z20" s="12">
        <f t="shared" si="3"/>
        <v>1</v>
      </c>
      <c r="AA20" s="11">
        <f t="shared" si="4"/>
        <v>25000</v>
      </c>
      <c r="AB20" s="12">
        <f t="shared" si="5"/>
        <v>0</v>
      </c>
      <c r="AC20" s="28" t="str">
        <f>IF(基础资料!$O19="","",基础资料!$O19)</f>
        <v>已完工已收款</v>
      </c>
    </row>
    <row r="21" ht="24" spans="1:29">
      <c r="A21" s="28" t="str">
        <f>IF(基础资料!$I20="","",基础资料!$I20)</f>
        <v/>
      </c>
      <c r="B21" s="28" t="str">
        <f>IF(基础资料!$J20="","",基础资料!$J20)</f>
        <v>昌吉市南安幼儿园设备采购项目</v>
      </c>
      <c r="C21" s="28" t="str">
        <f>IF(基础资料!$K20="","",基础资料!$K20)</f>
        <v>中展</v>
      </c>
      <c r="D21" s="28" t="str">
        <f>IF(基础资料!$L20="","",基础资料!$L20)</f>
        <v>昌吉市第五幼儿园</v>
      </c>
      <c r="E21" s="25">
        <f>IF(基础资料!$M20="","",基础资料!$M20)</f>
        <v>100000</v>
      </c>
      <c r="F21" s="11">
        <f>IF($B21="","",IF(基础资料!$AH$4="不含税金额",SUMIFS(开票登记!$J$5:$J$504,开票登记!$G$5:$G$504,$B21),SUMIFS(开票登记!$M$5:$M$504,开票登记!$G$5:$G$504,$B21)))</f>
        <v>127155</v>
      </c>
      <c r="G21" s="11">
        <f>IF($B21="","",SUMIFS(资金流水!$K$5:$K$3032,资金流水!$F$5:$F$3032,$B21))</f>
        <v>0</v>
      </c>
      <c r="H21" s="11">
        <f t="shared" si="0"/>
        <v>100000</v>
      </c>
      <c r="I21" s="11">
        <f>IF($B21="","",SUMIFS(开票登记!$M$5:$M$504,开票登记!$G$5:$G$504,$B21)-$G21)</f>
        <v>127155</v>
      </c>
      <c r="J21" s="11">
        <f>IF(OR($B21="",J$4=""),"",SUMIFS(资金流水!$L$5:$L$3032,资金流水!$F$5:$F$3032,$B21,资金流水!$H$5:$H$3032,J$4))</f>
        <v>0</v>
      </c>
      <c r="K21" s="11">
        <f>IF(OR($B21="",K$4=""),"",SUMIFS(资金流水!$L$5:$L$3032,资金流水!$F$5:$F$3032,$B21,资金流水!$H$5:$H$3032,K$4))</f>
        <v>0</v>
      </c>
      <c r="L21" s="11">
        <f>IF(OR($B21="",L$4=""),"",SUMIFS(资金流水!$L$5:$L$3032,资金流水!$F$5:$F$3032,$B21,资金流水!$H$5:$H$3032,L$4))</f>
        <v>0</v>
      </c>
      <c r="M21" s="11">
        <f>IF(OR($B21="",M$4=""),"",SUMIFS(资金流水!$L$5:$L$3032,资金流水!$F$5:$F$3032,$B21,资金流水!$H$5:$H$3032,M$4))</f>
        <v>0</v>
      </c>
      <c r="N21" s="11">
        <f>IF(OR($B21="",N$4=""),"",SUMIFS(资金流水!$L$5:$L$3032,资金流水!$F$5:$F$3032,$B21,资金流水!$H$5:$H$3032,N$4))</f>
        <v>0</v>
      </c>
      <c r="O21" s="11">
        <f>IF(OR($B21="",O$4=""),"",SUMIFS(资金流水!$L$5:$L$3032,资金流水!$F$5:$F$3032,$B21,资金流水!$H$5:$H$3032,O$4))</f>
        <v>0</v>
      </c>
      <c r="P21" s="11">
        <f>IF(OR($B21="",P$4=""),"",SUMIFS(资金流水!$L$5:$L$3032,资金流水!$F$5:$F$3032,$B21,资金流水!$H$5:$H$3032,P$4))</f>
        <v>0</v>
      </c>
      <c r="Q21" s="11">
        <f>IF(OR($B21="",Q$4=""),"",SUMIFS(资金流水!$L$5:$L$3032,资金流水!$F$5:$F$3032,$B21,资金流水!$H$5:$H$3032,Q$4))</f>
        <v>0</v>
      </c>
      <c r="R21" s="11">
        <f>IF(OR($B21="",R$4=""),"",SUMIFS(资金流水!$L$5:$L$3032,资金流水!$F$5:$F$3032,$B21,资金流水!$H$5:$H$3032,R$4))</f>
        <v>0</v>
      </c>
      <c r="S21" s="11" t="str">
        <f>IF(OR($B21="",S$4=""),"",SUMIFS(资金流水!$L$5:$L$3032,资金流水!$F$5:$F$3032,$B21,资金流水!$H$5:$H$3032,S$4))</f>
        <v/>
      </c>
      <c r="T21" s="11" t="str">
        <f>IF(OR($B21="",T$4=""),"",SUMIFS(资金流水!$L$5:$L$3032,资金流水!$F$5:$F$3032,$B21,资金流水!$H$5:$H$3032,T$4))</f>
        <v/>
      </c>
      <c r="U21" s="11" t="str">
        <f>IF(OR($B21="",U$4=""),"",SUMIFS(资金流水!$L$5:$L$3032,资金流水!$F$5:$F$3032,$B21,资金流水!$H$5:$H$3032,U$4))</f>
        <v/>
      </c>
      <c r="V21" s="11" t="str">
        <f>IF(OR($B21="",V$4=""),"",SUMIFS(资金流水!$L$5:$L$3032,资金流水!$F$5:$F$3032,$B21,资金流水!$H$5:$H$3032,V$4))</f>
        <v/>
      </c>
      <c r="W21" s="11" t="str">
        <f>IF(OR($B21="",W$4=""),"",SUMIFS(资金流水!$L$5:$L$3032,资金流水!$F$5:$F$3032,$B21,资金流水!$H$5:$H$3032,W$4))</f>
        <v/>
      </c>
      <c r="X21" s="11">
        <f t="shared" si="1"/>
        <v>0</v>
      </c>
      <c r="Y21" s="11">
        <f t="shared" si="2"/>
        <v>127155</v>
      </c>
      <c r="Z21" s="12">
        <f t="shared" si="3"/>
        <v>1</v>
      </c>
      <c r="AA21" s="11">
        <f t="shared" si="4"/>
        <v>100000</v>
      </c>
      <c r="AB21" s="12">
        <f t="shared" si="5"/>
        <v>0</v>
      </c>
      <c r="AC21" s="28" t="str">
        <f>IF(基础资料!$O20="","",基础资料!$O20)</f>
        <v>已完工已收款</v>
      </c>
    </row>
    <row r="22" ht="36" spans="1:29">
      <c r="A22" s="28" t="str">
        <f>IF(基础资料!$I21="","",基础资料!$I21)</f>
        <v/>
      </c>
      <c r="B22" s="28" t="str">
        <f>IF(基础资料!$J21="","",基础资料!$J21)</f>
        <v>昌吉市第十小学（昌吉市第十九小学创客项目）</v>
      </c>
      <c r="C22" s="28" t="str">
        <f>IF(基础资料!$K21="","",基础资料!$K21)</f>
        <v>锐思维度</v>
      </c>
      <c r="D22" s="28" t="str">
        <f>IF(基础资料!$L21="","",基础资料!$L21)</f>
        <v>昌吉市第十小学</v>
      </c>
      <c r="E22" s="25">
        <f>IF(基础资料!$M21="","",基础资料!$M21)</f>
        <v>201460</v>
      </c>
      <c r="F22" s="11">
        <f>IF($B22="","",IF(基础资料!$AH$4="不含税金额",SUMIFS(开票登记!$J$5:$J$504,开票登记!$G$5:$G$504,$B22),SUMIFS(开票登记!$M$5:$M$504,开票登记!$G$5:$G$504,$B22)))</f>
        <v>71045</v>
      </c>
      <c r="G22" s="11">
        <f>IF($B22="","",SUMIFS(资金流水!$K$5:$K$3032,资金流水!$F$5:$F$3032,$B22))</f>
        <v>0</v>
      </c>
      <c r="H22" s="11">
        <f t="shared" si="0"/>
        <v>201460</v>
      </c>
      <c r="I22" s="11">
        <f>IF($B22="","",SUMIFS(开票登记!$M$5:$M$504,开票登记!$G$5:$G$504,$B22)-$G22)</f>
        <v>71045</v>
      </c>
      <c r="J22" s="11">
        <f>IF(OR($B22="",J$4=""),"",SUMIFS(资金流水!$L$5:$L$3032,资金流水!$F$5:$F$3032,$B22,资金流水!$H$5:$H$3032,J$4))</f>
        <v>0</v>
      </c>
      <c r="K22" s="11">
        <f>IF(OR($B22="",K$4=""),"",SUMIFS(资金流水!$L$5:$L$3032,资金流水!$F$5:$F$3032,$B22,资金流水!$H$5:$H$3032,K$4))</f>
        <v>0</v>
      </c>
      <c r="L22" s="11">
        <f>IF(OR($B22="",L$4=""),"",SUMIFS(资金流水!$L$5:$L$3032,资金流水!$F$5:$F$3032,$B22,资金流水!$H$5:$H$3032,L$4))</f>
        <v>0</v>
      </c>
      <c r="M22" s="11">
        <f>IF(OR($B22="",M$4=""),"",SUMIFS(资金流水!$L$5:$L$3032,资金流水!$F$5:$F$3032,$B22,资金流水!$H$5:$H$3032,M$4))</f>
        <v>0</v>
      </c>
      <c r="N22" s="11">
        <f>IF(OR($B22="",N$4=""),"",SUMIFS(资金流水!$L$5:$L$3032,资金流水!$F$5:$F$3032,$B22,资金流水!$H$5:$H$3032,N$4))</f>
        <v>0</v>
      </c>
      <c r="O22" s="11">
        <f>IF(OR($B22="",O$4=""),"",SUMIFS(资金流水!$L$5:$L$3032,资金流水!$F$5:$F$3032,$B22,资金流水!$H$5:$H$3032,O$4))</f>
        <v>0</v>
      </c>
      <c r="P22" s="11">
        <f>IF(OR($B22="",P$4=""),"",SUMIFS(资金流水!$L$5:$L$3032,资金流水!$F$5:$F$3032,$B22,资金流水!$H$5:$H$3032,P$4))</f>
        <v>0</v>
      </c>
      <c r="Q22" s="11">
        <f>IF(OR($B22="",Q$4=""),"",SUMIFS(资金流水!$L$5:$L$3032,资金流水!$F$5:$F$3032,$B22,资金流水!$H$5:$H$3032,Q$4))</f>
        <v>0</v>
      </c>
      <c r="R22" s="11">
        <f>IF(OR($B22="",R$4=""),"",SUMIFS(资金流水!$L$5:$L$3032,资金流水!$F$5:$F$3032,$B22,资金流水!$H$5:$H$3032,R$4))</f>
        <v>0</v>
      </c>
      <c r="S22" s="11" t="str">
        <f>IF(OR($B22="",S$4=""),"",SUMIFS(资金流水!$L$5:$L$3032,资金流水!$F$5:$F$3032,$B22,资金流水!$H$5:$H$3032,S$4))</f>
        <v/>
      </c>
      <c r="T22" s="11" t="str">
        <f>IF(OR($B22="",T$4=""),"",SUMIFS(资金流水!$L$5:$L$3032,资金流水!$F$5:$F$3032,$B22,资金流水!$H$5:$H$3032,T$4))</f>
        <v/>
      </c>
      <c r="U22" s="11" t="str">
        <f>IF(OR($B22="",U$4=""),"",SUMIFS(资金流水!$L$5:$L$3032,资金流水!$F$5:$F$3032,$B22,资金流水!$H$5:$H$3032,U$4))</f>
        <v/>
      </c>
      <c r="V22" s="11" t="str">
        <f>IF(OR($B22="",V$4=""),"",SUMIFS(资金流水!$L$5:$L$3032,资金流水!$F$5:$F$3032,$B22,资金流水!$H$5:$H$3032,V$4))</f>
        <v/>
      </c>
      <c r="W22" s="11" t="str">
        <f>IF(OR($B22="",W$4=""),"",SUMIFS(资金流水!$L$5:$L$3032,资金流水!$F$5:$F$3032,$B22,资金流水!$H$5:$H$3032,W$4))</f>
        <v/>
      </c>
      <c r="X22" s="11">
        <f t="shared" si="1"/>
        <v>0</v>
      </c>
      <c r="Y22" s="11">
        <f t="shared" si="2"/>
        <v>71045</v>
      </c>
      <c r="Z22" s="12">
        <f t="shared" si="3"/>
        <v>1</v>
      </c>
      <c r="AA22" s="11">
        <f t="shared" si="4"/>
        <v>201460</v>
      </c>
      <c r="AB22" s="12">
        <f t="shared" si="5"/>
        <v>0</v>
      </c>
      <c r="AC22" s="28" t="str">
        <f>IF(基础资料!$O21="","",基础资料!$O21)</f>
        <v>已完工已收款</v>
      </c>
    </row>
    <row r="23" ht="24" spans="1:29">
      <c r="A23" s="28" t="str">
        <f>IF(基础资料!$I22="","",基础资料!$I22)</f>
        <v/>
      </c>
      <c r="B23" s="28" t="str">
        <f>IF(基础资料!$J22="","",基础资料!$J22)</f>
        <v>昌吉市第二小学智慧安防系统改造</v>
      </c>
      <c r="C23" s="28" t="str">
        <f>IF(基础资料!$K22="","",基础资料!$K22)</f>
        <v>锐思维度</v>
      </c>
      <c r="D23" s="28" t="str">
        <f>IF(基础资料!$L22="","",基础资料!$L22)</f>
        <v>昌吉市第二小学</v>
      </c>
      <c r="E23" s="25">
        <f>IF(基础资料!$M22="","",基础资料!$M22)</f>
        <v>233000</v>
      </c>
      <c r="F23" s="11">
        <f>IF($B23="","",IF(基础资料!$AH$4="不含税金额",SUMIFS(开票登记!$J$5:$J$504,开票登记!$G$5:$G$504,$B23),SUMIFS(开票登记!$M$5:$M$504,开票登记!$G$5:$G$504,$B23)))</f>
        <v>116250</v>
      </c>
      <c r="G23" s="11">
        <f>IF($B23="","",SUMIFS(资金流水!$K$5:$K$3032,资金流水!$F$5:$F$3032,$B23))</f>
        <v>0</v>
      </c>
      <c r="H23" s="11">
        <f t="shared" si="0"/>
        <v>233000</v>
      </c>
      <c r="I23" s="11">
        <f>IF($B23="","",SUMIFS(开票登记!$M$5:$M$504,开票登记!$G$5:$G$504,$B23)-$G23)</f>
        <v>116250</v>
      </c>
      <c r="J23" s="11">
        <f>IF(OR($B23="",J$4=""),"",SUMIFS(资金流水!$L$5:$L$3032,资金流水!$F$5:$F$3032,$B23,资金流水!$H$5:$H$3032,J$4))</f>
        <v>0</v>
      </c>
      <c r="K23" s="11">
        <f>IF(OR($B23="",K$4=""),"",SUMIFS(资金流水!$L$5:$L$3032,资金流水!$F$5:$F$3032,$B23,资金流水!$H$5:$H$3032,K$4))</f>
        <v>0</v>
      </c>
      <c r="L23" s="11">
        <f>IF(OR($B23="",L$4=""),"",SUMIFS(资金流水!$L$5:$L$3032,资金流水!$F$5:$F$3032,$B23,资金流水!$H$5:$H$3032,L$4))</f>
        <v>0</v>
      </c>
      <c r="M23" s="11">
        <f>IF(OR($B23="",M$4=""),"",SUMIFS(资金流水!$L$5:$L$3032,资金流水!$F$5:$F$3032,$B23,资金流水!$H$5:$H$3032,M$4))</f>
        <v>0</v>
      </c>
      <c r="N23" s="11">
        <f>IF(OR($B23="",N$4=""),"",SUMIFS(资金流水!$L$5:$L$3032,资金流水!$F$5:$F$3032,$B23,资金流水!$H$5:$H$3032,N$4))</f>
        <v>0</v>
      </c>
      <c r="O23" s="11">
        <f>IF(OR($B23="",O$4=""),"",SUMIFS(资金流水!$L$5:$L$3032,资金流水!$F$5:$F$3032,$B23,资金流水!$H$5:$H$3032,O$4))</f>
        <v>0</v>
      </c>
      <c r="P23" s="11">
        <f>IF(OR($B23="",P$4=""),"",SUMIFS(资金流水!$L$5:$L$3032,资金流水!$F$5:$F$3032,$B23,资金流水!$H$5:$H$3032,P$4))</f>
        <v>0</v>
      </c>
      <c r="Q23" s="11">
        <f>IF(OR($B23="",Q$4=""),"",SUMIFS(资金流水!$L$5:$L$3032,资金流水!$F$5:$F$3032,$B23,资金流水!$H$5:$H$3032,Q$4))</f>
        <v>0</v>
      </c>
      <c r="R23" s="11">
        <f>IF(OR($B23="",R$4=""),"",SUMIFS(资金流水!$L$5:$L$3032,资金流水!$F$5:$F$3032,$B23,资金流水!$H$5:$H$3032,R$4))</f>
        <v>0</v>
      </c>
      <c r="S23" s="11" t="str">
        <f>IF(OR($B23="",S$4=""),"",SUMIFS(资金流水!$L$5:$L$3032,资金流水!$F$5:$F$3032,$B23,资金流水!$H$5:$H$3032,S$4))</f>
        <v/>
      </c>
      <c r="T23" s="11" t="str">
        <f>IF(OR($B23="",T$4=""),"",SUMIFS(资金流水!$L$5:$L$3032,资金流水!$F$5:$F$3032,$B23,资金流水!$H$5:$H$3032,T$4))</f>
        <v/>
      </c>
      <c r="U23" s="11" t="str">
        <f>IF(OR($B23="",U$4=""),"",SUMIFS(资金流水!$L$5:$L$3032,资金流水!$F$5:$F$3032,$B23,资金流水!$H$5:$H$3032,U$4))</f>
        <v/>
      </c>
      <c r="V23" s="11" t="str">
        <f>IF(OR($B23="",V$4=""),"",SUMIFS(资金流水!$L$5:$L$3032,资金流水!$F$5:$F$3032,$B23,资金流水!$H$5:$H$3032,V$4))</f>
        <v/>
      </c>
      <c r="W23" s="11" t="str">
        <f>IF(OR($B23="",W$4=""),"",SUMIFS(资金流水!$L$5:$L$3032,资金流水!$F$5:$F$3032,$B23,资金流水!$H$5:$H$3032,W$4))</f>
        <v/>
      </c>
      <c r="X23" s="11">
        <f t="shared" si="1"/>
        <v>0</v>
      </c>
      <c r="Y23" s="11">
        <f t="shared" si="2"/>
        <v>116250</v>
      </c>
      <c r="Z23" s="12">
        <f t="shared" si="3"/>
        <v>1</v>
      </c>
      <c r="AA23" s="11">
        <f t="shared" si="4"/>
        <v>233000</v>
      </c>
      <c r="AB23" s="12">
        <f t="shared" si="5"/>
        <v>0</v>
      </c>
      <c r="AC23" s="28" t="str">
        <f>IF(基础资料!$O22="","",基础资料!$O22)</f>
        <v>已完工待收款</v>
      </c>
    </row>
    <row r="24" ht="24" spans="1:29">
      <c r="A24" s="28" t="str">
        <f>IF(基础资料!$I23="","",基础资料!$I23)</f>
        <v/>
      </c>
      <c r="B24" s="28" t="str">
        <f>IF(基础资料!$J23="","",基础资料!$J23)</f>
        <v>昌吉市第十六小学校园监控设备采购项目</v>
      </c>
      <c r="C24" s="28" t="str">
        <f>IF(基础资料!$K23="","",基础资料!$K23)</f>
        <v>锐思维度</v>
      </c>
      <c r="D24" s="28" t="str">
        <f>IF(基础资料!$L23="","",基础资料!$L23)</f>
        <v>昌吉市十四小学</v>
      </c>
      <c r="E24" s="25">
        <f>IF(基础资料!$M23="","",基础资料!$M23)</f>
        <v>115130</v>
      </c>
      <c r="F24" s="11">
        <f>IF($B24="","",IF(基础资料!$AH$4="不含税金额",SUMIFS(开票登记!$J$5:$J$504,开票登记!$G$5:$G$504,$B24),SUMIFS(开票登记!$M$5:$M$504,开票登记!$G$5:$G$504,$B24)))</f>
        <v>0</v>
      </c>
      <c r="G24" s="11">
        <f>IF($B24="","",SUMIFS(资金流水!$K$5:$K$3032,资金流水!$F$5:$F$3032,$B24))</f>
        <v>0</v>
      </c>
      <c r="H24" s="11">
        <f t="shared" si="0"/>
        <v>115130</v>
      </c>
      <c r="I24" s="11">
        <f>IF($B24="","",SUMIFS(开票登记!$M$5:$M$504,开票登记!$G$5:$G$504,$B24)-$G24)</f>
        <v>0</v>
      </c>
      <c r="J24" s="11">
        <f>IF(OR($B24="",J$4=""),"",SUMIFS(资金流水!$L$5:$L$3032,资金流水!$F$5:$F$3032,$B24,资金流水!$H$5:$H$3032,J$4))</f>
        <v>0</v>
      </c>
      <c r="K24" s="11">
        <f>IF(OR($B24="",K$4=""),"",SUMIFS(资金流水!$L$5:$L$3032,资金流水!$F$5:$F$3032,$B24,资金流水!$H$5:$H$3032,K$4))</f>
        <v>0</v>
      </c>
      <c r="L24" s="11">
        <f>IF(OR($B24="",L$4=""),"",SUMIFS(资金流水!$L$5:$L$3032,资金流水!$F$5:$F$3032,$B24,资金流水!$H$5:$H$3032,L$4))</f>
        <v>0</v>
      </c>
      <c r="M24" s="11">
        <f>IF(OR($B24="",M$4=""),"",SUMIFS(资金流水!$L$5:$L$3032,资金流水!$F$5:$F$3032,$B24,资金流水!$H$5:$H$3032,M$4))</f>
        <v>0</v>
      </c>
      <c r="N24" s="11">
        <f>IF(OR($B24="",N$4=""),"",SUMIFS(资金流水!$L$5:$L$3032,资金流水!$F$5:$F$3032,$B24,资金流水!$H$5:$H$3032,N$4))</f>
        <v>0</v>
      </c>
      <c r="O24" s="11">
        <f>IF(OR($B24="",O$4=""),"",SUMIFS(资金流水!$L$5:$L$3032,资金流水!$F$5:$F$3032,$B24,资金流水!$H$5:$H$3032,O$4))</f>
        <v>0</v>
      </c>
      <c r="P24" s="11">
        <f>IF(OR($B24="",P$4=""),"",SUMIFS(资金流水!$L$5:$L$3032,资金流水!$F$5:$F$3032,$B24,资金流水!$H$5:$H$3032,P$4))</f>
        <v>0</v>
      </c>
      <c r="Q24" s="11">
        <f>IF(OR($B24="",Q$4=""),"",SUMIFS(资金流水!$L$5:$L$3032,资金流水!$F$5:$F$3032,$B24,资金流水!$H$5:$H$3032,Q$4))</f>
        <v>0</v>
      </c>
      <c r="R24" s="11">
        <f>IF(OR($B24="",R$4=""),"",SUMIFS(资金流水!$L$5:$L$3032,资金流水!$F$5:$F$3032,$B24,资金流水!$H$5:$H$3032,R$4))</f>
        <v>0</v>
      </c>
      <c r="S24" s="11" t="str">
        <f>IF(OR($B24="",S$4=""),"",SUMIFS(资金流水!$L$5:$L$3032,资金流水!$F$5:$F$3032,$B24,资金流水!$H$5:$H$3032,S$4))</f>
        <v/>
      </c>
      <c r="T24" s="11" t="str">
        <f>IF(OR($B24="",T$4=""),"",SUMIFS(资金流水!$L$5:$L$3032,资金流水!$F$5:$F$3032,$B24,资金流水!$H$5:$H$3032,T$4))</f>
        <v/>
      </c>
      <c r="U24" s="11" t="str">
        <f>IF(OR($B24="",U$4=""),"",SUMIFS(资金流水!$L$5:$L$3032,资金流水!$F$5:$F$3032,$B24,资金流水!$H$5:$H$3032,U$4))</f>
        <v/>
      </c>
      <c r="V24" s="11" t="str">
        <f>IF(OR($B24="",V$4=""),"",SUMIFS(资金流水!$L$5:$L$3032,资金流水!$F$5:$F$3032,$B24,资金流水!$H$5:$H$3032,V$4))</f>
        <v/>
      </c>
      <c r="W24" s="11" t="str">
        <f>IF(OR($B24="",W$4=""),"",SUMIFS(资金流水!$L$5:$L$3032,资金流水!$F$5:$F$3032,$B24,资金流水!$H$5:$H$3032,W$4))</f>
        <v/>
      </c>
      <c r="X24" s="11">
        <f t="shared" si="1"/>
        <v>0</v>
      </c>
      <c r="Y24" s="11">
        <f t="shared" si="2"/>
        <v>0</v>
      </c>
      <c r="Z24" s="12" t="str">
        <f t="shared" si="3"/>
        <v/>
      </c>
      <c r="AA24" s="11">
        <f t="shared" si="4"/>
        <v>115130</v>
      </c>
      <c r="AB24" s="12">
        <f t="shared" si="5"/>
        <v>0</v>
      </c>
      <c r="AC24" s="28" t="str">
        <f>IF(基础资料!$O23="","",基础资料!$O23)</f>
        <v>已完工待收款</v>
      </c>
    </row>
    <row r="25" ht="24" spans="1:29">
      <c r="A25" s="28" t="str">
        <f>IF(基础资料!$I24="","",基础资料!$I24)</f>
        <v/>
      </c>
      <c r="B25" s="28" t="str">
        <f>IF(基础资料!$J24="","",基础资料!$J24)</f>
        <v>昌吉市第十六小学校园广播设备采购项目</v>
      </c>
      <c r="C25" s="28" t="str">
        <f>IF(基础资料!$K24="","",基础资料!$K24)</f>
        <v>中展</v>
      </c>
      <c r="D25" s="28" t="str">
        <f>IF(基础资料!$L24="","",基础资料!$L24)</f>
        <v>昌吉市十四小学</v>
      </c>
      <c r="E25" s="25">
        <f>IF(基础资料!$M24="","",基础资料!$M24)</f>
        <v>108510</v>
      </c>
      <c r="F25" s="11">
        <f>IF($B25="","",IF(基础资料!$AH$4="不含税金额",SUMIFS(开票登记!$J$5:$J$504,开票登记!$G$5:$G$504,$B25),SUMIFS(开票登记!$M$5:$M$504,开票登记!$G$5:$G$504,$B25)))</f>
        <v>0</v>
      </c>
      <c r="G25" s="11">
        <f>IF($B25="","",SUMIFS(资金流水!$K$5:$K$3032,资金流水!$F$5:$F$3032,$B25))</f>
        <v>0</v>
      </c>
      <c r="H25" s="11">
        <f t="shared" si="0"/>
        <v>108510</v>
      </c>
      <c r="I25" s="11">
        <f>IF($B25="","",SUMIFS(开票登记!$M$5:$M$504,开票登记!$G$5:$G$504,$B25)-$G25)</f>
        <v>0</v>
      </c>
      <c r="J25" s="11">
        <f>IF(OR($B25="",J$4=""),"",SUMIFS(资金流水!$L$5:$L$3032,资金流水!$F$5:$F$3032,$B25,资金流水!$H$5:$H$3032,J$4))</f>
        <v>0</v>
      </c>
      <c r="K25" s="11">
        <f>IF(OR($B25="",K$4=""),"",SUMIFS(资金流水!$L$5:$L$3032,资金流水!$F$5:$F$3032,$B25,资金流水!$H$5:$H$3032,K$4))</f>
        <v>0</v>
      </c>
      <c r="L25" s="11">
        <f>IF(OR($B25="",L$4=""),"",SUMIFS(资金流水!$L$5:$L$3032,资金流水!$F$5:$F$3032,$B25,资金流水!$H$5:$H$3032,L$4))</f>
        <v>0</v>
      </c>
      <c r="M25" s="11">
        <f>IF(OR($B25="",M$4=""),"",SUMIFS(资金流水!$L$5:$L$3032,资金流水!$F$5:$F$3032,$B25,资金流水!$H$5:$H$3032,M$4))</f>
        <v>0</v>
      </c>
      <c r="N25" s="11">
        <f>IF(OR($B25="",N$4=""),"",SUMIFS(资金流水!$L$5:$L$3032,资金流水!$F$5:$F$3032,$B25,资金流水!$H$5:$H$3032,N$4))</f>
        <v>0</v>
      </c>
      <c r="O25" s="11">
        <f>IF(OR($B25="",O$4=""),"",SUMIFS(资金流水!$L$5:$L$3032,资金流水!$F$5:$F$3032,$B25,资金流水!$H$5:$H$3032,O$4))</f>
        <v>0</v>
      </c>
      <c r="P25" s="11">
        <f>IF(OR($B25="",P$4=""),"",SUMIFS(资金流水!$L$5:$L$3032,资金流水!$F$5:$F$3032,$B25,资金流水!$H$5:$H$3032,P$4))</f>
        <v>0</v>
      </c>
      <c r="Q25" s="11">
        <f>IF(OR($B25="",Q$4=""),"",SUMIFS(资金流水!$L$5:$L$3032,资金流水!$F$5:$F$3032,$B25,资金流水!$H$5:$H$3032,Q$4))</f>
        <v>0</v>
      </c>
      <c r="R25" s="11">
        <f>IF(OR($B25="",R$4=""),"",SUMIFS(资金流水!$L$5:$L$3032,资金流水!$F$5:$F$3032,$B25,资金流水!$H$5:$H$3032,R$4))</f>
        <v>0</v>
      </c>
      <c r="S25" s="11" t="str">
        <f>IF(OR($B25="",S$4=""),"",SUMIFS(资金流水!$L$5:$L$3032,资金流水!$F$5:$F$3032,$B25,资金流水!$H$5:$H$3032,S$4))</f>
        <v/>
      </c>
      <c r="T25" s="11" t="str">
        <f>IF(OR($B25="",T$4=""),"",SUMIFS(资金流水!$L$5:$L$3032,资金流水!$F$5:$F$3032,$B25,资金流水!$H$5:$H$3032,T$4))</f>
        <v/>
      </c>
      <c r="U25" s="11" t="str">
        <f>IF(OR($B25="",U$4=""),"",SUMIFS(资金流水!$L$5:$L$3032,资金流水!$F$5:$F$3032,$B25,资金流水!$H$5:$H$3032,U$4))</f>
        <v/>
      </c>
      <c r="V25" s="11" t="str">
        <f>IF(OR($B25="",V$4=""),"",SUMIFS(资金流水!$L$5:$L$3032,资金流水!$F$5:$F$3032,$B25,资金流水!$H$5:$H$3032,V$4))</f>
        <v/>
      </c>
      <c r="W25" s="11" t="str">
        <f>IF(OR($B25="",W$4=""),"",SUMIFS(资金流水!$L$5:$L$3032,资金流水!$F$5:$F$3032,$B25,资金流水!$H$5:$H$3032,W$4))</f>
        <v/>
      </c>
      <c r="X25" s="11">
        <f t="shared" si="1"/>
        <v>0</v>
      </c>
      <c r="Y25" s="11">
        <f t="shared" si="2"/>
        <v>0</v>
      </c>
      <c r="Z25" s="12" t="str">
        <f t="shared" si="3"/>
        <v/>
      </c>
      <c r="AA25" s="11">
        <f t="shared" si="4"/>
        <v>108510</v>
      </c>
      <c r="AB25" s="12">
        <f t="shared" si="5"/>
        <v>0</v>
      </c>
      <c r="AC25" s="28" t="str">
        <f>IF(基础资料!$O24="","",基础资料!$O24)</f>
        <v>已完工待收款</v>
      </c>
    </row>
    <row r="26" ht="24" spans="1:29">
      <c r="A26" s="28" t="str">
        <f>IF(基础资料!$I25="","",基础资料!$I25)</f>
        <v/>
      </c>
      <c r="B26" s="28" t="str">
        <f>IF(基础资料!$J25="","",基础资料!$J25)</f>
        <v>昌吉市第一小学学生机房项目</v>
      </c>
      <c r="C26" s="28" t="str">
        <f>IF(基础资料!$K25="","",基础资料!$K25)</f>
        <v>元界启辰</v>
      </c>
      <c r="D26" s="28" t="str">
        <f>IF(基础资料!$L25="","",基础资料!$L25)</f>
        <v>昌吉市第一小学</v>
      </c>
      <c r="E26" s="25">
        <f>IF(基础资料!$M25="","",基础资料!$M25)</f>
        <v>332654</v>
      </c>
      <c r="F26" s="11">
        <f>IF($B26="","",IF(基础资料!$AH$4="不含税金额",SUMIFS(开票登记!$J$5:$J$504,开票登记!$G$5:$G$504,$B26),SUMIFS(开票登记!$M$5:$M$504,开票登记!$G$5:$G$504,$B26)))</f>
        <v>0</v>
      </c>
      <c r="G26" s="11">
        <f>IF($B26="","",SUMIFS(资金流水!$K$5:$K$3032,资金流水!$F$5:$F$3032,$B26))</f>
        <v>0</v>
      </c>
      <c r="H26" s="11">
        <f t="shared" si="0"/>
        <v>332654</v>
      </c>
      <c r="I26" s="11">
        <f>IF($B26="","",SUMIFS(开票登记!$M$5:$M$504,开票登记!$G$5:$G$504,$B26)-$G26)</f>
        <v>0</v>
      </c>
      <c r="J26" s="11">
        <f>IF(OR($B26="",J$4=""),"",SUMIFS(资金流水!$L$5:$L$3032,资金流水!$F$5:$F$3032,$B26,资金流水!$H$5:$H$3032,J$4))</f>
        <v>0</v>
      </c>
      <c r="K26" s="11">
        <f>IF(OR($B26="",K$4=""),"",SUMIFS(资金流水!$L$5:$L$3032,资金流水!$F$5:$F$3032,$B26,资金流水!$H$5:$H$3032,K$4))</f>
        <v>0</v>
      </c>
      <c r="L26" s="11">
        <f>IF(OR($B26="",L$4=""),"",SUMIFS(资金流水!$L$5:$L$3032,资金流水!$F$5:$F$3032,$B26,资金流水!$H$5:$H$3032,L$4))</f>
        <v>0</v>
      </c>
      <c r="M26" s="11">
        <f>IF(OR($B26="",M$4=""),"",SUMIFS(资金流水!$L$5:$L$3032,资金流水!$F$5:$F$3032,$B26,资金流水!$H$5:$H$3032,M$4))</f>
        <v>0</v>
      </c>
      <c r="N26" s="11">
        <f>IF(OR($B26="",N$4=""),"",SUMIFS(资金流水!$L$5:$L$3032,资金流水!$F$5:$F$3032,$B26,资金流水!$H$5:$H$3032,N$4))</f>
        <v>0</v>
      </c>
      <c r="O26" s="11">
        <f>IF(OR($B26="",O$4=""),"",SUMIFS(资金流水!$L$5:$L$3032,资金流水!$F$5:$F$3032,$B26,资金流水!$H$5:$H$3032,O$4))</f>
        <v>0</v>
      </c>
      <c r="P26" s="11">
        <f>IF(OR($B26="",P$4=""),"",SUMIFS(资金流水!$L$5:$L$3032,资金流水!$F$5:$F$3032,$B26,资金流水!$H$5:$H$3032,P$4))</f>
        <v>0</v>
      </c>
      <c r="Q26" s="11">
        <f>IF(OR($B26="",Q$4=""),"",SUMIFS(资金流水!$L$5:$L$3032,资金流水!$F$5:$F$3032,$B26,资金流水!$H$5:$H$3032,Q$4))</f>
        <v>0</v>
      </c>
      <c r="R26" s="11">
        <f>IF(OR($B26="",R$4=""),"",SUMIFS(资金流水!$L$5:$L$3032,资金流水!$F$5:$F$3032,$B26,资金流水!$H$5:$H$3032,R$4))</f>
        <v>0</v>
      </c>
      <c r="S26" s="11" t="str">
        <f>IF(OR($B26="",S$4=""),"",SUMIFS(资金流水!$L$5:$L$3032,资金流水!$F$5:$F$3032,$B26,资金流水!$H$5:$H$3032,S$4))</f>
        <v/>
      </c>
      <c r="T26" s="11" t="str">
        <f>IF(OR($B26="",T$4=""),"",SUMIFS(资金流水!$L$5:$L$3032,资金流水!$F$5:$F$3032,$B26,资金流水!$H$5:$H$3032,T$4))</f>
        <v/>
      </c>
      <c r="U26" s="11" t="str">
        <f>IF(OR($B26="",U$4=""),"",SUMIFS(资金流水!$L$5:$L$3032,资金流水!$F$5:$F$3032,$B26,资金流水!$H$5:$H$3032,U$4))</f>
        <v/>
      </c>
      <c r="V26" s="11" t="str">
        <f>IF(OR($B26="",V$4=""),"",SUMIFS(资金流水!$L$5:$L$3032,资金流水!$F$5:$F$3032,$B26,资金流水!$H$5:$H$3032,V$4))</f>
        <v/>
      </c>
      <c r="W26" s="11" t="str">
        <f>IF(OR($B26="",W$4=""),"",SUMIFS(资金流水!$L$5:$L$3032,资金流水!$F$5:$F$3032,$B26,资金流水!$H$5:$H$3032,W$4))</f>
        <v/>
      </c>
      <c r="X26" s="11">
        <f t="shared" si="1"/>
        <v>0</v>
      </c>
      <c r="Y26" s="11">
        <f t="shared" si="2"/>
        <v>0</v>
      </c>
      <c r="Z26" s="12" t="str">
        <f t="shared" si="3"/>
        <v/>
      </c>
      <c r="AA26" s="11">
        <f t="shared" si="4"/>
        <v>332654</v>
      </c>
      <c r="AB26" s="12">
        <f t="shared" si="5"/>
        <v>0</v>
      </c>
      <c r="AC26" s="28" t="str">
        <f>IF(基础资料!$O25="","",基础资料!$O25)</f>
        <v>已完工待收款</v>
      </c>
    </row>
    <row r="27" ht="24" spans="1:29">
      <c r="A27" s="28" t="str">
        <f>IF(基础资料!$I26="","",基础资料!$I26)</f>
        <v/>
      </c>
      <c r="B27" s="28" t="str">
        <f>IF(基础资料!$J26="","",基础资料!$J26)</f>
        <v>昌吉市第十小学智慧教室项目</v>
      </c>
      <c r="C27" s="28" t="str">
        <f>IF(基础资料!$K26="","",基础资料!$K26)</f>
        <v>元界启辰</v>
      </c>
      <c r="D27" s="28" t="str">
        <f>IF(基础资料!$L26="","",基础资料!$L26)</f>
        <v>昌吉市第十小学</v>
      </c>
      <c r="E27" s="25">
        <f>IF(基础资料!$M26="","",基础资料!$M26)</f>
        <v>301080</v>
      </c>
      <c r="F27" s="11">
        <f>IF($B27="","",IF(基础资料!$AH$4="不含税金额",SUMIFS(开票登记!$J$5:$J$504,开票登记!$G$5:$G$504,$B27),SUMIFS(开票登记!$M$5:$M$504,开票登记!$G$5:$G$504,$B27)))</f>
        <v>149660</v>
      </c>
      <c r="G27" s="11">
        <f>IF($B27="","",SUMIFS(资金流水!$K$5:$K$3032,资金流水!$F$5:$F$3032,$B27))</f>
        <v>0</v>
      </c>
      <c r="H27" s="11">
        <f t="shared" si="0"/>
        <v>301080</v>
      </c>
      <c r="I27" s="11">
        <f>IF($B27="","",SUMIFS(开票登记!$M$5:$M$504,开票登记!$G$5:$G$504,$B27)-$G27)</f>
        <v>149660</v>
      </c>
      <c r="J27" s="11">
        <f>IF(OR($B27="",J$4=""),"",SUMIFS(资金流水!$L$5:$L$3032,资金流水!$F$5:$F$3032,$B27,资金流水!$H$5:$H$3032,J$4))</f>
        <v>0</v>
      </c>
      <c r="K27" s="11">
        <f>IF(OR($B27="",K$4=""),"",SUMIFS(资金流水!$L$5:$L$3032,资金流水!$F$5:$F$3032,$B27,资金流水!$H$5:$H$3032,K$4))</f>
        <v>0</v>
      </c>
      <c r="L27" s="11">
        <f>IF(OR($B27="",L$4=""),"",SUMIFS(资金流水!$L$5:$L$3032,资金流水!$F$5:$F$3032,$B27,资金流水!$H$5:$H$3032,L$4))</f>
        <v>0</v>
      </c>
      <c r="M27" s="11">
        <f>IF(OR($B27="",M$4=""),"",SUMIFS(资金流水!$L$5:$L$3032,资金流水!$F$5:$F$3032,$B27,资金流水!$H$5:$H$3032,M$4))</f>
        <v>0</v>
      </c>
      <c r="N27" s="11">
        <f>IF(OR($B27="",N$4=""),"",SUMIFS(资金流水!$L$5:$L$3032,资金流水!$F$5:$F$3032,$B27,资金流水!$H$5:$H$3032,N$4))</f>
        <v>0</v>
      </c>
      <c r="O27" s="11">
        <f>IF(OR($B27="",O$4=""),"",SUMIFS(资金流水!$L$5:$L$3032,资金流水!$F$5:$F$3032,$B27,资金流水!$H$5:$H$3032,O$4))</f>
        <v>0</v>
      </c>
      <c r="P27" s="11">
        <f>IF(OR($B27="",P$4=""),"",SUMIFS(资金流水!$L$5:$L$3032,资金流水!$F$5:$F$3032,$B27,资金流水!$H$5:$H$3032,P$4))</f>
        <v>0</v>
      </c>
      <c r="Q27" s="11">
        <f>IF(OR($B27="",Q$4=""),"",SUMIFS(资金流水!$L$5:$L$3032,资金流水!$F$5:$F$3032,$B27,资金流水!$H$5:$H$3032,Q$4))</f>
        <v>0</v>
      </c>
      <c r="R27" s="11">
        <f>IF(OR($B27="",R$4=""),"",SUMIFS(资金流水!$L$5:$L$3032,资金流水!$F$5:$F$3032,$B27,资金流水!$H$5:$H$3032,R$4))</f>
        <v>0</v>
      </c>
      <c r="S27" s="11" t="str">
        <f>IF(OR($B27="",S$4=""),"",SUMIFS(资金流水!$L$5:$L$3032,资金流水!$F$5:$F$3032,$B27,资金流水!$H$5:$H$3032,S$4))</f>
        <v/>
      </c>
      <c r="T27" s="11" t="str">
        <f>IF(OR($B27="",T$4=""),"",SUMIFS(资金流水!$L$5:$L$3032,资金流水!$F$5:$F$3032,$B27,资金流水!$H$5:$H$3032,T$4))</f>
        <v/>
      </c>
      <c r="U27" s="11" t="str">
        <f>IF(OR($B27="",U$4=""),"",SUMIFS(资金流水!$L$5:$L$3032,资金流水!$F$5:$F$3032,$B27,资金流水!$H$5:$H$3032,U$4))</f>
        <v/>
      </c>
      <c r="V27" s="11" t="str">
        <f>IF(OR($B27="",V$4=""),"",SUMIFS(资金流水!$L$5:$L$3032,资金流水!$F$5:$F$3032,$B27,资金流水!$H$5:$H$3032,V$4))</f>
        <v/>
      </c>
      <c r="W27" s="11" t="str">
        <f>IF(OR($B27="",W$4=""),"",SUMIFS(资金流水!$L$5:$L$3032,资金流水!$F$5:$F$3032,$B27,资金流水!$H$5:$H$3032,W$4))</f>
        <v/>
      </c>
      <c r="X27" s="11">
        <f t="shared" si="1"/>
        <v>0</v>
      </c>
      <c r="Y27" s="11">
        <f t="shared" si="2"/>
        <v>149660</v>
      </c>
      <c r="Z27" s="12">
        <f t="shared" si="3"/>
        <v>1</v>
      </c>
      <c r="AA27" s="11">
        <f t="shared" si="4"/>
        <v>301080</v>
      </c>
      <c r="AB27" s="12">
        <f t="shared" si="5"/>
        <v>0</v>
      </c>
      <c r="AC27" s="28" t="str">
        <f>IF(基础资料!$O26="","",基础资料!$O26)</f>
        <v>已完工已收款</v>
      </c>
    </row>
    <row r="28" ht="24" spans="1:29">
      <c r="A28" s="28" t="str">
        <f>IF(基础资料!$I27="","",基础资料!$I27)</f>
        <v/>
      </c>
      <c r="B28" s="28" t="str">
        <f>IF(基础资料!$J27="","",基础资料!$J27)</f>
        <v>昌吉市第三中学安检门</v>
      </c>
      <c r="C28" s="28" t="str">
        <f>IF(基础资料!$K27="","",基础资料!$K27)</f>
        <v>中展</v>
      </c>
      <c r="D28" s="28" t="str">
        <f>IF(基础资料!$L27="","",基础资料!$L27)</f>
        <v>昌吉市第三中学</v>
      </c>
      <c r="E28" s="25">
        <f>IF(基础资料!$M27="","",基础资料!$M27)</f>
        <v>72000</v>
      </c>
      <c r="F28" s="11">
        <f>IF($B28="","",IF(基础资料!$AH$4="不含税金额",SUMIFS(开票登记!$J$5:$J$504,开票登记!$G$5:$G$504,$B28),SUMIFS(开票登记!$M$5:$M$504,开票登记!$G$5:$G$504,$B28)))</f>
        <v>72000</v>
      </c>
      <c r="G28" s="11">
        <f>IF($B28="","",SUMIFS(资金流水!$K$5:$K$3032,资金流水!$F$5:$F$3032,$B28))</f>
        <v>0</v>
      </c>
      <c r="H28" s="11">
        <f t="shared" si="0"/>
        <v>72000</v>
      </c>
      <c r="I28" s="11">
        <f>IF($B28="","",SUMIFS(开票登记!$M$5:$M$504,开票登记!$G$5:$G$504,$B28)-$G28)</f>
        <v>72000</v>
      </c>
      <c r="J28" s="11">
        <f>IF(OR($B28="",J$4=""),"",SUMIFS(资金流水!$L$5:$L$3032,资金流水!$F$5:$F$3032,$B28,资金流水!$H$5:$H$3032,J$4))</f>
        <v>0</v>
      </c>
      <c r="K28" s="11">
        <f>IF(OR($B28="",K$4=""),"",SUMIFS(资金流水!$L$5:$L$3032,资金流水!$F$5:$F$3032,$B28,资金流水!$H$5:$H$3032,K$4))</f>
        <v>0</v>
      </c>
      <c r="L28" s="11">
        <f>IF(OR($B28="",L$4=""),"",SUMIFS(资金流水!$L$5:$L$3032,资金流水!$F$5:$F$3032,$B28,资金流水!$H$5:$H$3032,L$4))</f>
        <v>0</v>
      </c>
      <c r="M28" s="11">
        <f>IF(OR($B28="",M$4=""),"",SUMIFS(资金流水!$L$5:$L$3032,资金流水!$F$5:$F$3032,$B28,资金流水!$H$5:$H$3032,M$4))</f>
        <v>0</v>
      </c>
      <c r="N28" s="11">
        <f>IF(OR($B28="",N$4=""),"",SUMIFS(资金流水!$L$5:$L$3032,资金流水!$F$5:$F$3032,$B28,资金流水!$H$5:$H$3032,N$4))</f>
        <v>0</v>
      </c>
      <c r="O28" s="11">
        <f>IF(OR($B28="",O$4=""),"",SUMIFS(资金流水!$L$5:$L$3032,资金流水!$F$5:$F$3032,$B28,资金流水!$H$5:$H$3032,O$4))</f>
        <v>0</v>
      </c>
      <c r="P28" s="11">
        <f>IF(OR($B28="",P$4=""),"",SUMIFS(资金流水!$L$5:$L$3032,资金流水!$F$5:$F$3032,$B28,资金流水!$H$5:$H$3032,P$4))</f>
        <v>0</v>
      </c>
      <c r="Q28" s="11">
        <f>IF(OR($B28="",Q$4=""),"",SUMIFS(资金流水!$L$5:$L$3032,资金流水!$F$5:$F$3032,$B28,资金流水!$H$5:$H$3032,Q$4))</f>
        <v>0</v>
      </c>
      <c r="R28" s="11">
        <f>IF(OR($B28="",R$4=""),"",SUMIFS(资金流水!$L$5:$L$3032,资金流水!$F$5:$F$3032,$B28,资金流水!$H$5:$H$3032,R$4))</f>
        <v>0</v>
      </c>
      <c r="S28" s="11" t="str">
        <f>IF(OR($B28="",S$4=""),"",SUMIFS(资金流水!$L$5:$L$3032,资金流水!$F$5:$F$3032,$B28,资金流水!$H$5:$H$3032,S$4))</f>
        <v/>
      </c>
      <c r="T28" s="11" t="str">
        <f>IF(OR($B28="",T$4=""),"",SUMIFS(资金流水!$L$5:$L$3032,资金流水!$F$5:$F$3032,$B28,资金流水!$H$5:$H$3032,T$4))</f>
        <v/>
      </c>
      <c r="U28" s="11" t="str">
        <f>IF(OR($B28="",U$4=""),"",SUMIFS(资金流水!$L$5:$L$3032,资金流水!$F$5:$F$3032,$B28,资金流水!$H$5:$H$3032,U$4))</f>
        <v/>
      </c>
      <c r="V28" s="11" t="str">
        <f>IF(OR($B28="",V$4=""),"",SUMIFS(资金流水!$L$5:$L$3032,资金流水!$F$5:$F$3032,$B28,资金流水!$H$5:$H$3032,V$4))</f>
        <v/>
      </c>
      <c r="W28" s="11" t="str">
        <f>IF(OR($B28="",W$4=""),"",SUMIFS(资金流水!$L$5:$L$3032,资金流水!$F$5:$F$3032,$B28,资金流水!$H$5:$H$3032,W$4))</f>
        <v/>
      </c>
      <c r="X28" s="11">
        <f t="shared" si="1"/>
        <v>0</v>
      </c>
      <c r="Y28" s="11">
        <f t="shared" si="2"/>
        <v>72000</v>
      </c>
      <c r="Z28" s="12">
        <f t="shared" si="3"/>
        <v>1</v>
      </c>
      <c r="AA28" s="11">
        <f t="shared" si="4"/>
        <v>72000</v>
      </c>
      <c r="AB28" s="12">
        <f t="shared" si="5"/>
        <v>0</v>
      </c>
      <c r="AC28" s="28" t="str">
        <f>IF(基础资料!$O27="","",基础资料!$O27)</f>
        <v>已完工已收款</v>
      </c>
    </row>
    <row r="29" ht="24" spans="1:29">
      <c r="A29" s="28" t="str">
        <f>IF(基础资料!$I28="","",基础资料!$I28)</f>
        <v/>
      </c>
      <c r="B29" s="28" t="str">
        <f>IF(基础资料!$J28="","",基础资料!$J28)</f>
        <v>昌吉市第七小学阶梯教室设备采购项目</v>
      </c>
      <c r="C29" s="28" t="str">
        <f>IF(基础资料!$K28="","",基础资料!$K28)</f>
        <v>瑞盛天</v>
      </c>
      <c r="D29" s="28" t="str">
        <f>IF(基础资料!$L28="","",基础资料!$L28)</f>
        <v>昌吉市教育局</v>
      </c>
      <c r="E29" s="25">
        <f>IF(基础资料!$M28="","",基础资料!$M28)</f>
        <v>1159595</v>
      </c>
      <c r="F29" s="11">
        <f>IF($B29="","",IF(基础资料!$AH$4="不含税金额",SUMIFS(开票登记!$J$5:$J$504,开票登记!$G$5:$G$504,$B29),SUMIFS(开票登记!$M$5:$M$504,开票登记!$G$5:$G$504,$B29)))</f>
        <v>1000470</v>
      </c>
      <c r="G29" s="11">
        <f>IF($B29="","",SUMIFS(资金流水!$K$5:$K$3032,资金流水!$F$5:$F$3032,$B29))</f>
        <v>0</v>
      </c>
      <c r="H29" s="11">
        <f t="shared" si="0"/>
        <v>1159595</v>
      </c>
      <c r="I29" s="11">
        <f>IF($B29="","",SUMIFS(开票登记!$M$5:$M$504,开票登记!$G$5:$G$504,$B29)-$G29)</f>
        <v>1000470</v>
      </c>
      <c r="J29" s="11">
        <f>IF(OR($B29="",J$4=""),"",SUMIFS(资金流水!$L$5:$L$3032,资金流水!$F$5:$F$3032,$B29,资金流水!$H$5:$H$3032,J$4))</f>
        <v>0</v>
      </c>
      <c r="K29" s="11">
        <f>IF(OR($B29="",K$4=""),"",SUMIFS(资金流水!$L$5:$L$3032,资金流水!$F$5:$F$3032,$B29,资金流水!$H$5:$H$3032,K$4))</f>
        <v>0</v>
      </c>
      <c r="L29" s="11">
        <f>IF(OR($B29="",L$4=""),"",SUMIFS(资金流水!$L$5:$L$3032,资金流水!$F$5:$F$3032,$B29,资金流水!$H$5:$H$3032,L$4))</f>
        <v>0</v>
      </c>
      <c r="M29" s="11">
        <f>IF(OR($B29="",M$4=""),"",SUMIFS(资金流水!$L$5:$L$3032,资金流水!$F$5:$F$3032,$B29,资金流水!$H$5:$H$3032,M$4))</f>
        <v>0</v>
      </c>
      <c r="N29" s="11">
        <f>IF(OR($B29="",N$4=""),"",SUMIFS(资金流水!$L$5:$L$3032,资金流水!$F$5:$F$3032,$B29,资金流水!$H$5:$H$3032,N$4))</f>
        <v>0</v>
      </c>
      <c r="O29" s="11">
        <f>IF(OR($B29="",O$4=""),"",SUMIFS(资金流水!$L$5:$L$3032,资金流水!$F$5:$F$3032,$B29,资金流水!$H$5:$H$3032,O$4))</f>
        <v>0</v>
      </c>
      <c r="P29" s="11">
        <f>IF(OR($B29="",P$4=""),"",SUMIFS(资金流水!$L$5:$L$3032,资金流水!$F$5:$F$3032,$B29,资金流水!$H$5:$H$3032,P$4))</f>
        <v>0</v>
      </c>
      <c r="Q29" s="11">
        <f>IF(OR($B29="",Q$4=""),"",SUMIFS(资金流水!$L$5:$L$3032,资金流水!$F$5:$F$3032,$B29,资金流水!$H$5:$H$3032,Q$4))</f>
        <v>0</v>
      </c>
      <c r="R29" s="11">
        <f>IF(OR($B29="",R$4=""),"",SUMIFS(资金流水!$L$5:$L$3032,资金流水!$F$5:$F$3032,$B29,资金流水!$H$5:$H$3032,R$4))</f>
        <v>0</v>
      </c>
      <c r="S29" s="11" t="str">
        <f>IF(OR($B29="",S$4=""),"",SUMIFS(资金流水!$L$5:$L$3032,资金流水!$F$5:$F$3032,$B29,资金流水!$H$5:$H$3032,S$4))</f>
        <v/>
      </c>
      <c r="T29" s="11" t="str">
        <f>IF(OR($B29="",T$4=""),"",SUMIFS(资金流水!$L$5:$L$3032,资金流水!$F$5:$F$3032,$B29,资金流水!$H$5:$H$3032,T$4))</f>
        <v/>
      </c>
      <c r="U29" s="11" t="str">
        <f>IF(OR($B29="",U$4=""),"",SUMIFS(资金流水!$L$5:$L$3032,资金流水!$F$5:$F$3032,$B29,资金流水!$H$5:$H$3032,U$4))</f>
        <v/>
      </c>
      <c r="V29" s="11" t="str">
        <f>IF(OR($B29="",V$4=""),"",SUMIFS(资金流水!$L$5:$L$3032,资金流水!$F$5:$F$3032,$B29,资金流水!$H$5:$H$3032,V$4))</f>
        <v/>
      </c>
      <c r="W29" s="11" t="str">
        <f>IF(OR($B29="",W$4=""),"",SUMIFS(资金流水!$L$5:$L$3032,资金流水!$F$5:$F$3032,$B29,资金流水!$H$5:$H$3032,W$4))</f>
        <v/>
      </c>
      <c r="X29" s="11">
        <f t="shared" si="1"/>
        <v>0</v>
      </c>
      <c r="Y29" s="11">
        <f t="shared" si="2"/>
        <v>1000470</v>
      </c>
      <c r="Z29" s="12">
        <f t="shared" si="3"/>
        <v>1</v>
      </c>
      <c r="AA29" s="11">
        <f t="shared" si="4"/>
        <v>1159595</v>
      </c>
      <c r="AB29" s="12">
        <f t="shared" si="5"/>
        <v>0</v>
      </c>
      <c r="AC29" s="28" t="str">
        <f>IF(基础资料!$O28="","",基础资料!$O28)</f>
        <v>未完工未收款</v>
      </c>
    </row>
    <row r="30" ht="24" spans="1:29">
      <c r="A30" s="28" t="str">
        <f>IF(基础资料!$I29="","",基础资料!$I29)</f>
        <v/>
      </c>
      <c r="B30" s="28" t="str">
        <f>IF(基础资料!$J29="","",基础资料!$J29)</f>
        <v>昌吉市第八小学5G+课堂建设采购项目</v>
      </c>
      <c r="C30" s="28" t="str">
        <f>IF(基础资料!$K29="","",基础资料!$K29)</f>
        <v>中展</v>
      </c>
      <c r="D30" s="28" t="str">
        <f>IF(基础资料!$L29="","",基础资料!$L29)</f>
        <v>昌吉市第八小学</v>
      </c>
      <c r="E30" s="25">
        <f>IF(基础资料!$M29="","",基础资料!$M29)</f>
        <v>508600</v>
      </c>
      <c r="F30" s="11">
        <f>IF($B30="","",IF(基础资料!$AH$4="不含税金额",SUMIFS(开票登记!$J$5:$J$504,开票登记!$G$5:$G$504,$B30),SUMIFS(开票登记!$M$5:$M$504,开票登记!$G$5:$G$504,$B30)))</f>
        <v>409980</v>
      </c>
      <c r="G30" s="11">
        <f>IF($B30="","",SUMIFS(资金流水!$K$5:$K$3032,资金流水!$F$5:$F$3032,$B30))</f>
        <v>0</v>
      </c>
      <c r="H30" s="11">
        <f t="shared" si="0"/>
        <v>508600</v>
      </c>
      <c r="I30" s="11">
        <f>IF($B30="","",SUMIFS(开票登记!$M$5:$M$504,开票登记!$G$5:$G$504,$B30)-$G30)</f>
        <v>409980</v>
      </c>
      <c r="J30" s="11">
        <f>IF(OR($B30="",J$4=""),"",SUMIFS(资金流水!$L$5:$L$3032,资金流水!$F$5:$F$3032,$B30,资金流水!$H$5:$H$3032,J$4))</f>
        <v>0</v>
      </c>
      <c r="K30" s="11">
        <f>IF(OR($B30="",K$4=""),"",SUMIFS(资金流水!$L$5:$L$3032,资金流水!$F$5:$F$3032,$B30,资金流水!$H$5:$H$3032,K$4))</f>
        <v>0</v>
      </c>
      <c r="L30" s="11">
        <f>IF(OR($B30="",L$4=""),"",SUMIFS(资金流水!$L$5:$L$3032,资金流水!$F$5:$F$3032,$B30,资金流水!$H$5:$H$3032,L$4))</f>
        <v>0</v>
      </c>
      <c r="M30" s="11">
        <f>IF(OR($B30="",M$4=""),"",SUMIFS(资金流水!$L$5:$L$3032,资金流水!$F$5:$F$3032,$B30,资金流水!$H$5:$H$3032,M$4))</f>
        <v>0</v>
      </c>
      <c r="N30" s="11">
        <f>IF(OR($B30="",N$4=""),"",SUMIFS(资金流水!$L$5:$L$3032,资金流水!$F$5:$F$3032,$B30,资金流水!$H$5:$H$3032,N$4))</f>
        <v>0</v>
      </c>
      <c r="O30" s="11">
        <f>IF(OR($B30="",O$4=""),"",SUMIFS(资金流水!$L$5:$L$3032,资金流水!$F$5:$F$3032,$B30,资金流水!$H$5:$H$3032,O$4))</f>
        <v>0</v>
      </c>
      <c r="P30" s="11">
        <f>IF(OR($B30="",P$4=""),"",SUMIFS(资金流水!$L$5:$L$3032,资金流水!$F$5:$F$3032,$B30,资金流水!$H$5:$H$3032,P$4))</f>
        <v>0</v>
      </c>
      <c r="Q30" s="11">
        <f>IF(OR($B30="",Q$4=""),"",SUMIFS(资金流水!$L$5:$L$3032,资金流水!$F$5:$F$3032,$B30,资金流水!$H$5:$H$3032,Q$4))</f>
        <v>0</v>
      </c>
      <c r="R30" s="11">
        <f>IF(OR($B30="",R$4=""),"",SUMIFS(资金流水!$L$5:$L$3032,资金流水!$F$5:$F$3032,$B30,资金流水!$H$5:$H$3032,R$4))</f>
        <v>0</v>
      </c>
      <c r="S30" s="11" t="str">
        <f>IF(OR($B30="",S$4=""),"",SUMIFS(资金流水!$L$5:$L$3032,资金流水!$F$5:$F$3032,$B30,资金流水!$H$5:$H$3032,S$4))</f>
        <v/>
      </c>
      <c r="T30" s="11" t="str">
        <f>IF(OR($B30="",T$4=""),"",SUMIFS(资金流水!$L$5:$L$3032,资金流水!$F$5:$F$3032,$B30,资金流水!$H$5:$H$3032,T$4))</f>
        <v/>
      </c>
      <c r="U30" s="11" t="str">
        <f>IF(OR($B30="",U$4=""),"",SUMIFS(资金流水!$L$5:$L$3032,资金流水!$F$5:$F$3032,$B30,资金流水!$H$5:$H$3032,U$4))</f>
        <v/>
      </c>
      <c r="V30" s="11" t="str">
        <f>IF(OR($B30="",V$4=""),"",SUMIFS(资金流水!$L$5:$L$3032,资金流水!$F$5:$F$3032,$B30,资金流水!$H$5:$H$3032,V$4))</f>
        <v/>
      </c>
      <c r="W30" s="11" t="str">
        <f>IF(OR($B30="",W$4=""),"",SUMIFS(资金流水!$L$5:$L$3032,资金流水!$F$5:$F$3032,$B30,资金流水!$H$5:$H$3032,W$4))</f>
        <v/>
      </c>
      <c r="X30" s="11">
        <f t="shared" si="1"/>
        <v>0</v>
      </c>
      <c r="Y30" s="11">
        <f t="shared" si="2"/>
        <v>409980</v>
      </c>
      <c r="Z30" s="12">
        <f t="shared" si="3"/>
        <v>1</v>
      </c>
      <c r="AA30" s="11">
        <f t="shared" si="4"/>
        <v>508600</v>
      </c>
      <c r="AB30" s="12">
        <f t="shared" si="5"/>
        <v>0</v>
      </c>
      <c r="AC30" s="28" t="str">
        <f>IF(基础资料!$O29="","",基础资料!$O29)</f>
        <v>未完工未收款</v>
      </c>
    </row>
    <row r="31" ht="36" spans="1:29">
      <c r="A31" s="28" t="str">
        <f>IF(基础资料!$I30="","",基础资料!$I30)</f>
        <v/>
      </c>
      <c r="B31" s="28" t="str">
        <f>IF(基础资料!$J30="","",基础资料!$J30)</f>
        <v>2026年新疆信友能源投资有限公司网格优化服务项目</v>
      </c>
      <c r="C31" s="28" t="str">
        <f>IF(基础资料!$K30="","",基础资料!$K30)</f>
        <v>双思威</v>
      </c>
      <c r="D31" s="28" t="str">
        <f>IF(基础资料!$L30="","",基础资料!$L30)</f>
        <v>新疆信友能源投资有限公司</v>
      </c>
      <c r="E31" s="25">
        <f>IF(基础资料!$M30="","",基础资料!$M30)</f>
        <v>332000</v>
      </c>
      <c r="F31" s="11">
        <f>IF($B31="","",IF(基础资料!$AH$4="不含税金额",SUMIFS(开票登记!$J$5:$J$504,开票登记!$G$5:$G$504,$B31),SUMIFS(开票登记!$M$5:$M$504,开票登记!$G$5:$G$504,$B31)))</f>
        <v>90000</v>
      </c>
      <c r="G31" s="11">
        <f>IF($B31="","",SUMIFS(资金流水!$K$5:$K$3032,资金流水!$F$5:$F$3032,$B31))</f>
        <v>0</v>
      </c>
      <c r="H31" s="11">
        <f t="shared" si="0"/>
        <v>332000</v>
      </c>
      <c r="I31" s="11">
        <f>IF($B31="","",SUMIFS(开票登记!$M$5:$M$504,开票登记!$G$5:$G$504,$B31)-$G31)</f>
        <v>90000</v>
      </c>
      <c r="J31" s="11">
        <f>IF(OR($B31="",J$4=""),"",SUMIFS(资金流水!$L$5:$L$3032,资金流水!$F$5:$F$3032,$B31,资金流水!$H$5:$H$3032,J$4))</f>
        <v>0</v>
      </c>
      <c r="K31" s="11">
        <f>IF(OR($B31="",K$4=""),"",SUMIFS(资金流水!$L$5:$L$3032,资金流水!$F$5:$F$3032,$B31,资金流水!$H$5:$H$3032,K$4))</f>
        <v>0</v>
      </c>
      <c r="L31" s="11">
        <f>IF(OR($B31="",L$4=""),"",SUMIFS(资金流水!$L$5:$L$3032,资金流水!$F$5:$F$3032,$B31,资金流水!$H$5:$H$3032,L$4))</f>
        <v>0</v>
      </c>
      <c r="M31" s="11">
        <f>IF(OR($B31="",M$4=""),"",SUMIFS(资金流水!$L$5:$L$3032,资金流水!$F$5:$F$3032,$B31,资金流水!$H$5:$H$3032,M$4))</f>
        <v>0</v>
      </c>
      <c r="N31" s="11">
        <f>IF(OR($B31="",N$4=""),"",SUMIFS(资金流水!$L$5:$L$3032,资金流水!$F$5:$F$3032,$B31,资金流水!$H$5:$H$3032,N$4))</f>
        <v>0</v>
      </c>
      <c r="O31" s="11">
        <f>IF(OR($B31="",O$4=""),"",SUMIFS(资金流水!$L$5:$L$3032,资金流水!$F$5:$F$3032,$B31,资金流水!$H$5:$H$3032,O$4))</f>
        <v>0</v>
      </c>
      <c r="P31" s="11">
        <f>IF(OR($B31="",P$4=""),"",SUMIFS(资金流水!$L$5:$L$3032,资金流水!$F$5:$F$3032,$B31,资金流水!$H$5:$H$3032,P$4))</f>
        <v>0</v>
      </c>
      <c r="Q31" s="11">
        <f>IF(OR($B31="",Q$4=""),"",SUMIFS(资金流水!$L$5:$L$3032,资金流水!$F$5:$F$3032,$B31,资金流水!$H$5:$H$3032,Q$4))</f>
        <v>0</v>
      </c>
      <c r="R31" s="11">
        <f>IF(OR($B31="",R$4=""),"",SUMIFS(资金流水!$L$5:$L$3032,资金流水!$F$5:$F$3032,$B31,资金流水!$H$5:$H$3032,R$4))</f>
        <v>0</v>
      </c>
      <c r="S31" s="11" t="str">
        <f>IF(OR($B31="",S$4=""),"",SUMIFS(资金流水!$L$5:$L$3032,资金流水!$F$5:$F$3032,$B31,资金流水!$H$5:$H$3032,S$4))</f>
        <v/>
      </c>
      <c r="T31" s="11" t="str">
        <f>IF(OR($B31="",T$4=""),"",SUMIFS(资金流水!$L$5:$L$3032,资金流水!$F$5:$F$3032,$B31,资金流水!$H$5:$H$3032,T$4))</f>
        <v/>
      </c>
      <c r="U31" s="11" t="str">
        <f>IF(OR($B31="",U$4=""),"",SUMIFS(资金流水!$L$5:$L$3032,资金流水!$F$5:$F$3032,$B31,资金流水!$H$5:$H$3032,U$4))</f>
        <v/>
      </c>
      <c r="V31" s="11" t="str">
        <f>IF(OR($B31="",V$4=""),"",SUMIFS(资金流水!$L$5:$L$3032,资金流水!$F$5:$F$3032,$B31,资金流水!$H$5:$H$3032,V$4))</f>
        <v/>
      </c>
      <c r="W31" s="11" t="str">
        <f>IF(OR($B31="",W$4=""),"",SUMIFS(资金流水!$L$5:$L$3032,资金流水!$F$5:$F$3032,$B31,资金流水!$H$5:$H$3032,W$4))</f>
        <v/>
      </c>
      <c r="X31" s="11">
        <f t="shared" si="1"/>
        <v>0</v>
      </c>
      <c r="Y31" s="11">
        <f t="shared" si="2"/>
        <v>90000</v>
      </c>
      <c r="Z31" s="12">
        <f t="shared" si="3"/>
        <v>1</v>
      </c>
      <c r="AA31" s="11">
        <f t="shared" si="4"/>
        <v>332000</v>
      </c>
      <c r="AB31" s="12">
        <f t="shared" si="5"/>
        <v>0</v>
      </c>
      <c r="AC31" s="28" t="str">
        <f>IF(基础资料!$O30="","",基础资料!$O30)</f>
        <v/>
      </c>
    </row>
    <row r="32" ht="36" spans="1:29">
      <c r="A32" s="28" t="str">
        <f>IF(基础资料!$I31="","",基础资料!$I31)</f>
        <v/>
      </c>
      <c r="B32" s="28" t="str">
        <f>IF(基础资料!$J31="","",基础资料!$J31)</f>
        <v>昌吉市第十七小学配套附属设施采购项目（教育教学设备</v>
      </c>
      <c r="C32" s="28" t="str">
        <f>IF(基础资料!$K31="","",基础资料!$K31)</f>
        <v>元界启辰</v>
      </c>
      <c r="D32" s="28" t="str">
        <f>IF(基础资料!$L31="","",基础资料!$L31)</f>
        <v>昌吉市教育局</v>
      </c>
      <c r="E32" s="25">
        <f>IF(基础资料!$M31="","",基础资料!$M31)</f>
        <v>2937098</v>
      </c>
      <c r="F32" s="11">
        <f>IF($B32="","",IF(基础资料!$AH$4="不含税金额",SUMIFS(开票登记!$J$5:$J$504,开票登记!$G$5:$G$504,$B32),SUMIFS(开票登记!$M$5:$M$504,开票登记!$G$5:$G$504,$B32)))</f>
        <v>2349678.4</v>
      </c>
      <c r="G32" s="11">
        <f>IF($B32="","",SUMIFS(资金流水!$K$5:$K$3032,资金流水!$F$5:$F$3032,$B32))</f>
        <v>0</v>
      </c>
      <c r="H32" s="11">
        <f t="shared" si="0"/>
        <v>2937098</v>
      </c>
      <c r="I32" s="11">
        <f>IF($B32="","",SUMIFS(开票登记!$M$5:$M$504,开票登记!$G$5:$G$504,$B32)-$G32)</f>
        <v>2349678.4</v>
      </c>
      <c r="J32" s="11">
        <f>IF(OR($B32="",J$4=""),"",SUMIFS(资金流水!$L$5:$L$3032,资金流水!$F$5:$F$3032,$B32,资金流水!$H$5:$H$3032,J$4))</f>
        <v>0</v>
      </c>
      <c r="K32" s="11">
        <f>IF(OR($B32="",K$4=""),"",SUMIFS(资金流水!$L$5:$L$3032,资金流水!$F$5:$F$3032,$B32,资金流水!$H$5:$H$3032,K$4))</f>
        <v>0</v>
      </c>
      <c r="L32" s="11">
        <f>IF(OR($B32="",L$4=""),"",SUMIFS(资金流水!$L$5:$L$3032,资金流水!$F$5:$F$3032,$B32,资金流水!$H$5:$H$3032,L$4))</f>
        <v>0</v>
      </c>
      <c r="M32" s="11">
        <f>IF(OR($B32="",M$4=""),"",SUMIFS(资金流水!$L$5:$L$3032,资金流水!$F$5:$F$3032,$B32,资金流水!$H$5:$H$3032,M$4))</f>
        <v>0</v>
      </c>
      <c r="N32" s="11">
        <f>IF(OR($B32="",N$4=""),"",SUMIFS(资金流水!$L$5:$L$3032,资金流水!$F$5:$F$3032,$B32,资金流水!$H$5:$H$3032,N$4))</f>
        <v>0</v>
      </c>
      <c r="O32" s="11">
        <f>IF(OR($B32="",O$4=""),"",SUMIFS(资金流水!$L$5:$L$3032,资金流水!$F$5:$F$3032,$B32,资金流水!$H$5:$H$3032,O$4))</f>
        <v>0</v>
      </c>
      <c r="P32" s="11">
        <f>IF(OR($B32="",P$4=""),"",SUMIFS(资金流水!$L$5:$L$3032,资金流水!$F$5:$F$3032,$B32,资金流水!$H$5:$H$3032,P$4))</f>
        <v>0</v>
      </c>
      <c r="Q32" s="11">
        <f>IF(OR($B32="",Q$4=""),"",SUMIFS(资金流水!$L$5:$L$3032,资金流水!$F$5:$F$3032,$B32,资金流水!$H$5:$H$3032,Q$4))</f>
        <v>0</v>
      </c>
      <c r="R32" s="11">
        <f>IF(OR($B32="",R$4=""),"",SUMIFS(资金流水!$L$5:$L$3032,资金流水!$F$5:$F$3032,$B32,资金流水!$H$5:$H$3032,R$4))</f>
        <v>0</v>
      </c>
      <c r="S32" s="11" t="str">
        <f>IF(OR($B32="",S$4=""),"",SUMIFS(资金流水!$L$5:$L$3032,资金流水!$F$5:$F$3032,$B32,资金流水!$H$5:$H$3032,S$4))</f>
        <v/>
      </c>
      <c r="T32" s="11" t="str">
        <f>IF(OR($B32="",T$4=""),"",SUMIFS(资金流水!$L$5:$L$3032,资金流水!$F$5:$F$3032,$B32,资金流水!$H$5:$H$3032,T$4))</f>
        <v/>
      </c>
      <c r="U32" s="11" t="str">
        <f>IF(OR($B32="",U$4=""),"",SUMIFS(资金流水!$L$5:$L$3032,资金流水!$F$5:$F$3032,$B32,资金流水!$H$5:$H$3032,U$4))</f>
        <v/>
      </c>
      <c r="V32" s="11" t="str">
        <f>IF(OR($B32="",V$4=""),"",SUMIFS(资金流水!$L$5:$L$3032,资金流水!$F$5:$F$3032,$B32,资金流水!$H$5:$H$3032,V$4))</f>
        <v/>
      </c>
      <c r="W32" s="11" t="str">
        <f>IF(OR($B32="",W$4=""),"",SUMIFS(资金流水!$L$5:$L$3032,资金流水!$F$5:$F$3032,$B32,资金流水!$H$5:$H$3032,W$4))</f>
        <v/>
      </c>
      <c r="X32" s="11">
        <f t="shared" si="1"/>
        <v>0</v>
      </c>
      <c r="Y32" s="11">
        <f t="shared" si="2"/>
        <v>2349678.4</v>
      </c>
      <c r="Z32" s="12">
        <f t="shared" si="3"/>
        <v>1</v>
      </c>
      <c r="AA32" s="11">
        <f t="shared" si="4"/>
        <v>2937098</v>
      </c>
      <c r="AB32" s="12">
        <f t="shared" si="5"/>
        <v>0</v>
      </c>
      <c r="AC32" s="28" t="str">
        <f>IF(基础资料!$O31="","",基础资料!$O31)</f>
        <v>未完工未收款</v>
      </c>
    </row>
    <row r="33" ht="24" spans="1:29">
      <c r="A33" s="28" t="str">
        <f>IF(基础资料!$I32="","",基础资料!$I32)</f>
        <v/>
      </c>
      <c r="B33" s="28" t="str">
        <f>IF(基础资料!$J32="","",基础资料!$J32)</f>
        <v>昌吉市第十二小学阶梯教室设备采购项目</v>
      </c>
      <c r="C33" s="28" t="str">
        <f>IF(基础资料!$K32="","",基础资料!$K32)</f>
        <v>双思威</v>
      </c>
      <c r="D33" s="28" t="str">
        <f>IF(基础资料!$L32="","",基础资料!$L32)</f>
        <v>昌吉市第十二小学</v>
      </c>
      <c r="E33" s="25">
        <f>IF(基础资料!$M32="","",基础资料!$M32)</f>
        <v>953360</v>
      </c>
      <c r="F33" s="11">
        <f>IF($B33="","",IF(基础资料!$AH$4="不含税金额",SUMIFS(开票登记!$J$5:$J$504,开票登记!$G$5:$G$504,$B33),SUMIFS(开票登记!$M$5:$M$504,开票登记!$G$5:$G$504,$B33)))</f>
        <v>0</v>
      </c>
      <c r="G33" s="11">
        <f>IF($B33="","",SUMIFS(资金流水!$K$5:$K$3032,资金流水!$F$5:$F$3032,$B33))</f>
        <v>0</v>
      </c>
      <c r="H33" s="11">
        <f t="shared" si="0"/>
        <v>953360</v>
      </c>
      <c r="I33" s="11">
        <f>IF($B33="","",SUMIFS(开票登记!$M$5:$M$504,开票登记!$G$5:$G$504,$B33)-$G33)</f>
        <v>0</v>
      </c>
      <c r="J33" s="11">
        <f>IF(OR($B33="",J$4=""),"",SUMIFS(资金流水!$L$5:$L$3032,资金流水!$F$5:$F$3032,$B33,资金流水!$H$5:$H$3032,J$4))</f>
        <v>0</v>
      </c>
      <c r="K33" s="11">
        <f>IF(OR($B33="",K$4=""),"",SUMIFS(资金流水!$L$5:$L$3032,资金流水!$F$5:$F$3032,$B33,资金流水!$H$5:$H$3032,K$4))</f>
        <v>0</v>
      </c>
      <c r="L33" s="11">
        <f>IF(OR($B33="",L$4=""),"",SUMIFS(资金流水!$L$5:$L$3032,资金流水!$F$5:$F$3032,$B33,资金流水!$H$5:$H$3032,L$4))</f>
        <v>0</v>
      </c>
      <c r="M33" s="11">
        <f>IF(OR($B33="",M$4=""),"",SUMIFS(资金流水!$L$5:$L$3032,资金流水!$F$5:$F$3032,$B33,资金流水!$H$5:$H$3032,M$4))</f>
        <v>0</v>
      </c>
      <c r="N33" s="11">
        <f>IF(OR($B33="",N$4=""),"",SUMIFS(资金流水!$L$5:$L$3032,资金流水!$F$5:$F$3032,$B33,资金流水!$H$5:$H$3032,N$4))</f>
        <v>0</v>
      </c>
      <c r="O33" s="11">
        <f>IF(OR($B33="",O$4=""),"",SUMIFS(资金流水!$L$5:$L$3032,资金流水!$F$5:$F$3032,$B33,资金流水!$H$5:$H$3032,O$4))</f>
        <v>0</v>
      </c>
      <c r="P33" s="11">
        <f>IF(OR($B33="",P$4=""),"",SUMIFS(资金流水!$L$5:$L$3032,资金流水!$F$5:$F$3032,$B33,资金流水!$H$5:$H$3032,P$4))</f>
        <v>0</v>
      </c>
      <c r="Q33" s="11">
        <f>IF(OR($B33="",Q$4=""),"",SUMIFS(资金流水!$L$5:$L$3032,资金流水!$F$5:$F$3032,$B33,资金流水!$H$5:$H$3032,Q$4))</f>
        <v>0</v>
      </c>
      <c r="R33" s="11">
        <f>IF(OR($B33="",R$4=""),"",SUMIFS(资金流水!$L$5:$L$3032,资金流水!$F$5:$F$3032,$B33,资金流水!$H$5:$H$3032,R$4))</f>
        <v>0</v>
      </c>
      <c r="S33" s="11" t="str">
        <f>IF(OR($B33="",S$4=""),"",SUMIFS(资金流水!$L$5:$L$3032,资金流水!$F$5:$F$3032,$B33,资金流水!$H$5:$H$3032,S$4))</f>
        <v/>
      </c>
      <c r="T33" s="11" t="str">
        <f>IF(OR($B33="",T$4=""),"",SUMIFS(资金流水!$L$5:$L$3032,资金流水!$F$5:$F$3032,$B33,资金流水!$H$5:$H$3032,T$4))</f>
        <v/>
      </c>
      <c r="U33" s="11" t="str">
        <f>IF(OR($B33="",U$4=""),"",SUMIFS(资金流水!$L$5:$L$3032,资金流水!$F$5:$F$3032,$B33,资金流水!$H$5:$H$3032,U$4))</f>
        <v/>
      </c>
      <c r="V33" s="11" t="str">
        <f>IF(OR($B33="",V$4=""),"",SUMIFS(资金流水!$L$5:$L$3032,资金流水!$F$5:$F$3032,$B33,资金流水!$H$5:$H$3032,V$4))</f>
        <v/>
      </c>
      <c r="W33" s="11" t="str">
        <f>IF(OR($B33="",W$4=""),"",SUMIFS(资金流水!$L$5:$L$3032,资金流水!$F$5:$F$3032,$B33,资金流水!$H$5:$H$3032,W$4))</f>
        <v/>
      </c>
      <c r="X33" s="11">
        <f t="shared" si="1"/>
        <v>0</v>
      </c>
      <c r="Y33" s="11">
        <f t="shared" si="2"/>
        <v>0</v>
      </c>
      <c r="Z33" s="12" t="str">
        <f t="shared" si="3"/>
        <v/>
      </c>
      <c r="AA33" s="11">
        <f t="shared" si="4"/>
        <v>953360</v>
      </c>
      <c r="AB33" s="12">
        <f t="shared" si="5"/>
        <v>0</v>
      </c>
      <c r="AC33" s="28" t="str">
        <f>IF(基础资料!$O32="","",基础资料!$O32)</f>
        <v>未完工未收款</v>
      </c>
    </row>
    <row r="34" ht="24" spans="1:29">
      <c r="A34" s="28" t="str">
        <f>IF(基础资料!$I33="","",基础资料!$I33)</f>
        <v/>
      </c>
      <c r="B34" s="28" t="str">
        <f>IF(基础资料!$J33="","",基础资料!$J33)</f>
        <v>十八小的厨房监控</v>
      </c>
      <c r="C34" s="28" t="str">
        <f>IF(基础资料!$K33="","",基础资料!$K33)</f>
        <v>中展</v>
      </c>
      <c r="D34" s="28" t="str">
        <f>IF(基础资料!$L33="","",基础资料!$L33)</f>
        <v>昌吉市第十四小学</v>
      </c>
      <c r="E34" s="25">
        <f>IF(基础资料!$M33="","",基础资料!$M33)</f>
        <v>45000</v>
      </c>
      <c r="F34" s="11">
        <f>IF($B34="","",IF(基础资料!$AH$4="不含税金额",SUMIFS(开票登记!$J$5:$J$504,开票登记!$G$5:$G$504,$B34),SUMIFS(开票登记!$M$5:$M$504,开票登记!$G$5:$G$504,$B34)))</f>
        <v>45000.01</v>
      </c>
      <c r="G34" s="11">
        <f>IF($B34="","",SUMIFS(资金流水!$K$5:$K$3032,资金流水!$F$5:$F$3032,$B34))</f>
        <v>0</v>
      </c>
      <c r="H34" s="11">
        <f t="shared" si="0"/>
        <v>45000</v>
      </c>
      <c r="I34" s="11">
        <f>IF($B34="","",SUMIFS(开票登记!$M$5:$M$504,开票登记!$G$5:$G$504,$B34)-$G34)</f>
        <v>45000.01</v>
      </c>
      <c r="J34" s="11">
        <f>IF(OR($B34="",J$4=""),"",SUMIFS(资金流水!$L$5:$L$3032,资金流水!$F$5:$F$3032,$B34,资金流水!$H$5:$H$3032,J$4))</f>
        <v>0</v>
      </c>
      <c r="K34" s="11">
        <f>IF(OR($B34="",K$4=""),"",SUMIFS(资金流水!$L$5:$L$3032,资金流水!$F$5:$F$3032,$B34,资金流水!$H$5:$H$3032,K$4))</f>
        <v>0</v>
      </c>
      <c r="L34" s="11">
        <f>IF(OR($B34="",L$4=""),"",SUMIFS(资金流水!$L$5:$L$3032,资金流水!$F$5:$F$3032,$B34,资金流水!$H$5:$H$3032,L$4))</f>
        <v>0</v>
      </c>
      <c r="M34" s="11">
        <f>IF(OR($B34="",M$4=""),"",SUMIFS(资金流水!$L$5:$L$3032,资金流水!$F$5:$F$3032,$B34,资金流水!$H$5:$H$3032,M$4))</f>
        <v>0</v>
      </c>
      <c r="N34" s="11">
        <f>IF(OR($B34="",N$4=""),"",SUMIFS(资金流水!$L$5:$L$3032,资金流水!$F$5:$F$3032,$B34,资金流水!$H$5:$H$3032,N$4))</f>
        <v>0</v>
      </c>
      <c r="O34" s="11">
        <f>IF(OR($B34="",O$4=""),"",SUMIFS(资金流水!$L$5:$L$3032,资金流水!$F$5:$F$3032,$B34,资金流水!$H$5:$H$3032,O$4))</f>
        <v>0</v>
      </c>
      <c r="P34" s="11">
        <f>IF(OR($B34="",P$4=""),"",SUMIFS(资金流水!$L$5:$L$3032,资金流水!$F$5:$F$3032,$B34,资金流水!$H$5:$H$3032,P$4))</f>
        <v>0</v>
      </c>
      <c r="Q34" s="11">
        <f>IF(OR($B34="",Q$4=""),"",SUMIFS(资金流水!$L$5:$L$3032,资金流水!$F$5:$F$3032,$B34,资金流水!$H$5:$H$3032,Q$4))</f>
        <v>0</v>
      </c>
      <c r="R34" s="11">
        <f>IF(OR($B34="",R$4=""),"",SUMIFS(资金流水!$L$5:$L$3032,资金流水!$F$5:$F$3032,$B34,资金流水!$H$5:$H$3032,R$4))</f>
        <v>0</v>
      </c>
      <c r="S34" s="11" t="str">
        <f>IF(OR($B34="",S$4=""),"",SUMIFS(资金流水!$L$5:$L$3032,资金流水!$F$5:$F$3032,$B34,资金流水!$H$5:$H$3032,S$4))</f>
        <v/>
      </c>
      <c r="T34" s="11" t="str">
        <f>IF(OR($B34="",T$4=""),"",SUMIFS(资金流水!$L$5:$L$3032,资金流水!$F$5:$F$3032,$B34,资金流水!$H$5:$H$3032,T$4))</f>
        <v/>
      </c>
      <c r="U34" s="11" t="str">
        <f>IF(OR($B34="",U$4=""),"",SUMIFS(资金流水!$L$5:$L$3032,资金流水!$F$5:$F$3032,$B34,资金流水!$H$5:$H$3032,U$4))</f>
        <v/>
      </c>
      <c r="V34" s="11" t="str">
        <f>IF(OR($B34="",V$4=""),"",SUMIFS(资金流水!$L$5:$L$3032,资金流水!$F$5:$F$3032,$B34,资金流水!$H$5:$H$3032,V$4))</f>
        <v/>
      </c>
      <c r="W34" s="11" t="str">
        <f>IF(OR($B34="",W$4=""),"",SUMIFS(资金流水!$L$5:$L$3032,资金流水!$F$5:$F$3032,$B34,资金流水!$H$5:$H$3032,W$4))</f>
        <v/>
      </c>
      <c r="X34" s="11">
        <f t="shared" si="1"/>
        <v>0</v>
      </c>
      <c r="Y34" s="11">
        <f t="shared" si="2"/>
        <v>45000.01</v>
      </c>
      <c r="Z34" s="12">
        <f t="shared" si="3"/>
        <v>1</v>
      </c>
      <c r="AA34" s="11">
        <f t="shared" si="4"/>
        <v>45000</v>
      </c>
      <c r="AB34" s="12">
        <f t="shared" si="5"/>
        <v>0</v>
      </c>
      <c r="AC34" s="28" t="str">
        <f>IF(基础资料!$O33="","",基础资料!$O33)</f>
        <v>已完工已收款</v>
      </c>
    </row>
    <row r="35" ht="24" spans="1:29">
      <c r="A35" s="28" t="str">
        <f>IF(基础资料!$I34="","",基础资料!$I34)</f>
        <v/>
      </c>
      <c r="B35" s="28" t="str">
        <f>IF(基础资料!$J34="","",基础资料!$J34)</f>
        <v>昌吉市南安幼儿园设备采购项目</v>
      </c>
      <c r="C35" s="28" t="str">
        <f>IF(基础资料!$K34="","",基础资料!$K34)</f>
        <v>中展</v>
      </c>
      <c r="D35" s="28" t="str">
        <f>IF(基础资料!$L34="","",基础资料!$L34)</f>
        <v>昌吉市第五幼儿园</v>
      </c>
      <c r="E35" s="25">
        <f>IF(基础资料!$M34="","",基础资料!$M34)</f>
        <v>27155</v>
      </c>
      <c r="F35" s="11">
        <f>IF($B35="","",IF(基础资料!$AH$4="不含税金额",SUMIFS(开票登记!$J$5:$J$504,开票登记!$G$5:$G$504,$B35),SUMIFS(开票登记!$M$5:$M$504,开票登记!$G$5:$G$504,$B35)))</f>
        <v>127155</v>
      </c>
      <c r="G35" s="11">
        <f>IF($B35="","",SUMIFS(资金流水!$K$5:$K$3032,资金流水!$F$5:$F$3032,$B35))</f>
        <v>0</v>
      </c>
      <c r="H35" s="11">
        <f t="shared" si="0"/>
        <v>27155</v>
      </c>
      <c r="I35" s="11">
        <f>IF($B35="","",SUMIFS(开票登记!$M$5:$M$504,开票登记!$G$5:$G$504,$B35)-$G35)</f>
        <v>127155</v>
      </c>
      <c r="J35" s="11">
        <f>IF(OR($B35="",J$4=""),"",SUMIFS(资金流水!$L$5:$L$3032,资金流水!$F$5:$F$3032,$B35,资金流水!$H$5:$H$3032,J$4))</f>
        <v>0</v>
      </c>
      <c r="K35" s="11">
        <f>IF(OR($B35="",K$4=""),"",SUMIFS(资金流水!$L$5:$L$3032,资金流水!$F$5:$F$3032,$B35,资金流水!$H$5:$H$3032,K$4))</f>
        <v>0</v>
      </c>
      <c r="L35" s="11">
        <f>IF(OR($B35="",L$4=""),"",SUMIFS(资金流水!$L$5:$L$3032,资金流水!$F$5:$F$3032,$B35,资金流水!$H$5:$H$3032,L$4))</f>
        <v>0</v>
      </c>
      <c r="M35" s="11">
        <f>IF(OR($B35="",M$4=""),"",SUMIFS(资金流水!$L$5:$L$3032,资金流水!$F$5:$F$3032,$B35,资金流水!$H$5:$H$3032,M$4))</f>
        <v>0</v>
      </c>
      <c r="N35" s="11">
        <f>IF(OR($B35="",N$4=""),"",SUMIFS(资金流水!$L$5:$L$3032,资金流水!$F$5:$F$3032,$B35,资金流水!$H$5:$H$3032,N$4))</f>
        <v>0</v>
      </c>
      <c r="O35" s="11">
        <f>IF(OR($B35="",O$4=""),"",SUMIFS(资金流水!$L$5:$L$3032,资金流水!$F$5:$F$3032,$B35,资金流水!$H$5:$H$3032,O$4))</f>
        <v>0</v>
      </c>
      <c r="P35" s="11">
        <f>IF(OR($B35="",P$4=""),"",SUMIFS(资金流水!$L$5:$L$3032,资金流水!$F$5:$F$3032,$B35,资金流水!$H$5:$H$3032,P$4))</f>
        <v>0</v>
      </c>
      <c r="Q35" s="11">
        <f>IF(OR($B35="",Q$4=""),"",SUMIFS(资金流水!$L$5:$L$3032,资金流水!$F$5:$F$3032,$B35,资金流水!$H$5:$H$3032,Q$4))</f>
        <v>0</v>
      </c>
      <c r="R35" s="11">
        <f>IF(OR($B35="",R$4=""),"",SUMIFS(资金流水!$L$5:$L$3032,资金流水!$F$5:$F$3032,$B35,资金流水!$H$5:$H$3032,R$4))</f>
        <v>0</v>
      </c>
      <c r="S35" s="11" t="str">
        <f>IF(OR($B35="",S$4=""),"",SUMIFS(资金流水!$L$5:$L$3032,资金流水!$F$5:$F$3032,$B35,资金流水!$H$5:$H$3032,S$4))</f>
        <v/>
      </c>
      <c r="T35" s="11" t="str">
        <f>IF(OR($B35="",T$4=""),"",SUMIFS(资金流水!$L$5:$L$3032,资金流水!$F$5:$F$3032,$B35,资金流水!$H$5:$H$3032,T$4))</f>
        <v/>
      </c>
      <c r="U35" s="11" t="str">
        <f>IF(OR($B35="",U$4=""),"",SUMIFS(资金流水!$L$5:$L$3032,资金流水!$F$5:$F$3032,$B35,资金流水!$H$5:$H$3032,U$4))</f>
        <v/>
      </c>
      <c r="V35" s="11" t="str">
        <f>IF(OR($B35="",V$4=""),"",SUMIFS(资金流水!$L$5:$L$3032,资金流水!$F$5:$F$3032,$B35,资金流水!$H$5:$H$3032,V$4))</f>
        <v/>
      </c>
      <c r="W35" s="11" t="str">
        <f>IF(OR($B35="",W$4=""),"",SUMIFS(资金流水!$L$5:$L$3032,资金流水!$F$5:$F$3032,$B35,资金流水!$H$5:$H$3032,W$4))</f>
        <v/>
      </c>
      <c r="X35" s="11">
        <f t="shared" si="1"/>
        <v>0</v>
      </c>
      <c r="Y35" s="11">
        <f t="shared" si="2"/>
        <v>127155</v>
      </c>
      <c r="Z35" s="12">
        <f t="shared" si="3"/>
        <v>1</v>
      </c>
      <c r="AA35" s="11">
        <f t="shared" si="4"/>
        <v>27155</v>
      </c>
      <c r="AB35" s="12">
        <f t="shared" si="5"/>
        <v>0</v>
      </c>
      <c r="AC35" s="28" t="str">
        <f>IF(基础资料!$O34="","",基础资料!$O34)</f>
        <v>已完工已收款</v>
      </c>
    </row>
    <row r="36" ht="36" spans="1:29">
      <c r="A36" s="28" t="str">
        <f>IF(基础资料!$I35="","",基础资料!$I35)</f>
        <v/>
      </c>
      <c r="B36" s="28" t="str">
        <f>IF(基础资料!$J35="","",基础资料!$J35)</f>
        <v>关于麦盖提县教育局“阳光食堂”硬件采购项目</v>
      </c>
      <c r="C36" s="28" t="str">
        <f>IF(基础资料!$K35="","",基础资料!$K35)</f>
        <v>元界启辰</v>
      </c>
      <c r="D36" s="28" t="str">
        <f>IF(基础资料!$L35="","",基础资料!$L35)</f>
        <v>新疆嘉盛鸿泰商贸有限公司</v>
      </c>
      <c r="E36" s="25">
        <f>IF(基础资料!$M35="","",基础资料!$M35)</f>
        <v>202000</v>
      </c>
      <c r="F36" s="11">
        <f>IF($B36="","",IF(基础资料!$AH$4="不含税金额",SUMIFS(开票登记!$J$5:$J$504,开票登记!$G$5:$G$504,$B36),SUMIFS(开票登记!$M$5:$M$504,开票登记!$G$5:$G$504,$B36)))</f>
        <v>0</v>
      </c>
      <c r="G36" s="11">
        <f>IF($B36="","",SUMIFS(资金流水!$K$5:$K$3032,资金流水!$F$5:$F$3032,$B36))</f>
        <v>0</v>
      </c>
      <c r="H36" s="11">
        <f t="shared" si="0"/>
        <v>202000</v>
      </c>
      <c r="I36" s="11">
        <f>IF($B36="","",SUMIFS(开票登记!$M$5:$M$504,开票登记!$G$5:$G$504,$B36)-$G36)</f>
        <v>0</v>
      </c>
      <c r="J36" s="11">
        <f>IF(OR($B36="",J$4=""),"",SUMIFS(资金流水!$L$5:$L$3032,资金流水!$F$5:$F$3032,$B36,资金流水!$H$5:$H$3032,J$4))</f>
        <v>0</v>
      </c>
      <c r="K36" s="11">
        <f>IF(OR($B36="",K$4=""),"",SUMIFS(资金流水!$L$5:$L$3032,资金流水!$F$5:$F$3032,$B36,资金流水!$H$5:$H$3032,K$4))</f>
        <v>0</v>
      </c>
      <c r="L36" s="11">
        <f>IF(OR($B36="",L$4=""),"",SUMIFS(资金流水!$L$5:$L$3032,资金流水!$F$5:$F$3032,$B36,资金流水!$H$5:$H$3032,L$4))</f>
        <v>0</v>
      </c>
      <c r="M36" s="11">
        <f>IF(OR($B36="",M$4=""),"",SUMIFS(资金流水!$L$5:$L$3032,资金流水!$F$5:$F$3032,$B36,资金流水!$H$5:$H$3032,M$4))</f>
        <v>0</v>
      </c>
      <c r="N36" s="11">
        <f>IF(OR($B36="",N$4=""),"",SUMIFS(资金流水!$L$5:$L$3032,资金流水!$F$5:$F$3032,$B36,资金流水!$H$5:$H$3032,N$4))</f>
        <v>0</v>
      </c>
      <c r="O36" s="11">
        <f>IF(OR($B36="",O$4=""),"",SUMIFS(资金流水!$L$5:$L$3032,资金流水!$F$5:$F$3032,$B36,资金流水!$H$5:$H$3032,O$4))</f>
        <v>0</v>
      </c>
      <c r="P36" s="11">
        <f>IF(OR($B36="",P$4=""),"",SUMIFS(资金流水!$L$5:$L$3032,资金流水!$F$5:$F$3032,$B36,资金流水!$H$5:$H$3032,P$4))</f>
        <v>0</v>
      </c>
      <c r="Q36" s="11">
        <f>IF(OR($B36="",Q$4=""),"",SUMIFS(资金流水!$L$5:$L$3032,资金流水!$F$5:$F$3032,$B36,资金流水!$H$5:$H$3032,Q$4))</f>
        <v>0</v>
      </c>
      <c r="R36" s="11">
        <f>IF(OR($B36="",R$4=""),"",SUMIFS(资金流水!$L$5:$L$3032,资金流水!$F$5:$F$3032,$B36,资金流水!$H$5:$H$3032,R$4))</f>
        <v>0</v>
      </c>
      <c r="S36" s="11" t="str">
        <f>IF(OR($B36="",S$4=""),"",SUMIFS(资金流水!$L$5:$L$3032,资金流水!$F$5:$F$3032,$B36,资金流水!$H$5:$H$3032,S$4))</f>
        <v/>
      </c>
      <c r="T36" s="11" t="str">
        <f>IF(OR($B36="",T$4=""),"",SUMIFS(资金流水!$L$5:$L$3032,资金流水!$F$5:$F$3032,$B36,资金流水!$H$5:$H$3032,T$4))</f>
        <v/>
      </c>
      <c r="U36" s="11" t="str">
        <f>IF(OR($B36="",U$4=""),"",SUMIFS(资金流水!$L$5:$L$3032,资金流水!$F$5:$F$3032,$B36,资金流水!$H$5:$H$3032,U$4))</f>
        <v/>
      </c>
      <c r="V36" s="11" t="str">
        <f>IF(OR($B36="",V$4=""),"",SUMIFS(资金流水!$L$5:$L$3032,资金流水!$F$5:$F$3032,$B36,资金流水!$H$5:$H$3032,V$4))</f>
        <v/>
      </c>
      <c r="W36" s="11" t="str">
        <f>IF(OR($B36="",W$4=""),"",SUMIFS(资金流水!$L$5:$L$3032,资金流水!$F$5:$F$3032,$B36,资金流水!$H$5:$H$3032,W$4))</f>
        <v/>
      </c>
      <c r="X36" s="11">
        <f t="shared" si="1"/>
        <v>0</v>
      </c>
      <c r="Y36" s="11">
        <f t="shared" si="2"/>
        <v>0</v>
      </c>
      <c r="Z36" s="12" t="str">
        <f t="shared" si="3"/>
        <v/>
      </c>
      <c r="AA36" s="11">
        <f t="shared" si="4"/>
        <v>202000</v>
      </c>
      <c r="AB36" s="12">
        <f t="shared" si="5"/>
        <v>0</v>
      </c>
      <c r="AC36" s="28" t="str">
        <f>IF(基础资料!$O35="","",基础资料!$O35)</f>
        <v/>
      </c>
    </row>
    <row r="37" ht="36" spans="1:29">
      <c r="A37" s="28" t="str">
        <f>IF(基础资料!$I36="","",基础资料!$I36)</f>
        <v/>
      </c>
      <c r="B37" s="28" t="str">
        <f>IF(基础资料!$J36="","",基础资料!$J36)</f>
        <v>新疆某单位教育教学设备（二标段）甄选项目-六中</v>
      </c>
      <c r="C37" s="28" t="str">
        <f>IF(基础资料!$K36="","",基础资料!$K36)</f>
        <v>双思威</v>
      </c>
      <c r="D37" s="28" t="str">
        <f>IF(基础资料!$L36="","",基础资料!$L36)</f>
        <v>中移系统集成有限公司履约保证金</v>
      </c>
      <c r="E37" s="25">
        <f>IF(基础资料!$M36="","",基础资料!$M36)</f>
        <v>6515900.87</v>
      </c>
      <c r="F37" s="11">
        <f>IF($B37="","",IF(基础资料!$AH$4="不含税金额",SUMIFS(开票登记!$J$5:$J$504,开票登记!$G$5:$G$504,$B37),SUMIFS(开票登记!$M$5:$M$504,开票登记!$G$5:$G$504,$B37)))</f>
        <v>0</v>
      </c>
      <c r="G37" s="11">
        <f>IF($B37="","",SUMIFS(资金流水!$K$5:$K$3032,资金流水!$F$5:$F$3032,$B37))</f>
        <v>0</v>
      </c>
      <c r="H37" s="11">
        <f t="shared" si="0"/>
        <v>6515900.87</v>
      </c>
      <c r="I37" s="11">
        <f>IF($B37="","",SUMIFS(开票登记!$M$5:$M$504,开票登记!$G$5:$G$504,$B37)-$G37)</f>
        <v>0</v>
      </c>
      <c r="J37" s="11">
        <f>IF(OR($B37="",J$4=""),"",SUMIFS(资金流水!$L$5:$L$3032,资金流水!$F$5:$F$3032,$B37,资金流水!$H$5:$H$3032,J$4))</f>
        <v>58388.5</v>
      </c>
      <c r="K37" s="11">
        <f>IF(OR($B37="",K$4=""),"",SUMIFS(资金流水!$L$5:$L$3032,资金流水!$F$5:$F$3032,$B37,资金流水!$H$5:$H$3032,K$4))</f>
        <v>12500</v>
      </c>
      <c r="L37" s="11">
        <f>IF(OR($B37="",L$4=""),"",SUMIFS(资金流水!$L$5:$L$3032,资金流水!$F$5:$F$3032,$B37,资金流水!$H$5:$H$3032,L$4))</f>
        <v>0</v>
      </c>
      <c r="M37" s="11">
        <f>IF(OR($B37="",M$4=""),"",SUMIFS(资金流水!$L$5:$L$3032,资金流水!$F$5:$F$3032,$B37,资金流水!$H$5:$H$3032,M$4))</f>
        <v>0</v>
      </c>
      <c r="N37" s="11">
        <f>IF(OR($B37="",N$4=""),"",SUMIFS(资金流水!$L$5:$L$3032,资金流水!$F$5:$F$3032,$B37,资金流水!$H$5:$H$3032,N$4))</f>
        <v>0</v>
      </c>
      <c r="O37" s="11">
        <f>IF(OR($B37="",O$4=""),"",SUMIFS(资金流水!$L$5:$L$3032,资金流水!$F$5:$F$3032,$B37,资金流水!$H$5:$H$3032,O$4))</f>
        <v>0</v>
      </c>
      <c r="P37" s="11">
        <f>IF(OR($B37="",P$4=""),"",SUMIFS(资金流水!$L$5:$L$3032,资金流水!$F$5:$F$3032,$B37,资金流水!$H$5:$H$3032,P$4))</f>
        <v>0</v>
      </c>
      <c r="Q37" s="11">
        <f>IF(OR($B37="",Q$4=""),"",SUMIFS(资金流水!$L$5:$L$3032,资金流水!$F$5:$F$3032,$B37,资金流水!$H$5:$H$3032,Q$4))</f>
        <v>0</v>
      </c>
      <c r="R37" s="11">
        <f>IF(OR($B37="",R$4=""),"",SUMIFS(资金流水!$L$5:$L$3032,资金流水!$F$5:$F$3032,$B37,资金流水!$H$5:$H$3032,R$4))</f>
        <v>0</v>
      </c>
      <c r="S37" s="11" t="str">
        <f>IF(OR($B37="",S$4=""),"",SUMIFS(资金流水!$L$5:$L$3032,资金流水!$F$5:$F$3032,$B37,资金流水!$H$5:$H$3032,S$4))</f>
        <v/>
      </c>
      <c r="T37" s="11" t="str">
        <f>IF(OR($B37="",T$4=""),"",SUMIFS(资金流水!$L$5:$L$3032,资金流水!$F$5:$F$3032,$B37,资金流水!$H$5:$H$3032,T$4))</f>
        <v/>
      </c>
      <c r="U37" s="11" t="str">
        <f>IF(OR($B37="",U$4=""),"",SUMIFS(资金流水!$L$5:$L$3032,资金流水!$F$5:$F$3032,$B37,资金流水!$H$5:$H$3032,U$4))</f>
        <v/>
      </c>
      <c r="V37" s="11" t="str">
        <f>IF(OR($B37="",V$4=""),"",SUMIFS(资金流水!$L$5:$L$3032,资金流水!$F$5:$F$3032,$B37,资金流水!$H$5:$H$3032,V$4))</f>
        <v/>
      </c>
      <c r="W37" s="11" t="str">
        <f>IF(OR($B37="",W$4=""),"",SUMIFS(资金流水!$L$5:$L$3032,资金流水!$F$5:$F$3032,$B37,资金流水!$H$5:$H$3032,W$4))</f>
        <v/>
      </c>
      <c r="X37" s="11">
        <f t="shared" si="1"/>
        <v>70888.5</v>
      </c>
      <c r="Y37" s="11">
        <f t="shared" si="2"/>
        <v>-70888.5</v>
      </c>
      <c r="Z37" s="12" t="str">
        <f t="shared" si="3"/>
        <v/>
      </c>
      <c r="AA37" s="11">
        <f t="shared" si="4"/>
        <v>6445012.37</v>
      </c>
      <c r="AB37" s="12">
        <f t="shared" si="5"/>
        <v>0</v>
      </c>
      <c r="AC37" s="28" t="str">
        <f>IF(基础资料!$O36="","",基础资料!$O36)</f>
        <v/>
      </c>
    </row>
    <row r="38" ht="48" spans="1:29">
      <c r="A38" s="28" t="str">
        <f>IF(基础资料!$I37="","",基础资料!$I37)</f>
        <v/>
      </c>
      <c r="B38" s="28" t="str">
        <f>IF(基础资料!$J37="","",基础资料!$J37)</f>
        <v>代建局昌吉市第十八小学教学仪器设备采购项目</v>
      </c>
      <c r="C38" s="28" t="str">
        <f>IF(基础资料!$K37="","",基础资料!$K37)</f>
        <v>双思威</v>
      </c>
      <c r="D38" s="28" t="str">
        <f>IF(基础资料!$L37="","",基础资料!$L37)</f>
        <v>昌吉市政府投资建设项目代建管理中心</v>
      </c>
      <c r="E38" s="25">
        <f>IF(基础资料!$M37="","",基础资料!$M37)</f>
        <v>7790000</v>
      </c>
      <c r="F38" s="11">
        <f>IF($B38="","",IF(基础资料!$AH$4="不含税金额",SUMIFS(开票登记!$J$5:$J$504,开票登记!$G$5:$G$504,$B38),SUMIFS(开票登记!$M$5:$M$504,开票登记!$G$5:$G$504,$B38)))</f>
        <v>0</v>
      </c>
      <c r="G38" s="11">
        <f>IF($B38="","",SUMIFS(资金流水!$K$5:$K$3032,资金流水!$F$5:$F$3032,$B38))</f>
        <v>0</v>
      </c>
      <c r="H38" s="11">
        <f t="shared" si="0"/>
        <v>7790000</v>
      </c>
      <c r="I38" s="11">
        <f>IF($B38="","",SUMIFS(开票登记!$M$5:$M$504,开票登记!$G$5:$G$504,$B38)-$G38)</f>
        <v>0</v>
      </c>
      <c r="J38" s="11">
        <f>IF(OR($B38="",J$4=""),"",SUMIFS(资金流水!$L$5:$L$3032,资金流水!$F$5:$F$3032,$B38,资金流水!$H$5:$H$3032,J$4))</f>
        <v>184062</v>
      </c>
      <c r="K38" s="11">
        <f>IF(OR($B38="",K$4=""),"",SUMIFS(资金流水!$L$5:$L$3032,资金流水!$F$5:$F$3032,$B38,资金流水!$H$5:$H$3032,K$4))</f>
        <v>5980</v>
      </c>
      <c r="L38" s="11">
        <f>IF(OR($B38="",L$4=""),"",SUMIFS(资金流水!$L$5:$L$3032,资金流水!$F$5:$F$3032,$B38,资金流水!$H$5:$H$3032,L$4))</f>
        <v>0</v>
      </c>
      <c r="M38" s="11">
        <f>IF(OR($B38="",M$4=""),"",SUMIFS(资金流水!$L$5:$L$3032,资金流水!$F$5:$F$3032,$B38,资金流水!$H$5:$H$3032,M$4))</f>
        <v>0</v>
      </c>
      <c r="N38" s="11">
        <f>IF(OR($B38="",N$4=""),"",SUMIFS(资金流水!$L$5:$L$3032,资金流水!$F$5:$F$3032,$B38,资金流水!$H$5:$H$3032,N$4))</f>
        <v>0</v>
      </c>
      <c r="O38" s="11">
        <f>IF(OR($B38="",O$4=""),"",SUMIFS(资金流水!$L$5:$L$3032,资金流水!$F$5:$F$3032,$B38,资金流水!$H$5:$H$3032,O$4))</f>
        <v>0</v>
      </c>
      <c r="P38" s="11">
        <f>IF(OR($B38="",P$4=""),"",SUMIFS(资金流水!$L$5:$L$3032,资金流水!$F$5:$F$3032,$B38,资金流水!$H$5:$H$3032,P$4))</f>
        <v>0</v>
      </c>
      <c r="Q38" s="11">
        <f>IF(OR($B38="",Q$4=""),"",SUMIFS(资金流水!$L$5:$L$3032,资金流水!$F$5:$F$3032,$B38,资金流水!$H$5:$H$3032,Q$4))</f>
        <v>0</v>
      </c>
      <c r="R38" s="11">
        <f>IF(OR($B38="",R$4=""),"",SUMIFS(资金流水!$L$5:$L$3032,资金流水!$F$5:$F$3032,$B38,资金流水!$H$5:$H$3032,R$4))</f>
        <v>0</v>
      </c>
      <c r="S38" s="11" t="str">
        <f>IF(OR($B38="",S$4=""),"",SUMIFS(资金流水!$L$5:$L$3032,资金流水!$F$5:$F$3032,$B38,资金流水!$H$5:$H$3032,S$4))</f>
        <v/>
      </c>
      <c r="T38" s="11" t="str">
        <f>IF(OR($B38="",T$4=""),"",SUMIFS(资金流水!$L$5:$L$3032,资金流水!$F$5:$F$3032,$B38,资金流水!$H$5:$H$3032,T$4))</f>
        <v/>
      </c>
      <c r="U38" s="11" t="str">
        <f>IF(OR($B38="",U$4=""),"",SUMIFS(资金流水!$L$5:$L$3032,资金流水!$F$5:$F$3032,$B38,资金流水!$H$5:$H$3032,U$4))</f>
        <v/>
      </c>
      <c r="V38" s="11" t="str">
        <f>IF(OR($B38="",V$4=""),"",SUMIFS(资金流水!$L$5:$L$3032,资金流水!$F$5:$F$3032,$B38,资金流水!$H$5:$H$3032,V$4))</f>
        <v/>
      </c>
      <c r="W38" s="11" t="str">
        <f>IF(OR($B38="",W$4=""),"",SUMIFS(资金流水!$L$5:$L$3032,资金流水!$F$5:$F$3032,$B38,资金流水!$H$5:$H$3032,W$4))</f>
        <v/>
      </c>
      <c r="X38" s="11">
        <f t="shared" si="1"/>
        <v>190042</v>
      </c>
      <c r="Y38" s="11">
        <f t="shared" si="2"/>
        <v>-190042</v>
      </c>
      <c r="Z38" s="12" t="str">
        <f t="shared" si="3"/>
        <v/>
      </c>
      <c r="AA38" s="11">
        <f t="shared" si="4"/>
        <v>7599958</v>
      </c>
      <c r="AB38" s="12">
        <f t="shared" si="5"/>
        <v>0</v>
      </c>
      <c r="AC38" s="28" t="str">
        <f>IF(基础资料!$O37="","",基础资料!$O37)</f>
        <v/>
      </c>
    </row>
    <row r="39" ht="24" spans="1:29">
      <c r="A39" s="28" t="str">
        <f>IF(基础资料!$I38="","",基础资料!$I38)</f>
        <v/>
      </c>
      <c r="B39" s="28" t="str">
        <f>IF(基础资料!$J38="","",基础资料!$J38)</f>
        <v>昌吉市四所幼儿园设备采购项目（三标段）</v>
      </c>
      <c r="C39" s="28" t="str">
        <f>IF(基础资料!$K38="","",基础资料!$K38)</f>
        <v>双思威</v>
      </c>
      <c r="D39" s="28" t="str">
        <f>IF(基础资料!$L38="","",基础资料!$L38)</f>
        <v>昌吉市教育局</v>
      </c>
      <c r="E39" s="25">
        <f>IF(基础资料!$M38="","",基础资料!$M38)</f>
        <v>2343634</v>
      </c>
      <c r="F39" s="11">
        <f>IF($B39="","",IF(基础资料!$AH$4="不含税金额",SUMIFS(开票登记!$J$5:$J$504,开票登记!$G$5:$G$504,$B39),SUMIFS(开票登记!$M$5:$M$504,开票登记!$G$5:$G$504,$B39)))</f>
        <v>0</v>
      </c>
      <c r="G39" s="11">
        <f>IF($B39="","",SUMIFS(资金流水!$K$5:$K$3032,资金流水!$F$5:$F$3032,$B39))</f>
        <v>0</v>
      </c>
      <c r="H39" s="11">
        <f t="shared" si="0"/>
        <v>2343634</v>
      </c>
      <c r="I39" s="11">
        <f>IF($B39="","",SUMIFS(开票登记!$M$5:$M$504,开票登记!$G$5:$G$504,$B39)-$G39)</f>
        <v>0</v>
      </c>
      <c r="J39" s="11">
        <f>IF(OR($B39="",J$4=""),"",SUMIFS(资金流水!$L$5:$L$3032,资金流水!$F$5:$F$3032,$B39,资金流水!$H$5:$H$3032,J$4))</f>
        <v>22907</v>
      </c>
      <c r="K39" s="11">
        <f>IF(OR($B39="",K$4=""),"",SUMIFS(资金流水!$L$5:$L$3032,资金流水!$F$5:$F$3032,$B39,资金流水!$H$5:$H$3032,K$4))</f>
        <v>0</v>
      </c>
      <c r="L39" s="11">
        <f>IF(OR($B39="",L$4=""),"",SUMIFS(资金流水!$L$5:$L$3032,资金流水!$F$5:$F$3032,$B39,资金流水!$H$5:$H$3032,L$4))</f>
        <v>0</v>
      </c>
      <c r="M39" s="11">
        <f>IF(OR($B39="",M$4=""),"",SUMIFS(资金流水!$L$5:$L$3032,资金流水!$F$5:$F$3032,$B39,资金流水!$H$5:$H$3032,M$4))</f>
        <v>0</v>
      </c>
      <c r="N39" s="11">
        <f>IF(OR($B39="",N$4=""),"",SUMIFS(资金流水!$L$5:$L$3032,资金流水!$F$5:$F$3032,$B39,资金流水!$H$5:$H$3032,N$4))</f>
        <v>0</v>
      </c>
      <c r="O39" s="11">
        <f>IF(OR($B39="",O$4=""),"",SUMIFS(资金流水!$L$5:$L$3032,资金流水!$F$5:$F$3032,$B39,资金流水!$H$5:$H$3032,O$4))</f>
        <v>0</v>
      </c>
      <c r="P39" s="11">
        <f>IF(OR($B39="",P$4=""),"",SUMIFS(资金流水!$L$5:$L$3032,资金流水!$F$5:$F$3032,$B39,资金流水!$H$5:$H$3032,P$4))</f>
        <v>0</v>
      </c>
      <c r="Q39" s="11">
        <f>IF(OR($B39="",Q$4=""),"",SUMIFS(资金流水!$L$5:$L$3032,资金流水!$F$5:$F$3032,$B39,资金流水!$H$5:$H$3032,Q$4))</f>
        <v>0</v>
      </c>
      <c r="R39" s="11">
        <f>IF(OR($B39="",R$4=""),"",SUMIFS(资金流水!$L$5:$L$3032,资金流水!$F$5:$F$3032,$B39,资金流水!$H$5:$H$3032,R$4))</f>
        <v>0</v>
      </c>
      <c r="S39" s="11" t="str">
        <f>IF(OR($B39="",S$4=""),"",SUMIFS(资金流水!$L$5:$L$3032,资金流水!$F$5:$F$3032,$B39,资金流水!$H$5:$H$3032,S$4))</f>
        <v/>
      </c>
      <c r="T39" s="11" t="str">
        <f>IF(OR($B39="",T$4=""),"",SUMIFS(资金流水!$L$5:$L$3032,资金流水!$F$5:$F$3032,$B39,资金流水!$H$5:$H$3032,T$4))</f>
        <v/>
      </c>
      <c r="U39" s="11" t="str">
        <f>IF(OR($B39="",U$4=""),"",SUMIFS(资金流水!$L$5:$L$3032,资金流水!$F$5:$F$3032,$B39,资金流水!$H$5:$H$3032,U$4))</f>
        <v/>
      </c>
      <c r="V39" s="11" t="str">
        <f>IF(OR($B39="",V$4=""),"",SUMIFS(资金流水!$L$5:$L$3032,资金流水!$F$5:$F$3032,$B39,资金流水!$H$5:$H$3032,V$4))</f>
        <v/>
      </c>
      <c r="W39" s="11" t="str">
        <f>IF(OR($B39="",W$4=""),"",SUMIFS(资金流水!$L$5:$L$3032,资金流水!$F$5:$F$3032,$B39,资金流水!$H$5:$H$3032,W$4))</f>
        <v/>
      </c>
      <c r="X39" s="11">
        <f t="shared" si="1"/>
        <v>22907</v>
      </c>
      <c r="Y39" s="11">
        <f t="shared" si="2"/>
        <v>-22907</v>
      </c>
      <c r="Z39" s="12" t="str">
        <f t="shared" si="3"/>
        <v/>
      </c>
      <c r="AA39" s="11">
        <f t="shared" si="4"/>
        <v>2320727</v>
      </c>
      <c r="AB39" s="12">
        <f t="shared" si="5"/>
        <v>0</v>
      </c>
      <c r="AC39" s="28" t="str">
        <f>IF(基础资料!$O38="","",基础资料!$O38)</f>
        <v/>
      </c>
    </row>
    <row r="40" ht="48" spans="1:29">
      <c r="A40" s="28" t="str">
        <f>IF(基础资料!$I39="","",基础资料!$I39)</f>
        <v/>
      </c>
      <c r="B40" s="28" t="str">
        <f>IF(基础资料!$J39="","",基础资料!$J39)</f>
        <v>昌吉市中小学数字化校园建设工程（昌吉市第十五小学教学仪器设备采购项目）</v>
      </c>
      <c r="C40" s="28" t="str">
        <f>IF(基础资料!$K39="","",基础资料!$K39)</f>
        <v>双思威</v>
      </c>
      <c r="D40" s="28" t="str">
        <f>IF(基础资料!$L39="","",基础资料!$L39)</f>
        <v>中移系统集成有限公司</v>
      </c>
      <c r="E40" s="25">
        <f>IF(基础资料!$M39="","",基础资料!$M39)</f>
        <v>7443095.17</v>
      </c>
      <c r="F40" s="11">
        <f>IF($B40="","",IF(基础资料!$AH$4="不含税金额",SUMIFS(开票登记!$J$5:$J$504,开票登记!$G$5:$G$504,$B40),SUMIFS(开票登记!$M$5:$M$504,开票登记!$G$5:$G$504,$B40)))</f>
        <v>0</v>
      </c>
      <c r="G40" s="11">
        <f>IF($B40="","",SUMIFS(资金流水!$K$5:$K$3032,资金流水!$F$5:$F$3032,$B40))</f>
        <v>0</v>
      </c>
      <c r="H40" s="11">
        <f t="shared" si="0"/>
        <v>7443095.17</v>
      </c>
      <c r="I40" s="11">
        <f>IF($B40="","",SUMIFS(开票登记!$M$5:$M$504,开票登记!$G$5:$G$504,$B40)-$G40)</f>
        <v>0</v>
      </c>
      <c r="J40" s="11">
        <f>IF(OR($B40="",J$4=""),"",SUMIFS(资金流水!$L$5:$L$3032,资金流水!$F$5:$F$3032,$B40,资金流水!$H$5:$H$3032,J$4))</f>
        <v>391660.71</v>
      </c>
      <c r="K40" s="11">
        <f>IF(OR($B40="",K$4=""),"",SUMIFS(资金流水!$L$5:$L$3032,资金流水!$F$5:$F$3032,$B40,资金流水!$H$5:$H$3032,K$4))</f>
        <v>39453</v>
      </c>
      <c r="L40" s="11">
        <f>IF(OR($B40="",L$4=""),"",SUMIFS(资金流水!$L$5:$L$3032,资金流水!$F$5:$F$3032,$B40,资金流水!$H$5:$H$3032,L$4))</f>
        <v>0</v>
      </c>
      <c r="M40" s="11">
        <f>IF(OR($B40="",M$4=""),"",SUMIFS(资金流水!$L$5:$L$3032,资金流水!$F$5:$F$3032,$B40,资金流水!$H$5:$H$3032,M$4))</f>
        <v>0</v>
      </c>
      <c r="N40" s="11">
        <f>IF(OR($B40="",N$4=""),"",SUMIFS(资金流水!$L$5:$L$3032,资金流水!$F$5:$F$3032,$B40,资金流水!$H$5:$H$3032,N$4))</f>
        <v>8951</v>
      </c>
      <c r="O40" s="11">
        <f>IF(OR($B40="",O$4=""),"",SUMIFS(资金流水!$L$5:$L$3032,资金流水!$F$5:$F$3032,$B40,资金流水!$H$5:$H$3032,O$4))</f>
        <v>0</v>
      </c>
      <c r="P40" s="11">
        <f>IF(OR($B40="",P$4=""),"",SUMIFS(资金流水!$L$5:$L$3032,资金流水!$F$5:$F$3032,$B40,资金流水!$H$5:$H$3032,P$4))</f>
        <v>0</v>
      </c>
      <c r="Q40" s="11">
        <f>IF(OR($B40="",Q$4=""),"",SUMIFS(资金流水!$L$5:$L$3032,资金流水!$F$5:$F$3032,$B40,资金流水!$H$5:$H$3032,Q$4))</f>
        <v>0</v>
      </c>
      <c r="R40" s="11">
        <f>IF(OR($B40="",R$4=""),"",SUMIFS(资金流水!$L$5:$L$3032,资金流水!$F$5:$F$3032,$B40,资金流水!$H$5:$H$3032,R$4))</f>
        <v>0</v>
      </c>
      <c r="S40" s="11" t="str">
        <f>IF(OR($B40="",S$4=""),"",SUMIFS(资金流水!$L$5:$L$3032,资金流水!$F$5:$F$3032,$B40,资金流水!$H$5:$H$3032,S$4))</f>
        <v/>
      </c>
      <c r="T40" s="11" t="str">
        <f>IF(OR($B40="",T$4=""),"",SUMIFS(资金流水!$L$5:$L$3032,资金流水!$F$5:$F$3032,$B40,资金流水!$H$5:$H$3032,T$4))</f>
        <v/>
      </c>
      <c r="U40" s="11" t="str">
        <f>IF(OR($B40="",U$4=""),"",SUMIFS(资金流水!$L$5:$L$3032,资金流水!$F$5:$F$3032,$B40,资金流水!$H$5:$H$3032,U$4))</f>
        <v/>
      </c>
      <c r="V40" s="11" t="str">
        <f>IF(OR($B40="",V$4=""),"",SUMIFS(资金流水!$L$5:$L$3032,资金流水!$F$5:$F$3032,$B40,资金流水!$H$5:$H$3032,V$4))</f>
        <v/>
      </c>
      <c r="W40" s="11" t="str">
        <f>IF(OR($B40="",W$4=""),"",SUMIFS(资金流水!$L$5:$L$3032,资金流水!$F$5:$F$3032,$B40,资金流水!$H$5:$H$3032,W$4))</f>
        <v/>
      </c>
      <c r="X40" s="11">
        <f t="shared" si="1"/>
        <v>440064.71</v>
      </c>
      <c r="Y40" s="11">
        <f t="shared" si="2"/>
        <v>-440064.71</v>
      </c>
      <c r="Z40" s="12" t="str">
        <f t="shared" si="3"/>
        <v/>
      </c>
      <c r="AA40" s="11">
        <f t="shared" si="4"/>
        <v>7003030.46</v>
      </c>
      <c r="AB40" s="12">
        <f t="shared" si="5"/>
        <v>0</v>
      </c>
      <c r="AC40" s="28" t="str">
        <f>IF(基础资料!$O39="","",基础资料!$O39)</f>
        <v/>
      </c>
    </row>
    <row r="41" ht="60" spans="1:29">
      <c r="A41" s="28" t="str">
        <f>IF(基础资料!$I40="","",基础资料!$I40)</f>
        <v/>
      </c>
      <c r="B41" s="28" t="str">
        <f>IF(基础资料!$J40="","",基础资料!$J40)</f>
        <v>铁门关经济技术开发区化工园区周界防护项目</v>
      </c>
      <c r="C41" s="28" t="str">
        <f>IF(基础资料!$K40="","",基础资料!$K40)</f>
        <v>双思威</v>
      </c>
      <c r="D41" s="28" t="str">
        <f>IF(基础资料!$L40="","",基础资料!$L40)</f>
        <v>中电信数智科技有限公司巴音郭楞蒙古自治州分公司</v>
      </c>
      <c r="E41" s="25">
        <f>IF(基础资料!$M40="","",基础资料!$M40)</f>
        <v>3230000</v>
      </c>
      <c r="F41" s="11">
        <f>IF($B41="","",IF(基础资料!$AH$4="不含税金额",SUMIFS(开票登记!$J$5:$J$504,开票登记!$G$5:$G$504,$B41),SUMIFS(开票登记!$M$5:$M$504,开票登记!$G$5:$G$504,$B41)))</f>
        <v>0</v>
      </c>
      <c r="G41" s="11">
        <f>IF($B41="","",SUMIFS(资金流水!$K$5:$K$3032,资金流水!$F$5:$F$3032,$B41))</f>
        <v>1010</v>
      </c>
      <c r="H41" s="11">
        <f t="shared" si="0"/>
        <v>3228990</v>
      </c>
      <c r="I41" s="11">
        <f>IF($B41="","",SUMIFS(开票登记!$M$5:$M$504,开票登记!$G$5:$G$504,$B41)-$G41)</f>
        <v>-1010</v>
      </c>
      <c r="J41" s="11">
        <f>IF(OR($B41="",J$4=""),"",SUMIFS(资金流水!$L$5:$L$3032,资金流水!$F$5:$F$3032,$B41,资金流水!$H$5:$H$3032,J$4))</f>
        <v>15603.6</v>
      </c>
      <c r="K41" s="11">
        <f>IF(OR($B41="",K$4=""),"",SUMIFS(资金流水!$L$5:$L$3032,资金流水!$F$5:$F$3032,$B41,资金流水!$H$5:$H$3032,K$4))</f>
        <v>77657</v>
      </c>
      <c r="L41" s="11">
        <f>IF(OR($B41="",L$4=""),"",SUMIFS(资金流水!$L$5:$L$3032,资金流水!$F$5:$F$3032,$B41,资金流水!$H$5:$H$3032,L$4))</f>
        <v>0</v>
      </c>
      <c r="M41" s="11">
        <f>IF(OR($B41="",M$4=""),"",SUMIFS(资金流水!$L$5:$L$3032,资金流水!$F$5:$F$3032,$B41,资金流水!$H$5:$H$3032,M$4))</f>
        <v>0</v>
      </c>
      <c r="N41" s="11">
        <f>IF(OR($B41="",N$4=""),"",SUMIFS(资金流水!$L$5:$L$3032,资金流水!$F$5:$F$3032,$B41,资金流水!$H$5:$H$3032,N$4))</f>
        <v>0</v>
      </c>
      <c r="O41" s="11">
        <f>IF(OR($B41="",O$4=""),"",SUMIFS(资金流水!$L$5:$L$3032,资金流水!$F$5:$F$3032,$B41,资金流水!$H$5:$H$3032,O$4))</f>
        <v>0</v>
      </c>
      <c r="P41" s="11">
        <f>IF(OR($B41="",P$4=""),"",SUMIFS(资金流水!$L$5:$L$3032,资金流水!$F$5:$F$3032,$B41,资金流水!$H$5:$H$3032,P$4))</f>
        <v>0</v>
      </c>
      <c r="Q41" s="11">
        <f>IF(OR($B41="",Q$4=""),"",SUMIFS(资金流水!$L$5:$L$3032,资金流水!$F$5:$F$3032,$B41,资金流水!$H$5:$H$3032,Q$4))</f>
        <v>0</v>
      </c>
      <c r="R41" s="11">
        <f>IF(OR($B41="",R$4=""),"",SUMIFS(资金流水!$L$5:$L$3032,资金流水!$F$5:$F$3032,$B41,资金流水!$H$5:$H$3032,R$4))</f>
        <v>0</v>
      </c>
      <c r="S41" s="11" t="str">
        <f>IF(OR($B41="",S$4=""),"",SUMIFS(资金流水!$L$5:$L$3032,资金流水!$F$5:$F$3032,$B41,资金流水!$H$5:$H$3032,S$4))</f>
        <v/>
      </c>
      <c r="T41" s="11" t="str">
        <f>IF(OR($B41="",T$4=""),"",SUMIFS(资金流水!$L$5:$L$3032,资金流水!$F$5:$F$3032,$B41,资金流水!$H$5:$H$3032,T$4))</f>
        <v/>
      </c>
      <c r="U41" s="11" t="str">
        <f>IF(OR($B41="",U$4=""),"",SUMIFS(资金流水!$L$5:$L$3032,资金流水!$F$5:$F$3032,$B41,资金流水!$H$5:$H$3032,U$4))</f>
        <v/>
      </c>
      <c r="V41" s="11" t="str">
        <f>IF(OR($B41="",V$4=""),"",SUMIFS(资金流水!$L$5:$L$3032,资金流水!$F$5:$F$3032,$B41,资金流水!$H$5:$H$3032,V$4))</f>
        <v/>
      </c>
      <c r="W41" s="11" t="str">
        <f>IF(OR($B41="",W$4=""),"",SUMIFS(资金流水!$L$5:$L$3032,资金流水!$F$5:$F$3032,$B41,资金流水!$H$5:$H$3032,W$4))</f>
        <v/>
      </c>
      <c r="X41" s="11">
        <f t="shared" si="1"/>
        <v>93260.6</v>
      </c>
      <c r="Y41" s="11">
        <f t="shared" si="2"/>
        <v>-93260.6</v>
      </c>
      <c r="Z41" s="12" t="str">
        <f t="shared" si="3"/>
        <v/>
      </c>
      <c r="AA41" s="11">
        <f t="shared" si="4"/>
        <v>3136739.4</v>
      </c>
      <c r="AB41" s="12">
        <f t="shared" si="5"/>
        <v>0.000312693498452012</v>
      </c>
      <c r="AC41" s="28" t="str">
        <f>IF(基础资料!$O40="","",基础资料!$O40)</f>
        <v/>
      </c>
    </row>
    <row r="42" ht="36" spans="1:29">
      <c r="A42" s="28" t="str">
        <f>IF(基础资料!$I41="","",基础资料!$I41)</f>
        <v/>
      </c>
      <c r="B42" s="28" t="str">
        <f>IF(基础资料!$J41="","",基础资料!$J41)</f>
        <v>第四师第一中学高中地理实验室设施设备采购项目</v>
      </c>
      <c r="C42" s="28" t="str">
        <f>IF(基础资料!$K41="","",基础资料!$K41)</f>
        <v>元界极光</v>
      </c>
      <c r="D42" s="28" t="str">
        <f>IF(基础资料!$L41="","",基础资料!$L41)</f>
        <v>新疆生产建设兵团第四师第一中学</v>
      </c>
      <c r="E42" s="25">
        <f>IF(基础资料!$M41="","",基础资料!$M41)</f>
        <v>396980</v>
      </c>
      <c r="F42" s="11">
        <f>IF($B42="","",IF(基础资料!$AH$4="不含税金额",SUMIFS(开票登记!$J$5:$J$504,开票登记!$G$5:$G$504,$B42),SUMIFS(开票登记!$M$5:$M$504,开票登记!$G$5:$G$504,$B42)))</f>
        <v>0</v>
      </c>
      <c r="G42" s="11">
        <f>IF($B42="","",SUMIFS(资金流水!$K$5:$K$3032,资金流水!$F$5:$F$3032,$B42))</f>
        <v>0</v>
      </c>
      <c r="H42" s="11">
        <f t="shared" si="0"/>
        <v>396980</v>
      </c>
      <c r="I42" s="11">
        <f>IF($B42="","",SUMIFS(开票登记!$M$5:$M$504,开票登记!$G$5:$G$504,$B42)-$G42)</f>
        <v>0</v>
      </c>
      <c r="J42" s="11">
        <f>IF(OR($B42="",J$4=""),"",SUMIFS(资金流水!$L$5:$L$3032,资金流水!$F$5:$F$3032,$B42,资金流水!$H$5:$H$3032,J$4))</f>
        <v>251963</v>
      </c>
      <c r="K42" s="11">
        <f>IF(OR($B42="",K$4=""),"",SUMIFS(资金流水!$L$5:$L$3032,资金流水!$F$5:$F$3032,$B42,资金流水!$H$5:$H$3032,K$4))</f>
        <v>0</v>
      </c>
      <c r="L42" s="11">
        <f>IF(OR($B42="",L$4=""),"",SUMIFS(资金流水!$L$5:$L$3032,资金流水!$F$5:$F$3032,$B42,资金流水!$H$5:$H$3032,L$4))</f>
        <v>0</v>
      </c>
      <c r="M42" s="11">
        <f>IF(OR($B42="",M$4=""),"",SUMIFS(资金流水!$L$5:$L$3032,资金流水!$F$5:$F$3032,$B42,资金流水!$H$5:$H$3032,M$4))</f>
        <v>0</v>
      </c>
      <c r="N42" s="11">
        <f>IF(OR($B42="",N$4=""),"",SUMIFS(资金流水!$L$5:$L$3032,资金流水!$F$5:$F$3032,$B42,资金流水!$H$5:$H$3032,N$4))</f>
        <v>6400</v>
      </c>
      <c r="O42" s="11">
        <f>IF(OR($B42="",O$4=""),"",SUMIFS(资金流水!$L$5:$L$3032,资金流水!$F$5:$F$3032,$B42,资金流水!$H$5:$H$3032,O$4))</f>
        <v>0</v>
      </c>
      <c r="P42" s="11">
        <f>IF(OR($B42="",P$4=""),"",SUMIFS(资金流水!$L$5:$L$3032,资金流水!$F$5:$F$3032,$B42,资金流水!$H$5:$H$3032,P$4))</f>
        <v>0</v>
      </c>
      <c r="Q42" s="11">
        <f>IF(OR($B42="",Q$4=""),"",SUMIFS(资金流水!$L$5:$L$3032,资金流水!$F$5:$F$3032,$B42,资金流水!$H$5:$H$3032,Q$4))</f>
        <v>0</v>
      </c>
      <c r="R42" s="11">
        <f>IF(OR($B42="",R$4=""),"",SUMIFS(资金流水!$L$5:$L$3032,资金流水!$F$5:$F$3032,$B42,资金流水!$H$5:$H$3032,R$4))</f>
        <v>0</v>
      </c>
      <c r="S42" s="11" t="str">
        <f>IF(OR($B42="",S$4=""),"",SUMIFS(资金流水!$L$5:$L$3032,资金流水!$F$5:$F$3032,$B42,资金流水!$H$5:$H$3032,S$4))</f>
        <v/>
      </c>
      <c r="T42" s="11" t="str">
        <f>IF(OR($B42="",T$4=""),"",SUMIFS(资金流水!$L$5:$L$3032,资金流水!$F$5:$F$3032,$B42,资金流水!$H$5:$H$3032,T$4))</f>
        <v/>
      </c>
      <c r="U42" s="11" t="str">
        <f>IF(OR($B42="",U$4=""),"",SUMIFS(资金流水!$L$5:$L$3032,资金流水!$F$5:$F$3032,$B42,资金流水!$H$5:$H$3032,U$4))</f>
        <v/>
      </c>
      <c r="V42" s="11" t="str">
        <f>IF(OR($B42="",V$4=""),"",SUMIFS(资金流水!$L$5:$L$3032,资金流水!$F$5:$F$3032,$B42,资金流水!$H$5:$H$3032,V$4))</f>
        <v/>
      </c>
      <c r="W42" s="11" t="str">
        <f>IF(OR($B42="",W$4=""),"",SUMIFS(资金流水!$L$5:$L$3032,资金流水!$F$5:$F$3032,$B42,资金流水!$H$5:$H$3032,W$4))</f>
        <v/>
      </c>
      <c r="X42" s="11">
        <f t="shared" si="1"/>
        <v>258363</v>
      </c>
      <c r="Y42" s="11">
        <f t="shared" si="2"/>
        <v>-258363</v>
      </c>
      <c r="Z42" s="12" t="str">
        <f t="shared" si="3"/>
        <v/>
      </c>
      <c r="AA42" s="11">
        <f t="shared" si="4"/>
        <v>138617</v>
      </c>
      <c r="AB42" s="12">
        <f t="shared" si="5"/>
        <v>0</v>
      </c>
      <c r="AC42" s="28" t="str">
        <f>IF(基础资料!$O41="","",基础资料!$O41)</f>
        <v/>
      </c>
    </row>
    <row r="43" ht="60" spans="1:29">
      <c r="A43" s="28" t="str">
        <f>IF(基础资料!$I42="","",基础资料!$I42)</f>
        <v/>
      </c>
      <c r="B43" s="28" t="str">
        <f>IF(基础资料!$J42="","",基础资料!$J42)</f>
        <v>二师公安库铁大道监控引电（中国电信巴州分公司2025年第二师GAJ视频监控平台、云集成服务项目）</v>
      </c>
      <c r="C43" s="28" t="str">
        <f>IF(基础资料!$K42="","",基础资料!$K42)</f>
        <v>双思威</v>
      </c>
      <c r="D43" s="28" t="str">
        <f>IF(基础资料!$L42="","",基础资料!$L42)</f>
        <v>中国电信股份有限公司巴音郭楞蒙古自治州分公司</v>
      </c>
      <c r="E43" s="25">
        <f>IF(基础资料!$M42="","",基础资料!$M42)</f>
        <v>70000</v>
      </c>
      <c r="F43" s="11">
        <f>IF($B43="","",IF(基础资料!$AH$4="不含税金额",SUMIFS(开票登记!$J$5:$J$504,开票登记!$G$5:$G$504,$B43),SUMIFS(开票登记!$M$5:$M$504,开票登记!$G$5:$G$504,$B43)))</f>
        <v>0</v>
      </c>
      <c r="G43" s="11">
        <f>IF($B43="","",SUMIFS(资金流水!$K$5:$K$3032,资金流水!$F$5:$F$3032,$B43))</f>
        <v>398560</v>
      </c>
      <c r="H43" s="11">
        <f t="shared" si="0"/>
        <v>-328560</v>
      </c>
      <c r="I43" s="11">
        <f>IF($B43="","",SUMIFS(开票登记!$M$5:$M$504,开票登记!$G$5:$G$504,$B43)-$G43)</f>
        <v>-398560</v>
      </c>
      <c r="J43" s="11">
        <f>IF(OR($B43="",J$4=""),"",SUMIFS(资金流水!$L$5:$L$3032,资金流水!$F$5:$F$3032,$B43,资金流水!$H$5:$H$3032,J$4))</f>
        <v>162308</v>
      </c>
      <c r="K43" s="11">
        <f>IF(OR($B43="",K$4=""),"",SUMIFS(资金流水!$L$5:$L$3032,资金流水!$F$5:$F$3032,$B43,资金流水!$H$5:$H$3032,K$4))</f>
        <v>0</v>
      </c>
      <c r="L43" s="11">
        <f>IF(OR($B43="",L$4=""),"",SUMIFS(资金流水!$L$5:$L$3032,资金流水!$F$5:$F$3032,$B43,资金流水!$H$5:$H$3032,L$4))</f>
        <v>0</v>
      </c>
      <c r="M43" s="11">
        <f>IF(OR($B43="",M$4=""),"",SUMIFS(资金流水!$L$5:$L$3032,资金流水!$F$5:$F$3032,$B43,资金流水!$H$5:$H$3032,M$4))</f>
        <v>0</v>
      </c>
      <c r="N43" s="11">
        <f>IF(OR($B43="",N$4=""),"",SUMIFS(资金流水!$L$5:$L$3032,资金流水!$F$5:$F$3032,$B43,资金流水!$H$5:$H$3032,N$4))</f>
        <v>0</v>
      </c>
      <c r="O43" s="11">
        <f>IF(OR($B43="",O$4=""),"",SUMIFS(资金流水!$L$5:$L$3032,资金流水!$F$5:$F$3032,$B43,资金流水!$H$5:$H$3032,O$4))</f>
        <v>0</v>
      </c>
      <c r="P43" s="11">
        <f>IF(OR($B43="",P$4=""),"",SUMIFS(资金流水!$L$5:$L$3032,资金流水!$F$5:$F$3032,$B43,资金流水!$H$5:$H$3032,P$4))</f>
        <v>0</v>
      </c>
      <c r="Q43" s="11">
        <f>IF(OR($B43="",Q$4=""),"",SUMIFS(资金流水!$L$5:$L$3032,资金流水!$F$5:$F$3032,$B43,资金流水!$H$5:$H$3032,Q$4))</f>
        <v>0</v>
      </c>
      <c r="R43" s="11">
        <f>IF(OR($B43="",R$4=""),"",SUMIFS(资金流水!$L$5:$L$3032,资金流水!$F$5:$F$3032,$B43,资金流水!$H$5:$H$3032,R$4))</f>
        <v>0</v>
      </c>
      <c r="S43" s="11" t="str">
        <f>IF(OR($B43="",S$4=""),"",SUMIFS(资金流水!$L$5:$L$3032,资金流水!$F$5:$F$3032,$B43,资金流水!$H$5:$H$3032,S$4))</f>
        <v/>
      </c>
      <c r="T43" s="11" t="str">
        <f>IF(OR($B43="",T$4=""),"",SUMIFS(资金流水!$L$5:$L$3032,资金流水!$F$5:$F$3032,$B43,资金流水!$H$5:$H$3032,T$4))</f>
        <v/>
      </c>
      <c r="U43" s="11" t="str">
        <f>IF(OR($B43="",U$4=""),"",SUMIFS(资金流水!$L$5:$L$3032,资金流水!$F$5:$F$3032,$B43,资金流水!$H$5:$H$3032,U$4))</f>
        <v/>
      </c>
      <c r="V43" s="11" t="str">
        <f>IF(OR($B43="",V$4=""),"",SUMIFS(资金流水!$L$5:$L$3032,资金流水!$F$5:$F$3032,$B43,资金流水!$H$5:$H$3032,V$4))</f>
        <v/>
      </c>
      <c r="W43" s="11" t="str">
        <f>IF(OR($B43="",W$4=""),"",SUMIFS(资金流水!$L$5:$L$3032,资金流水!$F$5:$F$3032,$B43,资金流水!$H$5:$H$3032,W$4))</f>
        <v/>
      </c>
      <c r="X43" s="11">
        <f t="shared" si="1"/>
        <v>162308</v>
      </c>
      <c r="Y43" s="11">
        <f t="shared" si="2"/>
        <v>-162308</v>
      </c>
      <c r="Z43" s="12" t="str">
        <f t="shared" si="3"/>
        <v/>
      </c>
      <c r="AA43" s="11">
        <f t="shared" si="4"/>
        <v>-92308</v>
      </c>
      <c r="AB43" s="12">
        <f t="shared" si="5"/>
        <v>5.69371428571429</v>
      </c>
      <c r="AC43" s="28" t="str">
        <f>IF(基础资料!$O42="","",基础资料!$O42)</f>
        <v/>
      </c>
    </row>
    <row r="44" ht="36" spans="1:29">
      <c r="A44" s="28" t="str">
        <f>IF(基础资料!$I43="","",基础资料!$I43)</f>
        <v/>
      </c>
      <c r="B44" s="28" t="str">
        <f>IF(基础资料!$J43="","",基础资料!$J43)</f>
        <v>第二师铁门关市师政数据防火墙维保服务采购项目</v>
      </c>
      <c r="C44" s="28" t="str">
        <f>IF(基础资料!$K43="","",基础资料!$K43)</f>
        <v>双思威</v>
      </c>
      <c r="D44" s="28" t="str">
        <f>IF(基础资料!$L43="","",基础资料!$L43)</f>
        <v/>
      </c>
      <c r="E44" s="25" t="str">
        <f>IF(基础资料!$M43="","",基础资料!$M43)</f>
        <v/>
      </c>
      <c r="F44" s="11">
        <f>IF($B44="","",IF(基础资料!$AH$4="不含税金额",SUMIFS(开票登记!$J$5:$J$504,开票登记!$G$5:$G$504,$B44),SUMIFS(开票登记!$M$5:$M$504,开票登记!$G$5:$G$504,$B44)))</f>
        <v>0</v>
      </c>
      <c r="G44" s="11">
        <f>IF($B44="","",SUMIFS(资金流水!$K$5:$K$3032,资金流水!$F$5:$F$3032,$B44))</f>
        <v>0</v>
      </c>
      <c r="H44" s="11" t="str">
        <f t="shared" si="0"/>
        <v/>
      </c>
      <c r="I44" s="11">
        <f>IF($B44="","",SUMIFS(开票登记!$M$5:$M$504,开票登记!$G$5:$G$504,$B44)-$G44)</f>
        <v>0</v>
      </c>
      <c r="J44" s="11">
        <f>IF(OR($B44="",J$4=""),"",SUMIFS(资金流水!$L$5:$L$3032,资金流水!$F$5:$F$3032,$B44,资金流水!$H$5:$H$3032,J$4))</f>
        <v>18000</v>
      </c>
      <c r="K44" s="11">
        <f>IF(OR($B44="",K$4=""),"",SUMIFS(资金流水!$L$5:$L$3032,资金流水!$F$5:$F$3032,$B44,资金流水!$H$5:$H$3032,K$4))</f>
        <v>0</v>
      </c>
      <c r="L44" s="11">
        <f>IF(OR($B44="",L$4=""),"",SUMIFS(资金流水!$L$5:$L$3032,资金流水!$F$5:$F$3032,$B44,资金流水!$H$5:$H$3032,L$4))</f>
        <v>0</v>
      </c>
      <c r="M44" s="11">
        <f>IF(OR($B44="",M$4=""),"",SUMIFS(资金流水!$L$5:$L$3032,资金流水!$F$5:$F$3032,$B44,资金流水!$H$5:$H$3032,M$4))</f>
        <v>0</v>
      </c>
      <c r="N44" s="11">
        <f>IF(OR($B44="",N$4=""),"",SUMIFS(资金流水!$L$5:$L$3032,资金流水!$F$5:$F$3032,$B44,资金流水!$H$5:$H$3032,N$4))</f>
        <v>0</v>
      </c>
      <c r="O44" s="11">
        <f>IF(OR($B44="",O$4=""),"",SUMIFS(资金流水!$L$5:$L$3032,资金流水!$F$5:$F$3032,$B44,资金流水!$H$5:$H$3032,O$4))</f>
        <v>0</v>
      </c>
      <c r="P44" s="11">
        <f>IF(OR($B44="",P$4=""),"",SUMIFS(资金流水!$L$5:$L$3032,资金流水!$F$5:$F$3032,$B44,资金流水!$H$5:$H$3032,P$4))</f>
        <v>0</v>
      </c>
      <c r="Q44" s="11">
        <f>IF(OR($B44="",Q$4=""),"",SUMIFS(资金流水!$L$5:$L$3032,资金流水!$F$5:$F$3032,$B44,资金流水!$H$5:$H$3032,Q$4))</f>
        <v>0</v>
      </c>
      <c r="R44" s="11">
        <f>IF(OR($B44="",R$4=""),"",SUMIFS(资金流水!$L$5:$L$3032,资金流水!$F$5:$F$3032,$B44,资金流水!$H$5:$H$3032,R$4))</f>
        <v>0</v>
      </c>
      <c r="S44" s="11" t="str">
        <f>IF(OR($B44="",S$4=""),"",SUMIFS(资金流水!$L$5:$L$3032,资金流水!$F$5:$F$3032,$B44,资金流水!$H$5:$H$3032,S$4))</f>
        <v/>
      </c>
      <c r="T44" s="11" t="str">
        <f>IF(OR($B44="",T$4=""),"",SUMIFS(资金流水!$L$5:$L$3032,资金流水!$F$5:$F$3032,$B44,资金流水!$H$5:$H$3032,T$4))</f>
        <v/>
      </c>
      <c r="U44" s="11" t="str">
        <f>IF(OR($B44="",U$4=""),"",SUMIFS(资金流水!$L$5:$L$3032,资金流水!$F$5:$F$3032,$B44,资金流水!$H$5:$H$3032,U$4))</f>
        <v/>
      </c>
      <c r="V44" s="11" t="str">
        <f>IF(OR($B44="",V$4=""),"",SUMIFS(资金流水!$L$5:$L$3032,资金流水!$F$5:$F$3032,$B44,资金流水!$H$5:$H$3032,V$4))</f>
        <v/>
      </c>
      <c r="W44" s="11" t="str">
        <f>IF(OR($B44="",W$4=""),"",SUMIFS(资金流水!$L$5:$L$3032,资金流水!$F$5:$F$3032,$B44,资金流水!$H$5:$H$3032,W$4))</f>
        <v/>
      </c>
      <c r="X44" s="11">
        <f t="shared" si="1"/>
        <v>18000</v>
      </c>
      <c r="Y44" s="11">
        <f t="shared" si="2"/>
        <v>-18000</v>
      </c>
      <c r="Z44" s="12" t="str">
        <f t="shared" si="3"/>
        <v/>
      </c>
      <c r="AA44" s="11" t="str">
        <f t="shared" si="4"/>
        <v/>
      </c>
      <c r="AB44" s="12" t="str">
        <f t="shared" si="5"/>
        <v/>
      </c>
      <c r="AC44" s="28" t="str">
        <f>IF(基础资料!$O43="","",基础资料!$O43)</f>
        <v/>
      </c>
    </row>
    <row r="45" ht="24" spans="1:29">
      <c r="A45" s="28" t="str">
        <f>IF(基础资料!$I44="","",基础资料!$I44)</f>
        <v/>
      </c>
      <c r="B45" s="28" t="str">
        <f>IF(基础资料!$J44="","",基础资料!$J44)</f>
        <v>铁门关市民中心视频汇聚项目</v>
      </c>
      <c r="C45" s="28" t="str">
        <f>IF(基础资料!$K44="","",基础资料!$K44)</f>
        <v>双思威</v>
      </c>
      <c r="D45" s="28" t="str">
        <f>IF(基础资料!$L44="","",基础资料!$L44)</f>
        <v/>
      </c>
      <c r="E45" s="25" t="str">
        <f>IF(基础资料!$M44="","",基础资料!$M44)</f>
        <v/>
      </c>
      <c r="F45" s="11">
        <f>IF($B45="","",IF(基础资料!$AH$4="不含税金额",SUMIFS(开票登记!$J$5:$J$504,开票登记!$G$5:$G$504,$B45),SUMIFS(开票登记!$M$5:$M$504,开票登记!$G$5:$G$504,$B45)))</f>
        <v>0</v>
      </c>
      <c r="G45" s="11">
        <f>IF($B45="","",SUMIFS(资金流水!$K$5:$K$3032,资金流水!$F$5:$F$3032,$B45))</f>
        <v>0</v>
      </c>
      <c r="H45" s="11" t="str">
        <f t="shared" si="0"/>
        <v/>
      </c>
      <c r="I45" s="11">
        <f>IF($B45="","",SUMIFS(开票登记!$M$5:$M$504,开票登记!$G$5:$G$504,$B45)-$G45)</f>
        <v>0</v>
      </c>
      <c r="J45" s="11">
        <f>IF(OR($B45="",J$4=""),"",SUMIFS(资金流水!$L$5:$L$3032,资金流水!$F$5:$F$3032,$B45,资金流水!$H$5:$H$3032,J$4))</f>
        <v>2999</v>
      </c>
      <c r="K45" s="11">
        <f>IF(OR($B45="",K$4=""),"",SUMIFS(资金流水!$L$5:$L$3032,资金流水!$F$5:$F$3032,$B45,资金流水!$H$5:$H$3032,K$4))</f>
        <v>57255</v>
      </c>
      <c r="L45" s="11">
        <f>IF(OR($B45="",L$4=""),"",SUMIFS(资金流水!$L$5:$L$3032,资金流水!$F$5:$F$3032,$B45,资金流水!$H$5:$H$3032,L$4))</f>
        <v>0</v>
      </c>
      <c r="M45" s="11">
        <f>IF(OR($B45="",M$4=""),"",SUMIFS(资金流水!$L$5:$L$3032,资金流水!$F$5:$F$3032,$B45,资金流水!$H$5:$H$3032,M$4))</f>
        <v>0</v>
      </c>
      <c r="N45" s="11">
        <f>IF(OR($B45="",N$4=""),"",SUMIFS(资金流水!$L$5:$L$3032,资金流水!$F$5:$F$3032,$B45,资金流水!$H$5:$H$3032,N$4))</f>
        <v>0</v>
      </c>
      <c r="O45" s="11">
        <f>IF(OR($B45="",O$4=""),"",SUMIFS(资金流水!$L$5:$L$3032,资金流水!$F$5:$F$3032,$B45,资金流水!$H$5:$H$3032,O$4))</f>
        <v>0</v>
      </c>
      <c r="P45" s="11">
        <f>IF(OR($B45="",P$4=""),"",SUMIFS(资金流水!$L$5:$L$3032,资金流水!$F$5:$F$3032,$B45,资金流水!$H$5:$H$3032,P$4))</f>
        <v>0</v>
      </c>
      <c r="Q45" s="11">
        <f>IF(OR($B45="",Q$4=""),"",SUMIFS(资金流水!$L$5:$L$3032,资金流水!$F$5:$F$3032,$B45,资金流水!$H$5:$H$3032,Q$4))</f>
        <v>0</v>
      </c>
      <c r="R45" s="11">
        <f>IF(OR($B45="",R$4=""),"",SUMIFS(资金流水!$L$5:$L$3032,资金流水!$F$5:$F$3032,$B45,资金流水!$H$5:$H$3032,R$4))</f>
        <v>0</v>
      </c>
      <c r="S45" s="11" t="str">
        <f>IF(OR($B45="",S$4=""),"",SUMIFS(资金流水!$L$5:$L$3032,资金流水!$F$5:$F$3032,$B45,资金流水!$H$5:$H$3032,S$4))</f>
        <v/>
      </c>
      <c r="T45" s="11" t="str">
        <f>IF(OR($B45="",T$4=""),"",SUMIFS(资金流水!$L$5:$L$3032,资金流水!$F$5:$F$3032,$B45,资金流水!$H$5:$H$3032,T$4))</f>
        <v/>
      </c>
      <c r="U45" s="11" t="str">
        <f>IF(OR($B45="",U$4=""),"",SUMIFS(资金流水!$L$5:$L$3032,资金流水!$F$5:$F$3032,$B45,资金流水!$H$5:$H$3032,U$4))</f>
        <v/>
      </c>
      <c r="V45" s="11" t="str">
        <f>IF(OR($B45="",V$4=""),"",SUMIFS(资金流水!$L$5:$L$3032,资金流水!$F$5:$F$3032,$B45,资金流水!$H$5:$H$3032,V$4))</f>
        <v/>
      </c>
      <c r="W45" s="11" t="str">
        <f>IF(OR($B45="",W$4=""),"",SUMIFS(资金流水!$L$5:$L$3032,资金流水!$F$5:$F$3032,$B45,资金流水!$H$5:$H$3032,W$4))</f>
        <v/>
      </c>
      <c r="X45" s="11">
        <f t="shared" si="1"/>
        <v>60254</v>
      </c>
      <c r="Y45" s="11">
        <f t="shared" si="2"/>
        <v>-60254</v>
      </c>
      <c r="Z45" s="12" t="str">
        <f t="shared" si="3"/>
        <v/>
      </c>
      <c r="AA45" s="11" t="str">
        <f t="shared" si="4"/>
        <v/>
      </c>
      <c r="AB45" s="12" t="str">
        <f t="shared" si="5"/>
        <v/>
      </c>
      <c r="AC45" s="28" t="str">
        <f>IF(基础资料!$O44="","",基础资料!$O44)</f>
        <v/>
      </c>
    </row>
    <row r="46" ht="24" spans="1:29">
      <c r="A46" s="28" t="str">
        <f>IF(基础资料!$I45="","",基础资料!$I45)</f>
        <v/>
      </c>
      <c r="B46" s="28" t="str">
        <f>IF(基础资料!$J45="","",基础资料!$J45)</f>
        <v>昌吉市四所幼儿园设备采购项目（三标段）</v>
      </c>
      <c r="C46" s="28" t="str">
        <f>IF(基础资料!$K45="","",基础资料!$K45)</f>
        <v>双思威</v>
      </c>
      <c r="D46" s="28" t="str">
        <f>IF(基础资料!$L45="","",基础资料!$L45)</f>
        <v>昌吉市教育局</v>
      </c>
      <c r="E46" s="25">
        <f>IF(基础资料!$M45="","",基础资料!$M45)</f>
        <v>2343634</v>
      </c>
      <c r="F46" s="11">
        <f>IF($B46="","",IF(基础资料!$AH$4="不含税金额",SUMIFS(开票登记!$J$5:$J$504,开票登记!$G$5:$G$504,$B46),SUMIFS(开票登记!$M$5:$M$504,开票登记!$G$5:$G$504,$B46)))</f>
        <v>0</v>
      </c>
      <c r="G46" s="11">
        <f>IF($B46="","",SUMIFS(资金流水!$K$5:$K$3032,资金流水!$F$5:$F$3032,$B46))</f>
        <v>0</v>
      </c>
      <c r="H46" s="11">
        <f t="shared" si="0"/>
        <v>2343634</v>
      </c>
      <c r="I46" s="11">
        <f>IF($B46="","",SUMIFS(开票登记!$M$5:$M$504,开票登记!$G$5:$G$504,$B46)-$G46)</f>
        <v>0</v>
      </c>
      <c r="J46" s="11">
        <f>IF(OR($B46="",J$4=""),"",SUMIFS(资金流水!$L$5:$L$3032,资金流水!$F$5:$F$3032,$B46,资金流水!$H$5:$H$3032,J$4))</f>
        <v>22907</v>
      </c>
      <c r="K46" s="11">
        <f>IF(OR($B46="",K$4=""),"",SUMIFS(资金流水!$L$5:$L$3032,资金流水!$F$5:$F$3032,$B46,资金流水!$H$5:$H$3032,K$4))</f>
        <v>0</v>
      </c>
      <c r="L46" s="11">
        <f>IF(OR($B46="",L$4=""),"",SUMIFS(资金流水!$L$5:$L$3032,资金流水!$F$5:$F$3032,$B46,资金流水!$H$5:$H$3032,L$4))</f>
        <v>0</v>
      </c>
      <c r="M46" s="11">
        <f>IF(OR($B46="",M$4=""),"",SUMIFS(资金流水!$L$5:$L$3032,资金流水!$F$5:$F$3032,$B46,资金流水!$H$5:$H$3032,M$4))</f>
        <v>0</v>
      </c>
      <c r="N46" s="11">
        <f>IF(OR($B46="",N$4=""),"",SUMIFS(资金流水!$L$5:$L$3032,资金流水!$F$5:$F$3032,$B46,资金流水!$H$5:$H$3032,N$4))</f>
        <v>0</v>
      </c>
      <c r="O46" s="11">
        <f>IF(OR($B46="",O$4=""),"",SUMIFS(资金流水!$L$5:$L$3032,资金流水!$F$5:$F$3032,$B46,资金流水!$H$5:$H$3032,O$4))</f>
        <v>0</v>
      </c>
      <c r="P46" s="11">
        <f>IF(OR($B46="",P$4=""),"",SUMIFS(资金流水!$L$5:$L$3032,资金流水!$F$5:$F$3032,$B46,资金流水!$H$5:$H$3032,P$4))</f>
        <v>0</v>
      </c>
      <c r="Q46" s="11">
        <f>IF(OR($B46="",Q$4=""),"",SUMIFS(资金流水!$L$5:$L$3032,资金流水!$F$5:$F$3032,$B46,资金流水!$H$5:$H$3032,Q$4))</f>
        <v>0</v>
      </c>
      <c r="R46" s="11">
        <f>IF(OR($B46="",R$4=""),"",SUMIFS(资金流水!$L$5:$L$3032,资金流水!$F$5:$F$3032,$B46,资金流水!$H$5:$H$3032,R$4))</f>
        <v>0</v>
      </c>
      <c r="S46" s="11" t="str">
        <f>IF(OR($B46="",S$4=""),"",SUMIFS(资金流水!$L$5:$L$3032,资金流水!$F$5:$F$3032,$B46,资金流水!$H$5:$H$3032,S$4))</f>
        <v/>
      </c>
      <c r="T46" s="11" t="str">
        <f>IF(OR($B46="",T$4=""),"",SUMIFS(资金流水!$L$5:$L$3032,资金流水!$F$5:$F$3032,$B46,资金流水!$H$5:$H$3032,T$4))</f>
        <v/>
      </c>
      <c r="U46" s="11" t="str">
        <f>IF(OR($B46="",U$4=""),"",SUMIFS(资金流水!$L$5:$L$3032,资金流水!$F$5:$F$3032,$B46,资金流水!$H$5:$H$3032,U$4))</f>
        <v/>
      </c>
      <c r="V46" s="11" t="str">
        <f>IF(OR($B46="",V$4=""),"",SUMIFS(资金流水!$L$5:$L$3032,资金流水!$F$5:$F$3032,$B46,资金流水!$H$5:$H$3032,V$4))</f>
        <v/>
      </c>
      <c r="W46" s="11" t="str">
        <f>IF(OR($B46="",W$4=""),"",SUMIFS(资金流水!$L$5:$L$3032,资金流水!$F$5:$F$3032,$B46,资金流水!$H$5:$H$3032,W$4))</f>
        <v/>
      </c>
      <c r="X46" s="11">
        <f t="shared" si="1"/>
        <v>22907</v>
      </c>
      <c r="Y46" s="11">
        <f t="shared" si="2"/>
        <v>-22907</v>
      </c>
      <c r="Z46" s="12" t="str">
        <f t="shared" si="3"/>
        <v/>
      </c>
      <c r="AA46" s="11">
        <f t="shared" si="4"/>
        <v>2320727</v>
      </c>
      <c r="AB46" s="12">
        <f t="shared" si="5"/>
        <v>0</v>
      </c>
      <c r="AC46" s="28" t="str">
        <f>IF(基础资料!$O45="","",基础资料!$O45)</f>
        <v/>
      </c>
    </row>
    <row r="47" ht="24" spans="1:29">
      <c r="A47" s="28" t="str">
        <f>IF(基础资料!$I46="","",基础资料!$I46)</f>
        <v/>
      </c>
      <c r="B47" s="28" t="str">
        <f>IF(基础资料!$J46="","",基础资料!$J46)</f>
        <v>乌鲁木齐市第115中学食堂自营场地改造项目</v>
      </c>
      <c r="C47" s="28" t="str">
        <f>IF(基础资料!$K46="","",基础资料!$K46)</f>
        <v>双思威</v>
      </c>
      <c r="D47" s="28" t="str">
        <f>IF(基础资料!$L46="","",基础资料!$L46)</f>
        <v/>
      </c>
      <c r="E47" s="25">
        <f>IF(基础资料!$M46="","",基础资料!$M46)</f>
        <v>596172.56</v>
      </c>
      <c r="F47" s="11">
        <f>IF($B47="","",IF(基础资料!$AH$4="不含税金额",SUMIFS(开票登记!$J$5:$J$504,开票登记!$G$5:$G$504,$B47),SUMIFS(开票登记!$M$5:$M$504,开票登记!$G$5:$G$504,$B47)))</f>
        <v>0</v>
      </c>
      <c r="G47" s="11">
        <f>IF($B47="","",SUMIFS(资金流水!$K$5:$K$3032,资金流水!$F$5:$F$3032,$B47))</f>
        <v>0</v>
      </c>
      <c r="H47" s="11">
        <f t="shared" si="0"/>
        <v>596172.56</v>
      </c>
      <c r="I47" s="11">
        <f>IF($B47="","",SUMIFS(开票登记!$M$5:$M$504,开票登记!$G$5:$G$504,$B47)-$G47)</f>
        <v>0</v>
      </c>
      <c r="J47" s="11">
        <f>IF(OR($B47="",J$4=""),"",SUMIFS(资金流水!$L$5:$L$3032,资金流水!$F$5:$F$3032,$B47,资金流水!$H$5:$H$3032,J$4))</f>
        <v>11846</v>
      </c>
      <c r="K47" s="11">
        <f>IF(OR($B47="",K$4=""),"",SUMIFS(资金流水!$L$5:$L$3032,资金流水!$F$5:$F$3032,$B47,资金流水!$H$5:$H$3032,K$4))</f>
        <v>2000</v>
      </c>
      <c r="L47" s="11">
        <f>IF(OR($B47="",L$4=""),"",SUMIFS(资金流水!$L$5:$L$3032,资金流水!$F$5:$F$3032,$B47,资金流水!$H$5:$H$3032,L$4))</f>
        <v>0</v>
      </c>
      <c r="M47" s="11">
        <f>IF(OR($B47="",M$4=""),"",SUMIFS(资金流水!$L$5:$L$3032,资金流水!$F$5:$F$3032,$B47,资金流水!$H$5:$H$3032,M$4))</f>
        <v>0</v>
      </c>
      <c r="N47" s="11">
        <f>IF(OR($B47="",N$4=""),"",SUMIFS(资金流水!$L$5:$L$3032,资金流水!$F$5:$F$3032,$B47,资金流水!$H$5:$H$3032,N$4))</f>
        <v>0</v>
      </c>
      <c r="O47" s="11">
        <f>IF(OR($B47="",O$4=""),"",SUMIFS(资金流水!$L$5:$L$3032,资金流水!$F$5:$F$3032,$B47,资金流水!$H$5:$H$3032,O$4))</f>
        <v>0</v>
      </c>
      <c r="P47" s="11">
        <f>IF(OR($B47="",P$4=""),"",SUMIFS(资金流水!$L$5:$L$3032,资金流水!$F$5:$F$3032,$B47,资金流水!$H$5:$H$3032,P$4))</f>
        <v>0</v>
      </c>
      <c r="Q47" s="11">
        <f>IF(OR($B47="",Q$4=""),"",SUMIFS(资金流水!$L$5:$L$3032,资金流水!$F$5:$F$3032,$B47,资金流水!$H$5:$H$3032,Q$4))</f>
        <v>0</v>
      </c>
      <c r="R47" s="11">
        <f>IF(OR($B47="",R$4=""),"",SUMIFS(资金流水!$L$5:$L$3032,资金流水!$F$5:$F$3032,$B47,资金流水!$H$5:$H$3032,R$4))</f>
        <v>0</v>
      </c>
      <c r="S47" s="11" t="str">
        <f>IF(OR($B47="",S$4=""),"",SUMIFS(资金流水!$L$5:$L$3032,资金流水!$F$5:$F$3032,$B47,资金流水!$H$5:$H$3032,S$4))</f>
        <v/>
      </c>
      <c r="T47" s="11" t="str">
        <f>IF(OR($B47="",T$4=""),"",SUMIFS(资金流水!$L$5:$L$3032,资金流水!$F$5:$F$3032,$B47,资金流水!$H$5:$H$3032,T$4))</f>
        <v/>
      </c>
      <c r="U47" s="11" t="str">
        <f>IF(OR($B47="",U$4=""),"",SUMIFS(资金流水!$L$5:$L$3032,资金流水!$F$5:$F$3032,$B47,资金流水!$H$5:$H$3032,U$4))</f>
        <v/>
      </c>
      <c r="V47" s="11" t="str">
        <f>IF(OR($B47="",V$4=""),"",SUMIFS(资金流水!$L$5:$L$3032,资金流水!$F$5:$F$3032,$B47,资金流水!$H$5:$H$3032,V$4))</f>
        <v/>
      </c>
      <c r="W47" s="11" t="str">
        <f>IF(OR($B47="",W$4=""),"",SUMIFS(资金流水!$L$5:$L$3032,资金流水!$F$5:$F$3032,$B47,资金流水!$H$5:$H$3032,W$4))</f>
        <v/>
      </c>
      <c r="X47" s="11">
        <f t="shared" si="1"/>
        <v>13846</v>
      </c>
      <c r="Y47" s="11">
        <f t="shared" si="2"/>
        <v>-13846</v>
      </c>
      <c r="Z47" s="12" t="str">
        <f t="shared" si="3"/>
        <v/>
      </c>
      <c r="AA47" s="11">
        <f t="shared" si="4"/>
        <v>582326.56</v>
      </c>
      <c r="AB47" s="12">
        <f t="shared" si="5"/>
        <v>0</v>
      </c>
      <c r="AC47" s="28" t="str">
        <f>IF(基础资料!$O46="","",基础资料!$O46)</f>
        <v/>
      </c>
    </row>
    <row r="48" ht="36" spans="1:29">
      <c r="A48" s="28" t="str">
        <f>IF(基础资料!$I47="","",基础资料!$I47)</f>
        <v/>
      </c>
      <c r="B48" s="28" t="str">
        <f>IF(基础资料!$J47="","",基础资料!$J47)</f>
        <v>217线阿勒泰至布尔津公路建设项目</v>
      </c>
      <c r="C48" s="28" t="str">
        <f>IF(基础资料!$K47="","",基础资料!$K47)</f>
        <v>双思威</v>
      </c>
      <c r="D48" s="28" t="str">
        <f>IF(基础资料!$L47="","",基础资料!$L47)</f>
        <v>新疆明鸿通信技术有限公司</v>
      </c>
      <c r="E48" s="25">
        <f>IF(基础资料!$M47="","",基础资料!$M47)</f>
        <v>3361997.4</v>
      </c>
      <c r="F48" s="11">
        <f>IF($B48="","",IF(基础资料!$AH$4="不含税金额",SUMIFS(开票登记!$J$5:$J$504,开票登记!$G$5:$G$504,$B48),SUMIFS(开票登记!$M$5:$M$504,开票登记!$G$5:$G$504,$B48)))</f>
        <v>0</v>
      </c>
      <c r="G48" s="11">
        <f>IF($B48="","",SUMIFS(资金流水!$K$5:$K$3032,资金流水!$F$5:$F$3032,$B48))</f>
        <v>0</v>
      </c>
      <c r="H48" s="11">
        <f t="shared" si="0"/>
        <v>3361997.4</v>
      </c>
      <c r="I48" s="11">
        <f>IF($B48="","",SUMIFS(开票登记!$M$5:$M$504,开票登记!$G$5:$G$504,$B48)-$G48)</f>
        <v>0</v>
      </c>
      <c r="J48" s="11">
        <f>IF(OR($B48="",J$4=""),"",SUMIFS(资金流水!$L$5:$L$3032,资金流水!$F$5:$F$3032,$B48,资金流水!$H$5:$H$3032,J$4))</f>
        <v>200000</v>
      </c>
      <c r="K48" s="11">
        <f>IF(OR($B48="",K$4=""),"",SUMIFS(资金流水!$L$5:$L$3032,资金流水!$F$5:$F$3032,$B48,资金流水!$H$5:$H$3032,K$4))</f>
        <v>0</v>
      </c>
      <c r="L48" s="11">
        <f>IF(OR($B48="",L$4=""),"",SUMIFS(资金流水!$L$5:$L$3032,资金流水!$F$5:$F$3032,$B48,资金流水!$H$5:$H$3032,L$4))</f>
        <v>0</v>
      </c>
      <c r="M48" s="11">
        <f>IF(OR($B48="",M$4=""),"",SUMIFS(资金流水!$L$5:$L$3032,资金流水!$F$5:$F$3032,$B48,资金流水!$H$5:$H$3032,M$4))</f>
        <v>0</v>
      </c>
      <c r="N48" s="11">
        <f>IF(OR($B48="",N$4=""),"",SUMIFS(资金流水!$L$5:$L$3032,资金流水!$F$5:$F$3032,$B48,资金流水!$H$5:$H$3032,N$4))</f>
        <v>0</v>
      </c>
      <c r="O48" s="11">
        <f>IF(OR($B48="",O$4=""),"",SUMIFS(资金流水!$L$5:$L$3032,资金流水!$F$5:$F$3032,$B48,资金流水!$H$5:$H$3032,O$4))</f>
        <v>0</v>
      </c>
      <c r="P48" s="11">
        <f>IF(OR($B48="",P$4=""),"",SUMIFS(资金流水!$L$5:$L$3032,资金流水!$F$5:$F$3032,$B48,资金流水!$H$5:$H$3032,P$4))</f>
        <v>0</v>
      </c>
      <c r="Q48" s="11">
        <f>IF(OR($B48="",Q$4=""),"",SUMIFS(资金流水!$L$5:$L$3032,资金流水!$F$5:$F$3032,$B48,资金流水!$H$5:$H$3032,Q$4))</f>
        <v>0</v>
      </c>
      <c r="R48" s="11">
        <f>IF(OR($B48="",R$4=""),"",SUMIFS(资金流水!$L$5:$L$3032,资金流水!$F$5:$F$3032,$B48,资金流水!$H$5:$H$3032,R$4))</f>
        <v>0</v>
      </c>
      <c r="S48" s="11" t="str">
        <f>IF(OR($B48="",S$4=""),"",SUMIFS(资金流水!$L$5:$L$3032,资金流水!$F$5:$F$3032,$B48,资金流水!$H$5:$H$3032,S$4))</f>
        <v/>
      </c>
      <c r="T48" s="11" t="str">
        <f>IF(OR($B48="",T$4=""),"",SUMIFS(资金流水!$L$5:$L$3032,资金流水!$F$5:$F$3032,$B48,资金流水!$H$5:$H$3032,T$4))</f>
        <v/>
      </c>
      <c r="U48" s="11" t="str">
        <f>IF(OR($B48="",U$4=""),"",SUMIFS(资金流水!$L$5:$L$3032,资金流水!$F$5:$F$3032,$B48,资金流水!$H$5:$H$3032,U$4))</f>
        <v/>
      </c>
      <c r="V48" s="11" t="str">
        <f>IF(OR($B48="",V$4=""),"",SUMIFS(资金流水!$L$5:$L$3032,资金流水!$F$5:$F$3032,$B48,资金流水!$H$5:$H$3032,V$4))</f>
        <v/>
      </c>
      <c r="W48" s="11" t="str">
        <f>IF(OR($B48="",W$4=""),"",SUMIFS(资金流水!$L$5:$L$3032,资金流水!$F$5:$F$3032,$B48,资金流水!$H$5:$H$3032,W$4))</f>
        <v/>
      </c>
      <c r="X48" s="11">
        <f t="shared" si="1"/>
        <v>200000</v>
      </c>
      <c r="Y48" s="11">
        <f t="shared" si="2"/>
        <v>-200000</v>
      </c>
      <c r="Z48" s="12" t="str">
        <f t="shared" si="3"/>
        <v/>
      </c>
      <c r="AA48" s="11">
        <f t="shared" si="4"/>
        <v>3161997.4</v>
      </c>
      <c r="AB48" s="12">
        <f t="shared" si="5"/>
        <v>0</v>
      </c>
      <c r="AC48" s="28" t="str">
        <f>IF(基础资料!$O47="","",基础资料!$O47)</f>
        <v/>
      </c>
    </row>
    <row r="49" ht="24" spans="1:29">
      <c r="A49" s="28" t="str">
        <f>IF(基础资料!$I48="","",基础资料!$I48)</f>
        <v/>
      </c>
      <c r="B49" s="28" t="str">
        <f>IF(基础资料!$J48="","",基础资料!$J48)</f>
        <v>昌吉市第十九小学教学仪器设备采购项目</v>
      </c>
      <c r="C49" s="28" t="str">
        <f>IF(基础资料!$K48="","",基础资料!$K48)</f>
        <v>双思威</v>
      </c>
      <c r="D49" s="28" t="str">
        <f>IF(基础资料!$L48="","",基础资料!$L48)</f>
        <v>昌吉市教育局</v>
      </c>
      <c r="E49" s="25">
        <f>IF(基础资料!$M48="","",基础资料!$M48)</f>
        <v>12700000</v>
      </c>
      <c r="F49" s="11">
        <f>IF($B49="","",IF(基础资料!$AH$4="不含税金额",SUMIFS(开票登记!$J$5:$J$504,开票登记!$G$5:$G$504,$B49),SUMIFS(开票登记!$M$5:$M$504,开票登记!$G$5:$G$504,$B49)))</f>
        <v>0</v>
      </c>
      <c r="G49" s="11">
        <f>IF($B49="","",SUMIFS(资金流水!$K$5:$K$3032,资金流水!$F$5:$F$3032,$B49))</f>
        <v>0</v>
      </c>
      <c r="H49" s="11">
        <f t="shared" si="0"/>
        <v>12700000</v>
      </c>
      <c r="I49" s="11">
        <f>IF($B49="","",SUMIFS(开票登记!$M$5:$M$504,开票登记!$G$5:$G$504,$B49)-$G49)</f>
        <v>0</v>
      </c>
      <c r="J49" s="11">
        <f>IF(OR($B49="",J$4=""),"",SUMIFS(资金流水!$L$5:$L$3032,资金流水!$F$5:$F$3032,$B49,资金流水!$H$5:$H$3032,J$4))</f>
        <v>1810</v>
      </c>
      <c r="K49" s="11">
        <f>IF(OR($B49="",K$4=""),"",SUMIFS(资金流水!$L$5:$L$3032,资金流水!$F$5:$F$3032,$B49,资金流水!$H$5:$H$3032,K$4))</f>
        <v>0</v>
      </c>
      <c r="L49" s="11">
        <f>IF(OR($B49="",L$4=""),"",SUMIFS(资金流水!$L$5:$L$3032,资金流水!$F$5:$F$3032,$B49,资金流水!$H$5:$H$3032,L$4))</f>
        <v>0</v>
      </c>
      <c r="M49" s="11">
        <f>IF(OR($B49="",M$4=""),"",SUMIFS(资金流水!$L$5:$L$3032,资金流水!$F$5:$F$3032,$B49,资金流水!$H$5:$H$3032,M$4))</f>
        <v>0</v>
      </c>
      <c r="N49" s="11">
        <f>IF(OR($B49="",N$4=""),"",SUMIFS(资金流水!$L$5:$L$3032,资金流水!$F$5:$F$3032,$B49,资金流水!$H$5:$H$3032,N$4))</f>
        <v>0</v>
      </c>
      <c r="O49" s="11">
        <f>IF(OR($B49="",O$4=""),"",SUMIFS(资金流水!$L$5:$L$3032,资金流水!$F$5:$F$3032,$B49,资金流水!$H$5:$H$3032,O$4))</f>
        <v>0</v>
      </c>
      <c r="P49" s="11">
        <f>IF(OR($B49="",P$4=""),"",SUMIFS(资金流水!$L$5:$L$3032,资金流水!$F$5:$F$3032,$B49,资金流水!$H$5:$H$3032,P$4))</f>
        <v>0</v>
      </c>
      <c r="Q49" s="11">
        <f>IF(OR($B49="",Q$4=""),"",SUMIFS(资金流水!$L$5:$L$3032,资金流水!$F$5:$F$3032,$B49,资金流水!$H$5:$H$3032,Q$4))</f>
        <v>0</v>
      </c>
      <c r="R49" s="11">
        <f>IF(OR($B49="",R$4=""),"",SUMIFS(资金流水!$L$5:$L$3032,资金流水!$F$5:$F$3032,$B49,资金流水!$H$5:$H$3032,R$4))</f>
        <v>0</v>
      </c>
      <c r="S49" s="11" t="str">
        <f>IF(OR($B49="",S$4=""),"",SUMIFS(资金流水!$L$5:$L$3032,资金流水!$F$5:$F$3032,$B49,资金流水!$H$5:$H$3032,S$4))</f>
        <v/>
      </c>
      <c r="T49" s="11" t="str">
        <f>IF(OR($B49="",T$4=""),"",SUMIFS(资金流水!$L$5:$L$3032,资金流水!$F$5:$F$3032,$B49,资金流水!$H$5:$H$3032,T$4))</f>
        <v/>
      </c>
      <c r="U49" s="11" t="str">
        <f>IF(OR($B49="",U$4=""),"",SUMIFS(资金流水!$L$5:$L$3032,资金流水!$F$5:$F$3032,$B49,资金流水!$H$5:$H$3032,U$4))</f>
        <v/>
      </c>
      <c r="V49" s="11" t="str">
        <f>IF(OR($B49="",V$4=""),"",SUMIFS(资金流水!$L$5:$L$3032,资金流水!$F$5:$F$3032,$B49,资金流水!$H$5:$H$3032,V$4))</f>
        <v/>
      </c>
      <c r="W49" s="11" t="str">
        <f>IF(OR($B49="",W$4=""),"",SUMIFS(资金流水!$L$5:$L$3032,资金流水!$F$5:$F$3032,$B49,资金流水!$H$5:$H$3032,W$4))</f>
        <v/>
      </c>
      <c r="X49" s="11">
        <f t="shared" si="1"/>
        <v>1810</v>
      </c>
      <c r="Y49" s="11">
        <f t="shared" si="2"/>
        <v>-1810</v>
      </c>
      <c r="Z49" s="12" t="str">
        <f t="shared" si="3"/>
        <v/>
      </c>
      <c r="AA49" s="11">
        <f t="shared" si="4"/>
        <v>12698190</v>
      </c>
      <c r="AB49" s="12">
        <f t="shared" si="5"/>
        <v>0</v>
      </c>
      <c r="AC49" s="28" t="str">
        <f>IF(基础资料!$O48="","",基础资料!$O48)</f>
        <v/>
      </c>
    </row>
    <row r="50" ht="36" spans="1:29">
      <c r="A50" s="28" t="str">
        <f>IF(基础资料!$I49="","",基础资料!$I49)</f>
        <v/>
      </c>
      <c r="B50" s="28" t="str">
        <f>IF(基础资料!$J49="","",基础资料!$J49)</f>
        <v>库尔勒经济技术开发区第三幼儿园办公家具采购项目</v>
      </c>
      <c r="C50" s="28" t="str">
        <f>IF(基础资料!$K49="","",基础资料!$K49)</f>
        <v>双思威</v>
      </c>
      <c r="D50" s="28" t="str">
        <f>IF(基础资料!$L49="","",基础资料!$L49)</f>
        <v>新疆新广立科技有限公司</v>
      </c>
      <c r="E50" s="25">
        <f>IF(基础资料!$M49="","",基础资料!$M49)</f>
        <v>179350</v>
      </c>
      <c r="F50" s="11">
        <f>IF($B50="","",IF(基础资料!$AH$4="不含税金额",SUMIFS(开票登记!$J$5:$J$504,开票登记!$G$5:$G$504,$B50),SUMIFS(开票登记!$M$5:$M$504,开票登记!$G$5:$G$504,$B50)))</f>
        <v>0</v>
      </c>
      <c r="G50" s="11">
        <f>IF($B50="","",SUMIFS(资金流水!$K$5:$K$3032,资金流水!$F$5:$F$3032,$B50))</f>
        <v>179350</v>
      </c>
      <c r="H50" s="11">
        <f t="shared" si="0"/>
        <v>0</v>
      </c>
      <c r="I50" s="11">
        <f>IF($B50="","",SUMIFS(开票登记!$M$5:$M$504,开票登记!$G$5:$G$504,$B50)-$G50)</f>
        <v>-179350</v>
      </c>
      <c r="J50" s="11">
        <f>IF(OR($B50="",J$4=""),"",SUMIFS(资金流水!$L$5:$L$3032,资金流水!$F$5:$F$3032,$B50,资金流水!$H$5:$H$3032,J$4))</f>
        <v>0</v>
      </c>
      <c r="K50" s="11">
        <f>IF(OR($B50="",K$4=""),"",SUMIFS(资金流水!$L$5:$L$3032,资金流水!$F$5:$F$3032,$B50,资金流水!$H$5:$H$3032,K$4))</f>
        <v>0</v>
      </c>
      <c r="L50" s="11">
        <f>IF(OR($B50="",L$4=""),"",SUMIFS(资金流水!$L$5:$L$3032,资金流水!$F$5:$F$3032,$B50,资金流水!$H$5:$H$3032,L$4))</f>
        <v>0</v>
      </c>
      <c r="M50" s="11">
        <f>IF(OR($B50="",M$4=""),"",SUMIFS(资金流水!$L$5:$L$3032,资金流水!$F$5:$F$3032,$B50,资金流水!$H$5:$H$3032,M$4))</f>
        <v>0</v>
      </c>
      <c r="N50" s="11">
        <f>IF(OR($B50="",N$4=""),"",SUMIFS(资金流水!$L$5:$L$3032,资金流水!$F$5:$F$3032,$B50,资金流水!$H$5:$H$3032,N$4))</f>
        <v>0</v>
      </c>
      <c r="O50" s="11">
        <f>IF(OR($B50="",O$4=""),"",SUMIFS(资金流水!$L$5:$L$3032,资金流水!$F$5:$F$3032,$B50,资金流水!$H$5:$H$3032,O$4))</f>
        <v>0</v>
      </c>
      <c r="P50" s="11">
        <f>IF(OR($B50="",P$4=""),"",SUMIFS(资金流水!$L$5:$L$3032,资金流水!$F$5:$F$3032,$B50,资金流水!$H$5:$H$3032,P$4))</f>
        <v>0</v>
      </c>
      <c r="Q50" s="11">
        <f>IF(OR($B50="",Q$4=""),"",SUMIFS(资金流水!$L$5:$L$3032,资金流水!$F$5:$F$3032,$B50,资金流水!$H$5:$H$3032,Q$4))</f>
        <v>0</v>
      </c>
      <c r="R50" s="11">
        <f>IF(OR($B50="",R$4=""),"",SUMIFS(资金流水!$L$5:$L$3032,资金流水!$F$5:$F$3032,$B50,资金流水!$H$5:$H$3032,R$4))</f>
        <v>0</v>
      </c>
      <c r="S50" s="11" t="str">
        <f>IF(OR($B50="",S$4=""),"",SUMIFS(资金流水!$L$5:$L$3032,资金流水!$F$5:$F$3032,$B50,资金流水!$H$5:$H$3032,S$4))</f>
        <v/>
      </c>
      <c r="T50" s="11" t="str">
        <f>IF(OR($B50="",T$4=""),"",SUMIFS(资金流水!$L$5:$L$3032,资金流水!$F$5:$F$3032,$B50,资金流水!$H$5:$H$3032,T$4))</f>
        <v/>
      </c>
      <c r="U50" s="11" t="str">
        <f>IF(OR($B50="",U$4=""),"",SUMIFS(资金流水!$L$5:$L$3032,资金流水!$F$5:$F$3032,$B50,资金流水!$H$5:$H$3032,U$4))</f>
        <v/>
      </c>
      <c r="V50" s="11" t="str">
        <f>IF(OR($B50="",V$4=""),"",SUMIFS(资金流水!$L$5:$L$3032,资金流水!$F$5:$F$3032,$B50,资金流水!$H$5:$H$3032,V$4))</f>
        <v/>
      </c>
      <c r="W50" s="11" t="str">
        <f>IF(OR($B50="",W$4=""),"",SUMIFS(资金流水!$L$5:$L$3032,资金流水!$F$5:$F$3032,$B50,资金流水!$H$5:$H$3032,W$4))</f>
        <v/>
      </c>
      <c r="X50" s="11">
        <f t="shared" si="1"/>
        <v>0</v>
      </c>
      <c r="Y50" s="11">
        <f t="shared" si="2"/>
        <v>0</v>
      </c>
      <c r="Z50" s="12" t="str">
        <f t="shared" si="3"/>
        <v/>
      </c>
      <c r="AA50" s="11">
        <f t="shared" si="4"/>
        <v>179350</v>
      </c>
      <c r="AB50" s="12">
        <f t="shared" si="5"/>
        <v>1</v>
      </c>
      <c r="AC50" s="28" t="str">
        <f>IF(基础资料!$O49="","",基础资料!$O49)</f>
        <v/>
      </c>
    </row>
    <row r="51" ht="36" spans="1:29">
      <c r="A51" s="28" t="str">
        <f>IF(基础资料!$I50="","",基础资料!$I50)</f>
        <v/>
      </c>
      <c r="B51" s="28" t="str">
        <f>IF(基础资料!$J50="","",基础资料!$J50)</f>
        <v>玛纳斯县总医院人民医院院区监控设备整合项目（二次）</v>
      </c>
      <c r="C51" s="28" t="str">
        <f>IF(基础资料!$K50="","",基础资料!$K50)</f>
        <v>中展</v>
      </c>
      <c r="D51" s="28" t="str">
        <f>IF(基础资料!$L50="","",基础资料!$L50)</f>
        <v>玛纳斯县人民医院</v>
      </c>
      <c r="E51" s="25">
        <f>IF(基础资料!$M50="","",基础资料!$M50)</f>
        <v>66800</v>
      </c>
      <c r="F51" s="11">
        <f>IF($B51="","",IF(基础资料!$AH$4="不含税金额",SUMIFS(开票登记!$J$5:$J$504,开票登记!$G$5:$G$504,$B51),SUMIFS(开票登记!$M$5:$M$504,开票登记!$G$5:$G$504,$B51)))</f>
        <v>0</v>
      </c>
      <c r="G51" s="11">
        <f>IF($B51="","",SUMIFS(资金流水!$K$5:$K$3032,资金流水!$F$5:$F$3032,$B51))</f>
        <v>0</v>
      </c>
      <c r="H51" s="11">
        <f t="shared" si="0"/>
        <v>66800</v>
      </c>
      <c r="I51" s="11">
        <f>IF($B51="","",SUMIFS(开票登记!$M$5:$M$504,开票登记!$G$5:$G$504,$B51)-$G51)</f>
        <v>0</v>
      </c>
      <c r="J51" s="11">
        <f>IF(OR($B51="",J$4=""),"",SUMIFS(资金流水!$L$5:$L$3032,资金流水!$F$5:$F$3032,$B51,资金流水!$H$5:$H$3032,J$4))</f>
        <v>1500</v>
      </c>
      <c r="K51" s="11">
        <f>IF(OR($B51="",K$4=""),"",SUMIFS(资金流水!$L$5:$L$3032,资金流水!$F$5:$F$3032,$B51,资金流水!$H$5:$H$3032,K$4))</f>
        <v>16200</v>
      </c>
      <c r="L51" s="11">
        <f>IF(OR($B51="",L$4=""),"",SUMIFS(资金流水!$L$5:$L$3032,资金流水!$F$5:$F$3032,$B51,资金流水!$H$5:$H$3032,L$4))</f>
        <v>0</v>
      </c>
      <c r="M51" s="11">
        <f>IF(OR($B51="",M$4=""),"",SUMIFS(资金流水!$L$5:$L$3032,资金流水!$F$5:$F$3032,$B51,资金流水!$H$5:$H$3032,M$4))</f>
        <v>0</v>
      </c>
      <c r="N51" s="11">
        <f>IF(OR($B51="",N$4=""),"",SUMIFS(资金流水!$L$5:$L$3032,资金流水!$F$5:$F$3032,$B51,资金流水!$H$5:$H$3032,N$4))</f>
        <v>0</v>
      </c>
      <c r="O51" s="11">
        <f>IF(OR($B51="",O$4=""),"",SUMIFS(资金流水!$L$5:$L$3032,资金流水!$F$5:$F$3032,$B51,资金流水!$H$5:$H$3032,O$4))</f>
        <v>0</v>
      </c>
      <c r="P51" s="11">
        <f>IF(OR($B51="",P$4=""),"",SUMIFS(资金流水!$L$5:$L$3032,资金流水!$F$5:$F$3032,$B51,资金流水!$H$5:$H$3032,P$4))</f>
        <v>0</v>
      </c>
      <c r="Q51" s="11">
        <f>IF(OR($B51="",Q$4=""),"",SUMIFS(资金流水!$L$5:$L$3032,资金流水!$F$5:$F$3032,$B51,资金流水!$H$5:$H$3032,Q$4))</f>
        <v>0</v>
      </c>
      <c r="R51" s="11">
        <f>IF(OR($B51="",R$4=""),"",SUMIFS(资金流水!$L$5:$L$3032,资金流水!$F$5:$F$3032,$B51,资金流水!$H$5:$H$3032,R$4))</f>
        <v>0</v>
      </c>
      <c r="S51" s="11" t="str">
        <f>IF(OR($B51="",S$4=""),"",SUMIFS(资金流水!$L$5:$L$3032,资金流水!$F$5:$F$3032,$B51,资金流水!$H$5:$H$3032,S$4))</f>
        <v/>
      </c>
      <c r="T51" s="11" t="str">
        <f>IF(OR($B51="",T$4=""),"",SUMIFS(资金流水!$L$5:$L$3032,资金流水!$F$5:$F$3032,$B51,资金流水!$H$5:$H$3032,T$4))</f>
        <v/>
      </c>
      <c r="U51" s="11" t="str">
        <f>IF(OR($B51="",U$4=""),"",SUMIFS(资金流水!$L$5:$L$3032,资金流水!$F$5:$F$3032,$B51,资金流水!$H$5:$H$3032,U$4))</f>
        <v/>
      </c>
      <c r="V51" s="11" t="str">
        <f>IF(OR($B51="",V$4=""),"",SUMIFS(资金流水!$L$5:$L$3032,资金流水!$F$5:$F$3032,$B51,资金流水!$H$5:$H$3032,V$4))</f>
        <v/>
      </c>
      <c r="W51" s="11" t="str">
        <f>IF(OR($B51="",W$4=""),"",SUMIFS(资金流水!$L$5:$L$3032,资金流水!$F$5:$F$3032,$B51,资金流水!$H$5:$H$3032,W$4))</f>
        <v/>
      </c>
      <c r="X51" s="11">
        <f t="shared" si="1"/>
        <v>17700</v>
      </c>
      <c r="Y51" s="11">
        <f t="shared" si="2"/>
        <v>-17700</v>
      </c>
      <c r="Z51" s="12" t="str">
        <f t="shared" si="3"/>
        <v/>
      </c>
      <c r="AA51" s="11">
        <f t="shared" si="4"/>
        <v>49100</v>
      </c>
      <c r="AB51" s="12">
        <f t="shared" si="5"/>
        <v>0</v>
      </c>
      <c r="AC51" s="28" t="str">
        <f>IF(基础资料!$O50="","",基础资料!$O50)</f>
        <v/>
      </c>
    </row>
    <row r="52" ht="36" spans="1:29">
      <c r="A52" s="28" t="str">
        <f>IF(基础资料!$I51="","",基础资料!$I51)</f>
        <v/>
      </c>
      <c r="B52" s="28" t="str">
        <f>IF(基础资料!$J51="","",基础资料!$J51)</f>
        <v>昌吉市第二十一小教育教学设备采购项目（一标段）</v>
      </c>
      <c r="C52" s="28" t="str">
        <f>IF(基础资料!$K51="","",基础资料!$K51)</f>
        <v>双思威</v>
      </c>
      <c r="D52" s="28" t="str">
        <f>IF(基础资料!$L51="","",基础资料!$L51)</f>
        <v>中移建设有限公司新疆分公司</v>
      </c>
      <c r="E52" s="25">
        <f>IF(基础资料!$M51="","",基础资料!$M51)</f>
        <v>1302839.15</v>
      </c>
      <c r="F52" s="11">
        <f>IF($B52="","",IF(基础资料!$AH$4="不含税金额",SUMIFS(开票登记!$J$5:$J$504,开票登记!$G$5:$G$504,$B52),SUMIFS(开票登记!$M$5:$M$504,开票登记!$G$5:$G$504,$B52)))</f>
        <v>0</v>
      </c>
      <c r="G52" s="11">
        <f>IF($B52="","",SUMIFS(资金流水!$K$5:$K$3032,资金流水!$F$5:$F$3032,$B52))</f>
        <v>0</v>
      </c>
      <c r="H52" s="11">
        <f t="shared" si="0"/>
        <v>1302839.15</v>
      </c>
      <c r="I52" s="11">
        <f>IF($B52="","",SUMIFS(开票登记!$M$5:$M$504,开票登记!$G$5:$G$504,$B52)-$G52)</f>
        <v>0</v>
      </c>
      <c r="J52" s="11">
        <f>IF(OR($B52="",J$4=""),"",SUMIFS(资金流水!$L$5:$L$3032,资金流水!$F$5:$F$3032,$B52,资金流水!$H$5:$H$3032,J$4))</f>
        <v>2141</v>
      </c>
      <c r="K52" s="11">
        <f>IF(OR($B52="",K$4=""),"",SUMIFS(资金流水!$L$5:$L$3032,资金流水!$F$5:$F$3032,$B52,资金流水!$H$5:$H$3032,K$4))</f>
        <v>2300</v>
      </c>
      <c r="L52" s="11">
        <f>IF(OR($B52="",L$4=""),"",SUMIFS(资金流水!$L$5:$L$3032,资金流水!$F$5:$F$3032,$B52,资金流水!$H$5:$H$3032,L$4))</f>
        <v>0</v>
      </c>
      <c r="M52" s="11">
        <f>IF(OR($B52="",M$4=""),"",SUMIFS(资金流水!$L$5:$L$3032,资金流水!$F$5:$F$3032,$B52,资金流水!$H$5:$H$3032,M$4))</f>
        <v>0</v>
      </c>
      <c r="N52" s="11">
        <f>IF(OR($B52="",N$4=""),"",SUMIFS(资金流水!$L$5:$L$3032,资金流水!$F$5:$F$3032,$B52,资金流水!$H$5:$H$3032,N$4))</f>
        <v>0</v>
      </c>
      <c r="O52" s="11">
        <f>IF(OR($B52="",O$4=""),"",SUMIFS(资金流水!$L$5:$L$3032,资金流水!$F$5:$F$3032,$B52,资金流水!$H$5:$H$3032,O$4))</f>
        <v>0</v>
      </c>
      <c r="P52" s="11">
        <f>IF(OR($B52="",P$4=""),"",SUMIFS(资金流水!$L$5:$L$3032,资金流水!$F$5:$F$3032,$B52,资金流水!$H$5:$H$3032,P$4))</f>
        <v>0</v>
      </c>
      <c r="Q52" s="11">
        <f>IF(OR($B52="",Q$4=""),"",SUMIFS(资金流水!$L$5:$L$3032,资金流水!$F$5:$F$3032,$B52,资金流水!$H$5:$H$3032,Q$4))</f>
        <v>0</v>
      </c>
      <c r="R52" s="11">
        <f>IF(OR($B52="",R$4=""),"",SUMIFS(资金流水!$L$5:$L$3032,资金流水!$F$5:$F$3032,$B52,资金流水!$H$5:$H$3032,R$4))</f>
        <v>0</v>
      </c>
      <c r="S52" s="11" t="str">
        <f>IF(OR($B52="",S$4=""),"",SUMIFS(资金流水!$L$5:$L$3032,资金流水!$F$5:$F$3032,$B52,资金流水!$H$5:$H$3032,S$4))</f>
        <v/>
      </c>
      <c r="T52" s="11" t="str">
        <f>IF(OR($B52="",T$4=""),"",SUMIFS(资金流水!$L$5:$L$3032,资金流水!$F$5:$F$3032,$B52,资金流水!$H$5:$H$3032,T$4))</f>
        <v/>
      </c>
      <c r="U52" s="11" t="str">
        <f>IF(OR($B52="",U$4=""),"",SUMIFS(资金流水!$L$5:$L$3032,资金流水!$F$5:$F$3032,$B52,资金流水!$H$5:$H$3032,U$4))</f>
        <v/>
      </c>
      <c r="V52" s="11" t="str">
        <f>IF(OR($B52="",V$4=""),"",SUMIFS(资金流水!$L$5:$L$3032,资金流水!$F$5:$F$3032,$B52,资金流水!$H$5:$H$3032,V$4))</f>
        <v/>
      </c>
      <c r="W52" s="11" t="str">
        <f>IF(OR($B52="",W$4=""),"",SUMIFS(资金流水!$L$5:$L$3032,资金流水!$F$5:$F$3032,$B52,资金流水!$H$5:$H$3032,W$4))</f>
        <v/>
      </c>
      <c r="X52" s="11">
        <f t="shared" si="1"/>
        <v>4441</v>
      </c>
      <c r="Y52" s="11">
        <f t="shared" si="2"/>
        <v>-4441</v>
      </c>
      <c r="Z52" s="12" t="str">
        <f t="shared" si="3"/>
        <v/>
      </c>
      <c r="AA52" s="11">
        <f t="shared" si="4"/>
        <v>1298398.15</v>
      </c>
      <c r="AB52" s="12">
        <f t="shared" si="5"/>
        <v>0</v>
      </c>
      <c r="AC52" s="28" t="str">
        <f>IF(基础资料!$O51="","",基础资料!$O51)</f>
        <v/>
      </c>
    </row>
    <row r="53" ht="24" spans="1:29">
      <c r="A53" s="28" t="str">
        <f>IF(基础资料!$I52="","",基础资料!$I52)</f>
        <v/>
      </c>
      <c r="B53" s="28" t="str">
        <f>IF(基础资料!$J52="","",基础资料!$J52)</f>
        <v>库尔勒市第九中学学生计算机采购项目</v>
      </c>
      <c r="C53" s="28" t="str">
        <f>IF(基础资料!$K52="","",基础资料!$K52)</f>
        <v>双思威</v>
      </c>
      <c r="D53" s="28" t="str">
        <f>IF(基础资料!$L52="","",基础资料!$L52)</f>
        <v>库尔勒市第九中学</v>
      </c>
      <c r="E53" s="25">
        <f>IF(基础资料!$M52="","",基础资料!$M52)</f>
        <v>560000</v>
      </c>
      <c r="F53" s="11">
        <f>IF($B53="","",IF(基础资料!$AH$4="不含税金额",SUMIFS(开票登记!$J$5:$J$504,开票登记!$G$5:$G$504,$B53),SUMIFS(开票登记!$M$5:$M$504,开票登记!$G$5:$G$504,$B53)))</f>
        <v>0</v>
      </c>
      <c r="G53" s="11">
        <f>IF($B53="","",SUMIFS(资金流水!$K$5:$K$3032,资金流水!$F$5:$F$3032,$B53))</f>
        <v>0</v>
      </c>
      <c r="H53" s="11">
        <f t="shared" si="0"/>
        <v>560000</v>
      </c>
      <c r="I53" s="11">
        <f>IF($B53="","",SUMIFS(开票登记!$M$5:$M$504,开票登记!$G$5:$G$504,$B53)-$G53)</f>
        <v>0</v>
      </c>
      <c r="J53" s="11">
        <f>IF(OR($B53="",J$4=""),"",SUMIFS(资金流水!$L$5:$L$3032,资金流水!$F$5:$F$3032,$B53,资金流水!$H$5:$H$3032,J$4))</f>
        <v>0</v>
      </c>
      <c r="K53" s="11">
        <f>IF(OR($B53="",K$4=""),"",SUMIFS(资金流水!$L$5:$L$3032,资金流水!$F$5:$F$3032,$B53,资金流水!$H$5:$H$3032,K$4))</f>
        <v>0</v>
      </c>
      <c r="L53" s="11">
        <f>IF(OR($B53="",L$4=""),"",SUMIFS(资金流水!$L$5:$L$3032,资金流水!$F$5:$F$3032,$B53,资金流水!$H$5:$H$3032,L$4))</f>
        <v>0</v>
      </c>
      <c r="M53" s="11">
        <f>IF(OR($B53="",M$4=""),"",SUMIFS(资金流水!$L$5:$L$3032,资金流水!$F$5:$F$3032,$B53,资金流水!$H$5:$H$3032,M$4))</f>
        <v>0</v>
      </c>
      <c r="N53" s="11">
        <f>IF(OR($B53="",N$4=""),"",SUMIFS(资金流水!$L$5:$L$3032,资金流水!$F$5:$F$3032,$B53,资金流水!$H$5:$H$3032,N$4))</f>
        <v>0</v>
      </c>
      <c r="O53" s="11">
        <f>IF(OR($B53="",O$4=""),"",SUMIFS(资金流水!$L$5:$L$3032,资金流水!$F$5:$F$3032,$B53,资金流水!$H$5:$H$3032,O$4))</f>
        <v>0</v>
      </c>
      <c r="P53" s="11">
        <f>IF(OR($B53="",P$4=""),"",SUMIFS(资金流水!$L$5:$L$3032,资金流水!$F$5:$F$3032,$B53,资金流水!$H$5:$H$3032,P$4))</f>
        <v>0</v>
      </c>
      <c r="Q53" s="11">
        <f>IF(OR($B53="",Q$4=""),"",SUMIFS(资金流水!$L$5:$L$3032,资金流水!$F$5:$F$3032,$B53,资金流水!$H$5:$H$3032,Q$4))</f>
        <v>0</v>
      </c>
      <c r="R53" s="11">
        <f>IF(OR($B53="",R$4=""),"",SUMIFS(资金流水!$L$5:$L$3032,资金流水!$F$5:$F$3032,$B53,资金流水!$H$5:$H$3032,R$4))</f>
        <v>0</v>
      </c>
      <c r="S53" s="11" t="str">
        <f>IF(OR($B53="",S$4=""),"",SUMIFS(资金流水!$L$5:$L$3032,资金流水!$F$5:$F$3032,$B53,资金流水!$H$5:$H$3032,S$4))</f>
        <v/>
      </c>
      <c r="T53" s="11" t="str">
        <f>IF(OR($B53="",T$4=""),"",SUMIFS(资金流水!$L$5:$L$3032,资金流水!$F$5:$F$3032,$B53,资金流水!$H$5:$H$3032,T$4))</f>
        <v/>
      </c>
      <c r="U53" s="11" t="str">
        <f>IF(OR($B53="",U$4=""),"",SUMIFS(资金流水!$L$5:$L$3032,资金流水!$F$5:$F$3032,$B53,资金流水!$H$5:$H$3032,U$4))</f>
        <v/>
      </c>
      <c r="V53" s="11" t="str">
        <f>IF(OR($B53="",V$4=""),"",SUMIFS(资金流水!$L$5:$L$3032,资金流水!$F$5:$F$3032,$B53,资金流水!$H$5:$H$3032,V$4))</f>
        <v/>
      </c>
      <c r="W53" s="11" t="str">
        <f>IF(OR($B53="",W$4=""),"",SUMIFS(资金流水!$L$5:$L$3032,资金流水!$F$5:$F$3032,$B53,资金流水!$H$5:$H$3032,W$4))</f>
        <v/>
      </c>
      <c r="X53" s="11">
        <f t="shared" si="1"/>
        <v>0</v>
      </c>
      <c r="Y53" s="11">
        <f t="shared" si="2"/>
        <v>0</v>
      </c>
      <c r="Z53" s="12" t="str">
        <f t="shared" si="3"/>
        <v/>
      </c>
      <c r="AA53" s="11">
        <f t="shared" si="4"/>
        <v>560000</v>
      </c>
      <c r="AB53" s="12">
        <f t="shared" si="5"/>
        <v>0</v>
      </c>
      <c r="AC53" s="28" t="str">
        <f>IF(基础资料!$O52="","",基础资料!$O52)</f>
        <v/>
      </c>
    </row>
    <row r="54" ht="60" spans="1:29">
      <c r="A54" s="28" t="str">
        <f>IF(基础资料!$I53="","",基础资料!$I53)</f>
        <v/>
      </c>
      <c r="B54" s="28" t="str">
        <f>IF(基础资料!$J53="","",基础资料!$J53)</f>
        <v>第二师民兵训练基地综合指挥系统平台云集成服务项目（陪标中标</v>
      </c>
      <c r="C54" s="28" t="str">
        <f>IF(基础资料!$K53="","",基础资料!$K53)</f>
        <v>双思威</v>
      </c>
      <c r="D54" s="28" t="str">
        <f>IF(基础资料!$L53="","",基础资料!$L53)</f>
        <v>中国电信股份有限公司巴音郭楞蒙古自治州分公司</v>
      </c>
      <c r="E54" s="25">
        <f>IF(基础资料!$M53="","",基础资料!$M53)</f>
        <v>240000</v>
      </c>
      <c r="F54" s="11">
        <f>IF($B54="","",IF(基础资料!$AH$4="不含税金额",SUMIFS(开票登记!$J$5:$J$504,开票登记!$G$5:$G$504,$B54),SUMIFS(开票登记!$M$5:$M$504,开票登记!$G$5:$G$504,$B54)))</f>
        <v>0</v>
      </c>
      <c r="G54" s="11">
        <f>IF($B54="","",SUMIFS(资金流水!$K$5:$K$3032,资金流水!$F$5:$F$3032,$B54))</f>
        <v>240000</v>
      </c>
      <c r="H54" s="11">
        <f t="shared" si="0"/>
        <v>0</v>
      </c>
      <c r="I54" s="11">
        <f>IF($B54="","",SUMIFS(开票登记!$M$5:$M$504,开票登记!$G$5:$G$504,$B54)-$G54)</f>
        <v>-240000</v>
      </c>
      <c r="J54" s="11">
        <f>IF(OR($B54="",J$4=""),"",SUMIFS(资金流水!$L$5:$L$3032,资金流水!$F$5:$F$3032,$B54,资金流水!$H$5:$H$3032,J$4))</f>
        <v>0</v>
      </c>
      <c r="K54" s="11">
        <f>IF(OR($B54="",K$4=""),"",SUMIFS(资金流水!$L$5:$L$3032,资金流水!$F$5:$F$3032,$B54,资金流水!$H$5:$H$3032,K$4))</f>
        <v>232800</v>
      </c>
      <c r="L54" s="11">
        <f>IF(OR($B54="",L$4=""),"",SUMIFS(资金流水!$L$5:$L$3032,资金流水!$F$5:$F$3032,$B54,资金流水!$H$5:$H$3032,L$4))</f>
        <v>0</v>
      </c>
      <c r="M54" s="11">
        <f>IF(OR($B54="",M$4=""),"",SUMIFS(资金流水!$L$5:$L$3032,资金流水!$F$5:$F$3032,$B54,资金流水!$H$5:$H$3032,M$4))</f>
        <v>0</v>
      </c>
      <c r="N54" s="11">
        <f>IF(OR($B54="",N$4=""),"",SUMIFS(资金流水!$L$5:$L$3032,资金流水!$F$5:$F$3032,$B54,资金流水!$H$5:$H$3032,N$4))</f>
        <v>0</v>
      </c>
      <c r="O54" s="11">
        <f>IF(OR($B54="",O$4=""),"",SUMIFS(资金流水!$L$5:$L$3032,资金流水!$F$5:$F$3032,$B54,资金流水!$H$5:$H$3032,O$4))</f>
        <v>0</v>
      </c>
      <c r="P54" s="11">
        <f>IF(OR($B54="",P$4=""),"",SUMIFS(资金流水!$L$5:$L$3032,资金流水!$F$5:$F$3032,$B54,资金流水!$H$5:$H$3032,P$4))</f>
        <v>0</v>
      </c>
      <c r="Q54" s="11">
        <f>IF(OR($B54="",Q$4=""),"",SUMIFS(资金流水!$L$5:$L$3032,资金流水!$F$5:$F$3032,$B54,资金流水!$H$5:$H$3032,Q$4))</f>
        <v>0</v>
      </c>
      <c r="R54" s="11">
        <f>IF(OR($B54="",R$4=""),"",SUMIFS(资金流水!$L$5:$L$3032,资金流水!$F$5:$F$3032,$B54,资金流水!$H$5:$H$3032,R$4))</f>
        <v>0</v>
      </c>
      <c r="S54" s="11" t="str">
        <f>IF(OR($B54="",S$4=""),"",SUMIFS(资金流水!$L$5:$L$3032,资金流水!$F$5:$F$3032,$B54,资金流水!$H$5:$H$3032,S$4))</f>
        <v/>
      </c>
      <c r="T54" s="11" t="str">
        <f>IF(OR($B54="",T$4=""),"",SUMIFS(资金流水!$L$5:$L$3032,资金流水!$F$5:$F$3032,$B54,资金流水!$H$5:$H$3032,T$4))</f>
        <v/>
      </c>
      <c r="U54" s="11" t="str">
        <f>IF(OR($B54="",U$4=""),"",SUMIFS(资金流水!$L$5:$L$3032,资金流水!$F$5:$F$3032,$B54,资金流水!$H$5:$H$3032,U$4))</f>
        <v/>
      </c>
      <c r="V54" s="11" t="str">
        <f>IF(OR($B54="",V$4=""),"",SUMIFS(资金流水!$L$5:$L$3032,资金流水!$F$5:$F$3032,$B54,资金流水!$H$5:$H$3032,V$4))</f>
        <v/>
      </c>
      <c r="W54" s="11" t="str">
        <f>IF(OR($B54="",W$4=""),"",SUMIFS(资金流水!$L$5:$L$3032,资金流水!$F$5:$F$3032,$B54,资金流水!$H$5:$H$3032,W$4))</f>
        <v/>
      </c>
      <c r="X54" s="11">
        <f t="shared" si="1"/>
        <v>232800</v>
      </c>
      <c r="Y54" s="11">
        <f t="shared" si="2"/>
        <v>-232800</v>
      </c>
      <c r="Z54" s="12" t="str">
        <f t="shared" si="3"/>
        <v/>
      </c>
      <c r="AA54" s="11">
        <f t="shared" si="4"/>
        <v>7200</v>
      </c>
      <c r="AB54" s="12">
        <f t="shared" si="5"/>
        <v>1</v>
      </c>
      <c r="AC54" s="28" t="str">
        <f>IF(基础资料!$O53="","",基础资料!$O53)</f>
        <v/>
      </c>
    </row>
    <row r="55" ht="36" spans="1:29">
      <c r="A55" s="28" t="str">
        <f>IF(基础资料!$I54="","",基础资料!$I54)</f>
        <v/>
      </c>
      <c r="B55" s="28" t="str">
        <f>IF(基础资料!$J54="","",基础资料!$J54)</f>
        <v>铁门关职业技术学院监控维修</v>
      </c>
      <c r="C55" s="28" t="str">
        <f>IF(基础资料!$K54="","",基础资料!$K54)</f>
        <v>双思威</v>
      </c>
      <c r="D55" s="28" t="str">
        <f>IF(基础资料!$L54="","",基础资料!$L54)</f>
        <v>中国电信股份有限公司和静分公司</v>
      </c>
      <c r="E55" s="25">
        <f>IF(基础资料!$M54="","",基础资料!$M54)</f>
        <v>32900</v>
      </c>
      <c r="F55" s="11">
        <f>IF($B55="","",IF(基础资料!$AH$4="不含税金额",SUMIFS(开票登记!$J$5:$J$504,开票登记!$G$5:$G$504,$B55),SUMIFS(开票登记!$M$5:$M$504,开票登记!$G$5:$G$504,$B55)))</f>
        <v>32900</v>
      </c>
      <c r="G55" s="11">
        <f>IF($B55="","",SUMIFS(资金流水!$K$5:$K$3032,资金流水!$F$5:$F$3032,$B55))</f>
        <v>32900</v>
      </c>
      <c r="H55" s="11">
        <f t="shared" si="0"/>
        <v>0</v>
      </c>
      <c r="I55" s="11">
        <f>IF($B55="","",SUMIFS(开票登记!$M$5:$M$504,开票登记!$G$5:$G$504,$B55)-$G55)</f>
        <v>0</v>
      </c>
      <c r="J55" s="11">
        <f>IF(OR($B55="",J$4=""),"",SUMIFS(资金流水!$L$5:$L$3032,资金流水!$F$5:$F$3032,$B55,资金流水!$H$5:$H$3032,J$4))</f>
        <v>11000</v>
      </c>
      <c r="K55" s="11">
        <f>IF(OR($B55="",K$4=""),"",SUMIFS(资金流水!$L$5:$L$3032,资金流水!$F$5:$F$3032,$B55,资金流水!$H$5:$H$3032,K$4))</f>
        <v>0</v>
      </c>
      <c r="L55" s="11">
        <f>IF(OR($B55="",L$4=""),"",SUMIFS(资金流水!$L$5:$L$3032,资金流水!$F$5:$F$3032,$B55,资金流水!$H$5:$H$3032,L$4))</f>
        <v>0</v>
      </c>
      <c r="M55" s="11">
        <f>IF(OR($B55="",M$4=""),"",SUMIFS(资金流水!$L$5:$L$3032,资金流水!$F$5:$F$3032,$B55,资金流水!$H$5:$H$3032,M$4))</f>
        <v>0</v>
      </c>
      <c r="N55" s="11">
        <f>IF(OR($B55="",N$4=""),"",SUMIFS(资金流水!$L$5:$L$3032,资金流水!$F$5:$F$3032,$B55,资金流水!$H$5:$H$3032,N$4))</f>
        <v>0</v>
      </c>
      <c r="O55" s="11">
        <f>IF(OR($B55="",O$4=""),"",SUMIFS(资金流水!$L$5:$L$3032,资金流水!$F$5:$F$3032,$B55,资金流水!$H$5:$H$3032,O$4))</f>
        <v>0</v>
      </c>
      <c r="P55" s="11">
        <f>IF(OR($B55="",P$4=""),"",SUMIFS(资金流水!$L$5:$L$3032,资金流水!$F$5:$F$3032,$B55,资金流水!$H$5:$H$3032,P$4))</f>
        <v>0</v>
      </c>
      <c r="Q55" s="11">
        <f>IF(OR($B55="",Q$4=""),"",SUMIFS(资金流水!$L$5:$L$3032,资金流水!$F$5:$F$3032,$B55,资金流水!$H$5:$H$3032,Q$4))</f>
        <v>0</v>
      </c>
      <c r="R55" s="11">
        <f>IF(OR($B55="",R$4=""),"",SUMIFS(资金流水!$L$5:$L$3032,资金流水!$F$5:$F$3032,$B55,资金流水!$H$5:$H$3032,R$4))</f>
        <v>0</v>
      </c>
      <c r="S55" s="11" t="str">
        <f>IF(OR($B55="",S$4=""),"",SUMIFS(资金流水!$L$5:$L$3032,资金流水!$F$5:$F$3032,$B55,资金流水!$H$5:$H$3032,S$4))</f>
        <v/>
      </c>
      <c r="T55" s="11" t="str">
        <f>IF(OR($B55="",T$4=""),"",SUMIFS(资金流水!$L$5:$L$3032,资金流水!$F$5:$F$3032,$B55,资金流水!$H$5:$H$3032,T$4))</f>
        <v/>
      </c>
      <c r="U55" s="11" t="str">
        <f>IF(OR($B55="",U$4=""),"",SUMIFS(资金流水!$L$5:$L$3032,资金流水!$F$5:$F$3032,$B55,资金流水!$H$5:$H$3032,U$4))</f>
        <v/>
      </c>
      <c r="V55" s="11" t="str">
        <f>IF(OR($B55="",V$4=""),"",SUMIFS(资金流水!$L$5:$L$3032,资金流水!$F$5:$F$3032,$B55,资金流水!$H$5:$H$3032,V$4))</f>
        <v/>
      </c>
      <c r="W55" s="11" t="str">
        <f>IF(OR($B55="",W$4=""),"",SUMIFS(资金流水!$L$5:$L$3032,资金流水!$F$5:$F$3032,$B55,资金流水!$H$5:$H$3032,W$4))</f>
        <v/>
      </c>
      <c r="X55" s="11">
        <f t="shared" si="1"/>
        <v>11000</v>
      </c>
      <c r="Y55" s="11">
        <f t="shared" si="2"/>
        <v>21900</v>
      </c>
      <c r="Z55" s="12">
        <f t="shared" si="3"/>
        <v>0.665653495440729</v>
      </c>
      <c r="AA55" s="11">
        <f t="shared" si="4"/>
        <v>21900</v>
      </c>
      <c r="AB55" s="12">
        <f t="shared" si="5"/>
        <v>1</v>
      </c>
      <c r="AC55" s="28" t="str">
        <f>IF(基础资料!$O54="","",基础资料!$O54)</f>
        <v/>
      </c>
    </row>
    <row r="56" ht="36" spans="1:29">
      <c r="A56" s="28" t="str">
        <f>IF(基础资料!$I55="","",基础资料!$I55)</f>
        <v/>
      </c>
      <c r="B56" s="28" t="str">
        <f>IF(基础资料!$J55="","",基础资料!$J55)</f>
        <v>御丰纺织厂无线覆盖项目</v>
      </c>
      <c r="C56" s="28" t="str">
        <f>IF(基础资料!$K55="","",基础资料!$K55)</f>
        <v>双思威</v>
      </c>
      <c r="D56" s="28" t="str">
        <f>IF(基础资料!$L55="","",基础资料!$L55)</f>
        <v>中国电信股份有限公司和静分公司</v>
      </c>
      <c r="E56" s="25">
        <f>IF(基础资料!$M55="","",基础资料!$M55)</f>
        <v>16000</v>
      </c>
      <c r="F56" s="11">
        <f>IF($B56="","",IF(基础资料!$AH$4="不含税金额",SUMIFS(开票登记!$J$5:$J$504,开票登记!$G$5:$G$504,$B56),SUMIFS(开票登记!$M$5:$M$504,开票登记!$G$5:$G$504,$B56)))</f>
        <v>0</v>
      </c>
      <c r="G56" s="11">
        <f>IF($B56="","",SUMIFS(资金流水!$K$5:$K$3032,资金流水!$F$5:$F$3032,$B56))</f>
        <v>16000</v>
      </c>
      <c r="H56" s="11">
        <f t="shared" si="0"/>
        <v>0</v>
      </c>
      <c r="I56" s="11">
        <f>IF($B56="","",SUMIFS(开票登记!$M$5:$M$504,开票登记!$G$5:$G$504,$B56)-$G56)</f>
        <v>-16000</v>
      </c>
      <c r="J56" s="11">
        <f>IF(OR($B56="",J$4=""),"",SUMIFS(资金流水!$L$5:$L$3032,资金流水!$F$5:$F$3032,$B56,资金流水!$H$5:$H$3032,J$4))</f>
        <v>0</v>
      </c>
      <c r="K56" s="11">
        <f>IF(OR($B56="",K$4=""),"",SUMIFS(资金流水!$L$5:$L$3032,资金流水!$F$5:$F$3032,$B56,资金流水!$H$5:$H$3032,K$4))</f>
        <v>0</v>
      </c>
      <c r="L56" s="11">
        <f>IF(OR($B56="",L$4=""),"",SUMIFS(资金流水!$L$5:$L$3032,资金流水!$F$5:$F$3032,$B56,资金流水!$H$5:$H$3032,L$4))</f>
        <v>0</v>
      </c>
      <c r="M56" s="11">
        <f>IF(OR($B56="",M$4=""),"",SUMIFS(资金流水!$L$5:$L$3032,资金流水!$F$5:$F$3032,$B56,资金流水!$H$5:$H$3032,M$4))</f>
        <v>0</v>
      </c>
      <c r="N56" s="11">
        <f>IF(OR($B56="",N$4=""),"",SUMIFS(资金流水!$L$5:$L$3032,资金流水!$F$5:$F$3032,$B56,资金流水!$H$5:$H$3032,N$4))</f>
        <v>0</v>
      </c>
      <c r="O56" s="11">
        <f>IF(OR($B56="",O$4=""),"",SUMIFS(资金流水!$L$5:$L$3032,资金流水!$F$5:$F$3032,$B56,资金流水!$H$5:$H$3032,O$4))</f>
        <v>0</v>
      </c>
      <c r="P56" s="11">
        <f>IF(OR($B56="",P$4=""),"",SUMIFS(资金流水!$L$5:$L$3032,资金流水!$F$5:$F$3032,$B56,资金流水!$H$5:$H$3032,P$4))</f>
        <v>0</v>
      </c>
      <c r="Q56" s="11">
        <f>IF(OR($B56="",Q$4=""),"",SUMIFS(资金流水!$L$5:$L$3032,资金流水!$F$5:$F$3032,$B56,资金流水!$H$5:$H$3032,Q$4))</f>
        <v>0</v>
      </c>
      <c r="R56" s="11">
        <f>IF(OR($B56="",R$4=""),"",SUMIFS(资金流水!$L$5:$L$3032,资金流水!$F$5:$F$3032,$B56,资金流水!$H$5:$H$3032,R$4))</f>
        <v>0</v>
      </c>
      <c r="S56" s="11" t="str">
        <f>IF(OR($B56="",S$4=""),"",SUMIFS(资金流水!$L$5:$L$3032,资金流水!$F$5:$F$3032,$B56,资金流水!$H$5:$H$3032,S$4))</f>
        <v/>
      </c>
      <c r="T56" s="11" t="str">
        <f>IF(OR($B56="",T$4=""),"",SUMIFS(资金流水!$L$5:$L$3032,资金流水!$F$5:$F$3032,$B56,资金流水!$H$5:$H$3032,T$4))</f>
        <v/>
      </c>
      <c r="U56" s="11" t="str">
        <f>IF(OR($B56="",U$4=""),"",SUMIFS(资金流水!$L$5:$L$3032,资金流水!$F$5:$F$3032,$B56,资金流水!$H$5:$H$3032,U$4))</f>
        <v/>
      </c>
      <c r="V56" s="11" t="str">
        <f>IF(OR($B56="",V$4=""),"",SUMIFS(资金流水!$L$5:$L$3032,资金流水!$F$5:$F$3032,$B56,资金流水!$H$5:$H$3032,V$4))</f>
        <v/>
      </c>
      <c r="W56" s="11" t="str">
        <f>IF(OR($B56="",W$4=""),"",SUMIFS(资金流水!$L$5:$L$3032,资金流水!$F$5:$F$3032,$B56,资金流水!$H$5:$H$3032,W$4))</f>
        <v/>
      </c>
      <c r="X56" s="11">
        <f t="shared" si="1"/>
        <v>0</v>
      </c>
      <c r="Y56" s="11">
        <f t="shared" si="2"/>
        <v>0</v>
      </c>
      <c r="Z56" s="12" t="str">
        <f t="shared" si="3"/>
        <v/>
      </c>
      <c r="AA56" s="11">
        <f t="shared" si="4"/>
        <v>16000</v>
      </c>
      <c r="AB56" s="12">
        <f t="shared" si="5"/>
        <v>1</v>
      </c>
      <c r="AC56" s="28" t="str">
        <f>IF(基础资料!$O55="","",基础资料!$O55)</f>
        <v/>
      </c>
    </row>
    <row r="57" ht="36" spans="1:29">
      <c r="A57" s="28" t="str">
        <f>IF(基础资料!$I56="","",基础资料!$I56)</f>
        <v/>
      </c>
      <c r="B57" s="28" t="str">
        <f>IF(基础资料!$J56="","",基础资料!$J56)</f>
        <v>铁门关市乐美酒店监控项目</v>
      </c>
      <c r="C57" s="28" t="str">
        <f>IF(基础资料!$K56="","",基础资料!$K56)</f>
        <v>双思威</v>
      </c>
      <c r="D57" s="28" t="str">
        <f>IF(基础资料!$L56="","",基础资料!$L56)</f>
        <v>中国电信股份有限公司和静分公司</v>
      </c>
      <c r="E57" s="25">
        <f>IF(基础资料!$M56="","",基础资料!$M56)</f>
        <v>18800</v>
      </c>
      <c r="F57" s="11">
        <f>IF($B57="","",IF(基础资料!$AH$4="不含税金额",SUMIFS(开票登记!$J$5:$J$504,开票登记!$G$5:$G$504,$B57),SUMIFS(开票登记!$M$5:$M$504,开票登记!$G$5:$G$504,$B57)))</f>
        <v>18800</v>
      </c>
      <c r="G57" s="11">
        <f>IF($B57="","",SUMIFS(资金流水!$K$5:$K$3032,资金流水!$F$5:$F$3032,$B57))</f>
        <v>18800</v>
      </c>
      <c r="H57" s="11">
        <f t="shared" si="0"/>
        <v>0</v>
      </c>
      <c r="I57" s="11">
        <f>IF($B57="","",SUMIFS(开票登记!$M$5:$M$504,开票登记!$G$5:$G$504,$B57)-$G57)</f>
        <v>0</v>
      </c>
      <c r="J57" s="11">
        <f>IF(OR($B57="",J$4=""),"",SUMIFS(资金流水!$L$5:$L$3032,资金流水!$F$5:$F$3032,$B57,资金流水!$H$5:$H$3032,J$4))</f>
        <v>0</v>
      </c>
      <c r="K57" s="11">
        <f>IF(OR($B57="",K$4=""),"",SUMIFS(资金流水!$L$5:$L$3032,资金流水!$F$5:$F$3032,$B57,资金流水!$H$5:$H$3032,K$4))</f>
        <v>0</v>
      </c>
      <c r="L57" s="11">
        <f>IF(OR($B57="",L$4=""),"",SUMIFS(资金流水!$L$5:$L$3032,资金流水!$F$5:$F$3032,$B57,资金流水!$H$5:$H$3032,L$4))</f>
        <v>0</v>
      </c>
      <c r="M57" s="11">
        <f>IF(OR($B57="",M$4=""),"",SUMIFS(资金流水!$L$5:$L$3032,资金流水!$F$5:$F$3032,$B57,资金流水!$H$5:$H$3032,M$4))</f>
        <v>0</v>
      </c>
      <c r="N57" s="11">
        <f>IF(OR($B57="",N$4=""),"",SUMIFS(资金流水!$L$5:$L$3032,资金流水!$F$5:$F$3032,$B57,资金流水!$H$5:$H$3032,N$4))</f>
        <v>0</v>
      </c>
      <c r="O57" s="11">
        <f>IF(OR($B57="",O$4=""),"",SUMIFS(资金流水!$L$5:$L$3032,资金流水!$F$5:$F$3032,$B57,资金流水!$H$5:$H$3032,O$4))</f>
        <v>0</v>
      </c>
      <c r="P57" s="11">
        <f>IF(OR($B57="",P$4=""),"",SUMIFS(资金流水!$L$5:$L$3032,资金流水!$F$5:$F$3032,$B57,资金流水!$H$5:$H$3032,P$4))</f>
        <v>0</v>
      </c>
      <c r="Q57" s="11">
        <f>IF(OR($B57="",Q$4=""),"",SUMIFS(资金流水!$L$5:$L$3032,资金流水!$F$5:$F$3032,$B57,资金流水!$H$5:$H$3032,Q$4))</f>
        <v>0</v>
      </c>
      <c r="R57" s="11">
        <f>IF(OR($B57="",R$4=""),"",SUMIFS(资金流水!$L$5:$L$3032,资金流水!$F$5:$F$3032,$B57,资金流水!$H$5:$H$3032,R$4))</f>
        <v>0</v>
      </c>
      <c r="S57" s="11" t="str">
        <f>IF(OR($B57="",S$4=""),"",SUMIFS(资金流水!$L$5:$L$3032,资金流水!$F$5:$F$3032,$B57,资金流水!$H$5:$H$3032,S$4))</f>
        <v/>
      </c>
      <c r="T57" s="11" t="str">
        <f>IF(OR($B57="",T$4=""),"",SUMIFS(资金流水!$L$5:$L$3032,资金流水!$F$5:$F$3032,$B57,资金流水!$H$5:$H$3032,T$4))</f>
        <v/>
      </c>
      <c r="U57" s="11" t="str">
        <f>IF(OR($B57="",U$4=""),"",SUMIFS(资金流水!$L$5:$L$3032,资金流水!$F$5:$F$3032,$B57,资金流水!$H$5:$H$3032,U$4))</f>
        <v/>
      </c>
      <c r="V57" s="11" t="str">
        <f>IF(OR($B57="",V$4=""),"",SUMIFS(资金流水!$L$5:$L$3032,资金流水!$F$5:$F$3032,$B57,资金流水!$H$5:$H$3032,V$4))</f>
        <v/>
      </c>
      <c r="W57" s="11" t="str">
        <f>IF(OR($B57="",W$4=""),"",SUMIFS(资金流水!$L$5:$L$3032,资金流水!$F$5:$F$3032,$B57,资金流水!$H$5:$H$3032,W$4))</f>
        <v/>
      </c>
      <c r="X57" s="11">
        <f t="shared" si="1"/>
        <v>0</v>
      </c>
      <c r="Y57" s="11">
        <f t="shared" si="2"/>
        <v>18800</v>
      </c>
      <c r="Z57" s="12">
        <f t="shared" si="3"/>
        <v>1</v>
      </c>
      <c r="AA57" s="11">
        <f t="shared" si="4"/>
        <v>18800</v>
      </c>
      <c r="AB57" s="12">
        <f t="shared" si="5"/>
        <v>1</v>
      </c>
      <c r="AC57" s="28" t="str">
        <f>IF(基础资料!$O56="","",基础资料!$O56)</f>
        <v/>
      </c>
    </row>
    <row r="58" ht="48" spans="1:29">
      <c r="A58" s="28" t="str">
        <f>IF(基础资料!$I57="","",基础资料!$I57)</f>
        <v/>
      </c>
      <c r="B58" s="28" t="str">
        <f>IF(基础资料!$J57="","",基础资料!$J57)</f>
        <v>昌吉健康云120调度指挥中心项目</v>
      </c>
      <c r="C58" s="28" t="str">
        <f>IF(基础资料!$K57="","",基础资料!$K57)</f>
        <v>双思威</v>
      </c>
      <c r="D58" s="28" t="str">
        <f>IF(基础资料!$L57="","",基础资料!$L57)</f>
        <v>中国移动通信集团新疆有限公司昌吉州分公司</v>
      </c>
      <c r="E58" s="25">
        <f>IF(基础资料!$M57="","",基础资料!$M57)</f>
        <v>1616642</v>
      </c>
      <c r="F58" s="11">
        <f>IF($B58="","",IF(基础资料!$AH$4="不含税金额",SUMIFS(开票登记!$J$5:$J$504,开票登记!$G$5:$G$504,$B58),SUMIFS(开票登记!$M$5:$M$504,开票登记!$G$5:$G$504,$B58)))</f>
        <v>104768</v>
      </c>
      <c r="G58" s="11">
        <f>IF($B58="","",SUMIFS(资金流水!$K$5:$K$3032,资金流水!$F$5:$F$3032,$B58))</f>
        <v>104768</v>
      </c>
      <c r="H58" s="11">
        <f t="shared" si="0"/>
        <v>1511874</v>
      </c>
      <c r="I58" s="11">
        <f>IF($B58="","",SUMIFS(开票登记!$M$5:$M$504,开票登记!$G$5:$G$504,$B58)-$G58)</f>
        <v>0</v>
      </c>
      <c r="J58" s="11">
        <f>IF(OR($B58="",J$4=""),"",SUMIFS(资金流水!$L$5:$L$3032,资金流水!$F$5:$F$3032,$B58,资金流水!$H$5:$H$3032,J$4))</f>
        <v>0</v>
      </c>
      <c r="K58" s="11">
        <f>IF(OR($B58="",K$4=""),"",SUMIFS(资金流水!$L$5:$L$3032,资金流水!$F$5:$F$3032,$B58,资金流水!$H$5:$H$3032,K$4))</f>
        <v>0</v>
      </c>
      <c r="L58" s="11">
        <f>IF(OR($B58="",L$4=""),"",SUMIFS(资金流水!$L$5:$L$3032,资金流水!$F$5:$F$3032,$B58,资金流水!$H$5:$H$3032,L$4))</f>
        <v>0</v>
      </c>
      <c r="M58" s="11">
        <f>IF(OR($B58="",M$4=""),"",SUMIFS(资金流水!$L$5:$L$3032,资金流水!$F$5:$F$3032,$B58,资金流水!$H$5:$H$3032,M$4))</f>
        <v>0</v>
      </c>
      <c r="N58" s="11">
        <f>IF(OR($B58="",N$4=""),"",SUMIFS(资金流水!$L$5:$L$3032,资金流水!$F$5:$F$3032,$B58,资金流水!$H$5:$H$3032,N$4))</f>
        <v>0</v>
      </c>
      <c r="O58" s="11">
        <f>IF(OR($B58="",O$4=""),"",SUMIFS(资金流水!$L$5:$L$3032,资金流水!$F$5:$F$3032,$B58,资金流水!$H$5:$H$3032,O$4))</f>
        <v>0</v>
      </c>
      <c r="P58" s="11">
        <f>IF(OR($B58="",P$4=""),"",SUMIFS(资金流水!$L$5:$L$3032,资金流水!$F$5:$F$3032,$B58,资金流水!$H$5:$H$3032,P$4))</f>
        <v>0</v>
      </c>
      <c r="Q58" s="11">
        <f>IF(OR($B58="",Q$4=""),"",SUMIFS(资金流水!$L$5:$L$3032,资金流水!$F$5:$F$3032,$B58,资金流水!$H$5:$H$3032,Q$4))</f>
        <v>0</v>
      </c>
      <c r="R58" s="11">
        <f>IF(OR($B58="",R$4=""),"",SUMIFS(资金流水!$L$5:$L$3032,资金流水!$F$5:$F$3032,$B58,资金流水!$H$5:$H$3032,R$4))</f>
        <v>0</v>
      </c>
      <c r="S58" s="11" t="str">
        <f>IF(OR($B58="",S$4=""),"",SUMIFS(资金流水!$L$5:$L$3032,资金流水!$F$5:$F$3032,$B58,资金流水!$H$5:$H$3032,S$4))</f>
        <v/>
      </c>
      <c r="T58" s="11" t="str">
        <f>IF(OR($B58="",T$4=""),"",SUMIFS(资金流水!$L$5:$L$3032,资金流水!$F$5:$F$3032,$B58,资金流水!$H$5:$H$3032,T$4))</f>
        <v/>
      </c>
      <c r="U58" s="11" t="str">
        <f>IF(OR($B58="",U$4=""),"",SUMIFS(资金流水!$L$5:$L$3032,资金流水!$F$5:$F$3032,$B58,资金流水!$H$5:$H$3032,U$4))</f>
        <v/>
      </c>
      <c r="V58" s="11" t="str">
        <f>IF(OR($B58="",V$4=""),"",SUMIFS(资金流水!$L$5:$L$3032,资金流水!$F$5:$F$3032,$B58,资金流水!$H$5:$H$3032,V$4))</f>
        <v/>
      </c>
      <c r="W58" s="11" t="str">
        <f>IF(OR($B58="",W$4=""),"",SUMIFS(资金流水!$L$5:$L$3032,资金流水!$F$5:$F$3032,$B58,资金流水!$H$5:$H$3032,W$4))</f>
        <v/>
      </c>
      <c r="X58" s="11">
        <f t="shared" si="1"/>
        <v>0</v>
      </c>
      <c r="Y58" s="11">
        <f t="shared" si="2"/>
        <v>104768</v>
      </c>
      <c r="Z58" s="12">
        <f t="shared" si="3"/>
        <v>1</v>
      </c>
      <c r="AA58" s="11">
        <f t="shared" si="4"/>
        <v>1616642</v>
      </c>
      <c r="AB58" s="12">
        <f t="shared" si="5"/>
        <v>0.0648059372452281</v>
      </c>
      <c r="AC58" s="28" t="str">
        <f>IF(基础资料!$O57="","",基础资料!$O57)</f>
        <v/>
      </c>
    </row>
    <row r="59" ht="36" spans="1:29">
      <c r="A59" s="28" t="str">
        <f>IF(基础资料!$I58="","",基础资料!$I58)</f>
        <v/>
      </c>
      <c r="B59" s="28" t="str">
        <f>IF(基础资料!$J58="","",基础资料!$J58)</f>
        <v>库尔勒九中无线网络覆盖项目</v>
      </c>
      <c r="C59" s="28" t="str">
        <f>IF(基础资料!$K58="","",基础资料!$K58)</f>
        <v>双思威</v>
      </c>
      <c r="D59" s="28" t="str">
        <f>IF(基础资料!$L58="","",基础资料!$L58)</f>
        <v>中国电信股份有限公司和静分公司</v>
      </c>
      <c r="E59" s="25">
        <f>IF(基础资料!$M58="","",基础资料!$M58)</f>
        <v>18000</v>
      </c>
      <c r="F59" s="11">
        <f>IF($B59="","",IF(基础资料!$AH$4="不含税金额",SUMIFS(开票登记!$J$5:$J$504,开票登记!$G$5:$G$504,$B59),SUMIFS(开票登记!$M$5:$M$504,开票登记!$G$5:$G$504,$B59)))</f>
        <v>0</v>
      </c>
      <c r="G59" s="11">
        <f>IF($B59="","",SUMIFS(资金流水!$K$5:$K$3032,资金流水!$F$5:$F$3032,$B59))</f>
        <v>0</v>
      </c>
      <c r="H59" s="11">
        <f t="shared" si="0"/>
        <v>18000</v>
      </c>
      <c r="I59" s="11">
        <f>IF($B59="","",SUMIFS(开票登记!$M$5:$M$504,开票登记!$G$5:$G$504,$B59)-$G59)</f>
        <v>0</v>
      </c>
      <c r="J59" s="11">
        <f>IF(OR($B59="",J$4=""),"",SUMIFS(资金流水!$L$5:$L$3032,资金流水!$F$5:$F$3032,$B59,资金流水!$H$5:$H$3032,J$4))</f>
        <v>0</v>
      </c>
      <c r="K59" s="11">
        <f>IF(OR($B59="",K$4=""),"",SUMIFS(资金流水!$L$5:$L$3032,资金流水!$F$5:$F$3032,$B59,资金流水!$H$5:$H$3032,K$4))</f>
        <v>5280</v>
      </c>
      <c r="L59" s="11">
        <f>IF(OR($B59="",L$4=""),"",SUMIFS(资金流水!$L$5:$L$3032,资金流水!$F$5:$F$3032,$B59,资金流水!$H$5:$H$3032,L$4))</f>
        <v>0</v>
      </c>
      <c r="M59" s="11">
        <f>IF(OR($B59="",M$4=""),"",SUMIFS(资金流水!$L$5:$L$3032,资金流水!$F$5:$F$3032,$B59,资金流水!$H$5:$H$3032,M$4))</f>
        <v>0</v>
      </c>
      <c r="N59" s="11">
        <f>IF(OR($B59="",N$4=""),"",SUMIFS(资金流水!$L$5:$L$3032,资金流水!$F$5:$F$3032,$B59,资金流水!$H$5:$H$3032,N$4))</f>
        <v>0</v>
      </c>
      <c r="O59" s="11">
        <f>IF(OR($B59="",O$4=""),"",SUMIFS(资金流水!$L$5:$L$3032,资金流水!$F$5:$F$3032,$B59,资金流水!$H$5:$H$3032,O$4))</f>
        <v>0</v>
      </c>
      <c r="P59" s="11">
        <f>IF(OR($B59="",P$4=""),"",SUMIFS(资金流水!$L$5:$L$3032,资金流水!$F$5:$F$3032,$B59,资金流水!$H$5:$H$3032,P$4))</f>
        <v>0</v>
      </c>
      <c r="Q59" s="11">
        <f>IF(OR($B59="",Q$4=""),"",SUMIFS(资金流水!$L$5:$L$3032,资金流水!$F$5:$F$3032,$B59,资金流水!$H$5:$H$3032,Q$4))</f>
        <v>0</v>
      </c>
      <c r="R59" s="11">
        <f>IF(OR($B59="",R$4=""),"",SUMIFS(资金流水!$L$5:$L$3032,资金流水!$F$5:$F$3032,$B59,资金流水!$H$5:$H$3032,R$4))</f>
        <v>0</v>
      </c>
      <c r="S59" s="11" t="str">
        <f>IF(OR($B59="",S$4=""),"",SUMIFS(资金流水!$L$5:$L$3032,资金流水!$F$5:$F$3032,$B59,资金流水!$H$5:$H$3032,S$4))</f>
        <v/>
      </c>
      <c r="T59" s="11" t="str">
        <f>IF(OR($B59="",T$4=""),"",SUMIFS(资金流水!$L$5:$L$3032,资金流水!$F$5:$F$3032,$B59,资金流水!$H$5:$H$3032,T$4))</f>
        <v/>
      </c>
      <c r="U59" s="11" t="str">
        <f>IF(OR($B59="",U$4=""),"",SUMIFS(资金流水!$L$5:$L$3032,资金流水!$F$5:$F$3032,$B59,资金流水!$H$5:$H$3032,U$4))</f>
        <v/>
      </c>
      <c r="V59" s="11" t="str">
        <f>IF(OR($B59="",V$4=""),"",SUMIFS(资金流水!$L$5:$L$3032,资金流水!$F$5:$F$3032,$B59,资金流水!$H$5:$H$3032,V$4))</f>
        <v/>
      </c>
      <c r="W59" s="11" t="str">
        <f>IF(OR($B59="",W$4=""),"",SUMIFS(资金流水!$L$5:$L$3032,资金流水!$F$5:$F$3032,$B59,资金流水!$H$5:$H$3032,W$4))</f>
        <v/>
      </c>
      <c r="X59" s="11">
        <f t="shared" si="1"/>
        <v>5280</v>
      </c>
      <c r="Y59" s="11">
        <f t="shared" si="2"/>
        <v>-5280</v>
      </c>
      <c r="Z59" s="12" t="str">
        <f t="shared" si="3"/>
        <v/>
      </c>
      <c r="AA59" s="11">
        <f t="shared" si="4"/>
        <v>12720</v>
      </c>
      <c r="AB59" s="12">
        <f t="shared" si="5"/>
        <v>0</v>
      </c>
      <c r="AC59" s="28" t="str">
        <f>IF(基础资料!$O58="","",基础资料!$O58)</f>
        <v/>
      </c>
    </row>
    <row r="60" ht="60" spans="1:29">
      <c r="A60" s="28" t="str">
        <f>IF(基础资料!$I59="","",基础资料!$I59)</f>
        <v/>
      </c>
      <c r="B60" s="28" t="str">
        <f>IF(基础资料!$J59="","",基础资料!$J59)</f>
        <v>第二师铁门关市信息技术服务中心机房设备搬迁服务项目</v>
      </c>
      <c r="C60" s="28" t="str">
        <f>IF(基础资料!$K59="","",基础资料!$K59)</f>
        <v>双思威</v>
      </c>
      <c r="D60" s="28" t="str">
        <f>IF(基础资料!$L59="","",基础资料!$L59)</f>
        <v>新疆生产建设兵团第二师铁门关市信息技术服务中心</v>
      </c>
      <c r="E60" s="25">
        <f>IF(基础资料!$M59="","",基础资料!$M59)</f>
        <v>98000</v>
      </c>
      <c r="F60" s="11">
        <f>IF($B60="","",IF(基础资料!$AH$4="不含税金额",SUMIFS(开票登记!$J$5:$J$504,开票登记!$G$5:$G$504,$B60),SUMIFS(开票登记!$M$5:$M$504,开票登记!$G$5:$G$504,$B60)))</f>
        <v>0</v>
      </c>
      <c r="G60" s="11">
        <f>IF($B60="","",SUMIFS(资金流水!$K$5:$K$3032,资金流水!$F$5:$F$3032,$B60))</f>
        <v>0</v>
      </c>
      <c r="H60" s="11">
        <f t="shared" si="0"/>
        <v>98000</v>
      </c>
      <c r="I60" s="11">
        <f>IF($B60="","",SUMIFS(开票登记!$M$5:$M$504,开票登记!$G$5:$G$504,$B60)-$G60)</f>
        <v>0</v>
      </c>
      <c r="J60" s="11">
        <f>IF(OR($B60="",J$4=""),"",SUMIFS(资金流水!$L$5:$L$3032,资金流水!$F$5:$F$3032,$B60,资金流水!$H$5:$H$3032,J$4))</f>
        <v>0</v>
      </c>
      <c r="K60" s="11">
        <f>IF(OR($B60="",K$4=""),"",SUMIFS(资金流水!$L$5:$L$3032,资金流水!$F$5:$F$3032,$B60,资金流水!$H$5:$H$3032,K$4))</f>
        <v>3000</v>
      </c>
      <c r="L60" s="11">
        <f>IF(OR($B60="",L$4=""),"",SUMIFS(资金流水!$L$5:$L$3032,资金流水!$F$5:$F$3032,$B60,资金流水!$H$5:$H$3032,L$4))</f>
        <v>0</v>
      </c>
      <c r="M60" s="11">
        <f>IF(OR($B60="",M$4=""),"",SUMIFS(资金流水!$L$5:$L$3032,资金流水!$F$5:$F$3032,$B60,资金流水!$H$5:$H$3032,M$4))</f>
        <v>0</v>
      </c>
      <c r="N60" s="11">
        <f>IF(OR($B60="",N$4=""),"",SUMIFS(资金流水!$L$5:$L$3032,资金流水!$F$5:$F$3032,$B60,资金流水!$H$5:$H$3032,N$4))</f>
        <v>0</v>
      </c>
      <c r="O60" s="11">
        <f>IF(OR($B60="",O$4=""),"",SUMIFS(资金流水!$L$5:$L$3032,资金流水!$F$5:$F$3032,$B60,资金流水!$H$5:$H$3032,O$4))</f>
        <v>0</v>
      </c>
      <c r="P60" s="11">
        <f>IF(OR($B60="",P$4=""),"",SUMIFS(资金流水!$L$5:$L$3032,资金流水!$F$5:$F$3032,$B60,资金流水!$H$5:$H$3032,P$4))</f>
        <v>0</v>
      </c>
      <c r="Q60" s="11">
        <f>IF(OR($B60="",Q$4=""),"",SUMIFS(资金流水!$L$5:$L$3032,资金流水!$F$5:$F$3032,$B60,资金流水!$H$5:$H$3032,Q$4))</f>
        <v>0</v>
      </c>
      <c r="R60" s="11">
        <f>IF(OR($B60="",R$4=""),"",SUMIFS(资金流水!$L$5:$L$3032,资金流水!$F$5:$F$3032,$B60,资金流水!$H$5:$H$3032,R$4))</f>
        <v>0</v>
      </c>
      <c r="S60" s="11" t="str">
        <f>IF(OR($B60="",S$4=""),"",SUMIFS(资金流水!$L$5:$L$3032,资金流水!$F$5:$F$3032,$B60,资金流水!$H$5:$H$3032,S$4))</f>
        <v/>
      </c>
      <c r="T60" s="11" t="str">
        <f>IF(OR($B60="",T$4=""),"",SUMIFS(资金流水!$L$5:$L$3032,资金流水!$F$5:$F$3032,$B60,资金流水!$H$5:$H$3032,T$4))</f>
        <v/>
      </c>
      <c r="U60" s="11" t="str">
        <f>IF(OR($B60="",U$4=""),"",SUMIFS(资金流水!$L$5:$L$3032,资金流水!$F$5:$F$3032,$B60,资金流水!$H$5:$H$3032,U$4))</f>
        <v/>
      </c>
      <c r="V60" s="11" t="str">
        <f>IF(OR($B60="",V$4=""),"",SUMIFS(资金流水!$L$5:$L$3032,资金流水!$F$5:$F$3032,$B60,资金流水!$H$5:$H$3032,V$4))</f>
        <v/>
      </c>
      <c r="W60" s="11" t="str">
        <f>IF(OR($B60="",W$4=""),"",SUMIFS(资金流水!$L$5:$L$3032,资金流水!$F$5:$F$3032,$B60,资金流水!$H$5:$H$3032,W$4))</f>
        <v/>
      </c>
      <c r="X60" s="11">
        <f t="shared" si="1"/>
        <v>3000</v>
      </c>
      <c r="Y60" s="11">
        <f t="shared" si="2"/>
        <v>-3000</v>
      </c>
      <c r="Z60" s="12" t="str">
        <f t="shared" si="3"/>
        <v/>
      </c>
      <c r="AA60" s="11">
        <f t="shared" si="4"/>
        <v>95000</v>
      </c>
      <c r="AB60" s="12">
        <f t="shared" si="5"/>
        <v>0</v>
      </c>
      <c r="AC60" s="28" t="str">
        <f>IF(基础资料!$O59="","",基础资料!$O59)</f>
        <v/>
      </c>
    </row>
    <row r="61" ht="36" spans="1:29">
      <c r="A61" s="28" t="str">
        <f>IF(基础资料!$I60="","",基础资料!$I60)</f>
        <v/>
      </c>
      <c r="B61" s="28" t="str">
        <f>IF(基础资料!$J60="","",基础资料!$J60)</f>
        <v>社管局准东学校学术报告厅、会议室音频系统建设项目设备采购项目</v>
      </c>
      <c r="C61" s="28" t="str">
        <f>IF(基础资料!$K60="","",基础资料!$K60)</f>
        <v>瑞盛天</v>
      </c>
      <c r="D61" s="28" t="str">
        <f>IF(基础资料!$L60="","",基础资料!$L60)</f>
        <v>新疆八达科技发展有限公司</v>
      </c>
      <c r="E61" s="25">
        <f>IF(基础资料!$M60="","",基础资料!$M60)</f>
        <v>345396</v>
      </c>
      <c r="F61" s="11">
        <f>IF($B61="","",IF(基础资料!$AH$4="不含税金额",SUMIFS(开票登记!$J$5:$J$504,开票登记!$G$5:$G$504,$B61),SUMIFS(开票登记!$M$5:$M$504,开票登记!$G$5:$G$504,$B61)))</f>
        <v>0</v>
      </c>
      <c r="G61" s="11">
        <f>IF($B61="","",SUMIFS(资金流水!$K$5:$K$3032,资金流水!$F$5:$F$3032,$B61))</f>
        <v>3661281.13</v>
      </c>
      <c r="H61" s="11">
        <f t="shared" si="0"/>
        <v>-3315885.13</v>
      </c>
      <c r="I61" s="11">
        <f>IF($B61="","",SUMIFS(开票登记!$M$5:$M$504,开票登记!$G$5:$G$504,$B61)-$G61)</f>
        <v>-3661281.13</v>
      </c>
      <c r="J61" s="11">
        <f>IF(OR($B61="",J$4=""),"",SUMIFS(资金流水!$L$5:$L$3032,资金流水!$F$5:$F$3032,$B61,资金流水!$H$5:$H$3032,J$4))</f>
        <v>2092954</v>
      </c>
      <c r="K61" s="11">
        <f>IF(OR($B61="",K$4=""),"",SUMIFS(资金流水!$L$5:$L$3032,资金流水!$F$5:$F$3032,$B61,资金流水!$H$5:$H$3032,K$4))</f>
        <v>0</v>
      </c>
      <c r="L61" s="11">
        <f>IF(OR($B61="",L$4=""),"",SUMIFS(资金流水!$L$5:$L$3032,资金流水!$F$5:$F$3032,$B61,资金流水!$H$5:$H$3032,L$4))</f>
        <v>0</v>
      </c>
      <c r="M61" s="11">
        <f>IF(OR($B61="",M$4=""),"",SUMIFS(资金流水!$L$5:$L$3032,资金流水!$F$5:$F$3032,$B61,资金流水!$H$5:$H$3032,M$4))</f>
        <v>0</v>
      </c>
      <c r="N61" s="11">
        <f>IF(OR($B61="",N$4=""),"",SUMIFS(资金流水!$L$5:$L$3032,资金流水!$F$5:$F$3032,$B61,资金流水!$H$5:$H$3032,N$4))</f>
        <v>0</v>
      </c>
      <c r="O61" s="11">
        <f>IF(OR($B61="",O$4=""),"",SUMIFS(资金流水!$L$5:$L$3032,资金流水!$F$5:$F$3032,$B61,资金流水!$H$5:$H$3032,O$4))</f>
        <v>0</v>
      </c>
      <c r="P61" s="11">
        <f>IF(OR($B61="",P$4=""),"",SUMIFS(资金流水!$L$5:$L$3032,资金流水!$F$5:$F$3032,$B61,资金流水!$H$5:$H$3032,P$4))</f>
        <v>0</v>
      </c>
      <c r="Q61" s="11">
        <f>IF(OR($B61="",Q$4=""),"",SUMIFS(资金流水!$L$5:$L$3032,资金流水!$F$5:$F$3032,$B61,资金流水!$H$5:$H$3032,Q$4))</f>
        <v>0</v>
      </c>
      <c r="R61" s="11">
        <f>IF(OR($B61="",R$4=""),"",SUMIFS(资金流水!$L$5:$L$3032,资金流水!$F$5:$F$3032,$B61,资金流水!$H$5:$H$3032,R$4))</f>
        <v>0</v>
      </c>
      <c r="S61" s="11" t="str">
        <f>IF(OR($B61="",S$4=""),"",SUMIFS(资金流水!$L$5:$L$3032,资金流水!$F$5:$F$3032,$B61,资金流水!$H$5:$H$3032,S$4))</f>
        <v/>
      </c>
      <c r="T61" s="11" t="str">
        <f>IF(OR($B61="",T$4=""),"",SUMIFS(资金流水!$L$5:$L$3032,资金流水!$F$5:$F$3032,$B61,资金流水!$H$5:$H$3032,T$4))</f>
        <v/>
      </c>
      <c r="U61" s="11" t="str">
        <f>IF(OR($B61="",U$4=""),"",SUMIFS(资金流水!$L$5:$L$3032,资金流水!$F$5:$F$3032,$B61,资金流水!$H$5:$H$3032,U$4))</f>
        <v/>
      </c>
      <c r="V61" s="11" t="str">
        <f>IF(OR($B61="",V$4=""),"",SUMIFS(资金流水!$L$5:$L$3032,资金流水!$F$5:$F$3032,$B61,资金流水!$H$5:$H$3032,V$4))</f>
        <v/>
      </c>
      <c r="W61" s="11" t="str">
        <f>IF(OR($B61="",W$4=""),"",SUMIFS(资金流水!$L$5:$L$3032,资金流水!$F$5:$F$3032,$B61,资金流水!$H$5:$H$3032,W$4))</f>
        <v/>
      </c>
      <c r="X61" s="11">
        <f t="shared" si="1"/>
        <v>2092954</v>
      </c>
      <c r="Y61" s="11">
        <f t="shared" si="2"/>
        <v>-2092954</v>
      </c>
      <c r="Z61" s="12" t="str">
        <f t="shared" si="3"/>
        <v/>
      </c>
      <c r="AA61" s="11">
        <f t="shared" si="4"/>
        <v>-1747558</v>
      </c>
      <c r="AB61" s="12">
        <f t="shared" si="5"/>
        <v>10.6002418383537</v>
      </c>
      <c r="AC61" s="28" t="str">
        <f>IF(基础资料!$O60="","",基础资料!$O60)</f>
        <v/>
      </c>
    </row>
    <row r="62" ht="36" spans="1:29">
      <c r="A62" s="28" t="str">
        <f>IF(基础资料!$I61="","",基础资料!$I61)</f>
        <v/>
      </c>
      <c r="B62" s="28" t="str">
        <f>IF(基础资料!$J61="","",基础资料!$J61)</f>
        <v>昌吉市第二十一小学建设项目-教育教学设备采购项目</v>
      </c>
      <c r="C62" s="28" t="str">
        <f>IF(基础资料!$K61="","",基础资料!$K61)</f>
        <v>瑞盛天</v>
      </c>
      <c r="D62" s="28" t="str">
        <f>IF(基础资料!$L61="","",基础资料!$L61)</f>
        <v>昌吉市教育局</v>
      </c>
      <c r="E62" s="25">
        <f>IF(基础资料!$M61="","",基础资料!$M61)</f>
        <v>1185150</v>
      </c>
      <c r="F62" s="11">
        <f>IF($B62="","",IF(基础资料!$AH$4="不含税金额",SUMIFS(开票登记!$J$5:$J$504,开票登记!$G$5:$G$504,$B62),SUMIFS(开票登记!$M$5:$M$504,开票登记!$G$5:$G$504,$B62)))</f>
        <v>0</v>
      </c>
      <c r="G62" s="11">
        <f>IF($B62="","",SUMIFS(资金流水!$K$5:$K$3032,资金流水!$F$5:$F$3032,$B62))</f>
        <v>0</v>
      </c>
      <c r="H62" s="11">
        <f t="shared" si="0"/>
        <v>1185150</v>
      </c>
      <c r="I62" s="11">
        <f>IF($B62="","",SUMIFS(开票登记!$M$5:$M$504,开票登记!$G$5:$G$504,$B62)-$G62)</f>
        <v>0</v>
      </c>
      <c r="J62" s="11">
        <f>IF(OR($B62="",J$4=""),"",SUMIFS(资金流水!$L$5:$L$3032,资金流水!$F$5:$F$3032,$B62,资金流水!$H$5:$H$3032,J$4))</f>
        <v>0</v>
      </c>
      <c r="K62" s="11">
        <f>IF(OR($B62="",K$4=""),"",SUMIFS(资金流水!$L$5:$L$3032,资金流水!$F$5:$F$3032,$B62,资金流水!$H$5:$H$3032,K$4))</f>
        <v>2500</v>
      </c>
      <c r="L62" s="11">
        <f>IF(OR($B62="",L$4=""),"",SUMIFS(资金流水!$L$5:$L$3032,资金流水!$F$5:$F$3032,$B62,资金流水!$H$5:$H$3032,L$4))</f>
        <v>0</v>
      </c>
      <c r="M62" s="11">
        <f>IF(OR($B62="",M$4=""),"",SUMIFS(资金流水!$L$5:$L$3032,资金流水!$F$5:$F$3032,$B62,资金流水!$H$5:$H$3032,M$4))</f>
        <v>0</v>
      </c>
      <c r="N62" s="11">
        <f>IF(OR($B62="",N$4=""),"",SUMIFS(资金流水!$L$5:$L$3032,资金流水!$F$5:$F$3032,$B62,资金流水!$H$5:$H$3032,N$4))</f>
        <v>0</v>
      </c>
      <c r="O62" s="11">
        <f>IF(OR($B62="",O$4=""),"",SUMIFS(资金流水!$L$5:$L$3032,资金流水!$F$5:$F$3032,$B62,资金流水!$H$5:$H$3032,O$4))</f>
        <v>0</v>
      </c>
      <c r="P62" s="11">
        <f>IF(OR($B62="",P$4=""),"",SUMIFS(资金流水!$L$5:$L$3032,资金流水!$F$5:$F$3032,$B62,资金流水!$H$5:$H$3032,P$4))</f>
        <v>0</v>
      </c>
      <c r="Q62" s="11">
        <f>IF(OR($B62="",Q$4=""),"",SUMIFS(资金流水!$L$5:$L$3032,资金流水!$F$5:$F$3032,$B62,资金流水!$H$5:$H$3032,Q$4))</f>
        <v>0</v>
      </c>
      <c r="R62" s="11">
        <f>IF(OR($B62="",R$4=""),"",SUMIFS(资金流水!$L$5:$L$3032,资金流水!$F$5:$F$3032,$B62,资金流水!$H$5:$H$3032,R$4))</f>
        <v>0</v>
      </c>
      <c r="S62" s="11" t="str">
        <f>IF(OR($B62="",S$4=""),"",SUMIFS(资金流水!$L$5:$L$3032,资金流水!$F$5:$F$3032,$B62,资金流水!$H$5:$H$3032,S$4))</f>
        <v/>
      </c>
      <c r="T62" s="11" t="str">
        <f>IF(OR($B62="",T$4=""),"",SUMIFS(资金流水!$L$5:$L$3032,资金流水!$F$5:$F$3032,$B62,资金流水!$H$5:$H$3032,T$4))</f>
        <v/>
      </c>
      <c r="U62" s="11" t="str">
        <f>IF(OR($B62="",U$4=""),"",SUMIFS(资金流水!$L$5:$L$3032,资金流水!$F$5:$F$3032,$B62,资金流水!$H$5:$H$3032,U$4))</f>
        <v/>
      </c>
      <c r="V62" s="11" t="str">
        <f>IF(OR($B62="",V$4=""),"",SUMIFS(资金流水!$L$5:$L$3032,资金流水!$F$5:$F$3032,$B62,资金流水!$H$5:$H$3032,V$4))</f>
        <v/>
      </c>
      <c r="W62" s="11" t="str">
        <f>IF(OR($B62="",W$4=""),"",SUMIFS(资金流水!$L$5:$L$3032,资金流水!$F$5:$F$3032,$B62,资金流水!$H$5:$H$3032,W$4))</f>
        <v/>
      </c>
      <c r="X62" s="11">
        <f t="shared" si="1"/>
        <v>2500</v>
      </c>
      <c r="Y62" s="11">
        <f t="shared" si="2"/>
        <v>-2500</v>
      </c>
      <c r="Z62" s="12" t="str">
        <f t="shared" si="3"/>
        <v/>
      </c>
      <c r="AA62" s="11">
        <f t="shared" si="4"/>
        <v>1182650</v>
      </c>
      <c r="AB62" s="12">
        <f t="shared" si="5"/>
        <v>0</v>
      </c>
      <c r="AC62" s="28" t="str">
        <f>IF(基础资料!$O61="","",基础资料!$O61)</f>
        <v/>
      </c>
    </row>
    <row r="63" ht="24" spans="1:29">
      <c r="A63" s="28" t="str">
        <f>IF(基础资料!$I62="","",基础资料!$I62)</f>
        <v/>
      </c>
      <c r="B63" s="28" t="str">
        <f>IF(基础资料!$J62="","",基础资料!$J62)</f>
        <v>昌吉市第八小学黑板维护项目</v>
      </c>
      <c r="C63" s="28" t="str">
        <f>IF(基础资料!$K62="","",基础资料!$K62)</f>
        <v/>
      </c>
      <c r="D63" s="28" t="str">
        <f>IF(基础资料!$L62="","",基础资料!$L62)</f>
        <v/>
      </c>
      <c r="E63" s="25" t="str">
        <f>IF(基础资料!$M62="","",基础资料!$M62)</f>
        <v/>
      </c>
      <c r="F63" s="11">
        <f>IF($B63="","",IF(基础资料!$AH$4="不含税金额",SUMIFS(开票登记!$J$5:$J$504,开票登记!$G$5:$G$504,$B63),SUMIFS(开票登记!$M$5:$M$504,开票登记!$G$5:$G$504,$B63)))</f>
        <v>0</v>
      </c>
      <c r="G63" s="11">
        <f>IF($B63="","",SUMIFS(资金流水!$K$5:$K$3032,资金流水!$F$5:$F$3032,$B63))</f>
        <v>0</v>
      </c>
      <c r="H63" s="11" t="str">
        <f t="shared" si="0"/>
        <v/>
      </c>
      <c r="I63" s="11">
        <f>IF($B63="","",SUMIFS(开票登记!$M$5:$M$504,开票登记!$G$5:$G$504,$B63)-$G63)</f>
        <v>0</v>
      </c>
      <c r="J63" s="11">
        <f>IF(OR($B63="",J$4=""),"",SUMIFS(资金流水!$L$5:$L$3032,资金流水!$F$5:$F$3032,$B63,资金流水!$H$5:$H$3032,J$4))</f>
        <v>0</v>
      </c>
      <c r="K63" s="11">
        <f>IF(OR($B63="",K$4=""),"",SUMIFS(资金流水!$L$5:$L$3032,资金流水!$F$5:$F$3032,$B63,资金流水!$H$5:$H$3032,K$4))</f>
        <v>0</v>
      </c>
      <c r="L63" s="11">
        <f>IF(OR($B63="",L$4=""),"",SUMIFS(资金流水!$L$5:$L$3032,资金流水!$F$5:$F$3032,$B63,资金流水!$H$5:$H$3032,L$4))</f>
        <v>0</v>
      </c>
      <c r="M63" s="11">
        <f>IF(OR($B63="",M$4=""),"",SUMIFS(资金流水!$L$5:$L$3032,资金流水!$F$5:$F$3032,$B63,资金流水!$H$5:$H$3032,M$4))</f>
        <v>0</v>
      </c>
      <c r="N63" s="11">
        <f>IF(OR($B63="",N$4=""),"",SUMIFS(资金流水!$L$5:$L$3032,资金流水!$F$5:$F$3032,$B63,资金流水!$H$5:$H$3032,N$4))</f>
        <v>0</v>
      </c>
      <c r="O63" s="11">
        <f>IF(OR($B63="",O$4=""),"",SUMIFS(资金流水!$L$5:$L$3032,资金流水!$F$5:$F$3032,$B63,资金流水!$H$5:$H$3032,O$4))</f>
        <v>0</v>
      </c>
      <c r="P63" s="11">
        <f>IF(OR($B63="",P$4=""),"",SUMIFS(资金流水!$L$5:$L$3032,资金流水!$F$5:$F$3032,$B63,资金流水!$H$5:$H$3032,P$4))</f>
        <v>0</v>
      </c>
      <c r="Q63" s="11">
        <f>IF(OR($B63="",Q$4=""),"",SUMIFS(资金流水!$L$5:$L$3032,资金流水!$F$5:$F$3032,$B63,资金流水!$H$5:$H$3032,Q$4))</f>
        <v>0</v>
      </c>
      <c r="R63" s="11">
        <f>IF(OR($B63="",R$4=""),"",SUMIFS(资金流水!$L$5:$L$3032,资金流水!$F$5:$F$3032,$B63,资金流水!$H$5:$H$3032,R$4))</f>
        <v>0</v>
      </c>
      <c r="S63" s="11" t="str">
        <f>IF(OR($B63="",S$4=""),"",SUMIFS(资金流水!$L$5:$L$3032,资金流水!$F$5:$F$3032,$B63,资金流水!$H$5:$H$3032,S$4))</f>
        <v/>
      </c>
      <c r="T63" s="11" t="str">
        <f>IF(OR($B63="",T$4=""),"",SUMIFS(资金流水!$L$5:$L$3032,资金流水!$F$5:$F$3032,$B63,资金流水!$H$5:$H$3032,T$4))</f>
        <v/>
      </c>
      <c r="U63" s="11" t="str">
        <f>IF(OR($B63="",U$4=""),"",SUMIFS(资金流水!$L$5:$L$3032,资金流水!$F$5:$F$3032,$B63,资金流水!$H$5:$H$3032,U$4))</f>
        <v/>
      </c>
      <c r="V63" s="11" t="str">
        <f>IF(OR($B63="",V$4=""),"",SUMIFS(资金流水!$L$5:$L$3032,资金流水!$F$5:$F$3032,$B63,资金流水!$H$5:$H$3032,V$4))</f>
        <v/>
      </c>
      <c r="W63" s="11" t="str">
        <f>IF(OR($B63="",W$4=""),"",SUMIFS(资金流水!$L$5:$L$3032,资金流水!$F$5:$F$3032,$B63,资金流水!$H$5:$H$3032,W$4))</f>
        <v/>
      </c>
      <c r="X63" s="11">
        <f t="shared" si="1"/>
        <v>0</v>
      </c>
      <c r="Y63" s="11">
        <f t="shared" si="2"/>
        <v>0</v>
      </c>
      <c r="Z63" s="12" t="str">
        <f t="shared" si="3"/>
        <v/>
      </c>
      <c r="AA63" s="11" t="str">
        <f t="shared" si="4"/>
        <v/>
      </c>
      <c r="AB63" s="12" t="str">
        <f t="shared" si="5"/>
        <v/>
      </c>
      <c r="AC63" s="28" t="str">
        <f>IF(基础资料!$O62="","",基础资料!$O62)</f>
        <v/>
      </c>
    </row>
    <row r="64" ht="36" spans="1:29">
      <c r="A64" s="28" t="str">
        <f>IF(基础资料!$I63="","",基础资料!$I63)</f>
        <v/>
      </c>
      <c r="B64" s="28" t="str">
        <f>IF(基础资料!$J63="","",基础资料!$J63)</f>
        <v>乌鲁木齐市第122小学2025年采购高清扫描仪及软件</v>
      </c>
      <c r="C64" s="28" t="str">
        <f>IF(基础资料!$K63="","",基础资料!$K63)</f>
        <v>中展</v>
      </c>
      <c r="D64" s="28" t="str">
        <f>IF(基础资料!$L63="","",基础资料!$L63)</f>
        <v>乌鲁木齐市第122小学</v>
      </c>
      <c r="E64" s="25">
        <f>IF(基础资料!$M63="","",基础资料!$M63)</f>
        <v>67800</v>
      </c>
      <c r="F64" s="11">
        <f>IF($B64="","",IF(基础资料!$AH$4="不含税金额",SUMIFS(开票登记!$J$5:$J$504,开票登记!$G$5:$G$504,$B64),SUMIFS(开票登记!$M$5:$M$504,开票登记!$G$5:$G$504,$B64)))</f>
        <v>0</v>
      </c>
      <c r="G64" s="11">
        <f>IF($B64="","",SUMIFS(资金流水!$K$5:$K$3032,资金流水!$F$5:$F$3032,$B64))</f>
        <v>0</v>
      </c>
      <c r="H64" s="11">
        <f t="shared" si="0"/>
        <v>67800</v>
      </c>
      <c r="I64" s="11">
        <f>IF($B64="","",SUMIFS(开票登记!$M$5:$M$504,开票登记!$G$5:$G$504,$B64)-$G64)</f>
        <v>0</v>
      </c>
      <c r="J64" s="11">
        <f>IF(OR($B64="",J$4=""),"",SUMIFS(资金流水!$L$5:$L$3032,资金流水!$F$5:$F$3032,$B64,资金流水!$H$5:$H$3032,J$4))</f>
        <v>0</v>
      </c>
      <c r="K64" s="11">
        <f>IF(OR($B64="",K$4=""),"",SUMIFS(资金流水!$L$5:$L$3032,资金流水!$F$5:$F$3032,$B64,资金流水!$H$5:$H$3032,K$4))</f>
        <v>0</v>
      </c>
      <c r="L64" s="11">
        <f>IF(OR($B64="",L$4=""),"",SUMIFS(资金流水!$L$5:$L$3032,资金流水!$F$5:$F$3032,$B64,资金流水!$H$5:$H$3032,L$4))</f>
        <v>0</v>
      </c>
      <c r="M64" s="11">
        <f>IF(OR($B64="",M$4=""),"",SUMIFS(资金流水!$L$5:$L$3032,资金流水!$F$5:$F$3032,$B64,资金流水!$H$5:$H$3032,M$4))</f>
        <v>0</v>
      </c>
      <c r="N64" s="11">
        <f>IF(OR($B64="",N$4=""),"",SUMIFS(资金流水!$L$5:$L$3032,资金流水!$F$5:$F$3032,$B64,资金流水!$H$5:$H$3032,N$4))</f>
        <v>0</v>
      </c>
      <c r="O64" s="11">
        <f>IF(OR($B64="",O$4=""),"",SUMIFS(资金流水!$L$5:$L$3032,资金流水!$F$5:$F$3032,$B64,资金流水!$H$5:$H$3032,O$4))</f>
        <v>0</v>
      </c>
      <c r="P64" s="11">
        <f>IF(OR($B64="",P$4=""),"",SUMIFS(资金流水!$L$5:$L$3032,资金流水!$F$5:$F$3032,$B64,资金流水!$H$5:$H$3032,P$4))</f>
        <v>0</v>
      </c>
      <c r="Q64" s="11">
        <f>IF(OR($B64="",Q$4=""),"",SUMIFS(资金流水!$L$5:$L$3032,资金流水!$F$5:$F$3032,$B64,资金流水!$H$5:$H$3032,Q$4))</f>
        <v>0</v>
      </c>
      <c r="R64" s="11">
        <f>IF(OR($B64="",R$4=""),"",SUMIFS(资金流水!$L$5:$L$3032,资金流水!$F$5:$F$3032,$B64,资金流水!$H$5:$H$3032,R$4))</f>
        <v>0</v>
      </c>
      <c r="S64" s="11" t="str">
        <f>IF(OR($B64="",S$4=""),"",SUMIFS(资金流水!$L$5:$L$3032,资金流水!$F$5:$F$3032,$B64,资金流水!$H$5:$H$3032,S$4))</f>
        <v/>
      </c>
      <c r="T64" s="11" t="str">
        <f>IF(OR($B64="",T$4=""),"",SUMIFS(资金流水!$L$5:$L$3032,资金流水!$F$5:$F$3032,$B64,资金流水!$H$5:$H$3032,T$4))</f>
        <v/>
      </c>
      <c r="U64" s="11" t="str">
        <f>IF(OR($B64="",U$4=""),"",SUMIFS(资金流水!$L$5:$L$3032,资金流水!$F$5:$F$3032,$B64,资金流水!$H$5:$H$3032,U$4))</f>
        <v/>
      </c>
      <c r="V64" s="11" t="str">
        <f>IF(OR($B64="",V$4=""),"",SUMIFS(资金流水!$L$5:$L$3032,资金流水!$F$5:$F$3032,$B64,资金流水!$H$5:$H$3032,V$4))</f>
        <v/>
      </c>
      <c r="W64" s="11" t="str">
        <f>IF(OR($B64="",W$4=""),"",SUMIFS(资金流水!$L$5:$L$3032,资金流水!$F$5:$F$3032,$B64,资金流水!$H$5:$H$3032,W$4))</f>
        <v/>
      </c>
      <c r="X64" s="11">
        <f t="shared" si="1"/>
        <v>0</v>
      </c>
      <c r="Y64" s="11">
        <f t="shared" si="2"/>
        <v>0</v>
      </c>
      <c r="Z64" s="12" t="str">
        <f t="shared" si="3"/>
        <v/>
      </c>
      <c r="AA64" s="11">
        <f t="shared" si="4"/>
        <v>67800</v>
      </c>
      <c r="AB64" s="12">
        <f t="shared" si="5"/>
        <v>0</v>
      </c>
      <c r="AC64" s="28" t="str">
        <f>IF(基础资料!$O63="","",基础资料!$O63)</f>
        <v/>
      </c>
    </row>
    <row r="65" spans="1:29">
      <c r="A65" s="15"/>
      <c r="B65" s="13" t="s">
        <v>861</v>
      </c>
      <c r="C65" s="15"/>
      <c r="D65" s="15"/>
      <c r="E65" s="14">
        <f t="shared" ref="E65:Y65" si="6">SUM(E5:E64)</f>
        <v>102569930.65</v>
      </c>
      <c r="F65" s="14">
        <f t="shared" si="6"/>
        <v>10145575.14</v>
      </c>
      <c r="G65" s="14">
        <f t="shared" si="6"/>
        <v>12734483.34</v>
      </c>
      <c r="H65" s="14">
        <f t="shared" si="6"/>
        <v>89835447.31</v>
      </c>
      <c r="I65" s="14">
        <f t="shared" si="6"/>
        <v>-2588908.2</v>
      </c>
      <c r="J65" s="14">
        <f t="shared" si="6"/>
        <v>4047702.7</v>
      </c>
      <c r="K65" s="14">
        <f t="shared" si="6"/>
        <v>579217</v>
      </c>
      <c r="L65" s="14">
        <f t="shared" si="6"/>
        <v>0</v>
      </c>
      <c r="M65" s="14">
        <f t="shared" si="6"/>
        <v>300</v>
      </c>
      <c r="N65" s="14">
        <f t="shared" si="6"/>
        <v>24302</v>
      </c>
      <c r="O65" s="14">
        <f t="shared" si="6"/>
        <v>0</v>
      </c>
      <c r="P65" s="14">
        <f t="shared" si="6"/>
        <v>0</v>
      </c>
      <c r="Q65" s="14">
        <f t="shared" si="6"/>
        <v>0</v>
      </c>
      <c r="R65" s="14">
        <f t="shared" si="6"/>
        <v>0</v>
      </c>
      <c r="S65" s="14">
        <f t="shared" si="6"/>
        <v>0</v>
      </c>
      <c r="T65" s="14">
        <f t="shared" si="6"/>
        <v>0</v>
      </c>
      <c r="U65" s="14">
        <f t="shared" si="6"/>
        <v>0</v>
      </c>
      <c r="V65" s="14">
        <f t="shared" si="6"/>
        <v>0</v>
      </c>
      <c r="W65" s="14">
        <f t="shared" si="6"/>
        <v>0</v>
      </c>
      <c r="X65" s="14">
        <f t="shared" si="6"/>
        <v>4651521.7</v>
      </c>
      <c r="Y65" s="14">
        <f t="shared" si="6"/>
        <v>5494053.44</v>
      </c>
      <c r="Z65" s="38">
        <f t="shared" si="3"/>
        <v>0.541522128039751</v>
      </c>
      <c r="AA65" s="14">
        <f>SUM(AA5:AA64)</f>
        <v>97996662.95</v>
      </c>
      <c r="AB65" s="38">
        <f t="shared" si="5"/>
        <v>0.124154157649321</v>
      </c>
      <c r="AC65" s="14"/>
    </row>
  </sheetData>
  <mergeCells count="2">
    <mergeCell ref="A1:AC1"/>
    <mergeCell ref="A2:AC2"/>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2F5597"/>
  </sheetPr>
  <dimension ref="A1:O208"/>
  <sheetViews>
    <sheetView showGridLines="0" workbookViewId="0">
      <pane ySplit="7" topLeftCell="A8" activePane="bottomLeft" state="frozen"/>
      <selection/>
      <selection pane="bottomLeft" activeCell="F15" sqref="F15"/>
    </sheetView>
  </sheetViews>
  <sheetFormatPr defaultColWidth="8.67619047619048" defaultRowHeight="15"/>
  <cols>
    <col min="1" max="1" width="6" customWidth="1"/>
    <col min="2" max="2" width="12" customWidth="1"/>
    <col min="3" max="3" width="17" customWidth="1"/>
    <col min="4" max="5" width="11" customWidth="1"/>
    <col min="6" max="6" width="30" customWidth="1"/>
    <col min="7" max="9" width="14" customWidth="1"/>
    <col min="10" max="10" width="13" customWidth="1"/>
    <col min="11" max="11" width="10" customWidth="1"/>
    <col min="12" max="12" width="8" customWidth="1"/>
    <col min="13" max="13" width="17" customWidth="1"/>
    <col min="14" max="14" width="2" customWidth="1"/>
    <col min="15" max="15" width="9" hidden="1" customWidth="1"/>
  </cols>
  <sheetData>
    <row r="1" ht="25.5" customHeight="1" spans="1:15">
      <c r="A1" s="1" t="s">
        <v>862</v>
      </c>
      <c r="B1" s="1"/>
      <c r="C1" s="1"/>
      <c r="D1" s="1"/>
      <c r="E1" s="1"/>
      <c r="F1" s="1"/>
      <c r="G1" s="1"/>
      <c r="H1" s="1"/>
      <c r="I1" s="1"/>
      <c r="J1" s="1"/>
      <c r="K1" s="1"/>
      <c r="L1" s="1"/>
      <c r="M1" s="1"/>
    </row>
    <row r="2" ht="18" spans="1:15">
      <c r="A2" s="16" t="s">
        <v>863</v>
      </c>
      <c r="C2" s="48" t="s">
        <v>864</v>
      </c>
      <c r="E2" s="19" t="s">
        <v>865</v>
      </c>
    </row>
    <row r="3" ht="18.75" customHeight="1" spans="1:15">
      <c r="A3" s="4" t="s">
        <v>64</v>
      </c>
      <c r="B3" s="4"/>
      <c r="C3" s="49" t="str">
        <f>IFERROR(INDEX(基础资料!$M$4:$M$63,MATCH($C$2,基础资料!$J$4:$J$63,0)),"")</f>
        <v/>
      </c>
      <c r="D3" s="4" t="s">
        <v>853</v>
      </c>
      <c r="E3" s="4"/>
      <c r="F3" s="49">
        <f>SUMIFS(资金流水!$K$5:$K$3032,资金流水!$F$5:$F$3032,$C$2)</f>
        <v>0</v>
      </c>
      <c r="G3" s="4" t="s">
        <v>866</v>
      </c>
      <c r="H3" s="4"/>
      <c r="I3" s="49" t="e">
        <f>SUMIFS(资金流水!$L$5:$L$3032,资金流水!$F$5:$F$3032,$C$2,资金流水!$W$5:$W$3015,"项目成本")</f>
        <v>#VALUE!</v>
      </c>
      <c r="J3" s="4" t="s">
        <v>867</v>
      </c>
      <c r="K3" s="4"/>
      <c r="L3" s="49" t="e">
        <f>$F$4-$I$3</f>
        <v>#VALUE!</v>
      </c>
      <c r="M3" s="49"/>
    </row>
    <row r="4" ht="18.75" customHeight="1" spans="1:15">
      <c r="A4" s="4" t="s">
        <v>858</v>
      </c>
      <c r="B4" s="4"/>
      <c r="C4" s="50" t="str">
        <f>IFERROR($L$3/$F$4,"")</f>
        <v/>
      </c>
      <c r="D4" s="4" t="s">
        <v>868</v>
      </c>
      <c r="E4" s="4"/>
      <c r="F4" s="49">
        <f>IF(基础资料!$AH$4="不含税金额",SUMIFS(开票登记!$J$5:$J$504,开票登记!$G$5:$G$504,$C$2),SUMIFS(开票登记!$M$5:$M$504,开票登记!$G$5:$G$504,$C$2))</f>
        <v>0</v>
      </c>
      <c r="G4" s="4" t="s">
        <v>869</v>
      </c>
      <c r="H4" s="4"/>
      <c r="I4" s="49">
        <f>SUMIFS(开票登记!$M$5:$M$504,开票登记!$G$5:$G$504,$C$2)-$F$3</f>
        <v>0</v>
      </c>
      <c r="J4" s="4" t="s">
        <v>860</v>
      </c>
      <c r="K4" s="4"/>
      <c r="L4" s="50" t="str">
        <f>IFERROR($F$3/$C$3,"")</f>
        <v/>
      </c>
      <c r="M4" s="50"/>
    </row>
    <row r="5" ht="18.75" customHeight="1" spans="1:15">
      <c r="A5" s="4" t="s">
        <v>870</v>
      </c>
      <c r="B5" s="4"/>
      <c r="C5" s="49" t="e">
        <f>SUMIFS(资金流水!$L$5:$L$3032,资金流水!$F$5:$F$3032,$C$2)-$I$3</f>
        <v>#VALUE!</v>
      </c>
      <c r="D5" s="4" t="s">
        <v>871</v>
      </c>
      <c r="E5" s="4"/>
      <c r="F5" s="49">
        <f>$F$3-SUMIFS(资金流水!$L$5:$L$3032,资金流水!$F$5:$F$3032,$C$2)</f>
        <v>0</v>
      </c>
      <c r="G5" s="4" t="s">
        <v>872</v>
      </c>
      <c r="H5" s="4"/>
      <c r="I5" s="51">
        <f>COUNTIFS(资金流水!$F$5:$F$3032,$C$2)</f>
        <v>0</v>
      </c>
      <c r="J5" s="4" t="s">
        <v>66</v>
      </c>
      <c r="K5" s="4"/>
      <c r="L5" s="52" t="str">
        <f>IFERROR(INDEX(基础资料!$O$4:$O$63,MATCH($C$2,基础资料!$J$4:$J$63,0)),"")</f>
        <v/>
      </c>
      <c r="M5" s="52"/>
    </row>
    <row r="6" ht="30" customHeight="1" spans="1:15">
      <c r="A6" s="33" t="s">
        <v>873</v>
      </c>
      <c r="B6" s="33"/>
      <c r="C6" s="33"/>
      <c r="D6" s="33"/>
      <c r="E6" s="33"/>
      <c r="F6" s="33"/>
      <c r="G6" s="33"/>
      <c r="H6" s="33"/>
      <c r="I6" s="33"/>
      <c r="J6" s="33"/>
      <c r="K6" s="33"/>
      <c r="L6" s="33"/>
      <c r="M6" s="33"/>
    </row>
    <row r="7" ht="30" customHeight="1" spans="1:15">
      <c r="A7" s="22" t="s">
        <v>393</v>
      </c>
      <c r="B7" s="22" t="s">
        <v>465</v>
      </c>
      <c r="C7" s="22" t="s">
        <v>466</v>
      </c>
      <c r="D7" s="22" t="s">
        <v>834</v>
      </c>
      <c r="E7" s="22" t="s">
        <v>468</v>
      </c>
      <c r="F7" s="22" t="s">
        <v>469</v>
      </c>
      <c r="G7" s="22" t="s">
        <v>483</v>
      </c>
      <c r="H7" s="22" t="s">
        <v>69</v>
      </c>
      <c r="I7" s="22" t="s">
        <v>488</v>
      </c>
      <c r="J7" s="22" t="s">
        <v>70</v>
      </c>
      <c r="K7" s="22" t="s">
        <v>476</v>
      </c>
      <c r="L7" s="22" t="s">
        <v>477</v>
      </c>
      <c r="M7" s="22" t="s">
        <v>839</v>
      </c>
      <c r="N7" s="22"/>
      <c r="O7" s="22" t="s">
        <v>874</v>
      </c>
    </row>
    <row r="8" spans="1:15">
      <c r="A8" s="29">
        <v>1</v>
      </c>
      <c r="B8" s="53" t="str">
        <f>IF($O8="","",IF(INDEX(资金流水!B$5:B$3032,$O8)="","",INDEX(资金流水!B$5:B$3032,$O8)))</f>
        <v/>
      </c>
      <c r="C8" s="10" t="str">
        <f>IF($O8="","",IF(INDEX(资金流水!C$5:C$3032,$O8)="","",INDEX(资金流水!C$5:C$3032,$O8)))</f>
        <v/>
      </c>
      <c r="D8" s="10" t="str">
        <f>IF($O8="","",IF(INDEX(资金流水!D$5:D$3032,$O8)="","",INDEX(资金流水!D$5:D$3032,$O8)))</f>
        <v/>
      </c>
      <c r="E8" s="29" t="str">
        <f>IF($O8="","",IF(INDEX(资金流水!E$5:E$3032,$O8)="","",INDEX(资金流水!E$5:E$3032,$O8)))</f>
        <v/>
      </c>
      <c r="F8" s="10" t="str">
        <f>IF($O8="","",IF(INDEX(资金流水!J$5:J$3032,$O8)="","",INDEX(资金流水!J$5:J$3032,$O8)))</f>
        <v/>
      </c>
      <c r="G8" s="11" t="str">
        <f>IF($O8="","",IF(INDEX(资金流水!K$5:K$3032,$O8)="","",INDEX(资金流水!K$5:K$3032,$O8)))</f>
        <v/>
      </c>
      <c r="H8" s="10" t="str">
        <f>IF($O8="","",IF(INDEX(资金流水!H$5:H$3032,$O8)="","",INDEX(资金流水!H$5:H$3032,$O8)))</f>
        <v/>
      </c>
      <c r="I8" s="11" t="str">
        <f>IF($O8="","",IF(INDEX(资金流水!L$5:L$3032,$O8)="","",INDEX(资金流水!L$5:L$3032,$O8)))</f>
        <v/>
      </c>
      <c r="J8" s="10" t="str">
        <f>IF($O8="","",IF(INDEX(资金流水!I$5:I$3032,$O8)="","",INDEX(资金流水!I$5:I$3032,$O8)))</f>
        <v/>
      </c>
      <c r="K8" s="29" t="str">
        <f>IF($O8="","",IF(INDEX(资金流水!T$5:T$3015,$O8)="","",INDEX(资金流水!T$5:T$3015,$O8)))</f>
        <v/>
      </c>
      <c r="L8" s="29" t="str">
        <f>IF($O8="","",IF(INDEX(资金流水!U$5:U$3015,$O8)="","",INDEX(资金流水!U$5:U$3015,$O8)))</f>
        <v/>
      </c>
      <c r="M8" s="10" t="str">
        <f>IF($O8="","",IF(INDEX(资金流水!Q$5:Q$3015,$O8)="","",INDEX(资金流水!Q$5:Q$3015,$O8)))</f>
        <v/>
      </c>
      <c r="O8" s="54" t="str">
        <f>IFERROR(MATCH($A8,资金流水!$V$5:$V$3015,0),"")</f>
        <v/>
      </c>
    </row>
    <row r="9" spans="1:15">
      <c r="A9" s="29">
        <v>2</v>
      </c>
      <c r="B9" s="53" t="str">
        <f>IF($O9="","",IF(INDEX(资金流水!B$5:B$3032,$O9)="","",INDEX(资金流水!B$5:B$3032,$O9)))</f>
        <v/>
      </c>
      <c r="C9" s="10" t="str">
        <f>IF($O9="","",IF(INDEX(资金流水!C$5:C$3032,$O9)="","",INDEX(资金流水!C$5:C$3032,$O9)))</f>
        <v/>
      </c>
      <c r="D9" s="10" t="str">
        <f>IF($O9="","",IF(INDEX(资金流水!D$5:D$3032,$O9)="","",INDEX(资金流水!D$5:D$3032,$O9)))</f>
        <v/>
      </c>
      <c r="E9" s="29" t="str">
        <f>IF($O9="","",IF(INDEX(资金流水!E$5:E$3032,$O9)="","",INDEX(资金流水!E$5:E$3032,$O9)))</f>
        <v/>
      </c>
      <c r="F9" s="10" t="str">
        <f>IF($O9="","",IF(INDEX(资金流水!J$5:J$3032,$O9)="","",INDEX(资金流水!J$5:J$3032,$O9)))</f>
        <v/>
      </c>
      <c r="G9" s="11" t="str">
        <f>IF($O9="","",IF(INDEX(资金流水!K$5:K$3032,$O9)="","",INDEX(资金流水!K$5:K$3032,$O9)))</f>
        <v/>
      </c>
      <c r="H9" s="10" t="str">
        <f>IF($O9="","",IF(INDEX(资金流水!H$5:H$3032,$O9)="","",INDEX(资金流水!H$5:H$3032,$O9)))</f>
        <v/>
      </c>
      <c r="I9" s="11" t="str">
        <f>IF($O9="","",IF(INDEX(资金流水!L$5:L$3032,$O9)="","",INDEX(资金流水!L$5:L$3032,$O9)))</f>
        <v/>
      </c>
      <c r="J9" s="10" t="str">
        <f>IF($O9="","",IF(INDEX(资金流水!I$5:I$3032,$O9)="","",INDEX(资金流水!I$5:I$3032,$O9)))</f>
        <v/>
      </c>
      <c r="K9" s="29" t="str">
        <f>IF($O9="","",IF(INDEX(资金流水!T$5:T$3015,$O9)="","",INDEX(资金流水!T$5:T$3015,$O9)))</f>
        <v/>
      </c>
      <c r="L9" s="29" t="str">
        <f>IF($O9="","",IF(INDEX(资金流水!U$5:U$3015,$O9)="","",INDEX(资金流水!U$5:U$3015,$O9)))</f>
        <v/>
      </c>
      <c r="M9" s="10" t="str">
        <f>IF($O9="","",IF(INDEX(资金流水!Q$5:Q$3015,$O9)="","",INDEX(资金流水!Q$5:Q$3015,$O9)))</f>
        <v/>
      </c>
      <c r="O9" s="54" t="str">
        <f>IFERROR(MATCH($A9,资金流水!$V$5:$V$3015,0),"")</f>
        <v/>
      </c>
    </row>
    <row r="10" spans="1:15">
      <c r="A10" s="29">
        <v>3</v>
      </c>
      <c r="B10" s="53" t="str">
        <f>IF($O10="","",IF(INDEX(资金流水!B$5:B$3032,$O10)="","",INDEX(资金流水!B$5:B$3032,$O10)))</f>
        <v/>
      </c>
      <c r="C10" s="10" t="str">
        <f>IF($O10="","",IF(INDEX(资金流水!C$5:C$3032,$O10)="","",INDEX(资金流水!C$5:C$3032,$O10)))</f>
        <v/>
      </c>
      <c r="D10" s="10" t="str">
        <f>IF($O10="","",IF(INDEX(资金流水!D$5:D$3032,$O10)="","",INDEX(资金流水!D$5:D$3032,$O10)))</f>
        <v/>
      </c>
      <c r="E10" s="29" t="str">
        <f>IF($O10="","",IF(INDEX(资金流水!E$5:E$3032,$O10)="","",INDEX(资金流水!E$5:E$3032,$O10)))</f>
        <v/>
      </c>
      <c r="F10" s="10" t="str">
        <f>IF($O10="","",IF(INDEX(资金流水!J$5:J$3032,$O10)="","",INDEX(资金流水!J$5:J$3032,$O10)))</f>
        <v/>
      </c>
      <c r="G10" s="11" t="str">
        <f>IF($O10="","",IF(INDEX(资金流水!K$5:K$3032,$O10)="","",INDEX(资金流水!K$5:K$3032,$O10)))</f>
        <v/>
      </c>
      <c r="H10" s="10" t="str">
        <f>IF($O10="","",IF(INDEX(资金流水!H$5:H$3032,$O10)="","",INDEX(资金流水!H$5:H$3032,$O10)))</f>
        <v/>
      </c>
      <c r="I10" s="11" t="str">
        <f>IF($O10="","",IF(INDEX(资金流水!L$5:L$3032,$O10)="","",INDEX(资金流水!L$5:L$3032,$O10)))</f>
        <v/>
      </c>
      <c r="J10" s="10" t="str">
        <f>IF($O10="","",IF(INDEX(资金流水!I$5:I$3032,$O10)="","",INDEX(资金流水!I$5:I$3032,$O10)))</f>
        <v/>
      </c>
      <c r="K10" s="29" t="str">
        <f>IF($O10="","",IF(INDEX(资金流水!T$5:T$3015,$O10)="","",INDEX(资金流水!T$5:T$3015,$O10)))</f>
        <v/>
      </c>
      <c r="L10" s="29" t="str">
        <f>IF($O10="","",IF(INDEX(资金流水!U$5:U$3015,$O10)="","",INDEX(资金流水!U$5:U$3015,$O10)))</f>
        <v/>
      </c>
      <c r="M10" s="10" t="str">
        <f>IF($O10="","",IF(INDEX(资金流水!Q$5:Q$3015,$O10)="","",INDEX(资金流水!Q$5:Q$3015,$O10)))</f>
        <v/>
      </c>
      <c r="O10" s="54" t="str">
        <f>IFERROR(MATCH($A10,资金流水!$V$5:$V$3015,0),"")</f>
        <v/>
      </c>
    </row>
    <row r="11" spans="1:15">
      <c r="A11" s="29">
        <v>4</v>
      </c>
      <c r="B11" s="53" t="str">
        <f>IF($O11="","",IF(INDEX(资金流水!B$5:B$3032,$O11)="","",INDEX(资金流水!B$5:B$3032,$O11)))</f>
        <v/>
      </c>
      <c r="C11" s="10" t="str">
        <f>IF($O11="","",IF(INDEX(资金流水!C$5:C$3032,$O11)="","",INDEX(资金流水!C$5:C$3032,$O11)))</f>
        <v/>
      </c>
      <c r="D11" s="10" t="str">
        <f>IF($O11="","",IF(INDEX(资金流水!D$5:D$3032,$O11)="","",INDEX(资金流水!D$5:D$3032,$O11)))</f>
        <v/>
      </c>
      <c r="E11" s="29" t="str">
        <f>IF($O11="","",IF(INDEX(资金流水!E$5:E$3032,$O11)="","",INDEX(资金流水!E$5:E$3032,$O11)))</f>
        <v/>
      </c>
      <c r="F11" s="10" t="str">
        <f>IF($O11="","",IF(INDEX(资金流水!J$5:J$3032,$O11)="","",INDEX(资金流水!J$5:J$3032,$O11)))</f>
        <v/>
      </c>
      <c r="G11" s="11" t="str">
        <f>IF($O11="","",IF(INDEX(资金流水!K$5:K$3032,$O11)="","",INDEX(资金流水!K$5:K$3032,$O11)))</f>
        <v/>
      </c>
      <c r="H11" s="10" t="str">
        <f>IF($O11="","",IF(INDEX(资金流水!H$5:H$3032,$O11)="","",INDEX(资金流水!H$5:H$3032,$O11)))</f>
        <v/>
      </c>
      <c r="I11" s="11" t="str">
        <f>IF($O11="","",IF(INDEX(资金流水!L$5:L$3032,$O11)="","",INDEX(资金流水!L$5:L$3032,$O11)))</f>
        <v/>
      </c>
      <c r="J11" s="10" t="str">
        <f>IF($O11="","",IF(INDEX(资金流水!I$5:I$3032,$O11)="","",INDEX(资金流水!I$5:I$3032,$O11)))</f>
        <v/>
      </c>
      <c r="K11" s="29" t="str">
        <f>IF($O11="","",IF(INDEX(资金流水!T$5:T$3015,$O11)="","",INDEX(资金流水!T$5:T$3015,$O11)))</f>
        <v/>
      </c>
      <c r="L11" s="29" t="str">
        <f>IF($O11="","",IF(INDEX(资金流水!U$5:U$3015,$O11)="","",INDEX(资金流水!U$5:U$3015,$O11)))</f>
        <v/>
      </c>
      <c r="M11" s="10" t="str">
        <f>IF($O11="","",IF(INDEX(资金流水!Q$5:Q$3015,$O11)="","",INDEX(资金流水!Q$5:Q$3015,$O11)))</f>
        <v/>
      </c>
      <c r="O11" s="54" t="str">
        <f>IFERROR(MATCH($A11,资金流水!$V$5:$V$3015,0),"")</f>
        <v/>
      </c>
    </row>
    <row r="12" spans="1:15">
      <c r="A12" s="29">
        <v>5</v>
      </c>
      <c r="B12" s="53" t="str">
        <f>IF($O12="","",IF(INDEX(资金流水!B$5:B$3032,$O12)="","",INDEX(资金流水!B$5:B$3032,$O12)))</f>
        <v/>
      </c>
      <c r="C12" s="10" t="str">
        <f>IF($O12="","",IF(INDEX(资金流水!C$5:C$3032,$O12)="","",INDEX(资金流水!C$5:C$3032,$O12)))</f>
        <v/>
      </c>
      <c r="D12" s="10" t="str">
        <f>IF($O12="","",IF(INDEX(资金流水!D$5:D$3032,$O12)="","",INDEX(资金流水!D$5:D$3032,$O12)))</f>
        <v/>
      </c>
      <c r="E12" s="29" t="str">
        <f>IF($O12="","",IF(INDEX(资金流水!E$5:E$3032,$O12)="","",INDEX(资金流水!E$5:E$3032,$O12)))</f>
        <v/>
      </c>
      <c r="F12" s="10" t="str">
        <f>IF($O12="","",IF(INDEX(资金流水!J$5:J$3032,$O12)="","",INDEX(资金流水!J$5:J$3032,$O12)))</f>
        <v/>
      </c>
      <c r="G12" s="11" t="str">
        <f>IF($O12="","",IF(INDEX(资金流水!K$5:K$3032,$O12)="","",INDEX(资金流水!K$5:K$3032,$O12)))</f>
        <v/>
      </c>
      <c r="H12" s="10" t="str">
        <f>IF($O12="","",IF(INDEX(资金流水!H$5:H$3032,$O12)="","",INDEX(资金流水!H$5:H$3032,$O12)))</f>
        <v/>
      </c>
      <c r="I12" s="11" t="str">
        <f>IF($O12="","",IF(INDEX(资金流水!L$5:L$3032,$O12)="","",INDEX(资金流水!L$5:L$3032,$O12)))</f>
        <v/>
      </c>
      <c r="J12" s="10" t="str">
        <f>IF($O12="","",IF(INDEX(资金流水!I$5:I$3032,$O12)="","",INDEX(资金流水!I$5:I$3032,$O12)))</f>
        <v/>
      </c>
      <c r="K12" s="29" t="str">
        <f>IF($O12="","",IF(INDEX(资金流水!T$5:T$3015,$O12)="","",INDEX(资金流水!T$5:T$3015,$O12)))</f>
        <v/>
      </c>
      <c r="L12" s="29" t="str">
        <f>IF($O12="","",IF(INDEX(资金流水!U$5:U$3015,$O12)="","",INDEX(资金流水!U$5:U$3015,$O12)))</f>
        <v/>
      </c>
      <c r="M12" s="10" t="str">
        <f>IF($O12="","",IF(INDEX(资金流水!Q$5:Q$3015,$O12)="","",INDEX(资金流水!Q$5:Q$3015,$O12)))</f>
        <v/>
      </c>
      <c r="O12" s="54" t="str">
        <f>IFERROR(MATCH($A12,资金流水!$V$5:$V$3015,0),"")</f>
        <v/>
      </c>
    </row>
    <row r="13" spans="1:15">
      <c r="A13" s="29">
        <v>6</v>
      </c>
      <c r="B13" s="53" t="str">
        <f>IF($O13="","",IF(INDEX(资金流水!B$5:B$3032,$O13)="","",INDEX(资金流水!B$5:B$3032,$O13)))</f>
        <v/>
      </c>
      <c r="C13" s="10" t="str">
        <f>IF($O13="","",IF(INDEX(资金流水!C$5:C$3032,$O13)="","",INDEX(资金流水!C$5:C$3032,$O13)))</f>
        <v/>
      </c>
      <c r="D13" s="10" t="str">
        <f>IF($O13="","",IF(INDEX(资金流水!D$5:D$3032,$O13)="","",INDEX(资金流水!D$5:D$3032,$O13)))</f>
        <v/>
      </c>
      <c r="E13" s="29" t="str">
        <f>IF($O13="","",IF(INDEX(资金流水!E$5:E$3032,$O13)="","",INDEX(资金流水!E$5:E$3032,$O13)))</f>
        <v/>
      </c>
      <c r="F13" s="10" t="str">
        <f>IF($O13="","",IF(INDEX(资金流水!J$5:J$3032,$O13)="","",INDEX(资金流水!J$5:J$3032,$O13)))</f>
        <v/>
      </c>
      <c r="G13" s="11" t="str">
        <f>IF($O13="","",IF(INDEX(资金流水!K$5:K$3032,$O13)="","",INDEX(资金流水!K$5:K$3032,$O13)))</f>
        <v/>
      </c>
      <c r="H13" s="10" t="str">
        <f>IF($O13="","",IF(INDEX(资金流水!H$5:H$3032,$O13)="","",INDEX(资金流水!H$5:H$3032,$O13)))</f>
        <v/>
      </c>
      <c r="I13" s="11" t="str">
        <f>IF($O13="","",IF(INDEX(资金流水!L$5:L$3032,$O13)="","",INDEX(资金流水!L$5:L$3032,$O13)))</f>
        <v/>
      </c>
      <c r="J13" s="10" t="str">
        <f>IF($O13="","",IF(INDEX(资金流水!I$5:I$3032,$O13)="","",INDEX(资金流水!I$5:I$3032,$O13)))</f>
        <v/>
      </c>
      <c r="K13" s="29" t="str">
        <f>IF($O13="","",IF(INDEX(资金流水!T$5:T$3015,$O13)="","",INDEX(资金流水!T$5:T$3015,$O13)))</f>
        <v/>
      </c>
      <c r="L13" s="29" t="str">
        <f>IF($O13="","",IF(INDEX(资金流水!U$5:U$3015,$O13)="","",INDEX(资金流水!U$5:U$3015,$O13)))</f>
        <v/>
      </c>
      <c r="M13" s="10" t="str">
        <f>IF($O13="","",IF(INDEX(资金流水!Q$5:Q$3015,$O13)="","",INDEX(资金流水!Q$5:Q$3015,$O13)))</f>
        <v/>
      </c>
      <c r="O13" s="54" t="str">
        <f>IFERROR(MATCH($A13,资金流水!$V$5:$V$3015,0),"")</f>
        <v/>
      </c>
    </row>
    <row r="14" spans="1:15">
      <c r="A14" s="29">
        <v>7</v>
      </c>
      <c r="B14" s="53" t="str">
        <f>IF($O14="","",IF(INDEX(资金流水!B$5:B$3032,$O14)="","",INDEX(资金流水!B$5:B$3032,$O14)))</f>
        <v/>
      </c>
      <c r="C14" s="10" t="str">
        <f>IF($O14="","",IF(INDEX(资金流水!C$5:C$3032,$O14)="","",INDEX(资金流水!C$5:C$3032,$O14)))</f>
        <v/>
      </c>
      <c r="D14" s="10" t="str">
        <f>IF($O14="","",IF(INDEX(资金流水!D$5:D$3032,$O14)="","",INDEX(资金流水!D$5:D$3032,$O14)))</f>
        <v/>
      </c>
      <c r="E14" s="29" t="str">
        <f>IF($O14="","",IF(INDEX(资金流水!E$5:E$3032,$O14)="","",INDEX(资金流水!E$5:E$3032,$O14)))</f>
        <v/>
      </c>
      <c r="F14" s="10" t="str">
        <f>IF($O14="","",IF(INDEX(资金流水!J$5:J$3032,$O14)="","",INDEX(资金流水!J$5:J$3032,$O14)))</f>
        <v/>
      </c>
      <c r="G14" s="11" t="str">
        <f>IF($O14="","",IF(INDEX(资金流水!K$5:K$3032,$O14)="","",INDEX(资金流水!K$5:K$3032,$O14)))</f>
        <v/>
      </c>
      <c r="H14" s="10" t="str">
        <f>IF($O14="","",IF(INDEX(资金流水!H$5:H$3032,$O14)="","",INDEX(资金流水!H$5:H$3032,$O14)))</f>
        <v/>
      </c>
      <c r="I14" s="11" t="str">
        <f>IF($O14="","",IF(INDEX(资金流水!L$5:L$3032,$O14)="","",INDEX(资金流水!L$5:L$3032,$O14)))</f>
        <v/>
      </c>
      <c r="J14" s="10" t="str">
        <f>IF($O14="","",IF(INDEX(资金流水!I$5:I$3032,$O14)="","",INDEX(资金流水!I$5:I$3032,$O14)))</f>
        <v/>
      </c>
      <c r="K14" s="29" t="str">
        <f>IF($O14="","",IF(INDEX(资金流水!T$5:T$3015,$O14)="","",INDEX(资金流水!T$5:T$3015,$O14)))</f>
        <v/>
      </c>
      <c r="L14" s="29" t="str">
        <f>IF($O14="","",IF(INDEX(资金流水!U$5:U$3015,$O14)="","",INDEX(资金流水!U$5:U$3015,$O14)))</f>
        <v/>
      </c>
      <c r="M14" s="10" t="str">
        <f>IF($O14="","",IF(INDEX(资金流水!Q$5:Q$3015,$O14)="","",INDEX(资金流水!Q$5:Q$3015,$O14)))</f>
        <v/>
      </c>
      <c r="O14" s="54" t="str">
        <f>IFERROR(MATCH($A14,资金流水!$V$5:$V$3015,0),"")</f>
        <v/>
      </c>
    </row>
    <row r="15" spans="1:15">
      <c r="A15" s="29">
        <v>8</v>
      </c>
      <c r="B15" s="53" t="str">
        <f>IF($O15="","",IF(INDEX(资金流水!B$5:B$3032,$O15)="","",INDEX(资金流水!B$5:B$3032,$O15)))</f>
        <v/>
      </c>
      <c r="C15" s="10" t="str">
        <f>IF($O15="","",IF(INDEX(资金流水!C$5:C$3032,$O15)="","",INDEX(资金流水!C$5:C$3032,$O15)))</f>
        <v/>
      </c>
      <c r="D15" s="10" t="str">
        <f>IF($O15="","",IF(INDEX(资金流水!D$5:D$3032,$O15)="","",INDEX(资金流水!D$5:D$3032,$O15)))</f>
        <v/>
      </c>
      <c r="E15" s="29" t="str">
        <f>IF($O15="","",IF(INDEX(资金流水!E$5:E$3032,$O15)="","",INDEX(资金流水!E$5:E$3032,$O15)))</f>
        <v/>
      </c>
      <c r="F15" s="10" t="str">
        <f>IF($O15="","",IF(INDEX(资金流水!J$5:J$3032,$O15)="","",INDEX(资金流水!J$5:J$3032,$O15)))</f>
        <v/>
      </c>
      <c r="G15" s="11" t="str">
        <f>IF($O15="","",IF(INDEX(资金流水!K$5:K$3032,$O15)="","",INDEX(资金流水!K$5:K$3032,$O15)))</f>
        <v/>
      </c>
      <c r="H15" s="10" t="str">
        <f>IF($O15="","",IF(INDEX(资金流水!H$5:H$3032,$O15)="","",INDEX(资金流水!H$5:H$3032,$O15)))</f>
        <v/>
      </c>
      <c r="I15" s="11" t="str">
        <f>IF($O15="","",IF(INDEX(资金流水!L$5:L$3032,$O15)="","",INDEX(资金流水!L$5:L$3032,$O15)))</f>
        <v/>
      </c>
      <c r="J15" s="10" t="str">
        <f>IF($O15="","",IF(INDEX(资金流水!I$5:I$3032,$O15)="","",INDEX(资金流水!I$5:I$3032,$O15)))</f>
        <v/>
      </c>
      <c r="K15" s="29" t="str">
        <f>IF($O15="","",IF(INDEX(资金流水!T$5:T$3015,$O15)="","",INDEX(资金流水!T$5:T$3015,$O15)))</f>
        <v/>
      </c>
      <c r="L15" s="29" t="str">
        <f>IF($O15="","",IF(INDEX(资金流水!U$5:U$3015,$O15)="","",INDEX(资金流水!U$5:U$3015,$O15)))</f>
        <v/>
      </c>
      <c r="M15" s="10" t="str">
        <f>IF($O15="","",IF(INDEX(资金流水!Q$5:Q$3015,$O15)="","",INDEX(资金流水!Q$5:Q$3015,$O15)))</f>
        <v/>
      </c>
      <c r="O15" s="54" t="str">
        <f>IFERROR(MATCH($A15,资金流水!$V$5:$V$3015,0),"")</f>
        <v/>
      </c>
    </row>
    <row r="16" spans="1:15">
      <c r="A16" s="29">
        <v>9</v>
      </c>
      <c r="B16" s="53" t="str">
        <f>IF($O16="","",IF(INDEX(资金流水!B$5:B$3032,$O16)="","",INDEX(资金流水!B$5:B$3032,$O16)))</f>
        <v/>
      </c>
      <c r="C16" s="10" t="str">
        <f>IF($O16="","",IF(INDEX(资金流水!C$5:C$3032,$O16)="","",INDEX(资金流水!C$5:C$3032,$O16)))</f>
        <v/>
      </c>
      <c r="D16" s="10" t="str">
        <f>IF($O16="","",IF(INDEX(资金流水!D$5:D$3032,$O16)="","",INDEX(资金流水!D$5:D$3032,$O16)))</f>
        <v/>
      </c>
      <c r="E16" s="29" t="str">
        <f>IF($O16="","",IF(INDEX(资金流水!E$5:E$3032,$O16)="","",INDEX(资金流水!E$5:E$3032,$O16)))</f>
        <v/>
      </c>
      <c r="F16" s="10" t="str">
        <f>IF($O16="","",IF(INDEX(资金流水!J$5:J$3032,$O16)="","",INDEX(资金流水!J$5:J$3032,$O16)))</f>
        <v/>
      </c>
      <c r="G16" s="11" t="str">
        <f>IF($O16="","",IF(INDEX(资金流水!K$5:K$3032,$O16)="","",INDEX(资金流水!K$5:K$3032,$O16)))</f>
        <v/>
      </c>
      <c r="H16" s="10" t="str">
        <f>IF($O16="","",IF(INDEX(资金流水!H$5:H$3032,$O16)="","",INDEX(资金流水!H$5:H$3032,$O16)))</f>
        <v/>
      </c>
      <c r="I16" s="11" t="str">
        <f>IF($O16="","",IF(INDEX(资金流水!L$5:L$3032,$O16)="","",INDEX(资金流水!L$5:L$3032,$O16)))</f>
        <v/>
      </c>
      <c r="J16" s="10" t="str">
        <f>IF($O16="","",IF(INDEX(资金流水!I$5:I$3032,$O16)="","",INDEX(资金流水!I$5:I$3032,$O16)))</f>
        <v/>
      </c>
      <c r="K16" s="29" t="str">
        <f>IF($O16="","",IF(INDEX(资金流水!T$5:T$3015,$O16)="","",INDEX(资金流水!T$5:T$3015,$O16)))</f>
        <v/>
      </c>
      <c r="L16" s="29" t="str">
        <f>IF($O16="","",IF(INDEX(资金流水!U$5:U$3015,$O16)="","",INDEX(资金流水!U$5:U$3015,$O16)))</f>
        <v/>
      </c>
      <c r="M16" s="10" t="str">
        <f>IF($O16="","",IF(INDEX(资金流水!Q$5:Q$3015,$O16)="","",INDEX(资金流水!Q$5:Q$3015,$O16)))</f>
        <v/>
      </c>
      <c r="O16" s="54" t="str">
        <f>IFERROR(MATCH($A16,资金流水!$V$5:$V$3015,0),"")</f>
        <v/>
      </c>
    </row>
    <row r="17" spans="1:15">
      <c r="A17" s="29">
        <v>10</v>
      </c>
      <c r="B17" s="53" t="str">
        <f>IF($O17="","",IF(INDEX(资金流水!B$5:B$3032,$O17)="","",INDEX(资金流水!B$5:B$3032,$O17)))</f>
        <v/>
      </c>
      <c r="C17" s="10" t="str">
        <f>IF($O17="","",IF(INDEX(资金流水!C$5:C$3032,$O17)="","",INDEX(资金流水!C$5:C$3032,$O17)))</f>
        <v/>
      </c>
      <c r="D17" s="10" t="str">
        <f>IF($O17="","",IF(INDEX(资金流水!D$5:D$3032,$O17)="","",INDEX(资金流水!D$5:D$3032,$O17)))</f>
        <v/>
      </c>
      <c r="E17" s="29" t="str">
        <f>IF($O17="","",IF(INDEX(资金流水!E$5:E$3032,$O17)="","",INDEX(资金流水!E$5:E$3032,$O17)))</f>
        <v/>
      </c>
      <c r="F17" s="10" t="str">
        <f>IF($O17="","",IF(INDEX(资金流水!J$5:J$3032,$O17)="","",INDEX(资金流水!J$5:J$3032,$O17)))</f>
        <v/>
      </c>
      <c r="G17" s="11" t="str">
        <f>IF($O17="","",IF(INDEX(资金流水!K$5:K$3032,$O17)="","",INDEX(资金流水!K$5:K$3032,$O17)))</f>
        <v/>
      </c>
      <c r="H17" s="10" t="str">
        <f>IF($O17="","",IF(INDEX(资金流水!H$5:H$3032,$O17)="","",INDEX(资金流水!H$5:H$3032,$O17)))</f>
        <v/>
      </c>
      <c r="I17" s="11" t="str">
        <f>IF($O17="","",IF(INDEX(资金流水!L$5:L$3032,$O17)="","",INDEX(资金流水!L$5:L$3032,$O17)))</f>
        <v/>
      </c>
      <c r="J17" s="10" t="str">
        <f>IF($O17="","",IF(INDEX(资金流水!I$5:I$3032,$O17)="","",INDEX(资金流水!I$5:I$3032,$O17)))</f>
        <v/>
      </c>
      <c r="K17" s="29" t="str">
        <f>IF($O17="","",IF(INDEX(资金流水!T$5:T$3015,$O17)="","",INDEX(资金流水!T$5:T$3015,$O17)))</f>
        <v/>
      </c>
      <c r="L17" s="29" t="str">
        <f>IF($O17="","",IF(INDEX(资金流水!U$5:U$3015,$O17)="","",INDEX(资金流水!U$5:U$3015,$O17)))</f>
        <v/>
      </c>
      <c r="M17" s="10" t="str">
        <f>IF($O17="","",IF(INDEX(资金流水!Q$5:Q$3015,$O17)="","",INDEX(资金流水!Q$5:Q$3015,$O17)))</f>
        <v/>
      </c>
      <c r="O17" s="54" t="str">
        <f>IFERROR(MATCH($A17,资金流水!$V$5:$V$3015,0),"")</f>
        <v/>
      </c>
    </row>
    <row r="18" spans="1:15">
      <c r="A18" s="29">
        <v>11</v>
      </c>
      <c r="B18" s="53" t="str">
        <f>IF($O18="","",IF(INDEX(资金流水!B$5:B$3032,$O18)="","",INDEX(资金流水!B$5:B$3032,$O18)))</f>
        <v/>
      </c>
      <c r="C18" s="10" t="str">
        <f>IF($O18="","",IF(INDEX(资金流水!C$5:C$3032,$O18)="","",INDEX(资金流水!C$5:C$3032,$O18)))</f>
        <v/>
      </c>
      <c r="D18" s="10" t="str">
        <f>IF($O18="","",IF(INDEX(资金流水!D$5:D$3032,$O18)="","",INDEX(资金流水!D$5:D$3032,$O18)))</f>
        <v/>
      </c>
      <c r="E18" s="29" t="str">
        <f>IF($O18="","",IF(INDEX(资金流水!E$5:E$3032,$O18)="","",INDEX(资金流水!E$5:E$3032,$O18)))</f>
        <v/>
      </c>
      <c r="F18" s="10" t="str">
        <f>IF($O18="","",IF(INDEX(资金流水!J$5:J$3032,$O18)="","",INDEX(资金流水!J$5:J$3032,$O18)))</f>
        <v/>
      </c>
      <c r="G18" s="11" t="str">
        <f>IF($O18="","",IF(INDEX(资金流水!K$5:K$3032,$O18)="","",INDEX(资金流水!K$5:K$3032,$O18)))</f>
        <v/>
      </c>
      <c r="H18" s="10" t="str">
        <f>IF($O18="","",IF(INDEX(资金流水!H$5:H$3032,$O18)="","",INDEX(资金流水!H$5:H$3032,$O18)))</f>
        <v/>
      </c>
      <c r="I18" s="11" t="str">
        <f>IF($O18="","",IF(INDEX(资金流水!L$5:L$3032,$O18)="","",INDEX(资金流水!L$5:L$3032,$O18)))</f>
        <v/>
      </c>
      <c r="J18" s="10" t="str">
        <f>IF($O18="","",IF(INDEX(资金流水!I$5:I$3032,$O18)="","",INDEX(资金流水!I$5:I$3032,$O18)))</f>
        <v/>
      </c>
      <c r="K18" s="29" t="str">
        <f>IF($O18="","",IF(INDEX(资金流水!T$5:T$3015,$O18)="","",INDEX(资金流水!T$5:T$3015,$O18)))</f>
        <v/>
      </c>
      <c r="L18" s="29" t="str">
        <f>IF($O18="","",IF(INDEX(资金流水!U$5:U$3015,$O18)="","",INDEX(资金流水!U$5:U$3015,$O18)))</f>
        <v/>
      </c>
      <c r="M18" s="10" t="str">
        <f>IF($O18="","",IF(INDEX(资金流水!Q$5:Q$3015,$O18)="","",INDEX(资金流水!Q$5:Q$3015,$O18)))</f>
        <v/>
      </c>
      <c r="O18" s="54" t="str">
        <f>IFERROR(MATCH($A18,资金流水!$V$5:$V$3015,0),"")</f>
        <v/>
      </c>
    </row>
    <row r="19" spans="1:15">
      <c r="A19" s="29">
        <v>12</v>
      </c>
      <c r="B19" s="53" t="str">
        <f>IF($O19="","",IF(INDEX(资金流水!B$5:B$3032,$O19)="","",INDEX(资金流水!B$5:B$3032,$O19)))</f>
        <v/>
      </c>
      <c r="C19" s="10" t="str">
        <f>IF($O19="","",IF(INDEX(资金流水!C$5:C$3032,$O19)="","",INDEX(资金流水!C$5:C$3032,$O19)))</f>
        <v/>
      </c>
      <c r="D19" s="10" t="str">
        <f>IF($O19="","",IF(INDEX(资金流水!D$5:D$3032,$O19)="","",INDEX(资金流水!D$5:D$3032,$O19)))</f>
        <v/>
      </c>
      <c r="E19" s="29" t="str">
        <f>IF($O19="","",IF(INDEX(资金流水!E$5:E$3032,$O19)="","",INDEX(资金流水!E$5:E$3032,$O19)))</f>
        <v/>
      </c>
      <c r="F19" s="10" t="str">
        <f>IF($O19="","",IF(INDEX(资金流水!J$5:J$3032,$O19)="","",INDEX(资金流水!J$5:J$3032,$O19)))</f>
        <v/>
      </c>
      <c r="G19" s="11" t="str">
        <f>IF($O19="","",IF(INDEX(资金流水!K$5:K$3032,$O19)="","",INDEX(资金流水!K$5:K$3032,$O19)))</f>
        <v/>
      </c>
      <c r="H19" s="10" t="str">
        <f>IF($O19="","",IF(INDEX(资金流水!H$5:H$3032,$O19)="","",INDEX(资金流水!H$5:H$3032,$O19)))</f>
        <v/>
      </c>
      <c r="I19" s="11" t="str">
        <f>IF($O19="","",IF(INDEX(资金流水!L$5:L$3032,$O19)="","",INDEX(资金流水!L$5:L$3032,$O19)))</f>
        <v/>
      </c>
      <c r="J19" s="10" t="str">
        <f>IF($O19="","",IF(INDEX(资金流水!I$5:I$3032,$O19)="","",INDEX(资金流水!I$5:I$3032,$O19)))</f>
        <v/>
      </c>
      <c r="K19" s="29" t="str">
        <f>IF($O19="","",IF(INDEX(资金流水!T$5:T$3015,$O19)="","",INDEX(资金流水!T$5:T$3015,$O19)))</f>
        <v/>
      </c>
      <c r="L19" s="29" t="str">
        <f>IF($O19="","",IF(INDEX(资金流水!U$5:U$3015,$O19)="","",INDEX(资金流水!U$5:U$3015,$O19)))</f>
        <v/>
      </c>
      <c r="M19" s="10" t="str">
        <f>IF($O19="","",IF(INDEX(资金流水!Q$5:Q$3015,$O19)="","",INDEX(资金流水!Q$5:Q$3015,$O19)))</f>
        <v/>
      </c>
      <c r="O19" s="54" t="str">
        <f>IFERROR(MATCH($A19,资金流水!$V$5:$V$3015,0),"")</f>
        <v/>
      </c>
    </row>
    <row r="20" spans="1:15">
      <c r="A20" s="29">
        <v>13</v>
      </c>
      <c r="B20" s="53" t="str">
        <f>IF($O20="","",IF(INDEX(资金流水!B$5:B$3032,$O20)="","",INDEX(资金流水!B$5:B$3032,$O20)))</f>
        <v/>
      </c>
      <c r="C20" s="10" t="str">
        <f>IF($O20="","",IF(INDEX(资金流水!C$5:C$3032,$O20)="","",INDEX(资金流水!C$5:C$3032,$O20)))</f>
        <v/>
      </c>
      <c r="D20" s="10" t="str">
        <f>IF($O20="","",IF(INDEX(资金流水!D$5:D$3032,$O20)="","",INDEX(资金流水!D$5:D$3032,$O20)))</f>
        <v/>
      </c>
      <c r="E20" s="29" t="str">
        <f>IF($O20="","",IF(INDEX(资金流水!E$5:E$3032,$O20)="","",INDEX(资金流水!E$5:E$3032,$O20)))</f>
        <v/>
      </c>
      <c r="F20" s="10" t="str">
        <f>IF($O20="","",IF(INDEX(资金流水!J$5:J$3032,$O20)="","",INDEX(资金流水!J$5:J$3032,$O20)))</f>
        <v/>
      </c>
      <c r="G20" s="11" t="str">
        <f>IF($O20="","",IF(INDEX(资金流水!K$5:K$3032,$O20)="","",INDEX(资金流水!K$5:K$3032,$O20)))</f>
        <v/>
      </c>
      <c r="H20" s="10" t="str">
        <f>IF($O20="","",IF(INDEX(资金流水!H$5:H$3032,$O20)="","",INDEX(资金流水!H$5:H$3032,$O20)))</f>
        <v/>
      </c>
      <c r="I20" s="11" t="str">
        <f>IF($O20="","",IF(INDEX(资金流水!L$5:L$3032,$O20)="","",INDEX(资金流水!L$5:L$3032,$O20)))</f>
        <v/>
      </c>
      <c r="J20" s="10" t="str">
        <f>IF($O20="","",IF(INDEX(资金流水!I$5:I$3032,$O20)="","",INDEX(资金流水!I$5:I$3032,$O20)))</f>
        <v/>
      </c>
      <c r="K20" s="29" t="str">
        <f>IF($O20="","",IF(INDEX(资金流水!T$5:T$3015,$O20)="","",INDEX(资金流水!T$5:T$3015,$O20)))</f>
        <v/>
      </c>
      <c r="L20" s="29" t="str">
        <f>IF($O20="","",IF(INDEX(资金流水!U$5:U$3015,$O20)="","",INDEX(资金流水!U$5:U$3015,$O20)))</f>
        <v/>
      </c>
      <c r="M20" s="10" t="str">
        <f>IF($O20="","",IF(INDEX(资金流水!Q$5:Q$3015,$O20)="","",INDEX(资金流水!Q$5:Q$3015,$O20)))</f>
        <v/>
      </c>
      <c r="O20" s="54" t="str">
        <f>IFERROR(MATCH($A20,资金流水!$V$5:$V$3015,0),"")</f>
        <v/>
      </c>
    </row>
    <row r="21" spans="1:15">
      <c r="A21" s="29">
        <v>14</v>
      </c>
      <c r="B21" s="53" t="str">
        <f>IF($O21="","",IF(INDEX(资金流水!B$5:B$3032,$O21)="","",INDEX(资金流水!B$5:B$3032,$O21)))</f>
        <v/>
      </c>
      <c r="C21" s="10" t="str">
        <f>IF($O21="","",IF(INDEX(资金流水!C$5:C$3032,$O21)="","",INDEX(资金流水!C$5:C$3032,$O21)))</f>
        <v/>
      </c>
      <c r="D21" s="10" t="str">
        <f>IF($O21="","",IF(INDEX(资金流水!D$5:D$3032,$O21)="","",INDEX(资金流水!D$5:D$3032,$O21)))</f>
        <v/>
      </c>
      <c r="E21" s="29" t="str">
        <f>IF($O21="","",IF(INDEX(资金流水!E$5:E$3032,$O21)="","",INDEX(资金流水!E$5:E$3032,$O21)))</f>
        <v/>
      </c>
      <c r="F21" s="10" t="str">
        <f>IF($O21="","",IF(INDEX(资金流水!J$5:J$3032,$O21)="","",INDEX(资金流水!J$5:J$3032,$O21)))</f>
        <v/>
      </c>
      <c r="G21" s="11" t="str">
        <f>IF($O21="","",IF(INDEX(资金流水!K$5:K$3032,$O21)="","",INDEX(资金流水!K$5:K$3032,$O21)))</f>
        <v/>
      </c>
      <c r="H21" s="10" t="str">
        <f>IF($O21="","",IF(INDEX(资金流水!H$5:H$3032,$O21)="","",INDEX(资金流水!H$5:H$3032,$O21)))</f>
        <v/>
      </c>
      <c r="I21" s="11" t="str">
        <f>IF($O21="","",IF(INDEX(资金流水!L$5:L$3032,$O21)="","",INDEX(资金流水!L$5:L$3032,$O21)))</f>
        <v/>
      </c>
      <c r="J21" s="10" t="str">
        <f>IF($O21="","",IF(INDEX(资金流水!I$5:I$3032,$O21)="","",INDEX(资金流水!I$5:I$3032,$O21)))</f>
        <v/>
      </c>
      <c r="K21" s="29" t="str">
        <f>IF($O21="","",IF(INDEX(资金流水!T$5:T$3015,$O21)="","",INDEX(资金流水!T$5:T$3015,$O21)))</f>
        <v/>
      </c>
      <c r="L21" s="29" t="str">
        <f>IF($O21="","",IF(INDEX(资金流水!U$5:U$3015,$O21)="","",INDEX(资金流水!U$5:U$3015,$O21)))</f>
        <v/>
      </c>
      <c r="M21" s="10" t="str">
        <f>IF($O21="","",IF(INDEX(资金流水!Q$5:Q$3015,$O21)="","",INDEX(资金流水!Q$5:Q$3015,$O21)))</f>
        <v/>
      </c>
      <c r="O21" s="54" t="str">
        <f>IFERROR(MATCH($A21,资金流水!$V$5:$V$3015,0),"")</f>
        <v/>
      </c>
    </row>
    <row r="22" spans="1:15">
      <c r="A22" s="29">
        <v>15</v>
      </c>
      <c r="B22" s="53" t="str">
        <f>IF($O22="","",IF(INDEX(资金流水!B$5:B$3032,$O22)="","",INDEX(资金流水!B$5:B$3032,$O22)))</f>
        <v/>
      </c>
      <c r="C22" s="10" t="str">
        <f>IF($O22="","",IF(INDEX(资金流水!C$5:C$3032,$O22)="","",INDEX(资金流水!C$5:C$3032,$O22)))</f>
        <v/>
      </c>
      <c r="D22" s="10" t="str">
        <f>IF($O22="","",IF(INDEX(资金流水!D$5:D$3032,$O22)="","",INDEX(资金流水!D$5:D$3032,$O22)))</f>
        <v/>
      </c>
      <c r="E22" s="29" t="str">
        <f>IF($O22="","",IF(INDEX(资金流水!E$5:E$3032,$O22)="","",INDEX(资金流水!E$5:E$3032,$O22)))</f>
        <v/>
      </c>
      <c r="F22" s="10" t="str">
        <f>IF($O22="","",IF(INDEX(资金流水!J$5:J$3032,$O22)="","",INDEX(资金流水!J$5:J$3032,$O22)))</f>
        <v/>
      </c>
      <c r="G22" s="11" t="str">
        <f>IF($O22="","",IF(INDEX(资金流水!K$5:K$3032,$O22)="","",INDEX(资金流水!K$5:K$3032,$O22)))</f>
        <v/>
      </c>
      <c r="H22" s="10" t="str">
        <f>IF($O22="","",IF(INDEX(资金流水!H$5:H$3032,$O22)="","",INDEX(资金流水!H$5:H$3032,$O22)))</f>
        <v/>
      </c>
      <c r="I22" s="11" t="str">
        <f>IF($O22="","",IF(INDEX(资金流水!L$5:L$3032,$O22)="","",INDEX(资金流水!L$5:L$3032,$O22)))</f>
        <v/>
      </c>
      <c r="J22" s="10" t="str">
        <f>IF($O22="","",IF(INDEX(资金流水!I$5:I$3032,$O22)="","",INDEX(资金流水!I$5:I$3032,$O22)))</f>
        <v/>
      </c>
      <c r="K22" s="29" t="str">
        <f>IF($O22="","",IF(INDEX(资金流水!T$5:T$3015,$O22)="","",INDEX(资金流水!T$5:T$3015,$O22)))</f>
        <v/>
      </c>
      <c r="L22" s="29" t="str">
        <f>IF($O22="","",IF(INDEX(资金流水!U$5:U$3015,$O22)="","",INDEX(资金流水!U$5:U$3015,$O22)))</f>
        <v/>
      </c>
      <c r="M22" s="10" t="str">
        <f>IF($O22="","",IF(INDEX(资金流水!Q$5:Q$3015,$O22)="","",INDEX(资金流水!Q$5:Q$3015,$O22)))</f>
        <v/>
      </c>
      <c r="O22" s="54" t="str">
        <f>IFERROR(MATCH($A22,资金流水!$V$5:$V$3015,0),"")</f>
        <v/>
      </c>
    </row>
    <row r="23" spans="1:15">
      <c r="A23" s="29">
        <v>16</v>
      </c>
      <c r="B23" s="53" t="str">
        <f>IF($O23="","",IF(INDEX(资金流水!B$5:B$3032,$O23)="","",INDEX(资金流水!B$5:B$3032,$O23)))</f>
        <v/>
      </c>
      <c r="C23" s="10" t="str">
        <f>IF($O23="","",IF(INDEX(资金流水!C$5:C$3032,$O23)="","",INDEX(资金流水!C$5:C$3032,$O23)))</f>
        <v/>
      </c>
      <c r="D23" s="10" t="str">
        <f>IF($O23="","",IF(INDEX(资金流水!D$5:D$3032,$O23)="","",INDEX(资金流水!D$5:D$3032,$O23)))</f>
        <v/>
      </c>
      <c r="E23" s="29" t="str">
        <f>IF($O23="","",IF(INDEX(资金流水!E$5:E$3032,$O23)="","",INDEX(资金流水!E$5:E$3032,$O23)))</f>
        <v/>
      </c>
      <c r="F23" s="10" t="str">
        <f>IF($O23="","",IF(INDEX(资金流水!J$5:J$3032,$O23)="","",INDEX(资金流水!J$5:J$3032,$O23)))</f>
        <v/>
      </c>
      <c r="G23" s="11" t="str">
        <f>IF($O23="","",IF(INDEX(资金流水!K$5:K$3032,$O23)="","",INDEX(资金流水!K$5:K$3032,$O23)))</f>
        <v/>
      </c>
      <c r="H23" s="10" t="str">
        <f>IF($O23="","",IF(INDEX(资金流水!H$5:H$3032,$O23)="","",INDEX(资金流水!H$5:H$3032,$O23)))</f>
        <v/>
      </c>
      <c r="I23" s="11" t="str">
        <f>IF($O23="","",IF(INDEX(资金流水!L$5:L$3032,$O23)="","",INDEX(资金流水!L$5:L$3032,$O23)))</f>
        <v/>
      </c>
      <c r="J23" s="10" t="str">
        <f>IF($O23="","",IF(INDEX(资金流水!I$5:I$3032,$O23)="","",INDEX(资金流水!I$5:I$3032,$O23)))</f>
        <v/>
      </c>
      <c r="K23" s="29" t="str">
        <f>IF($O23="","",IF(INDEX(资金流水!T$5:T$3015,$O23)="","",INDEX(资金流水!T$5:T$3015,$O23)))</f>
        <v/>
      </c>
      <c r="L23" s="29" t="str">
        <f>IF($O23="","",IF(INDEX(资金流水!U$5:U$3015,$O23)="","",INDEX(资金流水!U$5:U$3015,$O23)))</f>
        <v/>
      </c>
      <c r="M23" s="10" t="str">
        <f>IF($O23="","",IF(INDEX(资金流水!Q$5:Q$3015,$O23)="","",INDEX(资金流水!Q$5:Q$3015,$O23)))</f>
        <v/>
      </c>
      <c r="O23" s="54" t="str">
        <f>IFERROR(MATCH($A23,资金流水!$V$5:$V$3015,0),"")</f>
        <v/>
      </c>
    </row>
    <row r="24" spans="1:15">
      <c r="A24" s="29">
        <v>17</v>
      </c>
      <c r="B24" s="53" t="str">
        <f>IF($O24="","",IF(INDEX(资金流水!B$5:B$3032,$O24)="","",INDEX(资金流水!B$5:B$3032,$O24)))</f>
        <v/>
      </c>
      <c r="C24" s="10" t="str">
        <f>IF($O24="","",IF(INDEX(资金流水!C$5:C$3032,$O24)="","",INDEX(资金流水!C$5:C$3032,$O24)))</f>
        <v/>
      </c>
      <c r="D24" s="10" t="str">
        <f>IF($O24="","",IF(INDEX(资金流水!D$5:D$3032,$O24)="","",INDEX(资金流水!D$5:D$3032,$O24)))</f>
        <v/>
      </c>
      <c r="E24" s="29" t="str">
        <f>IF($O24="","",IF(INDEX(资金流水!E$5:E$3032,$O24)="","",INDEX(资金流水!E$5:E$3032,$O24)))</f>
        <v/>
      </c>
      <c r="F24" s="10" t="str">
        <f>IF($O24="","",IF(INDEX(资金流水!J$5:J$3032,$O24)="","",INDEX(资金流水!J$5:J$3032,$O24)))</f>
        <v/>
      </c>
      <c r="G24" s="11" t="str">
        <f>IF($O24="","",IF(INDEX(资金流水!K$5:K$3032,$O24)="","",INDEX(资金流水!K$5:K$3032,$O24)))</f>
        <v/>
      </c>
      <c r="H24" s="10" t="str">
        <f>IF($O24="","",IF(INDEX(资金流水!H$5:H$3032,$O24)="","",INDEX(资金流水!H$5:H$3032,$O24)))</f>
        <v/>
      </c>
      <c r="I24" s="11" t="str">
        <f>IF($O24="","",IF(INDEX(资金流水!L$5:L$3032,$O24)="","",INDEX(资金流水!L$5:L$3032,$O24)))</f>
        <v/>
      </c>
      <c r="J24" s="10" t="str">
        <f>IF($O24="","",IF(INDEX(资金流水!I$5:I$3032,$O24)="","",INDEX(资金流水!I$5:I$3032,$O24)))</f>
        <v/>
      </c>
      <c r="K24" s="29" t="str">
        <f>IF($O24="","",IF(INDEX(资金流水!T$5:T$3015,$O24)="","",INDEX(资金流水!T$5:T$3015,$O24)))</f>
        <v/>
      </c>
      <c r="L24" s="29" t="str">
        <f>IF($O24="","",IF(INDEX(资金流水!U$5:U$3015,$O24)="","",INDEX(资金流水!U$5:U$3015,$O24)))</f>
        <v/>
      </c>
      <c r="M24" s="10" t="str">
        <f>IF($O24="","",IF(INDEX(资金流水!Q$5:Q$3015,$O24)="","",INDEX(资金流水!Q$5:Q$3015,$O24)))</f>
        <v/>
      </c>
      <c r="O24" s="54" t="str">
        <f>IFERROR(MATCH($A24,资金流水!$V$5:$V$3015,0),"")</f>
        <v/>
      </c>
    </row>
    <row r="25" spans="1:15">
      <c r="A25" s="29">
        <v>18</v>
      </c>
      <c r="B25" s="53" t="str">
        <f>IF($O25="","",IF(INDEX(资金流水!B$5:B$3032,$O25)="","",INDEX(资金流水!B$5:B$3032,$O25)))</f>
        <v/>
      </c>
      <c r="C25" s="10" t="str">
        <f>IF($O25="","",IF(INDEX(资金流水!C$5:C$3032,$O25)="","",INDEX(资金流水!C$5:C$3032,$O25)))</f>
        <v/>
      </c>
      <c r="D25" s="10" t="str">
        <f>IF($O25="","",IF(INDEX(资金流水!D$5:D$3032,$O25)="","",INDEX(资金流水!D$5:D$3032,$O25)))</f>
        <v/>
      </c>
      <c r="E25" s="29" t="str">
        <f>IF($O25="","",IF(INDEX(资金流水!E$5:E$3032,$O25)="","",INDEX(资金流水!E$5:E$3032,$O25)))</f>
        <v/>
      </c>
      <c r="F25" s="10" t="str">
        <f>IF($O25="","",IF(INDEX(资金流水!J$5:J$3032,$O25)="","",INDEX(资金流水!J$5:J$3032,$O25)))</f>
        <v/>
      </c>
      <c r="G25" s="11" t="str">
        <f>IF($O25="","",IF(INDEX(资金流水!K$5:K$3032,$O25)="","",INDEX(资金流水!K$5:K$3032,$O25)))</f>
        <v/>
      </c>
      <c r="H25" s="10" t="str">
        <f>IF($O25="","",IF(INDEX(资金流水!H$5:H$3032,$O25)="","",INDEX(资金流水!H$5:H$3032,$O25)))</f>
        <v/>
      </c>
      <c r="I25" s="11" t="str">
        <f>IF($O25="","",IF(INDEX(资金流水!L$5:L$3032,$O25)="","",INDEX(资金流水!L$5:L$3032,$O25)))</f>
        <v/>
      </c>
      <c r="J25" s="10" t="str">
        <f>IF($O25="","",IF(INDEX(资金流水!I$5:I$3032,$O25)="","",INDEX(资金流水!I$5:I$3032,$O25)))</f>
        <v/>
      </c>
      <c r="K25" s="29" t="str">
        <f>IF($O25="","",IF(INDEX(资金流水!T$5:T$3015,$O25)="","",INDEX(资金流水!T$5:T$3015,$O25)))</f>
        <v/>
      </c>
      <c r="L25" s="29" t="str">
        <f>IF($O25="","",IF(INDEX(资金流水!U$5:U$3015,$O25)="","",INDEX(资金流水!U$5:U$3015,$O25)))</f>
        <v/>
      </c>
      <c r="M25" s="10" t="str">
        <f>IF($O25="","",IF(INDEX(资金流水!Q$5:Q$3015,$O25)="","",INDEX(资金流水!Q$5:Q$3015,$O25)))</f>
        <v/>
      </c>
      <c r="O25" s="54" t="str">
        <f>IFERROR(MATCH($A25,资金流水!$V$5:$V$3015,0),"")</f>
        <v/>
      </c>
    </row>
    <row r="26" spans="1:15">
      <c r="A26" s="29">
        <v>19</v>
      </c>
      <c r="B26" s="53" t="str">
        <f>IF($O26="","",IF(INDEX(资金流水!B$5:B$3032,$O26)="","",INDEX(资金流水!B$5:B$3032,$O26)))</f>
        <v/>
      </c>
      <c r="C26" s="10" t="str">
        <f>IF($O26="","",IF(INDEX(资金流水!C$5:C$3032,$O26)="","",INDEX(资金流水!C$5:C$3032,$O26)))</f>
        <v/>
      </c>
      <c r="D26" s="10" t="str">
        <f>IF($O26="","",IF(INDEX(资金流水!D$5:D$3032,$O26)="","",INDEX(资金流水!D$5:D$3032,$O26)))</f>
        <v/>
      </c>
      <c r="E26" s="29" t="str">
        <f>IF($O26="","",IF(INDEX(资金流水!E$5:E$3032,$O26)="","",INDEX(资金流水!E$5:E$3032,$O26)))</f>
        <v/>
      </c>
      <c r="F26" s="10" t="str">
        <f>IF($O26="","",IF(INDEX(资金流水!J$5:J$3032,$O26)="","",INDEX(资金流水!J$5:J$3032,$O26)))</f>
        <v/>
      </c>
      <c r="G26" s="11" t="str">
        <f>IF($O26="","",IF(INDEX(资金流水!K$5:K$3032,$O26)="","",INDEX(资金流水!K$5:K$3032,$O26)))</f>
        <v/>
      </c>
      <c r="H26" s="10" t="str">
        <f>IF($O26="","",IF(INDEX(资金流水!H$5:H$3032,$O26)="","",INDEX(资金流水!H$5:H$3032,$O26)))</f>
        <v/>
      </c>
      <c r="I26" s="11" t="str">
        <f>IF($O26="","",IF(INDEX(资金流水!L$5:L$3032,$O26)="","",INDEX(资金流水!L$5:L$3032,$O26)))</f>
        <v/>
      </c>
      <c r="J26" s="10" t="str">
        <f>IF($O26="","",IF(INDEX(资金流水!I$5:I$3032,$O26)="","",INDEX(资金流水!I$5:I$3032,$O26)))</f>
        <v/>
      </c>
      <c r="K26" s="29" t="str">
        <f>IF($O26="","",IF(INDEX(资金流水!T$5:T$3015,$O26)="","",INDEX(资金流水!T$5:T$3015,$O26)))</f>
        <v/>
      </c>
      <c r="L26" s="29" t="str">
        <f>IF($O26="","",IF(INDEX(资金流水!U$5:U$3015,$O26)="","",INDEX(资金流水!U$5:U$3015,$O26)))</f>
        <v/>
      </c>
      <c r="M26" s="10" t="str">
        <f>IF($O26="","",IF(INDEX(资金流水!Q$5:Q$3015,$O26)="","",INDEX(资金流水!Q$5:Q$3015,$O26)))</f>
        <v/>
      </c>
      <c r="O26" s="54" t="str">
        <f>IFERROR(MATCH($A26,资金流水!$V$5:$V$3015,0),"")</f>
        <v/>
      </c>
    </row>
    <row r="27" spans="1:15">
      <c r="A27" s="29">
        <v>20</v>
      </c>
      <c r="B27" s="53" t="str">
        <f>IF($O27="","",IF(INDEX(资金流水!B$5:B$3032,$O27)="","",INDEX(资金流水!B$5:B$3032,$O27)))</f>
        <v/>
      </c>
      <c r="C27" s="10" t="str">
        <f>IF($O27="","",IF(INDEX(资金流水!C$5:C$3032,$O27)="","",INDEX(资金流水!C$5:C$3032,$O27)))</f>
        <v/>
      </c>
      <c r="D27" s="10" t="str">
        <f>IF($O27="","",IF(INDEX(资金流水!D$5:D$3032,$O27)="","",INDEX(资金流水!D$5:D$3032,$O27)))</f>
        <v/>
      </c>
      <c r="E27" s="29" t="str">
        <f>IF($O27="","",IF(INDEX(资金流水!E$5:E$3032,$O27)="","",INDEX(资金流水!E$5:E$3032,$O27)))</f>
        <v/>
      </c>
      <c r="F27" s="10" t="str">
        <f>IF($O27="","",IF(INDEX(资金流水!J$5:J$3032,$O27)="","",INDEX(资金流水!J$5:J$3032,$O27)))</f>
        <v/>
      </c>
      <c r="G27" s="11" t="str">
        <f>IF($O27="","",IF(INDEX(资金流水!K$5:K$3032,$O27)="","",INDEX(资金流水!K$5:K$3032,$O27)))</f>
        <v/>
      </c>
      <c r="H27" s="10" t="str">
        <f>IF($O27="","",IF(INDEX(资金流水!H$5:H$3032,$O27)="","",INDEX(资金流水!H$5:H$3032,$O27)))</f>
        <v/>
      </c>
      <c r="I27" s="11" t="str">
        <f>IF($O27="","",IF(INDEX(资金流水!L$5:L$3032,$O27)="","",INDEX(资金流水!L$5:L$3032,$O27)))</f>
        <v/>
      </c>
      <c r="J27" s="10" t="str">
        <f>IF($O27="","",IF(INDEX(资金流水!I$5:I$3032,$O27)="","",INDEX(资金流水!I$5:I$3032,$O27)))</f>
        <v/>
      </c>
      <c r="K27" s="29" t="str">
        <f>IF($O27="","",IF(INDEX(资金流水!T$5:T$3015,$O27)="","",INDEX(资金流水!T$5:T$3015,$O27)))</f>
        <v/>
      </c>
      <c r="L27" s="29" t="str">
        <f>IF($O27="","",IF(INDEX(资金流水!U$5:U$3015,$O27)="","",INDEX(资金流水!U$5:U$3015,$O27)))</f>
        <v/>
      </c>
      <c r="M27" s="10" t="str">
        <f>IF($O27="","",IF(INDEX(资金流水!Q$5:Q$3015,$O27)="","",INDEX(资金流水!Q$5:Q$3015,$O27)))</f>
        <v/>
      </c>
      <c r="O27" s="54" t="str">
        <f>IFERROR(MATCH($A27,资金流水!$V$5:$V$3015,0),"")</f>
        <v/>
      </c>
    </row>
    <row r="28" spans="1:15">
      <c r="A28" s="29">
        <v>21</v>
      </c>
      <c r="B28" s="53" t="str">
        <f>IF($O28="","",IF(INDEX(资金流水!B$5:B$3032,$O28)="","",INDEX(资金流水!B$5:B$3032,$O28)))</f>
        <v/>
      </c>
      <c r="C28" s="10" t="str">
        <f>IF($O28="","",IF(INDEX(资金流水!C$5:C$3032,$O28)="","",INDEX(资金流水!C$5:C$3032,$O28)))</f>
        <v/>
      </c>
      <c r="D28" s="10" t="str">
        <f>IF($O28="","",IF(INDEX(资金流水!D$5:D$3032,$O28)="","",INDEX(资金流水!D$5:D$3032,$O28)))</f>
        <v/>
      </c>
      <c r="E28" s="29" t="str">
        <f>IF($O28="","",IF(INDEX(资金流水!E$5:E$3032,$O28)="","",INDEX(资金流水!E$5:E$3032,$O28)))</f>
        <v/>
      </c>
      <c r="F28" s="10" t="str">
        <f>IF($O28="","",IF(INDEX(资金流水!J$5:J$3032,$O28)="","",INDEX(资金流水!J$5:J$3032,$O28)))</f>
        <v/>
      </c>
      <c r="G28" s="11" t="str">
        <f>IF($O28="","",IF(INDEX(资金流水!K$5:K$3032,$O28)="","",INDEX(资金流水!K$5:K$3032,$O28)))</f>
        <v/>
      </c>
      <c r="H28" s="10" t="str">
        <f>IF($O28="","",IF(INDEX(资金流水!H$5:H$3032,$O28)="","",INDEX(资金流水!H$5:H$3032,$O28)))</f>
        <v/>
      </c>
      <c r="I28" s="11" t="str">
        <f>IF($O28="","",IF(INDEX(资金流水!L$5:L$3032,$O28)="","",INDEX(资金流水!L$5:L$3032,$O28)))</f>
        <v/>
      </c>
      <c r="J28" s="10" t="str">
        <f>IF($O28="","",IF(INDEX(资金流水!I$5:I$3032,$O28)="","",INDEX(资金流水!I$5:I$3032,$O28)))</f>
        <v/>
      </c>
      <c r="K28" s="29" t="str">
        <f>IF($O28="","",IF(INDEX(资金流水!T$5:T$3015,$O28)="","",INDEX(资金流水!T$5:T$3015,$O28)))</f>
        <v/>
      </c>
      <c r="L28" s="29" t="str">
        <f>IF($O28="","",IF(INDEX(资金流水!U$5:U$3015,$O28)="","",INDEX(资金流水!U$5:U$3015,$O28)))</f>
        <v/>
      </c>
      <c r="M28" s="10" t="str">
        <f>IF($O28="","",IF(INDEX(资金流水!Q$5:Q$3015,$O28)="","",INDEX(资金流水!Q$5:Q$3015,$O28)))</f>
        <v/>
      </c>
      <c r="O28" s="54" t="str">
        <f>IFERROR(MATCH($A28,资金流水!$V$5:$V$3015,0),"")</f>
        <v/>
      </c>
    </row>
    <row r="29" spans="1:15">
      <c r="A29" s="29">
        <v>22</v>
      </c>
      <c r="B29" s="53" t="str">
        <f>IF($O29="","",IF(INDEX(资金流水!B$5:B$3032,$O29)="","",INDEX(资金流水!B$5:B$3032,$O29)))</f>
        <v/>
      </c>
      <c r="C29" s="10" t="str">
        <f>IF($O29="","",IF(INDEX(资金流水!C$5:C$3032,$O29)="","",INDEX(资金流水!C$5:C$3032,$O29)))</f>
        <v/>
      </c>
      <c r="D29" s="10" t="str">
        <f>IF($O29="","",IF(INDEX(资金流水!D$5:D$3032,$O29)="","",INDEX(资金流水!D$5:D$3032,$O29)))</f>
        <v/>
      </c>
      <c r="E29" s="29" t="str">
        <f>IF($O29="","",IF(INDEX(资金流水!E$5:E$3032,$O29)="","",INDEX(资金流水!E$5:E$3032,$O29)))</f>
        <v/>
      </c>
      <c r="F29" s="10" t="str">
        <f>IF($O29="","",IF(INDEX(资金流水!J$5:J$3032,$O29)="","",INDEX(资金流水!J$5:J$3032,$O29)))</f>
        <v/>
      </c>
      <c r="G29" s="11" t="str">
        <f>IF($O29="","",IF(INDEX(资金流水!K$5:K$3032,$O29)="","",INDEX(资金流水!K$5:K$3032,$O29)))</f>
        <v/>
      </c>
      <c r="H29" s="10" t="str">
        <f>IF($O29="","",IF(INDEX(资金流水!H$5:H$3032,$O29)="","",INDEX(资金流水!H$5:H$3032,$O29)))</f>
        <v/>
      </c>
      <c r="I29" s="11" t="str">
        <f>IF($O29="","",IF(INDEX(资金流水!L$5:L$3032,$O29)="","",INDEX(资金流水!L$5:L$3032,$O29)))</f>
        <v/>
      </c>
      <c r="J29" s="10" t="str">
        <f>IF($O29="","",IF(INDEX(资金流水!I$5:I$3032,$O29)="","",INDEX(资金流水!I$5:I$3032,$O29)))</f>
        <v/>
      </c>
      <c r="K29" s="29" t="str">
        <f>IF($O29="","",IF(INDEX(资金流水!T$5:T$3015,$O29)="","",INDEX(资金流水!T$5:T$3015,$O29)))</f>
        <v/>
      </c>
      <c r="L29" s="29" t="str">
        <f>IF($O29="","",IF(INDEX(资金流水!U$5:U$3015,$O29)="","",INDEX(资金流水!U$5:U$3015,$O29)))</f>
        <v/>
      </c>
      <c r="M29" s="10" t="str">
        <f>IF($O29="","",IF(INDEX(资金流水!Q$5:Q$3015,$O29)="","",INDEX(资金流水!Q$5:Q$3015,$O29)))</f>
        <v/>
      </c>
      <c r="O29" s="54" t="str">
        <f>IFERROR(MATCH($A29,资金流水!$V$5:$V$3015,0),"")</f>
        <v/>
      </c>
    </row>
    <row r="30" spans="1:15">
      <c r="A30" s="29">
        <v>23</v>
      </c>
      <c r="B30" s="53" t="str">
        <f>IF($O30="","",IF(INDEX(资金流水!B$5:B$3032,$O30)="","",INDEX(资金流水!B$5:B$3032,$O30)))</f>
        <v/>
      </c>
      <c r="C30" s="10" t="str">
        <f>IF($O30="","",IF(INDEX(资金流水!C$5:C$3032,$O30)="","",INDEX(资金流水!C$5:C$3032,$O30)))</f>
        <v/>
      </c>
      <c r="D30" s="10" t="str">
        <f>IF($O30="","",IF(INDEX(资金流水!D$5:D$3032,$O30)="","",INDEX(资金流水!D$5:D$3032,$O30)))</f>
        <v/>
      </c>
      <c r="E30" s="29" t="str">
        <f>IF($O30="","",IF(INDEX(资金流水!E$5:E$3032,$O30)="","",INDEX(资金流水!E$5:E$3032,$O30)))</f>
        <v/>
      </c>
      <c r="F30" s="10" t="str">
        <f>IF($O30="","",IF(INDEX(资金流水!J$5:J$3032,$O30)="","",INDEX(资金流水!J$5:J$3032,$O30)))</f>
        <v/>
      </c>
      <c r="G30" s="11" t="str">
        <f>IF($O30="","",IF(INDEX(资金流水!K$5:K$3032,$O30)="","",INDEX(资金流水!K$5:K$3032,$O30)))</f>
        <v/>
      </c>
      <c r="H30" s="10" t="str">
        <f>IF($O30="","",IF(INDEX(资金流水!H$5:H$3032,$O30)="","",INDEX(资金流水!H$5:H$3032,$O30)))</f>
        <v/>
      </c>
      <c r="I30" s="11" t="str">
        <f>IF($O30="","",IF(INDEX(资金流水!L$5:L$3032,$O30)="","",INDEX(资金流水!L$5:L$3032,$O30)))</f>
        <v/>
      </c>
      <c r="J30" s="10" t="str">
        <f>IF($O30="","",IF(INDEX(资金流水!I$5:I$3032,$O30)="","",INDEX(资金流水!I$5:I$3032,$O30)))</f>
        <v/>
      </c>
      <c r="K30" s="29" t="str">
        <f>IF($O30="","",IF(INDEX(资金流水!T$5:T$3015,$O30)="","",INDEX(资金流水!T$5:T$3015,$O30)))</f>
        <v/>
      </c>
      <c r="L30" s="29" t="str">
        <f>IF($O30="","",IF(INDEX(资金流水!U$5:U$3015,$O30)="","",INDEX(资金流水!U$5:U$3015,$O30)))</f>
        <v/>
      </c>
      <c r="M30" s="10" t="str">
        <f>IF($O30="","",IF(INDEX(资金流水!Q$5:Q$3015,$O30)="","",INDEX(资金流水!Q$5:Q$3015,$O30)))</f>
        <v/>
      </c>
      <c r="O30" s="54" t="str">
        <f>IFERROR(MATCH($A30,资金流水!$V$5:$V$3015,0),"")</f>
        <v/>
      </c>
    </row>
    <row r="31" spans="1:15">
      <c r="A31" s="29">
        <v>24</v>
      </c>
      <c r="B31" s="53" t="str">
        <f>IF($O31="","",IF(INDEX(资金流水!B$5:B$3032,$O31)="","",INDEX(资金流水!B$5:B$3032,$O31)))</f>
        <v/>
      </c>
      <c r="C31" s="10" t="str">
        <f>IF($O31="","",IF(INDEX(资金流水!C$5:C$3032,$O31)="","",INDEX(资金流水!C$5:C$3032,$O31)))</f>
        <v/>
      </c>
      <c r="D31" s="10" t="str">
        <f>IF($O31="","",IF(INDEX(资金流水!D$5:D$3032,$O31)="","",INDEX(资金流水!D$5:D$3032,$O31)))</f>
        <v/>
      </c>
      <c r="E31" s="29" t="str">
        <f>IF($O31="","",IF(INDEX(资金流水!E$5:E$3032,$O31)="","",INDEX(资金流水!E$5:E$3032,$O31)))</f>
        <v/>
      </c>
      <c r="F31" s="10" t="str">
        <f>IF($O31="","",IF(INDEX(资金流水!J$5:J$3032,$O31)="","",INDEX(资金流水!J$5:J$3032,$O31)))</f>
        <v/>
      </c>
      <c r="G31" s="11" t="str">
        <f>IF($O31="","",IF(INDEX(资金流水!K$5:K$3032,$O31)="","",INDEX(资金流水!K$5:K$3032,$O31)))</f>
        <v/>
      </c>
      <c r="H31" s="10" t="str">
        <f>IF($O31="","",IF(INDEX(资金流水!H$5:H$3032,$O31)="","",INDEX(资金流水!H$5:H$3032,$O31)))</f>
        <v/>
      </c>
      <c r="I31" s="11" t="str">
        <f>IF($O31="","",IF(INDEX(资金流水!L$5:L$3032,$O31)="","",INDEX(资金流水!L$5:L$3032,$O31)))</f>
        <v/>
      </c>
      <c r="J31" s="10" t="str">
        <f>IF($O31="","",IF(INDEX(资金流水!I$5:I$3032,$O31)="","",INDEX(资金流水!I$5:I$3032,$O31)))</f>
        <v/>
      </c>
      <c r="K31" s="29" t="str">
        <f>IF($O31="","",IF(INDEX(资金流水!T$5:T$3015,$O31)="","",INDEX(资金流水!T$5:T$3015,$O31)))</f>
        <v/>
      </c>
      <c r="L31" s="29" t="str">
        <f>IF($O31="","",IF(INDEX(资金流水!U$5:U$3015,$O31)="","",INDEX(资金流水!U$5:U$3015,$O31)))</f>
        <v/>
      </c>
      <c r="M31" s="10" t="str">
        <f>IF($O31="","",IF(INDEX(资金流水!Q$5:Q$3015,$O31)="","",INDEX(资金流水!Q$5:Q$3015,$O31)))</f>
        <v/>
      </c>
      <c r="O31" s="54" t="str">
        <f>IFERROR(MATCH($A31,资金流水!$V$5:$V$3015,0),"")</f>
        <v/>
      </c>
    </row>
    <row r="32" spans="1:15">
      <c r="A32" s="29">
        <v>25</v>
      </c>
      <c r="B32" s="53" t="str">
        <f>IF($O32="","",IF(INDEX(资金流水!B$5:B$3032,$O32)="","",INDEX(资金流水!B$5:B$3032,$O32)))</f>
        <v/>
      </c>
      <c r="C32" s="10" t="str">
        <f>IF($O32="","",IF(INDEX(资金流水!C$5:C$3032,$O32)="","",INDEX(资金流水!C$5:C$3032,$O32)))</f>
        <v/>
      </c>
      <c r="D32" s="10" t="str">
        <f>IF($O32="","",IF(INDEX(资金流水!D$5:D$3032,$O32)="","",INDEX(资金流水!D$5:D$3032,$O32)))</f>
        <v/>
      </c>
      <c r="E32" s="29" t="str">
        <f>IF($O32="","",IF(INDEX(资金流水!E$5:E$3032,$O32)="","",INDEX(资金流水!E$5:E$3032,$O32)))</f>
        <v/>
      </c>
      <c r="F32" s="10" t="str">
        <f>IF($O32="","",IF(INDEX(资金流水!J$5:J$3032,$O32)="","",INDEX(资金流水!J$5:J$3032,$O32)))</f>
        <v/>
      </c>
      <c r="G32" s="11" t="str">
        <f>IF($O32="","",IF(INDEX(资金流水!K$5:K$3032,$O32)="","",INDEX(资金流水!K$5:K$3032,$O32)))</f>
        <v/>
      </c>
      <c r="H32" s="10" t="str">
        <f>IF($O32="","",IF(INDEX(资金流水!H$5:H$3032,$O32)="","",INDEX(资金流水!H$5:H$3032,$O32)))</f>
        <v/>
      </c>
      <c r="I32" s="11" t="str">
        <f>IF($O32="","",IF(INDEX(资金流水!L$5:L$3032,$O32)="","",INDEX(资金流水!L$5:L$3032,$O32)))</f>
        <v/>
      </c>
      <c r="J32" s="10" t="str">
        <f>IF($O32="","",IF(INDEX(资金流水!I$5:I$3032,$O32)="","",INDEX(资金流水!I$5:I$3032,$O32)))</f>
        <v/>
      </c>
      <c r="K32" s="29" t="str">
        <f>IF($O32="","",IF(INDEX(资金流水!T$5:T$3015,$O32)="","",INDEX(资金流水!T$5:T$3015,$O32)))</f>
        <v/>
      </c>
      <c r="L32" s="29" t="str">
        <f>IF($O32="","",IF(INDEX(资金流水!U$5:U$3015,$O32)="","",INDEX(资金流水!U$5:U$3015,$O32)))</f>
        <v/>
      </c>
      <c r="M32" s="10" t="str">
        <f>IF($O32="","",IF(INDEX(资金流水!Q$5:Q$3015,$O32)="","",INDEX(资金流水!Q$5:Q$3015,$O32)))</f>
        <v/>
      </c>
      <c r="O32" s="54" t="str">
        <f>IFERROR(MATCH($A32,资金流水!$V$5:$V$3015,0),"")</f>
        <v/>
      </c>
    </row>
    <row r="33" spans="1:15">
      <c r="A33" s="29">
        <v>26</v>
      </c>
      <c r="B33" s="53" t="str">
        <f>IF($O33="","",IF(INDEX(资金流水!B$5:B$3032,$O33)="","",INDEX(资金流水!B$5:B$3032,$O33)))</f>
        <v/>
      </c>
      <c r="C33" s="10" t="str">
        <f>IF($O33="","",IF(INDEX(资金流水!C$5:C$3032,$O33)="","",INDEX(资金流水!C$5:C$3032,$O33)))</f>
        <v/>
      </c>
      <c r="D33" s="10" t="str">
        <f>IF($O33="","",IF(INDEX(资金流水!D$5:D$3032,$O33)="","",INDEX(资金流水!D$5:D$3032,$O33)))</f>
        <v/>
      </c>
      <c r="E33" s="29" t="str">
        <f>IF($O33="","",IF(INDEX(资金流水!E$5:E$3032,$O33)="","",INDEX(资金流水!E$5:E$3032,$O33)))</f>
        <v/>
      </c>
      <c r="F33" s="10" t="str">
        <f>IF($O33="","",IF(INDEX(资金流水!J$5:J$3032,$O33)="","",INDEX(资金流水!J$5:J$3032,$O33)))</f>
        <v/>
      </c>
      <c r="G33" s="11" t="str">
        <f>IF($O33="","",IF(INDEX(资金流水!K$5:K$3032,$O33)="","",INDEX(资金流水!K$5:K$3032,$O33)))</f>
        <v/>
      </c>
      <c r="H33" s="10" t="str">
        <f>IF($O33="","",IF(INDEX(资金流水!H$5:H$3032,$O33)="","",INDEX(资金流水!H$5:H$3032,$O33)))</f>
        <v/>
      </c>
      <c r="I33" s="11" t="str">
        <f>IF($O33="","",IF(INDEX(资金流水!L$5:L$3032,$O33)="","",INDEX(资金流水!L$5:L$3032,$O33)))</f>
        <v/>
      </c>
      <c r="J33" s="10" t="str">
        <f>IF($O33="","",IF(INDEX(资金流水!I$5:I$3032,$O33)="","",INDEX(资金流水!I$5:I$3032,$O33)))</f>
        <v/>
      </c>
      <c r="K33" s="29" t="str">
        <f>IF($O33="","",IF(INDEX(资金流水!T$5:T$3015,$O33)="","",INDEX(资金流水!T$5:T$3015,$O33)))</f>
        <v/>
      </c>
      <c r="L33" s="29" t="str">
        <f>IF($O33="","",IF(INDEX(资金流水!U$5:U$3015,$O33)="","",INDEX(资金流水!U$5:U$3015,$O33)))</f>
        <v/>
      </c>
      <c r="M33" s="10" t="str">
        <f>IF($O33="","",IF(INDEX(资金流水!Q$5:Q$3015,$O33)="","",INDEX(资金流水!Q$5:Q$3015,$O33)))</f>
        <v/>
      </c>
      <c r="O33" s="54" t="str">
        <f>IFERROR(MATCH($A33,资金流水!$V$5:$V$3015,0),"")</f>
        <v/>
      </c>
    </row>
    <row r="34" spans="1:15">
      <c r="A34" s="29">
        <v>27</v>
      </c>
      <c r="B34" s="53" t="str">
        <f>IF($O34="","",IF(INDEX(资金流水!B$5:B$3032,$O34)="","",INDEX(资金流水!B$5:B$3032,$O34)))</f>
        <v/>
      </c>
      <c r="C34" s="10" t="str">
        <f>IF($O34="","",IF(INDEX(资金流水!C$5:C$3032,$O34)="","",INDEX(资金流水!C$5:C$3032,$O34)))</f>
        <v/>
      </c>
      <c r="D34" s="10" t="str">
        <f>IF($O34="","",IF(INDEX(资金流水!D$5:D$3032,$O34)="","",INDEX(资金流水!D$5:D$3032,$O34)))</f>
        <v/>
      </c>
      <c r="E34" s="29" t="str">
        <f>IF($O34="","",IF(INDEX(资金流水!E$5:E$3032,$O34)="","",INDEX(资金流水!E$5:E$3032,$O34)))</f>
        <v/>
      </c>
      <c r="F34" s="10" t="str">
        <f>IF($O34="","",IF(INDEX(资金流水!J$5:J$3032,$O34)="","",INDEX(资金流水!J$5:J$3032,$O34)))</f>
        <v/>
      </c>
      <c r="G34" s="11" t="str">
        <f>IF($O34="","",IF(INDEX(资金流水!K$5:K$3032,$O34)="","",INDEX(资金流水!K$5:K$3032,$O34)))</f>
        <v/>
      </c>
      <c r="H34" s="10" t="str">
        <f>IF($O34="","",IF(INDEX(资金流水!H$5:H$3032,$O34)="","",INDEX(资金流水!H$5:H$3032,$O34)))</f>
        <v/>
      </c>
      <c r="I34" s="11" t="str">
        <f>IF($O34="","",IF(INDEX(资金流水!L$5:L$3032,$O34)="","",INDEX(资金流水!L$5:L$3032,$O34)))</f>
        <v/>
      </c>
      <c r="J34" s="10" t="str">
        <f>IF($O34="","",IF(INDEX(资金流水!I$5:I$3032,$O34)="","",INDEX(资金流水!I$5:I$3032,$O34)))</f>
        <v/>
      </c>
      <c r="K34" s="29" t="str">
        <f>IF($O34="","",IF(INDEX(资金流水!T$5:T$3015,$O34)="","",INDEX(资金流水!T$5:T$3015,$O34)))</f>
        <v/>
      </c>
      <c r="L34" s="29" t="str">
        <f>IF($O34="","",IF(INDEX(资金流水!U$5:U$3015,$O34)="","",INDEX(资金流水!U$5:U$3015,$O34)))</f>
        <v/>
      </c>
      <c r="M34" s="10" t="str">
        <f>IF($O34="","",IF(INDEX(资金流水!Q$5:Q$3015,$O34)="","",INDEX(资金流水!Q$5:Q$3015,$O34)))</f>
        <v/>
      </c>
      <c r="O34" s="54" t="str">
        <f>IFERROR(MATCH($A34,资金流水!$V$5:$V$3015,0),"")</f>
        <v/>
      </c>
    </row>
    <row r="35" spans="1:15">
      <c r="A35" s="29">
        <v>28</v>
      </c>
      <c r="B35" s="53" t="str">
        <f>IF($O35="","",IF(INDEX(资金流水!B$5:B$3032,$O35)="","",INDEX(资金流水!B$5:B$3032,$O35)))</f>
        <v/>
      </c>
      <c r="C35" s="10" t="str">
        <f>IF($O35="","",IF(INDEX(资金流水!C$5:C$3032,$O35)="","",INDEX(资金流水!C$5:C$3032,$O35)))</f>
        <v/>
      </c>
      <c r="D35" s="10" t="str">
        <f>IF($O35="","",IF(INDEX(资金流水!D$5:D$3032,$O35)="","",INDEX(资金流水!D$5:D$3032,$O35)))</f>
        <v/>
      </c>
      <c r="E35" s="29" t="str">
        <f>IF($O35="","",IF(INDEX(资金流水!E$5:E$3032,$O35)="","",INDEX(资金流水!E$5:E$3032,$O35)))</f>
        <v/>
      </c>
      <c r="F35" s="10" t="str">
        <f>IF($O35="","",IF(INDEX(资金流水!J$5:J$3032,$O35)="","",INDEX(资金流水!J$5:J$3032,$O35)))</f>
        <v/>
      </c>
      <c r="G35" s="11" t="str">
        <f>IF($O35="","",IF(INDEX(资金流水!K$5:K$3032,$O35)="","",INDEX(资金流水!K$5:K$3032,$O35)))</f>
        <v/>
      </c>
      <c r="H35" s="10" t="str">
        <f>IF($O35="","",IF(INDEX(资金流水!H$5:H$3032,$O35)="","",INDEX(资金流水!H$5:H$3032,$O35)))</f>
        <v/>
      </c>
      <c r="I35" s="11" t="str">
        <f>IF($O35="","",IF(INDEX(资金流水!L$5:L$3032,$O35)="","",INDEX(资金流水!L$5:L$3032,$O35)))</f>
        <v/>
      </c>
      <c r="J35" s="10" t="str">
        <f>IF($O35="","",IF(INDEX(资金流水!I$5:I$3032,$O35)="","",INDEX(资金流水!I$5:I$3032,$O35)))</f>
        <v/>
      </c>
      <c r="K35" s="29" t="str">
        <f>IF($O35="","",IF(INDEX(资金流水!T$5:T$3015,$O35)="","",INDEX(资金流水!T$5:T$3015,$O35)))</f>
        <v/>
      </c>
      <c r="L35" s="29" t="str">
        <f>IF($O35="","",IF(INDEX(资金流水!U$5:U$3015,$O35)="","",INDEX(资金流水!U$5:U$3015,$O35)))</f>
        <v/>
      </c>
      <c r="M35" s="10" t="str">
        <f>IF($O35="","",IF(INDEX(资金流水!Q$5:Q$3015,$O35)="","",INDEX(资金流水!Q$5:Q$3015,$O35)))</f>
        <v/>
      </c>
      <c r="O35" s="54" t="str">
        <f>IFERROR(MATCH($A35,资金流水!$V$5:$V$3015,0),"")</f>
        <v/>
      </c>
    </row>
    <row r="36" spans="1:15">
      <c r="A36" s="29">
        <v>29</v>
      </c>
      <c r="B36" s="53" t="str">
        <f>IF($O36="","",IF(INDEX(资金流水!B$5:B$3032,$O36)="","",INDEX(资金流水!B$5:B$3032,$O36)))</f>
        <v/>
      </c>
      <c r="C36" s="10" t="str">
        <f>IF($O36="","",IF(INDEX(资金流水!C$5:C$3032,$O36)="","",INDEX(资金流水!C$5:C$3032,$O36)))</f>
        <v/>
      </c>
      <c r="D36" s="10" t="str">
        <f>IF($O36="","",IF(INDEX(资金流水!D$5:D$3032,$O36)="","",INDEX(资金流水!D$5:D$3032,$O36)))</f>
        <v/>
      </c>
      <c r="E36" s="29" t="str">
        <f>IF($O36="","",IF(INDEX(资金流水!E$5:E$3032,$O36)="","",INDEX(资金流水!E$5:E$3032,$O36)))</f>
        <v/>
      </c>
      <c r="F36" s="10" t="str">
        <f>IF($O36="","",IF(INDEX(资金流水!J$5:J$3032,$O36)="","",INDEX(资金流水!J$5:J$3032,$O36)))</f>
        <v/>
      </c>
      <c r="G36" s="11" t="str">
        <f>IF($O36="","",IF(INDEX(资金流水!K$5:K$3032,$O36)="","",INDEX(资金流水!K$5:K$3032,$O36)))</f>
        <v/>
      </c>
      <c r="H36" s="10" t="str">
        <f>IF($O36="","",IF(INDEX(资金流水!H$5:H$3032,$O36)="","",INDEX(资金流水!H$5:H$3032,$O36)))</f>
        <v/>
      </c>
      <c r="I36" s="11" t="str">
        <f>IF($O36="","",IF(INDEX(资金流水!L$5:L$3032,$O36)="","",INDEX(资金流水!L$5:L$3032,$O36)))</f>
        <v/>
      </c>
      <c r="J36" s="10" t="str">
        <f>IF($O36="","",IF(INDEX(资金流水!I$5:I$3032,$O36)="","",INDEX(资金流水!I$5:I$3032,$O36)))</f>
        <v/>
      </c>
      <c r="K36" s="29" t="str">
        <f>IF($O36="","",IF(INDEX(资金流水!T$5:T$3015,$O36)="","",INDEX(资金流水!T$5:T$3015,$O36)))</f>
        <v/>
      </c>
      <c r="L36" s="29" t="str">
        <f>IF($O36="","",IF(INDEX(资金流水!U$5:U$3015,$O36)="","",INDEX(资金流水!U$5:U$3015,$O36)))</f>
        <v/>
      </c>
      <c r="M36" s="10" t="str">
        <f>IF($O36="","",IF(INDEX(资金流水!Q$5:Q$3015,$O36)="","",INDEX(资金流水!Q$5:Q$3015,$O36)))</f>
        <v/>
      </c>
      <c r="O36" s="54" t="str">
        <f>IFERROR(MATCH($A36,资金流水!$V$5:$V$3015,0),"")</f>
        <v/>
      </c>
    </row>
    <row r="37" spans="1:15">
      <c r="A37" s="29">
        <v>30</v>
      </c>
      <c r="B37" s="53" t="str">
        <f>IF($O37="","",IF(INDEX(资金流水!B$5:B$3032,$O37)="","",INDEX(资金流水!B$5:B$3032,$O37)))</f>
        <v/>
      </c>
      <c r="C37" s="10" t="str">
        <f>IF($O37="","",IF(INDEX(资金流水!C$5:C$3032,$O37)="","",INDEX(资金流水!C$5:C$3032,$O37)))</f>
        <v/>
      </c>
      <c r="D37" s="10" t="str">
        <f>IF($O37="","",IF(INDEX(资金流水!D$5:D$3032,$O37)="","",INDEX(资金流水!D$5:D$3032,$O37)))</f>
        <v/>
      </c>
      <c r="E37" s="29" t="str">
        <f>IF($O37="","",IF(INDEX(资金流水!E$5:E$3032,$O37)="","",INDEX(资金流水!E$5:E$3032,$O37)))</f>
        <v/>
      </c>
      <c r="F37" s="10" t="str">
        <f>IF($O37="","",IF(INDEX(资金流水!J$5:J$3032,$O37)="","",INDEX(资金流水!J$5:J$3032,$O37)))</f>
        <v/>
      </c>
      <c r="G37" s="11" t="str">
        <f>IF($O37="","",IF(INDEX(资金流水!K$5:K$3032,$O37)="","",INDEX(资金流水!K$5:K$3032,$O37)))</f>
        <v/>
      </c>
      <c r="H37" s="10" t="str">
        <f>IF($O37="","",IF(INDEX(资金流水!H$5:H$3032,$O37)="","",INDEX(资金流水!H$5:H$3032,$O37)))</f>
        <v/>
      </c>
      <c r="I37" s="11" t="str">
        <f>IF($O37="","",IF(INDEX(资金流水!L$5:L$3032,$O37)="","",INDEX(资金流水!L$5:L$3032,$O37)))</f>
        <v/>
      </c>
      <c r="J37" s="10" t="str">
        <f>IF($O37="","",IF(INDEX(资金流水!I$5:I$3032,$O37)="","",INDEX(资金流水!I$5:I$3032,$O37)))</f>
        <v/>
      </c>
      <c r="K37" s="29" t="str">
        <f>IF($O37="","",IF(INDEX(资金流水!T$5:T$3015,$O37)="","",INDEX(资金流水!T$5:T$3015,$O37)))</f>
        <v/>
      </c>
      <c r="L37" s="29" t="str">
        <f>IF($O37="","",IF(INDEX(资金流水!U$5:U$3015,$O37)="","",INDEX(资金流水!U$5:U$3015,$O37)))</f>
        <v/>
      </c>
      <c r="M37" s="10" t="str">
        <f>IF($O37="","",IF(INDEX(资金流水!Q$5:Q$3015,$O37)="","",INDEX(资金流水!Q$5:Q$3015,$O37)))</f>
        <v/>
      </c>
      <c r="O37" s="54" t="str">
        <f>IFERROR(MATCH($A37,资金流水!$V$5:$V$3015,0),"")</f>
        <v/>
      </c>
    </row>
    <row r="38" spans="1:15">
      <c r="A38" s="29">
        <v>31</v>
      </c>
      <c r="B38" s="53" t="str">
        <f>IF($O38="","",IF(INDEX(资金流水!B$5:B$3032,$O38)="","",INDEX(资金流水!B$5:B$3032,$O38)))</f>
        <v/>
      </c>
      <c r="C38" s="10" t="str">
        <f>IF($O38="","",IF(INDEX(资金流水!C$5:C$3032,$O38)="","",INDEX(资金流水!C$5:C$3032,$O38)))</f>
        <v/>
      </c>
      <c r="D38" s="10" t="str">
        <f>IF($O38="","",IF(INDEX(资金流水!D$5:D$3032,$O38)="","",INDEX(资金流水!D$5:D$3032,$O38)))</f>
        <v/>
      </c>
      <c r="E38" s="29" t="str">
        <f>IF($O38="","",IF(INDEX(资金流水!E$5:E$3032,$O38)="","",INDEX(资金流水!E$5:E$3032,$O38)))</f>
        <v/>
      </c>
      <c r="F38" s="10" t="str">
        <f>IF($O38="","",IF(INDEX(资金流水!J$5:J$3032,$O38)="","",INDEX(资金流水!J$5:J$3032,$O38)))</f>
        <v/>
      </c>
      <c r="G38" s="11" t="str">
        <f>IF($O38="","",IF(INDEX(资金流水!K$5:K$3032,$O38)="","",INDEX(资金流水!K$5:K$3032,$O38)))</f>
        <v/>
      </c>
      <c r="H38" s="10" t="str">
        <f>IF($O38="","",IF(INDEX(资金流水!H$5:H$3032,$O38)="","",INDEX(资金流水!H$5:H$3032,$O38)))</f>
        <v/>
      </c>
      <c r="I38" s="11" t="str">
        <f>IF($O38="","",IF(INDEX(资金流水!L$5:L$3032,$O38)="","",INDEX(资金流水!L$5:L$3032,$O38)))</f>
        <v/>
      </c>
      <c r="J38" s="10" t="str">
        <f>IF($O38="","",IF(INDEX(资金流水!I$5:I$3032,$O38)="","",INDEX(资金流水!I$5:I$3032,$O38)))</f>
        <v/>
      </c>
      <c r="K38" s="29" t="str">
        <f>IF($O38="","",IF(INDEX(资金流水!T$5:T$3015,$O38)="","",INDEX(资金流水!T$5:T$3015,$O38)))</f>
        <v/>
      </c>
      <c r="L38" s="29" t="str">
        <f>IF($O38="","",IF(INDEX(资金流水!U$5:U$3015,$O38)="","",INDEX(资金流水!U$5:U$3015,$O38)))</f>
        <v/>
      </c>
      <c r="M38" s="10" t="str">
        <f>IF($O38="","",IF(INDEX(资金流水!Q$5:Q$3015,$O38)="","",INDEX(资金流水!Q$5:Q$3015,$O38)))</f>
        <v/>
      </c>
      <c r="O38" s="54" t="str">
        <f>IFERROR(MATCH($A38,资金流水!$V$5:$V$3015,0),"")</f>
        <v/>
      </c>
    </row>
    <row r="39" spans="1:15">
      <c r="A39" s="29">
        <v>32</v>
      </c>
      <c r="B39" s="53" t="str">
        <f>IF($O39="","",IF(INDEX(资金流水!B$5:B$3032,$O39)="","",INDEX(资金流水!B$5:B$3032,$O39)))</f>
        <v/>
      </c>
      <c r="C39" s="10" t="str">
        <f>IF($O39="","",IF(INDEX(资金流水!C$5:C$3032,$O39)="","",INDEX(资金流水!C$5:C$3032,$O39)))</f>
        <v/>
      </c>
      <c r="D39" s="10" t="str">
        <f>IF($O39="","",IF(INDEX(资金流水!D$5:D$3032,$O39)="","",INDEX(资金流水!D$5:D$3032,$O39)))</f>
        <v/>
      </c>
      <c r="E39" s="29" t="str">
        <f>IF($O39="","",IF(INDEX(资金流水!E$5:E$3032,$O39)="","",INDEX(资金流水!E$5:E$3032,$O39)))</f>
        <v/>
      </c>
      <c r="F39" s="10" t="str">
        <f>IF($O39="","",IF(INDEX(资金流水!J$5:J$3032,$O39)="","",INDEX(资金流水!J$5:J$3032,$O39)))</f>
        <v/>
      </c>
      <c r="G39" s="11" t="str">
        <f>IF($O39="","",IF(INDEX(资金流水!K$5:K$3032,$O39)="","",INDEX(资金流水!K$5:K$3032,$O39)))</f>
        <v/>
      </c>
      <c r="H39" s="10" t="str">
        <f>IF($O39="","",IF(INDEX(资金流水!H$5:H$3032,$O39)="","",INDEX(资金流水!H$5:H$3032,$O39)))</f>
        <v/>
      </c>
      <c r="I39" s="11" t="str">
        <f>IF($O39="","",IF(INDEX(资金流水!L$5:L$3032,$O39)="","",INDEX(资金流水!L$5:L$3032,$O39)))</f>
        <v/>
      </c>
      <c r="J39" s="10" t="str">
        <f>IF($O39="","",IF(INDEX(资金流水!I$5:I$3032,$O39)="","",INDEX(资金流水!I$5:I$3032,$O39)))</f>
        <v/>
      </c>
      <c r="K39" s="29" t="str">
        <f>IF($O39="","",IF(INDEX(资金流水!T$5:T$3015,$O39)="","",INDEX(资金流水!T$5:T$3015,$O39)))</f>
        <v/>
      </c>
      <c r="L39" s="29" t="str">
        <f>IF($O39="","",IF(INDEX(资金流水!U$5:U$3015,$O39)="","",INDEX(资金流水!U$5:U$3015,$O39)))</f>
        <v/>
      </c>
      <c r="M39" s="10" t="str">
        <f>IF($O39="","",IF(INDEX(资金流水!Q$5:Q$3015,$O39)="","",INDEX(资金流水!Q$5:Q$3015,$O39)))</f>
        <v/>
      </c>
      <c r="O39" s="54" t="str">
        <f>IFERROR(MATCH($A39,资金流水!$V$5:$V$3015,0),"")</f>
        <v/>
      </c>
    </row>
    <row r="40" spans="1:15">
      <c r="A40" s="29">
        <v>33</v>
      </c>
      <c r="B40" s="53" t="str">
        <f>IF($O40="","",IF(INDEX(资金流水!B$5:B$3032,$O40)="","",INDEX(资金流水!B$5:B$3032,$O40)))</f>
        <v/>
      </c>
      <c r="C40" s="10" t="str">
        <f>IF($O40="","",IF(INDEX(资金流水!C$5:C$3032,$O40)="","",INDEX(资金流水!C$5:C$3032,$O40)))</f>
        <v/>
      </c>
      <c r="D40" s="10" t="str">
        <f>IF($O40="","",IF(INDEX(资金流水!D$5:D$3032,$O40)="","",INDEX(资金流水!D$5:D$3032,$O40)))</f>
        <v/>
      </c>
      <c r="E40" s="29" t="str">
        <f>IF($O40="","",IF(INDEX(资金流水!E$5:E$3032,$O40)="","",INDEX(资金流水!E$5:E$3032,$O40)))</f>
        <v/>
      </c>
      <c r="F40" s="10" t="str">
        <f>IF($O40="","",IF(INDEX(资金流水!J$5:J$3032,$O40)="","",INDEX(资金流水!J$5:J$3032,$O40)))</f>
        <v/>
      </c>
      <c r="G40" s="11" t="str">
        <f>IF($O40="","",IF(INDEX(资金流水!K$5:K$3032,$O40)="","",INDEX(资金流水!K$5:K$3032,$O40)))</f>
        <v/>
      </c>
      <c r="H40" s="10" t="str">
        <f>IF($O40="","",IF(INDEX(资金流水!H$5:H$3032,$O40)="","",INDEX(资金流水!H$5:H$3032,$O40)))</f>
        <v/>
      </c>
      <c r="I40" s="11" t="str">
        <f>IF($O40="","",IF(INDEX(资金流水!L$5:L$3032,$O40)="","",INDEX(资金流水!L$5:L$3032,$O40)))</f>
        <v/>
      </c>
      <c r="J40" s="10" t="str">
        <f>IF($O40="","",IF(INDEX(资金流水!I$5:I$3032,$O40)="","",INDEX(资金流水!I$5:I$3032,$O40)))</f>
        <v/>
      </c>
      <c r="K40" s="29" t="str">
        <f>IF($O40="","",IF(INDEX(资金流水!T$5:T$3015,$O40)="","",INDEX(资金流水!T$5:T$3015,$O40)))</f>
        <v/>
      </c>
      <c r="L40" s="29" t="str">
        <f>IF($O40="","",IF(INDEX(资金流水!U$5:U$3015,$O40)="","",INDEX(资金流水!U$5:U$3015,$O40)))</f>
        <v/>
      </c>
      <c r="M40" s="10" t="str">
        <f>IF($O40="","",IF(INDEX(资金流水!Q$5:Q$3015,$O40)="","",INDEX(资金流水!Q$5:Q$3015,$O40)))</f>
        <v/>
      </c>
      <c r="O40" s="54" t="str">
        <f>IFERROR(MATCH($A40,资金流水!$V$5:$V$3015,0),"")</f>
        <v/>
      </c>
    </row>
    <row r="41" spans="1:15">
      <c r="A41" s="29">
        <v>34</v>
      </c>
      <c r="B41" s="53" t="str">
        <f>IF($O41="","",IF(INDEX(资金流水!B$5:B$3032,$O41)="","",INDEX(资金流水!B$5:B$3032,$O41)))</f>
        <v/>
      </c>
      <c r="C41" s="10" t="str">
        <f>IF($O41="","",IF(INDEX(资金流水!C$5:C$3032,$O41)="","",INDEX(资金流水!C$5:C$3032,$O41)))</f>
        <v/>
      </c>
      <c r="D41" s="10" t="str">
        <f>IF($O41="","",IF(INDEX(资金流水!D$5:D$3032,$O41)="","",INDEX(资金流水!D$5:D$3032,$O41)))</f>
        <v/>
      </c>
      <c r="E41" s="29" t="str">
        <f>IF($O41="","",IF(INDEX(资金流水!E$5:E$3032,$O41)="","",INDEX(资金流水!E$5:E$3032,$O41)))</f>
        <v/>
      </c>
      <c r="F41" s="10" t="str">
        <f>IF($O41="","",IF(INDEX(资金流水!J$5:J$3032,$O41)="","",INDEX(资金流水!J$5:J$3032,$O41)))</f>
        <v/>
      </c>
      <c r="G41" s="11" t="str">
        <f>IF($O41="","",IF(INDEX(资金流水!K$5:K$3032,$O41)="","",INDEX(资金流水!K$5:K$3032,$O41)))</f>
        <v/>
      </c>
      <c r="H41" s="10" t="str">
        <f>IF($O41="","",IF(INDEX(资金流水!H$5:H$3032,$O41)="","",INDEX(资金流水!H$5:H$3032,$O41)))</f>
        <v/>
      </c>
      <c r="I41" s="11" t="str">
        <f>IF($O41="","",IF(INDEX(资金流水!L$5:L$3032,$O41)="","",INDEX(资金流水!L$5:L$3032,$O41)))</f>
        <v/>
      </c>
      <c r="J41" s="10" t="str">
        <f>IF($O41="","",IF(INDEX(资金流水!I$5:I$3032,$O41)="","",INDEX(资金流水!I$5:I$3032,$O41)))</f>
        <v/>
      </c>
      <c r="K41" s="29" t="str">
        <f>IF($O41="","",IF(INDEX(资金流水!T$5:T$3015,$O41)="","",INDEX(资金流水!T$5:T$3015,$O41)))</f>
        <v/>
      </c>
      <c r="L41" s="29" t="str">
        <f>IF($O41="","",IF(INDEX(资金流水!U$5:U$3015,$O41)="","",INDEX(资金流水!U$5:U$3015,$O41)))</f>
        <v/>
      </c>
      <c r="M41" s="10" t="str">
        <f>IF($O41="","",IF(INDEX(资金流水!Q$5:Q$3015,$O41)="","",INDEX(资金流水!Q$5:Q$3015,$O41)))</f>
        <v/>
      </c>
      <c r="O41" s="54" t="str">
        <f>IFERROR(MATCH($A41,资金流水!$V$5:$V$3015,0),"")</f>
        <v/>
      </c>
    </row>
    <row r="42" spans="1:15">
      <c r="A42" s="29">
        <v>35</v>
      </c>
      <c r="B42" s="53" t="str">
        <f>IF($O42="","",IF(INDEX(资金流水!B$5:B$3032,$O42)="","",INDEX(资金流水!B$5:B$3032,$O42)))</f>
        <v/>
      </c>
      <c r="C42" s="10" t="str">
        <f>IF($O42="","",IF(INDEX(资金流水!C$5:C$3032,$O42)="","",INDEX(资金流水!C$5:C$3032,$O42)))</f>
        <v/>
      </c>
      <c r="D42" s="10" t="str">
        <f>IF($O42="","",IF(INDEX(资金流水!D$5:D$3032,$O42)="","",INDEX(资金流水!D$5:D$3032,$O42)))</f>
        <v/>
      </c>
      <c r="E42" s="29" t="str">
        <f>IF($O42="","",IF(INDEX(资金流水!E$5:E$3032,$O42)="","",INDEX(资金流水!E$5:E$3032,$O42)))</f>
        <v/>
      </c>
      <c r="F42" s="10" t="str">
        <f>IF($O42="","",IF(INDEX(资金流水!J$5:J$3032,$O42)="","",INDEX(资金流水!J$5:J$3032,$O42)))</f>
        <v/>
      </c>
      <c r="G42" s="11" t="str">
        <f>IF($O42="","",IF(INDEX(资金流水!K$5:K$3032,$O42)="","",INDEX(资金流水!K$5:K$3032,$O42)))</f>
        <v/>
      </c>
      <c r="H42" s="10" t="str">
        <f>IF($O42="","",IF(INDEX(资金流水!H$5:H$3032,$O42)="","",INDEX(资金流水!H$5:H$3032,$O42)))</f>
        <v/>
      </c>
      <c r="I42" s="11" t="str">
        <f>IF($O42="","",IF(INDEX(资金流水!L$5:L$3032,$O42)="","",INDEX(资金流水!L$5:L$3032,$O42)))</f>
        <v/>
      </c>
      <c r="J42" s="10" t="str">
        <f>IF($O42="","",IF(INDEX(资金流水!I$5:I$3032,$O42)="","",INDEX(资金流水!I$5:I$3032,$O42)))</f>
        <v/>
      </c>
      <c r="K42" s="29" t="str">
        <f>IF($O42="","",IF(INDEX(资金流水!T$5:T$3015,$O42)="","",INDEX(资金流水!T$5:T$3015,$O42)))</f>
        <v/>
      </c>
      <c r="L42" s="29" t="str">
        <f>IF($O42="","",IF(INDEX(资金流水!U$5:U$3015,$O42)="","",INDEX(资金流水!U$5:U$3015,$O42)))</f>
        <v/>
      </c>
      <c r="M42" s="10" t="str">
        <f>IF($O42="","",IF(INDEX(资金流水!Q$5:Q$3015,$O42)="","",INDEX(资金流水!Q$5:Q$3015,$O42)))</f>
        <v/>
      </c>
      <c r="O42" s="54" t="str">
        <f>IFERROR(MATCH($A42,资金流水!$V$5:$V$3015,0),"")</f>
        <v/>
      </c>
    </row>
    <row r="43" spans="1:15">
      <c r="A43" s="29">
        <v>36</v>
      </c>
      <c r="B43" s="53" t="str">
        <f>IF($O43="","",IF(INDEX(资金流水!B$5:B$3032,$O43)="","",INDEX(资金流水!B$5:B$3032,$O43)))</f>
        <v/>
      </c>
      <c r="C43" s="10" t="str">
        <f>IF($O43="","",IF(INDEX(资金流水!C$5:C$3032,$O43)="","",INDEX(资金流水!C$5:C$3032,$O43)))</f>
        <v/>
      </c>
      <c r="D43" s="10" t="str">
        <f>IF($O43="","",IF(INDEX(资金流水!D$5:D$3032,$O43)="","",INDEX(资金流水!D$5:D$3032,$O43)))</f>
        <v/>
      </c>
      <c r="E43" s="29" t="str">
        <f>IF($O43="","",IF(INDEX(资金流水!E$5:E$3032,$O43)="","",INDEX(资金流水!E$5:E$3032,$O43)))</f>
        <v/>
      </c>
      <c r="F43" s="10" t="str">
        <f>IF($O43="","",IF(INDEX(资金流水!J$5:J$3032,$O43)="","",INDEX(资金流水!J$5:J$3032,$O43)))</f>
        <v/>
      </c>
      <c r="G43" s="11" t="str">
        <f>IF($O43="","",IF(INDEX(资金流水!K$5:K$3032,$O43)="","",INDEX(资金流水!K$5:K$3032,$O43)))</f>
        <v/>
      </c>
      <c r="H43" s="10" t="str">
        <f>IF($O43="","",IF(INDEX(资金流水!H$5:H$3032,$O43)="","",INDEX(资金流水!H$5:H$3032,$O43)))</f>
        <v/>
      </c>
      <c r="I43" s="11" t="str">
        <f>IF($O43="","",IF(INDEX(资金流水!L$5:L$3032,$O43)="","",INDEX(资金流水!L$5:L$3032,$O43)))</f>
        <v/>
      </c>
      <c r="J43" s="10" t="str">
        <f>IF($O43="","",IF(INDEX(资金流水!I$5:I$3032,$O43)="","",INDEX(资金流水!I$5:I$3032,$O43)))</f>
        <v/>
      </c>
      <c r="K43" s="29" t="str">
        <f>IF($O43="","",IF(INDEX(资金流水!T$5:T$3015,$O43)="","",INDEX(资金流水!T$5:T$3015,$O43)))</f>
        <v/>
      </c>
      <c r="L43" s="29" t="str">
        <f>IF($O43="","",IF(INDEX(资金流水!U$5:U$3015,$O43)="","",INDEX(资金流水!U$5:U$3015,$O43)))</f>
        <v/>
      </c>
      <c r="M43" s="10" t="str">
        <f>IF($O43="","",IF(INDEX(资金流水!Q$5:Q$3015,$O43)="","",INDEX(资金流水!Q$5:Q$3015,$O43)))</f>
        <v/>
      </c>
      <c r="O43" s="54" t="str">
        <f>IFERROR(MATCH($A43,资金流水!$V$5:$V$3015,0),"")</f>
        <v/>
      </c>
    </row>
    <row r="44" spans="1:15">
      <c r="A44" s="29">
        <v>37</v>
      </c>
      <c r="B44" s="53" t="str">
        <f>IF($O44="","",IF(INDEX(资金流水!B$5:B$3032,$O44)="","",INDEX(资金流水!B$5:B$3032,$O44)))</f>
        <v/>
      </c>
      <c r="C44" s="10" t="str">
        <f>IF($O44="","",IF(INDEX(资金流水!C$5:C$3032,$O44)="","",INDEX(资金流水!C$5:C$3032,$O44)))</f>
        <v/>
      </c>
      <c r="D44" s="10" t="str">
        <f>IF($O44="","",IF(INDEX(资金流水!D$5:D$3032,$O44)="","",INDEX(资金流水!D$5:D$3032,$O44)))</f>
        <v/>
      </c>
      <c r="E44" s="29" t="str">
        <f>IF($O44="","",IF(INDEX(资金流水!E$5:E$3032,$O44)="","",INDEX(资金流水!E$5:E$3032,$O44)))</f>
        <v/>
      </c>
      <c r="F44" s="10" t="str">
        <f>IF($O44="","",IF(INDEX(资金流水!J$5:J$3032,$O44)="","",INDEX(资金流水!J$5:J$3032,$O44)))</f>
        <v/>
      </c>
      <c r="G44" s="11" t="str">
        <f>IF($O44="","",IF(INDEX(资金流水!K$5:K$3032,$O44)="","",INDEX(资金流水!K$5:K$3032,$O44)))</f>
        <v/>
      </c>
      <c r="H44" s="10" t="str">
        <f>IF($O44="","",IF(INDEX(资金流水!H$5:H$3032,$O44)="","",INDEX(资金流水!H$5:H$3032,$O44)))</f>
        <v/>
      </c>
      <c r="I44" s="11" t="str">
        <f>IF($O44="","",IF(INDEX(资金流水!L$5:L$3032,$O44)="","",INDEX(资金流水!L$5:L$3032,$O44)))</f>
        <v/>
      </c>
      <c r="J44" s="10" t="str">
        <f>IF($O44="","",IF(INDEX(资金流水!I$5:I$3032,$O44)="","",INDEX(资金流水!I$5:I$3032,$O44)))</f>
        <v/>
      </c>
      <c r="K44" s="29" t="str">
        <f>IF($O44="","",IF(INDEX(资金流水!T$5:T$3015,$O44)="","",INDEX(资金流水!T$5:T$3015,$O44)))</f>
        <v/>
      </c>
      <c r="L44" s="29" t="str">
        <f>IF($O44="","",IF(INDEX(资金流水!U$5:U$3015,$O44)="","",INDEX(资金流水!U$5:U$3015,$O44)))</f>
        <v/>
      </c>
      <c r="M44" s="10" t="str">
        <f>IF($O44="","",IF(INDEX(资金流水!Q$5:Q$3015,$O44)="","",INDEX(资金流水!Q$5:Q$3015,$O44)))</f>
        <v/>
      </c>
      <c r="O44" s="54" t="str">
        <f>IFERROR(MATCH($A44,资金流水!$V$5:$V$3015,0),"")</f>
        <v/>
      </c>
    </row>
    <row r="45" spans="1:15">
      <c r="A45" s="29">
        <v>38</v>
      </c>
      <c r="B45" s="53" t="str">
        <f>IF($O45="","",IF(INDEX(资金流水!B$5:B$3032,$O45)="","",INDEX(资金流水!B$5:B$3032,$O45)))</f>
        <v/>
      </c>
      <c r="C45" s="10" t="str">
        <f>IF($O45="","",IF(INDEX(资金流水!C$5:C$3032,$O45)="","",INDEX(资金流水!C$5:C$3032,$O45)))</f>
        <v/>
      </c>
      <c r="D45" s="10" t="str">
        <f>IF($O45="","",IF(INDEX(资金流水!D$5:D$3032,$O45)="","",INDEX(资金流水!D$5:D$3032,$O45)))</f>
        <v/>
      </c>
      <c r="E45" s="29" t="str">
        <f>IF($O45="","",IF(INDEX(资金流水!E$5:E$3032,$O45)="","",INDEX(资金流水!E$5:E$3032,$O45)))</f>
        <v/>
      </c>
      <c r="F45" s="10" t="str">
        <f>IF($O45="","",IF(INDEX(资金流水!J$5:J$3032,$O45)="","",INDEX(资金流水!J$5:J$3032,$O45)))</f>
        <v/>
      </c>
      <c r="G45" s="11" t="str">
        <f>IF($O45="","",IF(INDEX(资金流水!K$5:K$3032,$O45)="","",INDEX(资金流水!K$5:K$3032,$O45)))</f>
        <v/>
      </c>
      <c r="H45" s="10" t="str">
        <f>IF($O45="","",IF(INDEX(资金流水!H$5:H$3032,$O45)="","",INDEX(资金流水!H$5:H$3032,$O45)))</f>
        <v/>
      </c>
      <c r="I45" s="11" t="str">
        <f>IF($O45="","",IF(INDEX(资金流水!L$5:L$3032,$O45)="","",INDEX(资金流水!L$5:L$3032,$O45)))</f>
        <v/>
      </c>
      <c r="J45" s="10" t="str">
        <f>IF($O45="","",IF(INDEX(资金流水!I$5:I$3032,$O45)="","",INDEX(资金流水!I$5:I$3032,$O45)))</f>
        <v/>
      </c>
      <c r="K45" s="29" t="str">
        <f>IF($O45="","",IF(INDEX(资金流水!T$5:T$3015,$O45)="","",INDEX(资金流水!T$5:T$3015,$O45)))</f>
        <v/>
      </c>
      <c r="L45" s="29" t="str">
        <f>IF($O45="","",IF(INDEX(资金流水!U$5:U$3015,$O45)="","",INDEX(资金流水!U$5:U$3015,$O45)))</f>
        <v/>
      </c>
      <c r="M45" s="10" t="str">
        <f>IF($O45="","",IF(INDEX(资金流水!Q$5:Q$3015,$O45)="","",INDEX(资金流水!Q$5:Q$3015,$O45)))</f>
        <v/>
      </c>
      <c r="O45" s="54" t="str">
        <f>IFERROR(MATCH($A45,资金流水!$V$5:$V$3015,0),"")</f>
        <v/>
      </c>
    </row>
    <row r="46" spans="1:15">
      <c r="A46" s="29">
        <v>39</v>
      </c>
      <c r="B46" s="53" t="str">
        <f>IF($O46="","",IF(INDEX(资金流水!B$5:B$3032,$O46)="","",INDEX(资金流水!B$5:B$3032,$O46)))</f>
        <v/>
      </c>
      <c r="C46" s="10" t="str">
        <f>IF($O46="","",IF(INDEX(资金流水!C$5:C$3032,$O46)="","",INDEX(资金流水!C$5:C$3032,$O46)))</f>
        <v/>
      </c>
      <c r="D46" s="10" t="str">
        <f>IF($O46="","",IF(INDEX(资金流水!D$5:D$3032,$O46)="","",INDEX(资金流水!D$5:D$3032,$O46)))</f>
        <v/>
      </c>
      <c r="E46" s="29" t="str">
        <f>IF($O46="","",IF(INDEX(资金流水!E$5:E$3032,$O46)="","",INDEX(资金流水!E$5:E$3032,$O46)))</f>
        <v/>
      </c>
      <c r="F46" s="10" t="str">
        <f>IF($O46="","",IF(INDEX(资金流水!J$5:J$3032,$O46)="","",INDEX(资金流水!J$5:J$3032,$O46)))</f>
        <v/>
      </c>
      <c r="G46" s="11" t="str">
        <f>IF($O46="","",IF(INDEX(资金流水!K$5:K$3032,$O46)="","",INDEX(资金流水!K$5:K$3032,$O46)))</f>
        <v/>
      </c>
      <c r="H46" s="10" t="str">
        <f>IF($O46="","",IF(INDEX(资金流水!H$5:H$3032,$O46)="","",INDEX(资金流水!H$5:H$3032,$O46)))</f>
        <v/>
      </c>
      <c r="I46" s="11" t="str">
        <f>IF($O46="","",IF(INDEX(资金流水!L$5:L$3032,$O46)="","",INDEX(资金流水!L$5:L$3032,$O46)))</f>
        <v/>
      </c>
      <c r="J46" s="10" t="str">
        <f>IF($O46="","",IF(INDEX(资金流水!I$5:I$3032,$O46)="","",INDEX(资金流水!I$5:I$3032,$O46)))</f>
        <v/>
      </c>
      <c r="K46" s="29" t="str">
        <f>IF($O46="","",IF(INDEX(资金流水!T$5:T$3015,$O46)="","",INDEX(资金流水!T$5:T$3015,$O46)))</f>
        <v/>
      </c>
      <c r="L46" s="29" t="str">
        <f>IF($O46="","",IF(INDEX(资金流水!U$5:U$3015,$O46)="","",INDEX(资金流水!U$5:U$3015,$O46)))</f>
        <v/>
      </c>
      <c r="M46" s="10" t="str">
        <f>IF($O46="","",IF(INDEX(资金流水!Q$5:Q$3015,$O46)="","",INDEX(资金流水!Q$5:Q$3015,$O46)))</f>
        <v/>
      </c>
      <c r="O46" s="54" t="str">
        <f>IFERROR(MATCH($A46,资金流水!$V$5:$V$3015,0),"")</f>
        <v/>
      </c>
    </row>
    <row r="47" spans="1:15">
      <c r="A47" s="29">
        <v>40</v>
      </c>
      <c r="B47" s="53" t="str">
        <f>IF($O47="","",IF(INDEX(资金流水!B$5:B$3032,$O47)="","",INDEX(资金流水!B$5:B$3032,$O47)))</f>
        <v/>
      </c>
      <c r="C47" s="10" t="str">
        <f>IF($O47="","",IF(INDEX(资金流水!C$5:C$3032,$O47)="","",INDEX(资金流水!C$5:C$3032,$O47)))</f>
        <v/>
      </c>
      <c r="D47" s="10" t="str">
        <f>IF($O47="","",IF(INDEX(资金流水!D$5:D$3032,$O47)="","",INDEX(资金流水!D$5:D$3032,$O47)))</f>
        <v/>
      </c>
      <c r="E47" s="29" t="str">
        <f>IF($O47="","",IF(INDEX(资金流水!E$5:E$3032,$O47)="","",INDEX(资金流水!E$5:E$3032,$O47)))</f>
        <v/>
      </c>
      <c r="F47" s="10" t="str">
        <f>IF($O47="","",IF(INDEX(资金流水!J$5:J$3032,$O47)="","",INDEX(资金流水!J$5:J$3032,$O47)))</f>
        <v/>
      </c>
      <c r="G47" s="11" t="str">
        <f>IF($O47="","",IF(INDEX(资金流水!K$5:K$3032,$O47)="","",INDEX(资金流水!K$5:K$3032,$O47)))</f>
        <v/>
      </c>
      <c r="H47" s="10" t="str">
        <f>IF($O47="","",IF(INDEX(资金流水!H$5:H$3032,$O47)="","",INDEX(资金流水!H$5:H$3032,$O47)))</f>
        <v/>
      </c>
      <c r="I47" s="11" t="str">
        <f>IF($O47="","",IF(INDEX(资金流水!L$5:L$3032,$O47)="","",INDEX(资金流水!L$5:L$3032,$O47)))</f>
        <v/>
      </c>
      <c r="J47" s="10" t="str">
        <f>IF($O47="","",IF(INDEX(资金流水!I$5:I$3032,$O47)="","",INDEX(资金流水!I$5:I$3032,$O47)))</f>
        <v/>
      </c>
      <c r="K47" s="29" t="str">
        <f>IF($O47="","",IF(INDEX(资金流水!T$5:T$3015,$O47)="","",INDEX(资金流水!T$5:T$3015,$O47)))</f>
        <v/>
      </c>
      <c r="L47" s="29" t="str">
        <f>IF($O47="","",IF(INDEX(资金流水!U$5:U$3015,$O47)="","",INDEX(资金流水!U$5:U$3015,$O47)))</f>
        <v/>
      </c>
      <c r="M47" s="10" t="str">
        <f>IF($O47="","",IF(INDEX(资金流水!Q$5:Q$3015,$O47)="","",INDEX(资金流水!Q$5:Q$3015,$O47)))</f>
        <v/>
      </c>
      <c r="O47" s="54" t="str">
        <f>IFERROR(MATCH($A47,资金流水!$V$5:$V$3015,0),"")</f>
        <v/>
      </c>
    </row>
    <row r="48" spans="1:15">
      <c r="A48" s="29">
        <v>41</v>
      </c>
      <c r="B48" s="53" t="str">
        <f>IF($O48="","",IF(INDEX(资金流水!B$5:B$3032,$O48)="","",INDEX(资金流水!B$5:B$3032,$O48)))</f>
        <v/>
      </c>
      <c r="C48" s="10" t="str">
        <f>IF($O48="","",IF(INDEX(资金流水!C$5:C$3032,$O48)="","",INDEX(资金流水!C$5:C$3032,$O48)))</f>
        <v/>
      </c>
      <c r="D48" s="10" t="str">
        <f>IF($O48="","",IF(INDEX(资金流水!D$5:D$3032,$O48)="","",INDEX(资金流水!D$5:D$3032,$O48)))</f>
        <v/>
      </c>
      <c r="E48" s="29" t="str">
        <f>IF($O48="","",IF(INDEX(资金流水!E$5:E$3032,$O48)="","",INDEX(资金流水!E$5:E$3032,$O48)))</f>
        <v/>
      </c>
      <c r="F48" s="10" t="str">
        <f>IF($O48="","",IF(INDEX(资金流水!J$5:J$3032,$O48)="","",INDEX(资金流水!J$5:J$3032,$O48)))</f>
        <v/>
      </c>
      <c r="G48" s="11" t="str">
        <f>IF($O48="","",IF(INDEX(资金流水!K$5:K$3032,$O48)="","",INDEX(资金流水!K$5:K$3032,$O48)))</f>
        <v/>
      </c>
      <c r="H48" s="10" t="str">
        <f>IF($O48="","",IF(INDEX(资金流水!H$5:H$3032,$O48)="","",INDEX(资金流水!H$5:H$3032,$O48)))</f>
        <v/>
      </c>
      <c r="I48" s="11" t="str">
        <f>IF($O48="","",IF(INDEX(资金流水!L$5:L$3032,$O48)="","",INDEX(资金流水!L$5:L$3032,$O48)))</f>
        <v/>
      </c>
      <c r="J48" s="10" t="str">
        <f>IF($O48="","",IF(INDEX(资金流水!I$5:I$3032,$O48)="","",INDEX(资金流水!I$5:I$3032,$O48)))</f>
        <v/>
      </c>
      <c r="K48" s="29" t="str">
        <f>IF($O48="","",IF(INDEX(资金流水!T$5:T$3015,$O48)="","",INDEX(资金流水!T$5:T$3015,$O48)))</f>
        <v/>
      </c>
      <c r="L48" s="29" t="str">
        <f>IF($O48="","",IF(INDEX(资金流水!U$5:U$3015,$O48)="","",INDEX(资金流水!U$5:U$3015,$O48)))</f>
        <v/>
      </c>
      <c r="M48" s="10" t="str">
        <f>IF($O48="","",IF(INDEX(资金流水!Q$5:Q$3015,$O48)="","",INDEX(资金流水!Q$5:Q$3015,$O48)))</f>
        <v/>
      </c>
      <c r="O48" s="54" t="str">
        <f>IFERROR(MATCH($A48,资金流水!$V$5:$V$3015,0),"")</f>
        <v/>
      </c>
    </row>
    <row r="49" spans="1:15">
      <c r="A49" s="29">
        <v>42</v>
      </c>
      <c r="B49" s="53" t="str">
        <f>IF($O49="","",IF(INDEX(资金流水!B$5:B$3032,$O49)="","",INDEX(资金流水!B$5:B$3032,$O49)))</f>
        <v/>
      </c>
      <c r="C49" s="10" t="str">
        <f>IF($O49="","",IF(INDEX(资金流水!C$5:C$3032,$O49)="","",INDEX(资金流水!C$5:C$3032,$O49)))</f>
        <v/>
      </c>
      <c r="D49" s="10" t="str">
        <f>IF($O49="","",IF(INDEX(资金流水!D$5:D$3032,$O49)="","",INDEX(资金流水!D$5:D$3032,$O49)))</f>
        <v/>
      </c>
      <c r="E49" s="29" t="str">
        <f>IF($O49="","",IF(INDEX(资金流水!E$5:E$3032,$O49)="","",INDEX(资金流水!E$5:E$3032,$O49)))</f>
        <v/>
      </c>
      <c r="F49" s="10" t="str">
        <f>IF($O49="","",IF(INDEX(资金流水!J$5:J$3032,$O49)="","",INDEX(资金流水!J$5:J$3032,$O49)))</f>
        <v/>
      </c>
      <c r="G49" s="11" t="str">
        <f>IF($O49="","",IF(INDEX(资金流水!K$5:K$3032,$O49)="","",INDEX(资金流水!K$5:K$3032,$O49)))</f>
        <v/>
      </c>
      <c r="H49" s="10" t="str">
        <f>IF($O49="","",IF(INDEX(资金流水!H$5:H$3032,$O49)="","",INDEX(资金流水!H$5:H$3032,$O49)))</f>
        <v/>
      </c>
      <c r="I49" s="11" t="str">
        <f>IF($O49="","",IF(INDEX(资金流水!L$5:L$3032,$O49)="","",INDEX(资金流水!L$5:L$3032,$O49)))</f>
        <v/>
      </c>
      <c r="J49" s="10" t="str">
        <f>IF($O49="","",IF(INDEX(资金流水!I$5:I$3032,$O49)="","",INDEX(资金流水!I$5:I$3032,$O49)))</f>
        <v/>
      </c>
      <c r="K49" s="29" t="str">
        <f>IF($O49="","",IF(INDEX(资金流水!T$5:T$3015,$O49)="","",INDEX(资金流水!T$5:T$3015,$O49)))</f>
        <v/>
      </c>
      <c r="L49" s="29" t="str">
        <f>IF($O49="","",IF(INDEX(资金流水!U$5:U$3015,$O49)="","",INDEX(资金流水!U$5:U$3015,$O49)))</f>
        <v/>
      </c>
      <c r="M49" s="10" t="str">
        <f>IF($O49="","",IF(INDEX(资金流水!Q$5:Q$3015,$O49)="","",INDEX(资金流水!Q$5:Q$3015,$O49)))</f>
        <v/>
      </c>
      <c r="O49" s="54" t="str">
        <f>IFERROR(MATCH($A49,资金流水!$V$5:$V$3015,0),"")</f>
        <v/>
      </c>
    </row>
    <row r="50" spans="1:15">
      <c r="A50" s="29">
        <v>43</v>
      </c>
      <c r="B50" s="53" t="str">
        <f>IF($O50="","",IF(INDEX(资金流水!B$5:B$3032,$O50)="","",INDEX(资金流水!B$5:B$3032,$O50)))</f>
        <v/>
      </c>
      <c r="C50" s="10" t="str">
        <f>IF($O50="","",IF(INDEX(资金流水!C$5:C$3032,$O50)="","",INDEX(资金流水!C$5:C$3032,$O50)))</f>
        <v/>
      </c>
      <c r="D50" s="10" t="str">
        <f>IF($O50="","",IF(INDEX(资金流水!D$5:D$3032,$O50)="","",INDEX(资金流水!D$5:D$3032,$O50)))</f>
        <v/>
      </c>
      <c r="E50" s="29" t="str">
        <f>IF($O50="","",IF(INDEX(资金流水!E$5:E$3032,$O50)="","",INDEX(资金流水!E$5:E$3032,$O50)))</f>
        <v/>
      </c>
      <c r="F50" s="10" t="str">
        <f>IF($O50="","",IF(INDEX(资金流水!J$5:J$3032,$O50)="","",INDEX(资金流水!J$5:J$3032,$O50)))</f>
        <v/>
      </c>
      <c r="G50" s="11" t="str">
        <f>IF($O50="","",IF(INDEX(资金流水!K$5:K$3032,$O50)="","",INDEX(资金流水!K$5:K$3032,$O50)))</f>
        <v/>
      </c>
      <c r="H50" s="10" t="str">
        <f>IF($O50="","",IF(INDEX(资金流水!H$5:H$3032,$O50)="","",INDEX(资金流水!H$5:H$3032,$O50)))</f>
        <v/>
      </c>
      <c r="I50" s="11" t="str">
        <f>IF($O50="","",IF(INDEX(资金流水!L$5:L$3032,$O50)="","",INDEX(资金流水!L$5:L$3032,$O50)))</f>
        <v/>
      </c>
      <c r="J50" s="10" t="str">
        <f>IF($O50="","",IF(INDEX(资金流水!I$5:I$3032,$O50)="","",INDEX(资金流水!I$5:I$3032,$O50)))</f>
        <v/>
      </c>
      <c r="K50" s="29" t="str">
        <f>IF($O50="","",IF(INDEX(资金流水!T$5:T$3015,$O50)="","",INDEX(资金流水!T$5:T$3015,$O50)))</f>
        <v/>
      </c>
      <c r="L50" s="29" t="str">
        <f>IF($O50="","",IF(INDEX(资金流水!U$5:U$3015,$O50)="","",INDEX(资金流水!U$5:U$3015,$O50)))</f>
        <v/>
      </c>
      <c r="M50" s="10" t="str">
        <f>IF($O50="","",IF(INDEX(资金流水!Q$5:Q$3015,$O50)="","",INDEX(资金流水!Q$5:Q$3015,$O50)))</f>
        <v/>
      </c>
      <c r="O50" s="54" t="str">
        <f>IFERROR(MATCH($A50,资金流水!$V$5:$V$3015,0),"")</f>
        <v/>
      </c>
    </row>
    <row r="51" spans="1:15">
      <c r="A51" s="29">
        <v>44</v>
      </c>
      <c r="B51" s="53" t="str">
        <f>IF($O51="","",IF(INDEX(资金流水!B$5:B$3032,$O51)="","",INDEX(资金流水!B$5:B$3032,$O51)))</f>
        <v/>
      </c>
      <c r="C51" s="10" t="str">
        <f>IF($O51="","",IF(INDEX(资金流水!C$5:C$3032,$O51)="","",INDEX(资金流水!C$5:C$3032,$O51)))</f>
        <v/>
      </c>
      <c r="D51" s="10" t="str">
        <f>IF($O51="","",IF(INDEX(资金流水!D$5:D$3032,$O51)="","",INDEX(资金流水!D$5:D$3032,$O51)))</f>
        <v/>
      </c>
      <c r="E51" s="29" t="str">
        <f>IF($O51="","",IF(INDEX(资金流水!E$5:E$3032,$O51)="","",INDEX(资金流水!E$5:E$3032,$O51)))</f>
        <v/>
      </c>
      <c r="F51" s="10" t="str">
        <f>IF($O51="","",IF(INDEX(资金流水!J$5:J$3032,$O51)="","",INDEX(资金流水!J$5:J$3032,$O51)))</f>
        <v/>
      </c>
      <c r="G51" s="11" t="str">
        <f>IF($O51="","",IF(INDEX(资金流水!K$5:K$3032,$O51)="","",INDEX(资金流水!K$5:K$3032,$O51)))</f>
        <v/>
      </c>
      <c r="H51" s="10" t="str">
        <f>IF($O51="","",IF(INDEX(资金流水!H$5:H$3032,$O51)="","",INDEX(资金流水!H$5:H$3032,$O51)))</f>
        <v/>
      </c>
      <c r="I51" s="11" t="str">
        <f>IF($O51="","",IF(INDEX(资金流水!L$5:L$3032,$O51)="","",INDEX(资金流水!L$5:L$3032,$O51)))</f>
        <v/>
      </c>
      <c r="J51" s="10" t="str">
        <f>IF($O51="","",IF(INDEX(资金流水!I$5:I$3032,$O51)="","",INDEX(资金流水!I$5:I$3032,$O51)))</f>
        <v/>
      </c>
      <c r="K51" s="29" t="str">
        <f>IF($O51="","",IF(INDEX(资金流水!T$5:T$3015,$O51)="","",INDEX(资金流水!T$5:T$3015,$O51)))</f>
        <v/>
      </c>
      <c r="L51" s="29" t="str">
        <f>IF($O51="","",IF(INDEX(资金流水!U$5:U$3015,$O51)="","",INDEX(资金流水!U$5:U$3015,$O51)))</f>
        <v/>
      </c>
      <c r="M51" s="10" t="str">
        <f>IF($O51="","",IF(INDEX(资金流水!Q$5:Q$3015,$O51)="","",INDEX(资金流水!Q$5:Q$3015,$O51)))</f>
        <v/>
      </c>
      <c r="O51" s="54" t="str">
        <f>IFERROR(MATCH($A51,资金流水!$V$5:$V$3015,0),"")</f>
        <v/>
      </c>
    </row>
    <row r="52" spans="1:15">
      <c r="A52" s="29">
        <v>45</v>
      </c>
      <c r="B52" s="53" t="str">
        <f>IF($O52="","",IF(INDEX(资金流水!B$5:B$3032,$O52)="","",INDEX(资金流水!B$5:B$3032,$O52)))</f>
        <v/>
      </c>
      <c r="C52" s="10" t="str">
        <f>IF($O52="","",IF(INDEX(资金流水!C$5:C$3032,$O52)="","",INDEX(资金流水!C$5:C$3032,$O52)))</f>
        <v/>
      </c>
      <c r="D52" s="10" t="str">
        <f>IF($O52="","",IF(INDEX(资金流水!D$5:D$3032,$O52)="","",INDEX(资金流水!D$5:D$3032,$O52)))</f>
        <v/>
      </c>
      <c r="E52" s="29" t="str">
        <f>IF($O52="","",IF(INDEX(资金流水!E$5:E$3032,$O52)="","",INDEX(资金流水!E$5:E$3032,$O52)))</f>
        <v/>
      </c>
      <c r="F52" s="10" t="str">
        <f>IF($O52="","",IF(INDEX(资金流水!J$5:J$3032,$O52)="","",INDEX(资金流水!J$5:J$3032,$O52)))</f>
        <v/>
      </c>
      <c r="G52" s="11" t="str">
        <f>IF($O52="","",IF(INDEX(资金流水!K$5:K$3032,$O52)="","",INDEX(资金流水!K$5:K$3032,$O52)))</f>
        <v/>
      </c>
      <c r="H52" s="10" t="str">
        <f>IF($O52="","",IF(INDEX(资金流水!H$5:H$3032,$O52)="","",INDEX(资金流水!H$5:H$3032,$O52)))</f>
        <v/>
      </c>
      <c r="I52" s="11" t="str">
        <f>IF($O52="","",IF(INDEX(资金流水!L$5:L$3032,$O52)="","",INDEX(资金流水!L$5:L$3032,$O52)))</f>
        <v/>
      </c>
      <c r="J52" s="10" t="str">
        <f>IF($O52="","",IF(INDEX(资金流水!I$5:I$3032,$O52)="","",INDEX(资金流水!I$5:I$3032,$O52)))</f>
        <v/>
      </c>
      <c r="K52" s="29" t="str">
        <f>IF($O52="","",IF(INDEX(资金流水!T$5:T$3015,$O52)="","",INDEX(资金流水!T$5:T$3015,$O52)))</f>
        <v/>
      </c>
      <c r="L52" s="29" t="str">
        <f>IF($O52="","",IF(INDEX(资金流水!U$5:U$3015,$O52)="","",INDEX(资金流水!U$5:U$3015,$O52)))</f>
        <v/>
      </c>
      <c r="M52" s="10" t="str">
        <f>IF($O52="","",IF(INDEX(资金流水!Q$5:Q$3015,$O52)="","",INDEX(资金流水!Q$5:Q$3015,$O52)))</f>
        <v/>
      </c>
      <c r="O52" s="54" t="str">
        <f>IFERROR(MATCH($A52,资金流水!$V$5:$V$3015,0),"")</f>
        <v/>
      </c>
    </row>
    <row r="53" spans="1:15">
      <c r="A53" s="29">
        <v>46</v>
      </c>
      <c r="B53" s="53" t="str">
        <f>IF($O53="","",IF(INDEX(资金流水!B$5:B$3032,$O53)="","",INDEX(资金流水!B$5:B$3032,$O53)))</f>
        <v/>
      </c>
      <c r="C53" s="10" t="str">
        <f>IF($O53="","",IF(INDEX(资金流水!C$5:C$3032,$O53)="","",INDEX(资金流水!C$5:C$3032,$O53)))</f>
        <v/>
      </c>
      <c r="D53" s="10" t="str">
        <f>IF($O53="","",IF(INDEX(资金流水!D$5:D$3032,$O53)="","",INDEX(资金流水!D$5:D$3032,$O53)))</f>
        <v/>
      </c>
      <c r="E53" s="29" t="str">
        <f>IF($O53="","",IF(INDEX(资金流水!E$5:E$3032,$O53)="","",INDEX(资金流水!E$5:E$3032,$O53)))</f>
        <v/>
      </c>
      <c r="F53" s="10" t="str">
        <f>IF($O53="","",IF(INDEX(资金流水!J$5:J$3032,$O53)="","",INDEX(资金流水!J$5:J$3032,$O53)))</f>
        <v/>
      </c>
      <c r="G53" s="11" t="str">
        <f>IF($O53="","",IF(INDEX(资金流水!K$5:K$3032,$O53)="","",INDEX(资金流水!K$5:K$3032,$O53)))</f>
        <v/>
      </c>
      <c r="H53" s="10" t="str">
        <f>IF($O53="","",IF(INDEX(资金流水!H$5:H$3032,$O53)="","",INDEX(资金流水!H$5:H$3032,$O53)))</f>
        <v/>
      </c>
      <c r="I53" s="11" t="str">
        <f>IF($O53="","",IF(INDEX(资金流水!L$5:L$3032,$O53)="","",INDEX(资金流水!L$5:L$3032,$O53)))</f>
        <v/>
      </c>
      <c r="J53" s="10" t="str">
        <f>IF($O53="","",IF(INDEX(资金流水!I$5:I$3032,$O53)="","",INDEX(资金流水!I$5:I$3032,$O53)))</f>
        <v/>
      </c>
      <c r="K53" s="29" t="str">
        <f>IF($O53="","",IF(INDEX(资金流水!T$5:T$3015,$O53)="","",INDEX(资金流水!T$5:T$3015,$O53)))</f>
        <v/>
      </c>
      <c r="L53" s="29" t="str">
        <f>IF($O53="","",IF(INDEX(资金流水!U$5:U$3015,$O53)="","",INDEX(资金流水!U$5:U$3015,$O53)))</f>
        <v/>
      </c>
      <c r="M53" s="10" t="str">
        <f>IF($O53="","",IF(INDEX(资金流水!Q$5:Q$3015,$O53)="","",INDEX(资金流水!Q$5:Q$3015,$O53)))</f>
        <v/>
      </c>
      <c r="O53" s="54" t="str">
        <f>IFERROR(MATCH($A53,资金流水!$V$5:$V$3015,0),"")</f>
        <v/>
      </c>
    </row>
    <row r="54" spans="1:15">
      <c r="A54" s="29">
        <v>47</v>
      </c>
      <c r="B54" s="53" t="str">
        <f>IF($O54="","",IF(INDEX(资金流水!B$5:B$3032,$O54)="","",INDEX(资金流水!B$5:B$3032,$O54)))</f>
        <v/>
      </c>
      <c r="C54" s="10" t="str">
        <f>IF($O54="","",IF(INDEX(资金流水!C$5:C$3032,$O54)="","",INDEX(资金流水!C$5:C$3032,$O54)))</f>
        <v/>
      </c>
      <c r="D54" s="10" t="str">
        <f>IF($O54="","",IF(INDEX(资金流水!D$5:D$3032,$O54)="","",INDEX(资金流水!D$5:D$3032,$O54)))</f>
        <v/>
      </c>
      <c r="E54" s="29" t="str">
        <f>IF($O54="","",IF(INDEX(资金流水!E$5:E$3032,$O54)="","",INDEX(资金流水!E$5:E$3032,$O54)))</f>
        <v/>
      </c>
      <c r="F54" s="10" t="str">
        <f>IF($O54="","",IF(INDEX(资金流水!J$5:J$3032,$O54)="","",INDEX(资金流水!J$5:J$3032,$O54)))</f>
        <v/>
      </c>
      <c r="G54" s="11" t="str">
        <f>IF($O54="","",IF(INDEX(资金流水!K$5:K$3032,$O54)="","",INDEX(资金流水!K$5:K$3032,$O54)))</f>
        <v/>
      </c>
      <c r="H54" s="10" t="str">
        <f>IF($O54="","",IF(INDEX(资金流水!H$5:H$3032,$O54)="","",INDEX(资金流水!H$5:H$3032,$O54)))</f>
        <v/>
      </c>
      <c r="I54" s="11" t="str">
        <f>IF($O54="","",IF(INDEX(资金流水!L$5:L$3032,$O54)="","",INDEX(资金流水!L$5:L$3032,$O54)))</f>
        <v/>
      </c>
      <c r="J54" s="10" t="str">
        <f>IF($O54="","",IF(INDEX(资金流水!I$5:I$3032,$O54)="","",INDEX(资金流水!I$5:I$3032,$O54)))</f>
        <v/>
      </c>
      <c r="K54" s="29" t="str">
        <f>IF($O54="","",IF(INDEX(资金流水!T$5:T$3015,$O54)="","",INDEX(资金流水!T$5:T$3015,$O54)))</f>
        <v/>
      </c>
      <c r="L54" s="29" t="str">
        <f>IF($O54="","",IF(INDEX(资金流水!U$5:U$3015,$O54)="","",INDEX(资金流水!U$5:U$3015,$O54)))</f>
        <v/>
      </c>
      <c r="M54" s="10" t="str">
        <f>IF($O54="","",IF(INDEX(资金流水!Q$5:Q$3015,$O54)="","",INDEX(资金流水!Q$5:Q$3015,$O54)))</f>
        <v/>
      </c>
      <c r="O54" s="54" t="str">
        <f>IFERROR(MATCH($A54,资金流水!$V$5:$V$3015,0),"")</f>
        <v/>
      </c>
    </row>
    <row r="55" spans="1:15">
      <c r="A55" s="29">
        <v>48</v>
      </c>
      <c r="B55" s="53" t="str">
        <f>IF($O55="","",IF(INDEX(资金流水!B$5:B$3032,$O55)="","",INDEX(资金流水!B$5:B$3032,$O55)))</f>
        <v/>
      </c>
      <c r="C55" s="10" t="str">
        <f>IF($O55="","",IF(INDEX(资金流水!C$5:C$3032,$O55)="","",INDEX(资金流水!C$5:C$3032,$O55)))</f>
        <v/>
      </c>
      <c r="D55" s="10" t="str">
        <f>IF($O55="","",IF(INDEX(资金流水!D$5:D$3032,$O55)="","",INDEX(资金流水!D$5:D$3032,$O55)))</f>
        <v/>
      </c>
      <c r="E55" s="29" t="str">
        <f>IF($O55="","",IF(INDEX(资金流水!E$5:E$3032,$O55)="","",INDEX(资金流水!E$5:E$3032,$O55)))</f>
        <v/>
      </c>
      <c r="F55" s="10" t="str">
        <f>IF($O55="","",IF(INDEX(资金流水!J$5:J$3032,$O55)="","",INDEX(资金流水!J$5:J$3032,$O55)))</f>
        <v/>
      </c>
      <c r="G55" s="11" t="str">
        <f>IF($O55="","",IF(INDEX(资金流水!K$5:K$3032,$O55)="","",INDEX(资金流水!K$5:K$3032,$O55)))</f>
        <v/>
      </c>
      <c r="H55" s="10" t="str">
        <f>IF($O55="","",IF(INDEX(资金流水!H$5:H$3032,$O55)="","",INDEX(资金流水!H$5:H$3032,$O55)))</f>
        <v/>
      </c>
      <c r="I55" s="11" t="str">
        <f>IF($O55="","",IF(INDEX(资金流水!L$5:L$3032,$O55)="","",INDEX(资金流水!L$5:L$3032,$O55)))</f>
        <v/>
      </c>
      <c r="J55" s="10" t="str">
        <f>IF($O55="","",IF(INDEX(资金流水!I$5:I$3032,$O55)="","",INDEX(资金流水!I$5:I$3032,$O55)))</f>
        <v/>
      </c>
      <c r="K55" s="29" t="str">
        <f>IF($O55="","",IF(INDEX(资金流水!T$5:T$3015,$O55)="","",INDEX(资金流水!T$5:T$3015,$O55)))</f>
        <v/>
      </c>
      <c r="L55" s="29" t="str">
        <f>IF($O55="","",IF(INDEX(资金流水!U$5:U$3015,$O55)="","",INDEX(资金流水!U$5:U$3015,$O55)))</f>
        <v/>
      </c>
      <c r="M55" s="10" t="str">
        <f>IF($O55="","",IF(INDEX(资金流水!Q$5:Q$3015,$O55)="","",INDEX(资金流水!Q$5:Q$3015,$O55)))</f>
        <v/>
      </c>
      <c r="O55" s="54" t="str">
        <f>IFERROR(MATCH($A55,资金流水!$V$5:$V$3015,0),"")</f>
        <v/>
      </c>
    </row>
    <row r="56" spans="1:15">
      <c r="A56" s="29">
        <v>49</v>
      </c>
      <c r="B56" s="53" t="str">
        <f>IF($O56="","",IF(INDEX(资金流水!B$5:B$3032,$O56)="","",INDEX(资金流水!B$5:B$3032,$O56)))</f>
        <v/>
      </c>
      <c r="C56" s="10" t="str">
        <f>IF($O56="","",IF(INDEX(资金流水!C$5:C$3032,$O56)="","",INDEX(资金流水!C$5:C$3032,$O56)))</f>
        <v/>
      </c>
      <c r="D56" s="10" t="str">
        <f>IF($O56="","",IF(INDEX(资金流水!D$5:D$3032,$O56)="","",INDEX(资金流水!D$5:D$3032,$O56)))</f>
        <v/>
      </c>
      <c r="E56" s="29" t="str">
        <f>IF($O56="","",IF(INDEX(资金流水!E$5:E$3032,$O56)="","",INDEX(资金流水!E$5:E$3032,$O56)))</f>
        <v/>
      </c>
      <c r="F56" s="10" t="str">
        <f>IF($O56="","",IF(INDEX(资金流水!J$5:J$3032,$O56)="","",INDEX(资金流水!J$5:J$3032,$O56)))</f>
        <v/>
      </c>
      <c r="G56" s="11" t="str">
        <f>IF($O56="","",IF(INDEX(资金流水!K$5:K$3032,$O56)="","",INDEX(资金流水!K$5:K$3032,$O56)))</f>
        <v/>
      </c>
      <c r="H56" s="10" t="str">
        <f>IF($O56="","",IF(INDEX(资金流水!H$5:H$3032,$O56)="","",INDEX(资金流水!H$5:H$3032,$O56)))</f>
        <v/>
      </c>
      <c r="I56" s="11" t="str">
        <f>IF($O56="","",IF(INDEX(资金流水!L$5:L$3032,$O56)="","",INDEX(资金流水!L$5:L$3032,$O56)))</f>
        <v/>
      </c>
      <c r="J56" s="10" t="str">
        <f>IF($O56="","",IF(INDEX(资金流水!I$5:I$3032,$O56)="","",INDEX(资金流水!I$5:I$3032,$O56)))</f>
        <v/>
      </c>
      <c r="K56" s="29" t="str">
        <f>IF($O56="","",IF(INDEX(资金流水!T$5:T$3015,$O56)="","",INDEX(资金流水!T$5:T$3015,$O56)))</f>
        <v/>
      </c>
      <c r="L56" s="29" t="str">
        <f>IF($O56="","",IF(INDEX(资金流水!U$5:U$3015,$O56)="","",INDEX(资金流水!U$5:U$3015,$O56)))</f>
        <v/>
      </c>
      <c r="M56" s="10" t="str">
        <f>IF($O56="","",IF(INDEX(资金流水!Q$5:Q$3015,$O56)="","",INDEX(资金流水!Q$5:Q$3015,$O56)))</f>
        <v/>
      </c>
      <c r="O56" s="54" t="str">
        <f>IFERROR(MATCH($A56,资金流水!$V$5:$V$3015,0),"")</f>
        <v/>
      </c>
    </row>
    <row r="57" spans="1:15">
      <c r="A57" s="29">
        <v>50</v>
      </c>
      <c r="B57" s="53" t="str">
        <f>IF($O57="","",IF(INDEX(资金流水!B$5:B$3032,$O57)="","",INDEX(资金流水!B$5:B$3032,$O57)))</f>
        <v/>
      </c>
      <c r="C57" s="10" t="str">
        <f>IF($O57="","",IF(INDEX(资金流水!C$5:C$3032,$O57)="","",INDEX(资金流水!C$5:C$3032,$O57)))</f>
        <v/>
      </c>
      <c r="D57" s="10" t="str">
        <f>IF($O57="","",IF(INDEX(资金流水!D$5:D$3032,$O57)="","",INDEX(资金流水!D$5:D$3032,$O57)))</f>
        <v/>
      </c>
      <c r="E57" s="29" t="str">
        <f>IF($O57="","",IF(INDEX(资金流水!E$5:E$3032,$O57)="","",INDEX(资金流水!E$5:E$3032,$O57)))</f>
        <v/>
      </c>
      <c r="F57" s="10" t="str">
        <f>IF($O57="","",IF(INDEX(资金流水!J$5:J$3032,$O57)="","",INDEX(资金流水!J$5:J$3032,$O57)))</f>
        <v/>
      </c>
      <c r="G57" s="11" t="str">
        <f>IF($O57="","",IF(INDEX(资金流水!K$5:K$3032,$O57)="","",INDEX(资金流水!K$5:K$3032,$O57)))</f>
        <v/>
      </c>
      <c r="H57" s="10" t="str">
        <f>IF($O57="","",IF(INDEX(资金流水!H$5:H$3032,$O57)="","",INDEX(资金流水!H$5:H$3032,$O57)))</f>
        <v/>
      </c>
      <c r="I57" s="11" t="str">
        <f>IF($O57="","",IF(INDEX(资金流水!L$5:L$3032,$O57)="","",INDEX(资金流水!L$5:L$3032,$O57)))</f>
        <v/>
      </c>
      <c r="J57" s="10" t="str">
        <f>IF($O57="","",IF(INDEX(资金流水!I$5:I$3032,$O57)="","",INDEX(资金流水!I$5:I$3032,$O57)))</f>
        <v/>
      </c>
      <c r="K57" s="29" t="str">
        <f>IF($O57="","",IF(INDEX(资金流水!T$5:T$3015,$O57)="","",INDEX(资金流水!T$5:T$3015,$O57)))</f>
        <v/>
      </c>
      <c r="L57" s="29" t="str">
        <f>IF($O57="","",IF(INDEX(资金流水!U$5:U$3015,$O57)="","",INDEX(资金流水!U$5:U$3015,$O57)))</f>
        <v/>
      </c>
      <c r="M57" s="10" t="str">
        <f>IF($O57="","",IF(INDEX(资金流水!Q$5:Q$3015,$O57)="","",INDEX(资金流水!Q$5:Q$3015,$O57)))</f>
        <v/>
      </c>
      <c r="O57" s="54" t="str">
        <f>IFERROR(MATCH($A57,资金流水!$V$5:$V$3015,0),"")</f>
        <v/>
      </c>
    </row>
    <row r="58" spans="1:15">
      <c r="A58" s="29">
        <v>51</v>
      </c>
      <c r="B58" s="53" t="str">
        <f>IF($O58="","",IF(INDEX(资金流水!B$5:B$3032,$O58)="","",INDEX(资金流水!B$5:B$3032,$O58)))</f>
        <v/>
      </c>
      <c r="C58" s="10" t="str">
        <f>IF($O58="","",IF(INDEX(资金流水!C$5:C$3032,$O58)="","",INDEX(资金流水!C$5:C$3032,$O58)))</f>
        <v/>
      </c>
      <c r="D58" s="10" t="str">
        <f>IF($O58="","",IF(INDEX(资金流水!D$5:D$3032,$O58)="","",INDEX(资金流水!D$5:D$3032,$O58)))</f>
        <v/>
      </c>
      <c r="E58" s="29" t="str">
        <f>IF($O58="","",IF(INDEX(资金流水!E$5:E$3032,$O58)="","",INDEX(资金流水!E$5:E$3032,$O58)))</f>
        <v/>
      </c>
      <c r="F58" s="10" t="str">
        <f>IF($O58="","",IF(INDEX(资金流水!J$5:J$3032,$O58)="","",INDEX(资金流水!J$5:J$3032,$O58)))</f>
        <v/>
      </c>
      <c r="G58" s="11" t="str">
        <f>IF($O58="","",IF(INDEX(资金流水!K$5:K$3032,$O58)="","",INDEX(资金流水!K$5:K$3032,$O58)))</f>
        <v/>
      </c>
      <c r="H58" s="10" t="str">
        <f>IF($O58="","",IF(INDEX(资金流水!H$5:H$3032,$O58)="","",INDEX(资金流水!H$5:H$3032,$O58)))</f>
        <v/>
      </c>
      <c r="I58" s="11" t="str">
        <f>IF($O58="","",IF(INDEX(资金流水!L$5:L$3032,$O58)="","",INDEX(资金流水!L$5:L$3032,$O58)))</f>
        <v/>
      </c>
      <c r="J58" s="10" t="str">
        <f>IF($O58="","",IF(INDEX(资金流水!I$5:I$3032,$O58)="","",INDEX(资金流水!I$5:I$3032,$O58)))</f>
        <v/>
      </c>
      <c r="K58" s="29" t="str">
        <f>IF($O58="","",IF(INDEX(资金流水!T$5:T$3015,$O58)="","",INDEX(资金流水!T$5:T$3015,$O58)))</f>
        <v/>
      </c>
      <c r="L58" s="29" t="str">
        <f>IF($O58="","",IF(INDEX(资金流水!U$5:U$3015,$O58)="","",INDEX(资金流水!U$5:U$3015,$O58)))</f>
        <v/>
      </c>
      <c r="M58" s="10" t="str">
        <f>IF($O58="","",IF(INDEX(资金流水!Q$5:Q$3015,$O58)="","",INDEX(资金流水!Q$5:Q$3015,$O58)))</f>
        <v/>
      </c>
      <c r="O58" s="54" t="str">
        <f>IFERROR(MATCH($A58,资金流水!$V$5:$V$3015,0),"")</f>
        <v/>
      </c>
    </row>
    <row r="59" spans="1:15">
      <c r="A59" s="29">
        <v>52</v>
      </c>
      <c r="B59" s="53" t="str">
        <f>IF($O59="","",IF(INDEX(资金流水!B$5:B$3032,$O59)="","",INDEX(资金流水!B$5:B$3032,$O59)))</f>
        <v/>
      </c>
      <c r="C59" s="10" t="str">
        <f>IF($O59="","",IF(INDEX(资金流水!C$5:C$3032,$O59)="","",INDEX(资金流水!C$5:C$3032,$O59)))</f>
        <v/>
      </c>
      <c r="D59" s="10" t="str">
        <f>IF($O59="","",IF(INDEX(资金流水!D$5:D$3032,$O59)="","",INDEX(资金流水!D$5:D$3032,$O59)))</f>
        <v/>
      </c>
      <c r="E59" s="29" t="str">
        <f>IF($O59="","",IF(INDEX(资金流水!E$5:E$3032,$O59)="","",INDEX(资金流水!E$5:E$3032,$O59)))</f>
        <v/>
      </c>
      <c r="F59" s="10" t="str">
        <f>IF($O59="","",IF(INDEX(资金流水!J$5:J$3032,$O59)="","",INDEX(资金流水!J$5:J$3032,$O59)))</f>
        <v/>
      </c>
      <c r="G59" s="11" t="str">
        <f>IF($O59="","",IF(INDEX(资金流水!K$5:K$3032,$O59)="","",INDEX(资金流水!K$5:K$3032,$O59)))</f>
        <v/>
      </c>
      <c r="H59" s="10" t="str">
        <f>IF($O59="","",IF(INDEX(资金流水!H$5:H$3032,$O59)="","",INDEX(资金流水!H$5:H$3032,$O59)))</f>
        <v/>
      </c>
      <c r="I59" s="11" t="str">
        <f>IF($O59="","",IF(INDEX(资金流水!L$5:L$3032,$O59)="","",INDEX(资金流水!L$5:L$3032,$O59)))</f>
        <v/>
      </c>
      <c r="J59" s="10" t="str">
        <f>IF($O59="","",IF(INDEX(资金流水!I$5:I$3032,$O59)="","",INDEX(资金流水!I$5:I$3032,$O59)))</f>
        <v/>
      </c>
      <c r="K59" s="29" t="str">
        <f>IF($O59="","",IF(INDEX(资金流水!T$5:T$3015,$O59)="","",INDEX(资金流水!T$5:T$3015,$O59)))</f>
        <v/>
      </c>
      <c r="L59" s="29" t="str">
        <f>IF($O59="","",IF(INDEX(资金流水!U$5:U$3015,$O59)="","",INDEX(资金流水!U$5:U$3015,$O59)))</f>
        <v/>
      </c>
      <c r="M59" s="10" t="str">
        <f>IF($O59="","",IF(INDEX(资金流水!Q$5:Q$3015,$O59)="","",INDEX(资金流水!Q$5:Q$3015,$O59)))</f>
        <v/>
      </c>
      <c r="O59" s="54" t="str">
        <f>IFERROR(MATCH($A59,资金流水!$V$5:$V$3015,0),"")</f>
        <v/>
      </c>
    </row>
    <row r="60" spans="1:15">
      <c r="A60" s="29">
        <v>53</v>
      </c>
      <c r="B60" s="53" t="str">
        <f>IF($O60="","",IF(INDEX(资金流水!B$5:B$3032,$O60)="","",INDEX(资金流水!B$5:B$3032,$O60)))</f>
        <v/>
      </c>
      <c r="C60" s="10" t="str">
        <f>IF($O60="","",IF(INDEX(资金流水!C$5:C$3032,$O60)="","",INDEX(资金流水!C$5:C$3032,$O60)))</f>
        <v/>
      </c>
      <c r="D60" s="10" t="str">
        <f>IF($O60="","",IF(INDEX(资金流水!D$5:D$3032,$O60)="","",INDEX(资金流水!D$5:D$3032,$O60)))</f>
        <v/>
      </c>
      <c r="E60" s="29" t="str">
        <f>IF($O60="","",IF(INDEX(资金流水!E$5:E$3032,$O60)="","",INDEX(资金流水!E$5:E$3032,$O60)))</f>
        <v/>
      </c>
      <c r="F60" s="10" t="str">
        <f>IF($O60="","",IF(INDEX(资金流水!J$5:J$3032,$O60)="","",INDEX(资金流水!J$5:J$3032,$O60)))</f>
        <v/>
      </c>
      <c r="G60" s="11" t="str">
        <f>IF($O60="","",IF(INDEX(资金流水!K$5:K$3032,$O60)="","",INDEX(资金流水!K$5:K$3032,$O60)))</f>
        <v/>
      </c>
      <c r="H60" s="10" t="str">
        <f>IF($O60="","",IF(INDEX(资金流水!H$5:H$3032,$O60)="","",INDEX(资金流水!H$5:H$3032,$O60)))</f>
        <v/>
      </c>
      <c r="I60" s="11" t="str">
        <f>IF($O60="","",IF(INDEX(资金流水!L$5:L$3032,$O60)="","",INDEX(资金流水!L$5:L$3032,$O60)))</f>
        <v/>
      </c>
      <c r="J60" s="10" t="str">
        <f>IF($O60="","",IF(INDEX(资金流水!I$5:I$3032,$O60)="","",INDEX(资金流水!I$5:I$3032,$O60)))</f>
        <v/>
      </c>
      <c r="K60" s="29" t="str">
        <f>IF($O60="","",IF(INDEX(资金流水!T$5:T$3015,$O60)="","",INDEX(资金流水!T$5:T$3015,$O60)))</f>
        <v/>
      </c>
      <c r="L60" s="29" t="str">
        <f>IF($O60="","",IF(INDEX(资金流水!U$5:U$3015,$O60)="","",INDEX(资金流水!U$5:U$3015,$O60)))</f>
        <v/>
      </c>
      <c r="M60" s="10" t="str">
        <f>IF($O60="","",IF(INDEX(资金流水!Q$5:Q$3015,$O60)="","",INDEX(资金流水!Q$5:Q$3015,$O60)))</f>
        <v/>
      </c>
      <c r="O60" s="54" t="str">
        <f>IFERROR(MATCH($A60,资金流水!$V$5:$V$3015,0),"")</f>
        <v/>
      </c>
    </row>
    <row r="61" spans="1:15">
      <c r="A61" s="29">
        <v>54</v>
      </c>
      <c r="B61" s="53" t="str">
        <f>IF($O61="","",IF(INDEX(资金流水!B$5:B$3032,$O61)="","",INDEX(资金流水!B$5:B$3032,$O61)))</f>
        <v/>
      </c>
      <c r="C61" s="10" t="str">
        <f>IF($O61="","",IF(INDEX(资金流水!C$5:C$3032,$O61)="","",INDEX(资金流水!C$5:C$3032,$O61)))</f>
        <v/>
      </c>
      <c r="D61" s="10" t="str">
        <f>IF($O61="","",IF(INDEX(资金流水!D$5:D$3032,$O61)="","",INDEX(资金流水!D$5:D$3032,$O61)))</f>
        <v/>
      </c>
      <c r="E61" s="29" t="str">
        <f>IF($O61="","",IF(INDEX(资金流水!E$5:E$3032,$O61)="","",INDEX(资金流水!E$5:E$3032,$O61)))</f>
        <v/>
      </c>
      <c r="F61" s="10" t="str">
        <f>IF($O61="","",IF(INDEX(资金流水!J$5:J$3032,$O61)="","",INDEX(资金流水!J$5:J$3032,$O61)))</f>
        <v/>
      </c>
      <c r="G61" s="11" t="str">
        <f>IF($O61="","",IF(INDEX(资金流水!K$5:K$3032,$O61)="","",INDEX(资金流水!K$5:K$3032,$O61)))</f>
        <v/>
      </c>
      <c r="H61" s="10" t="str">
        <f>IF($O61="","",IF(INDEX(资金流水!H$5:H$3032,$O61)="","",INDEX(资金流水!H$5:H$3032,$O61)))</f>
        <v/>
      </c>
      <c r="I61" s="11" t="str">
        <f>IF($O61="","",IF(INDEX(资金流水!L$5:L$3032,$O61)="","",INDEX(资金流水!L$5:L$3032,$O61)))</f>
        <v/>
      </c>
      <c r="J61" s="10" t="str">
        <f>IF($O61="","",IF(INDEX(资金流水!I$5:I$3032,$O61)="","",INDEX(资金流水!I$5:I$3032,$O61)))</f>
        <v/>
      </c>
      <c r="K61" s="29" t="str">
        <f>IF($O61="","",IF(INDEX(资金流水!T$5:T$3015,$O61)="","",INDEX(资金流水!T$5:T$3015,$O61)))</f>
        <v/>
      </c>
      <c r="L61" s="29" t="str">
        <f>IF($O61="","",IF(INDEX(资金流水!U$5:U$3015,$O61)="","",INDEX(资金流水!U$5:U$3015,$O61)))</f>
        <v/>
      </c>
      <c r="M61" s="10" t="str">
        <f>IF($O61="","",IF(INDEX(资金流水!Q$5:Q$3015,$O61)="","",INDEX(资金流水!Q$5:Q$3015,$O61)))</f>
        <v/>
      </c>
      <c r="O61" s="54" t="str">
        <f>IFERROR(MATCH($A61,资金流水!$V$5:$V$3015,0),"")</f>
        <v/>
      </c>
    </row>
    <row r="62" spans="1:15">
      <c r="A62" s="29">
        <v>55</v>
      </c>
      <c r="B62" s="53" t="str">
        <f>IF($O62="","",IF(INDEX(资金流水!B$5:B$3032,$O62)="","",INDEX(资金流水!B$5:B$3032,$O62)))</f>
        <v/>
      </c>
      <c r="C62" s="10" t="str">
        <f>IF($O62="","",IF(INDEX(资金流水!C$5:C$3032,$O62)="","",INDEX(资金流水!C$5:C$3032,$O62)))</f>
        <v/>
      </c>
      <c r="D62" s="10" t="str">
        <f>IF($O62="","",IF(INDEX(资金流水!D$5:D$3032,$O62)="","",INDEX(资金流水!D$5:D$3032,$O62)))</f>
        <v/>
      </c>
      <c r="E62" s="29" t="str">
        <f>IF($O62="","",IF(INDEX(资金流水!E$5:E$3032,$O62)="","",INDEX(资金流水!E$5:E$3032,$O62)))</f>
        <v/>
      </c>
      <c r="F62" s="10" t="str">
        <f>IF($O62="","",IF(INDEX(资金流水!J$5:J$3032,$O62)="","",INDEX(资金流水!J$5:J$3032,$O62)))</f>
        <v/>
      </c>
      <c r="G62" s="11" t="str">
        <f>IF($O62="","",IF(INDEX(资金流水!K$5:K$3032,$O62)="","",INDEX(资金流水!K$5:K$3032,$O62)))</f>
        <v/>
      </c>
      <c r="H62" s="10" t="str">
        <f>IF($O62="","",IF(INDEX(资金流水!H$5:H$3032,$O62)="","",INDEX(资金流水!H$5:H$3032,$O62)))</f>
        <v/>
      </c>
      <c r="I62" s="11" t="str">
        <f>IF($O62="","",IF(INDEX(资金流水!L$5:L$3032,$O62)="","",INDEX(资金流水!L$5:L$3032,$O62)))</f>
        <v/>
      </c>
      <c r="J62" s="10" t="str">
        <f>IF($O62="","",IF(INDEX(资金流水!I$5:I$3032,$O62)="","",INDEX(资金流水!I$5:I$3032,$O62)))</f>
        <v/>
      </c>
      <c r="K62" s="29" t="str">
        <f>IF($O62="","",IF(INDEX(资金流水!T$5:T$3015,$O62)="","",INDEX(资金流水!T$5:T$3015,$O62)))</f>
        <v/>
      </c>
      <c r="L62" s="29" t="str">
        <f>IF($O62="","",IF(INDEX(资金流水!U$5:U$3015,$O62)="","",INDEX(资金流水!U$5:U$3015,$O62)))</f>
        <v/>
      </c>
      <c r="M62" s="10" t="str">
        <f>IF($O62="","",IF(INDEX(资金流水!Q$5:Q$3015,$O62)="","",INDEX(资金流水!Q$5:Q$3015,$O62)))</f>
        <v/>
      </c>
      <c r="O62" s="54" t="str">
        <f>IFERROR(MATCH($A62,资金流水!$V$5:$V$3015,0),"")</f>
        <v/>
      </c>
    </row>
    <row r="63" spans="1:15">
      <c r="A63" s="29">
        <v>56</v>
      </c>
      <c r="B63" s="53" t="str">
        <f>IF($O63="","",IF(INDEX(资金流水!B$5:B$3032,$O63)="","",INDEX(资金流水!B$5:B$3032,$O63)))</f>
        <v/>
      </c>
      <c r="C63" s="10" t="str">
        <f>IF($O63="","",IF(INDEX(资金流水!C$5:C$3032,$O63)="","",INDEX(资金流水!C$5:C$3032,$O63)))</f>
        <v/>
      </c>
      <c r="D63" s="10" t="str">
        <f>IF($O63="","",IF(INDEX(资金流水!D$5:D$3032,$O63)="","",INDEX(资金流水!D$5:D$3032,$O63)))</f>
        <v/>
      </c>
      <c r="E63" s="29" t="str">
        <f>IF($O63="","",IF(INDEX(资金流水!E$5:E$3032,$O63)="","",INDEX(资金流水!E$5:E$3032,$O63)))</f>
        <v/>
      </c>
      <c r="F63" s="10" t="str">
        <f>IF($O63="","",IF(INDEX(资金流水!J$5:J$3032,$O63)="","",INDEX(资金流水!J$5:J$3032,$O63)))</f>
        <v/>
      </c>
      <c r="G63" s="11" t="str">
        <f>IF($O63="","",IF(INDEX(资金流水!K$5:K$3032,$O63)="","",INDEX(资金流水!K$5:K$3032,$O63)))</f>
        <v/>
      </c>
      <c r="H63" s="10" t="str">
        <f>IF($O63="","",IF(INDEX(资金流水!H$5:H$3032,$O63)="","",INDEX(资金流水!H$5:H$3032,$O63)))</f>
        <v/>
      </c>
      <c r="I63" s="11" t="str">
        <f>IF($O63="","",IF(INDEX(资金流水!L$5:L$3032,$O63)="","",INDEX(资金流水!L$5:L$3032,$O63)))</f>
        <v/>
      </c>
      <c r="J63" s="10" t="str">
        <f>IF($O63="","",IF(INDEX(资金流水!I$5:I$3032,$O63)="","",INDEX(资金流水!I$5:I$3032,$O63)))</f>
        <v/>
      </c>
      <c r="K63" s="29" t="str">
        <f>IF($O63="","",IF(INDEX(资金流水!T$5:T$3015,$O63)="","",INDEX(资金流水!T$5:T$3015,$O63)))</f>
        <v/>
      </c>
      <c r="L63" s="29" t="str">
        <f>IF($O63="","",IF(INDEX(资金流水!U$5:U$3015,$O63)="","",INDEX(资金流水!U$5:U$3015,$O63)))</f>
        <v/>
      </c>
      <c r="M63" s="10" t="str">
        <f>IF($O63="","",IF(INDEX(资金流水!Q$5:Q$3015,$O63)="","",INDEX(资金流水!Q$5:Q$3015,$O63)))</f>
        <v/>
      </c>
      <c r="O63" s="54" t="str">
        <f>IFERROR(MATCH($A63,资金流水!$V$5:$V$3015,0),"")</f>
        <v/>
      </c>
    </row>
    <row r="64" spans="1:15">
      <c r="A64" s="29">
        <v>57</v>
      </c>
      <c r="B64" s="53" t="str">
        <f>IF($O64="","",IF(INDEX(资金流水!B$5:B$3032,$O64)="","",INDEX(资金流水!B$5:B$3032,$O64)))</f>
        <v/>
      </c>
      <c r="C64" s="10" t="str">
        <f>IF($O64="","",IF(INDEX(资金流水!C$5:C$3032,$O64)="","",INDEX(资金流水!C$5:C$3032,$O64)))</f>
        <v/>
      </c>
      <c r="D64" s="10" t="str">
        <f>IF($O64="","",IF(INDEX(资金流水!D$5:D$3032,$O64)="","",INDEX(资金流水!D$5:D$3032,$O64)))</f>
        <v/>
      </c>
      <c r="E64" s="29" t="str">
        <f>IF($O64="","",IF(INDEX(资金流水!E$5:E$3032,$O64)="","",INDEX(资金流水!E$5:E$3032,$O64)))</f>
        <v/>
      </c>
      <c r="F64" s="10" t="str">
        <f>IF($O64="","",IF(INDEX(资金流水!J$5:J$3032,$O64)="","",INDEX(资金流水!J$5:J$3032,$O64)))</f>
        <v/>
      </c>
      <c r="G64" s="11" t="str">
        <f>IF($O64="","",IF(INDEX(资金流水!K$5:K$3032,$O64)="","",INDEX(资金流水!K$5:K$3032,$O64)))</f>
        <v/>
      </c>
      <c r="H64" s="10" t="str">
        <f>IF($O64="","",IF(INDEX(资金流水!H$5:H$3032,$O64)="","",INDEX(资金流水!H$5:H$3032,$O64)))</f>
        <v/>
      </c>
      <c r="I64" s="11" t="str">
        <f>IF($O64="","",IF(INDEX(资金流水!L$5:L$3032,$O64)="","",INDEX(资金流水!L$5:L$3032,$O64)))</f>
        <v/>
      </c>
      <c r="J64" s="10" t="str">
        <f>IF($O64="","",IF(INDEX(资金流水!I$5:I$3032,$O64)="","",INDEX(资金流水!I$5:I$3032,$O64)))</f>
        <v/>
      </c>
      <c r="K64" s="29" t="str">
        <f>IF($O64="","",IF(INDEX(资金流水!T$5:T$3015,$O64)="","",INDEX(资金流水!T$5:T$3015,$O64)))</f>
        <v/>
      </c>
      <c r="L64" s="29" t="str">
        <f>IF($O64="","",IF(INDEX(资金流水!U$5:U$3015,$O64)="","",INDEX(资金流水!U$5:U$3015,$O64)))</f>
        <v/>
      </c>
      <c r="M64" s="10" t="str">
        <f>IF($O64="","",IF(INDEX(资金流水!Q$5:Q$3015,$O64)="","",INDEX(资金流水!Q$5:Q$3015,$O64)))</f>
        <v/>
      </c>
      <c r="O64" s="54" t="str">
        <f>IFERROR(MATCH($A64,资金流水!$V$5:$V$3015,0),"")</f>
        <v/>
      </c>
    </row>
    <row r="65" spans="1:15">
      <c r="A65" s="29">
        <v>58</v>
      </c>
      <c r="B65" s="53" t="str">
        <f>IF($O65="","",IF(INDEX(资金流水!B$5:B$3032,$O65)="","",INDEX(资金流水!B$5:B$3032,$O65)))</f>
        <v/>
      </c>
      <c r="C65" s="10" t="str">
        <f>IF($O65="","",IF(INDEX(资金流水!C$5:C$3032,$O65)="","",INDEX(资金流水!C$5:C$3032,$O65)))</f>
        <v/>
      </c>
      <c r="D65" s="10" t="str">
        <f>IF($O65="","",IF(INDEX(资金流水!D$5:D$3032,$O65)="","",INDEX(资金流水!D$5:D$3032,$O65)))</f>
        <v/>
      </c>
      <c r="E65" s="29" t="str">
        <f>IF($O65="","",IF(INDEX(资金流水!E$5:E$3032,$O65)="","",INDEX(资金流水!E$5:E$3032,$O65)))</f>
        <v/>
      </c>
      <c r="F65" s="10" t="str">
        <f>IF($O65="","",IF(INDEX(资金流水!J$5:J$3032,$O65)="","",INDEX(资金流水!J$5:J$3032,$O65)))</f>
        <v/>
      </c>
      <c r="G65" s="11" t="str">
        <f>IF($O65="","",IF(INDEX(资金流水!K$5:K$3032,$O65)="","",INDEX(资金流水!K$5:K$3032,$O65)))</f>
        <v/>
      </c>
      <c r="H65" s="10" t="str">
        <f>IF($O65="","",IF(INDEX(资金流水!H$5:H$3032,$O65)="","",INDEX(资金流水!H$5:H$3032,$O65)))</f>
        <v/>
      </c>
      <c r="I65" s="11" t="str">
        <f>IF($O65="","",IF(INDEX(资金流水!L$5:L$3032,$O65)="","",INDEX(资金流水!L$5:L$3032,$O65)))</f>
        <v/>
      </c>
      <c r="J65" s="10" t="str">
        <f>IF($O65="","",IF(INDEX(资金流水!I$5:I$3032,$O65)="","",INDEX(资金流水!I$5:I$3032,$O65)))</f>
        <v/>
      </c>
      <c r="K65" s="29" t="str">
        <f>IF($O65="","",IF(INDEX(资金流水!T$5:T$3015,$O65)="","",INDEX(资金流水!T$5:T$3015,$O65)))</f>
        <v/>
      </c>
      <c r="L65" s="29" t="str">
        <f>IF($O65="","",IF(INDEX(资金流水!U$5:U$3015,$O65)="","",INDEX(资金流水!U$5:U$3015,$O65)))</f>
        <v/>
      </c>
      <c r="M65" s="10" t="str">
        <f>IF($O65="","",IF(INDEX(资金流水!Q$5:Q$3015,$O65)="","",INDEX(资金流水!Q$5:Q$3015,$O65)))</f>
        <v/>
      </c>
      <c r="O65" s="54" t="str">
        <f>IFERROR(MATCH($A65,资金流水!$V$5:$V$3015,0),"")</f>
        <v/>
      </c>
    </row>
    <row r="66" spans="1:15">
      <c r="A66" s="29">
        <v>59</v>
      </c>
      <c r="B66" s="53" t="str">
        <f>IF($O66="","",IF(INDEX(资金流水!B$5:B$3032,$O66)="","",INDEX(资金流水!B$5:B$3032,$O66)))</f>
        <v/>
      </c>
      <c r="C66" s="10" t="str">
        <f>IF($O66="","",IF(INDEX(资金流水!C$5:C$3032,$O66)="","",INDEX(资金流水!C$5:C$3032,$O66)))</f>
        <v/>
      </c>
      <c r="D66" s="10" t="str">
        <f>IF($O66="","",IF(INDEX(资金流水!D$5:D$3032,$O66)="","",INDEX(资金流水!D$5:D$3032,$O66)))</f>
        <v/>
      </c>
      <c r="E66" s="29" t="str">
        <f>IF($O66="","",IF(INDEX(资金流水!E$5:E$3032,$O66)="","",INDEX(资金流水!E$5:E$3032,$O66)))</f>
        <v/>
      </c>
      <c r="F66" s="10" t="str">
        <f>IF($O66="","",IF(INDEX(资金流水!J$5:J$3032,$O66)="","",INDEX(资金流水!J$5:J$3032,$O66)))</f>
        <v/>
      </c>
      <c r="G66" s="11" t="str">
        <f>IF($O66="","",IF(INDEX(资金流水!K$5:K$3032,$O66)="","",INDEX(资金流水!K$5:K$3032,$O66)))</f>
        <v/>
      </c>
      <c r="H66" s="10" t="str">
        <f>IF($O66="","",IF(INDEX(资金流水!H$5:H$3032,$O66)="","",INDEX(资金流水!H$5:H$3032,$O66)))</f>
        <v/>
      </c>
      <c r="I66" s="11" t="str">
        <f>IF($O66="","",IF(INDEX(资金流水!L$5:L$3032,$O66)="","",INDEX(资金流水!L$5:L$3032,$O66)))</f>
        <v/>
      </c>
      <c r="J66" s="10" t="str">
        <f>IF($O66="","",IF(INDEX(资金流水!I$5:I$3032,$O66)="","",INDEX(资金流水!I$5:I$3032,$O66)))</f>
        <v/>
      </c>
      <c r="K66" s="29" t="str">
        <f>IF($O66="","",IF(INDEX(资金流水!T$5:T$3015,$O66)="","",INDEX(资金流水!T$5:T$3015,$O66)))</f>
        <v/>
      </c>
      <c r="L66" s="29" t="str">
        <f>IF($O66="","",IF(INDEX(资金流水!U$5:U$3015,$O66)="","",INDEX(资金流水!U$5:U$3015,$O66)))</f>
        <v/>
      </c>
      <c r="M66" s="10" t="str">
        <f>IF($O66="","",IF(INDEX(资金流水!Q$5:Q$3015,$O66)="","",INDEX(资金流水!Q$5:Q$3015,$O66)))</f>
        <v/>
      </c>
      <c r="O66" s="54" t="str">
        <f>IFERROR(MATCH($A66,资金流水!$V$5:$V$3015,0),"")</f>
        <v/>
      </c>
    </row>
    <row r="67" spans="1:15">
      <c r="A67" s="29">
        <v>60</v>
      </c>
      <c r="B67" s="53" t="str">
        <f>IF($O67="","",IF(INDEX(资金流水!B$5:B$3032,$O67)="","",INDEX(资金流水!B$5:B$3032,$O67)))</f>
        <v/>
      </c>
      <c r="C67" s="10" t="str">
        <f>IF($O67="","",IF(INDEX(资金流水!C$5:C$3032,$O67)="","",INDEX(资金流水!C$5:C$3032,$O67)))</f>
        <v/>
      </c>
      <c r="D67" s="10" t="str">
        <f>IF($O67="","",IF(INDEX(资金流水!D$5:D$3032,$O67)="","",INDEX(资金流水!D$5:D$3032,$O67)))</f>
        <v/>
      </c>
      <c r="E67" s="29" t="str">
        <f>IF($O67="","",IF(INDEX(资金流水!E$5:E$3032,$O67)="","",INDEX(资金流水!E$5:E$3032,$O67)))</f>
        <v/>
      </c>
      <c r="F67" s="10" t="str">
        <f>IF($O67="","",IF(INDEX(资金流水!J$5:J$3032,$O67)="","",INDEX(资金流水!J$5:J$3032,$O67)))</f>
        <v/>
      </c>
      <c r="G67" s="11" t="str">
        <f>IF($O67="","",IF(INDEX(资金流水!K$5:K$3032,$O67)="","",INDEX(资金流水!K$5:K$3032,$O67)))</f>
        <v/>
      </c>
      <c r="H67" s="10" t="str">
        <f>IF($O67="","",IF(INDEX(资金流水!H$5:H$3032,$O67)="","",INDEX(资金流水!H$5:H$3032,$O67)))</f>
        <v/>
      </c>
      <c r="I67" s="11" t="str">
        <f>IF($O67="","",IF(INDEX(资金流水!L$5:L$3032,$O67)="","",INDEX(资金流水!L$5:L$3032,$O67)))</f>
        <v/>
      </c>
      <c r="J67" s="10" t="str">
        <f>IF($O67="","",IF(INDEX(资金流水!I$5:I$3032,$O67)="","",INDEX(资金流水!I$5:I$3032,$O67)))</f>
        <v/>
      </c>
      <c r="K67" s="29" t="str">
        <f>IF($O67="","",IF(INDEX(资金流水!T$5:T$3015,$O67)="","",INDEX(资金流水!T$5:T$3015,$O67)))</f>
        <v/>
      </c>
      <c r="L67" s="29" t="str">
        <f>IF($O67="","",IF(INDEX(资金流水!U$5:U$3015,$O67)="","",INDEX(资金流水!U$5:U$3015,$O67)))</f>
        <v/>
      </c>
      <c r="M67" s="10" t="str">
        <f>IF($O67="","",IF(INDEX(资金流水!Q$5:Q$3015,$O67)="","",INDEX(资金流水!Q$5:Q$3015,$O67)))</f>
        <v/>
      </c>
      <c r="O67" s="54" t="str">
        <f>IFERROR(MATCH($A67,资金流水!$V$5:$V$3015,0),"")</f>
        <v/>
      </c>
    </row>
    <row r="68" spans="1:15">
      <c r="A68" s="29">
        <v>61</v>
      </c>
      <c r="B68" s="53" t="str">
        <f>IF($O68="","",IF(INDEX(资金流水!B$5:B$3032,$O68)="","",INDEX(资金流水!B$5:B$3032,$O68)))</f>
        <v/>
      </c>
      <c r="C68" s="10" t="str">
        <f>IF($O68="","",IF(INDEX(资金流水!C$5:C$3032,$O68)="","",INDEX(资金流水!C$5:C$3032,$O68)))</f>
        <v/>
      </c>
      <c r="D68" s="10" t="str">
        <f>IF($O68="","",IF(INDEX(资金流水!D$5:D$3032,$O68)="","",INDEX(资金流水!D$5:D$3032,$O68)))</f>
        <v/>
      </c>
      <c r="E68" s="29" t="str">
        <f>IF($O68="","",IF(INDEX(资金流水!E$5:E$3032,$O68)="","",INDEX(资金流水!E$5:E$3032,$O68)))</f>
        <v/>
      </c>
      <c r="F68" s="10" t="str">
        <f>IF($O68="","",IF(INDEX(资金流水!J$5:J$3032,$O68)="","",INDEX(资金流水!J$5:J$3032,$O68)))</f>
        <v/>
      </c>
      <c r="G68" s="11" t="str">
        <f>IF($O68="","",IF(INDEX(资金流水!K$5:K$3032,$O68)="","",INDEX(资金流水!K$5:K$3032,$O68)))</f>
        <v/>
      </c>
      <c r="H68" s="10" t="str">
        <f>IF($O68="","",IF(INDEX(资金流水!H$5:H$3032,$O68)="","",INDEX(资金流水!H$5:H$3032,$O68)))</f>
        <v/>
      </c>
      <c r="I68" s="11" t="str">
        <f>IF($O68="","",IF(INDEX(资金流水!L$5:L$3032,$O68)="","",INDEX(资金流水!L$5:L$3032,$O68)))</f>
        <v/>
      </c>
      <c r="J68" s="10" t="str">
        <f>IF($O68="","",IF(INDEX(资金流水!I$5:I$3032,$O68)="","",INDEX(资金流水!I$5:I$3032,$O68)))</f>
        <v/>
      </c>
      <c r="K68" s="29" t="str">
        <f>IF($O68="","",IF(INDEX(资金流水!T$5:T$3015,$O68)="","",INDEX(资金流水!T$5:T$3015,$O68)))</f>
        <v/>
      </c>
      <c r="L68" s="29" t="str">
        <f>IF($O68="","",IF(INDEX(资金流水!U$5:U$3015,$O68)="","",INDEX(资金流水!U$5:U$3015,$O68)))</f>
        <v/>
      </c>
      <c r="M68" s="10" t="str">
        <f>IF($O68="","",IF(INDEX(资金流水!Q$5:Q$3015,$O68)="","",INDEX(资金流水!Q$5:Q$3015,$O68)))</f>
        <v/>
      </c>
      <c r="O68" s="54" t="str">
        <f>IFERROR(MATCH($A68,资金流水!$V$5:$V$3015,0),"")</f>
        <v/>
      </c>
    </row>
    <row r="69" spans="1:15">
      <c r="A69" s="29">
        <v>62</v>
      </c>
      <c r="B69" s="53" t="str">
        <f>IF($O69="","",IF(INDEX(资金流水!B$5:B$3032,$O69)="","",INDEX(资金流水!B$5:B$3032,$O69)))</f>
        <v/>
      </c>
      <c r="C69" s="10" t="str">
        <f>IF($O69="","",IF(INDEX(资金流水!C$5:C$3032,$O69)="","",INDEX(资金流水!C$5:C$3032,$O69)))</f>
        <v/>
      </c>
      <c r="D69" s="10" t="str">
        <f>IF($O69="","",IF(INDEX(资金流水!D$5:D$3032,$O69)="","",INDEX(资金流水!D$5:D$3032,$O69)))</f>
        <v/>
      </c>
      <c r="E69" s="29" t="str">
        <f>IF($O69="","",IF(INDEX(资金流水!E$5:E$3032,$O69)="","",INDEX(资金流水!E$5:E$3032,$O69)))</f>
        <v/>
      </c>
      <c r="F69" s="10" t="str">
        <f>IF($O69="","",IF(INDEX(资金流水!J$5:J$3032,$O69)="","",INDEX(资金流水!J$5:J$3032,$O69)))</f>
        <v/>
      </c>
      <c r="G69" s="11" t="str">
        <f>IF($O69="","",IF(INDEX(资金流水!K$5:K$3032,$O69)="","",INDEX(资金流水!K$5:K$3032,$O69)))</f>
        <v/>
      </c>
      <c r="H69" s="10" t="str">
        <f>IF($O69="","",IF(INDEX(资金流水!H$5:H$3032,$O69)="","",INDEX(资金流水!H$5:H$3032,$O69)))</f>
        <v/>
      </c>
      <c r="I69" s="11" t="str">
        <f>IF($O69="","",IF(INDEX(资金流水!L$5:L$3032,$O69)="","",INDEX(资金流水!L$5:L$3032,$O69)))</f>
        <v/>
      </c>
      <c r="J69" s="10" t="str">
        <f>IF($O69="","",IF(INDEX(资金流水!I$5:I$3032,$O69)="","",INDEX(资金流水!I$5:I$3032,$O69)))</f>
        <v/>
      </c>
      <c r="K69" s="29" t="str">
        <f>IF($O69="","",IF(INDEX(资金流水!T$5:T$3015,$O69)="","",INDEX(资金流水!T$5:T$3015,$O69)))</f>
        <v/>
      </c>
      <c r="L69" s="29" t="str">
        <f>IF($O69="","",IF(INDEX(资金流水!U$5:U$3015,$O69)="","",INDEX(资金流水!U$5:U$3015,$O69)))</f>
        <v/>
      </c>
      <c r="M69" s="10" t="str">
        <f>IF($O69="","",IF(INDEX(资金流水!Q$5:Q$3015,$O69)="","",INDEX(资金流水!Q$5:Q$3015,$O69)))</f>
        <v/>
      </c>
      <c r="O69" s="54" t="str">
        <f>IFERROR(MATCH($A69,资金流水!$V$5:$V$3015,0),"")</f>
        <v/>
      </c>
    </row>
    <row r="70" spans="1:15">
      <c r="A70" s="29">
        <v>63</v>
      </c>
      <c r="B70" s="53" t="str">
        <f>IF($O70="","",IF(INDEX(资金流水!B$5:B$3032,$O70)="","",INDEX(资金流水!B$5:B$3032,$O70)))</f>
        <v/>
      </c>
      <c r="C70" s="10" t="str">
        <f>IF($O70="","",IF(INDEX(资金流水!C$5:C$3032,$O70)="","",INDEX(资金流水!C$5:C$3032,$O70)))</f>
        <v/>
      </c>
      <c r="D70" s="10" t="str">
        <f>IF($O70="","",IF(INDEX(资金流水!D$5:D$3032,$O70)="","",INDEX(资金流水!D$5:D$3032,$O70)))</f>
        <v/>
      </c>
      <c r="E70" s="29" t="str">
        <f>IF($O70="","",IF(INDEX(资金流水!E$5:E$3032,$O70)="","",INDEX(资金流水!E$5:E$3032,$O70)))</f>
        <v/>
      </c>
      <c r="F70" s="10" t="str">
        <f>IF($O70="","",IF(INDEX(资金流水!J$5:J$3032,$O70)="","",INDEX(资金流水!J$5:J$3032,$O70)))</f>
        <v/>
      </c>
      <c r="G70" s="11" t="str">
        <f>IF($O70="","",IF(INDEX(资金流水!K$5:K$3032,$O70)="","",INDEX(资金流水!K$5:K$3032,$O70)))</f>
        <v/>
      </c>
      <c r="H70" s="10" t="str">
        <f>IF($O70="","",IF(INDEX(资金流水!H$5:H$3032,$O70)="","",INDEX(资金流水!H$5:H$3032,$O70)))</f>
        <v/>
      </c>
      <c r="I70" s="11" t="str">
        <f>IF($O70="","",IF(INDEX(资金流水!L$5:L$3032,$O70)="","",INDEX(资金流水!L$5:L$3032,$O70)))</f>
        <v/>
      </c>
      <c r="J70" s="10" t="str">
        <f>IF($O70="","",IF(INDEX(资金流水!I$5:I$3032,$O70)="","",INDEX(资金流水!I$5:I$3032,$O70)))</f>
        <v/>
      </c>
      <c r="K70" s="29" t="str">
        <f>IF($O70="","",IF(INDEX(资金流水!T$5:T$3015,$O70)="","",INDEX(资金流水!T$5:T$3015,$O70)))</f>
        <v/>
      </c>
      <c r="L70" s="29" t="str">
        <f>IF($O70="","",IF(INDEX(资金流水!U$5:U$3015,$O70)="","",INDEX(资金流水!U$5:U$3015,$O70)))</f>
        <v/>
      </c>
      <c r="M70" s="10" t="str">
        <f>IF($O70="","",IF(INDEX(资金流水!Q$5:Q$3015,$O70)="","",INDEX(资金流水!Q$5:Q$3015,$O70)))</f>
        <v/>
      </c>
      <c r="O70" s="54" t="str">
        <f>IFERROR(MATCH($A70,资金流水!$V$5:$V$3015,0),"")</f>
        <v/>
      </c>
    </row>
    <row r="71" spans="1:15">
      <c r="A71" s="29">
        <v>64</v>
      </c>
      <c r="B71" s="53" t="str">
        <f>IF($O71="","",IF(INDEX(资金流水!B$5:B$3032,$O71)="","",INDEX(资金流水!B$5:B$3032,$O71)))</f>
        <v/>
      </c>
      <c r="C71" s="10" t="str">
        <f>IF($O71="","",IF(INDEX(资金流水!C$5:C$3032,$O71)="","",INDEX(资金流水!C$5:C$3032,$O71)))</f>
        <v/>
      </c>
      <c r="D71" s="10" t="str">
        <f>IF($O71="","",IF(INDEX(资金流水!D$5:D$3032,$O71)="","",INDEX(资金流水!D$5:D$3032,$O71)))</f>
        <v/>
      </c>
      <c r="E71" s="29" t="str">
        <f>IF($O71="","",IF(INDEX(资金流水!E$5:E$3032,$O71)="","",INDEX(资金流水!E$5:E$3032,$O71)))</f>
        <v/>
      </c>
      <c r="F71" s="10" t="str">
        <f>IF($O71="","",IF(INDEX(资金流水!J$5:J$3032,$O71)="","",INDEX(资金流水!J$5:J$3032,$O71)))</f>
        <v/>
      </c>
      <c r="G71" s="11" t="str">
        <f>IF($O71="","",IF(INDEX(资金流水!K$5:K$3032,$O71)="","",INDEX(资金流水!K$5:K$3032,$O71)))</f>
        <v/>
      </c>
      <c r="H71" s="10" t="str">
        <f>IF($O71="","",IF(INDEX(资金流水!H$5:H$3032,$O71)="","",INDEX(资金流水!H$5:H$3032,$O71)))</f>
        <v/>
      </c>
      <c r="I71" s="11" t="str">
        <f>IF($O71="","",IF(INDEX(资金流水!L$5:L$3032,$O71)="","",INDEX(资金流水!L$5:L$3032,$O71)))</f>
        <v/>
      </c>
      <c r="J71" s="10" t="str">
        <f>IF($O71="","",IF(INDEX(资金流水!I$5:I$3032,$O71)="","",INDEX(资金流水!I$5:I$3032,$O71)))</f>
        <v/>
      </c>
      <c r="K71" s="29" t="str">
        <f>IF($O71="","",IF(INDEX(资金流水!T$5:T$3015,$O71)="","",INDEX(资金流水!T$5:T$3015,$O71)))</f>
        <v/>
      </c>
      <c r="L71" s="29" t="str">
        <f>IF($O71="","",IF(INDEX(资金流水!U$5:U$3015,$O71)="","",INDEX(资金流水!U$5:U$3015,$O71)))</f>
        <v/>
      </c>
      <c r="M71" s="10" t="str">
        <f>IF($O71="","",IF(INDEX(资金流水!Q$5:Q$3015,$O71)="","",INDEX(资金流水!Q$5:Q$3015,$O71)))</f>
        <v/>
      </c>
      <c r="O71" s="54" t="str">
        <f>IFERROR(MATCH($A71,资金流水!$V$5:$V$3015,0),"")</f>
        <v/>
      </c>
    </row>
    <row r="72" spans="1:15">
      <c r="A72" s="29">
        <v>65</v>
      </c>
      <c r="B72" s="53" t="str">
        <f>IF($O72="","",IF(INDEX(资金流水!B$5:B$3032,$O72)="","",INDEX(资金流水!B$5:B$3032,$O72)))</f>
        <v/>
      </c>
      <c r="C72" s="10" t="str">
        <f>IF($O72="","",IF(INDEX(资金流水!C$5:C$3032,$O72)="","",INDEX(资金流水!C$5:C$3032,$O72)))</f>
        <v/>
      </c>
      <c r="D72" s="10" t="str">
        <f>IF($O72="","",IF(INDEX(资金流水!D$5:D$3032,$O72)="","",INDEX(资金流水!D$5:D$3032,$O72)))</f>
        <v/>
      </c>
      <c r="E72" s="29" t="str">
        <f>IF($O72="","",IF(INDEX(资金流水!E$5:E$3032,$O72)="","",INDEX(资金流水!E$5:E$3032,$O72)))</f>
        <v/>
      </c>
      <c r="F72" s="10" t="str">
        <f>IF($O72="","",IF(INDEX(资金流水!J$5:J$3032,$O72)="","",INDEX(资金流水!J$5:J$3032,$O72)))</f>
        <v/>
      </c>
      <c r="G72" s="11" t="str">
        <f>IF($O72="","",IF(INDEX(资金流水!K$5:K$3032,$O72)="","",INDEX(资金流水!K$5:K$3032,$O72)))</f>
        <v/>
      </c>
      <c r="H72" s="10" t="str">
        <f>IF($O72="","",IF(INDEX(资金流水!H$5:H$3032,$O72)="","",INDEX(资金流水!H$5:H$3032,$O72)))</f>
        <v/>
      </c>
      <c r="I72" s="11" t="str">
        <f>IF($O72="","",IF(INDEX(资金流水!L$5:L$3032,$O72)="","",INDEX(资金流水!L$5:L$3032,$O72)))</f>
        <v/>
      </c>
      <c r="J72" s="10" t="str">
        <f>IF($O72="","",IF(INDEX(资金流水!I$5:I$3032,$O72)="","",INDEX(资金流水!I$5:I$3032,$O72)))</f>
        <v/>
      </c>
      <c r="K72" s="29" t="str">
        <f>IF($O72="","",IF(INDEX(资金流水!T$5:T$3015,$O72)="","",INDEX(资金流水!T$5:T$3015,$O72)))</f>
        <v/>
      </c>
      <c r="L72" s="29" t="str">
        <f>IF($O72="","",IF(INDEX(资金流水!U$5:U$3015,$O72)="","",INDEX(资金流水!U$5:U$3015,$O72)))</f>
        <v/>
      </c>
      <c r="M72" s="10" t="str">
        <f>IF($O72="","",IF(INDEX(资金流水!Q$5:Q$3015,$O72)="","",INDEX(资金流水!Q$5:Q$3015,$O72)))</f>
        <v/>
      </c>
      <c r="O72" s="54" t="str">
        <f>IFERROR(MATCH($A72,资金流水!$V$5:$V$3015,0),"")</f>
        <v/>
      </c>
    </row>
    <row r="73" spans="1:15">
      <c r="A73" s="29">
        <v>66</v>
      </c>
      <c r="B73" s="53" t="str">
        <f>IF($O73="","",IF(INDEX(资金流水!B$5:B$3032,$O73)="","",INDEX(资金流水!B$5:B$3032,$O73)))</f>
        <v/>
      </c>
      <c r="C73" s="10" t="str">
        <f>IF($O73="","",IF(INDEX(资金流水!C$5:C$3032,$O73)="","",INDEX(资金流水!C$5:C$3032,$O73)))</f>
        <v/>
      </c>
      <c r="D73" s="10" t="str">
        <f>IF($O73="","",IF(INDEX(资金流水!D$5:D$3032,$O73)="","",INDEX(资金流水!D$5:D$3032,$O73)))</f>
        <v/>
      </c>
      <c r="E73" s="29" t="str">
        <f>IF($O73="","",IF(INDEX(资金流水!E$5:E$3032,$O73)="","",INDEX(资金流水!E$5:E$3032,$O73)))</f>
        <v/>
      </c>
      <c r="F73" s="10" t="str">
        <f>IF($O73="","",IF(INDEX(资金流水!J$5:J$3032,$O73)="","",INDEX(资金流水!J$5:J$3032,$O73)))</f>
        <v/>
      </c>
      <c r="G73" s="11" t="str">
        <f>IF($O73="","",IF(INDEX(资金流水!K$5:K$3032,$O73)="","",INDEX(资金流水!K$5:K$3032,$O73)))</f>
        <v/>
      </c>
      <c r="H73" s="10" t="str">
        <f>IF($O73="","",IF(INDEX(资金流水!H$5:H$3032,$O73)="","",INDEX(资金流水!H$5:H$3032,$O73)))</f>
        <v/>
      </c>
      <c r="I73" s="11" t="str">
        <f>IF($O73="","",IF(INDEX(资金流水!L$5:L$3032,$O73)="","",INDEX(资金流水!L$5:L$3032,$O73)))</f>
        <v/>
      </c>
      <c r="J73" s="10" t="str">
        <f>IF($O73="","",IF(INDEX(资金流水!I$5:I$3032,$O73)="","",INDEX(资金流水!I$5:I$3032,$O73)))</f>
        <v/>
      </c>
      <c r="K73" s="29" t="str">
        <f>IF($O73="","",IF(INDEX(资金流水!T$5:T$3015,$O73)="","",INDEX(资金流水!T$5:T$3015,$O73)))</f>
        <v/>
      </c>
      <c r="L73" s="29" t="str">
        <f>IF($O73="","",IF(INDEX(资金流水!U$5:U$3015,$O73)="","",INDEX(资金流水!U$5:U$3015,$O73)))</f>
        <v/>
      </c>
      <c r="M73" s="10" t="str">
        <f>IF($O73="","",IF(INDEX(资金流水!Q$5:Q$3015,$O73)="","",INDEX(资金流水!Q$5:Q$3015,$O73)))</f>
        <v/>
      </c>
      <c r="O73" s="54" t="str">
        <f>IFERROR(MATCH($A73,资金流水!$V$5:$V$3015,0),"")</f>
        <v/>
      </c>
    </row>
    <row r="74" spans="1:15">
      <c r="A74" s="29">
        <v>67</v>
      </c>
      <c r="B74" s="53" t="str">
        <f>IF($O74="","",IF(INDEX(资金流水!B$5:B$3032,$O74)="","",INDEX(资金流水!B$5:B$3032,$O74)))</f>
        <v/>
      </c>
      <c r="C74" s="10" t="str">
        <f>IF($O74="","",IF(INDEX(资金流水!C$5:C$3032,$O74)="","",INDEX(资金流水!C$5:C$3032,$O74)))</f>
        <v/>
      </c>
      <c r="D74" s="10" t="str">
        <f>IF($O74="","",IF(INDEX(资金流水!D$5:D$3032,$O74)="","",INDEX(资金流水!D$5:D$3032,$O74)))</f>
        <v/>
      </c>
      <c r="E74" s="29" t="str">
        <f>IF($O74="","",IF(INDEX(资金流水!E$5:E$3032,$O74)="","",INDEX(资金流水!E$5:E$3032,$O74)))</f>
        <v/>
      </c>
      <c r="F74" s="10" t="str">
        <f>IF($O74="","",IF(INDEX(资金流水!J$5:J$3032,$O74)="","",INDEX(资金流水!J$5:J$3032,$O74)))</f>
        <v/>
      </c>
      <c r="G74" s="11" t="str">
        <f>IF($O74="","",IF(INDEX(资金流水!K$5:K$3032,$O74)="","",INDEX(资金流水!K$5:K$3032,$O74)))</f>
        <v/>
      </c>
      <c r="H74" s="10" t="str">
        <f>IF($O74="","",IF(INDEX(资金流水!H$5:H$3032,$O74)="","",INDEX(资金流水!H$5:H$3032,$O74)))</f>
        <v/>
      </c>
      <c r="I74" s="11" t="str">
        <f>IF($O74="","",IF(INDEX(资金流水!L$5:L$3032,$O74)="","",INDEX(资金流水!L$5:L$3032,$O74)))</f>
        <v/>
      </c>
      <c r="J74" s="10" t="str">
        <f>IF($O74="","",IF(INDEX(资金流水!I$5:I$3032,$O74)="","",INDEX(资金流水!I$5:I$3032,$O74)))</f>
        <v/>
      </c>
      <c r="K74" s="29" t="str">
        <f>IF($O74="","",IF(INDEX(资金流水!T$5:T$3015,$O74)="","",INDEX(资金流水!T$5:T$3015,$O74)))</f>
        <v/>
      </c>
      <c r="L74" s="29" t="str">
        <f>IF($O74="","",IF(INDEX(资金流水!U$5:U$3015,$O74)="","",INDEX(资金流水!U$5:U$3015,$O74)))</f>
        <v/>
      </c>
      <c r="M74" s="10" t="str">
        <f>IF($O74="","",IF(INDEX(资金流水!Q$5:Q$3015,$O74)="","",INDEX(资金流水!Q$5:Q$3015,$O74)))</f>
        <v/>
      </c>
      <c r="O74" s="54" t="str">
        <f>IFERROR(MATCH($A74,资金流水!$V$5:$V$3015,0),"")</f>
        <v/>
      </c>
    </row>
    <row r="75" spans="1:15">
      <c r="A75" s="29">
        <v>68</v>
      </c>
      <c r="B75" s="53" t="str">
        <f>IF($O75="","",IF(INDEX(资金流水!B$5:B$3032,$O75)="","",INDEX(资金流水!B$5:B$3032,$O75)))</f>
        <v/>
      </c>
      <c r="C75" s="10" t="str">
        <f>IF($O75="","",IF(INDEX(资金流水!C$5:C$3032,$O75)="","",INDEX(资金流水!C$5:C$3032,$O75)))</f>
        <v/>
      </c>
      <c r="D75" s="10" t="str">
        <f>IF($O75="","",IF(INDEX(资金流水!D$5:D$3032,$O75)="","",INDEX(资金流水!D$5:D$3032,$O75)))</f>
        <v/>
      </c>
      <c r="E75" s="29" t="str">
        <f>IF($O75="","",IF(INDEX(资金流水!E$5:E$3032,$O75)="","",INDEX(资金流水!E$5:E$3032,$O75)))</f>
        <v/>
      </c>
      <c r="F75" s="10" t="str">
        <f>IF($O75="","",IF(INDEX(资金流水!J$5:J$3032,$O75)="","",INDEX(资金流水!J$5:J$3032,$O75)))</f>
        <v/>
      </c>
      <c r="G75" s="11" t="str">
        <f>IF($O75="","",IF(INDEX(资金流水!K$5:K$3032,$O75)="","",INDEX(资金流水!K$5:K$3032,$O75)))</f>
        <v/>
      </c>
      <c r="H75" s="10" t="str">
        <f>IF($O75="","",IF(INDEX(资金流水!H$5:H$3032,$O75)="","",INDEX(资金流水!H$5:H$3032,$O75)))</f>
        <v/>
      </c>
      <c r="I75" s="11" t="str">
        <f>IF($O75="","",IF(INDEX(资金流水!L$5:L$3032,$O75)="","",INDEX(资金流水!L$5:L$3032,$O75)))</f>
        <v/>
      </c>
      <c r="J75" s="10" t="str">
        <f>IF($O75="","",IF(INDEX(资金流水!I$5:I$3032,$O75)="","",INDEX(资金流水!I$5:I$3032,$O75)))</f>
        <v/>
      </c>
      <c r="K75" s="29" t="str">
        <f>IF($O75="","",IF(INDEX(资金流水!T$5:T$3015,$O75)="","",INDEX(资金流水!T$5:T$3015,$O75)))</f>
        <v/>
      </c>
      <c r="L75" s="29" t="str">
        <f>IF($O75="","",IF(INDEX(资金流水!U$5:U$3015,$O75)="","",INDEX(资金流水!U$5:U$3015,$O75)))</f>
        <v/>
      </c>
      <c r="M75" s="10" t="str">
        <f>IF($O75="","",IF(INDEX(资金流水!Q$5:Q$3015,$O75)="","",INDEX(资金流水!Q$5:Q$3015,$O75)))</f>
        <v/>
      </c>
      <c r="O75" s="54" t="str">
        <f>IFERROR(MATCH($A75,资金流水!$V$5:$V$3015,0),"")</f>
        <v/>
      </c>
    </row>
    <row r="76" spans="1:15">
      <c r="A76" s="29">
        <v>69</v>
      </c>
      <c r="B76" s="53" t="str">
        <f>IF($O76="","",IF(INDEX(资金流水!B$5:B$3032,$O76)="","",INDEX(资金流水!B$5:B$3032,$O76)))</f>
        <v/>
      </c>
      <c r="C76" s="10" t="str">
        <f>IF($O76="","",IF(INDEX(资金流水!C$5:C$3032,$O76)="","",INDEX(资金流水!C$5:C$3032,$O76)))</f>
        <v/>
      </c>
      <c r="D76" s="10" t="str">
        <f>IF($O76="","",IF(INDEX(资金流水!D$5:D$3032,$O76)="","",INDEX(资金流水!D$5:D$3032,$O76)))</f>
        <v/>
      </c>
      <c r="E76" s="29" t="str">
        <f>IF($O76="","",IF(INDEX(资金流水!E$5:E$3032,$O76)="","",INDEX(资金流水!E$5:E$3032,$O76)))</f>
        <v/>
      </c>
      <c r="F76" s="10" t="str">
        <f>IF($O76="","",IF(INDEX(资金流水!J$5:J$3032,$O76)="","",INDEX(资金流水!J$5:J$3032,$O76)))</f>
        <v/>
      </c>
      <c r="G76" s="11" t="str">
        <f>IF($O76="","",IF(INDEX(资金流水!K$5:K$3032,$O76)="","",INDEX(资金流水!K$5:K$3032,$O76)))</f>
        <v/>
      </c>
      <c r="H76" s="10" t="str">
        <f>IF($O76="","",IF(INDEX(资金流水!H$5:H$3032,$O76)="","",INDEX(资金流水!H$5:H$3032,$O76)))</f>
        <v/>
      </c>
      <c r="I76" s="11" t="str">
        <f>IF($O76="","",IF(INDEX(资金流水!L$5:L$3032,$O76)="","",INDEX(资金流水!L$5:L$3032,$O76)))</f>
        <v/>
      </c>
      <c r="J76" s="10" t="str">
        <f>IF($O76="","",IF(INDEX(资金流水!I$5:I$3032,$O76)="","",INDEX(资金流水!I$5:I$3032,$O76)))</f>
        <v/>
      </c>
      <c r="K76" s="29" t="str">
        <f>IF($O76="","",IF(INDEX(资金流水!T$5:T$3015,$O76)="","",INDEX(资金流水!T$5:T$3015,$O76)))</f>
        <v/>
      </c>
      <c r="L76" s="29" t="str">
        <f>IF($O76="","",IF(INDEX(资金流水!U$5:U$3015,$O76)="","",INDEX(资金流水!U$5:U$3015,$O76)))</f>
        <v/>
      </c>
      <c r="M76" s="10" t="str">
        <f>IF($O76="","",IF(INDEX(资金流水!Q$5:Q$3015,$O76)="","",INDEX(资金流水!Q$5:Q$3015,$O76)))</f>
        <v/>
      </c>
      <c r="O76" s="54" t="str">
        <f>IFERROR(MATCH($A76,资金流水!$V$5:$V$3015,0),"")</f>
        <v/>
      </c>
    </row>
    <row r="77" spans="1:15">
      <c r="A77" s="29">
        <v>70</v>
      </c>
      <c r="B77" s="53" t="str">
        <f>IF($O77="","",IF(INDEX(资金流水!B$5:B$3032,$O77)="","",INDEX(资金流水!B$5:B$3032,$O77)))</f>
        <v/>
      </c>
      <c r="C77" s="10" t="str">
        <f>IF($O77="","",IF(INDEX(资金流水!C$5:C$3032,$O77)="","",INDEX(资金流水!C$5:C$3032,$O77)))</f>
        <v/>
      </c>
      <c r="D77" s="10" t="str">
        <f>IF($O77="","",IF(INDEX(资金流水!D$5:D$3032,$O77)="","",INDEX(资金流水!D$5:D$3032,$O77)))</f>
        <v/>
      </c>
      <c r="E77" s="29" t="str">
        <f>IF($O77="","",IF(INDEX(资金流水!E$5:E$3032,$O77)="","",INDEX(资金流水!E$5:E$3032,$O77)))</f>
        <v/>
      </c>
      <c r="F77" s="10" t="str">
        <f>IF($O77="","",IF(INDEX(资金流水!J$5:J$3032,$O77)="","",INDEX(资金流水!J$5:J$3032,$O77)))</f>
        <v/>
      </c>
      <c r="G77" s="11" t="str">
        <f>IF($O77="","",IF(INDEX(资金流水!K$5:K$3032,$O77)="","",INDEX(资金流水!K$5:K$3032,$O77)))</f>
        <v/>
      </c>
      <c r="H77" s="10" t="str">
        <f>IF($O77="","",IF(INDEX(资金流水!H$5:H$3032,$O77)="","",INDEX(资金流水!H$5:H$3032,$O77)))</f>
        <v/>
      </c>
      <c r="I77" s="11" t="str">
        <f>IF($O77="","",IF(INDEX(资金流水!L$5:L$3032,$O77)="","",INDEX(资金流水!L$5:L$3032,$O77)))</f>
        <v/>
      </c>
      <c r="J77" s="10" t="str">
        <f>IF($O77="","",IF(INDEX(资金流水!I$5:I$3032,$O77)="","",INDEX(资金流水!I$5:I$3032,$O77)))</f>
        <v/>
      </c>
      <c r="K77" s="29" t="str">
        <f>IF($O77="","",IF(INDEX(资金流水!T$5:T$3015,$O77)="","",INDEX(资金流水!T$5:T$3015,$O77)))</f>
        <v/>
      </c>
      <c r="L77" s="29" t="str">
        <f>IF($O77="","",IF(INDEX(资金流水!U$5:U$3015,$O77)="","",INDEX(资金流水!U$5:U$3015,$O77)))</f>
        <v/>
      </c>
      <c r="M77" s="10" t="str">
        <f>IF($O77="","",IF(INDEX(资金流水!Q$5:Q$3015,$O77)="","",INDEX(资金流水!Q$5:Q$3015,$O77)))</f>
        <v/>
      </c>
      <c r="O77" s="54" t="str">
        <f>IFERROR(MATCH($A77,资金流水!$V$5:$V$3015,0),"")</f>
        <v/>
      </c>
    </row>
    <row r="78" spans="1:15">
      <c r="A78" s="29">
        <v>71</v>
      </c>
      <c r="B78" s="53" t="str">
        <f>IF($O78="","",IF(INDEX(资金流水!B$5:B$3032,$O78)="","",INDEX(资金流水!B$5:B$3032,$O78)))</f>
        <v/>
      </c>
      <c r="C78" s="10" t="str">
        <f>IF($O78="","",IF(INDEX(资金流水!C$5:C$3032,$O78)="","",INDEX(资金流水!C$5:C$3032,$O78)))</f>
        <v/>
      </c>
      <c r="D78" s="10" t="str">
        <f>IF($O78="","",IF(INDEX(资金流水!D$5:D$3032,$O78)="","",INDEX(资金流水!D$5:D$3032,$O78)))</f>
        <v/>
      </c>
      <c r="E78" s="29" t="str">
        <f>IF($O78="","",IF(INDEX(资金流水!E$5:E$3032,$O78)="","",INDEX(资金流水!E$5:E$3032,$O78)))</f>
        <v/>
      </c>
      <c r="F78" s="10" t="str">
        <f>IF($O78="","",IF(INDEX(资金流水!J$5:J$3032,$O78)="","",INDEX(资金流水!J$5:J$3032,$O78)))</f>
        <v/>
      </c>
      <c r="G78" s="11" t="str">
        <f>IF($O78="","",IF(INDEX(资金流水!K$5:K$3032,$O78)="","",INDEX(资金流水!K$5:K$3032,$O78)))</f>
        <v/>
      </c>
      <c r="H78" s="10" t="str">
        <f>IF($O78="","",IF(INDEX(资金流水!H$5:H$3032,$O78)="","",INDEX(资金流水!H$5:H$3032,$O78)))</f>
        <v/>
      </c>
      <c r="I78" s="11" t="str">
        <f>IF($O78="","",IF(INDEX(资金流水!L$5:L$3032,$O78)="","",INDEX(资金流水!L$5:L$3032,$O78)))</f>
        <v/>
      </c>
      <c r="J78" s="10" t="str">
        <f>IF($O78="","",IF(INDEX(资金流水!I$5:I$3032,$O78)="","",INDEX(资金流水!I$5:I$3032,$O78)))</f>
        <v/>
      </c>
      <c r="K78" s="29" t="str">
        <f>IF($O78="","",IF(INDEX(资金流水!T$5:T$3015,$O78)="","",INDEX(资金流水!T$5:T$3015,$O78)))</f>
        <v/>
      </c>
      <c r="L78" s="29" t="str">
        <f>IF($O78="","",IF(INDEX(资金流水!U$5:U$3015,$O78)="","",INDEX(资金流水!U$5:U$3015,$O78)))</f>
        <v/>
      </c>
      <c r="M78" s="10" t="str">
        <f>IF($O78="","",IF(INDEX(资金流水!Q$5:Q$3015,$O78)="","",INDEX(资金流水!Q$5:Q$3015,$O78)))</f>
        <v/>
      </c>
      <c r="O78" s="54" t="str">
        <f>IFERROR(MATCH($A78,资金流水!$V$5:$V$3015,0),"")</f>
        <v/>
      </c>
    </row>
    <row r="79" spans="1:15">
      <c r="A79" s="29">
        <v>72</v>
      </c>
      <c r="B79" s="53" t="str">
        <f>IF($O79="","",IF(INDEX(资金流水!B$5:B$3032,$O79)="","",INDEX(资金流水!B$5:B$3032,$O79)))</f>
        <v/>
      </c>
      <c r="C79" s="10" t="str">
        <f>IF($O79="","",IF(INDEX(资金流水!C$5:C$3032,$O79)="","",INDEX(资金流水!C$5:C$3032,$O79)))</f>
        <v/>
      </c>
      <c r="D79" s="10" t="str">
        <f>IF($O79="","",IF(INDEX(资金流水!D$5:D$3032,$O79)="","",INDEX(资金流水!D$5:D$3032,$O79)))</f>
        <v/>
      </c>
      <c r="E79" s="29" t="str">
        <f>IF($O79="","",IF(INDEX(资金流水!E$5:E$3032,$O79)="","",INDEX(资金流水!E$5:E$3032,$O79)))</f>
        <v/>
      </c>
      <c r="F79" s="10" t="str">
        <f>IF($O79="","",IF(INDEX(资金流水!J$5:J$3032,$O79)="","",INDEX(资金流水!J$5:J$3032,$O79)))</f>
        <v/>
      </c>
      <c r="G79" s="11" t="str">
        <f>IF($O79="","",IF(INDEX(资金流水!K$5:K$3032,$O79)="","",INDEX(资金流水!K$5:K$3032,$O79)))</f>
        <v/>
      </c>
      <c r="H79" s="10" t="str">
        <f>IF($O79="","",IF(INDEX(资金流水!H$5:H$3032,$O79)="","",INDEX(资金流水!H$5:H$3032,$O79)))</f>
        <v/>
      </c>
      <c r="I79" s="11" t="str">
        <f>IF($O79="","",IF(INDEX(资金流水!L$5:L$3032,$O79)="","",INDEX(资金流水!L$5:L$3032,$O79)))</f>
        <v/>
      </c>
      <c r="J79" s="10" t="str">
        <f>IF($O79="","",IF(INDEX(资金流水!I$5:I$3032,$O79)="","",INDEX(资金流水!I$5:I$3032,$O79)))</f>
        <v/>
      </c>
      <c r="K79" s="29" t="str">
        <f>IF($O79="","",IF(INDEX(资金流水!T$5:T$3015,$O79)="","",INDEX(资金流水!T$5:T$3015,$O79)))</f>
        <v/>
      </c>
      <c r="L79" s="29" t="str">
        <f>IF($O79="","",IF(INDEX(资金流水!U$5:U$3015,$O79)="","",INDEX(资金流水!U$5:U$3015,$O79)))</f>
        <v/>
      </c>
      <c r="M79" s="10" t="str">
        <f>IF($O79="","",IF(INDEX(资金流水!Q$5:Q$3015,$O79)="","",INDEX(资金流水!Q$5:Q$3015,$O79)))</f>
        <v/>
      </c>
      <c r="O79" s="54" t="str">
        <f>IFERROR(MATCH($A79,资金流水!$V$5:$V$3015,0),"")</f>
        <v/>
      </c>
    </row>
    <row r="80" spans="1:15">
      <c r="A80" s="29">
        <v>73</v>
      </c>
      <c r="B80" s="53" t="str">
        <f>IF($O80="","",IF(INDEX(资金流水!B$5:B$3032,$O80)="","",INDEX(资金流水!B$5:B$3032,$O80)))</f>
        <v/>
      </c>
      <c r="C80" s="10" t="str">
        <f>IF($O80="","",IF(INDEX(资金流水!C$5:C$3032,$O80)="","",INDEX(资金流水!C$5:C$3032,$O80)))</f>
        <v/>
      </c>
      <c r="D80" s="10" t="str">
        <f>IF($O80="","",IF(INDEX(资金流水!D$5:D$3032,$O80)="","",INDEX(资金流水!D$5:D$3032,$O80)))</f>
        <v/>
      </c>
      <c r="E80" s="29" t="str">
        <f>IF($O80="","",IF(INDEX(资金流水!E$5:E$3032,$O80)="","",INDEX(资金流水!E$5:E$3032,$O80)))</f>
        <v/>
      </c>
      <c r="F80" s="10" t="str">
        <f>IF($O80="","",IF(INDEX(资金流水!J$5:J$3032,$O80)="","",INDEX(资金流水!J$5:J$3032,$O80)))</f>
        <v/>
      </c>
      <c r="G80" s="11" t="str">
        <f>IF($O80="","",IF(INDEX(资金流水!K$5:K$3032,$O80)="","",INDEX(资金流水!K$5:K$3032,$O80)))</f>
        <v/>
      </c>
      <c r="H80" s="10" t="str">
        <f>IF($O80="","",IF(INDEX(资金流水!H$5:H$3032,$O80)="","",INDEX(资金流水!H$5:H$3032,$O80)))</f>
        <v/>
      </c>
      <c r="I80" s="11" t="str">
        <f>IF($O80="","",IF(INDEX(资金流水!L$5:L$3032,$O80)="","",INDEX(资金流水!L$5:L$3032,$O80)))</f>
        <v/>
      </c>
      <c r="J80" s="10" t="str">
        <f>IF($O80="","",IF(INDEX(资金流水!I$5:I$3032,$O80)="","",INDEX(资金流水!I$5:I$3032,$O80)))</f>
        <v/>
      </c>
      <c r="K80" s="29" t="str">
        <f>IF($O80="","",IF(INDEX(资金流水!T$5:T$3015,$O80)="","",INDEX(资金流水!T$5:T$3015,$O80)))</f>
        <v/>
      </c>
      <c r="L80" s="29" t="str">
        <f>IF($O80="","",IF(INDEX(资金流水!U$5:U$3015,$O80)="","",INDEX(资金流水!U$5:U$3015,$O80)))</f>
        <v/>
      </c>
      <c r="M80" s="10" t="str">
        <f>IF($O80="","",IF(INDEX(资金流水!Q$5:Q$3015,$O80)="","",INDEX(资金流水!Q$5:Q$3015,$O80)))</f>
        <v/>
      </c>
      <c r="O80" s="54" t="str">
        <f>IFERROR(MATCH($A80,资金流水!$V$5:$V$3015,0),"")</f>
        <v/>
      </c>
    </row>
    <row r="81" spans="1:15">
      <c r="A81" s="29">
        <v>74</v>
      </c>
      <c r="B81" s="53" t="str">
        <f>IF($O81="","",IF(INDEX(资金流水!B$5:B$3032,$O81)="","",INDEX(资金流水!B$5:B$3032,$O81)))</f>
        <v/>
      </c>
      <c r="C81" s="10" t="str">
        <f>IF($O81="","",IF(INDEX(资金流水!C$5:C$3032,$O81)="","",INDEX(资金流水!C$5:C$3032,$O81)))</f>
        <v/>
      </c>
      <c r="D81" s="10" t="str">
        <f>IF($O81="","",IF(INDEX(资金流水!D$5:D$3032,$O81)="","",INDEX(资金流水!D$5:D$3032,$O81)))</f>
        <v/>
      </c>
      <c r="E81" s="29" t="str">
        <f>IF($O81="","",IF(INDEX(资金流水!E$5:E$3032,$O81)="","",INDEX(资金流水!E$5:E$3032,$O81)))</f>
        <v/>
      </c>
      <c r="F81" s="10" t="str">
        <f>IF($O81="","",IF(INDEX(资金流水!J$5:J$3032,$O81)="","",INDEX(资金流水!J$5:J$3032,$O81)))</f>
        <v/>
      </c>
      <c r="G81" s="11" t="str">
        <f>IF($O81="","",IF(INDEX(资金流水!K$5:K$3032,$O81)="","",INDEX(资金流水!K$5:K$3032,$O81)))</f>
        <v/>
      </c>
      <c r="H81" s="10" t="str">
        <f>IF($O81="","",IF(INDEX(资金流水!H$5:H$3032,$O81)="","",INDEX(资金流水!H$5:H$3032,$O81)))</f>
        <v/>
      </c>
      <c r="I81" s="11" t="str">
        <f>IF($O81="","",IF(INDEX(资金流水!L$5:L$3032,$O81)="","",INDEX(资金流水!L$5:L$3032,$O81)))</f>
        <v/>
      </c>
      <c r="J81" s="10" t="str">
        <f>IF($O81="","",IF(INDEX(资金流水!I$5:I$3032,$O81)="","",INDEX(资金流水!I$5:I$3032,$O81)))</f>
        <v/>
      </c>
      <c r="K81" s="29" t="str">
        <f>IF($O81="","",IF(INDEX(资金流水!T$5:T$3015,$O81)="","",INDEX(资金流水!T$5:T$3015,$O81)))</f>
        <v/>
      </c>
      <c r="L81" s="29" t="str">
        <f>IF($O81="","",IF(INDEX(资金流水!U$5:U$3015,$O81)="","",INDEX(资金流水!U$5:U$3015,$O81)))</f>
        <v/>
      </c>
      <c r="M81" s="10" t="str">
        <f>IF($O81="","",IF(INDEX(资金流水!Q$5:Q$3015,$O81)="","",INDEX(资金流水!Q$5:Q$3015,$O81)))</f>
        <v/>
      </c>
      <c r="O81" s="54" t="str">
        <f>IFERROR(MATCH($A81,资金流水!$V$5:$V$3015,0),"")</f>
        <v/>
      </c>
    </row>
    <row r="82" spans="1:15">
      <c r="A82" s="29">
        <v>75</v>
      </c>
      <c r="B82" s="53" t="str">
        <f>IF($O82="","",IF(INDEX(资金流水!B$5:B$3032,$O82)="","",INDEX(资金流水!B$5:B$3032,$O82)))</f>
        <v/>
      </c>
      <c r="C82" s="10" t="str">
        <f>IF($O82="","",IF(INDEX(资金流水!C$5:C$3032,$O82)="","",INDEX(资金流水!C$5:C$3032,$O82)))</f>
        <v/>
      </c>
      <c r="D82" s="10" t="str">
        <f>IF($O82="","",IF(INDEX(资金流水!D$5:D$3032,$O82)="","",INDEX(资金流水!D$5:D$3032,$O82)))</f>
        <v/>
      </c>
      <c r="E82" s="29" t="str">
        <f>IF($O82="","",IF(INDEX(资金流水!E$5:E$3032,$O82)="","",INDEX(资金流水!E$5:E$3032,$O82)))</f>
        <v/>
      </c>
      <c r="F82" s="10" t="str">
        <f>IF($O82="","",IF(INDEX(资金流水!J$5:J$3032,$O82)="","",INDEX(资金流水!J$5:J$3032,$O82)))</f>
        <v/>
      </c>
      <c r="G82" s="11" t="str">
        <f>IF($O82="","",IF(INDEX(资金流水!K$5:K$3032,$O82)="","",INDEX(资金流水!K$5:K$3032,$O82)))</f>
        <v/>
      </c>
      <c r="H82" s="10" t="str">
        <f>IF($O82="","",IF(INDEX(资金流水!H$5:H$3032,$O82)="","",INDEX(资金流水!H$5:H$3032,$O82)))</f>
        <v/>
      </c>
      <c r="I82" s="11" t="str">
        <f>IF($O82="","",IF(INDEX(资金流水!L$5:L$3032,$O82)="","",INDEX(资金流水!L$5:L$3032,$O82)))</f>
        <v/>
      </c>
      <c r="J82" s="10" t="str">
        <f>IF($O82="","",IF(INDEX(资金流水!I$5:I$3032,$O82)="","",INDEX(资金流水!I$5:I$3032,$O82)))</f>
        <v/>
      </c>
      <c r="K82" s="29" t="str">
        <f>IF($O82="","",IF(INDEX(资金流水!T$5:T$3015,$O82)="","",INDEX(资金流水!T$5:T$3015,$O82)))</f>
        <v/>
      </c>
      <c r="L82" s="29" t="str">
        <f>IF($O82="","",IF(INDEX(资金流水!U$5:U$3015,$O82)="","",INDEX(资金流水!U$5:U$3015,$O82)))</f>
        <v/>
      </c>
      <c r="M82" s="10" t="str">
        <f>IF($O82="","",IF(INDEX(资金流水!Q$5:Q$3015,$O82)="","",INDEX(资金流水!Q$5:Q$3015,$O82)))</f>
        <v/>
      </c>
      <c r="O82" s="54" t="str">
        <f>IFERROR(MATCH($A82,资金流水!$V$5:$V$3015,0),"")</f>
        <v/>
      </c>
    </row>
    <row r="83" spans="1:15">
      <c r="A83" s="29">
        <v>76</v>
      </c>
      <c r="B83" s="53" t="str">
        <f>IF($O83="","",IF(INDEX(资金流水!B$5:B$3032,$O83)="","",INDEX(资金流水!B$5:B$3032,$O83)))</f>
        <v/>
      </c>
      <c r="C83" s="10" t="str">
        <f>IF($O83="","",IF(INDEX(资金流水!C$5:C$3032,$O83)="","",INDEX(资金流水!C$5:C$3032,$O83)))</f>
        <v/>
      </c>
      <c r="D83" s="10" t="str">
        <f>IF($O83="","",IF(INDEX(资金流水!D$5:D$3032,$O83)="","",INDEX(资金流水!D$5:D$3032,$O83)))</f>
        <v/>
      </c>
      <c r="E83" s="29" t="str">
        <f>IF($O83="","",IF(INDEX(资金流水!E$5:E$3032,$O83)="","",INDEX(资金流水!E$5:E$3032,$O83)))</f>
        <v/>
      </c>
      <c r="F83" s="10" t="str">
        <f>IF($O83="","",IF(INDEX(资金流水!J$5:J$3032,$O83)="","",INDEX(资金流水!J$5:J$3032,$O83)))</f>
        <v/>
      </c>
      <c r="G83" s="11" t="str">
        <f>IF($O83="","",IF(INDEX(资金流水!K$5:K$3032,$O83)="","",INDEX(资金流水!K$5:K$3032,$O83)))</f>
        <v/>
      </c>
      <c r="H83" s="10" t="str">
        <f>IF($O83="","",IF(INDEX(资金流水!H$5:H$3032,$O83)="","",INDEX(资金流水!H$5:H$3032,$O83)))</f>
        <v/>
      </c>
      <c r="I83" s="11" t="str">
        <f>IF($O83="","",IF(INDEX(资金流水!L$5:L$3032,$O83)="","",INDEX(资金流水!L$5:L$3032,$O83)))</f>
        <v/>
      </c>
      <c r="J83" s="10" t="str">
        <f>IF($O83="","",IF(INDEX(资金流水!I$5:I$3032,$O83)="","",INDEX(资金流水!I$5:I$3032,$O83)))</f>
        <v/>
      </c>
      <c r="K83" s="29" t="str">
        <f>IF($O83="","",IF(INDEX(资金流水!T$5:T$3015,$O83)="","",INDEX(资金流水!T$5:T$3015,$O83)))</f>
        <v/>
      </c>
      <c r="L83" s="29" t="str">
        <f>IF($O83="","",IF(INDEX(资金流水!U$5:U$3015,$O83)="","",INDEX(资金流水!U$5:U$3015,$O83)))</f>
        <v/>
      </c>
      <c r="M83" s="10" t="str">
        <f>IF($O83="","",IF(INDEX(资金流水!Q$5:Q$3015,$O83)="","",INDEX(资金流水!Q$5:Q$3015,$O83)))</f>
        <v/>
      </c>
      <c r="O83" s="54" t="str">
        <f>IFERROR(MATCH($A83,资金流水!$V$5:$V$3015,0),"")</f>
        <v/>
      </c>
    </row>
    <row r="84" spans="1:15">
      <c r="A84" s="29">
        <v>77</v>
      </c>
      <c r="B84" s="53" t="str">
        <f>IF($O84="","",IF(INDEX(资金流水!B$5:B$3032,$O84)="","",INDEX(资金流水!B$5:B$3032,$O84)))</f>
        <v/>
      </c>
      <c r="C84" s="10" t="str">
        <f>IF($O84="","",IF(INDEX(资金流水!C$5:C$3032,$O84)="","",INDEX(资金流水!C$5:C$3032,$O84)))</f>
        <v/>
      </c>
      <c r="D84" s="10" t="str">
        <f>IF($O84="","",IF(INDEX(资金流水!D$5:D$3032,$O84)="","",INDEX(资金流水!D$5:D$3032,$O84)))</f>
        <v/>
      </c>
      <c r="E84" s="29" t="str">
        <f>IF($O84="","",IF(INDEX(资金流水!E$5:E$3032,$O84)="","",INDEX(资金流水!E$5:E$3032,$O84)))</f>
        <v/>
      </c>
      <c r="F84" s="10" t="str">
        <f>IF($O84="","",IF(INDEX(资金流水!J$5:J$3032,$O84)="","",INDEX(资金流水!J$5:J$3032,$O84)))</f>
        <v/>
      </c>
      <c r="G84" s="11" t="str">
        <f>IF($O84="","",IF(INDEX(资金流水!K$5:K$3032,$O84)="","",INDEX(资金流水!K$5:K$3032,$O84)))</f>
        <v/>
      </c>
      <c r="H84" s="10" t="str">
        <f>IF($O84="","",IF(INDEX(资金流水!H$5:H$3032,$O84)="","",INDEX(资金流水!H$5:H$3032,$O84)))</f>
        <v/>
      </c>
      <c r="I84" s="11" t="str">
        <f>IF($O84="","",IF(INDEX(资金流水!L$5:L$3032,$O84)="","",INDEX(资金流水!L$5:L$3032,$O84)))</f>
        <v/>
      </c>
      <c r="J84" s="10" t="str">
        <f>IF($O84="","",IF(INDEX(资金流水!I$5:I$3032,$O84)="","",INDEX(资金流水!I$5:I$3032,$O84)))</f>
        <v/>
      </c>
      <c r="K84" s="29" t="str">
        <f>IF($O84="","",IF(INDEX(资金流水!T$5:T$3015,$O84)="","",INDEX(资金流水!T$5:T$3015,$O84)))</f>
        <v/>
      </c>
      <c r="L84" s="29" t="str">
        <f>IF($O84="","",IF(INDEX(资金流水!U$5:U$3015,$O84)="","",INDEX(资金流水!U$5:U$3015,$O84)))</f>
        <v/>
      </c>
      <c r="M84" s="10" t="str">
        <f>IF($O84="","",IF(INDEX(资金流水!Q$5:Q$3015,$O84)="","",INDEX(资金流水!Q$5:Q$3015,$O84)))</f>
        <v/>
      </c>
      <c r="O84" s="54" t="str">
        <f>IFERROR(MATCH($A84,资金流水!$V$5:$V$3015,0),"")</f>
        <v/>
      </c>
    </row>
    <row r="85" spans="1:15">
      <c r="A85" s="29">
        <v>78</v>
      </c>
      <c r="B85" s="53" t="str">
        <f>IF($O85="","",IF(INDEX(资金流水!B$5:B$3032,$O85)="","",INDEX(资金流水!B$5:B$3032,$O85)))</f>
        <v/>
      </c>
      <c r="C85" s="10" t="str">
        <f>IF($O85="","",IF(INDEX(资金流水!C$5:C$3032,$O85)="","",INDEX(资金流水!C$5:C$3032,$O85)))</f>
        <v/>
      </c>
      <c r="D85" s="10" t="str">
        <f>IF($O85="","",IF(INDEX(资金流水!D$5:D$3032,$O85)="","",INDEX(资金流水!D$5:D$3032,$O85)))</f>
        <v/>
      </c>
      <c r="E85" s="29" t="str">
        <f>IF($O85="","",IF(INDEX(资金流水!E$5:E$3032,$O85)="","",INDEX(资金流水!E$5:E$3032,$O85)))</f>
        <v/>
      </c>
      <c r="F85" s="10" t="str">
        <f>IF($O85="","",IF(INDEX(资金流水!J$5:J$3032,$O85)="","",INDEX(资金流水!J$5:J$3032,$O85)))</f>
        <v/>
      </c>
      <c r="G85" s="11" t="str">
        <f>IF($O85="","",IF(INDEX(资金流水!K$5:K$3032,$O85)="","",INDEX(资金流水!K$5:K$3032,$O85)))</f>
        <v/>
      </c>
      <c r="H85" s="10" t="str">
        <f>IF($O85="","",IF(INDEX(资金流水!H$5:H$3032,$O85)="","",INDEX(资金流水!H$5:H$3032,$O85)))</f>
        <v/>
      </c>
      <c r="I85" s="11" t="str">
        <f>IF($O85="","",IF(INDEX(资金流水!L$5:L$3032,$O85)="","",INDEX(资金流水!L$5:L$3032,$O85)))</f>
        <v/>
      </c>
      <c r="J85" s="10" t="str">
        <f>IF($O85="","",IF(INDEX(资金流水!I$5:I$3032,$O85)="","",INDEX(资金流水!I$5:I$3032,$O85)))</f>
        <v/>
      </c>
      <c r="K85" s="29" t="str">
        <f>IF($O85="","",IF(INDEX(资金流水!T$5:T$3015,$O85)="","",INDEX(资金流水!T$5:T$3015,$O85)))</f>
        <v/>
      </c>
      <c r="L85" s="29" t="str">
        <f>IF($O85="","",IF(INDEX(资金流水!U$5:U$3015,$O85)="","",INDEX(资金流水!U$5:U$3015,$O85)))</f>
        <v/>
      </c>
      <c r="M85" s="10" t="str">
        <f>IF($O85="","",IF(INDEX(资金流水!Q$5:Q$3015,$O85)="","",INDEX(资金流水!Q$5:Q$3015,$O85)))</f>
        <v/>
      </c>
      <c r="O85" s="54" t="str">
        <f>IFERROR(MATCH($A85,资金流水!$V$5:$V$3015,0),"")</f>
        <v/>
      </c>
    </row>
    <row r="86" spans="1:15">
      <c r="A86" s="29">
        <v>79</v>
      </c>
      <c r="B86" s="53" t="str">
        <f>IF($O86="","",IF(INDEX(资金流水!B$5:B$3032,$O86)="","",INDEX(资金流水!B$5:B$3032,$O86)))</f>
        <v/>
      </c>
      <c r="C86" s="10" t="str">
        <f>IF($O86="","",IF(INDEX(资金流水!C$5:C$3032,$O86)="","",INDEX(资金流水!C$5:C$3032,$O86)))</f>
        <v/>
      </c>
      <c r="D86" s="10" t="str">
        <f>IF($O86="","",IF(INDEX(资金流水!D$5:D$3032,$O86)="","",INDEX(资金流水!D$5:D$3032,$O86)))</f>
        <v/>
      </c>
      <c r="E86" s="29" t="str">
        <f>IF($O86="","",IF(INDEX(资金流水!E$5:E$3032,$O86)="","",INDEX(资金流水!E$5:E$3032,$O86)))</f>
        <v/>
      </c>
      <c r="F86" s="10" t="str">
        <f>IF($O86="","",IF(INDEX(资金流水!J$5:J$3032,$O86)="","",INDEX(资金流水!J$5:J$3032,$O86)))</f>
        <v/>
      </c>
      <c r="G86" s="11" t="str">
        <f>IF($O86="","",IF(INDEX(资金流水!K$5:K$3032,$O86)="","",INDEX(资金流水!K$5:K$3032,$O86)))</f>
        <v/>
      </c>
      <c r="H86" s="10" t="str">
        <f>IF($O86="","",IF(INDEX(资金流水!H$5:H$3032,$O86)="","",INDEX(资金流水!H$5:H$3032,$O86)))</f>
        <v/>
      </c>
      <c r="I86" s="11" t="str">
        <f>IF($O86="","",IF(INDEX(资金流水!L$5:L$3032,$O86)="","",INDEX(资金流水!L$5:L$3032,$O86)))</f>
        <v/>
      </c>
      <c r="J86" s="10" t="str">
        <f>IF($O86="","",IF(INDEX(资金流水!I$5:I$3032,$O86)="","",INDEX(资金流水!I$5:I$3032,$O86)))</f>
        <v/>
      </c>
      <c r="K86" s="29" t="str">
        <f>IF($O86="","",IF(INDEX(资金流水!T$5:T$3015,$O86)="","",INDEX(资金流水!T$5:T$3015,$O86)))</f>
        <v/>
      </c>
      <c r="L86" s="29" t="str">
        <f>IF($O86="","",IF(INDEX(资金流水!U$5:U$3015,$O86)="","",INDEX(资金流水!U$5:U$3015,$O86)))</f>
        <v/>
      </c>
      <c r="M86" s="10" t="str">
        <f>IF($O86="","",IF(INDEX(资金流水!Q$5:Q$3015,$O86)="","",INDEX(资金流水!Q$5:Q$3015,$O86)))</f>
        <v/>
      </c>
      <c r="O86" s="54" t="str">
        <f>IFERROR(MATCH($A86,资金流水!$V$5:$V$3015,0),"")</f>
        <v/>
      </c>
    </row>
    <row r="87" spans="1:15">
      <c r="A87" s="29">
        <v>80</v>
      </c>
      <c r="B87" s="53" t="str">
        <f>IF($O87="","",IF(INDEX(资金流水!B$5:B$3032,$O87)="","",INDEX(资金流水!B$5:B$3032,$O87)))</f>
        <v/>
      </c>
      <c r="C87" s="10" t="str">
        <f>IF($O87="","",IF(INDEX(资金流水!C$5:C$3032,$O87)="","",INDEX(资金流水!C$5:C$3032,$O87)))</f>
        <v/>
      </c>
      <c r="D87" s="10" t="str">
        <f>IF($O87="","",IF(INDEX(资金流水!D$5:D$3032,$O87)="","",INDEX(资金流水!D$5:D$3032,$O87)))</f>
        <v/>
      </c>
      <c r="E87" s="29" t="str">
        <f>IF($O87="","",IF(INDEX(资金流水!E$5:E$3032,$O87)="","",INDEX(资金流水!E$5:E$3032,$O87)))</f>
        <v/>
      </c>
      <c r="F87" s="10" t="str">
        <f>IF($O87="","",IF(INDEX(资金流水!J$5:J$3032,$O87)="","",INDEX(资金流水!J$5:J$3032,$O87)))</f>
        <v/>
      </c>
      <c r="G87" s="11" t="str">
        <f>IF($O87="","",IF(INDEX(资金流水!K$5:K$3032,$O87)="","",INDEX(资金流水!K$5:K$3032,$O87)))</f>
        <v/>
      </c>
      <c r="H87" s="10" t="str">
        <f>IF($O87="","",IF(INDEX(资金流水!H$5:H$3032,$O87)="","",INDEX(资金流水!H$5:H$3032,$O87)))</f>
        <v/>
      </c>
      <c r="I87" s="11" t="str">
        <f>IF($O87="","",IF(INDEX(资金流水!L$5:L$3032,$O87)="","",INDEX(资金流水!L$5:L$3032,$O87)))</f>
        <v/>
      </c>
      <c r="J87" s="10" t="str">
        <f>IF($O87="","",IF(INDEX(资金流水!I$5:I$3032,$O87)="","",INDEX(资金流水!I$5:I$3032,$O87)))</f>
        <v/>
      </c>
      <c r="K87" s="29" t="str">
        <f>IF($O87="","",IF(INDEX(资金流水!T$5:T$3015,$O87)="","",INDEX(资金流水!T$5:T$3015,$O87)))</f>
        <v/>
      </c>
      <c r="L87" s="29" t="str">
        <f>IF($O87="","",IF(INDEX(资金流水!U$5:U$3015,$O87)="","",INDEX(资金流水!U$5:U$3015,$O87)))</f>
        <v/>
      </c>
      <c r="M87" s="10" t="str">
        <f>IF($O87="","",IF(INDEX(资金流水!Q$5:Q$3015,$O87)="","",INDEX(资金流水!Q$5:Q$3015,$O87)))</f>
        <v/>
      </c>
      <c r="O87" s="54" t="str">
        <f>IFERROR(MATCH($A87,资金流水!$V$5:$V$3015,0),"")</f>
        <v/>
      </c>
    </row>
    <row r="88" spans="1:15">
      <c r="A88" s="29">
        <v>81</v>
      </c>
      <c r="B88" s="53" t="str">
        <f>IF($O88="","",IF(INDEX(资金流水!B$5:B$3032,$O88)="","",INDEX(资金流水!B$5:B$3032,$O88)))</f>
        <v/>
      </c>
      <c r="C88" s="10" t="str">
        <f>IF($O88="","",IF(INDEX(资金流水!C$5:C$3032,$O88)="","",INDEX(资金流水!C$5:C$3032,$O88)))</f>
        <v/>
      </c>
      <c r="D88" s="10" t="str">
        <f>IF($O88="","",IF(INDEX(资金流水!D$5:D$3032,$O88)="","",INDEX(资金流水!D$5:D$3032,$O88)))</f>
        <v/>
      </c>
      <c r="E88" s="29" t="str">
        <f>IF($O88="","",IF(INDEX(资金流水!E$5:E$3032,$O88)="","",INDEX(资金流水!E$5:E$3032,$O88)))</f>
        <v/>
      </c>
      <c r="F88" s="10" t="str">
        <f>IF($O88="","",IF(INDEX(资金流水!J$5:J$3032,$O88)="","",INDEX(资金流水!J$5:J$3032,$O88)))</f>
        <v/>
      </c>
      <c r="G88" s="11" t="str">
        <f>IF($O88="","",IF(INDEX(资金流水!K$5:K$3032,$O88)="","",INDEX(资金流水!K$5:K$3032,$O88)))</f>
        <v/>
      </c>
      <c r="H88" s="10" t="str">
        <f>IF($O88="","",IF(INDEX(资金流水!H$5:H$3032,$O88)="","",INDEX(资金流水!H$5:H$3032,$O88)))</f>
        <v/>
      </c>
      <c r="I88" s="11" t="str">
        <f>IF($O88="","",IF(INDEX(资金流水!L$5:L$3032,$O88)="","",INDEX(资金流水!L$5:L$3032,$O88)))</f>
        <v/>
      </c>
      <c r="J88" s="10" t="str">
        <f>IF($O88="","",IF(INDEX(资金流水!I$5:I$3032,$O88)="","",INDEX(资金流水!I$5:I$3032,$O88)))</f>
        <v/>
      </c>
      <c r="K88" s="29" t="str">
        <f>IF($O88="","",IF(INDEX(资金流水!T$5:T$3015,$O88)="","",INDEX(资金流水!T$5:T$3015,$O88)))</f>
        <v/>
      </c>
      <c r="L88" s="29" t="str">
        <f>IF($O88="","",IF(INDEX(资金流水!U$5:U$3015,$O88)="","",INDEX(资金流水!U$5:U$3015,$O88)))</f>
        <v/>
      </c>
      <c r="M88" s="10" t="str">
        <f>IF($O88="","",IF(INDEX(资金流水!Q$5:Q$3015,$O88)="","",INDEX(资金流水!Q$5:Q$3015,$O88)))</f>
        <v/>
      </c>
      <c r="O88" s="54" t="str">
        <f>IFERROR(MATCH($A88,资金流水!$V$5:$V$3015,0),"")</f>
        <v/>
      </c>
    </row>
    <row r="89" spans="1:15">
      <c r="A89" s="29">
        <v>82</v>
      </c>
      <c r="B89" s="53" t="str">
        <f>IF($O89="","",IF(INDEX(资金流水!B$5:B$3032,$O89)="","",INDEX(资金流水!B$5:B$3032,$O89)))</f>
        <v/>
      </c>
      <c r="C89" s="10" t="str">
        <f>IF($O89="","",IF(INDEX(资金流水!C$5:C$3032,$O89)="","",INDEX(资金流水!C$5:C$3032,$O89)))</f>
        <v/>
      </c>
      <c r="D89" s="10" t="str">
        <f>IF($O89="","",IF(INDEX(资金流水!D$5:D$3032,$O89)="","",INDEX(资金流水!D$5:D$3032,$O89)))</f>
        <v/>
      </c>
      <c r="E89" s="29" t="str">
        <f>IF($O89="","",IF(INDEX(资金流水!E$5:E$3032,$O89)="","",INDEX(资金流水!E$5:E$3032,$O89)))</f>
        <v/>
      </c>
      <c r="F89" s="10" t="str">
        <f>IF($O89="","",IF(INDEX(资金流水!J$5:J$3032,$O89)="","",INDEX(资金流水!J$5:J$3032,$O89)))</f>
        <v/>
      </c>
      <c r="G89" s="11" t="str">
        <f>IF($O89="","",IF(INDEX(资金流水!K$5:K$3032,$O89)="","",INDEX(资金流水!K$5:K$3032,$O89)))</f>
        <v/>
      </c>
      <c r="H89" s="10" t="str">
        <f>IF($O89="","",IF(INDEX(资金流水!H$5:H$3032,$O89)="","",INDEX(资金流水!H$5:H$3032,$O89)))</f>
        <v/>
      </c>
      <c r="I89" s="11" t="str">
        <f>IF($O89="","",IF(INDEX(资金流水!L$5:L$3032,$O89)="","",INDEX(资金流水!L$5:L$3032,$O89)))</f>
        <v/>
      </c>
      <c r="J89" s="10" t="str">
        <f>IF($O89="","",IF(INDEX(资金流水!I$5:I$3032,$O89)="","",INDEX(资金流水!I$5:I$3032,$O89)))</f>
        <v/>
      </c>
      <c r="K89" s="29" t="str">
        <f>IF($O89="","",IF(INDEX(资金流水!T$5:T$3015,$O89)="","",INDEX(资金流水!T$5:T$3015,$O89)))</f>
        <v/>
      </c>
      <c r="L89" s="29" t="str">
        <f>IF($O89="","",IF(INDEX(资金流水!U$5:U$3015,$O89)="","",INDEX(资金流水!U$5:U$3015,$O89)))</f>
        <v/>
      </c>
      <c r="M89" s="10" t="str">
        <f>IF($O89="","",IF(INDEX(资金流水!Q$5:Q$3015,$O89)="","",INDEX(资金流水!Q$5:Q$3015,$O89)))</f>
        <v/>
      </c>
      <c r="O89" s="54" t="str">
        <f>IFERROR(MATCH($A89,资金流水!$V$5:$V$3015,0),"")</f>
        <v/>
      </c>
    </row>
    <row r="90" spans="1:15">
      <c r="A90" s="29">
        <v>83</v>
      </c>
      <c r="B90" s="53" t="str">
        <f>IF($O90="","",IF(INDEX(资金流水!B$5:B$3032,$O90)="","",INDEX(资金流水!B$5:B$3032,$O90)))</f>
        <v/>
      </c>
      <c r="C90" s="10" t="str">
        <f>IF($O90="","",IF(INDEX(资金流水!C$5:C$3032,$O90)="","",INDEX(资金流水!C$5:C$3032,$O90)))</f>
        <v/>
      </c>
      <c r="D90" s="10" t="str">
        <f>IF($O90="","",IF(INDEX(资金流水!D$5:D$3032,$O90)="","",INDEX(资金流水!D$5:D$3032,$O90)))</f>
        <v/>
      </c>
      <c r="E90" s="29" t="str">
        <f>IF($O90="","",IF(INDEX(资金流水!E$5:E$3032,$O90)="","",INDEX(资金流水!E$5:E$3032,$O90)))</f>
        <v/>
      </c>
      <c r="F90" s="10" t="str">
        <f>IF($O90="","",IF(INDEX(资金流水!J$5:J$3032,$O90)="","",INDEX(资金流水!J$5:J$3032,$O90)))</f>
        <v/>
      </c>
      <c r="G90" s="11" t="str">
        <f>IF($O90="","",IF(INDEX(资金流水!K$5:K$3032,$O90)="","",INDEX(资金流水!K$5:K$3032,$O90)))</f>
        <v/>
      </c>
      <c r="H90" s="10" t="str">
        <f>IF($O90="","",IF(INDEX(资金流水!H$5:H$3032,$O90)="","",INDEX(资金流水!H$5:H$3032,$O90)))</f>
        <v/>
      </c>
      <c r="I90" s="11" t="str">
        <f>IF($O90="","",IF(INDEX(资金流水!L$5:L$3032,$O90)="","",INDEX(资金流水!L$5:L$3032,$O90)))</f>
        <v/>
      </c>
      <c r="J90" s="10" t="str">
        <f>IF($O90="","",IF(INDEX(资金流水!I$5:I$3032,$O90)="","",INDEX(资金流水!I$5:I$3032,$O90)))</f>
        <v/>
      </c>
      <c r="K90" s="29" t="str">
        <f>IF($O90="","",IF(INDEX(资金流水!T$5:T$3015,$O90)="","",INDEX(资金流水!T$5:T$3015,$O90)))</f>
        <v/>
      </c>
      <c r="L90" s="29" t="str">
        <f>IF($O90="","",IF(INDEX(资金流水!U$5:U$3015,$O90)="","",INDEX(资金流水!U$5:U$3015,$O90)))</f>
        <v/>
      </c>
      <c r="M90" s="10" t="str">
        <f>IF($O90="","",IF(INDEX(资金流水!Q$5:Q$3015,$O90)="","",INDEX(资金流水!Q$5:Q$3015,$O90)))</f>
        <v/>
      </c>
      <c r="O90" s="54" t="str">
        <f>IFERROR(MATCH($A90,资金流水!$V$5:$V$3015,0),"")</f>
        <v/>
      </c>
    </row>
    <row r="91" spans="1:15">
      <c r="A91" s="29">
        <v>84</v>
      </c>
      <c r="B91" s="53" t="str">
        <f>IF($O91="","",IF(INDEX(资金流水!B$5:B$3032,$O91)="","",INDEX(资金流水!B$5:B$3032,$O91)))</f>
        <v/>
      </c>
      <c r="C91" s="10" t="str">
        <f>IF($O91="","",IF(INDEX(资金流水!C$5:C$3032,$O91)="","",INDEX(资金流水!C$5:C$3032,$O91)))</f>
        <v/>
      </c>
      <c r="D91" s="10" t="str">
        <f>IF($O91="","",IF(INDEX(资金流水!D$5:D$3032,$O91)="","",INDEX(资金流水!D$5:D$3032,$O91)))</f>
        <v/>
      </c>
      <c r="E91" s="29" t="str">
        <f>IF($O91="","",IF(INDEX(资金流水!E$5:E$3032,$O91)="","",INDEX(资金流水!E$5:E$3032,$O91)))</f>
        <v/>
      </c>
      <c r="F91" s="10" t="str">
        <f>IF($O91="","",IF(INDEX(资金流水!J$5:J$3032,$O91)="","",INDEX(资金流水!J$5:J$3032,$O91)))</f>
        <v/>
      </c>
      <c r="G91" s="11" t="str">
        <f>IF($O91="","",IF(INDEX(资金流水!K$5:K$3032,$O91)="","",INDEX(资金流水!K$5:K$3032,$O91)))</f>
        <v/>
      </c>
      <c r="H91" s="10" t="str">
        <f>IF($O91="","",IF(INDEX(资金流水!H$5:H$3032,$O91)="","",INDEX(资金流水!H$5:H$3032,$O91)))</f>
        <v/>
      </c>
      <c r="I91" s="11" t="str">
        <f>IF($O91="","",IF(INDEX(资金流水!L$5:L$3032,$O91)="","",INDEX(资金流水!L$5:L$3032,$O91)))</f>
        <v/>
      </c>
      <c r="J91" s="10" t="str">
        <f>IF($O91="","",IF(INDEX(资金流水!I$5:I$3032,$O91)="","",INDEX(资金流水!I$5:I$3032,$O91)))</f>
        <v/>
      </c>
      <c r="K91" s="29" t="str">
        <f>IF($O91="","",IF(INDEX(资金流水!T$5:T$3015,$O91)="","",INDEX(资金流水!T$5:T$3015,$O91)))</f>
        <v/>
      </c>
      <c r="L91" s="29" t="str">
        <f>IF($O91="","",IF(INDEX(资金流水!U$5:U$3015,$O91)="","",INDEX(资金流水!U$5:U$3015,$O91)))</f>
        <v/>
      </c>
      <c r="M91" s="10" t="str">
        <f>IF($O91="","",IF(INDEX(资金流水!Q$5:Q$3015,$O91)="","",INDEX(资金流水!Q$5:Q$3015,$O91)))</f>
        <v/>
      </c>
      <c r="O91" s="54" t="str">
        <f>IFERROR(MATCH($A91,资金流水!$V$5:$V$3015,0),"")</f>
        <v/>
      </c>
    </row>
    <row r="92" spans="1:15">
      <c r="A92" s="29">
        <v>85</v>
      </c>
      <c r="B92" s="53" t="str">
        <f>IF($O92="","",IF(INDEX(资金流水!B$5:B$3032,$O92)="","",INDEX(资金流水!B$5:B$3032,$O92)))</f>
        <v/>
      </c>
      <c r="C92" s="10" t="str">
        <f>IF($O92="","",IF(INDEX(资金流水!C$5:C$3032,$O92)="","",INDEX(资金流水!C$5:C$3032,$O92)))</f>
        <v/>
      </c>
      <c r="D92" s="10" t="str">
        <f>IF($O92="","",IF(INDEX(资金流水!D$5:D$3032,$O92)="","",INDEX(资金流水!D$5:D$3032,$O92)))</f>
        <v/>
      </c>
      <c r="E92" s="29" t="str">
        <f>IF($O92="","",IF(INDEX(资金流水!E$5:E$3032,$O92)="","",INDEX(资金流水!E$5:E$3032,$O92)))</f>
        <v/>
      </c>
      <c r="F92" s="10" t="str">
        <f>IF($O92="","",IF(INDEX(资金流水!J$5:J$3032,$O92)="","",INDEX(资金流水!J$5:J$3032,$O92)))</f>
        <v/>
      </c>
      <c r="G92" s="11" t="str">
        <f>IF($O92="","",IF(INDEX(资金流水!K$5:K$3032,$O92)="","",INDEX(资金流水!K$5:K$3032,$O92)))</f>
        <v/>
      </c>
      <c r="H92" s="10" t="str">
        <f>IF($O92="","",IF(INDEX(资金流水!H$5:H$3032,$O92)="","",INDEX(资金流水!H$5:H$3032,$O92)))</f>
        <v/>
      </c>
      <c r="I92" s="11" t="str">
        <f>IF($O92="","",IF(INDEX(资金流水!L$5:L$3032,$O92)="","",INDEX(资金流水!L$5:L$3032,$O92)))</f>
        <v/>
      </c>
      <c r="J92" s="10" t="str">
        <f>IF($O92="","",IF(INDEX(资金流水!I$5:I$3032,$O92)="","",INDEX(资金流水!I$5:I$3032,$O92)))</f>
        <v/>
      </c>
      <c r="K92" s="29" t="str">
        <f>IF($O92="","",IF(INDEX(资金流水!T$5:T$3015,$O92)="","",INDEX(资金流水!T$5:T$3015,$O92)))</f>
        <v/>
      </c>
      <c r="L92" s="29" t="str">
        <f>IF($O92="","",IF(INDEX(资金流水!U$5:U$3015,$O92)="","",INDEX(资金流水!U$5:U$3015,$O92)))</f>
        <v/>
      </c>
      <c r="M92" s="10" t="str">
        <f>IF($O92="","",IF(INDEX(资金流水!Q$5:Q$3015,$O92)="","",INDEX(资金流水!Q$5:Q$3015,$O92)))</f>
        <v/>
      </c>
      <c r="O92" s="54" t="str">
        <f>IFERROR(MATCH($A92,资金流水!$V$5:$V$3015,0),"")</f>
        <v/>
      </c>
    </row>
    <row r="93" spans="1:15">
      <c r="A93" s="29">
        <v>86</v>
      </c>
      <c r="B93" s="53" t="str">
        <f>IF($O93="","",IF(INDEX(资金流水!B$5:B$3032,$O93)="","",INDEX(资金流水!B$5:B$3032,$O93)))</f>
        <v/>
      </c>
      <c r="C93" s="10" t="str">
        <f>IF($O93="","",IF(INDEX(资金流水!C$5:C$3032,$O93)="","",INDEX(资金流水!C$5:C$3032,$O93)))</f>
        <v/>
      </c>
      <c r="D93" s="10" t="str">
        <f>IF($O93="","",IF(INDEX(资金流水!D$5:D$3032,$O93)="","",INDEX(资金流水!D$5:D$3032,$O93)))</f>
        <v/>
      </c>
      <c r="E93" s="29" t="str">
        <f>IF($O93="","",IF(INDEX(资金流水!E$5:E$3032,$O93)="","",INDEX(资金流水!E$5:E$3032,$O93)))</f>
        <v/>
      </c>
      <c r="F93" s="10" t="str">
        <f>IF($O93="","",IF(INDEX(资金流水!J$5:J$3032,$O93)="","",INDEX(资金流水!J$5:J$3032,$O93)))</f>
        <v/>
      </c>
      <c r="G93" s="11" t="str">
        <f>IF($O93="","",IF(INDEX(资金流水!K$5:K$3032,$O93)="","",INDEX(资金流水!K$5:K$3032,$O93)))</f>
        <v/>
      </c>
      <c r="H93" s="10" t="str">
        <f>IF($O93="","",IF(INDEX(资金流水!H$5:H$3032,$O93)="","",INDEX(资金流水!H$5:H$3032,$O93)))</f>
        <v/>
      </c>
      <c r="I93" s="11" t="str">
        <f>IF($O93="","",IF(INDEX(资金流水!L$5:L$3032,$O93)="","",INDEX(资金流水!L$5:L$3032,$O93)))</f>
        <v/>
      </c>
      <c r="J93" s="10" t="str">
        <f>IF($O93="","",IF(INDEX(资金流水!I$5:I$3032,$O93)="","",INDEX(资金流水!I$5:I$3032,$O93)))</f>
        <v/>
      </c>
      <c r="K93" s="29" t="str">
        <f>IF($O93="","",IF(INDEX(资金流水!T$5:T$3015,$O93)="","",INDEX(资金流水!T$5:T$3015,$O93)))</f>
        <v/>
      </c>
      <c r="L93" s="29" t="str">
        <f>IF($O93="","",IF(INDEX(资金流水!U$5:U$3015,$O93)="","",INDEX(资金流水!U$5:U$3015,$O93)))</f>
        <v/>
      </c>
      <c r="M93" s="10" t="str">
        <f>IF($O93="","",IF(INDEX(资金流水!Q$5:Q$3015,$O93)="","",INDEX(资金流水!Q$5:Q$3015,$O93)))</f>
        <v/>
      </c>
      <c r="O93" s="54" t="str">
        <f>IFERROR(MATCH($A93,资金流水!$V$5:$V$3015,0),"")</f>
        <v/>
      </c>
    </row>
    <row r="94" spans="1:15">
      <c r="A94" s="29">
        <v>87</v>
      </c>
      <c r="B94" s="53" t="str">
        <f>IF($O94="","",IF(INDEX(资金流水!B$5:B$3032,$O94)="","",INDEX(资金流水!B$5:B$3032,$O94)))</f>
        <v/>
      </c>
      <c r="C94" s="10" t="str">
        <f>IF($O94="","",IF(INDEX(资金流水!C$5:C$3032,$O94)="","",INDEX(资金流水!C$5:C$3032,$O94)))</f>
        <v/>
      </c>
      <c r="D94" s="10" t="str">
        <f>IF($O94="","",IF(INDEX(资金流水!D$5:D$3032,$O94)="","",INDEX(资金流水!D$5:D$3032,$O94)))</f>
        <v/>
      </c>
      <c r="E94" s="29" t="str">
        <f>IF($O94="","",IF(INDEX(资金流水!E$5:E$3032,$O94)="","",INDEX(资金流水!E$5:E$3032,$O94)))</f>
        <v/>
      </c>
      <c r="F94" s="10" t="str">
        <f>IF($O94="","",IF(INDEX(资金流水!J$5:J$3032,$O94)="","",INDEX(资金流水!J$5:J$3032,$O94)))</f>
        <v/>
      </c>
      <c r="G94" s="11" t="str">
        <f>IF($O94="","",IF(INDEX(资金流水!K$5:K$3032,$O94)="","",INDEX(资金流水!K$5:K$3032,$O94)))</f>
        <v/>
      </c>
      <c r="H94" s="10" t="str">
        <f>IF($O94="","",IF(INDEX(资金流水!H$5:H$3032,$O94)="","",INDEX(资金流水!H$5:H$3032,$O94)))</f>
        <v/>
      </c>
      <c r="I94" s="11" t="str">
        <f>IF($O94="","",IF(INDEX(资金流水!L$5:L$3032,$O94)="","",INDEX(资金流水!L$5:L$3032,$O94)))</f>
        <v/>
      </c>
      <c r="J94" s="10" t="str">
        <f>IF($O94="","",IF(INDEX(资金流水!I$5:I$3032,$O94)="","",INDEX(资金流水!I$5:I$3032,$O94)))</f>
        <v/>
      </c>
      <c r="K94" s="29" t="str">
        <f>IF($O94="","",IF(INDEX(资金流水!T$5:T$3015,$O94)="","",INDEX(资金流水!T$5:T$3015,$O94)))</f>
        <v/>
      </c>
      <c r="L94" s="29" t="str">
        <f>IF($O94="","",IF(INDEX(资金流水!U$5:U$3015,$O94)="","",INDEX(资金流水!U$5:U$3015,$O94)))</f>
        <v/>
      </c>
      <c r="M94" s="10" t="str">
        <f>IF($O94="","",IF(INDEX(资金流水!Q$5:Q$3015,$O94)="","",INDEX(资金流水!Q$5:Q$3015,$O94)))</f>
        <v/>
      </c>
      <c r="O94" s="54" t="str">
        <f>IFERROR(MATCH($A94,资金流水!$V$5:$V$3015,0),"")</f>
        <v/>
      </c>
    </row>
    <row r="95" spans="1:15">
      <c r="A95" s="29">
        <v>88</v>
      </c>
      <c r="B95" s="53" t="str">
        <f>IF($O95="","",IF(INDEX(资金流水!B$5:B$3032,$O95)="","",INDEX(资金流水!B$5:B$3032,$O95)))</f>
        <v/>
      </c>
      <c r="C95" s="10" t="str">
        <f>IF($O95="","",IF(INDEX(资金流水!C$5:C$3032,$O95)="","",INDEX(资金流水!C$5:C$3032,$O95)))</f>
        <v/>
      </c>
      <c r="D95" s="10" t="str">
        <f>IF($O95="","",IF(INDEX(资金流水!D$5:D$3032,$O95)="","",INDEX(资金流水!D$5:D$3032,$O95)))</f>
        <v/>
      </c>
      <c r="E95" s="29" t="str">
        <f>IF($O95="","",IF(INDEX(资金流水!E$5:E$3032,$O95)="","",INDEX(资金流水!E$5:E$3032,$O95)))</f>
        <v/>
      </c>
      <c r="F95" s="10" t="str">
        <f>IF($O95="","",IF(INDEX(资金流水!J$5:J$3032,$O95)="","",INDEX(资金流水!J$5:J$3032,$O95)))</f>
        <v/>
      </c>
      <c r="G95" s="11" t="str">
        <f>IF($O95="","",IF(INDEX(资金流水!K$5:K$3032,$O95)="","",INDEX(资金流水!K$5:K$3032,$O95)))</f>
        <v/>
      </c>
      <c r="H95" s="10" t="str">
        <f>IF($O95="","",IF(INDEX(资金流水!H$5:H$3032,$O95)="","",INDEX(资金流水!H$5:H$3032,$O95)))</f>
        <v/>
      </c>
      <c r="I95" s="11" t="str">
        <f>IF($O95="","",IF(INDEX(资金流水!L$5:L$3032,$O95)="","",INDEX(资金流水!L$5:L$3032,$O95)))</f>
        <v/>
      </c>
      <c r="J95" s="10" t="str">
        <f>IF($O95="","",IF(INDEX(资金流水!I$5:I$3032,$O95)="","",INDEX(资金流水!I$5:I$3032,$O95)))</f>
        <v/>
      </c>
      <c r="K95" s="29" t="str">
        <f>IF($O95="","",IF(INDEX(资金流水!T$5:T$3015,$O95)="","",INDEX(资金流水!T$5:T$3015,$O95)))</f>
        <v/>
      </c>
      <c r="L95" s="29" t="str">
        <f>IF($O95="","",IF(INDEX(资金流水!U$5:U$3015,$O95)="","",INDEX(资金流水!U$5:U$3015,$O95)))</f>
        <v/>
      </c>
      <c r="M95" s="10" t="str">
        <f>IF($O95="","",IF(INDEX(资金流水!Q$5:Q$3015,$O95)="","",INDEX(资金流水!Q$5:Q$3015,$O95)))</f>
        <v/>
      </c>
      <c r="O95" s="54" t="str">
        <f>IFERROR(MATCH($A95,资金流水!$V$5:$V$3015,0),"")</f>
        <v/>
      </c>
    </row>
    <row r="96" spans="1:15">
      <c r="A96" s="29">
        <v>89</v>
      </c>
      <c r="B96" s="53" t="str">
        <f>IF($O96="","",IF(INDEX(资金流水!B$5:B$3032,$O96)="","",INDEX(资金流水!B$5:B$3032,$O96)))</f>
        <v/>
      </c>
      <c r="C96" s="10" t="str">
        <f>IF($O96="","",IF(INDEX(资金流水!C$5:C$3032,$O96)="","",INDEX(资金流水!C$5:C$3032,$O96)))</f>
        <v/>
      </c>
      <c r="D96" s="10" t="str">
        <f>IF($O96="","",IF(INDEX(资金流水!D$5:D$3032,$O96)="","",INDEX(资金流水!D$5:D$3032,$O96)))</f>
        <v/>
      </c>
      <c r="E96" s="29" t="str">
        <f>IF($O96="","",IF(INDEX(资金流水!E$5:E$3032,$O96)="","",INDEX(资金流水!E$5:E$3032,$O96)))</f>
        <v/>
      </c>
      <c r="F96" s="10" t="str">
        <f>IF($O96="","",IF(INDEX(资金流水!J$5:J$3032,$O96)="","",INDEX(资金流水!J$5:J$3032,$O96)))</f>
        <v/>
      </c>
      <c r="G96" s="11" t="str">
        <f>IF($O96="","",IF(INDEX(资金流水!K$5:K$3032,$O96)="","",INDEX(资金流水!K$5:K$3032,$O96)))</f>
        <v/>
      </c>
      <c r="H96" s="10" t="str">
        <f>IF($O96="","",IF(INDEX(资金流水!H$5:H$3032,$O96)="","",INDEX(资金流水!H$5:H$3032,$O96)))</f>
        <v/>
      </c>
      <c r="I96" s="11" t="str">
        <f>IF($O96="","",IF(INDEX(资金流水!L$5:L$3032,$O96)="","",INDEX(资金流水!L$5:L$3032,$O96)))</f>
        <v/>
      </c>
      <c r="J96" s="10" t="str">
        <f>IF($O96="","",IF(INDEX(资金流水!I$5:I$3032,$O96)="","",INDEX(资金流水!I$5:I$3032,$O96)))</f>
        <v/>
      </c>
      <c r="K96" s="29" t="str">
        <f>IF($O96="","",IF(INDEX(资金流水!T$5:T$3015,$O96)="","",INDEX(资金流水!T$5:T$3015,$O96)))</f>
        <v/>
      </c>
      <c r="L96" s="29" t="str">
        <f>IF($O96="","",IF(INDEX(资金流水!U$5:U$3015,$O96)="","",INDEX(资金流水!U$5:U$3015,$O96)))</f>
        <v/>
      </c>
      <c r="M96" s="10" t="str">
        <f>IF($O96="","",IF(INDEX(资金流水!Q$5:Q$3015,$O96)="","",INDEX(资金流水!Q$5:Q$3015,$O96)))</f>
        <v/>
      </c>
      <c r="O96" s="54" t="str">
        <f>IFERROR(MATCH($A96,资金流水!$V$5:$V$3015,0),"")</f>
        <v/>
      </c>
    </row>
    <row r="97" spans="1:15">
      <c r="A97" s="29">
        <v>90</v>
      </c>
      <c r="B97" s="53" t="str">
        <f>IF($O97="","",IF(INDEX(资金流水!B$5:B$3032,$O97)="","",INDEX(资金流水!B$5:B$3032,$O97)))</f>
        <v/>
      </c>
      <c r="C97" s="10" t="str">
        <f>IF($O97="","",IF(INDEX(资金流水!C$5:C$3032,$O97)="","",INDEX(资金流水!C$5:C$3032,$O97)))</f>
        <v/>
      </c>
      <c r="D97" s="10" t="str">
        <f>IF($O97="","",IF(INDEX(资金流水!D$5:D$3032,$O97)="","",INDEX(资金流水!D$5:D$3032,$O97)))</f>
        <v/>
      </c>
      <c r="E97" s="29" t="str">
        <f>IF($O97="","",IF(INDEX(资金流水!E$5:E$3032,$O97)="","",INDEX(资金流水!E$5:E$3032,$O97)))</f>
        <v/>
      </c>
      <c r="F97" s="10" t="str">
        <f>IF($O97="","",IF(INDEX(资金流水!J$5:J$3032,$O97)="","",INDEX(资金流水!J$5:J$3032,$O97)))</f>
        <v/>
      </c>
      <c r="G97" s="11" t="str">
        <f>IF($O97="","",IF(INDEX(资金流水!K$5:K$3032,$O97)="","",INDEX(资金流水!K$5:K$3032,$O97)))</f>
        <v/>
      </c>
      <c r="H97" s="10" t="str">
        <f>IF($O97="","",IF(INDEX(资金流水!H$5:H$3032,$O97)="","",INDEX(资金流水!H$5:H$3032,$O97)))</f>
        <v/>
      </c>
      <c r="I97" s="11" t="str">
        <f>IF($O97="","",IF(INDEX(资金流水!L$5:L$3032,$O97)="","",INDEX(资金流水!L$5:L$3032,$O97)))</f>
        <v/>
      </c>
      <c r="J97" s="10" t="str">
        <f>IF($O97="","",IF(INDEX(资金流水!I$5:I$3032,$O97)="","",INDEX(资金流水!I$5:I$3032,$O97)))</f>
        <v/>
      </c>
      <c r="K97" s="29" t="str">
        <f>IF($O97="","",IF(INDEX(资金流水!T$5:T$3015,$O97)="","",INDEX(资金流水!T$5:T$3015,$O97)))</f>
        <v/>
      </c>
      <c r="L97" s="29" t="str">
        <f>IF($O97="","",IF(INDEX(资金流水!U$5:U$3015,$O97)="","",INDEX(资金流水!U$5:U$3015,$O97)))</f>
        <v/>
      </c>
      <c r="M97" s="10" t="str">
        <f>IF($O97="","",IF(INDEX(资金流水!Q$5:Q$3015,$O97)="","",INDEX(资金流水!Q$5:Q$3015,$O97)))</f>
        <v/>
      </c>
      <c r="O97" s="54" t="str">
        <f>IFERROR(MATCH($A97,资金流水!$V$5:$V$3015,0),"")</f>
        <v/>
      </c>
    </row>
    <row r="98" spans="1:15">
      <c r="A98" s="29">
        <v>91</v>
      </c>
      <c r="B98" s="53" t="str">
        <f>IF($O98="","",IF(INDEX(资金流水!B$5:B$3032,$O98)="","",INDEX(资金流水!B$5:B$3032,$O98)))</f>
        <v/>
      </c>
      <c r="C98" s="10" t="str">
        <f>IF($O98="","",IF(INDEX(资金流水!C$5:C$3032,$O98)="","",INDEX(资金流水!C$5:C$3032,$O98)))</f>
        <v/>
      </c>
      <c r="D98" s="10" t="str">
        <f>IF($O98="","",IF(INDEX(资金流水!D$5:D$3032,$O98)="","",INDEX(资金流水!D$5:D$3032,$O98)))</f>
        <v/>
      </c>
      <c r="E98" s="29" t="str">
        <f>IF($O98="","",IF(INDEX(资金流水!E$5:E$3032,$O98)="","",INDEX(资金流水!E$5:E$3032,$O98)))</f>
        <v/>
      </c>
      <c r="F98" s="10" t="str">
        <f>IF($O98="","",IF(INDEX(资金流水!J$5:J$3032,$O98)="","",INDEX(资金流水!J$5:J$3032,$O98)))</f>
        <v/>
      </c>
      <c r="G98" s="11" t="str">
        <f>IF($O98="","",IF(INDEX(资金流水!K$5:K$3032,$O98)="","",INDEX(资金流水!K$5:K$3032,$O98)))</f>
        <v/>
      </c>
      <c r="H98" s="10" t="str">
        <f>IF($O98="","",IF(INDEX(资金流水!H$5:H$3032,$O98)="","",INDEX(资金流水!H$5:H$3032,$O98)))</f>
        <v/>
      </c>
      <c r="I98" s="11" t="str">
        <f>IF($O98="","",IF(INDEX(资金流水!L$5:L$3032,$O98)="","",INDEX(资金流水!L$5:L$3032,$O98)))</f>
        <v/>
      </c>
      <c r="J98" s="10" t="str">
        <f>IF($O98="","",IF(INDEX(资金流水!I$5:I$3032,$O98)="","",INDEX(资金流水!I$5:I$3032,$O98)))</f>
        <v/>
      </c>
      <c r="K98" s="29" t="str">
        <f>IF($O98="","",IF(INDEX(资金流水!T$5:T$3015,$O98)="","",INDEX(资金流水!T$5:T$3015,$O98)))</f>
        <v/>
      </c>
      <c r="L98" s="29" t="str">
        <f>IF($O98="","",IF(INDEX(资金流水!U$5:U$3015,$O98)="","",INDEX(资金流水!U$5:U$3015,$O98)))</f>
        <v/>
      </c>
      <c r="M98" s="10" t="str">
        <f>IF($O98="","",IF(INDEX(资金流水!Q$5:Q$3015,$O98)="","",INDEX(资金流水!Q$5:Q$3015,$O98)))</f>
        <v/>
      </c>
      <c r="O98" s="54" t="str">
        <f>IFERROR(MATCH($A98,资金流水!$V$5:$V$3015,0),"")</f>
        <v/>
      </c>
    </row>
    <row r="99" spans="1:15">
      <c r="A99" s="29">
        <v>92</v>
      </c>
      <c r="B99" s="53" t="str">
        <f>IF($O99="","",IF(INDEX(资金流水!B$5:B$3032,$O99)="","",INDEX(资金流水!B$5:B$3032,$O99)))</f>
        <v/>
      </c>
      <c r="C99" s="10" t="str">
        <f>IF($O99="","",IF(INDEX(资金流水!C$5:C$3032,$O99)="","",INDEX(资金流水!C$5:C$3032,$O99)))</f>
        <v/>
      </c>
      <c r="D99" s="10" t="str">
        <f>IF($O99="","",IF(INDEX(资金流水!D$5:D$3032,$O99)="","",INDEX(资金流水!D$5:D$3032,$O99)))</f>
        <v/>
      </c>
      <c r="E99" s="29" t="str">
        <f>IF($O99="","",IF(INDEX(资金流水!E$5:E$3032,$O99)="","",INDEX(资金流水!E$5:E$3032,$O99)))</f>
        <v/>
      </c>
      <c r="F99" s="10" t="str">
        <f>IF($O99="","",IF(INDEX(资金流水!J$5:J$3032,$O99)="","",INDEX(资金流水!J$5:J$3032,$O99)))</f>
        <v/>
      </c>
      <c r="G99" s="11" t="str">
        <f>IF($O99="","",IF(INDEX(资金流水!K$5:K$3032,$O99)="","",INDEX(资金流水!K$5:K$3032,$O99)))</f>
        <v/>
      </c>
      <c r="H99" s="10" t="str">
        <f>IF($O99="","",IF(INDEX(资金流水!H$5:H$3032,$O99)="","",INDEX(资金流水!H$5:H$3032,$O99)))</f>
        <v/>
      </c>
      <c r="I99" s="11" t="str">
        <f>IF($O99="","",IF(INDEX(资金流水!L$5:L$3032,$O99)="","",INDEX(资金流水!L$5:L$3032,$O99)))</f>
        <v/>
      </c>
      <c r="J99" s="10" t="str">
        <f>IF($O99="","",IF(INDEX(资金流水!I$5:I$3032,$O99)="","",INDEX(资金流水!I$5:I$3032,$O99)))</f>
        <v/>
      </c>
      <c r="K99" s="29" t="str">
        <f>IF($O99="","",IF(INDEX(资金流水!T$5:T$3015,$O99)="","",INDEX(资金流水!T$5:T$3015,$O99)))</f>
        <v/>
      </c>
      <c r="L99" s="29" t="str">
        <f>IF($O99="","",IF(INDEX(资金流水!U$5:U$3015,$O99)="","",INDEX(资金流水!U$5:U$3015,$O99)))</f>
        <v/>
      </c>
      <c r="M99" s="10" t="str">
        <f>IF($O99="","",IF(INDEX(资金流水!Q$5:Q$3015,$O99)="","",INDEX(资金流水!Q$5:Q$3015,$O99)))</f>
        <v/>
      </c>
      <c r="O99" s="54" t="str">
        <f>IFERROR(MATCH($A99,资金流水!$V$5:$V$3015,0),"")</f>
        <v/>
      </c>
    </row>
    <row r="100" spans="1:15">
      <c r="A100" s="29">
        <v>93</v>
      </c>
      <c r="B100" s="53" t="str">
        <f>IF($O100="","",IF(INDEX(资金流水!B$5:B$3032,$O100)="","",INDEX(资金流水!B$5:B$3032,$O100)))</f>
        <v/>
      </c>
      <c r="C100" s="10" t="str">
        <f>IF($O100="","",IF(INDEX(资金流水!C$5:C$3032,$O100)="","",INDEX(资金流水!C$5:C$3032,$O100)))</f>
        <v/>
      </c>
      <c r="D100" s="10" t="str">
        <f>IF($O100="","",IF(INDEX(资金流水!D$5:D$3032,$O100)="","",INDEX(资金流水!D$5:D$3032,$O100)))</f>
        <v/>
      </c>
      <c r="E100" s="29" t="str">
        <f>IF($O100="","",IF(INDEX(资金流水!E$5:E$3032,$O100)="","",INDEX(资金流水!E$5:E$3032,$O100)))</f>
        <v/>
      </c>
      <c r="F100" s="10" t="str">
        <f>IF($O100="","",IF(INDEX(资金流水!J$5:J$3032,$O100)="","",INDEX(资金流水!J$5:J$3032,$O100)))</f>
        <v/>
      </c>
      <c r="G100" s="11" t="str">
        <f>IF($O100="","",IF(INDEX(资金流水!K$5:K$3032,$O100)="","",INDEX(资金流水!K$5:K$3032,$O100)))</f>
        <v/>
      </c>
      <c r="H100" s="10" t="str">
        <f>IF($O100="","",IF(INDEX(资金流水!H$5:H$3032,$O100)="","",INDEX(资金流水!H$5:H$3032,$O100)))</f>
        <v/>
      </c>
      <c r="I100" s="11" t="str">
        <f>IF($O100="","",IF(INDEX(资金流水!L$5:L$3032,$O100)="","",INDEX(资金流水!L$5:L$3032,$O100)))</f>
        <v/>
      </c>
      <c r="J100" s="10" t="str">
        <f>IF($O100="","",IF(INDEX(资金流水!I$5:I$3032,$O100)="","",INDEX(资金流水!I$5:I$3032,$O100)))</f>
        <v/>
      </c>
      <c r="K100" s="29" t="str">
        <f>IF($O100="","",IF(INDEX(资金流水!T$5:T$3015,$O100)="","",INDEX(资金流水!T$5:T$3015,$O100)))</f>
        <v/>
      </c>
      <c r="L100" s="29" t="str">
        <f>IF($O100="","",IF(INDEX(资金流水!U$5:U$3015,$O100)="","",INDEX(资金流水!U$5:U$3015,$O100)))</f>
        <v/>
      </c>
      <c r="M100" s="10" t="str">
        <f>IF($O100="","",IF(INDEX(资金流水!Q$5:Q$3015,$O100)="","",INDEX(资金流水!Q$5:Q$3015,$O100)))</f>
        <v/>
      </c>
      <c r="O100" s="54" t="str">
        <f>IFERROR(MATCH($A100,资金流水!$V$5:$V$3015,0),"")</f>
        <v/>
      </c>
    </row>
    <row r="101" spans="1:15">
      <c r="A101" s="29">
        <v>94</v>
      </c>
      <c r="B101" s="53" t="str">
        <f>IF($O101="","",IF(INDEX(资金流水!B$5:B$3032,$O101)="","",INDEX(资金流水!B$5:B$3032,$O101)))</f>
        <v/>
      </c>
      <c r="C101" s="10" t="str">
        <f>IF($O101="","",IF(INDEX(资金流水!C$5:C$3032,$O101)="","",INDEX(资金流水!C$5:C$3032,$O101)))</f>
        <v/>
      </c>
      <c r="D101" s="10" t="str">
        <f>IF($O101="","",IF(INDEX(资金流水!D$5:D$3032,$O101)="","",INDEX(资金流水!D$5:D$3032,$O101)))</f>
        <v/>
      </c>
      <c r="E101" s="29" t="str">
        <f>IF($O101="","",IF(INDEX(资金流水!E$5:E$3032,$O101)="","",INDEX(资金流水!E$5:E$3032,$O101)))</f>
        <v/>
      </c>
      <c r="F101" s="10" t="str">
        <f>IF($O101="","",IF(INDEX(资金流水!J$5:J$3032,$O101)="","",INDEX(资金流水!J$5:J$3032,$O101)))</f>
        <v/>
      </c>
      <c r="G101" s="11" t="str">
        <f>IF($O101="","",IF(INDEX(资金流水!K$5:K$3032,$O101)="","",INDEX(资金流水!K$5:K$3032,$O101)))</f>
        <v/>
      </c>
      <c r="H101" s="10" t="str">
        <f>IF($O101="","",IF(INDEX(资金流水!H$5:H$3032,$O101)="","",INDEX(资金流水!H$5:H$3032,$O101)))</f>
        <v/>
      </c>
      <c r="I101" s="11" t="str">
        <f>IF($O101="","",IF(INDEX(资金流水!L$5:L$3032,$O101)="","",INDEX(资金流水!L$5:L$3032,$O101)))</f>
        <v/>
      </c>
      <c r="J101" s="10" t="str">
        <f>IF($O101="","",IF(INDEX(资金流水!I$5:I$3032,$O101)="","",INDEX(资金流水!I$5:I$3032,$O101)))</f>
        <v/>
      </c>
      <c r="K101" s="29" t="str">
        <f>IF($O101="","",IF(INDEX(资金流水!T$5:T$3015,$O101)="","",INDEX(资金流水!T$5:T$3015,$O101)))</f>
        <v/>
      </c>
      <c r="L101" s="29" t="str">
        <f>IF($O101="","",IF(INDEX(资金流水!U$5:U$3015,$O101)="","",INDEX(资金流水!U$5:U$3015,$O101)))</f>
        <v/>
      </c>
      <c r="M101" s="10" t="str">
        <f>IF($O101="","",IF(INDEX(资金流水!Q$5:Q$3015,$O101)="","",INDEX(资金流水!Q$5:Q$3015,$O101)))</f>
        <v/>
      </c>
      <c r="O101" s="54" t="str">
        <f>IFERROR(MATCH($A101,资金流水!$V$5:$V$3015,0),"")</f>
        <v/>
      </c>
    </row>
    <row r="102" spans="1:15">
      <c r="A102" s="29">
        <v>95</v>
      </c>
      <c r="B102" s="53" t="str">
        <f>IF($O102="","",IF(INDEX(资金流水!B$5:B$3032,$O102)="","",INDEX(资金流水!B$5:B$3032,$O102)))</f>
        <v/>
      </c>
      <c r="C102" s="10" t="str">
        <f>IF($O102="","",IF(INDEX(资金流水!C$5:C$3032,$O102)="","",INDEX(资金流水!C$5:C$3032,$O102)))</f>
        <v/>
      </c>
      <c r="D102" s="10" t="str">
        <f>IF($O102="","",IF(INDEX(资金流水!D$5:D$3032,$O102)="","",INDEX(资金流水!D$5:D$3032,$O102)))</f>
        <v/>
      </c>
      <c r="E102" s="29" t="str">
        <f>IF($O102="","",IF(INDEX(资金流水!E$5:E$3032,$O102)="","",INDEX(资金流水!E$5:E$3032,$O102)))</f>
        <v/>
      </c>
      <c r="F102" s="10" t="str">
        <f>IF($O102="","",IF(INDEX(资金流水!J$5:J$3032,$O102)="","",INDEX(资金流水!J$5:J$3032,$O102)))</f>
        <v/>
      </c>
      <c r="G102" s="11" t="str">
        <f>IF($O102="","",IF(INDEX(资金流水!K$5:K$3032,$O102)="","",INDEX(资金流水!K$5:K$3032,$O102)))</f>
        <v/>
      </c>
      <c r="H102" s="10" t="str">
        <f>IF($O102="","",IF(INDEX(资金流水!H$5:H$3032,$O102)="","",INDEX(资金流水!H$5:H$3032,$O102)))</f>
        <v/>
      </c>
      <c r="I102" s="11" t="str">
        <f>IF($O102="","",IF(INDEX(资金流水!L$5:L$3032,$O102)="","",INDEX(资金流水!L$5:L$3032,$O102)))</f>
        <v/>
      </c>
      <c r="J102" s="10" t="str">
        <f>IF($O102="","",IF(INDEX(资金流水!I$5:I$3032,$O102)="","",INDEX(资金流水!I$5:I$3032,$O102)))</f>
        <v/>
      </c>
      <c r="K102" s="29" t="str">
        <f>IF($O102="","",IF(INDEX(资金流水!T$5:T$3015,$O102)="","",INDEX(资金流水!T$5:T$3015,$O102)))</f>
        <v/>
      </c>
      <c r="L102" s="29" t="str">
        <f>IF($O102="","",IF(INDEX(资金流水!U$5:U$3015,$O102)="","",INDEX(资金流水!U$5:U$3015,$O102)))</f>
        <v/>
      </c>
      <c r="M102" s="10" t="str">
        <f>IF($O102="","",IF(INDEX(资金流水!Q$5:Q$3015,$O102)="","",INDEX(资金流水!Q$5:Q$3015,$O102)))</f>
        <v/>
      </c>
      <c r="O102" s="54" t="str">
        <f>IFERROR(MATCH($A102,资金流水!$V$5:$V$3015,0),"")</f>
        <v/>
      </c>
    </row>
    <row r="103" spans="1:15">
      <c r="A103" s="29">
        <v>96</v>
      </c>
      <c r="B103" s="53" t="str">
        <f>IF($O103="","",IF(INDEX(资金流水!B$5:B$3032,$O103)="","",INDEX(资金流水!B$5:B$3032,$O103)))</f>
        <v/>
      </c>
      <c r="C103" s="10" t="str">
        <f>IF($O103="","",IF(INDEX(资金流水!C$5:C$3032,$O103)="","",INDEX(资金流水!C$5:C$3032,$O103)))</f>
        <v/>
      </c>
      <c r="D103" s="10" t="str">
        <f>IF($O103="","",IF(INDEX(资金流水!D$5:D$3032,$O103)="","",INDEX(资金流水!D$5:D$3032,$O103)))</f>
        <v/>
      </c>
      <c r="E103" s="29" t="str">
        <f>IF($O103="","",IF(INDEX(资金流水!E$5:E$3032,$O103)="","",INDEX(资金流水!E$5:E$3032,$O103)))</f>
        <v/>
      </c>
      <c r="F103" s="10" t="str">
        <f>IF($O103="","",IF(INDEX(资金流水!J$5:J$3032,$O103)="","",INDEX(资金流水!J$5:J$3032,$O103)))</f>
        <v/>
      </c>
      <c r="G103" s="11" t="str">
        <f>IF($O103="","",IF(INDEX(资金流水!K$5:K$3032,$O103)="","",INDEX(资金流水!K$5:K$3032,$O103)))</f>
        <v/>
      </c>
      <c r="H103" s="10" t="str">
        <f>IF($O103="","",IF(INDEX(资金流水!H$5:H$3032,$O103)="","",INDEX(资金流水!H$5:H$3032,$O103)))</f>
        <v/>
      </c>
      <c r="I103" s="11" t="str">
        <f>IF($O103="","",IF(INDEX(资金流水!L$5:L$3032,$O103)="","",INDEX(资金流水!L$5:L$3032,$O103)))</f>
        <v/>
      </c>
      <c r="J103" s="10" t="str">
        <f>IF($O103="","",IF(INDEX(资金流水!I$5:I$3032,$O103)="","",INDEX(资金流水!I$5:I$3032,$O103)))</f>
        <v/>
      </c>
      <c r="K103" s="29" t="str">
        <f>IF($O103="","",IF(INDEX(资金流水!T$5:T$3015,$O103)="","",INDEX(资金流水!T$5:T$3015,$O103)))</f>
        <v/>
      </c>
      <c r="L103" s="29" t="str">
        <f>IF($O103="","",IF(INDEX(资金流水!U$5:U$3015,$O103)="","",INDEX(资金流水!U$5:U$3015,$O103)))</f>
        <v/>
      </c>
      <c r="M103" s="10" t="str">
        <f>IF($O103="","",IF(INDEX(资金流水!Q$5:Q$3015,$O103)="","",INDEX(资金流水!Q$5:Q$3015,$O103)))</f>
        <v/>
      </c>
      <c r="O103" s="54" t="str">
        <f>IFERROR(MATCH($A103,资金流水!$V$5:$V$3015,0),"")</f>
        <v/>
      </c>
    </row>
    <row r="104" spans="1:15">
      <c r="A104" s="29">
        <v>97</v>
      </c>
      <c r="B104" s="53" t="str">
        <f>IF($O104="","",IF(INDEX(资金流水!B$5:B$3032,$O104)="","",INDEX(资金流水!B$5:B$3032,$O104)))</f>
        <v/>
      </c>
      <c r="C104" s="10" t="str">
        <f>IF($O104="","",IF(INDEX(资金流水!C$5:C$3032,$O104)="","",INDEX(资金流水!C$5:C$3032,$O104)))</f>
        <v/>
      </c>
      <c r="D104" s="10" t="str">
        <f>IF($O104="","",IF(INDEX(资金流水!D$5:D$3032,$O104)="","",INDEX(资金流水!D$5:D$3032,$O104)))</f>
        <v/>
      </c>
      <c r="E104" s="29" t="str">
        <f>IF($O104="","",IF(INDEX(资金流水!E$5:E$3032,$O104)="","",INDEX(资金流水!E$5:E$3032,$O104)))</f>
        <v/>
      </c>
      <c r="F104" s="10" t="str">
        <f>IF($O104="","",IF(INDEX(资金流水!J$5:J$3032,$O104)="","",INDEX(资金流水!J$5:J$3032,$O104)))</f>
        <v/>
      </c>
      <c r="G104" s="11" t="str">
        <f>IF($O104="","",IF(INDEX(资金流水!K$5:K$3032,$O104)="","",INDEX(资金流水!K$5:K$3032,$O104)))</f>
        <v/>
      </c>
      <c r="H104" s="10" t="str">
        <f>IF($O104="","",IF(INDEX(资金流水!H$5:H$3032,$O104)="","",INDEX(资金流水!H$5:H$3032,$O104)))</f>
        <v/>
      </c>
      <c r="I104" s="11" t="str">
        <f>IF($O104="","",IF(INDEX(资金流水!L$5:L$3032,$O104)="","",INDEX(资金流水!L$5:L$3032,$O104)))</f>
        <v/>
      </c>
      <c r="J104" s="10" t="str">
        <f>IF($O104="","",IF(INDEX(资金流水!I$5:I$3032,$O104)="","",INDEX(资金流水!I$5:I$3032,$O104)))</f>
        <v/>
      </c>
      <c r="K104" s="29" t="str">
        <f>IF($O104="","",IF(INDEX(资金流水!T$5:T$3015,$O104)="","",INDEX(资金流水!T$5:T$3015,$O104)))</f>
        <v/>
      </c>
      <c r="L104" s="29" t="str">
        <f>IF($O104="","",IF(INDEX(资金流水!U$5:U$3015,$O104)="","",INDEX(资金流水!U$5:U$3015,$O104)))</f>
        <v/>
      </c>
      <c r="M104" s="10" t="str">
        <f>IF($O104="","",IF(INDEX(资金流水!Q$5:Q$3015,$O104)="","",INDEX(资金流水!Q$5:Q$3015,$O104)))</f>
        <v/>
      </c>
      <c r="O104" s="54" t="str">
        <f>IFERROR(MATCH($A104,资金流水!$V$5:$V$3015,0),"")</f>
        <v/>
      </c>
    </row>
    <row r="105" spans="1:15">
      <c r="A105" s="29">
        <v>98</v>
      </c>
      <c r="B105" s="53" t="str">
        <f>IF($O105="","",IF(INDEX(资金流水!B$5:B$3032,$O105)="","",INDEX(资金流水!B$5:B$3032,$O105)))</f>
        <v/>
      </c>
      <c r="C105" s="10" t="str">
        <f>IF($O105="","",IF(INDEX(资金流水!C$5:C$3032,$O105)="","",INDEX(资金流水!C$5:C$3032,$O105)))</f>
        <v/>
      </c>
      <c r="D105" s="10" t="str">
        <f>IF($O105="","",IF(INDEX(资金流水!D$5:D$3032,$O105)="","",INDEX(资金流水!D$5:D$3032,$O105)))</f>
        <v/>
      </c>
      <c r="E105" s="29" t="str">
        <f>IF($O105="","",IF(INDEX(资金流水!E$5:E$3032,$O105)="","",INDEX(资金流水!E$5:E$3032,$O105)))</f>
        <v/>
      </c>
      <c r="F105" s="10" t="str">
        <f>IF($O105="","",IF(INDEX(资金流水!J$5:J$3032,$O105)="","",INDEX(资金流水!J$5:J$3032,$O105)))</f>
        <v/>
      </c>
      <c r="G105" s="11" t="str">
        <f>IF($O105="","",IF(INDEX(资金流水!K$5:K$3032,$O105)="","",INDEX(资金流水!K$5:K$3032,$O105)))</f>
        <v/>
      </c>
      <c r="H105" s="10" t="str">
        <f>IF($O105="","",IF(INDEX(资金流水!H$5:H$3032,$O105)="","",INDEX(资金流水!H$5:H$3032,$O105)))</f>
        <v/>
      </c>
      <c r="I105" s="11" t="str">
        <f>IF($O105="","",IF(INDEX(资金流水!L$5:L$3032,$O105)="","",INDEX(资金流水!L$5:L$3032,$O105)))</f>
        <v/>
      </c>
      <c r="J105" s="10" t="str">
        <f>IF($O105="","",IF(INDEX(资金流水!I$5:I$3032,$O105)="","",INDEX(资金流水!I$5:I$3032,$O105)))</f>
        <v/>
      </c>
      <c r="K105" s="29" t="str">
        <f>IF($O105="","",IF(INDEX(资金流水!T$5:T$3015,$O105)="","",INDEX(资金流水!T$5:T$3015,$O105)))</f>
        <v/>
      </c>
      <c r="L105" s="29" t="str">
        <f>IF($O105="","",IF(INDEX(资金流水!U$5:U$3015,$O105)="","",INDEX(资金流水!U$5:U$3015,$O105)))</f>
        <v/>
      </c>
      <c r="M105" s="10" t="str">
        <f>IF($O105="","",IF(INDEX(资金流水!Q$5:Q$3015,$O105)="","",INDEX(资金流水!Q$5:Q$3015,$O105)))</f>
        <v/>
      </c>
      <c r="O105" s="54" t="str">
        <f>IFERROR(MATCH($A105,资金流水!$V$5:$V$3015,0),"")</f>
        <v/>
      </c>
    </row>
    <row r="106" spans="1:15">
      <c r="A106" s="29">
        <v>99</v>
      </c>
      <c r="B106" s="53" t="str">
        <f>IF($O106="","",IF(INDEX(资金流水!B$5:B$3032,$O106)="","",INDEX(资金流水!B$5:B$3032,$O106)))</f>
        <v/>
      </c>
      <c r="C106" s="10" t="str">
        <f>IF($O106="","",IF(INDEX(资金流水!C$5:C$3032,$O106)="","",INDEX(资金流水!C$5:C$3032,$O106)))</f>
        <v/>
      </c>
      <c r="D106" s="10" t="str">
        <f>IF($O106="","",IF(INDEX(资金流水!D$5:D$3032,$O106)="","",INDEX(资金流水!D$5:D$3032,$O106)))</f>
        <v/>
      </c>
      <c r="E106" s="29" t="str">
        <f>IF($O106="","",IF(INDEX(资金流水!E$5:E$3032,$O106)="","",INDEX(资金流水!E$5:E$3032,$O106)))</f>
        <v/>
      </c>
      <c r="F106" s="10" t="str">
        <f>IF($O106="","",IF(INDEX(资金流水!J$5:J$3032,$O106)="","",INDEX(资金流水!J$5:J$3032,$O106)))</f>
        <v/>
      </c>
      <c r="G106" s="11" t="str">
        <f>IF($O106="","",IF(INDEX(资金流水!K$5:K$3032,$O106)="","",INDEX(资金流水!K$5:K$3032,$O106)))</f>
        <v/>
      </c>
      <c r="H106" s="10" t="str">
        <f>IF($O106="","",IF(INDEX(资金流水!H$5:H$3032,$O106)="","",INDEX(资金流水!H$5:H$3032,$O106)))</f>
        <v/>
      </c>
      <c r="I106" s="11" t="str">
        <f>IF($O106="","",IF(INDEX(资金流水!L$5:L$3032,$O106)="","",INDEX(资金流水!L$5:L$3032,$O106)))</f>
        <v/>
      </c>
      <c r="J106" s="10" t="str">
        <f>IF($O106="","",IF(INDEX(资金流水!I$5:I$3032,$O106)="","",INDEX(资金流水!I$5:I$3032,$O106)))</f>
        <v/>
      </c>
      <c r="K106" s="29" t="str">
        <f>IF($O106="","",IF(INDEX(资金流水!T$5:T$3015,$O106)="","",INDEX(资金流水!T$5:T$3015,$O106)))</f>
        <v/>
      </c>
      <c r="L106" s="29" t="str">
        <f>IF($O106="","",IF(INDEX(资金流水!U$5:U$3015,$O106)="","",INDEX(资金流水!U$5:U$3015,$O106)))</f>
        <v/>
      </c>
      <c r="M106" s="10" t="str">
        <f>IF($O106="","",IF(INDEX(资金流水!Q$5:Q$3015,$O106)="","",INDEX(资金流水!Q$5:Q$3015,$O106)))</f>
        <v/>
      </c>
      <c r="O106" s="54" t="str">
        <f>IFERROR(MATCH($A106,资金流水!$V$5:$V$3015,0),"")</f>
        <v/>
      </c>
    </row>
    <row r="107" spans="1:15">
      <c r="A107" s="29">
        <v>100</v>
      </c>
      <c r="B107" s="53" t="str">
        <f>IF($O107="","",IF(INDEX(资金流水!B$5:B$3032,$O107)="","",INDEX(资金流水!B$5:B$3032,$O107)))</f>
        <v/>
      </c>
      <c r="C107" s="10" t="str">
        <f>IF($O107="","",IF(INDEX(资金流水!C$5:C$3032,$O107)="","",INDEX(资金流水!C$5:C$3032,$O107)))</f>
        <v/>
      </c>
      <c r="D107" s="10" t="str">
        <f>IF($O107="","",IF(INDEX(资金流水!D$5:D$3032,$O107)="","",INDEX(资金流水!D$5:D$3032,$O107)))</f>
        <v/>
      </c>
      <c r="E107" s="29" t="str">
        <f>IF($O107="","",IF(INDEX(资金流水!E$5:E$3032,$O107)="","",INDEX(资金流水!E$5:E$3032,$O107)))</f>
        <v/>
      </c>
      <c r="F107" s="10" t="str">
        <f>IF($O107="","",IF(INDEX(资金流水!J$5:J$3032,$O107)="","",INDEX(资金流水!J$5:J$3032,$O107)))</f>
        <v/>
      </c>
      <c r="G107" s="11" t="str">
        <f>IF($O107="","",IF(INDEX(资金流水!K$5:K$3032,$O107)="","",INDEX(资金流水!K$5:K$3032,$O107)))</f>
        <v/>
      </c>
      <c r="H107" s="10" t="str">
        <f>IF($O107="","",IF(INDEX(资金流水!H$5:H$3032,$O107)="","",INDEX(资金流水!H$5:H$3032,$O107)))</f>
        <v/>
      </c>
      <c r="I107" s="11" t="str">
        <f>IF($O107="","",IF(INDEX(资金流水!L$5:L$3032,$O107)="","",INDEX(资金流水!L$5:L$3032,$O107)))</f>
        <v/>
      </c>
      <c r="J107" s="10" t="str">
        <f>IF($O107="","",IF(INDEX(资金流水!I$5:I$3032,$O107)="","",INDEX(资金流水!I$5:I$3032,$O107)))</f>
        <v/>
      </c>
      <c r="K107" s="29" t="str">
        <f>IF($O107="","",IF(INDEX(资金流水!T$5:T$3015,$O107)="","",INDEX(资金流水!T$5:T$3015,$O107)))</f>
        <v/>
      </c>
      <c r="L107" s="29" t="str">
        <f>IF($O107="","",IF(INDEX(资金流水!U$5:U$3015,$O107)="","",INDEX(资金流水!U$5:U$3015,$O107)))</f>
        <v/>
      </c>
      <c r="M107" s="10" t="str">
        <f>IF($O107="","",IF(INDEX(资金流水!Q$5:Q$3015,$O107)="","",INDEX(资金流水!Q$5:Q$3015,$O107)))</f>
        <v/>
      </c>
      <c r="O107" s="54" t="str">
        <f>IFERROR(MATCH($A107,资金流水!$V$5:$V$3015,0),"")</f>
        <v/>
      </c>
    </row>
    <row r="108" spans="1:15">
      <c r="A108" s="29">
        <v>101</v>
      </c>
      <c r="B108" s="53" t="str">
        <f>IF($O108="","",IF(INDEX(资金流水!B$5:B$3032,$O108)="","",INDEX(资金流水!B$5:B$3032,$O108)))</f>
        <v/>
      </c>
      <c r="C108" s="10" t="str">
        <f>IF($O108="","",IF(INDEX(资金流水!C$5:C$3032,$O108)="","",INDEX(资金流水!C$5:C$3032,$O108)))</f>
        <v/>
      </c>
      <c r="D108" s="10" t="str">
        <f>IF($O108="","",IF(INDEX(资金流水!D$5:D$3032,$O108)="","",INDEX(资金流水!D$5:D$3032,$O108)))</f>
        <v/>
      </c>
      <c r="E108" s="29" t="str">
        <f>IF($O108="","",IF(INDEX(资金流水!E$5:E$3032,$O108)="","",INDEX(资金流水!E$5:E$3032,$O108)))</f>
        <v/>
      </c>
      <c r="F108" s="10" t="str">
        <f>IF($O108="","",IF(INDEX(资金流水!J$5:J$3032,$O108)="","",INDEX(资金流水!J$5:J$3032,$O108)))</f>
        <v/>
      </c>
      <c r="G108" s="11" t="str">
        <f>IF($O108="","",IF(INDEX(资金流水!K$5:K$3032,$O108)="","",INDEX(资金流水!K$5:K$3032,$O108)))</f>
        <v/>
      </c>
      <c r="H108" s="10" t="str">
        <f>IF($O108="","",IF(INDEX(资金流水!H$5:H$3032,$O108)="","",INDEX(资金流水!H$5:H$3032,$O108)))</f>
        <v/>
      </c>
      <c r="I108" s="11" t="str">
        <f>IF($O108="","",IF(INDEX(资金流水!L$5:L$3032,$O108)="","",INDEX(资金流水!L$5:L$3032,$O108)))</f>
        <v/>
      </c>
      <c r="J108" s="10" t="str">
        <f>IF($O108="","",IF(INDEX(资金流水!I$5:I$3032,$O108)="","",INDEX(资金流水!I$5:I$3032,$O108)))</f>
        <v/>
      </c>
      <c r="K108" s="29" t="str">
        <f>IF($O108="","",IF(INDEX(资金流水!T$5:T$3015,$O108)="","",INDEX(资金流水!T$5:T$3015,$O108)))</f>
        <v/>
      </c>
      <c r="L108" s="29" t="str">
        <f>IF($O108="","",IF(INDEX(资金流水!U$5:U$3015,$O108)="","",INDEX(资金流水!U$5:U$3015,$O108)))</f>
        <v/>
      </c>
      <c r="M108" s="10" t="str">
        <f>IF($O108="","",IF(INDEX(资金流水!Q$5:Q$3015,$O108)="","",INDEX(资金流水!Q$5:Q$3015,$O108)))</f>
        <v/>
      </c>
      <c r="O108" s="54" t="str">
        <f>IFERROR(MATCH($A108,资金流水!$V$5:$V$3015,0),"")</f>
        <v/>
      </c>
    </row>
    <row r="109" spans="1:15">
      <c r="A109" s="29">
        <v>102</v>
      </c>
      <c r="B109" s="53" t="str">
        <f>IF($O109="","",IF(INDEX(资金流水!B$5:B$3032,$O109)="","",INDEX(资金流水!B$5:B$3032,$O109)))</f>
        <v/>
      </c>
      <c r="C109" s="10" t="str">
        <f>IF($O109="","",IF(INDEX(资金流水!C$5:C$3032,$O109)="","",INDEX(资金流水!C$5:C$3032,$O109)))</f>
        <v/>
      </c>
      <c r="D109" s="10" t="str">
        <f>IF($O109="","",IF(INDEX(资金流水!D$5:D$3032,$O109)="","",INDEX(资金流水!D$5:D$3032,$O109)))</f>
        <v/>
      </c>
      <c r="E109" s="29" t="str">
        <f>IF($O109="","",IF(INDEX(资金流水!E$5:E$3032,$O109)="","",INDEX(资金流水!E$5:E$3032,$O109)))</f>
        <v/>
      </c>
      <c r="F109" s="10" t="str">
        <f>IF($O109="","",IF(INDEX(资金流水!J$5:J$3032,$O109)="","",INDEX(资金流水!J$5:J$3032,$O109)))</f>
        <v/>
      </c>
      <c r="G109" s="11" t="str">
        <f>IF($O109="","",IF(INDEX(资金流水!K$5:K$3032,$O109)="","",INDEX(资金流水!K$5:K$3032,$O109)))</f>
        <v/>
      </c>
      <c r="H109" s="10" t="str">
        <f>IF($O109="","",IF(INDEX(资金流水!H$5:H$3032,$O109)="","",INDEX(资金流水!H$5:H$3032,$O109)))</f>
        <v/>
      </c>
      <c r="I109" s="11" t="str">
        <f>IF($O109="","",IF(INDEX(资金流水!L$5:L$3032,$O109)="","",INDEX(资金流水!L$5:L$3032,$O109)))</f>
        <v/>
      </c>
      <c r="J109" s="10" t="str">
        <f>IF($O109="","",IF(INDEX(资金流水!I$5:I$3032,$O109)="","",INDEX(资金流水!I$5:I$3032,$O109)))</f>
        <v/>
      </c>
      <c r="K109" s="29" t="str">
        <f>IF($O109="","",IF(INDEX(资金流水!T$5:T$3015,$O109)="","",INDEX(资金流水!T$5:T$3015,$O109)))</f>
        <v/>
      </c>
      <c r="L109" s="29" t="str">
        <f>IF($O109="","",IF(INDEX(资金流水!U$5:U$3015,$O109)="","",INDEX(资金流水!U$5:U$3015,$O109)))</f>
        <v/>
      </c>
      <c r="M109" s="10" t="str">
        <f>IF($O109="","",IF(INDEX(资金流水!Q$5:Q$3015,$O109)="","",INDEX(资金流水!Q$5:Q$3015,$O109)))</f>
        <v/>
      </c>
      <c r="O109" s="54" t="str">
        <f>IFERROR(MATCH($A109,资金流水!$V$5:$V$3015,0),"")</f>
        <v/>
      </c>
    </row>
    <row r="110" spans="1:15">
      <c r="A110" s="29">
        <v>103</v>
      </c>
      <c r="B110" s="53" t="str">
        <f>IF($O110="","",IF(INDEX(资金流水!B$5:B$3032,$O110)="","",INDEX(资金流水!B$5:B$3032,$O110)))</f>
        <v/>
      </c>
      <c r="C110" s="10" t="str">
        <f>IF($O110="","",IF(INDEX(资金流水!C$5:C$3032,$O110)="","",INDEX(资金流水!C$5:C$3032,$O110)))</f>
        <v/>
      </c>
      <c r="D110" s="10" t="str">
        <f>IF($O110="","",IF(INDEX(资金流水!D$5:D$3032,$O110)="","",INDEX(资金流水!D$5:D$3032,$O110)))</f>
        <v/>
      </c>
      <c r="E110" s="29" t="str">
        <f>IF($O110="","",IF(INDEX(资金流水!E$5:E$3032,$O110)="","",INDEX(资金流水!E$5:E$3032,$O110)))</f>
        <v/>
      </c>
      <c r="F110" s="10" t="str">
        <f>IF($O110="","",IF(INDEX(资金流水!J$5:J$3032,$O110)="","",INDEX(资金流水!J$5:J$3032,$O110)))</f>
        <v/>
      </c>
      <c r="G110" s="11" t="str">
        <f>IF($O110="","",IF(INDEX(资金流水!K$5:K$3032,$O110)="","",INDEX(资金流水!K$5:K$3032,$O110)))</f>
        <v/>
      </c>
      <c r="H110" s="10" t="str">
        <f>IF($O110="","",IF(INDEX(资金流水!H$5:H$3032,$O110)="","",INDEX(资金流水!H$5:H$3032,$O110)))</f>
        <v/>
      </c>
      <c r="I110" s="11" t="str">
        <f>IF($O110="","",IF(INDEX(资金流水!L$5:L$3032,$O110)="","",INDEX(资金流水!L$5:L$3032,$O110)))</f>
        <v/>
      </c>
      <c r="J110" s="10" t="str">
        <f>IF($O110="","",IF(INDEX(资金流水!I$5:I$3032,$O110)="","",INDEX(资金流水!I$5:I$3032,$O110)))</f>
        <v/>
      </c>
      <c r="K110" s="29" t="str">
        <f>IF($O110="","",IF(INDEX(资金流水!T$5:T$3015,$O110)="","",INDEX(资金流水!T$5:T$3015,$O110)))</f>
        <v/>
      </c>
      <c r="L110" s="29" t="str">
        <f>IF($O110="","",IF(INDEX(资金流水!U$5:U$3015,$O110)="","",INDEX(资金流水!U$5:U$3015,$O110)))</f>
        <v/>
      </c>
      <c r="M110" s="10" t="str">
        <f>IF($O110="","",IF(INDEX(资金流水!Q$5:Q$3015,$O110)="","",INDEX(资金流水!Q$5:Q$3015,$O110)))</f>
        <v/>
      </c>
      <c r="O110" s="54" t="str">
        <f>IFERROR(MATCH($A110,资金流水!$V$5:$V$3015,0),"")</f>
        <v/>
      </c>
    </row>
    <row r="111" spans="1:15">
      <c r="A111" s="29">
        <v>104</v>
      </c>
      <c r="B111" s="53" t="str">
        <f>IF($O111="","",IF(INDEX(资金流水!B$5:B$3032,$O111)="","",INDEX(资金流水!B$5:B$3032,$O111)))</f>
        <v/>
      </c>
      <c r="C111" s="10" t="str">
        <f>IF($O111="","",IF(INDEX(资金流水!C$5:C$3032,$O111)="","",INDEX(资金流水!C$5:C$3032,$O111)))</f>
        <v/>
      </c>
      <c r="D111" s="10" t="str">
        <f>IF($O111="","",IF(INDEX(资金流水!D$5:D$3032,$O111)="","",INDEX(资金流水!D$5:D$3032,$O111)))</f>
        <v/>
      </c>
      <c r="E111" s="29" t="str">
        <f>IF($O111="","",IF(INDEX(资金流水!E$5:E$3032,$O111)="","",INDEX(资金流水!E$5:E$3032,$O111)))</f>
        <v/>
      </c>
      <c r="F111" s="10" t="str">
        <f>IF($O111="","",IF(INDEX(资金流水!J$5:J$3032,$O111)="","",INDEX(资金流水!J$5:J$3032,$O111)))</f>
        <v/>
      </c>
      <c r="G111" s="11" t="str">
        <f>IF($O111="","",IF(INDEX(资金流水!K$5:K$3032,$O111)="","",INDEX(资金流水!K$5:K$3032,$O111)))</f>
        <v/>
      </c>
      <c r="H111" s="10" t="str">
        <f>IF($O111="","",IF(INDEX(资金流水!H$5:H$3032,$O111)="","",INDEX(资金流水!H$5:H$3032,$O111)))</f>
        <v/>
      </c>
      <c r="I111" s="11" t="str">
        <f>IF($O111="","",IF(INDEX(资金流水!L$5:L$3032,$O111)="","",INDEX(资金流水!L$5:L$3032,$O111)))</f>
        <v/>
      </c>
      <c r="J111" s="10" t="str">
        <f>IF($O111="","",IF(INDEX(资金流水!I$5:I$3032,$O111)="","",INDEX(资金流水!I$5:I$3032,$O111)))</f>
        <v/>
      </c>
      <c r="K111" s="29" t="str">
        <f>IF($O111="","",IF(INDEX(资金流水!T$5:T$3015,$O111)="","",INDEX(资金流水!T$5:T$3015,$O111)))</f>
        <v/>
      </c>
      <c r="L111" s="29" t="str">
        <f>IF($O111="","",IF(INDEX(资金流水!U$5:U$3015,$O111)="","",INDEX(资金流水!U$5:U$3015,$O111)))</f>
        <v/>
      </c>
      <c r="M111" s="10" t="str">
        <f>IF($O111="","",IF(INDEX(资金流水!Q$5:Q$3015,$O111)="","",INDEX(资金流水!Q$5:Q$3015,$O111)))</f>
        <v/>
      </c>
      <c r="O111" s="54" t="str">
        <f>IFERROR(MATCH($A111,资金流水!$V$5:$V$3015,0),"")</f>
        <v/>
      </c>
    </row>
    <row r="112" spans="1:15">
      <c r="A112" s="29">
        <v>105</v>
      </c>
      <c r="B112" s="53" t="str">
        <f>IF($O112="","",IF(INDEX(资金流水!B$5:B$3032,$O112)="","",INDEX(资金流水!B$5:B$3032,$O112)))</f>
        <v/>
      </c>
      <c r="C112" s="10" t="str">
        <f>IF($O112="","",IF(INDEX(资金流水!C$5:C$3032,$O112)="","",INDEX(资金流水!C$5:C$3032,$O112)))</f>
        <v/>
      </c>
      <c r="D112" s="10" t="str">
        <f>IF($O112="","",IF(INDEX(资金流水!D$5:D$3032,$O112)="","",INDEX(资金流水!D$5:D$3032,$O112)))</f>
        <v/>
      </c>
      <c r="E112" s="29" t="str">
        <f>IF($O112="","",IF(INDEX(资金流水!E$5:E$3032,$O112)="","",INDEX(资金流水!E$5:E$3032,$O112)))</f>
        <v/>
      </c>
      <c r="F112" s="10" t="str">
        <f>IF($O112="","",IF(INDEX(资金流水!J$5:J$3032,$O112)="","",INDEX(资金流水!J$5:J$3032,$O112)))</f>
        <v/>
      </c>
      <c r="G112" s="11" t="str">
        <f>IF($O112="","",IF(INDEX(资金流水!K$5:K$3032,$O112)="","",INDEX(资金流水!K$5:K$3032,$O112)))</f>
        <v/>
      </c>
      <c r="H112" s="10" t="str">
        <f>IF($O112="","",IF(INDEX(资金流水!H$5:H$3032,$O112)="","",INDEX(资金流水!H$5:H$3032,$O112)))</f>
        <v/>
      </c>
      <c r="I112" s="11" t="str">
        <f>IF($O112="","",IF(INDEX(资金流水!L$5:L$3032,$O112)="","",INDEX(资金流水!L$5:L$3032,$O112)))</f>
        <v/>
      </c>
      <c r="J112" s="10" t="str">
        <f>IF($O112="","",IF(INDEX(资金流水!I$5:I$3032,$O112)="","",INDEX(资金流水!I$5:I$3032,$O112)))</f>
        <v/>
      </c>
      <c r="K112" s="29" t="str">
        <f>IF($O112="","",IF(INDEX(资金流水!T$5:T$3015,$O112)="","",INDEX(资金流水!T$5:T$3015,$O112)))</f>
        <v/>
      </c>
      <c r="L112" s="29" t="str">
        <f>IF($O112="","",IF(INDEX(资金流水!U$5:U$3015,$O112)="","",INDEX(资金流水!U$5:U$3015,$O112)))</f>
        <v/>
      </c>
      <c r="M112" s="10" t="str">
        <f>IF($O112="","",IF(INDEX(资金流水!Q$5:Q$3015,$O112)="","",INDEX(资金流水!Q$5:Q$3015,$O112)))</f>
        <v/>
      </c>
      <c r="O112" s="54" t="str">
        <f>IFERROR(MATCH($A112,资金流水!$V$5:$V$3015,0),"")</f>
        <v/>
      </c>
    </row>
    <row r="113" spans="1:15">
      <c r="A113" s="29">
        <v>106</v>
      </c>
      <c r="B113" s="53" t="str">
        <f>IF($O113="","",IF(INDEX(资金流水!B$5:B$3032,$O113)="","",INDEX(资金流水!B$5:B$3032,$O113)))</f>
        <v/>
      </c>
      <c r="C113" s="10" t="str">
        <f>IF($O113="","",IF(INDEX(资金流水!C$5:C$3032,$O113)="","",INDEX(资金流水!C$5:C$3032,$O113)))</f>
        <v/>
      </c>
      <c r="D113" s="10" t="str">
        <f>IF($O113="","",IF(INDEX(资金流水!D$5:D$3032,$O113)="","",INDEX(资金流水!D$5:D$3032,$O113)))</f>
        <v/>
      </c>
      <c r="E113" s="29" t="str">
        <f>IF($O113="","",IF(INDEX(资金流水!E$5:E$3032,$O113)="","",INDEX(资金流水!E$5:E$3032,$O113)))</f>
        <v/>
      </c>
      <c r="F113" s="10" t="str">
        <f>IF($O113="","",IF(INDEX(资金流水!J$5:J$3032,$O113)="","",INDEX(资金流水!J$5:J$3032,$O113)))</f>
        <v/>
      </c>
      <c r="G113" s="11" t="str">
        <f>IF($O113="","",IF(INDEX(资金流水!K$5:K$3032,$O113)="","",INDEX(资金流水!K$5:K$3032,$O113)))</f>
        <v/>
      </c>
      <c r="H113" s="10" t="str">
        <f>IF($O113="","",IF(INDEX(资金流水!H$5:H$3032,$O113)="","",INDEX(资金流水!H$5:H$3032,$O113)))</f>
        <v/>
      </c>
      <c r="I113" s="11" t="str">
        <f>IF($O113="","",IF(INDEX(资金流水!L$5:L$3032,$O113)="","",INDEX(资金流水!L$5:L$3032,$O113)))</f>
        <v/>
      </c>
      <c r="J113" s="10" t="str">
        <f>IF($O113="","",IF(INDEX(资金流水!I$5:I$3032,$O113)="","",INDEX(资金流水!I$5:I$3032,$O113)))</f>
        <v/>
      </c>
      <c r="K113" s="29" t="str">
        <f>IF($O113="","",IF(INDEX(资金流水!T$5:T$3015,$O113)="","",INDEX(资金流水!T$5:T$3015,$O113)))</f>
        <v/>
      </c>
      <c r="L113" s="29" t="str">
        <f>IF($O113="","",IF(INDEX(资金流水!U$5:U$3015,$O113)="","",INDEX(资金流水!U$5:U$3015,$O113)))</f>
        <v/>
      </c>
      <c r="M113" s="10" t="str">
        <f>IF($O113="","",IF(INDEX(资金流水!Q$5:Q$3015,$O113)="","",INDEX(资金流水!Q$5:Q$3015,$O113)))</f>
        <v/>
      </c>
      <c r="O113" s="54" t="str">
        <f>IFERROR(MATCH($A113,资金流水!$V$5:$V$3015,0),"")</f>
        <v/>
      </c>
    </row>
    <row r="114" spans="1:15">
      <c r="A114" s="29">
        <v>107</v>
      </c>
      <c r="B114" s="53" t="str">
        <f>IF($O114="","",IF(INDEX(资金流水!B$5:B$3032,$O114)="","",INDEX(资金流水!B$5:B$3032,$O114)))</f>
        <v/>
      </c>
      <c r="C114" s="10" t="str">
        <f>IF($O114="","",IF(INDEX(资金流水!C$5:C$3032,$O114)="","",INDEX(资金流水!C$5:C$3032,$O114)))</f>
        <v/>
      </c>
      <c r="D114" s="10" t="str">
        <f>IF($O114="","",IF(INDEX(资金流水!D$5:D$3032,$O114)="","",INDEX(资金流水!D$5:D$3032,$O114)))</f>
        <v/>
      </c>
      <c r="E114" s="29" t="str">
        <f>IF($O114="","",IF(INDEX(资金流水!E$5:E$3032,$O114)="","",INDEX(资金流水!E$5:E$3032,$O114)))</f>
        <v/>
      </c>
      <c r="F114" s="10" t="str">
        <f>IF($O114="","",IF(INDEX(资金流水!J$5:J$3032,$O114)="","",INDEX(资金流水!J$5:J$3032,$O114)))</f>
        <v/>
      </c>
      <c r="G114" s="11" t="str">
        <f>IF($O114="","",IF(INDEX(资金流水!K$5:K$3032,$O114)="","",INDEX(资金流水!K$5:K$3032,$O114)))</f>
        <v/>
      </c>
      <c r="H114" s="10" t="str">
        <f>IF($O114="","",IF(INDEX(资金流水!H$5:H$3032,$O114)="","",INDEX(资金流水!H$5:H$3032,$O114)))</f>
        <v/>
      </c>
      <c r="I114" s="11" t="str">
        <f>IF($O114="","",IF(INDEX(资金流水!L$5:L$3032,$O114)="","",INDEX(资金流水!L$5:L$3032,$O114)))</f>
        <v/>
      </c>
      <c r="J114" s="10" t="str">
        <f>IF($O114="","",IF(INDEX(资金流水!I$5:I$3032,$O114)="","",INDEX(资金流水!I$5:I$3032,$O114)))</f>
        <v/>
      </c>
      <c r="K114" s="29" t="str">
        <f>IF($O114="","",IF(INDEX(资金流水!T$5:T$3015,$O114)="","",INDEX(资金流水!T$5:T$3015,$O114)))</f>
        <v/>
      </c>
      <c r="L114" s="29" t="str">
        <f>IF($O114="","",IF(INDEX(资金流水!U$5:U$3015,$O114)="","",INDEX(资金流水!U$5:U$3015,$O114)))</f>
        <v/>
      </c>
      <c r="M114" s="10" t="str">
        <f>IF($O114="","",IF(INDEX(资金流水!Q$5:Q$3015,$O114)="","",INDEX(资金流水!Q$5:Q$3015,$O114)))</f>
        <v/>
      </c>
      <c r="O114" s="54" t="str">
        <f>IFERROR(MATCH($A114,资金流水!$V$5:$V$3015,0),"")</f>
        <v/>
      </c>
    </row>
    <row r="115" spans="1:15">
      <c r="A115" s="29">
        <v>108</v>
      </c>
      <c r="B115" s="53" t="str">
        <f>IF($O115="","",IF(INDEX(资金流水!B$5:B$3032,$O115)="","",INDEX(资金流水!B$5:B$3032,$O115)))</f>
        <v/>
      </c>
      <c r="C115" s="10" t="str">
        <f>IF($O115="","",IF(INDEX(资金流水!C$5:C$3032,$O115)="","",INDEX(资金流水!C$5:C$3032,$O115)))</f>
        <v/>
      </c>
      <c r="D115" s="10" t="str">
        <f>IF($O115="","",IF(INDEX(资金流水!D$5:D$3032,$O115)="","",INDEX(资金流水!D$5:D$3032,$O115)))</f>
        <v/>
      </c>
      <c r="E115" s="29" t="str">
        <f>IF($O115="","",IF(INDEX(资金流水!E$5:E$3032,$O115)="","",INDEX(资金流水!E$5:E$3032,$O115)))</f>
        <v/>
      </c>
      <c r="F115" s="10" t="str">
        <f>IF($O115="","",IF(INDEX(资金流水!J$5:J$3032,$O115)="","",INDEX(资金流水!J$5:J$3032,$O115)))</f>
        <v/>
      </c>
      <c r="G115" s="11" t="str">
        <f>IF($O115="","",IF(INDEX(资金流水!K$5:K$3032,$O115)="","",INDEX(资金流水!K$5:K$3032,$O115)))</f>
        <v/>
      </c>
      <c r="H115" s="10" t="str">
        <f>IF($O115="","",IF(INDEX(资金流水!H$5:H$3032,$O115)="","",INDEX(资金流水!H$5:H$3032,$O115)))</f>
        <v/>
      </c>
      <c r="I115" s="11" t="str">
        <f>IF($O115="","",IF(INDEX(资金流水!L$5:L$3032,$O115)="","",INDEX(资金流水!L$5:L$3032,$O115)))</f>
        <v/>
      </c>
      <c r="J115" s="10" t="str">
        <f>IF($O115="","",IF(INDEX(资金流水!I$5:I$3032,$O115)="","",INDEX(资金流水!I$5:I$3032,$O115)))</f>
        <v/>
      </c>
      <c r="K115" s="29" t="str">
        <f>IF($O115="","",IF(INDEX(资金流水!T$5:T$3015,$O115)="","",INDEX(资金流水!T$5:T$3015,$O115)))</f>
        <v/>
      </c>
      <c r="L115" s="29" t="str">
        <f>IF($O115="","",IF(INDEX(资金流水!U$5:U$3015,$O115)="","",INDEX(资金流水!U$5:U$3015,$O115)))</f>
        <v/>
      </c>
      <c r="M115" s="10" t="str">
        <f>IF($O115="","",IF(INDEX(资金流水!Q$5:Q$3015,$O115)="","",INDEX(资金流水!Q$5:Q$3015,$O115)))</f>
        <v/>
      </c>
      <c r="O115" s="54" t="str">
        <f>IFERROR(MATCH($A115,资金流水!$V$5:$V$3015,0),"")</f>
        <v/>
      </c>
    </row>
    <row r="116" spans="1:15">
      <c r="A116" s="29">
        <v>109</v>
      </c>
      <c r="B116" s="53" t="str">
        <f>IF($O116="","",IF(INDEX(资金流水!B$5:B$3032,$O116)="","",INDEX(资金流水!B$5:B$3032,$O116)))</f>
        <v/>
      </c>
      <c r="C116" s="10" t="str">
        <f>IF($O116="","",IF(INDEX(资金流水!C$5:C$3032,$O116)="","",INDEX(资金流水!C$5:C$3032,$O116)))</f>
        <v/>
      </c>
      <c r="D116" s="10" t="str">
        <f>IF($O116="","",IF(INDEX(资金流水!D$5:D$3032,$O116)="","",INDEX(资金流水!D$5:D$3032,$O116)))</f>
        <v/>
      </c>
      <c r="E116" s="29" t="str">
        <f>IF($O116="","",IF(INDEX(资金流水!E$5:E$3032,$O116)="","",INDEX(资金流水!E$5:E$3032,$O116)))</f>
        <v/>
      </c>
      <c r="F116" s="10" t="str">
        <f>IF($O116="","",IF(INDEX(资金流水!J$5:J$3032,$O116)="","",INDEX(资金流水!J$5:J$3032,$O116)))</f>
        <v/>
      </c>
      <c r="G116" s="11" t="str">
        <f>IF($O116="","",IF(INDEX(资金流水!K$5:K$3032,$O116)="","",INDEX(资金流水!K$5:K$3032,$O116)))</f>
        <v/>
      </c>
      <c r="H116" s="10" t="str">
        <f>IF($O116="","",IF(INDEX(资金流水!H$5:H$3032,$O116)="","",INDEX(资金流水!H$5:H$3032,$O116)))</f>
        <v/>
      </c>
      <c r="I116" s="11" t="str">
        <f>IF($O116="","",IF(INDEX(资金流水!L$5:L$3032,$O116)="","",INDEX(资金流水!L$5:L$3032,$O116)))</f>
        <v/>
      </c>
      <c r="J116" s="10" t="str">
        <f>IF($O116="","",IF(INDEX(资金流水!I$5:I$3032,$O116)="","",INDEX(资金流水!I$5:I$3032,$O116)))</f>
        <v/>
      </c>
      <c r="K116" s="29" t="str">
        <f>IF($O116="","",IF(INDEX(资金流水!T$5:T$3015,$O116)="","",INDEX(资金流水!T$5:T$3015,$O116)))</f>
        <v/>
      </c>
      <c r="L116" s="29" t="str">
        <f>IF($O116="","",IF(INDEX(资金流水!U$5:U$3015,$O116)="","",INDEX(资金流水!U$5:U$3015,$O116)))</f>
        <v/>
      </c>
      <c r="M116" s="10" t="str">
        <f>IF($O116="","",IF(INDEX(资金流水!Q$5:Q$3015,$O116)="","",INDEX(资金流水!Q$5:Q$3015,$O116)))</f>
        <v/>
      </c>
      <c r="O116" s="54" t="str">
        <f>IFERROR(MATCH($A116,资金流水!$V$5:$V$3015,0),"")</f>
        <v/>
      </c>
    </row>
    <row r="117" spans="1:15">
      <c r="A117" s="29">
        <v>110</v>
      </c>
      <c r="B117" s="53" t="str">
        <f>IF($O117="","",IF(INDEX(资金流水!B$5:B$3032,$O117)="","",INDEX(资金流水!B$5:B$3032,$O117)))</f>
        <v/>
      </c>
      <c r="C117" s="10" t="str">
        <f>IF($O117="","",IF(INDEX(资金流水!C$5:C$3032,$O117)="","",INDEX(资金流水!C$5:C$3032,$O117)))</f>
        <v/>
      </c>
      <c r="D117" s="10" t="str">
        <f>IF($O117="","",IF(INDEX(资金流水!D$5:D$3032,$O117)="","",INDEX(资金流水!D$5:D$3032,$O117)))</f>
        <v/>
      </c>
      <c r="E117" s="29" t="str">
        <f>IF($O117="","",IF(INDEX(资金流水!E$5:E$3032,$O117)="","",INDEX(资金流水!E$5:E$3032,$O117)))</f>
        <v/>
      </c>
      <c r="F117" s="10" t="str">
        <f>IF($O117="","",IF(INDEX(资金流水!J$5:J$3032,$O117)="","",INDEX(资金流水!J$5:J$3032,$O117)))</f>
        <v/>
      </c>
      <c r="G117" s="11" t="str">
        <f>IF($O117="","",IF(INDEX(资金流水!K$5:K$3032,$O117)="","",INDEX(资金流水!K$5:K$3032,$O117)))</f>
        <v/>
      </c>
      <c r="H117" s="10" t="str">
        <f>IF($O117="","",IF(INDEX(资金流水!H$5:H$3032,$O117)="","",INDEX(资金流水!H$5:H$3032,$O117)))</f>
        <v/>
      </c>
      <c r="I117" s="11" t="str">
        <f>IF($O117="","",IF(INDEX(资金流水!L$5:L$3032,$O117)="","",INDEX(资金流水!L$5:L$3032,$O117)))</f>
        <v/>
      </c>
      <c r="J117" s="10" t="str">
        <f>IF($O117="","",IF(INDEX(资金流水!I$5:I$3032,$O117)="","",INDEX(资金流水!I$5:I$3032,$O117)))</f>
        <v/>
      </c>
      <c r="K117" s="29" t="str">
        <f>IF($O117="","",IF(INDEX(资金流水!T$5:T$3015,$O117)="","",INDEX(资金流水!T$5:T$3015,$O117)))</f>
        <v/>
      </c>
      <c r="L117" s="29" t="str">
        <f>IF($O117="","",IF(INDEX(资金流水!U$5:U$3015,$O117)="","",INDEX(资金流水!U$5:U$3015,$O117)))</f>
        <v/>
      </c>
      <c r="M117" s="10" t="str">
        <f>IF($O117="","",IF(INDEX(资金流水!Q$5:Q$3015,$O117)="","",INDEX(资金流水!Q$5:Q$3015,$O117)))</f>
        <v/>
      </c>
      <c r="O117" s="54" t="str">
        <f>IFERROR(MATCH($A117,资金流水!$V$5:$V$3015,0),"")</f>
        <v/>
      </c>
    </row>
    <row r="118" spans="1:15">
      <c r="A118" s="29">
        <v>111</v>
      </c>
      <c r="B118" s="53" t="str">
        <f>IF($O118="","",IF(INDEX(资金流水!B$5:B$3032,$O118)="","",INDEX(资金流水!B$5:B$3032,$O118)))</f>
        <v/>
      </c>
      <c r="C118" s="10" t="str">
        <f>IF($O118="","",IF(INDEX(资金流水!C$5:C$3032,$O118)="","",INDEX(资金流水!C$5:C$3032,$O118)))</f>
        <v/>
      </c>
      <c r="D118" s="10" t="str">
        <f>IF($O118="","",IF(INDEX(资金流水!D$5:D$3032,$O118)="","",INDEX(资金流水!D$5:D$3032,$O118)))</f>
        <v/>
      </c>
      <c r="E118" s="29" t="str">
        <f>IF($O118="","",IF(INDEX(资金流水!E$5:E$3032,$O118)="","",INDEX(资金流水!E$5:E$3032,$O118)))</f>
        <v/>
      </c>
      <c r="F118" s="10" t="str">
        <f>IF($O118="","",IF(INDEX(资金流水!J$5:J$3032,$O118)="","",INDEX(资金流水!J$5:J$3032,$O118)))</f>
        <v/>
      </c>
      <c r="G118" s="11" t="str">
        <f>IF($O118="","",IF(INDEX(资金流水!K$5:K$3032,$O118)="","",INDEX(资金流水!K$5:K$3032,$O118)))</f>
        <v/>
      </c>
      <c r="H118" s="10" t="str">
        <f>IF($O118="","",IF(INDEX(资金流水!H$5:H$3032,$O118)="","",INDEX(资金流水!H$5:H$3032,$O118)))</f>
        <v/>
      </c>
      <c r="I118" s="11" t="str">
        <f>IF($O118="","",IF(INDEX(资金流水!L$5:L$3032,$O118)="","",INDEX(资金流水!L$5:L$3032,$O118)))</f>
        <v/>
      </c>
      <c r="J118" s="10" t="str">
        <f>IF($O118="","",IF(INDEX(资金流水!I$5:I$3032,$O118)="","",INDEX(资金流水!I$5:I$3032,$O118)))</f>
        <v/>
      </c>
      <c r="K118" s="29" t="str">
        <f>IF($O118="","",IF(INDEX(资金流水!T$5:T$3015,$O118)="","",INDEX(资金流水!T$5:T$3015,$O118)))</f>
        <v/>
      </c>
      <c r="L118" s="29" t="str">
        <f>IF($O118="","",IF(INDEX(资金流水!U$5:U$3015,$O118)="","",INDEX(资金流水!U$5:U$3015,$O118)))</f>
        <v/>
      </c>
      <c r="M118" s="10" t="str">
        <f>IF($O118="","",IF(INDEX(资金流水!Q$5:Q$3015,$O118)="","",INDEX(资金流水!Q$5:Q$3015,$O118)))</f>
        <v/>
      </c>
      <c r="O118" s="54" t="str">
        <f>IFERROR(MATCH($A118,资金流水!$V$5:$V$3015,0),"")</f>
        <v/>
      </c>
    </row>
    <row r="119" spans="1:15">
      <c r="A119" s="29">
        <v>112</v>
      </c>
      <c r="B119" s="53" t="str">
        <f>IF($O119="","",IF(INDEX(资金流水!B$5:B$3032,$O119)="","",INDEX(资金流水!B$5:B$3032,$O119)))</f>
        <v/>
      </c>
      <c r="C119" s="10" t="str">
        <f>IF($O119="","",IF(INDEX(资金流水!C$5:C$3032,$O119)="","",INDEX(资金流水!C$5:C$3032,$O119)))</f>
        <v/>
      </c>
      <c r="D119" s="10" t="str">
        <f>IF($O119="","",IF(INDEX(资金流水!D$5:D$3032,$O119)="","",INDEX(资金流水!D$5:D$3032,$O119)))</f>
        <v/>
      </c>
      <c r="E119" s="29" t="str">
        <f>IF($O119="","",IF(INDEX(资金流水!E$5:E$3032,$O119)="","",INDEX(资金流水!E$5:E$3032,$O119)))</f>
        <v/>
      </c>
      <c r="F119" s="10" t="str">
        <f>IF($O119="","",IF(INDEX(资金流水!J$5:J$3032,$O119)="","",INDEX(资金流水!J$5:J$3032,$O119)))</f>
        <v/>
      </c>
      <c r="G119" s="11" t="str">
        <f>IF($O119="","",IF(INDEX(资金流水!K$5:K$3032,$O119)="","",INDEX(资金流水!K$5:K$3032,$O119)))</f>
        <v/>
      </c>
      <c r="H119" s="10" t="str">
        <f>IF($O119="","",IF(INDEX(资金流水!H$5:H$3032,$O119)="","",INDEX(资金流水!H$5:H$3032,$O119)))</f>
        <v/>
      </c>
      <c r="I119" s="11" t="str">
        <f>IF($O119="","",IF(INDEX(资金流水!L$5:L$3032,$O119)="","",INDEX(资金流水!L$5:L$3032,$O119)))</f>
        <v/>
      </c>
      <c r="J119" s="10" t="str">
        <f>IF($O119="","",IF(INDEX(资金流水!I$5:I$3032,$O119)="","",INDEX(资金流水!I$5:I$3032,$O119)))</f>
        <v/>
      </c>
      <c r="K119" s="29" t="str">
        <f>IF($O119="","",IF(INDEX(资金流水!T$5:T$3015,$O119)="","",INDEX(资金流水!T$5:T$3015,$O119)))</f>
        <v/>
      </c>
      <c r="L119" s="29" t="str">
        <f>IF($O119="","",IF(INDEX(资金流水!U$5:U$3015,$O119)="","",INDEX(资金流水!U$5:U$3015,$O119)))</f>
        <v/>
      </c>
      <c r="M119" s="10" t="str">
        <f>IF($O119="","",IF(INDEX(资金流水!Q$5:Q$3015,$O119)="","",INDEX(资金流水!Q$5:Q$3015,$O119)))</f>
        <v/>
      </c>
      <c r="O119" s="54" t="str">
        <f>IFERROR(MATCH($A119,资金流水!$V$5:$V$3015,0),"")</f>
        <v/>
      </c>
    </row>
    <row r="120" spans="1:15">
      <c r="A120" s="29">
        <v>113</v>
      </c>
      <c r="B120" s="53" t="str">
        <f>IF($O120="","",IF(INDEX(资金流水!B$5:B$3032,$O120)="","",INDEX(资金流水!B$5:B$3032,$O120)))</f>
        <v/>
      </c>
      <c r="C120" s="10" t="str">
        <f>IF($O120="","",IF(INDEX(资金流水!C$5:C$3032,$O120)="","",INDEX(资金流水!C$5:C$3032,$O120)))</f>
        <v/>
      </c>
      <c r="D120" s="10" t="str">
        <f>IF($O120="","",IF(INDEX(资金流水!D$5:D$3032,$O120)="","",INDEX(资金流水!D$5:D$3032,$O120)))</f>
        <v/>
      </c>
      <c r="E120" s="29" t="str">
        <f>IF($O120="","",IF(INDEX(资金流水!E$5:E$3032,$O120)="","",INDEX(资金流水!E$5:E$3032,$O120)))</f>
        <v/>
      </c>
      <c r="F120" s="10" t="str">
        <f>IF($O120="","",IF(INDEX(资金流水!J$5:J$3032,$O120)="","",INDEX(资金流水!J$5:J$3032,$O120)))</f>
        <v/>
      </c>
      <c r="G120" s="11" t="str">
        <f>IF($O120="","",IF(INDEX(资金流水!K$5:K$3032,$O120)="","",INDEX(资金流水!K$5:K$3032,$O120)))</f>
        <v/>
      </c>
      <c r="H120" s="10" t="str">
        <f>IF($O120="","",IF(INDEX(资金流水!H$5:H$3032,$O120)="","",INDEX(资金流水!H$5:H$3032,$O120)))</f>
        <v/>
      </c>
      <c r="I120" s="11" t="str">
        <f>IF($O120="","",IF(INDEX(资金流水!L$5:L$3032,$O120)="","",INDEX(资金流水!L$5:L$3032,$O120)))</f>
        <v/>
      </c>
      <c r="J120" s="10" t="str">
        <f>IF($O120="","",IF(INDEX(资金流水!I$5:I$3032,$O120)="","",INDEX(资金流水!I$5:I$3032,$O120)))</f>
        <v/>
      </c>
      <c r="K120" s="29" t="str">
        <f>IF($O120="","",IF(INDEX(资金流水!T$5:T$3015,$O120)="","",INDEX(资金流水!T$5:T$3015,$O120)))</f>
        <v/>
      </c>
      <c r="L120" s="29" t="str">
        <f>IF($O120="","",IF(INDEX(资金流水!U$5:U$3015,$O120)="","",INDEX(资金流水!U$5:U$3015,$O120)))</f>
        <v/>
      </c>
      <c r="M120" s="10" t="str">
        <f>IF($O120="","",IF(INDEX(资金流水!Q$5:Q$3015,$O120)="","",INDEX(资金流水!Q$5:Q$3015,$O120)))</f>
        <v/>
      </c>
      <c r="O120" s="54" t="str">
        <f>IFERROR(MATCH($A120,资金流水!$V$5:$V$3015,0),"")</f>
        <v/>
      </c>
    </row>
    <row r="121" spans="1:15">
      <c r="A121" s="29">
        <v>114</v>
      </c>
      <c r="B121" s="53" t="str">
        <f>IF($O121="","",IF(INDEX(资金流水!B$5:B$3032,$O121)="","",INDEX(资金流水!B$5:B$3032,$O121)))</f>
        <v/>
      </c>
      <c r="C121" s="10" t="str">
        <f>IF($O121="","",IF(INDEX(资金流水!C$5:C$3032,$O121)="","",INDEX(资金流水!C$5:C$3032,$O121)))</f>
        <v/>
      </c>
      <c r="D121" s="10" t="str">
        <f>IF($O121="","",IF(INDEX(资金流水!D$5:D$3032,$O121)="","",INDEX(资金流水!D$5:D$3032,$O121)))</f>
        <v/>
      </c>
      <c r="E121" s="29" t="str">
        <f>IF($O121="","",IF(INDEX(资金流水!E$5:E$3032,$O121)="","",INDEX(资金流水!E$5:E$3032,$O121)))</f>
        <v/>
      </c>
      <c r="F121" s="10" t="str">
        <f>IF($O121="","",IF(INDEX(资金流水!J$5:J$3032,$O121)="","",INDEX(资金流水!J$5:J$3032,$O121)))</f>
        <v/>
      </c>
      <c r="G121" s="11" t="str">
        <f>IF($O121="","",IF(INDEX(资金流水!K$5:K$3032,$O121)="","",INDEX(资金流水!K$5:K$3032,$O121)))</f>
        <v/>
      </c>
      <c r="H121" s="10" t="str">
        <f>IF($O121="","",IF(INDEX(资金流水!H$5:H$3032,$O121)="","",INDEX(资金流水!H$5:H$3032,$O121)))</f>
        <v/>
      </c>
      <c r="I121" s="11" t="str">
        <f>IF($O121="","",IF(INDEX(资金流水!L$5:L$3032,$O121)="","",INDEX(资金流水!L$5:L$3032,$O121)))</f>
        <v/>
      </c>
      <c r="J121" s="10" t="str">
        <f>IF($O121="","",IF(INDEX(资金流水!I$5:I$3032,$O121)="","",INDEX(资金流水!I$5:I$3032,$O121)))</f>
        <v/>
      </c>
      <c r="K121" s="29" t="str">
        <f>IF($O121="","",IF(INDEX(资金流水!T$5:T$3015,$O121)="","",INDEX(资金流水!T$5:T$3015,$O121)))</f>
        <v/>
      </c>
      <c r="L121" s="29" t="str">
        <f>IF($O121="","",IF(INDEX(资金流水!U$5:U$3015,$O121)="","",INDEX(资金流水!U$5:U$3015,$O121)))</f>
        <v/>
      </c>
      <c r="M121" s="10" t="str">
        <f>IF($O121="","",IF(INDEX(资金流水!Q$5:Q$3015,$O121)="","",INDEX(资金流水!Q$5:Q$3015,$O121)))</f>
        <v/>
      </c>
      <c r="O121" s="54" t="str">
        <f>IFERROR(MATCH($A121,资金流水!$V$5:$V$3015,0),"")</f>
        <v/>
      </c>
    </row>
    <row r="122" spans="1:15">
      <c r="A122" s="29">
        <v>115</v>
      </c>
      <c r="B122" s="53" t="str">
        <f>IF($O122="","",IF(INDEX(资金流水!B$5:B$3032,$O122)="","",INDEX(资金流水!B$5:B$3032,$O122)))</f>
        <v/>
      </c>
      <c r="C122" s="10" t="str">
        <f>IF($O122="","",IF(INDEX(资金流水!C$5:C$3032,$O122)="","",INDEX(资金流水!C$5:C$3032,$O122)))</f>
        <v/>
      </c>
      <c r="D122" s="10" t="str">
        <f>IF($O122="","",IF(INDEX(资金流水!D$5:D$3032,$O122)="","",INDEX(资金流水!D$5:D$3032,$O122)))</f>
        <v/>
      </c>
      <c r="E122" s="29" t="str">
        <f>IF($O122="","",IF(INDEX(资金流水!E$5:E$3032,$O122)="","",INDEX(资金流水!E$5:E$3032,$O122)))</f>
        <v/>
      </c>
      <c r="F122" s="10" t="str">
        <f>IF($O122="","",IF(INDEX(资金流水!J$5:J$3032,$O122)="","",INDEX(资金流水!J$5:J$3032,$O122)))</f>
        <v/>
      </c>
      <c r="G122" s="11" t="str">
        <f>IF($O122="","",IF(INDEX(资金流水!K$5:K$3032,$O122)="","",INDEX(资金流水!K$5:K$3032,$O122)))</f>
        <v/>
      </c>
      <c r="H122" s="10" t="str">
        <f>IF($O122="","",IF(INDEX(资金流水!H$5:H$3032,$O122)="","",INDEX(资金流水!H$5:H$3032,$O122)))</f>
        <v/>
      </c>
      <c r="I122" s="11" t="str">
        <f>IF($O122="","",IF(INDEX(资金流水!L$5:L$3032,$O122)="","",INDEX(资金流水!L$5:L$3032,$O122)))</f>
        <v/>
      </c>
      <c r="J122" s="10" t="str">
        <f>IF($O122="","",IF(INDEX(资金流水!I$5:I$3032,$O122)="","",INDEX(资金流水!I$5:I$3032,$O122)))</f>
        <v/>
      </c>
      <c r="K122" s="29" t="str">
        <f>IF($O122="","",IF(INDEX(资金流水!T$5:T$3015,$O122)="","",INDEX(资金流水!T$5:T$3015,$O122)))</f>
        <v/>
      </c>
      <c r="L122" s="29" t="str">
        <f>IF($O122="","",IF(INDEX(资金流水!U$5:U$3015,$O122)="","",INDEX(资金流水!U$5:U$3015,$O122)))</f>
        <v/>
      </c>
      <c r="M122" s="10" t="str">
        <f>IF($O122="","",IF(INDEX(资金流水!Q$5:Q$3015,$O122)="","",INDEX(资金流水!Q$5:Q$3015,$O122)))</f>
        <v/>
      </c>
      <c r="O122" s="54" t="str">
        <f>IFERROR(MATCH($A122,资金流水!$V$5:$V$3015,0),"")</f>
        <v/>
      </c>
    </row>
    <row r="123" spans="1:15">
      <c r="A123" s="29">
        <v>116</v>
      </c>
      <c r="B123" s="53" t="str">
        <f>IF($O123="","",IF(INDEX(资金流水!B$5:B$3032,$O123)="","",INDEX(资金流水!B$5:B$3032,$O123)))</f>
        <v/>
      </c>
      <c r="C123" s="10" t="str">
        <f>IF($O123="","",IF(INDEX(资金流水!C$5:C$3032,$O123)="","",INDEX(资金流水!C$5:C$3032,$O123)))</f>
        <v/>
      </c>
      <c r="D123" s="10" t="str">
        <f>IF($O123="","",IF(INDEX(资金流水!D$5:D$3032,$O123)="","",INDEX(资金流水!D$5:D$3032,$O123)))</f>
        <v/>
      </c>
      <c r="E123" s="29" t="str">
        <f>IF($O123="","",IF(INDEX(资金流水!E$5:E$3032,$O123)="","",INDEX(资金流水!E$5:E$3032,$O123)))</f>
        <v/>
      </c>
      <c r="F123" s="10" t="str">
        <f>IF($O123="","",IF(INDEX(资金流水!J$5:J$3032,$O123)="","",INDEX(资金流水!J$5:J$3032,$O123)))</f>
        <v/>
      </c>
      <c r="G123" s="11" t="str">
        <f>IF($O123="","",IF(INDEX(资金流水!K$5:K$3032,$O123)="","",INDEX(资金流水!K$5:K$3032,$O123)))</f>
        <v/>
      </c>
      <c r="H123" s="10" t="str">
        <f>IF($O123="","",IF(INDEX(资金流水!H$5:H$3032,$O123)="","",INDEX(资金流水!H$5:H$3032,$O123)))</f>
        <v/>
      </c>
      <c r="I123" s="11" t="str">
        <f>IF($O123="","",IF(INDEX(资金流水!L$5:L$3032,$O123)="","",INDEX(资金流水!L$5:L$3032,$O123)))</f>
        <v/>
      </c>
      <c r="J123" s="10" t="str">
        <f>IF($O123="","",IF(INDEX(资金流水!I$5:I$3032,$O123)="","",INDEX(资金流水!I$5:I$3032,$O123)))</f>
        <v/>
      </c>
      <c r="K123" s="29" t="str">
        <f>IF($O123="","",IF(INDEX(资金流水!T$5:T$3015,$O123)="","",INDEX(资金流水!T$5:T$3015,$O123)))</f>
        <v/>
      </c>
      <c r="L123" s="29" t="str">
        <f>IF($O123="","",IF(INDEX(资金流水!U$5:U$3015,$O123)="","",INDEX(资金流水!U$5:U$3015,$O123)))</f>
        <v/>
      </c>
      <c r="M123" s="10" t="str">
        <f>IF($O123="","",IF(INDEX(资金流水!Q$5:Q$3015,$O123)="","",INDEX(资金流水!Q$5:Q$3015,$O123)))</f>
        <v/>
      </c>
      <c r="O123" s="54" t="str">
        <f>IFERROR(MATCH($A123,资金流水!$V$5:$V$3015,0),"")</f>
        <v/>
      </c>
    </row>
    <row r="124" spans="1:15">
      <c r="A124" s="29">
        <v>117</v>
      </c>
      <c r="B124" s="53" t="str">
        <f>IF($O124="","",IF(INDEX(资金流水!B$5:B$3032,$O124)="","",INDEX(资金流水!B$5:B$3032,$O124)))</f>
        <v/>
      </c>
      <c r="C124" s="10" t="str">
        <f>IF($O124="","",IF(INDEX(资金流水!C$5:C$3032,$O124)="","",INDEX(资金流水!C$5:C$3032,$O124)))</f>
        <v/>
      </c>
      <c r="D124" s="10" t="str">
        <f>IF($O124="","",IF(INDEX(资金流水!D$5:D$3032,$O124)="","",INDEX(资金流水!D$5:D$3032,$O124)))</f>
        <v/>
      </c>
      <c r="E124" s="29" t="str">
        <f>IF($O124="","",IF(INDEX(资金流水!E$5:E$3032,$O124)="","",INDEX(资金流水!E$5:E$3032,$O124)))</f>
        <v/>
      </c>
      <c r="F124" s="10" t="str">
        <f>IF($O124="","",IF(INDEX(资金流水!J$5:J$3032,$O124)="","",INDEX(资金流水!J$5:J$3032,$O124)))</f>
        <v/>
      </c>
      <c r="G124" s="11" t="str">
        <f>IF($O124="","",IF(INDEX(资金流水!K$5:K$3032,$O124)="","",INDEX(资金流水!K$5:K$3032,$O124)))</f>
        <v/>
      </c>
      <c r="H124" s="10" t="str">
        <f>IF($O124="","",IF(INDEX(资金流水!H$5:H$3032,$O124)="","",INDEX(资金流水!H$5:H$3032,$O124)))</f>
        <v/>
      </c>
      <c r="I124" s="11" t="str">
        <f>IF($O124="","",IF(INDEX(资金流水!L$5:L$3032,$O124)="","",INDEX(资金流水!L$5:L$3032,$O124)))</f>
        <v/>
      </c>
      <c r="J124" s="10" t="str">
        <f>IF($O124="","",IF(INDEX(资金流水!I$5:I$3032,$O124)="","",INDEX(资金流水!I$5:I$3032,$O124)))</f>
        <v/>
      </c>
      <c r="K124" s="29" t="str">
        <f>IF($O124="","",IF(INDEX(资金流水!T$5:T$3015,$O124)="","",INDEX(资金流水!T$5:T$3015,$O124)))</f>
        <v/>
      </c>
      <c r="L124" s="29" t="str">
        <f>IF($O124="","",IF(INDEX(资金流水!U$5:U$3015,$O124)="","",INDEX(资金流水!U$5:U$3015,$O124)))</f>
        <v/>
      </c>
      <c r="M124" s="10" t="str">
        <f>IF($O124="","",IF(INDEX(资金流水!Q$5:Q$3015,$O124)="","",INDEX(资金流水!Q$5:Q$3015,$O124)))</f>
        <v/>
      </c>
      <c r="O124" s="54" t="str">
        <f>IFERROR(MATCH($A124,资金流水!$V$5:$V$3015,0),"")</f>
        <v/>
      </c>
    </row>
    <row r="125" spans="1:15">
      <c r="A125" s="29">
        <v>118</v>
      </c>
      <c r="B125" s="53" t="str">
        <f>IF($O125="","",IF(INDEX(资金流水!B$5:B$3032,$O125)="","",INDEX(资金流水!B$5:B$3032,$O125)))</f>
        <v/>
      </c>
      <c r="C125" s="10" t="str">
        <f>IF($O125="","",IF(INDEX(资金流水!C$5:C$3032,$O125)="","",INDEX(资金流水!C$5:C$3032,$O125)))</f>
        <v/>
      </c>
      <c r="D125" s="10" t="str">
        <f>IF($O125="","",IF(INDEX(资金流水!D$5:D$3032,$O125)="","",INDEX(资金流水!D$5:D$3032,$O125)))</f>
        <v/>
      </c>
      <c r="E125" s="29" t="str">
        <f>IF($O125="","",IF(INDEX(资金流水!E$5:E$3032,$O125)="","",INDEX(资金流水!E$5:E$3032,$O125)))</f>
        <v/>
      </c>
      <c r="F125" s="10" t="str">
        <f>IF($O125="","",IF(INDEX(资金流水!J$5:J$3032,$O125)="","",INDEX(资金流水!J$5:J$3032,$O125)))</f>
        <v/>
      </c>
      <c r="G125" s="11" t="str">
        <f>IF($O125="","",IF(INDEX(资金流水!K$5:K$3032,$O125)="","",INDEX(资金流水!K$5:K$3032,$O125)))</f>
        <v/>
      </c>
      <c r="H125" s="10" t="str">
        <f>IF($O125="","",IF(INDEX(资金流水!H$5:H$3032,$O125)="","",INDEX(资金流水!H$5:H$3032,$O125)))</f>
        <v/>
      </c>
      <c r="I125" s="11" t="str">
        <f>IF($O125="","",IF(INDEX(资金流水!L$5:L$3032,$O125)="","",INDEX(资金流水!L$5:L$3032,$O125)))</f>
        <v/>
      </c>
      <c r="J125" s="10" t="str">
        <f>IF($O125="","",IF(INDEX(资金流水!I$5:I$3032,$O125)="","",INDEX(资金流水!I$5:I$3032,$O125)))</f>
        <v/>
      </c>
      <c r="K125" s="29" t="str">
        <f>IF($O125="","",IF(INDEX(资金流水!T$5:T$3015,$O125)="","",INDEX(资金流水!T$5:T$3015,$O125)))</f>
        <v/>
      </c>
      <c r="L125" s="29" t="str">
        <f>IF($O125="","",IF(INDEX(资金流水!U$5:U$3015,$O125)="","",INDEX(资金流水!U$5:U$3015,$O125)))</f>
        <v/>
      </c>
      <c r="M125" s="10" t="str">
        <f>IF($O125="","",IF(INDEX(资金流水!Q$5:Q$3015,$O125)="","",INDEX(资金流水!Q$5:Q$3015,$O125)))</f>
        <v/>
      </c>
      <c r="O125" s="54" t="str">
        <f>IFERROR(MATCH($A125,资金流水!$V$5:$V$3015,0),"")</f>
        <v/>
      </c>
    </row>
    <row r="126" spans="1:15">
      <c r="A126" s="29">
        <v>119</v>
      </c>
      <c r="B126" s="53" t="str">
        <f>IF($O126="","",IF(INDEX(资金流水!B$5:B$3032,$O126)="","",INDEX(资金流水!B$5:B$3032,$O126)))</f>
        <v/>
      </c>
      <c r="C126" s="10" t="str">
        <f>IF($O126="","",IF(INDEX(资金流水!C$5:C$3032,$O126)="","",INDEX(资金流水!C$5:C$3032,$O126)))</f>
        <v/>
      </c>
      <c r="D126" s="10" t="str">
        <f>IF($O126="","",IF(INDEX(资金流水!D$5:D$3032,$O126)="","",INDEX(资金流水!D$5:D$3032,$O126)))</f>
        <v/>
      </c>
      <c r="E126" s="29" t="str">
        <f>IF($O126="","",IF(INDEX(资金流水!E$5:E$3032,$O126)="","",INDEX(资金流水!E$5:E$3032,$O126)))</f>
        <v/>
      </c>
      <c r="F126" s="10" t="str">
        <f>IF($O126="","",IF(INDEX(资金流水!J$5:J$3032,$O126)="","",INDEX(资金流水!J$5:J$3032,$O126)))</f>
        <v/>
      </c>
      <c r="G126" s="11" t="str">
        <f>IF($O126="","",IF(INDEX(资金流水!K$5:K$3032,$O126)="","",INDEX(资金流水!K$5:K$3032,$O126)))</f>
        <v/>
      </c>
      <c r="H126" s="10" t="str">
        <f>IF($O126="","",IF(INDEX(资金流水!H$5:H$3032,$O126)="","",INDEX(资金流水!H$5:H$3032,$O126)))</f>
        <v/>
      </c>
      <c r="I126" s="11" t="str">
        <f>IF($O126="","",IF(INDEX(资金流水!L$5:L$3032,$O126)="","",INDEX(资金流水!L$5:L$3032,$O126)))</f>
        <v/>
      </c>
      <c r="J126" s="10" t="str">
        <f>IF($O126="","",IF(INDEX(资金流水!I$5:I$3032,$O126)="","",INDEX(资金流水!I$5:I$3032,$O126)))</f>
        <v/>
      </c>
      <c r="K126" s="29" t="str">
        <f>IF($O126="","",IF(INDEX(资金流水!T$5:T$3015,$O126)="","",INDEX(资金流水!T$5:T$3015,$O126)))</f>
        <v/>
      </c>
      <c r="L126" s="29" t="str">
        <f>IF($O126="","",IF(INDEX(资金流水!U$5:U$3015,$O126)="","",INDEX(资金流水!U$5:U$3015,$O126)))</f>
        <v/>
      </c>
      <c r="M126" s="10" t="str">
        <f>IF($O126="","",IF(INDEX(资金流水!Q$5:Q$3015,$O126)="","",INDEX(资金流水!Q$5:Q$3015,$O126)))</f>
        <v/>
      </c>
      <c r="O126" s="54" t="str">
        <f>IFERROR(MATCH($A126,资金流水!$V$5:$V$3015,0),"")</f>
        <v/>
      </c>
    </row>
    <row r="127" spans="1:15">
      <c r="A127" s="29">
        <v>120</v>
      </c>
      <c r="B127" s="53" t="str">
        <f>IF($O127="","",IF(INDEX(资金流水!B$5:B$3032,$O127)="","",INDEX(资金流水!B$5:B$3032,$O127)))</f>
        <v/>
      </c>
      <c r="C127" s="10" t="str">
        <f>IF($O127="","",IF(INDEX(资金流水!C$5:C$3032,$O127)="","",INDEX(资金流水!C$5:C$3032,$O127)))</f>
        <v/>
      </c>
      <c r="D127" s="10" t="str">
        <f>IF($O127="","",IF(INDEX(资金流水!D$5:D$3032,$O127)="","",INDEX(资金流水!D$5:D$3032,$O127)))</f>
        <v/>
      </c>
      <c r="E127" s="29" t="str">
        <f>IF($O127="","",IF(INDEX(资金流水!E$5:E$3032,$O127)="","",INDEX(资金流水!E$5:E$3032,$O127)))</f>
        <v/>
      </c>
      <c r="F127" s="10" t="str">
        <f>IF($O127="","",IF(INDEX(资金流水!J$5:J$3032,$O127)="","",INDEX(资金流水!J$5:J$3032,$O127)))</f>
        <v/>
      </c>
      <c r="G127" s="11" t="str">
        <f>IF($O127="","",IF(INDEX(资金流水!K$5:K$3032,$O127)="","",INDEX(资金流水!K$5:K$3032,$O127)))</f>
        <v/>
      </c>
      <c r="H127" s="10" t="str">
        <f>IF($O127="","",IF(INDEX(资金流水!H$5:H$3032,$O127)="","",INDEX(资金流水!H$5:H$3032,$O127)))</f>
        <v/>
      </c>
      <c r="I127" s="11" t="str">
        <f>IF($O127="","",IF(INDEX(资金流水!L$5:L$3032,$O127)="","",INDEX(资金流水!L$5:L$3032,$O127)))</f>
        <v/>
      </c>
      <c r="J127" s="10" t="str">
        <f>IF($O127="","",IF(INDEX(资金流水!I$5:I$3032,$O127)="","",INDEX(资金流水!I$5:I$3032,$O127)))</f>
        <v/>
      </c>
      <c r="K127" s="29" t="str">
        <f>IF($O127="","",IF(INDEX(资金流水!T$5:T$3015,$O127)="","",INDEX(资金流水!T$5:T$3015,$O127)))</f>
        <v/>
      </c>
      <c r="L127" s="29" t="str">
        <f>IF($O127="","",IF(INDEX(资金流水!U$5:U$3015,$O127)="","",INDEX(资金流水!U$5:U$3015,$O127)))</f>
        <v/>
      </c>
      <c r="M127" s="10" t="str">
        <f>IF($O127="","",IF(INDEX(资金流水!Q$5:Q$3015,$O127)="","",INDEX(资金流水!Q$5:Q$3015,$O127)))</f>
        <v/>
      </c>
      <c r="O127" s="54" t="str">
        <f>IFERROR(MATCH($A127,资金流水!$V$5:$V$3015,0),"")</f>
        <v/>
      </c>
    </row>
    <row r="128" spans="1:15">
      <c r="A128" s="29">
        <v>121</v>
      </c>
      <c r="B128" s="53" t="str">
        <f>IF($O128="","",IF(INDEX(资金流水!B$5:B$3032,$O128)="","",INDEX(资金流水!B$5:B$3032,$O128)))</f>
        <v/>
      </c>
      <c r="C128" s="10" t="str">
        <f>IF($O128="","",IF(INDEX(资金流水!C$5:C$3032,$O128)="","",INDEX(资金流水!C$5:C$3032,$O128)))</f>
        <v/>
      </c>
      <c r="D128" s="10" t="str">
        <f>IF($O128="","",IF(INDEX(资金流水!D$5:D$3032,$O128)="","",INDEX(资金流水!D$5:D$3032,$O128)))</f>
        <v/>
      </c>
      <c r="E128" s="29" t="str">
        <f>IF($O128="","",IF(INDEX(资金流水!E$5:E$3032,$O128)="","",INDEX(资金流水!E$5:E$3032,$O128)))</f>
        <v/>
      </c>
      <c r="F128" s="10" t="str">
        <f>IF($O128="","",IF(INDEX(资金流水!J$5:J$3032,$O128)="","",INDEX(资金流水!J$5:J$3032,$O128)))</f>
        <v/>
      </c>
      <c r="G128" s="11" t="str">
        <f>IF($O128="","",IF(INDEX(资金流水!K$5:K$3032,$O128)="","",INDEX(资金流水!K$5:K$3032,$O128)))</f>
        <v/>
      </c>
      <c r="H128" s="10" t="str">
        <f>IF($O128="","",IF(INDEX(资金流水!H$5:H$3032,$O128)="","",INDEX(资金流水!H$5:H$3032,$O128)))</f>
        <v/>
      </c>
      <c r="I128" s="11" t="str">
        <f>IF($O128="","",IF(INDEX(资金流水!L$5:L$3032,$O128)="","",INDEX(资金流水!L$5:L$3032,$O128)))</f>
        <v/>
      </c>
      <c r="J128" s="10" t="str">
        <f>IF($O128="","",IF(INDEX(资金流水!I$5:I$3032,$O128)="","",INDEX(资金流水!I$5:I$3032,$O128)))</f>
        <v/>
      </c>
      <c r="K128" s="29" t="str">
        <f>IF($O128="","",IF(INDEX(资金流水!T$5:T$3015,$O128)="","",INDEX(资金流水!T$5:T$3015,$O128)))</f>
        <v/>
      </c>
      <c r="L128" s="29" t="str">
        <f>IF($O128="","",IF(INDEX(资金流水!U$5:U$3015,$O128)="","",INDEX(资金流水!U$5:U$3015,$O128)))</f>
        <v/>
      </c>
      <c r="M128" s="10" t="str">
        <f>IF($O128="","",IF(INDEX(资金流水!Q$5:Q$3015,$O128)="","",INDEX(资金流水!Q$5:Q$3015,$O128)))</f>
        <v/>
      </c>
      <c r="O128" s="54" t="str">
        <f>IFERROR(MATCH($A128,资金流水!$V$5:$V$3015,0),"")</f>
        <v/>
      </c>
    </row>
    <row r="129" spans="1:15">
      <c r="A129" s="29">
        <v>122</v>
      </c>
      <c r="B129" s="53" t="str">
        <f>IF($O129="","",IF(INDEX(资金流水!B$5:B$3032,$O129)="","",INDEX(资金流水!B$5:B$3032,$O129)))</f>
        <v/>
      </c>
      <c r="C129" s="10" t="str">
        <f>IF($O129="","",IF(INDEX(资金流水!C$5:C$3032,$O129)="","",INDEX(资金流水!C$5:C$3032,$O129)))</f>
        <v/>
      </c>
      <c r="D129" s="10" t="str">
        <f>IF($O129="","",IF(INDEX(资金流水!D$5:D$3032,$O129)="","",INDEX(资金流水!D$5:D$3032,$O129)))</f>
        <v/>
      </c>
      <c r="E129" s="29" t="str">
        <f>IF($O129="","",IF(INDEX(资金流水!E$5:E$3032,$O129)="","",INDEX(资金流水!E$5:E$3032,$O129)))</f>
        <v/>
      </c>
      <c r="F129" s="10" t="str">
        <f>IF($O129="","",IF(INDEX(资金流水!J$5:J$3032,$O129)="","",INDEX(资金流水!J$5:J$3032,$O129)))</f>
        <v/>
      </c>
      <c r="G129" s="11" t="str">
        <f>IF($O129="","",IF(INDEX(资金流水!K$5:K$3032,$O129)="","",INDEX(资金流水!K$5:K$3032,$O129)))</f>
        <v/>
      </c>
      <c r="H129" s="10" t="str">
        <f>IF($O129="","",IF(INDEX(资金流水!H$5:H$3032,$O129)="","",INDEX(资金流水!H$5:H$3032,$O129)))</f>
        <v/>
      </c>
      <c r="I129" s="11" t="str">
        <f>IF($O129="","",IF(INDEX(资金流水!L$5:L$3032,$O129)="","",INDEX(资金流水!L$5:L$3032,$O129)))</f>
        <v/>
      </c>
      <c r="J129" s="10" t="str">
        <f>IF($O129="","",IF(INDEX(资金流水!I$5:I$3032,$O129)="","",INDEX(资金流水!I$5:I$3032,$O129)))</f>
        <v/>
      </c>
      <c r="K129" s="29" t="str">
        <f>IF($O129="","",IF(INDEX(资金流水!T$5:T$3015,$O129)="","",INDEX(资金流水!T$5:T$3015,$O129)))</f>
        <v/>
      </c>
      <c r="L129" s="29" t="str">
        <f>IF($O129="","",IF(INDEX(资金流水!U$5:U$3015,$O129)="","",INDEX(资金流水!U$5:U$3015,$O129)))</f>
        <v/>
      </c>
      <c r="M129" s="10" t="str">
        <f>IF($O129="","",IF(INDEX(资金流水!Q$5:Q$3015,$O129)="","",INDEX(资金流水!Q$5:Q$3015,$O129)))</f>
        <v/>
      </c>
      <c r="O129" s="54" t="str">
        <f>IFERROR(MATCH($A129,资金流水!$V$5:$V$3015,0),"")</f>
        <v/>
      </c>
    </row>
    <row r="130" spans="1:15">
      <c r="A130" s="29">
        <v>123</v>
      </c>
      <c r="B130" s="53" t="str">
        <f>IF($O130="","",IF(INDEX(资金流水!B$5:B$3032,$O130)="","",INDEX(资金流水!B$5:B$3032,$O130)))</f>
        <v/>
      </c>
      <c r="C130" s="10" t="str">
        <f>IF($O130="","",IF(INDEX(资金流水!C$5:C$3032,$O130)="","",INDEX(资金流水!C$5:C$3032,$O130)))</f>
        <v/>
      </c>
      <c r="D130" s="10" t="str">
        <f>IF($O130="","",IF(INDEX(资金流水!D$5:D$3032,$O130)="","",INDEX(资金流水!D$5:D$3032,$O130)))</f>
        <v/>
      </c>
      <c r="E130" s="29" t="str">
        <f>IF($O130="","",IF(INDEX(资金流水!E$5:E$3032,$O130)="","",INDEX(资金流水!E$5:E$3032,$O130)))</f>
        <v/>
      </c>
      <c r="F130" s="10" t="str">
        <f>IF($O130="","",IF(INDEX(资金流水!J$5:J$3032,$O130)="","",INDEX(资金流水!J$5:J$3032,$O130)))</f>
        <v/>
      </c>
      <c r="G130" s="11" t="str">
        <f>IF($O130="","",IF(INDEX(资金流水!K$5:K$3032,$O130)="","",INDEX(资金流水!K$5:K$3032,$O130)))</f>
        <v/>
      </c>
      <c r="H130" s="10" t="str">
        <f>IF($O130="","",IF(INDEX(资金流水!H$5:H$3032,$O130)="","",INDEX(资金流水!H$5:H$3032,$O130)))</f>
        <v/>
      </c>
      <c r="I130" s="11" t="str">
        <f>IF($O130="","",IF(INDEX(资金流水!L$5:L$3032,$O130)="","",INDEX(资金流水!L$5:L$3032,$O130)))</f>
        <v/>
      </c>
      <c r="J130" s="10" t="str">
        <f>IF($O130="","",IF(INDEX(资金流水!I$5:I$3032,$O130)="","",INDEX(资金流水!I$5:I$3032,$O130)))</f>
        <v/>
      </c>
      <c r="K130" s="29" t="str">
        <f>IF($O130="","",IF(INDEX(资金流水!T$5:T$3015,$O130)="","",INDEX(资金流水!T$5:T$3015,$O130)))</f>
        <v/>
      </c>
      <c r="L130" s="29" t="str">
        <f>IF($O130="","",IF(INDEX(资金流水!U$5:U$3015,$O130)="","",INDEX(资金流水!U$5:U$3015,$O130)))</f>
        <v/>
      </c>
      <c r="M130" s="10" t="str">
        <f>IF($O130="","",IF(INDEX(资金流水!Q$5:Q$3015,$O130)="","",INDEX(资金流水!Q$5:Q$3015,$O130)))</f>
        <v/>
      </c>
      <c r="O130" s="54" t="str">
        <f>IFERROR(MATCH($A130,资金流水!$V$5:$V$3015,0),"")</f>
        <v/>
      </c>
    </row>
    <row r="131" spans="1:15">
      <c r="A131" s="29">
        <v>124</v>
      </c>
      <c r="B131" s="53" t="str">
        <f>IF($O131="","",IF(INDEX(资金流水!B$5:B$3032,$O131)="","",INDEX(资金流水!B$5:B$3032,$O131)))</f>
        <v/>
      </c>
      <c r="C131" s="10" t="str">
        <f>IF($O131="","",IF(INDEX(资金流水!C$5:C$3032,$O131)="","",INDEX(资金流水!C$5:C$3032,$O131)))</f>
        <v/>
      </c>
      <c r="D131" s="10" t="str">
        <f>IF($O131="","",IF(INDEX(资金流水!D$5:D$3032,$O131)="","",INDEX(资金流水!D$5:D$3032,$O131)))</f>
        <v/>
      </c>
      <c r="E131" s="29" t="str">
        <f>IF($O131="","",IF(INDEX(资金流水!E$5:E$3032,$O131)="","",INDEX(资金流水!E$5:E$3032,$O131)))</f>
        <v/>
      </c>
      <c r="F131" s="10" t="str">
        <f>IF($O131="","",IF(INDEX(资金流水!J$5:J$3032,$O131)="","",INDEX(资金流水!J$5:J$3032,$O131)))</f>
        <v/>
      </c>
      <c r="G131" s="11" t="str">
        <f>IF($O131="","",IF(INDEX(资金流水!K$5:K$3032,$O131)="","",INDEX(资金流水!K$5:K$3032,$O131)))</f>
        <v/>
      </c>
      <c r="H131" s="10" t="str">
        <f>IF($O131="","",IF(INDEX(资金流水!H$5:H$3032,$O131)="","",INDEX(资金流水!H$5:H$3032,$O131)))</f>
        <v/>
      </c>
      <c r="I131" s="11" t="str">
        <f>IF($O131="","",IF(INDEX(资金流水!L$5:L$3032,$O131)="","",INDEX(资金流水!L$5:L$3032,$O131)))</f>
        <v/>
      </c>
      <c r="J131" s="10" t="str">
        <f>IF($O131="","",IF(INDEX(资金流水!I$5:I$3032,$O131)="","",INDEX(资金流水!I$5:I$3032,$O131)))</f>
        <v/>
      </c>
      <c r="K131" s="29" t="str">
        <f>IF($O131="","",IF(INDEX(资金流水!T$5:T$3015,$O131)="","",INDEX(资金流水!T$5:T$3015,$O131)))</f>
        <v/>
      </c>
      <c r="L131" s="29" t="str">
        <f>IF($O131="","",IF(INDEX(资金流水!U$5:U$3015,$O131)="","",INDEX(资金流水!U$5:U$3015,$O131)))</f>
        <v/>
      </c>
      <c r="M131" s="10" t="str">
        <f>IF($O131="","",IF(INDEX(资金流水!Q$5:Q$3015,$O131)="","",INDEX(资金流水!Q$5:Q$3015,$O131)))</f>
        <v/>
      </c>
      <c r="O131" s="54" t="str">
        <f>IFERROR(MATCH($A131,资金流水!$V$5:$V$3015,0),"")</f>
        <v/>
      </c>
    </row>
    <row r="132" spans="1:15">
      <c r="A132" s="29">
        <v>125</v>
      </c>
      <c r="B132" s="53" t="str">
        <f>IF($O132="","",IF(INDEX(资金流水!B$5:B$3032,$O132)="","",INDEX(资金流水!B$5:B$3032,$O132)))</f>
        <v/>
      </c>
      <c r="C132" s="10" t="str">
        <f>IF($O132="","",IF(INDEX(资金流水!C$5:C$3032,$O132)="","",INDEX(资金流水!C$5:C$3032,$O132)))</f>
        <v/>
      </c>
      <c r="D132" s="10" t="str">
        <f>IF($O132="","",IF(INDEX(资金流水!D$5:D$3032,$O132)="","",INDEX(资金流水!D$5:D$3032,$O132)))</f>
        <v/>
      </c>
      <c r="E132" s="29" t="str">
        <f>IF($O132="","",IF(INDEX(资金流水!E$5:E$3032,$O132)="","",INDEX(资金流水!E$5:E$3032,$O132)))</f>
        <v/>
      </c>
      <c r="F132" s="10" t="str">
        <f>IF($O132="","",IF(INDEX(资金流水!J$5:J$3032,$O132)="","",INDEX(资金流水!J$5:J$3032,$O132)))</f>
        <v/>
      </c>
      <c r="G132" s="11" t="str">
        <f>IF($O132="","",IF(INDEX(资金流水!K$5:K$3032,$O132)="","",INDEX(资金流水!K$5:K$3032,$O132)))</f>
        <v/>
      </c>
      <c r="H132" s="10" t="str">
        <f>IF($O132="","",IF(INDEX(资金流水!H$5:H$3032,$O132)="","",INDEX(资金流水!H$5:H$3032,$O132)))</f>
        <v/>
      </c>
      <c r="I132" s="11" t="str">
        <f>IF($O132="","",IF(INDEX(资金流水!L$5:L$3032,$O132)="","",INDEX(资金流水!L$5:L$3032,$O132)))</f>
        <v/>
      </c>
      <c r="J132" s="10" t="str">
        <f>IF($O132="","",IF(INDEX(资金流水!I$5:I$3032,$O132)="","",INDEX(资金流水!I$5:I$3032,$O132)))</f>
        <v/>
      </c>
      <c r="K132" s="29" t="str">
        <f>IF($O132="","",IF(INDEX(资金流水!T$5:T$3015,$O132)="","",INDEX(资金流水!T$5:T$3015,$O132)))</f>
        <v/>
      </c>
      <c r="L132" s="29" t="str">
        <f>IF($O132="","",IF(INDEX(资金流水!U$5:U$3015,$O132)="","",INDEX(资金流水!U$5:U$3015,$O132)))</f>
        <v/>
      </c>
      <c r="M132" s="10" t="str">
        <f>IF($O132="","",IF(INDEX(资金流水!Q$5:Q$3015,$O132)="","",INDEX(资金流水!Q$5:Q$3015,$O132)))</f>
        <v/>
      </c>
      <c r="O132" s="54" t="str">
        <f>IFERROR(MATCH($A132,资金流水!$V$5:$V$3015,0),"")</f>
        <v/>
      </c>
    </row>
    <row r="133" spans="1:15">
      <c r="A133" s="29">
        <v>126</v>
      </c>
      <c r="B133" s="53" t="str">
        <f>IF($O133="","",IF(INDEX(资金流水!B$5:B$3032,$O133)="","",INDEX(资金流水!B$5:B$3032,$O133)))</f>
        <v/>
      </c>
      <c r="C133" s="10" t="str">
        <f>IF($O133="","",IF(INDEX(资金流水!C$5:C$3032,$O133)="","",INDEX(资金流水!C$5:C$3032,$O133)))</f>
        <v/>
      </c>
      <c r="D133" s="10" t="str">
        <f>IF($O133="","",IF(INDEX(资金流水!D$5:D$3032,$O133)="","",INDEX(资金流水!D$5:D$3032,$O133)))</f>
        <v/>
      </c>
      <c r="E133" s="29" t="str">
        <f>IF($O133="","",IF(INDEX(资金流水!E$5:E$3032,$O133)="","",INDEX(资金流水!E$5:E$3032,$O133)))</f>
        <v/>
      </c>
      <c r="F133" s="10" t="str">
        <f>IF($O133="","",IF(INDEX(资金流水!J$5:J$3032,$O133)="","",INDEX(资金流水!J$5:J$3032,$O133)))</f>
        <v/>
      </c>
      <c r="G133" s="11" t="str">
        <f>IF($O133="","",IF(INDEX(资金流水!K$5:K$3032,$O133)="","",INDEX(资金流水!K$5:K$3032,$O133)))</f>
        <v/>
      </c>
      <c r="H133" s="10" t="str">
        <f>IF($O133="","",IF(INDEX(资金流水!H$5:H$3032,$O133)="","",INDEX(资金流水!H$5:H$3032,$O133)))</f>
        <v/>
      </c>
      <c r="I133" s="11" t="str">
        <f>IF($O133="","",IF(INDEX(资金流水!L$5:L$3032,$O133)="","",INDEX(资金流水!L$5:L$3032,$O133)))</f>
        <v/>
      </c>
      <c r="J133" s="10" t="str">
        <f>IF($O133="","",IF(INDEX(资金流水!I$5:I$3032,$O133)="","",INDEX(资金流水!I$5:I$3032,$O133)))</f>
        <v/>
      </c>
      <c r="K133" s="29" t="str">
        <f>IF($O133="","",IF(INDEX(资金流水!T$5:T$3015,$O133)="","",INDEX(资金流水!T$5:T$3015,$O133)))</f>
        <v/>
      </c>
      <c r="L133" s="29" t="str">
        <f>IF($O133="","",IF(INDEX(资金流水!U$5:U$3015,$O133)="","",INDEX(资金流水!U$5:U$3015,$O133)))</f>
        <v/>
      </c>
      <c r="M133" s="10" t="str">
        <f>IF($O133="","",IF(INDEX(资金流水!Q$5:Q$3015,$O133)="","",INDEX(资金流水!Q$5:Q$3015,$O133)))</f>
        <v/>
      </c>
      <c r="O133" s="54" t="str">
        <f>IFERROR(MATCH($A133,资金流水!$V$5:$V$3015,0),"")</f>
        <v/>
      </c>
    </row>
    <row r="134" spans="1:15">
      <c r="A134" s="29">
        <v>127</v>
      </c>
      <c r="B134" s="53" t="str">
        <f>IF($O134="","",IF(INDEX(资金流水!B$5:B$3032,$O134)="","",INDEX(资金流水!B$5:B$3032,$O134)))</f>
        <v/>
      </c>
      <c r="C134" s="10" t="str">
        <f>IF($O134="","",IF(INDEX(资金流水!C$5:C$3032,$O134)="","",INDEX(资金流水!C$5:C$3032,$O134)))</f>
        <v/>
      </c>
      <c r="D134" s="10" t="str">
        <f>IF($O134="","",IF(INDEX(资金流水!D$5:D$3032,$O134)="","",INDEX(资金流水!D$5:D$3032,$O134)))</f>
        <v/>
      </c>
      <c r="E134" s="29" t="str">
        <f>IF($O134="","",IF(INDEX(资金流水!E$5:E$3032,$O134)="","",INDEX(资金流水!E$5:E$3032,$O134)))</f>
        <v/>
      </c>
      <c r="F134" s="10" t="str">
        <f>IF($O134="","",IF(INDEX(资金流水!J$5:J$3032,$O134)="","",INDEX(资金流水!J$5:J$3032,$O134)))</f>
        <v/>
      </c>
      <c r="G134" s="11" t="str">
        <f>IF($O134="","",IF(INDEX(资金流水!K$5:K$3032,$O134)="","",INDEX(资金流水!K$5:K$3032,$O134)))</f>
        <v/>
      </c>
      <c r="H134" s="10" t="str">
        <f>IF($O134="","",IF(INDEX(资金流水!H$5:H$3032,$O134)="","",INDEX(资金流水!H$5:H$3032,$O134)))</f>
        <v/>
      </c>
      <c r="I134" s="11" t="str">
        <f>IF($O134="","",IF(INDEX(资金流水!L$5:L$3032,$O134)="","",INDEX(资金流水!L$5:L$3032,$O134)))</f>
        <v/>
      </c>
      <c r="J134" s="10" t="str">
        <f>IF($O134="","",IF(INDEX(资金流水!I$5:I$3032,$O134)="","",INDEX(资金流水!I$5:I$3032,$O134)))</f>
        <v/>
      </c>
      <c r="K134" s="29" t="str">
        <f>IF($O134="","",IF(INDEX(资金流水!T$5:T$3015,$O134)="","",INDEX(资金流水!T$5:T$3015,$O134)))</f>
        <v/>
      </c>
      <c r="L134" s="29" t="str">
        <f>IF($O134="","",IF(INDEX(资金流水!U$5:U$3015,$O134)="","",INDEX(资金流水!U$5:U$3015,$O134)))</f>
        <v/>
      </c>
      <c r="M134" s="10" t="str">
        <f>IF($O134="","",IF(INDEX(资金流水!Q$5:Q$3015,$O134)="","",INDEX(资金流水!Q$5:Q$3015,$O134)))</f>
        <v/>
      </c>
      <c r="O134" s="54" t="str">
        <f>IFERROR(MATCH($A134,资金流水!$V$5:$V$3015,0),"")</f>
        <v/>
      </c>
    </row>
    <row r="135" spans="1:15">
      <c r="A135" s="29">
        <v>128</v>
      </c>
      <c r="B135" s="53" t="str">
        <f>IF($O135="","",IF(INDEX(资金流水!B$5:B$3032,$O135)="","",INDEX(资金流水!B$5:B$3032,$O135)))</f>
        <v/>
      </c>
      <c r="C135" s="10" t="str">
        <f>IF($O135="","",IF(INDEX(资金流水!C$5:C$3032,$O135)="","",INDEX(资金流水!C$5:C$3032,$O135)))</f>
        <v/>
      </c>
      <c r="D135" s="10" t="str">
        <f>IF($O135="","",IF(INDEX(资金流水!D$5:D$3032,$O135)="","",INDEX(资金流水!D$5:D$3032,$O135)))</f>
        <v/>
      </c>
      <c r="E135" s="29" t="str">
        <f>IF($O135="","",IF(INDEX(资金流水!E$5:E$3032,$O135)="","",INDEX(资金流水!E$5:E$3032,$O135)))</f>
        <v/>
      </c>
      <c r="F135" s="10" t="str">
        <f>IF($O135="","",IF(INDEX(资金流水!J$5:J$3032,$O135)="","",INDEX(资金流水!J$5:J$3032,$O135)))</f>
        <v/>
      </c>
      <c r="G135" s="11" t="str">
        <f>IF($O135="","",IF(INDEX(资金流水!K$5:K$3032,$O135)="","",INDEX(资金流水!K$5:K$3032,$O135)))</f>
        <v/>
      </c>
      <c r="H135" s="10" t="str">
        <f>IF($O135="","",IF(INDEX(资金流水!H$5:H$3032,$O135)="","",INDEX(资金流水!H$5:H$3032,$O135)))</f>
        <v/>
      </c>
      <c r="I135" s="11" t="str">
        <f>IF($O135="","",IF(INDEX(资金流水!L$5:L$3032,$O135)="","",INDEX(资金流水!L$5:L$3032,$O135)))</f>
        <v/>
      </c>
      <c r="J135" s="10" t="str">
        <f>IF($O135="","",IF(INDEX(资金流水!I$5:I$3032,$O135)="","",INDEX(资金流水!I$5:I$3032,$O135)))</f>
        <v/>
      </c>
      <c r="K135" s="29" t="str">
        <f>IF($O135="","",IF(INDEX(资金流水!T$5:T$3015,$O135)="","",INDEX(资金流水!T$5:T$3015,$O135)))</f>
        <v/>
      </c>
      <c r="L135" s="29" t="str">
        <f>IF($O135="","",IF(INDEX(资金流水!U$5:U$3015,$O135)="","",INDEX(资金流水!U$5:U$3015,$O135)))</f>
        <v/>
      </c>
      <c r="M135" s="10" t="str">
        <f>IF($O135="","",IF(INDEX(资金流水!Q$5:Q$3015,$O135)="","",INDEX(资金流水!Q$5:Q$3015,$O135)))</f>
        <v/>
      </c>
      <c r="O135" s="54" t="str">
        <f>IFERROR(MATCH($A135,资金流水!$V$5:$V$3015,0),"")</f>
        <v/>
      </c>
    </row>
    <row r="136" spans="1:15">
      <c r="A136" s="29">
        <v>129</v>
      </c>
      <c r="B136" s="53" t="str">
        <f>IF($O136="","",IF(INDEX(资金流水!B$5:B$3032,$O136)="","",INDEX(资金流水!B$5:B$3032,$O136)))</f>
        <v/>
      </c>
      <c r="C136" s="10" t="str">
        <f>IF($O136="","",IF(INDEX(资金流水!C$5:C$3032,$O136)="","",INDEX(资金流水!C$5:C$3032,$O136)))</f>
        <v/>
      </c>
      <c r="D136" s="10" t="str">
        <f>IF($O136="","",IF(INDEX(资金流水!D$5:D$3032,$O136)="","",INDEX(资金流水!D$5:D$3032,$O136)))</f>
        <v/>
      </c>
      <c r="E136" s="29" t="str">
        <f>IF($O136="","",IF(INDEX(资金流水!E$5:E$3032,$O136)="","",INDEX(资金流水!E$5:E$3032,$O136)))</f>
        <v/>
      </c>
      <c r="F136" s="10" t="str">
        <f>IF($O136="","",IF(INDEX(资金流水!J$5:J$3032,$O136)="","",INDEX(资金流水!J$5:J$3032,$O136)))</f>
        <v/>
      </c>
      <c r="G136" s="11" t="str">
        <f>IF($O136="","",IF(INDEX(资金流水!K$5:K$3032,$O136)="","",INDEX(资金流水!K$5:K$3032,$O136)))</f>
        <v/>
      </c>
      <c r="H136" s="10" t="str">
        <f>IF($O136="","",IF(INDEX(资金流水!H$5:H$3032,$O136)="","",INDEX(资金流水!H$5:H$3032,$O136)))</f>
        <v/>
      </c>
      <c r="I136" s="11" t="str">
        <f>IF($O136="","",IF(INDEX(资金流水!L$5:L$3032,$O136)="","",INDEX(资金流水!L$5:L$3032,$O136)))</f>
        <v/>
      </c>
      <c r="J136" s="10" t="str">
        <f>IF($O136="","",IF(INDEX(资金流水!I$5:I$3032,$O136)="","",INDEX(资金流水!I$5:I$3032,$O136)))</f>
        <v/>
      </c>
      <c r="K136" s="29" t="str">
        <f>IF($O136="","",IF(INDEX(资金流水!T$5:T$3015,$O136)="","",INDEX(资金流水!T$5:T$3015,$O136)))</f>
        <v/>
      </c>
      <c r="L136" s="29" t="str">
        <f>IF($O136="","",IF(INDEX(资金流水!U$5:U$3015,$O136)="","",INDEX(资金流水!U$5:U$3015,$O136)))</f>
        <v/>
      </c>
      <c r="M136" s="10" t="str">
        <f>IF($O136="","",IF(INDEX(资金流水!Q$5:Q$3015,$O136)="","",INDEX(资金流水!Q$5:Q$3015,$O136)))</f>
        <v/>
      </c>
      <c r="O136" s="54" t="str">
        <f>IFERROR(MATCH($A136,资金流水!$V$5:$V$3015,0),"")</f>
        <v/>
      </c>
    </row>
    <row r="137" spans="1:15">
      <c r="A137" s="29">
        <v>130</v>
      </c>
      <c r="B137" s="53" t="str">
        <f>IF($O137="","",IF(INDEX(资金流水!B$5:B$3032,$O137)="","",INDEX(资金流水!B$5:B$3032,$O137)))</f>
        <v/>
      </c>
      <c r="C137" s="10" t="str">
        <f>IF($O137="","",IF(INDEX(资金流水!C$5:C$3032,$O137)="","",INDEX(资金流水!C$5:C$3032,$O137)))</f>
        <v/>
      </c>
      <c r="D137" s="10" t="str">
        <f>IF($O137="","",IF(INDEX(资金流水!D$5:D$3032,$O137)="","",INDEX(资金流水!D$5:D$3032,$O137)))</f>
        <v/>
      </c>
      <c r="E137" s="29" t="str">
        <f>IF($O137="","",IF(INDEX(资金流水!E$5:E$3032,$O137)="","",INDEX(资金流水!E$5:E$3032,$O137)))</f>
        <v/>
      </c>
      <c r="F137" s="10" t="str">
        <f>IF($O137="","",IF(INDEX(资金流水!J$5:J$3032,$O137)="","",INDEX(资金流水!J$5:J$3032,$O137)))</f>
        <v/>
      </c>
      <c r="G137" s="11" t="str">
        <f>IF($O137="","",IF(INDEX(资金流水!K$5:K$3032,$O137)="","",INDEX(资金流水!K$5:K$3032,$O137)))</f>
        <v/>
      </c>
      <c r="H137" s="10" t="str">
        <f>IF($O137="","",IF(INDEX(资金流水!H$5:H$3032,$O137)="","",INDEX(资金流水!H$5:H$3032,$O137)))</f>
        <v/>
      </c>
      <c r="I137" s="11" t="str">
        <f>IF($O137="","",IF(INDEX(资金流水!L$5:L$3032,$O137)="","",INDEX(资金流水!L$5:L$3032,$O137)))</f>
        <v/>
      </c>
      <c r="J137" s="10" t="str">
        <f>IF($O137="","",IF(INDEX(资金流水!I$5:I$3032,$O137)="","",INDEX(资金流水!I$5:I$3032,$O137)))</f>
        <v/>
      </c>
      <c r="K137" s="29" t="str">
        <f>IF($O137="","",IF(INDEX(资金流水!T$5:T$3015,$O137)="","",INDEX(资金流水!T$5:T$3015,$O137)))</f>
        <v/>
      </c>
      <c r="L137" s="29" t="str">
        <f>IF($O137="","",IF(INDEX(资金流水!U$5:U$3015,$O137)="","",INDEX(资金流水!U$5:U$3015,$O137)))</f>
        <v/>
      </c>
      <c r="M137" s="10" t="str">
        <f>IF($O137="","",IF(INDEX(资金流水!Q$5:Q$3015,$O137)="","",INDEX(资金流水!Q$5:Q$3015,$O137)))</f>
        <v/>
      </c>
      <c r="O137" s="54" t="str">
        <f>IFERROR(MATCH($A137,资金流水!$V$5:$V$3015,0),"")</f>
        <v/>
      </c>
    </row>
    <row r="138" spans="1:15">
      <c r="A138" s="29">
        <v>131</v>
      </c>
      <c r="B138" s="53" t="str">
        <f>IF($O138="","",IF(INDEX(资金流水!B$5:B$3032,$O138)="","",INDEX(资金流水!B$5:B$3032,$O138)))</f>
        <v/>
      </c>
      <c r="C138" s="10" t="str">
        <f>IF($O138="","",IF(INDEX(资金流水!C$5:C$3032,$O138)="","",INDEX(资金流水!C$5:C$3032,$O138)))</f>
        <v/>
      </c>
      <c r="D138" s="10" t="str">
        <f>IF($O138="","",IF(INDEX(资金流水!D$5:D$3032,$O138)="","",INDEX(资金流水!D$5:D$3032,$O138)))</f>
        <v/>
      </c>
      <c r="E138" s="29" t="str">
        <f>IF($O138="","",IF(INDEX(资金流水!E$5:E$3032,$O138)="","",INDEX(资金流水!E$5:E$3032,$O138)))</f>
        <v/>
      </c>
      <c r="F138" s="10" t="str">
        <f>IF($O138="","",IF(INDEX(资金流水!J$5:J$3032,$O138)="","",INDEX(资金流水!J$5:J$3032,$O138)))</f>
        <v/>
      </c>
      <c r="G138" s="11" t="str">
        <f>IF($O138="","",IF(INDEX(资金流水!K$5:K$3032,$O138)="","",INDEX(资金流水!K$5:K$3032,$O138)))</f>
        <v/>
      </c>
      <c r="H138" s="10" t="str">
        <f>IF($O138="","",IF(INDEX(资金流水!H$5:H$3032,$O138)="","",INDEX(资金流水!H$5:H$3032,$O138)))</f>
        <v/>
      </c>
      <c r="I138" s="11" t="str">
        <f>IF($O138="","",IF(INDEX(资金流水!L$5:L$3032,$O138)="","",INDEX(资金流水!L$5:L$3032,$O138)))</f>
        <v/>
      </c>
      <c r="J138" s="10" t="str">
        <f>IF($O138="","",IF(INDEX(资金流水!I$5:I$3032,$O138)="","",INDEX(资金流水!I$5:I$3032,$O138)))</f>
        <v/>
      </c>
      <c r="K138" s="29" t="str">
        <f>IF($O138="","",IF(INDEX(资金流水!T$5:T$3015,$O138)="","",INDEX(资金流水!T$5:T$3015,$O138)))</f>
        <v/>
      </c>
      <c r="L138" s="29" t="str">
        <f>IF($O138="","",IF(INDEX(资金流水!U$5:U$3015,$O138)="","",INDEX(资金流水!U$5:U$3015,$O138)))</f>
        <v/>
      </c>
      <c r="M138" s="10" t="str">
        <f>IF($O138="","",IF(INDEX(资金流水!Q$5:Q$3015,$O138)="","",INDEX(资金流水!Q$5:Q$3015,$O138)))</f>
        <v/>
      </c>
      <c r="O138" s="54" t="str">
        <f>IFERROR(MATCH($A138,资金流水!$V$5:$V$3015,0),"")</f>
        <v/>
      </c>
    </row>
    <row r="139" spans="1:15">
      <c r="A139" s="29">
        <v>132</v>
      </c>
      <c r="B139" s="53" t="str">
        <f>IF($O139="","",IF(INDEX(资金流水!B$5:B$3032,$O139)="","",INDEX(资金流水!B$5:B$3032,$O139)))</f>
        <v/>
      </c>
      <c r="C139" s="10" t="str">
        <f>IF($O139="","",IF(INDEX(资金流水!C$5:C$3032,$O139)="","",INDEX(资金流水!C$5:C$3032,$O139)))</f>
        <v/>
      </c>
      <c r="D139" s="10" t="str">
        <f>IF($O139="","",IF(INDEX(资金流水!D$5:D$3032,$O139)="","",INDEX(资金流水!D$5:D$3032,$O139)))</f>
        <v/>
      </c>
      <c r="E139" s="29" t="str">
        <f>IF($O139="","",IF(INDEX(资金流水!E$5:E$3032,$O139)="","",INDEX(资金流水!E$5:E$3032,$O139)))</f>
        <v/>
      </c>
      <c r="F139" s="10" t="str">
        <f>IF($O139="","",IF(INDEX(资金流水!J$5:J$3032,$O139)="","",INDEX(资金流水!J$5:J$3032,$O139)))</f>
        <v/>
      </c>
      <c r="G139" s="11" t="str">
        <f>IF($O139="","",IF(INDEX(资金流水!K$5:K$3032,$O139)="","",INDEX(资金流水!K$5:K$3032,$O139)))</f>
        <v/>
      </c>
      <c r="H139" s="10" t="str">
        <f>IF($O139="","",IF(INDEX(资金流水!H$5:H$3032,$O139)="","",INDEX(资金流水!H$5:H$3032,$O139)))</f>
        <v/>
      </c>
      <c r="I139" s="11" t="str">
        <f>IF($O139="","",IF(INDEX(资金流水!L$5:L$3032,$O139)="","",INDEX(资金流水!L$5:L$3032,$O139)))</f>
        <v/>
      </c>
      <c r="J139" s="10" t="str">
        <f>IF($O139="","",IF(INDEX(资金流水!I$5:I$3032,$O139)="","",INDEX(资金流水!I$5:I$3032,$O139)))</f>
        <v/>
      </c>
      <c r="K139" s="29" t="str">
        <f>IF($O139="","",IF(INDEX(资金流水!T$5:T$3015,$O139)="","",INDEX(资金流水!T$5:T$3015,$O139)))</f>
        <v/>
      </c>
      <c r="L139" s="29" t="str">
        <f>IF($O139="","",IF(INDEX(资金流水!U$5:U$3015,$O139)="","",INDEX(资金流水!U$5:U$3015,$O139)))</f>
        <v/>
      </c>
      <c r="M139" s="10" t="str">
        <f>IF($O139="","",IF(INDEX(资金流水!Q$5:Q$3015,$O139)="","",INDEX(资金流水!Q$5:Q$3015,$O139)))</f>
        <v/>
      </c>
      <c r="O139" s="54" t="str">
        <f>IFERROR(MATCH($A139,资金流水!$V$5:$V$3015,0),"")</f>
        <v/>
      </c>
    </row>
    <row r="140" spans="1:15">
      <c r="A140" s="29">
        <v>133</v>
      </c>
      <c r="B140" s="53" t="str">
        <f>IF($O140="","",IF(INDEX(资金流水!B$5:B$3032,$O140)="","",INDEX(资金流水!B$5:B$3032,$O140)))</f>
        <v/>
      </c>
      <c r="C140" s="10" t="str">
        <f>IF($O140="","",IF(INDEX(资金流水!C$5:C$3032,$O140)="","",INDEX(资金流水!C$5:C$3032,$O140)))</f>
        <v/>
      </c>
      <c r="D140" s="10" t="str">
        <f>IF($O140="","",IF(INDEX(资金流水!D$5:D$3032,$O140)="","",INDEX(资金流水!D$5:D$3032,$O140)))</f>
        <v/>
      </c>
      <c r="E140" s="29" t="str">
        <f>IF($O140="","",IF(INDEX(资金流水!E$5:E$3032,$O140)="","",INDEX(资金流水!E$5:E$3032,$O140)))</f>
        <v/>
      </c>
      <c r="F140" s="10" t="str">
        <f>IF($O140="","",IF(INDEX(资金流水!J$5:J$3032,$O140)="","",INDEX(资金流水!J$5:J$3032,$O140)))</f>
        <v/>
      </c>
      <c r="G140" s="11" t="str">
        <f>IF($O140="","",IF(INDEX(资金流水!K$5:K$3032,$O140)="","",INDEX(资金流水!K$5:K$3032,$O140)))</f>
        <v/>
      </c>
      <c r="H140" s="10" t="str">
        <f>IF($O140="","",IF(INDEX(资金流水!H$5:H$3032,$O140)="","",INDEX(资金流水!H$5:H$3032,$O140)))</f>
        <v/>
      </c>
      <c r="I140" s="11" t="str">
        <f>IF($O140="","",IF(INDEX(资金流水!L$5:L$3032,$O140)="","",INDEX(资金流水!L$5:L$3032,$O140)))</f>
        <v/>
      </c>
      <c r="J140" s="10" t="str">
        <f>IF($O140="","",IF(INDEX(资金流水!I$5:I$3032,$O140)="","",INDEX(资金流水!I$5:I$3032,$O140)))</f>
        <v/>
      </c>
      <c r="K140" s="29" t="str">
        <f>IF($O140="","",IF(INDEX(资金流水!T$5:T$3015,$O140)="","",INDEX(资金流水!T$5:T$3015,$O140)))</f>
        <v/>
      </c>
      <c r="L140" s="29" t="str">
        <f>IF($O140="","",IF(INDEX(资金流水!U$5:U$3015,$O140)="","",INDEX(资金流水!U$5:U$3015,$O140)))</f>
        <v/>
      </c>
      <c r="M140" s="10" t="str">
        <f>IF($O140="","",IF(INDEX(资金流水!Q$5:Q$3015,$O140)="","",INDEX(资金流水!Q$5:Q$3015,$O140)))</f>
        <v/>
      </c>
      <c r="O140" s="54" t="str">
        <f>IFERROR(MATCH($A140,资金流水!$V$5:$V$3015,0),"")</f>
        <v/>
      </c>
    </row>
    <row r="141" spans="1:15">
      <c r="A141" s="29">
        <v>134</v>
      </c>
      <c r="B141" s="53" t="str">
        <f>IF($O141="","",IF(INDEX(资金流水!B$5:B$3032,$O141)="","",INDEX(资金流水!B$5:B$3032,$O141)))</f>
        <v/>
      </c>
      <c r="C141" s="10" t="str">
        <f>IF($O141="","",IF(INDEX(资金流水!C$5:C$3032,$O141)="","",INDEX(资金流水!C$5:C$3032,$O141)))</f>
        <v/>
      </c>
      <c r="D141" s="10" t="str">
        <f>IF($O141="","",IF(INDEX(资金流水!D$5:D$3032,$O141)="","",INDEX(资金流水!D$5:D$3032,$O141)))</f>
        <v/>
      </c>
      <c r="E141" s="29" t="str">
        <f>IF($O141="","",IF(INDEX(资金流水!E$5:E$3032,$O141)="","",INDEX(资金流水!E$5:E$3032,$O141)))</f>
        <v/>
      </c>
      <c r="F141" s="10" t="str">
        <f>IF($O141="","",IF(INDEX(资金流水!J$5:J$3032,$O141)="","",INDEX(资金流水!J$5:J$3032,$O141)))</f>
        <v/>
      </c>
      <c r="G141" s="11" t="str">
        <f>IF($O141="","",IF(INDEX(资金流水!K$5:K$3032,$O141)="","",INDEX(资金流水!K$5:K$3032,$O141)))</f>
        <v/>
      </c>
      <c r="H141" s="10" t="str">
        <f>IF($O141="","",IF(INDEX(资金流水!H$5:H$3032,$O141)="","",INDEX(资金流水!H$5:H$3032,$O141)))</f>
        <v/>
      </c>
      <c r="I141" s="11" t="str">
        <f>IF($O141="","",IF(INDEX(资金流水!L$5:L$3032,$O141)="","",INDEX(资金流水!L$5:L$3032,$O141)))</f>
        <v/>
      </c>
      <c r="J141" s="10" t="str">
        <f>IF($O141="","",IF(INDEX(资金流水!I$5:I$3032,$O141)="","",INDEX(资金流水!I$5:I$3032,$O141)))</f>
        <v/>
      </c>
      <c r="K141" s="29" t="str">
        <f>IF($O141="","",IF(INDEX(资金流水!T$5:T$3015,$O141)="","",INDEX(资金流水!T$5:T$3015,$O141)))</f>
        <v/>
      </c>
      <c r="L141" s="29" t="str">
        <f>IF($O141="","",IF(INDEX(资金流水!U$5:U$3015,$O141)="","",INDEX(资金流水!U$5:U$3015,$O141)))</f>
        <v/>
      </c>
      <c r="M141" s="10" t="str">
        <f>IF($O141="","",IF(INDEX(资金流水!Q$5:Q$3015,$O141)="","",INDEX(资金流水!Q$5:Q$3015,$O141)))</f>
        <v/>
      </c>
      <c r="O141" s="54" t="str">
        <f>IFERROR(MATCH($A141,资金流水!$V$5:$V$3015,0),"")</f>
        <v/>
      </c>
    </row>
    <row r="142" spans="1:15">
      <c r="A142" s="29">
        <v>135</v>
      </c>
      <c r="B142" s="53" t="str">
        <f>IF($O142="","",IF(INDEX(资金流水!B$5:B$3032,$O142)="","",INDEX(资金流水!B$5:B$3032,$O142)))</f>
        <v/>
      </c>
      <c r="C142" s="10" t="str">
        <f>IF($O142="","",IF(INDEX(资金流水!C$5:C$3032,$O142)="","",INDEX(资金流水!C$5:C$3032,$O142)))</f>
        <v/>
      </c>
      <c r="D142" s="10" t="str">
        <f>IF($O142="","",IF(INDEX(资金流水!D$5:D$3032,$O142)="","",INDEX(资金流水!D$5:D$3032,$O142)))</f>
        <v/>
      </c>
      <c r="E142" s="29" t="str">
        <f>IF($O142="","",IF(INDEX(资金流水!E$5:E$3032,$O142)="","",INDEX(资金流水!E$5:E$3032,$O142)))</f>
        <v/>
      </c>
      <c r="F142" s="10" t="str">
        <f>IF($O142="","",IF(INDEX(资金流水!J$5:J$3032,$O142)="","",INDEX(资金流水!J$5:J$3032,$O142)))</f>
        <v/>
      </c>
      <c r="G142" s="11" t="str">
        <f>IF($O142="","",IF(INDEX(资金流水!K$5:K$3032,$O142)="","",INDEX(资金流水!K$5:K$3032,$O142)))</f>
        <v/>
      </c>
      <c r="H142" s="10" t="str">
        <f>IF($O142="","",IF(INDEX(资金流水!H$5:H$3032,$O142)="","",INDEX(资金流水!H$5:H$3032,$O142)))</f>
        <v/>
      </c>
      <c r="I142" s="11" t="str">
        <f>IF($O142="","",IF(INDEX(资金流水!L$5:L$3032,$O142)="","",INDEX(资金流水!L$5:L$3032,$O142)))</f>
        <v/>
      </c>
      <c r="J142" s="10" t="str">
        <f>IF($O142="","",IF(INDEX(资金流水!I$5:I$3032,$O142)="","",INDEX(资金流水!I$5:I$3032,$O142)))</f>
        <v/>
      </c>
      <c r="K142" s="29" t="str">
        <f>IF($O142="","",IF(INDEX(资金流水!T$5:T$3015,$O142)="","",INDEX(资金流水!T$5:T$3015,$O142)))</f>
        <v/>
      </c>
      <c r="L142" s="29" t="str">
        <f>IF($O142="","",IF(INDEX(资金流水!U$5:U$3015,$O142)="","",INDEX(资金流水!U$5:U$3015,$O142)))</f>
        <v/>
      </c>
      <c r="M142" s="10" t="str">
        <f>IF($O142="","",IF(INDEX(资金流水!Q$5:Q$3015,$O142)="","",INDEX(资金流水!Q$5:Q$3015,$O142)))</f>
        <v/>
      </c>
      <c r="O142" s="54" t="str">
        <f>IFERROR(MATCH($A142,资金流水!$V$5:$V$3015,0),"")</f>
        <v/>
      </c>
    </row>
    <row r="143" spans="1:15">
      <c r="A143" s="29">
        <v>136</v>
      </c>
      <c r="B143" s="53" t="str">
        <f>IF($O143="","",IF(INDEX(资金流水!B$5:B$3032,$O143)="","",INDEX(资金流水!B$5:B$3032,$O143)))</f>
        <v/>
      </c>
      <c r="C143" s="10" t="str">
        <f>IF($O143="","",IF(INDEX(资金流水!C$5:C$3032,$O143)="","",INDEX(资金流水!C$5:C$3032,$O143)))</f>
        <v/>
      </c>
      <c r="D143" s="10" t="str">
        <f>IF($O143="","",IF(INDEX(资金流水!D$5:D$3032,$O143)="","",INDEX(资金流水!D$5:D$3032,$O143)))</f>
        <v/>
      </c>
      <c r="E143" s="29" t="str">
        <f>IF($O143="","",IF(INDEX(资金流水!E$5:E$3032,$O143)="","",INDEX(资金流水!E$5:E$3032,$O143)))</f>
        <v/>
      </c>
      <c r="F143" s="10" t="str">
        <f>IF($O143="","",IF(INDEX(资金流水!J$5:J$3032,$O143)="","",INDEX(资金流水!J$5:J$3032,$O143)))</f>
        <v/>
      </c>
      <c r="G143" s="11" t="str">
        <f>IF($O143="","",IF(INDEX(资金流水!K$5:K$3032,$O143)="","",INDEX(资金流水!K$5:K$3032,$O143)))</f>
        <v/>
      </c>
      <c r="H143" s="10" t="str">
        <f>IF($O143="","",IF(INDEX(资金流水!H$5:H$3032,$O143)="","",INDEX(资金流水!H$5:H$3032,$O143)))</f>
        <v/>
      </c>
      <c r="I143" s="11" t="str">
        <f>IF($O143="","",IF(INDEX(资金流水!L$5:L$3032,$O143)="","",INDEX(资金流水!L$5:L$3032,$O143)))</f>
        <v/>
      </c>
      <c r="J143" s="10" t="str">
        <f>IF($O143="","",IF(INDEX(资金流水!I$5:I$3032,$O143)="","",INDEX(资金流水!I$5:I$3032,$O143)))</f>
        <v/>
      </c>
      <c r="K143" s="29" t="str">
        <f>IF($O143="","",IF(INDEX(资金流水!T$5:T$3015,$O143)="","",INDEX(资金流水!T$5:T$3015,$O143)))</f>
        <v/>
      </c>
      <c r="L143" s="29" t="str">
        <f>IF($O143="","",IF(INDEX(资金流水!U$5:U$3015,$O143)="","",INDEX(资金流水!U$5:U$3015,$O143)))</f>
        <v/>
      </c>
      <c r="M143" s="10" t="str">
        <f>IF($O143="","",IF(INDEX(资金流水!Q$5:Q$3015,$O143)="","",INDEX(资金流水!Q$5:Q$3015,$O143)))</f>
        <v/>
      </c>
      <c r="O143" s="54" t="str">
        <f>IFERROR(MATCH($A143,资金流水!$V$5:$V$3015,0),"")</f>
        <v/>
      </c>
    </row>
    <row r="144" spans="1:15">
      <c r="A144" s="29">
        <v>137</v>
      </c>
      <c r="B144" s="53" t="str">
        <f>IF($O144="","",IF(INDEX(资金流水!B$5:B$3032,$O144)="","",INDEX(资金流水!B$5:B$3032,$O144)))</f>
        <v/>
      </c>
      <c r="C144" s="10" t="str">
        <f>IF($O144="","",IF(INDEX(资金流水!C$5:C$3032,$O144)="","",INDEX(资金流水!C$5:C$3032,$O144)))</f>
        <v/>
      </c>
      <c r="D144" s="10" t="str">
        <f>IF($O144="","",IF(INDEX(资金流水!D$5:D$3032,$O144)="","",INDEX(资金流水!D$5:D$3032,$O144)))</f>
        <v/>
      </c>
      <c r="E144" s="29" t="str">
        <f>IF($O144="","",IF(INDEX(资金流水!E$5:E$3032,$O144)="","",INDEX(资金流水!E$5:E$3032,$O144)))</f>
        <v/>
      </c>
      <c r="F144" s="10" t="str">
        <f>IF($O144="","",IF(INDEX(资金流水!J$5:J$3032,$O144)="","",INDEX(资金流水!J$5:J$3032,$O144)))</f>
        <v/>
      </c>
      <c r="G144" s="11" t="str">
        <f>IF($O144="","",IF(INDEX(资金流水!K$5:K$3032,$O144)="","",INDEX(资金流水!K$5:K$3032,$O144)))</f>
        <v/>
      </c>
      <c r="H144" s="10" t="str">
        <f>IF($O144="","",IF(INDEX(资金流水!H$5:H$3032,$O144)="","",INDEX(资金流水!H$5:H$3032,$O144)))</f>
        <v/>
      </c>
      <c r="I144" s="11" t="str">
        <f>IF($O144="","",IF(INDEX(资金流水!L$5:L$3032,$O144)="","",INDEX(资金流水!L$5:L$3032,$O144)))</f>
        <v/>
      </c>
      <c r="J144" s="10" t="str">
        <f>IF($O144="","",IF(INDEX(资金流水!I$5:I$3032,$O144)="","",INDEX(资金流水!I$5:I$3032,$O144)))</f>
        <v/>
      </c>
      <c r="K144" s="29" t="str">
        <f>IF($O144="","",IF(INDEX(资金流水!T$5:T$3015,$O144)="","",INDEX(资金流水!T$5:T$3015,$O144)))</f>
        <v/>
      </c>
      <c r="L144" s="29" t="str">
        <f>IF($O144="","",IF(INDEX(资金流水!U$5:U$3015,$O144)="","",INDEX(资金流水!U$5:U$3015,$O144)))</f>
        <v/>
      </c>
      <c r="M144" s="10" t="str">
        <f>IF($O144="","",IF(INDEX(资金流水!Q$5:Q$3015,$O144)="","",INDEX(资金流水!Q$5:Q$3015,$O144)))</f>
        <v/>
      </c>
      <c r="O144" s="54" t="str">
        <f>IFERROR(MATCH($A144,资金流水!$V$5:$V$3015,0),"")</f>
        <v/>
      </c>
    </row>
    <row r="145" spans="1:15">
      <c r="A145" s="29">
        <v>138</v>
      </c>
      <c r="B145" s="53" t="str">
        <f>IF($O145="","",IF(INDEX(资金流水!B$5:B$3032,$O145)="","",INDEX(资金流水!B$5:B$3032,$O145)))</f>
        <v/>
      </c>
      <c r="C145" s="10" t="str">
        <f>IF($O145="","",IF(INDEX(资金流水!C$5:C$3032,$O145)="","",INDEX(资金流水!C$5:C$3032,$O145)))</f>
        <v/>
      </c>
      <c r="D145" s="10" t="str">
        <f>IF($O145="","",IF(INDEX(资金流水!D$5:D$3032,$O145)="","",INDEX(资金流水!D$5:D$3032,$O145)))</f>
        <v/>
      </c>
      <c r="E145" s="29" t="str">
        <f>IF($O145="","",IF(INDEX(资金流水!E$5:E$3032,$O145)="","",INDEX(资金流水!E$5:E$3032,$O145)))</f>
        <v/>
      </c>
      <c r="F145" s="10" t="str">
        <f>IF($O145="","",IF(INDEX(资金流水!J$5:J$3032,$O145)="","",INDEX(资金流水!J$5:J$3032,$O145)))</f>
        <v/>
      </c>
      <c r="G145" s="11" t="str">
        <f>IF($O145="","",IF(INDEX(资金流水!K$5:K$3032,$O145)="","",INDEX(资金流水!K$5:K$3032,$O145)))</f>
        <v/>
      </c>
      <c r="H145" s="10" t="str">
        <f>IF($O145="","",IF(INDEX(资金流水!H$5:H$3032,$O145)="","",INDEX(资金流水!H$5:H$3032,$O145)))</f>
        <v/>
      </c>
      <c r="I145" s="11" t="str">
        <f>IF($O145="","",IF(INDEX(资金流水!L$5:L$3032,$O145)="","",INDEX(资金流水!L$5:L$3032,$O145)))</f>
        <v/>
      </c>
      <c r="J145" s="10" t="str">
        <f>IF($O145="","",IF(INDEX(资金流水!I$5:I$3032,$O145)="","",INDEX(资金流水!I$5:I$3032,$O145)))</f>
        <v/>
      </c>
      <c r="K145" s="29" t="str">
        <f>IF($O145="","",IF(INDEX(资金流水!T$5:T$3015,$O145)="","",INDEX(资金流水!T$5:T$3015,$O145)))</f>
        <v/>
      </c>
      <c r="L145" s="29" t="str">
        <f>IF($O145="","",IF(INDEX(资金流水!U$5:U$3015,$O145)="","",INDEX(资金流水!U$5:U$3015,$O145)))</f>
        <v/>
      </c>
      <c r="M145" s="10" t="str">
        <f>IF($O145="","",IF(INDEX(资金流水!Q$5:Q$3015,$O145)="","",INDEX(资金流水!Q$5:Q$3015,$O145)))</f>
        <v/>
      </c>
      <c r="O145" s="54" t="str">
        <f>IFERROR(MATCH($A145,资金流水!$V$5:$V$3015,0),"")</f>
        <v/>
      </c>
    </row>
    <row r="146" spans="1:15">
      <c r="A146" s="29">
        <v>139</v>
      </c>
      <c r="B146" s="53" t="str">
        <f>IF($O146="","",IF(INDEX(资金流水!B$5:B$3032,$O146)="","",INDEX(资金流水!B$5:B$3032,$O146)))</f>
        <v/>
      </c>
      <c r="C146" s="10" t="str">
        <f>IF($O146="","",IF(INDEX(资金流水!C$5:C$3032,$O146)="","",INDEX(资金流水!C$5:C$3032,$O146)))</f>
        <v/>
      </c>
      <c r="D146" s="10" t="str">
        <f>IF($O146="","",IF(INDEX(资金流水!D$5:D$3032,$O146)="","",INDEX(资金流水!D$5:D$3032,$O146)))</f>
        <v/>
      </c>
      <c r="E146" s="29" t="str">
        <f>IF($O146="","",IF(INDEX(资金流水!E$5:E$3032,$O146)="","",INDEX(资金流水!E$5:E$3032,$O146)))</f>
        <v/>
      </c>
      <c r="F146" s="10" t="str">
        <f>IF($O146="","",IF(INDEX(资金流水!J$5:J$3032,$O146)="","",INDEX(资金流水!J$5:J$3032,$O146)))</f>
        <v/>
      </c>
      <c r="G146" s="11" t="str">
        <f>IF($O146="","",IF(INDEX(资金流水!K$5:K$3032,$O146)="","",INDEX(资金流水!K$5:K$3032,$O146)))</f>
        <v/>
      </c>
      <c r="H146" s="10" t="str">
        <f>IF($O146="","",IF(INDEX(资金流水!H$5:H$3032,$O146)="","",INDEX(资金流水!H$5:H$3032,$O146)))</f>
        <v/>
      </c>
      <c r="I146" s="11" t="str">
        <f>IF($O146="","",IF(INDEX(资金流水!L$5:L$3032,$O146)="","",INDEX(资金流水!L$5:L$3032,$O146)))</f>
        <v/>
      </c>
      <c r="J146" s="10" t="str">
        <f>IF($O146="","",IF(INDEX(资金流水!I$5:I$3032,$O146)="","",INDEX(资金流水!I$5:I$3032,$O146)))</f>
        <v/>
      </c>
      <c r="K146" s="29" t="str">
        <f>IF($O146="","",IF(INDEX(资金流水!T$5:T$3015,$O146)="","",INDEX(资金流水!T$5:T$3015,$O146)))</f>
        <v/>
      </c>
      <c r="L146" s="29" t="str">
        <f>IF($O146="","",IF(INDEX(资金流水!U$5:U$3015,$O146)="","",INDEX(资金流水!U$5:U$3015,$O146)))</f>
        <v/>
      </c>
      <c r="M146" s="10" t="str">
        <f>IF($O146="","",IF(INDEX(资金流水!Q$5:Q$3015,$O146)="","",INDEX(资金流水!Q$5:Q$3015,$O146)))</f>
        <v/>
      </c>
      <c r="O146" s="54" t="str">
        <f>IFERROR(MATCH($A146,资金流水!$V$5:$V$3015,0),"")</f>
        <v/>
      </c>
    </row>
    <row r="147" spans="1:15">
      <c r="A147" s="29">
        <v>140</v>
      </c>
      <c r="B147" s="53" t="str">
        <f>IF($O147="","",IF(INDEX(资金流水!B$5:B$3032,$O147)="","",INDEX(资金流水!B$5:B$3032,$O147)))</f>
        <v/>
      </c>
      <c r="C147" s="10" t="str">
        <f>IF($O147="","",IF(INDEX(资金流水!C$5:C$3032,$O147)="","",INDEX(资金流水!C$5:C$3032,$O147)))</f>
        <v/>
      </c>
      <c r="D147" s="10" t="str">
        <f>IF($O147="","",IF(INDEX(资金流水!D$5:D$3032,$O147)="","",INDEX(资金流水!D$5:D$3032,$O147)))</f>
        <v/>
      </c>
      <c r="E147" s="29" t="str">
        <f>IF($O147="","",IF(INDEX(资金流水!E$5:E$3032,$O147)="","",INDEX(资金流水!E$5:E$3032,$O147)))</f>
        <v/>
      </c>
      <c r="F147" s="10" t="str">
        <f>IF($O147="","",IF(INDEX(资金流水!J$5:J$3032,$O147)="","",INDEX(资金流水!J$5:J$3032,$O147)))</f>
        <v/>
      </c>
      <c r="G147" s="11" t="str">
        <f>IF($O147="","",IF(INDEX(资金流水!K$5:K$3032,$O147)="","",INDEX(资金流水!K$5:K$3032,$O147)))</f>
        <v/>
      </c>
      <c r="H147" s="10" t="str">
        <f>IF($O147="","",IF(INDEX(资金流水!H$5:H$3032,$O147)="","",INDEX(资金流水!H$5:H$3032,$O147)))</f>
        <v/>
      </c>
      <c r="I147" s="11" t="str">
        <f>IF($O147="","",IF(INDEX(资金流水!L$5:L$3032,$O147)="","",INDEX(资金流水!L$5:L$3032,$O147)))</f>
        <v/>
      </c>
      <c r="J147" s="10" t="str">
        <f>IF($O147="","",IF(INDEX(资金流水!I$5:I$3032,$O147)="","",INDEX(资金流水!I$5:I$3032,$O147)))</f>
        <v/>
      </c>
      <c r="K147" s="29" t="str">
        <f>IF($O147="","",IF(INDEX(资金流水!T$5:T$3015,$O147)="","",INDEX(资金流水!T$5:T$3015,$O147)))</f>
        <v/>
      </c>
      <c r="L147" s="29" t="str">
        <f>IF($O147="","",IF(INDEX(资金流水!U$5:U$3015,$O147)="","",INDEX(资金流水!U$5:U$3015,$O147)))</f>
        <v/>
      </c>
      <c r="M147" s="10" t="str">
        <f>IF($O147="","",IF(INDEX(资金流水!Q$5:Q$3015,$O147)="","",INDEX(资金流水!Q$5:Q$3015,$O147)))</f>
        <v/>
      </c>
      <c r="O147" s="54" t="str">
        <f>IFERROR(MATCH($A147,资金流水!$V$5:$V$3015,0),"")</f>
        <v/>
      </c>
    </row>
    <row r="148" spans="1:15">
      <c r="A148" s="29">
        <v>141</v>
      </c>
      <c r="B148" s="53" t="str">
        <f>IF($O148="","",IF(INDEX(资金流水!B$5:B$3032,$O148)="","",INDEX(资金流水!B$5:B$3032,$O148)))</f>
        <v/>
      </c>
      <c r="C148" s="10" t="str">
        <f>IF($O148="","",IF(INDEX(资金流水!C$5:C$3032,$O148)="","",INDEX(资金流水!C$5:C$3032,$O148)))</f>
        <v/>
      </c>
      <c r="D148" s="10" t="str">
        <f>IF($O148="","",IF(INDEX(资金流水!D$5:D$3032,$O148)="","",INDEX(资金流水!D$5:D$3032,$O148)))</f>
        <v/>
      </c>
      <c r="E148" s="29" t="str">
        <f>IF($O148="","",IF(INDEX(资金流水!E$5:E$3032,$O148)="","",INDEX(资金流水!E$5:E$3032,$O148)))</f>
        <v/>
      </c>
      <c r="F148" s="10" t="str">
        <f>IF($O148="","",IF(INDEX(资金流水!J$5:J$3032,$O148)="","",INDEX(资金流水!J$5:J$3032,$O148)))</f>
        <v/>
      </c>
      <c r="G148" s="11" t="str">
        <f>IF($O148="","",IF(INDEX(资金流水!K$5:K$3032,$O148)="","",INDEX(资金流水!K$5:K$3032,$O148)))</f>
        <v/>
      </c>
      <c r="H148" s="10" t="str">
        <f>IF($O148="","",IF(INDEX(资金流水!H$5:H$3032,$O148)="","",INDEX(资金流水!H$5:H$3032,$O148)))</f>
        <v/>
      </c>
      <c r="I148" s="11" t="str">
        <f>IF($O148="","",IF(INDEX(资金流水!L$5:L$3032,$O148)="","",INDEX(资金流水!L$5:L$3032,$O148)))</f>
        <v/>
      </c>
      <c r="J148" s="10" t="str">
        <f>IF($O148="","",IF(INDEX(资金流水!I$5:I$3032,$O148)="","",INDEX(资金流水!I$5:I$3032,$O148)))</f>
        <v/>
      </c>
      <c r="K148" s="29" t="str">
        <f>IF($O148="","",IF(INDEX(资金流水!T$5:T$3015,$O148)="","",INDEX(资金流水!T$5:T$3015,$O148)))</f>
        <v/>
      </c>
      <c r="L148" s="29" t="str">
        <f>IF($O148="","",IF(INDEX(资金流水!U$5:U$3015,$O148)="","",INDEX(资金流水!U$5:U$3015,$O148)))</f>
        <v/>
      </c>
      <c r="M148" s="10" t="str">
        <f>IF($O148="","",IF(INDEX(资金流水!Q$5:Q$3015,$O148)="","",INDEX(资金流水!Q$5:Q$3015,$O148)))</f>
        <v/>
      </c>
      <c r="O148" s="54" t="str">
        <f>IFERROR(MATCH($A148,资金流水!$V$5:$V$3015,0),"")</f>
        <v/>
      </c>
    </row>
    <row r="149" spans="1:15">
      <c r="A149" s="29">
        <v>142</v>
      </c>
      <c r="B149" s="53" t="str">
        <f>IF($O149="","",IF(INDEX(资金流水!B$5:B$3032,$O149)="","",INDEX(资金流水!B$5:B$3032,$O149)))</f>
        <v/>
      </c>
      <c r="C149" s="10" t="str">
        <f>IF($O149="","",IF(INDEX(资金流水!C$5:C$3032,$O149)="","",INDEX(资金流水!C$5:C$3032,$O149)))</f>
        <v/>
      </c>
      <c r="D149" s="10" t="str">
        <f>IF($O149="","",IF(INDEX(资金流水!D$5:D$3032,$O149)="","",INDEX(资金流水!D$5:D$3032,$O149)))</f>
        <v/>
      </c>
      <c r="E149" s="29" t="str">
        <f>IF($O149="","",IF(INDEX(资金流水!E$5:E$3032,$O149)="","",INDEX(资金流水!E$5:E$3032,$O149)))</f>
        <v/>
      </c>
      <c r="F149" s="10" t="str">
        <f>IF($O149="","",IF(INDEX(资金流水!J$5:J$3032,$O149)="","",INDEX(资金流水!J$5:J$3032,$O149)))</f>
        <v/>
      </c>
      <c r="G149" s="11" t="str">
        <f>IF($O149="","",IF(INDEX(资金流水!K$5:K$3032,$O149)="","",INDEX(资金流水!K$5:K$3032,$O149)))</f>
        <v/>
      </c>
      <c r="H149" s="10" t="str">
        <f>IF($O149="","",IF(INDEX(资金流水!H$5:H$3032,$O149)="","",INDEX(资金流水!H$5:H$3032,$O149)))</f>
        <v/>
      </c>
      <c r="I149" s="11" t="str">
        <f>IF($O149="","",IF(INDEX(资金流水!L$5:L$3032,$O149)="","",INDEX(资金流水!L$5:L$3032,$O149)))</f>
        <v/>
      </c>
      <c r="J149" s="10" t="str">
        <f>IF($O149="","",IF(INDEX(资金流水!I$5:I$3032,$O149)="","",INDEX(资金流水!I$5:I$3032,$O149)))</f>
        <v/>
      </c>
      <c r="K149" s="29" t="str">
        <f>IF($O149="","",IF(INDEX(资金流水!T$5:T$3015,$O149)="","",INDEX(资金流水!T$5:T$3015,$O149)))</f>
        <v/>
      </c>
      <c r="L149" s="29" t="str">
        <f>IF($O149="","",IF(INDEX(资金流水!U$5:U$3015,$O149)="","",INDEX(资金流水!U$5:U$3015,$O149)))</f>
        <v/>
      </c>
      <c r="M149" s="10" t="str">
        <f>IF($O149="","",IF(INDEX(资金流水!Q$5:Q$3015,$O149)="","",INDEX(资金流水!Q$5:Q$3015,$O149)))</f>
        <v/>
      </c>
      <c r="O149" s="54" t="str">
        <f>IFERROR(MATCH($A149,资金流水!$V$5:$V$3015,0),"")</f>
        <v/>
      </c>
    </row>
    <row r="150" spans="1:15">
      <c r="A150" s="29">
        <v>143</v>
      </c>
      <c r="B150" s="53" t="str">
        <f>IF($O150="","",IF(INDEX(资金流水!B$5:B$3032,$O150)="","",INDEX(资金流水!B$5:B$3032,$O150)))</f>
        <v/>
      </c>
      <c r="C150" s="10" t="str">
        <f>IF($O150="","",IF(INDEX(资金流水!C$5:C$3032,$O150)="","",INDEX(资金流水!C$5:C$3032,$O150)))</f>
        <v/>
      </c>
      <c r="D150" s="10" t="str">
        <f>IF($O150="","",IF(INDEX(资金流水!D$5:D$3032,$O150)="","",INDEX(资金流水!D$5:D$3032,$O150)))</f>
        <v/>
      </c>
      <c r="E150" s="29" t="str">
        <f>IF($O150="","",IF(INDEX(资金流水!E$5:E$3032,$O150)="","",INDEX(资金流水!E$5:E$3032,$O150)))</f>
        <v/>
      </c>
      <c r="F150" s="10" t="str">
        <f>IF($O150="","",IF(INDEX(资金流水!J$5:J$3032,$O150)="","",INDEX(资金流水!J$5:J$3032,$O150)))</f>
        <v/>
      </c>
      <c r="G150" s="11" t="str">
        <f>IF($O150="","",IF(INDEX(资金流水!K$5:K$3032,$O150)="","",INDEX(资金流水!K$5:K$3032,$O150)))</f>
        <v/>
      </c>
      <c r="H150" s="10" t="str">
        <f>IF($O150="","",IF(INDEX(资金流水!H$5:H$3032,$O150)="","",INDEX(资金流水!H$5:H$3032,$O150)))</f>
        <v/>
      </c>
      <c r="I150" s="11" t="str">
        <f>IF($O150="","",IF(INDEX(资金流水!L$5:L$3032,$O150)="","",INDEX(资金流水!L$5:L$3032,$O150)))</f>
        <v/>
      </c>
      <c r="J150" s="10" t="str">
        <f>IF($O150="","",IF(INDEX(资金流水!I$5:I$3032,$O150)="","",INDEX(资金流水!I$5:I$3032,$O150)))</f>
        <v/>
      </c>
      <c r="K150" s="29" t="str">
        <f>IF($O150="","",IF(INDEX(资金流水!T$5:T$3015,$O150)="","",INDEX(资金流水!T$5:T$3015,$O150)))</f>
        <v/>
      </c>
      <c r="L150" s="29" t="str">
        <f>IF($O150="","",IF(INDEX(资金流水!U$5:U$3015,$O150)="","",INDEX(资金流水!U$5:U$3015,$O150)))</f>
        <v/>
      </c>
      <c r="M150" s="10" t="str">
        <f>IF($O150="","",IF(INDEX(资金流水!Q$5:Q$3015,$O150)="","",INDEX(资金流水!Q$5:Q$3015,$O150)))</f>
        <v/>
      </c>
      <c r="O150" s="54" t="str">
        <f>IFERROR(MATCH($A150,资金流水!$V$5:$V$3015,0),"")</f>
        <v/>
      </c>
    </row>
    <row r="151" spans="1:15">
      <c r="A151" s="29">
        <v>144</v>
      </c>
      <c r="B151" s="53" t="str">
        <f>IF($O151="","",IF(INDEX(资金流水!B$5:B$3032,$O151)="","",INDEX(资金流水!B$5:B$3032,$O151)))</f>
        <v/>
      </c>
      <c r="C151" s="10" t="str">
        <f>IF($O151="","",IF(INDEX(资金流水!C$5:C$3032,$O151)="","",INDEX(资金流水!C$5:C$3032,$O151)))</f>
        <v/>
      </c>
      <c r="D151" s="10" t="str">
        <f>IF($O151="","",IF(INDEX(资金流水!D$5:D$3032,$O151)="","",INDEX(资金流水!D$5:D$3032,$O151)))</f>
        <v/>
      </c>
      <c r="E151" s="29" t="str">
        <f>IF($O151="","",IF(INDEX(资金流水!E$5:E$3032,$O151)="","",INDEX(资金流水!E$5:E$3032,$O151)))</f>
        <v/>
      </c>
      <c r="F151" s="10" t="str">
        <f>IF($O151="","",IF(INDEX(资金流水!J$5:J$3032,$O151)="","",INDEX(资金流水!J$5:J$3032,$O151)))</f>
        <v/>
      </c>
      <c r="G151" s="11" t="str">
        <f>IF($O151="","",IF(INDEX(资金流水!K$5:K$3032,$O151)="","",INDEX(资金流水!K$5:K$3032,$O151)))</f>
        <v/>
      </c>
      <c r="H151" s="10" t="str">
        <f>IF($O151="","",IF(INDEX(资金流水!H$5:H$3032,$O151)="","",INDEX(资金流水!H$5:H$3032,$O151)))</f>
        <v/>
      </c>
      <c r="I151" s="11" t="str">
        <f>IF($O151="","",IF(INDEX(资金流水!L$5:L$3032,$O151)="","",INDEX(资金流水!L$5:L$3032,$O151)))</f>
        <v/>
      </c>
      <c r="J151" s="10" t="str">
        <f>IF($O151="","",IF(INDEX(资金流水!I$5:I$3032,$O151)="","",INDEX(资金流水!I$5:I$3032,$O151)))</f>
        <v/>
      </c>
      <c r="K151" s="29" t="str">
        <f>IF($O151="","",IF(INDEX(资金流水!T$5:T$3015,$O151)="","",INDEX(资金流水!T$5:T$3015,$O151)))</f>
        <v/>
      </c>
      <c r="L151" s="29" t="str">
        <f>IF($O151="","",IF(INDEX(资金流水!U$5:U$3015,$O151)="","",INDEX(资金流水!U$5:U$3015,$O151)))</f>
        <v/>
      </c>
      <c r="M151" s="10" t="str">
        <f>IF($O151="","",IF(INDEX(资金流水!Q$5:Q$3015,$O151)="","",INDEX(资金流水!Q$5:Q$3015,$O151)))</f>
        <v/>
      </c>
      <c r="O151" s="54" t="str">
        <f>IFERROR(MATCH($A151,资金流水!$V$5:$V$3015,0),"")</f>
        <v/>
      </c>
    </row>
    <row r="152" spans="1:15">
      <c r="A152" s="29">
        <v>145</v>
      </c>
      <c r="B152" s="53" t="str">
        <f>IF($O152="","",IF(INDEX(资金流水!B$5:B$3032,$O152)="","",INDEX(资金流水!B$5:B$3032,$O152)))</f>
        <v/>
      </c>
      <c r="C152" s="10" t="str">
        <f>IF($O152="","",IF(INDEX(资金流水!C$5:C$3032,$O152)="","",INDEX(资金流水!C$5:C$3032,$O152)))</f>
        <v/>
      </c>
      <c r="D152" s="10" t="str">
        <f>IF($O152="","",IF(INDEX(资金流水!D$5:D$3032,$O152)="","",INDEX(资金流水!D$5:D$3032,$O152)))</f>
        <v/>
      </c>
      <c r="E152" s="29" t="str">
        <f>IF($O152="","",IF(INDEX(资金流水!E$5:E$3032,$O152)="","",INDEX(资金流水!E$5:E$3032,$O152)))</f>
        <v/>
      </c>
      <c r="F152" s="10" t="str">
        <f>IF($O152="","",IF(INDEX(资金流水!J$5:J$3032,$O152)="","",INDEX(资金流水!J$5:J$3032,$O152)))</f>
        <v/>
      </c>
      <c r="G152" s="11" t="str">
        <f>IF($O152="","",IF(INDEX(资金流水!K$5:K$3032,$O152)="","",INDEX(资金流水!K$5:K$3032,$O152)))</f>
        <v/>
      </c>
      <c r="H152" s="10" t="str">
        <f>IF($O152="","",IF(INDEX(资金流水!H$5:H$3032,$O152)="","",INDEX(资金流水!H$5:H$3032,$O152)))</f>
        <v/>
      </c>
      <c r="I152" s="11" t="str">
        <f>IF($O152="","",IF(INDEX(资金流水!L$5:L$3032,$O152)="","",INDEX(资金流水!L$5:L$3032,$O152)))</f>
        <v/>
      </c>
      <c r="J152" s="10" t="str">
        <f>IF($O152="","",IF(INDEX(资金流水!I$5:I$3032,$O152)="","",INDEX(资金流水!I$5:I$3032,$O152)))</f>
        <v/>
      </c>
      <c r="K152" s="29" t="str">
        <f>IF($O152="","",IF(INDEX(资金流水!T$5:T$3015,$O152)="","",INDEX(资金流水!T$5:T$3015,$O152)))</f>
        <v/>
      </c>
      <c r="L152" s="29" t="str">
        <f>IF($O152="","",IF(INDEX(资金流水!U$5:U$3015,$O152)="","",INDEX(资金流水!U$5:U$3015,$O152)))</f>
        <v/>
      </c>
      <c r="M152" s="10" t="str">
        <f>IF($O152="","",IF(INDEX(资金流水!Q$5:Q$3015,$O152)="","",INDEX(资金流水!Q$5:Q$3015,$O152)))</f>
        <v/>
      </c>
      <c r="O152" s="54" t="str">
        <f>IFERROR(MATCH($A152,资金流水!$V$5:$V$3015,0),"")</f>
        <v/>
      </c>
    </row>
    <row r="153" spans="1:15">
      <c r="A153" s="29">
        <v>146</v>
      </c>
      <c r="B153" s="53" t="str">
        <f>IF($O153="","",IF(INDEX(资金流水!B$5:B$3032,$O153)="","",INDEX(资金流水!B$5:B$3032,$O153)))</f>
        <v/>
      </c>
      <c r="C153" s="10" t="str">
        <f>IF($O153="","",IF(INDEX(资金流水!C$5:C$3032,$O153)="","",INDEX(资金流水!C$5:C$3032,$O153)))</f>
        <v/>
      </c>
      <c r="D153" s="10" t="str">
        <f>IF($O153="","",IF(INDEX(资金流水!D$5:D$3032,$O153)="","",INDEX(资金流水!D$5:D$3032,$O153)))</f>
        <v/>
      </c>
      <c r="E153" s="29" t="str">
        <f>IF($O153="","",IF(INDEX(资金流水!E$5:E$3032,$O153)="","",INDEX(资金流水!E$5:E$3032,$O153)))</f>
        <v/>
      </c>
      <c r="F153" s="10" t="str">
        <f>IF($O153="","",IF(INDEX(资金流水!J$5:J$3032,$O153)="","",INDEX(资金流水!J$5:J$3032,$O153)))</f>
        <v/>
      </c>
      <c r="G153" s="11" t="str">
        <f>IF($O153="","",IF(INDEX(资金流水!K$5:K$3032,$O153)="","",INDEX(资金流水!K$5:K$3032,$O153)))</f>
        <v/>
      </c>
      <c r="H153" s="10" t="str">
        <f>IF($O153="","",IF(INDEX(资金流水!H$5:H$3032,$O153)="","",INDEX(资金流水!H$5:H$3032,$O153)))</f>
        <v/>
      </c>
      <c r="I153" s="11" t="str">
        <f>IF($O153="","",IF(INDEX(资金流水!L$5:L$3032,$O153)="","",INDEX(资金流水!L$5:L$3032,$O153)))</f>
        <v/>
      </c>
      <c r="J153" s="10" t="str">
        <f>IF($O153="","",IF(INDEX(资金流水!I$5:I$3032,$O153)="","",INDEX(资金流水!I$5:I$3032,$O153)))</f>
        <v/>
      </c>
      <c r="K153" s="29" t="str">
        <f>IF($O153="","",IF(INDEX(资金流水!T$5:T$3015,$O153)="","",INDEX(资金流水!T$5:T$3015,$O153)))</f>
        <v/>
      </c>
      <c r="L153" s="29" t="str">
        <f>IF($O153="","",IF(INDEX(资金流水!U$5:U$3015,$O153)="","",INDEX(资金流水!U$5:U$3015,$O153)))</f>
        <v/>
      </c>
      <c r="M153" s="10" t="str">
        <f>IF($O153="","",IF(INDEX(资金流水!Q$5:Q$3015,$O153)="","",INDEX(资金流水!Q$5:Q$3015,$O153)))</f>
        <v/>
      </c>
      <c r="O153" s="54" t="str">
        <f>IFERROR(MATCH($A153,资金流水!$V$5:$V$3015,0),"")</f>
        <v/>
      </c>
    </row>
    <row r="154" spans="1:15">
      <c r="A154" s="29">
        <v>147</v>
      </c>
      <c r="B154" s="53" t="str">
        <f>IF($O154="","",IF(INDEX(资金流水!B$5:B$3032,$O154)="","",INDEX(资金流水!B$5:B$3032,$O154)))</f>
        <v/>
      </c>
      <c r="C154" s="10" t="str">
        <f>IF($O154="","",IF(INDEX(资金流水!C$5:C$3032,$O154)="","",INDEX(资金流水!C$5:C$3032,$O154)))</f>
        <v/>
      </c>
      <c r="D154" s="10" t="str">
        <f>IF($O154="","",IF(INDEX(资金流水!D$5:D$3032,$O154)="","",INDEX(资金流水!D$5:D$3032,$O154)))</f>
        <v/>
      </c>
      <c r="E154" s="29" t="str">
        <f>IF($O154="","",IF(INDEX(资金流水!E$5:E$3032,$O154)="","",INDEX(资金流水!E$5:E$3032,$O154)))</f>
        <v/>
      </c>
      <c r="F154" s="10" t="str">
        <f>IF($O154="","",IF(INDEX(资金流水!J$5:J$3032,$O154)="","",INDEX(资金流水!J$5:J$3032,$O154)))</f>
        <v/>
      </c>
      <c r="G154" s="11" t="str">
        <f>IF($O154="","",IF(INDEX(资金流水!K$5:K$3032,$O154)="","",INDEX(资金流水!K$5:K$3032,$O154)))</f>
        <v/>
      </c>
      <c r="H154" s="10" t="str">
        <f>IF($O154="","",IF(INDEX(资金流水!H$5:H$3032,$O154)="","",INDEX(资金流水!H$5:H$3032,$O154)))</f>
        <v/>
      </c>
      <c r="I154" s="11" t="str">
        <f>IF($O154="","",IF(INDEX(资金流水!L$5:L$3032,$O154)="","",INDEX(资金流水!L$5:L$3032,$O154)))</f>
        <v/>
      </c>
      <c r="J154" s="10" t="str">
        <f>IF($O154="","",IF(INDEX(资金流水!I$5:I$3032,$O154)="","",INDEX(资金流水!I$5:I$3032,$O154)))</f>
        <v/>
      </c>
      <c r="K154" s="29" t="str">
        <f>IF($O154="","",IF(INDEX(资金流水!T$5:T$3015,$O154)="","",INDEX(资金流水!T$5:T$3015,$O154)))</f>
        <v/>
      </c>
      <c r="L154" s="29" t="str">
        <f>IF($O154="","",IF(INDEX(资金流水!U$5:U$3015,$O154)="","",INDEX(资金流水!U$5:U$3015,$O154)))</f>
        <v/>
      </c>
      <c r="M154" s="10" t="str">
        <f>IF($O154="","",IF(INDEX(资金流水!Q$5:Q$3015,$O154)="","",INDEX(资金流水!Q$5:Q$3015,$O154)))</f>
        <v/>
      </c>
      <c r="O154" s="54" t="str">
        <f>IFERROR(MATCH($A154,资金流水!$V$5:$V$3015,0),"")</f>
        <v/>
      </c>
    </row>
    <row r="155" spans="1:15">
      <c r="A155" s="29">
        <v>148</v>
      </c>
      <c r="B155" s="53" t="str">
        <f>IF($O155="","",IF(INDEX(资金流水!B$5:B$3032,$O155)="","",INDEX(资金流水!B$5:B$3032,$O155)))</f>
        <v/>
      </c>
      <c r="C155" s="10" t="str">
        <f>IF($O155="","",IF(INDEX(资金流水!C$5:C$3032,$O155)="","",INDEX(资金流水!C$5:C$3032,$O155)))</f>
        <v/>
      </c>
      <c r="D155" s="10" t="str">
        <f>IF($O155="","",IF(INDEX(资金流水!D$5:D$3032,$O155)="","",INDEX(资金流水!D$5:D$3032,$O155)))</f>
        <v/>
      </c>
      <c r="E155" s="29" t="str">
        <f>IF($O155="","",IF(INDEX(资金流水!E$5:E$3032,$O155)="","",INDEX(资金流水!E$5:E$3032,$O155)))</f>
        <v/>
      </c>
      <c r="F155" s="10" t="str">
        <f>IF($O155="","",IF(INDEX(资金流水!J$5:J$3032,$O155)="","",INDEX(资金流水!J$5:J$3032,$O155)))</f>
        <v/>
      </c>
      <c r="G155" s="11" t="str">
        <f>IF($O155="","",IF(INDEX(资金流水!K$5:K$3032,$O155)="","",INDEX(资金流水!K$5:K$3032,$O155)))</f>
        <v/>
      </c>
      <c r="H155" s="10" t="str">
        <f>IF($O155="","",IF(INDEX(资金流水!H$5:H$3032,$O155)="","",INDEX(资金流水!H$5:H$3032,$O155)))</f>
        <v/>
      </c>
      <c r="I155" s="11" t="str">
        <f>IF($O155="","",IF(INDEX(资金流水!L$5:L$3032,$O155)="","",INDEX(资金流水!L$5:L$3032,$O155)))</f>
        <v/>
      </c>
      <c r="J155" s="10" t="str">
        <f>IF($O155="","",IF(INDEX(资金流水!I$5:I$3032,$O155)="","",INDEX(资金流水!I$5:I$3032,$O155)))</f>
        <v/>
      </c>
      <c r="K155" s="29" t="str">
        <f>IF($O155="","",IF(INDEX(资金流水!T$5:T$3015,$O155)="","",INDEX(资金流水!T$5:T$3015,$O155)))</f>
        <v/>
      </c>
      <c r="L155" s="29" t="str">
        <f>IF($O155="","",IF(INDEX(资金流水!U$5:U$3015,$O155)="","",INDEX(资金流水!U$5:U$3015,$O155)))</f>
        <v/>
      </c>
      <c r="M155" s="10" t="str">
        <f>IF($O155="","",IF(INDEX(资金流水!Q$5:Q$3015,$O155)="","",INDEX(资金流水!Q$5:Q$3015,$O155)))</f>
        <v/>
      </c>
      <c r="O155" s="54" t="str">
        <f>IFERROR(MATCH($A155,资金流水!$V$5:$V$3015,0),"")</f>
        <v/>
      </c>
    </row>
    <row r="156" spans="1:15">
      <c r="A156" s="29">
        <v>149</v>
      </c>
      <c r="B156" s="53" t="str">
        <f>IF($O156="","",IF(INDEX(资金流水!B$5:B$3032,$O156)="","",INDEX(资金流水!B$5:B$3032,$O156)))</f>
        <v/>
      </c>
      <c r="C156" s="10" t="str">
        <f>IF($O156="","",IF(INDEX(资金流水!C$5:C$3032,$O156)="","",INDEX(资金流水!C$5:C$3032,$O156)))</f>
        <v/>
      </c>
      <c r="D156" s="10" t="str">
        <f>IF($O156="","",IF(INDEX(资金流水!D$5:D$3032,$O156)="","",INDEX(资金流水!D$5:D$3032,$O156)))</f>
        <v/>
      </c>
      <c r="E156" s="29" t="str">
        <f>IF($O156="","",IF(INDEX(资金流水!E$5:E$3032,$O156)="","",INDEX(资金流水!E$5:E$3032,$O156)))</f>
        <v/>
      </c>
      <c r="F156" s="10" t="str">
        <f>IF($O156="","",IF(INDEX(资金流水!J$5:J$3032,$O156)="","",INDEX(资金流水!J$5:J$3032,$O156)))</f>
        <v/>
      </c>
      <c r="G156" s="11" t="str">
        <f>IF($O156="","",IF(INDEX(资金流水!K$5:K$3032,$O156)="","",INDEX(资金流水!K$5:K$3032,$O156)))</f>
        <v/>
      </c>
      <c r="H156" s="10" t="str">
        <f>IF($O156="","",IF(INDEX(资金流水!H$5:H$3032,$O156)="","",INDEX(资金流水!H$5:H$3032,$O156)))</f>
        <v/>
      </c>
      <c r="I156" s="11" t="str">
        <f>IF($O156="","",IF(INDEX(资金流水!L$5:L$3032,$O156)="","",INDEX(资金流水!L$5:L$3032,$O156)))</f>
        <v/>
      </c>
      <c r="J156" s="10" t="str">
        <f>IF($O156="","",IF(INDEX(资金流水!I$5:I$3032,$O156)="","",INDEX(资金流水!I$5:I$3032,$O156)))</f>
        <v/>
      </c>
      <c r="K156" s="29" t="str">
        <f>IF($O156="","",IF(INDEX(资金流水!T$5:T$3015,$O156)="","",INDEX(资金流水!T$5:T$3015,$O156)))</f>
        <v/>
      </c>
      <c r="L156" s="29" t="str">
        <f>IF($O156="","",IF(INDEX(资金流水!U$5:U$3015,$O156)="","",INDEX(资金流水!U$5:U$3015,$O156)))</f>
        <v/>
      </c>
      <c r="M156" s="10" t="str">
        <f>IF($O156="","",IF(INDEX(资金流水!Q$5:Q$3015,$O156)="","",INDEX(资金流水!Q$5:Q$3015,$O156)))</f>
        <v/>
      </c>
      <c r="O156" s="54" t="str">
        <f>IFERROR(MATCH($A156,资金流水!$V$5:$V$3015,0),"")</f>
        <v/>
      </c>
    </row>
    <row r="157" spans="1:15">
      <c r="A157" s="29">
        <v>150</v>
      </c>
      <c r="B157" s="53" t="str">
        <f>IF($O157="","",IF(INDEX(资金流水!B$5:B$3032,$O157)="","",INDEX(资金流水!B$5:B$3032,$O157)))</f>
        <v/>
      </c>
      <c r="C157" s="10" t="str">
        <f>IF($O157="","",IF(INDEX(资金流水!C$5:C$3032,$O157)="","",INDEX(资金流水!C$5:C$3032,$O157)))</f>
        <v/>
      </c>
      <c r="D157" s="10" t="str">
        <f>IF($O157="","",IF(INDEX(资金流水!D$5:D$3032,$O157)="","",INDEX(资金流水!D$5:D$3032,$O157)))</f>
        <v/>
      </c>
      <c r="E157" s="29" t="str">
        <f>IF($O157="","",IF(INDEX(资金流水!E$5:E$3032,$O157)="","",INDEX(资金流水!E$5:E$3032,$O157)))</f>
        <v/>
      </c>
      <c r="F157" s="10" t="str">
        <f>IF($O157="","",IF(INDEX(资金流水!J$5:J$3032,$O157)="","",INDEX(资金流水!J$5:J$3032,$O157)))</f>
        <v/>
      </c>
      <c r="G157" s="11" t="str">
        <f>IF($O157="","",IF(INDEX(资金流水!K$5:K$3032,$O157)="","",INDEX(资金流水!K$5:K$3032,$O157)))</f>
        <v/>
      </c>
      <c r="H157" s="10" t="str">
        <f>IF($O157="","",IF(INDEX(资金流水!H$5:H$3032,$O157)="","",INDEX(资金流水!H$5:H$3032,$O157)))</f>
        <v/>
      </c>
      <c r="I157" s="11" t="str">
        <f>IF($O157="","",IF(INDEX(资金流水!L$5:L$3032,$O157)="","",INDEX(资金流水!L$5:L$3032,$O157)))</f>
        <v/>
      </c>
      <c r="J157" s="10" t="str">
        <f>IF($O157="","",IF(INDEX(资金流水!I$5:I$3032,$O157)="","",INDEX(资金流水!I$5:I$3032,$O157)))</f>
        <v/>
      </c>
      <c r="K157" s="29" t="str">
        <f>IF($O157="","",IF(INDEX(资金流水!T$5:T$3015,$O157)="","",INDEX(资金流水!T$5:T$3015,$O157)))</f>
        <v/>
      </c>
      <c r="L157" s="29" t="str">
        <f>IF($O157="","",IF(INDEX(资金流水!U$5:U$3015,$O157)="","",INDEX(资金流水!U$5:U$3015,$O157)))</f>
        <v/>
      </c>
      <c r="M157" s="10" t="str">
        <f>IF($O157="","",IF(INDEX(资金流水!Q$5:Q$3015,$O157)="","",INDEX(资金流水!Q$5:Q$3015,$O157)))</f>
        <v/>
      </c>
      <c r="O157" s="54" t="str">
        <f>IFERROR(MATCH($A157,资金流水!$V$5:$V$3015,0),"")</f>
        <v/>
      </c>
    </row>
    <row r="158" spans="1:15">
      <c r="A158" s="29">
        <v>151</v>
      </c>
      <c r="B158" s="53" t="str">
        <f>IF($O158="","",IF(INDEX(资金流水!B$5:B$3032,$O158)="","",INDEX(资金流水!B$5:B$3032,$O158)))</f>
        <v/>
      </c>
      <c r="C158" s="10" t="str">
        <f>IF($O158="","",IF(INDEX(资金流水!C$5:C$3032,$O158)="","",INDEX(资金流水!C$5:C$3032,$O158)))</f>
        <v/>
      </c>
      <c r="D158" s="10" t="str">
        <f>IF($O158="","",IF(INDEX(资金流水!D$5:D$3032,$O158)="","",INDEX(资金流水!D$5:D$3032,$O158)))</f>
        <v/>
      </c>
      <c r="E158" s="29" t="str">
        <f>IF($O158="","",IF(INDEX(资金流水!E$5:E$3032,$O158)="","",INDEX(资金流水!E$5:E$3032,$O158)))</f>
        <v/>
      </c>
      <c r="F158" s="10" t="str">
        <f>IF($O158="","",IF(INDEX(资金流水!J$5:J$3032,$O158)="","",INDEX(资金流水!J$5:J$3032,$O158)))</f>
        <v/>
      </c>
      <c r="G158" s="11" t="str">
        <f>IF($O158="","",IF(INDEX(资金流水!K$5:K$3032,$O158)="","",INDEX(资金流水!K$5:K$3032,$O158)))</f>
        <v/>
      </c>
      <c r="H158" s="10" t="str">
        <f>IF($O158="","",IF(INDEX(资金流水!H$5:H$3032,$O158)="","",INDEX(资金流水!H$5:H$3032,$O158)))</f>
        <v/>
      </c>
      <c r="I158" s="11" t="str">
        <f>IF($O158="","",IF(INDEX(资金流水!L$5:L$3032,$O158)="","",INDEX(资金流水!L$5:L$3032,$O158)))</f>
        <v/>
      </c>
      <c r="J158" s="10" t="str">
        <f>IF($O158="","",IF(INDEX(资金流水!I$5:I$3032,$O158)="","",INDEX(资金流水!I$5:I$3032,$O158)))</f>
        <v/>
      </c>
      <c r="K158" s="29" t="str">
        <f>IF($O158="","",IF(INDEX(资金流水!T$5:T$3015,$O158)="","",INDEX(资金流水!T$5:T$3015,$O158)))</f>
        <v/>
      </c>
      <c r="L158" s="29" t="str">
        <f>IF($O158="","",IF(INDEX(资金流水!U$5:U$3015,$O158)="","",INDEX(资金流水!U$5:U$3015,$O158)))</f>
        <v/>
      </c>
      <c r="M158" s="10" t="str">
        <f>IF($O158="","",IF(INDEX(资金流水!Q$5:Q$3015,$O158)="","",INDEX(资金流水!Q$5:Q$3015,$O158)))</f>
        <v/>
      </c>
      <c r="O158" s="54" t="str">
        <f>IFERROR(MATCH($A158,资金流水!$V$5:$V$3015,0),"")</f>
        <v/>
      </c>
    </row>
    <row r="159" spans="1:15">
      <c r="A159" s="29">
        <v>152</v>
      </c>
      <c r="B159" s="53" t="str">
        <f>IF($O159="","",IF(INDEX(资金流水!B$5:B$3032,$O159)="","",INDEX(资金流水!B$5:B$3032,$O159)))</f>
        <v/>
      </c>
      <c r="C159" s="10" t="str">
        <f>IF($O159="","",IF(INDEX(资金流水!C$5:C$3032,$O159)="","",INDEX(资金流水!C$5:C$3032,$O159)))</f>
        <v/>
      </c>
      <c r="D159" s="10" t="str">
        <f>IF($O159="","",IF(INDEX(资金流水!D$5:D$3032,$O159)="","",INDEX(资金流水!D$5:D$3032,$O159)))</f>
        <v/>
      </c>
      <c r="E159" s="29" t="str">
        <f>IF($O159="","",IF(INDEX(资金流水!E$5:E$3032,$O159)="","",INDEX(资金流水!E$5:E$3032,$O159)))</f>
        <v/>
      </c>
      <c r="F159" s="10" t="str">
        <f>IF($O159="","",IF(INDEX(资金流水!J$5:J$3032,$O159)="","",INDEX(资金流水!J$5:J$3032,$O159)))</f>
        <v/>
      </c>
      <c r="G159" s="11" t="str">
        <f>IF($O159="","",IF(INDEX(资金流水!K$5:K$3032,$O159)="","",INDEX(资金流水!K$5:K$3032,$O159)))</f>
        <v/>
      </c>
      <c r="H159" s="10" t="str">
        <f>IF($O159="","",IF(INDEX(资金流水!H$5:H$3032,$O159)="","",INDEX(资金流水!H$5:H$3032,$O159)))</f>
        <v/>
      </c>
      <c r="I159" s="11" t="str">
        <f>IF($O159="","",IF(INDEX(资金流水!L$5:L$3032,$O159)="","",INDEX(资金流水!L$5:L$3032,$O159)))</f>
        <v/>
      </c>
      <c r="J159" s="10" t="str">
        <f>IF($O159="","",IF(INDEX(资金流水!I$5:I$3032,$O159)="","",INDEX(资金流水!I$5:I$3032,$O159)))</f>
        <v/>
      </c>
      <c r="K159" s="29" t="str">
        <f>IF($O159="","",IF(INDEX(资金流水!T$5:T$3015,$O159)="","",INDEX(资金流水!T$5:T$3015,$O159)))</f>
        <v/>
      </c>
      <c r="L159" s="29" t="str">
        <f>IF($O159="","",IF(INDEX(资金流水!U$5:U$3015,$O159)="","",INDEX(资金流水!U$5:U$3015,$O159)))</f>
        <v/>
      </c>
      <c r="M159" s="10" t="str">
        <f>IF($O159="","",IF(INDEX(资金流水!Q$5:Q$3015,$O159)="","",INDEX(资金流水!Q$5:Q$3015,$O159)))</f>
        <v/>
      </c>
      <c r="O159" s="54" t="str">
        <f>IFERROR(MATCH($A159,资金流水!$V$5:$V$3015,0),"")</f>
        <v/>
      </c>
    </row>
    <row r="160" spans="1:15">
      <c r="A160" s="29">
        <v>153</v>
      </c>
      <c r="B160" s="53" t="str">
        <f>IF($O160="","",IF(INDEX(资金流水!B$5:B$3032,$O160)="","",INDEX(资金流水!B$5:B$3032,$O160)))</f>
        <v/>
      </c>
      <c r="C160" s="10" t="str">
        <f>IF($O160="","",IF(INDEX(资金流水!C$5:C$3032,$O160)="","",INDEX(资金流水!C$5:C$3032,$O160)))</f>
        <v/>
      </c>
      <c r="D160" s="10" t="str">
        <f>IF($O160="","",IF(INDEX(资金流水!D$5:D$3032,$O160)="","",INDEX(资金流水!D$5:D$3032,$O160)))</f>
        <v/>
      </c>
      <c r="E160" s="29" t="str">
        <f>IF($O160="","",IF(INDEX(资金流水!E$5:E$3032,$O160)="","",INDEX(资金流水!E$5:E$3032,$O160)))</f>
        <v/>
      </c>
      <c r="F160" s="10" t="str">
        <f>IF($O160="","",IF(INDEX(资金流水!J$5:J$3032,$O160)="","",INDEX(资金流水!J$5:J$3032,$O160)))</f>
        <v/>
      </c>
      <c r="G160" s="11" t="str">
        <f>IF($O160="","",IF(INDEX(资金流水!K$5:K$3032,$O160)="","",INDEX(资金流水!K$5:K$3032,$O160)))</f>
        <v/>
      </c>
      <c r="H160" s="10" t="str">
        <f>IF($O160="","",IF(INDEX(资金流水!H$5:H$3032,$O160)="","",INDEX(资金流水!H$5:H$3032,$O160)))</f>
        <v/>
      </c>
      <c r="I160" s="11" t="str">
        <f>IF($O160="","",IF(INDEX(资金流水!L$5:L$3032,$O160)="","",INDEX(资金流水!L$5:L$3032,$O160)))</f>
        <v/>
      </c>
      <c r="J160" s="10" t="str">
        <f>IF($O160="","",IF(INDEX(资金流水!I$5:I$3032,$O160)="","",INDEX(资金流水!I$5:I$3032,$O160)))</f>
        <v/>
      </c>
      <c r="K160" s="29" t="str">
        <f>IF($O160="","",IF(INDEX(资金流水!T$5:T$3015,$O160)="","",INDEX(资金流水!T$5:T$3015,$O160)))</f>
        <v/>
      </c>
      <c r="L160" s="29" t="str">
        <f>IF($O160="","",IF(INDEX(资金流水!U$5:U$3015,$O160)="","",INDEX(资金流水!U$5:U$3015,$O160)))</f>
        <v/>
      </c>
      <c r="M160" s="10" t="str">
        <f>IF($O160="","",IF(INDEX(资金流水!Q$5:Q$3015,$O160)="","",INDEX(资金流水!Q$5:Q$3015,$O160)))</f>
        <v/>
      </c>
      <c r="O160" s="54" t="str">
        <f>IFERROR(MATCH($A160,资金流水!$V$5:$V$3015,0),"")</f>
        <v/>
      </c>
    </row>
    <row r="161" spans="1:15">
      <c r="A161" s="29">
        <v>154</v>
      </c>
      <c r="B161" s="53" t="str">
        <f>IF($O161="","",IF(INDEX(资金流水!B$5:B$3032,$O161)="","",INDEX(资金流水!B$5:B$3032,$O161)))</f>
        <v/>
      </c>
      <c r="C161" s="10" t="str">
        <f>IF($O161="","",IF(INDEX(资金流水!C$5:C$3032,$O161)="","",INDEX(资金流水!C$5:C$3032,$O161)))</f>
        <v/>
      </c>
      <c r="D161" s="10" t="str">
        <f>IF($O161="","",IF(INDEX(资金流水!D$5:D$3032,$O161)="","",INDEX(资金流水!D$5:D$3032,$O161)))</f>
        <v/>
      </c>
      <c r="E161" s="29" t="str">
        <f>IF($O161="","",IF(INDEX(资金流水!E$5:E$3032,$O161)="","",INDEX(资金流水!E$5:E$3032,$O161)))</f>
        <v/>
      </c>
      <c r="F161" s="10" t="str">
        <f>IF($O161="","",IF(INDEX(资金流水!J$5:J$3032,$O161)="","",INDEX(资金流水!J$5:J$3032,$O161)))</f>
        <v/>
      </c>
      <c r="G161" s="11" t="str">
        <f>IF($O161="","",IF(INDEX(资金流水!K$5:K$3032,$O161)="","",INDEX(资金流水!K$5:K$3032,$O161)))</f>
        <v/>
      </c>
      <c r="H161" s="10" t="str">
        <f>IF($O161="","",IF(INDEX(资金流水!H$5:H$3032,$O161)="","",INDEX(资金流水!H$5:H$3032,$O161)))</f>
        <v/>
      </c>
      <c r="I161" s="11" t="str">
        <f>IF($O161="","",IF(INDEX(资金流水!L$5:L$3032,$O161)="","",INDEX(资金流水!L$5:L$3032,$O161)))</f>
        <v/>
      </c>
      <c r="J161" s="10" t="str">
        <f>IF($O161="","",IF(INDEX(资金流水!I$5:I$3032,$O161)="","",INDEX(资金流水!I$5:I$3032,$O161)))</f>
        <v/>
      </c>
      <c r="K161" s="29" t="str">
        <f>IF($O161="","",IF(INDEX(资金流水!T$5:T$3015,$O161)="","",INDEX(资金流水!T$5:T$3015,$O161)))</f>
        <v/>
      </c>
      <c r="L161" s="29" t="str">
        <f>IF($O161="","",IF(INDEX(资金流水!U$5:U$3015,$O161)="","",INDEX(资金流水!U$5:U$3015,$O161)))</f>
        <v/>
      </c>
      <c r="M161" s="10" t="str">
        <f>IF($O161="","",IF(INDEX(资金流水!Q$5:Q$3015,$O161)="","",INDEX(资金流水!Q$5:Q$3015,$O161)))</f>
        <v/>
      </c>
      <c r="O161" s="54" t="str">
        <f>IFERROR(MATCH($A161,资金流水!$V$5:$V$3015,0),"")</f>
        <v/>
      </c>
    </row>
    <row r="162" spans="1:15">
      <c r="A162" s="29">
        <v>155</v>
      </c>
      <c r="B162" s="53" t="str">
        <f>IF($O162="","",IF(INDEX(资金流水!B$5:B$3032,$O162)="","",INDEX(资金流水!B$5:B$3032,$O162)))</f>
        <v/>
      </c>
      <c r="C162" s="10" t="str">
        <f>IF($O162="","",IF(INDEX(资金流水!C$5:C$3032,$O162)="","",INDEX(资金流水!C$5:C$3032,$O162)))</f>
        <v/>
      </c>
      <c r="D162" s="10" t="str">
        <f>IF($O162="","",IF(INDEX(资金流水!D$5:D$3032,$O162)="","",INDEX(资金流水!D$5:D$3032,$O162)))</f>
        <v/>
      </c>
      <c r="E162" s="29" t="str">
        <f>IF($O162="","",IF(INDEX(资金流水!E$5:E$3032,$O162)="","",INDEX(资金流水!E$5:E$3032,$O162)))</f>
        <v/>
      </c>
      <c r="F162" s="10" t="str">
        <f>IF($O162="","",IF(INDEX(资金流水!J$5:J$3032,$O162)="","",INDEX(资金流水!J$5:J$3032,$O162)))</f>
        <v/>
      </c>
      <c r="G162" s="11" t="str">
        <f>IF($O162="","",IF(INDEX(资金流水!K$5:K$3032,$O162)="","",INDEX(资金流水!K$5:K$3032,$O162)))</f>
        <v/>
      </c>
      <c r="H162" s="10" t="str">
        <f>IF($O162="","",IF(INDEX(资金流水!H$5:H$3032,$O162)="","",INDEX(资金流水!H$5:H$3032,$O162)))</f>
        <v/>
      </c>
      <c r="I162" s="11" t="str">
        <f>IF($O162="","",IF(INDEX(资金流水!L$5:L$3032,$O162)="","",INDEX(资金流水!L$5:L$3032,$O162)))</f>
        <v/>
      </c>
      <c r="J162" s="10" t="str">
        <f>IF($O162="","",IF(INDEX(资金流水!I$5:I$3032,$O162)="","",INDEX(资金流水!I$5:I$3032,$O162)))</f>
        <v/>
      </c>
      <c r="K162" s="29" t="str">
        <f>IF($O162="","",IF(INDEX(资金流水!T$5:T$3015,$O162)="","",INDEX(资金流水!T$5:T$3015,$O162)))</f>
        <v/>
      </c>
      <c r="L162" s="29" t="str">
        <f>IF($O162="","",IF(INDEX(资金流水!U$5:U$3015,$O162)="","",INDEX(资金流水!U$5:U$3015,$O162)))</f>
        <v/>
      </c>
      <c r="M162" s="10" t="str">
        <f>IF($O162="","",IF(INDEX(资金流水!Q$5:Q$3015,$O162)="","",INDEX(资金流水!Q$5:Q$3015,$O162)))</f>
        <v/>
      </c>
      <c r="O162" s="54" t="str">
        <f>IFERROR(MATCH($A162,资金流水!$V$5:$V$3015,0),"")</f>
        <v/>
      </c>
    </row>
    <row r="163" spans="1:15">
      <c r="A163" s="29">
        <v>156</v>
      </c>
      <c r="B163" s="53" t="str">
        <f>IF($O163="","",IF(INDEX(资金流水!B$5:B$3032,$O163)="","",INDEX(资金流水!B$5:B$3032,$O163)))</f>
        <v/>
      </c>
      <c r="C163" s="10" t="str">
        <f>IF($O163="","",IF(INDEX(资金流水!C$5:C$3032,$O163)="","",INDEX(资金流水!C$5:C$3032,$O163)))</f>
        <v/>
      </c>
      <c r="D163" s="10" t="str">
        <f>IF($O163="","",IF(INDEX(资金流水!D$5:D$3032,$O163)="","",INDEX(资金流水!D$5:D$3032,$O163)))</f>
        <v/>
      </c>
      <c r="E163" s="29" t="str">
        <f>IF($O163="","",IF(INDEX(资金流水!E$5:E$3032,$O163)="","",INDEX(资金流水!E$5:E$3032,$O163)))</f>
        <v/>
      </c>
      <c r="F163" s="10" t="str">
        <f>IF($O163="","",IF(INDEX(资金流水!J$5:J$3032,$O163)="","",INDEX(资金流水!J$5:J$3032,$O163)))</f>
        <v/>
      </c>
      <c r="G163" s="11" t="str">
        <f>IF($O163="","",IF(INDEX(资金流水!K$5:K$3032,$O163)="","",INDEX(资金流水!K$5:K$3032,$O163)))</f>
        <v/>
      </c>
      <c r="H163" s="10" t="str">
        <f>IF($O163="","",IF(INDEX(资金流水!H$5:H$3032,$O163)="","",INDEX(资金流水!H$5:H$3032,$O163)))</f>
        <v/>
      </c>
      <c r="I163" s="11" t="str">
        <f>IF($O163="","",IF(INDEX(资金流水!L$5:L$3032,$O163)="","",INDEX(资金流水!L$5:L$3032,$O163)))</f>
        <v/>
      </c>
      <c r="J163" s="10" t="str">
        <f>IF($O163="","",IF(INDEX(资金流水!I$5:I$3032,$O163)="","",INDEX(资金流水!I$5:I$3032,$O163)))</f>
        <v/>
      </c>
      <c r="K163" s="29" t="str">
        <f>IF($O163="","",IF(INDEX(资金流水!T$5:T$3015,$O163)="","",INDEX(资金流水!T$5:T$3015,$O163)))</f>
        <v/>
      </c>
      <c r="L163" s="29" t="str">
        <f>IF($O163="","",IF(INDEX(资金流水!U$5:U$3015,$O163)="","",INDEX(资金流水!U$5:U$3015,$O163)))</f>
        <v/>
      </c>
      <c r="M163" s="10" t="str">
        <f>IF($O163="","",IF(INDEX(资金流水!Q$5:Q$3015,$O163)="","",INDEX(资金流水!Q$5:Q$3015,$O163)))</f>
        <v/>
      </c>
      <c r="O163" s="54" t="str">
        <f>IFERROR(MATCH($A163,资金流水!$V$5:$V$3015,0),"")</f>
        <v/>
      </c>
    </row>
    <row r="164" spans="1:15">
      <c r="A164" s="29">
        <v>157</v>
      </c>
      <c r="B164" s="53" t="str">
        <f>IF($O164="","",IF(INDEX(资金流水!B$5:B$3032,$O164)="","",INDEX(资金流水!B$5:B$3032,$O164)))</f>
        <v/>
      </c>
      <c r="C164" s="10" t="str">
        <f>IF($O164="","",IF(INDEX(资金流水!C$5:C$3032,$O164)="","",INDEX(资金流水!C$5:C$3032,$O164)))</f>
        <v/>
      </c>
      <c r="D164" s="10" t="str">
        <f>IF($O164="","",IF(INDEX(资金流水!D$5:D$3032,$O164)="","",INDEX(资金流水!D$5:D$3032,$O164)))</f>
        <v/>
      </c>
      <c r="E164" s="29" t="str">
        <f>IF($O164="","",IF(INDEX(资金流水!E$5:E$3032,$O164)="","",INDEX(资金流水!E$5:E$3032,$O164)))</f>
        <v/>
      </c>
      <c r="F164" s="10" t="str">
        <f>IF($O164="","",IF(INDEX(资金流水!J$5:J$3032,$O164)="","",INDEX(资金流水!J$5:J$3032,$O164)))</f>
        <v/>
      </c>
      <c r="G164" s="11" t="str">
        <f>IF($O164="","",IF(INDEX(资金流水!K$5:K$3032,$O164)="","",INDEX(资金流水!K$5:K$3032,$O164)))</f>
        <v/>
      </c>
      <c r="H164" s="10" t="str">
        <f>IF($O164="","",IF(INDEX(资金流水!H$5:H$3032,$O164)="","",INDEX(资金流水!H$5:H$3032,$O164)))</f>
        <v/>
      </c>
      <c r="I164" s="11" t="str">
        <f>IF($O164="","",IF(INDEX(资金流水!L$5:L$3032,$O164)="","",INDEX(资金流水!L$5:L$3032,$O164)))</f>
        <v/>
      </c>
      <c r="J164" s="10" t="str">
        <f>IF($O164="","",IF(INDEX(资金流水!I$5:I$3032,$O164)="","",INDEX(资金流水!I$5:I$3032,$O164)))</f>
        <v/>
      </c>
      <c r="K164" s="29" t="str">
        <f>IF($O164="","",IF(INDEX(资金流水!T$5:T$3015,$O164)="","",INDEX(资金流水!T$5:T$3015,$O164)))</f>
        <v/>
      </c>
      <c r="L164" s="29" t="str">
        <f>IF($O164="","",IF(INDEX(资金流水!U$5:U$3015,$O164)="","",INDEX(资金流水!U$5:U$3015,$O164)))</f>
        <v/>
      </c>
      <c r="M164" s="10" t="str">
        <f>IF($O164="","",IF(INDEX(资金流水!Q$5:Q$3015,$O164)="","",INDEX(资金流水!Q$5:Q$3015,$O164)))</f>
        <v/>
      </c>
      <c r="O164" s="54" t="str">
        <f>IFERROR(MATCH($A164,资金流水!$V$5:$V$3015,0),"")</f>
        <v/>
      </c>
    </row>
    <row r="165" spans="1:15">
      <c r="A165" s="29">
        <v>158</v>
      </c>
      <c r="B165" s="53" t="str">
        <f>IF($O165="","",IF(INDEX(资金流水!B$5:B$3032,$O165)="","",INDEX(资金流水!B$5:B$3032,$O165)))</f>
        <v/>
      </c>
      <c r="C165" s="10" t="str">
        <f>IF($O165="","",IF(INDEX(资金流水!C$5:C$3032,$O165)="","",INDEX(资金流水!C$5:C$3032,$O165)))</f>
        <v/>
      </c>
      <c r="D165" s="10" t="str">
        <f>IF($O165="","",IF(INDEX(资金流水!D$5:D$3032,$O165)="","",INDEX(资金流水!D$5:D$3032,$O165)))</f>
        <v/>
      </c>
      <c r="E165" s="29" t="str">
        <f>IF($O165="","",IF(INDEX(资金流水!E$5:E$3032,$O165)="","",INDEX(资金流水!E$5:E$3032,$O165)))</f>
        <v/>
      </c>
      <c r="F165" s="10" t="str">
        <f>IF($O165="","",IF(INDEX(资金流水!J$5:J$3032,$O165)="","",INDEX(资金流水!J$5:J$3032,$O165)))</f>
        <v/>
      </c>
      <c r="G165" s="11" t="str">
        <f>IF($O165="","",IF(INDEX(资金流水!K$5:K$3032,$O165)="","",INDEX(资金流水!K$5:K$3032,$O165)))</f>
        <v/>
      </c>
      <c r="H165" s="10" t="str">
        <f>IF($O165="","",IF(INDEX(资金流水!H$5:H$3032,$O165)="","",INDEX(资金流水!H$5:H$3032,$O165)))</f>
        <v/>
      </c>
      <c r="I165" s="11" t="str">
        <f>IF($O165="","",IF(INDEX(资金流水!L$5:L$3032,$O165)="","",INDEX(资金流水!L$5:L$3032,$O165)))</f>
        <v/>
      </c>
      <c r="J165" s="10" t="str">
        <f>IF($O165="","",IF(INDEX(资金流水!I$5:I$3032,$O165)="","",INDEX(资金流水!I$5:I$3032,$O165)))</f>
        <v/>
      </c>
      <c r="K165" s="29" t="str">
        <f>IF($O165="","",IF(INDEX(资金流水!T$5:T$3015,$O165)="","",INDEX(资金流水!T$5:T$3015,$O165)))</f>
        <v/>
      </c>
      <c r="L165" s="29" t="str">
        <f>IF($O165="","",IF(INDEX(资金流水!U$5:U$3015,$O165)="","",INDEX(资金流水!U$5:U$3015,$O165)))</f>
        <v/>
      </c>
      <c r="M165" s="10" t="str">
        <f>IF($O165="","",IF(INDEX(资金流水!Q$5:Q$3015,$O165)="","",INDEX(资金流水!Q$5:Q$3015,$O165)))</f>
        <v/>
      </c>
      <c r="O165" s="54" t="str">
        <f>IFERROR(MATCH($A165,资金流水!$V$5:$V$3015,0),"")</f>
        <v/>
      </c>
    </row>
    <row r="166" spans="1:15">
      <c r="A166" s="29">
        <v>159</v>
      </c>
      <c r="B166" s="53" t="str">
        <f>IF($O166="","",IF(INDEX(资金流水!B$5:B$3032,$O166)="","",INDEX(资金流水!B$5:B$3032,$O166)))</f>
        <v/>
      </c>
      <c r="C166" s="10" t="str">
        <f>IF($O166="","",IF(INDEX(资金流水!C$5:C$3032,$O166)="","",INDEX(资金流水!C$5:C$3032,$O166)))</f>
        <v/>
      </c>
      <c r="D166" s="10" t="str">
        <f>IF($O166="","",IF(INDEX(资金流水!D$5:D$3032,$O166)="","",INDEX(资金流水!D$5:D$3032,$O166)))</f>
        <v/>
      </c>
      <c r="E166" s="29" t="str">
        <f>IF($O166="","",IF(INDEX(资金流水!E$5:E$3032,$O166)="","",INDEX(资金流水!E$5:E$3032,$O166)))</f>
        <v/>
      </c>
      <c r="F166" s="10" t="str">
        <f>IF($O166="","",IF(INDEX(资金流水!J$5:J$3032,$O166)="","",INDEX(资金流水!J$5:J$3032,$O166)))</f>
        <v/>
      </c>
      <c r="G166" s="11" t="str">
        <f>IF($O166="","",IF(INDEX(资金流水!K$5:K$3032,$O166)="","",INDEX(资金流水!K$5:K$3032,$O166)))</f>
        <v/>
      </c>
      <c r="H166" s="10" t="str">
        <f>IF($O166="","",IF(INDEX(资金流水!H$5:H$3032,$O166)="","",INDEX(资金流水!H$5:H$3032,$O166)))</f>
        <v/>
      </c>
      <c r="I166" s="11" t="str">
        <f>IF($O166="","",IF(INDEX(资金流水!L$5:L$3032,$O166)="","",INDEX(资金流水!L$5:L$3032,$O166)))</f>
        <v/>
      </c>
      <c r="J166" s="10" t="str">
        <f>IF($O166="","",IF(INDEX(资金流水!I$5:I$3032,$O166)="","",INDEX(资金流水!I$5:I$3032,$O166)))</f>
        <v/>
      </c>
      <c r="K166" s="29" t="str">
        <f>IF($O166="","",IF(INDEX(资金流水!T$5:T$3015,$O166)="","",INDEX(资金流水!T$5:T$3015,$O166)))</f>
        <v/>
      </c>
      <c r="L166" s="29" t="str">
        <f>IF($O166="","",IF(INDEX(资金流水!U$5:U$3015,$O166)="","",INDEX(资金流水!U$5:U$3015,$O166)))</f>
        <v/>
      </c>
      <c r="M166" s="10" t="str">
        <f>IF($O166="","",IF(INDEX(资金流水!Q$5:Q$3015,$O166)="","",INDEX(资金流水!Q$5:Q$3015,$O166)))</f>
        <v/>
      </c>
      <c r="O166" s="54" t="str">
        <f>IFERROR(MATCH($A166,资金流水!$V$5:$V$3015,0),"")</f>
        <v/>
      </c>
    </row>
    <row r="167" spans="1:15">
      <c r="A167" s="29">
        <v>160</v>
      </c>
      <c r="B167" s="53" t="str">
        <f>IF($O167="","",IF(INDEX(资金流水!B$5:B$3032,$O167)="","",INDEX(资金流水!B$5:B$3032,$O167)))</f>
        <v/>
      </c>
      <c r="C167" s="10" t="str">
        <f>IF($O167="","",IF(INDEX(资金流水!C$5:C$3032,$O167)="","",INDEX(资金流水!C$5:C$3032,$O167)))</f>
        <v/>
      </c>
      <c r="D167" s="10" t="str">
        <f>IF($O167="","",IF(INDEX(资金流水!D$5:D$3032,$O167)="","",INDEX(资金流水!D$5:D$3032,$O167)))</f>
        <v/>
      </c>
      <c r="E167" s="29" t="str">
        <f>IF($O167="","",IF(INDEX(资金流水!E$5:E$3032,$O167)="","",INDEX(资金流水!E$5:E$3032,$O167)))</f>
        <v/>
      </c>
      <c r="F167" s="10" t="str">
        <f>IF($O167="","",IF(INDEX(资金流水!J$5:J$3032,$O167)="","",INDEX(资金流水!J$5:J$3032,$O167)))</f>
        <v/>
      </c>
      <c r="G167" s="11" t="str">
        <f>IF($O167="","",IF(INDEX(资金流水!K$5:K$3032,$O167)="","",INDEX(资金流水!K$5:K$3032,$O167)))</f>
        <v/>
      </c>
      <c r="H167" s="10" t="str">
        <f>IF($O167="","",IF(INDEX(资金流水!H$5:H$3032,$O167)="","",INDEX(资金流水!H$5:H$3032,$O167)))</f>
        <v/>
      </c>
      <c r="I167" s="11" t="str">
        <f>IF($O167="","",IF(INDEX(资金流水!L$5:L$3032,$O167)="","",INDEX(资金流水!L$5:L$3032,$O167)))</f>
        <v/>
      </c>
      <c r="J167" s="10" t="str">
        <f>IF($O167="","",IF(INDEX(资金流水!I$5:I$3032,$O167)="","",INDEX(资金流水!I$5:I$3032,$O167)))</f>
        <v/>
      </c>
      <c r="K167" s="29" t="str">
        <f>IF($O167="","",IF(INDEX(资金流水!T$5:T$3015,$O167)="","",INDEX(资金流水!T$5:T$3015,$O167)))</f>
        <v/>
      </c>
      <c r="L167" s="29" t="str">
        <f>IF($O167="","",IF(INDEX(资金流水!U$5:U$3015,$O167)="","",INDEX(资金流水!U$5:U$3015,$O167)))</f>
        <v/>
      </c>
      <c r="M167" s="10" t="str">
        <f>IF($O167="","",IF(INDEX(资金流水!Q$5:Q$3015,$O167)="","",INDEX(资金流水!Q$5:Q$3015,$O167)))</f>
        <v/>
      </c>
      <c r="O167" s="54" t="str">
        <f>IFERROR(MATCH($A167,资金流水!$V$5:$V$3015,0),"")</f>
        <v/>
      </c>
    </row>
    <row r="168" spans="1:15">
      <c r="A168" s="29">
        <v>161</v>
      </c>
      <c r="B168" s="53" t="str">
        <f>IF($O168="","",IF(INDEX(资金流水!B$5:B$3032,$O168)="","",INDEX(资金流水!B$5:B$3032,$O168)))</f>
        <v/>
      </c>
      <c r="C168" s="10" t="str">
        <f>IF($O168="","",IF(INDEX(资金流水!C$5:C$3032,$O168)="","",INDEX(资金流水!C$5:C$3032,$O168)))</f>
        <v/>
      </c>
      <c r="D168" s="10" t="str">
        <f>IF($O168="","",IF(INDEX(资金流水!D$5:D$3032,$O168)="","",INDEX(资金流水!D$5:D$3032,$O168)))</f>
        <v/>
      </c>
      <c r="E168" s="29" t="str">
        <f>IF($O168="","",IF(INDEX(资金流水!E$5:E$3032,$O168)="","",INDEX(资金流水!E$5:E$3032,$O168)))</f>
        <v/>
      </c>
      <c r="F168" s="10" t="str">
        <f>IF($O168="","",IF(INDEX(资金流水!J$5:J$3032,$O168)="","",INDEX(资金流水!J$5:J$3032,$O168)))</f>
        <v/>
      </c>
      <c r="G168" s="11" t="str">
        <f>IF($O168="","",IF(INDEX(资金流水!K$5:K$3032,$O168)="","",INDEX(资金流水!K$5:K$3032,$O168)))</f>
        <v/>
      </c>
      <c r="H168" s="10" t="str">
        <f>IF($O168="","",IF(INDEX(资金流水!H$5:H$3032,$O168)="","",INDEX(资金流水!H$5:H$3032,$O168)))</f>
        <v/>
      </c>
      <c r="I168" s="11" t="str">
        <f>IF($O168="","",IF(INDEX(资金流水!L$5:L$3032,$O168)="","",INDEX(资金流水!L$5:L$3032,$O168)))</f>
        <v/>
      </c>
      <c r="J168" s="10" t="str">
        <f>IF($O168="","",IF(INDEX(资金流水!I$5:I$3032,$O168)="","",INDEX(资金流水!I$5:I$3032,$O168)))</f>
        <v/>
      </c>
      <c r="K168" s="29" t="str">
        <f>IF($O168="","",IF(INDEX(资金流水!T$5:T$3015,$O168)="","",INDEX(资金流水!T$5:T$3015,$O168)))</f>
        <v/>
      </c>
      <c r="L168" s="29" t="str">
        <f>IF($O168="","",IF(INDEX(资金流水!U$5:U$3015,$O168)="","",INDEX(资金流水!U$5:U$3015,$O168)))</f>
        <v/>
      </c>
      <c r="M168" s="10" t="str">
        <f>IF($O168="","",IF(INDEX(资金流水!Q$5:Q$3015,$O168)="","",INDEX(资金流水!Q$5:Q$3015,$O168)))</f>
        <v/>
      </c>
      <c r="O168" s="54" t="str">
        <f>IFERROR(MATCH($A168,资金流水!$V$5:$V$3015,0),"")</f>
        <v/>
      </c>
    </row>
    <row r="169" spans="1:15">
      <c r="A169" s="29">
        <v>162</v>
      </c>
      <c r="B169" s="53" t="str">
        <f>IF($O169="","",IF(INDEX(资金流水!B$5:B$3032,$O169)="","",INDEX(资金流水!B$5:B$3032,$O169)))</f>
        <v/>
      </c>
      <c r="C169" s="10" t="str">
        <f>IF($O169="","",IF(INDEX(资金流水!C$5:C$3032,$O169)="","",INDEX(资金流水!C$5:C$3032,$O169)))</f>
        <v/>
      </c>
      <c r="D169" s="10" t="str">
        <f>IF($O169="","",IF(INDEX(资金流水!D$5:D$3032,$O169)="","",INDEX(资金流水!D$5:D$3032,$O169)))</f>
        <v/>
      </c>
      <c r="E169" s="29" t="str">
        <f>IF($O169="","",IF(INDEX(资金流水!E$5:E$3032,$O169)="","",INDEX(资金流水!E$5:E$3032,$O169)))</f>
        <v/>
      </c>
      <c r="F169" s="10" t="str">
        <f>IF($O169="","",IF(INDEX(资金流水!J$5:J$3032,$O169)="","",INDEX(资金流水!J$5:J$3032,$O169)))</f>
        <v/>
      </c>
      <c r="G169" s="11" t="str">
        <f>IF($O169="","",IF(INDEX(资金流水!K$5:K$3032,$O169)="","",INDEX(资金流水!K$5:K$3032,$O169)))</f>
        <v/>
      </c>
      <c r="H169" s="10" t="str">
        <f>IF($O169="","",IF(INDEX(资金流水!H$5:H$3032,$O169)="","",INDEX(资金流水!H$5:H$3032,$O169)))</f>
        <v/>
      </c>
      <c r="I169" s="11" t="str">
        <f>IF($O169="","",IF(INDEX(资金流水!L$5:L$3032,$O169)="","",INDEX(资金流水!L$5:L$3032,$O169)))</f>
        <v/>
      </c>
      <c r="J169" s="10" t="str">
        <f>IF($O169="","",IF(INDEX(资金流水!I$5:I$3032,$O169)="","",INDEX(资金流水!I$5:I$3032,$O169)))</f>
        <v/>
      </c>
      <c r="K169" s="29" t="str">
        <f>IF($O169="","",IF(INDEX(资金流水!T$5:T$3015,$O169)="","",INDEX(资金流水!T$5:T$3015,$O169)))</f>
        <v/>
      </c>
      <c r="L169" s="29" t="str">
        <f>IF($O169="","",IF(INDEX(资金流水!U$5:U$3015,$O169)="","",INDEX(资金流水!U$5:U$3015,$O169)))</f>
        <v/>
      </c>
      <c r="M169" s="10" t="str">
        <f>IF($O169="","",IF(INDEX(资金流水!Q$5:Q$3015,$O169)="","",INDEX(资金流水!Q$5:Q$3015,$O169)))</f>
        <v/>
      </c>
      <c r="O169" s="54" t="str">
        <f>IFERROR(MATCH($A169,资金流水!$V$5:$V$3015,0),"")</f>
        <v/>
      </c>
    </row>
    <row r="170" spans="1:15">
      <c r="A170" s="29">
        <v>163</v>
      </c>
      <c r="B170" s="53" t="str">
        <f>IF($O170="","",IF(INDEX(资金流水!B$5:B$3032,$O170)="","",INDEX(资金流水!B$5:B$3032,$O170)))</f>
        <v/>
      </c>
      <c r="C170" s="10" t="str">
        <f>IF($O170="","",IF(INDEX(资金流水!C$5:C$3032,$O170)="","",INDEX(资金流水!C$5:C$3032,$O170)))</f>
        <v/>
      </c>
      <c r="D170" s="10" t="str">
        <f>IF($O170="","",IF(INDEX(资金流水!D$5:D$3032,$O170)="","",INDEX(资金流水!D$5:D$3032,$O170)))</f>
        <v/>
      </c>
      <c r="E170" s="29" t="str">
        <f>IF($O170="","",IF(INDEX(资金流水!E$5:E$3032,$O170)="","",INDEX(资金流水!E$5:E$3032,$O170)))</f>
        <v/>
      </c>
      <c r="F170" s="10" t="str">
        <f>IF($O170="","",IF(INDEX(资金流水!J$5:J$3032,$O170)="","",INDEX(资金流水!J$5:J$3032,$O170)))</f>
        <v/>
      </c>
      <c r="G170" s="11" t="str">
        <f>IF($O170="","",IF(INDEX(资金流水!K$5:K$3032,$O170)="","",INDEX(资金流水!K$5:K$3032,$O170)))</f>
        <v/>
      </c>
      <c r="H170" s="10" t="str">
        <f>IF($O170="","",IF(INDEX(资金流水!H$5:H$3032,$O170)="","",INDEX(资金流水!H$5:H$3032,$O170)))</f>
        <v/>
      </c>
      <c r="I170" s="11" t="str">
        <f>IF($O170="","",IF(INDEX(资金流水!L$5:L$3032,$O170)="","",INDEX(资金流水!L$5:L$3032,$O170)))</f>
        <v/>
      </c>
      <c r="J170" s="10" t="str">
        <f>IF($O170="","",IF(INDEX(资金流水!I$5:I$3032,$O170)="","",INDEX(资金流水!I$5:I$3032,$O170)))</f>
        <v/>
      </c>
      <c r="K170" s="29" t="str">
        <f>IF($O170="","",IF(INDEX(资金流水!T$5:T$3015,$O170)="","",INDEX(资金流水!T$5:T$3015,$O170)))</f>
        <v/>
      </c>
      <c r="L170" s="29" t="str">
        <f>IF($O170="","",IF(INDEX(资金流水!U$5:U$3015,$O170)="","",INDEX(资金流水!U$5:U$3015,$O170)))</f>
        <v/>
      </c>
      <c r="M170" s="10" t="str">
        <f>IF($O170="","",IF(INDEX(资金流水!Q$5:Q$3015,$O170)="","",INDEX(资金流水!Q$5:Q$3015,$O170)))</f>
        <v/>
      </c>
      <c r="O170" s="54" t="str">
        <f>IFERROR(MATCH($A170,资金流水!$V$5:$V$3015,0),"")</f>
        <v/>
      </c>
    </row>
    <row r="171" spans="1:15">
      <c r="A171" s="29">
        <v>164</v>
      </c>
      <c r="B171" s="53" t="str">
        <f>IF($O171="","",IF(INDEX(资金流水!B$5:B$3032,$O171)="","",INDEX(资金流水!B$5:B$3032,$O171)))</f>
        <v/>
      </c>
      <c r="C171" s="10" t="str">
        <f>IF($O171="","",IF(INDEX(资金流水!C$5:C$3032,$O171)="","",INDEX(资金流水!C$5:C$3032,$O171)))</f>
        <v/>
      </c>
      <c r="D171" s="10" t="str">
        <f>IF($O171="","",IF(INDEX(资金流水!D$5:D$3032,$O171)="","",INDEX(资金流水!D$5:D$3032,$O171)))</f>
        <v/>
      </c>
      <c r="E171" s="29" t="str">
        <f>IF($O171="","",IF(INDEX(资金流水!E$5:E$3032,$O171)="","",INDEX(资金流水!E$5:E$3032,$O171)))</f>
        <v/>
      </c>
      <c r="F171" s="10" t="str">
        <f>IF($O171="","",IF(INDEX(资金流水!J$5:J$3032,$O171)="","",INDEX(资金流水!J$5:J$3032,$O171)))</f>
        <v/>
      </c>
      <c r="G171" s="11" t="str">
        <f>IF($O171="","",IF(INDEX(资金流水!K$5:K$3032,$O171)="","",INDEX(资金流水!K$5:K$3032,$O171)))</f>
        <v/>
      </c>
      <c r="H171" s="10" t="str">
        <f>IF($O171="","",IF(INDEX(资金流水!H$5:H$3032,$O171)="","",INDEX(资金流水!H$5:H$3032,$O171)))</f>
        <v/>
      </c>
      <c r="I171" s="11" t="str">
        <f>IF($O171="","",IF(INDEX(资金流水!L$5:L$3032,$O171)="","",INDEX(资金流水!L$5:L$3032,$O171)))</f>
        <v/>
      </c>
      <c r="J171" s="10" t="str">
        <f>IF($O171="","",IF(INDEX(资金流水!I$5:I$3032,$O171)="","",INDEX(资金流水!I$5:I$3032,$O171)))</f>
        <v/>
      </c>
      <c r="K171" s="29" t="str">
        <f>IF($O171="","",IF(INDEX(资金流水!T$5:T$3015,$O171)="","",INDEX(资金流水!T$5:T$3015,$O171)))</f>
        <v/>
      </c>
      <c r="L171" s="29" t="str">
        <f>IF($O171="","",IF(INDEX(资金流水!U$5:U$3015,$O171)="","",INDEX(资金流水!U$5:U$3015,$O171)))</f>
        <v/>
      </c>
      <c r="M171" s="10" t="str">
        <f>IF($O171="","",IF(INDEX(资金流水!Q$5:Q$3015,$O171)="","",INDEX(资金流水!Q$5:Q$3015,$O171)))</f>
        <v/>
      </c>
      <c r="O171" s="54" t="str">
        <f>IFERROR(MATCH($A171,资金流水!$V$5:$V$3015,0),"")</f>
        <v/>
      </c>
    </row>
    <row r="172" spans="1:15">
      <c r="A172" s="29">
        <v>165</v>
      </c>
      <c r="B172" s="53" t="str">
        <f>IF($O172="","",IF(INDEX(资金流水!B$5:B$3032,$O172)="","",INDEX(资金流水!B$5:B$3032,$O172)))</f>
        <v/>
      </c>
      <c r="C172" s="10" t="str">
        <f>IF($O172="","",IF(INDEX(资金流水!C$5:C$3032,$O172)="","",INDEX(资金流水!C$5:C$3032,$O172)))</f>
        <v/>
      </c>
      <c r="D172" s="10" t="str">
        <f>IF($O172="","",IF(INDEX(资金流水!D$5:D$3032,$O172)="","",INDEX(资金流水!D$5:D$3032,$O172)))</f>
        <v/>
      </c>
      <c r="E172" s="29" t="str">
        <f>IF($O172="","",IF(INDEX(资金流水!E$5:E$3032,$O172)="","",INDEX(资金流水!E$5:E$3032,$O172)))</f>
        <v/>
      </c>
      <c r="F172" s="10" t="str">
        <f>IF($O172="","",IF(INDEX(资金流水!J$5:J$3032,$O172)="","",INDEX(资金流水!J$5:J$3032,$O172)))</f>
        <v/>
      </c>
      <c r="G172" s="11" t="str">
        <f>IF($O172="","",IF(INDEX(资金流水!K$5:K$3032,$O172)="","",INDEX(资金流水!K$5:K$3032,$O172)))</f>
        <v/>
      </c>
      <c r="H172" s="10" t="str">
        <f>IF($O172="","",IF(INDEX(资金流水!H$5:H$3032,$O172)="","",INDEX(资金流水!H$5:H$3032,$O172)))</f>
        <v/>
      </c>
      <c r="I172" s="11" t="str">
        <f>IF($O172="","",IF(INDEX(资金流水!L$5:L$3032,$O172)="","",INDEX(资金流水!L$5:L$3032,$O172)))</f>
        <v/>
      </c>
      <c r="J172" s="10" t="str">
        <f>IF($O172="","",IF(INDEX(资金流水!I$5:I$3032,$O172)="","",INDEX(资金流水!I$5:I$3032,$O172)))</f>
        <v/>
      </c>
      <c r="K172" s="29" t="str">
        <f>IF($O172="","",IF(INDEX(资金流水!T$5:T$3015,$O172)="","",INDEX(资金流水!T$5:T$3015,$O172)))</f>
        <v/>
      </c>
      <c r="L172" s="29" t="str">
        <f>IF($O172="","",IF(INDEX(资金流水!U$5:U$3015,$O172)="","",INDEX(资金流水!U$5:U$3015,$O172)))</f>
        <v/>
      </c>
      <c r="M172" s="10" t="str">
        <f>IF($O172="","",IF(INDEX(资金流水!Q$5:Q$3015,$O172)="","",INDEX(资金流水!Q$5:Q$3015,$O172)))</f>
        <v/>
      </c>
      <c r="O172" s="54" t="str">
        <f>IFERROR(MATCH($A172,资金流水!$V$5:$V$3015,0),"")</f>
        <v/>
      </c>
    </row>
    <row r="173" spans="1:15">
      <c r="A173" s="29">
        <v>166</v>
      </c>
      <c r="B173" s="53" t="str">
        <f>IF($O173="","",IF(INDEX(资金流水!B$5:B$3032,$O173)="","",INDEX(资金流水!B$5:B$3032,$O173)))</f>
        <v/>
      </c>
      <c r="C173" s="10" t="str">
        <f>IF($O173="","",IF(INDEX(资金流水!C$5:C$3032,$O173)="","",INDEX(资金流水!C$5:C$3032,$O173)))</f>
        <v/>
      </c>
      <c r="D173" s="10" t="str">
        <f>IF($O173="","",IF(INDEX(资金流水!D$5:D$3032,$O173)="","",INDEX(资金流水!D$5:D$3032,$O173)))</f>
        <v/>
      </c>
      <c r="E173" s="29" t="str">
        <f>IF($O173="","",IF(INDEX(资金流水!E$5:E$3032,$O173)="","",INDEX(资金流水!E$5:E$3032,$O173)))</f>
        <v/>
      </c>
      <c r="F173" s="10" t="str">
        <f>IF($O173="","",IF(INDEX(资金流水!J$5:J$3032,$O173)="","",INDEX(资金流水!J$5:J$3032,$O173)))</f>
        <v/>
      </c>
      <c r="G173" s="11" t="str">
        <f>IF($O173="","",IF(INDEX(资金流水!K$5:K$3032,$O173)="","",INDEX(资金流水!K$5:K$3032,$O173)))</f>
        <v/>
      </c>
      <c r="H173" s="10" t="str">
        <f>IF($O173="","",IF(INDEX(资金流水!H$5:H$3032,$O173)="","",INDEX(资金流水!H$5:H$3032,$O173)))</f>
        <v/>
      </c>
      <c r="I173" s="11" t="str">
        <f>IF($O173="","",IF(INDEX(资金流水!L$5:L$3032,$O173)="","",INDEX(资金流水!L$5:L$3032,$O173)))</f>
        <v/>
      </c>
      <c r="J173" s="10" t="str">
        <f>IF($O173="","",IF(INDEX(资金流水!I$5:I$3032,$O173)="","",INDEX(资金流水!I$5:I$3032,$O173)))</f>
        <v/>
      </c>
      <c r="K173" s="29" t="str">
        <f>IF($O173="","",IF(INDEX(资金流水!T$5:T$3015,$O173)="","",INDEX(资金流水!T$5:T$3015,$O173)))</f>
        <v/>
      </c>
      <c r="L173" s="29" t="str">
        <f>IF($O173="","",IF(INDEX(资金流水!U$5:U$3015,$O173)="","",INDEX(资金流水!U$5:U$3015,$O173)))</f>
        <v/>
      </c>
      <c r="M173" s="10" t="str">
        <f>IF($O173="","",IF(INDEX(资金流水!Q$5:Q$3015,$O173)="","",INDEX(资金流水!Q$5:Q$3015,$O173)))</f>
        <v/>
      </c>
      <c r="O173" s="54" t="str">
        <f>IFERROR(MATCH($A173,资金流水!$V$5:$V$3015,0),"")</f>
        <v/>
      </c>
    </row>
    <row r="174" spans="1:15">
      <c r="A174" s="29">
        <v>167</v>
      </c>
      <c r="B174" s="53" t="str">
        <f>IF($O174="","",IF(INDEX(资金流水!B$5:B$3032,$O174)="","",INDEX(资金流水!B$5:B$3032,$O174)))</f>
        <v/>
      </c>
      <c r="C174" s="10" t="str">
        <f>IF($O174="","",IF(INDEX(资金流水!C$5:C$3032,$O174)="","",INDEX(资金流水!C$5:C$3032,$O174)))</f>
        <v/>
      </c>
      <c r="D174" s="10" t="str">
        <f>IF($O174="","",IF(INDEX(资金流水!D$5:D$3032,$O174)="","",INDEX(资金流水!D$5:D$3032,$O174)))</f>
        <v/>
      </c>
      <c r="E174" s="29" t="str">
        <f>IF($O174="","",IF(INDEX(资金流水!E$5:E$3032,$O174)="","",INDEX(资金流水!E$5:E$3032,$O174)))</f>
        <v/>
      </c>
      <c r="F174" s="10" t="str">
        <f>IF($O174="","",IF(INDEX(资金流水!J$5:J$3032,$O174)="","",INDEX(资金流水!J$5:J$3032,$O174)))</f>
        <v/>
      </c>
      <c r="G174" s="11" t="str">
        <f>IF($O174="","",IF(INDEX(资金流水!K$5:K$3032,$O174)="","",INDEX(资金流水!K$5:K$3032,$O174)))</f>
        <v/>
      </c>
      <c r="H174" s="10" t="str">
        <f>IF($O174="","",IF(INDEX(资金流水!H$5:H$3032,$O174)="","",INDEX(资金流水!H$5:H$3032,$O174)))</f>
        <v/>
      </c>
      <c r="I174" s="11" t="str">
        <f>IF($O174="","",IF(INDEX(资金流水!L$5:L$3032,$O174)="","",INDEX(资金流水!L$5:L$3032,$O174)))</f>
        <v/>
      </c>
      <c r="J174" s="10" t="str">
        <f>IF($O174="","",IF(INDEX(资金流水!I$5:I$3032,$O174)="","",INDEX(资金流水!I$5:I$3032,$O174)))</f>
        <v/>
      </c>
      <c r="K174" s="29" t="str">
        <f>IF($O174="","",IF(INDEX(资金流水!T$5:T$3015,$O174)="","",INDEX(资金流水!T$5:T$3015,$O174)))</f>
        <v/>
      </c>
      <c r="L174" s="29" t="str">
        <f>IF($O174="","",IF(INDEX(资金流水!U$5:U$3015,$O174)="","",INDEX(资金流水!U$5:U$3015,$O174)))</f>
        <v/>
      </c>
      <c r="M174" s="10" t="str">
        <f>IF($O174="","",IF(INDEX(资金流水!Q$5:Q$3015,$O174)="","",INDEX(资金流水!Q$5:Q$3015,$O174)))</f>
        <v/>
      </c>
      <c r="O174" s="54" t="str">
        <f>IFERROR(MATCH($A174,资金流水!$V$5:$V$3015,0),"")</f>
        <v/>
      </c>
    </row>
    <row r="175" spans="1:15">
      <c r="A175" s="29">
        <v>168</v>
      </c>
      <c r="B175" s="53" t="str">
        <f>IF($O175="","",IF(INDEX(资金流水!B$5:B$3032,$O175)="","",INDEX(资金流水!B$5:B$3032,$O175)))</f>
        <v/>
      </c>
      <c r="C175" s="10" t="str">
        <f>IF($O175="","",IF(INDEX(资金流水!C$5:C$3032,$O175)="","",INDEX(资金流水!C$5:C$3032,$O175)))</f>
        <v/>
      </c>
      <c r="D175" s="10" t="str">
        <f>IF($O175="","",IF(INDEX(资金流水!D$5:D$3032,$O175)="","",INDEX(资金流水!D$5:D$3032,$O175)))</f>
        <v/>
      </c>
      <c r="E175" s="29" t="str">
        <f>IF($O175="","",IF(INDEX(资金流水!E$5:E$3032,$O175)="","",INDEX(资金流水!E$5:E$3032,$O175)))</f>
        <v/>
      </c>
      <c r="F175" s="10" t="str">
        <f>IF($O175="","",IF(INDEX(资金流水!J$5:J$3032,$O175)="","",INDEX(资金流水!J$5:J$3032,$O175)))</f>
        <v/>
      </c>
      <c r="G175" s="11" t="str">
        <f>IF($O175="","",IF(INDEX(资金流水!K$5:K$3032,$O175)="","",INDEX(资金流水!K$5:K$3032,$O175)))</f>
        <v/>
      </c>
      <c r="H175" s="10" t="str">
        <f>IF($O175="","",IF(INDEX(资金流水!H$5:H$3032,$O175)="","",INDEX(资金流水!H$5:H$3032,$O175)))</f>
        <v/>
      </c>
      <c r="I175" s="11" t="str">
        <f>IF($O175="","",IF(INDEX(资金流水!L$5:L$3032,$O175)="","",INDEX(资金流水!L$5:L$3032,$O175)))</f>
        <v/>
      </c>
      <c r="J175" s="10" t="str">
        <f>IF($O175="","",IF(INDEX(资金流水!I$5:I$3032,$O175)="","",INDEX(资金流水!I$5:I$3032,$O175)))</f>
        <v/>
      </c>
      <c r="K175" s="29" t="str">
        <f>IF($O175="","",IF(INDEX(资金流水!T$5:T$3015,$O175)="","",INDEX(资金流水!T$5:T$3015,$O175)))</f>
        <v/>
      </c>
      <c r="L175" s="29" t="str">
        <f>IF($O175="","",IF(INDEX(资金流水!U$5:U$3015,$O175)="","",INDEX(资金流水!U$5:U$3015,$O175)))</f>
        <v/>
      </c>
      <c r="M175" s="10" t="str">
        <f>IF($O175="","",IF(INDEX(资金流水!Q$5:Q$3015,$O175)="","",INDEX(资金流水!Q$5:Q$3015,$O175)))</f>
        <v/>
      </c>
      <c r="O175" s="54" t="str">
        <f>IFERROR(MATCH($A175,资金流水!$V$5:$V$3015,0),"")</f>
        <v/>
      </c>
    </row>
    <row r="176" spans="1:15">
      <c r="A176" s="29">
        <v>169</v>
      </c>
      <c r="B176" s="53" t="str">
        <f>IF($O176="","",IF(INDEX(资金流水!B$5:B$3032,$O176)="","",INDEX(资金流水!B$5:B$3032,$O176)))</f>
        <v/>
      </c>
      <c r="C176" s="10" t="str">
        <f>IF($O176="","",IF(INDEX(资金流水!C$5:C$3032,$O176)="","",INDEX(资金流水!C$5:C$3032,$O176)))</f>
        <v/>
      </c>
      <c r="D176" s="10" t="str">
        <f>IF($O176="","",IF(INDEX(资金流水!D$5:D$3032,$O176)="","",INDEX(资金流水!D$5:D$3032,$O176)))</f>
        <v/>
      </c>
      <c r="E176" s="29" t="str">
        <f>IF($O176="","",IF(INDEX(资金流水!E$5:E$3032,$O176)="","",INDEX(资金流水!E$5:E$3032,$O176)))</f>
        <v/>
      </c>
      <c r="F176" s="10" t="str">
        <f>IF($O176="","",IF(INDEX(资金流水!J$5:J$3032,$O176)="","",INDEX(资金流水!J$5:J$3032,$O176)))</f>
        <v/>
      </c>
      <c r="G176" s="11" t="str">
        <f>IF($O176="","",IF(INDEX(资金流水!K$5:K$3032,$O176)="","",INDEX(资金流水!K$5:K$3032,$O176)))</f>
        <v/>
      </c>
      <c r="H176" s="10" t="str">
        <f>IF($O176="","",IF(INDEX(资金流水!H$5:H$3032,$O176)="","",INDEX(资金流水!H$5:H$3032,$O176)))</f>
        <v/>
      </c>
      <c r="I176" s="11" t="str">
        <f>IF($O176="","",IF(INDEX(资金流水!L$5:L$3032,$O176)="","",INDEX(资金流水!L$5:L$3032,$O176)))</f>
        <v/>
      </c>
      <c r="J176" s="10" t="str">
        <f>IF($O176="","",IF(INDEX(资金流水!I$5:I$3032,$O176)="","",INDEX(资金流水!I$5:I$3032,$O176)))</f>
        <v/>
      </c>
      <c r="K176" s="29" t="str">
        <f>IF($O176="","",IF(INDEX(资金流水!T$5:T$3015,$O176)="","",INDEX(资金流水!T$5:T$3015,$O176)))</f>
        <v/>
      </c>
      <c r="L176" s="29" t="str">
        <f>IF($O176="","",IF(INDEX(资金流水!U$5:U$3015,$O176)="","",INDEX(资金流水!U$5:U$3015,$O176)))</f>
        <v/>
      </c>
      <c r="M176" s="10" t="str">
        <f>IF($O176="","",IF(INDEX(资金流水!Q$5:Q$3015,$O176)="","",INDEX(资金流水!Q$5:Q$3015,$O176)))</f>
        <v/>
      </c>
      <c r="O176" s="54" t="str">
        <f>IFERROR(MATCH($A176,资金流水!$V$5:$V$3015,0),"")</f>
        <v/>
      </c>
    </row>
    <row r="177" spans="1:15">
      <c r="A177" s="29">
        <v>170</v>
      </c>
      <c r="B177" s="53" t="str">
        <f>IF($O177="","",IF(INDEX(资金流水!B$5:B$3032,$O177)="","",INDEX(资金流水!B$5:B$3032,$O177)))</f>
        <v/>
      </c>
      <c r="C177" s="10" t="str">
        <f>IF($O177="","",IF(INDEX(资金流水!C$5:C$3032,$O177)="","",INDEX(资金流水!C$5:C$3032,$O177)))</f>
        <v/>
      </c>
      <c r="D177" s="10" t="str">
        <f>IF($O177="","",IF(INDEX(资金流水!D$5:D$3032,$O177)="","",INDEX(资金流水!D$5:D$3032,$O177)))</f>
        <v/>
      </c>
      <c r="E177" s="29" t="str">
        <f>IF($O177="","",IF(INDEX(资金流水!E$5:E$3032,$O177)="","",INDEX(资金流水!E$5:E$3032,$O177)))</f>
        <v/>
      </c>
      <c r="F177" s="10" t="str">
        <f>IF($O177="","",IF(INDEX(资金流水!J$5:J$3032,$O177)="","",INDEX(资金流水!J$5:J$3032,$O177)))</f>
        <v/>
      </c>
      <c r="G177" s="11" t="str">
        <f>IF($O177="","",IF(INDEX(资金流水!K$5:K$3032,$O177)="","",INDEX(资金流水!K$5:K$3032,$O177)))</f>
        <v/>
      </c>
      <c r="H177" s="10" t="str">
        <f>IF($O177="","",IF(INDEX(资金流水!H$5:H$3032,$O177)="","",INDEX(资金流水!H$5:H$3032,$O177)))</f>
        <v/>
      </c>
      <c r="I177" s="11" t="str">
        <f>IF($O177="","",IF(INDEX(资金流水!L$5:L$3032,$O177)="","",INDEX(资金流水!L$5:L$3032,$O177)))</f>
        <v/>
      </c>
      <c r="J177" s="10" t="str">
        <f>IF($O177="","",IF(INDEX(资金流水!I$5:I$3032,$O177)="","",INDEX(资金流水!I$5:I$3032,$O177)))</f>
        <v/>
      </c>
      <c r="K177" s="29" t="str">
        <f>IF($O177="","",IF(INDEX(资金流水!T$5:T$3015,$O177)="","",INDEX(资金流水!T$5:T$3015,$O177)))</f>
        <v/>
      </c>
      <c r="L177" s="29" t="str">
        <f>IF($O177="","",IF(INDEX(资金流水!U$5:U$3015,$O177)="","",INDEX(资金流水!U$5:U$3015,$O177)))</f>
        <v/>
      </c>
      <c r="M177" s="10" t="str">
        <f>IF($O177="","",IF(INDEX(资金流水!Q$5:Q$3015,$O177)="","",INDEX(资金流水!Q$5:Q$3015,$O177)))</f>
        <v/>
      </c>
      <c r="O177" s="54" t="str">
        <f>IFERROR(MATCH($A177,资金流水!$V$5:$V$3015,0),"")</f>
        <v/>
      </c>
    </row>
    <row r="178" spans="1:15">
      <c r="A178" s="29">
        <v>171</v>
      </c>
      <c r="B178" s="53" t="str">
        <f>IF($O178="","",IF(INDEX(资金流水!B$5:B$3032,$O178)="","",INDEX(资金流水!B$5:B$3032,$O178)))</f>
        <v/>
      </c>
      <c r="C178" s="10" t="str">
        <f>IF($O178="","",IF(INDEX(资金流水!C$5:C$3032,$O178)="","",INDEX(资金流水!C$5:C$3032,$O178)))</f>
        <v/>
      </c>
      <c r="D178" s="10" t="str">
        <f>IF($O178="","",IF(INDEX(资金流水!D$5:D$3032,$O178)="","",INDEX(资金流水!D$5:D$3032,$O178)))</f>
        <v/>
      </c>
      <c r="E178" s="29" t="str">
        <f>IF($O178="","",IF(INDEX(资金流水!E$5:E$3032,$O178)="","",INDEX(资金流水!E$5:E$3032,$O178)))</f>
        <v/>
      </c>
      <c r="F178" s="10" t="str">
        <f>IF($O178="","",IF(INDEX(资金流水!J$5:J$3032,$O178)="","",INDEX(资金流水!J$5:J$3032,$O178)))</f>
        <v/>
      </c>
      <c r="G178" s="11" t="str">
        <f>IF($O178="","",IF(INDEX(资金流水!K$5:K$3032,$O178)="","",INDEX(资金流水!K$5:K$3032,$O178)))</f>
        <v/>
      </c>
      <c r="H178" s="10" t="str">
        <f>IF($O178="","",IF(INDEX(资金流水!H$5:H$3032,$O178)="","",INDEX(资金流水!H$5:H$3032,$O178)))</f>
        <v/>
      </c>
      <c r="I178" s="11" t="str">
        <f>IF($O178="","",IF(INDEX(资金流水!L$5:L$3032,$O178)="","",INDEX(资金流水!L$5:L$3032,$O178)))</f>
        <v/>
      </c>
      <c r="J178" s="10" t="str">
        <f>IF($O178="","",IF(INDEX(资金流水!I$5:I$3032,$O178)="","",INDEX(资金流水!I$5:I$3032,$O178)))</f>
        <v/>
      </c>
      <c r="K178" s="29" t="str">
        <f>IF($O178="","",IF(INDEX(资金流水!T$5:T$3015,$O178)="","",INDEX(资金流水!T$5:T$3015,$O178)))</f>
        <v/>
      </c>
      <c r="L178" s="29" t="str">
        <f>IF($O178="","",IF(INDEX(资金流水!U$5:U$3015,$O178)="","",INDEX(资金流水!U$5:U$3015,$O178)))</f>
        <v/>
      </c>
      <c r="M178" s="10" t="str">
        <f>IF($O178="","",IF(INDEX(资金流水!Q$5:Q$3015,$O178)="","",INDEX(资金流水!Q$5:Q$3015,$O178)))</f>
        <v/>
      </c>
      <c r="O178" s="54" t="str">
        <f>IFERROR(MATCH($A178,资金流水!$V$5:$V$3015,0),"")</f>
        <v/>
      </c>
    </row>
    <row r="179" spans="1:15">
      <c r="A179" s="29">
        <v>172</v>
      </c>
      <c r="B179" s="53" t="str">
        <f>IF($O179="","",IF(INDEX(资金流水!B$5:B$3032,$O179)="","",INDEX(资金流水!B$5:B$3032,$O179)))</f>
        <v/>
      </c>
      <c r="C179" s="10" t="str">
        <f>IF($O179="","",IF(INDEX(资金流水!C$5:C$3032,$O179)="","",INDEX(资金流水!C$5:C$3032,$O179)))</f>
        <v/>
      </c>
      <c r="D179" s="10" t="str">
        <f>IF($O179="","",IF(INDEX(资金流水!D$5:D$3032,$O179)="","",INDEX(资金流水!D$5:D$3032,$O179)))</f>
        <v/>
      </c>
      <c r="E179" s="29" t="str">
        <f>IF($O179="","",IF(INDEX(资金流水!E$5:E$3032,$O179)="","",INDEX(资金流水!E$5:E$3032,$O179)))</f>
        <v/>
      </c>
      <c r="F179" s="10" t="str">
        <f>IF($O179="","",IF(INDEX(资金流水!J$5:J$3032,$O179)="","",INDEX(资金流水!J$5:J$3032,$O179)))</f>
        <v/>
      </c>
      <c r="G179" s="11" t="str">
        <f>IF($O179="","",IF(INDEX(资金流水!K$5:K$3032,$O179)="","",INDEX(资金流水!K$5:K$3032,$O179)))</f>
        <v/>
      </c>
      <c r="H179" s="10" t="str">
        <f>IF($O179="","",IF(INDEX(资金流水!H$5:H$3032,$O179)="","",INDEX(资金流水!H$5:H$3032,$O179)))</f>
        <v/>
      </c>
      <c r="I179" s="11" t="str">
        <f>IF($O179="","",IF(INDEX(资金流水!L$5:L$3032,$O179)="","",INDEX(资金流水!L$5:L$3032,$O179)))</f>
        <v/>
      </c>
      <c r="J179" s="10" t="str">
        <f>IF($O179="","",IF(INDEX(资金流水!I$5:I$3032,$O179)="","",INDEX(资金流水!I$5:I$3032,$O179)))</f>
        <v/>
      </c>
      <c r="K179" s="29" t="str">
        <f>IF($O179="","",IF(INDEX(资金流水!T$5:T$3015,$O179)="","",INDEX(资金流水!T$5:T$3015,$O179)))</f>
        <v/>
      </c>
      <c r="L179" s="29" t="str">
        <f>IF($O179="","",IF(INDEX(资金流水!U$5:U$3015,$O179)="","",INDEX(资金流水!U$5:U$3015,$O179)))</f>
        <v/>
      </c>
      <c r="M179" s="10" t="str">
        <f>IF($O179="","",IF(INDEX(资金流水!Q$5:Q$3015,$O179)="","",INDEX(资金流水!Q$5:Q$3015,$O179)))</f>
        <v/>
      </c>
      <c r="O179" s="54" t="str">
        <f>IFERROR(MATCH($A179,资金流水!$V$5:$V$3015,0),"")</f>
        <v/>
      </c>
    </row>
    <row r="180" spans="1:15">
      <c r="A180" s="29">
        <v>173</v>
      </c>
      <c r="B180" s="53" t="str">
        <f>IF($O180="","",IF(INDEX(资金流水!B$5:B$3032,$O180)="","",INDEX(资金流水!B$5:B$3032,$O180)))</f>
        <v/>
      </c>
      <c r="C180" s="10" t="str">
        <f>IF($O180="","",IF(INDEX(资金流水!C$5:C$3032,$O180)="","",INDEX(资金流水!C$5:C$3032,$O180)))</f>
        <v/>
      </c>
      <c r="D180" s="10" t="str">
        <f>IF($O180="","",IF(INDEX(资金流水!D$5:D$3032,$O180)="","",INDEX(资金流水!D$5:D$3032,$O180)))</f>
        <v/>
      </c>
      <c r="E180" s="29" t="str">
        <f>IF($O180="","",IF(INDEX(资金流水!E$5:E$3032,$O180)="","",INDEX(资金流水!E$5:E$3032,$O180)))</f>
        <v/>
      </c>
      <c r="F180" s="10" t="str">
        <f>IF($O180="","",IF(INDEX(资金流水!J$5:J$3032,$O180)="","",INDEX(资金流水!J$5:J$3032,$O180)))</f>
        <v/>
      </c>
      <c r="G180" s="11" t="str">
        <f>IF($O180="","",IF(INDEX(资金流水!K$5:K$3032,$O180)="","",INDEX(资金流水!K$5:K$3032,$O180)))</f>
        <v/>
      </c>
      <c r="H180" s="10" t="str">
        <f>IF($O180="","",IF(INDEX(资金流水!H$5:H$3032,$O180)="","",INDEX(资金流水!H$5:H$3032,$O180)))</f>
        <v/>
      </c>
      <c r="I180" s="11" t="str">
        <f>IF($O180="","",IF(INDEX(资金流水!L$5:L$3032,$O180)="","",INDEX(资金流水!L$5:L$3032,$O180)))</f>
        <v/>
      </c>
      <c r="J180" s="10" t="str">
        <f>IF($O180="","",IF(INDEX(资金流水!I$5:I$3032,$O180)="","",INDEX(资金流水!I$5:I$3032,$O180)))</f>
        <v/>
      </c>
      <c r="K180" s="29" t="str">
        <f>IF($O180="","",IF(INDEX(资金流水!T$5:T$3015,$O180)="","",INDEX(资金流水!T$5:T$3015,$O180)))</f>
        <v/>
      </c>
      <c r="L180" s="29" t="str">
        <f>IF($O180="","",IF(INDEX(资金流水!U$5:U$3015,$O180)="","",INDEX(资金流水!U$5:U$3015,$O180)))</f>
        <v/>
      </c>
      <c r="M180" s="10" t="str">
        <f>IF($O180="","",IF(INDEX(资金流水!Q$5:Q$3015,$O180)="","",INDEX(资金流水!Q$5:Q$3015,$O180)))</f>
        <v/>
      </c>
      <c r="O180" s="54" t="str">
        <f>IFERROR(MATCH($A180,资金流水!$V$5:$V$3015,0),"")</f>
        <v/>
      </c>
    </row>
    <row r="181" spans="1:15">
      <c r="A181" s="29">
        <v>174</v>
      </c>
      <c r="B181" s="53" t="str">
        <f>IF($O181="","",IF(INDEX(资金流水!B$5:B$3032,$O181)="","",INDEX(资金流水!B$5:B$3032,$O181)))</f>
        <v/>
      </c>
      <c r="C181" s="10" t="str">
        <f>IF($O181="","",IF(INDEX(资金流水!C$5:C$3032,$O181)="","",INDEX(资金流水!C$5:C$3032,$O181)))</f>
        <v/>
      </c>
      <c r="D181" s="10" t="str">
        <f>IF($O181="","",IF(INDEX(资金流水!D$5:D$3032,$O181)="","",INDEX(资金流水!D$5:D$3032,$O181)))</f>
        <v/>
      </c>
      <c r="E181" s="29" t="str">
        <f>IF($O181="","",IF(INDEX(资金流水!E$5:E$3032,$O181)="","",INDEX(资金流水!E$5:E$3032,$O181)))</f>
        <v/>
      </c>
      <c r="F181" s="10" t="str">
        <f>IF($O181="","",IF(INDEX(资金流水!J$5:J$3032,$O181)="","",INDEX(资金流水!J$5:J$3032,$O181)))</f>
        <v/>
      </c>
      <c r="G181" s="11" t="str">
        <f>IF($O181="","",IF(INDEX(资金流水!K$5:K$3032,$O181)="","",INDEX(资金流水!K$5:K$3032,$O181)))</f>
        <v/>
      </c>
      <c r="H181" s="10" t="str">
        <f>IF($O181="","",IF(INDEX(资金流水!H$5:H$3032,$O181)="","",INDEX(资金流水!H$5:H$3032,$O181)))</f>
        <v/>
      </c>
      <c r="I181" s="11" t="str">
        <f>IF($O181="","",IF(INDEX(资金流水!L$5:L$3032,$O181)="","",INDEX(资金流水!L$5:L$3032,$O181)))</f>
        <v/>
      </c>
      <c r="J181" s="10" t="str">
        <f>IF($O181="","",IF(INDEX(资金流水!I$5:I$3032,$O181)="","",INDEX(资金流水!I$5:I$3032,$O181)))</f>
        <v/>
      </c>
      <c r="K181" s="29" t="str">
        <f>IF($O181="","",IF(INDEX(资金流水!T$5:T$3015,$O181)="","",INDEX(资金流水!T$5:T$3015,$O181)))</f>
        <v/>
      </c>
      <c r="L181" s="29" t="str">
        <f>IF($O181="","",IF(INDEX(资金流水!U$5:U$3015,$O181)="","",INDEX(资金流水!U$5:U$3015,$O181)))</f>
        <v/>
      </c>
      <c r="M181" s="10" t="str">
        <f>IF($O181="","",IF(INDEX(资金流水!Q$5:Q$3015,$O181)="","",INDEX(资金流水!Q$5:Q$3015,$O181)))</f>
        <v/>
      </c>
      <c r="O181" s="54" t="str">
        <f>IFERROR(MATCH($A181,资金流水!$V$5:$V$3015,0),"")</f>
        <v/>
      </c>
    </row>
    <row r="182" spans="1:15">
      <c r="A182" s="29">
        <v>175</v>
      </c>
      <c r="B182" s="53" t="str">
        <f>IF($O182="","",IF(INDEX(资金流水!B$5:B$3032,$O182)="","",INDEX(资金流水!B$5:B$3032,$O182)))</f>
        <v/>
      </c>
      <c r="C182" s="10" t="str">
        <f>IF($O182="","",IF(INDEX(资金流水!C$5:C$3032,$O182)="","",INDEX(资金流水!C$5:C$3032,$O182)))</f>
        <v/>
      </c>
      <c r="D182" s="10" t="str">
        <f>IF($O182="","",IF(INDEX(资金流水!D$5:D$3032,$O182)="","",INDEX(资金流水!D$5:D$3032,$O182)))</f>
        <v/>
      </c>
      <c r="E182" s="29" t="str">
        <f>IF($O182="","",IF(INDEX(资金流水!E$5:E$3032,$O182)="","",INDEX(资金流水!E$5:E$3032,$O182)))</f>
        <v/>
      </c>
      <c r="F182" s="10" t="str">
        <f>IF($O182="","",IF(INDEX(资金流水!J$5:J$3032,$O182)="","",INDEX(资金流水!J$5:J$3032,$O182)))</f>
        <v/>
      </c>
      <c r="G182" s="11" t="str">
        <f>IF($O182="","",IF(INDEX(资金流水!K$5:K$3032,$O182)="","",INDEX(资金流水!K$5:K$3032,$O182)))</f>
        <v/>
      </c>
      <c r="H182" s="10" t="str">
        <f>IF($O182="","",IF(INDEX(资金流水!H$5:H$3032,$O182)="","",INDEX(资金流水!H$5:H$3032,$O182)))</f>
        <v/>
      </c>
      <c r="I182" s="11" t="str">
        <f>IF($O182="","",IF(INDEX(资金流水!L$5:L$3032,$O182)="","",INDEX(资金流水!L$5:L$3032,$O182)))</f>
        <v/>
      </c>
      <c r="J182" s="10" t="str">
        <f>IF($O182="","",IF(INDEX(资金流水!I$5:I$3032,$O182)="","",INDEX(资金流水!I$5:I$3032,$O182)))</f>
        <v/>
      </c>
      <c r="K182" s="29" t="str">
        <f>IF($O182="","",IF(INDEX(资金流水!T$5:T$3015,$O182)="","",INDEX(资金流水!T$5:T$3015,$O182)))</f>
        <v/>
      </c>
      <c r="L182" s="29" t="str">
        <f>IF($O182="","",IF(INDEX(资金流水!U$5:U$3015,$O182)="","",INDEX(资金流水!U$5:U$3015,$O182)))</f>
        <v/>
      </c>
      <c r="M182" s="10" t="str">
        <f>IF($O182="","",IF(INDEX(资金流水!Q$5:Q$3015,$O182)="","",INDEX(资金流水!Q$5:Q$3015,$O182)))</f>
        <v/>
      </c>
      <c r="O182" s="54" t="str">
        <f>IFERROR(MATCH($A182,资金流水!$V$5:$V$3015,0),"")</f>
        <v/>
      </c>
    </row>
    <row r="183" spans="1:15">
      <c r="A183" s="29">
        <v>176</v>
      </c>
      <c r="B183" s="53" t="str">
        <f>IF($O183="","",IF(INDEX(资金流水!B$5:B$3032,$O183)="","",INDEX(资金流水!B$5:B$3032,$O183)))</f>
        <v/>
      </c>
      <c r="C183" s="10" t="str">
        <f>IF($O183="","",IF(INDEX(资金流水!C$5:C$3032,$O183)="","",INDEX(资金流水!C$5:C$3032,$O183)))</f>
        <v/>
      </c>
      <c r="D183" s="10" t="str">
        <f>IF($O183="","",IF(INDEX(资金流水!D$5:D$3032,$O183)="","",INDEX(资金流水!D$5:D$3032,$O183)))</f>
        <v/>
      </c>
      <c r="E183" s="29" t="str">
        <f>IF($O183="","",IF(INDEX(资金流水!E$5:E$3032,$O183)="","",INDEX(资金流水!E$5:E$3032,$O183)))</f>
        <v/>
      </c>
      <c r="F183" s="10" t="str">
        <f>IF($O183="","",IF(INDEX(资金流水!J$5:J$3032,$O183)="","",INDEX(资金流水!J$5:J$3032,$O183)))</f>
        <v/>
      </c>
      <c r="G183" s="11" t="str">
        <f>IF($O183="","",IF(INDEX(资金流水!K$5:K$3032,$O183)="","",INDEX(资金流水!K$5:K$3032,$O183)))</f>
        <v/>
      </c>
      <c r="H183" s="10" t="str">
        <f>IF($O183="","",IF(INDEX(资金流水!H$5:H$3032,$O183)="","",INDEX(资金流水!H$5:H$3032,$O183)))</f>
        <v/>
      </c>
      <c r="I183" s="11" t="str">
        <f>IF($O183="","",IF(INDEX(资金流水!L$5:L$3032,$O183)="","",INDEX(资金流水!L$5:L$3032,$O183)))</f>
        <v/>
      </c>
      <c r="J183" s="10" t="str">
        <f>IF($O183="","",IF(INDEX(资金流水!I$5:I$3032,$O183)="","",INDEX(资金流水!I$5:I$3032,$O183)))</f>
        <v/>
      </c>
      <c r="K183" s="29" t="str">
        <f>IF($O183="","",IF(INDEX(资金流水!T$5:T$3015,$O183)="","",INDEX(资金流水!T$5:T$3015,$O183)))</f>
        <v/>
      </c>
      <c r="L183" s="29" t="str">
        <f>IF($O183="","",IF(INDEX(资金流水!U$5:U$3015,$O183)="","",INDEX(资金流水!U$5:U$3015,$O183)))</f>
        <v/>
      </c>
      <c r="M183" s="10" t="str">
        <f>IF($O183="","",IF(INDEX(资金流水!Q$5:Q$3015,$O183)="","",INDEX(资金流水!Q$5:Q$3015,$O183)))</f>
        <v/>
      </c>
      <c r="O183" s="54" t="str">
        <f>IFERROR(MATCH($A183,资金流水!$V$5:$V$3015,0),"")</f>
        <v/>
      </c>
    </row>
    <row r="184" spans="1:15">
      <c r="A184" s="29">
        <v>177</v>
      </c>
      <c r="B184" s="53" t="str">
        <f>IF($O184="","",IF(INDEX(资金流水!B$5:B$3032,$O184)="","",INDEX(资金流水!B$5:B$3032,$O184)))</f>
        <v/>
      </c>
      <c r="C184" s="10" t="str">
        <f>IF($O184="","",IF(INDEX(资金流水!C$5:C$3032,$O184)="","",INDEX(资金流水!C$5:C$3032,$O184)))</f>
        <v/>
      </c>
      <c r="D184" s="10" t="str">
        <f>IF($O184="","",IF(INDEX(资金流水!D$5:D$3032,$O184)="","",INDEX(资金流水!D$5:D$3032,$O184)))</f>
        <v/>
      </c>
      <c r="E184" s="29" t="str">
        <f>IF($O184="","",IF(INDEX(资金流水!E$5:E$3032,$O184)="","",INDEX(资金流水!E$5:E$3032,$O184)))</f>
        <v/>
      </c>
      <c r="F184" s="10" t="str">
        <f>IF($O184="","",IF(INDEX(资金流水!J$5:J$3032,$O184)="","",INDEX(资金流水!J$5:J$3032,$O184)))</f>
        <v/>
      </c>
      <c r="G184" s="11" t="str">
        <f>IF($O184="","",IF(INDEX(资金流水!K$5:K$3032,$O184)="","",INDEX(资金流水!K$5:K$3032,$O184)))</f>
        <v/>
      </c>
      <c r="H184" s="10" t="str">
        <f>IF($O184="","",IF(INDEX(资金流水!H$5:H$3032,$O184)="","",INDEX(资金流水!H$5:H$3032,$O184)))</f>
        <v/>
      </c>
      <c r="I184" s="11" t="str">
        <f>IF($O184="","",IF(INDEX(资金流水!L$5:L$3032,$O184)="","",INDEX(资金流水!L$5:L$3032,$O184)))</f>
        <v/>
      </c>
      <c r="J184" s="10" t="str">
        <f>IF($O184="","",IF(INDEX(资金流水!I$5:I$3032,$O184)="","",INDEX(资金流水!I$5:I$3032,$O184)))</f>
        <v/>
      </c>
      <c r="K184" s="29" t="str">
        <f>IF($O184="","",IF(INDEX(资金流水!T$5:T$3015,$O184)="","",INDEX(资金流水!T$5:T$3015,$O184)))</f>
        <v/>
      </c>
      <c r="L184" s="29" t="str">
        <f>IF($O184="","",IF(INDEX(资金流水!U$5:U$3015,$O184)="","",INDEX(资金流水!U$5:U$3015,$O184)))</f>
        <v/>
      </c>
      <c r="M184" s="10" t="str">
        <f>IF($O184="","",IF(INDEX(资金流水!Q$5:Q$3015,$O184)="","",INDEX(资金流水!Q$5:Q$3015,$O184)))</f>
        <v/>
      </c>
      <c r="O184" s="54" t="str">
        <f>IFERROR(MATCH($A184,资金流水!$V$5:$V$3015,0),"")</f>
        <v/>
      </c>
    </row>
    <row r="185" spans="1:15">
      <c r="A185" s="29">
        <v>178</v>
      </c>
      <c r="B185" s="53" t="str">
        <f>IF($O185="","",IF(INDEX(资金流水!B$5:B$3032,$O185)="","",INDEX(资金流水!B$5:B$3032,$O185)))</f>
        <v/>
      </c>
      <c r="C185" s="10" t="str">
        <f>IF($O185="","",IF(INDEX(资金流水!C$5:C$3032,$O185)="","",INDEX(资金流水!C$5:C$3032,$O185)))</f>
        <v/>
      </c>
      <c r="D185" s="10" t="str">
        <f>IF($O185="","",IF(INDEX(资金流水!D$5:D$3032,$O185)="","",INDEX(资金流水!D$5:D$3032,$O185)))</f>
        <v/>
      </c>
      <c r="E185" s="29" t="str">
        <f>IF($O185="","",IF(INDEX(资金流水!E$5:E$3032,$O185)="","",INDEX(资金流水!E$5:E$3032,$O185)))</f>
        <v/>
      </c>
      <c r="F185" s="10" t="str">
        <f>IF($O185="","",IF(INDEX(资金流水!J$5:J$3032,$O185)="","",INDEX(资金流水!J$5:J$3032,$O185)))</f>
        <v/>
      </c>
      <c r="G185" s="11" t="str">
        <f>IF($O185="","",IF(INDEX(资金流水!K$5:K$3032,$O185)="","",INDEX(资金流水!K$5:K$3032,$O185)))</f>
        <v/>
      </c>
      <c r="H185" s="10" t="str">
        <f>IF($O185="","",IF(INDEX(资金流水!H$5:H$3032,$O185)="","",INDEX(资金流水!H$5:H$3032,$O185)))</f>
        <v/>
      </c>
      <c r="I185" s="11" t="str">
        <f>IF($O185="","",IF(INDEX(资金流水!L$5:L$3032,$O185)="","",INDEX(资金流水!L$5:L$3032,$O185)))</f>
        <v/>
      </c>
      <c r="J185" s="10" t="str">
        <f>IF($O185="","",IF(INDEX(资金流水!I$5:I$3032,$O185)="","",INDEX(资金流水!I$5:I$3032,$O185)))</f>
        <v/>
      </c>
      <c r="K185" s="29" t="str">
        <f>IF($O185="","",IF(INDEX(资金流水!T$5:T$3015,$O185)="","",INDEX(资金流水!T$5:T$3015,$O185)))</f>
        <v/>
      </c>
      <c r="L185" s="29" t="str">
        <f>IF($O185="","",IF(INDEX(资金流水!U$5:U$3015,$O185)="","",INDEX(资金流水!U$5:U$3015,$O185)))</f>
        <v/>
      </c>
      <c r="M185" s="10" t="str">
        <f>IF($O185="","",IF(INDEX(资金流水!Q$5:Q$3015,$O185)="","",INDEX(资金流水!Q$5:Q$3015,$O185)))</f>
        <v/>
      </c>
      <c r="O185" s="54" t="str">
        <f>IFERROR(MATCH($A185,资金流水!$V$5:$V$3015,0),"")</f>
        <v/>
      </c>
    </row>
    <row r="186" spans="1:15">
      <c r="A186" s="29">
        <v>179</v>
      </c>
      <c r="B186" s="53" t="str">
        <f>IF($O186="","",IF(INDEX(资金流水!B$5:B$3032,$O186)="","",INDEX(资金流水!B$5:B$3032,$O186)))</f>
        <v/>
      </c>
      <c r="C186" s="10" t="str">
        <f>IF($O186="","",IF(INDEX(资金流水!C$5:C$3032,$O186)="","",INDEX(资金流水!C$5:C$3032,$O186)))</f>
        <v/>
      </c>
      <c r="D186" s="10" t="str">
        <f>IF($O186="","",IF(INDEX(资金流水!D$5:D$3032,$O186)="","",INDEX(资金流水!D$5:D$3032,$O186)))</f>
        <v/>
      </c>
      <c r="E186" s="29" t="str">
        <f>IF($O186="","",IF(INDEX(资金流水!E$5:E$3032,$O186)="","",INDEX(资金流水!E$5:E$3032,$O186)))</f>
        <v/>
      </c>
      <c r="F186" s="10" t="str">
        <f>IF($O186="","",IF(INDEX(资金流水!J$5:J$3032,$O186)="","",INDEX(资金流水!J$5:J$3032,$O186)))</f>
        <v/>
      </c>
      <c r="G186" s="11" t="str">
        <f>IF($O186="","",IF(INDEX(资金流水!K$5:K$3032,$O186)="","",INDEX(资金流水!K$5:K$3032,$O186)))</f>
        <v/>
      </c>
      <c r="H186" s="10" t="str">
        <f>IF($O186="","",IF(INDEX(资金流水!H$5:H$3032,$O186)="","",INDEX(资金流水!H$5:H$3032,$O186)))</f>
        <v/>
      </c>
      <c r="I186" s="11" t="str">
        <f>IF($O186="","",IF(INDEX(资金流水!L$5:L$3032,$O186)="","",INDEX(资金流水!L$5:L$3032,$O186)))</f>
        <v/>
      </c>
      <c r="J186" s="10" t="str">
        <f>IF($O186="","",IF(INDEX(资金流水!I$5:I$3032,$O186)="","",INDEX(资金流水!I$5:I$3032,$O186)))</f>
        <v/>
      </c>
      <c r="K186" s="29" t="str">
        <f>IF($O186="","",IF(INDEX(资金流水!T$5:T$3015,$O186)="","",INDEX(资金流水!T$5:T$3015,$O186)))</f>
        <v/>
      </c>
      <c r="L186" s="29" t="str">
        <f>IF($O186="","",IF(INDEX(资金流水!U$5:U$3015,$O186)="","",INDEX(资金流水!U$5:U$3015,$O186)))</f>
        <v/>
      </c>
      <c r="M186" s="10" t="str">
        <f>IF($O186="","",IF(INDEX(资金流水!Q$5:Q$3015,$O186)="","",INDEX(资金流水!Q$5:Q$3015,$O186)))</f>
        <v/>
      </c>
      <c r="O186" s="54" t="str">
        <f>IFERROR(MATCH($A186,资金流水!$V$5:$V$3015,0),"")</f>
        <v/>
      </c>
    </row>
    <row r="187" spans="1:15">
      <c r="A187" s="29">
        <v>180</v>
      </c>
      <c r="B187" s="53" t="str">
        <f>IF($O187="","",IF(INDEX(资金流水!B$5:B$3032,$O187)="","",INDEX(资金流水!B$5:B$3032,$O187)))</f>
        <v/>
      </c>
      <c r="C187" s="10" t="str">
        <f>IF($O187="","",IF(INDEX(资金流水!C$5:C$3032,$O187)="","",INDEX(资金流水!C$5:C$3032,$O187)))</f>
        <v/>
      </c>
      <c r="D187" s="10" t="str">
        <f>IF($O187="","",IF(INDEX(资金流水!D$5:D$3032,$O187)="","",INDEX(资金流水!D$5:D$3032,$O187)))</f>
        <v/>
      </c>
      <c r="E187" s="29" t="str">
        <f>IF($O187="","",IF(INDEX(资金流水!E$5:E$3032,$O187)="","",INDEX(资金流水!E$5:E$3032,$O187)))</f>
        <v/>
      </c>
      <c r="F187" s="10" t="str">
        <f>IF($O187="","",IF(INDEX(资金流水!J$5:J$3032,$O187)="","",INDEX(资金流水!J$5:J$3032,$O187)))</f>
        <v/>
      </c>
      <c r="G187" s="11" t="str">
        <f>IF($O187="","",IF(INDEX(资金流水!K$5:K$3032,$O187)="","",INDEX(资金流水!K$5:K$3032,$O187)))</f>
        <v/>
      </c>
      <c r="H187" s="10" t="str">
        <f>IF($O187="","",IF(INDEX(资金流水!H$5:H$3032,$O187)="","",INDEX(资金流水!H$5:H$3032,$O187)))</f>
        <v/>
      </c>
      <c r="I187" s="11" t="str">
        <f>IF($O187="","",IF(INDEX(资金流水!L$5:L$3032,$O187)="","",INDEX(资金流水!L$5:L$3032,$O187)))</f>
        <v/>
      </c>
      <c r="J187" s="10" t="str">
        <f>IF($O187="","",IF(INDEX(资金流水!I$5:I$3032,$O187)="","",INDEX(资金流水!I$5:I$3032,$O187)))</f>
        <v/>
      </c>
      <c r="K187" s="29" t="str">
        <f>IF($O187="","",IF(INDEX(资金流水!T$5:T$3015,$O187)="","",INDEX(资金流水!T$5:T$3015,$O187)))</f>
        <v/>
      </c>
      <c r="L187" s="29" t="str">
        <f>IF($O187="","",IF(INDEX(资金流水!U$5:U$3015,$O187)="","",INDEX(资金流水!U$5:U$3015,$O187)))</f>
        <v/>
      </c>
      <c r="M187" s="10" t="str">
        <f>IF($O187="","",IF(INDEX(资金流水!Q$5:Q$3015,$O187)="","",INDEX(资金流水!Q$5:Q$3015,$O187)))</f>
        <v/>
      </c>
      <c r="O187" s="54" t="str">
        <f>IFERROR(MATCH($A187,资金流水!$V$5:$V$3015,0),"")</f>
        <v/>
      </c>
    </row>
    <row r="188" spans="1:15">
      <c r="A188" s="29">
        <v>181</v>
      </c>
      <c r="B188" s="53" t="str">
        <f>IF($O188="","",IF(INDEX(资金流水!B$5:B$3032,$O188)="","",INDEX(资金流水!B$5:B$3032,$O188)))</f>
        <v/>
      </c>
      <c r="C188" s="10" t="str">
        <f>IF($O188="","",IF(INDEX(资金流水!C$5:C$3032,$O188)="","",INDEX(资金流水!C$5:C$3032,$O188)))</f>
        <v/>
      </c>
      <c r="D188" s="10" t="str">
        <f>IF($O188="","",IF(INDEX(资金流水!D$5:D$3032,$O188)="","",INDEX(资金流水!D$5:D$3032,$O188)))</f>
        <v/>
      </c>
      <c r="E188" s="29" t="str">
        <f>IF($O188="","",IF(INDEX(资金流水!E$5:E$3032,$O188)="","",INDEX(资金流水!E$5:E$3032,$O188)))</f>
        <v/>
      </c>
      <c r="F188" s="10" t="str">
        <f>IF($O188="","",IF(INDEX(资金流水!J$5:J$3032,$O188)="","",INDEX(资金流水!J$5:J$3032,$O188)))</f>
        <v/>
      </c>
      <c r="G188" s="11" t="str">
        <f>IF($O188="","",IF(INDEX(资金流水!K$5:K$3032,$O188)="","",INDEX(资金流水!K$5:K$3032,$O188)))</f>
        <v/>
      </c>
      <c r="H188" s="10" t="str">
        <f>IF($O188="","",IF(INDEX(资金流水!H$5:H$3032,$O188)="","",INDEX(资金流水!H$5:H$3032,$O188)))</f>
        <v/>
      </c>
      <c r="I188" s="11" t="str">
        <f>IF($O188="","",IF(INDEX(资金流水!L$5:L$3032,$O188)="","",INDEX(资金流水!L$5:L$3032,$O188)))</f>
        <v/>
      </c>
      <c r="J188" s="10" t="str">
        <f>IF($O188="","",IF(INDEX(资金流水!I$5:I$3032,$O188)="","",INDEX(资金流水!I$5:I$3032,$O188)))</f>
        <v/>
      </c>
      <c r="K188" s="29" t="str">
        <f>IF($O188="","",IF(INDEX(资金流水!T$5:T$3015,$O188)="","",INDEX(资金流水!T$5:T$3015,$O188)))</f>
        <v/>
      </c>
      <c r="L188" s="29" t="str">
        <f>IF($O188="","",IF(INDEX(资金流水!U$5:U$3015,$O188)="","",INDEX(资金流水!U$5:U$3015,$O188)))</f>
        <v/>
      </c>
      <c r="M188" s="10" t="str">
        <f>IF($O188="","",IF(INDEX(资金流水!Q$5:Q$3015,$O188)="","",INDEX(资金流水!Q$5:Q$3015,$O188)))</f>
        <v/>
      </c>
      <c r="O188" s="54" t="str">
        <f>IFERROR(MATCH($A188,资金流水!$V$5:$V$3015,0),"")</f>
        <v/>
      </c>
    </row>
    <row r="189" spans="1:15">
      <c r="A189" s="29">
        <v>182</v>
      </c>
      <c r="B189" s="53" t="str">
        <f>IF($O189="","",IF(INDEX(资金流水!B$5:B$3032,$O189)="","",INDEX(资金流水!B$5:B$3032,$O189)))</f>
        <v/>
      </c>
      <c r="C189" s="10" t="str">
        <f>IF($O189="","",IF(INDEX(资金流水!C$5:C$3032,$O189)="","",INDEX(资金流水!C$5:C$3032,$O189)))</f>
        <v/>
      </c>
      <c r="D189" s="10" t="str">
        <f>IF($O189="","",IF(INDEX(资金流水!D$5:D$3032,$O189)="","",INDEX(资金流水!D$5:D$3032,$O189)))</f>
        <v/>
      </c>
      <c r="E189" s="29" t="str">
        <f>IF($O189="","",IF(INDEX(资金流水!E$5:E$3032,$O189)="","",INDEX(资金流水!E$5:E$3032,$O189)))</f>
        <v/>
      </c>
      <c r="F189" s="10" t="str">
        <f>IF($O189="","",IF(INDEX(资金流水!J$5:J$3032,$O189)="","",INDEX(资金流水!J$5:J$3032,$O189)))</f>
        <v/>
      </c>
      <c r="G189" s="11" t="str">
        <f>IF($O189="","",IF(INDEX(资金流水!K$5:K$3032,$O189)="","",INDEX(资金流水!K$5:K$3032,$O189)))</f>
        <v/>
      </c>
      <c r="H189" s="10" t="str">
        <f>IF($O189="","",IF(INDEX(资金流水!H$5:H$3032,$O189)="","",INDEX(资金流水!H$5:H$3032,$O189)))</f>
        <v/>
      </c>
      <c r="I189" s="11" t="str">
        <f>IF($O189="","",IF(INDEX(资金流水!L$5:L$3032,$O189)="","",INDEX(资金流水!L$5:L$3032,$O189)))</f>
        <v/>
      </c>
      <c r="J189" s="10" t="str">
        <f>IF($O189="","",IF(INDEX(资金流水!I$5:I$3032,$O189)="","",INDEX(资金流水!I$5:I$3032,$O189)))</f>
        <v/>
      </c>
      <c r="K189" s="29" t="str">
        <f>IF($O189="","",IF(INDEX(资金流水!T$5:T$3015,$O189)="","",INDEX(资金流水!T$5:T$3015,$O189)))</f>
        <v/>
      </c>
      <c r="L189" s="29" t="str">
        <f>IF($O189="","",IF(INDEX(资金流水!U$5:U$3015,$O189)="","",INDEX(资金流水!U$5:U$3015,$O189)))</f>
        <v/>
      </c>
      <c r="M189" s="10" t="str">
        <f>IF($O189="","",IF(INDEX(资金流水!Q$5:Q$3015,$O189)="","",INDEX(资金流水!Q$5:Q$3015,$O189)))</f>
        <v/>
      </c>
      <c r="O189" s="54" t="str">
        <f>IFERROR(MATCH($A189,资金流水!$V$5:$V$3015,0),"")</f>
        <v/>
      </c>
    </row>
    <row r="190" spans="1:15">
      <c r="A190" s="29">
        <v>183</v>
      </c>
      <c r="B190" s="53" t="str">
        <f>IF($O190="","",IF(INDEX(资金流水!B$5:B$3032,$O190)="","",INDEX(资金流水!B$5:B$3032,$O190)))</f>
        <v/>
      </c>
      <c r="C190" s="10" t="str">
        <f>IF($O190="","",IF(INDEX(资金流水!C$5:C$3032,$O190)="","",INDEX(资金流水!C$5:C$3032,$O190)))</f>
        <v/>
      </c>
      <c r="D190" s="10" t="str">
        <f>IF($O190="","",IF(INDEX(资金流水!D$5:D$3032,$O190)="","",INDEX(资金流水!D$5:D$3032,$O190)))</f>
        <v/>
      </c>
      <c r="E190" s="29" t="str">
        <f>IF($O190="","",IF(INDEX(资金流水!E$5:E$3032,$O190)="","",INDEX(资金流水!E$5:E$3032,$O190)))</f>
        <v/>
      </c>
      <c r="F190" s="10" t="str">
        <f>IF($O190="","",IF(INDEX(资金流水!J$5:J$3032,$O190)="","",INDEX(资金流水!J$5:J$3032,$O190)))</f>
        <v/>
      </c>
      <c r="G190" s="11" t="str">
        <f>IF($O190="","",IF(INDEX(资金流水!K$5:K$3032,$O190)="","",INDEX(资金流水!K$5:K$3032,$O190)))</f>
        <v/>
      </c>
      <c r="H190" s="10" t="str">
        <f>IF($O190="","",IF(INDEX(资金流水!H$5:H$3032,$O190)="","",INDEX(资金流水!H$5:H$3032,$O190)))</f>
        <v/>
      </c>
      <c r="I190" s="11" t="str">
        <f>IF($O190="","",IF(INDEX(资金流水!L$5:L$3032,$O190)="","",INDEX(资金流水!L$5:L$3032,$O190)))</f>
        <v/>
      </c>
      <c r="J190" s="10" t="str">
        <f>IF($O190="","",IF(INDEX(资金流水!I$5:I$3032,$O190)="","",INDEX(资金流水!I$5:I$3032,$O190)))</f>
        <v/>
      </c>
      <c r="K190" s="29" t="str">
        <f>IF($O190="","",IF(INDEX(资金流水!T$5:T$3015,$O190)="","",INDEX(资金流水!T$5:T$3015,$O190)))</f>
        <v/>
      </c>
      <c r="L190" s="29" t="str">
        <f>IF($O190="","",IF(INDEX(资金流水!U$5:U$3015,$O190)="","",INDEX(资金流水!U$5:U$3015,$O190)))</f>
        <v/>
      </c>
      <c r="M190" s="10" t="str">
        <f>IF($O190="","",IF(INDEX(资金流水!Q$5:Q$3015,$O190)="","",INDEX(资金流水!Q$5:Q$3015,$O190)))</f>
        <v/>
      </c>
      <c r="O190" s="54" t="str">
        <f>IFERROR(MATCH($A190,资金流水!$V$5:$V$3015,0),"")</f>
        <v/>
      </c>
    </row>
    <row r="191" spans="1:15">
      <c r="A191" s="29">
        <v>184</v>
      </c>
      <c r="B191" s="53" t="str">
        <f>IF($O191="","",IF(INDEX(资金流水!B$5:B$3032,$O191)="","",INDEX(资金流水!B$5:B$3032,$O191)))</f>
        <v/>
      </c>
      <c r="C191" s="10" t="str">
        <f>IF($O191="","",IF(INDEX(资金流水!C$5:C$3032,$O191)="","",INDEX(资金流水!C$5:C$3032,$O191)))</f>
        <v/>
      </c>
      <c r="D191" s="10" t="str">
        <f>IF($O191="","",IF(INDEX(资金流水!D$5:D$3032,$O191)="","",INDEX(资金流水!D$5:D$3032,$O191)))</f>
        <v/>
      </c>
      <c r="E191" s="29" t="str">
        <f>IF($O191="","",IF(INDEX(资金流水!E$5:E$3032,$O191)="","",INDEX(资金流水!E$5:E$3032,$O191)))</f>
        <v/>
      </c>
      <c r="F191" s="10" t="str">
        <f>IF($O191="","",IF(INDEX(资金流水!J$5:J$3032,$O191)="","",INDEX(资金流水!J$5:J$3032,$O191)))</f>
        <v/>
      </c>
      <c r="G191" s="11" t="str">
        <f>IF($O191="","",IF(INDEX(资金流水!K$5:K$3032,$O191)="","",INDEX(资金流水!K$5:K$3032,$O191)))</f>
        <v/>
      </c>
      <c r="H191" s="10" t="str">
        <f>IF($O191="","",IF(INDEX(资金流水!H$5:H$3032,$O191)="","",INDEX(资金流水!H$5:H$3032,$O191)))</f>
        <v/>
      </c>
      <c r="I191" s="11" t="str">
        <f>IF($O191="","",IF(INDEX(资金流水!L$5:L$3032,$O191)="","",INDEX(资金流水!L$5:L$3032,$O191)))</f>
        <v/>
      </c>
      <c r="J191" s="10" t="str">
        <f>IF($O191="","",IF(INDEX(资金流水!I$5:I$3032,$O191)="","",INDEX(资金流水!I$5:I$3032,$O191)))</f>
        <v/>
      </c>
      <c r="K191" s="29" t="str">
        <f>IF($O191="","",IF(INDEX(资金流水!T$5:T$3015,$O191)="","",INDEX(资金流水!T$5:T$3015,$O191)))</f>
        <v/>
      </c>
      <c r="L191" s="29" t="str">
        <f>IF($O191="","",IF(INDEX(资金流水!U$5:U$3015,$O191)="","",INDEX(资金流水!U$5:U$3015,$O191)))</f>
        <v/>
      </c>
      <c r="M191" s="10" t="str">
        <f>IF($O191="","",IF(INDEX(资金流水!Q$5:Q$3015,$O191)="","",INDEX(资金流水!Q$5:Q$3015,$O191)))</f>
        <v/>
      </c>
      <c r="O191" s="54" t="str">
        <f>IFERROR(MATCH($A191,资金流水!$V$5:$V$3015,0),"")</f>
        <v/>
      </c>
    </row>
    <row r="192" spans="1:15">
      <c r="A192" s="29">
        <v>185</v>
      </c>
      <c r="B192" s="53" t="str">
        <f>IF($O192="","",IF(INDEX(资金流水!B$5:B$3032,$O192)="","",INDEX(资金流水!B$5:B$3032,$O192)))</f>
        <v/>
      </c>
      <c r="C192" s="10" t="str">
        <f>IF($O192="","",IF(INDEX(资金流水!C$5:C$3032,$O192)="","",INDEX(资金流水!C$5:C$3032,$O192)))</f>
        <v/>
      </c>
      <c r="D192" s="10" t="str">
        <f>IF($O192="","",IF(INDEX(资金流水!D$5:D$3032,$O192)="","",INDEX(资金流水!D$5:D$3032,$O192)))</f>
        <v/>
      </c>
      <c r="E192" s="29" t="str">
        <f>IF($O192="","",IF(INDEX(资金流水!E$5:E$3032,$O192)="","",INDEX(资金流水!E$5:E$3032,$O192)))</f>
        <v/>
      </c>
      <c r="F192" s="10" t="str">
        <f>IF($O192="","",IF(INDEX(资金流水!J$5:J$3032,$O192)="","",INDEX(资金流水!J$5:J$3032,$O192)))</f>
        <v/>
      </c>
      <c r="G192" s="11" t="str">
        <f>IF($O192="","",IF(INDEX(资金流水!K$5:K$3032,$O192)="","",INDEX(资金流水!K$5:K$3032,$O192)))</f>
        <v/>
      </c>
      <c r="H192" s="10" t="str">
        <f>IF($O192="","",IF(INDEX(资金流水!H$5:H$3032,$O192)="","",INDEX(资金流水!H$5:H$3032,$O192)))</f>
        <v/>
      </c>
      <c r="I192" s="11" t="str">
        <f>IF($O192="","",IF(INDEX(资金流水!L$5:L$3032,$O192)="","",INDEX(资金流水!L$5:L$3032,$O192)))</f>
        <v/>
      </c>
      <c r="J192" s="10" t="str">
        <f>IF($O192="","",IF(INDEX(资金流水!I$5:I$3032,$O192)="","",INDEX(资金流水!I$5:I$3032,$O192)))</f>
        <v/>
      </c>
      <c r="K192" s="29" t="str">
        <f>IF($O192="","",IF(INDEX(资金流水!T$5:T$3015,$O192)="","",INDEX(资金流水!T$5:T$3015,$O192)))</f>
        <v/>
      </c>
      <c r="L192" s="29" t="str">
        <f>IF($O192="","",IF(INDEX(资金流水!U$5:U$3015,$O192)="","",INDEX(资金流水!U$5:U$3015,$O192)))</f>
        <v/>
      </c>
      <c r="M192" s="10" t="str">
        <f>IF($O192="","",IF(INDEX(资金流水!Q$5:Q$3015,$O192)="","",INDEX(资金流水!Q$5:Q$3015,$O192)))</f>
        <v/>
      </c>
      <c r="O192" s="54" t="str">
        <f>IFERROR(MATCH($A192,资金流水!$V$5:$V$3015,0),"")</f>
        <v/>
      </c>
    </row>
    <row r="193" spans="1:15">
      <c r="A193" s="29">
        <v>186</v>
      </c>
      <c r="B193" s="53" t="str">
        <f>IF($O193="","",IF(INDEX(资金流水!B$5:B$3032,$O193)="","",INDEX(资金流水!B$5:B$3032,$O193)))</f>
        <v/>
      </c>
      <c r="C193" s="10" t="str">
        <f>IF($O193="","",IF(INDEX(资金流水!C$5:C$3032,$O193)="","",INDEX(资金流水!C$5:C$3032,$O193)))</f>
        <v/>
      </c>
      <c r="D193" s="10" t="str">
        <f>IF($O193="","",IF(INDEX(资金流水!D$5:D$3032,$O193)="","",INDEX(资金流水!D$5:D$3032,$O193)))</f>
        <v/>
      </c>
      <c r="E193" s="29" t="str">
        <f>IF($O193="","",IF(INDEX(资金流水!E$5:E$3032,$O193)="","",INDEX(资金流水!E$5:E$3032,$O193)))</f>
        <v/>
      </c>
      <c r="F193" s="10" t="str">
        <f>IF($O193="","",IF(INDEX(资金流水!J$5:J$3032,$O193)="","",INDEX(资金流水!J$5:J$3032,$O193)))</f>
        <v/>
      </c>
      <c r="G193" s="11" t="str">
        <f>IF($O193="","",IF(INDEX(资金流水!K$5:K$3032,$O193)="","",INDEX(资金流水!K$5:K$3032,$O193)))</f>
        <v/>
      </c>
      <c r="H193" s="10" t="str">
        <f>IF($O193="","",IF(INDEX(资金流水!H$5:H$3032,$O193)="","",INDEX(资金流水!H$5:H$3032,$O193)))</f>
        <v/>
      </c>
      <c r="I193" s="11" t="str">
        <f>IF($O193="","",IF(INDEX(资金流水!L$5:L$3032,$O193)="","",INDEX(资金流水!L$5:L$3032,$O193)))</f>
        <v/>
      </c>
      <c r="J193" s="10" t="str">
        <f>IF($O193="","",IF(INDEX(资金流水!I$5:I$3032,$O193)="","",INDEX(资金流水!I$5:I$3032,$O193)))</f>
        <v/>
      </c>
      <c r="K193" s="29" t="str">
        <f>IF($O193="","",IF(INDEX(资金流水!T$5:T$3015,$O193)="","",INDEX(资金流水!T$5:T$3015,$O193)))</f>
        <v/>
      </c>
      <c r="L193" s="29" t="str">
        <f>IF($O193="","",IF(INDEX(资金流水!U$5:U$3015,$O193)="","",INDEX(资金流水!U$5:U$3015,$O193)))</f>
        <v/>
      </c>
      <c r="M193" s="10" t="str">
        <f>IF($O193="","",IF(INDEX(资金流水!Q$5:Q$3015,$O193)="","",INDEX(资金流水!Q$5:Q$3015,$O193)))</f>
        <v/>
      </c>
      <c r="O193" s="54" t="str">
        <f>IFERROR(MATCH($A193,资金流水!$V$5:$V$3015,0),"")</f>
        <v/>
      </c>
    </row>
    <row r="194" spans="1:15">
      <c r="A194" s="29">
        <v>187</v>
      </c>
      <c r="B194" s="53" t="str">
        <f>IF($O194="","",IF(INDEX(资金流水!B$5:B$3032,$O194)="","",INDEX(资金流水!B$5:B$3032,$O194)))</f>
        <v/>
      </c>
      <c r="C194" s="10" t="str">
        <f>IF($O194="","",IF(INDEX(资金流水!C$5:C$3032,$O194)="","",INDEX(资金流水!C$5:C$3032,$O194)))</f>
        <v/>
      </c>
      <c r="D194" s="10" t="str">
        <f>IF($O194="","",IF(INDEX(资金流水!D$5:D$3032,$O194)="","",INDEX(资金流水!D$5:D$3032,$O194)))</f>
        <v/>
      </c>
      <c r="E194" s="29" t="str">
        <f>IF($O194="","",IF(INDEX(资金流水!E$5:E$3032,$O194)="","",INDEX(资金流水!E$5:E$3032,$O194)))</f>
        <v/>
      </c>
      <c r="F194" s="10" t="str">
        <f>IF($O194="","",IF(INDEX(资金流水!J$5:J$3032,$O194)="","",INDEX(资金流水!J$5:J$3032,$O194)))</f>
        <v/>
      </c>
      <c r="G194" s="11" t="str">
        <f>IF($O194="","",IF(INDEX(资金流水!K$5:K$3032,$O194)="","",INDEX(资金流水!K$5:K$3032,$O194)))</f>
        <v/>
      </c>
      <c r="H194" s="10" t="str">
        <f>IF($O194="","",IF(INDEX(资金流水!H$5:H$3032,$O194)="","",INDEX(资金流水!H$5:H$3032,$O194)))</f>
        <v/>
      </c>
      <c r="I194" s="11" t="str">
        <f>IF($O194="","",IF(INDEX(资金流水!L$5:L$3032,$O194)="","",INDEX(资金流水!L$5:L$3032,$O194)))</f>
        <v/>
      </c>
      <c r="J194" s="10" t="str">
        <f>IF($O194="","",IF(INDEX(资金流水!I$5:I$3032,$O194)="","",INDEX(资金流水!I$5:I$3032,$O194)))</f>
        <v/>
      </c>
      <c r="K194" s="29" t="str">
        <f>IF($O194="","",IF(INDEX(资金流水!T$5:T$3015,$O194)="","",INDEX(资金流水!T$5:T$3015,$O194)))</f>
        <v/>
      </c>
      <c r="L194" s="29" t="str">
        <f>IF($O194="","",IF(INDEX(资金流水!U$5:U$3015,$O194)="","",INDEX(资金流水!U$5:U$3015,$O194)))</f>
        <v/>
      </c>
      <c r="M194" s="10" t="str">
        <f>IF($O194="","",IF(INDEX(资金流水!Q$5:Q$3015,$O194)="","",INDEX(资金流水!Q$5:Q$3015,$O194)))</f>
        <v/>
      </c>
      <c r="O194" s="54" t="str">
        <f>IFERROR(MATCH($A194,资金流水!$V$5:$V$3015,0),"")</f>
        <v/>
      </c>
    </row>
    <row r="195" spans="1:15">
      <c r="A195" s="29">
        <v>188</v>
      </c>
      <c r="B195" s="53" t="str">
        <f>IF($O195="","",IF(INDEX(资金流水!B$5:B$3032,$O195)="","",INDEX(资金流水!B$5:B$3032,$O195)))</f>
        <v/>
      </c>
      <c r="C195" s="10" t="str">
        <f>IF($O195="","",IF(INDEX(资金流水!C$5:C$3032,$O195)="","",INDEX(资金流水!C$5:C$3032,$O195)))</f>
        <v/>
      </c>
      <c r="D195" s="10" t="str">
        <f>IF($O195="","",IF(INDEX(资金流水!D$5:D$3032,$O195)="","",INDEX(资金流水!D$5:D$3032,$O195)))</f>
        <v/>
      </c>
      <c r="E195" s="29" t="str">
        <f>IF($O195="","",IF(INDEX(资金流水!E$5:E$3032,$O195)="","",INDEX(资金流水!E$5:E$3032,$O195)))</f>
        <v/>
      </c>
      <c r="F195" s="10" t="str">
        <f>IF($O195="","",IF(INDEX(资金流水!J$5:J$3032,$O195)="","",INDEX(资金流水!J$5:J$3032,$O195)))</f>
        <v/>
      </c>
      <c r="G195" s="11" t="str">
        <f>IF($O195="","",IF(INDEX(资金流水!K$5:K$3032,$O195)="","",INDEX(资金流水!K$5:K$3032,$O195)))</f>
        <v/>
      </c>
      <c r="H195" s="10" t="str">
        <f>IF($O195="","",IF(INDEX(资金流水!H$5:H$3032,$O195)="","",INDEX(资金流水!H$5:H$3032,$O195)))</f>
        <v/>
      </c>
      <c r="I195" s="11" t="str">
        <f>IF($O195="","",IF(INDEX(资金流水!L$5:L$3032,$O195)="","",INDEX(资金流水!L$5:L$3032,$O195)))</f>
        <v/>
      </c>
      <c r="J195" s="10" t="str">
        <f>IF($O195="","",IF(INDEX(资金流水!I$5:I$3032,$O195)="","",INDEX(资金流水!I$5:I$3032,$O195)))</f>
        <v/>
      </c>
      <c r="K195" s="29" t="str">
        <f>IF($O195="","",IF(INDEX(资金流水!T$5:T$3015,$O195)="","",INDEX(资金流水!T$5:T$3015,$O195)))</f>
        <v/>
      </c>
      <c r="L195" s="29" t="str">
        <f>IF($O195="","",IF(INDEX(资金流水!U$5:U$3015,$O195)="","",INDEX(资金流水!U$5:U$3015,$O195)))</f>
        <v/>
      </c>
      <c r="M195" s="10" t="str">
        <f>IF($O195="","",IF(INDEX(资金流水!Q$5:Q$3015,$O195)="","",INDEX(资金流水!Q$5:Q$3015,$O195)))</f>
        <v/>
      </c>
      <c r="O195" s="54" t="str">
        <f>IFERROR(MATCH($A195,资金流水!$V$5:$V$3015,0),"")</f>
        <v/>
      </c>
    </row>
    <row r="196" spans="1:15">
      <c r="A196" s="29">
        <v>189</v>
      </c>
      <c r="B196" s="53" t="str">
        <f>IF($O196="","",IF(INDEX(资金流水!B$5:B$3032,$O196)="","",INDEX(资金流水!B$5:B$3032,$O196)))</f>
        <v/>
      </c>
      <c r="C196" s="10" t="str">
        <f>IF($O196="","",IF(INDEX(资金流水!C$5:C$3032,$O196)="","",INDEX(资金流水!C$5:C$3032,$O196)))</f>
        <v/>
      </c>
      <c r="D196" s="10" t="str">
        <f>IF($O196="","",IF(INDEX(资金流水!D$5:D$3032,$O196)="","",INDEX(资金流水!D$5:D$3032,$O196)))</f>
        <v/>
      </c>
      <c r="E196" s="29" t="str">
        <f>IF($O196="","",IF(INDEX(资金流水!E$5:E$3032,$O196)="","",INDEX(资金流水!E$5:E$3032,$O196)))</f>
        <v/>
      </c>
      <c r="F196" s="10" t="str">
        <f>IF($O196="","",IF(INDEX(资金流水!J$5:J$3032,$O196)="","",INDEX(资金流水!J$5:J$3032,$O196)))</f>
        <v/>
      </c>
      <c r="G196" s="11" t="str">
        <f>IF($O196="","",IF(INDEX(资金流水!K$5:K$3032,$O196)="","",INDEX(资金流水!K$5:K$3032,$O196)))</f>
        <v/>
      </c>
      <c r="H196" s="10" t="str">
        <f>IF($O196="","",IF(INDEX(资金流水!H$5:H$3032,$O196)="","",INDEX(资金流水!H$5:H$3032,$O196)))</f>
        <v/>
      </c>
      <c r="I196" s="11" t="str">
        <f>IF($O196="","",IF(INDEX(资金流水!L$5:L$3032,$O196)="","",INDEX(资金流水!L$5:L$3032,$O196)))</f>
        <v/>
      </c>
      <c r="J196" s="10" t="str">
        <f>IF($O196="","",IF(INDEX(资金流水!I$5:I$3032,$O196)="","",INDEX(资金流水!I$5:I$3032,$O196)))</f>
        <v/>
      </c>
      <c r="K196" s="29" t="str">
        <f>IF($O196="","",IF(INDEX(资金流水!T$5:T$3015,$O196)="","",INDEX(资金流水!T$5:T$3015,$O196)))</f>
        <v/>
      </c>
      <c r="L196" s="29" t="str">
        <f>IF($O196="","",IF(INDEX(资金流水!U$5:U$3015,$O196)="","",INDEX(资金流水!U$5:U$3015,$O196)))</f>
        <v/>
      </c>
      <c r="M196" s="10" t="str">
        <f>IF($O196="","",IF(INDEX(资金流水!Q$5:Q$3015,$O196)="","",INDEX(资金流水!Q$5:Q$3015,$O196)))</f>
        <v/>
      </c>
      <c r="O196" s="54" t="str">
        <f>IFERROR(MATCH($A196,资金流水!$V$5:$V$3015,0),"")</f>
        <v/>
      </c>
    </row>
    <row r="197" spans="1:15">
      <c r="A197" s="29">
        <v>190</v>
      </c>
      <c r="B197" s="53" t="str">
        <f>IF($O197="","",IF(INDEX(资金流水!B$5:B$3032,$O197)="","",INDEX(资金流水!B$5:B$3032,$O197)))</f>
        <v/>
      </c>
      <c r="C197" s="10" t="str">
        <f>IF($O197="","",IF(INDEX(资金流水!C$5:C$3032,$O197)="","",INDEX(资金流水!C$5:C$3032,$O197)))</f>
        <v/>
      </c>
      <c r="D197" s="10" t="str">
        <f>IF($O197="","",IF(INDEX(资金流水!D$5:D$3032,$O197)="","",INDEX(资金流水!D$5:D$3032,$O197)))</f>
        <v/>
      </c>
      <c r="E197" s="29" t="str">
        <f>IF($O197="","",IF(INDEX(资金流水!E$5:E$3032,$O197)="","",INDEX(资金流水!E$5:E$3032,$O197)))</f>
        <v/>
      </c>
      <c r="F197" s="10" t="str">
        <f>IF($O197="","",IF(INDEX(资金流水!J$5:J$3032,$O197)="","",INDEX(资金流水!J$5:J$3032,$O197)))</f>
        <v/>
      </c>
      <c r="G197" s="11" t="str">
        <f>IF($O197="","",IF(INDEX(资金流水!K$5:K$3032,$O197)="","",INDEX(资金流水!K$5:K$3032,$O197)))</f>
        <v/>
      </c>
      <c r="H197" s="10" t="str">
        <f>IF($O197="","",IF(INDEX(资金流水!H$5:H$3032,$O197)="","",INDEX(资金流水!H$5:H$3032,$O197)))</f>
        <v/>
      </c>
      <c r="I197" s="11" t="str">
        <f>IF($O197="","",IF(INDEX(资金流水!L$5:L$3032,$O197)="","",INDEX(资金流水!L$5:L$3032,$O197)))</f>
        <v/>
      </c>
      <c r="J197" s="10" t="str">
        <f>IF($O197="","",IF(INDEX(资金流水!I$5:I$3032,$O197)="","",INDEX(资金流水!I$5:I$3032,$O197)))</f>
        <v/>
      </c>
      <c r="K197" s="29" t="str">
        <f>IF($O197="","",IF(INDEX(资金流水!T$5:T$3015,$O197)="","",INDEX(资金流水!T$5:T$3015,$O197)))</f>
        <v/>
      </c>
      <c r="L197" s="29" t="str">
        <f>IF($O197="","",IF(INDEX(资金流水!U$5:U$3015,$O197)="","",INDEX(资金流水!U$5:U$3015,$O197)))</f>
        <v/>
      </c>
      <c r="M197" s="10" t="str">
        <f>IF($O197="","",IF(INDEX(资金流水!Q$5:Q$3015,$O197)="","",INDEX(资金流水!Q$5:Q$3015,$O197)))</f>
        <v/>
      </c>
      <c r="O197" s="54" t="str">
        <f>IFERROR(MATCH($A197,资金流水!$V$5:$V$3015,0),"")</f>
        <v/>
      </c>
    </row>
    <row r="198" spans="1:15">
      <c r="A198" s="29">
        <v>191</v>
      </c>
      <c r="B198" s="53" t="str">
        <f>IF($O198="","",IF(INDEX(资金流水!B$5:B$3032,$O198)="","",INDEX(资金流水!B$5:B$3032,$O198)))</f>
        <v/>
      </c>
      <c r="C198" s="10" t="str">
        <f>IF($O198="","",IF(INDEX(资金流水!C$5:C$3032,$O198)="","",INDEX(资金流水!C$5:C$3032,$O198)))</f>
        <v/>
      </c>
      <c r="D198" s="10" t="str">
        <f>IF($O198="","",IF(INDEX(资金流水!D$5:D$3032,$O198)="","",INDEX(资金流水!D$5:D$3032,$O198)))</f>
        <v/>
      </c>
      <c r="E198" s="29" t="str">
        <f>IF($O198="","",IF(INDEX(资金流水!E$5:E$3032,$O198)="","",INDEX(资金流水!E$5:E$3032,$O198)))</f>
        <v/>
      </c>
      <c r="F198" s="10" t="str">
        <f>IF($O198="","",IF(INDEX(资金流水!J$5:J$3032,$O198)="","",INDEX(资金流水!J$5:J$3032,$O198)))</f>
        <v/>
      </c>
      <c r="G198" s="11" t="str">
        <f>IF($O198="","",IF(INDEX(资金流水!K$5:K$3032,$O198)="","",INDEX(资金流水!K$5:K$3032,$O198)))</f>
        <v/>
      </c>
      <c r="H198" s="10" t="str">
        <f>IF($O198="","",IF(INDEX(资金流水!H$5:H$3032,$O198)="","",INDEX(资金流水!H$5:H$3032,$O198)))</f>
        <v/>
      </c>
      <c r="I198" s="11" t="str">
        <f>IF($O198="","",IF(INDEX(资金流水!L$5:L$3032,$O198)="","",INDEX(资金流水!L$5:L$3032,$O198)))</f>
        <v/>
      </c>
      <c r="J198" s="10" t="str">
        <f>IF($O198="","",IF(INDEX(资金流水!I$5:I$3032,$O198)="","",INDEX(资金流水!I$5:I$3032,$O198)))</f>
        <v/>
      </c>
      <c r="K198" s="29" t="str">
        <f>IF($O198="","",IF(INDEX(资金流水!T$5:T$3015,$O198)="","",INDEX(资金流水!T$5:T$3015,$O198)))</f>
        <v/>
      </c>
      <c r="L198" s="29" t="str">
        <f>IF($O198="","",IF(INDEX(资金流水!U$5:U$3015,$O198)="","",INDEX(资金流水!U$5:U$3015,$O198)))</f>
        <v/>
      </c>
      <c r="M198" s="10" t="str">
        <f>IF($O198="","",IF(INDEX(资金流水!Q$5:Q$3015,$O198)="","",INDEX(资金流水!Q$5:Q$3015,$O198)))</f>
        <v/>
      </c>
      <c r="O198" s="54" t="str">
        <f>IFERROR(MATCH($A198,资金流水!$V$5:$V$3015,0),"")</f>
        <v/>
      </c>
    </row>
    <row r="199" spans="1:15">
      <c r="A199" s="29">
        <v>192</v>
      </c>
      <c r="B199" s="53" t="str">
        <f>IF($O199="","",IF(INDEX(资金流水!B$5:B$3032,$O199)="","",INDEX(资金流水!B$5:B$3032,$O199)))</f>
        <v/>
      </c>
      <c r="C199" s="10" t="str">
        <f>IF($O199="","",IF(INDEX(资金流水!C$5:C$3032,$O199)="","",INDEX(资金流水!C$5:C$3032,$O199)))</f>
        <v/>
      </c>
      <c r="D199" s="10" t="str">
        <f>IF($O199="","",IF(INDEX(资金流水!D$5:D$3032,$O199)="","",INDEX(资金流水!D$5:D$3032,$O199)))</f>
        <v/>
      </c>
      <c r="E199" s="29" t="str">
        <f>IF($O199="","",IF(INDEX(资金流水!E$5:E$3032,$O199)="","",INDEX(资金流水!E$5:E$3032,$O199)))</f>
        <v/>
      </c>
      <c r="F199" s="10" t="str">
        <f>IF($O199="","",IF(INDEX(资金流水!J$5:J$3032,$O199)="","",INDEX(资金流水!J$5:J$3032,$O199)))</f>
        <v/>
      </c>
      <c r="G199" s="11" t="str">
        <f>IF($O199="","",IF(INDEX(资金流水!K$5:K$3032,$O199)="","",INDEX(资金流水!K$5:K$3032,$O199)))</f>
        <v/>
      </c>
      <c r="H199" s="10" t="str">
        <f>IF($O199="","",IF(INDEX(资金流水!H$5:H$3032,$O199)="","",INDEX(资金流水!H$5:H$3032,$O199)))</f>
        <v/>
      </c>
      <c r="I199" s="11" t="str">
        <f>IF($O199="","",IF(INDEX(资金流水!L$5:L$3032,$O199)="","",INDEX(资金流水!L$5:L$3032,$O199)))</f>
        <v/>
      </c>
      <c r="J199" s="10" t="str">
        <f>IF($O199="","",IF(INDEX(资金流水!I$5:I$3032,$O199)="","",INDEX(资金流水!I$5:I$3032,$O199)))</f>
        <v/>
      </c>
      <c r="K199" s="29" t="str">
        <f>IF($O199="","",IF(INDEX(资金流水!T$5:T$3015,$O199)="","",INDEX(资金流水!T$5:T$3015,$O199)))</f>
        <v/>
      </c>
      <c r="L199" s="29" t="str">
        <f>IF($O199="","",IF(INDEX(资金流水!U$5:U$3015,$O199)="","",INDEX(资金流水!U$5:U$3015,$O199)))</f>
        <v/>
      </c>
      <c r="M199" s="10" t="str">
        <f>IF($O199="","",IF(INDEX(资金流水!Q$5:Q$3015,$O199)="","",INDEX(资金流水!Q$5:Q$3015,$O199)))</f>
        <v/>
      </c>
      <c r="O199" s="54" t="str">
        <f>IFERROR(MATCH($A199,资金流水!$V$5:$V$3015,0),"")</f>
        <v/>
      </c>
    </row>
    <row r="200" spans="1:15">
      <c r="A200" s="29">
        <v>193</v>
      </c>
      <c r="B200" s="53" t="str">
        <f>IF($O200="","",IF(INDEX(资金流水!B$5:B$3032,$O200)="","",INDEX(资金流水!B$5:B$3032,$O200)))</f>
        <v/>
      </c>
      <c r="C200" s="10" t="str">
        <f>IF($O200="","",IF(INDEX(资金流水!C$5:C$3032,$O200)="","",INDEX(资金流水!C$5:C$3032,$O200)))</f>
        <v/>
      </c>
      <c r="D200" s="10" t="str">
        <f>IF($O200="","",IF(INDEX(资金流水!D$5:D$3032,$O200)="","",INDEX(资金流水!D$5:D$3032,$O200)))</f>
        <v/>
      </c>
      <c r="E200" s="29" t="str">
        <f>IF($O200="","",IF(INDEX(资金流水!E$5:E$3032,$O200)="","",INDEX(资金流水!E$5:E$3032,$O200)))</f>
        <v/>
      </c>
      <c r="F200" s="10" t="str">
        <f>IF($O200="","",IF(INDEX(资金流水!J$5:J$3032,$O200)="","",INDEX(资金流水!J$5:J$3032,$O200)))</f>
        <v/>
      </c>
      <c r="G200" s="11" t="str">
        <f>IF($O200="","",IF(INDEX(资金流水!K$5:K$3032,$O200)="","",INDEX(资金流水!K$5:K$3032,$O200)))</f>
        <v/>
      </c>
      <c r="H200" s="10" t="str">
        <f>IF($O200="","",IF(INDEX(资金流水!H$5:H$3032,$O200)="","",INDEX(资金流水!H$5:H$3032,$O200)))</f>
        <v/>
      </c>
      <c r="I200" s="11" t="str">
        <f>IF($O200="","",IF(INDEX(资金流水!L$5:L$3032,$O200)="","",INDEX(资金流水!L$5:L$3032,$O200)))</f>
        <v/>
      </c>
      <c r="J200" s="10" t="str">
        <f>IF($O200="","",IF(INDEX(资金流水!I$5:I$3032,$O200)="","",INDEX(资金流水!I$5:I$3032,$O200)))</f>
        <v/>
      </c>
      <c r="K200" s="29" t="str">
        <f>IF($O200="","",IF(INDEX(资金流水!T$5:T$3015,$O200)="","",INDEX(资金流水!T$5:T$3015,$O200)))</f>
        <v/>
      </c>
      <c r="L200" s="29" t="str">
        <f>IF($O200="","",IF(INDEX(资金流水!U$5:U$3015,$O200)="","",INDEX(资金流水!U$5:U$3015,$O200)))</f>
        <v/>
      </c>
      <c r="M200" s="10" t="str">
        <f>IF($O200="","",IF(INDEX(资金流水!Q$5:Q$3015,$O200)="","",INDEX(资金流水!Q$5:Q$3015,$O200)))</f>
        <v/>
      </c>
      <c r="O200" s="54" t="str">
        <f>IFERROR(MATCH($A200,资金流水!$V$5:$V$3015,0),"")</f>
        <v/>
      </c>
    </row>
    <row r="201" spans="1:15">
      <c r="A201" s="29">
        <v>194</v>
      </c>
      <c r="B201" s="53" t="str">
        <f>IF($O201="","",IF(INDEX(资金流水!B$5:B$3032,$O201)="","",INDEX(资金流水!B$5:B$3032,$O201)))</f>
        <v/>
      </c>
      <c r="C201" s="10" t="str">
        <f>IF($O201="","",IF(INDEX(资金流水!C$5:C$3032,$O201)="","",INDEX(资金流水!C$5:C$3032,$O201)))</f>
        <v/>
      </c>
      <c r="D201" s="10" t="str">
        <f>IF($O201="","",IF(INDEX(资金流水!D$5:D$3032,$O201)="","",INDEX(资金流水!D$5:D$3032,$O201)))</f>
        <v/>
      </c>
      <c r="E201" s="29" t="str">
        <f>IF($O201="","",IF(INDEX(资金流水!E$5:E$3032,$O201)="","",INDEX(资金流水!E$5:E$3032,$O201)))</f>
        <v/>
      </c>
      <c r="F201" s="10" t="str">
        <f>IF($O201="","",IF(INDEX(资金流水!J$5:J$3032,$O201)="","",INDEX(资金流水!J$5:J$3032,$O201)))</f>
        <v/>
      </c>
      <c r="G201" s="11" t="str">
        <f>IF($O201="","",IF(INDEX(资金流水!K$5:K$3032,$O201)="","",INDEX(资金流水!K$5:K$3032,$O201)))</f>
        <v/>
      </c>
      <c r="H201" s="10" t="str">
        <f>IF($O201="","",IF(INDEX(资金流水!H$5:H$3032,$O201)="","",INDEX(资金流水!H$5:H$3032,$O201)))</f>
        <v/>
      </c>
      <c r="I201" s="11" t="str">
        <f>IF($O201="","",IF(INDEX(资金流水!L$5:L$3032,$O201)="","",INDEX(资金流水!L$5:L$3032,$O201)))</f>
        <v/>
      </c>
      <c r="J201" s="10" t="str">
        <f>IF($O201="","",IF(INDEX(资金流水!I$5:I$3032,$O201)="","",INDEX(资金流水!I$5:I$3032,$O201)))</f>
        <v/>
      </c>
      <c r="K201" s="29" t="str">
        <f>IF($O201="","",IF(INDEX(资金流水!T$5:T$3015,$O201)="","",INDEX(资金流水!T$5:T$3015,$O201)))</f>
        <v/>
      </c>
      <c r="L201" s="29" t="str">
        <f>IF($O201="","",IF(INDEX(资金流水!U$5:U$3015,$O201)="","",INDEX(资金流水!U$5:U$3015,$O201)))</f>
        <v/>
      </c>
      <c r="M201" s="10" t="str">
        <f>IF($O201="","",IF(INDEX(资金流水!Q$5:Q$3015,$O201)="","",INDEX(资金流水!Q$5:Q$3015,$O201)))</f>
        <v/>
      </c>
      <c r="O201" s="54" t="str">
        <f>IFERROR(MATCH($A201,资金流水!$V$5:$V$3015,0),"")</f>
        <v/>
      </c>
    </row>
    <row r="202" spans="1:15">
      <c r="A202" s="29">
        <v>195</v>
      </c>
      <c r="B202" s="53" t="str">
        <f>IF($O202="","",IF(INDEX(资金流水!B$5:B$3032,$O202)="","",INDEX(资金流水!B$5:B$3032,$O202)))</f>
        <v/>
      </c>
      <c r="C202" s="10" t="str">
        <f>IF($O202="","",IF(INDEX(资金流水!C$5:C$3032,$O202)="","",INDEX(资金流水!C$5:C$3032,$O202)))</f>
        <v/>
      </c>
      <c r="D202" s="10" t="str">
        <f>IF($O202="","",IF(INDEX(资金流水!D$5:D$3032,$O202)="","",INDEX(资金流水!D$5:D$3032,$O202)))</f>
        <v/>
      </c>
      <c r="E202" s="29" t="str">
        <f>IF($O202="","",IF(INDEX(资金流水!E$5:E$3032,$O202)="","",INDEX(资金流水!E$5:E$3032,$O202)))</f>
        <v/>
      </c>
      <c r="F202" s="10" t="str">
        <f>IF($O202="","",IF(INDEX(资金流水!J$5:J$3032,$O202)="","",INDEX(资金流水!J$5:J$3032,$O202)))</f>
        <v/>
      </c>
      <c r="G202" s="11" t="str">
        <f>IF($O202="","",IF(INDEX(资金流水!K$5:K$3032,$O202)="","",INDEX(资金流水!K$5:K$3032,$O202)))</f>
        <v/>
      </c>
      <c r="H202" s="10" t="str">
        <f>IF($O202="","",IF(INDEX(资金流水!H$5:H$3032,$O202)="","",INDEX(资金流水!H$5:H$3032,$O202)))</f>
        <v/>
      </c>
      <c r="I202" s="11" t="str">
        <f>IF($O202="","",IF(INDEX(资金流水!L$5:L$3032,$O202)="","",INDEX(资金流水!L$5:L$3032,$O202)))</f>
        <v/>
      </c>
      <c r="J202" s="10" t="str">
        <f>IF($O202="","",IF(INDEX(资金流水!I$5:I$3032,$O202)="","",INDEX(资金流水!I$5:I$3032,$O202)))</f>
        <v/>
      </c>
      <c r="K202" s="29" t="str">
        <f>IF($O202="","",IF(INDEX(资金流水!T$5:T$3015,$O202)="","",INDEX(资金流水!T$5:T$3015,$O202)))</f>
        <v/>
      </c>
      <c r="L202" s="29" t="str">
        <f>IF($O202="","",IF(INDEX(资金流水!U$5:U$3015,$O202)="","",INDEX(资金流水!U$5:U$3015,$O202)))</f>
        <v/>
      </c>
      <c r="M202" s="10" t="str">
        <f>IF($O202="","",IF(INDEX(资金流水!Q$5:Q$3015,$O202)="","",INDEX(资金流水!Q$5:Q$3015,$O202)))</f>
        <v/>
      </c>
      <c r="O202" s="54" t="str">
        <f>IFERROR(MATCH($A202,资金流水!$V$5:$V$3015,0),"")</f>
        <v/>
      </c>
    </row>
    <row r="203" spans="1:15">
      <c r="A203" s="29">
        <v>196</v>
      </c>
      <c r="B203" s="53" t="str">
        <f>IF($O203="","",IF(INDEX(资金流水!B$5:B$3032,$O203)="","",INDEX(资金流水!B$5:B$3032,$O203)))</f>
        <v/>
      </c>
      <c r="C203" s="10" t="str">
        <f>IF($O203="","",IF(INDEX(资金流水!C$5:C$3032,$O203)="","",INDEX(资金流水!C$5:C$3032,$O203)))</f>
        <v/>
      </c>
      <c r="D203" s="10" t="str">
        <f>IF($O203="","",IF(INDEX(资金流水!D$5:D$3032,$O203)="","",INDEX(资金流水!D$5:D$3032,$O203)))</f>
        <v/>
      </c>
      <c r="E203" s="29" t="str">
        <f>IF($O203="","",IF(INDEX(资金流水!E$5:E$3032,$O203)="","",INDEX(资金流水!E$5:E$3032,$O203)))</f>
        <v/>
      </c>
      <c r="F203" s="10" t="str">
        <f>IF($O203="","",IF(INDEX(资金流水!J$5:J$3032,$O203)="","",INDEX(资金流水!J$5:J$3032,$O203)))</f>
        <v/>
      </c>
      <c r="G203" s="11" t="str">
        <f>IF($O203="","",IF(INDEX(资金流水!K$5:K$3032,$O203)="","",INDEX(资金流水!K$5:K$3032,$O203)))</f>
        <v/>
      </c>
      <c r="H203" s="10" t="str">
        <f>IF($O203="","",IF(INDEX(资金流水!H$5:H$3032,$O203)="","",INDEX(资金流水!H$5:H$3032,$O203)))</f>
        <v/>
      </c>
      <c r="I203" s="11" t="str">
        <f>IF($O203="","",IF(INDEX(资金流水!L$5:L$3032,$O203)="","",INDEX(资金流水!L$5:L$3032,$O203)))</f>
        <v/>
      </c>
      <c r="J203" s="10" t="str">
        <f>IF($O203="","",IF(INDEX(资金流水!I$5:I$3032,$O203)="","",INDEX(资金流水!I$5:I$3032,$O203)))</f>
        <v/>
      </c>
      <c r="K203" s="29" t="str">
        <f>IF($O203="","",IF(INDEX(资金流水!T$5:T$3015,$O203)="","",INDEX(资金流水!T$5:T$3015,$O203)))</f>
        <v/>
      </c>
      <c r="L203" s="29" t="str">
        <f>IF($O203="","",IF(INDEX(资金流水!U$5:U$3015,$O203)="","",INDEX(资金流水!U$5:U$3015,$O203)))</f>
        <v/>
      </c>
      <c r="M203" s="10" t="str">
        <f>IF($O203="","",IF(INDEX(资金流水!Q$5:Q$3015,$O203)="","",INDEX(资金流水!Q$5:Q$3015,$O203)))</f>
        <v/>
      </c>
      <c r="O203" s="54" t="str">
        <f>IFERROR(MATCH($A203,资金流水!$V$5:$V$3015,0),"")</f>
        <v/>
      </c>
    </row>
    <row r="204" spans="1:15">
      <c r="A204" s="29">
        <v>197</v>
      </c>
      <c r="B204" s="53" t="str">
        <f>IF($O204="","",IF(INDEX(资金流水!B$5:B$3032,$O204)="","",INDEX(资金流水!B$5:B$3032,$O204)))</f>
        <v/>
      </c>
      <c r="C204" s="10" t="str">
        <f>IF($O204="","",IF(INDEX(资金流水!C$5:C$3032,$O204)="","",INDEX(资金流水!C$5:C$3032,$O204)))</f>
        <v/>
      </c>
      <c r="D204" s="10" t="str">
        <f>IF($O204="","",IF(INDEX(资金流水!D$5:D$3032,$O204)="","",INDEX(资金流水!D$5:D$3032,$O204)))</f>
        <v/>
      </c>
      <c r="E204" s="29" t="str">
        <f>IF($O204="","",IF(INDEX(资金流水!E$5:E$3032,$O204)="","",INDEX(资金流水!E$5:E$3032,$O204)))</f>
        <v/>
      </c>
      <c r="F204" s="10" t="str">
        <f>IF($O204="","",IF(INDEX(资金流水!J$5:J$3032,$O204)="","",INDEX(资金流水!J$5:J$3032,$O204)))</f>
        <v/>
      </c>
      <c r="G204" s="11" t="str">
        <f>IF($O204="","",IF(INDEX(资金流水!K$5:K$3032,$O204)="","",INDEX(资金流水!K$5:K$3032,$O204)))</f>
        <v/>
      </c>
      <c r="H204" s="10" t="str">
        <f>IF($O204="","",IF(INDEX(资金流水!H$5:H$3032,$O204)="","",INDEX(资金流水!H$5:H$3032,$O204)))</f>
        <v/>
      </c>
      <c r="I204" s="11" t="str">
        <f>IF($O204="","",IF(INDEX(资金流水!L$5:L$3032,$O204)="","",INDEX(资金流水!L$5:L$3032,$O204)))</f>
        <v/>
      </c>
      <c r="J204" s="10" t="str">
        <f>IF($O204="","",IF(INDEX(资金流水!I$5:I$3032,$O204)="","",INDEX(资金流水!I$5:I$3032,$O204)))</f>
        <v/>
      </c>
      <c r="K204" s="29" t="str">
        <f>IF($O204="","",IF(INDEX(资金流水!T$5:T$3015,$O204)="","",INDEX(资金流水!T$5:T$3015,$O204)))</f>
        <v/>
      </c>
      <c r="L204" s="29" t="str">
        <f>IF($O204="","",IF(INDEX(资金流水!U$5:U$3015,$O204)="","",INDEX(资金流水!U$5:U$3015,$O204)))</f>
        <v/>
      </c>
      <c r="M204" s="10" t="str">
        <f>IF($O204="","",IF(INDEX(资金流水!Q$5:Q$3015,$O204)="","",INDEX(资金流水!Q$5:Q$3015,$O204)))</f>
        <v/>
      </c>
      <c r="O204" s="54" t="str">
        <f>IFERROR(MATCH($A204,资金流水!$V$5:$V$3015,0),"")</f>
        <v/>
      </c>
    </row>
    <row r="205" spans="1:15">
      <c r="A205" s="29">
        <v>198</v>
      </c>
      <c r="B205" s="53" t="str">
        <f>IF($O205="","",IF(INDEX(资金流水!B$5:B$3032,$O205)="","",INDEX(资金流水!B$5:B$3032,$O205)))</f>
        <v/>
      </c>
      <c r="C205" s="10" t="str">
        <f>IF($O205="","",IF(INDEX(资金流水!C$5:C$3032,$O205)="","",INDEX(资金流水!C$5:C$3032,$O205)))</f>
        <v/>
      </c>
      <c r="D205" s="10" t="str">
        <f>IF($O205="","",IF(INDEX(资金流水!D$5:D$3032,$O205)="","",INDEX(资金流水!D$5:D$3032,$O205)))</f>
        <v/>
      </c>
      <c r="E205" s="29" t="str">
        <f>IF($O205="","",IF(INDEX(资金流水!E$5:E$3032,$O205)="","",INDEX(资金流水!E$5:E$3032,$O205)))</f>
        <v/>
      </c>
      <c r="F205" s="10" t="str">
        <f>IF($O205="","",IF(INDEX(资金流水!J$5:J$3032,$O205)="","",INDEX(资金流水!J$5:J$3032,$O205)))</f>
        <v/>
      </c>
      <c r="G205" s="11" t="str">
        <f>IF($O205="","",IF(INDEX(资金流水!K$5:K$3032,$O205)="","",INDEX(资金流水!K$5:K$3032,$O205)))</f>
        <v/>
      </c>
      <c r="H205" s="10" t="str">
        <f>IF($O205="","",IF(INDEX(资金流水!H$5:H$3032,$O205)="","",INDEX(资金流水!H$5:H$3032,$O205)))</f>
        <v/>
      </c>
      <c r="I205" s="11" t="str">
        <f>IF($O205="","",IF(INDEX(资金流水!L$5:L$3032,$O205)="","",INDEX(资金流水!L$5:L$3032,$O205)))</f>
        <v/>
      </c>
      <c r="J205" s="10" t="str">
        <f>IF($O205="","",IF(INDEX(资金流水!I$5:I$3032,$O205)="","",INDEX(资金流水!I$5:I$3032,$O205)))</f>
        <v/>
      </c>
      <c r="K205" s="29" t="str">
        <f>IF($O205="","",IF(INDEX(资金流水!T$5:T$3015,$O205)="","",INDEX(资金流水!T$5:T$3015,$O205)))</f>
        <v/>
      </c>
      <c r="L205" s="29" t="str">
        <f>IF($O205="","",IF(INDEX(资金流水!U$5:U$3015,$O205)="","",INDEX(资金流水!U$5:U$3015,$O205)))</f>
        <v/>
      </c>
      <c r="M205" s="10" t="str">
        <f>IF($O205="","",IF(INDEX(资金流水!Q$5:Q$3015,$O205)="","",INDEX(资金流水!Q$5:Q$3015,$O205)))</f>
        <v/>
      </c>
      <c r="O205" s="54" t="str">
        <f>IFERROR(MATCH($A205,资金流水!$V$5:$V$3015,0),"")</f>
        <v/>
      </c>
    </row>
    <row r="206" spans="1:15">
      <c r="A206" s="29">
        <v>199</v>
      </c>
      <c r="B206" s="53" t="str">
        <f>IF($O206="","",IF(INDEX(资金流水!B$5:B$3032,$O206)="","",INDEX(资金流水!B$5:B$3032,$O206)))</f>
        <v/>
      </c>
      <c r="C206" s="10" t="str">
        <f>IF($O206="","",IF(INDEX(资金流水!C$5:C$3032,$O206)="","",INDEX(资金流水!C$5:C$3032,$O206)))</f>
        <v/>
      </c>
      <c r="D206" s="10" t="str">
        <f>IF($O206="","",IF(INDEX(资金流水!D$5:D$3032,$O206)="","",INDEX(资金流水!D$5:D$3032,$O206)))</f>
        <v/>
      </c>
      <c r="E206" s="29" t="str">
        <f>IF($O206="","",IF(INDEX(资金流水!E$5:E$3032,$O206)="","",INDEX(资金流水!E$5:E$3032,$O206)))</f>
        <v/>
      </c>
      <c r="F206" s="10" t="str">
        <f>IF($O206="","",IF(INDEX(资金流水!J$5:J$3032,$O206)="","",INDEX(资金流水!J$5:J$3032,$O206)))</f>
        <v/>
      </c>
      <c r="G206" s="11" t="str">
        <f>IF($O206="","",IF(INDEX(资金流水!K$5:K$3032,$O206)="","",INDEX(资金流水!K$5:K$3032,$O206)))</f>
        <v/>
      </c>
      <c r="H206" s="10" t="str">
        <f>IF($O206="","",IF(INDEX(资金流水!H$5:H$3032,$O206)="","",INDEX(资金流水!H$5:H$3032,$O206)))</f>
        <v/>
      </c>
      <c r="I206" s="11" t="str">
        <f>IF($O206="","",IF(INDEX(资金流水!L$5:L$3032,$O206)="","",INDEX(资金流水!L$5:L$3032,$O206)))</f>
        <v/>
      </c>
      <c r="J206" s="10" t="str">
        <f>IF($O206="","",IF(INDEX(资金流水!I$5:I$3032,$O206)="","",INDEX(资金流水!I$5:I$3032,$O206)))</f>
        <v/>
      </c>
      <c r="K206" s="29" t="str">
        <f>IF($O206="","",IF(INDEX(资金流水!T$5:T$3015,$O206)="","",INDEX(资金流水!T$5:T$3015,$O206)))</f>
        <v/>
      </c>
      <c r="L206" s="29" t="str">
        <f>IF($O206="","",IF(INDEX(资金流水!U$5:U$3015,$O206)="","",INDEX(资金流水!U$5:U$3015,$O206)))</f>
        <v/>
      </c>
      <c r="M206" s="10" t="str">
        <f>IF($O206="","",IF(INDEX(资金流水!Q$5:Q$3015,$O206)="","",INDEX(资金流水!Q$5:Q$3015,$O206)))</f>
        <v/>
      </c>
      <c r="O206" s="54" t="str">
        <f>IFERROR(MATCH($A206,资金流水!$V$5:$V$3015,0),"")</f>
        <v/>
      </c>
    </row>
    <row r="207" spans="1:15">
      <c r="A207" s="29">
        <v>200</v>
      </c>
      <c r="B207" s="53" t="str">
        <f>IF($O207="","",IF(INDEX(资金流水!B$5:B$3032,$O207)="","",INDEX(资金流水!B$5:B$3032,$O207)))</f>
        <v/>
      </c>
      <c r="C207" s="10" t="str">
        <f>IF($O207="","",IF(INDEX(资金流水!C$5:C$3032,$O207)="","",INDEX(资金流水!C$5:C$3032,$O207)))</f>
        <v/>
      </c>
      <c r="D207" s="10" t="str">
        <f>IF($O207="","",IF(INDEX(资金流水!D$5:D$3032,$O207)="","",INDEX(资金流水!D$5:D$3032,$O207)))</f>
        <v/>
      </c>
      <c r="E207" s="29" t="str">
        <f>IF($O207="","",IF(INDEX(资金流水!E$5:E$3032,$O207)="","",INDEX(资金流水!E$5:E$3032,$O207)))</f>
        <v/>
      </c>
      <c r="F207" s="10" t="str">
        <f>IF($O207="","",IF(INDEX(资金流水!J$5:J$3032,$O207)="","",INDEX(资金流水!J$5:J$3032,$O207)))</f>
        <v/>
      </c>
      <c r="G207" s="11" t="str">
        <f>IF($O207="","",IF(INDEX(资金流水!K$5:K$3032,$O207)="","",INDEX(资金流水!K$5:K$3032,$O207)))</f>
        <v/>
      </c>
      <c r="H207" s="10" t="str">
        <f>IF($O207="","",IF(INDEX(资金流水!H$5:H$3032,$O207)="","",INDEX(资金流水!H$5:H$3032,$O207)))</f>
        <v/>
      </c>
      <c r="I207" s="11" t="str">
        <f>IF($O207="","",IF(INDEX(资金流水!L$5:L$3032,$O207)="","",INDEX(资金流水!L$5:L$3032,$O207)))</f>
        <v/>
      </c>
      <c r="J207" s="10" t="str">
        <f>IF($O207="","",IF(INDEX(资金流水!I$5:I$3032,$O207)="","",INDEX(资金流水!I$5:I$3032,$O207)))</f>
        <v/>
      </c>
      <c r="K207" s="29" t="str">
        <f>IF($O207="","",IF(INDEX(资金流水!T$5:T$3015,$O207)="","",INDEX(资金流水!T$5:T$3015,$O207)))</f>
        <v/>
      </c>
      <c r="L207" s="29" t="str">
        <f>IF($O207="","",IF(INDEX(资金流水!U$5:U$3015,$O207)="","",INDEX(资金流水!U$5:U$3015,$O207)))</f>
        <v/>
      </c>
      <c r="M207" s="10" t="str">
        <f>IF($O207="","",IF(INDEX(资金流水!Q$5:Q$3015,$O207)="","",INDEX(资金流水!Q$5:Q$3015,$O207)))</f>
        <v/>
      </c>
      <c r="O207" s="54" t="str">
        <f>IFERROR(MATCH($A207,资金流水!$V$5:$V$3015,0),"")</f>
        <v/>
      </c>
    </row>
    <row r="208" spans="1:15">
      <c r="A208" s="15"/>
      <c r="B208" s="15"/>
      <c r="C208" s="15"/>
      <c r="D208" s="15"/>
      <c r="E208" s="15"/>
      <c r="F208" s="55" t="s">
        <v>875</v>
      </c>
      <c r="G208" s="14">
        <f>SUM(G8:G207)</f>
        <v>0</v>
      </c>
      <c r="H208" s="15"/>
      <c r="I208" s="14">
        <f>SUM(I8:I207)</f>
        <v>0</v>
      </c>
      <c r="J208" s="15"/>
      <c r="K208" s="15"/>
      <c r="L208" s="15"/>
      <c r="M208" s="15"/>
    </row>
  </sheetData>
  <mergeCells count="17">
    <mergeCell ref="A1:M1"/>
    <mergeCell ref="A3:B3"/>
    <mergeCell ref="D3:E3"/>
    <mergeCell ref="G3:H3"/>
    <mergeCell ref="J3:K3"/>
    <mergeCell ref="L3:M3"/>
    <mergeCell ref="A4:B4"/>
    <mergeCell ref="D4:E4"/>
    <mergeCell ref="G4:H4"/>
    <mergeCell ref="J4:K4"/>
    <mergeCell ref="L4:M4"/>
    <mergeCell ref="A5:B5"/>
    <mergeCell ref="D5:E5"/>
    <mergeCell ref="G5:H5"/>
    <mergeCell ref="J5:K5"/>
    <mergeCell ref="L5:M5"/>
    <mergeCell ref="A6:M6"/>
  </mergeCells>
  <dataValidations count="1">
    <dataValidation type="list" allowBlank="1" sqref="C2">
      <formula1>基础资料!$J$4:$J$63</formula1>
    </dataValidation>
  </dataValidation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C00000"/>
  </sheetPr>
  <dimension ref="A1:H146"/>
  <sheetViews>
    <sheetView showGridLines="0" workbookViewId="0">
      <pane ySplit="4" topLeftCell="A9" activePane="bottomLeft" state="frozen"/>
      <selection/>
      <selection pane="bottomLeft" activeCell="C15" sqref="C15"/>
    </sheetView>
  </sheetViews>
  <sheetFormatPr defaultColWidth="8.67619047619048" defaultRowHeight="15" outlineLevelCol="7"/>
  <cols>
    <col min="1" max="1" width="24" customWidth="1"/>
    <col min="2" max="2" width="16" customWidth="1"/>
    <col min="3" max="3" width="22" customWidth="1"/>
    <col min="4" max="4" width="16" customWidth="1"/>
    <col min="5" max="5" width="22" customWidth="1"/>
    <col min="6" max="6" width="16" customWidth="1"/>
    <col min="7" max="7" width="22" customWidth="1"/>
    <col min="8" max="8" width="16" customWidth="1"/>
  </cols>
  <sheetData>
    <row r="1" ht="25.5" customHeight="1" spans="1:8">
      <c r="A1" s="1" t="s">
        <v>876</v>
      </c>
      <c r="B1" s="1"/>
      <c r="C1" s="1"/>
      <c r="D1" s="1"/>
      <c r="E1" s="1"/>
      <c r="F1" s="1"/>
      <c r="G1" s="1"/>
      <c r="H1" s="1"/>
    </row>
    <row r="2" ht="18" spans="1:8">
      <c r="A2" s="4" t="s">
        <v>877</v>
      </c>
      <c r="B2" s="27">
        <v>202602</v>
      </c>
      <c r="C2" s="19" t="s">
        <v>878</v>
      </c>
      <c r="D2" s="4" t="s">
        <v>879</v>
      </c>
      <c r="E2" s="32" t="s">
        <v>880</v>
      </c>
      <c r="F2" s="19" t="s">
        <v>881</v>
      </c>
    </row>
    <row r="3" ht="43.5" customHeight="1" spans="1:8">
      <c r="A3" s="33" t="s">
        <v>882</v>
      </c>
      <c r="B3" s="33"/>
      <c r="C3" s="33"/>
      <c r="D3" s="33"/>
      <c r="E3" s="33"/>
      <c r="F3" s="33"/>
      <c r="G3" s="33"/>
      <c r="H3" s="33"/>
    </row>
    <row r="5" ht="21.75" customHeight="1" spans="1:8">
      <c r="A5" s="8" t="s">
        <v>883</v>
      </c>
      <c r="B5" s="8"/>
      <c r="C5" s="8"/>
      <c r="D5" s="8"/>
      <c r="E5" s="8"/>
      <c r="F5" s="8"/>
      <c r="G5" s="8"/>
      <c r="H5" s="8"/>
    </row>
    <row r="6" ht="19.5" customHeight="1" spans="1:8">
      <c r="A6" s="4" t="s">
        <v>884</v>
      </c>
      <c r="B6" s="34">
        <f>IF(基础资料!$AH$4="不含税金额",SUMIFS(开票登记!$J$5:$J$504,开票登记!$R$5:$R$504,$B$2,开票登记!$C$5:$C$504,IF($E$2="全部","*",$E$2)),SUMIFS(开票登记!$M$5:$M$504,开票登记!$R$5:$R$504,$B$2,开票登记!$C$5:$C$504,IF($E$2="全部","*",$E$2)))</f>
        <v>285568.1</v>
      </c>
      <c r="C6" s="4" t="s">
        <v>885</v>
      </c>
      <c r="D6" s="34" t="e">
        <f>SUMIFS(资金流水!$K$5:$K$3032,资金流水!$S$5:$S$3015,$B$2,资金流水!$D$5:$D$3032,IF($E$2="全部","*",$E$2))</f>
        <v>#VALUE!</v>
      </c>
      <c r="E6" s="4" t="s">
        <v>886</v>
      </c>
      <c r="F6" s="34" t="e">
        <f>SUMIFS(资金流水!$L$5:$L$3032,资金流水!$S$5:$S$3015,$B$2,资金流水!$D$5:$D$3032,IF($E$2="全部","*",$E$2))</f>
        <v>#VALUE!</v>
      </c>
      <c r="G6" s="4" t="s">
        <v>887</v>
      </c>
      <c r="H6" s="34" t="e">
        <f>$D$6-$F$6</f>
        <v>#VALUE!</v>
      </c>
    </row>
    <row r="7" ht="19.5" customHeight="1" spans="1:8">
      <c r="A7" s="4" t="s">
        <v>888</v>
      </c>
      <c r="B7" s="34" t="e">
        <f>$B$6+SUMIFS(资金流水!$K$5:$K$3032,资金流水!$T$5:$T$3015,$B$2,资金流水!$D$5:$D$3032,IF($E$2="全部","*",$E$2),资金流水!$X$5:$X$3015,"非经营收入")</f>
        <v>#VALUE!</v>
      </c>
      <c r="C7" s="4" t="s">
        <v>889</v>
      </c>
      <c r="D7" s="34" t="e">
        <f>SUMIFS(资金流水!$L$5:$L$3032,资金流水!$T$5:$T$3015,$B$2,资金流水!$D$5:$D$3032,IF($E$2="全部","*",$E$2),资金流水!$W$5:$W$3015,"项目成本")+SUMIFS(资金流水!$L$5:$L$3032,资金流水!$T$5:$T$3015,$B$2,资金流水!$D$5:$D$3032,IF($E$2="全部","*",$E$2),资金流水!$W$5:$W$3015,"管理费用")+SUMIFS(资金流水!$L$5:$L$3032,资金流水!$T$5:$T$3015,$B$2,资金流水!$D$5:$D$3032,IF($E$2="全部","*",$E$2),资金流水!$W$5:$W$3015,"人工社保")+SUMIFS(资金流水!$L$5:$L$3032,资金流水!$T$5:$T$3015,$B$2,资金流水!$D$5:$D$3032,IF($E$2="全部","*",$E$2),资金流水!$W$5:$W$3015,"税费")+SUMIFS(资金流水!$L$5:$L$3032,资金流水!$T$5:$T$3015,$B$2,资金流水!$D$5:$D$3032,IF($E$2="全部","*",$E$2),资金流水!$W$5:$W$3015,"财务费用")</f>
        <v>#VALUE!</v>
      </c>
      <c r="E7" s="4" t="s">
        <v>890</v>
      </c>
      <c r="F7" s="34" t="e">
        <f>$B$7-$D$7</f>
        <v>#VALUE!</v>
      </c>
      <c r="G7" s="4" t="s">
        <v>891</v>
      </c>
      <c r="H7" s="35" t="str">
        <f>IFERROR($F$7/$B$7,"")</f>
        <v/>
      </c>
    </row>
    <row r="8" ht="19.5" customHeight="1" spans="1:8">
      <c r="A8" s="4" t="s">
        <v>892</v>
      </c>
      <c r="B8" s="34">
        <f>SUMIFS(开票登记!$L$5:$L$504,开票登记!$R$5:$R$504,$B$2,开票登记!$C$5:$C$504,IF($E$2="全部","*",$E$2))</f>
        <v>29450.58</v>
      </c>
      <c r="C8" s="4" t="s">
        <v>893</v>
      </c>
      <c r="D8" s="34" t="e">
        <f>SUMIFS(开票登记!$P$5:$P$504,开票登记!$C$5:$C$504,IF($E$2="全部","*",$E$2))</f>
        <v>#VALUE!</v>
      </c>
      <c r="E8" s="4" t="s">
        <v>894</v>
      </c>
      <c r="F8" s="34" t="e">
        <f>SUMIFS(应收应付台账!$L$5:$L$304,应收应付台账!$B$5:$B$304,"应收",应收应付台账!$C$5:$C$304,IF($E$2="全部","*",$E$2))</f>
        <v>#VALUE!</v>
      </c>
      <c r="G8" s="4" t="s">
        <v>895</v>
      </c>
      <c r="H8" s="34" t="e">
        <f>SUMIFS(资金流水!$M$5:$M$3015,资金流水!$D$5:$D$3032,IF($E$2="全部","*",$E$2),资金流水!$S$5:$S$3015,"&lt;="&amp;$B$2)+SUMIFS(资金流水!$K$5:$K$3032,资金流水!$D$5:$D$3032,IF($E$2="全部","*",$E$2),资金流水!$S$5:$S$3015,"&lt;="&amp;$B$2)-SUMIFS(资金流水!$L$5:$L$3032,资金流水!$D$5:$D$3032,IF($E$2="全部","*",$E$2),资金流水!$S$5:$S$3015,"&lt;="&amp;$B$2)</f>
        <v>#VALUE!</v>
      </c>
    </row>
    <row r="9" ht="19.5" customHeight="1" spans="1:8">
      <c r="A9" s="4" t="s">
        <v>896</v>
      </c>
      <c r="B9" s="34" t="e">
        <f>SUMIFS(应收应付台账!$L$5:$L$304,应收应付台账!$B$5:$B$304,"应付",应收应付台账!$C$5:$C$304,IF($E$2="全部","*",$E$2))</f>
        <v>#VALUE!</v>
      </c>
      <c r="C9" s="4" t="s">
        <v>897</v>
      </c>
      <c r="D9" s="34" t="e">
        <f>SUMIFS(资金流水!$K$5:$K$3032,资金流水!$S$5:$S$3015,$B$2,资金流水!$D$5:$D$3032,IF($E$2="全部","*",$E$2),资金流水!$T$5:$T$3015,"&lt;"&amp;$B$2)</f>
        <v>#VALUE!</v>
      </c>
      <c r="E9" s="4" t="s">
        <v>898</v>
      </c>
      <c r="F9" s="34" t="e">
        <f>SUMIFS(资金流水!$L$5:$L$3032,资金流水!$S$5:$S$3015,$B$2,资金流水!$D$5:$D$3032,IF($E$2="全部","*",$E$2),资金流水!$T$5:$T$3015,"&lt;"&amp;$B$2)</f>
        <v>#VALUE!</v>
      </c>
      <c r="G9" s="4" t="s">
        <v>899</v>
      </c>
      <c r="H9" s="36" t="e">
        <f>COUNTIFS(资金流水!$S$5:$S$3015,$B$2,资金流水!$D$5:$D$3032,IF($E$2="全部","*",$E$2),资金流水!$U$5:$U$3015,"跨期")</f>
        <v>#VALUE!</v>
      </c>
    </row>
    <row r="11" ht="21.75" customHeight="1" spans="1:8">
      <c r="A11" s="8" t="s">
        <v>900</v>
      </c>
      <c r="B11" s="8"/>
      <c r="C11" s="8"/>
      <c r="D11" s="8"/>
      <c r="E11" s="8"/>
      <c r="F11" s="8"/>
      <c r="G11" s="8"/>
      <c r="H11" s="8"/>
    </row>
    <row r="12" ht="36" customHeight="1" spans="1:8">
      <c r="A12" s="9" t="s">
        <v>67</v>
      </c>
      <c r="B12" s="9" t="s">
        <v>68</v>
      </c>
      <c r="C12" s="9" t="s">
        <v>901</v>
      </c>
      <c r="D12" s="9" t="s">
        <v>902</v>
      </c>
      <c r="E12" s="9" t="s">
        <v>903</v>
      </c>
      <c r="F12" s="9" t="s">
        <v>904</v>
      </c>
      <c r="G12" s="9"/>
      <c r="H12" s="9"/>
    </row>
    <row r="13" spans="1:8">
      <c r="A13" s="28" t="str">
        <f>IF(基础资料!$Q4="","",基础资料!$Q4)</f>
        <v>项目收入</v>
      </c>
      <c r="B13" s="28" t="str">
        <f>IF(基础资料!$R4="","",基础资料!$R4)</f>
        <v>经营收入</v>
      </c>
      <c r="C13" s="11">
        <f>IF($A13="","",IF($B13="经营收入",IF(基础资料!$AH$4="不含税金额",SUMIFS(开票登记!$J$5:$J$504,开票登记!$R$5:$R$504,$B$2,开票登记!$C$5:$C$504,IF($E$2="全部","*",$E$2),开票登记!$H$5:$H$504,$A13),SUMIFS(开票登记!$M$5:$M$504,开票登记!$R$5:$R$504,$B$2,开票登记!$C$5:$C$504,IF($E$2="全部","*",$E$2),开票登记!$H$5:$H$504,$A13)),SUMIFS(资金流水!$K$5:$K$3032,资金流水!$T$5:$T$3015,$B$2,资金流水!$D$5:$D$3032,IF($E$2="全部","*",$E$2),资金流水!$G$5:$G$3032,$A13)))</f>
        <v>0</v>
      </c>
      <c r="D13" s="12" t="str">
        <f t="shared" ref="D13:D26" si="0">IF($B13="往来及保证金","",IFERROR($C13/$C$27,""))</f>
        <v/>
      </c>
      <c r="E13" s="11" t="e">
        <f>IF($A13="","",SUMIFS(资金流水!$K$5:$K$3032,资金流水!$S$5:$S$3015,$B$2,资金流水!$D$5:$D$3032,IF($E$2="全部","*",$E$2),资金流水!$G$5:$G$3032,$A13))</f>
        <v>#VALUE!</v>
      </c>
      <c r="F13" s="37" t="str">
        <f t="shared" ref="F13:F26" si="1">IF($A13="","",IF($B13="经营收入","开票登记","资金流水实收"))</f>
        <v>开票登记</v>
      </c>
    </row>
    <row r="14" spans="1:8">
      <c r="A14" s="28" t="str">
        <f>IF(基础资料!$Q5="","",基础资料!$Q5)</f>
        <v>劳务/服务收入</v>
      </c>
      <c r="B14" s="28" t="str">
        <f>IF(基础资料!$R5="","",基础资料!$R5)</f>
        <v>经营收入</v>
      </c>
      <c r="C14" s="11">
        <f>IF($A14="","",IF($B14="经营收入",IF(基础资料!$AH$4="不含税金额",SUMIFS(开票登记!$J$5:$J$504,开票登记!$R$5:$R$504,$B$2,开票登记!$C$5:$C$504,IF($E$2="全部","*",$E$2),开票登记!$H$5:$H$504,$A14),SUMIFS(开票登记!$M$5:$M$504,开票登记!$R$5:$R$504,$B$2,开票登记!$C$5:$C$504,IF($E$2="全部","*",$E$2),开票登记!$H$5:$H$504,$A14)),SUMIFS(资金流水!$K$5:$K$3032,资金流水!$T$5:$T$3015,$B$2,资金流水!$D$5:$D$3032,IF($E$2="全部","*",$E$2),资金流水!$G$5:$G$3032,$A14)))</f>
        <v>0</v>
      </c>
      <c r="D14" s="12" t="str">
        <f t="shared" si="0"/>
        <v/>
      </c>
      <c r="E14" s="11" t="e">
        <f>IF($A14="","",SUMIFS(资金流水!$K$5:$K$3032,资金流水!$S$5:$S$3015,$B$2,资金流水!$D$5:$D$3032,IF($E$2="全部","*",$E$2),资金流水!$G$5:$G$3032,$A14))</f>
        <v>#VALUE!</v>
      </c>
      <c r="F14" s="37" t="str">
        <f t="shared" si="1"/>
        <v>开票登记</v>
      </c>
    </row>
    <row r="15" spans="1:8">
      <c r="A15" s="28" t="str">
        <f>IF(基础资料!$Q6="","",基础资料!$Q6)</f>
        <v>理财收入</v>
      </c>
      <c r="B15" s="28" t="str">
        <f>IF(基础资料!$R6="","",基础资料!$R6)</f>
        <v>非经营收入</v>
      </c>
      <c r="C15" s="11" t="e">
        <f>IF($A15="","",IF($B15="经营收入",IF(基础资料!$AH$4="不含税金额",SUMIFS(开票登记!$J$5:$J$504,开票登记!$R$5:$R$504,$B$2,开票登记!$C$5:$C$504,IF($E$2="全部","*",$E$2),开票登记!$H$5:$H$504,$A15),SUMIFS(开票登记!$M$5:$M$504,开票登记!$R$5:$R$504,$B$2,开票登记!$C$5:$C$504,IF($E$2="全部","*",$E$2),开票登记!$H$5:$H$504,$A15)),SUMIFS(资金流水!$K$5:$K$3032,资金流水!$T$5:$T$3015,$B$2,资金流水!$D$5:$D$3032,IF($E$2="全部","*",$E$2),资金流水!$G$5:$G$3032,$A15)))</f>
        <v>#VALUE!</v>
      </c>
      <c r="D15" s="12" t="str">
        <f t="shared" si="0"/>
        <v/>
      </c>
      <c r="E15" s="11" t="e">
        <f>IF($A15="","",SUMIFS(资金流水!$K$5:$K$3032,资金流水!$S$5:$S$3015,$B$2,资金流水!$D$5:$D$3032,IF($E$2="全部","*",$E$2),资金流水!$G$5:$G$3032,$A15))</f>
        <v>#VALUE!</v>
      </c>
      <c r="F15" s="37" t="str">
        <f t="shared" si="1"/>
        <v>资金流水实收</v>
      </c>
    </row>
    <row r="16" spans="1:8">
      <c r="A16" s="28" t="str">
        <f>IF(基础资料!$Q7="","",基础资料!$Q7)</f>
        <v>利息收入</v>
      </c>
      <c r="B16" s="28" t="str">
        <f>IF(基础资料!$R7="","",基础资料!$R7)</f>
        <v>非经营收入</v>
      </c>
      <c r="C16" s="11" t="e">
        <f>IF($A16="","",IF($B16="经营收入",IF(基础资料!$AH$4="不含税金额",SUMIFS(开票登记!$J$5:$J$504,开票登记!$R$5:$R$504,$B$2,开票登记!$C$5:$C$504,IF($E$2="全部","*",$E$2),开票登记!$H$5:$H$504,$A16),SUMIFS(开票登记!$M$5:$M$504,开票登记!$R$5:$R$504,$B$2,开票登记!$C$5:$C$504,IF($E$2="全部","*",$E$2),开票登记!$H$5:$H$504,$A16)),SUMIFS(资金流水!$K$5:$K$3032,资金流水!$T$5:$T$3015,$B$2,资金流水!$D$5:$D$3032,IF($E$2="全部","*",$E$2),资金流水!$G$5:$G$3032,$A16)))</f>
        <v>#VALUE!</v>
      </c>
      <c r="D16" s="12" t="str">
        <f t="shared" si="0"/>
        <v/>
      </c>
      <c r="E16" s="11" t="e">
        <f>IF($A16="","",SUMIFS(资金流水!$K$5:$K$3032,资金流水!$S$5:$S$3015,$B$2,资金流水!$D$5:$D$3032,IF($E$2="全部","*",$E$2),资金流水!$G$5:$G$3032,$A16))</f>
        <v>#VALUE!</v>
      </c>
      <c r="F16" s="37" t="str">
        <f t="shared" si="1"/>
        <v>资金流水实收</v>
      </c>
    </row>
    <row r="17" spans="1:8">
      <c r="A17" s="28" t="str">
        <f>IF(基础资料!$Q8="","",基础资料!$Q8)</f>
        <v>政府补助</v>
      </c>
      <c r="B17" s="28" t="str">
        <f>IF(基础资料!$R8="","",基础资料!$R8)</f>
        <v>非经营收入</v>
      </c>
      <c r="C17" s="11" t="e">
        <f>IF($A17="","",IF($B17="经营收入",IF(基础资料!$AH$4="不含税金额",SUMIFS(开票登记!$J$5:$J$504,开票登记!$R$5:$R$504,$B$2,开票登记!$C$5:$C$504,IF($E$2="全部","*",$E$2),开票登记!$H$5:$H$504,$A17),SUMIFS(开票登记!$M$5:$M$504,开票登记!$R$5:$R$504,$B$2,开票登记!$C$5:$C$504,IF($E$2="全部","*",$E$2),开票登记!$H$5:$H$504,$A17)),SUMIFS(资金流水!$K$5:$K$3032,资金流水!$T$5:$T$3015,$B$2,资金流水!$D$5:$D$3032,IF($E$2="全部","*",$E$2),资金流水!$G$5:$G$3032,$A17)))</f>
        <v>#VALUE!</v>
      </c>
      <c r="D17" s="12" t="str">
        <f t="shared" si="0"/>
        <v/>
      </c>
      <c r="E17" s="11" t="e">
        <f>IF($A17="","",SUMIFS(资金流水!$K$5:$K$3032,资金流水!$S$5:$S$3015,$B$2,资金流水!$D$5:$D$3032,IF($E$2="全部","*",$E$2),资金流水!$G$5:$G$3032,$A17))</f>
        <v>#VALUE!</v>
      </c>
      <c r="F17" s="37" t="str">
        <f t="shared" si="1"/>
        <v>资金流水实收</v>
      </c>
    </row>
    <row r="18" spans="1:8">
      <c r="A18" s="28" t="str">
        <f>IF(基础资料!$Q9="","",基础资料!$Q9)</f>
        <v>其他收入</v>
      </c>
      <c r="B18" s="28" t="str">
        <f>IF(基础资料!$R9="","",基础资料!$R9)</f>
        <v>非经营收入</v>
      </c>
      <c r="C18" s="11" t="e">
        <f>IF($A18="","",IF($B18="经营收入",IF(基础资料!$AH$4="不含税金额",SUMIFS(开票登记!$J$5:$J$504,开票登记!$R$5:$R$504,$B$2,开票登记!$C$5:$C$504,IF($E$2="全部","*",$E$2),开票登记!$H$5:$H$504,$A18),SUMIFS(开票登记!$M$5:$M$504,开票登记!$R$5:$R$504,$B$2,开票登记!$C$5:$C$504,IF($E$2="全部","*",$E$2),开票登记!$H$5:$H$504,$A18)),SUMIFS(资金流水!$K$5:$K$3032,资金流水!$T$5:$T$3015,$B$2,资金流水!$D$5:$D$3032,IF($E$2="全部","*",$E$2),资金流水!$G$5:$G$3032,$A18)))</f>
        <v>#VALUE!</v>
      </c>
      <c r="D18" s="12" t="str">
        <f t="shared" si="0"/>
        <v/>
      </c>
      <c r="E18" s="11" t="e">
        <f>IF($A18="","",SUMIFS(资金流水!$K$5:$K$3032,资金流水!$S$5:$S$3015,$B$2,资金流水!$D$5:$D$3032,IF($E$2="全部","*",$E$2),资金流水!$G$5:$G$3032,$A18))</f>
        <v>#VALUE!</v>
      </c>
      <c r="F18" s="37" t="str">
        <f t="shared" si="1"/>
        <v>资金流水实收</v>
      </c>
    </row>
    <row r="19" spans="1:8">
      <c r="A19" s="28" t="str">
        <f>IF(基础资料!$Q10="","",基础资料!$Q10)</f>
        <v>保证金退回</v>
      </c>
      <c r="B19" s="28" t="str">
        <f>IF(基础资料!$R10="","",基础资料!$R10)</f>
        <v>往来及保证金</v>
      </c>
      <c r="C19" s="11" t="e">
        <f>IF($A19="","",IF($B19="经营收入",IF(基础资料!$AH$4="不含税金额",SUMIFS(开票登记!$J$5:$J$504,开票登记!$R$5:$R$504,$B$2,开票登记!$C$5:$C$504,IF($E$2="全部","*",$E$2),开票登记!$H$5:$H$504,$A19),SUMIFS(开票登记!$M$5:$M$504,开票登记!$R$5:$R$504,$B$2,开票登记!$C$5:$C$504,IF($E$2="全部","*",$E$2),开票登记!$H$5:$H$504,$A19)),SUMIFS(资金流水!$K$5:$K$3032,资金流水!$T$5:$T$3015,$B$2,资金流水!$D$5:$D$3032,IF($E$2="全部","*",$E$2),资金流水!$G$5:$G$3032,$A19)))</f>
        <v>#VALUE!</v>
      </c>
      <c r="D19" s="12" t="str">
        <f t="shared" si="0"/>
        <v/>
      </c>
      <c r="E19" s="11" t="e">
        <f>IF($A19="","",SUMIFS(资金流水!$K$5:$K$3032,资金流水!$S$5:$S$3015,$B$2,资金流水!$D$5:$D$3032,IF($E$2="全部","*",$E$2),资金流水!$G$5:$G$3032,$A19))</f>
        <v>#VALUE!</v>
      </c>
      <c r="F19" s="37" t="str">
        <f t="shared" si="1"/>
        <v>资金流水实收</v>
      </c>
    </row>
    <row r="20" spans="1:8">
      <c r="A20" s="28" t="str">
        <f>IF(基础资料!$Q11="","",基础资料!$Q11)</f>
        <v>借款收回</v>
      </c>
      <c r="B20" s="28" t="str">
        <f>IF(基础资料!$R11="","",基础资料!$R11)</f>
        <v>往来及保证金</v>
      </c>
      <c r="C20" s="11" t="e">
        <f>IF($A20="","",IF($B20="经营收入",IF(基础资料!$AH$4="不含税金额",SUMIFS(开票登记!$J$5:$J$504,开票登记!$R$5:$R$504,$B$2,开票登记!$C$5:$C$504,IF($E$2="全部","*",$E$2),开票登记!$H$5:$H$504,$A20),SUMIFS(开票登记!$M$5:$M$504,开票登记!$R$5:$R$504,$B$2,开票登记!$C$5:$C$504,IF($E$2="全部","*",$E$2),开票登记!$H$5:$H$504,$A20)),SUMIFS(资金流水!$K$5:$K$3032,资金流水!$T$5:$T$3015,$B$2,资金流水!$D$5:$D$3032,IF($E$2="全部","*",$E$2),资金流水!$G$5:$G$3032,$A20)))</f>
        <v>#VALUE!</v>
      </c>
      <c r="D20" s="12" t="str">
        <f t="shared" si="0"/>
        <v/>
      </c>
      <c r="E20" s="11" t="e">
        <f>IF($A20="","",SUMIFS(资金流水!$K$5:$K$3032,资金流水!$S$5:$S$3015,$B$2,资金流水!$D$5:$D$3032,IF($E$2="全部","*",$E$2),资金流水!$G$5:$G$3032,$A20))</f>
        <v>#VALUE!</v>
      </c>
      <c r="F20" s="37" t="str">
        <f t="shared" si="1"/>
        <v>资金流水实收</v>
      </c>
    </row>
    <row r="21" spans="1:8">
      <c r="A21" s="28" t="str">
        <f>IF(基础资料!$Q12="","",基础资料!$Q12)</f>
        <v>股东投入</v>
      </c>
      <c r="B21" s="28" t="str">
        <f>IF(基础资料!$R12="","",基础资料!$R12)</f>
        <v>往来及保证金</v>
      </c>
      <c r="C21" s="11" t="e">
        <f>IF($A21="","",IF($B21="经营收入",IF(基础资料!$AH$4="不含税金额",SUMIFS(开票登记!$J$5:$J$504,开票登记!$R$5:$R$504,$B$2,开票登记!$C$5:$C$504,IF($E$2="全部","*",$E$2),开票登记!$H$5:$H$504,$A21),SUMIFS(开票登记!$M$5:$M$504,开票登记!$R$5:$R$504,$B$2,开票登记!$C$5:$C$504,IF($E$2="全部","*",$E$2),开票登记!$H$5:$H$504,$A21)),SUMIFS(资金流水!$K$5:$K$3032,资金流水!$T$5:$T$3015,$B$2,资金流水!$D$5:$D$3032,IF($E$2="全部","*",$E$2),资金流水!$G$5:$G$3032,$A21)))</f>
        <v>#VALUE!</v>
      </c>
      <c r="D21" s="12" t="str">
        <f t="shared" si="0"/>
        <v/>
      </c>
      <c r="E21" s="11" t="e">
        <f>IF($A21="","",SUMIFS(资金流水!$K$5:$K$3032,资金流水!$S$5:$S$3015,$B$2,资金流水!$D$5:$D$3032,IF($E$2="全部","*",$E$2),资金流水!$G$5:$G$3032,$A21))</f>
        <v>#VALUE!</v>
      </c>
      <c r="F21" s="37" t="str">
        <f t="shared" si="1"/>
        <v>资金流水实收</v>
      </c>
    </row>
    <row r="22" spans="1:8">
      <c r="A22" s="28" t="str">
        <f>IF(基础资料!$Q13="","",基础资料!$Q13)</f>
        <v>内部调拨转入</v>
      </c>
      <c r="B22" s="28" t="str">
        <f>IF(基础资料!$R13="","",基础资料!$R13)</f>
        <v>往来及保证金</v>
      </c>
      <c r="C22" s="11" t="e">
        <f>IF($A22="","",IF($B22="经营收入",IF(基础资料!$AH$4="不含税金额",SUMIFS(开票登记!$J$5:$J$504,开票登记!$R$5:$R$504,$B$2,开票登记!$C$5:$C$504,IF($E$2="全部","*",$E$2),开票登记!$H$5:$H$504,$A22),SUMIFS(开票登记!$M$5:$M$504,开票登记!$R$5:$R$504,$B$2,开票登记!$C$5:$C$504,IF($E$2="全部","*",$E$2),开票登记!$H$5:$H$504,$A22)),SUMIFS(资金流水!$K$5:$K$3032,资金流水!$T$5:$T$3015,$B$2,资金流水!$D$5:$D$3032,IF($E$2="全部","*",$E$2),资金流水!$G$5:$G$3032,$A22)))</f>
        <v>#VALUE!</v>
      </c>
      <c r="D22" s="12" t="str">
        <f t="shared" si="0"/>
        <v/>
      </c>
      <c r="E22" s="11" t="e">
        <f>IF($A22="","",SUMIFS(资金流水!$K$5:$K$3032,资金流水!$S$5:$S$3015,$B$2,资金流水!$D$5:$D$3032,IF($E$2="全部","*",$E$2),资金流水!$G$5:$G$3032,$A22))</f>
        <v>#VALUE!</v>
      </c>
      <c r="F22" s="37" t="str">
        <f t="shared" si="1"/>
        <v>资金流水实收</v>
      </c>
    </row>
    <row r="23" spans="1:8">
      <c r="A23" s="28" t="str">
        <f>IF(基础资料!$Q14="","",基础资料!$Q14)</f>
        <v/>
      </c>
      <c r="B23" s="28" t="str">
        <f>IF(基础资料!$R14="","",基础资料!$R14)</f>
        <v/>
      </c>
      <c r="C23" s="11" t="str">
        <f>IF($A23="","",IF($B23="经营收入",IF(基础资料!$AH$4="不含税金额",SUMIFS(开票登记!$J$5:$J$504,开票登记!$R$5:$R$504,$B$2,开票登记!$C$5:$C$504,IF($E$2="全部","*",$E$2),开票登记!$H$5:$H$504,$A23),SUMIFS(开票登记!$M$5:$M$504,开票登记!$R$5:$R$504,$B$2,开票登记!$C$5:$C$504,IF($E$2="全部","*",$E$2),开票登记!$H$5:$H$504,$A23)),SUMIFS(资金流水!$K$5:$K$3032,资金流水!$T$5:$T$3015,$B$2,资金流水!$D$5:$D$3032,IF($E$2="全部","*",$E$2),资金流水!$G$5:$G$3032,$A23)))</f>
        <v/>
      </c>
      <c r="D23" s="12" t="str">
        <f t="shared" si="0"/>
        <v/>
      </c>
      <c r="E23" s="11" t="str">
        <f>IF($A23="","",SUMIFS(资金流水!$K$5:$K$3032,资金流水!$S$5:$S$3015,$B$2,资金流水!$D$5:$D$3032,IF($E$2="全部","*",$E$2),资金流水!$G$5:$G$3032,$A23))</f>
        <v/>
      </c>
      <c r="F23" s="37" t="str">
        <f t="shared" si="1"/>
        <v/>
      </c>
    </row>
    <row r="24" spans="1:8">
      <c r="A24" s="28" t="str">
        <f>IF(基础资料!$Q15="","",基础资料!$Q15)</f>
        <v/>
      </c>
      <c r="B24" s="28" t="str">
        <f>IF(基础资料!$R15="","",基础资料!$R15)</f>
        <v/>
      </c>
      <c r="C24" s="11" t="str">
        <f>IF($A24="","",IF($B24="经营收入",IF(基础资料!$AH$4="不含税金额",SUMIFS(开票登记!$J$5:$J$504,开票登记!$R$5:$R$504,$B$2,开票登记!$C$5:$C$504,IF($E$2="全部","*",$E$2),开票登记!$H$5:$H$504,$A24),SUMIFS(开票登记!$M$5:$M$504,开票登记!$R$5:$R$504,$B$2,开票登记!$C$5:$C$504,IF($E$2="全部","*",$E$2),开票登记!$H$5:$H$504,$A24)),SUMIFS(资金流水!$K$5:$K$3032,资金流水!$T$5:$T$3015,$B$2,资金流水!$D$5:$D$3032,IF($E$2="全部","*",$E$2),资金流水!$G$5:$G$3032,$A24)))</f>
        <v/>
      </c>
      <c r="D24" s="12" t="str">
        <f t="shared" si="0"/>
        <v/>
      </c>
      <c r="E24" s="11" t="str">
        <f>IF($A24="","",SUMIFS(资金流水!$K$5:$K$3032,资金流水!$S$5:$S$3015,$B$2,资金流水!$D$5:$D$3032,IF($E$2="全部","*",$E$2),资金流水!$G$5:$G$3032,$A24))</f>
        <v/>
      </c>
      <c r="F24" s="37" t="str">
        <f t="shared" si="1"/>
        <v/>
      </c>
    </row>
    <row r="25" spans="1:8">
      <c r="A25" s="28" t="str">
        <f>IF(基础资料!$Q16="","",基础资料!$Q16)</f>
        <v/>
      </c>
      <c r="B25" s="28" t="str">
        <f>IF(基础资料!$R16="","",基础资料!$R16)</f>
        <v/>
      </c>
      <c r="C25" s="11" t="str">
        <f>IF($A25="","",IF($B25="经营收入",IF(基础资料!$AH$4="不含税金额",SUMIFS(开票登记!$J$5:$J$504,开票登记!$R$5:$R$504,$B$2,开票登记!$C$5:$C$504,IF($E$2="全部","*",$E$2),开票登记!$H$5:$H$504,$A25),SUMIFS(开票登记!$M$5:$M$504,开票登记!$R$5:$R$504,$B$2,开票登记!$C$5:$C$504,IF($E$2="全部","*",$E$2),开票登记!$H$5:$H$504,$A25)),SUMIFS(资金流水!$K$5:$K$3032,资金流水!$T$5:$T$3015,$B$2,资金流水!$D$5:$D$3032,IF($E$2="全部","*",$E$2),资金流水!$G$5:$G$3032,$A25)))</f>
        <v/>
      </c>
      <c r="D25" s="12" t="str">
        <f t="shared" si="0"/>
        <v/>
      </c>
      <c r="E25" s="11" t="str">
        <f>IF($A25="","",SUMIFS(资金流水!$K$5:$K$3032,资金流水!$S$5:$S$3015,$B$2,资金流水!$D$5:$D$3032,IF($E$2="全部","*",$E$2),资金流水!$G$5:$G$3032,$A25))</f>
        <v/>
      </c>
      <c r="F25" s="37" t="str">
        <f t="shared" si="1"/>
        <v/>
      </c>
    </row>
    <row r="26" spans="1:8">
      <c r="A26" s="28" t="str">
        <f>IF(基础资料!$Q17="","",基础资料!$Q17)</f>
        <v/>
      </c>
      <c r="B26" s="28" t="str">
        <f>IF(基础资料!$R17="","",基础资料!$R17)</f>
        <v/>
      </c>
      <c r="C26" s="11" t="str">
        <f>IF($A26="","",IF($B26="经营收入",IF(基础资料!$AH$4="不含税金额",SUMIFS(开票登记!$J$5:$J$504,开票登记!$R$5:$R$504,$B$2,开票登记!$C$5:$C$504,IF($E$2="全部","*",$E$2),开票登记!$H$5:$H$504,$A26),SUMIFS(开票登记!$M$5:$M$504,开票登记!$R$5:$R$504,$B$2,开票登记!$C$5:$C$504,IF($E$2="全部","*",$E$2),开票登记!$H$5:$H$504,$A26)),SUMIFS(资金流水!$K$5:$K$3032,资金流水!$T$5:$T$3015,$B$2,资金流水!$D$5:$D$3032,IF($E$2="全部","*",$E$2),资金流水!$G$5:$G$3032,$A26)))</f>
        <v/>
      </c>
      <c r="D26" s="12" t="str">
        <f t="shared" si="0"/>
        <v/>
      </c>
      <c r="E26" s="11" t="str">
        <f>IF($A26="","",SUMIFS(资金流水!$K$5:$K$3032,资金流水!$S$5:$S$3015,$B$2,资金流水!$D$5:$D$3032,IF($E$2="全部","*",$E$2),资金流水!$G$5:$G$3032,$A26))</f>
        <v/>
      </c>
      <c r="F26" s="37" t="str">
        <f t="shared" si="1"/>
        <v/>
      </c>
    </row>
    <row r="27" spans="1:8">
      <c r="A27" s="13" t="s">
        <v>905</v>
      </c>
      <c r="B27" s="15"/>
      <c r="C27" s="11" t="e">
        <f>IF($A27="","",IF($B27="经营收入",IF(基础资料!$AH$4="不含税金额",SUMIFS(开票登记!$J$5:$J$504,开票登记!$R$5:$R$504,$B$2,开票登记!$C$5:$C$504,IF($E$2="全部","*",$E$2),开票登记!$H$5:$H$504,$A27),SUMIFS(开票登记!$M$5:$M$504,开票登记!$R$5:$R$504,$B$2,开票登记!$C$5:$C$504,IF($E$2="全部","*",$E$2),开票登记!$H$5:$H$504,$A27)),SUMIFS(资金流水!$K$5:$K$3032,资金流水!$T$5:$T$3015,$B$2,资金流水!$D$5:$D$3032,IF($E$2="全部","*",$E$2),资金流水!$G$5:$G$3032,$A27)))</f>
        <v>#VALUE!</v>
      </c>
      <c r="D27" s="38">
        <v>1</v>
      </c>
      <c r="E27" s="14" t="e">
        <f>SUM(E13:E26)-SUMIF($B$13:$B$26,"往来及保证金",$E$13:$E$26)</f>
        <v>#VALUE!</v>
      </c>
      <c r="F27" s="15"/>
    </row>
    <row r="29" ht="21.75" customHeight="1" spans="1:8">
      <c r="A29" s="8" t="s">
        <v>906</v>
      </c>
      <c r="B29" s="8"/>
      <c r="C29" s="8"/>
      <c r="D29" s="8"/>
      <c r="E29" s="8"/>
      <c r="F29" s="8"/>
      <c r="G29" s="8"/>
      <c r="H29" s="8"/>
    </row>
    <row r="30" ht="27.75" customHeight="1" spans="1:8">
      <c r="A30" s="9" t="s">
        <v>479</v>
      </c>
      <c r="B30" s="9" t="s">
        <v>907</v>
      </c>
      <c r="C30" s="9" t="s">
        <v>902</v>
      </c>
      <c r="D30" s="9" t="s">
        <v>908</v>
      </c>
      <c r="E30" s="9" t="s">
        <v>110</v>
      </c>
      <c r="F30" s="9"/>
      <c r="G30" s="9"/>
      <c r="H30" s="9"/>
    </row>
    <row r="31" spans="1:8">
      <c r="A31" s="39" t="s">
        <v>909</v>
      </c>
      <c r="B31" s="11" t="e">
        <f>SUMIFS(资金流水!$L$5:$L$3032,资金流水!$T$5:$T$3015,$B$2,资金流水!$D$5:$D$3032,IF($E$2="全部","*",$E$2),资金流水!$W$5:$W$3015,$A31)</f>
        <v>#VALUE!</v>
      </c>
      <c r="C31" s="12" t="str">
        <f>IFERROR($B31/$B$37,"")</f>
        <v/>
      </c>
      <c r="D31" s="11" t="e">
        <f>SUMIFS(资金流水!$L$5:$L$3032,资金流水!$S$5:$S$3015,$B$2,资金流水!$D$5:$D$3032,IF($E$2="全部","*",$E$2),资金流水!$W$5:$W$3015,$A31)</f>
        <v>#VALUE!</v>
      </c>
      <c r="E31" s="40" t="s">
        <v>910</v>
      </c>
    </row>
    <row r="32" spans="1:8">
      <c r="A32" s="39" t="s">
        <v>91</v>
      </c>
      <c r="B32" s="11" t="e">
        <f>SUMIFS(资金流水!$L$5:$L$3032,资金流水!$T$5:$T$3015,$B$2,资金流水!$D$5:$D$3032,IF($E$2="全部","*",$E$2),资金流水!$W$5:$W$3015,$A32)</f>
        <v>#VALUE!</v>
      </c>
      <c r="C32" s="12" t="str">
        <f>IFERROR($B32/$B$37,"")</f>
        <v/>
      </c>
      <c r="D32" s="11" t="e">
        <f>SUMIFS(资金流水!$L$5:$L$3032,资金流水!$S$5:$S$3015,$B$2,资金流水!$D$5:$D$3032,IF($E$2="全部","*",$E$2),资金流水!$W$5:$W$3015,$A32)</f>
        <v>#VALUE!</v>
      </c>
      <c r="E32" s="40" t="s">
        <v>911</v>
      </c>
    </row>
    <row r="33" spans="1:8">
      <c r="A33" s="39" t="s">
        <v>238</v>
      </c>
      <c r="B33" s="11" t="e">
        <f>SUMIFS(资金流水!$L$5:$L$3032,资金流水!$T$5:$T$3015,$B$2,资金流水!$D$5:$D$3032,IF($E$2="全部","*",$E$2),资金流水!$W$5:$W$3015,$A33)</f>
        <v>#VALUE!</v>
      </c>
      <c r="C33" s="12" t="str">
        <f>IFERROR($B33/$B$37,"")</f>
        <v/>
      </c>
      <c r="D33" s="11" t="e">
        <f>SUMIFS(资金流水!$L$5:$L$3032,资金流水!$S$5:$S$3015,$B$2,资金流水!$D$5:$D$3032,IF($E$2="全部","*",$E$2),资金流水!$W$5:$W$3015,$A33)</f>
        <v>#VALUE!</v>
      </c>
      <c r="E33" s="40" t="s">
        <v>912</v>
      </c>
    </row>
    <row r="34" spans="1:8">
      <c r="A34" s="39" t="s">
        <v>263</v>
      </c>
      <c r="B34" s="11" t="e">
        <f>SUMIFS(资金流水!$L$5:$L$3032,资金流水!$T$5:$T$3015,$B$2,资金流水!$D$5:$D$3032,IF($E$2="全部","*",$E$2),资金流水!$W$5:$W$3015,$A34)</f>
        <v>#VALUE!</v>
      </c>
      <c r="C34" s="12" t="str">
        <f>IFERROR($B34/$B$37,"")</f>
        <v/>
      </c>
      <c r="D34" s="11" t="e">
        <f>SUMIFS(资金流水!$L$5:$L$3032,资金流水!$S$5:$S$3015,$B$2,资金流水!$D$5:$D$3032,IF($E$2="全部","*",$E$2),资金流水!$W$5:$W$3015,$A34)</f>
        <v>#VALUE!</v>
      </c>
      <c r="E34" s="40" t="s">
        <v>913</v>
      </c>
    </row>
    <row r="35" spans="1:8">
      <c r="A35" s="39" t="s">
        <v>283</v>
      </c>
      <c r="B35" s="11" t="e">
        <f>SUMIFS(资金流水!$L$5:$L$3032,资金流水!$T$5:$T$3015,$B$2,资金流水!$D$5:$D$3032,IF($E$2="全部","*",$E$2),资金流水!$W$5:$W$3015,$A35)</f>
        <v>#VALUE!</v>
      </c>
      <c r="C35" s="12" t="str">
        <f>IFERROR($B35/$B$37,"")</f>
        <v/>
      </c>
      <c r="D35" s="11" t="e">
        <f>SUMIFS(资金流水!$L$5:$L$3032,资金流水!$S$5:$S$3015,$B$2,资金流水!$D$5:$D$3032,IF($E$2="全部","*",$E$2),资金流水!$W$5:$W$3015,$A35)</f>
        <v>#VALUE!</v>
      </c>
      <c r="E35" s="40" t="s">
        <v>914</v>
      </c>
    </row>
    <row r="36" spans="1:8">
      <c r="A36" s="39" t="s">
        <v>163</v>
      </c>
      <c r="B36" s="11" t="e">
        <f>SUMIFS(资金流水!$L$5:$L$3032,资金流水!$T$5:$T$3015,$B$2,资金流水!$D$5:$D$3032,IF($E$2="全部","*",$E$2),资金流水!$W$5:$W$3015,$A36)</f>
        <v>#VALUE!</v>
      </c>
      <c r="C36" s="12"/>
      <c r="D36" s="11" t="e">
        <f>SUMIFS(资金流水!$L$5:$L$3032,资金流水!$S$5:$S$3015,$B$2,资金流水!$D$5:$D$3032,IF($E$2="全部","*",$E$2),资金流水!$W$5:$W$3015,$A36)</f>
        <v>#VALUE!</v>
      </c>
      <c r="E36" s="40" t="s">
        <v>915</v>
      </c>
    </row>
    <row r="37" spans="1:8">
      <c r="A37" s="13" t="s">
        <v>905</v>
      </c>
      <c r="B37" s="14" t="e">
        <f>SUM($B$31:$B$35)</f>
        <v>#VALUE!</v>
      </c>
      <c r="C37" s="38">
        <v>1</v>
      </c>
      <c r="D37" s="14" t="e">
        <f>SUM($D$31:$D$35)</f>
        <v>#VALUE!</v>
      </c>
      <c r="E37" s="15"/>
    </row>
    <row r="39" ht="21.75" customHeight="1" spans="1:8">
      <c r="A39" s="8" t="s">
        <v>916</v>
      </c>
      <c r="B39" s="8"/>
      <c r="C39" s="8"/>
      <c r="D39" s="8"/>
      <c r="E39" s="8"/>
      <c r="F39" s="8"/>
      <c r="G39" s="8"/>
      <c r="H39" s="8"/>
    </row>
    <row r="40" ht="27.75" customHeight="1" spans="1:8">
      <c r="A40" s="9" t="s">
        <v>70</v>
      </c>
      <c r="B40" s="9" t="s">
        <v>71</v>
      </c>
      <c r="C40" s="9" t="s">
        <v>917</v>
      </c>
      <c r="D40" s="9" t="s">
        <v>902</v>
      </c>
      <c r="F40" s="9" t="s">
        <v>69</v>
      </c>
      <c r="G40" s="9" t="s">
        <v>917</v>
      </c>
      <c r="H40" s="9" t="s">
        <v>902</v>
      </c>
    </row>
    <row r="41" spans="1:8">
      <c r="A41" s="28" t="str">
        <f>IF(基础资料!$V4="","",基础资料!$V4)</f>
        <v>办公费</v>
      </c>
      <c r="B41" s="28" t="str">
        <f>IF(基础资料!$W4="","",基础资料!$W4)</f>
        <v>管理费用</v>
      </c>
      <c r="C41" s="11" t="e">
        <f>IF($A41="","",SUMIFS(资金流水!$L$5:$L$3032,资金流水!$T$5:$T$3015,$B$2,资金流水!$D$5:$D$3032,IF($E$2="全部","*",$E$2),资金流水!$I$5:$I$3032,$A41))</f>
        <v>#VALUE!</v>
      </c>
      <c r="D41" s="12" t="str">
        <f t="shared" ref="D41:D86" si="2">IF($B41="往来及保证金","",IFERROR($C41/$C$87,""))</f>
        <v/>
      </c>
      <c r="F41" s="28" t="str">
        <f>IF(基础资料!$T4="","",基础资料!$T4)</f>
        <v>项目-材料</v>
      </c>
      <c r="G41" s="11" t="e">
        <f>IF($F41="","",SUMIFS(资金流水!$L$5:$L$3032,资金流水!$T$5:$T$3015,$B$2,资金流水!$D$5:$D$3032,IF($E$2="全部","*",$E$2),资金流水!$H$5:$H$3032,$F41))</f>
        <v>#VALUE!</v>
      </c>
      <c r="H41" s="12" t="str">
        <f t="shared" ref="H41:H54" si="3">IFERROR($G41/$G$55,"")</f>
        <v/>
      </c>
    </row>
    <row r="42" spans="1:8">
      <c r="A42" s="28" t="str">
        <f>IF(基础资料!$V5="","",基础资料!$V5)</f>
        <v>水费</v>
      </c>
      <c r="B42" s="28" t="str">
        <f>IF(基础资料!$W5="","",基础资料!$W5)</f>
        <v>管理费用</v>
      </c>
      <c r="C42" s="11" t="e">
        <f>IF($A42="","",SUMIFS(资金流水!$L$5:$L$3032,资金流水!$T$5:$T$3015,$B$2,资金流水!$D$5:$D$3032,IF($E$2="全部","*",$E$2),资金流水!$I$5:$I$3032,$A42))</f>
        <v>#VALUE!</v>
      </c>
      <c r="D42" s="12" t="str">
        <f t="shared" si="2"/>
        <v/>
      </c>
      <c r="F42" s="28" t="str">
        <f>IF(基础资料!$T5="","",基础资料!$T5)</f>
        <v>项目-人工</v>
      </c>
      <c r="G42" s="11" t="e">
        <f>IF($F42="","",SUMIFS(资金流水!$L$5:$L$3032,资金流水!$T$5:$T$3015,$B$2,资金流水!$D$5:$D$3032,IF($E$2="全部","*",$E$2),资金流水!$H$5:$H$3032,$F42))</f>
        <v>#VALUE!</v>
      </c>
      <c r="H42" s="12" t="str">
        <f t="shared" si="3"/>
        <v/>
      </c>
    </row>
    <row r="43" spans="1:8">
      <c r="A43" s="28" t="str">
        <f>IF(基础资料!$V6="","",基础资料!$V6)</f>
        <v>电费</v>
      </c>
      <c r="B43" s="28" t="str">
        <f>IF(基础资料!$W6="","",基础资料!$W6)</f>
        <v>管理费用</v>
      </c>
      <c r="C43" s="11" t="e">
        <f>IF($A43="","",SUMIFS(资金流水!$L$5:$L$3032,资金流水!$T$5:$T$3015,$B$2,资金流水!$D$5:$D$3032,IF($E$2="全部","*",$E$2),资金流水!$I$5:$I$3032,$A43))</f>
        <v>#VALUE!</v>
      </c>
      <c r="D43" s="12" t="str">
        <f t="shared" si="2"/>
        <v/>
      </c>
      <c r="F43" s="28" t="str">
        <f>IF(基础资料!$T6="","",基础资料!$T6)</f>
        <v>项目-机械设备</v>
      </c>
      <c r="G43" s="11" t="e">
        <f>IF($F43="","",SUMIFS(资金流水!$L$5:$L$3032,资金流水!$T$5:$T$3015,$B$2,资金流水!$D$5:$D$3032,IF($E$2="全部","*",$E$2),资金流水!$H$5:$H$3032,$F43))</f>
        <v>#VALUE!</v>
      </c>
      <c r="H43" s="12" t="str">
        <f t="shared" si="3"/>
        <v/>
      </c>
    </row>
    <row r="44" spans="1:8">
      <c r="A44" s="28" t="str">
        <f>IF(基础资料!$V7="","",基础资料!$V7)</f>
        <v>伙食费</v>
      </c>
      <c r="B44" s="28" t="str">
        <f>IF(基础资料!$W7="","",基础资料!$W7)</f>
        <v>管理费用</v>
      </c>
      <c r="C44" s="11" t="e">
        <f>IF($A44="","",SUMIFS(资金流水!$L$5:$L$3032,资金流水!$T$5:$T$3015,$B$2,资金流水!$D$5:$D$3032,IF($E$2="全部","*",$E$2),资金流水!$I$5:$I$3032,$A44))</f>
        <v>#VALUE!</v>
      </c>
      <c r="D44" s="12" t="str">
        <f t="shared" si="2"/>
        <v/>
      </c>
      <c r="F44" s="28" t="str">
        <f>IF(基础资料!$T7="","",基础资料!$T7)</f>
        <v>项目-零星开支</v>
      </c>
      <c r="G44" s="11" t="e">
        <f>IF($F44="","",SUMIFS(资金流水!$L$5:$L$3032,资金流水!$T$5:$T$3015,$B$2,资金流水!$D$5:$D$3032,IF($E$2="全部","*",$E$2),资金流水!$H$5:$H$3032,$F44))</f>
        <v>#VALUE!</v>
      </c>
      <c r="H44" s="12" t="str">
        <f t="shared" si="3"/>
        <v/>
      </c>
    </row>
    <row r="45" spans="1:8">
      <c r="A45" s="28" t="str">
        <f>IF(基础资料!$V8="","",基础资料!$V8)</f>
        <v>租赁费</v>
      </c>
      <c r="B45" s="28" t="str">
        <f>IF(基础资料!$W8="","",基础资料!$W8)</f>
        <v>管理费用</v>
      </c>
      <c r="C45" s="11" t="e">
        <f>IF($A45="","",SUMIFS(资金流水!$L$5:$L$3032,资金流水!$T$5:$T$3015,$B$2,资金流水!$D$5:$D$3032,IF($E$2="全部","*",$E$2),资金流水!$I$5:$I$3032,$A45))</f>
        <v>#VALUE!</v>
      </c>
      <c r="D45" s="12" t="str">
        <f t="shared" si="2"/>
        <v/>
      </c>
      <c r="F45" s="28" t="str">
        <f>IF(基础资料!$T8="","",基础资料!$T8)</f>
        <v>项目-运费</v>
      </c>
      <c r="G45" s="11" t="e">
        <f>IF($F45="","",SUMIFS(资金流水!$L$5:$L$3032,资金流水!$T$5:$T$3015,$B$2,资金流水!$D$5:$D$3032,IF($E$2="全部","*",$E$2),资金流水!$H$5:$H$3032,$F45))</f>
        <v>#VALUE!</v>
      </c>
      <c r="H45" s="12" t="str">
        <f t="shared" si="3"/>
        <v/>
      </c>
    </row>
    <row r="46" spans="1:8">
      <c r="A46" s="28" t="str">
        <f>IF(基础资料!$V9="","",基础资料!$V9)</f>
        <v>差旅费</v>
      </c>
      <c r="B46" s="28" t="str">
        <f>IF(基础资料!$W9="","",基础资料!$W9)</f>
        <v>管理费用</v>
      </c>
      <c r="C46" s="11" t="e">
        <f>IF($A46="","",SUMIFS(资金流水!$L$5:$L$3032,资金流水!$T$5:$T$3015,$B$2,资金流水!$D$5:$D$3032,IF($E$2="全部","*",$E$2),资金流水!$I$5:$I$3032,$A46))</f>
        <v>#VALUE!</v>
      </c>
      <c r="D46" s="12" t="str">
        <f t="shared" si="2"/>
        <v/>
      </c>
      <c r="F46" s="28" t="str">
        <f>IF(基础资料!$T9="","",基础资料!$T9)</f>
        <v>项目-分包/劳务</v>
      </c>
      <c r="G46" s="11" t="e">
        <f>IF($F46="","",SUMIFS(资金流水!$L$5:$L$3032,资金流水!$T$5:$T$3015,$B$2,资金流水!$D$5:$D$3032,IF($E$2="全部","*",$E$2),资金流水!$H$5:$H$3032,$F46))</f>
        <v>#VALUE!</v>
      </c>
      <c r="H46" s="12" t="str">
        <f t="shared" si="3"/>
        <v/>
      </c>
    </row>
    <row r="47" spans="1:8">
      <c r="A47" s="28" t="str">
        <f>IF(基础资料!$V10="","",基础资料!$V10)</f>
        <v>业务招待费</v>
      </c>
      <c r="B47" s="28" t="str">
        <f>IF(基础资料!$W10="","",基础资料!$W10)</f>
        <v>管理费用</v>
      </c>
      <c r="C47" s="11" t="e">
        <f>IF($A47="","",SUMIFS(资金流水!$L$5:$L$3032,资金流水!$T$5:$T$3015,$B$2,资金流水!$D$5:$D$3032,IF($E$2="全部","*",$E$2),资金流水!$I$5:$I$3032,$A47))</f>
        <v>#VALUE!</v>
      </c>
      <c r="D47" s="12" t="str">
        <f t="shared" si="2"/>
        <v/>
      </c>
      <c r="F47" s="28" t="str">
        <f>IF(基础资料!$T10="","",基础资料!$T10)</f>
        <v>项目-税款</v>
      </c>
      <c r="G47" s="11" t="e">
        <f>IF($F47="","",SUMIFS(资金流水!$L$5:$L$3032,资金流水!$T$5:$T$3015,$B$2,资金流水!$D$5:$D$3032,IF($E$2="全部","*",$E$2),资金流水!$H$5:$H$3032,$F47))</f>
        <v>#VALUE!</v>
      </c>
      <c r="H47" s="12" t="str">
        <f t="shared" si="3"/>
        <v/>
      </c>
    </row>
    <row r="48" ht="24" spans="1:8">
      <c r="A48" s="28" t="str">
        <f>IF(基础资料!$V11="","",基础资料!$V11)</f>
        <v>车辆费用</v>
      </c>
      <c r="B48" s="28" t="str">
        <f>IF(基础资料!$W11="","",基础资料!$W11)</f>
        <v>管理费用</v>
      </c>
      <c r="C48" s="11" t="e">
        <f>IF($A48="","",SUMIFS(资金流水!$L$5:$L$3032,资金流水!$T$5:$T$3015,$B$2,资金流水!$D$5:$D$3032,IF($E$2="全部","*",$E$2),资金流水!$I$5:$I$3032,$A48))</f>
        <v>#VALUE!</v>
      </c>
      <c r="D48" s="12" t="str">
        <f t="shared" si="2"/>
        <v/>
      </c>
      <c r="F48" s="28" t="str">
        <f>IF(基础资料!$T11="","",基础资料!$T11)</f>
        <v>项目-其他直接成本</v>
      </c>
      <c r="G48" s="11" t="e">
        <f>IF($F48="","",SUMIFS(资金流水!$L$5:$L$3032,资金流水!$T$5:$T$3015,$B$2,资金流水!$D$5:$D$3032,IF($E$2="全部","*",$E$2),资金流水!$H$5:$H$3032,$F48))</f>
        <v>#VALUE!</v>
      </c>
      <c r="H48" s="12" t="str">
        <f t="shared" si="3"/>
        <v/>
      </c>
    </row>
    <row r="49" spans="1:8">
      <c r="A49" s="28" t="str">
        <f>IF(基础资料!$V12="","",基础资料!$V12)</f>
        <v>通讯费</v>
      </c>
      <c r="B49" s="28" t="str">
        <f>IF(基础资料!$W12="","",基础资料!$W12)</f>
        <v>管理费用</v>
      </c>
      <c r="C49" s="11" t="e">
        <f>IF($A49="","",SUMIFS(资金流水!$L$5:$L$3032,资金流水!$T$5:$T$3015,$B$2,资金流水!$D$5:$D$3032,IF($E$2="全部","*",$E$2),资金流水!$I$5:$I$3032,$A49))</f>
        <v>#VALUE!</v>
      </c>
      <c r="D49" s="12" t="str">
        <f t="shared" si="2"/>
        <v/>
      </c>
      <c r="F49" s="28" t="str">
        <f>IF(基础资料!$T12="","",基础资料!$T12)</f>
        <v>费用摊销</v>
      </c>
      <c r="G49" s="11" t="e">
        <f>IF($F49="","",SUMIFS(资金流水!$L$5:$L$3032,资金流水!$T$5:$T$3015,$B$2,资金流水!$D$5:$D$3032,IF($E$2="全部","*",$E$2),资金流水!$H$5:$H$3032,$F49))</f>
        <v>#VALUE!</v>
      </c>
      <c r="H49" s="12" t="str">
        <f t="shared" si="3"/>
        <v/>
      </c>
    </row>
    <row r="50" spans="1:8">
      <c r="A50" s="28" t="str">
        <f>IF(基础资料!$V13="","",基础资料!$V13)</f>
        <v>快递费</v>
      </c>
      <c r="B50" s="28" t="str">
        <f>IF(基础资料!$W13="","",基础资料!$W13)</f>
        <v>管理费用</v>
      </c>
      <c r="C50" s="11" t="e">
        <f>IF($A50="","",SUMIFS(资金流水!$L$5:$L$3032,资金流水!$T$5:$T$3015,$B$2,资金流水!$D$5:$D$3032,IF($E$2="全部","*",$E$2),资金流水!$I$5:$I$3032,$A50))</f>
        <v>#VALUE!</v>
      </c>
      <c r="D50" s="12" t="str">
        <f t="shared" si="2"/>
        <v/>
      </c>
      <c r="F50" s="28" t="str">
        <f>IF(基础资料!$T13="","",基础资料!$T13)</f>
        <v/>
      </c>
      <c r="G50" s="11" t="str">
        <f>IF($F50="","",SUMIFS(资金流水!$L$5:$L$3032,资金流水!$T$5:$T$3015,$B$2,资金流水!$D$5:$D$3032,IF($E$2="全部","*",$E$2),资金流水!$H$5:$H$3032,$F50))</f>
        <v/>
      </c>
      <c r="H50" s="12" t="str">
        <f t="shared" si="3"/>
        <v/>
      </c>
    </row>
    <row r="51" spans="1:8">
      <c r="A51" s="28" t="str">
        <f>IF(基础资料!$V14="","",基础资料!$V14)</f>
        <v>公证费</v>
      </c>
      <c r="B51" s="28" t="str">
        <f>IF(基础资料!$W14="","",基础资料!$W14)</f>
        <v>管理费用</v>
      </c>
      <c r="C51" s="11" t="e">
        <f>IF($A51="","",SUMIFS(资金流水!$L$5:$L$3032,资金流水!$T$5:$T$3015,$B$2,资金流水!$D$5:$D$3032,IF($E$2="全部","*",$E$2),资金流水!$I$5:$I$3032,$A51))</f>
        <v>#VALUE!</v>
      </c>
      <c r="D51" s="12" t="str">
        <f t="shared" si="2"/>
        <v/>
      </c>
      <c r="F51" s="28" t="str">
        <f>IF(基础资料!$T14="","",基础资料!$T14)</f>
        <v/>
      </c>
      <c r="G51" s="11" t="str">
        <f>IF($F51="","",SUMIFS(资金流水!$L$5:$L$3032,资金流水!$T$5:$T$3015,$B$2,资金流水!$D$5:$D$3032,IF($E$2="全部","*",$E$2),资金流水!$H$5:$H$3032,$F51))</f>
        <v/>
      </c>
      <c r="H51" s="12" t="str">
        <f t="shared" si="3"/>
        <v/>
      </c>
    </row>
    <row r="52" spans="1:8">
      <c r="A52" s="28" t="str">
        <f>IF(基础资料!$V15="","",基础资料!$V15)</f>
        <v>咨询审计费</v>
      </c>
      <c r="B52" s="28" t="str">
        <f>IF(基础资料!$W15="","",基础资料!$W15)</f>
        <v>管理费用</v>
      </c>
      <c r="C52" s="11" t="e">
        <f>IF($A52="","",SUMIFS(资金流水!$L$5:$L$3032,资金流水!$T$5:$T$3015,$B$2,资金流水!$D$5:$D$3032,IF($E$2="全部","*",$E$2),资金流水!$I$5:$I$3032,$A52))</f>
        <v>#VALUE!</v>
      </c>
      <c r="D52" s="12" t="str">
        <f t="shared" si="2"/>
        <v/>
      </c>
      <c r="F52" s="28" t="str">
        <f>IF(基础资料!$T15="","",基础资料!$T15)</f>
        <v/>
      </c>
      <c r="G52" s="11" t="str">
        <f>IF($F52="","",SUMIFS(资金流水!$L$5:$L$3032,资金流水!$T$5:$T$3015,$B$2,资金流水!$D$5:$D$3032,IF($E$2="全部","*",$E$2),资金流水!$H$5:$H$3032,$F52))</f>
        <v/>
      </c>
      <c r="H52" s="12" t="str">
        <f t="shared" si="3"/>
        <v/>
      </c>
    </row>
    <row r="53" spans="1:8">
      <c r="A53" s="28" t="str">
        <f>IF(基础资料!$V16="","",基础资料!$V16)</f>
        <v>软件服务费</v>
      </c>
      <c r="B53" s="28" t="str">
        <f>IF(基础资料!$W16="","",基础资料!$W16)</f>
        <v>管理费用</v>
      </c>
      <c r="C53" s="11" t="e">
        <f>IF($A53="","",SUMIFS(资金流水!$L$5:$L$3032,资金流水!$T$5:$T$3015,$B$2,资金流水!$D$5:$D$3032,IF($E$2="全部","*",$E$2),资金流水!$I$5:$I$3032,$A53))</f>
        <v>#VALUE!</v>
      </c>
      <c r="D53" s="12" t="str">
        <f t="shared" si="2"/>
        <v/>
      </c>
      <c r="F53" s="28" t="str">
        <f>IF(基础资料!$T16="","",基础资料!$T16)</f>
        <v/>
      </c>
      <c r="G53" s="11" t="str">
        <f>IF($F53="","",SUMIFS(资金流水!$L$5:$L$3032,资金流水!$T$5:$T$3015,$B$2,资金流水!$D$5:$D$3032,IF($E$2="全部","*",$E$2),资金流水!$H$5:$H$3032,$F53))</f>
        <v/>
      </c>
      <c r="H53" s="12" t="str">
        <f t="shared" si="3"/>
        <v/>
      </c>
    </row>
    <row r="54" spans="1:8">
      <c r="A54" s="28" t="str">
        <f>IF(基础资料!$V17="","",基础资料!$V17)</f>
        <v>保险费</v>
      </c>
      <c r="B54" s="28" t="str">
        <f>IF(基础资料!$W17="","",基础资料!$W17)</f>
        <v>管理费用</v>
      </c>
      <c r="C54" s="11" t="e">
        <f>IF($A54="","",SUMIFS(资金流水!$L$5:$L$3032,资金流水!$T$5:$T$3015,$B$2,资金流水!$D$5:$D$3032,IF($E$2="全部","*",$E$2),资金流水!$I$5:$I$3032,$A54))</f>
        <v>#VALUE!</v>
      </c>
      <c r="D54" s="12" t="str">
        <f t="shared" si="2"/>
        <v/>
      </c>
      <c r="F54" s="28" t="str">
        <f>IF(基础资料!$T17="","",基础资料!$T17)</f>
        <v/>
      </c>
      <c r="G54" s="11" t="str">
        <f>IF($F54="","",SUMIFS(资金流水!$L$5:$L$3032,资金流水!$T$5:$T$3015,$B$2,资金流水!$D$5:$D$3032,IF($E$2="全部","*",$E$2),资金流水!$H$5:$H$3032,$F54))</f>
        <v/>
      </c>
      <c r="H54" s="12" t="str">
        <f t="shared" si="3"/>
        <v/>
      </c>
    </row>
    <row r="55" spans="1:8">
      <c r="A55" s="28" t="str">
        <f>IF(基础资料!$V18="","",基础资料!$V18)</f>
        <v>物业费</v>
      </c>
      <c r="B55" s="28" t="str">
        <f>IF(基础资料!$W18="","",基础资料!$W18)</f>
        <v>管理费用</v>
      </c>
      <c r="C55" s="11" t="e">
        <f>IF($A55="","",SUMIFS(资金流水!$L$5:$L$3032,资金流水!$T$5:$T$3015,$B$2,资金流水!$D$5:$D$3032,IF($E$2="全部","*",$E$2),资金流水!$I$5:$I$3032,$A55))</f>
        <v>#VALUE!</v>
      </c>
      <c r="D55" s="12" t="str">
        <f t="shared" si="2"/>
        <v/>
      </c>
      <c r="F55" s="13" t="s">
        <v>918</v>
      </c>
      <c r="G55" s="14" t="e">
        <f>SUM($G$41:$G$54)</f>
        <v>#VALUE!</v>
      </c>
      <c r="H55" s="15"/>
    </row>
    <row r="56" spans="1:8">
      <c r="A56" s="28" t="str">
        <f>IF(基础资料!$V19="","",基础资料!$V19)</f>
        <v>职工福利费</v>
      </c>
      <c r="B56" s="28" t="str">
        <f>IF(基础资料!$W19="","",基础资料!$W19)</f>
        <v>管理费用</v>
      </c>
      <c r="C56" s="11" t="e">
        <f>IF($A56="","",SUMIFS(资金流水!$L$5:$L$3032,资金流水!$T$5:$T$3015,$B$2,资金流水!$D$5:$D$3032,IF($E$2="全部","*",$E$2),资金流水!$I$5:$I$3032,$A56))</f>
        <v>#VALUE!</v>
      </c>
      <c r="D56" s="12" t="str">
        <f t="shared" si="2"/>
        <v/>
      </c>
    </row>
    <row r="57" spans="1:8">
      <c r="A57" s="28" t="str">
        <f>IF(基础资料!$V20="","",基础资料!$V20)</f>
        <v>其他管理费用</v>
      </c>
      <c r="B57" s="28" t="str">
        <f>IF(基础资料!$W20="","",基础资料!$W20)</f>
        <v>管理费用</v>
      </c>
      <c r="C57" s="11" t="e">
        <f>IF($A57="","",SUMIFS(资金流水!$L$5:$L$3032,资金流水!$T$5:$T$3015,$B$2,资金流水!$D$5:$D$3032,IF($E$2="全部","*",$E$2),资金流水!$I$5:$I$3032,$A57))</f>
        <v>#VALUE!</v>
      </c>
      <c r="D57" s="12" t="str">
        <f t="shared" si="2"/>
        <v/>
      </c>
    </row>
    <row r="58" spans="1:8">
      <c r="A58" s="28" t="str">
        <f>IF(基础资料!$V21="","",基础资料!$V21)</f>
        <v>工资</v>
      </c>
      <c r="B58" s="28" t="str">
        <f>IF(基础资料!$W21="","",基础资料!$W21)</f>
        <v>人工社保</v>
      </c>
      <c r="C58" s="11" t="e">
        <f>IF($A58="","",SUMIFS(资金流水!$L$5:$L$3032,资金流水!$T$5:$T$3015,$B$2,资金流水!$D$5:$D$3032,IF($E$2="全部","*",$E$2),资金流水!$I$5:$I$3032,$A58))</f>
        <v>#VALUE!</v>
      </c>
      <c r="D58" s="12" t="str">
        <f t="shared" si="2"/>
        <v/>
      </c>
    </row>
    <row r="59" spans="1:8">
      <c r="A59" s="28" t="str">
        <f>IF(基础资料!$V22="","",基础资料!$V22)</f>
        <v>奖金/提成</v>
      </c>
      <c r="B59" s="28" t="str">
        <f>IF(基础资料!$W22="","",基础资料!$W22)</f>
        <v>人工社保</v>
      </c>
      <c r="C59" s="11" t="e">
        <f>IF($A59="","",SUMIFS(资金流水!$L$5:$L$3032,资金流水!$T$5:$T$3015,$B$2,资金流水!$D$5:$D$3032,IF($E$2="全部","*",$E$2),资金流水!$I$5:$I$3032,$A59))</f>
        <v>#VALUE!</v>
      </c>
      <c r="D59" s="12" t="str">
        <f t="shared" si="2"/>
        <v/>
      </c>
    </row>
    <row r="60" spans="1:8">
      <c r="A60" s="28" t="str">
        <f>IF(基础资料!$V23="","",基础资料!$V23)</f>
        <v>养老保险</v>
      </c>
      <c r="B60" s="28" t="str">
        <f>IF(基础资料!$W23="","",基础资料!$W23)</f>
        <v>人工社保</v>
      </c>
      <c r="C60" s="11" t="e">
        <f>IF($A60="","",SUMIFS(资金流水!$L$5:$L$3032,资金流水!$T$5:$T$3015,$B$2,资金流水!$D$5:$D$3032,IF($E$2="全部","*",$E$2),资金流水!$I$5:$I$3032,$A60))</f>
        <v>#VALUE!</v>
      </c>
      <c r="D60" s="12" t="str">
        <f t="shared" si="2"/>
        <v/>
      </c>
    </row>
    <row r="61" spans="1:8">
      <c r="A61" s="28" t="str">
        <f>IF(基础资料!$V24="","",基础资料!$V24)</f>
        <v>医疗保险</v>
      </c>
      <c r="B61" s="28" t="str">
        <f>IF(基础资料!$W24="","",基础资料!$W24)</f>
        <v>人工社保</v>
      </c>
      <c r="C61" s="11" t="e">
        <f>IF($A61="","",SUMIFS(资金流水!$L$5:$L$3032,资金流水!$T$5:$T$3015,$B$2,资金流水!$D$5:$D$3032,IF($E$2="全部","*",$E$2),资金流水!$I$5:$I$3032,$A61))</f>
        <v>#VALUE!</v>
      </c>
      <c r="D61" s="12" t="str">
        <f t="shared" si="2"/>
        <v/>
      </c>
    </row>
    <row r="62" spans="1:8">
      <c r="A62" s="28" t="str">
        <f>IF(基础资料!$V25="","",基础资料!$V25)</f>
        <v>失业/工伤保险</v>
      </c>
      <c r="B62" s="28" t="str">
        <f>IF(基础资料!$W25="","",基础资料!$W25)</f>
        <v>人工社保</v>
      </c>
      <c r="C62" s="11" t="e">
        <f>IF($A62="","",SUMIFS(资金流水!$L$5:$L$3032,资金流水!$T$5:$T$3015,$B$2,资金流水!$D$5:$D$3032,IF($E$2="全部","*",$E$2),资金流水!$I$5:$I$3032,$A62))</f>
        <v>#VALUE!</v>
      </c>
      <c r="D62" s="12" t="str">
        <f t="shared" si="2"/>
        <v/>
      </c>
    </row>
    <row r="63" spans="1:8">
      <c r="A63" s="28" t="str">
        <f>IF(基础资料!$V26="","",基础资料!$V26)</f>
        <v>住房公积金</v>
      </c>
      <c r="B63" s="28" t="str">
        <f>IF(基础资料!$W26="","",基础资料!$W26)</f>
        <v>人工社保</v>
      </c>
      <c r="C63" s="11" t="e">
        <f>IF($A63="","",SUMIFS(资金流水!$L$5:$L$3032,资金流水!$T$5:$T$3015,$B$2,资金流水!$D$5:$D$3032,IF($E$2="全部","*",$E$2),资金流水!$I$5:$I$3032,$A63))</f>
        <v>#VALUE!</v>
      </c>
      <c r="D63" s="12" t="str">
        <f t="shared" si="2"/>
        <v/>
      </c>
    </row>
    <row r="64" spans="1:8">
      <c r="A64" s="28" t="str">
        <f>IF(基础资料!$V27="","",基础资料!$V27)</f>
        <v>劳务费</v>
      </c>
      <c r="B64" s="28" t="str">
        <f>IF(基础资料!$W27="","",基础资料!$W27)</f>
        <v>人工社保</v>
      </c>
      <c r="C64" s="11" t="e">
        <f>IF($A64="","",SUMIFS(资金流水!$L$5:$L$3032,资金流水!$T$5:$T$3015,$B$2,资金流水!$D$5:$D$3032,IF($E$2="全部","*",$E$2),资金流水!$I$5:$I$3032,$A64))</f>
        <v>#VALUE!</v>
      </c>
      <c r="D64" s="12" t="str">
        <f t="shared" si="2"/>
        <v/>
      </c>
    </row>
    <row r="65" spans="1:4">
      <c r="A65" s="28" t="str">
        <f>IF(基础资料!$V28="","",基础资料!$V28)</f>
        <v>增值税</v>
      </c>
      <c r="B65" s="28" t="str">
        <f>IF(基础资料!$W28="","",基础资料!$W28)</f>
        <v>税费</v>
      </c>
      <c r="C65" s="11" t="e">
        <f>IF($A65="","",SUMIFS(资金流水!$L$5:$L$3032,资金流水!$T$5:$T$3015,$B$2,资金流水!$D$5:$D$3032,IF($E$2="全部","*",$E$2),资金流水!$I$5:$I$3032,$A65))</f>
        <v>#VALUE!</v>
      </c>
      <c r="D65" s="12" t="str">
        <f t="shared" si="2"/>
        <v/>
      </c>
    </row>
    <row r="66" spans="1:4">
      <c r="A66" s="28" t="str">
        <f>IF(基础资料!$V29="","",基础资料!$V29)</f>
        <v>附加税</v>
      </c>
      <c r="B66" s="28" t="str">
        <f>IF(基础资料!$W29="","",基础资料!$W29)</f>
        <v>税费</v>
      </c>
      <c r="C66" s="11" t="e">
        <f>IF($A66="","",SUMIFS(资金流水!$L$5:$L$3032,资金流水!$T$5:$T$3015,$B$2,资金流水!$D$5:$D$3032,IF($E$2="全部","*",$E$2),资金流水!$I$5:$I$3032,$A66))</f>
        <v>#VALUE!</v>
      </c>
      <c r="D66" s="12" t="str">
        <f t="shared" si="2"/>
        <v/>
      </c>
    </row>
    <row r="67" spans="1:4">
      <c r="A67" s="28" t="str">
        <f>IF(基础资料!$V30="","",基础资料!$V30)</f>
        <v>印花税</v>
      </c>
      <c r="B67" s="28" t="str">
        <f>IF(基础资料!$W30="","",基础资料!$W30)</f>
        <v>税费</v>
      </c>
      <c r="C67" s="11" t="e">
        <f>IF($A67="","",SUMIFS(资金流水!$L$5:$L$3032,资金流水!$T$5:$T$3015,$B$2,资金流水!$D$5:$D$3032,IF($E$2="全部","*",$E$2),资金流水!$I$5:$I$3032,$A67))</f>
        <v>#VALUE!</v>
      </c>
      <c r="D67" s="12" t="str">
        <f t="shared" si="2"/>
        <v/>
      </c>
    </row>
    <row r="68" spans="1:4">
      <c r="A68" s="28" t="str">
        <f>IF(基础资料!$V31="","",基础资料!$V31)</f>
        <v>企业所得税</v>
      </c>
      <c r="B68" s="28" t="str">
        <f>IF(基础资料!$W31="","",基础资料!$W31)</f>
        <v>税费</v>
      </c>
      <c r="C68" s="11" t="e">
        <f>IF($A68="","",SUMIFS(资金流水!$L$5:$L$3032,资金流水!$T$5:$T$3015,$B$2,资金流水!$D$5:$D$3032,IF($E$2="全部","*",$E$2),资金流水!$I$5:$I$3032,$A68))</f>
        <v>#VALUE!</v>
      </c>
      <c r="D68" s="12" t="str">
        <f t="shared" si="2"/>
        <v/>
      </c>
    </row>
    <row r="69" spans="1:4">
      <c r="A69" s="28" t="str">
        <f>IF(基础资料!$V32="","",基础资料!$V32)</f>
        <v>个人所得税</v>
      </c>
      <c r="B69" s="28" t="str">
        <f>IF(基础资料!$W32="","",基础资料!$W32)</f>
        <v>税费</v>
      </c>
      <c r="C69" s="11" t="e">
        <f>IF($A69="","",SUMIFS(资金流水!$L$5:$L$3032,资金流水!$T$5:$T$3015,$B$2,资金流水!$D$5:$D$3032,IF($E$2="全部","*",$E$2),资金流水!$I$5:$I$3032,$A69))</f>
        <v>#VALUE!</v>
      </c>
      <c r="D69" s="12" t="str">
        <f t="shared" si="2"/>
        <v/>
      </c>
    </row>
    <row r="70" spans="1:4">
      <c r="A70" s="28" t="str">
        <f>IF(基础资料!$V33="","",基础资料!$V33)</f>
        <v>其他税费</v>
      </c>
      <c r="B70" s="28" t="str">
        <f>IF(基础资料!$W33="","",基础资料!$W33)</f>
        <v>税费</v>
      </c>
      <c r="C70" s="11" t="e">
        <f>IF($A70="","",SUMIFS(资金流水!$L$5:$L$3032,资金流水!$T$5:$T$3015,$B$2,资金流水!$D$5:$D$3032,IF($E$2="全部","*",$E$2),资金流水!$I$5:$I$3032,$A70))</f>
        <v>#VALUE!</v>
      </c>
      <c r="D70" s="12" t="str">
        <f t="shared" si="2"/>
        <v/>
      </c>
    </row>
    <row r="71" spans="1:4">
      <c r="A71" s="28" t="str">
        <f>IF(基础资料!$V34="","",基础资料!$V34)</f>
        <v>银行手续费</v>
      </c>
      <c r="B71" s="28" t="str">
        <f>IF(基础资料!$W34="","",基础资料!$W34)</f>
        <v>财务费用</v>
      </c>
      <c r="C71" s="11" t="e">
        <f>IF($A71="","",SUMIFS(资金流水!$L$5:$L$3032,资金流水!$T$5:$T$3015,$B$2,资金流水!$D$5:$D$3032,IF($E$2="全部","*",$E$2),资金流水!$I$5:$I$3032,$A71))</f>
        <v>#VALUE!</v>
      </c>
      <c r="D71" s="12" t="str">
        <f t="shared" si="2"/>
        <v/>
      </c>
    </row>
    <row r="72" spans="1:4">
      <c r="A72" s="28" t="str">
        <f>IF(基础资料!$V35="","",基础资料!$V35)</f>
        <v>利息支出</v>
      </c>
      <c r="B72" s="28" t="str">
        <f>IF(基础资料!$W35="","",基础资料!$W35)</f>
        <v>财务费用</v>
      </c>
      <c r="C72" s="11" t="e">
        <f>IF($A72="","",SUMIFS(资金流水!$L$5:$L$3032,资金流水!$T$5:$T$3015,$B$2,资金流水!$D$5:$D$3032,IF($E$2="全部","*",$E$2),资金流水!$I$5:$I$3032,$A72))</f>
        <v>#VALUE!</v>
      </c>
      <c r="D72" s="12" t="str">
        <f t="shared" si="2"/>
        <v/>
      </c>
    </row>
    <row r="73" spans="1:4">
      <c r="A73" s="28" t="str">
        <f>IF(基础资料!$V36="","",基础资料!$V36)</f>
        <v>汇兑损益</v>
      </c>
      <c r="B73" s="28" t="str">
        <f>IF(基础资料!$W36="","",基础资料!$W36)</f>
        <v>财务费用</v>
      </c>
      <c r="C73" s="11" t="e">
        <f>IF($A73="","",SUMIFS(资金流水!$L$5:$L$3032,资金流水!$T$5:$T$3015,$B$2,资金流水!$D$5:$D$3032,IF($E$2="全部","*",$E$2),资金流水!$I$5:$I$3032,$A73))</f>
        <v>#VALUE!</v>
      </c>
      <c r="D73" s="12" t="str">
        <f t="shared" si="2"/>
        <v/>
      </c>
    </row>
    <row r="74" spans="1:4">
      <c r="A74" s="28" t="str">
        <f>IF(基础资料!$V37="","",基础资料!$V37)</f>
        <v>投标保证金</v>
      </c>
      <c r="B74" s="28" t="str">
        <f>IF(基础资料!$W37="","",基础资料!$W37)</f>
        <v>往来及保证金</v>
      </c>
      <c r="C74" s="11" t="e">
        <f>IF($A74="","",SUMIFS(资金流水!$L$5:$L$3032,资金流水!$T$5:$T$3015,$B$2,资金流水!$D$5:$D$3032,IF($E$2="全部","*",$E$2),资金流水!$I$5:$I$3032,$A74))</f>
        <v>#VALUE!</v>
      </c>
      <c r="D74" s="12" t="str">
        <f t="shared" si="2"/>
        <v/>
      </c>
    </row>
    <row r="75" spans="1:4">
      <c r="A75" s="28" t="str">
        <f>IF(基础资料!$V38="","",基础资料!$V38)</f>
        <v>履约保证金</v>
      </c>
      <c r="B75" s="28" t="str">
        <f>IF(基础资料!$W38="","",基础资料!$W38)</f>
        <v>往来及保证金</v>
      </c>
      <c r="C75" s="11" t="e">
        <f>IF($A75="","",SUMIFS(资金流水!$L$5:$L$3032,资金流水!$T$5:$T$3015,$B$2,资金流水!$D$5:$D$3032,IF($E$2="全部","*",$E$2),资金流水!$I$5:$I$3032,$A75))</f>
        <v>#VALUE!</v>
      </c>
      <c r="D75" s="12" t="str">
        <f t="shared" si="2"/>
        <v/>
      </c>
    </row>
    <row r="76" spans="1:4">
      <c r="A76" s="28" t="str">
        <f>IF(基础资料!$V39="","",基础资料!$V39)</f>
        <v>备用金借出</v>
      </c>
      <c r="B76" s="28" t="str">
        <f>IF(基础资料!$W39="","",基础资料!$W39)</f>
        <v>往来及保证金</v>
      </c>
      <c r="C76" s="11" t="e">
        <f>IF($A76="","",SUMIFS(资金流水!$L$5:$L$3032,资金流水!$T$5:$T$3015,$B$2,资金流水!$D$5:$D$3032,IF($E$2="全部","*",$E$2),资金流水!$I$5:$I$3032,$A76))</f>
        <v>#VALUE!</v>
      </c>
      <c r="D76" s="12" t="str">
        <f t="shared" si="2"/>
        <v/>
      </c>
    </row>
    <row r="77" spans="1:4">
      <c r="A77" s="28" t="str">
        <f>IF(基础资料!$V40="","",基础资料!$V40)</f>
        <v>股东分红/抽资</v>
      </c>
      <c r="B77" s="28" t="str">
        <f>IF(基础资料!$W40="","",基础资料!$W40)</f>
        <v>往来及保证金</v>
      </c>
      <c r="C77" s="11" t="e">
        <f>IF($A77="","",SUMIFS(资金流水!$L$5:$L$3032,资金流水!$T$5:$T$3015,$B$2,资金流水!$D$5:$D$3032,IF($E$2="全部","*",$E$2),资金流水!$I$5:$I$3032,$A77))</f>
        <v>#VALUE!</v>
      </c>
      <c r="D77" s="12" t="str">
        <f t="shared" si="2"/>
        <v/>
      </c>
    </row>
    <row r="78" spans="1:4">
      <c r="A78" s="28" t="str">
        <f>IF(基础资料!$V41="","",基础资料!$V41)</f>
        <v>内部调拨转出</v>
      </c>
      <c r="B78" s="28" t="str">
        <f>IF(基础资料!$W41="","",基础资料!$W41)</f>
        <v>往来及保证金</v>
      </c>
      <c r="C78" s="11" t="e">
        <f>IF($A78="","",SUMIFS(资金流水!$L$5:$L$3032,资金流水!$T$5:$T$3015,$B$2,资金流水!$D$5:$D$3032,IF($E$2="全部","*",$E$2),资金流水!$I$5:$I$3032,$A78))</f>
        <v>#VALUE!</v>
      </c>
      <c r="D78" s="12" t="str">
        <f t="shared" si="2"/>
        <v/>
      </c>
    </row>
    <row r="79" spans="1:4">
      <c r="A79" s="28" t="str">
        <f>IF(基础资料!$V42="","",基础资料!$V42)</f>
        <v/>
      </c>
      <c r="B79" s="28" t="str">
        <f>IF(基础资料!$W42="","",基础资料!$W42)</f>
        <v/>
      </c>
      <c r="C79" s="11" t="str">
        <f>IF($A79="","",SUMIFS(资金流水!$L$5:$L$3032,资金流水!$T$5:$T$3015,$B$2,资金流水!$D$5:$D$3032,IF($E$2="全部","*",$E$2),资金流水!$I$5:$I$3032,$A79))</f>
        <v/>
      </c>
      <c r="D79" s="12" t="str">
        <f t="shared" si="2"/>
        <v/>
      </c>
    </row>
    <row r="80" spans="1:4">
      <c r="A80" s="28" t="str">
        <f>IF(基础资料!$V43="","",基础资料!$V43)</f>
        <v/>
      </c>
      <c r="B80" s="28" t="str">
        <f>IF(基础资料!$W43="","",基础资料!$W43)</f>
        <v/>
      </c>
      <c r="C80" s="11" t="str">
        <f>IF($A80="","",SUMIFS(资金流水!$L$5:$L$3032,资金流水!$T$5:$T$3015,$B$2,资金流水!$D$5:$D$3032,IF($E$2="全部","*",$E$2),资金流水!$I$5:$I$3032,$A80))</f>
        <v/>
      </c>
      <c r="D80" s="12" t="str">
        <f t="shared" si="2"/>
        <v/>
      </c>
    </row>
    <row r="81" spans="1:8">
      <c r="A81" s="28" t="str">
        <f>IF(基础资料!$V44="","",基础资料!$V44)</f>
        <v/>
      </c>
      <c r="B81" s="28" t="str">
        <f>IF(基础资料!$W44="","",基础资料!$W44)</f>
        <v/>
      </c>
      <c r="C81" s="11" t="str">
        <f>IF($A81="","",SUMIFS(资金流水!$L$5:$L$3032,资金流水!$T$5:$T$3015,$B$2,资金流水!$D$5:$D$3032,IF($E$2="全部","*",$E$2),资金流水!$I$5:$I$3032,$A81))</f>
        <v/>
      </c>
      <c r="D81" s="12" t="str">
        <f t="shared" si="2"/>
        <v/>
      </c>
    </row>
    <row r="82" spans="1:8">
      <c r="A82" s="28" t="str">
        <f>IF(基础资料!$V45="","",基础资料!$V45)</f>
        <v/>
      </c>
      <c r="B82" s="28" t="str">
        <f>IF(基础资料!$W45="","",基础资料!$W45)</f>
        <v/>
      </c>
      <c r="C82" s="11" t="str">
        <f>IF($A82="","",SUMIFS(资金流水!$L$5:$L$3032,资金流水!$T$5:$T$3015,$B$2,资金流水!$D$5:$D$3032,IF($E$2="全部","*",$E$2),资金流水!$I$5:$I$3032,$A82))</f>
        <v/>
      </c>
      <c r="D82" s="12" t="str">
        <f t="shared" si="2"/>
        <v/>
      </c>
    </row>
    <row r="83" spans="1:8">
      <c r="A83" s="28" t="str">
        <f>IF(基础资料!$V46="","",基础资料!$V46)</f>
        <v/>
      </c>
      <c r="B83" s="28" t="str">
        <f>IF(基础资料!$W46="","",基础资料!$W46)</f>
        <v/>
      </c>
      <c r="C83" s="11" t="str">
        <f>IF($A83="","",SUMIFS(资金流水!$L$5:$L$3032,资金流水!$T$5:$T$3015,$B$2,资金流水!$D$5:$D$3032,IF($E$2="全部","*",$E$2),资金流水!$I$5:$I$3032,$A83))</f>
        <v/>
      </c>
      <c r="D83" s="12" t="str">
        <f t="shared" si="2"/>
        <v/>
      </c>
    </row>
    <row r="84" spans="1:8">
      <c r="A84" s="28" t="str">
        <f>IF(基础资料!$V47="","",基础资料!$V47)</f>
        <v/>
      </c>
      <c r="B84" s="28" t="str">
        <f>IF(基础资料!$W47="","",基础资料!$W47)</f>
        <v/>
      </c>
      <c r="C84" s="11" t="str">
        <f>IF($A84="","",SUMIFS(资金流水!$L$5:$L$3032,资金流水!$T$5:$T$3015,$B$2,资金流水!$D$5:$D$3032,IF($E$2="全部","*",$E$2),资金流水!$I$5:$I$3032,$A84))</f>
        <v/>
      </c>
      <c r="D84" s="12" t="str">
        <f t="shared" si="2"/>
        <v/>
      </c>
    </row>
    <row r="85" spans="1:8">
      <c r="A85" s="28" t="str">
        <f>IF(基础资料!$V48="","",基础资料!$V48)</f>
        <v/>
      </c>
      <c r="B85" s="28" t="str">
        <f>IF(基础资料!$W48="","",基础资料!$W48)</f>
        <v/>
      </c>
      <c r="C85" s="11" t="str">
        <f>IF($A85="","",SUMIFS(资金流水!$L$5:$L$3032,资金流水!$T$5:$T$3015,$B$2,资金流水!$D$5:$D$3032,IF($E$2="全部","*",$E$2),资金流水!$I$5:$I$3032,$A85))</f>
        <v/>
      </c>
      <c r="D85" s="12" t="str">
        <f t="shared" si="2"/>
        <v/>
      </c>
    </row>
    <row r="86" spans="1:8">
      <c r="A86" s="28" t="str">
        <f>IF(基础资料!$V49="","",基础资料!$V49)</f>
        <v/>
      </c>
      <c r="B86" s="28" t="str">
        <f>IF(基础资料!$W49="","",基础资料!$W49)</f>
        <v/>
      </c>
      <c r="C86" s="11" t="str">
        <f>IF($A86="","",SUMIFS(资金流水!$L$5:$L$3032,资金流水!$T$5:$T$3015,$B$2,资金流水!$D$5:$D$3032,IF($E$2="全部","*",$E$2),资金流水!$I$5:$I$3032,$A86))</f>
        <v/>
      </c>
      <c r="D86" s="12" t="str">
        <f t="shared" si="2"/>
        <v/>
      </c>
    </row>
    <row r="87" spans="1:8">
      <c r="A87" s="13" t="s">
        <v>919</v>
      </c>
      <c r="B87" s="15"/>
      <c r="C87" s="14" t="e">
        <f>SUM($C$41:$C$86)-SUMIF($B$41:$B$86,"往来及保证金",$C$41:$C$86)</f>
        <v>#VALUE!</v>
      </c>
      <c r="D87" s="15"/>
    </row>
    <row r="89" ht="21.75" customHeight="1" spans="1:8">
      <c r="A89" s="8" t="s">
        <v>920</v>
      </c>
      <c r="B89" s="8"/>
      <c r="C89" s="8"/>
      <c r="D89" s="8"/>
      <c r="E89" s="8"/>
      <c r="F89" s="8"/>
      <c r="G89" s="8"/>
      <c r="H89" s="8"/>
    </row>
    <row r="90" ht="31.5" customHeight="1" spans="1:8">
      <c r="A90" s="9" t="s">
        <v>834</v>
      </c>
      <c r="B90" s="9" t="s">
        <v>57</v>
      </c>
      <c r="C90" s="9" t="s">
        <v>921</v>
      </c>
      <c r="D90" s="9" t="s">
        <v>886</v>
      </c>
      <c r="E90" s="9" t="s">
        <v>922</v>
      </c>
      <c r="F90" s="9" t="s">
        <v>923</v>
      </c>
      <c r="G90" s="9" t="s">
        <v>889</v>
      </c>
      <c r="H90" s="9" t="s">
        <v>890</v>
      </c>
    </row>
    <row r="91" spans="1:8">
      <c r="A91" s="28" t="str">
        <f>IF(基础资料!$A4="","",基础资料!$A4)</f>
        <v>双思威</v>
      </c>
      <c r="B91" s="28" t="str">
        <f>IF(OR($A91="",AND($E$2&lt;&gt;"全部",$A91&lt;&gt;$E$2)),"",基础资料!$C4)</f>
        <v>一般纳税人</v>
      </c>
      <c r="C91" s="11" t="e">
        <f>IF(OR($A91="",AND($E$2&lt;&gt;"全部",$A91&lt;&gt;$E$2)),"",SUMIFS(资金流水!$K$5:$K$3032,资金流水!$S$5:$S$3015,$B$2,资金流水!$D$5:$D$3032,$A91))</f>
        <v>#VALUE!</v>
      </c>
      <c r="D91" s="11" t="e">
        <f>IF(OR($A91="",AND($E$2&lt;&gt;"全部",$A91&lt;&gt;$E$2)),"",SUMIFS(资金流水!$L$5:$L$3032,资金流水!$S$5:$S$3015,$B$2,资金流水!$D$5:$D$3032,$A91))</f>
        <v>#VALUE!</v>
      </c>
      <c r="E91" s="11" t="e">
        <f t="shared" ref="E91:E98" si="4">IF(OR($A91="",AND($E$2&lt;&gt;"全部",$A91&lt;&gt;$E$2)),"",$C91-$D91)</f>
        <v>#VALUE!</v>
      </c>
      <c r="F91" s="11" t="e">
        <f>IF(OR($A91="",AND($E$2&lt;&gt;"全部",$A91&lt;&gt;$E$2)),"",IF(基础资料!$AH$4="不含税金额",SUMIFS(开票登记!$J$5:$J$504,开票登记!$R$5:$R$504,$B$2,开票登记!$C$5:$C$504,$A91),SUMIFS(开票登记!$M$5:$M$504,开票登记!$R$5:$R$504,$B$2,开票登记!$C$5:$C$504,$A91))+SUMIFS(资金流水!$K$5:$K$3032,资金流水!$T$5:$T$3015,$B$2,资金流水!$D$5:$D$3032,$A91,资金流水!$X$5:$X$3015,"非经营收入"))</f>
        <v>#VALUE!</v>
      </c>
      <c r="G91" s="11" t="e">
        <f>IF(OR($A91="",AND($E$2&lt;&gt;"全部",$A91&lt;&gt;$E$2)),"",SUMIFS(资金流水!$L$5:$L$3032,资金流水!$T$5:$T$3015,$B$2,资金流水!$D$5:$D$3032,$A91,资金流水!$W$5:$W$3015,"项目成本")+SUMIFS(资金流水!$L$5:$L$3032,资金流水!$T$5:$T$3015,$B$2,资金流水!$D$5:$D$3032,$A91,资金流水!$W$5:$W$3015,"管理费用")+SUMIFS(资金流水!$L$5:$L$3032,资金流水!$T$5:$T$3015,$B$2,资金流水!$D$5:$D$3032,$A91,资金流水!$W$5:$W$3015,"人工社保")+SUMIFS(资金流水!$L$5:$L$3032,资金流水!$T$5:$T$3015,$B$2,资金流水!$D$5:$D$3032,$A91,资金流水!$W$5:$W$3015,"税费")+SUMIFS(资金流水!$L$5:$L$3032,资金流水!$T$5:$T$3015,$B$2,资金流水!$D$5:$D$3032,$A91,资金流水!$W$5:$W$3015,"财务费用"))</f>
        <v>#VALUE!</v>
      </c>
      <c r="H91" s="11" t="e">
        <f t="shared" ref="H91:H98" si="5">IF(OR($A91="",AND($E$2&lt;&gt;"全部",$A91&lt;&gt;$E$2)),"",$F91-$G91)</f>
        <v>#VALUE!</v>
      </c>
    </row>
    <row r="92" spans="1:8">
      <c r="A92" s="28" t="str">
        <f>IF(基础资料!$A5="","",基础资料!$A5)</f>
        <v>晨拓</v>
      </c>
      <c r="B92" s="28" t="str">
        <f>IF(OR($A92="",AND($E$2&lt;&gt;"全部",$A92&lt;&gt;$E$2)),"",基础资料!$C5)</f>
        <v>一般纳税人</v>
      </c>
      <c r="C92" s="11" t="e">
        <f>IF(OR($A92="",AND($E$2&lt;&gt;"全部",$A92&lt;&gt;$E$2)),"",SUMIFS(资金流水!$K$5:$K$3032,资金流水!$S$5:$S$3015,$B$2,资金流水!$D$5:$D$3032,$A92))</f>
        <v>#VALUE!</v>
      </c>
      <c r="D92" s="11" t="e">
        <f>IF(OR($A92="",AND($E$2&lt;&gt;"全部",$A92&lt;&gt;$E$2)),"",SUMIFS(资金流水!$L$5:$L$3032,资金流水!$S$5:$S$3015,$B$2,资金流水!$D$5:$D$3032,$A92))</f>
        <v>#VALUE!</v>
      </c>
      <c r="E92" s="11" t="e">
        <f t="shared" si="4"/>
        <v>#VALUE!</v>
      </c>
      <c r="F92" s="11" t="e">
        <f>IF(OR($A92="",AND($E$2&lt;&gt;"全部",$A92&lt;&gt;$E$2)),"",IF(基础资料!$AH$4="不含税金额",SUMIFS(开票登记!$J$5:$J$504,开票登记!$R$5:$R$504,$B$2,开票登记!$C$5:$C$504,$A92),SUMIFS(开票登记!$M$5:$M$504,开票登记!$R$5:$R$504,$B$2,开票登记!$C$5:$C$504,$A92))+SUMIFS(资金流水!$K$5:$K$3032,资金流水!$T$5:$T$3015,$B$2,资金流水!$D$5:$D$3032,$A92,资金流水!$X$5:$X$3015,"非经营收入"))</f>
        <v>#VALUE!</v>
      </c>
      <c r="G92" s="11" t="e">
        <f>IF(OR($A92="",AND($E$2&lt;&gt;"全部",$A92&lt;&gt;$E$2)),"",SUMIFS(资金流水!$L$5:$L$3032,资金流水!$T$5:$T$3015,$B$2,资金流水!$D$5:$D$3032,$A92,资金流水!$W$5:$W$3015,"项目成本")+SUMIFS(资金流水!$L$5:$L$3032,资金流水!$T$5:$T$3015,$B$2,资金流水!$D$5:$D$3032,$A92,资金流水!$W$5:$W$3015,"管理费用")+SUMIFS(资金流水!$L$5:$L$3032,资金流水!$T$5:$T$3015,$B$2,资金流水!$D$5:$D$3032,$A92,资金流水!$W$5:$W$3015,"人工社保")+SUMIFS(资金流水!$L$5:$L$3032,资金流水!$T$5:$T$3015,$B$2,资金流水!$D$5:$D$3032,$A92,资金流水!$W$5:$W$3015,"税费")+SUMIFS(资金流水!$L$5:$L$3032,资金流水!$T$5:$T$3015,$B$2,资金流水!$D$5:$D$3032,$A92,资金流水!$W$5:$W$3015,"财务费用"))</f>
        <v>#VALUE!</v>
      </c>
      <c r="H92" s="11" t="e">
        <f t="shared" si="5"/>
        <v>#VALUE!</v>
      </c>
    </row>
    <row r="93" spans="1:8">
      <c r="A93" s="28" t="str">
        <f>IF(基础资料!$A6="","",基础资料!$A6)</f>
        <v>瑞盛天</v>
      </c>
      <c r="B93" s="28" t="str">
        <f>IF(OR($A93="",AND($E$2&lt;&gt;"全部",$A93&lt;&gt;$E$2)),"",基础资料!$C6)</f>
        <v>一般纳税人</v>
      </c>
      <c r="C93" s="11" t="e">
        <f>IF(OR($A93="",AND($E$2&lt;&gt;"全部",$A93&lt;&gt;$E$2)),"",SUMIFS(资金流水!$K$5:$K$3032,资金流水!$S$5:$S$3015,$B$2,资金流水!$D$5:$D$3032,$A93))</f>
        <v>#VALUE!</v>
      </c>
      <c r="D93" s="11" t="e">
        <f>IF(OR($A93="",AND($E$2&lt;&gt;"全部",$A93&lt;&gt;$E$2)),"",SUMIFS(资金流水!$L$5:$L$3032,资金流水!$S$5:$S$3015,$B$2,资金流水!$D$5:$D$3032,$A93))</f>
        <v>#VALUE!</v>
      </c>
      <c r="E93" s="11" t="e">
        <f t="shared" si="4"/>
        <v>#VALUE!</v>
      </c>
      <c r="F93" s="11" t="e">
        <f>IF(OR($A93="",AND($E$2&lt;&gt;"全部",$A93&lt;&gt;$E$2)),"",IF(基础资料!$AH$4="不含税金额",SUMIFS(开票登记!$J$5:$J$504,开票登记!$R$5:$R$504,$B$2,开票登记!$C$5:$C$504,$A93),SUMIFS(开票登记!$M$5:$M$504,开票登记!$R$5:$R$504,$B$2,开票登记!$C$5:$C$504,$A93))+SUMIFS(资金流水!$K$5:$K$3032,资金流水!$T$5:$T$3015,$B$2,资金流水!$D$5:$D$3032,$A93,资金流水!$X$5:$X$3015,"非经营收入"))</f>
        <v>#VALUE!</v>
      </c>
      <c r="G93" s="11" t="e">
        <f>IF(OR($A93="",AND($E$2&lt;&gt;"全部",$A93&lt;&gt;$E$2)),"",SUMIFS(资金流水!$L$5:$L$3032,资金流水!$T$5:$T$3015,$B$2,资金流水!$D$5:$D$3032,$A93,资金流水!$W$5:$W$3015,"项目成本")+SUMIFS(资金流水!$L$5:$L$3032,资金流水!$T$5:$T$3015,$B$2,资金流水!$D$5:$D$3032,$A93,资金流水!$W$5:$W$3015,"管理费用")+SUMIFS(资金流水!$L$5:$L$3032,资金流水!$T$5:$T$3015,$B$2,资金流水!$D$5:$D$3032,$A93,资金流水!$W$5:$W$3015,"人工社保")+SUMIFS(资金流水!$L$5:$L$3032,资金流水!$T$5:$T$3015,$B$2,资金流水!$D$5:$D$3032,$A93,资金流水!$W$5:$W$3015,"税费")+SUMIFS(资金流水!$L$5:$L$3032,资金流水!$T$5:$T$3015,$B$2,资金流水!$D$5:$D$3032,$A93,资金流水!$W$5:$W$3015,"财务费用"))</f>
        <v>#VALUE!</v>
      </c>
      <c r="H93" s="11" t="e">
        <f t="shared" si="5"/>
        <v>#VALUE!</v>
      </c>
    </row>
    <row r="94" spans="1:8">
      <c r="A94" s="28" t="str">
        <f>IF(基础资料!$A7="","",基础资料!$A7)</f>
        <v>鑫海特</v>
      </c>
      <c r="B94" s="28" t="str">
        <f>IF(OR($A94="",AND($E$2&lt;&gt;"全部",$A94&lt;&gt;$E$2)),"",基础资料!$C7)</f>
        <v>一般纳税人</v>
      </c>
      <c r="C94" s="11" t="e">
        <f>IF(OR($A94="",AND($E$2&lt;&gt;"全部",$A94&lt;&gt;$E$2)),"",SUMIFS(资金流水!$K$5:$K$3032,资金流水!$S$5:$S$3015,$B$2,资金流水!$D$5:$D$3032,$A94))</f>
        <v>#VALUE!</v>
      </c>
      <c r="D94" s="11" t="e">
        <f>IF(OR($A94="",AND($E$2&lt;&gt;"全部",$A94&lt;&gt;$E$2)),"",SUMIFS(资金流水!$L$5:$L$3032,资金流水!$S$5:$S$3015,$B$2,资金流水!$D$5:$D$3032,$A94))</f>
        <v>#VALUE!</v>
      </c>
      <c r="E94" s="11" t="e">
        <f t="shared" si="4"/>
        <v>#VALUE!</v>
      </c>
      <c r="F94" s="11" t="e">
        <f>IF(OR($A94="",AND($E$2&lt;&gt;"全部",$A94&lt;&gt;$E$2)),"",IF(基础资料!$AH$4="不含税金额",SUMIFS(开票登记!$J$5:$J$504,开票登记!$R$5:$R$504,$B$2,开票登记!$C$5:$C$504,$A94),SUMIFS(开票登记!$M$5:$M$504,开票登记!$R$5:$R$504,$B$2,开票登记!$C$5:$C$504,$A94))+SUMIFS(资金流水!$K$5:$K$3032,资金流水!$T$5:$T$3015,$B$2,资金流水!$D$5:$D$3032,$A94,资金流水!$X$5:$X$3015,"非经营收入"))</f>
        <v>#VALUE!</v>
      </c>
      <c r="G94" s="11" t="e">
        <f>IF(OR($A94="",AND($E$2&lt;&gt;"全部",$A94&lt;&gt;$E$2)),"",SUMIFS(资金流水!$L$5:$L$3032,资金流水!$T$5:$T$3015,$B$2,资金流水!$D$5:$D$3032,$A94,资金流水!$W$5:$W$3015,"项目成本")+SUMIFS(资金流水!$L$5:$L$3032,资金流水!$T$5:$T$3015,$B$2,资金流水!$D$5:$D$3032,$A94,资金流水!$W$5:$W$3015,"管理费用")+SUMIFS(资金流水!$L$5:$L$3032,资金流水!$T$5:$T$3015,$B$2,资金流水!$D$5:$D$3032,$A94,资金流水!$W$5:$W$3015,"人工社保")+SUMIFS(资金流水!$L$5:$L$3032,资金流水!$T$5:$T$3015,$B$2,资金流水!$D$5:$D$3032,$A94,资金流水!$W$5:$W$3015,"税费")+SUMIFS(资金流水!$L$5:$L$3032,资金流水!$T$5:$T$3015,$B$2,资金流水!$D$5:$D$3032,$A94,资金流水!$W$5:$W$3015,"财务费用"))</f>
        <v>#VALUE!</v>
      </c>
      <c r="H94" s="11" t="e">
        <f t="shared" si="5"/>
        <v>#VALUE!</v>
      </c>
    </row>
    <row r="95" spans="1:8">
      <c r="A95" s="28" t="str">
        <f>IF(基础资料!$A8="","",基础资料!$A8)</f>
        <v>中展</v>
      </c>
      <c r="B95" s="28" t="str">
        <f>IF(OR($A95="",AND($E$2&lt;&gt;"全部",$A95&lt;&gt;$E$2)),"",基础资料!$C8)</f>
        <v>小规模纳税人</v>
      </c>
      <c r="C95" s="11" t="e">
        <f>IF(OR($A95="",AND($E$2&lt;&gt;"全部",$A95&lt;&gt;$E$2)),"",SUMIFS(资金流水!$K$5:$K$3032,资金流水!$S$5:$S$3015,$B$2,资金流水!$D$5:$D$3032,$A95))</f>
        <v>#VALUE!</v>
      </c>
      <c r="D95" s="11" t="e">
        <f>IF(OR($A95="",AND($E$2&lt;&gt;"全部",$A95&lt;&gt;$E$2)),"",SUMIFS(资金流水!$L$5:$L$3032,资金流水!$S$5:$S$3015,$B$2,资金流水!$D$5:$D$3032,$A95))</f>
        <v>#VALUE!</v>
      </c>
      <c r="E95" s="11" t="e">
        <f t="shared" si="4"/>
        <v>#VALUE!</v>
      </c>
      <c r="F95" s="11" t="e">
        <f>IF(OR($A95="",AND($E$2&lt;&gt;"全部",$A95&lt;&gt;$E$2)),"",IF(基础资料!$AH$4="不含税金额",SUMIFS(开票登记!$J$5:$J$504,开票登记!$R$5:$R$504,$B$2,开票登记!$C$5:$C$504,$A95),SUMIFS(开票登记!$M$5:$M$504,开票登记!$R$5:$R$504,$B$2,开票登记!$C$5:$C$504,$A95))+SUMIFS(资金流水!$K$5:$K$3032,资金流水!$T$5:$T$3015,$B$2,资金流水!$D$5:$D$3032,$A95,资金流水!$X$5:$X$3015,"非经营收入"))</f>
        <v>#VALUE!</v>
      </c>
      <c r="G95" s="11" t="e">
        <f>IF(OR($A95="",AND($E$2&lt;&gt;"全部",$A95&lt;&gt;$E$2)),"",SUMIFS(资金流水!$L$5:$L$3032,资金流水!$T$5:$T$3015,$B$2,资金流水!$D$5:$D$3032,$A95,资金流水!$W$5:$W$3015,"项目成本")+SUMIFS(资金流水!$L$5:$L$3032,资金流水!$T$5:$T$3015,$B$2,资金流水!$D$5:$D$3032,$A95,资金流水!$W$5:$W$3015,"管理费用")+SUMIFS(资金流水!$L$5:$L$3032,资金流水!$T$5:$T$3015,$B$2,资金流水!$D$5:$D$3032,$A95,资金流水!$W$5:$W$3015,"人工社保")+SUMIFS(资金流水!$L$5:$L$3032,资金流水!$T$5:$T$3015,$B$2,资金流水!$D$5:$D$3032,$A95,资金流水!$W$5:$W$3015,"税费")+SUMIFS(资金流水!$L$5:$L$3032,资金流水!$T$5:$T$3015,$B$2,资金流水!$D$5:$D$3032,$A95,资金流水!$W$5:$W$3015,"财务费用"))</f>
        <v>#VALUE!</v>
      </c>
      <c r="H95" s="11" t="e">
        <f t="shared" si="5"/>
        <v>#VALUE!</v>
      </c>
    </row>
    <row r="96" spans="1:8">
      <c r="A96" s="28" t="str">
        <f>IF(基础资料!$A9="","",基础资料!$A9)</f>
        <v>元界极光</v>
      </c>
      <c r="B96" s="28" t="str">
        <f>IF(OR($A96="",AND($E$2&lt;&gt;"全部",$A96&lt;&gt;$E$2)),"",基础资料!$C9)</f>
        <v>小规模纳税人</v>
      </c>
      <c r="C96" s="11" t="e">
        <f>IF(OR($A96="",AND($E$2&lt;&gt;"全部",$A96&lt;&gt;$E$2)),"",SUMIFS(资金流水!$K$5:$K$3032,资金流水!$S$5:$S$3015,$B$2,资金流水!$D$5:$D$3032,$A96))</f>
        <v>#VALUE!</v>
      </c>
      <c r="D96" s="11" t="e">
        <f>IF(OR($A96="",AND($E$2&lt;&gt;"全部",$A96&lt;&gt;$E$2)),"",SUMIFS(资金流水!$L$5:$L$3032,资金流水!$S$5:$S$3015,$B$2,资金流水!$D$5:$D$3032,$A96))</f>
        <v>#VALUE!</v>
      </c>
      <c r="E96" s="11" t="e">
        <f t="shared" si="4"/>
        <v>#VALUE!</v>
      </c>
      <c r="F96" s="11" t="e">
        <f>IF(OR($A96="",AND($E$2&lt;&gt;"全部",$A96&lt;&gt;$E$2)),"",IF(基础资料!$AH$4="不含税金额",SUMIFS(开票登记!$J$5:$J$504,开票登记!$R$5:$R$504,$B$2,开票登记!$C$5:$C$504,$A96),SUMIFS(开票登记!$M$5:$M$504,开票登记!$R$5:$R$504,$B$2,开票登记!$C$5:$C$504,$A96))+SUMIFS(资金流水!$K$5:$K$3032,资金流水!$T$5:$T$3015,$B$2,资金流水!$D$5:$D$3032,$A96,资金流水!$X$5:$X$3015,"非经营收入"))</f>
        <v>#VALUE!</v>
      </c>
      <c r="G96" s="11" t="e">
        <f>IF(OR($A96="",AND($E$2&lt;&gt;"全部",$A96&lt;&gt;$E$2)),"",SUMIFS(资金流水!$L$5:$L$3032,资金流水!$T$5:$T$3015,$B$2,资金流水!$D$5:$D$3032,$A96,资金流水!$W$5:$W$3015,"项目成本")+SUMIFS(资金流水!$L$5:$L$3032,资金流水!$T$5:$T$3015,$B$2,资金流水!$D$5:$D$3032,$A96,资金流水!$W$5:$W$3015,"管理费用")+SUMIFS(资金流水!$L$5:$L$3032,资金流水!$T$5:$T$3015,$B$2,资金流水!$D$5:$D$3032,$A96,资金流水!$W$5:$W$3015,"人工社保")+SUMIFS(资金流水!$L$5:$L$3032,资金流水!$T$5:$T$3015,$B$2,资金流水!$D$5:$D$3032,$A96,资金流水!$W$5:$W$3015,"税费")+SUMIFS(资金流水!$L$5:$L$3032,资金流水!$T$5:$T$3015,$B$2,资金流水!$D$5:$D$3032,$A96,资金流水!$W$5:$W$3015,"财务费用"))</f>
        <v>#VALUE!</v>
      </c>
      <c r="H96" s="11" t="e">
        <f t="shared" si="5"/>
        <v>#VALUE!</v>
      </c>
    </row>
    <row r="97" spans="1:8">
      <c r="A97" s="28" t="str">
        <f>IF(基础资料!$A10="","",基础资料!$A10)</f>
        <v>元界启辰</v>
      </c>
      <c r="B97" s="28" t="str">
        <f>IF(OR($A97="",AND($E$2&lt;&gt;"全部",$A97&lt;&gt;$E$2)),"",基础资料!$C10)</f>
        <v>小规模纳税人</v>
      </c>
      <c r="C97" s="11" t="e">
        <f>IF(OR($A97="",AND($E$2&lt;&gt;"全部",$A97&lt;&gt;$E$2)),"",SUMIFS(资金流水!$K$5:$K$3032,资金流水!$S$5:$S$3015,$B$2,资金流水!$D$5:$D$3032,$A97))</f>
        <v>#VALUE!</v>
      </c>
      <c r="D97" s="11" t="e">
        <f>IF(OR($A97="",AND($E$2&lt;&gt;"全部",$A97&lt;&gt;$E$2)),"",SUMIFS(资金流水!$L$5:$L$3032,资金流水!$S$5:$S$3015,$B$2,资金流水!$D$5:$D$3032,$A97))</f>
        <v>#VALUE!</v>
      </c>
      <c r="E97" s="11" t="e">
        <f t="shared" si="4"/>
        <v>#VALUE!</v>
      </c>
      <c r="F97" s="11" t="e">
        <f>IF(OR($A97="",AND($E$2&lt;&gt;"全部",$A97&lt;&gt;$E$2)),"",IF(基础资料!$AH$4="不含税金额",SUMIFS(开票登记!$J$5:$J$504,开票登记!$R$5:$R$504,$B$2,开票登记!$C$5:$C$504,$A97),SUMIFS(开票登记!$M$5:$M$504,开票登记!$R$5:$R$504,$B$2,开票登记!$C$5:$C$504,$A97))+SUMIFS(资金流水!$K$5:$K$3032,资金流水!$T$5:$T$3015,$B$2,资金流水!$D$5:$D$3032,$A97,资金流水!$X$5:$X$3015,"非经营收入"))</f>
        <v>#VALUE!</v>
      </c>
      <c r="G97" s="11" t="e">
        <f>IF(OR($A97="",AND($E$2&lt;&gt;"全部",$A97&lt;&gt;$E$2)),"",SUMIFS(资金流水!$L$5:$L$3032,资金流水!$T$5:$T$3015,$B$2,资金流水!$D$5:$D$3032,$A97,资金流水!$W$5:$W$3015,"项目成本")+SUMIFS(资金流水!$L$5:$L$3032,资金流水!$T$5:$T$3015,$B$2,资金流水!$D$5:$D$3032,$A97,资金流水!$W$5:$W$3015,"管理费用")+SUMIFS(资金流水!$L$5:$L$3032,资金流水!$T$5:$T$3015,$B$2,资金流水!$D$5:$D$3032,$A97,资金流水!$W$5:$W$3015,"人工社保")+SUMIFS(资金流水!$L$5:$L$3032,资金流水!$T$5:$T$3015,$B$2,资金流水!$D$5:$D$3032,$A97,资金流水!$W$5:$W$3015,"税费")+SUMIFS(资金流水!$L$5:$L$3032,资金流水!$T$5:$T$3015,$B$2,资金流水!$D$5:$D$3032,$A97,资金流水!$W$5:$W$3015,"财务费用"))</f>
        <v>#VALUE!</v>
      </c>
      <c r="H97" s="11" t="e">
        <f t="shared" si="5"/>
        <v>#VALUE!</v>
      </c>
    </row>
    <row r="98" spans="1:8">
      <c r="A98" s="28" t="str">
        <f>IF(基础资料!$A11="","",基础资料!$A11)</f>
        <v>锐思维度</v>
      </c>
      <c r="B98" s="28" t="str">
        <f>IF(OR($A98="",AND($E$2&lt;&gt;"全部",$A98&lt;&gt;$E$2)),"",基础资料!$C11)</f>
        <v>小规模纳税人</v>
      </c>
      <c r="C98" s="11" t="e">
        <f>IF(OR($A98="",AND($E$2&lt;&gt;"全部",$A98&lt;&gt;$E$2)),"",SUMIFS(资金流水!$K$5:$K$3032,资金流水!$S$5:$S$3015,$B$2,资金流水!$D$5:$D$3032,$A98))</f>
        <v>#VALUE!</v>
      </c>
      <c r="D98" s="11" t="e">
        <f>IF(OR($A98="",AND($E$2&lt;&gt;"全部",$A98&lt;&gt;$E$2)),"",SUMIFS(资金流水!$L$5:$L$3032,资金流水!$S$5:$S$3015,$B$2,资金流水!$D$5:$D$3032,$A98))</f>
        <v>#VALUE!</v>
      </c>
      <c r="E98" s="11" t="e">
        <f t="shared" si="4"/>
        <v>#VALUE!</v>
      </c>
      <c r="F98" s="11" t="e">
        <f>IF(OR($A98="",AND($E$2&lt;&gt;"全部",$A98&lt;&gt;$E$2)),"",IF(基础资料!$AH$4="不含税金额",SUMIFS(开票登记!$J$5:$J$504,开票登记!$R$5:$R$504,$B$2,开票登记!$C$5:$C$504,$A98),SUMIFS(开票登记!$M$5:$M$504,开票登记!$R$5:$R$504,$B$2,开票登记!$C$5:$C$504,$A98))+SUMIFS(资金流水!$K$5:$K$3032,资金流水!$T$5:$T$3015,$B$2,资金流水!$D$5:$D$3032,$A98,资金流水!$X$5:$X$3015,"非经营收入"))</f>
        <v>#VALUE!</v>
      </c>
      <c r="G98" s="11" t="e">
        <f>IF(OR($A98="",AND($E$2&lt;&gt;"全部",$A98&lt;&gt;$E$2)),"",SUMIFS(资金流水!$L$5:$L$3032,资金流水!$T$5:$T$3015,$B$2,资金流水!$D$5:$D$3032,$A98,资金流水!$W$5:$W$3015,"项目成本")+SUMIFS(资金流水!$L$5:$L$3032,资金流水!$T$5:$T$3015,$B$2,资金流水!$D$5:$D$3032,$A98,资金流水!$W$5:$W$3015,"管理费用")+SUMIFS(资金流水!$L$5:$L$3032,资金流水!$T$5:$T$3015,$B$2,资金流水!$D$5:$D$3032,$A98,资金流水!$W$5:$W$3015,"人工社保")+SUMIFS(资金流水!$L$5:$L$3032,资金流水!$T$5:$T$3015,$B$2,资金流水!$D$5:$D$3032,$A98,资金流水!$W$5:$W$3015,"税费")+SUMIFS(资金流水!$L$5:$L$3032,资金流水!$T$5:$T$3015,$B$2,资金流水!$D$5:$D$3032,$A98,资金流水!$W$5:$W$3015,"财务费用"))</f>
        <v>#VALUE!</v>
      </c>
      <c r="H98" s="11" t="e">
        <f t="shared" si="5"/>
        <v>#VALUE!</v>
      </c>
    </row>
    <row r="99" spans="1:8">
      <c r="A99" s="13" t="s">
        <v>861</v>
      </c>
      <c r="B99" s="15"/>
      <c r="C99" s="14" t="e">
        <f t="shared" ref="C99:H99" si="6">SUM(C91:C98)</f>
        <v>#VALUE!</v>
      </c>
      <c r="D99" s="14" t="e">
        <f t="shared" si="6"/>
        <v>#VALUE!</v>
      </c>
      <c r="E99" s="14" t="e">
        <f t="shared" si="6"/>
        <v>#VALUE!</v>
      </c>
      <c r="F99" s="14" t="e">
        <f t="shared" si="6"/>
        <v>#VALUE!</v>
      </c>
      <c r="G99" s="14" t="e">
        <f t="shared" si="6"/>
        <v>#VALUE!</v>
      </c>
      <c r="H99" s="14" t="e">
        <f t="shared" si="6"/>
        <v>#VALUE!</v>
      </c>
    </row>
    <row r="101" ht="21.75" customHeight="1" spans="1:8">
      <c r="A101" s="8" t="s">
        <v>924</v>
      </c>
      <c r="B101" s="8"/>
      <c r="C101" s="8"/>
      <c r="D101" s="8"/>
      <c r="E101" s="8"/>
      <c r="F101" s="8"/>
      <c r="G101" s="8"/>
      <c r="H101" s="8"/>
    </row>
    <row r="102" ht="31.5" customHeight="1" spans="1:8">
      <c r="A102" s="9" t="s">
        <v>466</v>
      </c>
      <c r="B102" s="9" t="s">
        <v>59</v>
      </c>
      <c r="C102" s="9" t="s">
        <v>925</v>
      </c>
      <c r="D102" s="9" t="s">
        <v>926</v>
      </c>
      <c r="E102" s="9" t="s">
        <v>927</v>
      </c>
      <c r="F102" s="9" t="s">
        <v>928</v>
      </c>
      <c r="G102" s="9"/>
      <c r="H102" s="9"/>
    </row>
    <row r="103" spans="1:8">
      <c r="A103" s="28" t="str">
        <f>IF(基础资料!$E4="","",基础资料!$E4)</f>
        <v>双思威基本户</v>
      </c>
      <c r="B103" s="28" t="str">
        <f>IF(基础资料!$F4="","",基础资料!$F4)</f>
        <v>双思威</v>
      </c>
      <c r="C103" s="11" t="e">
        <f>IF(OR($A103="",OR($B103="",AND($E$2&lt;&gt;"全部",$B103&lt;&gt;$E$2))),"",SUMIFS(资金流水!$M$5:$M$3015,资金流水!$C$5:$C$3032,$A103,资金流水!$S$5:$S$3015,"&lt;="&amp;$B$2)+SUMIFS(资金流水!$K$5:$K$3032,资金流水!$C$5:$C$3032,$A103,资金流水!$S$5:$S$3015,"&lt;"&amp;$B$2)-SUMIFS(资金流水!$L$5:$L$3032,资金流水!$C$5:$C$3032,$A103,资金流水!$S$5:$S$3015,"&lt;"&amp;$B$2))</f>
        <v>#VALUE!</v>
      </c>
      <c r="D103" s="11" t="e">
        <f>IF(OR($A103="",OR($B103="",AND($E$2&lt;&gt;"全部",$B103&lt;&gt;$E$2))),"",SUMIFS(资金流水!$K$5:$K$3032,资金流水!$C$5:$C$3032,$A103,资金流水!$S$5:$S$3015,$B$2))</f>
        <v>#VALUE!</v>
      </c>
      <c r="E103" s="11" t="e">
        <f>IF(OR($A103="",OR($B103="",AND($E$2&lt;&gt;"全部",$B103&lt;&gt;$E$2))),"",SUMIFS(资金流水!$L$5:$L$3032,资金流水!$C$5:$C$3032,$A103,资金流水!$S$5:$S$3015,$B$2))</f>
        <v>#VALUE!</v>
      </c>
      <c r="F103" s="11" t="e">
        <f t="shared" ref="F103:F122" si="7">IF(OR($A103="",OR($B103="",AND($E$2&lt;&gt;"全部",$B103&lt;&gt;$E$2))),"",$C103+$D103-$E103)</f>
        <v>#VALUE!</v>
      </c>
    </row>
    <row r="104" spans="1:8">
      <c r="A104" s="28" t="str">
        <f>IF(基础资料!$E5="","",基础资料!$E5)</f>
        <v>双思威农商行一般户</v>
      </c>
      <c r="B104" s="28" t="str">
        <f>IF(基础资料!$F5="","",基础资料!$F5)</f>
        <v>双思威</v>
      </c>
      <c r="C104" s="11" t="e">
        <f>IF(OR($A104="",OR($B104="",AND($E$2&lt;&gt;"全部",$B104&lt;&gt;$E$2))),"",SUMIFS(资金流水!$M$5:$M$3015,资金流水!$C$5:$C$3032,$A104,资金流水!$S$5:$S$3015,"&lt;="&amp;$B$2)+SUMIFS(资金流水!$K$5:$K$3032,资金流水!$C$5:$C$3032,$A104,资金流水!$S$5:$S$3015,"&lt;"&amp;$B$2)-SUMIFS(资金流水!$L$5:$L$3032,资金流水!$C$5:$C$3032,$A104,资金流水!$S$5:$S$3015,"&lt;"&amp;$B$2))</f>
        <v>#VALUE!</v>
      </c>
      <c r="D104" s="11" t="e">
        <f>IF(OR($A104="",OR($B104="",AND($E$2&lt;&gt;"全部",$B104&lt;&gt;$E$2))),"",SUMIFS(资金流水!$K$5:$K$3032,资金流水!$C$5:$C$3032,$A104,资金流水!$S$5:$S$3015,$B$2))</f>
        <v>#VALUE!</v>
      </c>
      <c r="E104" s="11" t="e">
        <f>IF(OR($A104="",OR($B104="",AND($E$2&lt;&gt;"全部",$B104&lt;&gt;$E$2))),"",SUMIFS(资金流水!$L$5:$L$3032,资金流水!$C$5:$C$3032,$A104,资金流水!$S$5:$S$3015,$B$2))</f>
        <v>#VALUE!</v>
      </c>
      <c r="F104" s="11" t="e">
        <f t="shared" si="7"/>
        <v>#VALUE!</v>
      </c>
    </row>
    <row r="105" spans="1:8">
      <c r="A105" s="28" t="str">
        <f>IF(基础资料!$E6="","",基础资料!$E6)</f>
        <v>晨拓农商行基本户</v>
      </c>
      <c r="B105" s="28" t="str">
        <f>IF(基础资料!$F6="","",基础资料!$F6)</f>
        <v>晨拓</v>
      </c>
      <c r="C105" s="11" t="e">
        <f>IF(OR($A105="",OR($B105="",AND($E$2&lt;&gt;"全部",$B105&lt;&gt;$E$2))),"",SUMIFS(资金流水!$M$5:$M$3015,资金流水!$C$5:$C$3032,$A105,资金流水!$S$5:$S$3015,"&lt;="&amp;$B$2)+SUMIFS(资金流水!$K$5:$K$3032,资金流水!$C$5:$C$3032,$A105,资金流水!$S$5:$S$3015,"&lt;"&amp;$B$2)-SUMIFS(资金流水!$L$5:$L$3032,资金流水!$C$5:$C$3032,$A105,资金流水!$S$5:$S$3015,"&lt;"&amp;$B$2))</f>
        <v>#VALUE!</v>
      </c>
      <c r="D105" s="11" t="e">
        <f>IF(OR($A105="",OR($B105="",AND($E$2&lt;&gt;"全部",$B105&lt;&gt;$E$2))),"",SUMIFS(资金流水!$K$5:$K$3032,资金流水!$C$5:$C$3032,$A105,资金流水!$S$5:$S$3015,$B$2))</f>
        <v>#VALUE!</v>
      </c>
      <c r="E105" s="11" t="e">
        <f>IF(OR($A105="",OR($B105="",AND($E$2&lt;&gt;"全部",$B105&lt;&gt;$E$2))),"",SUMIFS(资金流水!$L$5:$L$3032,资金流水!$C$5:$C$3032,$A105,资金流水!$S$5:$S$3015,$B$2))</f>
        <v>#VALUE!</v>
      </c>
      <c r="F105" s="11" t="e">
        <f t="shared" si="7"/>
        <v>#VALUE!</v>
      </c>
    </row>
    <row r="106" spans="1:8">
      <c r="A106" s="28" t="str">
        <f>IF(基础资料!$E7="","",基础资料!$E7)</f>
        <v>元界极光中行基本户</v>
      </c>
      <c r="B106" s="28" t="str">
        <f>IF(基础资料!$F7="","",基础资料!$F7)</f>
        <v>元界极光</v>
      </c>
      <c r="C106" s="11" t="e">
        <f>IF(OR($A106="",OR($B106="",AND($E$2&lt;&gt;"全部",$B106&lt;&gt;$E$2))),"",SUMIFS(资金流水!$M$5:$M$3015,资金流水!$C$5:$C$3032,$A106,资金流水!$S$5:$S$3015,"&lt;="&amp;$B$2)+SUMIFS(资金流水!$K$5:$K$3032,资金流水!$C$5:$C$3032,$A106,资金流水!$S$5:$S$3015,"&lt;"&amp;$B$2)-SUMIFS(资金流水!$L$5:$L$3032,资金流水!$C$5:$C$3032,$A106,资金流水!$S$5:$S$3015,"&lt;"&amp;$B$2))</f>
        <v>#VALUE!</v>
      </c>
      <c r="D106" s="11" t="e">
        <f>IF(OR($A106="",OR($B106="",AND($E$2&lt;&gt;"全部",$B106&lt;&gt;$E$2))),"",SUMIFS(资金流水!$K$5:$K$3032,资金流水!$C$5:$C$3032,$A106,资金流水!$S$5:$S$3015,$B$2))</f>
        <v>#VALUE!</v>
      </c>
      <c r="E106" s="11" t="e">
        <f>IF(OR($A106="",OR($B106="",AND($E$2&lt;&gt;"全部",$B106&lt;&gt;$E$2))),"",SUMIFS(资金流水!$L$5:$L$3032,资金流水!$C$5:$C$3032,$A106,资金流水!$S$5:$S$3015,$B$2))</f>
        <v>#VALUE!</v>
      </c>
      <c r="F106" s="11" t="e">
        <f t="shared" si="7"/>
        <v>#VALUE!</v>
      </c>
    </row>
    <row r="107" spans="1:8">
      <c r="A107" s="28" t="str">
        <f>IF(基础资料!$E8="","",基础资料!$E8)</f>
        <v>元界极光农商行一般户</v>
      </c>
      <c r="B107" s="28" t="str">
        <f>IF(基础资料!$F8="","",基础资料!$F8)</f>
        <v>元界极光</v>
      </c>
      <c r="C107" s="11" t="e">
        <f>IF(OR($A107="",OR($B107="",AND($E$2&lt;&gt;"全部",$B107&lt;&gt;$E$2))),"",SUMIFS(资金流水!$M$5:$M$3015,资金流水!$C$5:$C$3032,$A107,资金流水!$S$5:$S$3015,"&lt;="&amp;$B$2)+SUMIFS(资金流水!$K$5:$K$3032,资金流水!$C$5:$C$3032,$A107,资金流水!$S$5:$S$3015,"&lt;"&amp;$B$2)-SUMIFS(资金流水!$L$5:$L$3032,资金流水!$C$5:$C$3032,$A107,资金流水!$S$5:$S$3015,"&lt;"&amp;$B$2))</f>
        <v>#VALUE!</v>
      </c>
      <c r="D107" s="11" t="e">
        <f>IF(OR($A107="",OR($B107="",AND($E$2&lt;&gt;"全部",$B107&lt;&gt;$E$2))),"",SUMIFS(资金流水!$K$5:$K$3032,资金流水!$C$5:$C$3032,$A107,资金流水!$S$5:$S$3015,$B$2))</f>
        <v>#VALUE!</v>
      </c>
      <c r="E107" s="11" t="e">
        <f>IF(OR($A107="",OR($B107="",AND($E$2&lt;&gt;"全部",$B107&lt;&gt;$E$2))),"",SUMIFS(资金流水!$L$5:$L$3032,资金流水!$C$5:$C$3032,$A107,资金流水!$S$5:$S$3015,$B$2))</f>
        <v>#VALUE!</v>
      </c>
      <c r="F107" s="11" t="e">
        <f t="shared" si="7"/>
        <v>#VALUE!</v>
      </c>
    </row>
    <row r="108" spans="1:8">
      <c r="A108" s="28" t="str">
        <f>IF(基础资料!$E9="","",基础资料!$E9)</f>
        <v>瑞盛天中行基本户</v>
      </c>
      <c r="B108" s="28" t="str">
        <f>IF(基础资料!$F9="","",基础资料!$F9)</f>
        <v>瑞盛天</v>
      </c>
      <c r="C108" s="11" t="e">
        <f>IF(OR($A108="",OR($B108="",AND($E$2&lt;&gt;"全部",$B108&lt;&gt;$E$2))),"",SUMIFS(资金流水!$M$5:$M$3015,资金流水!$C$5:$C$3032,$A108,资金流水!$S$5:$S$3015,"&lt;="&amp;$B$2)+SUMIFS(资金流水!$K$5:$K$3032,资金流水!$C$5:$C$3032,$A108,资金流水!$S$5:$S$3015,"&lt;"&amp;$B$2)-SUMIFS(资金流水!$L$5:$L$3032,资金流水!$C$5:$C$3032,$A108,资金流水!$S$5:$S$3015,"&lt;"&amp;$B$2))</f>
        <v>#VALUE!</v>
      </c>
      <c r="D108" s="11" t="e">
        <f>IF(OR($A108="",OR($B108="",AND($E$2&lt;&gt;"全部",$B108&lt;&gt;$E$2))),"",SUMIFS(资金流水!$K$5:$K$3032,资金流水!$C$5:$C$3032,$A108,资金流水!$S$5:$S$3015,$B$2))</f>
        <v>#VALUE!</v>
      </c>
      <c r="E108" s="11" t="e">
        <f>IF(OR($A108="",OR($B108="",AND($E$2&lt;&gt;"全部",$B108&lt;&gt;$E$2))),"",SUMIFS(资金流水!$L$5:$L$3032,资金流水!$C$5:$C$3032,$A108,资金流水!$S$5:$S$3015,$B$2))</f>
        <v>#VALUE!</v>
      </c>
      <c r="F108" s="11" t="e">
        <f t="shared" si="7"/>
        <v>#VALUE!</v>
      </c>
    </row>
    <row r="109" spans="1:8">
      <c r="A109" s="28" t="str">
        <f>IF(基础资料!$E10="","",基础资料!$E10)</f>
        <v>瑞盛天农商行一般户</v>
      </c>
      <c r="B109" s="28" t="str">
        <f>IF(基础资料!$F10="","",基础资料!$F10)</f>
        <v>瑞盛天</v>
      </c>
      <c r="C109" s="11" t="e">
        <f>IF(OR($A109="",OR($B109="",AND($E$2&lt;&gt;"全部",$B109&lt;&gt;$E$2))),"",SUMIFS(资金流水!$M$5:$M$3015,资金流水!$C$5:$C$3032,$A109,资金流水!$S$5:$S$3015,"&lt;="&amp;$B$2)+SUMIFS(资金流水!$K$5:$K$3032,资金流水!$C$5:$C$3032,$A109,资金流水!$S$5:$S$3015,"&lt;"&amp;$B$2)-SUMIFS(资金流水!$L$5:$L$3032,资金流水!$C$5:$C$3032,$A109,资金流水!$S$5:$S$3015,"&lt;"&amp;$B$2))</f>
        <v>#VALUE!</v>
      </c>
      <c r="D109" s="11" t="e">
        <f>IF(OR($A109="",OR($B109="",AND($E$2&lt;&gt;"全部",$B109&lt;&gt;$E$2))),"",SUMIFS(资金流水!$K$5:$K$3032,资金流水!$C$5:$C$3032,$A109,资金流水!$S$5:$S$3015,$B$2))</f>
        <v>#VALUE!</v>
      </c>
      <c r="E109" s="11" t="e">
        <f>IF(OR($A109="",OR($B109="",AND($E$2&lt;&gt;"全部",$B109&lt;&gt;$E$2))),"",SUMIFS(资金流水!$L$5:$L$3032,资金流水!$C$5:$C$3032,$A109,资金流水!$S$5:$S$3015,$B$2))</f>
        <v>#VALUE!</v>
      </c>
      <c r="F109" s="11" t="e">
        <f t="shared" si="7"/>
        <v>#VALUE!</v>
      </c>
    </row>
    <row r="110" spans="1:8">
      <c r="A110" s="28" t="str">
        <f>IF(基础资料!$E11="","",基础资料!$E11)</f>
        <v>中展中行基本户</v>
      </c>
      <c r="B110" s="28" t="str">
        <f>IF(基础资料!$F11="","",基础资料!$F11)</f>
        <v>中展</v>
      </c>
      <c r="C110" s="11" t="e">
        <f>IF(OR($A110="",OR($B110="",AND($E$2&lt;&gt;"全部",$B110&lt;&gt;$E$2))),"",SUMIFS(资金流水!$M$5:$M$3015,资金流水!$C$5:$C$3032,$A110,资金流水!$S$5:$S$3015,"&lt;="&amp;$B$2)+SUMIFS(资金流水!$K$5:$K$3032,资金流水!$C$5:$C$3032,$A110,资金流水!$S$5:$S$3015,"&lt;"&amp;$B$2)-SUMIFS(资金流水!$L$5:$L$3032,资金流水!$C$5:$C$3032,$A110,资金流水!$S$5:$S$3015,"&lt;"&amp;$B$2))</f>
        <v>#VALUE!</v>
      </c>
      <c r="D110" s="11" t="e">
        <f>IF(OR($A110="",OR($B110="",AND($E$2&lt;&gt;"全部",$B110&lt;&gt;$E$2))),"",SUMIFS(资金流水!$K$5:$K$3032,资金流水!$C$5:$C$3032,$A110,资金流水!$S$5:$S$3015,$B$2))</f>
        <v>#VALUE!</v>
      </c>
      <c r="E110" s="11" t="e">
        <f>IF(OR($A110="",OR($B110="",AND($E$2&lt;&gt;"全部",$B110&lt;&gt;$E$2))),"",SUMIFS(资金流水!$L$5:$L$3032,资金流水!$C$5:$C$3032,$A110,资金流水!$S$5:$S$3015,$B$2))</f>
        <v>#VALUE!</v>
      </c>
      <c r="F110" s="11" t="e">
        <f t="shared" si="7"/>
        <v>#VALUE!</v>
      </c>
    </row>
    <row r="111" spans="1:8">
      <c r="A111" s="28" t="str">
        <f>IF(基础资料!$E12="","",基础资料!$E12)</f>
        <v>中展农商行一般户</v>
      </c>
      <c r="B111" s="28" t="str">
        <f>IF(基础资料!$F12="","",基础资料!$F12)</f>
        <v>中展</v>
      </c>
      <c r="C111" s="11" t="e">
        <f>IF(OR($A111="",OR($B111="",AND($E$2&lt;&gt;"全部",$B111&lt;&gt;$E$2))),"",SUMIFS(资金流水!$M$5:$M$3015,资金流水!$C$5:$C$3032,$A111,资金流水!$S$5:$S$3015,"&lt;="&amp;$B$2)+SUMIFS(资金流水!$K$5:$K$3032,资金流水!$C$5:$C$3032,$A111,资金流水!$S$5:$S$3015,"&lt;"&amp;$B$2)-SUMIFS(资金流水!$L$5:$L$3032,资金流水!$C$5:$C$3032,$A111,资金流水!$S$5:$S$3015,"&lt;"&amp;$B$2))</f>
        <v>#VALUE!</v>
      </c>
      <c r="D111" s="11" t="e">
        <f>IF(OR($A111="",OR($B111="",AND($E$2&lt;&gt;"全部",$B111&lt;&gt;$E$2))),"",SUMIFS(资金流水!$K$5:$K$3032,资金流水!$C$5:$C$3032,$A111,资金流水!$S$5:$S$3015,$B$2))</f>
        <v>#VALUE!</v>
      </c>
      <c r="E111" s="11" t="e">
        <f>IF(OR($A111="",OR($B111="",AND($E$2&lt;&gt;"全部",$B111&lt;&gt;$E$2))),"",SUMIFS(资金流水!$L$5:$L$3032,资金流水!$C$5:$C$3032,$A111,资金流水!$S$5:$S$3015,$B$2))</f>
        <v>#VALUE!</v>
      </c>
      <c r="F111" s="11" t="e">
        <f t="shared" si="7"/>
        <v>#VALUE!</v>
      </c>
    </row>
    <row r="112" spans="1:8">
      <c r="A112" s="28" t="str">
        <f>IF(基础资料!$E13="","",基础资料!$E13)</f>
        <v>中展准东项目</v>
      </c>
      <c r="B112" s="28" t="str">
        <f>IF(基础资料!$F13="","",基础资料!$F13)</f>
        <v>中展</v>
      </c>
      <c r="C112" s="11" t="e">
        <f>IF(OR($A112="",OR($B112="",AND($E$2&lt;&gt;"全部",$B112&lt;&gt;$E$2))),"",SUMIFS(资金流水!$M$5:$M$3015,资金流水!$C$5:$C$3032,$A112,资金流水!$S$5:$S$3015,"&lt;="&amp;$B$2)+SUMIFS(资金流水!$K$5:$K$3032,资金流水!$C$5:$C$3032,$A112,资金流水!$S$5:$S$3015,"&lt;"&amp;$B$2)-SUMIFS(资金流水!$L$5:$L$3032,资金流水!$C$5:$C$3032,$A112,资金流水!$S$5:$S$3015,"&lt;"&amp;$B$2))</f>
        <v>#VALUE!</v>
      </c>
      <c r="D112" s="11" t="e">
        <f>IF(OR($A112="",OR($B112="",AND($E$2&lt;&gt;"全部",$B112&lt;&gt;$E$2))),"",SUMIFS(资金流水!$K$5:$K$3032,资金流水!$C$5:$C$3032,$A112,资金流水!$S$5:$S$3015,$B$2))</f>
        <v>#VALUE!</v>
      </c>
      <c r="E112" s="11" t="e">
        <f>IF(OR($A112="",OR($B112="",AND($E$2&lt;&gt;"全部",$B112&lt;&gt;$E$2))),"",SUMIFS(资金流水!$L$5:$L$3032,资金流水!$C$5:$C$3032,$A112,资金流水!$S$5:$S$3015,$B$2))</f>
        <v>#VALUE!</v>
      </c>
      <c r="F112" s="11" t="e">
        <f t="shared" si="7"/>
        <v>#VALUE!</v>
      </c>
    </row>
    <row r="113" spans="1:8">
      <c r="A113" s="28" t="str">
        <f>IF(基础资料!$E14="","",基础资料!$E14)</f>
        <v>卓卓通农商行基本户</v>
      </c>
      <c r="B113" s="28" t="str">
        <f>IF(基础资料!$F14="","",基础资料!$F14)</f>
        <v>卓卓通</v>
      </c>
      <c r="C113" s="11" t="e">
        <f>IF(OR($A113="",OR($B113="",AND($E$2&lt;&gt;"全部",$B113&lt;&gt;$E$2))),"",SUMIFS(资金流水!$M$5:$M$3015,资金流水!$C$5:$C$3032,$A113,资金流水!$S$5:$S$3015,"&lt;="&amp;$B$2)+SUMIFS(资金流水!$K$5:$K$3032,资金流水!$C$5:$C$3032,$A113,资金流水!$S$5:$S$3015,"&lt;"&amp;$B$2)-SUMIFS(资金流水!$L$5:$L$3032,资金流水!$C$5:$C$3032,$A113,资金流水!$S$5:$S$3015,"&lt;"&amp;$B$2))</f>
        <v>#VALUE!</v>
      </c>
      <c r="D113" s="11" t="e">
        <f>IF(OR($A113="",OR($B113="",AND($E$2&lt;&gt;"全部",$B113&lt;&gt;$E$2))),"",SUMIFS(资金流水!$K$5:$K$3032,资金流水!$C$5:$C$3032,$A113,资金流水!$S$5:$S$3015,$B$2))</f>
        <v>#VALUE!</v>
      </c>
      <c r="E113" s="11" t="e">
        <f>IF(OR($A113="",OR($B113="",AND($E$2&lt;&gt;"全部",$B113&lt;&gt;$E$2))),"",SUMIFS(资金流水!$L$5:$L$3032,资金流水!$C$5:$C$3032,$A113,资金流水!$S$5:$S$3015,$B$2))</f>
        <v>#VALUE!</v>
      </c>
      <c r="F113" s="11" t="e">
        <f t="shared" si="7"/>
        <v>#VALUE!</v>
      </c>
    </row>
    <row r="114" spans="1:8">
      <c r="A114" s="28" t="str">
        <f>IF(基础资料!$E15="","",基础资料!$E15)</f>
        <v>财兴通农商行基本户</v>
      </c>
      <c r="B114" s="28" t="str">
        <f>IF(基础资料!$F15="","",基础资料!$F15)</f>
        <v>财兴通</v>
      </c>
      <c r="C114" s="11" t="e">
        <f>IF(OR($A114="",OR($B114="",AND($E$2&lt;&gt;"全部",$B114&lt;&gt;$E$2))),"",SUMIFS(资金流水!$M$5:$M$3015,资金流水!$C$5:$C$3032,$A114,资金流水!$S$5:$S$3015,"&lt;="&amp;$B$2)+SUMIFS(资金流水!$K$5:$K$3032,资金流水!$C$5:$C$3032,$A114,资金流水!$S$5:$S$3015,"&lt;"&amp;$B$2)-SUMIFS(资金流水!$L$5:$L$3032,资金流水!$C$5:$C$3032,$A114,资金流水!$S$5:$S$3015,"&lt;"&amp;$B$2))</f>
        <v>#VALUE!</v>
      </c>
      <c r="D114" s="11" t="e">
        <f>IF(OR($A114="",OR($B114="",AND($E$2&lt;&gt;"全部",$B114&lt;&gt;$E$2))),"",SUMIFS(资金流水!$K$5:$K$3032,资金流水!$C$5:$C$3032,$A114,资金流水!$S$5:$S$3015,$B$2))</f>
        <v>#VALUE!</v>
      </c>
      <c r="E114" s="11" t="e">
        <f>IF(OR($A114="",OR($B114="",AND($E$2&lt;&gt;"全部",$B114&lt;&gt;$E$2))),"",SUMIFS(资金流水!$L$5:$L$3032,资金流水!$C$5:$C$3032,$A114,资金流水!$S$5:$S$3015,$B$2))</f>
        <v>#VALUE!</v>
      </c>
      <c r="F114" s="11" t="e">
        <f t="shared" si="7"/>
        <v>#VALUE!</v>
      </c>
    </row>
    <row r="115" spans="1:8">
      <c r="A115" s="28" t="str">
        <f>IF(基础资料!$E16="","",基础资料!$E16)</f>
        <v>鑫海特工行基本户</v>
      </c>
      <c r="B115" s="28" t="str">
        <f>IF(基础资料!$F16="","",基础资料!$F16)</f>
        <v>鑫海特</v>
      </c>
      <c r="C115" s="11" t="e">
        <f>IF(OR($A115="",OR($B115="",AND($E$2&lt;&gt;"全部",$B115&lt;&gt;$E$2))),"",SUMIFS(资金流水!$M$5:$M$3015,资金流水!$C$5:$C$3032,$A115,资金流水!$S$5:$S$3015,"&lt;="&amp;$B$2)+SUMIFS(资金流水!$K$5:$K$3032,资金流水!$C$5:$C$3032,$A115,资金流水!$S$5:$S$3015,"&lt;"&amp;$B$2)-SUMIFS(资金流水!$L$5:$L$3032,资金流水!$C$5:$C$3032,$A115,资金流水!$S$5:$S$3015,"&lt;"&amp;$B$2))</f>
        <v>#VALUE!</v>
      </c>
      <c r="D115" s="11" t="e">
        <f>IF(OR($A115="",OR($B115="",AND($E$2&lt;&gt;"全部",$B115&lt;&gt;$E$2))),"",SUMIFS(资金流水!$K$5:$K$3032,资金流水!$C$5:$C$3032,$A115,资金流水!$S$5:$S$3015,$B$2))</f>
        <v>#VALUE!</v>
      </c>
      <c r="E115" s="11" t="e">
        <f>IF(OR($A115="",OR($B115="",AND($E$2&lt;&gt;"全部",$B115&lt;&gt;$E$2))),"",SUMIFS(资金流水!$L$5:$L$3032,资金流水!$C$5:$C$3032,$A115,资金流水!$S$5:$S$3015,$B$2))</f>
        <v>#VALUE!</v>
      </c>
      <c r="F115" s="11" t="e">
        <f t="shared" si="7"/>
        <v>#VALUE!</v>
      </c>
    </row>
    <row r="116" spans="1:8">
      <c r="A116" s="28" t="str">
        <f>IF(基础资料!$E17="","",基础资料!$E17)</f>
        <v>鸿禧农行基本户</v>
      </c>
      <c r="B116" s="28" t="str">
        <f>IF(基础资料!$F17="","",基础资料!$F17)</f>
        <v>鸿禧</v>
      </c>
      <c r="C116" s="11" t="e">
        <f>IF(OR($A116="",OR($B116="",AND($E$2&lt;&gt;"全部",$B116&lt;&gt;$E$2))),"",SUMIFS(资金流水!$M$5:$M$3015,资金流水!$C$5:$C$3032,$A116,资金流水!$S$5:$S$3015,"&lt;="&amp;$B$2)+SUMIFS(资金流水!$K$5:$K$3032,资金流水!$C$5:$C$3032,$A116,资金流水!$S$5:$S$3015,"&lt;"&amp;$B$2)-SUMIFS(资金流水!$L$5:$L$3032,资金流水!$C$5:$C$3032,$A116,资金流水!$S$5:$S$3015,"&lt;"&amp;$B$2))</f>
        <v>#VALUE!</v>
      </c>
      <c r="D116" s="11" t="e">
        <f>IF(OR($A116="",OR($B116="",AND($E$2&lt;&gt;"全部",$B116&lt;&gt;$E$2))),"",SUMIFS(资金流水!$K$5:$K$3032,资金流水!$C$5:$C$3032,$A116,资金流水!$S$5:$S$3015,$B$2))</f>
        <v>#VALUE!</v>
      </c>
      <c r="E116" s="11" t="e">
        <f>IF(OR($A116="",OR($B116="",AND($E$2&lt;&gt;"全部",$B116&lt;&gt;$E$2))),"",SUMIFS(资金流水!$L$5:$L$3032,资金流水!$C$5:$C$3032,$A116,资金流水!$S$5:$S$3015,$B$2))</f>
        <v>#VALUE!</v>
      </c>
      <c r="F116" s="11" t="e">
        <f t="shared" si="7"/>
        <v>#VALUE!</v>
      </c>
    </row>
    <row r="117" spans="1:8">
      <c r="A117" s="28" t="str">
        <f>IF(基础资料!$E18="","",基础资料!$E18)</f>
        <v>元界启辰中行基本户</v>
      </c>
      <c r="B117" s="28" t="str">
        <f>IF(基础资料!$F18="","",基础资料!$F18)</f>
        <v>元界启辰</v>
      </c>
      <c r="C117" s="11" t="e">
        <f>IF(OR($A117="",OR($B117="",AND($E$2&lt;&gt;"全部",$B117&lt;&gt;$E$2))),"",SUMIFS(资金流水!$M$5:$M$3015,资金流水!$C$5:$C$3032,$A117,资金流水!$S$5:$S$3015,"&lt;="&amp;$B$2)+SUMIFS(资金流水!$K$5:$K$3032,资金流水!$C$5:$C$3032,$A117,资金流水!$S$5:$S$3015,"&lt;"&amp;$B$2)-SUMIFS(资金流水!$L$5:$L$3032,资金流水!$C$5:$C$3032,$A117,资金流水!$S$5:$S$3015,"&lt;"&amp;$B$2))</f>
        <v>#VALUE!</v>
      </c>
      <c r="D117" s="11" t="e">
        <f>IF(OR($A117="",OR($B117="",AND($E$2&lt;&gt;"全部",$B117&lt;&gt;$E$2))),"",SUMIFS(资金流水!$K$5:$K$3032,资金流水!$C$5:$C$3032,$A117,资金流水!$S$5:$S$3015,$B$2))</f>
        <v>#VALUE!</v>
      </c>
      <c r="E117" s="11" t="e">
        <f>IF(OR($A117="",OR($B117="",AND($E$2&lt;&gt;"全部",$B117&lt;&gt;$E$2))),"",SUMIFS(资金流水!$L$5:$L$3032,资金流水!$C$5:$C$3032,$A117,资金流水!$S$5:$S$3015,$B$2))</f>
        <v>#VALUE!</v>
      </c>
      <c r="F117" s="11" t="e">
        <f t="shared" si="7"/>
        <v>#VALUE!</v>
      </c>
    </row>
    <row r="118" spans="1:8">
      <c r="A118" s="28" t="str">
        <f>IF(基础资料!$E19="","",基础资料!$E19)</f>
        <v>锐思维度中行基本户</v>
      </c>
      <c r="B118" s="28" t="str">
        <f>IF(基础资料!$F19="","",基础资料!$F19)</f>
        <v>锐思维度</v>
      </c>
      <c r="C118" s="11" t="e">
        <f>IF(OR($A118="",OR($B118="",AND($E$2&lt;&gt;"全部",$B118&lt;&gt;$E$2))),"",SUMIFS(资金流水!$M$5:$M$3015,资金流水!$C$5:$C$3032,$A118,资金流水!$S$5:$S$3015,"&lt;="&amp;$B$2)+SUMIFS(资金流水!$K$5:$K$3032,资金流水!$C$5:$C$3032,$A118,资金流水!$S$5:$S$3015,"&lt;"&amp;$B$2)-SUMIFS(资金流水!$L$5:$L$3032,资金流水!$C$5:$C$3032,$A118,资金流水!$S$5:$S$3015,"&lt;"&amp;$B$2))</f>
        <v>#VALUE!</v>
      </c>
      <c r="D118" s="11" t="e">
        <f>IF(OR($A118="",OR($B118="",AND($E$2&lt;&gt;"全部",$B118&lt;&gt;$E$2))),"",SUMIFS(资金流水!$K$5:$K$3032,资金流水!$C$5:$C$3032,$A118,资金流水!$S$5:$S$3015,$B$2))</f>
        <v>#VALUE!</v>
      </c>
      <c r="E118" s="11" t="e">
        <f>IF(OR($A118="",OR($B118="",AND($E$2&lt;&gt;"全部",$B118&lt;&gt;$E$2))),"",SUMIFS(资金流水!$L$5:$L$3032,资金流水!$C$5:$C$3032,$A118,资金流水!$S$5:$S$3015,$B$2))</f>
        <v>#VALUE!</v>
      </c>
      <c r="F118" s="11" t="e">
        <f t="shared" si="7"/>
        <v>#VALUE!</v>
      </c>
    </row>
    <row r="119" spans="1:8">
      <c r="A119" s="28" t="str">
        <f>IF(基础资料!$E20="","",基础资料!$E20)</f>
        <v>备用7</v>
      </c>
      <c r="B119" s="28" t="str">
        <f>IF(基础资料!$F20="","",基础资料!$F20)</f>
        <v/>
      </c>
      <c r="C119" s="11" t="str">
        <f>IF(OR($A119="",OR($B119="",AND($E$2&lt;&gt;"全部",$B119&lt;&gt;$E$2))),"",SUMIFS(资金流水!$M$5:$M$3015,资金流水!$C$5:$C$3032,$A119,资金流水!$S$5:$S$3015,"&lt;="&amp;$B$2)+SUMIFS(资金流水!$K$5:$K$3032,资金流水!$C$5:$C$3032,$A119,资金流水!$S$5:$S$3015,"&lt;"&amp;$B$2)-SUMIFS(资金流水!$L$5:$L$3032,资金流水!$C$5:$C$3032,$A119,资金流水!$S$5:$S$3015,"&lt;"&amp;$B$2))</f>
        <v/>
      </c>
      <c r="D119" s="11" t="str">
        <f>IF(OR($A119="",OR($B119="",AND($E$2&lt;&gt;"全部",$B119&lt;&gt;$E$2))),"",SUMIFS(资金流水!$K$5:$K$3032,资金流水!$C$5:$C$3032,$A119,资金流水!$S$5:$S$3015,$B$2))</f>
        <v/>
      </c>
      <c r="E119" s="11" t="str">
        <f>IF(OR($A119="",OR($B119="",AND($E$2&lt;&gt;"全部",$B119&lt;&gt;$E$2))),"",SUMIFS(资金流水!$L$5:$L$3032,资金流水!$C$5:$C$3032,$A119,资金流水!$S$5:$S$3015,$B$2))</f>
        <v/>
      </c>
      <c r="F119" s="11" t="str">
        <f t="shared" si="7"/>
        <v/>
      </c>
    </row>
    <row r="120" spans="1:8">
      <c r="A120" s="28" t="str">
        <f>IF(基础资料!$E21="","",基础资料!$E21)</f>
        <v>备用8</v>
      </c>
      <c r="B120" s="28" t="str">
        <f>IF(基础资料!$F21="","",基础资料!$F21)</f>
        <v/>
      </c>
      <c r="C120" s="11" t="str">
        <f>IF(OR($A120="",OR($B120="",AND($E$2&lt;&gt;"全部",$B120&lt;&gt;$E$2))),"",SUMIFS(资金流水!$M$5:$M$3015,资金流水!$C$5:$C$3032,$A120,资金流水!$S$5:$S$3015,"&lt;="&amp;$B$2)+SUMIFS(资金流水!$K$5:$K$3032,资金流水!$C$5:$C$3032,$A120,资金流水!$S$5:$S$3015,"&lt;"&amp;$B$2)-SUMIFS(资金流水!$L$5:$L$3032,资金流水!$C$5:$C$3032,$A120,资金流水!$S$5:$S$3015,"&lt;"&amp;$B$2))</f>
        <v/>
      </c>
      <c r="D120" s="11" t="str">
        <f>IF(OR($A120="",OR($B120="",AND($E$2&lt;&gt;"全部",$B120&lt;&gt;$E$2))),"",SUMIFS(资金流水!$K$5:$K$3032,资金流水!$C$5:$C$3032,$A120,资金流水!$S$5:$S$3015,$B$2))</f>
        <v/>
      </c>
      <c r="E120" s="11" t="str">
        <f>IF(OR($A120="",OR($B120="",AND($E$2&lt;&gt;"全部",$B120&lt;&gt;$E$2))),"",SUMIFS(资金流水!$L$5:$L$3032,资金流水!$C$5:$C$3032,$A120,资金流水!$S$5:$S$3015,$B$2))</f>
        <v/>
      </c>
      <c r="F120" s="11" t="str">
        <f t="shared" si="7"/>
        <v/>
      </c>
    </row>
    <row r="121" spans="1:8">
      <c r="A121" s="28" t="str">
        <f>IF(基础资料!$E22="","",基础资料!$E22)</f>
        <v>备用9</v>
      </c>
      <c r="B121" s="28" t="str">
        <f>IF(基础资料!$F22="","",基础资料!$F22)</f>
        <v/>
      </c>
      <c r="C121" s="11" t="str">
        <f>IF(OR($A121="",OR($B121="",AND($E$2&lt;&gt;"全部",$B121&lt;&gt;$E$2))),"",SUMIFS(资金流水!$M$5:$M$3015,资金流水!$C$5:$C$3032,$A121,资金流水!$S$5:$S$3015,"&lt;="&amp;$B$2)+SUMIFS(资金流水!$K$5:$K$3032,资金流水!$C$5:$C$3032,$A121,资金流水!$S$5:$S$3015,"&lt;"&amp;$B$2)-SUMIFS(资金流水!$L$5:$L$3032,资金流水!$C$5:$C$3032,$A121,资金流水!$S$5:$S$3015,"&lt;"&amp;$B$2))</f>
        <v/>
      </c>
      <c r="D121" s="11" t="str">
        <f>IF(OR($A121="",OR($B121="",AND($E$2&lt;&gt;"全部",$B121&lt;&gt;$E$2))),"",SUMIFS(资金流水!$K$5:$K$3032,资金流水!$C$5:$C$3032,$A121,资金流水!$S$5:$S$3015,$B$2))</f>
        <v/>
      </c>
      <c r="E121" s="11" t="str">
        <f>IF(OR($A121="",OR($B121="",AND($E$2&lt;&gt;"全部",$B121&lt;&gt;$E$2))),"",SUMIFS(资金流水!$L$5:$L$3032,资金流水!$C$5:$C$3032,$A121,资金流水!$S$5:$S$3015,$B$2))</f>
        <v/>
      </c>
      <c r="F121" s="11" t="str">
        <f t="shared" si="7"/>
        <v/>
      </c>
    </row>
    <row r="122" spans="1:8">
      <c r="A122" s="28" t="str">
        <f>IF(基础资料!$E23="","",基础资料!$E23)</f>
        <v>备用10</v>
      </c>
      <c r="B122" s="28" t="str">
        <f>IF(基础资料!$F23="","",基础资料!$F23)</f>
        <v/>
      </c>
      <c r="C122" s="11" t="str">
        <f>IF(OR($A122="",OR($B122="",AND($E$2&lt;&gt;"全部",$B122&lt;&gt;$E$2))),"",SUMIFS(资金流水!$M$5:$M$3015,资金流水!$C$5:$C$3032,$A122,资金流水!$S$5:$S$3015,"&lt;="&amp;$B$2)+SUMIFS(资金流水!$K$5:$K$3032,资金流水!$C$5:$C$3032,$A122,资金流水!$S$5:$S$3015,"&lt;"&amp;$B$2)-SUMIFS(资金流水!$L$5:$L$3032,资金流水!$C$5:$C$3032,$A122,资金流水!$S$5:$S$3015,"&lt;"&amp;$B$2))</f>
        <v/>
      </c>
      <c r="D122" s="11" t="str">
        <f>IF(OR($A122="",OR($B122="",AND($E$2&lt;&gt;"全部",$B122&lt;&gt;$E$2))),"",SUMIFS(资金流水!$K$5:$K$3032,资金流水!$C$5:$C$3032,$A122,资金流水!$S$5:$S$3015,$B$2))</f>
        <v/>
      </c>
      <c r="E122" s="11" t="str">
        <f>IF(OR($A122="",OR($B122="",AND($E$2&lt;&gt;"全部",$B122&lt;&gt;$E$2))),"",SUMIFS(资金流水!$L$5:$L$3032,资金流水!$C$5:$C$3032,$A122,资金流水!$S$5:$S$3015,$B$2))</f>
        <v/>
      </c>
      <c r="F122" s="11" t="str">
        <f t="shared" si="7"/>
        <v/>
      </c>
    </row>
    <row r="123" spans="1:8">
      <c r="A123" s="13" t="s">
        <v>861</v>
      </c>
      <c r="B123" s="15"/>
      <c r="C123" s="14" t="e">
        <f>SUM(C103:C122)</f>
        <v>#VALUE!</v>
      </c>
      <c r="D123" s="14" t="e">
        <f>SUM(D103:D122)</f>
        <v>#VALUE!</v>
      </c>
      <c r="E123" s="14" t="e">
        <f>SUM(E103:E122)</f>
        <v>#VALUE!</v>
      </c>
      <c r="F123" s="14" t="e">
        <f>SUM(F103:F122)</f>
        <v>#VALUE!</v>
      </c>
    </row>
    <row r="125" ht="21.75" customHeight="1" spans="1:8">
      <c r="A125" s="8" t="s">
        <v>929</v>
      </c>
      <c r="B125" s="8"/>
      <c r="C125" s="8"/>
      <c r="D125" s="8"/>
      <c r="E125" s="8"/>
      <c r="F125" s="8"/>
      <c r="G125" s="8"/>
      <c r="H125" s="8"/>
    </row>
    <row r="126" ht="31.5" customHeight="1" spans="1:8">
      <c r="A126" s="9" t="s">
        <v>395</v>
      </c>
      <c r="B126" s="9" t="s">
        <v>57</v>
      </c>
      <c r="C126" s="9" t="s">
        <v>930</v>
      </c>
      <c r="D126" s="9" t="s">
        <v>399</v>
      </c>
      <c r="E126" s="9" t="s">
        <v>400</v>
      </c>
      <c r="F126" s="9" t="s">
        <v>401</v>
      </c>
      <c r="G126" s="9" t="s">
        <v>931</v>
      </c>
      <c r="H126" s="9" t="s">
        <v>404</v>
      </c>
    </row>
    <row r="127" spans="1:8">
      <c r="A127" s="28" t="str">
        <f>IF(基础资料!$A4="","",基础资料!$A4)</f>
        <v>双思威</v>
      </c>
      <c r="B127" s="28" t="str">
        <f>IF(OR($A127="",AND($E$2&lt;&gt;"全部",$A127&lt;&gt;$E$2)),"",基础资料!$C4)</f>
        <v>一般纳税人</v>
      </c>
      <c r="C127" s="41">
        <f>IF(OR($A127="",AND($E$2&lt;&gt;"全部",$A127&lt;&gt;$E$2)),"",COUNTIFS(开票登记!$R$5:$R$504,$B$2,开票登记!$C$5:$C$504,$A127))</f>
        <v>2</v>
      </c>
      <c r="D127" s="11">
        <f>IF(OR($A127="",AND($E$2&lt;&gt;"全部",$A127&lt;&gt;$E$2)),"",SUMIFS(开票登记!$J$5:$J$504,开票登记!$R$5:$R$504,$B$2,开票登记!$C$5:$C$504,$A127))</f>
        <v>256117.52</v>
      </c>
      <c r="E127" s="11">
        <f>IF(OR($A127="",AND($E$2&lt;&gt;"全部",$A127&lt;&gt;$E$2)),"",SUMIFS(开票登记!$L$5:$L$504,开票登记!$R$5:$R$504,$B$2,开票登记!$C$5:$C$504,$A127))</f>
        <v>29450.58</v>
      </c>
      <c r="F127" s="11">
        <f>IF(OR($A127="",AND($E$2&lt;&gt;"全部",$A127&lt;&gt;$E$2)),"",SUMIFS(开票登记!$M$5:$M$504,开票登记!$R$5:$R$504,$B$2,开票登记!$C$5:$C$504,$A127))</f>
        <v>285568.1</v>
      </c>
      <c r="G127" s="11">
        <f>IF(OR($A127="",AND($E$2&lt;&gt;"全部",$A127&lt;&gt;$E$2)),"",SUMIFS(开票登记!$N$5:$N$504,开票登记!$R$5:$R$504,$B$2,开票登记!$C$5:$C$504,$A127)+SUMIFS(开票登记!$O$5:$O$504,开票登记!$R$5:$R$504,$B$2,开票登记!$C$5:$C$504,$A127))</f>
        <v>285568</v>
      </c>
      <c r="H127" s="11">
        <f t="shared" ref="H127:H134" si="8">IF(OR($A127="",AND($E$2&lt;&gt;"全部",$A127&lt;&gt;$E$2)),"",$F127-$G127)</f>
        <v>0.0999999999767169</v>
      </c>
    </row>
    <row r="128" spans="1:8">
      <c r="A128" s="28" t="str">
        <f>IF(基础资料!$A5="","",基础资料!$A5)</f>
        <v>晨拓</v>
      </c>
      <c r="B128" s="28" t="str">
        <f>IF(OR($A128="",AND($E$2&lt;&gt;"全部",$A128&lt;&gt;$E$2)),"",基础资料!$C5)</f>
        <v>一般纳税人</v>
      </c>
      <c r="C128" s="41">
        <f>IF(OR($A128="",AND($E$2&lt;&gt;"全部",$A128&lt;&gt;$E$2)),"",COUNTIFS(开票登记!$R$5:$R$504,$B$2,开票登记!$C$5:$C$504,$A128))</f>
        <v>0</v>
      </c>
      <c r="D128" s="11">
        <f>IF(OR($A128="",AND($E$2&lt;&gt;"全部",$A128&lt;&gt;$E$2)),"",SUMIFS(开票登记!$J$5:$J$504,开票登记!$R$5:$R$504,$B$2,开票登记!$C$5:$C$504,$A128))</f>
        <v>0</v>
      </c>
      <c r="E128" s="11">
        <f>IF(OR($A128="",AND($E$2&lt;&gt;"全部",$A128&lt;&gt;$E$2)),"",SUMIFS(开票登记!$L$5:$L$504,开票登记!$R$5:$R$504,$B$2,开票登记!$C$5:$C$504,$A128))</f>
        <v>0</v>
      </c>
      <c r="F128" s="11">
        <f>IF(OR($A128="",AND($E$2&lt;&gt;"全部",$A128&lt;&gt;$E$2)),"",SUMIFS(开票登记!$M$5:$M$504,开票登记!$R$5:$R$504,$B$2,开票登记!$C$5:$C$504,$A128))</f>
        <v>0</v>
      </c>
      <c r="G128" s="11">
        <f>IF(OR($A128="",AND($E$2&lt;&gt;"全部",$A128&lt;&gt;$E$2)),"",SUMIFS(开票登记!$N$5:$N$504,开票登记!$R$5:$R$504,$B$2,开票登记!$C$5:$C$504,$A128)+SUMIFS(开票登记!$O$5:$O$504,开票登记!$R$5:$R$504,$B$2,开票登记!$C$5:$C$504,$A128))</f>
        <v>0</v>
      </c>
      <c r="H128" s="11">
        <f t="shared" si="8"/>
        <v>0</v>
      </c>
    </row>
    <row r="129" spans="1:8">
      <c r="A129" s="28" t="str">
        <f>IF(基础资料!$A6="","",基础资料!$A6)</f>
        <v>瑞盛天</v>
      </c>
      <c r="B129" s="28" t="str">
        <f>IF(OR($A129="",AND($E$2&lt;&gt;"全部",$A129&lt;&gt;$E$2)),"",基础资料!$C6)</f>
        <v>一般纳税人</v>
      </c>
      <c r="C129" s="41">
        <f>IF(OR($A129="",AND($E$2&lt;&gt;"全部",$A129&lt;&gt;$E$2)),"",COUNTIFS(开票登记!$R$5:$R$504,$B$2,开票登记!$C$5:$C$504,$A129))</f>
        <v>0</v>
      </c>
      <c r="D129" s="11">
        <f>IF(OR($A129="",AND($E$2&lt;&gt;"全部",$A129&lt;&gt;$E$2)),"",SUMIFS(开票登记!$J$5:$J$504,开票登记!$R$5:$R$504,$B$2,开票登记!$C$5:$C$504,$A129))</f>
        <v>0</v>
      </c>
      <c r="E129" s="11">
        <f>IF(OR($A129="",AND($E$2&lt;&gt;"全部",$A129&lt;&gt;$E$2)),"",SUMIFS(开票登记!$L$5:$L$504,开票登记!$R$5:$R$504,$B$2,开票登记!$C$5:$C$504,$A129))</f>
        <v>0</v>
      </c>
      <c r="F129" s="11">
        <f>IF(OR($A129="",AND($E$2&lt;&gt;"全部",$A129&lt;&gt;$E$2)),"",SUMIFS(开票登记!$M$5:$M$504,开票登记!$R$5:$R$504,$B$2,开票登记!$C$5:$C$504,$A129))</f>
        <v>0</v>
      </c>
      <c r="G129" s="11">
        <f>IF(OR($A129="",AND($E$2&lt;&gt;"全部",$A129&lt;&gt;$E$2)),"",SUMIFS(开票登记!$N$5:$N$504,开票登记!$R$5:$R$504,$B$2,开票登记!$C$5:$C$504,$A129)+SUMIFS(开票登记!$O$5:$O$504,开票登记!$R$5:$R$504,$B$2,开票登记!$C$5:$C$504,$A129))</f>
        <v>0</v>
      </c>
      <c r="H129" s="11">
        <f t="shared" si="8"/>
        <v>0</v>
      </c>
    </row>
    <row r="130" spans="1:8">
      <c r="A130" s="28" t="str">
        <f>IF(基础资料!$A7="","",基础资料!$A7)</f>
        <v>鑫海特</v>
      </c>
      <c r="B130" s="28" t="str">
        <f>IF(OR($A130="",AND($E$2&lt;&gt;"全部",$A130&lt;&gt;$E$2)),"",基础资料!$C7)</f>
        <v>一般纳税人</v>
      </c>
      <c r="C130" s="41">
        <f>IF(OR($A130="",AND($E$2&lt;&gt;"全部",$A130&lt;&gt;$E$2)),"",COUNTIFS(开票登记!$R$5:$R$504,$B$2,开票登记!$C$5:$C$504,$A130))</f>
        <v>0</v>
      </c>
      <c r="D130" s="11">
        <f>IF(OR($A130="",AND($E$2&lt;&gt;"全部",$A130&lt;&gt;$E$2)),"",SUMIFS(开票登记!$J$5:$J$504,开票登记!$R$5:$R$504,$B$2,开票登记!$C$5:$C$504,$A130))</f>
        <v>0</v>
      </c>
      <c r="E130" s="11">
        <f>IF(OR($A130="",AND($E$2&lt;&gt;"全部",$A130&lt;&gt;$E$2)),"",SUMIFS(开票登记!$L$5:$L$504,开票登记!$R$5:$R$504,$B$2,开票登记!$C$5:$C$504,$A130))</f>
        <v>0</v>
      </c>
      <c r="F130" s="11">
        <f>IF(OR($A130="",AND($E$2&lt;&gt;"全部",$A130&lt;&gt;$E$2)),"",SUMIFS(开票登记!$M$5:$M$504,开票登记!$R$5:$R$504,$B$2,开票登记!$C$5:$C$504,$A130))</f>
        <v>0</v>
      </c>
      <c r="G130" s="11">
        <f>IF(OR($A130="",AND($E$2&lt;&gt;"全部",$A130&lt;&gt;$E$2)),"",SUMIFS(开票登记!$N$5:$N$504,开票登记!$R$5:$R$504,$B$2,开票登记!$C$5:$C$504,$A130)+SUMIFS(开票登记!$O$5:$O$504,开票登记!$R$5:$R$504,$B$2,开票登记!$C$5:$C$504,$A130))</f>
        <v>0</v>
      </c>
      <c r="H130" s="11">
        <f t="shared" si="8"/>
        <v>0</v>
      </c>
    </row>
    <row r="131" spans="1:8">
      <c r="A131" s="28" t="str">
        <f>IF(基础资料!$A8="","",基础资料!$A8)</f>
        <v>中展</v>
      </c>
      <c r="B131" s="28" t="str">
        <f>IF(OR($A131="",AND($E$2&lt;&gt;"全部",$A131&lt;&gt;$E$2)),"",基础资料!$C8)</f>
        <v>小规模纳税人</v>
      </c>
      <c r="C131" s="41">
        <f>IF(OR($A131="",AND($E$2&lt;&gt;"全部",$A131&lt;&gt;$E$2)),"",COUNTIFS(开票登记!$R$5:$R$504,$B$2,开票登记!$C$5:$C$504,$A131))</f>
        <v>0</v>
      </c>
      <c r="D131" s="11">
        <f>IF(OR($A131="",AND($E$2&lt;&gt;"全部",$A131&lt;&gt;$E$2)),"",SUMIFS(开票登记!$J$5:$J$504,开票登记!$R$5:$R$504,$B$2,开票登记!$C$5:$C$504,$A131))</f>
        <v>0</v>
      </c>
      <c r="E131" s="11">
        <f>IF(OR($A131="",AND($E$2&lt;&gt;"全部",$A131&lt;&gt;$E$2)),"",SUMIFS(开票登记!$L$5:$L$504,开票登记!$R$5:$R$504,$B$2,开票登记!$C$5:$C$504,$A131))</f>
        <v>0</v>
      </c>
      <c r="F131" s="11">
        <f>IF(OR($A131="",AND($E$2&lt;&gt;"全部",$A131&lt;&gt;$E$2)),"",SUMIFS(开票登记!$M$5:$M$504,开票登记!$R$5:$R$504,$B$2,开票登记!$C$5:$C$504,$A131))</f>
        <v>0</v>
      </c>
      <c r="G131" s="11">
        <f>IF(OR($A131="",AND($E$2&lt;&gt;"全部",$A131&lt;&gt;$E$2)),"",SUMIFS(开票登记!$N$5:$N$504,开票登记!$R$5:$R$504,$B$2,开票登记!$C$5:$C$504,$A131)+SUMIFS(开票登记!$O$5:$O$504,开票登记!$R$5:$R$504,$B$2,开票登记!$C$5:$C$504,$A131))</f>
        <v>0</v>
      </c>
      <c r="H131" s="11">
        <f t="shared" si="8"/>
        <v>0</v>
      </c>
    </row>
    <row r="132" spans="1:8">
      <c r="A132" s="28" t="str">
        <f>IF(基础资料!$A9="","",基础资料!$A9)</f>
        <v>元界极光</v>
      </c>
      <c r="B132" s="28" t="str">
        <f>IF(OR($A132="",AND($E$2&lt;&gt;"全部",$A132&lt;&gt;$E$2)),"",基础资料!$C9)</f>
        <v>小规模纳税人</v>
      </c>
      <c r="C132" s="41">
        <f>IF(OR($A132="",AND($E$2&lt;&gt;"全部",$A132&lt;&gt;$E$2)),"",COUNTIFS(开票登记!$R$5:$R$504,$B$2,开票登记!$C$5:$C$504,$A132))</f>
        <v>0</v>
      </c>
      <c r="D132" s="11">
        <f>IF(OR($A132="",AND($E$2&lt;&gt;"全部",$A132&lt;&gt;$E$2)),"",SUMIFS(开票登记!$J$5:$J$504,开票登记!$R$5:$R$504,$B$2,开票登记!$C$5:$C$504,$A132))</f>
        <v>0</v>
      </c>
      <c r="E132" s="11">
        <f>IF(OR($A132="",AND($E$2&lt;&gt;"全部",$A132&lt;&gt;$E$2)),"",SUMIFS(开票登记!$L$5:$L$504,开票登记!$R$5:$R$504,$B$2,开票登记!$C$5:$C$504,$A132))</f>
        <v>0</v>
      </c>
      <c r="F132" s="11">
        <f>IF(OR($A132="",AND($E$2&lt;&gt;"全部",$A132&lt;&gt;$E$2)),"",SUMIFS(开票登记!$M$5:$M$504,开票登记!$R$5:$R$504,$B$2,开票登记!$C$5:$C$504,$A132))</f>
        <v>0</v>
      </c>
      <c r="G132" s="11">
        <f>IF(OR($A132="",AND($E$2&lt;&gt;"全部",$A132&lt;&gt;$E$2)),"",SUMIFS(开票登记!$N$5:$N$504,开票登记!$R$5:$R$504,$B$2,开票登记!$C$5:$C$504,$A132)+SUMIFS(开票登记!$O$5:$O$504,开票登记!$R$5:$R$504,$B$2,开票登记!$C$5:$C$504,$A132))</f>
        <v>0</v>
      </c>
      <c r="H132" s="11">
        <f t="shared" si="8"/>
        <v>0</v>
      </c>
    </row>
    <row r="133" spans="1:8">
      <c r="A133" s="28" t="str">
        <f>IF(基础资料!$A10="","",基础资料!$A10)</f>
        <v>元界启辰</v>
      </c>
      <c r="B133" s="28" t="str">
        <f>IF(OR($A133="",AND($E$2&lt;&gt;"全部",$A133&lt;&gt;$E$2)),"",基础资料!$C10)</f>
        <v>小规模纳税人</v>
      </c>
      <c r="C133" s="41">
        <f>IF(OR($A133="",AND($E$2&lt;&gt;"全部",$A133&lt;&gt;$E$2)),"",COUNTIFS(开票登记!$R$5:$R$504,$B$2,开票登记!$C$5:$C$504,$A133))</f>
        <v>0</v>
      </c>
      <c r="D133" s="11">
        <f>IF(OR($A133="",AND($E$2&lt;&gt;"全部",$A133&lt;&gt;$E$2)),"",SUMIFS(开票登记!$J$5:$J$504,开票登记!$R$5:$R$504,$B$2,开票登记!$C$5:$C$504,$A133))</f>
        <v>0</v>
      </c>
      <c r="E133" s="11">
        <f>IF(OR($A133="",AND($E$2&lt;&gt;"全部",$A133&lt;&gt;$E$2)),"",SUMIFS(开票登记!$L$5:$L$504,开票登记!$R$5:$R$504,$B$2,开票登记!$C$5:$C$504,$A133))</f>
        <v>0</v>
      </c>
      <c r="F133" s="11">
        <f>IF(OR($A133="",AND($E$2&lt;&gt;"全部",$A133&lt;&gt;$E$2)),"",SUMIFS(开票登记!$M$5:$M$504,开票登记!$R$5:$R$504,$B$2,开票登记!$C$5:$C$504,$A133))</f>
        <v>0</v>
      </c>
      <c r="G133" s="11">
        <f>IF(OR($A133="",AND($E$2&lt;&gt;"全部",$A133&lt;&gt;$E$2)),"",SUMIFS(开票登记!$N$5:$N$504,开票登记!$R$5:$R$504,$B$2,开票登记!$C$5:$C$504,$A133)+SUMIFS(开票登记!$O$5:$O$504,开票登记!$R$5:$R$504,$B$2,开票登记!$C$5:$C$504,$A133))</f>
        <v>0</v>
      </c>
      <c r="H133" s="11">
        <f t="shared" si="8"/>
        <v>0</v>
      </c>
    </row>
    <row r="134" spans="1:8">
      <c r="A134" s="28" t="str">
        <f>IF(基础资料!$A11="","",基础资料!$A11)</f>
        <v>锐思维度</v>
      </c>
      <c r="B134" s="28" t="str">
        <f>IF(OR($A134="",AND($E$2&lt;&gt;"全部",$A134&lt;&gt;$E$2)),"",基础资料!$C11)</f>
        <v>小规模纳税人</v>
      </c>
      <c r="C134" s="41">
        <f>IF(OR($A134="",AND($E$2&lt;&gt;"全部",$A134&lt;&gt;$E$2)),"",COUNTIFS(开票登记!$R$5:$R$504,$B$2,开票登记!$C$5:$C$504,$A134))</f>
        <v>0</v>
      </c>
      <c r="D134" s="11">
        <f>IF(OR($A134="",AND($E$2&lt;&gt;"全部",$A134&lt;&gt;$E$2)),"",SUMIFS(开票登记!$J$5:$J$504,开票登记!$R$5:$R$504,$B$2,开票登记!$C$5:$C$504,$A134))</f>
        <v>0</v>
      </c>
      <c r="E134" s="11">
        <f>IF(OR($A134="",AND($E$2&lt;&gt;"全部",$A134&lt;&gt;$E$2)),"",SUMIFS(开票登记!$L$5:$L$504,开票登记!$R$5:$R$504,$B$2,开票登记!$C$5:$C$504,$A134))</f>
        <v>0</v>
      </c>
      <c r="F134" s="11">
        <f>IF(OR($A134="",AND($E$2&lt;&gt;"全部",$A134&lt;&gt;$E$2)),"",SUMIFS(开票登记!$M$5:$M$504,开票登记!$R$5:$R$504,$B$2,开票登记!$C$5:$C$504,$A134))</f>
        <v>0</v>
      </c>
      <c r="G134" s="11">
        <f>IF(OR($A134="",AND($E$2&lt;&gt;"全部",$A134&lt;&gt;$E$2)),"",SUMIFS(开票登记!$N$5:$N$504,开票登记!$R$5:$R$504,$B$2,开票登记!$C$5:$C$504,$A134)+SUMIFS(开票登记!$O$5:$O$504,开票登记!$R$5:$R$504,$B$2,开票登记!$C$5:$C$504,$A134))</f>
        <v>0</v>
      </c>
      <c r="H134" s="11">
        <f t="shared" si="8"/>
        <v>0</v>
      </c>
    </row>
    <row r="135" spans="1:8">
      <c r="A135" s="42" t="s">
        <v>932</v>
      </c>
      <c r="B135" s="42"/>
      <c r="C135" s="43">
        <f>COUNTIFS(开票登记!$R$5:$R$504,$B$2,开票登记!$D$5:$D$504,"小规模纳税人",开票登记!$C$5:$C$504,IF($E$2="全部","*",$E$2))</f>
        <v>0</v>
      </c>
      <c r="D135" s="44">
        <f>SUMIFS(开票登记!$J$5:$J$504,开票登记!$R$5:$R$504,$B$2,开票登记!$D$5:$D$504,"小规模纳税人",开票登记!$C$5:$C$504,IF($E$2="全部","*",$E$2))</f>
        <v>0</v>
      </c>
      <c r="E135" s="44">
        <f>SUMIFS(开票登记!$L$5:$L$504,开票登记!$R$5:$R$504,$B$2,开票登记!$D$5:$D$504,"小规模纳税人",开票登记!$C$5:$C$504,IF($E$2="全部","*",$E$2))</f>
        <v>0</v>
      </c>
      <c r="F135" s="44">
        <f>SUMIFS(开票登记!$M$5:$M$504,开票登记!$R$5:$R$504,$B$2,开票登记!$D$5:$D$504,"小规模纳税人",开票登记!$C$5:$C$504,IF($E$2="全部","*",$E$2))</f>
        <v>0</v>
      </c>
      <c r="G135" s="44">
        <f>SUMIFS(开票登记!$N$5:$N$504,开票登记!$R$5:$R$504,$B$2,开票登记!$D$5:$D$504,"小规模纳税人",开票登记!$C$5:$C$504,IF($E$2="全部","*",$E$2))+SUMIFS(开票登记!$O$5:$O$504,开票登记!$R$5:$R$504,$B$2,开票登记!$D$5:$D$504,"小规模纳税人",开票登记!$C$5:$C$504,IF($E$2="全部","*",$E$2))</f>
        <v>0</v>
      </c>
      <c r="H135" s="44">
        <f>$F135-$G135</f>
        <v>0</v>
      </c>
    </row>
    <row r="136" spans="1:8">
      <c r="A136" s="42" t="s">
        <v>933</v>
      </c>
      <c r="B136" s="42"/>
      <c r="C136" s="43">
        <f>COUNTIFS(开票登记!$R$5:$R$504,$B$2,开票登记!$D$5:$D$504,"一般纳税人",开票登记!$C$5:$C$504,IF($E$2="全部","*",$E$2))</f>
        <v>2</v>
      </c>
      <c r="D136" s="44">
        <f>SUMIFS(开票登记!$J$5:$J$504,开票登记!$R$5:$R$504,$B$2,开票登记!$D$5:$D$504,"一般纳税人",开票登记!$C$5:$C$504,IF($E$2="全部","*",$E$2))</f>
        <v>256117.52</v>
      </c>
      <c r="E136" s="44">
        <f>SUMIFS(开票登记!$L$5:$L$504,开票登记!$R$5:$R$504,$B$2,开票登记!$D$5:$D$504,"一般纳税人",开票登记!$C$5:$C$504,IF($E$2="全部","*",$E$2))</f>
        <v>29450.58</v>
      </c>
      <c r="F136" s="44">
        <f>SUMIFS(开票登记!$M$5:$M$504,开票登记!$R$5:$R$504,$B$2,开票登记!$D$5:$D$504,"一般纳税人",开票登记!$C$5:$C$504,IF($E$2="全部","*",$E$2))</f>
        <v>285568.1</v>
      </c>
      <c r="G136" s="44">
        <f>SUMIFS(开票登记!$N$5:$N$504,开票登记!$R$5:$R$504,$B$2,开票登记!$D$5:$D$504,"一般纳税人",开票登记!$C$5:$C$504,IF($E$2="全部","*",$E$2))+SUMIFS(开票登记!$O$5:$O$504,开票登记!$R$5:$R$504,$B$2,开票登记!$D$5:$D$504,"一般纳税人",开票登记!$C$5:$C$504,IF($E$2="全部","*",$E$2))</f>
        <v>285568</v>
      </c>
      <c r="H136" s="44">
        <f>$F136-$G136</f>
        <v>0.0999999999767169</v>
      </c>
    </row>
    <row r="137" spans="1:8">
      <c r="A137" s="13" t="s">
        <v>934</v>
      </c>
      <c r="B137" s="15"/>
      <c r="C137" s="45">
        <f t="shared" ref="C137:H137" si="9">SUM(C135:C136)</f>
        <v>2</v>
      </c>
      <c r="D137" s="14">
        <f t="shared" si="9"/>
        <v>256117.52</v>
      </c>
      <c r="E137" s="14">
        <f t="shared" si="9"/>
        <v>29450.58</v>
      </c>
      <c r="F137" s="14">
        <f t="shared" si="9"/>
        <v>285568.1</v>
      </c>
      <c r="G137" s="14">
        <f t="shared" si="9"/>
        <v>285568</v>
      </c>
      <c r="H137" s="14">
        <f t="shared" si="9"/>
        <v>0.0999999999767169</v>
      </c>
    </row>
    <row r="139" ht="21.75" customHeight="1" spans="1:8">
      <c r="A139" s="8" t="s">
        <v>935</v>
      </c>
      <c r="B139" s="8"/>
      <c r="C139" s="8"/>
      <c r="D139" s="8"/>
      <c r="E139" s="8"/>
      <c r="F139" s="8"/>
      <c r="G139" s="8"/>
      <c r="H139" s="8"/>
    </row>
    <row r="140" ht="27.75" customHeight="1" spans="1:8">
      <c r="A140" s="9" t="s">
        <v>936</v>
      </c>
      <c r="B140" s="9" t="s">
        <v>838</v>
      </c>
      <c r="C140" s="9" t="s">
        <v>937</v>
      </c>
      <c r="D140" s="9" t="s">
        <v>110</v>
      </c>
      <c r="E140" s="9"/>
      <c r="F140" s="9"/>
      <c r="G140" s="9"/>
      <c r="H140" s="9"/>
    </row>
    <row r="141" ht="31.5" customHeight="1" spans="1:8">
      <c r="A141" s="46" t="s">
        <v>938</v>
      </c>
      <c r="B141" s="25" t="e">
        <f>SUMIFS(资金流水!$K$5:$K$3032,资金流水!$S$5:$S$3015,$B$2,资金流水!$D$5:$D$3032,IF($E$2="全部","*",$E$2),资金流水!$T$5:$T$3015,"&lt;"&amp;$B$2)</f>
        <v>#VALUE!</v>
      </c>
      <c r="C141" s="29" t="e">
        <f>COUNTIFS(资金流水!$S$5:$S$3015,$B$2,资金流水!$D$5:$D$3032,IF($E$2="全部","*",$E$2),资金流水!$T$5:$T$3015,"&lt;"&amp;$B$2,资金流水!$K$5:$K$3032,"&gt;0")</f>
        <v>#VALUE!</v>
      </c>
      <c r="D141" s="47" t="s">
        <v>939</v>
      </c>
      <c r="E141" s="47"/>
      <c r="F141" s="47"/>
      <c r="G141" s="47"/>
      <c r="H141" s="47"/>
    </row>
    <row r="142" ht="31.5" customHeight="1" spans="1:8">
      <c r="A142" s="46" t="s">
        <v>940</v>
      </c>
      <c r="B142" s="25" t="e">
        <f>SUMIFS(资金流水!$L$5:$L$3032,资金流水!$S$5:$S$3015,$B$2,资金流水!$D$5:$D$3032,IF($E$2="全部","*",$E$2),资金流水!$T$5:$T$3015,"&lt;"&amp;$B$2)</f>
        <v>#VALUE!</v>
      </c>
      <c r="C142" s="29" t="e">
        <f>COUNTIFS(资金流水!$S$5:$S$3015,$B$2,资金流水!$D$5:$D$3032,IF($E$2="全部","*",$E$2),资金流水!$T$5:$T$3015,"&lt;"&amp;$B$2,资金流水!$L$5:$L$3032,"&gt;0")</f>
        <v>#VALUE!</v>
      </c>
      <c r="D142" s="47" t="s">
        <v>941</v>
      </c>
      <c r="E142" s="47"/>
      <c r="F142" s="47"/>
      <c r="G142" s="47"/>
      <c r="H142" s="47"/>
    </row>
    <row r="143" ht="31.5" customHeight="1" spans="1:8">
      <c r="A143" s="46" t="s">
        <v>942</v>
      </c>
      <c r="B143" s="25" t="e">
        <f>SUMIFS(资金流水!$K$5:$K$3032,资金流水!$S$5:$S$3015,$B$2,资金流水!$D$5:$D$3032,IF($E$2="全部","*",$E$2),资金流水!$T$5:$T$3015,"&gt;"&amp;$B$2)+SUMIFS(资金流水!$L$5:$L$3032,资金流水!$S$5:$S$3015,$B$2,资金流水!$D$5:$D$3032,IF($E$2="全部","*",$E$2),资金流水!$T$5:$T$3015,"&gt;"&amp;$B$2)</f>
        <v>#VALUE!</v>
      </c>
      <c r="C143" s="29" t="e">
        <f>COUNTIFS(资金流水!$S$5:$S$3015,$B$2,资金流水!$D$5:$D$3032,IF($E$2="全部","*",$E$2),资金流水!$T$5:$T$3015,"&gt;"&amp;$B$2)</f>
        <v>#VALUE!</v>
      </c>
      <c r="D143" s="47" t="s">
        <v>943</v>
      </c>
      <c r="E143" s="47"/>
      <c r="F143" s="47"/>
      <c r="G143" s="47"/>
      <c r="H143" s="47"/>
    </row>
    <row r="144" ht="31.5" customHeight="1" spans="1:8">
      <c r="A144" s="46" t="s">
        <v>944</v>
      </c>
      <c r="B144" s="25" t="e">
        <f>SUMIFS(应收应付台账!$L$5:$L$304,应收应付台账!$B$5:$B$304,"应收",应收应付台账!$C$5:$C$304,IF($E$2="全部","*",$E$2))</f>
        <v>#VALUE!</v>
      </c>
      <c r="C144" s="29">
        <f>COUNTIFS(应收应付台账!$B$5:$B$304,"应收",应收应付台账!$C$5:$C$304,IF($E$2="全部","*",$E$2),应收应付台账!$M$5:$M$304,"&lt;&gt;已结清")</f>
        <v>1</v>
      </c>
      <c r="D144" s="47" t="s">
        <v>945</v>
      </c>
      <c r="E144" s="47"/>
      <c r="F144" s="47"/>
      <c r="G144" s="47"/>
      <c r="H144" s="47"/>
    </row>
    <row r="145" ht="31.5" customHeight="1" spans="1:8">
      <c r="A145" s="46" t="s">
        <v>946</v>
      </c>
      <c r="B145" s="25" t="e">
        <f>SUMIFS(应收应付台账!$L$5:$L$304,应收应付台账!$B$5:$B$304,"应付",应收应付台账!$C$5:$C$304,IF($E$2="全部","*",$E$2))</f>
        <v>#VALUE!</v>
      </c>
      <c r="C145" s="29">
        <f>COUNTIFS(应收应付台账!$B$5:$B$304,"应付",应收应付台账!$C$5:$C$304,IF($E$2="全部","*",$E$2),应收应付台账!$M$5:$M$304,"&lt;&gt;已结清")</f>
        <v>1</v>
      </c>
      <c r="D145" s="47" t="s">
        <v>947</v>
      </c>
      <c r="E145" s="47"/>
      <c r="F145" s="47"/>
      <c r="G145" s="47"/>
      <c r="H145" s="47"/>
    </row>
    <row r="146" ht="31.5" customHeight="1" spans="1:8">
      <c r="A146" s="46" t="s">
        <v>948</v>
      </c>
      <c r="B146" s="25" t="e">
        <f>SUMIFS(开票登记!$P$5:$P$504,开票登记!$C$5:$C$504,IF($E$2="全部","*",$E$2))</f>
        <v>#VALUE!</v>
      </c>
      <c r="C146" s="29">
        <f>COUNTIFS(开票登记!$C$5:$C$504,IF($E$2="全部","*",$E$2),开票登记!$Q$5:$Q$504,"&lt;&gt;已收齐")</f>
        <v>12</v>
      </c>
      <c r="D146" s="47" t="s">
        <v>949</v>
      </c>
      <c r="E146" s="47"/>
      <c r="F146" s="47"/>
      <c r="G146" s="47"/>
      <c r="H146" s="47"/>
    </row>
  </sheetData>
  <mergeCells count="16">
    <mergeCell ref="A1:H1"/>
    <mergeCell ref="A3:H3"/>
    <mergeCell ref="A5:H5"/>
    <mergeCell ref="A11:H11"/>
    <mergeCell ref="A29:H29"/>
    <mergeCell ref="A39:H39"/>
    <mergeCell ref="A89:H89"/>
    <mergeCell ref="A101:H101"/>
    <mergeCell ref="A125:H125"/>
    <mergeCell ref="A139:H139"/>
    <mergeCell ref="D141:H141"/>
    <mergeCell ref="D142:H142"/>
    <mergeCell ref="D143:H143"/>
    <mergeCell ref="D144:H144"/>
    <mergeCell ref="D145:H145"/>
    <mergeCell ref="D146:H146"/>
  </mergeCells>
  <conditionalFormatting sqref="F103:F122">
    <cfRule type="cellIs" dxfId="1" priority="2" operator="lessThan">
      <formula>0</formula>
    </cfRule>
  </conditionalFormatting>
  <dataValidations count="1">
    <dataValidation type="list" allowBlank="1" sqref="E2">
      <formula1>基础资料!$A$4:$A$11</formula1>
    </dataValidation>
  </dataValidation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C00000"/>
  </sheetPr>
  <dimension ref="A1:T2"/>
  <sheetViews>
    <sheetView showGridLines="0" workbookViewId="0">
      <selection activeCell="M25" sqref="M25"/>
    </sheetView>
  </sheetViews>
  <sheetFormatPr defaultColWidth="8.67619047619048" defaultRowHeight="15" outlineLevelRow="1"/>
  <cols>
    <col min="1" max="1" width="3" customWidth="1"/>
  </cols>
  <sheetData>
    <row r="1" ht="25.5" customHeight="1" spans="1:20">
      <c r="A1" s="1" t="s">
        <v>950</v>
      </c>
      <c r="B1" s="1"/>
      <c r="C1" s="1"/>
      <c r="D1" s="1"/>
      <c r="E1" s="1"/>
      <c r="F1" s="1"/>
      <c r="G1" s="1"/>
      <c r="H1" s="1"/>
      <c r="I1" s="1"/>
      <c r="J1" s="1"/>
      <c r="K1" s="1"/>
      <c r="L1" s="1"/>
      <c r="M1" s="1"/>
      <c r="N1" s="1"/>
      <c r="O1" s="1"/>
      <c r="P1" s="1"/>
      <c r="Q1" s="1"/>
      <c r="R1" s="1"/>
      <c r="S1" s="1"/>
      <c r="T1" s="1"/>
    </row>
    <row r="2" spans="1:20">
      <c r="A2" s="19" t="s">
        <v>951</v>
      </c>
    </row>
  </sheetData>
  <mergeCells count="1">
    <mergeCell ref="A1:T1"/>
  </mergeCells>
  <pageMargins left="0.75" right="0.75" top="1" bottom="1" header="0.511811023622047" footer="0.511811023622047"/>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8EA9DB"/>
  </sheetPr>
  <dimension ref="A1:P16"/>
  <sheetViews>
    <sheetView showGridLines="0" workbookViewId="0">
      <pane xSplit="2" ySplit="3" topLeftCell="C4" activePane="bottomRight" state="frozen"/>
      <selection/>
      <selection pane="topRight"/>
      <selection pane="bottomLeft"/>
      <selection pane="bottomRight" activeCell="E21" sqref="E21"/>
    </sheetView>
  </sheetViews>
  <sheetFormatPr defaultColWidth="8.67619047619048" defaultRowHeight="15"/>
  <cols>
    <col min="1" max="1" width="8" customWidth="1"/>
    <col min="2" max="2" width="10" customWidth="1"/>
    <col min="3" max="6" width="14" customWidth="1"/>
    <col min="7" max="7" width="15" customWidth="1"/>
    <col min="8" max="10" width="13" customWidth="1"/>
    <col min="11" max="11" width="12" customWidth="1"/>
    <col min="12" max="12" width="13" customWidth="1"/>
    <col min="13" max="13" width="14" customWidth="1"/>
    <col min="14" max="14" width="13" customWidth="1"/>
    <col min="15" max="15" width="16" customWidth="1"/>
    <col min="16" max="16" width="18" customWidth="1"/>
  </cols>
  <sheetData>
    <row r="1" ht="25.5" customHeight="1" spans="1:16">
      <c r="A1" s="1" t="s">
        <v>952</v>
      </c>
      <c r="B1" s="1"/>
      <c r="C1" s="1"/>
      <c r="D1" s="1"/>
      <c r="E1" s="1"/>
      <c r="F1" s="1"/>
      <c r="G1" s="1"/>
      <c r="H1" s="1"/>
      <c r="I1" s="1"/>
      <c r="J1" s="1"/>
      <c r="K1" s="1"/>
      <c r="L1" s="1"/>
      <c r="M1" s="1"/>
      <c r="N1" s="1"/>
      <c r="O1" s="1"/>
      <c r="P1" s="1"/>
    </row>
    <row r="2" ht="24" spans="1:16">
      <c r="A2" s="4" t="s">
        <v>953</v>
      </c>
      <c r="B2" s="27">
        <v>2026</v>
      </c>
      <c r="C2" s="19" t="s">
        <v>954</v>
      </c>
    </row>
    <row r="3" ht="33.75" customHeight="1" spans="1:16">
      <c r="A3" s="22" t="s">
        <v>955</v>
      </c>
      <c r="B3" s="22" t="s">
        <v>956</v>
      </c>
      <c r="C3" s="22" t="s">
        <v>957</v>
      </c>
      <c r="D3" s="22" t="s">
        <v>958</v>
      </c>
      <c r="E3" s="22" t="s">
        <v>959</v>
      </c>
      <c r="F3" s="22" t="s">
        <v>887</v>
      </c>
      <c r="G3" s="22" t="s">
        <v>888</v>
      </c>
      <c r="H3" s="22" t="s">
        <v>909</v>
      </c>
      <c r="I3" s="22" t="s">
        <v>91</v>
      </c>
      <c r="J3" s="22" t="s">
        <v>238</v>
      </c>
      <c r="K3" s="22" t="s">
        <v>263</v>
      </c>
      <c r="L3" s="22" t="s">
        <v>283</v>
      </c>
      <c r="M3" s="22" t="s">
        <v>890</v>
      </c>
      <c r="N3" s="22" t="s">
        <v>960</v>
      </c>
      <c r="O3" s="22" t="s">
        <v>961</v>
      </c>
      <c r="P3" s="22" t="s">
        <v>962</v>
      </c>
    </row>
    <row r="4" spans="1:16">
      <c r="A4" s="28" t="s">
        <v>963</v>
      </c>
      <c r="B4" s="29">
        <f>$B$2*100+1</f>
        <v>202601</v>
      </c>
      <c r="C4" s="30">
        <f>IF(基础资料!$AH$4="不含税金额",SUMIFS(开票登记!$J$5:$J$504,开票登记!$R$5:$R$504,$B4),SUMIFS(开票登记!$M$5:$M$504,开票登记!$R$5:$R$504,$B4))</f>
        <v>3854399.92</v>
      </c>
      <c r="D4" s="30" t="e">
        <f>SUMIFS(资金流水!$K$5:$K$3032,资金流水!$S$5:$S$3015,$B4)</f>
        <v>#VALUE!</v>
      </c>
      <c r="E4" s="30" t="e">
        <f>SUMIFS(资金流水!$L$5:$L$3032,资金流水!$S$5:$S$3015,$B4)</f>
        <v>#VALUE!</v>
      </c>
      <c r="F4" s="30" t="e">
        <f t="shared" ref="F4:F15" si="0">$D4-$E4</f>
        <v>#VALUE!</v>
      </c>
      <c r="G4" s="30" t="e">
        <f>$C4+SUMIFS(资金流水!$K$5:$K$3032,资金流水!$T$5:$T$3015,$B4,资金流水!$X$5:$X$3015,"非经营收入")</f>
        <v>#VALUE!</v>
      </c>
      <c r="H4" s="30" t="e">
        <f>SUMIFS(资金流水!$L$5:$L$3032,资金流水!$T$5:$T$3015,$B4,资金流水!$W$5:$W$3015,"项目成本")</f>
        <v>#VALUE!</v>
      </c>
      <c r="I4" s="30" t="e">
        <f>SUMIFS(资金流水!$L$5:$L$3032,资金流水!$T$5:$T$3015,$B4,资金流水!$W$5:$W$3015,"管理费用")</f>
        <v>#VALUE!</v>
      </c>
      <c r="J4" s="30" t="e">
        <f>SUMIFS(资金流水!$L$5:$L$3032,资金流水!$T$5:$T$3015,$B4,资金流水!$W$5:$W$3015,"人工社保")</f>
        <v>#VALUE!</v>
      </c>
      <c r="K4" s="30" t="e">
        <f>SUMIFS(资金流水!$L$5:$L$3032,资金流水!$T$5:$T$3015,$B4,资金流水!$W$5:$W$3015,"税费")</f>
        <v>#VALUE!</v>
      </c>
      <c r="L4" s="30" t="e">
        <f>SUMIFS(资金流水!$L$5:$L$3032,资金流水!$T$5:$T$3015,$B4,资金流水!$W$5:$W$3015,"财务费用")</f>
        <v>#VALUE!</v>
      </c>
      <c r="M4" s="30" t="e">
        <f t="shared" ref="M4:M15" si="1">$G4-SUM($H4:$L4)</f>
        <v>#VALUE!</v>
      </c>
      <c r="N4" s="30" t="e">
        <f>SUMIFS(资金流水!$L$5:$L$3032,资金流水!$T$5:$T$3015,$B4,资金流水!$I$5:$I$3032,"办公费")</f>
        <v>#VALUE!</v>
      </c>
      <c r="O4" s="30">
        <f>SUMIFS(开票登记!$M$5:$M$504,开票登记!$R$5:$R$504,$B4,开票登记!$D$5:$D$504,"小规模纳税人")</f>
        <v>0</v>
      </c>
      <c r="P4" s="30">
        <f>SUMIFS(开票登记!$M$5:$M$504,开票登记!$R$5:$R$504,$B4,开票登记!$D$5:$D$504,"一般纳税人")</f>
        <v>3854399.92</v>
      </c>
    </row>
    <row r="5" spans="1:16">
      <c r="A5" s="28" t="s">
        <v>964</v>
      </c>
      <c r="B5" s="29">
        <f>$B$2*100+2</f>
        <v>202602</v>
      </c>
      <c r="C5" s="30">
        <f>IF(基础资料!$AH$4="不含税金额",SUMIFS(开票登记!$J$5:$J$504,开票登记!$R$5:$R$504,$B5),SUMIFS(开票登记!$M$5:$M$504,开票登记!$R$5:$R$504,$B5))</f>
        <v>285568.1</v>
      </c>
      <c r="D5" s="30" t="e">
        <f>SUMIFS(资金流水!$K$5:$K$3032,资金流水!$S$5:$S$3015,$B5)</f>
        <v>#VALUE!</v>
      </c>
      <c r="E5" s="30" t="e">
        <f>SUMIFS(资金流水!$L$5:$L$3032,资金流水!$S$5:$S$3015,$B5)</f>
        <v>#VALUE!</v>
      </c>
      <c r="F5" s="30" t="e">
        <f t="shared" si="0"/>
        <v>#VALUE!</v>
      </c>
      <c r="G5" s="30" t="e">
        <f>$C5+SUMIFS(资金流水!$K$5:$K$3032,资金流水!$T$5:$T$3015,$B5,资金流水!$X$5:$X$3015,"非经营收入")</f>
        <v>#VALUE!</v>
      </c>
      <c r="H5" s="30" t="e">
        <f>SUMIFS(资金流水!$L$5:$L$3032,资金流水!$T$5:$T$3015,$B5,资金流水!$W$5:$W$3015,"项目成本")</f>
        <v>#VALUE!</v>
      </c>
      <c r="I5" s="30" t="e">
        <f>SUMIFS(资金流水!$L$5:$L$3032,资金流水!$T$5:$T$3015,$B5,资金流水!$W$5:$W$3015,"管理费用")</f>
        <v>#VALUE!</v>
      </c>
      <c r="J5" s="30" t="e">
        <f>SUMIFS(资金流水!$L$5:$L$3032,资金流水!$T$5:$T$3015,$B5,资金流水!$W$5:$W$3015,"人工社保")</f>
        <v>#VALUE!</v>
      </c>
      <c r="K5" s="30" t="e">
        <f>SUMIFS(资金流水!$L$5:$L$3032,资金流水!$T$5:$T$3015,$B5,资金流水!$W$5:$W$3015,"税费")</f>
        <v>#VALUE!</v>
      </c>
      <c r="L5" s="30" t="e">
        <f>SUMIFS(资金流水!$L$5:$L$3032,资金流水!$T$5:$T$3015,$B5,资金流水!$W$5:$W$3015,"财务费用")</f>
        <v>#VALUE!</v>
      </c>
      <c r="M5" s="30" t="e">
        <f t="shared" si="1"/>
        <v>#VALUE!</v>
      </c>
      <c r="N5" s="30" t="e">
        <f>SUMIFS(资金流水!$L$5:$L$3032,资金流水!$T$5:$T$3015,$B5,资金流水!$I$5:$I$3032,"办公费")</f>
        <v>#VALUE!</v>
      </c>
      <c r="O5" s="30">
        <f>SUMIFS(开票登记!$M$5:$M$504,开票登记!$R$5:$R$504,$B5,开票登记!$D$5:$D$504,"小规模纳税人")</f>
        <v>0</v>
      </c>
      <c r="P5" s="30">
        <f>SUMIFS(开票登记!$M$5:$M$504,开票登记!$R$5:$R$504,$B5,开票登记!$D$5:$D$504,"一般纳税人")</f>
        <v>285568.1</v>
      </c>
    </row>
    <row r="6" spans="1:16">
      <c r="A6" s="28" t="s">
        <v>965</v>
      </c>
      <c r="B6" s="29">
        <f>$B$2*100+3</f>
        <v>202603</v>
      </c>
      <c r="C6" s="30">
        <f>IF(基础资料!$AH$4="不含税金额",SUMIFS(开票登记!$J$5:$J$504,开票登记!$R$5:$R$504,$B6),SUMIFS(开票登记!$M$5:$M$504,开票登记!$R$5:$R$504,$B6))</f>
        <v>1317348.78</v>
      </c>
      <c r="D6" s="30" t="e">
        <f>SUMIFS(资金流水!$K$5:$K$3032,资金流水!$S$5:$S$3015,$B6)</f>
        <v>#VALUE!</v>
      </c>
      <c r="E6" s="30" t="e">
        <f>SUMIFS(资金流水!$L$5:$L$3032,资金流水!$S$5:$S$3015,$B6)</f>
        <v>#VALUE!</v>
      </c>
      <c r="F6" s="30" t="e">
        <f t="shared" si="0"/>
        <v>#VALUE!</v>
      </c>
      <c r="G6" s="30" t="e">
        <f>$C6+SUMIFS(资金流水!$K$5:$K$3032,资金流水!$T$5:$T$3015,$B6,资金流水!$X$5:$X$3015,"非经营收入")</f>
        <v>#VALUE!</v>
      </c>
      <c r="H6" s="30" t="e">
        <f>SUMIFS(资金流水!$L$5:$L$3032,资金流水!$T$5:$T$3015,$B6,资金流水!$W$5:$W$3015,"项目成本")</f>
        <v>#VALUE!</v>
      </c>
      <c r="I6" s="30" t="e">
        <f>SUMIFS(资金流水!$L$5:$L$3032,资金流水!$T$5:$T$3015,$B6,资金流水!$W$5:$W$3015,"管理费用")</f>
        <v>#VALUE!</v>
      </c>
      <c r="J6" s="30" t="e">
        <f>SUMIFS(资金流水!$L$5:$L$3032,资金流水!$T$5:$T$3015,$B6,资金流水!$W$5:$W$3015,"人工社保")</f>
        <v>#VALUE!</v>
      </c>
      <c r="K6" s="30" t="e">
        <f>SUMIFS(资金流水!$L$5:$L$3032,资金流水!$T$5:$T$3015,$B6,资金流水!$W$5:$W$3015,"税费")</f>
        <v>#VALUE!</v>
      </c>
      <c r="L6" s="30" t="e">
        <f>SUMIFS(资金流水!$L$5:$L$3032,资金流水!$T$5:$T$3015,$B6,资金流水!$W$5:$W$3015,"财务费用")</f>
        <v>#VALUE!</v>
      </c>
      <c r="M6" s="30" t="e">
        <f t="shared" si="1"/>
        <v>#VALUE!</v>
      </c>
      <c r="N6" s="30" t="e">
        <f>SUMIFS(资金流水!$L$5:$L$3032,资金流水!$T$5:$T$3015,$B6,资金流水!$I$5:$I$3032,"办公费")</f>
        <v>#VALUE!</v>
      </c>
      <c r="O6" s="30">
        <f>SUMIFS(开票登记!$M$5:$M$504,开票登记!$R$5:$R$504,$B6,开票登记!$D$5:$D$504,"小规模纳税人")</f>
        <v>182715.98</v>
      </c>
      <c r="P6" s="30">
        <f>SUMIFS(开票登记!$M$5:$M$504,开票登记!$R$5:$R$504,$B6,开票登记!$D$5:$D$504,"一般纳税人")</f>
        <v>1134632.8</v>
      </c>
    </row>
    <row r="7" spans="1:16">
      <c r="A7" s="28" t="s">
        <v>966</v>
      </c>
      <c r="B7" s="29">
        <f>$B$2*100+4</f>
        <v>202604</v>
      </c>
      <c r="C7" s="30">
        <f>IF(基础资料!$AH$4="不含税金额",SUMIFS(开票登记!$J$5:$J$504,开票登记!$R$5:$R$504,$B7),SUMIFS(开票登记!$M$5:$M$504,开票登记!$R$5:$R$504,$B7))</f>
        <v>2161717.99</v>
      </c>
      <c r="D7" s="30" t="e">
        <f>SUMIFS(资金流水!$K$5:$K$3032,资金流水!$S$5:$S$3015,$B7)</f>
        <v>#VALUE!</v>
      </c>
      <c r="E7" s="30" t="e">
        <f>SUMIFS(资金流水!$L$5:$L$3032,资金流水!$S$5:$S$3015,$B7)</f>
        <v>#VALUE!</v>
      </c>
      <c r="F7" s="30" t="e">
        <f t="shared" si="0"/>
        <v>#VALUE!</v>
      </c>
      <c r="G7" s="30" t="e">
        <f>$C7+SUMIFS(资金流水!$K$5:$K$3032,资金流水!$T$5:$T$3015,$B7,资金流水!$X$5:$X$3015,"非经营收入")</f>
        <v>#VALUE!</v>
      </c>
      <c r="H7" s="30" t="e">
        <f>SUMIFS(资金流水!$L$5:$L$3032,资金流水!$T$5:$T$3015,$B7,资金流水!$W$5:$W$3015,"项目成本")</f>
        <v>#VALUE!</v>
      </c>
      <c r="I7" s="30" t="e">
        <f>SUMIFS(资金流水!$L$5:$L$3032,资金流水!$T$5:$T$3015,$B7,资金流水!$W$5:$W$3015,"管理费用")</f>
        <v>#VALUE!</v>
      </c>
      <c r="J7" s="30" t="e">
        <f>SUMIFS(资金流水!$L$5:$L$3032,资金流水!$T$5:$T$3015,$B7,资金流水!$W$5:$W$3015,"人工社保")</f>
        <v>#VALUE!</v>
      </c>
      <c r="K7" s="30" t="e">
        <f>SUMIFS(资金流水!$L$5:$L$3032,资金流水!$T$5:$T$3015,$B7,资金流水!$W$5:$W$3015,"税费")</f>
        <v>#VALUE!</v>
      </c>
      <c r="L7" s="30" t="e">
        <f>SUMIFS(资金流水!$L$5:$L$3032,资金流水!$T$5:$T$3015,$B7,资金流水!$W$5:$W$3015,"财务费用")</f>
        <v>#VALUE!</v>
      </c>
      <c r="M7" s="30" t="e">
        <f t="shared" si="1"/>
        <v>#VALUE!</v>
      </c>
      <c r="N7" s="30" t="e">
        <f>SUMIFS(资金流水!$L$5:$L$3032,资金流水!$T$5:$T$3015,$B7,资金流水!$I$5:$I$3032,"办公费")</f>
        <v>#VALUE!</v>
      </c>
      <c r="O7" s="30">
        <f>SUMIFS(开票登记!$M$5:$M$504,开票登记!$R$5:$R$504,$B7,开票登记!$D$5:$D$504,"小规模纳税人")</f>
        <v>78400</v>
      </c>
      <c r="P7" s="30">
        <f>SUMIFS(开票登记!$M$5:$M$504,开票登记!$R$5:$R$504,$B7,开票登记!$D$5:$D$504,"一般纳税人")</f>
        <v>2083317.99</v>
      </c>
    </row>
    <row r="8" spans="1:16">
      <c r="A8" s="28" t="s">
        <v>967</v>
      </c>
      <c r="B8" s="29">
        <f>$B$2*100+5</f>
        <v>202605</v>
      </c>
      <c r="C8" s="30">
        <f>IF(基础资料!$AH$4="不含税金额",SUMIFS(开票登记!$J$5:$J$504,开票登记!$R$5:$R$504,$B8),SUMIFS(开票登记!$M$5:$M$504,开票登记!$R$5:$R$504,$B8))</f>
        <v>6876935.28</v>
      </c>
      <c r="D8" s="30" t="e">
        <f>SUMIFS(资金流水!$K$5:$K$3032,资金流水!$S$5:$S$3015,$B8)</f>
        <v>#VALUE!</v>
      </c>
      <c r="E8" s="30" t="e">
        <f>SUMIFS(资金流水!$L$5:$L$3032,资金流水!$S$5:$S$3015,$B8)</f>
        <v>#VALUE!</v>
      </c>
      <c r="F8" s="30" t="e">
        <f t="shared" si="0"/>
        <v>#VALUE!</v>
      </c>
      <c r="G8" s="30" t="e">
        <f>$C8+SUMIFS(资金流水!$K$5:$K$3032,资金流水!$T$5:$T$3015,$B8,资金流水!$X$5:$X$3015,"非经营收入")</f>
        <v>#VALUE!</v>
      </c>
      <c r="H8" s="30" t="e">
        <f>SUMIFS(资金流水!$L$5:$L$3032,资金流水!$T$5:$T$3015,$B8,资金流水!$W$5:$W$3015,"项目成本")</f>
        <v>#VALUE!</v>
      </c>
      <c r="I8" s="30" t="e">
        <f>SUMIFS(资金流水!$L$5:$L$3032,资金流水!$T$5:$T$3015,$B8,资金流水!$W$5:$W$3015,"管理费用")</f>
        <v>#VALUE!</v>
      </c>
      <c r="J8" s="30" t="e">
        <f>SUMIFS(资金流水!$L$5:$L$3032,资金流水!$T$5:$T$3015,$B8,资金流水!$W$5:$W$3015,"人工社保")</f>
        <v>#VALUE!</v>
      </c>
      <c r="K8" s="30" t="e">
        <f>SUMIFS(资金流水!$L$5:$L$3032,资金流水!$T$5:$T$3015,$B8,资金流水!$W$5:$W$3015,"税费")</f>
        <v>#VALUE!</v>
      </c>
      <c r="L8" s="30" t="e">
        <f>SUMIFS(资金流水!$L$5:$L$3032,资金流水!$T$5:$T$3015,$B8,资金流水!$W$5:$W$3015,"财务费用")</f>
        <v>#VALUE!</v>
      </c>
      <c r="M8" s="30" t="e">
        <f t="shared" si="1"/>
        <v>#VALUE!</v>
      </c>
      <c r="N8" s="30" t="e">
        <f>SUMIFS(资金流水!$L$5:$L$3032,资金流水!$T$5:$T$3015,$B8,资金流水!$I$5:$I$3032,"办公费")</f>
        <v>#VALUE!</v>
      </c>
      <c r="O8" s="30">
        <f>SUMIFS(开票登记!$M$5:$M$504,开票登记!$R$5:$R$504,$B8,开票登记!$D$5:$D$504,"小规模纳税人")</f>
        <v>913667.49</v>
      </c>
      <c r="P8" s="30">
        <f>SUMIFS(开票登记!$M$5:$M$504,开票登记!$R$5:$R$504,$B8,开票登记!$D$5:$D$504,"一般纳税人")</f>
        <v>5963267.79</v>
      </c>
    </row>
    <row r="9" spans="1:16">
      <c r="A9" s="28" t="s">
        <v>968</v>
      </c>
      <c r="B9" s="29">
        <f>$B$2*100+6</f>
        <v>202606</v>
      </c>
      <c r="C9" s="30">
        <f>IF(基础资料!$AH$4="不含税金额",SUMIFS(开票登记!$J$5:$J$504,开票登记!$R$5:$R$504,$B9),SUMIFS(开票登记!$M$5:$M$504,开票登记!$R$5:$R$504,$B9))</f>
        <v>2928814</v>
      </c>
      <c r="D9" s="30" t="e">
        <f>SUMIFS(资金流水!$K$5:$K$3032,资金流水!$S$5:$S$3015,$B9)</f>
        <v>#VALUE!</v>
      </c>
      <c r="E9" s="30" t="e">
        <f>SUMIFS(资金流水!$L$5:$L$3032,资金流水!$S$5:$S$3015,$B9)</f>
        <v>#VALUE!</v>
      </c>
      <c r="F9" s="30" t="e">
        <f t="shared" si="0"/>
        <v>#VALUE!</v>
      </c>
      <c r="G9" s="30" t="e">
        <f>$C9+SUMIFS(资金流水!$K$5:$K$3032,资金流水!$T$5:$T$3015,$B9,资金流水!$X$5:$X$3015,"非经营收入")</f>
        <v>#VALUE!</v>
      </c>
      <c r="H9" s="30" t="e">
        <f>SUMIFS(资金流水!$L$5:$L$3032,资金流水!$T$5:$T$3015,$B9,资金流水!$W$5:$W$3015,"项目成本")</f>
        <v>#VALUE!</v>
      </c>
      <c r="I9" s="30" t="e">
        <f>SUMIFS(资金流水!$L$5:$L$3032,资金流水!$T$5:$T$3015,$B9,资金流水!$W$5:$W$3015,"管理费用")</f>
        <v>#VALUE!</v>
      </c>
      <c r="J9" s="30" t="e">
        <f>SUMIFS(资金流水!$L$5:$L$3032,资金流水!$T$5:$T$3015,$B9,资金流水!$W$5:$W$3015,"人工社保")</f>
        <v>#VALUE!</v>
      </c>
      <c r="K9" s="30" t="e">
        <f>SUMIFS(资金流水!$L$5:$L$3032,资金流水!$T$5:$T$3015,$B9,资金流水!$W$5:$W$3015,"税费")</f>
        <v>#VALUE!</v>
      </c>
      <c r="L9" s="30" t="e">
        <f>SUMIFS(资金流水!$L$5:$L$3032,资金流水!$T$5:$T$3015,$B9,资金流水!$W$5:$W$3015,"财务费用")</f>
        <v>#VALUE!</v>
      </c>
      <c r="M9" s="30" t="e">
        <f t="shared" si="1"/>
        <v>#VALUE!</v>
      </c>
      <c r="N9" s="30" t="e">
        <f>SUMIFS(资金流水!$L$5:$L$3032,资金流水!$T$5:$T$3015,$B9,资金流水!$I$5:$I$3032,"办公费")</f>
        <v>#VALUE!</v>
      </c>
      <c r="O9" s="30">
        <f>SUMIFS(开票登记!$M$5:$M$504,开票登记!$R$5:$R$504,$B9,开票登记!$D$5:$D$504,"小规模纳税人")</f>
        <v>241980</v>
      </c>
      <c r="P9" s="30">
        <f>SUMIFS(开票登记!$M$5:$M$504,开票登记!$R$5:$R$504,$B9,开票登记!$D$5:$D$504,"一般纳税人")</f>
        <v>2686834</v>
      </c>
    </row>
    <row r="10" spans="1:16">
      <c r="A10" s="28" t="s">
        <v>969</v>
      </c>
      <c r="B10" s="29">
        <f>$B$2*100+7</f>
        <v>202607</v>
      </c>
      <c r="C10" s="30">
        <f>IF(基础资料!$AH$4="不含税金额",SUMIFS(开票登记!$J$5:$J$504,开票登记!$R$5:$R$504,$B10),SUMIFS(开票登记!$M$5:$M$504,开票登记!$R$5:$R$504,$B10))</f>
        <v>2022873</v>
      </c>
      <c r="D10" s="30" t="e">
        <f>SUMIFS(资金流水!$K$5:$K$3032,资金流水!$S$5:$S$3015,$B10)</f>
        <v>#VALUE!</v>
      </c>
      <c r="E10" s="30" t="e">
        <f>SUMIFS(资金流水!$L$5:$L$3032,资金流水!$S$5:$S$3015,$B10)</f>
        <v>#VALUE!</v>
      </c>
      <c r="F10" s="30" t="e">
        <f t="shared" si="0"/>
        <v>#VALUE!</v>
      </c>
      <c r="G10" s="30" t="e">
        <f>$C10+SUMIFS(资金流水!$K$5:$K$3032,资金流水!$T$5:$T$3015,$B10,资金流水!$X$5:$X$3015,"非经营收入")</f>
        <v>#VALUE!</v>
      </c>
      <c r="H10" s="30" t="e">
        <f>SUMIFS(资金流水!$L$5:$L$3032,资金流水!$T$5:$T$3015,$B10,资金流水!$W$5:$W$3015,"项目成本")</f>
        <v>#VALUE!</v>
      </c>
      <c r="I10" s="30" t="e">
        <f>SUMIFS(资金流水!$L$5:$L$3032,资金流水!$T$5:$T$3015,$B10,资金流水!$W$5:$W$3015,"管理费用")</f>
        <v>#VALUE!</v>
      </c>
      <c r="J10" s="30" t="e">
        <f>SUMIFS(资金流水!$L$5:$L$3032,资金流水!$T$5:$T$3015,$B10,资金流水!$W$5:$W$3015,"人工社保")</f>
        <v>#VALUE!</v>
      </c>
      <c r="K10" s="30" t="e">
        <f>SUMIFS(资金流水!$L$5:$L$3032,资金流水!$T$5:$T$3015,$B10,资金流水!$W$5:$W$3015,"税费")</f>
        <v>#VALUE!</v>
      </c>
      <c r="L10" s="30" t="e">
        <f>SUMIFS(资金流水!$L$5:$L$3032,资金流水!$T$5:$T$3015,$B10,资金流水!$W$5:$W$3015,"财务费用")</f>
        <v>#VALUE!</v>
      </c>
      <c r="M10" s="30" t="e">
        <f t="shared" si="1"/>
        <v>#VALUE!</v>
      </c>
      <c r="N10" s="30" t="e">
        <f>SUMIFS(资金流水!$L$5:$L$3032,资金流水!$T$5:$T$3015,$B10,资金流水!$I$5:$I$3032,"办公费")</f>
        <v>#VALUE!</v>
      </c>
      <c r="O10" s="30">
        <f>SUMIFS(开票登记!$M$5:$M$504,开票登记!$R$5:$R$504,$B10,开票登记!$D$5:$D$504,"小规模纳税人")</f>
        <v>336955</v>
      </c>
      <c r="P10" s="30">
        <f>SUMIFS(开票登记!$M$5:$M$504,开票登记!$R$5:$R$504,$B10,开票登记!$D$5:$D$504,"一般纳税人")</f>
        <v>1685918</v>
      </c>
    </row>
    <row r="11" spans="1:16">
      <c r="A11" s="28" t="s">
        <v>970</v>
      </c>
      <c r="B11" s="29">
        <f>$B$2*100+8</f>
        <v>202608</v>
      </c>
      <c r="C11" s="30">
        <f>IF(基础资料!$AH$4="不含税金额",SUMIFS(开票登记!$J$5:$J$504,开票登记!$R$5:$R$504,$B11),SUMIFS(开票登记!$M$5:$M$504,开票登记!$R$5:$R$504,$B11))</f>
        <v>4320197.4</v>
      </c>
      <c r="D11" s="30" t="e">
        <f>SUMIFS(资金流水!$K$5:$K$3032,资金流水!$S$5:$S$3015,$B11)</f>
        <v>#VALUE!</v>
      </c>
      <c r="E11" s="30" t="e">
        <f>SUMIFS(资金流水!$L$5:$L$3032,资金流水!$S$5:$S$3015,$B11)</f>
        <v>#VALUE!</v>
      </c>
      <c r="F11" s="30" t="e">
        <f t="shared" si="0"/>
        <v>#VALUE!</v>
      </c>
      <c r="G11" s="30" t="e">
        <f>$C11+SUMIFS(资金流水!$K$5:$K$3032,资金流水!$T$5:$T$3015,$B11,资金流水!$X$5:$X$3015,"非经营收入")</f>
        <v>#VALUE!</v>
      </c>
      <c r="H11" s="30" t="e">
        <f>SUMIFS(资金流水!$L$5:$L$3032,资金流水!$T$5:$T$3015,$B11,资金流水!$W$5:$W$3015,"项目成本")</f>
        <v>#VALUE!</v>
      </c>
      <c r="I11" s="30" t="e">
        <f>SUMIFS(资金流水!$L$5:$L$3032,资金流水!$T$5:$T$3015,$B11,资金流水!$W$5:$W$3015,"管理费用")</f>
        <v>#VALUE!</v>
      </c>
      <c r="J11" s="30" t="e">
        <f>SUMIFS(资金流水!$L$5:$L$3032,资金流水!$T$5:$T$3015,$B11,资金流水!$W$5:$W$3015,"人工社保")</f>
        <v>#VALUE!</v>
      </c>
      <c r="K11" s="30" t="e">
        <f>SUMIFS(资金流水!$L$5:$L$3032,资金流水!$T$5:$T$3015,$B11,资金流水!$W$5:$W$3015,"税费")</f>
        <v>#VALUE!</v>
      </c>
      <c r="L11" s="30" t="e">
        <f>SUMIFS(资金流水!$L$5:$L$3032,资金流水!$T$5:$T$3015,$B11,资金流水!$W$5:$W$3015,"财务费用")</f>
        <v>#VALUE!</v>
      </c>
      <c r="M11" s="30" t="e">
        <f t="shared" si="1"/>
        <v>#VALUE!</v>
      </c>
      <c r="N11" s="30" t="e">
        <f>SUMIFS(资金流水!$L$5:$L$3032,资金流水!$T$5:$T$3015,$B11,资金流水!$I$5:$I$3032,"办公费")</f>
        <v>#VALUE!</v>
      </c>
      <c r="O11" s="30">
        <f>SUMIFS(开票登记!$M$5:$M$504,开票登记!$R$5:$R$504,$B11,开票登记!$D$5:$D$504,"小规模纳税人")</f>
        <v>2759658.4</v>
      </c>
      <c r="P11" s="30">
        <f>SUMIFS(开票登记!$M$5:$M$504,开票登记!$R$5:$R$504,$B11,开票登记!$D$5:$D$504,"一般纳税人")</f>
        <v>1560539</v>
      </c>
    </row>
    <row r="12" spans="1:16">
      <c r="A12" s="28" t="s">
        <v>971</v>
      </c>
      <c r="B12" s="29">
        <f>$B$2*100+9</f>
        <v>202609</v>
      </c>
      <c r="C12" s="30">
        <f>IF(基础资料!$AH$4="不含税金额",SUMIFS(开票登记!$J$5:$J$504,开票登记!$R$5:$R$504,$B12),SUMIFS(开票登记!$M$5:$M$504,开票登记!$R$5:$R$504,$B12))</f>
        <v>0</v>
      </c>
      <c r="D12" s="30" t="e">
        <f>SUMIFS(资金流水!$K$5:$K$3032,资金流水!$S$5:$S$3015,$B12)</f>
        <v>#VALUE!</v>
      </c>
      <c r="E12" s="30" t="e">
        <f>SUMIFS(资金流水!$L$5:$L$3032,资金流水!$S$5:$S$3015,$B12)</f>
        <v>#VALUE!</v>
      </c>
      <c r="F12" s="30" t="e">
        <f t="shared" si="0"/>
        <v>#VALUE!</v>
      </c>
      <c r="G12" s="30" t="e">
        <f>$C12+SUMIFS(资金流水!$K$5:$K$3032,资金流水!$T$5:$T$3015,$B12,资金流水!$X$5:$X$3015,"非经营收入")</f>
        <v>#VALUE!</v>
      </c>
      <c r="H12" s="30" t="e">
        <f>SUMIFS(资金流水!$L$5:$L$3032,资金流水!$T$5:$T$3015,$B12,资金流水!$W$5:$W$3015,"项目成本")</f>
        <v>#VALUE!</v>
      </c>
      <c r="I12" s="30" t="e">
        <f>SUMIFS(资金流水!$L$5:$L$3032,资金流水!$T$5:$T$3015,$B12,资金流水!$W$5:$W$3015,"管理费用")</f>
        <v>#VALUE!</v>
      </c>
      <c r="J12" s="30" t="e">
        <f>SUMIFS(资金流水!$L$5:$L$3032,资金流水!$T$5:$T$3015,$B12,资金流水!$W$5:$W$3015,"人工社保")</f>
        <v>#VALUE!</v>
      </c>
      <c r="K12" s="30" t="e">
        <f>SUMIFS(资金流水!$L$5:$L$3032,资金流水!$T$5:$T$3015,$B12,资金流水!$W$5:$W$3015,"税费")</f>
        <v>#VALUE!</v>
      </c>
      <c r="L12" s="30" t="e">
        <f>SUMIFS(资金流水!$L$5:$L$3032,资金流水!$T$5:$T$3015,$B12,资金流水!$W$5:$W$3015,"财务费用")</f>
        <v>#VALUE!</v>
      </c>
      <c r="M12" s="30" t="e">
        <f t="shared" si="1"/>
        <v>#VALUE!</v>
      </c>
      <c r="N12" s="30" t="e">
        <f>SUMIFS(资金流水!$L$5:$L$3032,资金流水!$T$5:$T$3015,$B12,资金流水!$I$5:$I$3032,"办公费")</f>
        <v>#VALUE!</v>
      </c>
      <c r="O12" s="30">
        <f>SUMIFS(开票登记!$M$5:$M$504,开票登记!$R$5:$R$504,$B12,开票登记!$D$5:$D$504,"小规模纳税人")</f>
        <v>0</v>
      </c>
      <c r="P12" s="30">
        <f>SUMIFS(开票登记!$M$5:$M$504,开票登记!$R$5:$R$504,$B12,开票登记!$D$5:$D$504,"一般纳税人")</f>
        <v>0</v>
      </c>
    </row>
    <row r="13" spans="1:16">
      <c r="A13" s="28" t="s">
        <v>972</v>
      </c>
      <c r="B13" s="29">
        <f>$B$2*100+10</f>
        <v>202610</v>
      </c>
      <c r="C13" s="30">
        <f>IF(基础资料!$AH$4="不含税金额",SUMIFS(开票登记!$J$5:$J$504,开票登记!$R$5:$R$504,$B13),SUMIFS(开票登记!$M$5:$M$504,开票登记!$R$5:$R$504,$B13))</f>
        <v>0</v>
      </c>
      <c r="D13" s="30" t="e">
        <f>SUMIFS(资金流水!$K$5:$K$3032,资金流水!$S$5:$S$3015,$B13)</f>
        <v>#VALUE!</v>
      </c>
      <c r="E13" s="30" t="e">
        <f>SUMIFS(资金流水!$L$5:$L$3032,资金流水!$S$5:$S$3015,$B13)</f>
        <v>#VALUE!</v>
      </c>
      <c r="F13" s="30" t="e">
        <f t="shared" si="0"/>
        <v>#VALUE!</v>
      </c>
      <c r="G13" s="30" t="e">
        <f>$C13+SUMIFS(资金流水!$K$5:$K$3032,资金流水!$T$5:$T$3015,$B13,资金流水!$X$5:$X$3015,"非经营收入")</f>
        <v>#VALUE!</v>
      </c>
      <c r="H13" s="30" t="e">
        <f>SUMIFS(资金流水!$L$5:$L$3032,资金流水!$T$5:$T$3015,$B13,资金流水!$W$5:$W$3015,"项目成本")</f>
        <v>#VALUE!</v>
      </c>
      <c r="I13" s="30" t="e">
        <f>SUMIFS(资金流水!$L$5:$L$3032,资金流水!$T$5:$T$3015,$B13,资金流水!$W$5:$W$3015,"管理费用")</f>
        <v>#VALUE!</v>
      </c>
      <c r="J13" s="30" t="e">
        <f>SUMIFS(资金流水!$L$5:$L$3032,资金流水!$T$5:$T$3015,$B13,资金流水!$W$5:$W$3015,"人工社保")</f>
        <v>#VALUE!</v>
      </c>
      <c r="K13" s="30" t="e">
        <f>SUMIFS(资金流水!$L$5:$L$3032,资金流水!$T$5:$T$3015,$B13,资金流水!$W$5:$W$3015,"税费")</f>
        <v>#VALUE!</v>
      </c>
      <c r="L13" s="30" t="e">
        <f>SUMIFS(资金流水!$L$5:$L$3032,资金流水!$T$5:$T$3015,$B13,资金流水!$W$5:$W$3015,"财务费用")</f>
        <v>#VALUE!</v>
      </c>
      <c r="M13" s="30" t="e">
        <f t="shared" si="1"/>
        <v>#VALUE!</v>
      </c>
      <c r="N13" s="30" t="e">
        <f>SUMIFS(资金流水!$L$5:$L$3032,资金流水!$T$5:$T$3015,$B13,资金流水!$I$5:$I$3032,"办公费")</f>
        <v>#VALUE!</v>
      </c>
      <c r="O13" s="30">
        <f>SUMIFS(开票登记!$M$5:$M$504,开票登记!$R$5:$R$504,$B13,开票登记!$D$5:$D$504,"小规模纳税人")</f>
        <v>0</v>
      </c>
      <c r="P13" s="30">
        <f>SUMIFS(开票登记!$M$5:$M$504,开票登记!$R$5:$R$504,$B13,开票登记!$D$5:$D$504,"一般纳税人")</f>
        <v>0</v>
      </c>
    </row>
    <row r="14" spans="1:16">
      <c r="A14" s="28" t="s">
        <v>973</v>
      </c>
      <c r="B14" s="29">
        <f>$B$2*100+11</f>
        <v>202611</v>
      </c>
      <c r="C14" s="30">
        <f>IF(基础资料!$AH$4="不含税金额",SUMIFS(开票登记!$J$5:$J$504,开票登记!$R$5:$R$504,$B14),SUMIFS(开票登记!$M$5:$M$504,开票登记!$R$5:$R$504,$B14))</f>
        <v>0</v>
      </c>
      <c r="D14" s="30" t="e">
        <f>SUMIFS(资金流水!$K$5:$K$3032,资金流水!$S$5:$S$3015,$B14)</f>
        <v>#VALUE!</v>
      </c>
      <c r="E14" s="30" t="e">
        <f>SUMIFS(资金流水!$L$5:$L$3032,资金流水!$S$5:$S$3015,$B14)</f>
        <v>#VALUE!</v>
      </c>
      <c r="F14" s="30" t="e">
        <f t="shared" si="0"/>
        <v>#VALUE!</v>
      </c>
      <c r="G14" s="30" t="e">
        <f>$C14+SUMIFS(资金流水!$K$5:$K$3032,资金流水!$T$5:$T$3015,$B14,资金流水!$X$5:$X$3015,"非经营收入")</f>
        <v>#VALUE!</v>
      </c>
      <c r="H14" s="30" t="e">
        <f>SUMIFS(资金流水!$L$5:$L$3032,资金流水!$T$5:$T$3015,$B14,资金流水!$W$5:$W$3015,"项目成本")</f>
        <v>#VALUE!</v>
      </c>
      <c r="I14" s="30" t="e">
        <f>SUMIFS(资金流水!$L$5:$L$3032,资金流水!$T$5:$T$3015,$B14,资金流水!$W$5:$W$3015,"管理费用")</f>
        <v>#VALUE!</v>
      </c>
      <c r="J14" s="30" t="e">
        <f>SUMIFS(资金流水!$L$5:$L$3032,资金流水!$T$5:$T$3015,$B14,资金流水!$W$5:$W$3015,"人工社保")</f>
        <v>#VALUE!</v>
      </c>
      <c r="K14" s="30" t="e">
        <f>SUMIFS(资金流水!$L$5:$L$3032,资金流水!$T$5:$T$3015,$B14,资金流水!$W$5:$W$3015,"税费")</f>
        <v>#VALUE!</v>
      </c>
      <c r="L14" s="30" t="e">
        <f>SUMIFS(资金流水!$L$5:$L$3032,资金流水!$T$5:$T$3015,$B14,资金流水!$W$5:$W$3015,"财务费用")</f>
        <v>#VALUE!</v>
      </c>
      <c r="M14" s="30" t="e">
        <f t="shared" si="1"/>
        <v>#VALUE!</v>
      </c>
      <c r="N14" s="30" t="e">
        <f>SUMIFS(资金流水!$L$5:$L$3032,资金流水!$T$5:$T$3015,$B14,资金流水!$I$5:$I$3032,"办公费")</f>
        <v>#VALUE!</v>
      </c>
      <c r="O14" s="30">
        <f>SUMIFS(开票登记!$M$5:$M$504,开票登记!$R$5:$R$504,$B14,开票登记!$D$5:$D$504,"小规模纳税人")</f>
        <v>0</v>
      </c>
      <c r="P14" s="30">
        <f>SUMIFS(开票登记!$M$5:$M$504,开票登记!$R$5:$R$504,$B14,开票登记!$D$5:$D$504,"一般纳税人")</f>
        <v>0</v>
      </c>
    </row>
    <row r="15" spans="1:16">
      <c r="A15" s="28" t="s">
        <v>974</v>
      </c>
      <c r="B15" s="29">
        <f>$B$2*100+12</f>
        <v>202612</v>
      </c>
      <c r="C15" s="30">
        <f>IF(基础资料!$AH$4="不含税金额",SUMIFS(开票登记!$J$5:$J$504,开票登记!$R$5:$R$504,$B15),SUMIFS(开票登记!$M$5:$M$504,开票登记!$R$5:$R$504,$B15))</f>
        <v>0</v>
      </c>
      <c r="D15" s="30" t="e">
        <f>SUMIFS(资金流水!$K$5:$K$3032,资金流水!$S$5:$S$3015,$B15)</f>
        <v>#VALUE!</v>
      </c>
      <c r="E15" s="30" t="e">
        <f>SUMIFS(资金流水!$L$5:$L$3032,资金流水!$S$5:$S$3015,$B15)</f>
        <v>#VALUE!</v>
      </c>
      <c r="F15" s="30" t="e">
        <f t="shared" si="0"/>
        <v>#VALUE!</v>
      </c>
      <c r="G15" s="30" t="e">
        <f>$C15+SUMIFS(资金流水!$K$5:$K$3032,资金流水!$T$5:$T$3015,$B15,资金流水!$X$5:$X$3015,"非经营收入")</f>
        <v>#VALUE!</v>
      </c>
      <c r="H15" s="30" t="e">
        <f>SUMIFS(资金流水!$L$5:$L$3032,资金流水!$T$5:$T$3015,$B15,资金流水!$W$5:$W$3015,"项目成本")</f>
        <v>#VALUE!</v>
      </c>
      <c r="I15" s="30" t="e">
        <f>SUMIFS(资金流水!$L$5:$L$3032,资金流水!$T$5:$T$3015,$B15,资金流水!$W$5:$W$3015,"管理费用")</f>
        <v>#VALUE!</v>
      </c>
      <c r="J15" s="30" t="e">
        <f>SUMIFS(资金流水!$L$5:$L$3032,资金流水!$T$5:$T$3015,$B15,资金流水!$W$5:$W$3015,"人工社保")</f>
        <v>#VALUE!</v>
      </c>
      <c r="K15" s="30" t="e">
        <f>SUMIFS(资金流水!$L$5:$L$3032,资金流水!$T$5:$T$3015,$B15,资金流水!$W$5:$W$3015,"税费")</f>
        <v>#VALUE!</v>
      </c>
      <c r="L15" s="30" t="e">
        <f>SUMIFS(资金流水!$L$5:$L$3032,资金流水!$T$5:$T$3015,$B15,资金流水!$W$5:$W$3015,"财务费用")</f>
        <v>#VALUE!</v>
      </c>
      <c r="M15" s="30" t="e">
        <f t="shared" si="1"/>
        <v>#VALUE!</v>
      </c>
      <c r="N15" s="30" t="e">
        <f>SUMIFS(资金流水!$L$5:$L$3032,资金流水!$T$5:$T$3015,$B15,资金流水!$I$5:$I$3032,"办公费")</f>
        <v>#VALUE!</v>
      </c>
      <c r="O15" s="30">
        <f>SUMIFS(开票登记!$M$5:$M$504,开票登记!$R$5:$R$504,$B15,开票登记!$D$5:$D$504,"小规模纳税人")</f>
        <v>0</v>
      </c>
      <c r="P15" s="30">
        <f>SUMIFS(开票登记!$M$5:$M$504,开票登记!$R$5:$R$504,$B15,开票登记!$D$5:$D$504,"一般纳税人")</f>
        <v>0</v>
      </c>
    </row>
    <row r="16" spans="1:16">
      <c r="A16" s="13" t="s">
        <v>975</v>
      </c>
      <c r="B16" s="15"/>
      <c r="C16" s="31">
        <f t="shared" ref="C16:P16" si="2">SUM(C4:C15)</f>
        <v>23767854.47</v>
      </c>
      <c r="D16" s="31" t="e">
        <f t="shared" si="2"/>
        <v>#VALUE!</v>
      </c>
      <c r="E16" s="31" t="e">
        <f t="shared" si="2"/>
        <v>#VALUE!</v>
      </c>
      <c r="F16" s="31" t="e">
        <f t="shared" si="2"/>
        <v>#VALUE!</v>
      </c>
      <c r="G16" s="31" t="e">
        <f t="shared" si="2"/>
        <v>#VALUE!</v>
      </c>
      <c r="H16" s="31" t="e">
        <f t="shared" si="2"/>
        <v>#VALUE!</v>
      </c>
      <c r="I16" s="31" t="e">
        <f t="shared" si="2"/>
        <v>#VALUE!</v>
      </c>
      <c r="J16" s="31" t="e">
        <f t="shared" si="2"/>
        <v>#VALUE!</v>
      </c>
      <c r="K16" s="31" t="e">
        <f t="shared" si="2"/>
        <v>#VALUE!</v>
      </c>
      <c r="L16" s="31" t="e">
        <f t="shared" si="2"/>
        <v>#VALUE!</v>
      </c>
      <c r="M16" s="31" t="e">
        <f t="shared" si="2"/>
        <v>#VALUE!</v>
      </c>
      <c r="N16" s="31" t="e">
        <f t="shared" si="2"/>
        <v>#VALUE!</v>
      </c>
      <c r="O16" s="31">
        <f t="shared" si="2"/>
        <v>4513376.87</v>
      </c>
      <c r="P16" s="31">
        <f t="shared" si="2"/>
        <v>19254477.6</v>
      </c>
    </row>
  </sheetData>
  <mergeCells count="1">
    <mergeCell ref="A1:P1"/>
  </mergeCell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2F5597"/>
  </sheetPr>
  <dimension ref="A1:BO28"/>
  <sheetViews>
    <sheetView showGridLines="0" workbookViewId="0">
      <pane xSplit="2" ySplit="7" topLeftCell="C14" activePane="bottomRight" state="frozen"/>
      <selection/>
      <selection pane="topRight"/>
      <selection pane="bottomLeft"/>
      <selection pane="bottomRight" activeCell="J31" sqref="J31"/>
    </sheetView>
  </sheetViews>
  <sheetFormatPr defaultColWidth="8.67619047619048" defaultRowHeight="15"/>
  <cols>
    <col min="1" max="1" width="18" customWidth="1"/>
    <col min="2" max="2" width="20.7809523809524" customWidth="1"/>
    <col min="3" max="8" width="11" customWidth="1"/>
    <col min="9" max="9" width="15" customWidth="1"/>
    <col min="10" max="64" width="11" customWidth="1"/>
    <col min="65" max="67" width="14" customWidth="1"/>
  </cols>
  <sheetData>
    <row r="1" ht="25.5" customHeight="1" spans="1:67">
      <c r="A1" s="1" t="s">
        <v>976</v>
      </c>
      <c r="B1" s="1"/>
      <c r="C1" s="1"/>
      <c r="D1" s="1"/>
      <c r="E1" s="1"/>
      <c r="F1" s="1"/>
      <c r="G1" s="1"/>
      <c r="H1" s="1"/>
      <c r="I1" s="1"/>
      <c r="J1" s="1"/>
      <c r="K1" s="1"/>
      <c r="L1" s="1"/>
    </row>
    <row r="2" customHeight="1" spans="1:67">
      <c r="A2" s="16" t="s">
        <v>977</v>
      </c>
      <c r="B2" s="3">
        <v>46023</v>
      </c>
      <c r="C2" s="17" t="s">
        <v>978</v>
      </c>
      <c r="D2" s="17"/>
      <c r="E2" s="3">
        <v>46053</v>
      </c>
      <c r="F2" s="3"/>
      <c r="G2" s="17" t="s">
        <v>979</v>
      </c>
      <c r="H2" s="17"/>
      <c r="I2" s="18">
        <f>IF(OR($B$2="",$E$2=""),"",IF($E$2&lt;$B$2,"日期错误",IF($E$2-$B$2+1&gt;31,"超过31天",$E$2-$B$2+1)))</f>
        <v>31</v>
      </c>
    </row>
    <row r="3" spans="1:67">
      <c r="A3" s="19" t="s">
        <v>980</v>
      </c>
    </row>
    <row r="4" customHeight="1" spans="1:67">
      <c r="A4" s="4" t="s">
        <v>981</v>
      </c>
      <c r="B4" s="4"/>
      <c r="C4" s="4" t="s">
        <v>982</v>
      </c>
      <c r="D4" s="4"/>
      <c r="E4" s="4" t="s">
        <v>983</v>
      </c>
      <c r="F4" s="4"/>
      <c r="G4" s="4" t="s">
        <v>984</v>
      </c>
      <c r="H4" s="4"/>
    </row>
    <row r="5" spans="1:67">
      <c r="A5" s="20" t="e">
        <f>IF(NOT(ISNUMBER($I$2)),"",SUM($B$8:$B$27))</f>
        <v>#VALUE!</v>
      </c>
      <c r="B5" s="20"/>
      <c r="C5" s="20">
        <f>IF(NOT(ISNUMBER($I$2)),"",SUM($BM$8:$BM$27))</f>
        <v>10235831.32</v>
      </c>
      <c r="D5" s="20"/>
      <c r="E5" s="20">
        <f>IF(NOT(ISNUMBER($I$2)),"",SUM($BN$8:$BN$27))</f>
        <v>3041933.16</v>
      </c>
      <c r="F5" s="20"/>
      <c r="G5" s="20" t="e">
        <f>IF(NOT(ISNUMBER($I$2)),"",SUM($BO$8:$BO$27))</f>
        <v>#VALUE!</v>
      </c>
      <c r="H5" s="20"/>
    </row>
    <row r="6" ht="16.5" spans="1:67">
      <c r="C6" s="21">
        <f>IF(AND(ISNUMBER($I$2),1&lt;=$I$2),$B$2+0,"")</f>
        <v>46023</v>
      </c>
      <c r="D6" s="21"/>
      <c r="E6" s="21">
        <f>IF(AND(ISNUMBER($I$2),2&lt;=$I$2),$B$2+1,"")</f>
        <v>46024</v>
      </c>
      <c r="F6" s="21"/>
      <c r="G6" s="21">
        <f>IF(AND(ISNUMBER($I$2),3&lt;=$I$2),$B$2+2,"")</f>
        <v>46025</v>
      </c>
      <c r="H6" s="21"/>
      <c r="I6" s="21">
        <f>IF(AND(ISNUMBER($I$2),4&lt;=$I$2),$B$2+3,"")</f>
        <v>46026</v>
      </c>
      <c r="J6" s="21"/>
      <c r="K6" s="21">
        <f>IF(AND(ISNUMBER($I$2),5&lt;=$I$2),$B$2+4,"")</f>
        <v>46027</v>
      </c>
      <c r="L6" s="21"/>
      <c r="M6" s="21">
        <f>IF(AND(ISNUMBER($I$2),6&lt;=$I$2),$B$2+5,"")</f>
        <v>46028</v>
      </c>
      <c r="N6" s="21"/>
      <c r="O6" s="21">
        <f>IF(AND(ISNUMBER($I$2),7&lt;=$I$2),$B$2+6,"")</f>
        <v>46029</v>
      </c>
      <c r="P6" s="21"/>
      <c r="Q6" s="21">
        <f>IF(AND(ISNUMBER($I$2),8&lt;=$I$2),$B$2+7,"")</f>
        <v>46030</v>
      </c>
      <c r="R6" s="21"/>
      <c r="S6" s="21">
        <f>IF(AND(ISNUMBER($I$2),9&lt;=$I$2),$B$2+8,"")</f>
        <v>46031</v>
      </c>
      <c r="T6" s="21"/>
      <c r="U6" s="21">
        <f>IF(AND(ISNUMBER($I$2),10&lt;=$I$2),$B$2+9,"")</f>
        <v>46032</v>
      </c>
      <c r="V6" s="21"/>
      <c r="W6" s="21">
        <f>IF(AND(ISNUMBER($I$2),11&lt;=$I$2),$B$2+10,"")</f>
        <v>46033</v>
      </c>
      <c r="X6" s="21"/>
      <c r="Y6" s="21">
        <f>IF(AND(ISNUMBER($I$2),12&lt;=$I$2),$B$2+11,"")</f>
        <v>46034</v>
      </c>
      <c r="Z6" s="21"/>
      <c r="AA6" s="21">
        <f>IF(AND(ISNUMBER($I$2),13&lt;=$I$2),$B$2+12,"")</f>
        <v>46035</v>
      </c>
      <c r="AB6" s="21"/>
      <c r="AC6" s="21">
        <f>IF(AND(ISNUMBER($I$2),14&lt;=$I$2),$B$2+13,"")</f>
        <v>46036</v>
      </c>
      <c r="AD6" s="21"/>
      <c r="AE6" s="21">
        <f>IF(AND(ISNUMBER($I$2),15&lt;=$I$2),$B$2+14,"")</f>
        <v>46037</v>
      </c>
      <c r="AF6" s="21"/>
      <c r="AG6" s="21">
        <f>IF(AND(ISNUMBER($I$2),16&lt;=$I$2),$B$2+15,"")</f>
        <v>46038</v>
      </c>
      <c r="AH6" s="21"/>
      <c r="AI6" s="21">
        <f>IF(AND(ISNUMBER($I$2),17&lt;=$I$2),$B$2+16,"")</f>
        <v>46039</v>
      </c>
      <c r="AJ6" s="21"/>
      <c r="AK6" s="21">
        <f>IF(AND(ISNUMBER($I$2),18&lt;=$I$2),$B$2+17,"")</f>
        <v>46040</v>
      </c>
      <c r="AL6" s="21"/>
      <c r="AM6" s="21">
        <f>IF(AND(ISNUMBER($I$2),19&lt;=$I$2),$B$2+18,"")</f>
        <v>46041</v>
      </c>
      <c r="AN6" s="21"/>
      <c r="AO6" s="21">
        <f>IF(AND(ISNUMBER($I$2),20&lt;=$I$2),$B$2+19,"")</f>
        <v>46042</v>
      </c>
      <c r="AP6" s="21"/>
      <c r="AQ6" s="21">
        <f>IF(AND(ISNUMBER($I$2),21&lt;=$I$2),$B$2+20,"")</f>
        <v>46043</v>
      </c>
      <c r="AR6" s="21"/>
      <c r="AS6" s="21">
        <f>IF(AND(ISNUMBER($I$2),22&lt;=$I$2),$B$2+21,"")</f>
        <v>46044</v>
      </c>
      <c r="AT6" s="21"/>
      <c r="AU6" s="21">
        <f>IF(AND(ISNUMBER($I$2),23&lt;=$I$2),$B$2+22,"")</f>
        <v>46045</v>
      </c>
      <c r="AV6" s="21"/>
      <c r="AW6" s="21">
        <f>IF(AND(ISNUMBER($I$2),24&lt;=$I$2),$B$2+23,"")</f>
        <v>46046</v>
      </c>
      <c r="AX6" s="21"/>
      <c r="AY6" s="21">
        <f>IF(AND(ISNUMBER($I$2),25&lt;=$I$2),$B$2+24,"")</f>
        <v>46047</v>
      </c>
      <c r="AZ6" s="21"/>
      <c r="BA6" s="21">
        <f>IF(AND(ISNUMBER($I$2),26&lt;=$I$2),$B$2+25,"")</f>
        <v>46048</v>
      </c>
      <c r="BB6" s="21"/>
      <c r="BC6" s="21">
        <f>IF(AND(ISNUMBER($I$2),27&lt;=$I$2),$B$2+26,"")</f>
        <v>46049</v>
      </c>
      <c r="BD6" s="21"/>
      <c r="BE6" s="21">
        <f>IF(AND(ISNUMBER($I$2),28&lt;=$I$2),$B$2+27,"")</f>
        <v>46050</v>
      </c>
      <c r="BF6" s="21"/>
      <c r="BG6" s="21">
        <f>IF(AND(ISNUMBER($I$2),29&lt;=$I$2),$B$2+28,"")</f>
        <v>46051</v>
      </c>
      <c r="BH6" s="21"/>
      <c r="BI6" s="21">
        <f>IF(AND(ISNUMBER($I$2),30&lt;=$I$2),$B$2+29,"")</f>
        <v>46052</v>
      </c>
      <c r="BJ6" s="21"/>
      <c r="BK6" s="21">
        <f>IF(AND(ISNUMBER($I$2),31&lt;=$I$2),$B$2+30,"")</f>
        <v>46053</v>
      </c>
      <c r="BL6" s="21"/>
    </row>
    <row r="7" spans="1:67">
      <c r="A7" s="22" t="s">
        <v>466</v>
      </c>
      <c r="B7" s="22" t="s">
        <v>480</v>
      </c>
      <c r="C7" s="22" t="s">
        <v>985</v>
      </c>
      <c r="D7" s="22" t="s">
        <v>986</v>
      </c>
      <c r="E7" s="22" t="s">
        <v>985</v>
      </c>
      <c r="F7" s="22" t="s">
        <v>986</v>
      </c>
      <c r="G7" s="22" t="s">
        <v>985</v>
      </c>
      <c r="H7" s="22" t="s">
        <v>986</v>
      </c>
      <c r="I7" s="22" t="s">
        <v>985</v>
      </c>
      <c r="J7" s="22" t="s">
        <v>986</v>
      </c>
      <c r="K7" s="22" t="s">
        <v>985</v>
      </c>
      <c r="L7" s="22" t="s">
        <v>986</v>
      </c>
      <c r="M7" s="22" t="s">
        <v>985</v>
      </c>
      <c r="N7" s="22" t="s">
        <v>986</v>
      </c>
      <c r="O7" s="22" t="s">
        <v>985</v>
      </c>
      <c r="P7" s="22" t="s">
        <v>986</v>
      </c>
      <c r="Q7" s="22" t="s">
        <v>985</v>
      </c>
      <c r="R7" s="22" t="s">
        <v>986</v>
      </c>
      <c r="S7" s="22" t="s">
        <v>985</v>
      </c>
      <c r="T7" s="22" t="s">
        <v>986</v>
      </c>
      <c r="U7" s="22" t="s">
        <v>985</v>
      </c>
      <c r="V7" s="22" t="s">
        <v>986</v>
      </c>
      <c r="W7" s="22" t="s">
        <v>985</v>
      </c>
      <c r="X7" s="22" t="s">
        <v>986</v>
      </c>
      <c r="Y7" s="22" t="s">
        <v>985</v>
      </c>
      <c r="Z7" s="22" t="s">
        <v>986</v>
      </c>
      <c r="AA7" s="22" t="s">
        <v>985</v>
      </c>
      <c r="AB7" s="22" t="s">
        <v>986</v>
      </c>
      <c r="AC7" s="22" t="s">
        <v>985</v>
      </c>
      <c r="AD7" s="22" t="s">
        <v>986</v>
      </c>
      <c r="AE7" s="22" t="s">
        <v>985</v>
      </c>
      <c r="AF7" s="22" t="s">
        <v>986</v>
      </c>
      <c r="AG7" s="22" t="s">
        <v>985</v>
      </c>
      <c r="AH7" s="22" t="s">
        <v>986</v>
      </c>
      <c r="AI7" s="22" t="s">
        <v>985</v>
      </c>
      <c r="AJ7" s="22" t="s">
        <v>986</v>
      </c>
      <c r="AK7" s="22" t="s">
        <v>985</v>
      </c>
      <c r="AL7" s="22" t="s">
        <v>986</v>
      </c>
      <c r="AM7" s="22" t="s">
        <v>985</v>
      </c>
      <c r="AN7" s="22" t="s">
        <v>986</v>
      </c>
      <c r="AO7" s="22" t="s">
        <v>985</v>
      </c>
      <c r="AP7" s="22" t="s">
        <v>986</v>
      </c>
      <c r="AQ7" s="22" t="s">
        <v>985</v>
      </c>
      <c r="AR7" s="22" t="s">
        <v>986</v>
      </c>
      <c r="AS7" s="22" t="s">
        <v>985</v>
      </c>
      <c r="AT7" s="22" t="s">
        <v>986</v>
      </c>
      <c r="AU7" s="22" t="s">
        <v>985</v>
      </c>
      <c r="AV7" s="22" t="s">
        <v>986</v>
      </c>
      <c r="AW7" s="22" t="s">
        <v>985</v>
      </c>
      <c r="AX7" s="22" t="s">
        <v>986</v>
      </c>
      <c r="AY7" s="22" t="s">
        <v>985</v>
      </c>
      <c r="AZ7" s="22" t="s">
        <v>986</v>
      </c>
      <c r="BA7" s="22" t="s">
        <v>985</v>
      </c>
      <c r="BB7" s="22" t="s">
        <v>986</v>
      </c>
      <c r="BC7" s="22" t="s">
        <v>985</v>
      </c>
      <c r="BD7" s="22" t="s">
        <v>986</v>
      </c>
      <c r="BE7" s="22" t="s">
        <v>985</v>
      </c>
      <c r="BF7" s="22" t="s">
        <v>986</v>
      </c>
      <c r="BG7" s="22" t="s">
        <v>985</v>
      </c>
      <c r="BH7" s="22" t="s">
        <v>986</v>
      </c>
      <c r="BI7" s="22" t="s">
        <v>985</v>
      </c>
      <c r="BJ7" s="22" t="s">
        <v>986</v>
      </c>
      <c r="BK7" s="22" t="s">
        <v>985</v>
      </c>
      <c r="BL7" s="22" t="s">
        <v>986</v>
      </c>
      <c r="BM7" s="23" t="s">
        <v>987</v>
      </c>
      <c r="BN7" s="23" t="s">
        <v>988</v>
      </c>
      <c r="BO7" s="23" t="s">
        <v>928</v>
      </c>
    </row>
    <row r="8" spans="1:67">
      <c r="A8" s="24" t="str">
        <f>IF(基础资料!$E4="","",基础资料!$E4)</f>
        <v>双思威基本户</v>
      </c>
      <c r="B8" s="25" t="e">
        <f>IF(OR($A8="",NOT(ISNUMBER($I$2))),"",SUMIFS(资金流水!$M$5:$M$3015,资金流水!$C$5:$C$3032,$A8,资金流水!$B$5:$B$3032,"&lt;="&amp;$B$2)+SUMIFS(资金流水!$K$5:$K$3032,资金流水!$C$5:$C$3032,$A8,资金流水!$B$5:$B$3032,"&lt;"&amp;$B$2)-SUMIFS(资金流水!$L$5:$L$3032,资金流水!$C$5:$C$3032,$A8,资金流水!$B$5:$B$3032,"&lt;"&amp;$B$2))</f>
        <v>#VALUE!</v>
      </c>
      <c r="C8" s="11">
        <f>IF(OR($A8="",C$6=""),"",SUMIFS(资金流水!$K$5:$K$3032,资金流水!$C$5:$C$3032,$A8,资金流水!$B$5:$B$3032,C$6))</f>
        <v>286729.93</v>
      </c>
      <c r="D8" s="11">
        <f>IF(OR($A8="",C$6=""),"",SUMIFS(资金流水!$L$5:$L$3032,资金流水!$C$5:$C$3032,$A8,资金流水!$B$5:$B$3032,C$6))</f>
        <v>0</v>
      </c>
      <c r="E8" s="11">
        <f>IF(OR($A8="",E$6=""),"",SUMIFS(资金流水!$K$5:$K$3032,资金流水!$C$5:$C$3032,$A8,资金流水!$B$5:$B$3032,E$6))</f>
        <v>0</v>
      </c>
      <c r="F8" s="11">
        <f>IF(OR($A8="",E$6=""),"",SUMIFS(资金流水!$L$5:$L$3032,资金流水!$C$5:$C$3032,$A8,资金流水!$B$5:$B$3032,E$6))</f>
        <v>0</v>
      </c>
      <c r="G8" s="11">
        <f>IF(OR($A8="",G$6=""),"",SUMIFS(资金流水!$K$5:$K$3032,资金流水!$C$5:$C$3032,$A8,资金流水!$B$5:$B$3032,G$6))</f>
        <v>0</v>
      </c>
      <c r="H8" s="11">
        <f>IF(OR($A8="",G$6=""),"",SUMIFS(资金流水!$L$5:$L$3032,资金流水!$C$5:$C$3032,$A8,资金流水!$B$5:$B$3032,G$6))</f>
        <v>0</v>
      </c>
      <c r="I8" s="11">
        <f>IF(OR($A8="",I$6=""),"",SUMIFS(资金流水!$K$5:$K$3032,资金流水!$C$5:$C$3032,$A8,资金流水!$B$5:$B$3032,I$6))</f>
        <v>0</v>
      </c>
      <c r="J8" s="11">
        <f>IF(OR($A8="",I$6=""),"",SUMIFS(资金流水!$L$5:$L$3032,资金流水!$C$5:$C$3032,$A8,资金流水!$B$5:$B$3032,I$6))</f>
        <v>0</v>
      </c>
      <c r="K8" s="11">
        <f>IF(OR($A8="",K$6=""),"",SUMIFS(资金流水!$K$5:$K$3032,资金流水!$C$5:$C$3032,$A8,资金流水!$B$5:$B$3032,K$6))</f>
        <v>0</v>
      </c>
      <c r="L8" s="11">
        <f>IF(OR($A8="",K$6=""),"",SUMIFS(资金流水!$L$5:$L$3032,资金流水!$C$5:$C$3032,$A8,资金流水!$B$5:$B$3032,K$6))</f>
        <v>0</v>
      </c>
      <c r="M8" s="11">
        <f>IF(OR($A8="",M$6=""),"",SUMIFS(资金流水!$K$5:$K$3032,资金流水!$C$5:$C$3032,$A8,资金流水!$B$5:$B$3032,M$6))</f>
        <v>0</v>
      </c>
      <c r="N8" s="11">
        <f>IF(OR($A8="",M$6=""),"",SUMIFS(资金流水!$L$5:$L$3032,资金流水!$C$5:$C$3032,$A8,资金流水!$B$5:$B$3032,M$6))</f>
        <v>0</v>
      </c>
      <c r="O8" s="11">
        <f>IF(OR($A8="",O$6=""),"",SUMIFS(资金流水!$K$5:$K$3032,资金流水!$C$5:$C$3032,$A8,资金流水!$B$5:$B$3032,O$6))</f>
        <v>0</v>
      </c>
      <c r="P8" s="11">
        <f>IF(OR($A8="",O$6=""),"",SUMIFS(资金流水!$L$5:$L$3032,资金流水!$C$5:$C$3032,$A8,资金流水!$B$5:$B$3032,O$6))</f>
        <v>0</v>
      </c>
      <c r="Q8" s="11">
        <f>IF(OR($A8="",Q$6=""),"",SUMIFS(资金流水!$K$5:$K$3032,资金流水!$C$5:$C$3032,$A8,资金流水!$B$5:$B$3032,Q$6))</f>
        <v>0</v>
      </c>
      <c r="R8" s="11">
        <f>IF(OR($A8="",Q$6=""),"",SUMIFS(资金流水!$L$5:$L$3032,资金流水!$C$5:$C$3032,$A8,资金流水!$B$5:$B$3032,Q$6))</f>
        <v>0</v>
      </c>
      <c r="S8" s="11">
        <f>IF(OR($A8="",S$6=""),"",SUMIFS(资金流水!$K$5:$K$3032,资金流水!$C$5:$C$3032,$A8,资金流水!$B$5:$B$3032,S$6))</f>
        <v>0</v>
      </c>
      <c r="T8" s="11">
        <f>IF(OR($A8="",S$6=""),"",SUMIFS(资金流水!$L$5:$L$3032,资金流水!$C$5:$C$3032,$A8,资金流水!$B$5:$B$3032,S$6))</f>
        <v>0</v>
      </c>
      <c r="U8" s="11">
        <f>IF(OR($A8="",U$6=""),"",SUMIFS(资金流水!$K$5:$K$3032,资金流水!$C$5:$C$3032,$A8,资金流水!$B$5:$B$3032,U$6))</f>
        <v>0</v>
      </c>
      <c r="V8" s="11">
        <f>IF(OR($A8="",U$6=""),"",SUMIFS(资金流水!$L$5:$L$3032,资金流水!$C$5:$C$3032,$A8,资金流水!$B$5:$B$3032,U$6))</f>
        <v>4.05</v>
      </c>
      <c r="W8" s="11">
        <f>IF(OR($A8="",W$6=""),"",SUMIFS(资金流水!$K$5:$K$3032,资金流水!$C$5:$C$3032,$A8,资金流水!$B$5:$B$3032,W$6))</f>
        <v>0</v>
      </c>
      <c r="X8" s="11">
        <f>IF(OR($A8="",W$6=""),"",SUMIFS(资金流水!$L$5:$L$3032,资金流水!$C$5:$C$3032,$A8,资金流水!$B$5:$B$3032,W$6))</f>
        <v>0</v>
      </c>
      <c r="Y8" s="11">
        <f>IF(OR($A8="",Y$6=""),"",SUMIFS(资金流水!$K$5:$K$3032,资金流水!$C$5:$C$3032,$A8,资金流水!$B$5:$B$3032,Y$6))</f>
        <v>0</v>
      </c>
      <c r="Z8" s="11">
        <f>IF(OR($A8="",Y$6=""),"",SUMIFS(资金流水!$L$5:$L$3032,资金流水!$C$5:$C$3032,$A8,资金流水!$B$5:$B$3032,Y$6))</f>
        <v>0</v>
      </c>
      <c r="AA8" s="11">
        <f>IF(OR($A8="",AA$6=""),"",SUMIFS(资金流水!$K$5:$K$3032,资金流水!$C$5:$C$3032,$A8,资金流水!$B$5:$B$3032,AA$6))</f>
        <v>0</v>
      </c>
      <c r="AB8" s="11">
        <f>IF(OR($A8="",AA$6=""),"",SUMIFS(资金流水!$L$5:$L$3032,资金流水!$C$5:$C$3032,$A8,资金流水!$B$5:$B$3032,AA$6))</f>
        <v>4.05</v>
      </c>
      <c r="AC8" s="11">
        <f>IF(OR($A8="",AC$6=""),"",SUMIFS(资金流水!$K$5:$K$3032,资金流水!$C$5:$C$3032,$A8,资金流水!$B$5:$B$3032,AC$6))</f>
        <v>0</v>
      </c>
      <c r="AD8" s="11">
        <f>IF(OR($A8="",AC$6=""),"",SUMIFS(资金流水!$L$5:$L$3032,资金流水!$C$5:$C$3032,$A8,资金流水!$B$5:$B$3032,AC$6))</f>
        <v>310879.15</v>
      </c>
      <c r="AE8" s="11">
        <f>IF(OR($A8="",AE$6=""),"",SUMIFS(资金流水!$K$5:$K$3032,资金流水!$C$5:$C$3032,$A8,资金流水!$B$5:$B$3032,AE$6))</f>
        <v>0</v>
      </c>
      <c r="AF8" s="11">
        <f>IF(OR($A8="",AE$6=""),"",SUMIFS(资金流水!$L$5:$L$3032,资金流水!$C$5:$C$3032,$A8,资金流水!$B$5:$B$3032,AE$6))</f>
        <v>0</v>
      </c>
      <c r="AG8" s="11">
        <f>IF(OR($A8="",AG$6=""),"",SUMIFS(资金流水!$K$5:$K$3032,资金流水!$C$5:$C$3032,$A8,资金流水!$B$5:$B$3032,AG$6))</f>
        <v>0</v>
      </c>
      <c r="AH8" s="11">
        <f>IF(OR($A8="",AG$6=""),"",SUMIFS(资金流水!$L$5:$L$3032,资金流水!$C$5:$C$3032,$A8,资金流水!$B$5:$B$3032,AG$6))</f>
        <v>0</v>
      </c>
      <c r="AI8" s="11">
        <f>IF(OR($A8="",AI$6=""),"",SUMIFS(资金流水!$K$5:$K$3032,资金流水!$C$5:$C$3032,$A8,资金流水!$B$5:$B$3032,AI$6))</f>
        <v>0</v>
      </c>
      <c r="AJ8" s="11">
        <f>IF(OR($A8="",AI$6=""),"",SUMIFS(资金流水!$L$5:$L$3032,资金流水!$C$5:$C$3032,$A8,资金流水!$B$5:$B$3032,AI$6))</f>
        <v>0</v>
      </c>
      <c r="AK8" s="11">
        <f>IF(OR($A8="",AK$6=""),"",SUMIFS(资金流水!$K$5:$K$3032,资金流水!$C$5:$C$3032,$A8,资金流水!$B$5:$B$3032,AK$6))</f>
        <v>0</v>
      </c>
      <c r="AL8" s="11">
        <f>IF(OR($A8="",AK$6=""),"",SUMIFS(资金流水!$L$5:$L$3032,资金流水!$C$5:$C$3032,$A8,资金流水!$B$5:$B$3032,AK$6))</f>
        <v>0</v>
      </c>
      <c r="AM8" s="11">
        <f>IF(OR($A8="",AM$6=""),"",SUMIFS(资金流水!$K$5:$K$3032,资金流水!$C$5:$C$3032,$A8,资金流水!$B$5:$B$3032,AM$6))</f>
        <v>0</v>
      </c>
      <c r="AN8" s="11">
        <f>IF(OR($A8="",AM$6=""),"",SUMIFS(资金流水!$L$5:$L$3032,资金流水!$C$5:$C$3032,$A8,资金流水!$B$5:$B$3032,AM$6))</f>
        <v>0</v>
      </c>
      <c r="AO8" s="11">
        <f>IF(OR($A8="",AO$6=""),"",SUMIFS(资金流水!$K$5:$K$3032,资金流水!$C$5:$C$3032,$A8,资金流水!$B$5:$B$3032,AO$6))</f>
        <v>0</v>
      </c>
      <c r="AP8" s="11">
        <f>IF(OR($A8="",AO$6=""),"",SUMIFS(资金流水!$L$5:$L$3032,资金流水!$C$5:$C$3032,$A8,资金流水!$B$5:$B$3032,AO$6))</f>
        <v>16599.81</v>
      </c>
      <c r="AQ8" s="11">
        <f>IF(OR($A8="",AQ$6=""),"",SUMIFS(资金流水!$K$5:$K$3032,资金流水!$C$5:$C$3032,$A8,资金流水!$B$5:$B$3032,AQ$6))</f>
        <v>0</v>
      </c>
      <c r="AR8" s="11">
        <f>IF(OR($A8="",AQ$6=""),"",SUMIFS(资金流水!$L$5:$L$3032,资金流水!$C$5:$C$3032,$A8,资金流水!$B$5:$B$3032,AQ$6))</f>
        <v>0</v>
      </c>
      <c r="AS8" s="11">
        <f>IF(OR($A8="",AS$6=""),"",SUMIFS(资金流水!$K$5:$K$3032,资金流水!$C$5:$C$3032,$A8,资金流水!$B$5:$B$3032,AS$6))</f>
        <v>0</v>
      </c>
      <c r="AT8" s="11">
        <f>IF(OR($A8="",AS$6=""),"",SUMIFS(资金流水!$L$5:$L$3032,资金流水!$C$5:$C$3032,$A8,资金流水!$B$5:$B$3032,AS$6))</f>
        <v>9</v>
      </c>
      <c r="AU8" s="11">
        <f>IF(OR($A8="",AU$6=""),"",SUMIFS(资金流水!$K$5:$K$3032,资金流水!$C$5:$C$3032,$A8,资金流水!$B$5:$B$3032,AU$6))</f>
        <v>0</v>
      </c>
      <c r="AV8" s="11">
        <f>IF(OR($A8="",AU$6=""),"",SUMIFS(资金流水!$L$5:$L$3032,资金流水!$C$5:$C$3032,$A8,资金流水!$B$5:$B$3032,AU$6))</f>
        <v>30341.02</v>
      </c>
      <c r="AW8" s="11">
        <f>IF(OR($A8="",AW$6=""),"",SUMIFS(资金流水!$K$5:$K$3032,资金流水!$C$5:$C$3032,$A8,资金流水!$B$5:$B$3032,AW$6))</f>
        <v>0</v>
      </c>
      <c r="AX8" s="11">
        <f>IF(OR($A8="",AW$6=""),"",SUMIFS(资金流水!$L$5:$L$3032,资金流水!$C$5:$C$3032,$A8,资金流水!$B$5:$B$3032,AW$6))</f>
        <v>0</v>
      </c>
      <c r="AY8" s="11">
        <f>IF(OR($A8="",AY$6=""),"",SUMIFS(资金流水!$K$5:$K$3032,资金流水!$C$5:$C$3032,$A8,资金流水!$B$5:$B$3032,AY$6))</f>
        <v>0</v>
      </c>
      <c r="AZ8" s="11">
        <f>IF(OR($A8="",AY$6=""),"",SUMIFS(资金流水!$L$5:$L$3032,资金流水!$C$5:$C$3032,$A8,资金流水!$B$5:$B$3032,AY$6))</f>
        <v>0</v>
      </c>
      <c r="BA8" s="11">
        <f>IF(OR($A8="",BA$6=""),"",SUMIFS(资金流水!$K$5:$K$3032,资金流水!$C$5:$C$3032,$A8,资金流水!$B$5:$B$3032,BA$6))</f>
        <v>582712.28</v>
      </c>
      <c r="BB8" s="11">
        <f>IF(OR($A8="",BA$6=""),"",SUMIFS(资金流水!$L$5:$L$3032,资金流水!$C$5:$C$3032,$A8,资金流水!$B$5:$B$3032,BA$6))</f>
        <v>0</v>
      </c>
      <c r="BC8" s="11">
        <f>IF(OR($A8="",BC$6=""),"",SUMIFS(资金流水!$K$5:$K$3032,资金流水!$C$5:$C$3032,$A8,资金流水!$B$5:$B$3032,BC$6))</f>
        <v>318456</v>
      </c>
      <c r="BD8" s="11">
        <f>IF(OR($A8="",BC$6=""),"",SUMIFS(资金流水!$L$5:$L$3032,资金流水!$C$5:$C$3032,$A8,资金流水!$B$5:$B$3032,BC$6))</f>
        <v>9</v>
      </c>
      <c r="BE8" s="11">
        <f>IF(OR($A8="",BE$6=""),"",SUMIFS(资金流水!$K$5:$K$3032,资金流水!$C$5:$C$3032,$A8,资金流水!$B$5:$B$3032,BE$6))</f>
        <v>0</v>
      </c>
      <c r="BF8" s="11">
        <f>IF(OR($A8="",BE$6=""),"",SUMIFS(资金流水!$L$5:$L$3032,资金流水!$C$5:$C$3032,$A8,资金流水!$B$5:$B$3032,BE$6))</f>
        <v>0</v>
      </c>
      <c r="BG8" s="11">
        <f>IF(OR($A8="",BG$6=""),"",SUMIFS(资金流水!$K$5:$K$3032,资金流水!$C$5:$C$3032,$A8,资金流水!$B$5:$B$3032,BG$6))</f>
        <v>0</v>
      </c>
      <c r="BH8" s="11">
        <f>IF(OR($A8="",BG$6=""),"",SUMIFS(资金流水!$L$5:$L$3032,资金流水!$C$5:$C$3032,$A8,资金流水!$B$5:$B$3032,BG$6))</f>
        <v>0</v>
      </c>
      <c r="BI8" s="11">
        <f>IF(OR($A8="",BI$6=""),"",SUMIFS(资金流水!$K$5:$K$3032,资金流水!$C$5:$C$3032,$A8,资金流水!$B$5:$B$3032,BI$6))</f>
        <v>0</v>
      </c>
      <c r="BJ8" s="11">
        <f>IF(OR($A8="",BI$6=""),"",SUMIFS(资金流水!$L$5:$L$3032,资金流水!$C$5:$C$3032,$A8,资金流水!$B$5:$B$3032,BI$6))</f>
        <v>0</v>
      </c>
      <c r="BK8" s="11">
        <f>IF(OR($A8="",BK$6=""),"",SUMIFS(资金流水!$K$5:$K$3032,资金流水!$C$5:$C$3032,$A8,资金流水!$B$5:$B$3032,BK$6))</f>
        <v>0</v>
      </c>
      <c r="BL8" s="11">
        <f>IF(OR($A8="",BK$6=""),"",SUMIFS(资金流水!$L$5:$L$3032,资金流水!$C$5:$C$3032,$A8,资金流水!$B$5:$B$3032,BK$6))</f>
        <v>0</v>
      </c>
      <c r="BM8" s="26">
        <f t="shared" ref="BM8:BM27" si="0">IF(OR($A8="",NOT(ISNUMBER($I$2))),"",SUMIF($C$7:$BL$7,"收款",$C8:$BL8))</f>
        <v>1187898.21</v>
      </c>
      <c r="BN8" s="26">
        <f t="shared" ref="BN8:BN27" si="1">IF(OR($A8="",NOT(ISNUMBER($I$2))),"",SUMIF($C$7:$BL$7,"付款",$C8:$BL8))</f>
        <v>357846.08</v>
      </c>
      <c r="BO8" s="26" t="e">
        <f t="shared" ref="BO8:BO27" si="2">IF(OR($A8="",NOT(ISNUMBER($I$2))),"",$B8+$BM8-$BN8)</f>
        <v>#VALUE!</v>
      </c>
    </row>
    <row r="9" spans="1:67">
      <c r="A9" s="24" t="str">
        <f>IF(基础资料!$E5="","",基础资料!$E5)</f>
        <v>双思威农商行一般户</v>
      </c>
      <c r="B9" s="25" t="e">
        <f>IF(OR($A9="",NOT(ISNUMBER($I$2))),"",SUMIFS(资金流水!$M$5:$M$3015,资金流水!$C$5:$C$3032,$A9,资金流水!$B$5:$B$3032,"&lt;="&amp;$B$2)+SUMIFS(资金流水!$K$5:$K$3032,资金流水!$C$5:$C$3032,$A9,资金流水!$B$5:$B$3032,"&lt;"&amp;$B$2)-SUMIFS(资金流水!$L$5:$L$3032,资金流水!$C$5:$C$3032,$A9,资金流水!$B$5:$B$3032,"&lt;"&amp;$B$2))</f>
        <v>#VALUE!</v>
      </c>
      <c r="C9" s="11">
        <f>IF(OR($A9="",C$6=""),"",SUMIFS(资金流水!$K$5:$K$3032,资金流水!$C$5:$C$3032,$A9,资金流水!$B$5:$B$3032,C$6))</f>
        <v>0</v>
      </c>
      <c r="D9" s="11">
        <f>IF(OR($A9="",C$6=""),"",SUMIFS(资金流水!$L$5:$L$3032,资金流水!$C$5:$C$3032,$A9,资金流水!$B$5:$B$3032,C$6))</f>
        <v>0</v>
      </c>
      <c r="E9" s="11">
        <f>IF(OR($A9="",E$6=""),"",SUMIFS(资金流水!$K$5:$K$3032,资金流水!$C$5:$C$3032,$A9,资金流水!$B$5:$B$3032,E$6))</f>
        <v>0</v>
      </c>
      <c r="F9" s="11">
        <f>IF(OR($A9="",E$6=""),"",SUMIFS(资金流水!$L$5:$L$3032,资金流水!$C$5:$C$3032,$A9,资金流水!$B$5:$B$3032,E$6))</f>
        <v>4715</v>
      </c>
      <c r="G9" s="11">
        <f>IF(OR($A9="",G$6=""),"",SUMIFS(资金流水!$K$5:$K$3032,资金流水!$C$5:$C$3032,$A9,资金流水!$B$5:$B$3032,G$6))</f>
        <v>0</v>
      </c>
      <c r="H9" s="11">
        <f>IF(OR($A9="",G$6=""),"",SUMIFS(资金流水!$L$5:$L$3032,资金流水!$C$5:$C$3032,$A9,资金流水!$B$5:$B$3032,G$6))</f>
        <v>5898</v>
      </c>
      <c r="I9" s="11">
        <f>IF(OR($A9="",I$6=""),"",SUMIFS(资金流水!$K$5:$K$3032,资金流水!$C$5:$C$3032,$A9,资金流水!$B$5:$B$3032,I$6))</f>
        <v>0</v>
      </c>
      <c r="J9" s="11">
        <f>IF(OR($A9="",I$6=""),"",SUMIFS(资金流水!$L$5:$L$3032,资金流水!$C$5:$C$3032,$A9,资金流水!$B$5:$B$3032,I$6))</f>
        <v>1845.66</v>
      </c>
      <c r="K9" s="11">
        <f>IF(OR($A9="",K$6=""),"",SUMIFS(资金流水!$K$5:$K$3032,资金流水!$C$5:$C$3032,$A9,资金流水!$B$5:$B$3032,K$6))</f>
        <v>0</v>
      </c>
      <c r="L9" s="11">
        <f>IF(OR($A9="",K$6=""),"",SUMIFS(资金流水!$L$5:$L$3032,资金流水!$C$5:$C$3032,$A9,资金流水!$B$5:$B$3032,K$6))</f>
        <v>40569.1</v>
      </c>
      <c r="M9" s="11">
        <f>IF(OR($A9="",M$6=""),"",SUMIFS(资金流水!$K$5:$K$3032,资金流水!$C$5:$C$3032,$A9,资金流水!$B$5:$B$3032,M$6))</f>
        <v>1010</v>
      </c>
      <c r="N9" s="11">
        <f>IF(OR($A9="",M$6=""),"",SUMIFS(资金流水!$L$5:$L$3032,资金流水!$C$5:$C$3032,$A9,资金流水!$B$5:$B$3032,M$6))</f>
        <v>14067.09</v>
      </c>
      <c r="O9" s="11">
        <f>IF(OR($A9="",O$6=""),"",SUMIFS(资金流水!$K$5:$K$3032,资金流水!$C$5:$C$3032,$A9,资金流水!$B$5:$B$3032,O$6))</f>
        <v>0</v>
      </c>
      <c r="P9" s="11">
        <f>IF(OR($A9="",O$6=""),"",SUMIFS(资金流水!$L$5:$L$3032,资金流水!$C$5:$C$3032,$A9,资金流水!$B$5:$B$3032,O$6))</f>
        <v>6230</v>
      </c>
      <c r="Q9" s="11">
        <f>IF(OR($A9="",Q$6=""),"",SUMIFS(资金流水!$K$5:$K$3032,资金流水!$C$5:$C$3032,$A9,资金流水!$B$5:$B$3032,Q$6))</f>
        <v>0</v>
      </c>
      <c r="R9" s="11">
        <f>IF(OR($A9="",Q$6=""),"",SUMIFS(资金流水!$L$5:$L$3032,资金流水!$C$5:$C$3032,$A9,资金流水!$B$5:$B$3032,Q$6))</f>
        <v>28000</v>
      </c>
      <c r="S9" s="11">
        <f>IF(OR($A9="",S$6=""),"",SUMIFS(资金流水!$K$5:$K$3032,资金流水!$C$5:$C$3032,$A9,资金流水!$B$5:$B$3032,S$6))</f>
        <v>0</v>
      </c>
      <c r="T9" s="11">
        <f>IF(OR($A9="",S$6=""),"",SUMIFS(资金流水!$L$5:$L$3032,资金流水!$C$5:$C$3032,$A9,资金流水!$B$5:$B$3032,S$6))</f>
        <v>0</v>
      </c>
      <c r="U9" s="11">
        <f>IF(OR($A9="",U$6=""),"",SUMIFS(资金流水!$K$5:$K$3032,资金流水!$C$5:$C$3032,$A9,资金流水!$B$5:$B$3032,U$6))</f>
        <v>0</v>
      </c>
      <c r="V9" s="11">
        <f>IF(OR($A9="",U$6=""),"",SUMIFS(资金流水!$L$5:$L$3032,资金流水!$C$5:$C$3032,$A9,资金流水!$B$5:$B$3032,U$6))</f>
        <v>59886.6</v>
      </c>
      <c r="W9" s="11">
        <f>IF(OR($A9="",W$6=""),"",SUMIFS(资金流水!$K$5:$K$3032,资金流水!$C$5:$C$3032,$A9,资金流水!$B$5:$B$3032,W$6))</f>
        <v>0</v>
      </c>
      <c r="X9" s="11">
        <f>IF(OR($A9="",W$6=""),"",SUMIFS(资金流水!$L$5:$L$3032,资金流水!$C$5:$C$3032,$A9,资金流水!$B$5:$B$3032,W$6))</f>
        <v>0</v>
      </c>
      <c r="Y9" s="11">
        <f>IF(OR($A9="",Y$6=""),"",SUMIFS(资金流水!$K$5:$K$3032,资金流水!$C$5:$C$3032,$A9,资金流水!$B$5:$B$3032,Y$6))</f>
        <v>6244800</v>
      </c>
      <c r="Z9" s="11">
        <f>IF(OR($A9="",Y$6=""),"",SUMIFS(资金流水!$L$5:$L$3032,资金流水!$C$5:$C$3032,$A9,资金流水!$B$5:$B$3032,Y$6))</f>
        <v>11000</v>
      </c>
      <c r="AA9" s="11">
        <f>IF(OR($A9="",AA$6=""),"",SUMIFS(资金流水!$K$5:$K$3032,资金流水!$C$5:$C$3032,$A9,资金流水!$B$5:$B$3032,AA$6))</f>
        <v>0</v>
      </c>
      <c r="AB9" s="11">
        <f>IF(OR($A9="",AA$6=""),"",SUMIFS(资金流水!$L$5:$L$3032,资金流水!$C$5:$C$3032,$A9,资金流水!$B$5:$B$3032,AA$6))</f>
        <v>2300</v>
      </c>
      <c r="AC9" s="11">
        <f>IF(OR($A9="",AC$6=""),"",SUMIFS(资金流水!$K$5:$K$3032,资金流水!$C$5:$C$3032,$A9,资金流水!$B$5:$B$3032,AC$6))</f>
        <v>0</v>
      </c>
      <c r="AD9" s="11">
        <f>IF(OR($A9="",AC$6=""),"",SUMIFS(资金流水!$L$5:$L$3032,资金流水!$C$5:$C$3032,$A9,资金流水!$B$5:$B$3032,AC$6))</f>
        <v>19780</v>
      </c>
      <c r="AE9" s="11">
        <f>IF(OR($A9="",AE$6=""),"",SUMIFS(资金流水!$K$5:$K$3032,资金流水!$C$5:$C$3032,$A9,资金流水!$B$5:$B$3032,AE$6))</f>
        <v>0</v>
      </c>
      <c r="AF9" s="11">
        <f>IF(OR($A9="",AE$6=""),"",SUMIFS(资金流水!$L$5:$L$3032,资金流水!$C$5:$C$3032,$A9,资金流水!$B$5:$B$3032,AE$6))</f>
        <v>19500</v>
      </c>
      <c r="AG9" s="11">
        <f>IF(OR($A9="",AG$6=""),"",SUMIFS(资金流水!$K$5:$K$3032,资金流水!$C$5:$C$3032,$A9,资金流水!$B$5:$B$3032,AG$6))</f>
        <v>0</v>
      </c>
      <c r="AH9" s="11">
        <f>IF(OR($A9="",AG$6=""),"",SUMIFS(资金流水!$L$5:$L$3032,资金流水!$C$5:$C$3032,$A9,资金流水!$B$5:$B$3032,AG$6))</f>
        <v>0</v>
      </c>
      <c r="AI9" s="11">
        <f>IF(OR($A9="",AI$6=""),"",SUMIFS(资金流水!$K$5:$K$3032,资金流水!$C$5:$C$3032,$A9,资金流水!$B$5:$B$3032,AI$6))</f>
        <v>0</v>
      </c>
      <c r="AJ9" s="11">
        <f>IF(OR($A9="",AI$6=""),"",SUMIFS(资金流水!$L$5:$L$3032,资金流水!$C$5:$C$3032,$A9,资金流水!$B$5:$B$3032,AI$6))</f>
        <v>2800</v>
      </c>
      <c r="AK9" s="11">
        <f>IF(OR($A9="",AK$6=""),"",SUMIFS(资金流水!$K$5:$K$3032,资金流水!$C$5:$C$3032,$A9,资金流水!$B$5:$B$3032,AK$6))</f>
        <v>0</v>
      </c>
      <c r="AL9" s="11">
        <f>IF(OR($A9="",AK$6=""),"",SUMIFS(资金流水!$L$5:$L$3032,资金流水!$C$5:$C$3032,$A9,资金流水!$B$5:$B$3032,AK$6))</f>
        <v>0</v>
      </c>
      <c r="AM9" s="11">
        <f>IF(OR($A9="",AM$6=""),"",SUMIFS(资金流水!$K$5:$K$3032,资金流水!$C$5:$C$3032,$A9,资金流水!$B$5:$B$3032,AM$6))</f>
        <v>0</v>
      </c>
      <c r="AN9" s="11">
        <f>IF(OR($A9="",AM$6=""),"",SUMIFS(资金流水!$L$5:$L$3032,资金流水!$C$5:$C$3032,$A9,资金流水!$B$5:$B$3032,AM$6))</f>
        <v>17330</v>
      </c>
      <c r="AO9" s="11">
        <f>IF(OR($A9="",AO$6=""),"",SUMIFS(资金流水!$K$5:$K$3032,资金流水!$C$5:$C$3032,$A9,资金流水!$B$5:$B$3032,AO$6))</f>
        <v>0</v>
      </c>
      <c r="AP9" s="11">
        <f>IF(OR($A9="",AO$6=""),"",SUMIFS(资金流水!$L$5:$L$3032,资金流水!$C$5:$C$3032,$A9,资金流水!$B$5:$B$3032,AO$6))</f>
        <v>168675</v>
      </c>
      <c r="AQ9" s="11">
        <f>IF(OR($A9="",AQ$6=""),"",SUMIFS(资金流水!$K$5:$K$3032,资金流水!$C$5:$C$3032,$A9,资金流水!$B$5:$B$3032,AQ$6))</f>
        <v>0</v>
      </c>
      <c r="AR9" s="11">
        <f>IF(OR($A9="",AQ$6=""),"",SUMIFS(资金流水!$L$5:$L$3032,资金流水!$C$5:$C$3032,$A9,资金流水!$B$5:$B$3032,AQ$6))</f>
        <v>10000</v>
      </c>
      <c r="AS9" s="11">
        <f>IF(OR($A9="",AS$6=""),"",SUMIFS(资金流水!$K$5:$K$3032,资金流水!$C$5:$C$3032,$A9,资金流水!$B$5:$B$3032,AS$6))</f>
        <v>0</v>
      </c>
      <c r="AT9" s="11">
        <f>IF(OR($A9="",AS$6=""),"",SUMIFS(资金流水!$L$5:$L$3032,资金流水!$C$5:$C$3032,$A9,资金流水!$B$5:$B$3032,AS$6))</f>
        <v>8951</v>
      </c>
      <c r="AU9" s="11">
        <f>IF(OR($A9="",AU$6=""),"",SUMIFS(资金流水!$K$5:$K$3032,资金流水!$C$5:$C$3032,$A9,资金流水!$B$5:$B$3032,AU$6))</f>
        <v>0</v>
      </c>
      <c r="AV9" s="11">
        <f>IF(OR($A9="",AU$6=""),"",SUMIFS(资金流水!$L$5:$L$3032,资金流水!$C$5:$C$3032,$A9,资金流水!$B$5:$B$3032,AU$6))</f>
        <v>0</v>
      </c>
      <c r="AW9" s="11">
        <f>IF(OR($A9="",AW$6=""),"",SUMIFS(资金流水!$K$5:$K$3032,资金流水!$C$5:$C$3032,$A9,资金流水!$B$5:$B$3032,AW$6))</f>
        <v>0</v>
      </c>
      <c r="AX9" s="11">
        <f>IF(OR($A9="",AW$6=""),"",SUMIFS(资金流水!$L$5:$L$3032,资金流水!$C$5:$C$3032,$A9,资金流水!$B$5:$B$3032,AW$6))</f>
        <v>34468</v>
      </c>
      <c r="AY9" s="11">
        <f>IF(OR($A9="",AY$6=""),"",SUMIFS(资金流水!$K$5:$K$3032,资金流水!$C$5:$C$3032,$A9,资金流水!$B$5:$B$3032,AY$6))</f>
        <v>0</v>
      </c>
      <c r="AZ9" s="11">
        <f>IF(OR($A9="",AY$6=""),"",SUMIFS(资金流水!$L$5:$L$3032,资金流水!$C$5:$C$3032,$A9,资金流水!$B$5:$B$3032,AY$6))</f>
        <v>0</v>
      </c>
      <c r="BA9" s="11">
        <f>IF(OR($A9="",BA$6=""),"",SUMIFS(资金流水!$K$5:$K$3032,资金流水!$C$5:$C$3032,$A9,资金流水!$B$5:$B$3032,BA$6))</f>
        <v>0</v>
      </c>
      <c r="BB9" s="11">
        <f>IF(OR($A9="",BA$6=""),"",SUMIFS(资金流水!$L$5:$L$3032,资金流水!$C$5:$C$3032,$A9,资金流水!$B$5:$B$3032,BA$6))</f>
        <v>0</v>
      </c>
      <c r="BC9" s="11">
        <f>IF(OR($A9="",BC$6=""),"",SUMIFS(资金流水!$K$5:$K$3032,资金流水!$C$5:$C$3032,$A9,资金流水!$B$5:$B$3032,BC$6))</f>
        <v>0</v>
      </c>
      <c r="BD9" s="11">
        <f>IF(OR($A9="",BC$6=""),"",SUMIFS(资金流水!$L$5:$L$3032,资金流水!$C$5:$C$3032,$A9,资金流水!$B$5:$B$3032,BC$6))</f>
        <v>6605</v>
      </c>
      <c r="BE9" s="11">
        <f>IF(OR($A9="",BE$6=""),"",SUMIFS(资金流水!$K$5:$K$3032,资金流水!$C$5:$C$3032,$A9,资金流水!$B$5:$B$3032,BE$6))</f>
        <v>0</v>
      </c>
      <c r="BF9" s="11">
        <f>IF(OR($A9="",BE$6=""),"",SUMIFS(资金流水!$L$5:$L$3032,资金流水!$C$5:$C$3032,$A9,资金流水!$B$5:$B$3032,BE$6))</f>
        <v>15250</v>
      </c>
      <c r="BG9" s="11">
        <f>IF(OR($A9="",BG$6=""),"",SUMIFS(资金流水!$K$5:$K$3032,资金流水!$C$5:$C$3032,$A9,资金流水!$B$5:$B$3032,BG$6))</f>
        <v>0</v>
      </c>
      <c r="BH9" s="11">
        <f>IF(OR($A9="",BG$6=""),"",SUMIFS(资金流水!$L$5:$L$3032,资金流水!$C$5:$C$3032,$A9,资金流水!$B$5:$B$3032,BG$6))</f>
        <v>17665</v>
      </c>
      <c r="BI9" s="11">
        <f>IF(OR($A9="",BI$6=""),"",SUMIFS(资金流水!$K$5:$K$3032,资金流水!$C$5:$C$3032,$A9,资金流水!$B$5:$B$3032,BI$6))</f>
        <v>0</v>
      </c>
      <c r="BJ9" s="11">
        <f>IF(OR($A9="",BI$6=""),"",SUMIFS(资金流水!$L$5:$L$3032,资金流水!$C$5:$C$3032,$A9,资金流水!$B$5:$B$3032,BI$6))</f>
        <v>1405</v>
      </c>
      <c r="BK9" s="11">
        <f>IF(OR($A9="",BK$6=""),"",SUMIFS(资金流水!$K$5:$K$3032,资金流水!$C$5:$C$3032,$A9,资金流水!$B$5:$B$3032,BK$6))</f>
        <v>0</v>
      </c>
      <c r="BL9" s="11">
        <f>IF(OR($A9="",BK$6=""),"",SUMIFS(资金流水!$L$5:$L$3032,资金流水!$C$5:$C$3032,$A9,资金流水!$B$5:$B$3032,BK$6))</f>
        <v>225572.57</v>
      </c>
      <c r="BM9" s="26">
        <f t="shared" si="0"/>
        <v>6245810</v>
      </c>
      <c r="BN9" s="26">
        <f t="shared" si="1"/>
        <v>722513.02</v>
      </c>
      <c r="BO9" s="26" t="e">
        <f t="shared" si="2"/>
        <v>#VALUE!</v>
      </c>
    </row>
    <row r="10" spans="1:67">
      <c r="A10" s="24" t="str">
        <f>IF(基础资料!$E6="","",基础资料!$E6)</f>
        <v>晨拓农商行基本户</v>
      </c>
      <c r="B10" s="25" t="e">
        <f>IF(OR($A10="",NOT(ISNUMBER($I$2))),"",SUMIFS(资金流水!$M$5:$M$3015,资金流水!$C$5:$C$3032,$A10,资金流水!$B$5:$B$3032,"&lt;="&amp;$B$2)+SUMIFS(资金流水!$K$5:$K$3032,资金流水!$C$5:$C$3032,$A10,资金流水!$B$5:$B$3032,"&lt;"&amp;$B$2)-SUMIFS(资金流水!$L$5:$L$3032,资金流水!$C$5:$C$3032,$A10,资金流水!$B$5:$B$3032,"&lt;"&amp;$B$2))</f>
        <v>#VALUE!</v>
      </c>
      <c r="C10" s="11">
        <f>IF(OR($A10="",C$6=""),"",SUMIFS(资金流水!$K$5:$K$3032,资金流水!$C$5:$C$3032,$A10,资金流水!$B$5:$B$3032,C$6))</f>
        <v>0</v>
      </c>
      <c r="D10" s="11">
        <f>IF(OR($A10="",C$6=""),"",SUMIFS(资金流水!$L$5:$L$3032,资金流水!$C$5:$C$3032,$A10,资金流水!$B$5:$B$3032,C$6))</f>
        <v>0</v>
      </c>
      <c r="E10" s="11">
        <f>IF(OR($A10="",E$6=""),"",SUMIFS(资金流水!$K$5:$K$3032,资金流水!$C$5:$C$3032,$A10,资金流水!$B$5:$B$3032,E$6))</f>
        <v>0</v>
      </c>
      <c r="F10" s="11">
        <f>IF(OR($A10="",E$6=""),"",SUMIFS(资金流水!$L$5:$L$3032,资金流水!$C$5:$C$3032,$A10,资金流水!$B$5:$B$3032,E$6))</f>
        <v>0</v>
      </c>
      <c r="G10" s="11">
        <f>IF(OR($A10="",G$6=""),"",SUMIFS(资金流水!$K$5:$K$3032,资金流水!$C$5:$C$3032,$A10,资金流水!$B$5:$B$3032,G$6))</f>
        <v>0</v>
      </c>
      <c r="H10" s="11">
        <f>IF(OR($A10="",G$6=""),"",SUMIFS(资金流水!$L$5:$L$3032,资金流水!$C$5:$C$3032,$A10,资金流水!$B$5:$B$3032,G$6))</f>
        <v>0</v>
      </c>
      <c r="I10" s="11">
        <f>IF(OR($A10="",I$6=""),"",SUMIFS(资金流水!$K$5:$K$3032,资金流水!$C$5:$C$3032,$A10,资金流水!$B$5:$B$3032,I$6))</f>
        <v>0</v>
      </c>
      <c r="J10" s="11">
        <f>IF(OR($A10="",I$6=""),"",SUMIFS(资金流水!$L$5:$L$3032,资金流水!$C$5:$C$3032,$A10,资金流水!$B$5:$B$3032,I$6))</f>
        <v>0</v>
      </c>
      <c r="K10" s="11">
        <f>IF(OR($A10="",K$6=""),"",SUMIFS(资金流水!$K$5:$K$3032,资金流水!$C$5:$C$3032,$A10,资金流水!$B$5:$B$3032,K$6))</f>
        <v>0</v>
      </c>
      <c r="L10" s="11">
        <f>IF(OR($A10="",K$6=""),"",SUMIFS(资金流水!$L$5:$L$3032,资金流水!$C$5:$C$3032,$A10,资金流水!$B$5:$B$3032,K$6))</f>
        <v>1810</v>
      </c>
      <c r="M10" s="11">
        <f>IF(OR($A10="",M$6=""),"",SUMIFS(资金流水!$K$5:$K$3032,资金流水!$C$5:$C$3032,$A10,资金流水!$B$5:$B$3032,M$6))</f>
        <v>0</v>
      </c>
      <c r="N10" s="11">
        <f>IF(OR($A10="",M$6=""),"",SUMIFS(资金流水!$L$5:$L$3032,资金流水!$C$5:$C$3032,$A10,资金流水!$B$5:$B$3032,M$6))</f>
        <v>0</v>
      </c>
      <c r="O10" s="11">
        <f>IF(OR($A10="",O$6=""),"",SUMIFS(资金流水!$K$5:$K$3032,资金流水!$C$5:$C$3032,$A10,资金流水!$B$5:$B$3032,O$6))</f>
        <v>0</v>
      </c>
      <c r="P10" s="11">
        <f>IF(OR($A10="",O$6=""),"",SUMIFS(资金流水!$L$5:$L$3032,资金流水!$C$5:$C$3032,$A10,资金流水!$B$5:$B$3032,O$6))</f>
        <v>0</v>
      </c>
      <c r="Q10" s="11">
        <f>IF(OR($A10="",Q$6=""),"",SUMIFS(资金流水!$K$5:$K$3032,资金流水!$C$5:$C$3032,$A10,资金流水!$B$5:$B$3032,Q$6))</f>
        <v>0</v>
      </c>
      <c r="R10" s="11">
        <f>IF(OR($A10="",Q$6=""),"",SUMIFS(资金流水!$L$5:$L$3032,资金流水!$C$5:$C$3032,$A10,资金流水!$B$5:$B$3032,Q$6))</f>
        <v>397</v>
      </c>
      <c r="S10" s="11">
        <f>IF(OR($A10="",S$6=""),"",SUMIFS(资金流水!$K$5:$K$3032,资金流水!$C$5:$C$3032,$A10,资金流水!$B$5:$B$3032,S$6))</f>
        <v>0</v>
      </c>
      <c r="T10" s="11">
        <f>IF(OR($A10="",S$6=""),"",SUMIFS(资金流水!$L$5:$L$3032,资金流水!$C$5:$C$3032,$A10,资金流水!$B$5:$B$3032,S$6))</f>
        <v>0</v>
      </c>
      <c r="U10" s="11">
        <f>IF(OR($A10="",U$6=""),"",SUMIFS(资金流水!$K$5:$K$3032,资金流水!$C$5:$C$3032,$A10,资金流水!$B$5:$B$3032,U$6))</f>
        <v>0</v>
      </c>
      <c r="V10" s="11">
        <f>IF(OR($A10="",U$6=""),"",SUMIFS(资金流水!$L$5:$L$3032,资金流水!$C$5:$C$3032,$A10,资金流水!$B$5:$B$3032,U$6))</f>
        <v>0</v>
      </c>
      <c r="W10" s="11">
        <f>IF(OR($A10="",W$6=""),"",SUMIFS(资金流水!$K$5:$K$3032,资金流水!$C$5:$C$3032,$A10,资金流水!$B$5:$B$3032,W$6))</f>
        <v>0</v>
      </c>
      <c r="X10" s="11">
        <f>IF(OR($A10="",W$6=""),"",SUMIFS(资金流水!$L$5:$L$3032,资金流水!$C$5:$C$3032,$A10,资金流水!$B$5:$B$3032,W$6))</f>
        <v>0</v>
      </c>
      <c r="Y10" s="11">
        <f>IF(OR($A10="",Y$6=""),"",SUMIFS(资金流水!$K$5:$K$3032,资金流水!$C$5:$C$3032,$A10,资金流水!$B$5:$B$3032,Y$6))</f>
        <v>0</v>
      </c>
      <c r="Z10" s="11">
        <f>IF(OR($A10="",Y$6=""),"",SUMIFS(资金流水!$L$5:$L$3032,资金流水!$C$5:$C$3032,$A10,资金流水!$B$5:$B$3032,Y$6))</f>
        <v>0</v>
      </c>
      <c r="AA10" s="11">
        <f>IF(OR($A10="",AA$6=""),"",SUMIFS(资金流水!$K$5:$K$3032,资金流水!$C$5:$C$3032,$A10,资金流水!$B$5:$B$3032,AA$6))</f>
        <v>0</v>
      </c>
      <c r="AB10" s="11">
        <f>IF(OR($A10="",AA$6=""),"",SUMIFS(资金流水!$L$5:$L$3032,资金流水!$C$5:$C$3032,$A10,资金流水!$B$5:$B$3032,AA$6))</f>
        <v>0</v>
      </c>
      <c r="AC10" s="11">
        <f>IF(OR($A10="",AC$6=""),"",SUMIFS(资金流水!$K$5:$K$3032,资金流水!$C$5:$C$3032,$A10,资金流水!$B$5:$B$3032,AC$6))</f>
        <v>0</v>
      </c>
      <c r="AD10" s="11">
        <f>IF(OR($A10="",AC$6=""),"",SUMIFS(资金流水!$L$5:$L$3032,资金流水!$C$5:$C$3032,$A10,资金流水!$B$5:$B$3032,AC$6))</f>
        <v>1600</v>
      </c>
      <c r="AE10" s="11">
        <f>IF(OR($A10="",AE$6=""),"",SUMIFS(资金流水!$K$5:$K$3032,资金流水!$C$5:$C$3032,$A10,资金流水!$B$5:$B$3032,AE$6))</f>
        <v>0</v>
      </c>
      <c r="AF10" s="11">
        <f>IF(OR($A10="",AE$6=""),"",SUMIFS(资金流水!$L$5:$L$3032,资金流水!$C$5:$C$3032,$A10,资金流水!$B$5:$B$3032,AE$6))</f>
        <v>0</v>
      </c>
      <c r="AG10" s="11">
        <f>IF(OR($A10="",AG$6=""),"",SUMIFS(资金流水!$K$5:$K$3032,资金流水!$C$5:$C$3032,$A10,资金流水!$B$5:$B$3032,AG$6))</f>
        <v>0</v>
      </c>
      <c r="AH10" s="11">
        <f>IF(OR($A10="",AG$6=""),"",SUMIFS(资金流水!$L$5:$L$3032,资金流水!$C$5:$C$3032,$A10,资金流水!$B$5:$B$3032,AG$6))</f>
        <v>0</v>
      </c>
      <c r="AI10" s="11">
        <f>IF(OR($A10="",AI$6=""),"",SUMIFS(资金流水!$K$5:$K$3032,资金流水!$C$5:$C$3032,$A10,资金流水!$B$5:$B$3032,AI$6))</f>
        <v>0</v>
      </c>
      <c r="AJ10" s="11">
        <f>IF(OR($A10="",AI$6=""),"",SUMIFS(资金流水!$L$5:$L$3032,资金流水!$C$5:$C$3032,$A10,资金流水!$B$5:$B$3032,AI$6))</f>
        <v>0</v>
      </c>
      <c r="AK10" s="11">
        <f>IF(OR($A10="",AK$6=""),"",SUMIFS(资金流水!$K$5:$K$3032,资金流水!$C$5:$C$3032,$A10,资金流水!$B$5:$B$3032,AK$6))</f>
        <v>0</v>
      </c>
      <c r="AL10" s="11">
        <f>IF(OR($A10="",AK$6=""),"",SUMIFS(资金流水!$L$5:$L$3032,资金流水!$C$5:$C$3032,$A10,资金流水!$B$5:$B$3032,AK$6))</f>
        <v>0</v>
      </c>
      <c r="AM10" s="11">
        <f>IF(OR($A10="",AM$6=""),"",SUMIFS(资金流水!$K$5:$K$3032,资金流水!$C$5:$C$3032,$A10,资金流水!$B$5:$B$3032,AM$6))</f>
        <v>0</v>
      </c>
      <c r="AN10" s="11">
        <f>IF(OR($A10="",AM$6=""),"",SUMIFS(资金流水!$L$5:$L$3032,资金流水!$C$5:$C$3032,$A10,资金流水!$B$5:$B$3032,AM$6))</f>
        <v>500</v>
      </c>
      <c r="AO10" s="11">
        <f>IF(OR($A10="",AO$6=""),"",SUMIFS(资金流水!$K$5:$K$3032,资金流水!$C$5:$C$3032,$A10,资金流水!$B$5:$B$3032,AO$6))</f>
        <v>0</v>
      </c>
      <c r="AP10" s="11">
        <f>IF(OR($A10="",AO$6=""),"",SUMIFS(资金流水!$L$5:$L$3032,资金流水!$C$5:$C$3032,$A10,资金流水!$B$5:$B$3032,AO$6))</f>
        <v>124333.89</v>
      </c>
      <c r="AQ10" s="11">
        <f>IF(OR($A10="",AQ$6=""),"",SUMIFS(资金流水!$K$5:$K$3032,资金流水!$C$5:$C$3032,$A10,资金流水!$B$5:$B$3032,AQ$6))</f>
        <v>0</v>
      </c>
      <c r="AR10" s="11">
        <f>IF(OR($A10="",AQ$6=""),"",SUMIFS(资金流水!$L$5:$L$3032,资金流水!$C$5:$C$3032,$A10,资金流水!$B$5:$B$3032,AQ$6))</f>
        <v>0</v>
      </c>
      <c r="AS10" s="11">
        <f>IF(OR($A10="",AS$6=""),"",SUMIFS(资金流水!$K$5:$K$3032,资金流水!$C$5:$C$3032,$A10,资金流水!$B$5:$B$3032,AS$6))</f>
        <v>0</v>
      </c>
      <c r="AT10" s="11">
        <f>IF(OR($A10="",AS$6=""),"",SUMIFS(资金流水!$L$5:$L$3032,资金流水!$C$5:$C$3032,$A10,资金流水!$B$5:$B$3032,AS$6))</f>
        <v>14446.21</v>
      </c>
      <c r="AU10" s="11">
        <f>IF(OR($A10="",AU$6=""),"",SUMIFS(资金流水!$K$5:$K$3032,资金流水!$C$5:$C$3032,$A10,资金流水!$B$5:$B$3032,AU$6))</f>
        <v>0</v>
      </c>
      <c r="AV10" s="11">
        <f>IF(OR($A10="",AU$6=""),"",SUMIFS(资金流水!$L$5:$L$3032,资金流水!$C$5:$C$3032,$A10,资金流水!$B$5:$B$3032,AU$6))</f>
        <v>0</v>
      </c>
      <c r="AW10" s="11">
        <f>IF(OR($A10="",AW$6=""),"",SUMIFS(资金流水!$K$5:$K$3032,资金流水!$C$5:$C$3032,$A10,资金流水!$B$5:$B$3032,AW$6))</f>
        <v>0</v>
      </c>
      <c r="AX10" s="11">
        <f>IF(OR($A10="",AW$6=""),"",SUMIFS(资金流水!$L$5:$L$3032,资金流水!$C$5:$C$3032,$A10,资金流水!$B$5:$B$3032,AW$6))</f>
        <v>556.25</v>
      </c>
      <c r="AY10" s="11">
        <f>IF(OR($A10="",AY$6=""),"",SUMIFS(资金流水!$K$5:$K$3032,资金流水!$C$5:$C$3032,$A10,资金流水!$B$5:$B$3032,AY$6))</f>
        <v>0</v>
      </c>
      <c r="AZ10" s="11">
        <f>IF(OR($A10="",AY$6=""),"",SUMIFS(资金流水!$L$5:$L$3032,资金流水!$C$5:$C$3032,$A10,资金流水!$B$5:$B$3032,AY$6))</f>
        <v>0</v>
      </c>
      <c r="BA10" s="11">
        <f>IF(OR($A10="",BA$6=""),"",SUMIFS(资金流水!$K$5:$K$3032,资金流水!$C$5:$C$3032,$A10,资金流水!$B$5:$B$3032,BA$6))</f>
        <v>0</v>
      </c>
      <c r="BB10" s="11">
        <f>IF(OR($A10="",BA$6=""),"",SUMIFS(资金流水!$L$5:$L$3032,资金流水!$C$5:$C$3032,$A10,资金流水!$B$5:$B$3032,BA$6))</f>
        <v>0</v>
      </c>
      <c r="BC10" s="11">
        <f>IF(OR($A10="",BC$6=""),"",SUMIFS(资金流水!$K$5:$K$3032,资金流水!$C$5:$C$3032,$A10,资金流水!$B$5:$B$3032,BC$6))</f>
        <v>0</v>
      </c>
      <c r="BD10" s="11">
        <f>IF(OR($A10="",BC$6=""),"",SUMIFS(资金流水!$L$5:$L$3032,资金流水!$C$5:$C$3032,$A10,资金流水!$B$5:$B$3032,BC$6))</f>
        <v>4955.75</v>
      </c>
      <c r="BE10" s="11">
        <f>IF(OR($A10="",BE$6=""),"",SUMIFS(资金流水!$K$5:$K$3032,资金流水!$C$5:$C$3032,$A10,资金流水!$B$5:$B$3032,BE$6))</f>
        <v>0</v>
      </c>
      <c r="BF10" s="11">
        <f>IF(OR($A10="",BE$6=""),"",SUMIFS(资金流水!$L$5:$L$3032,资金流水!$C$5:$C$3032,$A10,资金流水!$B$5:$B$3032,BE$6))</f>
        <v>0</v>
      </c>
      <c r="BG10" s="11">
        <f>IF(OR($A10="",BG$6=""),"",SUMIFS(资金流水!$K$5:$K$3032,资金流水!$C$5:$C$3032,$A10,资金流水!$B$5:$B$3032,BG$6))</f>
        <v>0</v>
      </c>
      <c r="BH10" s="11">
        <f>IF(OR($A10="",BG$6=""),"",SUMIFS(资金流水!$L$5:$L$3032,资金流水!$C$5:$C$3032,$A10,资金流水!$B$5:$B$3032,BG$6))</f>
        <v>0</v>
      </c>
      <c r="BI10" s="11">
        <f>IF(OR($A10="",BI$6=""),"",SUMIFS(资金流水!$K$5:$K$3032,资金流水!$C$5:$C$3032,$A10,资金流水!$B$5:$B$3032,BI$6))</f>
        <v>0</v>
      </c>
      <c r="BJ10" s="11">
        <f>IF(OR($A10="",BI$6=""),"",SUMIFS(资金流水!$L$5:$L$3032,资金流水!$C$5:$C$3032,$A10,资金流水!$B$5:$B$3032,BI$6))</f>
        <v>0</v>
      </c>
      <c r="BK10" s="11">
        <f>IF(OR($A10="",BK$6=""),"",SUMIFS(资金流水!$K$5:$K$3032,资金流水!$C$5:$C$3032,$A10,资金流水!$B$5:$B$3032,BK$6))</f>
        <v>0</v>
      </c>
      <c r="BL10" s="11">
        <f>IF(OR($A10="",BK$6=""),"",SUMIFS(资金流水!$L$5:$L$3032,资金流水!$C$5:$C$3032,$A10,资金流水!$B$5:$B$3032,BK$6))</f>
        <v>0</v>
      </c>
      <c r="BM10" s="26">
        <f t="shared" si="0"/>
        <v>0</v>
      </c>
      <c r="BN10" s="26">
        <f t="shared" si="1"/>
        <v>148599.1</v>
      </c>
      <c r="BO10" s="26" t="e">
        <f t="shared" si="2"/>
        <v>#VALUE!</v>
      </c>
    </row>
    <row r="11" spans="1:67">
      <c r="A11" s="24" t="str">
        <f>IF(基础资料!$E7="","",基础资料!$E7)</f>
        <v>元界极光中行基本户</v>
      </c>
      <c r="B11" s="25" t="e">
        <f>IF(OR($A11="",NOT(ISNUMBER($I$2))),"",SUMIFS(资金流水!$M$5:$M$3015,资金流水!$C$5:$C$3032,$A11,资金流水!$B$5:$B$3032,"&lt;="&amp;$B$2)+SUMIFS(资金流水!$K$5:$K$3032,资金流水!$C$5:$C$3032,$A11,资金流水!$B$5:$B$3032,"&lt;"&amp;$B$2)-SUMIFS(资金流水!$L$5:$L$3032,资金流水!$C$5:$C$3032,$A11,资金流水!$B$5:$B$3032,"&lt;"&amp;$B$2))</f>
        <v>#VALUE!</v>
      </c>
      <c r="C11" s="11">
        <f>IF(OR($A11="",C$6=""),"",SUMIFS(资金流水!$K$5:$K$3032,资金流水!$C$5:$C$3032,$A11,资金流水!$B$5:$B$3032,C$6))</f>
        <v>0</v>
      </c>
      <c r="D11" s="11">
        <f>IF(OR($A11="",C$6=""),"",SUMIFS(资金流水!$L$5:$L$3032,资金流水!$C$5:$C$3032,$A11,资金流水!$B$5:$B$3032,C$6))</f>
        <v>0</v>
      </c>
      <c r="E11" s="11">
        <f>IF(OR($A11="",E$6=""),"",SUMIFS(资金流水!$K$5:$K$3032,资金流水!$C$5:$C$3032,$A11,资金流水!$B$5:$B$3032,E$6))</f>
        <v>0</v>
      </c>
      <c r="F11" s="11">
        <f>IF(OR($A11="",E$6=""),"",SUMIFS(资金流水!$L$5:$L$3032,资金流水!$C$5:$C$3032,$A11,资金流水!$B$5:$B$3032,E$6))</f>
        <v>0</v>
      </c>
      <c r="G11" s="11">
        <f>IF(OR($A11="",G$6=""),"",SUMIFS(资金流水!$K$5:$K$3032,资金流水!$C$5:$C$3032,$A11,资金流水!$B$5:$B$3032,G$6))</f>
        <v>0</v>
      </c>
      <c r="H11" s="11">
        <f>IF(OR($A11="",G$6=""),"",SUMIFS(资金流水!$L$5:$L$3032,资金流水!$C$5:$C$3032,$A11,资金流水!$B$5:$B$3032,G$6))</f>
        <v>0</v>
      </c>
      <c r="I11" s="11">
        <f>IF(OR($A11="",I$6=""),"",SUMIFS(资金流水!$K$5:$K$3032,资金流水!$C$5:$C$3032,$A11,资金流水!$B$5:$B$3032,I$6))</f>
        <v>0</v>
      </c>
      <c r="J11" s="11">
        <f>IF(OR($A11="",I$6=""),"",SUMIFS(资金流水!$L$5:$L$3032,资金流水!$C$5:$C$3032,$A11,资金流水!$B$5:$B$3032,I$6))</f>
        <v>0</v>
      </c>
      <c r="K11" s="11">
        <f>IF(OR($A11="",K$6=""),"",SUMIFS(资金流水!$K$5:$K$3032,资金流水!$C$5:$C$3032,$A11,资金流水!$B$5:$B$3032,K$6))</f>
        <v>0</v>
      </c>
      <c r="L11" s="11">
        <f>IF(OR($A11="",K$6=""),"",SUMIFS(资金流水!$L$5:$L$3032,资金流水!$C$5:$C$3032,$A11,资金流水!$B$5:$B$3032,K$6))</f>
        <v>0</v>
      </c>
      <c r="M11" s="11">
        <f>IF(OR($A11="",M$6=""),"",SUMIFS(资金流水!$K$5:$K$3032,资金流水!$C$5:$C$3032,$A11,资金流水!$B$5:$B$3032,M$6))</f>
        <v>0</v>
      </c>
      <c r="N11" s="11">
        <f>IF(OR($A11="",M$6=""),"",SUMIFS(资金流水!$L$5:$L$3032,资金流水!$C$5:$C$3032,$A11,资金流水!$B$5:$B$3032,M$6))</f>
        <v>0</v>
      </c>
      <c r="O11" s="11">
        <f>IF(OR($A11="",O$6=""),"",SUMIFS(资金流水!$K$5:$K$3032,资金流水!$C$5:$C$3032,$A11,资金流水!$B$5:$B$3032,O$6))</f>
        <v>0</v>
      </c>
      <c r="P11" s="11">
        <f>IF(OR($A11="",O$6=""),"",SUMIFS(资金流水!$L$5:$L$3032,资金流水!$C$5:$C$3032,$A11,资金流水!$B$5:$B$3032,O$6))</f>
        <v>0</v>
      </c>
      <c r="Q11" s="11">
        <f>IF(OR($A11="",Q$6=""),"",SUMIFS(资金流水!$K$5:$K$3032,资金流水!$C$5:$C$3032,$A11,资金流水!$B$5:$B$3032,Q$6))</f>
        <v>0</v>
      </c>
      <c r="R11" s="11">
        <f>IF(OR($A11="",Q$6=""),"",SUMIFS(资金流水!$L$5:$L$3032,资金流水!$C$5:$C$3032,$A11,资金流水!$B$5:$B$3032,Q$6))</f>
        <v>0</v>
      </c>
      <c r="S11" s="11">
        <f>IF(OR($A11="",S$6=""),"",SUMIFS(资金流水!$K$5:$K$3032,资金流水!$C$5:$C$3032,$A11,资金流水!$B$5:$B$3032,S$6))</f>
        <v>0</v>
      </c>
      <c r="T11" s="11">
        <f>IF(OR($A11="",S$6=""),"",SUMIFS(资金流水!$L$5:$L$3032,资金流水!$C$5:$C$3032,$A11,资金流水!$B$5:$B$3032,S$6))</f>
        <v>0</v>
      </c>
      <c r="U11" s="11">
        <f>IF(OR($A11="",U$6=""),"",SUMIFS(资金流水!$K$5:$K$3032,资金流水!$C$5:$C$3032,$A11,资金流水!$B$5:$B$3032,U$6))</f>
        <v>0</v>
      </c>
      <c r="V11" s="11">
        <f>IF(OR($A11="",U$6=""),"",SUMIFS(资金流水!$L$5:$L$3032,资金流水!$C$5:$C$3032,$A11,资金流水!$B$5:$B$3032,U$6))</f>
        <v>0</v>
      </c>
      <c r="W11" s="11">
        <f>IF(OR($A11="",W$6=""),"",SUMIFS(资金流水!$K$5:$K$3032,资金流水!$C$5:$C$3032,$A11,资金流水!$B$5:$B$3032,W$6))</f>
        <v>0</v>
      </c>
      <c r="X11" s="11">
        <f>IF(OR($A11="",W$6=""),"",SUMIFS(资金流水!$L$5:$L$3032,资金流水!$C$5:$C$3032,$A11,资金流水!$B$5:$B$3032,W$6))</f>
        <v>0</v>
      </c>
      <c r="Y11" s="11">
        <f>IF(OR($A11="",Y$6=""),"",SUMIFS(资金流水!$K$5:$K$3032,资金流水!$C$5:$C$3032,$A11,资金流水!$B$5:$B$3032,Y$6))</f>
        <v>0</v>
      </c>
      <c r="Z11" s="11">
        <f>IF(OR($A11="",Y$6=""),"",SUMIFS(资金流水!$L$5:$L$3032,资金流水!$C$5:$C$3032,$A11,资金流水!$B$5:$B$3032,Y$6))</f>
        <v>0</v>
      </c>
      <c r="AA11" s="11">
        <f>IF(OR($A11="",AA$6=""),"",SUMIFS(资金流水!$K$5:$K$3032,资金流水!$C$5:$C$3032,$A11,资金流水!$B$5:$B$3032,AA$6))</f>
        <v>0</v>
      </c>
      <c r="AB11" s="11">
        <f>IF(OR($A11="",AA$6=""),"",SUMIFS(资金流水!$L$5:$L$3032,资金流水!$C$5:$C$3032,$A11,资金流水!$B$5:$B$3032,AA$6))</f>
        <v>0</v>
      </c>
      <c r="AC11" s="11">
        <f>IF(OR($A11="",AC$6=""),"",SUMIFS(资金流水!$K$5:$K$3032,资金流水!$C$5:$C$3032,$A11,资金流水!$B$5:$B$3032,AC$6))</f>
        <v>0</v>
      </c>
      <c r="AD11" s="11">
        <f>IF(OR($A11="",AC$6=""),"",SUMIFS(资金流水!$L$5:$L$3032,资金流水!$C$5:$C$3032,$A11,资金流水!$B$5:$B$3032,AC$6))</f>
        <v>3942.4</v>
      </c>
      <c r="AE11" s="11">
        <f>IF(OR($A11="",AE$6=""),"",SUMIFS(资金流水!$K$5:$K$3032,资金流水!$C$5:$C$3032,$A11,资金流水!$B$5:$B$3032,AE$6))</f>
        <v>0</v>
      </c>
      <c r="AF11" s="11">
        <f>IF(OR($A11="",AE$6=""),"",SUMIFS(资金流水!$L$5:$L$3032,资金流水!$C$5:$C$3032,$A11,资金流水!$B$5:$B$3032,AE$6))</f>
        <v>0</v>
      </c>
      <c r="AG11" s="11">
        <f>IF(OR($A11="",AG$6=""),"",SUMIFS(资金流水!$K$5:$K$3032,资金流水!$C$5:$C$3032,$A11,资金流水!$B$5:$B$3032,AG$6))</f>
        <v>0</v>
      </c>
      <c r="AH11" s="11">
        <f>IF(OR($A11="",AG$6=""),"",SUMIFS(资金流水!$L$5:$L$3032,资金流水!$C$5:$C$3032,$A11,资金流水!$B$5:$B$3032,AG$6))</f>
        <v>3400</v>
      </c>
      <c r="AI11" s="11">
        <f>IF(OR($A11="",AI$6=""),"",SUMIFS(资金流水!$K$5:$K$3032,资金流水!$C$5:$C$3032,$A11,资金流水!$B$5:$B$3032,AI$6))</f>
        <v>0</v>
      </c>
      <c r="AJ11" s="11">
        <f>IF(OR($A11="",AI$6=""),"",SUMIFS(资金流水!$L$5:$L$3032,资金流水!$C$5:$C$3032,$A11,资金流水!$B$5:$B$3032,AI$6))</f>
        <v>0</v>
      </c>
      <c r="AK11" s="11">
        <f>IF(OR($A11="",AK$6=""),"",SUMIFS(资金流水!$K$5:$K$3032,资金流水!$C$5:$C$3032,$A11,资金流水!$B$5:$B$3032,AK$6))</f>
        <v>0</v>
      </c>
      <c r="AL11" s="11">
        <f>IF(OR($A11="",AK$6=""),"",SUMIFS(资金流水!$L$5:$L$3032,资金流水!$C$5:$C$3032,$A11,资金流水!$B$5:$B$3032,AK$6))</f>
        <v>0</v>
      </c>
      <c r="AM11" s="11">
        <f>IF(OR($A11="",AM$6=""),"",SUMIFS(资金流水!$K$5:$K$3032,资金流水!$C$5:$C$3032,$A11,资金流水!$B$5:$B$3032,AM$6))</f>
        <v>0</v>
      </c>
      <c r="AN11" s="11">
        <f>IF(OR($A11="",AM$6=""),"",SUMIFS(资金流水!$L$5:$L$3032,资金流水!$C$5:$C$3032,$A11,资金流水!$B$5:$B$3032,AM$6))</f>
        <v>0</v>
      </c>
      <c r="AO11" s="11">
        <f>IF(OR($A11="",AO$6=""),"",SUMIFS(资金流水!$K$5:$K$3032,资金流水!$C$5:$C$3032,$A11,资金流水!$B$5:$B$3032,AO$6))</f>
        <v>0</v>
      </c>
      <c r="AP11" s="11">
        <f>IF(OR($A11="",AO$6=""),"",SUMIFS(资金流水!$L$5:$L$3032,资金流水!$C$5:$C$3032,$A11,资金流水!$B$5:$B$3032,AO$6))</f>
        <v>8222.15</v>
      </c>
      <c r="AQ11" s="11">
        <f>IF(OR($A11="",AQ$6=""),"",SUMIFS(资金流水!$K$5:$K$3032,资金流水!$C$5:$C$3032,$A11,资金流水!$B$5:$B$3032,AQ$6))</f>
        <v>0</v>
      </c>
      <c r="AR11" s="11">
        <f>IF(OR($A11="",AQ$6=""),"",SUMIFS(资金流水!$L$5:$L$3032,资金流水!$C$5:$C$3032,$A11,资金流水!$B$5:$B$3032,AQ$6))</f>
        <v>1946.51</v>
      </c>
      <c r="AS11" s="11">
        <f>IF(OR($A11="",AS$6=""),"",SUMIFS(资金流水!$K$5:$K$3032,资金流水!$C$5:$C$3032,$A11,资金流水!$B$5:$B$3032,AS$6))</f>
        <v>0</v>
      </c>
      <c r="AT11" s="11">
        <f>IF(OR($A11="",AS$6=""),"",SUMIFS(资金流水!$L$5:$L$3032,资金流水!$C$5:$C$3032,$A11,资金流水!$B$5:$B$3032,AS$6))</f>
        <v>15</v>
      </c>
      <c r="AU11" s="11">
        <f>IF(OR($A11="",AU$6=""),"",SUMIFS(资金流水!$K$5:$K$3032,资金流水!$C$5:$C$3032,$A11,资金流水!$B$5:$B$3032,AU$6))</f>
        <v>0</v>
      </c>
      <c r="AV11" s="11">
        <f>IF(OR($A11="",AU$6=""),"",SUMIFS(资金流水!$L$5:$L$3032,资金流水!$C$5:$C$3032,$A11,资金流水!$B$5:$B$3032,AU$6))</f>
        <v>0</v>
      </c>
      <c r="AW11" s="11">
        <f>IF(OR($A11="",AW$6=""),"",SUMIFS(资金流水!$K$5:$K$3032,资金流水!$C$5:$C$3032,$A11,资金流水!$B$5:$B$3032,AW$6))</f>
        <v>0</v>
      </c>
      <c r="AX11" s="11">
        <f>IF(OR($A11="",AW$6=""),"",SUMIFS(资金流水!$L$5:$L$3032,资金流水!$C$5:$C$3032,$A11,资金流水!$B$5:$B$3032,AW$6))</f>
        <v>0</v>
      </c>
      <c r="AY11" s="11">
        <f>IF(OR($A11="",AY$6=""),"",SUMIFS(资金流水!$K$5:$K$3032,资金流水!$C$5:$C$3032,$A11,资金流水!$B$5:$B$3032,AY$6))</f>
        <v>0</v>
      </c>
      <c r="AZ11" s="11">
        <f>IF(OR($A11="",AY$6=""),"",SUMIFS(资金流水!$L$5:$L$3032,资金流水!$C$5:$C$3032,$A11,资金流水!$B$5:$B$3032,AY$6))</f>
        <v>0</v>
      </c>
      <c r="BA11" s="11">
        <f>IF(OR($A11="",BA$6=""),"",SUMIFS(资金流水!$K$5:$K$3032,资金流水!$C$5:$C$3032,$A11,资金流水!$B$5:$B$3032,BA$6))</f>
        <v>0</v>
      </c>
      <c r="BB11" s="11">
        <f>IF(OR($A11="",BA$6=""),"",SUMIFS(资金流水!$L$5:$L$3032,资金流水!$C$5:$C$3032,$A11,资金流水!$B$5:$B$3032,BA$6))</f>
        <v>0</v>
      </c>
      <c r="BC11" s="11">
        <f>IF(OR($A11="",BC$6=""),"",SUMIFS(资金流水!$K$5:$K$3032,资金流水!$C$5:$C$3032,$A11,资金流水!$B$5:$B$3032,BC$6))</f>
        <v>0</v>
      </c>
      <c r="BD11" s="11">
        <f>IF(OR($A11="",BC$6=""),"",SUMIFS(资金流水!$L$5:$L$3032,资金流水!$C$5:$C$3032,$A11,资金流水!$B$5:$B$3032,BC$6))</f>
        <v>0</v>
      </c>
      <c r="BE11" s="11">
        <f>IF(OR($A11="",BE$6=""),"",SUMIFS(资金流水!$K$5:$K$3032,资金流水!$C$5:$C$3032,$A11,资金流水!$B$5:$B$3032,BE$6))</f>
        <v>0</v>
      </c>
      <c r="BF11" s="11">
        <f>IF(OR($A11="",BE$6=""),"",SUMIFS(资金流水!$L$5:$L$3032,资金流水!$C$5:$C$3032,$A11,资金流水!$B$5:$B$3032,BE$6))</f>
        <v>0</v>
      </c>
      <c r="BG11" s="11">
        <f>IF(OR($A11="",BG$6=""),"",SUMIFS(资金流水!$K$5:$K$3032,资金流水!$C$5:$C$3032,$A11,资金流水!$B$5:$B$3032,BG$6))</f>
        <v>0</v>
      </c>
      <c r="BH11" s="11">
        <f>IF(OR($A11="",BG$6=""),"",SUMIFS(资金流水!$L$5:$L$3032,资金流水!$C$5:$C$3032,$A11,资金流水!$B$5:$B$3032,BG$6))</f>
        <v>0</v>
      </c>
      <c r="BI11" s="11">
        <f>IF(OR($A11="",BI$6=""),"",SUMIFS(资金流水!$K$5:$K$3032,资金流水!$C$5:$C$3032,$A11,资金流水!$B$5:$B$3032,BI$6))</f>
        <v>0</v>
      </c>
      <c r="BJ11" s="11">
        <f>IF(OR($A11="",BI$6=""),"",SUMIFS(资金流水!$L$5:$L$3032,资金流水!$C$5:$C$3032,$A11,资金流水!$B$5:$B$3032,BI$6))</f>
        <v>0</v>
      </c>
      <c r="BK11" s="11">
        <f>IF(OR($A11="",BK$6=""),"",SUMIFS(资金流水!$K$5:$K$3032,资金流水!$C$5:$C$3032,$A11,资金流水!$B$5:$B$3032,BK$6))</f>
        <v>0</v>
      </c>
      <c r="BL11" s="11">
        <f>IF(OR($A11="",BK$6=""),"",SUMIFS(资金流水!$L$5:$L$3032,资金流水!$C$5:$C$3032,$A11,资金流水!$B$5:$B$3032,BK$6))</f>
        <v>0</v>
      </c>
      <c r="BM11" s="26">
        <f t="shared" si="0"/>
        <v>0</v>
      </c>
      <c r="BN11" s="26">
        <f t="shared" si="1"/>
        <v>17526.06</v>
      </c>
      <c r="BO11" s="26" t="e">
        <f t="shared" si="2"/>
        <v>#VALUE!</v>
      </c>
    </row>
    <row r="12" spans="1:67">
      <c r="A12" s="24" t="str">
        <f>IF(基础资料!$E8="","",基础资料!$E8)</f>
        <v>元界极光农商行一般户</v>
      </c>
      <c r="B12" s="25" t="e">
        <f>IF(OR($A12="",NOT(ISNUMBER($I$2))),"",SUMIFS(资金流水!$M$5:$M$3015,资金流水!$C$5:$C$3032,$A12,资金流水!$B$5:$B$3032,"&lt;="&amp;$B$2)+SUMIFS(资金流水!$K$5:$K$3032,资金流水!$C$5:$C$3032,$A12,资金流水!$B$5:$B$3032,"&lt;"&amp;$B$2)-SUMIFS(资金流水!$L$5:$L$3032,资金流水!$C$5:$C$3032,$A12,资金流水!$B$5:$B$3032,"&lt;"&amp;$B$2))</f>
        <v>#VALUE!</v>
      </c>
      <c r="C12" s="11">
        <f>IF(OR($A12="",C$6=""),"",SUMIFS(资金流水!$K$5:$K$3032,资金流水!$C$5:$C$3032,$A12,资金流水!$B$5:$B$3032,C$6))</f>
        <v>0</v>
      </c>
      <c r="D12" s="11">
        <f>IF(OR($A12="",C$6=""),"",SUMIFS(资金流水!$L$5:$L$3032,资金流水!$C$5:$C$3032,$A12,资金流水!$B$5:$B$3032,C$6))</f>
        <v>0</v>
      </c>
      <c r="E12" s="11">
        <f>IF(OR($A12="",E$6=""),"",SUMIFS(资金流水!$K$5:$K$3032,资金流水!$C$5:$C$3032,$A12,资金流水!$B$5:$B$3032,E$6))</f>
        <v>300000</v>
      </c>
      <c r="F12" s="11">
        <f>IF(OR($A12="",E$6=""),"",SUMIFS(资金流水!$L$5:$L$3032,资金流水!$C$5:$C$3032,$A12,资金流水!$B$5:$B$3032,E$6))</f>
        <v>0</v>
      </c>
      <c r="G12" s="11">
        <f>IF(OR($A12="",G$6=""),"",SUMIFS(资金流水!$K$5:$K$3032,资金流水!$C$5:$C$3032,$A12,资金流水!$B$5:$B$3032,G$6))</f>
        <v>0</v>
      </c>
      <c r="H12" s="11">
        <f>IF(OR($A12="",G$6=""),"",SUMIFS(资金流水!$L$5:$L$3032,资金流水!$C$5:$C$3032,$A12,资金流水!$B$5:$B$3032,G$6))</f>
        <v>0</v>
      </c>
      <c r="I12" s="11">
        <f>IF(OR($A12="",I$6=""),"",SUMIFS(资金流水!$K$5:$K$3032,资金流水!$C$5:$C$3032,$A12,资金流水!$B$5:$B$3032,I$6))</f>
        <v>0</v>
      </c>
      <c r="J12" s="11">
        <f>IF(OR($A12="",I$6=""),"",SUMIFS(资金流水!$L$5:$L$3032,资金流水!$C$5:$C$3032,$A12,资金流水!$B$5:$B$3032,I$6))</f>
        <v>0</v>
      </c>
      <c r="K12" s="11">
        <f>IF(OR($A12="",K$6=""),"",SUMIFS(资金流水!$K$5:$K$3032,资金流水!$C$5:$C$3032,$A12,资金流水!$B$5:$B$3032,K$6))</f>
        <v>0</v>
      </c>
      <c r="L12" s="11">
        <f>IF(OR($A12="",K$6=""),"",SUMIFS(资金流水!$L$5:$L$3032,资金流水!$C$5:$C$3032,$A12,资金流水!$B$5:$B$3032,K$6))</f>
        <v>50000</v>
      </c>
      <c r="M12" s="11">
        <f>IF(OR($A12="",M$6=""),"",SUMIFS(资金流水!$K$5:$K$3032,资金流水!$C$5:$C$3032,$A12,资金流水!$B$5:$B$3032,M$6))</f>
        <v>0</v>
      </c>
      <c r="N12" s="11">
        <f>IF(OR($A12="",M$6=""),"",SUMIFS(资金流水!$L$5:$L$3032,资金流水!$C$5:$C$3032,$A12,资金流水!$B$5:$B$3032,M$6))</f>
        <v>0</v>
      </c>
      <c r="O12" s="11">
        <f>IF(OR($A12="",O$6=""),"",SUMIFS(资金流水!$K$5:$K$3032,资金流水!$C$5:$C$3032,$A12,资金流水!$B$5:$B$3032,O$6))</f>
        <v>0</v>
      </c>
      <c r="P12" s="11">
        <f>IF(OR($A12="",O$6=""),"",SUMIFS(资金流水!$L$5:$L$3032,资金流水!$C$5:$C$3032,$A12,资金流水!$B$5:$B$3032,O$6))</f>
        <v>0</v>
      </c>
      <c r="Q12" s="11">
        <f>IF(OR($A12="",Q$6=""),"",SUMIFS(资金流水!$K$5:$K$3032,资金流水!$C$5:$C$3032,$A12,资金流水!$B$5:$B$3032,Q$6))</f>
        <v>0</v>
      </c>
      <c r="R12" s="11">
        <f>IF(OR($A12="",Q$6=""),"",SUMIFS(资金流水!$L$5:$L$3032,资金流水!$C$5:$C$3032,$A12,资金流水!$B$5:$B$3032,Q$6))</f>
        <v>8500</v>
      </c>
      <c r="S12" s="11">
        <f>IF(OR($A12="",S$6=""),"",SUMIFS(资金流水!$K$5:$K$3032,资金流水!$C$5:$C$3032,$A12,资金流水!$B$5:$B$3032,S$6))</f>
        <v>0</v>
      </c>
      <c r="T12" s="11">
        <f>IF(OR($A12="",S$6=""),"",SUMIFS(资金流水!$L$5:$L$3032,资金流水!$C$5:$C$3032,$A12,资金流水!$B$5:$B$3032,S$6))</f>
        <v>0</v>
      </c>
      <c r="U12" s="11">
        <f>IF(OR($A12="",U$6=""),"",SUMIFS(资金流水!$K$5:$K$3032,资金流水!$C$5:$C$3032,$A12,资金流水!$B$5:$B$3032,U$6))</f>
        <v>0</v>
      </c>
      <c r="V12" s="11">
        <f>IF(OR($A12="",U$6=""),"",SUMIFS(资金流水!$L$5:$L$3032,资金流水!$C$5:$C$3032,$A12,资金流水!$B$5:$B$3032,U$6))</f>
        <v>0</v>
      </c>
      <c r="W12" s="11">
        <f>IF(OR($A12="",W$6=""),"",SUMIFS(资金流水!$K$5:$K$3032,资金流水!$C$5:$C$3032,$A12,资金流水!$B$5:$B$3032,W$6))</f>
        <v>0</v>
      </c>
      <c r="X12" s="11">
        <f>IF(OR($A12="",W$6=""),"",SUMIFS(资金流水!$L$5:$L$3032,资金流水!$C$5:$C$3032,$A12,资金流水!$B$5:$B$3032,W$6))</f>
        <v>0</v>
      </c>
      <c r="Y12" s="11">
        <f>IF(OR($A12="",Y$6=""),"",SUMIFS(资金流水!$K$5:$K$3032,资金流水!$C$5:$C$3032,$A12,资金流水!$B$5:$B$3032,Y$6))</f>
        <v>0</v>
      </c>
      <c r="Z12" s="11">
        <f>IF(OR($A12="",Y$6=""),"",SUMIFS(资金流水!$L$5:$L$3032,资金流水!$C$5:$C$3032,$A12,资金流水!$B$5:$B$3032,Y$6))</f>
        <v>0</v>
      </c>
      <c r="AA12" s="11">
        <f>IF(OR($A12="",AA$6=""),"",SUMIFS(资金流水!$K$5:$K$3032,资金流水!$C$5:$C$3032,$A12,资金流水!$B$5:$B$3032,AA$6))</f>
        <v>0</v>
      </c>
      <c r="AB12" s="11">
        <f>IF(OR($A12="",AA$6=""),"",SUMIFS(资金流水!$L$5:$L$3032,资金流水!$C$5:$C$3032,$A12,资金流水!$B$5:$B$3032,AA$6))</f>
        <v>0</v>
      </c>
      <c r="AC12" s="11">
        <f>IF(OR($A12="",AC$6=""),"",SUMIFS(资金流水!$K$5:$K$3032,资金流水!$C$5:$C$3032,$A12,资金流水!$B$5:$B$3032,AC$6))</f>
        <v>0</v>
      </c>
      <c r="AD12" s="11">
        <f>IF(OR($A12="",AC$6=""),"",SUMIFS(资金流水!$L$5:$L$3032,资金流水!$C$5:$C$3032,$A12,资金流水!$B$5:$B$3032,AC$6))</f>
        <v>0</v>
      </c>
      <c r="AE12" s="11">
        <f>IF(OR($A12="",AE$6=""),"",SUMIFS(资金流水!$K$5:$K$3032,资金流水!$C$5:$C$3032,$A12,资金流水!$B$5:$B$3032,AE$6))</f>
        <v>0</v>
      </c>
      <c r="AF12" s="11">
        <f>IF(OR($A12="",AE$6=""),"",SUMIFS(资金流水!$L$5:$L$3032,资金流水!$C$5:$C$3032,$A12,资金流水!$B$5:$B$3032,AE$6))</f>
        <v>0</v>
      </c>
      <c r="AG12" s="11">
        <f>IF(OR($A12="",AG$6=""),"",SUMIFS(资金流水!$K$5:$K$3032,资金流水!$C$5:$C$3032,$A12,资金流水!$B$5:$B$3032,AG$6))</f>
        <v>0</v>
      </c>
      <c r="AH12" s="11">
        <f>IF(OR($A12="",AG$6=""),"",SUMIFS(资金流水!$L$5:$L$3032,资金流水!$C$5:$C$3032,$A12,资金流水!$B$5:$B$3032,AG$6))</f>
        <v>0</v>
      </c>
      <c r="AI12" s="11">
        <f>IF(OR($A12="",AI$6=""),"",SUMIFS(资金流水!$K$5:$K$3032,资金流水!$C$5:$C$3032,$A12,资金流水!$B$5:$B$3032,AI$6))</f>
        <v>0</v>
      </c>
      <c r="AJ12" s="11">
        <f>IF(OR($A12="",AI$6=""),"",SUMIFS(资金流水!$L$5:$L$3032,资金流水!$C$5:$C$3032,$A12,资金流水!$B$5:$B$3032,AI$6))</f>
        <v>50000</v>
      </c>
      <c r="AK12" s="11">
        <f>IF(OR($A12="",AK$6=""),"",SUMIFS(资金流水!$K$5:$K$3032,资金流水!$C$5:$C$3032,$A12,资金流水!$B$5:$B$3032,AK$6))</f>
        <v>0</v>
      </c>
      <c r="AL12" s="11">
        <f>IF(OR($A12="",AK$6=""),"",SUMIFS(资金流水!$L$5:$L$3032,资金流水!$C$5:$C$3032,$A12,资金流水!$B$5:$B$3032,AK$6))</f>
        <v>0</v>
      </c>
      <c r="AM12" s="11">
        <f>IF(OR($A12="",AM$6=""),"",SUMIFS(资金流水!$K$5:$K$3032,资金流水!$C$5:$C$3032,$A12,资金流水!$B$5:$B$3032,AM$6))</f>
        <v>0</v>
      </c>
      <c r="AN12" s="11">
        <f>IF(OR($A12="",AM$6=""),"",SUMIFS(资金流水!$L$5:$L$3032,资金流水!$C$5:$C$3032,$A12,资金流水!$B$5:$B$3032,AM$6))</f>
        <v>50000</v>
      </c>
      <c r="AO12" s="11">
        <f>IF(OR($A12="",AO$6=""),"",SUMIFS(资金流水!$K$5:$K$3032,资金流水!$C$5:$C$3032,$A12,资金流水!$B$5:$B$3032,AO$6))</f>
        <v>0</v>
      </c>
      <c r="AP12" s="11">
        <f>IF(OR($A12="",AO$6=""),"",SUMIFS(资金流水!$L$5:$L$3032,资金流水!$C$5:$C$3032,$A12,资金流水!$B$5:$B$3032,AO$6))</f>
        <v>36500</v>
      </c>
      <c r="AQ12" s="11">
        <f>IF(OR($A12="",AQ$6=""),"",SUMIFS(资金流水!$K$5:$K$3032,资金流水!$C$5:$C$3032,$A12,资金流水!$B$5:$B$3032,AQ$6))</f>
        <v>0</v>
      </c>
      <c r="AR12" s="11">
        <f>IF(OR($A12="",AQ$6=""),"",SUMIFS(资金流水!$L$5:$L$3032,资金流水!$C$5:$C$3032,$A12,资金流水!$B$5:$B$3032,AQ$6))</f>
        <v>0</v>
      </c>
      <c r="AS12" s="11">
        <f>IF(OR($A12="",AS$6=""),"",SUMIFS(资金流水!$K$5:$K$3032,资金流水!$C$5:$C$3032,$A12,资金流水!$B$5:$B$3032,AS$6))</f>
        <v>0</v>
      </c>
      <c r="AT12" s="11">
        <f>IF(OR($A12="",AS$6=""),"",SUMIFS(资金流水!$L$5:$L$3032,资金流水!$C$5:$C$3032,$A12,资金流水!$B$5:$B$3032,AS$6))</f>
        <v>6400</v>
      </c>
      <c r="AU12" s="11">
        <f>IF(OR($A12="",AU$6=""),"",SUMIFS(资金流水!$K$5:$K$3032,资金流水!$C$5:$C$3032,$A12,资金流水!$B$5:$B$3032,AU$6))</f>
        <v>0</v>
      </c>
      <c r="AV12" s="11">
        <f>IF(OR($A12="",AU$6=""),"",SUMIFS(资金流水!$L$5:$L$3032,资金流水!$C$5:$C$3032,$A12,资金流水!$B$5:$B$3032,AU$6))</f>
        <v>0</v>
      </c>
      <c r="AW12" s="11">
        <f>IF(OR($A12="",AW$6=""),"",SUMIFS(资金流水!$K$5:$K$3032,资金流水!$C$5:$C$3032,$A12,资金流水!$B$5:$B$3032,AW$6))</f>
        <v>0</v>
      </c>
      <c r="AX12" s="11">
        <f>IF(OR($A12="",AW$6=""),"",SUMIFS(资金流水!$L$5:$L$3032,资金流水!$C$5:$C$3032,$A12,资金流水!$B$5:$B$3032,AW$6))</f>
        <v>0</v>
      </c>
      <c r="AY12" s="11">
        <f>IF(OR($A12="",AY$6=""),"",SUMIFS(资金流水!$K$5:$K$3032,资金流水!$C$5:$C$3032,$A12,资金流水!$B$5:$B$3032,AY$6))</f>
        <v>0</v>
      </c>
      <c r="AZ12" s="11">
        <f>IF(OR($A12="",AY$6=""),"",SUMIFS(资金流水!$L$5:$L$3032,资金流水!$C$5:$C$3032,$A12,资金流水!$B$5:$B$3032,AY$6))</f>
        <v>0</v>
      </c>
      <c r="BA12" s="11">
        <f>IF(OR($A12="",BA$6=""),"",SUMIFS(资金流水!$K$5:$K$3032,资金流水!$C$5:$C$3032,$A12,资金流水!$B$5:$B$3032,BA$6))</f>
        <v>0</v>
      </c>
      <c r="BB12" s="11">
        <f>IF(OR($A12="",BA$6=""),"",SUMIFS(资金流水!$L$5:$L$3032,资金流水!$C$5:$C$3032,$A12,资金流水!$B$5:$B$3032,BA$6))</f>
        <v>0</v>
      </c>
      <c r="BC12" s="11">
        <f>IF(OR($A12="",BC$6=""),"",SUMIFS(资金流水!$K$5:$K$3032,资金流水!$C$5:$C$3032,$A12,资金流水!$B$5:$B$3032,BC$6))</f>
        <v>0</v>
      </c>
      <c r="BD12" s="11">
        <f>IF(OR($A12="",BC$6=""),"",SUMIFS(资金流水!$L$5:$L$3032,资金流水!$C$5:$C$3032,$A12,资金流水!$B$5:$B$3032,BC$6))</f>
        <v>0</v>
      </c>
      <c r="BE12" s="11">
        <f>IF(OR($A12="",BE$6=""),"",SUMIFS(资金流水!$K$5:$K$3032,资金流水!$C$5:$C$3032,$A12,资金流水!$B$5:$B$3032,BE$6))</f>
        <v>0</v>
      </c>
      <c r="BF12" s="11">
        <f>IF(OR($A12="",BE$6=""),"",SUMIFS(资金流水!$L$5:$L$3032,资金流水!$C$5:$C$3032,$A12,资金流水!$B$5:$B$3032,BE$6))</f>
        <v>0</v>
      </c>
      <c r="BG12" s="11">
        <f>IF(OR($A12="",BG$6=""),"",SUMIFS(资金流水!$K$5:$K$3032,资金流水!$C$5:$C$3032,$A12,资金流水!$B$5:$B$3032,BG$6))</f>
        <v>0</v>
      </c>
      <c r="BH12" s="11">
        <f>IF(OR($A12="",BG$6=""),"",SUMIFS(资金流水!$L$5:$L$3032,资金流水!$C$5:$C$3032,$A12,资金流水!$B$5:$B$3032,BG$6))</f>
        <v>0</v>
      </c>
      <c r="BI12" s="11">
        <f>IF(OR($A12="",BI$6=""),"",SUMIFS(资金流水!$K$5:$K$3032,资金流水!$C$5:$C$3032,$A12,资金流水!$B$5:$B$3032,BI$6))</f>
        <v>0</v>
      </c>
      <c r="BJ12" s="11">
        <f>IF(OR($A12="",BI$6=""),"",SUMIFS(资金流水!$L$5:$L$3032,资金流水!$C$5:$C$3032,$A12,资金流水!$B$5:$B$3032,BI$6))</f>
        <v>0</v>
      </c>
      <c r="BK12" s="11">
        <f>IF(OR($A12="",BK$6=""),"",SUMIFS(资金流水!$K$5:$K$3032,资金流水!$C$5:$C$3032,$A12,资金流水!$B$5:$B$3032,BK$6))</f>
        <v>0</v>
      </c>
      <c r="BL12" s="11">
        <f>IF(OR($A12="",BK$6=""),"",SUMIFS(资金流水!$L$5:$L$3032,资金流水!$C$5:$C$3032,$A12,资金流水!$B$5:$B$3032,BK$6))</f>
        <v>0</v>
      </c>
      <c r="BM12" s="26">
        <f t="shared" si="0"/>
        <v>300000</v>
      </c>
      <c r="BN12" s="26">
        <f t="shared" si="1"/>
        <v>201400</v>
      </c>
      <c r="BO12" s="26" t="e">
        <f t="shared" si="2"/>
        <v>#VALUE!</v>
      </c>
    </row>
    <row r="13" spans="1:67">
      <c r="A13" s="24" t="str">
        <f>IF(基础资料!$E9="","",基础资料!$E9)</f>
        <v>瑞盛天中行基本户</v>
      </c>
      <c r="B13" s="25" t="e">
        <f>IF(OR($A13="",NOT(ISNUMBER($I$2))),"",SUMIFS(资金流水!$M$5:$M$3015,资金流水!$C$5:$C$3032,$A13,资金流水!$B$5:$B$3032,"&lt;="&amp;$B$2)+SUMIFS(资金流水!$K$5:$K$3032,资金流水!$C$5:$C$3032,$A13,资金流水!$B$5:$B$3032,"&lt;"&amp;$B$2)-SUMIFS(资金流水!$L$5:$L$3032,资金流水!$C$5:$C$3032,$A13,资金流水!$B$5:$B$3032,"&lt;"&amp;$B$2))</f>
        <v>#VALUE!</v>
      </c>
      <c r="C13" s="11">
        <f>IF(OR($A13="",C$6=""),"",SUMIFS(资金流水!$K$5:$K$3032,资金流水!$C$5:$C$3032,$A13,资金流水!$B$5:$B$3032,C$6))</f>
        <v>0</v>
      </c>
      <c r="D13" s="11">
        <f>IF(OR($A13="",C$6=""),"",SUMIFS(资金流水!$L$5:$L$3032,资金流水!$C$5:$C$3032,$A13,资金流水!$B$5:$B$3032,C$6))</f>
        <v>0</v>
      </c>
      <c r="E13" s="11">
        <f>IF(OR($A13="",E$6=""),"",SUMIFS(资金流水!$K$5:$K$3032,资金流水!$C$5:$C$3032,$A13,资金流水!$B$5:$B$3032,E$6))</f>
        <v>0</v>
      </c>
      <c r="F13" s="11">
        <f>IF(OR($A13="",E$6=""),"",SUMIFS(资金流水!$L$5:$L$3032,资金流水!$C$5:$C$3032,$A13,资金流水!$B$5:$B$3032,E$6))</f>
        <v>0</v>
      </c>
      <c r="G13" s="11">
        <f>IF(OR($A13="",G$6=""),"",SUMIFS(资金流水!$K$5:$K$3032,资金流水!$C$5:$C$3032,$A13,资金流水!$B$5:$B$3032,G$6))</f>
        <v>0</v>
      </c>
      <c r="H13" s="11">
        <f>IF(OR($A13="",G$6=""),"",SUMIFS(资金流水!$L$5:$L$3032,资金流水!$C$5:$C$3032,$A13,资金流水!$B$5:$B$3032,G$6))</f>
        <v>0</v>
      </c>
      <c r="I13" s="11">
        <f>IF(OR($A13="",I$6=""),"",SUMIFS(资金流水!$K$5:$K$3032,资金流水!$C$5:$C$3032,$A13,资金流水!$B$5:$B$3032,I$6))</f>
        <v>0</v>
      </c>
      <c r="J13" s="11">
        <f>IF(OR($A13="",I$6=""),"",SUMIFS(资金流水!$L$5:$L$3032,资金流水!$C$5:$C$3032,$A13,资金流水!$B$5:$B$3032,I$6))</f>
        <v>0</v>
      </c>
      <c r="K13" s="11">
        <f>IF(OR($A13="",K$6=""),"",SUMIFS(资金流水!$K$5:$K$3032,资金流水!$C$5:$C$3032,$A13,资金流水!$B$5:$B$3032,K$6))</f>
        <v>0</v>
      </c>
      <c r="L13" s="11">
        <f>IF(OR($A13="",K$6=""),"",SUMIFS(资金流水!$L$5:$L$3032,资金流水!$C$5:$C$3032,$A13,资金流水!$B$5:$B$3032,K$6))</f>
        <v>0</v>
      </c>
      <c r="M13" s="11">
        <f>IF(OR($A13="",M$6=""),"",SUMIFS(资金流水!$K$5:$K$3032,资金流水!$C$5:$C$3032,$A13,资金流水!$B$5:$B$3032,M$6))</f>
        <v>0</v>
      </c>
      <c r="N13" s="11">
        <f>IF(OR($A13="",M$6=""),"",SUMIFS(资金流水!$L$5:$L$3032,资金流水!$C$5:$C$3032,$A13,资金流水!$B$5:$B$3032,M$6))</f>
        <v>0</v>
      </c>
      <c r="O13" s="11">
        <f>IF(OR($A13="",O$6=""),"",SUMIFS(资金流水!$K$5:$K$3032,资金流水!$C$5:$C$3032,$A13,资金流水!$B$5:$B$3032,O$6))</f>
        <v>0</v>
      </c>
      <c r="P13" s="11">
        <f>IF(OR($A13="",O$6=""),"",SUMIFS(资金流水!$L$5:$L$3032,资金流水!$C$5:$C$3032,$A13,资金流水!$B$5:$B$3032,O$6))</f>
        <v>0</v>
      </c>
      <c r="Q13" s="11">
        <f>IF(OR($A13="",Q$6=""),"",SUMIFS(资金流水!$K$5:$K$3032,资金流水!$C$5:$C$3032,$A13,资金流水!$B$5:$B$3032,Q$6))</f>
        <v>0</v>
      </c>
      <c r="R13" s="11">
        <f>IF(OR($A13="",Q$6=""),"",SUMIFS(资金流水!$L$5:$L$3032,资金流水!$C$5:$C$3032,$A13,资金流水!$B$5:$B$3032,Q$6))</f>
        <v>0</v>
      </c>
      <c r="S13" s="11">
        <f>IF(OR($A13="",S$6=""),"",SUMIFS(资金流水!$K$5:$K$3032,资金流水!$C$5:$C$3032,$A13,资金流水!$B$5:$B$3032,S$6))</f>
        <v>0</v>
      </c>
      <c r="T13" s="11">
        <f>IF(OR($A13="",S$6=""),"",SUMIFS(资金流水!$L$5:$L$3032,资金流水!$C$5:$C$3032,$A13,资金流水!$B$5:$B$3032,S$6))</f>
        <v>0</v>
      </c>
      <c r="U13" s="11">
        <f>IF(OR($A13="",U$6=""),"",SUMIFS(资金流水!$K$5:$K$3032,资金流水!$C$5:$C$3032,$A13,资金流水!$B$5:$B$3032,U$6))</f>
        <v>0</v>
      </c>
      <c r="V13" s="11">
        <f>IF(OR($A13="",U$6=""),"",SUMIFS(资金流水!$L$5:$L$3032,资金流水!$C$5:$C$3032,$A13,资金流水!$B$5:$B$3032,U$6))</f>
        <v>0</v>
      </c>
      <c r="W13" s="11">
        <f>IF(OR($A13="",W$6=""),"",SUMIFS(资金流水!$K$5:$K$3032,资金流水!$C$5:$C$3032,$A13,资金流水!$B$5:$B$3032,W$6))</f>
        <v>0</v>
      </c>
      <c r="X13" s="11">
        <f>IF(OR($A13="",W$6=""),"",SUMIFS(资金流水!$L$5:$L$3032,资金流水!$C$5:$C$3032,$A13,资金流水!$B$5:$B$3032,W$6))</f>
        <v>0</v>
      </c>
      <c r="Y13" s="11">
        <f>IF(OR($A13="",Y$6=""),"",SUMIFS(资金流水!$K$5:$K$3032,资金流水!$C$5:$C$3032,$A13,资金流水!$B$5:$B$3032,Y$6))</f>
        <v>0</v>
      </c>
      <c r="Z13" s="11">
        <f>IF(OR($A13="",Y$6=""),"",SUMIFS(资金流水!$L$5:$L$3032,资金流水!$C$5:$C$3032,$A13,资金流水!$B$5:$B$3032,Y$6))</f>
        <v>0</v>
      </c>
      <c r="AA13" s="11">
        <f>IF(OR($A13="",AA$6=""),"",SUMIFS(资金流水!$K$5:$K$3032,资金流水!$C$5:$C$3032,$A13,资金流水!$B$5:$B$3032,AA$6))</f>
        <v>0</v>
      </c>
      <c r="AB13" s="11">
        <f>IF(OR($A13="",AA$6=""),"",SUMIFS(资金流水!$L$5:$L$3032,资金流水!$C$5:$C$3032,$A13,资金流水!$B$5:$B$3032,AA$6))</f>
        <v>0</v>
      </c>
      <c r="AC13" s="11">
        <f>IF(OR($A13="",AC$6=""),"",SUMIFS(资金流水!$K$5:$K$3032,资金流水!$C$5:$C$3032,$A13,资金流水!$B$5:$B$3032,AC$6))</f>
        <v>0</v>
      </c>
      <c r="AD13" s="11">
        <f>IF(OR($A13="",AC$6=""),"",SUMIFS(资金流水!$L$5:$L$3032,资金流水!$C$5:$C$3032,$A13,资金流水!$B$5:$B$3032,AC$6))</f>
        <v>0</v>
      </c>
      <c r="AE13" s="11">
        <f>IF(OR($A13="",AE$6=""),"",SUMIFS(资金流水!$K$5:$K$3032,资金流水!$C$5:$C$3032,$A13,资金流水!$B$5:$B$3032,AE$6))</f>
        <v>0</v>
      </c>
      <c r="AF13" s="11">
        <f>IF(OR($A13="",AE$6=""),"",SUMIFS(资金流水!$L$5:$L$3032,资金流水!$C$5:$C$3032,$A13,资金流水!$B$5:$B$3032,AE$6))</f>
        <v>0</v>
      </c>
      <c r="AG13" s="11">
        <f>IF(OR($A13="",AG$6=""),"",SUMIFS(资金流水!$K$5:$K$3032,资金流水!$C$5:$C$3032,$A13,资金流水!$B$5:$B$3032,AG$6))</f>
        <v>0</v>
      </c>
      <c r="AH13" s="11">
        <f>IF(OR($A13="",AG$6=""),"",SUMIFS(资金流水!$L$5:$L$3032,资金流水!$C$5:$C$3032,$A13,资金流水!$B$5:$B$3032,AG$6))</f>
        <v>0</v>
      </c>
      <c r="AI13" s="11">
        <f>IF(OR($A13="",AI$6=""),"",SUMIFS(资金流水!$K$5:$K$3032,资金流水!$C$5:$C$3032,$A13,资金流水!$B$5:$B$3032,AI$6))</f>
        <v>0</v>
      </c>
      <c r="AJ13" s="11">
        <f>IF(OR($A13="",AI$6=""),"",SUMIFS(资金流水!$L$5:$L$3032,资金流水!$C$5:$C$3032,$A13,资金流水!$B$5:$B$3032,AI$6))</f>
        <v>0</v>
      </c>
      <c r="AK13" s="11">
        <f>IF(OR($A13="",AK$6=""),"",SUMIFS(资金流水!$K$5:$K$3032,资金流水!$C$5:$C$3032,$A13,资金流水!$B$5:$B$3032,AK$6))</f>
        <v>0</v>
      </c>
      <c r="AL13" s="11">
        <f>IF(OR($A13="",AK$6=""),"",SUMIFS(资金流水!$L$5:$L$3032,资金流水!$C$5:$C$3032,$A13,资金流水!$B$5:$B$3032,AK$6))</f>
        <v>0</v>
      </c>
      <c r="AM13" s="11">
        <f>IF(OR($A13="",AM$6=""),"",SUMIFS(资金流水!$K$5:$K$3032,资金流水!$C$5:$C$3032,$A13,资金流水!$B$5:$B$3032,AM$6))</f>
        <v>0</v>
      </c>
      <c r="AN13" s="11">
        <f>IF(OR($A13="",AM$6=""),"",SUMIFS(资金流水!$L$5:$L$3032,资金流水!$C$5:$C$3032,$A13,资金流水!$B$5:$B$3032,AM$6))</f>
        <v>0</v>
      </c>
      <c r="AO13" s="11">
        <f>IF(OR($A13="",AO$6=""),"",SUMIFS(资金流水!$K$5:$K$3032,资金流水!$C$5:$C$3032,$A13,资金流水!$B$5:$B$3032,AO$6))</f>
        <v>0</v>
      </c>
      <c r="AP13" s="11">
        <f>IF(OR($A13="",AO$6=""),"",SUMIFS(资金流水!$L$5:$L$3032,资金流水!$C$5:$C$3032,$A13,资金流水!$B$5:$B$3032,AO$6))</f>
        <v>9262.65</v>
      </c>
      <c r="AQ13" s="11">
        <f>IF(OR($A13="",AQ$6=""),"",SUMIFS(资金流水!$K$5:$K$3032,资金流水!$C$5:$C$3032,$A13,资金流水!$B$5:$B$3032,AQ$6))</f>
        <v>0</v>
      </c>
      <c r="AR13" s="11">
        <f>IF(OR($A13="",AQ$6=""),"",SUMIFS(资金流水!$L$5:$L$3032,资金流水!$C$5:$C$3032,$A13,资金流水!$B$5:$B$3032,AQ$6))</f>
        <v>200024</v>
      </c>
      <c r="AS13" s="11">
        <f>IF(OR($A13="",AS$6=""),"",SUMIFS(资金流水!$K$5:$K$3032,资金流水!$C$5:$C$3032,$A13,资金流水!$B$5:$B$3032,AS$6))</f>
        <v>1922773.11</v>
      </c>
      <c r="AT13" s="11">
        <f>IF(OR($A13="",AS$6=""),"",SUMIFS(资金流水!$L$5:$L$3032,资金流水!$C$5:$C$3032,$A13,资金流水!$B$5:$B$3032,AS$6))</f>
        <v>3786.58</v>
      </c>
      <c r="AU13" s="11">
        <f>IF(OR($A13="",AU$6=""),"",SUMIFS(资金流水!$K$5:$K$3032,资金流水!$C$5:$C$3032,$A13,资金流水!$B$5:$B$3032,AU$6))</f>
        <v>0</v>
      </c>
      <c r="AV13" s="11">
        <f>IF(OR($A13="",AU$6=""),"",SUMIFS(资金流水!$L$5:$L$3032,资金流水!$C$5:$C$3032,$A13,资金流水!$B$5:$B$3032,AU$6))</f>
        <v>205027</v>
      </c>
      <c r="AW13" s="11">
        <f>IF(OR($A13="",AW$6=""),"",SUMIFS(资金流水!$K$5:$K$3032,资金流水!$C$5:$C$3032,$A13,资金流水!$B$5:$B$3032,AW$6))</f>
        <v>0</v>
      </c>
      <c r="AX13" s="11">
        <f>IF(OR($A13="",AW$6=""),"",SUMIFS(资金流水!$L$5:$L$3032,资金流水!$C$5:$C$3032,$A13,资金流水!$B$5:$B$3032,AW$6))</f>
        <v>0</v>
      </c>
      <c r="AY13" s="11">
        <f>IF(OR($A13="",AY$6=""),"",SUMIFS(资金流水!$K$5:$K$3032,资金流水!$C$5:$C$3032,$A13,资金流水!$B$5:$B$3032,AY$6))</f>
        <v>0</v>
      </c>
      <c r="AZ13" s="11">
        <f>IF(OR($A13="",AY$6=""),"",SUMIFS(资金流水!$L$5:$L$3032,资金流水!$C$5:$C$3032,$A13,资金流水!$B$5:$B$3032,AY$6))</f>
        <v>0</v>
      </c>
      <c r="BA13" s="11">
        <f>IF(OR($A13="",BA$6=""),"",SUMIFS(资金流水!$K$5:$K$3032,资金流水!$C$5:$C$3032,$A13,资金流水!$B$5:$B$3032,BA$6))</f>
        <v>0</v>
      </c>
      <c r="BB13" s="11">
        <f>IF(OR($A13="",BA$6=""),"",SUMIFS(资金流水!$L$5:$L$3032,资金流水!$C$5:$C$3032,$A13,资金流水!$B$5:$B$3032,BA$6))</f>
        <v>260015</v>
      </c>
      <c r="BC13" s="11">
        <f>IF(OR($A13="",BC$6=""),"",SUMIFS(资金流水!$K$5:$K$3032,资金流水!$C$5:$C$3032,$A13,资金流水!$B$5:$B$3032,BC$6))</f>
        <v>0</v>
      </c>
      <c r="BD13" s="11">
        <f>IF(OR($A13="",BC$6=""),"",SUMIFS(资金流水!$L$5:$L$3032,资金流水!$C$5:$C$3032,$A13,资金流水!$B$5:$B$3032,BC$6))</f>
        <v>663530</v>
      </c>
      <c r="BE13" s="11">
        <f>IF(OR($A13="",BE$6=""),"",SUMIFS(资金流水!$K$5:$K$3032,资金流水!$C$5:$C$3032,$A13,资金流水!$B$5:$B$3032,BE$6))</f>
        <v>0</v>
      </c>
      <c r="BF13" s="11">
        <f>IF(OR($A13="",BE$6=""),"",SUMIFS(资金流水!$L$5:$L$3032,资金流水!$C$5:$C$3032,$A13,资金流水!$B$5:$B$3032,BE$6))</f>
        <v>0</v>
      </c>
      <c r="BG13" s="11">
        <f>IF(OR($A13="",BG$6=""),"",SUMIFS(资金流水!$K$5:$K$3032,资金流水!$C$5:$C$3032,$A13,资金流水!$B$5:$B$3032,BG$6))</f>
        <v>400000</v>
      </c>
      <c r="BH13" s="11">
        <f>IF(OR($A13="",BG$6=""),"",SUMIFS(资金流水!$L$5:$L$3032,资金流水!$C$5:$C$3032,$A13,资金流水!$B$5:$B$3032,BG$6))</f>
        <v>0</v>
      </c>
      <c r="BI13" s="11">
        <f>IF(OR($A13="",BI$6=""),"",SUMIFS(资金流水!$K$5:$K$3032,资金流水!$C$5:$C$3032,$A13,资金流水!$B$5:$B$3032,BI$6))</f>
        <v>0</v>
      </c>
      <c r="BJ13" s="11">
        <f>IF(OR($A13="",BI$6=""),"",SUMIFS(资金流水!$L$5:$L$3032,资金流水!$C$5:$C$3032,$A13,资金流水!$B$5:$B$3032,BI$6))</f>
        <v>0</v>
      </c>
      <c r="BK13" s="11">
        <f>IF(OR($A13="",BK$6=""),"",SUMIFS(资金流水!$K$5:$K$3032,资金流水!$C$5:$C$3032,$A13,资金流水!$B$5:$B$3032,BK$6))</f>
        <v>0</v>
      </c>
      <c r="BL13" s="11">
        <f>IF(OR($A13="",BK$6=""),"",SUMIFS(资金流水!$L$5:$L$3032,资金流水!$C$5:$C$3032,$A13,资金流水!$B$5:$B$3032,BK$6))</f>
        <v>0</v>
      </c>
      <c r="BM13" s="26">
        <f t="shared" si="0"/>
        <v>2322773.11</v>
      </c>
      <c r="BN13" s="26">
        <f t="shared" si="1"/>
        <v>1341645.23</v>
      </c>
      <c r="BO13" s="26" t="e">
        <f t="shared" si="2"/>
        <v>#VALUE!</v>
      </c>
    </row>
    <row r="14" spans="1:67">
      <c r="A14" s="24" t="str">
        <f>IF(基础资料!$E10="","",基础资料!$E10)</f>
        <v>瑞盛天农商行一般户</v>
      </c>
      <c r="B14" s="25" t="e">
        <f>IF(OR($A14="",NOT(ISNUMBER($I$2))),"",SUMIFS(资金流水!$M$5:$M$3015,资金流水!$C$5:$C$3032,$A14,资金流水!$B$5:$B$3032,"&lt;="&amp;$B$2)+SUMIFS(资金流水!$K$5:$K$3032,资金流水!$C$5:$C$3032,$A14,资金流水!$B$5:$B$3032,"&lt;"&amp;$B$2)-SUMIFS(资金流水!$L$5:$L$3032,资金流水!$C$5:$C$3032,$A14,资金流水!$B$5:$B$3032,"&lt;"&amp;$B$2))</f>
        <v>#VALUE!</v>
      </c>
      <c r="C14" s="11">
        <f>IF(OR($A14="",C$6=""),"",SUMIFS(资金流水!$K$5:$K$3032,资金流水!$C$5:$C$3032,$A14,资金流水!$B$5:$B$3032,C$6))</f>
        <v>0</v>
      </c>
      <c r="D14" s="11">
        <f>IF(OR($A14="",C$6=""),"",SUMIFS(资金流水!$L$5:$L$3032,资金流水!$C$5:$C$3032,$A14,资金流水!$B$5:$B$3032,C$6))</f>
        <v>0</v>
      </c>
      <c r="E14" s="11">
        <f>IF(OR($A14="",E$6=""),"",SUMIFS(资金流水!$K$5:$K$3032,资金流水!$C$5:$C$3032,$A14,资金流水!$B$5:$B$3032,E$6))</f>
        <v>0</v>
      </c>
      <c r="F14" s="11">
        <f>IF(OR($A14="",E$6=""),"",SUMIFS(资金流水!$L$5:$L$3032,资金流水!$C$5:$C$3032,$A14,资金流水!$B$5:$B$3032,E$6))</f>
        <v>0</v>
      </c>
      <c r="G14" s="11">
        <f>IF(OR($A14="",G$6=""),"",SUMIFS(资金流水!$K$5:$K$3032,资金流水!$C$5:$C$3032,$A14,资金流水!$B$5:$B$3032,G$6))</f>
        <v>0</v>
      </c>
      <c r="H14" s="11">
        <f>IF(OR($A14="",G$6=""),"",SUMIFS(资金流水!$L$5:$L$3032,资金流水!$C$5:$C$3032,$A14,资金流水!$B$5:$B$3032,G$6))</f>
        <v>718</v>
      </c>
      <c r="I14" s="11">
        <f>IF(OR($A14="",I$6=""),"",SUMIFS(资金流水!$K$5:$K$3032,资金流水!$C$5:$C$3032,$A14,资金流水!$B$5:$B$3032,I$6))</f>
        <v>179350</v>
      </c>
      <c r="J14" s="11">
        <f>IF(OR($A14="",I$6=""),"",SUMIFS(资金流水!$L$5:$L$3032,资金流水!$C$5:$C$3032,$A14,资金流水!$B$5:$B$3032,I$6))</f>
        <v>0</v>
      </c>
      <c r="K14" s="11">
        <f>IF(OR($A14="",K$6=""),"",SUMIFS(资金流水!$K$5:$K$3032,资金流水!$C$5:$C$3032,$A14,资金流水!$B$5:$B$3032,K$6))</f>
        <v>0</v>
      </c>
      <c r="L14" s="11">
        <f>IF(OR($A14="",K$6=""),"",SUMIFS(资金流水!$L$5:$L$3032,资金流水!$C$5:$C$3032,$A14,资金流水!$B$5:$B$3032,K$6))</f>
        <v>0</v>
      </c>
      <c r="M14" s="11">
        <f>IF(OR($A14="",M$6=""),"",SUMIFS(资金流水!$K$5:$K$3032,资金流水!$C$5:$C$3032,$A14,资金流水!$B$5:$B$3032,M$6))</f>
        <v>0</v>
      </c>
      <c r="N14" s="11">
        <f>IF(OR($A14="",M$6=""),"",SUMIFS(资金流水!$L$5:$L$3032,资金流水!$C$5:$C$3032,$A14,资金流水!$B$5:$B$3032,M$6))</f>
        <v>0</v>
      </c>
      <c r="O14" s="11">
        <f>IF(OR($A14="",O$6=""),"",SUMIFS(资金流水!$K$5:$K$3032,资金流水!$C$5:$C$3032,$A14,资金流水!$B$5:$B$3032,O$6))</f>
        <v>0</v>
      </c>
      <c r="P14" s="11">
        <f>IF(OR($A14="",O$6=""),"",SUMIFS(资金流水!$L$5:$L$3032,资金流水!$C$5:$C$3032,$A14,资金流水!$B$5:$B$3032,O$6))</f>
        <v>0</v>
      </c>
      <c r="Q14" s="11">
        <f>IF(OR($A14="",Q$6=""),"",SUMIFS(资金流水!$K$5:$K$3032,资金流水!$C$5:$C$3032,$A14,资金流水!$B$5:$B$3032,Q$6))</f>
        <v>0</v>
      </c>
      <c r="R14" s="11">
        <f>IF(OR($A14="",Q$6=""),"",SUMIFS(资金流水!$L$5:$L$3032,资金流水!$C$5:$C$3032,$A14,资金流水!$B$5:$B$3032,Q$6))</f>
        <v>0</v>
      </c>
      <c r="S14" s="11">
        <f>IF(OR($A14="",S$6=""),"",SUMIFS(资金流水!$K$5:$K$3032,资金流水!$C$5:$C$3032,$A14,资金流水!$B$5:$B$3032,S$6))</f>
        <v>0</v>
      </c>
      <c r="T14" s="11">
        <f>IF(OR($A14="",S$6=""),"",SUMIFS(资金流水!$L$5:$L$3032,资金流水!$C$5:$C$3032,$A14,资金流水!$B$5:$B$3032,S$6))</f>
        <v>0</v>
      </c>
      <c r="U14" s="11">
        <f>IF(OR($A14="",U$6=""),"",SUMIFS(资金流水!$K$5:$K$3032,资金流水!$C$5:$C$3032,$A14,资金流水!$B$5:$B$3032,U$6))</f>
        <v>0</v>
      </c>
      <c r="V14" s="11">
        <f>IF(OR($A14="",U$6=""),"",SUMIFS(资金流水!$L$5:$L$3032,资金流水!$C$5:$C$3032,$A14,资金流水!$B$5:$B$3032,U$6))</f>
        <v>0</v>
      </c>
      <c r="W14" s="11">
        <f>IF(OR($A14="",W$6=""),"",SUMIFS(资金流水!$K$5:$K$3032,资金流水!$C$5:$C$3032,$A14,资金流水!$B$5:$B$3032,W$6))</f>
        <v>0</v>
      </c>
      <c r="X14" s="11">
        <f>IF(OR($A14="",W$6=""),"",SUMIFS(资金流水!$L$5:$L$3032,资金流水!$C$5:$C$3032,$A14,资金流水!$B$5:$B$3032,W$6))</f>
        <v>0</v>
      </c>
      <c r="Y14" s="11">
        <f>IF(OR($A14="",Y$6=""),"",SUMIFS(资金流水!$K$5:$K$3032,资金流水!$C$5:$C$3032,$A14,资金流水!$B$5:$B$3032,Y$6))</f>
        <v>0</v>
      </c>
      <c r="Z14" s="11">
        <f>IF(OR($A14="",Y$6=""),"",SUMIFS(资金流水!$L$5:$L$3032,资金流水!$C$5:$C$3032,$A14,资金流水!$B$5:$B$3032,Y$6))</f>
        <v>0</v>
      </c>
      <c r="AA14" s="11">
        <f>IF(OR($A14="",AA$6=""),"",SUMIFS(资金流水!$K$5:$K$3032,资金流水!$C$5:$C$3032,$A14,资金流水!$B$5:$B$3032,AA$6))</f>
        <v>0</v>
      </c>
      <c r="AB14" s="11">
        <f>IF(OR($A14="",AA$6=""),"",SUMIFS(资金流水!$L$5:$L$3032,资金流水!$C$5:$C$3032,$A14,资金流水!$B$5:$B$3032,AA$6))</f>
        <v>0</v>
      </c>
      <c r="AC14" s="11">
        <f>IF(OR($A14="",AC$6=""),"",SUMIFS(资金流水!$K$5:$K$3032,资金流水!$C$5:$C$3032,$A14,资金流水!$B$5:$B$3032,AC$6))</f>
        <v>0</v>
      </c>
      <c r="AD14" s="11">
        <f>IF(OR($A14="",AC$6=""),"",SUMIFS(资金流水!$L$5:$L$3032,资金流水!$C$5:$C$3032,$A14,资金流水!$B$5:$B$3032,AC$6))</f>
        <v>0</v>
      </c>
      <c r="AE14" s="11">
        <f>IF(OR($A14="",AE$6=""),"",SUMIFS(资金流水!$K$5:$K$3032,资金流水!$C$5:$C$3032,$A14,资金流水!$B$5:$B$3032,AE$6))</f>
        <v>0</v>
      </c>
      <c r="AF14" s="11">
        <f>IF(OR($A14="",AE$6=""),"",SUMIFS(资金流水!$L$5:$L$3032,资金流水!$C$5:$C$3032,$A14,资金流水!$B$5:$B$3032,AE$6))</f>
        <v>5836.44</v>
      </c>
      <c r="AG14" s="11">
        <f>IF(OR($A14="",AG$6=""),"",SUMIFS(资金流水!$K$5:$K$3032,资金流水!$C$5:$C$3032,$A14,资金流水!$B$5:$B$3032,AG$6))</f>
        <v>0</v>
      </c>
      <c r="AH14" s="11">
        <f>IF(OR($A14="",AG$6=""),"",SUMIFS(资金流水!$L$5:$L$3032,资金流水!$C$5:$C$3032,$A14,资金流水!$B$5:$B$3032,AG$6))</f>
        <v>0</v>
      </c>
      <c r="AI14" s="11">
        <f>IF(OR($A14="",AI$6=""),"",SUMIFS(资金流水!$K$5:$K$3032,资金流水!$C$5:$C$3032,$A14,资金流水!$B$5:$B$3032,AI$6))</f>
        <v>0</v>
      </c>
      <c r="AJ14" s="11">
        <f>IF(OR($A14="",AI$6=""),"",SUMIFS(资金流水!$L$5:$L$3032,资金流水!$C$5:$C$3032,$A14,资金流水!$B$5:$B$3032,AI$6))</f>
        <v>0</v>
      </c>
      <c r="AK14" s="11">
        <f>IF(OR($A14="",AK$6=""),"",SUMIFS(资金流水!$K$5:$K$3032,资金流水!$C$5:$C$3032,$A14,资金流水!$B$5:$B$3032,AK$6))</f>
        <v>0</v>
      </c>
      <c r="AL14" s="11">
        <f>IF(OR($A14="",AK$6=""),"",SUMIFS(资金流水!$L$5:$L$3032,资金流水!$C$5:$C$3032,$A14,资金流水!$B$5:$B$3032,AK$6))</f>
        <v>0</v>
      </c>
      <c r="AM14" s="11">
        <f>IF(OR($A14="",AM$6=""),"",SUMIFS(资金流水!$K$5:$K$3032,资金流水!$C$5:$C$3032,$A14,资金流水!$B$5:$B$3032,AM$6))</f>
        <v>0</v>
      </c>
      <c r="AN14" s="11">
        <f>IF(OR($A14="",AM$6=""),"",SUMIFS(资金流水!$L$5:$L$3032,资金流水!$C$5:$C$3032,$A14,资金流水!$B$5:$B$3032,AM$6))</f>
        <v>0</v>
      </c>
      <c r="AO14" s="11">
        <f>IF(OR($A14="",AO$6=""),"",SUMIFS(资金流水!$K$5:$K$3032,资金流水!$C$5:$C$3032,$A14,资金流水!$B$5:$B$3032,AO$6))</f>
        <v>0</v>
      </c>
      <c r="AP14" s="11">
        <f>IF(OR($A14="",AO$6=""),"",SUMIFS(资金流水!$L$5:$L$3032,资金流水!$C$5:$C$3032,$A14,资金流水!$B$5:$B$3032,AO$6))</f>
        <v>0</v>
      </c>
      <c r="AQ14" s="11">
        <f>IF(OR($A14="",AQ$6=""),"",SUMIFS(资金流水!$K$5:$K$3032,资金流水!$C$5:$C$3032,$A14,资金流水!$B$5:$B$3032,AQ$6))</f>
        <v>0</v>
      </c>
      <c r="AR14" s="11">
        <f>IF(OR($A14="",AQ$6=""),"",SUMIFS(资金流水!$L$5:$L$3032,资金流水!$C$5:$C$3032,$A14,资金流水!$B$5:$B$3032,AQ$6))</f>
        <v>0</v>
      </c>
      <c r="AS14" s="11">
        <f>IF(OR($A14="",AS$6=""),"",SUMIFS(资金流水!$K$5:$K$3032,资金流水!$C$5:$C$3032,$A14,资金流水!$B$5:$B$3032,AS$6))</f>
        <v>0</v>
      </c>
      <c r="AT14" s="11">
        <f>IF(OR($A14="",AS$6=""),"",SUMIFS(资金流水!$L$5:$L$3032,资金流水!$C$5:$C$3032,$A14,资金流水!$B$5:$B$3032,AS$6))</f>
        <v>0</v>
      </c>
      <c r="AU14" s="11">
        <f>IF(OR($A14="",AU$6=""),"",SUMIFS(资金流水!$K$5:$K$3032,资金流水!$C$5:$C$3032,$A14,资金流水!$B$5:$B$3032,AU$6))</f>
        <v>0</v>
      </c>
      <c r="AV14" s="11">
        <f>IF(OR($A14="",AU$6=""),"",SUMIFS(资金流水!$L$5:$L$3032,资金流水!$C$5:$C$3032,$A14,资金流水!$B$5:$B$3032,AU$6))</f>
        <v>0</v>
      </c>
      <c r="AW14" s="11">
        <f>IF(OR($A14="",AW$6=""),"",SUMIFS(资金流水!$K$5:$K$3032,资金流水!$C$5:$C$3032,$A14,资金流水!$B$5:$B$3032,AW$6))</f>
        <v>0</v>
      </c>
      <c r="AX14" s="11">
        <f>IF(OR($A14="",AW$6=""),"",SUMIFS(资金流水!$L$5:$L$3032,资金流水!$C$5:$C$3032,$A14,资金流水!$B$5:$B$3032,AW$6))</f>
        <v>0</v>
      </c>
      <c r="AY14" s="11">
        <f>IF(OR($A14="",AY$6=""),"",SUMIFS(资金流水!$K$5:$K$3032,资金流水!$C$5:$C$3032,$A14,资金流水!$B$5:$B$3032,AY$6))</f>
        <v>0</v>
      </c>
      <c r="AZ14" s="11">
        <f>IF(OR($A14="",AY$6=""),"",SUMIFS(资金流水!$L$5:$L$3032,资金流水!$C$5:$C$3032,$A14,资金流水!$B$5:$B$3032,AY$6))</f>
        <v>0</v>
      </c>
      <c r="BA14" s="11">
        <f>IF(OR($A14="",BA$6=""),"",SUMIFS(资金流水!$K$5:$K$3032,资金流水!$C$5:$C$3032,$A14,资金流水!$B$5:$B$3032,BA$6))</f>
        <v>0</v>
      </c>
      <c r="BB14" s="11">
        <f>IF(OR($A14="",BA$6=""),"",SUMIFS(资金流水!$L$5:$L$3032,资金流水!$C$5:$C$3032,$A14,资金流水!$B$5:$B$3032,BA$6))</f>
        <v>0</v>
      </c>
      <c r="BC14" s="11">
        <f>IF(OR($A14="",BC$6=""),"",SUMIFS(资金流水!$K$5:$K$3032,资金流水!$C$5:$C$3032,$A14,资金流水!$B$5:$B$3032,BC$6))</f>
        <v>0</v>
      </c>
      <c r="BD14" s="11">
        <f>IF(OR($A14="",BC$6=""),"",SUMIFS(资金流水!$L$5:$L$3032,资金流水!$C$5:$C$3032,$A14,资金流水!$B$5:$B$3032,BC$6))</f>
        <v>0</v>
      </c>
      <c r="BE14" s="11">
        <f>IF(OR($A14="",BE$6=""),"",SUMIFS(资金流水!$K$5:$K$3032,资金流水!$C$5:$C$3032,$A14,资金流水!$B$5:$B$3032,BE$6))</f>
        <v>0</v>
      </c>
      <c r="BF14" s="11">
        <f>IF(OR($A14="",BE$6=""),"",SUMIFS(资金流水!$L$5:$L$3032,资金流水!$C$5:$C$3032,$A14,资金流水!$B$5:$B$3032,BE$6))</f>
        <v>0</v>
      </c>
      <c r="BG14" s="11">
        <f>IF(OR($A14="",BG$6=""),"",SUMIFS(资金流水!$K$5:$K$3032,资金流水!$C$5:$C$3032,$A14,资金流水!$B$5:$B$3032,BG$6))</f>
        <v>0</v>
      </c>
      <c r="BH14" s="11">
        <f>IF(OR($A14="",BG$6=""),"",SUMIFS(资金流水!$L$5:$L$3032,资金流水!$C$5:$C$3032,$A14,资金流水!$B$5:$B$3032,BG$6))</f>
        <v>0</v>
      </c>
      <c r="BI14" s="11">
        <f>IF(OR($A14="",BI$6=""),"",SUMIFS(资金流水!$K$5:$K$3032,资金流水!$C$5:$C$3032,$A14,资金流水!$B$5:$B$3032,BI$6))</f>
        <v>0</v>
      </c>
      <c r="BJ14" s="11">
        <f>IF(OR($A14="",BI$6=""),"",SUMIFS(资金流水!$L$5:$L$3032,资金流水!$C$5:$C$3032,$A14,资金流水!$B$5:$B$3032,BI$6))</f>
        <v>0</v>
      </c>
      <c r="BK14" s="11">
        <f>IF(OR($A14="",BK$6=""),"",SUMIFS(资金流水!$K$5:$K$3032,资金流水!$C$5:$C$3032,$A14,资金流水!$B$5:$B$3032,BK$6))</f>
        <v>0</v>
      </c>
      <c r="BL14" s="11">
        <f>IF(OR($A14="",BK$6=""),"",SUMIFS(资金流水!$L$5:$L$3032,资金流水!$C$5:$C$3032,$A14,资金流水!$B$5:$B$3032,BK$6))</f>
        <v>14502</v>
      </c>
      <c r="BM14" s="26">
        <f t="shared" si="0"/>
        <v>179350</v>
      </c>
      <c r="BN14" s="26">
        <f t="shared" si="1"/>
        <v>21056.44</v>
      </c>
      <c r="BO14" s="26" t="e">
        <f t="shared" si="2"/>
        <v>#VALUE!</v>
      </c>
    </row>
    <row r="15" spans="1:67">
      <c r="A15" s="24" t="str">
        <f>IF(基础资料!$E11="","",基础资料!$E11)</f>
        <v>中展中行基本户</v>
      </c>
      <c r="B15" s="25" t="e">
        <f>IF(OR($A15="",NOT(ISNUMBER($I$2))),"",SUMIFS(资金流水!$M$5:$M$3015,资金流水!$C$5:$C$3032,$A15,资金流水!$B$5:$B$3032,"&lt;="&amp;$B$2)+SUMIFS(资金流水!$K$5:$K$3032,资金流水!$C$5:$C$3032,$A15,资金流水!$B$5:$B$3032,"&lt;"&amp;$B$2)-SUMIFS(资金流水!$L$5:$L$3032,资金流水!$C$5:$C$3032,$A15,资金流水!$B$5:$B$3032,"&lt;"&amp;$B$2))</f>
        <v>#VALUE!</v>
      </c>
      <c r="C15" s="11">
        <f>IF(OR($A15="",C$6=""),"",SUMIFS(资金流水!$K$5:$K$3032,资金流水!$C$5:$C$3032,$A15,资金流水!$B$5:$B$3032,C$6))</f>
        <v>0</v>
      </c>
      <c r="D15" s="11">
        <f>IF(OR($A15="",C$6=""),"",SUMIFS(资金流水!$L$5:$L$3032,资金流水!$C$5:$C$3032,$A15,资金流水!$B$5:$B$3032,C$6))</f>
        <v>0</v>
      </c>
      <c r="E15" s="11">
        <f>IF(OR($A15="",E$6=""),"",SUMIFS(资金流水!$K$5:$K$3032,资金流水!$C$5:$C$3032,$A15,资金流水!$B$5:$B$3032,E$6))</f>
        <v>0</v>
      </c>
      <c r="F15" s="11">
        <f>IF(OR($A15="",E$6=""),"",SUMIFS(资金流水!$L$5:$L$3032,资金流水!$C$5:$C$3032,$A15,资金流水!$B$5:$B$3032,E$6))</f>
        <v>0</v>
      </c>
      <c r="G15" s="11">
        <f>IF(OR($A15="",G$6=""),"",SUMIFS(资金流水!$K$5:$K$3032,资金流水!$C$5:$C$3032,$A15,资金流水!$B$5:$B$3032,G$6))</f>
        <v>0</v>
      </c>
      <c r="H15" s="11">
        <f>IF(OR($A15="",G$6=""),"",SUMIFS(资金流水!$L$5:$L$3032,资金流水!$C$5:$C$3032,$A15,资金流水!$B$5:$B$3032,G$6))</f>
        <v>0</v>
      </c>
      <c r="I15" s="11">
        <f>IF(OR($A15="",I$6=""),"",SUMIFS(资金流水!$K$5:$K$3032,资金流水!$C$5:$C$3032,$A15,资金流水!$B$5:$B$3032,I$6))</f>
        <v>0</v>
      </c>
      <c r="J15" s="11">
        <f>IF(OR($A15="",I$6=""),"",SUMIFS(资金流水!$L$5:$L$3032,资金流水!$C$5:$C$3032,$A15,资金流水!$B$5:$B$3032,I$6))</f>
        <v>0</v>
      </c>
      <c r="K15" s="11">
        <f>IF(OR($A15="",K$6=""),"",SUMIFS(资金流水!$K$5:$K$3032,资金流水!$C$5:$C$3032,$A15,资金流水!$B$5:$B$3032,K$6))</f>
        <v>0</v>
      </c>
      <c r="L15" s="11">
        <f>IF(OR($A15="",K$6=""),"",SUMIFS(资金流水!$L$5:$L$3032,资金流水!$C$5:$C$3032,$A15,资金流水!$B$5:$B$3032,K$6))</f>
        <v>0</v>
      </c>
      <c r="M15" s="11">
        <f>IF(OR($A15="",M$6=""),"",SUMIFS(资金流水!$K$5:$K$3032,资金流水!$C$5:$C$3032,$A15,资金流水!$B$5:$B$3032,M$6))</f>
        <v>0</v>
      </c>
      <c r="N15" s="11">
        <f>IF(OR($A15="",M$6=""),"",SUMIFS(资金流水!$L$5:$L$3032,资金流水!$C$5:$C$3032,$A15,资金流水!$B$5:$B$3032,M$6))</f>
        <v>17713.5</v>
      </c>
      <c r="O15" s="11">
        <f>IF(OR($A15="",O$6=""),"",SUMIFS(资金流水!$K$5:$K$3032,资金流水!$C$5:$C$3032,$A15,资金流水!$B$5:$B$3032,O$6))</f>
        <v>0</v>
      </c>
      <c r="P15" s="11">
        <f>IF(OR($A15="",O$6=""),"",SUMIFS(资金流水!$L$5:$L$3032,资金流水!$C$5:$C$3032,$A15,资金流水!$B$5:$B$3032,O$6))</f>
        <v>0</v>
      </c>
      <c r="Q15" s="11">
        <f>IF(OR($A15="",Q$6=""),"",SUMIFS(资金流水!$K$5:$K$3032,资金流水!$C$5:$C$3032,$A15,资金流水!$B$5:$B$3032,Q$6))</f>
        <v>0</v>
      </c>
      <c r="R15" s="11">
        <f>IF(OR($A15="",Q$6=""),"",SUMIFS(资金流水!$L$5:$L$3032,资金流水!$C$5:$C$3032,$A15,资金流水!$B$5:$B$3032,Q$6))</f>
        <v>5350</v>
      </c>
      <c r="S15" s="11">
        <f>IF(OR($A15="",S$6=""),"",SUMIFS(资金流水!$K$5:$K$3032,资金流水!$C$5:$C$3032,$A15,资金流水!$B$5:$B$3032,S$6))</f>
        <v>0</v>
      </c>
      <c r="T15" s="11">
        <f>IF(OR($A15="",S$6=""),"",SUMIFS(资金流水!$L$5:$L$3032,资金流水!$C$5:$C$3032,$A15,资金流水!$B$5:$B$3032,S$6))</f>
        <v>0</v>
      </c>
      <c r="U15" s="11">
        <f>IF(OR($A15="",U$6=""),"",SUMIFS(资金流水!$K$5:$K$3032,资金流水!$C$5:$C$3032,$A15,资金流水!$B$5:$B$3032,U$6))</f>
        <v>0</v>
      </c>
      <c r="V15" s="11">
        <f>IF(OR($A15="",U$6=""),"",SUMIFS(资金流水!$L$5:$L$3032,资金流水!$C$5:$C$3032,$A15,资金流水!$B$5:$B$3032,U$6))</f>
        <v>0</v>
      </c>
      <c r="W15" s="11">
        <f>IF(OR($A15="",W$6=""),"",SUMIFS(资金流水!$K$5:$K$3032,资金流水!$C$5:$C$3032,$A15,资金流水!$B$5:$B$3032,W$6))</f>
        <v>0</v>
      </c>
      <c r="X15" s="11">
        <f>IF(OR($A15="",W$6=""),"",SUMIFS(资金流水!$L$5:$L$3032,资金流水!$C$5:$C$3032,$A15,资金流水!$B$5:$B$3032,W$6))</f>
        <v>0</v>
      </c>
      <c r="Y15" s="11">
        <f>IF(OR($A15="",Y$6=""),"",SUMIFS(资金流水!$K$5:$K$3032,资金流水!$C$5:$C$3032,$A15,资金流水!$B$5:$B$3032,Y$6))</f>
        <v>0</v>
      </c>
      <c r="Z15" s="11">
        <f>IF(OR($A15="",Y$6=""),"",SUMIFS(资金流水!$L$5:$L$3032,资金流水!$C$5:$C$3032,$A15,资金流水!$B$5:$B$3032,Y$6))</f>
        <v>0</v>
      </c>
      <c r="AA15" s="11">
        <f>IF(OR($A15="",AA$6=""),"",SUMIFS(资金流水!$K$5:$K$3032,资金流水!$C$5:$C$3032,$A15,资金流水!$B$5:$B$3032,AA$6))</f>
        <v>0</v>
      </c>
      <c r="AB15" s="11">
        <f>IF(OR($A15="",AA$6=""),"",SUMIFS(资金流水!$L$5:$L$3032,资金流水!$C$5:$C$3032,$A15,资金流水!$B$5:$B$3032,AA$6))</f>
        <v>0</v>
      </c>
      <c r="AC15" s="11">
        <f>IF(OR($A15="",AC$6=""),"",SUMIFS(资金流水!$K$5:$K$3032,资金流水!$C$5:$C$3032,$A15,资金流水!$B$5:$B$3032,AC$6))</f>
        <v>0</v>
      </c>
      <c r="AD15" s="11">
        <f>IF(OR($A15="",AC$6=""),"",SUMIFS(资金流水!$L$5:$L$3032,资金流水!$C$5:$C$3032,$A15,资金流水!$B$5:$B$3032,AC$6))</f>
        <v>5457.61</v>
      </c>
      <c r="AE15" s="11">
        <f>IF(OR($A15="",AE$6=""),"",SUMIFS(资金流水!$K$5:$K$3032,资金流水!$C$5:$C$3032,$A15,资金流水!$B$5:$B$3032,AE$6))</f>
        <v>0</v>
      </c>
      <c r="AF15" s="11">
        <f>IF(OR($A15="",AE$6=""),"",SUMIFS(资金流水!$L$5:$L$3032,资金流水!$C$5:$C$3032,$A15,资金流水!$B$5:$B$3032,AE$6))</f>
        <v>0</v>
      </c>
      <c r="AG15" s="11">
        <f>IF(OR($A15="",AG$6=""),"",SUMIFS(资金流水!$K$5:$K$3032,资金流水!$C$5:$C$3032,$A15,资金流水!$B$5:$B$3032,AG$6))</f>
        <v>0</v>
      </c>
      <c r="AH15" s="11">
        <f>IF(OR($A15="",AG$6=""),"",SUMIFS(资金流水!$L$5:$L$3032,资金流水!$C$5:$C$3032,$A15,资金流水!$B$5:$B$3032,AG$6))</f>
        <v>6000</v>
      </c>
      <c r="AI15" s="11">
        <f>IF(OR($A15="",AI$6=""),"",SUMIFS(资金流水!$K$5:$K$3032,资金流水!$C$5:$C$3032,$A15,资金流水!$B$5:$B$3032,AI$6))</f>
        <v>0</v>
      </c>
      <c r="AJ15" s="11">
        <f>IF(OR($A15="",AI$6=""),"",SUMIFS(资金流水!$L$5:$L$3032,资金流水!$C$5:$C$3032,$A15,资金流水!$B$5:$B$3032,AI$6))</f>
        <v>0</v>
      </c>
      <c r="AK15" s="11">
        <f>IF(OR($A15="",AK$6=""),"",SUMIFS(资金流水!$K$5:$K$3032,资金流水!$C$5:$C$3032,$A15,资金流水!$B$5:$B$3032,AK$6))</f>
        <v>0</v>
      </c>
      <c r="AL15" s="11">
        <f>IF(OR($A15="",AK$6=""),"",SUMIFS(资金流水!$L$5:$L$3032,资金流水!$C$5:$C$3032,$A15,资金流水!$B$5:$B$3032,AK$6))</f>
        <v>0</v>
      </c>
      <c r="AM15" s="11">
        <f>IF(OR($A15="",AM$6=""),"",SUMIFS(资金流水!$K$5:$K$3032,资金流水!$C$5:$C$3032,$A15,资金流水!$B$5:$B$3032,AM$6))</f>
        <v>0</v>
      </c>
      <c r="AN15" s="11">
        <f>IF(OR($A15="",AM$6=""),"",SUMIFS(资金流水!$L$5:$L$3032,资金流水!$C$5:$C$3032,$A15,资金流水!$B$5:$B$3032,AM$6))</f>
        <v>1885.69</v>
      </c>
      <c r="AO15" s="11">
        <f>IF(OR($A15="",AO$6=""),"",SUMIFS(资金流水!$K$5:$K$3032,资金流水!$C$5:$C$3032,$A15,资金流水!$B$5:$B$3032,AO$6))</f>
        <v>0</v>
      </c>
      <c r="AP15" s="11">
        <f>IF(OR($A15="",AO$6=""),"",SUMIFS(资金流水!$L$5:$L$3032,资金流水!$C$5:$C$3032,$A15,资金流水!$B$5:$B$3032,AO$6))</f>
        <v>12392.85</v>
      </c>
      <c r="AQ15" s="11">
        <f>IF(OR($A15="",AQ$6=""),"",SUMIFS(资金流水!$K$5:$K$3032,资金流水!$C$5:$C$3032,$A15,资金流水!$B$5:$B$3032,AQ$6))</f>
        <v>0</v>
      </c>
      <c r="AR15" s="11">
        <f>IF(OR($A15="",AQ$6=""),"",SUMIFS(资金流水!$L$5:$L$3032,资金流水!$C$5:$C$3032,$A15,资金流水!$B$5:$B$3032,AQ$6))</f>
        <v>0</v>
      </c>
      <c r="AS15" s="11">
        <f>IF(OR($A15="",AS$6=""),"",SUMIFS(资金流水!$K$5:$K$3032,资金流水!$C$5:$C$3032,$A15,资金流水!$B$5:$B$3032,AS$6))</f>
        <v>0</v>
      </c>
      <c r="AT15" s="11">
        <f>IF(OR($A15="",AS$6=""),"",SUMIFS(资金流水!$L$5:$L$3032,资金流水!$C$5:$C$3032,$A15,资金流水!$B$5:$B$3032,AS$6))</f>
        <v>0</v>
      </c>
      <c r="AU15" s="11">
        <f>IF(OR($A15="",AU$6=""),"",SUMIFS(资金流水!$K$5:$K$3032,资金流水!$C$5:$C$3032,$A15,资金流水!$B$5:$B$3032,AU$6))</f>
        <v>0</v>
      </c>
      <c r="AV15" s="11">
        <f>IF(OR($A15="",AU$6=""),"",SUMIFS(资金流水!$L$5:$L$3032,资金流水!$C$5:$C$3032,$A15,资金流水!$B$5:$B$3032,AU$6))</f>
        <v>2804.5</v>
      </c>
      <c r="AW15" s="11">
        <f>IF(OR($A15="",AW$6=""),"",SUMIFS(资金流水!$K$5:$K$3032,资金流水!$C$5:$C$3032,$A15,资金流水!$B$5:$B$3032,AW$6))</f>
        <v>0</v>
      </c>
      <c r="AX15" s="11">
        <f>IF(OR($A15="",AW$6=""),"",SUMIFS(资金流水!$L$5:$L$3032,资金流水!$C$5:$C$3032,$A15,资金流水!$B$5:$B$3032,AW$6))</f>
        <v>3004.5</v>
      </c>
      <c r="AY15" s="11">
        <f>IF(OR($A15="",AY$6=""),"",SUMIFS(资金流水!$K$5:$K$3032,资金流水!$C$5:$C$3032,$A15,资金流水!$B$5:$B$3032,AY$6))</f>
        <v>0</v>
      </c>
      <c r="AZ15" s="11">
        <f>IF(OR($A15="",AY$6=""),"",SUMIFS(资金流水!$L$5:$L$3032,资金流水!$C$5:$C$3032,$A15,资金流水!$B$5:$B$3032,AY$6))</f>
        <v>0</v>
      </c>
      <c r="BA15" s="11">
        <f>IF(OR($A15="",BA$6=""),"",SUMIFS(资金流水!$K$5:$K$3032,资金流水!$C$5:$C$3032,$A15,资金流水!$B$5:$B$3032,BA$6))</f>
        <v>0</v>
      </c>
      <c r="BB15" s="11">
        <f>IF(OR($A15="",BA$6=""),"",SUMIFS(资金流水!$L$5:$L$3032,资金流水!$C$5:$C$3032,$A15,资金流水!$B$5:$B$3032,BA$6))</f>
        <v>0</v>
      </c>
      <c r="BC15" s="11">
        <f>IF(OR($A15="",BC$6=""),"",SUMIFS(资金流水!$K$5:$K$3032,资金流水!$C$5:$C$3032,$A15,资金流水!$B$5:$B$3032,BC$6))</f>
        <v>0</v>
      </c>
      <c r="BD15" s="11">
        <f>IF(OR($A15="",BC$6=""),"",SUMIFS(资金流水!$L$5:$L$3032,资金流水!$C$5:$C$3032,$A15,资金流水!$B$5:$B$3032,BC$6))</f>
        <v>0</v>
      </c>
      <c r="BE15" s="11">
        <f>IF(OR($A15="",BE$6=""),"",SUMIFS(资金流水!$K$5:$K$3032,资金流水!$C$5:$C$3032,$A15,资金流水!$B$5:$B$3032,BE$6))</f>
        <v>0</v>
      </c>
      <c r="BF15" s="11">
        <f>IF(OR($A15="",BE$6=""),"",SUMIFS(资金流水!$L$5:$L$3032,资金流水!$C$5:$C$3032,$A15,资金流水!$B$5:$B$3032,BE$6))</f>
        <v>0</v>
      </c>
      <c r="BG15" s="11">
        <f>IF(OR($A15="",BG$6=""),"",SUMIFS(资金流水!$K$5:$K$3032,资金流水!$C$5:$C$3032,$A15,资金流水!$B$5:$B$3032,BG$6))</f>
        <v>0</v>
      </c>
      <c r="BH15" s="11">
        <f>IF(OR($A15="",BG$6=""),"",SUMIFS(资金流水!$L$5:$L$3032,资金流水!$C$5:$C$3032,$A15,资金流水!$B$5:$B$3032,BG$6))</f>
        <v>0</v>
      </c>
      <c r="BI15" s="11">
        <f>IF(OR($A15="",BI$6=""),"",SUMIFS(资金流水!$K$5:$K$3032,资金流水!$C$5:$C$3032,$A15,资金流水!$B$5:$B$3032,BI$6))</f>
        <v>0</v>
      </c>
      <c r="BJ15" s="11">
        <f>IF(OR($A15="",BI$6=""),"",SUMIFS(资金流水!$L$5:$L$3032,资金流水!$C$5:$C$3032,$A15,资金流水!$B$5:$B$3032,BI$6))</f>
        <v>0</v>
      </c>
      <c r="BK15" s="11">
        <f>IF(OR($A15="",BK$6=""),"",SUMIFS(资金流水!$K$5:$K$3032,资金流水!$C$5:$C$3032,$A15,资金流水!$B$5:$B$3032,BK$6))</f>
        <v>0</v>
      </c>
      <c r="BL15" s="11">
        <f>IF(OR($A15="",BK$6=""),"",SUMIFS(资金流水!$L$5:$L$3032,资金流水!$C$5:$C$3032,$A15,资金流水!$B$5:$B$3032,BK$6))</f>
        <v>0</v>
      </c>
      <c r="BM15" s="26">
        <f t="shared" si="0"/>
        <v>0</v>
      </c>
      <c r="BN15" s="26">
        <f t="shared" si="1"/>
        <v>54608.65</v>
      </c>
      <c r="BO15" s="26" t="e">
        <f t="shared" si="2"/>
        <v>#VALUE!</v>
      </c>
    </row>
    <row r="16" spans="1:67">
      <c r="A16" s="24" t="str">
        <f>IF(基础资料!$E12="","",基础资料!$E12)</f>
        <v>中展农商行一般户</v>
      </c>
      <c r="B16" s="25" t="e">
        <f>IF(OR($A16="",NOT(ISNUMBER($I$2))),"",SUMIFS(资金流水!$M$5:$M$3015,资金流水!$C$5:$C$3032,$A16,资金流水!$B$5:$B$3032,"&lt;="&amp;$B$2)+SUMIFS(资金流水!$K$5:$K$3032,资金流水!$C$5:$C$3032,$A16,资金流水!$B$5:$B$3032,"&lt;"&amp;$B$2)-SUMIFS(资金流水!$L$5:$L$3032,资金流水!$C$5:$C$3032,$A16,资金流水!$B$5:$B$3032,"&lt;"&amp;$B$2))</f>
        <v>#VALUE!</v>
      </c>
      <c r="C16" s="11">
        <f>IF(OR($A16="",C$6=""),"",SUMIFS(资金流水!$K$5:$K$3032,资金流水!$C$5:$C$3032,$A16,资金流水!$B$5:$B$3032,C$6))</f>
        <v>0</v>
      </c>
      <c r="D16" s="11">
        <f>IF(OR($A16="",C$6=""),"",SUMIFS(资金流水!$L$5:$L$3032,资金流水!$C$5:$C$3032,$A16,资金流水!$B$5:$B$3032,C$6))</f>
        <v>0</v>
      </c>
      <c r="E16" s="11">
        <f>IF(OR($A16="",E$6=""),"",SUMIFS(资金流水!$K$5:$K$3032,资金流水!$C$5:$C$3032,$A16,资金流水!$B$5:$B$3032,E$6))</f>
        <v>0</v>
      </c>
      <c r="F16" s="11">
        <f>IF(OR($A16="",E$6=""),"",SUMIFS(资金流水!$L$5:$L$3032,资金流水!$C$5:$C$3032,$A16,资金流水!$B$5:$B$3032,E$6))</f>
        <v>0</v>
      </c>
      <c r="G16" s="11">
        <f>IF(OR($A16="",G$6=""),"",SUMIFS(资金流水!$K$5:$K$3032,资金流水!$C$5:$C$3032,$A16,资金流水!$B$5:$B$3032,G$6))</f>
        <v>0</v>
      </c>
      <c r="H16" s="11">
        <f>IF(OR($A16="",G$6=""),"",SUMIFS(资金流水!$L$5:$L$3032,资金流水!$C$5:$C$3032,$A16,资金流水!$B$5:$B$3032,G$6))</f>
        <v>0</v>
      </c>
      <c r="I16" s="11">
        <f>IF(OR($A16="",I$6=""),"",SUMIFS(资金流水!$K$5:$K$3032,资金流水!$C$5:$C$3032,$A16,资金流水!$B$5:$B$3032,I$6))</f>
        <v>0</v>
      </c>
      <c r="J16" s="11">
        <f>IF(OR($A16="",I$6=""),"",SUMIFS(资金流水!$L$5:$L$3032,资金流水!$C$5:$C$3032,$A16,资金流水!$B$5:$B$3032,I$6))</f>
        <v>0</v>
      </c>
      <c r="K16" s="11">
        <f>IF(OR($A16="",K$6=""),"",SUMIFS(资金流水!$K$5:$K$3032,资金流水!$C$5:$C$3032,$A16,资金流水!$B$5:$B$3032,K$6))</f>
        <v>0</v>
      </c>
      <c r="L16" s="11">
        <f>IF(OR($A16="",K$6=""),"",SUMIFS(资金流水!$L$5:$L$3032,资金流水!$C$5:$C$3032,$A16,资金流水!$B$5:$B$3032,K$6))</f>
        <v>0</v>
      </c>
      <c r="M16" s="11">
        <f>IF(OR($A16="",M$6=""),"",SUMIFS(资金流水!$K$5:$K$3032,资金流水!$C$5:$C$3032,$A16,资金流水!$B$5:$B$3032,M$6))</f>
        <v>0</v>
      </c>
      <c r="N16" s="11">
        <f>IF(OR($A16="",M$6=""),"",SUMIFS(资金流水!$L$5:$L$3032,资金流水!$C$5:$C$3032,$A16,资金流水!$B$5:$B$3032,M$6))</f>
        <v>0</v>
      </c>
      <c r="O16" s="11">
        <f>IF(OR($A16="",O$6=""),"",SUMIFS(资金流水!$K$5:$K$3032,资金流水!$C$5:$C$3032,$A16,资金流水!$B$5:$B$3032,O$6))</f>
        <v>0</v>
      </c>
      <c r="P16" s="11">
        <f>IF(OR($A16="",O$6=""),"",SUMIFS(资金流水!$L$5:$L$3032,资金流水!$C$5:$C$3032,$A16,资金流水!$B$5:$B$3032,O$6))</f>
        <v>0</v>
      </c>
      <c r="Q16" s="11">
        <f>IF(OR($A16="",Q$6=""),"",SUMIFS(资金流水!$K$5:$K$3032,资金流水!$C$5:$C$3032,$A16,资金流水!$B$5:$B$3032,Q$6))</f>
        <v>0</v>
      </c>
      <c r="R16" s="11">
        <f>IF(OR($A16="",Q$6=""),"",SUMIFS(资金流水!$L$5:$L$3032,资金流水!$C$5:$C$3032,$A16,资金流水!$B$5:$B$3032,Q$6))</f>
        <v>0</v>
      </c>
      <c r="S16" s="11">
        <f>IF(OR($A16="",S$6=""),"",SUMIFS(资金流水!$K$5:$K$3032,资金流水!$C$5:$C$3032,$A16,资金流水!$B$5:$B$3032,S$6))</f>
        <v>0</v>
      </c>
      <c r="T16" s="11">
        <f>IF(OR($A16="",S$6=""),"",SUMIFS(资金流水!$L$5:$L$3032,资金流水!$C$5:$C$3032,$A16,资金流水!$B$5:$B$3032,S$6))</f>
        <v>0</v>
      </c>
      <c r="U16" s="11">
        <f>IF(OR($A16="",U$6=""),"",SUMIFS(资金流水!$K$5:$K$3032,资金流水!$C$5:$C$3032,$A16,资金流水!$B$5:$B$3032,U$6))</f>
        <v>0</v>
      </c>
      <c r="V16" s="11">
        <f>IF(OR($A16="",U$6=""),"",SUMIFS(资金流水!$L$5:$L$3032,资金流水!$C$5:$C$3032,$A16,资金流水!$B$5:$B$3032,U$6))</f>
        <v>0</v>
      </c>
      <c r="W16" s="11">
        <f>IF(OR($A16="",W$6=""),"",SUMIFS(资金流水!$K$5:$K$3032,资金流水!$C$5:$C$3032,$A16,资金流水!$B$5:$B$3032,W$6))</f>
        <v>0</v>
      </c>
      <c r="X16" s="11">
        <f>IF(OR($A16="",W$6=""),"",SUMIFS(资金流水!$L$5:$L$3032,资金流水!$C$5:$C$3032,$A16,资金流水!$B$5:$B$3032,W$6))</f>
        <v>0</v>
      </c>
      <c r="Y16" s="11">
        <f>IF(OR($A16="",Y$6=""),"",SUMIFS(资金流水!$K$5:$K$3032,资金流水!$C$5:$C$3032,$A16,资金流水!$B$5:$B$3032,Y$6))</f>
        <v>0</v>
      </c>
      <c r="Z16" s="11">
        <f>IF(OR($A16="",Y$6=""),"",SUMIFS(资金流水!$L$5:$L$3032,资金流水!$C$5:$C$3032,$A16,资金流水!$B$5:$B$3032,Y$6))</f>
        <v>0</v>
      </c>
      <c r="AA16" s="11">
        <f>IF(OR($A16="",AA$6=""),"",SUMIFS(资金流水!$K$5:$K$3032,资金流水!$C$5:$C$3032,$A16,资金流水!$B$5:$B$3032,AA$6))</f>
        <v>0</v>
      </c>
      <c r="AB16" s="11">
        <f>IF(OR($A16="",AA$6=""),"",SUMIFS(资金流水!$L$5:$L$3032,资金流水!$C$5:$C$3032,$A16,资金流水!$B$5:$B$3032,AA$6))</f>
        <v>0</v>
      </c>
      <c r="AC16" s="11">
        <f>IF(OR($A16="",AC$6=""),"",SUMIFS(资金流水!$K$5:$K$3032,资金流水!$C$5:$C$3032,$A16,资金流水!$B$5:$B$3032,AC$6))</f>
        <v>0</v>
      </c>
      <c r="AD16" s="11">
        <f>IF(OR($A16="",AC$6=""),"",SUMIFS(资金流水!$L$5:$L$3032,资金流水!$C$5:$C$3032,$A16,资金流水!$B$5:$B$3032,AC$6))</f>
        <v>0</v>
      </c>
      <c r="AE16" s="11">
        <f>IF(OR($A16="",AE$6=""),"",SUMIFS(资金流水!$K$5:$K$3032,资金流水!$C$5:$C$3032,$A16,资金流水!$B$5:$B$3032,AE$6))</f>
        <v>0</v>
      </c>
      <c r="AF16" s="11">
        <f>IF(OR($A16="",AE$6=""),"",SUMIFS(资金流水!$L$5:$L$3032,资金流水!$C$5:$C$3032,$A16,资金流水!$B$5:$B$3032,AE$6))</f>
        <v>0</v>
      </c>
      <c r="AG16" s="11">
        <f>IF(OR($A16="",AG$6=""),"",SUMIFS(资金流水!$K$5:$K$3032,资金流水!$C$5:$C$3032,$A16,资金流水!$B$5:$B$3032,AG$6))</f>
        <v>0</v>
      </c>
      <c r="AH16" s="11">
        <f>IF(OR($A16="",AG$6=""),"",SUMIFS(资金流水!$L$5:$L$3032,资金流水!$C$5:$C$3032,$A16,资金流水!$B$5:$B$3032,AG$6))</f>
        <v>0</v>
      </c>
      <c r="AI16" s="11">
        <f>IF(OR($A16="",AI$6=""),"",SUMIFS(资金流水!$K$5:$K$3032,资金流水!$C$5:$C$3032,$A16,资金流水!$B$5:$B$3032,AI$6))</f>
        <v>0</v>
      </c>
      <c r="AJ16" s="11">
        <f>IF(OR($A16="",AI$6=""),"",SUMIFS(资金流水!$L$5:$L$3032,资金流水!$C$5:$C$3032,$A16,资金流水!$B$5:$B$3032,AI$6))</f>
        <v>0</v>
      </c>
      <c r="AK16" s="11">
        <f>IF(OR($A16="",AK$6=""),"",SUMIFS(资金流水!$K$5:$K$3032,资金流水!$C$5:$C$3032,$A16,资金流水!$B$5:$B$3032,AK$6))</f>
        <v>0</v>
      </c>
      <c r="AL16" s="11">
        <f>IF(OR($A16="",AK$6=""),"",SUMIFS(资金流水!$L$5:$L$3032,资金流水!$C$5:$C$3032,$A16,资金流水!$B$5:$B$3032,AK$6))</f>
        <v>0</v>
      </c>
      <c r="AM16" s="11">
        <f>IF(OR($A16="",AM$6=""),"",SUMIFS(资金流水!$K$5:$K$3032,资金流水!$C$5:$C$3032,$A16,资金流水!$B$5:$B$3032,AM$6))</f>
        <v>0</v>
      </c>
      <c r="AN16" s="11">
        <f>IF(OR($A16="",AM$6=""),"",SUMIFS(资金流水!$L$5:$L$3032,资金流水!$C$5:$C$3032,$A16,资金流水!$B$5:$B$3032,AM$6))</f>
        <v>0</v>
      </c>
      <c r="AO16" s="11">
        <f>IF(OR($A16="",AO$6=""),"",SUMIFS(资金流水!$K$5:$K$3032,资金流水!$C$5:$C$3032,$A16,资金流水!$B$5:$B$3032,AO$6))</f>
        <v>0</v>
      </c>
      <c r="AP16" s="11">
        <f>IF(OR($A16="",AO$6=""),"",SUMIFS(资金流水!$L$5:$L$3032,资金流水!$C$5:$C$3032,$A16,资金流水!$B$5:$B$3032,AO$6))</f>
        <v>0</v>
      </c>
      <c r="AQ16" s="11">
        <f>IF(OR($A16="",AQ$6=""),"",SUMIFS(资金流水!$K$5:$K$3032,资金流水!$C$5:$C$3032,$A16,资金流水!$B$5:$B$3032,AQ$6))</f>
        <v>0</v>
      </c>
      <c r="AR16" s="11">
        <f>IF(OR($A16="",AQ$6=""),"",SUMIFS(资金流水!$L$5:$L$3032,资金流水!$C$5:$C$3032,$A16,资金流水!$B$5:$B$3032,AQ$6))</f>
        <v>0</v>
      </c>
      <c r="AS16" s="11">
        <f>IF(OR($A16="",AS$6=""),"",SUMIFS(资金流水!$K$5:$K$3032,资金流水!$C$5:$C$3032,$A16,资金流水!$B$5:$B$3032,AS$6))</f>
        <v>0</v>
      </c>
      <c r="AT16" s="11">
        <f>IF(OR($A16="",AS$6=""),"",SUMIFS(资金流水!$L$5:$L$3032,资金流水!$C$5:$C$3032,$A16,资金流水!$B$5:$B$3032,AS$6))</f>
        <v>0</v>
      </c>
      <c r="AU16" s="11">
        <f>IF(OR($A16="",AU$6=""),"",SUMIFS(资金流水!$K$5:$K$3032,资金流水!$C$5:$C$3032,$A16,资金流水!$B$5:$B$3032,AU$6))</f>
        <v>0</v>
      </c>
      <c r="AV16" s="11">
        <f>IF(OR($A16="",AU$6=""),"",SUMIFS(资金流水!$L$5:$L$3032,资金流水!$C$5:$C$3032,$A16,资金流水!$B$5:$B$3032,AU$6))</f>
        <v>0</v>
      </c>
      <c r="AW16" s="11">
        <f>IF(OR($A16="",AW$6=""),"",SUMIFS(资金流水!$K$5:$K$3032,资金流水!$C$5:$C$3032,$A16,资金流水!$B$5:$B$3032,AW$6))</f>
        <v>0</v>
      </c>
      <c r="AX16" s="11">
        <f>IF(OR($A16="",AW$6=""),"",SUMIFS(资金流水!$L$5:$L$3032,资金流水!$C$5:$C$3032,$A16,资金流水!$B$5:$B$3032,AW$6))</f>
        <v>0</v>
      </c>
      <c r="AY16" s="11">
        <f>IF(OR($A16="",AY$6=""),"",SUMIFS(资金流水!$K$5:$K$3032,资金流水!$C$5:$C$3032,$A16,资金流水!$B$5:$B$3032,AY$6))</f>
        <v>0</v>
      </c>
      <c r="AZ16" s="11">
        <f>IF(OR($A16="",AY$6=""),"",SUMIFS(资金流水!$L$5:$L$3032,资金流水!$C$5:$C$3032,$A16,资金流水!$B$5:$B$3032,AY$6))</f>
        <v>0</v>
      </c>
      <c r="BA16" s="11">
        <f>IF(OR($A16="",BA$6=""),"",SUMIFS(资金流水!$K$5:$K$3032,资金流水!$C$5:$C$3032,$A16,资金流水!$B$5:$B$3032,BA$6))</f>
        <v>0</v>
      </c>
      <c r="BB16" s="11">
        <f>IF(OR($A16="",BA$6=""),"",SUMIFS(资金流水!$L$5:$L$3032,资金流水!$C$5:$C$3032,$A16,资金流水!$B$5:$B$3032,BA$6))</f>
        <v>0</v>
      </c>
      <c r="BC16" s="11">
        <f>IF(OR($A16="",BC$6=""),"",SUMIFS(资金流水!$K$5:$K$3032,资金流水!$C$5:$C$3032,$A16,资金流水!$B$5:$B$3032,BC$6))</f>
        <v>0</v>
      </c>
      <c r="BD16" s="11">
        <f>IF(OR($A16="",BC$6=""),"",SUMIFS(资金流水!$L$5:$L$3032,资金流水!$C$5:$C$3032,$A16,资金流水!$B$5:$B$3032,BC$6))</f>
        <v>0</v>
      </c>
      <c r="BE16" s="11">
        <f>IF(OR($A16="",BE$6=""),"",SUMIFS(资金流水!$K$5:$K$3032,资金流水!$C$5:$C$3032,$A16,资金流水!$B$5:$B$3032,BE$6))</f>
        <v>0</v>
      </c>
      <c r="BF16" s="11">
        <f>IF(OR($A16="",BE$6=""),"",SUMIFS(资金流水!$L$5:$L$3032,资金流水!$C$5:$C$3032,$A16,资金流水!$B$5:$B$3032,BE$6))</f>
        <v>0</v>
      </c>
      <c r="BG16" s="11">
        <f>IF(OR($A16="",BG$6=""),"",SUMIFS(资金流水!$K$5:$K$3032,资金流水!$C$5:$C$3032,$A16,资金流水!$B$5:$B$3032,BG$6))</f>
        <v>0</v>
      </c>
      <c r="BH16" s="11">
        <f>IF(OR($A16="",BG$6=""),"",SUMIFS(资金流水!$L$5:$L$3032,资金流水!$C$5:$C$3032,$A16,资金流水!$B$5:$B$3032,BG$6))</f>
        <v>0</v>
      </c>
      <c r="BI16" s="11">
        <f>IF(OR($A16="",BI$6=""),"",SUMIFS(资金流水!$K$5:$K$3032,资金流水!$C$5:$C$3032,$A16,资金流水!$B$5:$B$3032,BI$6))</f>
        <v>0</v>
      </c>
      <c r="BJ16" s="11">
        <f>IF(OR($A16="",BI$6=""),"",SUMIFS(资金流水!$L$5:$L$3032,资金流水!$C$5:$C$3032,$A16,资金流水!$B$5:$B$3032,BI$6))</f>
        <v>0</v>
      </c>
      <c r="BK16" s="11">
        <f>IF(OR($A16="",BK$6=""),"",SUMIFS(资金流水!$K$5:$K$3032,资金流水!$C$5:$C$3032,$A16,资金流水!$B$5:$B$3032,BK$6))</f>
        <v>0</v>
      </c>
      <c r="BL16" s="11">
        <f>IF(OR($A16="",BK$6=""),"",SUMIFS(资金流水!$L$5:$L$3032,资金流水!$C$5:$C$3032,$A16,资金流水!$B$5:$B$3032,BK$6))</f>
        <v>0</v>
      </c>
      <c r="BM16" s="26">
        <f t="shared" si="0"/>
        <v>0</v>
      </c>
      <c r="BN16" s="26">
        <f t="shared" si="1"/>
        <v>0</v>
      </c>
      <c r="BO16" s="26" t="e">
        <f t="shared" si="2"/>
        <v>#VALUE!</v>
      </c>
    </row>
    <row r="17" spans="1:67">
      <c r="A17" s="24" t="str">
        <f>IF(基础资料!$E13="","",基础资料!$E13)</f>
        <v>中展准东项目</v>
      </c>
      <c r="B17" s="25" t="e">
        <f>IF(OR($A17="",NOT(ISNUMBER($I$2))),"",SUMIFS(资金流水!$M$5:$M$3015,资金流水!$C$5:$C$3032,$A17,资金流水!$B$5:$B$3032,"&lt;="&amp;$B$2)+SUMIFS(资金流水!$K$5:$K$3032,资金流水!$C$5:$C$3032,$A17,资金流水!$B$5:$B$3032,"&lt;"&amp;$B$2)-SUMIFS(资金流水!$L$5:$L$3032,资金流水!$C$5:$C$3032,$A17,资金流水!$B$5:$B$3032,"&lt;"&amp;$B$2))</f>
        <v>#VALUE!</v>
      </c>
      <c r="C17" s="11">
        <f>IF(OR($A17="",C$6=""),"",SUMIFS(资金流水!$K$5:$K$3032,资金流水!$C$5:$C$3032,$A17,资金流水!$B$5:$B$3032,C$6))</f>
        <v>0</v>
      </c>
      <c r="D17" s="11">
        <f>IF(OR($A17="",C$6=""),"",SUMIFS(资金流水!$L$5:$L$3032,资金流水!$C$5:$C$3032,$A17,资金流水!$B$5:$B$3032,C$6))</f>
        <v>0</v>
      </c>
      <c r="E17" s="11">
        <f>IF(OR($A17="",E$6=""),"",SUMIFS(资金流水!$K$5:$K$3032,资金流水!$C$5:$C$3032,$A17,资金流水!$B$5:$B$3032,E$6))</f>
        <v>0</v>
      </c>
      <c r="F17" s="11">
        <f>IF(OR($A17="",E$6=""),"",SUMIFS(资金流水!$L$5:$L$3032,资金流水!$C$5:$C$3032,$A17,资金流水!$B$5:$B$3032,E$6))</f>
        <v>0</v>
      </c>
      <c r="G17" s="11">
        <f>IF(OR($A17="",G$6=""),"",SUMIFS(资金流水!$K$5:$K$3032,资金流水!$C$5:$C$3032,$A17,资金流水!$B$5:$B$3032,G$6))</f>
        <v>0</v>
      </c>
      <c r="H17" s="11">
        <f>IF(OR($A17="",G$6=""),"",SUMIFS(资金流水!$L$5:$L$3032,资金流水!$C$5:$C$3032,$A17,资金流水!$B$5:$B$3032,G$6))</f>
        <v>0</v>
      </c>
      <c r="I17" s="11">
        <f>IF(OR($A17="",I$6=""),"",SUMIFS(资金流水!$K$5:$K$3032,资金流水!$C$5:$C$3032,$A17,资金流水!$B$5:$B$3032,I$6))</f>
        <v>0</v>
      </c>
      <c r="J17" s="11">
        <f>IF(OR($A17="",I$6=""),"",SUMIFS(资金流水!$L$5:$L$3032,资金流水!$C$5:$C$3032,$A17,资金流水!$B$5:$B$3032,I$6))</f>
        <v>0</v>
      </c>
      <c r="K17" s="11">
        <f>IF(OR($A17="",K$6=""),"",SUMIFS(资金流水!$K$5:$K$3032,资金流水!$C$5:$C$3032,$A17,资金流水!$B$5:$B$3032,K$6))</f>
        <v>0</v>
      </c>
      <c r="L17" s="11">
        <f>IF(OR($A17="",K$6=""),"",SUMIFS(资金流水!$L$5:$L$3032,资金流水!$C$5:$C$3032,$A17,资金流水!$B$5:$B$3032,K$6))</f>
        <v>0</v>
      </c>
      <c r="M17" s="11">
        <f>IF(OR($A17="",M$6=""),"",SUMIFS(资金流水!$K$5:$K$3032,资金流水!$C$5:$C$3032,$A17,资金流水!$B$5:$B$3032,M$6))</f>
        <v>0</v>
      </c>
      <c r="N17" s="11">
        <f>IF(OR($A17="",M$6=""),"",SUMIFS(资金流水!$L$5:$L$3032,资金流水!$C$5:$C$3032,$A17,资金流水!$B$5:$B$3032,M$6))</f>
        <v>0</v>
      </c>
      <c r="O17" s="11">
        <f>IF(OR($A17="",O$6=""),"",SUMIFS(资金流水!$K$5:$K$3032,资金流水!$C$5:$C$3032,$A17,资金流水!$B$5:$B$3032,O$6))</f>
        <v>0</v>
      </c>
      <c r="P17" s="11">
        <f>IF(OR($A17="",O$6=""),"",SUMIFS(资金流水!$L$5:$L$3032,资金流水!$C$5:$C$3032,$A17,资金流水!$B$5:$B$3032,O$6))</f>
        <v>0</v>
      </c>
      <c r="Q17" s="11">
        <f>IF(OR($A17="",Q$6=""),"",SUMIFS(资金流水!$K$5:$K$3032,资金流水!$C$5:$C$3032,$A17,资金流水!$B$5:$B$3032,Q$6))</f>
        <v>0</v>
      </c>
      <c r="R17" s="11">
        <f>IF(OR($A17="",Q$6=""),"",SUMIFS(资金流水!$L$5:$L$3032,资金流水!$C$5:$C$3032,$A17,资金流水!$B$5:$B$3032,Q$6))</f>
        <v>0</v>
      </c>
      <c r="S17" s="11">
        <f>IF(OR($A17="",S$6=""),"",SUMIFS(资金流水!$K$5:$K$3032,资金流水!$C$5:$C$3032,$A17,资金流水!$B$5:$B$3032,S$6))</f>
        <v>0</v>
      </c>
      <c r="T17" s="11">
        <f>IF(OR($A17="",S$6=""),"",SUMIFS(资金流水!$L$5:$L$3032,资金流水!$C$5:$C$3032,$A17,资金流水!$B$5:$B$3032,S$6))</f>
        <v>0</v>
      </c>
      <c r="U17" s="11">
        <f>IF(OR($A17="",U$6=""),"",SUMIFS(资金流水!$K$5:$K$3032,资金流水!$C$5:$C$3032,$A17,资金流水!$B$5:$B$3032,U$6))</f>
        <v>0</v>
      </c>
      <c r="V17" s="11">
        <f>IF(OR($A17="",U$6=""),"",SUMIFS(资金流水!$L$5:$L$3032,资金流水!$C$5:$C$3032,$A17,资金流水!$B$5:$B$3032,U$6))</f>
        <v>0</v>
      </c>
      <c r="W17" s="11">
        <f>IF(OR($A17="",W$6=""),"",SUMIFS(资金流水!$K$5:$K$3032,资金流水!$C$5:$C$3032,$A17,资金流水!$B$5:$B$3032,W$6))</f>
        <v>0</v>
      </c>
      <c r="X17" s="11">
        <f>IF(OR($A17="",W$6=""),"",SUMIFS(资金流水!$L$5:$L$3032,资金流水!$C$5:$C$3032,$A17,资金流水!$B$5:$B$3032,W$6))</f>
        <v>0</v>
      </c>
      <c r="Y17" s="11">
        <f>IF(OR($A17="",Y$6=""),"",SUMIFS(资金流水!$K$5:$K$3032,资金流水!$C$5:$C$3032,$A17,资金流水!$B$5:$B$3032,Y$6))</f>
        <v>0</v>
      </c>
      <c r="Z17" s="11">
        <f>IF(OR($A17="",Y$6=""),"",SUMIFS(资金流水!$L$5:$L$3032,资金流水!$C$5:$C$3032,$A17,资金流水!$B$5:$B$3032,Y$6))</f>
        <v>0</v>
      </c>
      <c r="AA17" s="11">
        <f>IF(OR($A17="",AA$6=""),"",SUMIFS(资金流水!$K$5:$K$3032,资金流水!$C$5:$C$3032,$A17,资金流水!$B$5:$B$3032,AA$6))</f>
        <v>0</v>
      </c>
      <c r="AB17" s="11">
        <f>IF(OR($A17="",AA$6=""),"",SUMIFS(资金流水!$L$5:$L$3032,资金流水!$C$5:$C$3032,$A17,资金流水!$B$5:$B$3032,AA$6))</f>
        <v>0</v>
      </c>
      <c r="AC17" s="11">
        <f>IF(OR($A17="",AC$6=""),"",SUMIFS(资金流水!$K$5:$K$3032,资金流水!$C$5:$C$3032,$A17,资金流水!$B$5:$B$3032,AC$6))</f>
        <v>0</v>
      </c>
      <c r="AD17" s="11">
        <f>IF(OR($A17="",AC$6=""),"",SUMIFS(资金流水!$L$5:$L$3032,资金流水!$C$5:$C$3032,$A17,资金流水!$B$5:$B$3032,AC$6))</f>
        <v>0</v>
      </c>
      <c r="AE17" s="11">
        <f>IF(OR($A17="",AE$6=""),"",SUMIFS(资金流水!$K$5:$K$3032,资金流水!$C$5:$C$3032,$A17,资金流水!$B$5:$B$3032,AE$6))</f>
        <v>0</v>
      </c>
      <c r="AF17" s="11">
        <f>IF(OR($A17="",AE$6=""),"",SUMIFS(资金流水!$L$5:$L$3032,资金流水!$C$5:$C$3032,$A17,资金流水!$B$5:$B$3032,AE$6))</f>
        <v>0</v>
      </c>
      <c r="AG17" s="11">
        <f>IF(OR($A17="",AG$6=""),"",SUMIFS(资金流水!$K$5:$K$3032,资金流水!$C$5:$C$3032,$A17,资金流水!$B$5:$B$3032,AG$6))</f>
        <v>0</v>
      </c>
      <c r="AH17" s="11">
        <f>IF(OR($A17="",AG$6=""),"",SUMIFS(资金流水!$L$5:$L$3032,资金流水!$C$5:$C$3032,$A17,资金流水!$B$5:$B$3032,AG$6))</f>
        <v>0</v>
      </c>
      <c r="AI17" s="11">
        <f>IF(OR($A17="",AI$6=""),"",SUMIFS(资金流水!$K$5:$K$3032,资金流水!$C$5:$C$3032,$A17,资金流水!$B$5:$B$3032,AI$6))</f>
        <v>0</v>
      </c>
      <c r="AJ17" s="11">
        <f>IF(OR($A17="",AI$6=""),"",SUMIFS(资金流水!$L$5:$L$3032,资金流水!$C$5:$C$3032,$A17,资金流水!$B$5:$B$3032,AI$6))</f>
        <v>0</v>
      </c>
      <c r="AK17" s="11">
        <f>IF(OR($A17="",AK$6=""),"",SUMIFS(资金流水!$K$5:$K$3032,资金流水!$C$5:$C$3032,$A17,资金流水!$B$5:$B$3032,AK$6))</f>
        <v>0</v>
      </c>
      <c r="AL17" s="11">
        <f>IF(OR($A17="",AK$6=""),"",SUMIFS(资金流水!$L$5:$L$3032,资金流水!$C$5:$C$3032,$A17,资金流水!$B$5:$B$3032,AK$6))</f>
        <v>0</v>
      </c>
      <c r="AM17" s="11">
        <f>IF(OR($A17="",AM$6=""),"",SUMIFS(资金流水!$K$5:$K$3032,资金流水!$C$5:$C$3032,$A17,资金流水!$B$5:$B$3032,AM$6))</f>
        <v>0</v>
      </c>
      <c r="AN17" s="11">
        <f>IF(OR($A17="",AM$6=""),"",SUMIFS(资金流水!$L$5:$L$3032,资金流水!$C$5:$C$3032,$A17,资金流水!$B$5:$B$3032,AM$6))</f>
        <v>0</v>
      </c>
      <c r="AO17" s="11">
        <f>IF(OR($A17="",AO$6=""),"",SUMIFS(资金流水!$K$5:$K$3032,资金流水!$C$5:$C$3032,$A17,资金流水!$B$5:$B$3032,AO$6))</f>
        <v>0</v>
      </c>
      <c r="AP17" s="11">
        <f>IF(OR($A17="",AO$6=""),"",SUMIFS(资金流水!$L$5:$L$3032,资金流水!$C$5:$C$3032,$A17,资金流水!$B$5:$B$3032,AO$6))</f>
        <v>0</v>
      </c>
      <c r="AQ17" s="11">
        <f>IF(OR($A17="",AQ$6=""),"",SUMIFS(资金流水!$K$5:$K$3032,资金流水!$C$5:$C$3032,$A17,资金流水!$B$5:$B$3032,AQ$6))</f>
        <v>0</v>
      </c>
      <c r="AR17" s="11">
        <f>IF(OR($A17="",AQ$6=""),"",SUMIFS(资金流水!$L$5:$L$3032,资金流水!$C$5:$C$3032,$A17,资金流水!$B$5:$B$3032,AQ$6))</f>
        <v>0</v>
      </c>
      <c r="AS17" s="11">
        <f>IF(OR($A17="",AS$6=""),"",SUMIFS(资金流水!$K$5:$K$3032,资金流水!$C$5:$C$3032,$A17,资金流水!$B$5:$B$3032,AS$6))</f>
        <v>0</v>
      </c>
      <c r="AT17" s="11">
        <f>IF(OR($A17="",AS$6=""),"",SUMIFS(资金流水!$L$5:$L$3032,资金流水!$C$5:$C$3032,$A17,资金流水!$B$5:$B$3032,AS$6))</f>
        <v>0</v>
      </c>
      <c r="AU17" s="11">
        <f>IF(OR($A17="",AU$6=""),"",SUMIFS(资金流水!$K$5:$K$3032,资金流水!$C$5:$C$3032,$A17,资金流水!$B$5:$B$3032,AU$6))</f>
        <v>0</v>
      </c>
      <c r="AV17" s="11">
        <f>IF(OR($A17="",AU$6=""),"",SUMIFS(资金流水!$L$5:$L$3032,资金流水!$C$5:$C$3032,$A17,资金流水!$B$5:$B$3032,AU$6))</f>
        <v>0</v>
      </c>
      <c r="AW17" s="11">
        <f>IF(OR($A17="",AW$6=""),"",SUMIFS(资金流水!$K$5:$K$3032,资金流水!$C$5:$C$3032,$A17,资金流水!$B$5:$B$3032,AW$6))</f>
        <v>0</v>
      </c>
      <c r="AX17" s="11">
        <f>IF(OR($A17="",AW$6=""),"",SUMIFS(资金流水!$L$5:$L$3032,资金流水!$C$5:$C$3032,$A17,资金流水!$B$5:$B$3032,AW$6))</f>
        <v>0</v>
      </c>
      <c r="AY17" s="11">
        <f>IF(OR($A17="",AY$6=""),"",SUMIFS(资金流水!$K$5:$K$3032,资金流水!$C$5:$C$3032,$A17,资金流水!$B$5:$B$3032,AY$6))</f>
        <v>0</v>
      </c>
      <c r="AZ17" s="11">
        <f>IF(OR($A17="",AY$6=""),"",SUMIFS(资金流水!$L$5:$L$3032,资金流水!$C$5:$C$3032,$A17,资金流水!$B$5:$B$3032,AY$6))</f>
        <v>0</v>
      </c>
      <c r="BA17" s="11">
        <f>IF(OR($A17="",BA$6=""),"",SUMIFS(资金流水!$K$5:$K$3032,资金流水!$C$5:$C$3032,$A17,资金流水!$B$5:$B$3032,BA$6))</f>
        <v>0</v>
      </c>
      <c r="BB17" s="11">
        <f>IF(OR($A17="",BA$6=""),"",SUMIFS(资金流水!$L$5:$L$3032,资金流水!$C$5:$C$3032,$A17,资金流水!$B$5:$B$3032,BA$6))</f>
        <v>0</v>
      </c>
      <c r="BC17" s="11">
        <f>IF(OR($A17="",BC$6=""),"",SUMIFS(资金流水!$K$5:$K$3032,资金流水!$C$5:$C$3032,$A17,资金流水!$B$5:$B$3032,BC$6))</f>
        <v>0</v>
      </c>
      <c r="BD17" s="11">
        <f>IF(OR($A17="",BC$6=""),"",SUMIFS(资金流水!$L$5:$L$3032,资金流水!$C$5:$C$3032,$A17,资金流水!$B$5:$B$3032,BC$6))</f>
        <v>0</v>
      </c>
      <c r="BE17" s="11">
        <f>IF(OR($A17="",BE$6=""),"",SUMIFS(资金流水!$K$5:$K$3032,资金流水!$C$5:$C$3032,$A17,资金流水!$B$5:$B$3032,BE$6))</f>
        <v>0</v>
      </c>
      <c r="BF17" s="11">
        <f>IF(OR($A17="",BE$6=""),"",SUMIFS(资金流水!$L$5:$L$3032,资金流水!$C$5:$C$3032,$A17,资金流水!$B$5:$B$3032,BE$6))</f>
        <v>0</v>
      </c>
      <c r="BG17" s="11">
        <f>IF(OR($A17="",BG$6=""),"",SUMIFS(资金流水!$K$5:$K$3032,资金流水!$C$5:$C$3032,$A17,资金流水!$B$5:$B$3032,BG$6))</f>
        <v>0</v>
      </c>
      <c r="BH17" s="11">
        <f>IF(OR($A17="",BG$6=""),"",SUMIFS(资金流水!$L$5:$L$3032,资金流水!$C$5:$C$3032,$A17,资金流水!$B$5:$B$3032,BG$6))</f>
        <v>0</v>
      </c>
      <c r="BI17" s="11">
        <f>IF(OR($A17="",BI$6=""),"",SUMIFS(资金流水!$K$5:$K$3032,资金流水!$C$5:$C$3032,$A17,资金流水!$B$5:$B$3032,BI$6))</f>
        <v>0</v>
      </c>
      <c r="BJ17" s="11">
        <f>IF(OR($A17="",BI$6=""),"",SUMIFS(资金流水!$L$5:$L$3032,资金流水!$C$5:$C$3032,$A17,资金流水!$B$5:$B$3032,BI$6))</f>
        <v>0</v>
      </c>
      <c r="BK17" s="11">
        <f>IF(OR($A17="",BK$6=""),"",SUMIFS(资金流水!$K$5:$K$3032,资金流水!$C$5:$C$3032,$A17,资金流水!$B$5:$B$3032,BK$6))</f>
        <v>0</v>
      </c>
      <c r="BL17" s="11">
        <f>IF(OR($A17="",BK$6=""),"",SUMIFS(资金流水!$L$5:$L$3032,资金流水!$C$5:$C$3032,$A17,资金流水!$B$5:$B$3032,BK$6))</f>
        <v>0</v>
      </c>
      <c r="BM17" s="26">
        <f t="shared" si="0"/>
        <v>0</v>
      </c>
      <c r="BN17" s="26">
        <f t="shared" si="1"/>
        <v>0</v>
      </c>
      <c r="BO17" s="26" t="e">
        <f t="shared" si="2"/>
        <v>#VALUE!</v>
      </c>
    </row>
    <row r="18" spans="1:67">
      <c r="A18" s="24" t="str">
        <f>IF(基础资料!$E14="","",基础资料!$E14)</f>
        <v>卓卓通农商行基本户</v>
      </c>
      <c r="B18" s="25" t="e">
        <f>IF(OR($A18="",NOT(ISNUMBER($I$2))),"",SUMIFS(资金流水!$M$5:$M$3015,资金流水!$C$5:$C$3032,$A18,资金流水!$B$5:$B$3032,"&lt;="&amp;$B$2)+SUMIFS(资金流水!$K$5:$K$3032,资金流水!$C$5:$C$3032,$A18,资金流水!$B$5:$B$3032,"&lt;"&amp;$B$2)-SUMIFS(资金流水!$L$5:$L$3032,资金流水!$C$5:$C$3032,$A18,资金流水!$B$5:$B$3032,"&lt;"&amp;$B$2))</f>
        <v>#VALUE!</v>
      </c>
      <c r="C18" s="11">
        <f>IF(OR($A18="",C$6=""),"",SUMIFS(资金流水!$K$5:$K$3032,资金流水!$C$5:$C$3032,$A18,资金流水!$B$5:$B$3032,C$6))</f>
        <v>0</v>
      </c>
      <c r="D18" s="11">
        <f>IF(OR($A18="",C$6=""),"",SUMIFS(资金流水!$L$5:$L$3032,资金流水!$C$5:$C$3032,$A18,资金流水!$B$5:$B$3032,C$6))</f>
        <v>0</v>
      </c>
      <c r="E18" s="11">
        <f>IF(OR($A18="",E$6=""),"",SUMIFS(资金流水!$K$5:$K$3032,资金流水!$C$5:$C$3032,$A18,资金流水!$B$5:$B$3032,E$6))</f>
        <v>0</v>
      </c>
      <c r="F18" s="11">
        <f>IF(OR($A18="",E$6=""),"",SUMIFS(资金流水!$L$5:$L$3032,资金流水!$C$5:$C$3032,$A18,资金流水!$B$5:$B$3032,E$6))</f>
        <v>0</v>
      </c>
      <c r="G18" s="11">
        <f>IF(OR($A18="",G$6=""),"",SUMIFS(资金流水!$K$5:$K$3032,资金流水!$C$5:$C$3032,$A18,资金流水!$B$5:$B$3032,G$6))</f>
        <v>0</v>
      </c>
      <c r="H18" s="11">
        <f>IF(OR($A18="",G$6=""),"",SUMIFS(资金流水!$L$5:$L$3032,资金流水!$C$5:$C$3032,$A18,资金流水!$B$5:$B$3032,G$6))</f>
        <v>100</v>
      </c>
      <c r="I18" s="11">
        <f>IF(OR($A18="",I$6=""),"",SUMIFS(资金流水!$K$5:$K$3032,资金流水!$C$5:$C$3032,$A18,资金流水!$B$5:$B$3032,I$6))</f>
        <v>0</v>
      </c>
      <c r="J18" s="11">
        <f>IF(OR($A18="",I$6=""),"",SUMIFS(资金流水!$L$5:$L$3032,资金流水!$C$5:$C$3032,$A18,资金流水!$B$5:$B$3032,I$6))</f>
        <v>4200</v>
      </c>
      <c r="K18" s="11">
        <f>IF(OR($A18="",K$6=""),"",SUMIFS(资金流水!$K$5:$K$3032,资金流水!$C$5:$C$3032,$A18,资金流水!$B$5:$B$3032,K$6))</f>
        <v>0</v>
      </c>
      <c r="L18" s="11">
        <f>IF(OR($A18="",K$6=""),"",SUMIFS(资金流水!$L$5:$L$3032,资金流水!$C$5:$C$3032,$A18,资金流水!$B$5:$B$3032,K$6))</f>
        <v>0</v>
      </c>
      <c r="M18" s="11">
        <f>IF(OR($A18="",M$6=""),"",SUMIFS(资金流水!$K$5:$K$3032,资金流水!$C$5:$C$3032,$A18,资金流水!$B$5:$B$3032,M$6))</f>
        <v>0</v>
      </c>
      <c r="N18" s="11">
        <f>IF(OR($A18="",M$6=""),"",SUMIFS(资金流水!$L$5:$L$3032,资金流水!$C$5:$C$3032,$A18,资金流水!$B$5:$B$3032,M$6))</f>
        <v>5623.3</v>
      </c>
      <c r="O18" s="11">
        <f>IF(OR($A18="",O$6=""),"",SUMIFS(资金流水!$K$5:$K$3032,资金流水!$C$5:$C$3032,$A18,资金流水!$B$5:$B$3032,O$6))</f>
        <v>0</v>
      </c>
      <c r="P18" s="11">
        <f>IF(OR($A18="",O$6=""),"",SUMIFS(资金流水!$L$5:$L$3032,资金流水!$C$5:$C$3032,$A18,资金流水!$B$5:$B$3032,O$6))</f>
        <v>0</v>
      </c>
      <c r="Q18" s="11">
        <f>IF(OR($A18="",Q$6=""),"",SUMIFS(资金流水!$K$5:$K$3032,资金流水!$C$5:$C$3032,$A18,资金流水!$B$5:$B$3032,Q$6))</f>
        <v>0</v>
      </c>
      <c r="R18" s="11">
        <f>IF(OR($A18="",Q$6=""),"",SUMIFS(资金流水!$L$5:$L$3032,资金流水!$C$5:$C$3032,$A18,资金流水!$B$5:$B$3032,Q$6))</f>
        <v>0</v>
      </c>
      <c r="S18" s="11">
        <f>IF(OR($A18="",S$6=""),"",SUMIFS(资金流水!$K$5:$K$3032,资金流水!$C$5:$C$3032,$A18,资金流水!$B$5:$B$3032,S$6))</f>
        <v>0</v>
      </c>
      <c r="T18" s="11">
        <f>IF(OR($A18="",S$6=""),"",SUMIFS(资金流水!$L$5:$L$3032,资金流水!$C$5:$C$3032,$A18,资金流水!$B$5:$B$3032,S$6))</f>
        <v>0</v>
      </c>
      <c r="U18" s="11">
        <f>IF(OR($A18="",U$6=""),"",SUMIFS(资金流水!$K$5:$K$3032,资金流水!$C$5:$C$3032,$A18,资金流水!$B$5:$B$3032,U$6))</f>
        <v>0</v>
      </c>
      <c r="V18" s="11">
        <f>IF(OR($A18="",U$6=""),"",SUMIFS(资金流水!$L$5:$L$3032,资金流水!$C$5:$C$3032,$A18,资金流水!$B$5:$B$3032,U$6))</f>
        <v>0</v>
      </c>
      <c r="W18" s="11">
        <f>IF(OR($A18="",W$6=""),"",SUMIFS(资金流水!$K$5:$K$3032,资金流水!$C$5:$C$3032,$A18,资金流水!$B$5:$B$3032,W$6))</f>
        <v>0</v>
      </c>
      <c r="X18" s="11">
        <f>IF(OR($A18="",W$6=""),"",SUMIFS(资金流水!$L$5:$L$3032,资金流水!$C$5:$C$3032,$A18,资金流水!$B$5:$B$3032,W$6))</f>
        <v>0</v>
      </c>
      <c r="Y18" s="11">
        <f>IF(OR($A18="",Y$6=""),"",SUMIFS(资金流水!$K$5:$K$3032,资金流水!$C$5:$C$3032,$A18,资金流水!$B$5:$B$3032,Y$6))</f>
        <v>0</v>
      </c>
      <c r="Z18" s="11">
        <f>IF(OR($A18="",Y$6=""),"",SUMIFS(资金流水!$L$5:$L$3032,资金流水!$C$5:$C$3032,$A18,资金流水!$B$5:$B$3032,Y$6))</f>
        <v>0</v>
      </c>
      <c r="AA18" s="11">
        <f>IF(OR($A18="",AA$6=""),"",SUMIFS(资金流水!$K$5:$K$3032,资金流水!$C$5:$C$3032,$A18,资金流水!$B$5:$B$3032,AA$6))</f>
        <v>0</v>
      </c>
      <c r="AB18" s="11">
        <f>IF(OR($A18="",AA$6=""),"",SUMIFS(资金流水!$L$5:$L$3032,资金流水!$C$5:$C$3032,$A18,资金流水!$B$5:$B$3032,AA$6))</f>
        <v>0</v>
      </c>
      <c r="AC18" s="11">
        <f>IF(OR($A18="",AC$6=""),"",SUMIFS(资金流水!$K$5:$K$3032,资金流水!$C$5:$C$3032,$A18,资金流水!$B$5:$B$3032,AC$6))</f>
        <v>0</v>
      </c>
      <c r="AD18" s="11">
        <f>IF(OR($A18="",AC$6=""),"",SUMIFS(资金流水!$L$5:$L$3032,资金流水!$C$5:$C$3032,$A18,资金流水!$B$5:$B$3032,AC$6))</f>
        <v>0</v>
      </c>
      <c r="AE18" s="11">
        <f>IF(OR($A18="",AE$6=""),"",SUMIFS(资金流水!$K$5:$K$3032,资金流水!$C$5:$C$3032,$A18,资金流水!$B$5:$B$3032,AE$6))</f>
        <v>0</v>
      </c>
      <c r="AF18" s="11">
        <f>IF(OR($A18="",AE$6=""),"",SUMIFS(资金流水!$L$5:$L$3032,资金流水!$C$5:$C$3032,$A18,资金流水!$B$5:$B$3032,AE$6))</f>
        <v>0</v>
      </c>
      <c r="AG18" s="11">
        <f>IF(OR($A18="",AG$6=""),"",SUMIFS(资金流水!$K$5:$K$3032,资金流水!$C$5:$C$3032,$A18,资金流水!$B$5:$B$3032,AG$6))</f>
        <v>0</v>
      </c>
      <c r="AH18" s="11">
        <f>IF(OR($A18="",AG$6=""),"",SUMIFS(资金流水!$L$5:$L$3032,资金流水!$C$5:$C$3032,$A18,资金流水!$B$5:$B$3032,AG$6))</f>
        <v>0</v>
      </c>
      <c r="AI18" s="11">
        <f>IF(OR($A18="",AI$6=""),"",SUMIFS(资金流水!$K$5:$K$3032,资金流水!$C$5:$C$3032,$A18,资金流水!$B$5:$B$3032,AI$6))</f>
        <v>0</v>
      </c>
      <c r="AJ18" s="11">
        <f>IF(OR($A18="",AI$6=""),"",SUMIFS(资金流水!$L$5:$L$3032,资金流水!$C$5:$C$3032,$A18,资金流水!$B$5:$B$3032,AI$6))</f>
        <v>0</v>
      </c>
      <c r="AK18" s="11">
        <f>IF(OR($A18="",AK$6=""),"",SUMIFS(资金流水!$K$5:$K$3032,资金流水!$C$5:$C$3032,$A18,资金流水!$B$5:$B$3032,AK$6))</f>
        <v>0</v>
      </c>
      <c r="AL18" s="11">
        <f>IF(OR($A18="",AK$6=""),"",SUMIFS(资金流水!$L$5:$L$3032,资金流水!$C$5:$C$3032,$A18,资金流水!$B$5:$B$3032,AK$6))</f>
        <v>0</v>
      </c>
      <c r="AM18" s="11">
        <f>IF(OR($A18="",AM$6=""),"",SUMIFS(资金流水!$K$5:$K$3032,资金流水!$C$5:$C$3032,$A18,资金流水!$B$5:$B$3032,AM$6))</f>
        <v>0</v>
      </c>
      <c r="AN18" s="11">
        <f>IF(OR($A18="",AM$6=""),"",SUMIFS(资金流水!$L$5:$L$3032,资金流水!$C$5:$C$3032,$A18,资金流水!$B$5:$B$3032,AM$6))</f>
        <v>0</v>
      </c>
      <c r="AO18" s="11">
        <f>IF(OR($A18="",AO$6=""),"",SUMIFS(资金流水!$K$5:$K$3032,资金流水!$C$5:$C$3032,$A18,资金流水!$B$5:$B$3032,AO$6))</f>
        <v>0</v>
      </c>
      <c r="AP18" s="11">
        <f>IF(OR($A18="",AO$6=""),"",SUMIFS(资金流水!$L$5:$L$3032,资金流水!$C$5:$C$3032,$A18,资金流水!$B$5:$B$3032,AO$6))</f>
        <v>5305.03</v>
      </c>
      <c r="AQ18" s="11">
        <f>IF(OR($A18="",AQ$6=""),"",SUMIFS(资金流水!$K$5:$K$3032,资金流水!$C$5:$C$3032,$A18,资金流水!$B$5:$B$3032,AQ$6))</f>
        <v>0</v>
      </c>
      <c r="AR18" s="11">
        <f>IF(OR($A18="",AQ$6=""),"",SUMIFS(资金流水!$L$5:$L$3032,资金流水!$C$5:$C$3032,$A18,资金流水!$B$5:$B$3032,AQ$6))</f>
        <v>10000</v>
      </c>
      <c r="AS18" s="11">
        <f>IF(OR($A18="",AS$6=""),"",SUMIFS(资金流水!$K$5:$K$3032,资金流水!$C$5:$C$3032,$A18,资金流水!$B$5:$B$3032,AS$6))</f>
        <v>0</v>
      </c>
      <c r="AT18" s="11">
        <f>IF(OR($A18="",AS$6=""),"",SUMIFS(资金流水!$L$5:$L$3032,资金流水!$C$5:$C$3032,$A18,资金流水!$B$5:$B$3032,AS$6))</f>
        <v>0</v>
      </c>
      <c r="AU18" s="11">
        <f>IF(OR($A18="",AU$6=""),"",SUMIFS(资金流水!$K$5:$K$3032,资金流水!$C$5:$C$3032,$A18,资金流水!$B$5:$B$3032,AU$6))</f>
        <v>0</v>
      </c>
      <c r="AV18" s="11">
        <f>IF(OR($A18="",AU$6=""),"",SUMIFS(资金流水!$L$5:$L$3032,资金流水!$C$5:$C$3032,$A18,资金流水!$B$5:$B$3032,AU$6))</f>
        <v>0</v>
      </c>
      <c r="AW18" s="11">
        <f>IF(OR($A18="",AW$6=""),"",SUMIFS(资金流水!$K$5:$K$3032,资金流水!$C$5:$C$3032,$A18,资金流水!$B$5:$B$3032,AW$6))</f>
        <v>0</v>
      </c>
      <c r="AX18" s="11">
        <f>IF(OR($A18="",AW$6=""),"",SUMIFS(资金流水!$L$5:$L$3032,资金流水!$C$5:$C$3032,$A18,资金流水!$B$5:$B$3032,AW$6))</f>
        <v>0</v>
      </c>
      <c r="AY18" s="11">
        <f>IF(OR($A18="",AY$6=""),"",SUMIFS(资金流水!$K$5:$K$3032,资金流水!$C$5:$C$3032,$A18,资金流水!$B$5:$B$3032,AY$6))</f>
        <v>0</v>
      </c>
      <c r="AZ18" s="11">
        <f>IF(OR($A18="",AY$6=""),"",SUMIFS(资金流水!$L$5:$L$3032,资金流水!$C$5:$C$3032,$A18,资金流水!$B$5:$B$3032,AY$6))</f>
        <v>0</v>
      </c>
      <c r="BA18" s="11">
        <f>IF(OR($A18="",BA$6=""),"",SUMIFS(资金流水!$K$5:$K$3032,资金流水!$C$5:$C$3032,$A18,资金流水!$B$5:$B$3032,BA$6))</f>
        <v>0</v>
      </c>
      <c r="BB18" s="11">
        <f>IF(OR($A18="",BA$6=""),"",SUMIFS(资金流水!$L$5:$L$3032,资金流水!$C$5:$C$3032,$A18,资金流水!$B$5:$B$3032,BA$6))</f>
        <v>0</v>
      </c>
      <c r="BC18" s="11">
        <f>IF(OR($A18="",BC$6=""),"",SUMIFS(资金流水!$K$5:$K$3032,资金流水!$C$5:$C$3032,$A18,资金流水!$B$5:$B$3032,BC$6))</f>
        <v>0</v>
      </c>
      <c r="BD18" s="11">
        <f>IF(OR($A18="",BC$6=""),"",SUMIFS(资金流水!$L$5:$L$3032,资金流水!$C$5:$C$3032,$A18,资金流水!$B$5:$B$3032,BC$6))</f>
        <v>0</v>
      </c>
      <c r="BE18" s="11">
        <f>IF(OR($A18="",BE$6=""),"",SUMIFS(资金流水!$K$5:$K$3032,资金流水!$C$5:$C$3032,$A18,资金流水!$B$5:$B$3032,BE$6))</f>
        <v>0</v>
      </c>
      <c r="BF18" s="11">
        <f>IF(OR($A18="",BE$6=""),"",SUMIFS(资金流水!$L$5:$L$3032,资金流水!$C$5:$C$3032,$A18,资金流水!$B$5:$B$3032,BE$6))</f>
        <v>500</v>
      </c>
      <c r="BG18" s="11">
        <f>IF(OR($A18="",BG$6=""),"",SUMIFS(资金流水!$K$5:$K$3032,资金流水!$C$5:$C$3032,$A18,资金流水!$B$5:$B$3032,BG$6))</f>
        <v>0</v>
      </c>
      <c r="BH18" s="11">
        <f>IF(OR($A18="",BG$6=""),"",SUMIFS(资金流水!$L$5:$L$3032,资金流水!$C$5:$C$3032,$A18,资金流水!$B$5:$B$3032,BG$6))</f>
        <v>0</v>
      </c>
      <c r="BI18" s="11">
        <f>IF(OR($A18="",BI$6=""),"",SUMIFS(资金流水!$K$5:$K$3032,资金流水!$C$5:$C$3032,$A18,资金流水!$B$5:$B$3032,BI$6))</f>
        <v>0</v>
      </c>
      <c r="BJ18" s="11">
        <f>IF(OR($A18="",BI$6=""),"",SUMIFS(资金流水!$L$5:$L$3032,资金流水!$C$5:$C$3032,$A18,资金流水!$B$5:$B$3032,BI$6))</f>
        <v>0</v>
      </c>
      <c r="BK18" s="11">
        <f>IF(OR($A18="",BK$6=""),"",SUMIFS(资金流水!$K$5:$K$3032,资金流水!$C$5:$C$3032,$A18,资金流水!$B$5:$B$3032,BK$6))</f>
        <v>0</v>
      </c>
      <c r="BL18" s="11">
        <f>IF(OR($A18="",BK$6=""),"",SUMIFS(资金流水!$L$5:$L$3032,资金流水!$C$5:$C$3032,$A18,资金流水!$B$5:$B$3032,BK$6))</f>
        <v>2000</v>
      </c>
      <c r="BM18" s="26">
        <f t="shared" si="0"/>
        <v>0</v>
      </c>
      <c r="BN18" s="26">
        <f t="shared" si="1"/>
        <v>27728.33</v>
      </c>
      <c r="BO18" s="26" t="e">
        <f t="shared" si="2"/>
        <v>#VALUE!</v>
      </c>
    </row>
    <row r="19" spans="1:67">
      <c r="A19" s="24" t="str">
        <f>IF(基础资料!$E15="","",基础资料!$E15)</f>
        <v>财兴通农商行基本户</v>
      </c>
      <c r="B19" s="25" t="e">
        <f>IF(OR($A19="",NOT(ISNUMBER($I$2))),"",SUMIFS(资金流水!$M$5:$M$3015,资金流水!$C$5:$C$3032,$A19,资金流水!$B$5:$B$3032,"&lt;="&amp;$B$2)+SUMIFS(资金流水!$K$5:$K$3032,资金流水!$C$5:$C$3032,$A19,资金流水!$B$5:$B$3032,"&lt;"&amp;$B$2)-SUMIFS(资金流水!$L$5:$L$3032,资金流水!$C$5:$C$3032,$A19,资金流水!$B$5:$B$3032,"&lt;"&amp;$B$2))</f>
        <v>#VALUE!</v>
      </c>
      <c r="C19" s="11">
        <f>IF(OR($A19="",C$6=""),"",SUMIFS(资金流水!$K$5:$K$3032,资金流水!$C$5:$C$3032,$A19,资金流水!$B$5:$B$3032,C$6))</f>
        <v>0</v>
      </c>
      <c r="D19" s="11">
        <f>IF(OR($A19="",C$6=""),"",SUMIFS(资金流水!$L$5:$L$3032,资金流水!$C$5:$C$3032,$A19,资金流水!$B$5:$B$3032,C$6))</f>
        <v>0</v>
      </c>
      <c r="E19" s="11">
        <f>IF(OR($A19="",E$6=""),"",SUMIFS(资金流水!$K$5:$K$3032,资金流水!$C$5:$C$3032,$A19,资金流水!$B$5:$B$3032,E$6))</f>
        <v>0</v>
      </c>
      <c r="F19" s="11">
        <f>IF(OR($A19="",E$6=""),"",SUMIFS(资金流水!$L$5:$L$3032,资金流水!$C$5:$C$3032,$A19,资金流水!$B$5:$B$3032,E$6))</f>
        <v>0</v>
      </c>
      <c r="G19" s="11">
        <f>IF(OR($A19="",G$6=""),"",SUMIFS(资金流水!$K$5:$K$3032,资金流水!$C$5:$C$3032,$A19,资金流水!$B$5:$B$3032,G$6))</f>
        <v>0</v>
      </c>
      <c r="H19" s="11">
        <f>IF(OR($A19="",G$6=""),"",SUMIFS(资金流水!$L$5:$L$3032,资金流水!$C$5:$C$3032,$A19,资金流水!$B$5:$B$3032,G$6))</f>
        <v>0</v>
      </c>
      <c r="I19" s="11">
        <f>IF(OR($A19="",I$6=""),"",SUMIFS(资金流水!$K$5:$K$3032,资金流水!$C$5:$C$3032,$A19,资金流水!$B$5:$B$3032,I$6))</f>
        <v>0</v>
      </c>
      <c r="J19" s="11">
        <f>IF(OR($A19="",I$6=""),"",SUMIFS(资金流水!$L$5:$L$3032,资金流水!$C$5:$C$3032,$A19,资金流水!$B$5:$B$3032,I$6))</f>
        <v>0</v>
      </c>
      <c r="K19" s="11">
        <f>IF(OR($A19="",K$6=""),"",SUMIFS(资金流水!$K$5:$K$3032,资金流水!$C$5:$C$3032,$A19,资金流水!$B$5:$B$3032,K$6))</f>
        <v>0</v>
      </c>
      <c r="L19" s="11">
        <f>IF(OR($A19="",K$6=""),"",SUMIFS(资金流水!$L$5:$L$3032,资金流水!$C$5:$C$3032,$A19,资金流水!$B$5:$B$3032,K$6))</f>
        <v>0</v>
      </c>
      <c r="M19" s="11">
        <f>IF(OR($A19="",M$6=""),"",SUMIFS(资金流水!$K$5:$K$3032,资金流水!$C$5:$C$3032,$A19,资金流水!$B$5:$B$3032,M$6))</f>
        <v>0</v>
      </c>
      <c r="N19" s="11">
        <f>IF(OR($A19="",M$6=""),"",SUMIFS(资金流水!$L$5:$L$3032,资金流水!$C$5:$C$3032,$A19,资金流水!$B$5:$B$3032,M$6))</f>
        <v>0</v>
      </c>
      <c r="O19" s="11">
        <f>IF(OR($A19="",O$6=""),"",SUMIFS(资金流水!$K$5:$K$3032,资金流水!$C$5:$C$3032,$A19,资金流水!$B$5:$B$3032,O$6))</f>
        <v>0</v>
      </c>
      <c r="P19" s="11">
        <f>IF(OR($A19="",O$6=""),"",SUMIFS(资金流水!$L$5:$L$3032,资金流水!$C$5:$C$3032,$A19,资金流水!$B$5:$B$3032,O$6))</f>
        <v>0</v>
      </c>
      <c r="Q19" s="11">
        <f>IF(OR($A19="",Q$6=""),"",SUMIFS(资金流水!$K$5:$K$3032,资金流水!$C$5:$C$3032,$A19,资金流水!$B$5:$B$3032,Q$6))</f>
        <v>0</v>
      </c>
      <c r="R19" s="11">
        <f>IF(OR($A19="",Q$6=""),"",SUMIFS(资金流水!$L$5:$L$3032,资金流水!$C$5:$C$3032,$A19,资金流水!$B$5:$B$3032,Q$6))</f>
        <v>0</v>
      </c>
      <c r="S19" s="11">
        <f>IF(OR($A19="",S$6=""),"",SUMIFS(资金流水!$K$5:$K$3032,资金流水!$C$5:$C$3032,$A19,资金流水!$B$5:$B$3032,S$6))</f>
        <v>0</v>
      </c>
      <c r="T19" s="11">
        <f>IF(OR($A19="",S$6=""),"",SUMIFS(资金流水!$L$5:$L$3032,资金流水!$C$5:$C$3032,$A19,资金流水!$B$5:$B$3032,S$6))</f>
        <v>37721</v>
      </c>
      <c r="U19" s="11">
        <f>IF(OR($A19="",U$6=""),"",SUMIFS(资金流水!$K$5:$K$3032,资金流水!$C$5:$C$3032,$A19,资金流水!$B$5:$B$3032,U$6))</f>
        <v>0</v>
      </c>
      <c r="V19" s="11">
        <f>IF(OR($A19="",U$6=""),"",SUMIFS(资金流水!$L$5:$L$3032,资金流水!$C$5:$C$3032,$A19,资金流水!$B$5:$B$3032,U$6))</f>
        <v>0</v>
      </c>
      <c r="W19" s="11">
        <f>IF(OR($A19="",W$6=""),"",SUMIFS(资金流水!$K$5:$K$3032,资金流水!$C$5:$C$3032,$A19,资金流水!$B$5:$B$3032,W$6))</f>
        <v>0</v>
      </c>
      <c r="X19" s="11">
        <f>IF(OR($A19="",W$6=""),"",SUMIFS(资金流水!$L$5:$L$3032,资金流水!$C$5:$C$3032,$A19,资金流水!$B$5:$B$3032,W$6))</f>
        <v>0</v>
      </c>
      <c r="Y19" s="11">
        <f>IF(OR($A19="",Y$6=""),"",SUMIFS(资金流水!$K$5:$K$3032,资金流水!$C$5:$C$3032,$A19,资金流水!$B$5:$B$3032,Y$6))</f>
        <v>0</v>
      </c>
      <c r="Z19" s="11">
        <f>IF(OR($A19="",Y$6=""),"",SUMIFS(资金流水!$L$5:$L$3032,资金流水!$C$5:$C$3032,$A19,资金流水!$B$5:$B$3032,Y$6))</f>
        <v>0</v>
      </c>
      <c r="AA19" s="11">
        <f>IF(OR($A19="",AA$6=""),"",SUMIFS(资金流水!$K$5:$K$3032,资金流水!$C$5:$C$3032,$A19,资金流水!$B$5:$B$3032,AA$6))</f>
        <v>0</v>
      </c>
      <c r="AB19" s="11">
        <f>IF(OR($A19="",AA$6=""),"",SUMIFS(资金流水!$L$5:$L$3032,资金流水!$C$5:$C$3032,$A19,资金流水!$B$5:$B$3032,AA$6))</f>
        <v>0</v>
      </c>
      <c r="AC19" s="11">
        <f>IF(OR($A19="",AC$6=""),"",SUMIFS(资金流水!$K$5:$K$3032,资金流水!$C$5:$C$3032,$A19,资金流水!$B$5:$B$3032,AC$6))</f>
        <v>0</v>
      </c>
      <c r="AD19" s="11">
        <f>IF(OR($A19="",AC$6=""),"",SUMIFS(资金流水!$L$5:$L$3032,资金流水!$C$5:$C$3032,$A19,资金流水!$B$5:$B$3032,AC$6))</f>
        <v>38241.9</v>
      </c>
      <c r="AE19" s="11">
        <f>IF(OR($A19="",AE$6=""),"",SUMIFS(资金流水!$K$5:$K$3032,资金流水!$C$5:$C$3032,$A19,资金流水!$B$5:$B$3032,AE$6))</f>
        <v>0</v>
      </c>
      <c r="AF19" s="11">
        <f>IF(OR($A19="",AE$6=""),"",SUMIFS(资金流水!$L$5:$L$3032,资金流水!$C$5:$C$3032,$A19,资金流水!$B$5:$B$3032,AE$6))</f>
        <v>0</v>
      </c>
      <c r="AG19" s="11">
        <f>IF(OR($A19="",AG$6=""),"",SUMIFS(资金流水!$K$5:$K$3032,资金流水!$C$5:$C$3032,$A19,资金流水!$B$5:$B$3032,AG$6))</f>
        <v>0</v>
      </c>
      <c r="AH19" s="11">
        <f>IF(OR($A19="",AG$6=""),"",SUMIFS(资金流水!$L$5:$L$3032,资金流水!$C$5:$C$3032,$A19,资金流水!$B$5:$B$3032,AG$6))</f>
        <v>0</v>
      </c>
      <c r="AI19" s="11">
        <f>IF(OR($A19="",AI$6=""),"",SUMIFS(资金流水!$K$5:$K$3032,资金流水!$C$5:$C$3032,$A19,资金流水!$B$5:$B$3032,AI$6))</f>
        <v>0</v>
      </c>
      <c r="AJ19" s="11">
        <f>IF(OR($A19="",AI$6=""),"",SUMIFS(资金流水!$L$5:$L$3032,资金流水!$C$5:$C$3032,$A19,资金流水!$B$5:$B$3032,AI$6))</f>
        <v>0</v>
      </c>
      <c r="AK19" s="11">
        <f>IF(OR($A19="",AK$6=""),"",SUMIFS(资金流水!$K$5:$K$3032,资金流水!$C$5:$C$3032,$A19,资金流水!$B$5:$B$3032,AK$6))</f>
        <v>0</v>
      </c>
      <c r="AL19" s="11">
        <f>IF(OR($A19="",AK$6=""),"",SUMIFS(资金流水!$L$5:$L$3032,资金流水!$C$5:$C$3032,$A19,资金流水!$B$5:$B$3032,AK$6))</f>
        <v>0</v>
      </c>
      <c r="AM19" s="11">
        <f>IF(OR($A19="",AM$6=""),"",SUMIFS(资金流水!$K$5:$K$3032,资金流水!$C$5:$C$3032,$A19,资金流水!$B$5:$B$3032,AM$6))</f>
        <v>0</v>
      </c>
      <c r="AN19" s="11">
        <f>IF(OR($A19="",AM$6=""),"",SUMIFS(资金流水!$L$5:$L$3032,资金流水!$C$5:$C$3032,$A19,资金流水!$B$5:$B$3032,AM$6))</f>
        <v>0</v>
      </c>
      <c r="AO19" s="11">
        <f>IF(OR($A19="",AO$6=""),"",SUMIFS(资金流水!$K$5:$K$3032,资金流水!$C$5:$C$3032,$A19,资金流水!$B$5:$B$3032,AO$6))</f>
        <v>0</v>
      </c>
      <c r="AP19" s="11">
        <f>IF(OR($A19="",AO$6=""),"",SUMIFS(资金流水!$L$5:$L$3032,资金流水!$C$5:$C$3032,$A19,资金流水!$B$5:$B$3032,AO$6))</f>
        <v>0</v>
      </c>
      <c r="AQ19" s="11">
        <f>IF(OR($A19="",AQ$6=""),"",SUMIFS(资金流水!$K$5:$K$3032,资金流水!$C$5:$C$3032,$A19,资金流水!$B$5:$B$3032,AQ$6))</f>
        <v>0</v>
      </c>
      <c r="AR19" s="11">
        <f>IF(OR($A19="",AQ$6=""),"",SUMIFS(资金流水!$L$5:$L$3032,资金流水!$C$5:$C$3032,$A19,资金流水!$B$5:$B$3032,AQ$6))</f>
        <v>20000</v>
      </c>
      <c r="AS19" s="11">
        <f>IF(OR($A19="",AS$6=""),"",SUMIFS(资金流水!$K$5:$K$3032,资金流水!$C$5:$C$3032,$A19,资金流水!$B$5:$B$3032,AS$6))</f>
        <v>0</v>
      </c>
      <c r="AT19" s="11">
        <f>IF(OR($A19="",AS$6=""),"",SUMIFS(资金流水!$L$5:$L$3032,资金流水!$C$5:$C$3032,$A19,资金流水!$B$5:$B$3032,AS$6))</f>
        <v>28050.1</v>
      </c>
      <c r="AU19" s="11">
        <f>IF(OR($A19="",AU$6=""),"",SUMIFS(资金流水!$K$5:$K$3032,资金流水!$C$5:$C$3032,$A19,资金流水!$B$5:$B$3032,AU$6))</f>
        <v>0</v>
      </c>
      <c r="AV19" s="11">
        <f>IF(OR($A19="",AU$6=""),"",SUMIFS(资金流水!$L$5:$L$3032,资金流水!$C$5:$C$3032,$A19,资金流水!$B$5:$B$3032,AU$6))</f>
        <v>6000</v>
      </c>
      <c r="AW19" s="11">
        <f>IF(OR($A19="",AW$6=""),"",SUMIFS(资金流水!$K$5:$K$3032,资金流水!$C$5:$C$3032,$A19,资金流水!$B$5:$B$3032,AW$6))</f>
        <v>0</v>
      </c>
      <c r="AX19" s="11">
        <f>IF(OR($A19="",AW$6=""),"",SUMIFS(资金流水!$L$5:$L$3032,资金流水!$C$5:$C$3032,$A19,资金流水!$B$5:$B$3032,AW$6))</f>
        <v>1741.94</v>
      </c>
      <c r="AY19" s="11">
        <f>IF(OR($A19="",AY$6=""),"",SUMIFS(资金流水!$K$5:$K$3032,资金流水!$C$5:$C$3032,$A19,资金流水!$B$5:$B$3032,AY$6))</f>
        <v>0</v>
      </c>
      <c r="AZ19" s="11">
        <f>IF(OR($A19="",AY$6=""),"",SUMIFS(资金流水!$L$5:$L$3032,资金流水!$C$5:$C$3032,$A19,资金流水!$B$5:$B$3032,AY$6))</f>
        <v>0</v>
      </c>
      <c r="BA19" s="11">
        <f>IF(OR($A19="",BA$6=""),"",SUMIFS(资金流水!$K$5:$K$3032,资金流水!$C$5:$C$3032,$A19,资金流水!$B$5:$B$3032,BA$6))</f>
        <v>0</v>
      </c>
      <c r="BB19" s="11">
        <f>IF(OR($A19="",BA$6=""),"",SUMIFS(资金流水!$L$5:$L$3032,资金流水!$C$5:$C$3032,$A19,资金流水!$B$5:$B$3032,BA$6))</f>
        <v>0</v>
      </c>
      <c r="BC19" s="11">
        <f>IF(OR($A19="",BC$6=""),"",SUMIFS(资金流水!$K$5:$K$3032,资金流水!$C$5:$C$3032,$A19,资金流水!$B$5:$B$3032,BC$6))</f>
        <v>0</v>
      </c>
      <c r="BD19" s="11">
        <f>IF(OR($A19="",BC$6=""),"",SUMIFS(资金流水!$L$5:$L$3032,资金流水!$C$5:$C$3032,$A19,资金流水!$B$5:$B$3032,BC$6))</f>
        <v>3000</v>
      </c>
      <c r="BE19" s="11">
        <f>IF(OR($A19="",BE$6=""),"",SUMIFS(资金流水!$K$5:$K$3032,资金流水!$C$5:$C$3032,$A19,资金流水!$B$5:$B$3032,BE$6))</f>
        <v>0</v>
      </c>
      <c r="BF19" s="11">
        <f>IF(OR($A19="",BE$6=""),"",SUMIFS(资金流水!$L$5:$L$3032,资金流水!$C$5:$C$3032,$A19,资金流水!$B$5:$B$3032,BE$6))</f>
        <v>0</v>
      </c>
      <c r="BG19" s="11">
        <f>IF(OR($A19="",BG$6=""),"",SUMIFS(资金流水!$K$5:$K$3032,资金流水!$C$5:$C$3032,$A19,资金流水!$B$5:$B$3032,BG$6))</f>
        <v>0</v>
      </c>
      <c r="BH19" s="11">
        <f>IF(OR($A19="",BG$6=""),"",SUMIFS(资金流水!$L$5:$L$3032,资金流水!$C$5:$C$3032,$A19,资金流水!$B$5:$B$3032,BG$6))</f>
        <v>0</v>
      </c>
      <c r="BI19" s="11">
        <f>IF(OR($A19="",BI$6=""),"",SUMIFS(资金流水!$K$5:$K$3032,资金流水!$C$5:$C$3032,$A19,资金流水!$B$5:$B$3032,BI$6))</f>
        <v>0</v>
      </c>
      <c r="BJ19" s="11">
        <f>IF(OR($A19="",BI$6=""),"",SUMIFS(资金流水!$L$5:$L$3032,资金流水!$C$5:$C$3032,$A19,资金流水!$B$5:$B$3032,BI$6))</f>
        <v>0</v>
      </c>
      <c r="BK19" s="11">
        <f>IF(OR($A19="",BK$6=""),"",SUMIFS(资金流水!$K$5:$K$3032,资金流水!$C$5:$C$3032,$A19,资金流水!$B$5:$B$3032,BK$6))</f>
        <v>0</v>
      </c>
      <c r="BL19" s="11">
        <f>IF(OR($A19="",BK$6=""),"",SUMIFS(资金流水!$L$5:$L$3032,资金流水!$C$5:$C$3032,$A19,资金流水!$B$5:$B$3032,BK$6))</f>
        <v>725.92</v>
      </c>
      <c r="BM19" s="26">
        <f t="shared" si="0"/>
        <v>0</v>
      </c>
      <c r="BN19" s="26">
        <f t="shared" si="1"/>
        <v>135480.86</v>
      </c>
      <c r="BO19" s="26" t="e">
        <f t="shared" si="2"/>
        <v>#VALUE!</v>
      </c>
    </row>
    <row r="20" spans="1:67">
      <c r="A20" s="24" t="str">
        <f>IF(基础资料!$E16="","",基础资料!$E16)</f>
        <v>鑫海特工行基本户</v>
      </c>
      <c r="B20" s="25" t="e">
        <f>IF(OR($A20="",NOT(ISNUMBER($I$2))),"",SUMIFS(资金流水!$M$5:$M$3015,资金流水!$C$5:$C$3032,$A20,资金流水!$B$5:$B$3032,"&lt;="&amp;$B$2)+SUMIFS(资金流水!$K$5:$K$3032,资金流水!$C$5:$C$3032,$A20,资金流水!$B$5:$B$3032,"&lt;"&amp;$B$2)-SUMIFS(资金流水!$L$5:$L$3032,资金流水!$C$5:$C$3032,$A20,资金流水!$B$5:$B$3032,"&lt;"&amp;$B$2))</f>
        <v>#VALUE!</v>
      </c>
      <c r="C20" s="11">
        <f>IF(OR($A20="",C$6=""),"",SUMIFS(资金流水!$K$5:$K$3032,资金流水!$C$5:$C$3032,$A20,资金流水!$B$5:$B$3032,C$6))</f>
        <v>0</v>
      </c>
      <c r="D20" s="11">
        <f>IF(OR($A20="",C$6=""),"",SUMIFS(资金流水!$L$5:$L$3032,资金流水!$C$5:$C$3032,$A20,资金流水!$B$5:$B$3032,C$6))</f>
        <v>0</v>
      </c>
      <c r="E20" s="11">
        <f>IF(OR($A20="",E$6=""),"",SUMIFS(资金流水!$K$5:$K$3032,资金流水!$C$5:$C$3032,$A20,资金流水!$B$5:$B$3032,E$6))</f>
        <v>0</v>
      </c>
      <c r="F20" s="11">
        <f>IF(OR($A20="",E$6=""),"",SUMIFS(资金流水!$L$5:$L$3032,资金流水!$C$5:$C$3032,$A20,资金流水!$B$5:$B$3032,E$6))</f>
        <v>0</v>
      </c>
      <c r="G20" s="11">
        <f>IF(OR($A20="",G$6=""),"",SUMIFS(资金流水!$K$5:$K$3032,资金流水!$C$5:$C$3032,$A20,资金流水!$B$5:$B$3032,G$6))</f>
        <v>0</v>
      </c>
      <c r="H20" s="11">
        <f>IF(OR($A20="",G$6=""),"",SUMIFS(资金流水!$L$5:$L$3032,资金流水!$C$5:$C$3032,$A20,资金流水!$B$5:$B$3032,G$6))</f>
        <v>0</v>
      </c>
      <c r="I20" s="11">
        <f>IF(OR($A20="",I$6=""),"",SUMIFS(资金流水!$K$5:$K$3032,资金流水!$C$5:$C$3032,$A20,资金流水!$B$5:$B$3032,I$6))</f>
        <v>0</v>
      </c>
      <c r="J20" s="11">
        <f>IF(OR($A20="",I$6=""),"",SUMIFS(资金流水!$L$5:$L$3032,资金流水!$C$5:$C$3032,$A20,资金流水!$B$5:$B$3032,I$6))</f>
        <v>0</v>
      </c>
      <c r="K20" s="11">
        <f>IF(OR($A20="",K$6=""),"",SUMIFS(资金流水!$K$5:$K$3032,资金流水!$C$5:$C$3032,$A20,资金流水!$B$5:$B$3032,K$6))</f>
        <v>0</v>
      </c>
      <c r="L20" s="11">
        <f>IF(OR($A20="",K$6=""),"",SUMIFS(资金流水!$L$5:$L$3032,资金流水!$C$5:$C$3032,$A20,资金流水!$B$5:$B$3032,K$6))</f>
        <v>0</v>
      </c>
      <c r="M20" s="11">
        <f>IF(OR($A20="",M$6=""),"",SUMIFS(资金流水!$K$5:$K$3032,资金流水!$C$5:$C$3032,$A20,资金流水!$B$5:$B$3032,M$6))</f>
        <v>0</v>
      </c>
      <c r="N20" s="11">
        <f>IF(OR($A20="",M$6=""),"",SUMIFS(资金流水!$L$5:$L$3032,资金流水!$C$5:$C$3032,$A20,资金流水!$B$5:$B$3032,M$6))</f>
        <v>0</v>
      </c>
      <c r="O20" s="11">
        <f>IF(OR($A20="",O$6=""),"",SUMIFS(资金流水!$K$5:$K$3032,资金流水!$C$5:$C$3032,$A20,资金流水!$B$5:$B$3032,O$6))</f>
        <v>0</v>
      </c>
      <c r="P20" s="11">
        <f>IF(OR($A20="",O$6=""),"",SUMIFS(资金流水!$L$5:$L$3032,资金流水!$C$5:$C$3032,$A20,资金流水!$B$5:$B$3032,O$6))</f>
        <v>0</v>
      </c>
      <c r="Q20" s="11">
        <f>IF(OR($A20="",Q$6=""),"",SUMIFS(资金流水!$K$5:$K$3032,资金流水!$C$5:$C$3032,$A20,资金流水!$B$5:$B$3032,Q$6))</f>
        <v>0</v>
      </c>
      <c r="R20" s="11">
        <f>IF(OR($A20="",Q$6=""),"",SUMIFS(资金流水!$L$5:$L$3032,资金流水!$C$5:$C$3032,$A20,资金流水!$B$5:$B$3032,Q$6))</f>
        <v>0</v>
      </c>
      <c r="S20" s="11">
        <f>IF(OR($A20="",S$6=""),"",SUMIFS(资金流水!$K$5:$K$3032,资金流水!$C$5:$C$3032,$A20,资金流水!$B$5:$B$3032,S$6))</f>
        <v>0</v>
      </c>
      <c r="T20" s="11">
        <f>IF(OR($A20="",S$6=""),"",SUMIFS(资金流水!$L$5:$L$3032,资金流水!$C$5:$C$3032,$A20,资金流水!$B$5:$B$3032,S$6))</f>
        <v>0</v>
      </c>
      <c r="U20" s="11">
        <f>IF(OR($A20="",U$6=""),"",SUMIFS(资金流水!$K$5:$K$3032,资金流水!$C$5:$C$3032,$A20,资金流水!$B$5:$B$3032,U$6))</f>
        <v>0</v>
      </c>
      <c r="V20" s="11">
        <f>IF(OR($A20="",U$6=""),"",SUMIFS(资金流水!$L$5:$L$3032,资金流水!$C$5:$C$3032,$A20,资金流水!$B$5:$B$3032,U$6))</f>
        <v>0</v>
      </c>
      <c r="W20" s="11">
        <f>IF(OR($A20="",W$6=""),"",SUMIFS(资金流水!$K$5:$K$3032,资金流水!$C$5:$C$3032,$A20,资金流水!$B$5:$B$3032,W$6))</f>
        <v>0</v>
      </c>
      <c r="X20" s="11">
        <f>IF(OR($A20="",W$6=""),"",SUMIFS(资金流水!$L$5:$L$3032,资金流水!$C$5:$C$3032,$A20,资金流水!$B$5:$B$3032,W$6))</f>
        <v>100</v>
      </c>
      <c r="Y20" s="11">
        <f>IF(OR($A20="",Y$6=""),"",SUMIFS(资金流水!$K$5:$K$3032,资金流水!$C$5:$C$3032,$A20,资金流水!$B$5:$B$3032,Y$6))</f>
        <v>0</v>
      </c>
      <c r="Z20" s="11">
        <f>IF(OR($A20="",Y$6=""),"",SUMIFS(资金流水!$L$5:$L$3032,资金流水!$C$5:$C$3032,$A20,资金流水!$B$5:$B$3032,Y$6))</f>
        <v>360</v>
      </c>
      <c r="AA20" s="11">
        <f>IF(OR($A20="",AA$6=""),"",SUMIFS(资金流水!$K$5:$K$3032,资金流水!$C$5:$C$3032,$A20,资金流水!$B$5:$B$3032,AA$6))</f>
        <v>0</v>
      </c>
      <c r="AB20" s="11">
        <f>IF(OR($A20="",AA$6=""),"",SUMIFS(资金流水!$L$5:$L$3032,资金流水!$C$5:$C$3032,$A20,资金流水!$B$5:$B$3032,AA$6))</f>
        <v>0</v>
      </c>
      <c r="AC20" s="11">
        <f>IF(OR($A20="",AC$6=""),"",SUMIFS(资金流水!$K$5:$K$3032,资金流水!$C$5:$C$3032,$A20,资金流水!$B$5:$B$3032,AC$6))</f>
        <v>0</v>
      </c>
      <c r="AD20" s="11">
        <f>IF(OR($A20="",AC$6=""),"",SUMIFS(资金流水!$L$5:$L$3032,资金流水!$C$5:$C$3032,$A20,资金流水!$B$5:$B$3032,AC$6))</f>
        <v>0</v>
      </c>
      <c r="AE20" s="11">
        <f>IF(OR($A20="",AE$6=""),"",SUMIFS(资金流水!$K$5:$K$3032,资金流水!$C$5:$C$3032,$A20,资金流水!$B$5:$B$3032,AE$6))</f>
        <v>0</v>
      </c>
      <c r="AF20" s="11">
        <f>IF(OR($A20="",AE$6=""),"",SUMIFS(资金流水!$L$5:$L$3032,资金流水!$C$5:$C$3032,$A20,资金流水!$B$5:$B$3032,AE$6))</f>
        <v>0</v>
      </c>
      <c r="AG20" s="11">
        <f>IF(OR($A20="",AG$6=""),"",SUMIFS(资金流水!$K$5:$K$3032,资金流水!$C$5:$C$3032,$A20,资金流水!$B$5:$B$3032,AG$6))</f>
        <v>0</v>
      </c>
      <c r="AH20" s="11">
        <f>IF(OR($A20="",AG$6=""),"",SUMIFS(资金流水!$L$5:$L$3032,资金流水!$C$5:$C$3032,$A20,资金流水!$B$5:$B$3032,AG$6))</f>
        <v>0</v>
      </c>
      <c r="AI20" s="11">
        <f>IF(OR($A20="",AI$6=""),"",SUMIFS(资金流水!$K$5:$K$3032,资金流水!$C$5:$C$3032,$A20,资金流水!$B$5:$B$3032,AI$6))</f>
        <v>0</v>
      </c>
      <c r="AJ20" s="11">
        <f>IF(OR($A20="",AI$6=""),"",SUMIFS(资金流水!$L$5:$L$3032,资金流水!$C$5:$C$3032,$A20,资金流水!$B$5:$B$3032,AI$6))</f>
        <v>0</v>
      </c>
      <c r="AK20" s="11">
        <f>IF(OR($A20="",AK$6=""),"",SUMIFS(资金流水!$K$5:$K$3032,资金流水!$C$5:$C$3032,$A20,资金流水!$B$5:$B$3032,AK$6))</f>
        <v>0</v>
      </c>
      <c r="AL20" s="11">
        <f>IF(OR($A20="",AK$6=""),"",SUMIFS(资金流水!$L$5:$L$3032,资金流水!$C$5:$C$3032,$A20,资金流水!$B$5:$B$3032,AK$6))</f>
        <v>0</v>
      </c>
      <c r="AM20" s="11">
        <f>IF(OR($A20="",AM$6=""),"",SUMIFS(资金流水!$K$5:$K$3032,资金流水!$C$5:$C$3032,$A20,资金流水!$B$5:$B$3032,AM$6))</f>
        <v>0</v>
      </c>
      <c r="AN20" s="11">
        <f>IF(OR($A20="",AM$6=""),"",SUMIFS(资金流水!$L$5:$L$3032,资金流水!$C$5:$C$3032,$A20,资金流水!$B$5:$B$3032,AM$6))</f>
        <v>19.43</v>
      </c>
      <c r="AO20" s="11">
        <f>IF(OR($A20="",AO$6=""),"",SUMIFS(资金流水!$K$5:$K$3032,资金流水!$C$5:$C$3032,$A20,资金流水!$B$5:$B$3032,AO$6))</f>
        <v>0</v>
      </c>
      <c r="AP20" s="11">
        <f>IF(OR($A20="",AO$6=""),"",SUMIFS(资金流水!$L$5:$L$3032,资金流水!$C$5:$C$3032,$A20,资金流水!$B$5:$B$3032,AO$6))</f>
        <v>0</v>
      </c>
      <c r="AQ20" s="11">
        <f>IF(OR($A20="",AQ$6=""),"",SUMIFS(资金流水!$K$5:$K$3032,资金流水!$C$5:$C$3032,$A20,资金流水!$B$5:$B$3032,AQ$6))</f>
        <v>0</v>
      </c>
      <c r="AR20" s="11">
        <f>IF(OR($A20="",AQ$6=""),"",SUMIFS(资金流水!$L$5:$L$3032,资金流水!$C$5:$C$3032,$A20,资金流水!$B$5:$B$3032,AQ$6))</f>
        <v>0</v>
      </c>
      <c r="AS20" s="11">
        <f>IF(OR($A20="",AS$6=""),"",SUMIFS(资金流水!$K$5:$K$3032,资金流水!$C$5:$C$3032,$A20,资金流水!$B$5:$B$3032,AS$6))</f>
        <v>0</v>
      </c>
      <c r="AT20" s="11">
        <f>IF(OR($A20="",AS$6=""),"",SUMIFS(资金流水!$L$5:$L$3032,资金流水!$C$5:$C$3032,$A20,资金流水!$B$5:$B$3032,AS$6))</f>
        <v>0</v>
      </c>
      <c r="AU20" s="11">
        <f>IF(OR($A20="",AU$6=""),"",SUMIFS(资金流水!$K$5:$K$3032,资金流水!$C$5:$C$3032,$A20,资金流水!$B$5:$B$3032,AU$6))</f>
        <v>0</v>
      </c>
      <c r="AV20" s="11">
        <f>IF(OR($A20="",AU$6=""),"",SUMIFS(资金流水!$L$5:$L$3032,资金流水!$C$5:$C$3032,$A20,资金流水!$B$5:$B$3032,AU$6))</f>
        <v>0</v>
      </c>
      <c r="AW20" s="11">
        <f>IF(OR($A20="",AW$6=""),"",SUMIFS(资金流水!$K$5:$K$3032,资金流水!$C$5:$C$3032,$A20,资金流水!$B$5:$B$3032,AW$6))</f>
        <v>0</v>
      </c>
      <c r="AX20" s="11">
        <f>IF(OR($A20="",AW$6=""),"",SUMIFS(资金流水!$L$5:$L$3032,资金流水!$C$5:$C$3032,$A20,资金流水!$B$5:$B$3032,AW$6))</f>
        <v>0</v>
      </c>
      <c r="AY20" s="11">
        <f>IF(OR($A20="",AY$6=""),"",SUMIFS(资金流水!$K$5:$K$3032,资金流水!$C$5:$C$3032,$A20,资金流水!$B$5:$B$3032,AY$6))</f>
        <v>0</v>
      </c>
      <c r="AZ20" s="11">
        <f>IF(OR($A20="",AY$6=""),"",SUMIFS(资金流水!$L$5:$L$3032,资金流水!$C$5:$C$3032,$A20,资金流水!$B$5:$B$3032,AY$6))</f>
        <v>0</v>
      </c>
      <c r="BA20" s="11">
        <f>IF(OR($A20="",BA$6=""),"",SUMIFS(资金流水!$K$5:$K$3032,资金流水!$C$5:$C$3032,$A20,资金流水!$B$5:$B$3032,BA$6))</f>
        <v>0</v>
      </c>
      <c r="BB20" s="11">
        <f>IF(OR($A20="",BA$6=""),"",SUMIFS(资金流水!$L$5:$L$3032,资金流水!$C$5:$C$3032,$A20,资金流水!$B$5:$B$3032,BA$6))</f>
        <v>0</v>
      </c>
      <c r="BC20" s="11">
        <f>IF(OR($A20="",BC$6=""),"",SUMIFS(资金流水!$K$5:$K$3032,资金流水!$C$5:$C$3032,$A20,资金流水!$B$5:$B$3032,BC$6))</f>
        <v>0</v>
      </c>
      <c r="BD20" s="11">
        <f>IF(OR($A20="",BC$6=""),"",SUMIFS(资金流水!$L$5:$L$3032,资金流水!$C$5:$C$3032,$A20,资金流水!$B$5:$B$3032,BC$6))</f>
        <v>0</v>
      </c>
      <c r="BE20" s="11">
        <f>IF(OR($A20="",BE$6=""),"",SUMIFS(资金流水!$K$5:$K$3032,资金流水!$C$5:$C$3032,$A20,资金流水!$B$5:$B$3032,BE$6))</f>
        <v>0</v>
      </c>
      <c r="BF20" s="11">
        <f>IF(OR($A20="",BE$6=""),"",SUMIFS(资金流水!$L$5:$L$3032,资金流水!$C$5:$C$3032,$A20,资金流水!$B$5:$B$3032,BE$6))</f>
        <v>0</v>
      </c>
      <c r="BG20" s="11">
        <f>IF(OR($A20="",BG$6=""),"",SUMIFS(资金流水!$K$5:$K$3032,资金流水!$C$5:$C$3032,$A20,资金流水!$B$5:$B$3032,BG$6))</f>
        <v>0</v>
      </c>
      <c r="BH20" s="11">
        <f>IF(OR($A20="",BG$6=""),"",SUMIFS(资金流水!$L$5:$L$3032,资金流水!$C$5:$C$3032,$A20,资金流水!$B$5:$B$3032,BG$6))</f>
        <v>0</v>
      </c>
      <c r="BI20" s="11">
        <f>IF(OR($A20="",BI$6=""),"",SUMIFS(资金流水!$K$5:$K$3032,资金流水!$C$5:$C$3032,$A20,资金流水!$B$5:$B$3032,BI$6))</f>
        <v>0</v>
      </c>
      <c r="BJ20" s="11">
        <f>IF(OR($A20="",BI$6=""),"",SUMIFS(资金流水!$L$5:$L$3032,资金流水!$C$5:$C$3032,$A20,资金流水!$B$5:$B$3032,BI$6))</f>
        <v>0</v>
      </c>
      <c r="BK20" s="11">
        <f>IF(OR($A20="",BK$6=""),"",SUMIFS(资金流水!$K$5:$K$3032,资金流水!$C$5:$C$3032,$A20,资金流水!$B$5:$B$3032,BK$6))</f>
        <v>0</v>
      </c>
      <c r="BL20" s="11">
        <f>IF(OR($A20="",BK$6=""),"",SUMIFS(资金流水!$L$5:$L$3032,资金流水!$C$5:$C$3032,$A20,资金流水!$B$5:$B$3032,BK$6))</f>
        <v>0</v>
      </c>
      <c r="BM20" s="26">
        <f t="shared" si="0"/>
        <v>0</v>
      </c>
      <c r="BN20" s="26">
        <f t="shared" si="1"/>
        <v>479.43</v>
      </c>
      <c r="BO20" s="26" t="e">
        <f t="shared" si="2"/>
        <v>#VALUE!</v>
      </c>
    </row>
    <row r="21" spans="1:67">
      <c r="A21" s="24" t="str">
        <f>IF(基础资料!$E17="","",基础资料!$E17)</f>
        <v>鸿禧农行基本户</v>
      </c>
      <c r="B21" s="25" t="e">
        <f>IF(OR($A21="",NOT(ISNUMBER($I$2))),"",SUMIFS(资金流水!$M$5:$M$3015,资金流水!$C$5:$C$3032,$A21,资金流水!$B$5:$B$3032,"&lt;="&amp;$B$2)+SUMIFS(资金流水!$K$5:$K$3032,资金流水!$C$5:$C$3032,$A21,资金流水!$B$5:$B$3032,"&lt;"&amp;$B$2)-SUMIFS(资金流水!$L$5:$L$3032,资金流水!$C$5:$C$3032,$A21,资金流水!$B$5:$B$3032,"&lt;"&amp;$B$2))</f>
        <v>#VALUE!</v>
      </c>
      <c r="C21" s="11">
        <f>IF(OR($A21="",C$6=""),"",SUMIFS(资金流水!$K$5:$K$3032,资金流水!$C$5:$C$3032,$A21,资金流水!$B$5:$B$3032,C$6))</f>
        <v>0</v>
      </c>
      <c r="D21" s="11">
        <f>IF(OR($A21="",C$6=""),"",SUMIFS(资金流水!$L$5:$L$3032,资金流水!$C$5:$C$3032,$A21,资金流水!$B$5:$B$3032,C$6))</f>
        <v>0</v>
      </c>
      <c r="E21" s="11">
        <f>IF(OR($A21="",E$6=""),"",SUMIFS(资金流水!$K$5:$K$3032,资金流水!$C$5:$C$3032,$A21,资金流水!$B$5:$B$3032,E$6))</f>
        <v>0</v>
      </c>
      <c r="F21" s="11">
        <f>IF(OR($A21="",E$6=""),"",SUMIFS(资金流水!$L$5:$L$3032,资金流水!$C$5:$C$3032,$A21,资金流水!$B$5:$B$3032,E$6))</f>
        <v>0</v>
      </c>
      <c r="G21" s="11">
        <f>IF(OR($A21="",G$6=""),"",SUMIFS(资金流水!$K$5:$K$3032,资金流水!$C$5:$C$3032,$A21,资金流水!$B$5:$B$3032,G$6))</f>
        <v>0</v>
      </c>
      <c r="H21" s="11">
        <f>IF(OR($A21="",G$6=""),"",SUMIFS(资金流水!$L$5:$L$3032,资金流水!$C$5:$C$3032,$A21,资金流水!$B$5:$B$3032,G$6))</f>
        <v>0</v>
      </c>
      <c r="I21" s="11">
        <f>IF(OR($A21="",I$6=""),"",SUMIFS(资金流水!$K$5:$K$3032,资金流水!$C$5:$C$3032,$A21,资金流水!$B$5:$B$3032,I$6))</f>
        <v>0</v>
      </c>
      <c r="J21" s="11">
        <f>IF(OR($A21="",I$6=""),"",SUMIFS(资金流水!$L$5:$L$3032,资金流水!$C$5:$C$3032,$A21,资金流水!$B$5:$B$3032,I$6))</f>
        <v>0</v>
      </c>
      <c r="K21" s="11">
        <f>IF(OR($A21="",K$6=""),"",SUMIFS(资金流水!$K$5:$K$3032,资金流水!$C$5:$C$3032,$A21,资金流水!$B$5:$B$3032,K$6))</f>
        <v>0</v>
      </c>
      <c r="L21" s="11">
        <f>IF(OR($A21="",K$6=""),"",SUMIFS(资金流水!$L$5:$L$3032,资金流水!$C$5:$C$3032,$A21,资金流水!$B$5:$B$3032,K$6))</f>
        <v>0</v>
      </c>
      <c r="M21" s="11">
        <f>IF(OR($A21="",M$6=""),"",SUMIFS(资金流水!$K$5:$K$3032,资金流水!$C$5:$C$3032,$A21,资金流水!$B$5:$B$3032,M$6))</f>
        <v>0</v>
      </c>
      <c r="N21" s="11">
        <f>IF(OR($A21="",M$6=""),"",SUMIFS(资金流水!$L$5:$L$3032,资金流水!$C$5:$C$3032,$A21,资金流水!$B$5:$B$3032,M$6))</f>
        <v>0</v>
      </c>
      <c r="O21" s="11">
        <f>IF(OR($A21="",O$6=""),"",SUMIFS(资金流水!$K$5:$K$3032,资金流水!$C$5:$C$3032,$A21,资金流水!$B$5:$B$3032,O$6))</f>
        <v>0</v>
      </c>
      <c r="P21" s="11">
        <f>IF(OR($A21="",O$6=""),"",SUMIFS(资金流水!$L$5:$L$3032,资金流水!$C$5:$C$3032,$A21,资金流水!$B$5:$B$3032,O$6))</f>
        <v>0</v>
      </c>
      <c r="Q21" s="11">
        <f>IF(OR($A21="",Q$6=""),"",SUMIFS(资金流水!$K$5:$K$3032,资金流水!$C$5:$C$3032,$A21,资金流水!$B$5:$B$3032,Q$6))</f>
        <v>0</v>
      </c>
      <c r="R21" s="11">
        <f>IF(OR($A21="",Q$6=""),"",SUMIFS(资金流水!$L$5:$L$3032,资金流水!$C$5:$C$3032,$A21,资金流水!$B$5:$B$3032,Q$6))</f>
        <v>0</v>
      </c>
      <c r="S21" s="11">
        <f>IF(OR($A21="",S$6=""),"",SUMIFS(资金流水!$K$5:$K$3032,资金流水!$C$5:$C$3032,$A21,资金流水!$B$5:$B$3032,S$6))</f>
        <v>0</v>
      </c>
      <c r="T21" s="11">
        <f>IF(OR($A21="",S$6=""),"",SUMIFS(资金流水!$L$5:$L$3032,资金流水!$C$5:$C$3032,$A21,资金流水!$B$5:$B$3032,S$6))</f>
        <v>0</v>
      </c>
      <c r="U21" s="11">
        <f>IF(OR($A21="",U$6=""),"",SUMIFS(资金流水!$K$5:$K$3032,资金流水!$C$5:$C$3032,$A21,资金流水!$B$5:$B$3032,U$6))</f>
        <v>0</v>
      </c>
      <c r="V21" s="11">
        <f>IF(OR($A21="",U$6=""),"",SUMIFS(资金流水!$L$5:$L$3032,资金流水!$C$5:$C$3032,$A21,资金流水!$B$5:$B$3032,U$6))</f>
        <v>0</v>
      </c>
      <c r="W21" s="11">
        <f>IF(OR($A21="",W$6=""),"",SUMIFS(资金流水!$K$5:$K$3032,资金流水!$C$5:$C$3032,$A21,资金流水!$B$5:$B$3032,W$6))</f>
        <v>0</v>
      </c>
      <c r="X21" s="11">
        <f>IF(OR($A21="",W$6=""),"",SUMIFS(资金流水!$L$5:$L$3032,资金流水!$C$5:$C$3032,$A21,资金流水!$B$5:$B$3032,W$6))</f>
        <v>0</v>
      </c>
      <c r="Y21" s="11">
        <f>IF(OR($A21="",Y$6=""),"",SUMIFS(资金流水!$K$5:$K$3032,资金流水!$C$5:$C$3032,$A21,资金流水!$B$5:$B$3032,Y$6))</f>
        <v>0</v>
      </c>
      <c r="Z21" s="11">
        <f>IF(OR($A21="",Y$6=""),"",SUMIFS(资金流水!$L$5:$L$3032,资金流水!$C$5:$C$3032,$A21,资金流水!$B$5:$B$3032,Y$6))</f>
        <v>0</v>
      </c>
      <c r="AA21" s="11">
        <f>IF(OR($A21="",AA$6=""),"",SUMIFS(资金流水!$K$5:$K$3032,资金流水!$C$5:$C$3032,$A21,资金流水!$B$5:$B$3032,AA$6))</f>
        <v>0</v>
      </c>
      <c r="AB21" s="11">
        <f>IF(OR($A21="",AA$6=""),"",SUMIFS(资金流水!$L$5:$L$3032,资金流水!$C$5:$C$3032,$A21,资金流水!$B$5:$B$3032,AA$6))</f>
        <v>0</v>
      </c>
      <c r="AC21" s="11">
        <f>IF(OR($A21="",AC$6=""),"",SUMIFS(资金流水!$K$5:$K$3032,资金流水!$C$5:$C$3032,$A21,资金流水!$B$5:$B$3032,AC$6))</f>
        <v>0</v>
      </c>
      <c r="AD21" s="11">
        <f>IF(OR($A21="",AC$6=""),"",SUMIFS(资金流水!$L$5:$L$3032,资金流水!$C$5:$C$3032,$A21,资金流水!$B$5:$B$3032,AC$6))</f>
        <v>0</v>
      </c>
      <c r="AE21" s="11">
        <f>IF(OR($A21="",AE$6=""),"",SUMIFS(资金流水!$K$5:$K$3032,资金流水!$C$5:$C$3032,$A21,资金流水!$B$5:$B$3032,AE$6))</f>
        <v>0</v>
      </c>
      <c r="AF21" s="11">
        <f>IF(OR($A21="",AE$6=""),"",SUMIFS(资金流水!$L$5:$L$3032,资金流水!$C$5:$C$3032,$A21,资金流水!$B$5:$B$3032,AE$6))</f>
        <v>0</v>
      </c>
      <c r="AG21" s="11">
        <f>IF(OR($A21="",AG$6=""),"",SUMIFS(资金流水!$K$5:$K$3032,资金流水!$C$5:$C$3032,$A21,资金流水!$B$5:$B$3032,AG$6))</f>
        <v>0</v>
      </c>
      <c r="AH21" s="11">
        <f>IF(OR($A21="",AG$6=""),"",SUMIFS(资金流水!$L$5:$L$3032,资金流水!$C$5:$C$3032,$A21,资金流水!$B$5:$B$3032,AG$6))</f>
        <v>0</v>
      </c>
      <c r="AI21" s="11">
        <f>IF(OR($A21="",AI$6=""),"",SUMIFS(资金流水!$K$5:$K$3032,资金流水!$C$5:$C$3032,$A21,资金流水!$B$5:$B$3032,AI$6))</f>
        <v>0</v>
      </c>
      <c r="AJ21" s="11">
        <f>IF(OR($A21="",AI$6=""),"",SUMIFS(资金流水!$L$5:$L$3032,资金流水!$C$5:$C$3032,$A21,资金流水!$B$5:$B$3032,AI$6))</f>
        <v>0</v>
      </c>
      <c r="AK21" s="11">
        <f>IF(OR($A21="",AK$6=""),"",SUMIFS(资金流水!$K$5:$K$3032,资金流水!$C$5:$C$3032,$A21,资金流水!$B$5:$B$3032,AK$6))</f>
        <v>0</v>
      </c>
      <c r="AL21" s="11">
        <f>IF(OR($A21="",AK$6=""),"",SUMIFS(资金流水!$L$5:$L$3032,资金流水!$C$5:$C$3032,$A21,资金流水!$B$5:$B$3032,AK$6))</f>
        <v>0</v>
      </c>
      <c r="AM21" s="11">
        <f>IF(OR($A21="",AM$6=""),"",SUMIFS(资金流水!$K$5:$K$3032,资金流水!$C$5:$C$3032,$A21,资金流水!$B$5:$B$3032,AM$6))</f>
        <v>0</v>
      </c>
      <c r="AN21" s="11">
        <f>IF(OR($A21="",AM$6=""),"",SUMIFS(资金流水!$L$5:$L$3032,资金流水!$C$5:$C$3032,$A21,资金流水!$B$5:$B$3032,AM$6))</f>
        <v>0</v>
      </c>
      <c r="AO21" s="11">
        <f>IF(OR($A21="",AO$6=""),"",SUMIFS(资金流水!$K$5:$K$3032,资金流水!$C$5:$C$3032,$A21,资金流水!$B$5:$B$3032,AO$6))</f>
        <v>0</v>
      </c>
      <c r="AP21" s="11">
        <f>IF(OR($A21="",AO$6=""),"",SUMIFS(资金流水!$L$5:$L$3032,资金流水!$C$5:$C$3032,$A21,资金流水!$B$5:$B$3032,AO$6))</f>
        <v>0</v>
      </c>
      <c r="AQ21" s="11">
        <f>IF(OR($A21="",AQ$6=""),"",SUMIFS(资金流水!$K$5:$K$3032,资金流水!$C$5:$C$3032,$A21,资金流水!$B$5:$B$3032,AQ$6))</f>
        <v>0</v>
      </c>
      <c r="AR21" s="11">
        <f>IF(OR($A21="",AQ$6=""),"",SUMIFS(资金流水!$L$5:$L$3032,资金流水!$C$5:$C$3032,$A21,资金流水!$B$5:$B$3032,AQ$6))</f>
        <v>13049.96</v>
      </c>
      <c r="AS21" s="11">
        <f>IF(OR($A21="",AS$6=""),"",SUMIFS(资金流水!$K$5:$K$3032,资金流水!$C$5:$C$3032,$A21,资金流水!$B$5:$B$3032,AS$6))</f>
        <v>0</v>
      </c>
      <c r="AT21" s="11">
        <f>IF(OR($A21="",AS$6=""),"",SUMIFS(资金流水!$L$5:$L$3032,资金流水!$C$5:$C$3032,$A21,资金流水!$B$5:$B$3032,AS$6))</f>
        <v>0</v>
      </c>
      <c r="AU21" s="11">
        <f>IF(OR($A21="",AU$6=""),"",SUMIFS(资金流水!$K$5:$K$3032,资金流水!$C$5:$C$3032,$A21,资金流水!$B$5:$B$3032,AU$6))</f>
        <v>0</v>
      </c>
      <c r="AV21" s="11">
        <f>IF(OR($A21="",AU$6=""),"",SUMIFS(资金流水!$L$5:$L$3032,资金流水!$C$5:$C$3032,$A21,资金流水!$B$5:$B$3032,AU$6))</f>
        <v>0</v>
      </c>
      <c r="AW21" s="11">
        <f>IF(OR($A21="",AW$6=""),"",SUMIFS(资金流水!$K$5:$K$3032,资金流水!$C$5:$C$3032,$A21,资金流水!$B$5:$B$3032,AW$6))</f>
        <v>0</v>
      </c>
      <c r="AX21" s="11">
        <f>IF(OR($A21="",AW$6=""),"",SUMIFS(资金流水!$L$5:$L$3032,资金流水!$C$5:$C$3032,$A21,资金流水!$B$5:$B$3032,AW$6))</f>
        <v>0</v>
      </c>
      <c r="AY21" s="11">
        <f>IF(OR($A21="",AY$6=""),"",SUMIFS(资金流水!$K$5:$K$3032,资金流水!$C$5:$C$3032,$A21,资金流水!$B$5:$B$3032,AY$6))</f>
        <v>0</v>
      </c>
      <c r="AZ21" s="11">
        <f>IF(OR($A21="",AY$6=""),"",SUMIFS(资金流水!$L$5:$L$3032,资金流水!$C$5:$C$3032,$A21,资金流水!$B$5:$B$3032,AY$6))</f>
        <v>0</v>
      </c>
      <c r="BA21" s="11">
        <f>IF(OR($A21="",BA$6=""),"",SUMIFS(资金流水!$K$5:$K$3032,资金流水!$C$5:$C$3032,$A21,资金流水!$B$5:$B$3032,BA$6))</f>
        <v>0</v>
      </c>
      <c r="BB21" s="11">
        <f>IF(OR($A21="",BA$6=""),"",SUMIFS(资金流水!$L$5:$L$3032,资金流水!$C$5:$C$3032,$A21,资金流水!$B$5:$B$3032,BA$6))</f>
        <v>0</v>
      </c>
      <c r="BC21" s="11">
        <f>IF(OR($A21="",BC$6=""),"",SUMIFS(资金流水!$K$5:$K$3032,资金流水!$C$5:$C$3032,$A21,资金流水!$B$5:$B$3032,BC$6))</f>
        <v>0</v>
      </c>
      <c r="BD21" s="11">
        <f>IF(OR($A21="",BC$6=""),"",SUMIFS(资金流水!$L$5:$L$3032,资金流水!$C$5:$C$3032,$A21,资金流水!$B$5:$B$3032,BC$6))</f>
        <v>0</v>
      </c>
      <c r="BE21" s="11">
        <f>IF(OR($A21="",BE$6=""),"",SUMIFS(资金流水!$K$5:$K$3032,资金流水!$C$5:$C$3032,$A21,资金流水!$B$5:$B$3032,BE$6))</f>
        <v>0</v>
      </c>
      <c r="BF21" s="11">
        <f>IF(OR($A21="",BE$6=""),"",SUMIFS(资金流水!$L$5:$L$3032,资金流水!$C$5:$C$3032,$A21,资金流水!$B$5:$B$3032,BE$6))</f>
        <v>0</v>
      </c>
      <c r="BG21" s="11">
        <f>IF(OR($A21="",BG$6=""),"",SUMIFS(资金流水!$K$5:$K$3032,资金流水!$C$5:$C$3032,$A21,资金流水!$B$5:$B$3032,BG$6))</f>
        <v>0</v>
      </c>
      <c r="BH21" s="11">
        <f>IF(OR($A21="",BG$6=""),"",SUMIFS(资金流水!$L$5:$L$3032,资金流水!$C$5:$C$3032,$A21,资金流水!$B$5:$B$3032,BG$6))</f>
        <v>0</v>
      </c>
      <c r="BI21" s="11">
        <f>IF(OR($A21="",BI$6=""),"",SUMIFS(资金流水!$K$5:$K$3032,资金流水!$C$5:$C$3032,$A21,资金流水!$B$5:$B$3032,BI$6))</f>
        <v>0</v>
      </c>
      <c r="BJ21" s="11">
        <f>IF(OR($A21="",BI$6=""),"",SUMIFS(资金流水!$L$5:$L$3032,资金流水!$C$5:$C$3032,$A21,资金流水!$B$5:$B$3032,BI$6))</f>
        <v>0</v>
      </c>
      <c r="BK21" s="11">
        <f>IF(OR($A21="",BK$6=""),"",SUMIFS(资金流水!$K$5:$K$3032,资金流水!$C$5:$C$3032,$A21,资金流水!$B$5:$B$3032,BK$6))</f>
        <v>0</v>
      </c>
      <c r="BL21" s="11">
        <f>IF(OR($A21="",BK$6=""),"",SUMIFS(资金流水!$L$5:$L$3032,资金流水!$C$5:$C$3032,$A21,资金流水!$B$5:$B$3032,BK$6))</f>
        <v>0</v>
      </c>
      <c r="BM21" s="26">
        <f t="shared" si="0"/>
        <v>0</v>
      </c>
      <c r="BN21" s="26">
        <f t="shared" si="1"/>
        <v>13049.96</v>
      </c>
      <c r="BO21" s="26" t="e">
        <f t="shared" si="2"/>
        <v>#VALUE!</v>
      </c>
    </row>
    <row r="22" spans="1:67">
      <c r="A22" s="24" t="str">
        <f>IF(基础资料!$E18="","",基础资料!$E18)</f>
        <v>元界启辰中行基本户</v>
      </c>
      <c r="B22" s="25" t="e">
        <f>IF(OR($A22="",NOT(ISNUMBER($I$2))),"",SUMIFS(资金流水!$M$5:$M$3015,资金流水!$C$5:$C$3032,$A22,资金流水!$B$5:$B$3032,"&lt;="&amp;$B$2)+SUMIFS(资金流水!$K$5:$K$3032,资金流水!$C$5:$C$3032,$A22,资金流水!$B$5:$B$3032,"&lt;"&amp;$B$2)-SUMIFS(资金流水!$L$5:$L$3032,资金流水!$C$5:$C$3032,$A22,资金流水!$B$5:$B$3032,"&lt;"&amp;$B$2))</f>
        <v>#VALUE!</v>
      </c>
      <c r="C22" s="11">
        <f>IF(OR($A22="",C$6=""),"",SUMIFS(资金流水!$K$5:$K$3032,资金流水!$C$5:$C$3032,$A22,资金流水!$B$5:$B$3032,C$6))</f>
        <v>0</v>
      </c>
      <c r="D22" s="11">
        <f>IF(OR($A22="",C$6=""),"",SUMIFS(资金流水!$L$5:$L$3032,资金流水!$C$5:$C$3032,$A22,资金流水!$B$5:$B$3032,C$6))</f>
        <v>0</v>
      </c>
      <c r="E22" s="11">
        <f>IF(OR($A22="",E$6=""),"",SUMIFS(资金流水!$K$5:$K$3032,资金流水!$C$5:$C$3032,$A22,资金流水!$B$5:$B$3032,E$6))</f>
        <v>0</v>
      </c>
      <c r="F22" s="11">
        <f>IF(OR($A22="",E$6=""),"",SUMIFS(资金流水!$L$5:$L$3032,资金流水!$C$5:$C$3032,$A22,资金流水!$B$5:$B$3032,E$6))</f>
        <v>0</v>
      </c>
      <c r="G22" s="11">
        <f>IF(OR($A22="",G$6=""),"",SUMIFS(资金流水!$K$5:$K$3032,资金流水!$C$5:$C$3032,$A22,资金流水!$B$5:$B$3032,G$6))</f>
        <v>0</v>
      </c>
      <c r="H22" s="11">
        <f>IF(OR($A22="",G$6=""),"",SUMIFS(资金流水!$L$5:$L$3032,资金流水!$C$5:$C$3032,$A22,资金流水!$B$5:$B$3032,G$6))</f>
        <v>0</v>
      </c>
      <c r="I22" s="11">
        <f>IF(OR($A22="",I$6=""),"",SUMIFS(资金流水!$K$5:$K$3032,资金流水!$C$5:$C$3032,$A22,资金流水!$B$5:$B$3032,I$6))</f>
        <v>0</v>
      </c>
      <c r="J22" s="11">
        <f>IF(OR($A22="",I$6=""),"",SUMIFS(资金流水!$L$5:$L$3032,资金流水!$C$5:$C$3032,$A22,资金流水!$B$5:$B$3032,I$6))</f>
        <v>0</v>
      </c>
      <c r="K22" s="11">
        <f>IF(OR($A22="",K$6=""),"",SUMIFS(资金流水!$K$5:$K$3032,资金流水!$C$5:$C$3032,$A22,资金流水!$B$5:$B$3032,K$6))</f>
        <v>0</v>
      </c>
      <c r="L22" s="11">
        <f>IF(OR($A22="",K$6=""),"",SUMIFS(资金流水!$L$5:$L$3032,资金流水!$C$5:$C$3032,$A22,资金流水!$B$5:$B$3032,K$6))</f>
        <v>0</v>
      </c>
      <c r="M22" s="11">
        <f>IF(OR($A22="",M$6=""),"",SUMIFS(资金流水!$K$5:$K$3032,资金流水!$C$5:$C$3032,$A22,资金流水!$B$5:$B$3032,M$6))</f>
        <v>0</v>
      </c>
      <c r="N22" s="11">
        <f>IF(OR($A22="",M$6=""),"",SUMIFS(资金流水!$L$5:$L$3032,资金流水!$C$5:$C$3032,$A22,资金流水!$B$5:$B$3032,M$6))</f>
        <v>0</v>
      </c>
      <c r="O22" s="11">
        <f>IF(OR($A22="",O$6=""),"",SUMIFS(资金流水!$K$5:$K$3032,资金流水!$C$5:$C$3032,$A22,资金流水!$B$5:$B$3032,O$6))</f>
        <v>0</v>
      </c>
      <c r="P22" s="11">
        <f>IF(OR($A22="",O$6=""),"",SUMIFS(资金流水!$L$5:$L$3032,资金流水!$C$5:$C$3032,$A22,资金流水!$B$5:$B$3032,O$6))</f>
        <v>0</v>
      </c>
      <c r="Q22" s="11">
        <f>IF(OR($A22="",Q$6=""),"",SUMIFS(资金流水!$K$5:$K$3032,资金流水!$C$5:$C$3032,$A22,资金流水!$B$5:$B$3032,Q$6))</f>
        <v>0</v>
      </c>
      <c r="R22" s="11">
        <f>IF(OR($A22="",Q$6=""),"",SUMIFS(资金流水!$L$5:$L$3032,资金流水!$C$5:$C$3032,$A22,资金流水!$B$5:$B$3032,Q$6))</f>
        <v>0</v>
      </c>
      <c r="S22" s="11">
        <f>IF(OR($A22="",S$6=""),"",SUMIFS(资金流水!$K$5:$K$3032,资金流水!$C$5:$C$3032,$A22,资金流水!$B$5:$B$3032,S$6))</f>
        <v>0</v>
      </c>
      <c r="T22" s="11">
        <f>IF(OR($A22="",S$6=""),"",SUMIFS(资金流水!$L$5:$L$3032,资金流水!$C$5:$C$3032,$A22,资金流水!$B$5:$B$3032,S$6))</f>
        <v>0</v>
      </c>
      <c r="U22" s="11">
        <f>IF(OR($A22="",U$6=""),"",SUMIFS(资金流水!$K$5:$K$3032,资金流水!$C$5:$C$3032,$A22,资金流水!$B$5:$B$3032,U$6))</f>
        <v>0</v>
      </c>
      <c r="V22" s="11">
        <f>IF(OR($A22="",U$6=""),"",SUMIFS(资金流水!$L$5:$L$3032,资金流水!$C$5:$C$3032,$A22,资金流水!$B$5:$B$3032,U$6))</f>
        <v>0</v>
      </c>
      <c r="W22" s="11">
        <f>IF(OR($A22="",W$6=""),"",SUMIFS(资金流水!$K$5:$K$3032,资金流水!$C$5:$C$3032,$A22,资金流水!$B$5:$B$3032,W$6))</f>
        <v>0</v>
      </c>
      <c r="X22" s="11">
        <f>IF(OR($A22="",W$6=""),"",SUMIFS(资金流水!$L$5:$L$3032,资金流水!$C$5:$C$3032,$A22,资金流水!$B$5:$B$3032,W$6))</f>
        <v>0</v>
      </c>
      <c r="Y22" s="11">
        <f>IF(OR($A22="",Y$6=""),"",SUMIFS(资金流水!$K$5:$K$3032,资金流水!$C$5:$C$3032,$A22,资金流水!$B$5:$B$3032,Y$6))</f>
        <v>0</v>
      </c>
      <c r="Z22" s="11">
        <f>IF(OR($A22="",Y$6=""),"",SUMIFS(资金流水!$L$5:$L$3032,资金流水!$C$5:$C$3032,$A22,资金流水!$B$5:$B$3032,Y$6))</f>
        <v>0</v>
      </c>
      <c r="AA22" s="11">
        <f>IF(OR($A22="",AA$6=""),"",SUMIFS(资金流水!$K$5:$K$3032,资金流水!$C$5:$C$3032,$A22,资金流水!$B$5:$B$3032,AA$6))</f>
        <v>0</v>
      </c>
      <c r="AB22" s="11">
        <f>IF(OR($A22="",AA$6=""),"",SUMIFS(资金流水!$L$5:$L$3032,资金流水!$C$5:$C$3032,$A22,资金流水!$B$5:$B$3032,AA$6))</f>
        <v>0</v>
      </c>
      <c r="AC22" s="11">
        <f>IF(OR($A22="",AC$6=""),"",SUMIFS(资金流水!$K$5:$K$3032,资金流水!$C$5:$C$3032,$A22,资金流水!$B$5:$B$3032,AC$6))</f>
        <v>0</v>
      </c>
      <c r="AD22" s="11">
        <f>IF(OR($A22="",AC$6=""),"",SUMIFS(资金流水!$L$5:$L$3032,资金流水!$C$5:$C$3032,$A22,资金流水!$B$5:$B$3032,AC$6))</f>
        <v>0</v>
      </c>
      <c r="AE22" s="11">
        <f>IF(OR($A22="",AE$6=""),"",SUMIFS(资金流水!$K$5:$K$3032,资金流水!$C$5:$C$3032,$A22,资金流水!$B$5:$B$3032,AE$6))</f>
        <v>0</v>
      </c>
      <c r="AF22" s="11">
        <f>IF(OR($A22="",AE$6=""),"",SUMIFS(资金流水!$L$5:$L$3032,资金流水!$C$5:$C$3032,$A22,资金流水!$B$5:$B$3032,AE$6))</f>
        <v>0</v>
      </c>
      <c r="AG22" s="11">
        <f>IF(OR($A22="",AG$6=""),"",SUMIFS(资金流水!$K$5:$K$3032,资金流水!$C$5:$C$3032,$A22,资金流水!$B$5:$B$3032,AG$6))</f>
        <v>0</v>
      </c>
      <c r="AH22" s="11">
        <f>IF(OR($A22="",AG$6=""),"",SUMIFS(资金流水!$L$5:$L$3032,资金流水!$C$5:$C$3032,$A22,资金流水!$B$5:$B$3032,AG$6))</f>
        <v>0</v>
      </c>
      <c r="AI22" s="11">
        <f>IF(OR($A22="",AI$6=""),"",SUMIFS(资金流水!$K$5:$K$3032,资金流水!$C$5:$C$3032,$A22,资金流水!$B$5:$B$3032,AI$6))</f>
        <v>0</v>
      </c>
      <c r="AJ22" s="11">
        <f>IF(OR($A22="",AI$6=""),"",SUMIFS(资金流水!$L$5:$L$3032,资金流水!$C$5:$C$3032,$A22,资金流水!$B$5:$B$3032,AI$6))</f>
        <v>0</v>
      </c>
      <c r="AK22" s="11">
        <f>IF(OR($A22="",AK$6=""),"",SUMIFS(资金流水!$K$5:$K$3032,资金流水!$C$5:$C$3032,$A22,资金流水!$B$5:$B$3032,AK$6))</f>
        <v>0</v>
      </c>
      <c r="AL22" s="11">
        <f>IF(OR($A22="",AK$6=""),"",SUMIFS(资金流水!$L$5:$L$3032,资金流水!$C$5:$C$3032,$A22,资金流水!$B$5:$B$3032,AK$6))</f>
        <v>0</v>
      </c>
      <c r="AM22" s="11">
        <f>IF(OR($A22="",AM$6=""),"",SUMIFS(资金流水!$K$5:$K$3032,资金流水!$C$5:$C$3032,$A22,资金流水!$B$5:$B$3032,AM$6))</f>
        <v>0</v>
      </c>
      <c r="AN22" s="11">
        <f>IF(OR($A22="",AM$6=""),"",SUMIFS(资金流水!$L$5:$L$3032,资金流水!$C$5:$C$3032,$A22,资金流水!$B$5:$B$3032,AM$6))</f>
        <v>0</v>
      </c>
      <c r="AO22" s="11">
        <f>IF(OR($A22="",AO$6=""),"",SUMIFS(资金流水!$K$5:$K$3032,资金流水!$C$5:$C$3032,$A22,资金流水!$B$5:$B$3032,AO$6))</f>
        <v>0</v>
      </c>
      <c r="AP22" s="11">
        <f>IF(OR($A22="",AO$6=""),"",SUMIFS(资金流水!$L$5:$L$3032,资金流水!$C$5:$C$3032,$A22,资金流水!$B$5:$B$3032,AO$6))</f>
        <v>0</v>
      </c>
      <c r="AQ22" s="11">
        <f>IF(OR($A22="",AQ$6=""),"",SUMIFS(资金流水!$K$5:$K$3032,资金流水!$C$5:$C$3032,$A22,资金流水!$B$5:$B$3032,AQ$6))</f>
        <v>0</v>
      </c>
      <c r="AR22" s="11">
        <f>IF(OR($A22="",AQ$6=""),"",SUMIFS(资金流水!$L$5:$L$3032,资金流水!$C$5:$C$3032,$A22,资金流水!$B$5:$B$3032,AQ$6))</f>
        <v>0</v>
      </c>
      <c r="AS22" s="11">
        <f>IF(OR($A22="",AS$6=""),"",SUMIFS(资金流水!$K$5:$K$3032,资金流水!$C$5:$C$3032,$A22,资金流水!$B$5:$B$3032,AS$6))</f>
        <v>0</v>
      </c>
      <c r="AT22" s="11">
        <f>IF(OR($A22="",AS$6=""),"",SUMIFS(资金流水!$L$5:$L$3032,资金流水!$C$5:$C$3032,$A22,资金流水!$B$5:$B$3032,AS$6))</f>
        <v>0</v>
      </c>
      <c r="AU22" s="11">
        <f>IF(OR($A22="",AU$6=""),"",SUMIFS(资金流水!$K$5:$K$3032,资金流水!$C$5:$C$3032,$A22,资金流水!$B$5:$B$3032,AU$6))</f>
        <v>0</v>
      </c>
      <c r="AV22" s="11">
        <f>IF(OR($A22="",AU$6=""),"",SUMIFS(资金流水!$L$5:$L$3032,资金流水!$C$5:$C$3032,$A22,资金流水!$B$5:$B$3032,AU$6))</f>
        <v>0</v>
      </c>
      <c r="AW22" s="11">
        <f>IF(OR($A22="",AW$6=""),"",SUMIFS(资金流水!$K$5:$K$3032,资金流水!$C$5:$C$3032,$A22,资金流水!$B$5:$B$3032,AW$6))</f>
        <v>0</v>
      </c>
      <c r="AX22" s="11">
        <f>IF(OR($A22="",AW$6=""),"",SUMIFS(资金流水!$L$5:$L$3032,资金流水!$C$5:$C$3032,$A22,资金流水!$B$5:$B$3032,AW$6))</f>
        <v>0</v>
      </c>
      <c r="AY22" s="11">
        <f>IF(OR($A22="",AY$6=""),"",SUMIFS(资金流水!$K$5:$K$3032,资金流水!$C$5:$C$3032,$A22,资金流水!$B$5:$B$3032,AY$6))</f>
        <v>0</v>
      </c>
      <c r="AZ22" s="11">
        <f>IF(OR($A22="",AY$6=""),"",SUMIFS(资金流水!$L$5:$L$3032,资金流水!$C$5:$C$3032,$A22,资金流水!$B$5:$B$3032,AY$6))</f>
        <v>0</v>
      </c>
      <c r="BA22" s="11">
        <f>IF(OR($A22="",BA$6=""),"",SUMIFS(资金流水!$K$5:$K$3032,资金流水!$C$5:$C$3032,$A22,资金流水!$B$5:$B$3032,BA$6))</f>
        <v>0</v>
      </c>
      <c r="BB22" s="11">
        <f>IF(OR($A22="",BA$6=""),"",SUMIFS(资金流水!$L$5:$L$3032,资金流水!$C$5:$C$3032,$A22,资金流水!$B$5:$B$3032,BA$6))</f>
        <v>0</v>
      </c>
      <c r="BC22" s="11">
        <f>IF(OR($A22="",BC$6=""),"",SUMIFS(资金流水!$K$5:$K$3032,资金流水!$C$5:$C$3032,$A22,资金流水!$B$5:$B$3032,BC$6))</f>
        <v>0</v>
      </c>
      <c r="BD22" s="11">
        <f>IF(OR($A22="",BC$6=""),"",SUMIFS(资金流水!$L$5:$L$3032,资金流水!$C$5:$C$3032,$A22,资金流水!$B$5:$B$3032,BC$6))</f>
        <v>0</v>
      </c>
      <c r="BE22" s="11">
        <f>IF(OR($A22="",BE$6=""),"",SUMIFS(资金流水!$K$5:$K$3032,资金流水!$C$5:$C$3032,$A22,资金流水!$B$5:$B$3032,BE$6))</f>
        <v>0</v>
      </c>
      <c r="BF22" s="11">
        <f>IF(OR($A22="",BE$6=""),"",SUMIFS(资金流水!$L$5:$L$3032,资金流水!$C$5:$C$3032,$A22,资金流水!$B$5:$B$3032,BE$6))</f>
        <v>0</v>
      </c>
      <c r="BG22" s="11">
        <f>IF(OR($A22="",BG$6=""),"",SUMIFS(资金流水!$K$5:$K$3032,资金流水!$C$5:$C$3032,$A22,资金流水!$B$5:$B$3032,BG$6))</f>
        <v>0</v>
      </c>
      <c r="BH22" s="11">
        <f>IF(OR($A22="",BG$6=""),"",SUMIFS(资金流水!$L$5:$L$3032,资金流水!$C$5:$C$3032,$A22,资金流水!$B$5:$B$3032,BG$6))</f>
        <v>0</v>
      </c>
      <c r="BI22" s="11">
        <f>IF(OR($A22="",BI$6=""),"",SUMIFS(资金流水!$K$5:$K$3032,资金流水!$C$5:$C$3032,$A22,资金流水!$B$5:$B$3032,BI$6))</f>
        <v>0</v>
      </c>
      <c r="BJ22" s="11">
        <f>IF(OR($A22="",BI$6=""),"",SUMIFS(资金流水!$L$5:$L$3032,资金流水!$C$5:$C$3032,$A22,资金流水!$B$5:$B$3032,BI$6))</f>
        <v>0</v>
      </c>
      <c r="BK22" s="11">
        <f>IF(OR($A22="",BK$6=""),"",SUMIFS(资金流水!$K$5:$K$3032,资金流水!$C$5:$C$3032,$A22,资金流水!$B$5:$B$3032,BK$6))</f>
        <v>0</v>
      </c>
      <c r="BL22" s="11">
        <f>IF(OR($A22="",BK$6=""),"",SUMIFS(资金流水!$L$5:$L$3032,资金流水!$C$5:$C$3032,$A22,资金流水!$B$5:$B$3032,BK$6))</f>
        <v>0</v>
      </c>
      <c r="BM22" s="26">
        <f t="shared" si="0"/>
        <v>0</v>
      </c>
      <c r="BN22" s="26">
        <f t="shared" si="1"/>
        <v>0</v>
      </c>
      <c r="BO22" s="26" t="e">
        <f t="shared" si="2"/>
        <v>#VALUE!</v>
      </c>
    </row>
    <row r="23" spans="1:67">
      <c r="A23" s="24" t="str">
        <f>IF(基础资料!$E19="","",基础资料!$E19)</f>
        <v>锐思维度中行基本户</v>
      </c>
      <c r="B23" s="25" t="e">
        <f>IF(OR($A23="",NOT(ISNUMBER($I$2))),"",SUMIFS(资金流水!$M$5:$M$3015,资金流水!$C$5:$C$3032,$A23,资金流水!$B$5:$B$3032,"&lt;="&amp;$B$2)+SUMIFS(资金流水!$K$5:$K$3032,资金流水!$C$5:$C$3032,$A23,资金流水!$B$5:$B$3032,"&lt;"&amp;$B$2)-SUMIFS(资金流水!$L$5:$L$3032,资金流水!$C$5:$C$3032,$A23,资金流水!$B$5:$B$3032,"&lt;"&amp;$B$2))</f>
        <v>#VALUE!</v>
      </c>
      <c r="C23" s="11">
        <f>IF(OR($A23="",C$6=""),"",SUMIFS(资金流水!$K$5:$K$3032,资金流水!$C$5:$C$3032,$A23,资金流水!$B$5:$B$3032,C$6))</f>
        <v>0</v>
      </c>
      <c r="D23" s="11">
        <f>IF(OR($A23="",C$6=""),"",SUMIFS(资金流水!$L$5:$L$3032,资金流水!$C$5:$C$3032,$A23,资金流水!$B$5:$B$3032,C$6))</f>
        <v>0</v>
      </c>
      <c r="E23" s="11">
        <f>IF(OR($A23="",E$6=""),"",SUMIFS(资金流水!$K$5:$K$3032,资金流水!$C$5:$C$3032,$A23,资金流水!$B$5:$B$3032,E$6))</f>
        <v>0</v>
      </c>
      <c r="F23" s="11">
        <f>IF(OR($A23="",E$6=""),"",SUMIFS(资金流水!$L$5:$L$3032,资金流水!$C$5:$C$3032,$A23,资金流水!$B$5:$B$3032,E$6))</f>
        <v>0</v>
      </c>
      <c r="G23" s="11">
        <f>IF(OR($A23="",G$6=""),"",SUMIFS(资金流水!$K$5:$K$3032,资金流水!$C$5:$C$3032,$A23,资金流水!$B$5:$B$3032,G$6))</f>
        <v>0</v>
      </c>
      <c r="H23" s="11">
        <f>IF(OR($A23="",G$6=""),"",SUMIFS(资金流水!$L$5:$L$3032,资金流水!$C$5:$C$3032,$A23,资金流水!$B$5:$B$3032,G$6))</f>
        <v>0</v>
      </c>
      <c r="I23" s="11">
        <f>IF(OR($A23="",I$6=""),"",SUMIFS(资金流水!$K$5:$K$3032,资金流水!$C$5:$C$3032,$A23,资金流水!$B$5:$B$3032,I$6))</f>
        <v>0</v>
      </c>
      <c r="J23" s="11">
        <f>IF(OR($A23="",I$6=""),"",SUMIFS(资金流水!$L$5:$L$3032,资金流水!$C$5:$C$3032,$A23,资金流水!$B$5:$B$3032,I$6))</f>
        <v>0</v>
      </c>
      <c r="K23" s="11">
        <f>IF(OR($A23="",K$6=""),"",SUMIFS(资金流水!$K$5:$K$3032,资金流水!$C$5:$C$3032,$A23,资金流水!$B$5:$B$3032,K$6))</f>
        <v>0</v>
      </c>
      <c r="L23" s="11">
        <f>IF(OR($A23="",K$6=""),"",SUMIFS(资金流水!$L$5:$L$3032,资金流水!$C$5:$C$3032,$A23,资金流水!$B$5:$B$3032,K$6))</f>
        <v>0</v>
      </c>
      <c r="M23" s="11">
        <f>IF(OR($A23="",M$6=""),"",SUMIFS(资金流水!$K$5:$K$3032,资金流水!$C$5:$C$3032,$A23,资金流水!$B$5:$B$3032,M$6))</f>
        <v>0</v>
      </c>
      <c r="N23" s="11">
        <f>IF(OR($A23="",M$6=""),"",SUMIFS(资金流水!$L$5:$L$3032,资金流水!$C$5:$C$3032,$A23,资金流水!$B$5:$B$3032,M$6))</f>
        <v>0</v>
      </c>
      <c r="O23" s="11">
        <f>IF(OR($A23="",O$6=""),"",SUMIFS(资金流水!$K$5:$K$3032,资金流水!$C$5:$C$3032,$A23,资金流水!$B$5:$B$3032,O$6))</f>
        <v>0</v>
      </c>
      <c r="P23" s="11">
        <f>IF(OR($A23="",O$6=""),"",SUMIFS(资金流水!$L$5:$L$3032,资金流水!$C$5:$C$3032,$A23,资金流水!$B$5:$B$3032,O$6))</f>
        <v>0</v>
      </c>
      <c r="Q23" s="11">
        <f>IF(OR($A23="",Q$6=""),"",SUMIFS(资金流水!$K$5:$K$3032,资金流水!$C$5:$C$3032,$A23,资金流水!$B$5:$B$3032,Q$6))</f>
        <v>0</v>
      </c>
      <c r="R23" s="11">
        <f>IF(OR($A23="",Q$6=""),"",SUMIFS(资金流水!$L$5:$L$3032,资金流水!$C$5:$C$3032,$A23,资金流水!$B$5:$B$3032,Q$6))</f>
        <v>0</v>
      </c>
      <c r="S23" s="11">
        <f>IF(OR($A23="",S$6=""),"",SUMIFS(资金流水!$K$5:$K$3032,资金流水!$C$5:$C$3032,$A23,资金流水!$B$5:$B$3032,S$6))</f>
        <v>0</v>
      </c>
      <c r="T23" s="11">
        <f>IF(OR($A23="",S$6=""),"",SUMIFS(资金流水!$L$5:$L$3032,资金流水!$C$5:$C$3032,$A23,资金流水!$B$5:$B$3032,S$6))</f>
        <v>0</v>
      </c>
      <c r="U23" s="11">
        <f>IF(OR($A23="",U$6=""),"",SUMIFS(资金流水!$K$5:$K$3032,资金流水!$C$5:$C$3032,$A23,资金流水!$B$5:$B$3032,U$6))</f>
        <v>0</v>
      </c>
      <c r="V23" s="11">
        <f>IF(OR($A23="",U$6=""),"",SUMIFS(资金流水!$L$5:$L$3032,资金流水!$C$5:$C$3032,$A23,资金流水!$B$5:$B$3032,U$6))</f>
        <v>0</v>
      </c>
      <c r="W23" s="11">
        <f>IF(OR($A23="",W$6=""),"",SUMIFS(资金流水!$K$5:$K$3032,资金流水!$C$5:$C$3032,$A23,资金流水!$B$5:$B$3032,W$6))</f>
        <v>0</v>
      </c>
      <c r="X23" s="11">
        <f>IF(OR($A23="",W$6=""),"",SUMIFS(资金流水!$L$5:$L$3032,资金流水!$C$5:$C$3032,$A23,资金流水!$B$5:$B$3032,W$6))</f>
        <v>0</v>
      </c>
      <c r="Y23" s="11">
        <f>IF(OR($A23="",Y$6=""),"",SUMIFS(资金流水!$K$5:$K$3032,资金流水!$C$5:$C$3032,$A23,资金流水!$B$5:$B$3032,Y$6))</f>
        <v>0</v>
      </c>
      <c r="Z23" s="11">
        <f>IF(OR($A23="",Y$6=""),"",SUMIFS(资金流水!$L$5:$L$3032,资金流水!$C$5:$C$3032,$A23,资金流水!$B$5:$B$3032,Y$6))</f>
        <v>0</v>
      </c>
      <c r="AA23" s="11">
        <f>IF(OR($A23="",AA$6=""),"",SUMIFS(资金流水!$K$5:$K$3032,资金流水!$C$5:$C$3032,$A23,资金流水!$B$5:$B$3032,AA$6))</f>
        <v>0</v>
      </c>
      <c r="AB23" s="11">
        <f>IF(OR($A23="",AA$6=""),"",SUMIFS(资金流水!$L$5:$L$3032,资金流水!$C$5:$C$3032,$A23,资金流水!$B$5:$B$3032,AA$6))</f>
        <v>0</v>
      </c>
      <c r="AC23" s="11">
        <f>IF(OR($A23="",AC$6=""),"",SUMIFS(资金流水!$K$5:$K$3032,资金流水!$C$5:$C$3032,$A23,资金流水!$B$5:$B$3032,AC$6))</f>
        <v>0</v>
      </c>
      <c r="AD23" s="11">
        <f>IF(OR($A23="",AC$6=""),"",SUMIFS(资金流水!$L$5:$L$3032,资金流水!$C$5:$C$3032,$A23,资金流水!$B$5:$B$3032,AC$6))</f>
        <v>0</v>
      </c>
      <c r="AE23" s="11">
        <f>IF(OR($A23="",AE$6=""),"",SUMIFS(资金流水!$K$5:$K$3032,资金流水!$C$5:$C$3032,$A23,资金流水!$B$5:$B$3032,AE$6))</f>
        <v>0</v>
      </c>
      <c r="AF23" s="11">
        <f>IF(OR($A23="",AE$6=""),"",SUMIFS(资金流水!$L$5:$L$3032,资金流水!$C$5:$C$3032,$A23,资金流水!$B$5:$B$3032,AE$6))</f>
        <v>0</v>
      </c>
      <c r="AG23" s="11">
        <f>IF(OR($A23="",AG$6=""),"",SUMIFS(资金流水!$K$5:$K$3032,资金流水!$C$5:$C$3032,$A23,资金流水!$B$5:$B$3032,AG$6))</f>
        <v>0</v>
      </c>
      <c r="AH23" s="11">
        <f>IF(OR($A23="",AG$6=""),"",SUMIFS(资金流水!$L$5:$L$3032,资金流水!$C$5:$C$3032,$A23,资金流水!$B$5:$B$3032,AG$6))</f>
        <v>0</v>
      </c>
      <c r="AI23" s="11">
        <f>IF(OR($A23="",AI$6=""),"",SUMIFS(资金流水!$K$5:$K$3032,资金流水!$C$5:$C$3032,$A23,资金流水!$B$5:$B$3032,AI$6))</f>
        <v>0</v>
      </c>
      <c r="AJ23" s="11">
        <f>IF(OR($A23="",AI$6=""),"",SUMIFS(资金流水!$L$5:$L$3032,资金流水!$C$5:$C$3032,$A23,资金流水!$B$5:$B$3032,AI$6))</f>
        <v>0</v>
      </c>
      <c r="AK23" s="11">
        <f>IF(OR($A23="",AK$6=""),"",SUMIFS(资金流水!$K$5:$K$3032,资金流水!$C$5:$C$3032,$A23,资金流水!$B$5:$B$3032,AK$6))</f>
        <v>0</v>
      </c>
      <c r="AL23" s="11">
        <f>IF(OR($A23="",AK$6=""),"",SUMIFS(资金流水!$L$5:$L$3032,资金流水!$C$5:$C$3032,$A23,资金流水!$B$5:$B$3032,AK$6))</f>
        <v>0</v>
      </c>
      <c r="AM23" s="11">
        <f>IF(OR($A23="",AM$6=""),"",SUMIFS(资金流水!$K$5:$K$3032,资金流水!$C$5:$C$3032,$A23,资金流水!$B$5:$B$3032,AM$6))</f>
        <v>0</v>
      </c>
      <c r="AN23" s="11">
        <f>IF(OR($A23="",AM$6=""),"",SUMIFS(资金流水!$L$5:$L$3032,资金流水!$C$5:$C$3032,$A23,资金流水!$B$5:$B$3032,AM$6))</f>
        <v>0</v>
      </c>
      <c r="AO23" s="11">
        <f>IF(OR($A23="",AO$6=""),"",SUMIFS(资金流水!$K$5:$K$3032,资金流水!$C$5:$C$3032,$A23,资金流水!$B$5:$B$3032,AO$6))</f>
        <v>0</v>
      </c>
      <c r="AP23" s="11">
        <f>IF(OR($A23="",AO$6=""),"",SUMIFS(资金流水!$L$5:$L$3032,资金流水!$C$5:$C$3032,$A23,资金流水!$B$5:$B$3032,AO$6))</f>
        <v>0</v>
      </c>
      <c r="AQ23" s="11">
        <f>IF(OR($A23="",AQ$6=""),"",SUMIFS(资金流水!$K$5:$K$3032,资金流水!$C$5:$C$3032,$A23,资金流水!$B$5:$B$3032,AQ$6))</f>
        <v>0</v>
      </c>
      <c r="AR23" s="11">
        <f>IF(OR($A23="",AQ$6=""),"",SUMIFS(资金流水!$L$5:$L$3032,资金流水!$C$5:$C$3032,$A23,资金流水!$B$5:$B$3032,AQ$6))</f>
        <v>0</v>
      </c>
      <c r="AS23" s="11">
        <f>IF(OR($A23="",AS$6=""),"",SUMIFS(资金流水!$K$5:$K$3032,资金流水!$C$5:$C$3032,$A23,资金流水!$B$5:$B$3032,AS$6))</f>
        <v>0</v>
      </c>
      <c r="AT23" s="11">
        <f>IF(OR($A23="",AS$6=""),"",SUMIFS(资金流水!$L$5:$L$3032,资金流水!$C$5:$C$3032,$A23,资金流水!$B$5:$B$3032,AS$6))</f>
        <v>0</v>
      </c>
      <c r="AU23" s="11">
        <f>IF(OR($A23="",AU$6=""),"",SUMIFS(资金流水!$K$5:$K$3032,资金流水!$C$5:$C$3032,$A23,资金流水!$B$5:$B$3032,AU$6))</f>
        <v>0</v>
      </c>
      <c r="AV23" s="11">
        <f>IF(OR($A23="",AU$6=""),"",SUMIFS(资金流水!$L$5:$L$3032,资金流水!$C$5:$C$3032,$A23,资金流水!$B$5:$B$3032,AU$6))</f>
        <v>0</v>
      </c>
      <c r="AW23" s="11">
        <f>IF(OR($A23="",AW$6=""),"",SUMIFS(资金流水!$K$5:$K$3032,资金流水!$C$5:$C$3032,$A23,资金流水!$B$5:$B$3032,AW$6))</f>
        <v>0</v>
      </c>
      <c r="AX23" s="11">
        <f>IF(OR($A23="",AW$6=""),"",SUMIFS(资金流水!$L$5:$L$3032,资金流水!$C$5:$C$3032,$A23,资金流水!$B$5:$B$3032,AW$6))</f>
        <v>0</v>
      </c>
      <c r="AY23" s="11">
        <f>IF(OR($A23="",AY$6=""),"",SUMIFS(资金流水!$K$5:$K$3032,资金流水!$C$5:$C$3032,$A23,资金流水!$B$5:$B$3032,AY$6))</f>
        <v>0</v>
      </c>
      <c r="AZ23" s="11">
        <f>IF(OR($A23="",AY$6=""),"",SUMIFS(资金流水!$L$5:$L$3032,资金流水!$C$5:$C$3032,$A23,资金流水!$B$5:$B$3032,AY$6))</f>
        <v>0</v>
      </c>
      <c r="BA23" s="11">
        <f>IF(OR($A23="",BA$6=""),"",SUMIFS(资金流水!$K$5:$K$3032,资金流水!$C$5:$C$3032,$A23,资金流水!$B$5:$B$3032,BA$6))</f>
        <v>0</v>
      </c>
      <c r="BB23" s="11">
        <f>IF(OR($A23="",BA$6=""),"",SUMIFS(资金流水!$L$5:$L$3032,资金流水!$C$5:$C$3032,$A23,资金流水!$B$5:$B$3032,BA$6))</f>
        <v>0</v>
      </c>
      <c r="BC23" s="11">
        <f>IF(OR($A23="",BC$6=""),"",SUMIFS(资金流水!$K$5:$K$3032,资金流水!$C$5:$C$3032,$A23,资金流水!$B$5:$B$3032,BC$6))</f>
        <v>0</v>
      </c>
      <c r="BD23" s="11">
        <f>IF(OR($A23="",BC$6=""),"",SUMIFS(资金流水!$L$5:$L$3032,资金流水!$C$5:$C$3032,$A23,资金流水!$B$5:$B$3032,BC$6))</f>
        <v>0</v>
      </c>
      <c r="BE23" s="11">
        <f>IF(OR($A23="",BE$6=""),"",SUMIFS(资金流水!$K$5:$K$3032,资金流水!$C$5:$C$3032,$A23,资金流水!$B$5:$B$3032,BE$6))</f>
        <v>0</v>
      </c>
      <c r="BF23" s="11">
        <f>IF(OR($A23="",BE$6=""),"",SUMIFS(资金流水!$L$5:$L$3032,资金流水!$C$5:$C$3032,$A23,资金流水!$B$5:$B$3032,BE$6))</f>
        <v>0</v>
      </c>
      <c r="BG23" s="11">
        <f>IF(OR($A23="",BG$6=""),"",SUMIFS(资金流水!$K$5:$K$3032,资金流水!$C$5:$C$3032,$A23,资金流水!$B$5:$B$3032,BG$6))</f>
        <v>0</v>
      </c>
      <c r="BH23" s="11">
        <f>IF(OR($A23="",BG$6=""),"",SUMIFS(资金流水!$L$5:$L$3032,资金流水!$C$5:$C$3032,$A23,资金流水!$B$5:$B$3032,BG$6))</f>
        <v>0</v>
      </c>
      <c r="BI23" s="11">
        <f>IF(OR($A23="",BI$6=""),"",SUMIFS(资金流水!$K$5:$K$3032,资金流水!$C$5:$C$3032,$A23,资金流水!$B$5:$B$3032,BI$6))</f>
        <v>0</v>
      </c>
      <c r="BJ23" s="11">
        <f>IF(OR($A23="",BI$6=""),"",SUMIFS(资金流水!$L$5:$L$3032,资金流水!$C$5:$C$3032,$A23,资金流水!$B$5:$B$3032,BI$6))</f>
        <v>0</v>
      </c>
      <c r="BK23" s="11">
        <f>IF(OR($A23="",BK$6=""),"",SUMIFS(资金流水!$K$5:$K$3032,资金流水!$C$5:$C$3032,$A23,资金流水!$B$5:$B$3032,BK$6))</f>
        <v>0</v>
      </c>
      <c r="BL23" s="11">
        <f>IF(OR($A23="",BK$6=""),"",SUMIFS(资金流水!$L$5:$L$3032,资金流水!$C$5:$C$3032,$A23,资金流水!$B$5:$B$3032,BK$6))</f>
        <v>0</v>
      </c>
      <c r="BM23" s="26">
        <f t="shared" si="0"/>
        <v>0</v>
      </c>
      <c r="BN23" s="26">
        <f t="shared" si="1"/>
        <v>0</v>
      </c>
      <c r="BO23" s="26" t="e">
        <f t="shared" si="2"/>
        <v>#VALUE!</v>
      </c>
    </row>
    <row r="24" spans="1:67">
      <c r="A24" s="24" t="str">
        <f>IF(基础资料!$E20="","",基础资料!$E20)</f>
        <v>备用7</v>
      </c>
      <c r="B24" s="25" t="e">
        <f>IF(OR($A24="",NOT(ISNUMBER($I$2))),"",SUMIFS(资金流水!$M$5:$M$3015,资金流水!$C$5:$C$3032,$A24,资金流水!$B$5:$B$3032,"&lt;="&amp;$B$2)+SUMIFS(资金流水!$K$5:$K$3032,资金流水!$C$5:$C$3032,$A24,资金流水!$B$5:$B$3032,"&lt;"&amp;$B$2)-SUMIFS(资金流水!$L$5:$L$3032,资金流水!$C$5:$C$3032,$A24,资金流水!$B$5:$B$3032,"&lt;"&amp;$B$2))</f>
        <v>#VALUE!</v>
      </c>
      <c r="C24" s="11">
        <f>IF(OR($A24="",C$6=""),"",SUMIFS(资金流水!$K$5:$K$3032,资金流水!$C$5:$C$3032,$A24,资金流水!$B$5:$B$3032,C$6))</f>
        <v>0</v>
      </c>
      <c r="D24" s="11">
        <f>IF(OR($A24="",C$6=""),"",SUMIFS(资金流水!$L$5:$L$3032,资金流水!$C$5:$C$3032,$A24,资金流水!$B$5:$B$3032,C$6))</f>
        <v>0</v>
      </c>
      <c r="E24" s="11">
        <f>IF(OR($A24="",E$6=""),"",SUMIFS(资金流水!$K$5:$K$3032,资金流水!$C$5:$C$3032,$A24,资金流水!$B$5:$B$3032,E$6))</f>
        <v>0</v>
      </c>
      <c r="F24" s="11">
        <f>IF(OR($A24="",E$6=""),"",SUMIFS(资金流水!$L$5:$L$3032,资金流水!$C$5:$C$3032,$A24,资金流水!$B$5:$B$3032,E$6))</f>
        <v>0</v>
      </c>
      <c r="G24" s="11">
        <f>IF(OR($A24="",G$6=""),"",SUMIFS(资金流水!$K$5:$K$3032,资金流水!$C$5:$C$3032,$A24,资金流水!$B$5:$B$3032,G$6))</f>
        <v>0</v>
      </c>
      <c r="H24" s="11">
        <f>IF(OR($A24="",G$6=""),"",SUMIFS(资金流水!$L$5:$L$3032,资金流水!$C$5:$C$3032,$A24,资金流水!$B$5:$B$3032,G$6))</f>
        <v>0</v>
      </c>
      <c r="I24" s="11">
        <f>IF(OR($A24="",I$6=""),"",SUMIFS(资金流水!$K$5:$K$3032,资金流水!$C$5:$C$3032,$A24,资金流水!$B$5:$B$3032,I$6))</f>
        <v>0</v>
      </c>
      <c r="J24" s="11">
        <f>IF(OR($A24="",I$6=""),"",SUMIFS(资金流水!$L$5:$L$3032,资金流水!$C$5:$C$3032,$A24,资金流水!$B$5:$B$3032,I$6))</f>
        <v>0</v>
      </c>
      <c r="K24" s="11">
        <f>IF(OR($A24="",K$6=""),"",SUMIFS(资金流水!$K$5:$K$3032,资金流水!$C$5:$C$3032,$A24,资金流水!$B$5:$B$3032,K$6))</f>
        <v>0</v>
      </c>
      <c r="L24" s="11">
        <f>IF(OR($A24="",K$6=""),"",SUMIFS(资金流水!$L$5:$L$3032,资金流水!$C$5:$C$3032,$A24,资金流水!$B$5:$B$3032,K$6))</f>
        <v>0</v>
      </c>
      <c r="M24" s="11">
        <f>IF(OR($A24="",M$6=""),"",SUMIFS(资金流水!$K$5:$K$3032,资金流水!$C$5:$C$3032,$A24,资金流水!$B$5:$B$3032,M$6))</f>
        <v>0</v>
      </c>
      <c r="N24" s="11">
        <f>IF(OR($A24="",M$6=""),"",SUMIFS(资金流水!$L$5:$L$3032,资金流水!$C$5:$C$3032,$A24,资金流水!$B$5:$B$3032,M$6))</f>
        <v>0</v>
      </c>
      <c r="O24" s="11">
        <f>IF(OR($A24="",O$6=""),"",SUMIFS(资金流水!$K$5:$K$3032,资金流水!$C$5:$C$3032,$A24,资金流水!$B$5:$B$3032,O$6))</f>
        <v>0</v>
      </c>
      <c r="P24" s="11">
        <f>IF(OR($A24="",O$6=""),"",SUMIFS(资金流水!$L$5:$L$3032,资金流水!$C$5:$C$3032,$A24,资金流水!$B$5:$B$3032,O$6))</f>
        <v>0</v>
      </c>
      <c r="Q24" s="11">
        <f>IF(OR($A24="",Q$6=""),"",SUMIFS(资金流水!$K$5:$K$3032,资金流水!$C$5:$C$3032,$A24,资金流水!$B$5:$B$3032,Q$6))</f>
        <v>0</v>
      </c>
      <c r="R24" s="11">
        <f>IF(OR($A24="",Q$6=""),"",SUMIFS(资金流水!$L$5:$L$3032,资金流水!$C$5:$C$3032,$A24,资金流水!$B$5:$B$3032,Q$6))</f>
        <v>0</v>
      </c>
      <c r="S24" s="11">
        <f>IF(OR($A24="",S$6=""),"",SUMIFS(资金流水!$K$5:$K$3032,资金流水!$C$5:$C$3032,$A24,资金流水!$B$5:$B$3032,S$6))</f>
        <v>0</v>
      </c>
      <c r="T24" s="11">
        <f>IF(OR($A24="",S$6=""),"",SUMIFS(资金流水!$L$5:$L$3032,资金流水!$C$5:$C$3032,$A24,资金流水!$B$5:$B$3032,S$6))</f>
        <v>0</v>
      </c>
      <c r="U24" s="11">
        <f>IF(OR($A24="",U$6=""),"",SUMIFS(资金流水!$K$5:$K$3032,资金流水!$C$5:$C$3032,$A24,资金流水!$B$5:$B$3032,U$6))</f>
        <v>0</v>
      </c>
      <c r="V24" s="11">
        <f>IF(OR($A24="",U$6=""),"",SUMIFS(资金流水!$L$5:$L$3032,资金流水!$C$5:$C$3032,$A24,资金流水!$B$5:$B$3032,U$6))</f>
        <v>0</v>
      </c>
      <c r="W24" s="11">
        <f>IF(OR($A24="",W$6=""),"",SUMIFS(资金流水!$K$5:$K$3032,资金流水!$C$5:$C$3032,$A24,资金流水!$B$5:$B$3032,W$6))</f>
        <v>0</v>
      </c>
      <c r="X24" s="11">
        <f>IF(OR($A24="",W$6=""),"",SUMIFS(资金流水!$L$5:$L$3032,资金流水!$C$5:$C$3032,$A24,资金流水!$B$5:$B$3032,W$6))</f>
        <v>0</v>
      </c>
      <c r="Y24" s="11">
        <f>IF(OR($A24="",Y$6=""),"",SUMIFS(资金流水!$K$5:$K$3032,资金流水!$C$5:$C$3032,$A24,资金流水!$B$5:$B$3032,Y$6))</f>
        <v>0</v>
      </c>
      <c r="Z24" s="11">
        <f>IF(OR($A24="",Y$6=""),"",SUMIFS(资金流水!$L$5:$L$3032,资金流水!$C$5:$C$3032,$A24,资金流水!$B$5:$B$3032,Y$6))</f>
        <v>0</v>
      </c>
      <c r="AA24" s="11">
        <f>IF(OR($A24="",AA$6=""),"",SUMIFS(资金流水!$K$5:$K$3032,资金流水!$C$5:$C$3032,$A24,资金流水!$B$5:$B$3032,AA$6))</f>
        <v>0</v>
      </c>
      <c r="AB24" s="11">
        <f>IF(OR($A24="",AA$6=""),"",SUMIFS(资金流水!$L$5:$L$3032,资金流水!$C$5:$C$3032,$A24,资金流水!$B$5:$B$3032,AA$6))</f>
        <v>0</v>
      </c>
      <c r="AC24" s="11">
        <f>IF(OR($A24="",AC$6=""),"",SUMIFS(资金流水!$K$5:$K$3032,资金流水!$C$5:$C$3032,$A24,资金流水!$B$5:$B$3032,AC$6))</f>
        <v>0</v>
      </c>
      <c r="AD24" s="11">
        <f>IF(OR($A24="",AC$6=""),"",SUMIFS(资金流水!$L$5:$L$3032,资金流水!$C$5:$C$3032,$A24,资金流水!$B$5:$B$3032,AC$6))</f>
        <v>0</v>
      </c>
      <c r="AE24" s="11">
        <f>IF(OR($A24="",AE$6=""),"",SUMIFS(资金流水!$K$5:$K$3032,资金流水!$C$5:$C$3032,$A24,资金流水!$B$5:$B$3032,AE$6))</f>
        <v>0</v>
      </c>
      <c r="AF24" s="11">
        <f>IF(OR($A24="",AE$6=""),"",SUMIFS(资金流水!$L$5:$L$3032,资金流水!$C$5:$C$3032,$A24,资金流水!$B$5:$B$3032,AE$6))</f>
        <v>0</v>
      </c>
      <c r="AG24" s="11">
        <f>IF(OR($A24="",AG$6=""),"",SUMIFS(资金流水!$K$5:$K$3032,资金流水!$C$5:$C$3032,$A24,资金流水!$B$5:$B$3032,AG$6))</f>
        <v>0</v>
      </c>
      <c r="AH24" s="11">
        <f>IF(OR($A24="",AG$6=""),"",SUMIFS(资金流水!$L$5:$L$3032,资金流水!$C$5:$C$3032,$A24,资金流水!$B$5:$B$3032,AG$6))</f>
        <v>0</v>
      </c>
      <c r="AI24" s="11">
        <f>IF(OR($A24="",AI$6=""),"",SUMIFS(资金流水!$K$5:$K$3032,资金流水!$C$5:$C$3032,$A24,资金流水!$B$5:$B$3032,AI$6))</f>
        <v>0</v>
      </c>
      <c r="AJ24" s="11">
        <f>IF(OR($A24="",AI$6=""),"",SUMIFS(资金流水!$L$5:$L$3032,资金流水!$C$5:$C$3032,$A24,资金流水!$B$5:$B$3032,AI$6))</f>
        <v>0</v>
      </c>
      <c r="AK24" s="11">
        <f>IF(OR($A24="",AK$6=""),"",SUMIFS(资金流水!$K$5:$K$3032,资金流水!$C$5:$C$3032,$A24,资金流水!$B$5:$B$3032,AK$6))</f>
        <v>0</v>
      </c>
      <c r="AL24" s="11">
        <f>IF(OR($A24="",AK$6=""),"",SUMIFS(资金流水!$L$5:$L$3032,资金流水!$C$5:$C$3032,$A24,资金流水!$B$5:$B$3032,AK$6))</f>
        <v>0</v>
      </c>
      <c r="AM24" s="11">
        <f>IF(OR($A24="",AM$6=""),"",SUMIFS(资金流水!$K$5:$K$3032,资金流水!$C$5:$C$3032,$A24,资金流水!$B$5:$B$3032,AM$6))</f>
        <v>0</v>
      </c>
      <c r="AN24" s="11">
        <f>IF(OR($A24="",AM$6=""),"",SUMIFS(资金流水!$L$5:$L$3032,资金流水!$C$5:$C$3032,$A24,资金流水!$B$5:$B$3032,AM$6))</f>
        <v>0</v>
      </c>
      <c r="AO24" s="11">
        <f>IF(OR($A24="",AO$6=""),"",SUMIFS(资金流水!$K$5:$K$3032,资金流水!$C$5:$C$3032,$A24,资金流水!$B$5:$B$3032,AO$6))</f>
        <v>0</v>
      </c>
      <c r="AP24" s="11">
        <f>IF(OR($A24="",AO$6=""),"",SUMIFS(资金流水!$L$5:$L$3032,资金流水!$C$5:$C$3032,$A24,资金流水!$B$5:$B$3032,AO$6))</f>
        <v>0</v>
      </c>
      <c r="AQ24" s="11">
        <f>IF(OR($A24="",AQ$6=""),"",SUMIFS(资金流水!$K$5:$K$3032,资金流水!$C$5:$C$3032,$A24,资金流水!$B$5:$B$3032,AQ$6))</f>
        <v>0</v>
      </c>
      <c r="AR24" s="11">
        <f>IF(OR($A24="",AQ$6=""),"",SUMIFS(资金流水!$L$5:$L$3032,资金流水!$C$5:$C$3032,$A24,资金流水!$B$5:$B$3032,AQ$6))</f>
        <v>0</v>
      </c>
      <c r="AS24" s="11">
        <f>IF(OR($A24="",AS$6=""),"",SUMIFS(资金流水!$K$5:$K$3032,资金流水!$C$5:$C$3032,$A24,资金流水!$B$5:$B$3032,AS$6))</f>
        <v>0</v>
      </c>
      <c r="AT24" s="11">
        <f>IF(OR($A24="",AS$6=""),"",SUMIFS(资金流水!$L$5:$L$3032,资金流水!$C$5:$C$3032,$A24,资金流水!$B$5:$B$3032,AS$6))</f>
        <v>0</v>
      </c>
      <c r="AU24" s="11">
        <f>IF(OR($A24="",AU$6=""),"",SUMIFS(资金流水!$K$5:$K$3032,资金流水!$C$5:$C$3032,$A24,资金流水!$B$5:$B$3032,AU$6))</f>
        <v>0</v>
      </c>
      <c r="AV24" s="11">
        <f>IF(OR($A24="",AU$6=""),"",SUMIFS(资金流水!$L$5:$L$3032,资金流水!$C$5:$C$3032,$A24,资金流水!$B$5:$B$3032,AU$6))</f>
        <v>0</v>
      </c>
      <c r="AW24" s="11">
        <f>IF(OR($A24="",AW$6=""),"",SUMIFS(资金流水!$K$5:$K$3032,资金流水!$C$5:$C$3032,$A24,资金流水!$B$5:$B$3032,AW$6))</f>
        <v>0</v>
      </c>
      <c r="AX24" s="11">
        <f>IF(OR($A24="",AW$6=""),"",SUMIFS(资金流水!$L$5:$L$3032,资金流水!$C$5:$C$3032,$A24,资金流水!$B$5:$B$3032,AW$6))</f>
        <v>0</v>
      </c>
      <c r="AY24" s="11">
        <f>IF(OR($A24="",AY$6=""),"",SUMIFS(资金流水!$K$5:$K$3032,资金流水!$C$5:$C$3032,$A24,资金流水!$B$5:$B$3032,AY$6))</f>
        <v>0</v>
      </c>
      <c r="AZ24" s="11">
        <f>IF(OR($A24="",AY$6=""),"",SUMIFS(资金流水!$L$5:$L$3032,资金流水!$C$5:$C$3032,$A24,资金流水!$B$5:$B$3032,AY$6))</f>
        <v>0</v>
      </c>
      <c r="BA24" s="11">
        <f>IF(OR($A24="",BA$6=""),"",SUMIFS(资金流水!$K$5:$K$3032,资金流水!$C$5:$C$3032,$A24,资金流水!$B$5:$B$3032,BA$6))</f>
        <v>0</v>
      </c>
      <c r="BB24" s="11">
        <f>IF(OR($A24="",BA$6=""),"",SUMIFS(资金流水!$L$5:$L$3032,资金流水!$C$5:$C$3032,$A24,资金流水!$B$5:$B$3032,BA$6))</f>
        <v>0</v>
      </c>
      <c r="BC24" s="11">
        <f>IF(OR($A24="",BC$6=""),"",SUMIFS(资金流水!$K$5:$K$3032,资金流水!$C$5:$C$3032,$A24,资金流水!$B$5:$B$3032,BC$6))</f>
        <v>0</v>
      </c>
      <c r="BD24" s="11">
        <f>IF(OR($A24="",BC$6=""),"",SUMIFS(资金流水!$L$5:$L$3032,资金流水!$C$5:$C$3032,$A24,资金流水!$B$5:$B$3032,BC$6))</f>
        <v>0</v>
      </c>
      <c r="BE24" s="11">
        <f>IF(OR($A24="",BE$6=""),"",SUMIFS(资金流水!$K$5:$K$3032,资金流水!$C$5:$C$3032,$A24,资金流水!$B$5:$B$3032,BE$6))</f>
        <v>0</v>
      </c>
      <c r="BF24" s="11">
        <f>IF(OR($A24="",BE$6=""),"",SUMIFS(资金流水!$L$5:$L$3032,资金流水!$C$5:$C$3032,$A24,资金流水!$B$5:$B$3032,BE$6))</f>
        <v>0</v>
      </c>
      <c r="BG24" s="11">
        <f>IF(OR($A24="",BG$6=""),"",SUMIFS(资金流水!$K$5:$K$3032,资金流水!$C$5:$C$3032,$A24,资金流水!$B$5:$B$3032,BG$6))</f>
        <v>0</v>
      </c>
      <c r="BH24" s="11">
        <f>IF(OR($A24="",BG$6=""),"",SUMIFS(资金流水!$L$5:$L$3032,资金流水!$C$5:$C$3032,$A24,资金流水!$B$5:$B$3032,BG$6))</f>
        <v>0</v>
      </c>
      <c r="BI24" s="11">
        <f>IF(OR($A24="",BI$6=""),"",SUMIFS(资金流水!$K$5:$K$3032,资金流水!$C$5:$C$3032,$A24,资金流水!$B$5:$B$3032,BI$6))</f>
        <v>0</v>
      </c>
      <c r="BJ24" s="11">
        <f>IF(OR($A24="",BI$6=""),"",SUMIFS(资金流水!$L$5:$L$3032,资金流水!$C$5:$C$3032,$A24,资金流水!$B$5:$B$3032,BI$6))</f>
        <v>0</v>
      </c>
      <c r="BK24" s="11">
        <f>IF(OR($A24="",BK$6=""),"",SUMIFS(资金流水!$K$5:$K$3032,资金流水!$C$5:$C$3032,$A24,资金流水!$B$5:$B$3032,BK$6))</f>
        <v>0</v>
      </c>
      <c r="BL24" s="11">
        <f>IF(OR($A24="",BK$6=""),"",SUMIFS(资金流水!$L$5:$L$3032,资金流水!$C$5:$C$3032,$A24,资金流水!$B$5:$B$3032,BK$6))</f>
        <v>0</v>
      </c>
      <c r="BM24" s="26">
        <f t="shared" si="0"/>
        <v>0</v>
      </c>
      <c r="BN24" s="26">
        <f t="shared" si="1"/>
        <v>0</v>
      </c>
      <c r="BO24" s="26" t="e">
        <f t="shared" si="2"/>
        <v>#VALUE!</v>
      </c>
    </row>
    <row r="25" spans="1:67">
      <c r="A25" s="24" t="str">
        <f>IF(基础资料!$E21="","",基础资料!$E21)</f>
        <v>备用8</v>
      </c>
      <c r="B25" s="25" t="e">
        <f>IF(OR($A25="",NOT(ISNUMBER($I$2))),"",SUMIFS(资金流水!$M$5:$M$3015,资金流水!$C$5:$C$3032,$A25,资金流水!$B$5:$B$3032,"&lt;="&amp;$B$2)+SUMIFS(资金流水!$K$5:$K$3032,资金流水!$C$5:$C$3032,$A25,资金流水!$B$5:$B$3032,"&lt;"&amp;$B$2)-SUMIFS(资金流水!$L$5:$L$3032,资金流水!$C$5:$C$3032,$A25,资金流水!$B$5:$B$3032,"&lt;"&amp;$B$2))</f>
        <v>#VALUE!</v>
      </c>
      <c r="C25" s="11">
        <f>IF(OR($A25="",C$6=""),"",SUMIFS(资金流水!$K$5:$K$3032,资金流水!$C$5:$C$3032,$A25,资金流水!$B$5:$B$3032,C$6))</f>
        <v>0</v>
      </c>
      <c r="D25" s="11">
        <f>IF(OR($A25="",C$6=""),"",SUMIFS(资金流水!$L$5:$L$3032,资金流水!$C$5:$C$3032,$A25,资金流水!$B$5:$B$3032,C$6))</f>
        <v>0</v>
      </c>
      <c r="E25" s="11">
        <f>IF(OR($A25="",E$6=""),"",SUMIFS(资金流水!$K$5:$K$3032,资金流水!$C$5:$C$3032,$A25,资金流水!$B$5:$B$3032,E$6))</f>
        <v>0</v>
      </c>
      <c r="F25" s="11">
        <f>IF(OR($A25="",E$6=""),"",SUMIFS(资金流水!$L$5:$L$3032,资金流水!$C$5:$C$3032,$A25,资金流水!$B$5:$B$3032,E$6))</f>
        <v>0</v>
      </c>
      <c r="G25" s="11">
        <f>IF(OR($A25="",G$6=""),"",SUMIFS(资金流水!$K$5:$K$3032,资金流水!$C$5:$C$3032,$A25,资金流水!$B$5:$B$3032,G$6))</f>
        <v>0</v>
      </c>
      <c r="H25" s="11">
        <f>IF(OR($A25="",G$6=""),"",SUMIFS(资金流水!$L$5:$L$3032,资金流水!$C$5:$C$3032,$A25,资金流水!$B$5:$B$3032,G$6))</f>
        <v>0</v>
      </c>
      <c r="I25" s="11">
        <f>IF(OR($A25="",I$6=""),"",SUMIFS(资金流水!$K$5:$K$3032,资金流水!$C$5:$C$3032,$A25,资金流水!$B$5:$B$3032,I$6))</f>
        <v>0</v>
      </c>
      <c r="J25" s="11">
        <f>IF(OR($A25="",I$6=""),"",SUMIFS(资金流水!$L$5:$L$3032,资金流水!$C$5:$C$3032,$A25,资金流水!$B$5:$B$3032,I$6))</f>
        <v>0</v>
      </c>
      <c r="K25" s="11">
        <f>IF(OR($A25="",K$6=""),"",SUMIFS(资金流水!$K$5:$K$3032,资金流水!$C$5:$C$3032,$A25,资金流水!$B$5:$B$3032,K$6))</f>
        <v>0</v>
      </c>
      <c r="L25" s="11">
        <f>IF(OR($A25="",K$6=""),"",SUMIFS(资金流水!$L$5:$L$3032,资金流水!$C$5:$C$3032,$A25,资金流水!$B$5:$B$3032,K$6))</f>
        <v>0</v>
      </c>
      <c r="M25" s="11">
        <f>IF(OR($A25="",M$6=""),"",SUMIFS(资金流水!$K$5:$K$3032,资金流水!$C$5:$C$3032,$A25,资金流水!$B$5:$B$3032,M$6))</f>
        <v>0</v>
      </c>
      <c r="N25" s="11">
        <f>IF(OR($A25="",M$6=""),"",SUMIFS(资金流水!$L$5:$L$3032,资金流水!$C$5:$C$3032,$A25,资金流水!$B$5:$B$3032,M$6))</f>
        <v>0</v>
      </c>
      <c r="O25" s="11">
        <f>IF(OR($A25="",O$6=""),"",SUMIFS(资金流水!$K$5:$K$3032,资金流水!$C$5:$C$3032,$A25,资金流水!$B$5:$B$3032,O$6))</f>
        <v>0</v>
      </c>
      <c r="P25" s="11">
        <f>IF(OR($A25="",O$6=""),"",SUMIFS(资金流水!$L$5:$L$3032,资金流水!$C$5:$C$3032,$A25,资金流水!$B$5:$B$3032,O$6))</f>
        <v>0</v>
      </c>
      <c r="Q25" s="11">
        <f>IF(OR($A25="",Q$6=""),"",SUMIFS(资金流水!$K$5:$K$3032,资金流水!$C$5:$C$3032,$A25,资金流水!$B$5:$B$3032,Q$6))</f>
        <v>0</v>
      </c>
      <c r="R25" s="11">
        <f>IF(OR($A25="",Q$6=""),"",SUMIFS(资金流水!$L$5:$L$3032,资金流水!$C$5:$C$3032,$A25,资金流水!$B$5:$B$3032,Q$6))</f>
        <v>0</v>
      </c>
      <c r="S25" s="11">
        <f>IF(OR($A25="",S$6=""),"",SUMIFS(资金流水!$K$5:$K$3032,资金流水!$C$5:$C$3032,$A25,资金流水!$B$5:$B$3032,S$6))</f>
        <v>0</v>
      </c>
      <c r="T25" s="11">
        <f>IF(OR($A25="",S$6=""),"",SUMIFS(资金流水!$L$5:$L$3032,资金流水!$C$5:$C$3032,$A25,资金流水!$B$5:$B$3032,S$6))</f>
        <v>0</v>
      </c>
      <c r="U25" s="11">
        <f>IF(OR($A25="",U$6=""),"",SUMIFS(资金流水!$K$5:$K$3032,资金流水!$C$5:$C$3032,$A25,资金流水!$B$5:$B$3032,U$6))</f>
        <v>0</v>
      </c>
      <c r="V25" s="11">
        <f>IF(OR($A25="",U$6=""),"",SUMIFS(资金流水!$L$5:$L$3032,资金流水!$C$5:$C$3032,$A25,资金流水!$B$5:$B$3032,U$6))</f>
        <v>0</v>
      </c>
      <c r="W25" s="11">
        <f>IF(OR($A25="",W$6=""),"",SUMIFS(资金流水!$K$5:$K$3032,资金流水!$C$5:$C$3032,$A25,资金流水!$B$5:$B$3032,W$6))</f>
        <v>0</v>
      </c>
      <c r="X25" s="11">
        <f>IF(OR($A25="",W$6=""),"",SUMIFS(资金流水!$L$5:$L$3032,资金流水!$C$5:$C$3032,$A25,资金流水!$B$5:$B$3032,W$6))</f>
        <v>0</v>
      </c>
      <c r="Y25" s="11">
        <f>IF(OR($A25="",Y$6=""),"",SUMIFS(资金流水!$K$5:$K$3032,资金流水!$C$5:$C$3032,$A25,资金流水!$B$5:$B$3032,Y$6))</f>
        <v>0</v>
      </c>
      <c r="Z25" s="11">
        <f>IF(OR($A25="",Y$6=""),"",SUMIFS(资金流水!$L$5:$L$3032,资金流水!$C$5:$C$3032,$A25,资金流水!$B$5:$B$3032,Y$6))</f>
        <v>0</v>
      </c>
      <c r="AA25" s="11">
        <f>IF(OR($A25="",AA$6=""),"",SUMIFS(资金流水!$K$5:$K$3032,资金流水!$C$5:$C$3032,$A25,资金流水!$B$5:$B$3032,AA$6))</f>
        <v>0</v>
      </c>
      <c r="AB25" s="11">
        <f>IF(OR($A25="",AA$6=""),"",SUMIFS(资金流水!$L$5:$L$3032,资金流水!$C$5:$C$3032,$A25,资金流水!$B$5:$B$3032,AA$6))</f>
        <v>0</v>
      </c>
      <c r="AC25" s="11">
        <f>IF(OR($A25="",AC$6=""),"",SUMIFS(资金流水!$K$5:$K$3032,资金流水!$C$5:$C$3032,$A25,资金流水!$B$5:$B$3032,AC$6))</f>
        <v>0</v>
      </c>
      <c r="AD25" s="11">
        <f>IF(OR($A25="",AC$6=""),"",SUMIFS(资金流水!$L$5:$L$3032,资金流水!$C$5:$C$3032,$A25,资金流水!$B$5:$B$3032,AC$6))</f>
        <v>0</v>
      </c>
      <c r="AE25" s="11">
        <f>IF(OR($A25="",AE$6=""),"",SUMIFS(资金流水!$K$5:$K$3032,资金流水!$C$5:$C$3032,$A25,资金流水!$B$5:$B$3032,AE$6))</f>
        <v>0</v>
      </c>
      <c r="AF25" s="11">
        <f>IF(OR($A25="",AE$6=""),"",SUMIFS(资金流水!$L$5:$L$3032,资金流水!$C$5:$C$3032,$A25,资金流水!$B$5:$B$3032,AE$6))</f>
        <v>0</v>
      </c>
      <c r="AG25" s="11">
        <f>IF(OR($A25="",AG$6=""),"",SUMIFS(资金流水!$K$5:$K$3032,资金流水!$C$5:$C$3032,$A25,资金流水!$B$5:$B$3032,AG$6))</f>
        <v>0</v>
      </c>
      <c r="AH25" s="11">
        <f>IF(OR($A25="",AG$6=""),"",SUMIFS(资金流水!$L$5:$L$3032,资金流水!$C$5:$C$3032,$A25,资金流水!$B$5:$B$3032,AG$6))</f>
        <v>0</v>
      </c>
      <c r="AI25" s="11">
        <f>IF(OR($A25="",AI$6=""),"",SUMIFS(资金流水!$K$5:$K$3032,资金流水!$C$5:$C$3032,$A25,资金流水!$B$5:$B$3032,AI$6))</f>
        <v>0</v>
      </c>
      <c r="AJ25" s="11">
        <f>IF(OR($A25="",AI$6=""),"",SUMIFS(资金流水!$L$5:$L$3032,资金流水!$C$5:$C$3032,$A25,资金流水!$B$5:$B$3032,AI$6))</f>
        <v>0</v>
      </c>
      <c r="AK25" s="11">
        <f>IF(OR($A25="",AK$6=""),"",SUMIFS(资金流水!$K$5:$K$3032,资金流水!$C$5:$C$3032,$A25,资金流水!$B$5:$B$3032,AK$6))</f>
        <v>0</v>
      </c>
      <c r="AL25" s="11">
        <f>IF(OR($A25="",AK$6=""),"",SUMIFS(资金流水!$L$5:$L$3032,资金流水!$C$5:$C$3032,$A25,资金流水!$B$5:$B$3032,AK$6))</f>
        <v>0</v>
      </c>
      <c r="AM25" s="11">
        <f>IF(OR($A25="",AM$6=""),"",SUMIFS(资金流水!$K$5:$K$3032,资金流水!$C$5:$C$3032,$A25,资金流水!$B$5:$B$3032,AM$6))</f>
        <v>0</v>
      </c>
      <c r="AN25" s="11">
        <f>IF(OR($A25="",AM$6=""),"",SUMIFS(资金流水!$L$5:$L$3032,资金流水!$C$5:$C$3032,$A25,资金流水!$B$5:$B$3032,AM$6))</f>
        <v>0</v>
      </c>
      <c r="AO25" s="11">
        <f>IF(OR($A25="",AO$6=""),"",SUMIFS(资金流水!$K$5:$K$3032,资金流水!$C$5:$C$3032,$A25,资金流水!$B$5:$B$3032,AO$6))</f>
        <v>0</v>
      </c>
      <c r="AP25" s="11">
        <f>IF(OR($A25="",AO$6=""),"",SUMIFS(资金流水!$L$5:$L$3032,资金流水!$C$5:$C$3032,$A25,资金流水!$B$5:$B$3032,AO$6))</f>
        <v>0</v>
      </c>
      <c r="AQ25" s="11">
        <f>IF(OR($A25="",AQ$6=""),"",SUMIFS(资金流水!$K$5:$K$3032,资金流水!$C$5:$C$3032,$A25,资金流水!$B$5:$B$3032,AQ$6))</f>
        <v>0</v>
      </c>
      <c r="AR25" s="11">
        <f>IF(OR($A25="",AQ$6=""),"",SUMIFS(资金流水!$L$5:$L$3032,资金流水!$C$5:$C$3032,$A25,资金流水!$B$5:$B$3032,AQ$6))</f>
        <v>0</v>
      </c>
      <c r="AS25" s="11">
        <f>IF(OR($A25="",AS$6=""),"",SUMIFS(资金流水!$K$5:$K$3032,资金流水!$C$5:$C$3032,$A25,资金流水!$B$5:$B$3032,AS$6))</f>
        <v>0</v>
      </c>
      <c r="AT25" s="11">
        <f>IF(OR($A25="",AS$6=""),"",SUMIFS(资金流水!$L$5:$L$3032,资金流水!$C$5:$C$3032,$A25,资金流水!$B$5:$B$3032,AS$6))</f>
        <v>0</v>
      </c>
      <c r="AU25" s="11">
        <f>IF(OR($A25="",AU$6=""),"",SUMIFS(资金流水!$K$5:$K$3032,资金流水!$C$5:$C$3032,$A25,资金流水!$B$5:$B$3032,AU$6))</f>
        <v>0</v>
      </c>
      <c r="AV25" s="11">
        <f>IF(OR($A25="",AU$6=""),"",SUMIFS(资金流水!$L$5:$L$3032,资金流水!$C$5:$C$3032,$A25,资金流水!$B$5:$B$3032,AU$6))</f>
        <v>0</v>
      </c>
      <c r="AW25" s="11">
        <f>IF(OR($A25="",AW$6=""),"",SUMIFS(资金流水!$K$5:$K$3032,资金流水!$C$5:$C$3032,$A25,资金流水!$B$5:$B$3032,AW$6))</f>
        <v>0</v>
      </c>
      <c r="AX25" s="11">
        <f>IF(OR($A25="",AW$6=""),"",SUMIFS(资金流水!$L$5:$L$3032,资金流水!$C$5:$C$3032,$A25,资金流水!$B$5:$B$3032,AW$6))</f>
        <v>0</v>
      </c>
      <c r="AY25" s="11">
        <f>IF(OR($A25="",AY$6=""),"",SUMIFS(资金流水!$K$5:$K$3032,资金流水!$C$5:$C$3032,$A25,资金流水!$B$5:$B$3032,AY$6))</f>
        <v>0</v>
      </c>
      <c r="AZ25" s="11">
        <f>IF(OR($A25="",AY$6=""),"",SUMIFS(资金流水!$L$5:$L$3032,资金流水!$C$5:$C$3032,$A25,资金流水!$B$5:$B$3032,AY$6))</f>
        <v>0</v>
      </c>
      <c r="BA25" s="11">
        <f>IF(OR($A25="",BA$6=""),"",SUMIFS(资金流水!$K$5:$K$3032,资金流水!$C$5:$C$3032,$A25,资金流水!$B$5:$B$3032,BA$6))</f>
        <v>0</v>
      </c>
      <c r="BB25" s="11">
        <f>IF(OR($A25="",BA$6=""),"",SUMIFS(资金流水!$L$5:$L$3032,资金流水!$C$5:$C$3032,$A25,资金流水!$B$5:$B$3032,BA$6))</f>
        <v>0</v>
      </c>
      <c r="BC25" s="11">
        <f>IF(OR($A25="",BC$6=""),"",SUMIFS(资金流水!$K$5:$K$3032,资金流水!$C$5:$C$3032,$A25,资金流水!$B$5:$B$3032,BC$6))</f>
        <v>0</v>
      </c>
      <c r="BD25" s="11">
        <f>IF(OR($A25="",BC$6=""),"",SUMIFS(资金流水!$L$5:$L$3032,资金流水!$C$5:$C$3032,$A25,资金流水!$B$5:$B$3032,BC$6))</f>
        <v>0</v>
      </c>
      <c r="BE25" s="11">
        <f>IF(OR($A25="",BE$6=""),"",SUMIFS(资金流水!$K$5:$K$3032,资金流水!$C$5:$C$3032,$A25,资金流水!$B$5:$B$3032,BE$6))</f>
        <v>0</v>
      </c>
      <c r="BF25" s="11">
        <f>IF(OR($A25="",BE$6=""),"",SUMIFS(资金流水!$L$5:$L$3032,资金流水!$C$5:$C$3032,$A25,资金流水!$B$5:$B$3032,BE$6))</f>
        <v>0</v>
      </c>
      <c r="BG25" s="11">
        <f>IF(OR($A25="",BG$6=""),"",SUMIFS(资金流水!$K$5:$K$3032,资金流水!$C$5:$C$3032,$A25,资金流水!$B$5:$B$3032,BG$6))</f>
        <v>0</v>
      </c>
      <c r="BH25" s="11">
        <f>IF(OR($A25="",BG$6=""),"",SUMIFS(资金流水!$L$5:$L$3032,资金流水!$C$5:$C$3032,$A25,资金流水!$B$5:$B$3032,BG$6))</f>
        <v>0</v>
      </c>
      <c r="BI25" s="11">
        <f>IF(OR($A25="",BI$6=""),"",SUMIFS(资金流水!$K$5:$K$3032,资金流水!$C$5:$C$3032,$A25,资金流水!$B$5:$B$3032,BI$6))</f>
        <v>0</v>
      </c>
      <c r="BJ25" s="11">
        <f>IF(OR($A25="",BI$6=""),"",SUMIFS(资金流水!$L$5:$L$3032,资金流水!$C$5:$C$3032,$A25,资金流水!$B$5:$B$3032,BI$6))</f>
        <v>0</v>
      </c>
      <c r="BK25" s="11">
        <f>IF(OR($A25="",BK$6=""),"",SUMIFS(资金流水!$K$5:$K$3032,资金流水!$C$5:$C$3032,$A25,资金流水!$B$5:$B$3032,BK$6))</f>
        <v>0</v>
      </c>
      <c r="BL25" s="11">
        <f>IF(OR($A25="",BK$6=""),"",SUMIFS(资金流水!$L$5:$L$3032,资金流水!$C$5:$C$3032,$A25,资金流水!$B$5:$B$3032,BK$6))</f>
        <v>0</v>
      </c>
      <c r="BM25" s="26">
        <f t="shared" si="0"/>
        <v>0</v>
      </c>
      <c r="BN25" s="26">
        <f t="shared" si="1"/>
        <v>0</v>
      </c>
      <c r="BO25" s="26" t="e">
        <f t="shared" si="2"/>
        <v>#VALUE!</v>
      </c>
    </row>
    <row r="26" spans="1:67">
      <c r="A26" s="24" t="str">
        <f>IF(基础资料!$E22="","",基础资料!$E22)</f>
        <v>备用9</v>
      </c>
      <c r="B26" s="25" t="e">
        <f>IF(OR($A26="",NOT(ISNUMBER($I$2))),"",SUMIFS(资金流水!$M$5:$M$3015,资金流水!$C$5:$C$3032,$A26,资金流水!$B$5:$B$3032,"&lt;="&amp;$B$2)+SUMIFS(资金流水!$K$5:$K$3032,资金流水!$C$5:$C$3032,$A26,资金流水!$B$5:$B$3032,"&lt;"&amp;$B$2)-SUMIFS(资金流水!$L$5:$L$3032,资金流水!$C$5:$C$3032,$A26,资金流水!$B$5:$B$3032,"&lt;"&amp;$B$2))</f>
        <v>#VALUE!</v>
      </c>
      <c r="C26" s="11">
        <f>IF(OR($A26="",C$6=""),"",SUMIFS(资金流水!$K$5:$K$3032,资金流水!$C$5:$C$3032,$A26,资金流水!$B$5:$B$3032,C$6))</f>
        <v>0</v>
      </c>
      <c r="D26" s="11">
        <f>IF(OR($A26="",C$6=""),"",SUMIFS(资金流水!$L$5:$L$3032,资金流水!$C$5:$C$3032,$A26,资金流水!$B$5:$B$3032,C$6))</f>
        <v>0</v>
      </c>
      <c r="E26" s="11">
        <f>IF(OR($A26="",E$6=""),"",SUMIFS(资金流水!$K$5:$K$3032,资金流水!$C$5:$C$3032,$A26,资金流水!$B$5:$B$3032,E$6))</f>
        <v>0</v>
      </c>
      <c r="F26" s="11">
        <f>IF(OR($A26="",E$6=""),"",SUMIFS(资金流水!$L$5:$L$3032,资金流水!$C$5:$C$3032,$A26,资金流水!$B$5:$B$3032,E$6))</f>
        <v>0</v>
      </c>
      <c r="G26" s="11">
        <f>IF(OR($A26="",G$6=""),"",SUMIFS(资金流水!$K$5:$K$3032,资金流水!$C$5:$C$3032,$A26,资金流水!$B$5:$B$3032,G$6))</f>
        <v>0</v>
      </c>
      <c r="H26" s="11">
        <f>IF(OR($A26="",G$6=""),"",SUMIFS(资金流水!$L$5:$L$3032,资金流水!$C$5:$C$3032,$A26,资金流水!$B$5:$B$3032,G$6))</f>
        <v>0</v>
      </c>
      <c r="I26" s="11">
        <f>IF(OR($A26="",I$6=""),"",SUMIFS(资金流水!$K$5:$K$3032,资金流水!$C$5:$C$3032,$A26,资金流水!$B$5:$B$3032,I$6))</f>
        <v>0</v>
      </c>
      <c r="J26" s="11">
        <f>IF(OR($A26="",I$6=""),"",SUMIFS(资金流水!$L$5:$L$3032,资金流水!$C$5:$C$3032,$A26,资金流水!$B$5:$B$3032,I$6))</f>
        <v>0</v>
      </c>
      <c r="K26" s="11">
        <f>IF(OR($A26="",K$6=""),"",SUMIFS(资金流水!$K$5:$K$3032,资金流水!$C$5:$C$3032,$A26,资金流水!$B$5:$B$3032,K$6))</f>
        <v>0</v>
      </c>
      <c r="L26" s="11">
        <f>IF(OR($A26="",K$6=""),"",SUMIFS(资金流水!$L$5:$L$3032,资金流水!$C$5:$C$3032,$A26,资金流水!$B$5:$B$3032,K$6))</f>
        <v>0</v>
      </c>
      <c r="M26" s="11">
        <f>IF(OR($A26="",M$6=""),"",SUMIFS(资金流水!$K$5:$K$3032,资金流水!$C$5:$C$3032,$A26,资金流水!$B$5:$B$3032,M$6))</f>
        <v>0</v>
      </c>
      <c r="N26" s="11">
        <f>IF(OR($A26="",M$6=""),"",SUMIFS(资金流水!$L$5:$L$3032,资金流水!$C$5:$C$3032,$A26,资金流水!$B$5:$B$3032,M$6))</f>
        <v>0</v>
      </c>
      <c r="O26" s="11">
        <f>IF(OR($A26="",O$6=""),"",SUMIFS(资金流水!$K$5:$K$3032,资金流水!$C$5:$C$3032,$A26,资金流水!$B$5:$B$3032,O$6))</f>
        <v>0</v>
      </c>
      <c r="P26" s="11">
        <f>IF(OR($A26="",O$6=""),"",SUMIFS(资金流水!$L$5:$L$3032,资金流水!$C$5:$C$3032,$A26,资金流水!$B$5:$B$3032,O$6))</f>
        <v>0</v>
      </c>
      <c r="Q26" s="11">
        <f>IF(OR($A26="",Q$6=""),"",SUMIFS(资金流水!$K$5:$K$3032,资金流水!$C$5:$C$3032,$A26,资金流水!$B$5:$B$3032,Q$6))</f>
        <v>0</v>
      </c>
      <c r="R26" s="11">
        <f>IF(OR($A26="",Q$6=""),"",SUMIFS(资金流水!$L$5:$L$3032,资金流水!$C$5:$C$3032,$A26,资金流水!$B$5:$B$3032,Q$6))</f>
        <v>0</v>
      </c>
      <c r="S26" s="11">
        <f>IF(OR($A26="",S$6=""),"",SUMIFS(资金流水!$K$5:$K$3032,资金流水!$C$5:$C$3032,$A26,资金流水!$B$5:$B$3032,S$6))</f>
        <v>0</v>
      </c>
      <c r="T26" s="11">
        <f>IF(OR($A26="",S$6=""),"",SUMIFS(资金流水!$L$5:$L$3032,资金流水!$C$5:$C$3032,$A26,资金流水!$B$5:$B$3032,S$6))</f>
        <v>0</v>
      </c>
      <c r="U26" s="11">
        <f>IF(OR($A26="",U$6=""),"",SUMIFS(资金流水!$K$5:$K$3032,资金流水!$C$5:$C$3032,$A26,资金流水!$B$5:$B$3032,U$6))</f>
        <v>0</v>
      </c>
      <c r="V26" s="11">
        <f>IF(OR($A26="",U$6=""),"",SUMIFS(资金流水!$L$5:$L$3032,资金流水!$C$5:$C$3032,$A26,资金流水!$B$5:$B$3032,U$6))</f>
        <v>0</v>
      </c>
      <c r="W26" s="11">
        <f>IF(OR($A26="",W$6=""),"",SUMIFS(资金流水!$K$5:$K$3032,资金流水!$C$5:$C$3032,$A26,资金流水!$B$5:$B$3032,W$6))</f>
        <v>0</v>
      </c>
      <c r="X26" s="11">
        <f>IF(OR($A26="",W$6=""),"",SUMIFS(资金流水!$L$5:$L$3032,资金流水!$C$5:$C$3032,$A26,资金流水!$B$5:$B$3032,W$6))</f>
        <v>0</v>
      </c>
      <c r="Y26" s="11">
        <f>IF(OR($A26="",Y$6=""),"",SUMIFS(资金流水!$K$5:$K$3032,资金流水!$C$5:$C$3032,$A26,资金流水!$B$5:$B$3032,Y$6))</f>
        <v>0</v>
      </c>
      <c r="Z26" s="11">
        <f>IF(OR($A26="",Y$6=""),"",SUMIFS(资金流水!$L$5:$L$3032,资金流水!$C$5:$C$3032,$A26,资金流水!$B$5:$B$3032,Y$6))</f>
        <v>0</v>
      </c>
      <c r="AA26" s="11">
        <f>IF(OR($A26="",AA$6=""),"",SUMIFS(资金流水!$K$5:$K$3032,资金流水!$C$5:$C$3032,$A26,资金流水!$B$5:$B$3032,AA$6))</f>
        <v>0</v>
      </c>
      <c r="AB26" s="11">
        <f>IF(OR($A26="",AA$6=""),"",SUMIFS(资金流水!$L$5:$L$3032,资金流水!$C$5:$C$3032,$A26,资金流水!$B$5:$B$3032,AA$6))</f>
        <v>0</v>
      </c>
      <c r="AC26" s="11">
        <f>IF(OR($A26="",AC$6=""),"",SUMIFS(资金流水!$K$5:$K$3032,资金流水!$C$5:$C$3032,$A26,资金流水!$B$5:$B$3032,AC$6))</f>
        <v>0</v>
      </c>
      <c r="AD26" s="11">
        <f>IF(OR($A26="",AC$6=""),"",SUMIFS(资金流水!$L$5:$L$3032,资金流水!$C$5:$C$3032,$A26,资金流水!$B$5:$B$3032,AC$6))</f>
        <v>0</v>
      </c>
      <c r="AE26" s="11">
        <f>IF(OR($A26="",AE$6=""),"",SUMIFS(资金流水!$K$5:$K$3032,资金流水!$C$5:$C$3032,$A26,资金流水!$B$5:$B$3032,AE$6))</f>
        <v>0</v>
      </c>
      <c r="AF26" s="11">
        <f>IF(OR($A26="",AE$6=""),"",SUMIFS(资金流水!$L$5:$L$3032,资金流水!$C$5:$C$3032,$A26,资金流水!$B$5:$B$3032,AE$6))</f>
        <v>0</v>
      </c>
      <c r="AG26" s="11">
        <f>IF(OR($A26="",AG$6=""),"",SUMIFS(资金流水!$K$5:$K$3032,资金流水!$C$5:$C$3032,$A26,资金流水!$B$5:$B$3032,AG$6))</f>
        <v>0</v>
      </c>
      <c r="AH26" s="11">
        <f>IF(OR($A26="",AG$6=""),"",SUMIFS(资金流水!$L$5:$L$3032,资金流水!$C$5:$C$3032,$A26,资金流水!$B$5:$B$3032,AG$6))</f>
        <v>0</v>
      </c>
      <c r="AI26" s="11">
        <f>IF(OR($A26="",AI$6=""),"",SUMIFS(资金流水!$K$5:$K$3032,资金流水!$C$5:$C$3032,$A26,资金流水!$B$5:$B$3032,AI$6))</f>
        <v>0</v>
      </c>
      <c r="AJ26" s="11">
        <f>IF(OR($A26="",AI$6=""),"",SUMIFS(资金流水!$L$5:$L$3032,资金流水!$C$5:$C$3032,$A26,资金流水!$B$5:$B$3032,AI$6))</f>
        <v>0</v>
      </c>
      <c r="AK26" s="11">
        <f>IF(OR($A26="",AK$6=""),"",SUMIFS(资金流水!$K$5:$K$3032,资金流水!$C$5:$C$3032,$A26,资金流水!$B$5:$B$3032,AK$6))</f>
        <v>0</v>
      </c>
      <c r="AL26" s="11">
        <f>IF(OR($A26="",AK$6=""),"",SUMIFS(资金流水!$L$5:$L$3032,资金流水!$C$5:$C$3032,$A26,资金流水!$B$5:$B$3032,AK$6))</f>
        <v>0</v>
      </c>
      <c r="AM26" s="11">
        <f>IF(OR($A26="",AM$6=""),"",SUMIFS(资金流水!$K$5:$K$3032,资金流水!$C$5:$C$3032,$A26,资金流水!$B$5:$B$3032,AM$6))</f>
        <v>0</v>
      </c>
      <c r="AN26" s="11">
        <f>IF(OR($A26="",AM$6=""),"",SUMIFS(资金流水!$L$5:$L$3032,资金流水!$C$5:$C$3032,$A26,资金流水!$B$5:$B$3032,AM$6))</f>
        <v>0</v>
      </c>
      <c r="AO26" s="11">
        <f>IF(OR($A26="",AO$6=""),"",SUMIFS(资金流水!$K$5:$K$3032,资金流水!$C$5:$C$3032,$A26,资金流水!$B$5:$B$3032,AO$6))</f>
        <v>0</v>
      </c>
      <c r="AP26" s="11">
        <f>IF(OR($A26="",AO$6=""),"",SUMIFS(资金流水!$L$5:$L$3032,资金流水!$C$5:$C$3032,$A26,资金流水!$B$5:$B$3032,AO$6))</f>
        <v>0</v>
      </c>
      <c r="AQ26" s="11">
        <f>IF(OR($A26="",AQ$6=""),"",SUMIFS(资金流水!$K$5:$K$3032,资金流水!$C$5:$C$3032,$A26,资金流水!$B$5:$B$3032,AQ$6))</f>
        <v>0</v>
      </c>
      <c r="AR26" s="11">
        <f>IF(OR($A26="",AQ$6=""),"",SUMIFS(资金流水!$L$5:$L$3032,资金流水!$C$5:$C$3032,$A26,资金流水!$B$5:$B$3032,AQ$6))</f>
        <v>0</v>
      </c>
      <c r="AS26" s="11">
        <f>IF(OR($A26="",AS$6=""),"",SUMIFS(资金流水!$K$5:$K$3032,资金流水!$C$5:$C$3032,$A26,资金流水!$B$5:$B$3032,AS$6))</f>
        <v>0</v>
      </c>
      <c r="AT26" s="11">
        <f>IF(OR($A26="",AS$6=""),"",SUMIFS(资金流水!$L$5:$L$3032,资金流水!$C$5:$C$3032,$A26,资金流水!$B$5:$B$3032,AS$6))</f>
        <v>0</v>
      </c>
      <c r="AU26" s="11">
        <f>IF(OR($A26="",AU$6=""),"",SUMIFS(资金流水!$K$5:$K$3032,资金流水!$C$5:$C$3032,$A26,资金流水!$B$5:$B$3032,AU$6))</f>
        <v>0</v>
      </c>
      <c r="AV26" s="11">
        <f>IF(OR($A26="",AU$6=""),"",SUMIFS(资金流水!$L$5:$L$3032,资金流水!$C$5:$C$3032,$A26,资金流水!$B$5:$B$3032,AU$6))</f>
        <v>0</v>
      </c>
      <c r="AW26" s="11">
        <f>IF(OR($A26="",AW$6=""),"",SUMIFS(资金流水!$K$5:$K$3032,资金流水!$C$5:$C$3032,$A26,资金流水!$B$5:$B$3032,AW$6))</f>
        <v>0</v>
      </c>
      <c r="AX26" s="11">
        <f>IF(OR($A26="",AW$6=""),"",SUMIFS(资金流水!$L$5:$L$3032,资金流水!$C$5:$C$3032,$A26,资金流水!$B$5:$B$3032,AW$6))</f>
        <v>0</v>
      </c>
      <c r="AY26" s="11">
        <f>IF(OR($A26="",AY$6=""),"",SUMIFS(资金流水!$K$5:$K$3032,资金流水!$C$5:$C$3032,$A26,资金流水!$B$5:$B$3032,AY$6))</f>
        <v>0</v>
      </c>
      <c r="AZ26" s="11">
        <f>IF(OR($A26="",AY$6=""),"",SUMIFS(资金流水!$L$5:$L$3032,资金流水!$C$5:$C$3032,$A26,资金流水!$B$5:$B$3032,AY$6))</f>
        <v>0</v>
      </c>
      <c r="BA26" s="11">
        <f>IF(OR($A26="",BA$6=""),"",SUMIFS(资金流水!$K$5:$K$3032,资金流水!$C$5:$C$3032,$A26,资金流水!$B$5:$B$3032,BA$6))</f>
        <v>0</v>
      </c>
      <c r="BB26" s="11">
        <f>IF(OR($A26="",BA$6=""),"",SUMIFS(资金流水!$L$5:$L$3032,资金流水!$C$5:$C$3032,$A26,资金流水!$B$5:$B$3032,BA$6))</f>
        <v>0</v>
      </c>
      <c r="BC26" s="11">
        <f>IF(OR($A26="",BC$6=""),"",SUMIFS(资金流水!$K$5:$K$3032,资金流水!$C$5:$C$3032,$A26,资金流水!$B$5:$B$3032,BC$6))</f>
        <v>0</v>
      </c>
      <c r="BD26" s="11">
        <f>IF(OR($A26="",BC$6=""),"",SUMIFS(资金流水!$L$5:$L$3032,资金流水!$C$5:$C$3032,$A26,资金流水!$B$5:$B$3032,BC$6))</f>
        <v>0</v>
      </c>
      <c r="BE26" s="11">
        <f>IF(OR($A26="",BE$6=""),"",SUMIFS(资金流水!$K$5:$K$3032,资金流水!$C$5:$C$3032,$A26,资金流水!$B$5:$B$3032,BE$6))</f>
        <v>0</v>
      </c>
      <c r="BF26" s="11">
        <f>IF(OR($A26="",BE$6=""),"",SUMIFS(资金流水!$L$5:$L$3032,资金流水!$C$5:$C$3032,$A26,资金流水!$B$5:$B$3032,BE$6))</f>
        <v>0</v>
      </c>
      <c r="BG26" s="11">
        <f>IF(OR($A26="",BG$6=""),"",SUMIFS(资金流水!$K$5:$K$3032,资金流水!$C$5:$C$3032,$A26,资金流水!$B$5:$B$3032,BG$6))</f>
        <v>0</v>
      </c>
      <c r="BH26" s="11">
        <f>IF(OR($A26="",BG$6=""),"",SUMIFS(资金流水!$L$5:$L$3032,资金流水!$C$5:$C$3032,$A26,资金流水!$B$5:$B$3032,BG$6))</f>
        <v>0</v>
      </c>
      <c r="BI26" s="11">
        <f>IF(OR($A26="",BI$6=""),"",SUMIFS(资金流水!$K$5:$K$3032,资金流水!$C$5:$C$3032,$A26,资金流水!$B$5:$B$3032,BI$6))</f>
        <v>0</v>
      </c>
      <c r="BJ26" s="11">
        <f>IF(OR($A26="",BI$6=""),"",SUMIFS(资金流水!$L$5:$L$3032,资金流水!$C$5:$C$3032,$A26,资金流水!$B$5:$B$3032,BI$6))</f>
        <v>0</v>
      </c>
      <c r="BK26" s="11">
        <f>IF(OR($A26="",BK$6=""),"",SUMIFS(资金流水!$K$5:$K$3032,资金流水!$C$5:$C$3032,$A26,资金流水!$B$5:$B$3032,BK$6))</f>
        <v>0</v>
      </c>
      <c r="BL26" s="11">
        <f>IF(OR($A26="",BK$6=""),"",SUMIFS(资金流水!$L$5:$L$3032,资金流水!$C$5:$C$3032,$A26,资金流水!$B$5:$B$3032,BK$6))</f>
        <v>0</v>
      </c>
      <c r="BM26" s="26">
        <f t="shared" si="0"/>
        <v>0</v>
      </c>
      <c r="BN26" s="26">
        <f t="shared" si="1"/>
        <v>0</v>
      </c>
      <c r="BO26" s="26" t="e">
        <f t="shared" si="2"/>
        <v>#VALUE!</v>
      </c>
    </row>
    <row r="27" spans="1:67">
      <c r="A27" s="24" t="str">
        <f>IF(基础资料!$E23="","",基础资料!$E23)</f>
        <v>备用10</v>
      </c>
      <c r="B27" s="25" t="e">
        <f>IF(OR($A27="",NOT(ISNUMBER($I$2))),"",SUMIFS(资金流水!$M$5:$M$3015,资金流水!$C$5:$C$3032,$A27,资金流水!$B$5:$B$3032,"&lt;="&amp;$B$2)+SUMIFS(资金流水!$K$5:$K$3032,资金流水!$C$5:$C$3032,$A27,资金流水!$B$5:$B$3032,"&lt;"&amp;$B$2)-SUMIFS(资金流水!$L$5:$L$3032,资金流水!$C$5:$C$3032,$A27,资金流水!$B$5:$B$3032,"&lt;"&amp;$B$2))</f>
        <v>#VALUE!</v>
      </c>
      <c r="C27" s="11">
        <f>IF(OR($A27="",C$6=""),"",SUMIFS(资金流水!$K$5:$K$3032,资金流水!$C$5:$C$3032,$A27,资金流水!$B$5:$B$3032,C$6))</f>
        <v>0</v>
      </c>
      <c r="D27" s="11">
        <f>IF(OR($A27="",C$6=""),"",SUMIFS(资金流水!$L$5:$L$3032,资金流水!$C$5:$C$3032,$A27,资金流水!$B$5:$B$3032,C$6))</f>
        <v>0</v>
      </c>
      <c r="E27" s="11">
        <f>IF(OR($A27="",E$6=""),"",SUMIFS(资金流水!$K$5:$K$3032,资金流水!$C$5:$C$3032,$A27,资金流水!$B$5:$B$3032,E$6))</f>
        <v>0</v>
      </c>
      <c r="F27" s="11">
        <f>IF(OR($A27="",E$6=""),"",SUMIFS(资金流水!$L$5:$L$3032,资金流水!$C$5:$C$3032,$A27,资金流水!$B$5:$B$3032,E$6))</f>
        <v>0</v>
      </c>
      <c r="G27" s="11">
        <f>IF(OR($A27="",G$6=""),"",SUMIFS(资金流水!$K$5:$K$3032,资金流水!$C$5:$C$3032,$A27,资金流水!$B$5:$B$3032,G$6))</f>
        <v>0</v>
      </c>
      <c r="H27" s="11">
        <f>IF(OR($A27="",G$6=""),"",SUMIFS(资金流水!$L$5:$L$3032,资金流水!$C$5:$C$3032,$A27,资金流水!$B$5:$B$3032,G$6))</f>
        <v>0</v>
      </c>
      <c r="I27" s="11">
        <f>IF(OR($A27="",I$6=""),"",SUMIFS(资金流水!$K$5:$K$3032,资金流水!$C$5:$C$3032,$A27,资金流水!$B$5:$B$3032,I$6))</f>
        <v>0</v>
      </c>
      <c r="J27" s="11">
        <f>IF(OR($A27="",I$6=""),"",SUMIFS(资金流水!$L$5:$L$3032,资金流水!$C$5:$C$3032,$A27,资金流水!$B$5:$B$3032,I$6))</f>
        <v>0</v>
      </c>
      <c r="K27" s="11">
        <f>IF(OR($A27="",K$6=""),"",SUMIFS(资金流水!$K$5:$K$3032,资金流水!$C$5:$C$3032,$A27,资金流水!$B$5:$B$3032,K$6))</f>
        <v>0</v>
      </c>
      <c r="L27" s="11">
        <f>IF(OR($A27="",K$6=""),"",SUMIFS(资金流水!$L$5:$L$3032,资金流水!$C$5:$C$3032,$A27,资金流水!$B$5:$B$3032,K$6))</f>
        <v>0</v>
      </c>
      <c r="M27" s="11">
        <f>IF(OR($A27="",M$6=""),"",SUMIFS(资金流水!$K$5:$K$3032,资金流水!$C$5:$C$3032,$A27,资金流水!$B$5:$B$3032,M$6))</f>
        <v>0</v>
      </c>
      <c r="N27" s="11">
        <f>IF(OR($A27="",M$6=""),"",SUMIFS(资金流水!$L$5:$L$3032,资金流水!$C$5:$C$3032,$A27,资金流水!$B$5:$B$3032,M$6))</f>
        <v>0</v>
      </c>
      <c r="O27" s="11">
        <f>IF(OR($A27="",O$6=""),"",SUMIFS(资金流水!$K$5:$K$3032,资金流水!$C$5:$C$3032,$A27,资金流水!$B$5:$B$3032,O$6))</f>
        <v>0</v>
      </c>
      <c r="P27" s="11">
        <f>IF(OR($A27="",O$6=""),"",SUMIFS(资金流水!$L$5:$L$3032,资金流水!$C$5:$C$3032,$A27,资金流水!$B$5:$B$3032,O$6))</f>
        <v>0</v>
      </c>
      <c r="Q27" s="11">
        <f>IF(OR($A27="",Q$6=""),"",SUMIFS(资金流水!$K$5:$K$3032,资金流水!$C$5:$C$3032,$A27,资金流水!$B$5:$B$3032,Q$6))</f>
        <v>0</v>
      </c>
      <c r="R27" s="11">
        <f>IF(OR($A27="",Q$6=""),"",SUMIFS(资金流水!$L$5:$L$3032,资金流水!$C$5:$C$3032,$A27,资金流水!$B$5:$B$3032,Q$6))</f>
        <v>0</v>
      </c>
      <c r="S27" s="11">
        <f>IF(OR($A27="",S$6=""),"",SUMIFS(资金流水!$K$5:$K$3032,资金流水!$C$5:$C$3032,$A27,资金流水!$B$5:$B$3032,S$6))</f>
        <v>0</v>
      </c>
      <c r="T27" s="11">
        <f>IF(OR($A27="",S$6=""),"",SUMIFS(资金流水!$L$5:$L$3032,资金流水!$C$5:$C$3032,$A27,资金流水!$B$5:$B$3032,S$6))</f>
        <v>0</v>
      </c>
      <c r="U27" s="11">
        <f>IF(OR($A27="",U$6=""),"",SUMIFS(资金流水!$K$5:$K$3032,资金流水!$C$5:$C$3032,$A27,资金流水!$B$5:$B$3032,U$6))</f>
        <v>0</v>
      </c>
      <c r="V27" s="11">
        <f>IF(OR($A27="",U$6=""),"",SUMIFS(资金流水!$L$5:$L$3032,资金流水!$C$5:$C$3032,$A27,资金流水!$B$5:$B$3032,U$6))</f>
        <v>0</v>
      </c>
      <c r="W27" s="11">
        <f>IF(OR($A27="",W$6=""),"",SUMIFS(资金流水!$K$5:$K$3032,资金流水!$C$5:$C$3032,$A27,资金流水!$B$5:$B$3032,W$6))</f>
        <v>0</v>
      </c>
      <c r="X27" s="11">
        <f>IF(OR($A27="",W$6=""),"",SUMIFS(资金流水!$L$5:$L$3032,资金流水!$C$5:$C$3032,$A27,资金流水!$B$5:$B$3032,W$6))</f>
        <v>0</v>
      </c>
      <c r="Y27" s="11">
        <f>IF(OR($A27="",Y$6=""),"",SUMIFS(资金流水!$K$5:$K$3032,资金流水!$C$5:$C$3032,$A27,资金流水!$B$5:$B$3032,Y$6))</f>
        <v>0</v>
      </c>
      <c r="Z27" s="11">
        <f>IF(OR($A27="",Y$6=""),"",SUMIFS(资金流水!$L$5:$L$3032,资金流水!$C$5:$C$3032,$A27,资金流水!$B$5:$B$3032,Y$6))</f>
        <v>0</v>
      </c>
      <c r="AA27" s="11">
        <f>IF(OR($A27="",AA$6=""),"",SUMIFS(资金流水!$K$5:$K$3032,资金流水!$C$5:$C$3032,$A27,资金流水!$B$5:$B$3032,AA$6))</f>
        <v>0</v>
      </c>
      <c r="AB27" s="11">
        <f>IF(OR($A27="",AA$6=""),"",SUMIFS(资金流水!$L$5:$L$3032,资金流水!$C$5:$C$3032,$A27,资金流水!$B$5:$B$3032,AA$6))</f>
        <v>0</v>
      </c>
      <c r="AC27" s="11">
        <f>IF(OR($A27="",AC$6=""),"",SUMIFS(资金流水!$K$5:$K$3032,资金流水!$C$5:$C$3032,$A27,资金流水!$B$5:$B$3032,AC$6))</f>
        <v>0</v>
      </c>
      <c r="AD27" s="11">
        <f>IF(OR($A27="",AC$6=""),"",SUMIFS(资金流水!$L$5:$L$3032,资金流水!$C$5:$C$3032,$A27,资金流水!$B$5:$B$3032,AC$6))</f>
        <v>0</v>
      </c>
      <c r="AE27" s="11">
        <f>IF(OR($A27="",AE$6=""),"",SUMIFS(资金流水!$K$5:$K$3032,资金流水!$C$5:$C$3032,$A27,资金流水!$B$5:$B$3032,AE$6))</f>
        <v>0</v>
      </c>
      <c r="AF27" s="11">
        <f>IF(OR($A27="",AE$6=""),"",SUMIFS(资金流水!$L$5:$L$3032,资金流水!$C$5:$C$3032,$A27,资金流水!$B$5:$B$3032,AE$6))</f>
        <v>0</v>
      </c>
      <c r="AG27" s="11">
        <f>IF(OR($A27="",AG$6=""),"",SUMIFS(资金流水!$K$5:$K$3032,资金流水!$C$5:$C$3032,$A27,资金流水!$B$5:$B$3032,AG$6))</f>
        <v>0</v>
      </c>
      <c r="AH27" s="11">
        <f>IF(OR($A27="",AG$6=""),"",SUMIFS(资金流水!$L$5:$L$3032,资金流水!$C$5:$C$3032,$A27,资金流水!$B$5:$B$3032,AG$6))</f>
        <v>0</v>
      </c>
      <c r="AI27" s="11">
        <f>IF(OR($A27="",AI$6=""),"",SUMIFS(资金流水!$K$5:$K$3032,资金流水!$C$5:$C$3032,$A27,资金流水!$B$5:$B$3032,AI$6))</f>
        <v>0</v>
      </c>
      <c r="AJ27" s="11">
        <f>IF(OR($A27="",AI$6=""),"",SUMIFS(资金流水!$L$5:$L$3032,资金流水!$C$5:$C$3032,$A27,资金流水!$B$5:$B$3032,AI$6))</f>
        <v>0</v>
      </c>
      <c r="AK27" s="11">
        <f>IF(OR($A27="",AK$6=""),"",SUMIFS(资金流水!$K$5:$K$3032,资金流水!$C$5:$C$3032,$A27,资金流水!$B$5:$B$3032,AK$6))</f>
        <v>0</v>
      </c>
      <c r="AL27" s="11">
        <f>IF(OR($A27="",AK$6=""),"",SUMIFS(资金流水!$L$5:$L$3032,资金流水!$C$5:$C$3032,$A27,资金流水!$B$5:$B$3032,AK$6))</f>
        <v>0</v>
      </c>
      <c r="AM27" s="11">
        <f>IF(OR($A27="",AM$6=""),"",SUMIFS(资金流水!$K$5:$K$3032,资金流水!$C$5:$C$3032,$A27,资金流水!$B$5:$B$3032,AM$6))</f>
        <v>0</v>
      </c>
      <c r="AN27" s="11">
        <f>IF(OR($A27="",AM$6=""),"",SUMIFS(资金流水!$L$5:$L$3032,资金流水!$C$5:$C$3032,$A27,资金流水!$B$5:$B$3032,AM$6))</f>
        <v>0</v>
      </c>
      <c r="AO27" s="11">
        <f>IF(OR($A27="",AO$6=""),"",SUMIFS(资金流水!$K$5:$K$3032,资金流水!$C$5:$C$3032,$A27,资金流水!$B$5:$B$3032,AO$6))</f>
        <v>0</v>
      </c>
      <c r="AP27" s="11">
        <f>IF(OR($A27="",AO$6=""),"",SUMIFS(资金流水!$L$5:$L$3032,资金流水!$C$5:$C$3032,$A27,资金流水!$B$5:$B$3032,AO$6))</f>
        <v>0</v>
      </c>
      <c r="AQ27" s="11">
        <f>IF(OR($A27="",AQ$6=""),"",SUMIFS(资金流水!$K$5:$K$3032,资金流水!$C$5:$C$3032,$A27,资金流水!$B$5:$B$3032,AQ$6))</f>
        <v>0</v>
      </c>
      <c r="AR27" s="11">
        <f>IF(OR($A27="",AQ$6=""),"",SUMIFS(资金流水!$L$5:$L$3032,资金流水!$C$5:$C$3032,$A27,资金流水!$B$5:$B$3032,AQ$6))</f>
        <v>0</v>
      </c>
      <c r="AS27" s="11">
        <f>IF(OR($A27="",AS$6=""),"",SUMIFS(资金流水!$K$5:$K$3032,资金流水!$C$5:$C$3032,$A27,资金流水!$B$5:$B$3032,AS$6))</f>
        <v>0</v>
      </c>
      <c r="AT27" s="11">
        <f>IF(OR($A27="",AS$6=""),"",SUMIFS(资金流水!$L$5:$L$3032,资金流水!$C$5:$C$3032,$A27,资金流水!$B$5:$B$3032,AS$6))</f>
        <v>0</v>
      </c>
      <c r="AU27" s="11">
        <f>IF(OR($A27="",AU$6=""),"",SUMIFS(资金流水!$K$5:$K$3032,资金流水!$C$5:$C$3032,$A27,资金流水!$B$5:$B$3032,AU$6))</f>
        <v>0</v>
      </c>
      <c r="AV27" s="11">
        <f>IF(OR($A27="",AU$6=""),"",SUMIFS(资金流水!$L$5:$L$3032,资金流水!$C$5:$C$3032,$A27,资金流水!$B$5:$B$3032,AU$6))</f>
        <v>0</v>
      </c>
      <c r="AW27" s="11">
        <f>IF(OR($A27="",AW$6=""),"",SUMIFS(资金流水!$K$5:$K$3032,资金流水!$C$5:$C$3032,$A27,资金流水!$B$5:$B$3032,AW$6))</f>
        <v>0</v>
      </c>
      <c r="AX27" s="11">
        <f>IF(OR($A27="",AW$6=""),"",SUMIFS(资金流水!$L$5:$L$3032,资金流水!$C$5:$C$3032,$A27,资金流水!$B$5:$B$3032,AW$6))</f>
        <v>0</v>
      </c>
      <c r="AY27" s="11">
        <f>IF(OR($A27="",AY$6=""),"",SUMIFS(资金流水!$K$5:$K$3032,资金流水!$C$5:$C$3032,$A27,资金流水!$B$5:$B$3032,AY$6))</f>
        <v>0</v>
      </c>
      <c r="AZ27" s="11">
        <f>IF(OR($A27="",AY$6=""),"",SUMIFS(资金流水!$L$5:$L$3032,资金流水!$C$5:$C$3032,$A27,资金流水!$B$5:$B$3032,AY$6))</f>
        <v>0</v>
      </c>
      <c r="BA27" s="11">
        <f>IF(OR($A27="",BA$6=""),"",SUMIFS(资金流水!$K$5:$K$3032,资金流水!$C$5:$C$3032,$A27,资金流水!$B$5:$B$3032,BA$6))</f>
        <v>0</v>
      </c>
      <c r="BB27" s="11">
        <f>IF(OR($A27="",BA$6=""),"",SUMIFS(资金流水!$L$5:$L$3032,资金流水!$C$5:$C$3032,$A27,资金流水!$B$5:$B$3032,BA$6))</f>
        <v>0</v>
      </c>
      <c r="BC27" s="11">
        <f>IF(OR($A27="",BC$6=""),"",SUMIFS(资金流水!$K$5:$K$3032,资金流水!$C$5:$C$3032,$A27,资金流水!$B$5:$B$3032,BC$6))</f>
        <v>0</v>
      </c>
      <c r="BD27" s="11">
        <f>IF(OR($A27="",BC$6=""),"",SUMIFS(资金流水!$L$5:$L$3032,资金流水!$C$5:$C$3032,$A27,资金流水!$B$5:$B$3032,BC$6))</f>
        <v>0</v>
      </c>
      <c r="BE27" s="11">
        <f>IF(OR($A27="",BE$6=""),"",SUMIFS(资金流水!$K$5:$K$3032,资金流水!$C$5:$C$3032,$A27,资金流水!$B$5:$B$3032,BE$6))</f>
        <v>0</v>
      </c>
      <c r="BF27" s="11">
        <f>IF(OR($A27="",BE$6=""),"",SUMIFS(资金流水!$L$5:$L$3032,资金流水!$C$5:$C$3032,$A27,资金流水!$B$5:$B$3032,BE$6))</f>
        <v>0</v>
      </c>
      <c r="BG27" s="11">
        <f>IF(OR($A27="",BG$6=""),"",SUMIFS(资金流水!$K$5:$K$3032,资金流水!$C$5:$C$3032,$A27,资金流水!$B$5:$B$3032,BG$6))</f>
        <v>0</v>
      </c>
      <c r="BH27" s="11">
        <f>IF(OR($A27="",BG$6=""),"",SUMIFS(资金流水!$L$5:$L$3032,资金流水!$C$5:$C$3032,$A27,资金流水!$B$5:$B$3032,BG$6))</f>
        <v>0</v>
      </c>
      <c r="BI27" s="11">
        <f>IF(OR($A27="",BI$6=""),"",SUMIFS(资金流水!$K$5:$K$3032,资金流水!$C$5:$C$3032,$A27,资金流水!$B$5:$B$3032,BI$6))</f>
        <v>0</v>
      </c>
      <c r="BJ27" s="11">
        <f>IF(OR($A27="",BI$6=""),"",SUMIFS(资金流水!$L$5:$L$3032,资金流水!$C$5:$C$3032,$A27,资金流水!$B$5:$B$3032,BI$6))</f>
        <v>0</v>
      </c>
      <c r="BK27" s="11">
        <f>IF(OR($A27="",BK$6=""),"",SUMIFS(资金流水!$K$5:$K$3032,资金流水!$C$5:$C$3032,$A27,资金流水!$B$5:$B$3032,BK$6))</f>
        <v>0</v>
      </c>
      <c r="BL27" s="11">
        <f>IF(OR($A27="",BK$6=""),"",SUMIFS(资金流水!$L$5:$L$3032,资金流水!$C$5:$C$3032,$A27,资金流水!$B$5:$B$3032,BK$6))</f>
        <v>0</v>
      </c>
      <c r="BM27" s="26">
        <f t="shared" si="0"/>
        <v>0</v>
      </c>
      <c r="BN27" s="26">
        <f t="shared" si="1"/>
        <v>0</v>
      </c>
      <c r="BO27" s="26" t="e">
        <f t="shared" si="2"/>
        <v>#VALUE!</v>
      </c>
    </row>
    <row r="28" spans="1:67">
      <c r="A28" s="13" t="s">
        <v>861</v>
      </c>
      <c r="B28" s="14" t="e">
        <f t="shared" ref="B28:BM28" si="3">IF(NOT(ISNUMBER($I$2)),"",SUM(B8:B27))</f>
        <v>#VALUE!</v>
      </c>
      <c r="C28" s="14">
        <f t="shared" si="3"/>
        <v>286729.93</v>
      </c>
      <c r="D28" s="14">
        <f t="shared" si="3"/>
        <v>0</v>
      </c>
      <c r="E28" s="14">
        <f t="shared" si="3"/>
        <v>300000</v>
      </c>
      <c r="F28" s="14">
        <f t="shared" si="3"/>
        <v>4715</v>
      </c>
      <c r="G28" s="14">
        <f t="shared" si="3"/>
        <v>0</v>
      </c>
      <c r="H28" s="14">
        <f t="shared" si="3"/>
        <v>6716</v>
      </c>
      <c r="I28" s="14">
        <f t="shared" si="3"/>
        <v>179350</v>
      </c>
      <c r="J28" s="14">
        <f t="shared" si="3"/>
        <v>6045.66</v>
      </c>
      <c r="K28" s="14">
        <f t="shared" si="3"/>
        <v>0</v>
      </c>
      <c r="L28" s="14">
        <f t="shared" si="3"/>
        <v>92379.1</v>
      </c>
      <c r="M28" s="14">
        <f t="shared" si="3"/>
        <v>1010</v>
      </c>
      <c r="N28" s="14">
        <f t="shared" si="3"/>
        <v>37403.89</v>
      </c>
      <c r="O28" s="14">
        <f t="shared" si="3"/>
        <v>0</v>
      </c>
      <c r="P28" s="14">
        <f t="shared" si="3"/>
        <v>6230</v>
      </c>
      <c r="Q28" s="14">
        <f t="shared" si="3"/>
        <v>0</v>
      </c>
      <c r="R28" s="14">
        <f t="shared" si="3"/>
        <v>42247</v>
      </c>
      <c r="S28" s="14">
        <f t="shared" si="3"/>
        <v>0</v>
      </c>
      <c r="T28" s="14">
        <f t="shared" si="3"/>
        <v>37721</v>
      </c>
      <c r="U28" s="14">
        <f t="shared" si="3"/>
        <v>0</v>
      </c>
      <c r="V28" s="14">
        <f t="shared" si="3"/>
        <v>59890.65</v>
      </c>
      <c r="W28" s="14">
        <f t="shared" si="3"/>
        <v>0</v>
      </c>
      <c r="X28" s="14">
        <f t="shared" si="3"/>
        <v>100</v>
      </c>
      <c r="Y28" s="14">
        <f t="shared" si="3"/>
        <v>6244800</v>
      </c>
      <c r="Z28" s="14">
        <f t="shared" si="3"/>
        <v>11360</v>
      </c>
      <c r="AA28" s="14">
        <f t="shared" si="3"/>
        <v>0</v>
      </c>
      <c r="AB28" s="14">
        <f t="shared" si="3"/>
        <v>2304.05</v>
      </c>
      <c r="AC28" s="14">
        <f t="shared" si="3"/>
        <v>0</v>
      </c>
      <c r="AD28" s="14">
        <f t="shared" si="3"/>
        <v>379901.06</v>
      </c>
      <c r="AE28" s="14">
        <f t="shared" si="3"/>
        <v>0</v>
      </c>
      <c r="AF28" s="14">
        <f t="shared" si="3"/>
        <v>25336.44</v>
      </c>
      <c r="AG28" s="14">
        <f t="shared" si="3"/>
        <v>0</v>
      </c>
      <c r="AH28" s="14">
        <f t="shared" si="3"/>
        <v>9400</v>
      </c>
      <c r="AI28" s="14">
        <f t="shared" si="3"/>
        <v>0</v>
      </c>
      <c r="AJ28" s="14">
        <f t="shared" si="3"/>
        <v>52800</v>
      </c>
      <c r="AK28" s="14">
        <f t="shared" si="3"/>
        <v>0</v>
      </c>
      <c r="AL28" s="14">
        <f t="shared" si="3"/>
        <v>0</v>
      </c>
      <c r="AM28" s="14">
        <f t="shared" si="3"/>
        <v>0</v>
      </c>
      <c r="AN28" s="14">
        <f t="shared" si="3"/>
        <v>69735.12</v>
      </c>
      <c r="AO28" s="14">
        <f t="shared" si="3"/>
        <v>0</v>
      </c>
      <c r="AP28" s="14">
        <f t="shared" si="3"/>
        <v>381291.38</v>
      </c>
      <c r="AQ28" s="14">
        <f t="shared" si="3"/>
        <v>0</v>
      </c>
      <c r="AR28" s="14">
        <f t="shared" si="3"/>
        <v>255020.47</v>
      </c>
      <c r="AS28" s="14">
        <f t="shared" si="3"/>
        <v>1922773.11</v>
      </c>
      <c r="AT28" s="14">
        <f t="shared" si="3"/>
        <v>61657.89</v>
      </c>
      <c r="AU28" s="14">
        <f t="shared" si="3"/>
        <v>0</v>
      </c>
      <c r="AV28" s="14">
        <f t="shared" si="3"/>
        <v>244172.52</v>
      </c>
      <c r="AW28" s="14">
        <f t="shared" si="3"/>
        <v>0</v>
      </c>
      <c r="AX28" s="14">
        <f t="shared" si="3"/>
        <v>39770.69</v>
      </c>
      <c r="AY28" s="14">
        <f t="shared" si="3"/>
        <v>0</v>
      </c>
      <c r="AZ28" s="14">
        <f t="shared" si="3"/>
        <v>0</v>
      </c>
      <c r="BA28" s="14">
        <f t="shared" si="3"/>
        <v>582712.28</v>
      </c>
      <c r="BB28" s="14">
        <f t="shared" si="3"/>
        <v>260015</v>
      </c>
      <c r="BC28" s="14">
        <f t="shared" si="3"/>
        <v>318456</v>
      </c>
      <c r="BD28" s="14">
        <f t="shared" si="3"/>
        <v>678099.75</v>
      </c>
      <c r="BE28" s="14">
        <f t="shared" si="3"/>
        <v>0</v>
      </c>
      <c r="BF28" s="14">
        <f t="shared" si="3"/>
        <v>15750</v>
      </c>
      <c r="BG28" s="14">
        <f t="shared" si="3"/>
        <v>400000</v>
      </c>
      <c r="BH28" s="14">
        <f t="shared" si="3"/>
        <v>17665</v>
      </c>
      <c r="BI28" s="14">
        <f t="shared" si="3"/>
        <v>0</v>
      </c>
      <c r="BJ28" s="14">
        <f t="shared" si="3"/>
        <v>1405</v>
      </c>
      <c r="BK28" s="14">
        <f t="shared" si="3"/>
        <v>0</v>
      </c>
      <c r="BL28" s="14">
        <f t="shared" si="3"/>
        <v>242800.49</v>
      </c>
      <c r="BM28" s="14">
        <f t="shared" si="3"/>
        <v>10235831.32</v>
      </c>
      <c r="BN28" s="14">
        <f>IF(NOT(ISNUMBER($I$2)),"",SUM(BN8:BN27))</f>
        <v>3041933.16</v>
      </c>
      <c r="BO28" s="14" t="e">
        <f>IF(NOT(ISNUMBER($I$2)),"",SUM(BO8:BO27))</f>
        <v>#VALUE!</v>
      </c>
    </row>
  </sheetData>
  <mergeCells count="43">
    <mergeCell ref="A1:L1"/>
    <mergeCell ref="C2:D2"/>
    <mergeCell ref="E2:F2"/>
    <mergeCell ref="G2:H2"/>
    <mergeCell ref="A4:B4"/>
    <mergeCell ref="C4:D4"/>
    <mergeCell ref="E4:F4"/>
    <mergeCell ref="G4:H4"/>
    <mergeCell ref="A5:B5"/>
    <mergeCell ref="C5:D5"/>
    <mergeCell ref="E5:F5"/>
    <mergeCell ref="G5:H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s>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2F5597"/>
  </sheetPr>
  <dimension ref="A1:H132"/>
  <sheetViews>
    <sheetView showGridLines="0" workbookViewId="0">
      <pane ySplit="6" topLeftCell="A7" activePane="bottomLeft" state="frozen"/>
      <selection/>
      <selection pane="bottomLeft" activeCell="I17" sqref="I17"/>
    </sheetView>
  </sheetViews>
  <sheetFormatPr defaultColWidth="8.67619047619048" defaultRowHeight="15" outlineLevelCol="7"/>
  <cols>
    <col min="1" max="1" width="22" customWidth="1"/>
    <col min="2" max="2" width="16" customWidth="1"/>
    <col min="3" max="3" width="10" customWidth="1"/>
    <col min="4" max="5" width="16" customWidth="1"/>
    <col min="6" max="6" width="22" customWidth="1"/>
    <col min="7" max="8" width="16" customWidth="1"/>
  </cols>
  <sheetData>
    <row r="1" ht="25.5" customHeight="1" spans="1:8">
      <c r="A1" s="1" t="s">
        <v>989</v>
      </c>
      <c r="B1" s="1"/>
      <c r="C1" s="1"/>
      <c r="D1" s="1"/>
      <c r="E1" s="1"/>
      <c r="F1" s="1"/>
      <c r="G1" s="1"/>
      <c r="H1" s="1"/>
    </row>
    <row r="2" spans="1:8">
      <c r="A2" s="2" t="s">
        <v>990</v>
      </c>
      <c r="B2" s="3">
        <v>46174</v>
      </c>
      <c r="D2" s="4" t="s">
        <v>991</v>
      </c>
      <c r="E2" s="5">
        <f>IF(基础资料!$AH$4="不含税金额",SUMIFS(开票登记!$J$5:$J$504,开票登记!$B$5:$B$504,"&gt;="&amp;$B$2,开票登记!$B$5:$B$504,"&lt;="&amp;$B$3,开票登记!$C$5:$C$504,IF($B$4="全部","*",$B$4)),SUMIFS(开票登记!$M$5:$M$504,开票登记!$B$5:$B$504,"&gt;="&amp;$B$2,开票登记!$B$5:$B$504,"&lt;="&amp;$B$3,开票登记!$C$5:$C$504,IF($B$4="全部","*",$B$4)))</f>
        <v>2928814</v>
      </c>
      <c r="G2" s="4" t="s">
        <v>992</v>
      </c>
      <c r="H2" s="5">
        <f>SUMIFS(资金流水!$L$5:$L$3032,资金流水!$B$5:$B$3032,"&gt;="&amp;$B$2,资金流水!$B$5:$B$3032,"&lt;="&amp;$B$3,资金流水!$D$5:$D$3032,IF($B$4="全部","*",$B$4))</f>
        <v>0</v>
      </c>
    </row>
    <row r="3" ht="33" spans="1:8">
      <c r="A3" s="2" t="s">
        <v>993</v>
      </c>
      <c r="B3" s="3">
        <v>46203</v>
      </c>
      <c r="D3" s="4" t="s">
        <v>994</v>
      </c>
      <c r="E3" s="5" t="e">
        <f>$E$2+SUMIFS(资金流水!$K$5:$K$3032,资金流水!$B$5:$B$3032,"&gt;="&amp;$B$2,资金流水!$B$5:$B$3032,"&lt;="&amp;$B$3,资金流水!$D$5:$D$3032,IF($B$4="全部","*",$B$4),资金流水!$X$5:$X$3015,"非经营收入")</f>
        <v>#VALUE!</v>
      </c>
      <c r="G3" s="4" t="s">
        <v>995</v>
      </c>
      <c r="H3" s="5" t="e">
        <f>SUMIFS(资金流水!$L$5:$L$3032,资金流水!$B$5:$B$3032,"&gt;="&amp;$B$2,资金流水!$B$5:$B$3032,"&lt;="&amp;$B$3,资金流水!$D$5:$D$3032,IF($B$4="全部","*",$B$4),资金流水!$W$5:$W$3015,"项目成本")+SUMIFS(资金流水!$L$5:$L$3032,资金流水!$B$5:$B$3032,"&gt;="&amp;$B$2,资金流水!$B$5:$B$3032,"&lt;="&amp;$B$3,资金流水!$D$5:$D$3032,IF($B$4="全部","*",$B$4),资金流水!$W$5:$W$3015,"管理费用")+SUMIFS(资金流水!$L$5:$L$3032,资金流水!$B$5:$B$3032,"&gt;="&amp;$B$2,资金流水!$B$5:$B$3032,"&lt;="&amp;$B$3,资金流水!$D$5:$D$3032,IF($B$4="全部","*",$B$4),资金流水!$W$5:$W$3015,"人工社保")+SUMIFS(资金流水!$L$5:$L$3032,资金流水!$B$5:$B$3032,"&gt;="&amp;$B$2,资金流水!$B$5:$B$3032,"&lt;="&amp;$B$3,资金流水!$D$5:$D$3032,IF($B$4="全部","*",$B$4),资金流水!$W$5:$W$3015,"税费")+SUMIFS(资金流水!$L$5:$L$3032,资金流水!$B$5:$B$3032,"&gt;="&amp;$B$2,资金流水!$B$5:$B$3032,"&lt;="&amp;$B$3,资金流水!$D$5:$D$3032,IF($B$4="全部","*",$B$4),资金流水!$W$5:$W$3015,"财务费用")</f>
        <v>#VALUE!</v>
      </c>
    </row>
    <row r="4" ht="33" spans="1:8">
      <c r="A4" s="2" t="s">
        <v>879</v>
      </c>
      <c r="B4" s="6" t="s">
        <v>880</v>
      </c>
      <c r="D4" s="4" t="s">
        <v>996</v>
      </c>
      <c r="E4" s="5">
        <f>SUMIFS(资金流水!$K$5:$K$3032,资金流水!$B$5:$B$3032,"&gt;="&amp;$B$2,资金流水!$B$5:$B$3032,"&lt;="&amp;$B$3,资金流水!$D$5:$D$3032,IF($B$4="全部","*",$B$4))</f>
        <v>0</v>
      </c>
      <c r="G4" s="4" t="s">
        <v>997</v>
      </c>
      <c r="H4" s="5" t="e">
        <f>$E$3-$H$3</f>
        <v>#VALUE!</v>
      </c>
    </row>
    <row r="5" ht="30" customHeight="1" spans="1:8">
      <c r="A5" s="7" t="s">
        <v>998</v>
      </c>
      <c r="B5" s="7"/>
      <c r="C5" s="7"/>
      <c r="D5" s="7"/>
      <c r="E5" s="7"/>
      <c r="F5" s="7"/>
      <c r="G5" s="7"/>
      <c r="H5" s="7"/>
    </row>
    <row r="7" spans="1:8">
      <c r="A7" s="8" t="s">
        <v>999</v>
      </c>
      <c r="B7" s="8"/>
      <c r="C7" s="8"/>
      <c r="F7" s="8" t="s">
        <v>1000</v>
      </c>
      <c r="G7" s="8"/>
      <c r="H7" s="8"/>
    </row>
    <row r="8" ht="21.75" customHeight="1" spans="1:8">
      <c r="A8" s="9" t="s">
        <v>1001</v>
      </c>
      <c r="B8" s="9" t="s">
        <v>838</v>
      </c>
      <c r="C8" s="9" t="s">
        <v>902</v>
      </c>
      <c r="F8" s="9" t="s">
        <v>1001</v>
      </c>
      <c r="G8" s="9" t="s">
        <v>838</v>
      </c>
      <c r="H8" s="9" t="s">
        <v>902</v>
      </c>
    </row>
    <row r="9" spans="1:8">
      <c r="A9" s="10" t="str">
        <f>IF(基础资料!$Q4="","",基础资料!$Q4)</f>
        <v>项目收入</v>
      </c>
      <c r="B9" s="11">
        <f>IF(A9="","",IF(基础资料!$R4="经营收入",IF(基础资料!$AH$4="不含税金额",SUMIFS(开票登记!$J$5:$J$504,开票登记!$B$5:$B$504,"&gt;="&amp;$B$2,开票登记!$B$5:$B$504,"&lt;="&amp;$B$3,开票登记!$C$5:$C$504,IF($B$4="全部","*",$B$4),开票登记!$H$5:$H$504,A9),SUMIFS(开票登记!$M$5:$M$504,开票登记!$B$5:$B$504,"&gt;="&amp;$B$2,开票登记!$B$5:$B$504,"&lt;="&amp;$B$3,开票登记!$C$5:$C$504,IF($B$4="全部","*",$B$4),开票登记!$H$5:$H$504,A9)),SUMIFS(资金流水!$K$5:$K$3032,资金流水!$B$5:$B$3032,"&gt;="&amp;$B$2,资金流水!$B$5:$B$3032,"&lt;="&amp;$B$3,资金流水!$D$5:$D$3032,IF($B$4="全部","*",$B$4),资金流水!$G$5:$G$3032,A9)))</f>
        <v>0</v>
      </c>
      <c r="C9" s="12" t="str">
        <f t="shared" ref="C9:C22" si="0">IFERROR(B9/$E$3,"")</f>
        <v/>
      </c>
      <c r="F9" s="10" t="str">
        <f>IF(基础资料!$Y4="","",基础资料!$Y4)</f>
        <v>客户1</v>
      </c>
      <c r="G9" s="11">
        <f>IF(F9="","",IF(基础资料!$AH$4="不含税金额",SUMIFS(开票登记!$J$5:$J$504,开票登记!$B$5:$B$504,"&gt;="&amp;$B$2,开票登记!$B$5:$B$504,"&lt;="&amp;$B$3,开票登记!$C$5:$C$504,IF($B$4="全部","*",$B$4),开票登记!$F$5:$F$504,F9),SUMIFS(开票登记!$M$5:$M$504,开票登记!$B$5:$B$504,"&gt;="&amp;$B$2,开票登记!$B$5:$B$504,"&lt;="&amp;$B$3,开票登记!$C$5:$C$504,IF($B$4="全部","*",$B$4),开票登记!$F$5:$F$504,F9)))</f>
        <v>0</v>
      </c>
      <c r="H9" s="12">
        <f t="shared" ref="H9:H68" si="1">IFERROR(G9/$E$2,"")</f>
        <v>0</v>
      </c>
    </row>
    <row r="10" spans="1:8">
      <c r="A10" s="10" t="str">
        <f>IF(基础资料!$Q5="","",基础资料!$Q5)</f>
        <v>劳务/服务收入</v>
      </c>
      <c r="B10" s="11">
        <f>IF(A10="","",IF(基础资料!$R5="经营收入",IF(基础资料!$AH$4="不含税金额",SUMIFS(开票登记!$J$5:$J$504,开票登记!$B$5:$B$504,"&gt;="&amp;$B$2,开票登记!$B$5:$B$504,"&lt;="&amp;$B$3,开票登记!$C$5:$C$504,IF($B$4="全部","*",$B$4),开票登记!$H$5:$H$504,A10),SUMIFS(开票登记!$M$5:$M$504,开票登记!$B$5:$B$504,"&gt;="&amp;$B$2,开票登记!$B$5:$B$504,"&lt;="&amp;$B$3,开票登记!$C$5:$C$504,IF($B$4="全部","*",$B$4),开票登记!$H$5:$H$504,A10)),SUMIFS(资金流水!$K$5:$K$3032,资金流水!$B$5:$B$3032,"&gt;="&amp;$B$2,资金流水!$B$5:$B$3032,"&lt;="&amp;$B$3,资金流水!$D$5:$D$3032,IF($B$4="全部","*",$B$4),资金流水!$G$5:$G$3032,A10)))</f>
        <v>0</v>
      </c>
      <c r="C10" s="12" t="str">
        <f t="shared" si="0"/>
        <v/>
      </c>
      <c r="F10" s="10" t="str">
        <f>IF(基础资料!$Y5="","",基础资料!$Y5)</f>
        <v>客户2</v>
      </c>
      <c r="G10" s="11">
        <f>IF(F10="","",IF(基础资料!$AH$4="不含税金额",SUMIFS(开票登记!$J$5:$J$504,开票登记!$B$5:$B$504,"&gt;="&amp;$B$2,开票登记!$B$5:$B$504,"&lt;="&amp;$B$3,开票登记!$C$5:$C$504,IF($B$4="全部","*",$B$4),开票登记!$F$5:$F$504,F10),SUMIFS(开票登记!$M$5:$M$504,开票登记!$B$5:$B$504,"&gt;="&amp;$B$2,开票登记!$B$5:$B$504,"&lt;="&amp;$B$3,开票登记!$C$5:$C$504,IF($B$4="全部","*",$B$4),开票登记!$F$5:$F$504,F10)))</f>
        <v>0</v>
      </c>
      <c r="H10" s="12">
        <f t="shared" si="1"/>
        <v>0</v>
      </c>
    </row>
    <row r="11" spans="1:8">
      <c r="A11" s="10" t="str">
        <f>IF(基础资料!$Q6="","",基础资料!$Q6)</f>
        <v>理财收入</v>
      </c>
      <c r="B11" s="11">
        <f>IF(A11="","",IF(基础资料!$R6="经营收入",IF(基础资料!$AH$4="不含税金额",SUMIFS(开票登记!$J$5:$J$504,开票登记!$B$5:$B$504,"&gt;="&amp;$B$2,开票登记!$B$5:$B$504,"&lt;="&amp;$B$3,开票登记!$C$5:$C$504,IF($B$4="全部","*",$B$4),开票登记!$H$5:$H$504,A11),SUMIFS(开票登记!$M$5:$M$504,开票登记!$B$5:$B$504,"&gt;="&amp;$B$2,开票登记!$B$5:$B$504,"&lt;="&amp;$B$3,开票登记!$C$5:$C$504,IF($B$4="全部","*",$B$4),开票登记!$H$5:$H$504,A11)),SUMIFS(资金流水!$K$5:$K$3032,资金流水!$B$5:$B$3032,"&gt;="&amp;$B$2,资金流水!$B$5:$B$3032,"&lt;="&amp;$B$3,资金流水!$D$5:$D$3032,IF($B$4="全部","*",$B$4),资金流水!$G$5:$G$3032,A11)))</f>
        <v>0</v>
      </c>
      <c r="C11" s="12" t="str">
        <f t="shared" si="0"/>
        <v/>
      </c>
      <c r="F11" s="10" t="str">
        <f>IF(基础资料!$Y6="","",基础资料!$Y6)</f>
        <v>客户3</v>
      </c>
      <c r="G11" s="11">
        <f>IF(F11="","",IF(基础资料!$AH$4="不含税金额",SUMIFS(开票登记!$J$5:$J$504,开票登记!$B$5:$B$504,"&gt;="&amp;$B$2,开票登记!$B$5:$B$504,"&lt;="&amp;$B$3,开票登记!$C$5:$C$504,IF($B$4="全部","*",$B$4),开票登记!$F$5:$F$504,F11),SUMIFS(开票登记!$M$5:$M$504,开票登记!$B$5:$B$504,"&gt;="&amp;$B$2,开票登记!$B$5:$B$504,"&lt;="&amp;$B$3,开票登记!$C$5:$C$504,IF($B$4="全部","*",$B$4),开票登记!$F$5:$F$504,F11)))</f>
        <v>0</v>
      </c>
      <c r="H11" s="12">
        <f t="shared" si="1"/>
        <v>0</v>
      </c>
    </row>
    <row r="12" spans="1:8">
      <c r="A12" s="10" t="str">
        <f>IF(基础资料!$Q7="","",基础资料!$Q7)</f>
        <v>利息收入</v>
      </c>
      <c r="B12" s="11">
        <f>IF(A12="","",IF(基础资料!$R7="经营收入",IF(基础资料!$AH$4="不含税金额",SUMIFS(开票登记!$J$5:$J$504,开票登记!$B$5:$B$504,"&gt;="&amp;$B$2,开票登记!$B$5:$B$504,"&lt;="&amp;$B$3,开票登记!$C$5:$C$504,IF($B$4="全部","*",$B$4),开票登记!$H$5:$H$504,A12),SUMIFS(开票登记!$M$5:$M$504,开票登记!$B$5:$B$504,"&gt;="&amp;$B$2,开票登记!$B$5:$B$504,"&lt;="&amp;$B$3,开票登记!$C$5:$C$504,IF($B$4="全部","*",$B$4),开票登记!$H$5:$H$504,A12)),SUMIFS(资金流水!$K$5:$K$3032,资金流水!$B$5:$B$3032,"&gt;="&amp;$B$2,资金流水!$B$5:$B$3032,"&lt;="&amp;$B$3,资金流水!$D$5:$D$3032,IF($B$4="全部","*",$B$4),资金流水!$G$5:$G$3032,A12)))</f>
        <v>0</v>
      </c>
      <c r="C12" s="12" t="str">
        <f t="shared" si="0"/>
        <v/>
      </c>
      <c r="F12" s="10" t="str">
        <f>IF(基础资料!$Y7="","",基础资料!$Y7)</f>
        <v>客户4</v>
      </c>
      <c r="G12" s="11">
        <f>IF(F12="","",IF(基础资料!$AH$4="不含税金额",SUMIFS(开票登记!$J$5:$J$504,开票登记!$B$5:$B$504,"&gt;="&amp;$B$2,开票登记!$B$5:$B$504,"&lt;="&amp;$B$3,开票登记!$C$5:$C$504,IF($B$4="全部","*",$B$4),开票登记!$F$5:$F$504,F12),SUMIFS(开票登记!$M$5:$M$504,开票登记!$B$5:$B$504,"&gt;="&amp;$B$2,开票登记!$B$5:$B$504,"&lt;="&amp;$B$3,开票登记!$C$5:$C$504,IF($B$4="全部","*",$B$4),开票登记!$F$5:$F$504,F12)))</f>
        <v>0</v>
      </c>
      <c r="H12" s="12">
        <f t="shared" si="1"/>
        <v>0</v>
      </c>
    </row>
    <row r="13" spans="1:8">
      <c r="A13" s="10" t="str">
        <f>IF(基础资料!$Q8="","",基础资料!$Q8)</f>
        <v>政府补助</v>
      </c>
      <c r="B13" s="11">
        <f>IF(A13="","",IF(基础资料!$R8="经营收入",IF(基础资料!$AH$4="不含税金额",SUMIFS(开票登记!$J$5:$J$504,开票登记!$B$5:$B$504,"&gt;="&amp;$B$2,开票登记!$B$5:$B$504,"&lt;="&amp;$B$3,开票登记!$C$5:$C$504,IF($B$4="全部","*",$B$4),开票登记!$H$5:$H$504,A13),SUMIFS(开票登记!$M$5:$M$504,开票登记!$B$5:$B$504,"&gt;="&amp;$B$2,开票登记!$B$5:$B$504,"&lt;="&amp;$B$3,开票登记!$C$5:$C$504,IF($B$4="全部","*",$B$4),开票登记!$H$5:$H$504,A13)),SUMIFS(资金流水!$K$5:$K$3032,资金流水!$B$5:$B$3032,"&gt;="&amp;$B$2,资金流水!$B$5:$B$3032,"&lt;="&amp;$B$3,资金流水!$D$5:$D$3032,IF($B$4="全部","*",$B$4),资金流水!$G$5:$G$3032,A13)))</f>
        <v>0</v>
      </c>
      <c r="C13" s="12" t="str">
        <f t="shared" si="0"/>
        <v/>
      </c>
      <c r="F13" s="10" t="str">
        <f>IF(基础资料!$Y8="","",基础资料!$Y8)</f>
        <v>客户5</v>
      </c>
      <c r="G13" s="11">
        <f>IF(F13="","",IF(基础资料!$AH$4="不含税金额",SUMIFS(开票登记!$J$5:$J$504,开票登记!$B$5:$B$504,"&gt;="&amp;$B$2,开票登记!$B$5:$B$504,"&lt;="&amp;$B$3,开票登记!$C$5:$C$504,IF($B$4="全部","*",$B$4),开票登记!$F$5:$F$504,F13),SUMIFS(开票登记!$M$5:$M$504,开票登记!$B$5:$B$504,"&gt;="&amp;$B$2,开票登记!$B$5:$B$504,"&lt;="&amp;$B$3,开票登记!$C$5:$C$504,IF($B$4="全部","*",$B$4),开票登记!$F$5:$F$504,F13)))</f>
        <v>0</v>
      </c>
      <c r="H13" s="12">
        <f t="shared" si="1"/>
        <v>0</v>
      </c>
    </row>
    <row r="14" spans="1:8">
      <c r="A14" s="10" t="str">
        <f>IF(基础资料!$Q9="","",基础资料!$Q9)</f>
        <v>其他收入</v>
      </c>
      <c r="B14" s="11">
        <f>IF(A14="","",IF(基础资料!$R9="经营收入",IF(基础资料!$AH$4="不含税金额",SUMIFS(开票登记!$J$5:$J$504,开票登记!$B$5:$B$504,"&gt;="&amp;$B$2,开票登记!$B$5:$B$504,"&lt;="&amp;$B$3,开票登记!$C$5:$C$504,IF($B$4="全部","*",$B$4),开票登记!$H$5:$H$504,A14),SUMIFS(开票登记!$M$5:$M$504,开票登记!$B$5:$B$504,"&gt;="&amp;$B$2,开票登记!$B$5:$B$504,"&lt;="&amp;$B$3,开票登记!$C$5:$C$504,IF($B$4="全部","*",$B$4),开票登记!$H$5:$H$504,A14)),SUMIFS(资金流水!$K$5:$K$3032,资金流水!$B$5:$B$3032,"&gt;="&amp;$B$2,资金流水!$B$5:$B$3032,"&lt;="&amp;$B$3,资金流水!$D$5:$D$3032,IF($B$4="全部","*",$B$4),资金流水!$G$5:$G$3032,A14)))</f>
        <v>0</v>
      </c>
      <c r="C14" s="12" t="str">
        <f t="shared" si="0"/>
        <v/>
      </c>
      <c r="F14" s="10" t="str">
        <f>IF(基础资料!$Y9="","",基础资料!$Y9)</f>
        <v>客户6</v>
      </c>
      <c r="G14" s="11">
        <f>IF(F14="","",IF(基础资料!$AH$4="不含税金额",SUMIFS(开票登记!$J$5:$J$504,开票登记!$B$5:$B$504,"&gt;="&amp;$B$2,开票登记!$B$5:$B$504,"&lt;="&amp;$B$3,开票登记!$C$5:$C$504,IF($B$4="全部","*",$B$4),开票登记!$F$5:$F$504,F14),SUMIFS(开票登记!$M$5:$M$504,开票登记!$B$5:$B$504,"&gt;="&amp;$B$2,开票登记!$B$5:$B$504,"&lt;="&amp;$B$3,开票登记!$C$5:$C$504,IF($B$4="全部","*",$B$4),开票登记!$F$5:$F$504,F14)))</f>
        <v>0</v>
      </c>
      <c r="H14" s="12">
        <f t="shared" si="1"/>
        <v>0</v>
      </c>
    </row>
    <row r="15" spans="1:8">
      <c r="A15" s="10" t="str">
        <f>IF(基础资料!$Q10="","",基础资料!$Q10)</f>
        <v>保证金退回</v>
      </c>
      <c r="B15" s="11">
        <f>IF(A15="","",IF(基础资料!$R10="经营收入",IF(基础资料!$AH$4="不含税金额",SUMIFS(开票登记!$J$5:$J$504,开票登记!$B$5:$B$504,"&gt;="&amp;$B$2,开票登记!$B$5:$B$504,"&lt;="&amp;$B$3,开票登记!$C$5:$C$504,IF($B$4="全部","*",$B$4),开票登记!$H$5:$H$504,A15),SUMIFS(开票登记!$M$5:$M$504,开票登记!$B$5:$B$504,"&gt;="&amp;$B$2,开票登记!$B$5:$B$504,"&lt;="&amp;$B$3,开票登记!$C$5:$C$504,IF($B$4="全部","*",$B$4),开票登记!$H$5:$H$504,A15)),SUMIFS(资金流水!$K$5:$K$3032,资金流水!$B$5:$B$3032,"&gt;="&amp;$B$2,资金流水!$B$5:$B$3032,"&lt;="&amp;$B$3,资金流水!$D$5:$D$3032,IF($B$4="全部","*",$B$4),资金流水!$G$5:$G$3032,A15)))</f>
        <v>0</v>
      </c>
      <c r="C15" s="12" t="str">
        <f t="shared" si="0"/>
        <v/>
      </c>
      <c r="F15" s="10" t="str">
        <f>IF(基础资料!$Y10="","",基础资料!$Y10)</f>
        <v>客户7</v>
      </c>
      <c r="G15" s="11">
        <f>IF(F15="","",IF(基础资料!$AH$4="不含税金额",SUMIFS(开票登记!$J$5:$J$504,开票登记!$B$5:$B$504,"&gt;="&amp;$B$2,开票登记!$B$5:$B$504,"&lt;="&amp;$B$3,开票登记!$C$5:$C$504,IF($B$4="全部","*",$B$4),开票登记!$F$5:$F$504,F15),SUMIFS(开票登记!$M$5:$M$504,开票登记!$B$5:$B$504,"&gt;="&amp;$B$2,开票登记!$B$5:$B$504,"&lt;="&amp;$B$3,开票登记!$C$5:$C$504,IF($B$4="全部","*",$B$4),开票登记!$F$5:$F$504,F15)))</f>
        <v>0</v>
      </c>
      <c r="H15" s="12">
        <f t="shared" si="1"/>
        <v>0</v>
      </c>
    </row>
    <row r="16" spans="1:8">
      <c r="A16" s="10" t="str">
        <f>IF(基础资料!$Q11="","",基础资料!$Q11)</f>
        <v>借款收回</v>
      </c>
      <c r="B16" s="11">
        <f>IF(A16="","",IF(基础资料!$R11="经营收入",IF(基础资料!$AH$4="不含税金额",SUMIFS(开票登记!$J$5:$J$504,开票登记!$B$5:$B$504,"&gt;="&amp;$B$2,开票登记!$B$5:$B$504,"&lt;="&amp;$B$3,开票登记!$C$5:$C$504,IF($B$4="全部","*",$B$4),开票登记!$H$5:$H$504,A16),SUMIFS(开票登记!$M$5:$M$504,开票登记!$B$5:$B$504,"&gt;="&amp;$B$2,开票登记!$B$5:$B$504,"&lt;="&amp;$B$3,开票登记!$C$5:$C$504,IF($B$4="全部","*",$B$4),开票登记!$H$5:$H$504,A16)),SUMIFS(资金流水!$K$5:$K$3032,资金流水!$B$5:$B$3032,"&gt;="&amp;$B$2,资金流水!$B$5:$B$3032,"&lt;="&amp;$B$3,资金流水!$D$5:$D$3032,IF($B$4="全部","*",$B$4),资金流水!$G$5:$G$3032,A16)))</f>
        <v>0</v>
      </c>
      <c r="C16" s="12" t="str">
        <f t="shared" si="0"/>
        <v/>
      </c>
      <c r="F16" s="10" t="str">
        <f>IF(基础资料!$Y11="","",基础资料!$Y11)</f>
        <v>客户8</v>
      </c>
      <c r="G16" s="11">
        <f>IF(F16="","",IF(基础资料!$AH$4="不含税金额",SUMIFS(开票登记!$J$5:$J$504,开票登记!$B$5:$B$504,"&gt;="&amp;$B$2,开票登记!$B$5:$B$504,"&lt;="&amp;$B$3,开票登记!$C$5:$C$504,IF($B$4="全部","*",$B$4),开票登记!$F$5:$F$504,F16),SUMIFS(开票登记!$M$5:$M$504,开票登记!$B$5:$B$504,"&gt;="&amp;$B$2,开票登记!$B$5:$B$504,"&lt;="&amp;$B$3,开票登记!$C$5:$C$504,IF($B$4="全部","*",$B$4),开票登记!$F$5:$F$504,F16)))</f>
        <v>0</v>
      </c>
      <c r="H16" s="12">
        <f t="shared" si="1"/>
        <v>0</v>
      </c>
    </row>
    <row r="17" spans="1:8">
      <c r="A17" s="10" t="str">
        <f>IF(基础资料!$Q12="","",基础资料!$Q12)</f>
        <v>股东投入</v>
      </c>
      <c r="B17" s="11">
        <f>IF(A17="","",IF(基础资料!$R12="经营收入",IF(基础资料!$AH$4="不含税金额",SUMIFS(开票登记!$J$5:$J$504,开票登记!$B$5:$B$504,"&gt;="&amp;$B$2,开票登记!$B$5:$B$504,"&lt;="&amp;$B$3,开票登记!$C$5:$C$504,IF($B$4="全部","*",$B$4),开票登记!$H$5:$H$504,A17),SUMIFS(开票登记!$M$5:$M$504,开票登记!$B$5:$B$504,"&gt;="&amp;$B$2,开票登记!$B$5:$B$504,"&lt;="&amp;$B$3,开票登记!$C$5:$C$504,IF($B$4="全部","*",$B$4),开票登记!$H$5:$H$504,A17)),SUMIFS(资金流水!$K$5:$K$3032,资金流水!$B$5:$B$3032,"&gt;="&amp;$B$2,资金流水!$B$5:$B$3032,"&lt;="&amp;$B$3,资金流水!$D$5:$D$3032,IF($B$4="全部","*",$B$4),资金流水!$G$5:$G$3032,A17)))</f>
        <v>0</v>
      </c>
      <c r="C17" s="12" t="str">
        <f t="shared" si="0"/>
        <v/>
      </c>
      <c r="F17" s="10" t="str">
        <f>IF(基础资料!$Y12="","",基础资料!$Y12)</f>
        <v>客户9</v>
      </c>
      <c r="G17" s="11">
        <f>IF(F17="","",IF(基础资料!$AH$4="不含税金额",SUMIFS(开票登记!$J$5:$J$504,开票登记!$B$5:$B$504,"&gt;="&amp;$B$2,开票登记!$B$5:$B$504,"&lt;="&amp;$B$3,开票登记!$C$5:$C$504,IF($B$4="全部","*",$B$4),开票登记!$F$5:$F$504,F17),SUMIFS(开票登记!$M$5:$M$504,开票登记!$B$5:$B$504,"&gt;="&amp;$B$2,开票登记!$B$5:$B$504,"&lt;="&amp;$B$3,开票登记!$C$5:$C$504,IF($B$4="全部","*",$B$4),开票登记!$F$5:$F$504,F17)))</f>
        <v>0</v>
      </c>
      <c r="H17" s="12">
        <f t="shared" si="1"/>
        <v>0</v>
      </c>
    </row>
    <row r="18" spans="1:8">
      <c r="A18" s="10" t="str">
        <f>IF(基础资料!$Q13="","",基础资料!$Q13)</f>
        <v>内部调拨转入</v>
      </c>
      <c r="B18" s="11">
        <f>IF(A18="","",IF(基础资料!$R13="经营收入",IF(基础资料!$AH$4="不含税金额",SUMIFS(开票登记!$J$5:$J$504,开票登记!$B$5:$B$504,"&gt;="&amp;$B$2,开票登记!$B$5:$B$504,"&lt;="&amp;$B$3,开票登记!$C$5:$C$504,IF($B$4="全部","*",$B$4),开票登记!$H$5:$H$504,A18),SUMIFS(开票登记!$M$5:$M$504,开票登记!$B$5:$B$504,"&gt;="&amp;$B$2,开票登记!$B$5:$B$504,"&lt;="&amp;$B$3,开票登记!$C$5:$C$504,IF($B$4="全部","*",$B$4),开票登记!$H$5:$H$504,A18)),SUMIFS(资金流水!$K$5:$K$3032,资金流水!$B$5:$B$3032,"&gt;="&amp;$B$2,资金流水!$B$5:$B$3032,"&lt;="&amp;$B$3,资金流水!$D$5:$D$3032,IF($B$4="全部","*",$B$4),资金流水!$G$5:$G$3032,A18)))</f>
        <v>0</v>
      </c>
      <c r="C18" s="12" t="str">
        <f t="shared" si="0"/>
        <v/>
      </c>
      <c r="F18" s="10" t="str">
        <f>IF(基础资料!$Y13="","",基础资料!$Y13)</f>
        <v>客户10</v>
      </c>
      <c r="G18" s="11">
        <f>IF(F18="","",IF(基础资料!$AH$4="不含税金额",SUMIFS(开票登记!$J$5:$J$504,开票登记!$B$5:$B$504,"&gt;="&amp;$B$2,开票登记!$B$5:$B$504,"&lt;="&amp;$B$3,开票登记!$C$5:$C$504,IF($B$4="全部","*",$B$4),开票登记!$F$5:$F$504,F18),SUMIFS(开票登记!$M$5:$M$504,开票登记!$B$5:$B$504,"&gt;="&amp;$B$2,开票登记!$B$5:$B$504,"&lt;="&amp;$B$3,开票登记!$C$5:$C$504,IF($B$4="全部","*",$B$4),开票登记!$F$5:$F$504,F18)))</f>
        <v>0</v>
      </c>
      <c r="H18" s="12">
        <f t="shared" si="1"/>
        <v>0</v>
      </c>
    </row>
    <row r="19" spans="1:8">
      <c r="A19" s="10" t="str">
        <f>IF(基础资料!$Q14="","",基础资料!$Q14)</f>
        <v/>
      </c>
      <c r="B19" s="11" t="str">
        <f>IF(A19="","",IF(基础资料!$R14="经营收入",IF(基础资料!$AH$4="不含税金额",SUMIFS(开票登记!$J$5:$J$504,开票登记!$B$5:$B$504,"&gt;="&amp;$B$2,开票登记!$B$5:$B$504,"&lt;="&amp;$B$3,开票登记!$C$5:$C$504,IF($B$4="全部","*",$B$4),开票登记!$H$5:$H$504,A19),SUMIFS(开票登记!$M$5:$M$504,开票登记!$B$5:$B$504,"&gt;="&amp;$B$2,开票登记!$B$5:$B$504,"&lt;="&amp;$B$3,开票登记!$C$5:$C$504,IF($B$4="全部","*",$B$4),开票登记!$H$5:$H$504,A19)),SUMIFS(资金流水!$K$5:$K$3032,资金流水!$B$5:$B$3032,"&gt;="&amp;$B$2,资金流水!$B$5:$B$3032,"&lt;="&amp;$B$3,资金流水!$D$5:$D$3032,IF($B$4="全部","*",$B$4),资金流水!$G$5:$G$3032,A19)))</f>
        <v/>
      </c>
      <c r="C19" s="12" t="str">
        <f t="shared" si="0"/>
        <v/>
      </c>
      <c r="F19" s="10" t="str">
        <f>IF(基础资料!$Y14="","",基础资料!$Y14)</f>
        <v>客户11</v>
      </c>
      <c r="G19" s="11">
        <f>IF(F19="","",IF(基础资料!$AH$4="不含税金额",SUMIFS(开票登记!$J$5:$J$504,开票登记!$B$5:$B$504,"&gt;="&amp;$B$2,开票登记!$B$5:$B$504,"&lt;="&amp;$B$3,开票登记!$C$5:$C$504,IF($B$4="全部","*",$B$4),开票登记!$F$5:$F$504,F19),SUMIFS(开票登记!$M$5:$M$504,开票登记!$B$5:$B$504,"&gt;="&amp;$B$2,开票登记!$B$5:$B$504,"&lt;="&amp;$B$3,开票登记!$C$5:$C$504,IF($B$4="全部","*",$B$4),开票登记!$F$5:$F$504,F19)))</f>
        <v>0</v>
      </c>
      <c r="H19" s="12">
        <f t="shared" si="1"/>
        <v>0</v>
      </c>
    </row>
    <row r="20" spans="1:8">
      <c r="A20" s="10" t="str">
        <f>IF(基础资料!$Q15="","",基础资料!$Q15)</f>
        <v/>
      </c>
      <c r="B20" s="11" t="str">
        <f>IF(A20="","",IF(基础资料!$R15="经营收入",IF(基础资料!$AH$4="不含税金额",SUMIFS(开票登记!$J$5:$J$504,开票登记!$B$5:$B$504,"&gt;="&amp;$B$2,开票登记!$B$5:$B$504,"&lt;="&amp;$B$3,开票登记!$C$5:$C$504,IF($B$4="全部","*",$B$4),开票登记!$H$5:$H$504,A20),SUMIFS(开票登记!$M$5:$M$504,开票登记!$B$5:$B$504,"&gt;="&amp;$B$2,开票登记!$B$5:$B$504,"&lt;="&amp;$B$3,开票登记!$C$5:$C$504,IF($B$4="全部","*",$B$4),开票登记!$H$5:$H$504,A20)),SUMIFS(资金流水!$K$5:$K$3032,资金流水!$B$5:$B$3032,"&gt;="&amp;$B$2,资金流水!$B$5:$B$3032,"&lt;="&amp;$B$3,资金流水!$D$5:$D$3032,IF($B$4="全部","*",$B$4),资金流水!$G$5:$G$3032,A20)))</f>
        <v/>
      </c>
      <c r="C20" s="12" t="str">
        <f t="shared" si="0"/>
        <v/>
      </c>
      <c r="F20" s="10" t="str">
        <f>IF(基础资料!$Y15="","",基础资料!$Y15)</f>
        <v>客户12</v>
      </c>
      <c r="G20" s="11">
        <f>IF(F20="","",IF(基础资料!$AH$4="不含税金额",SUMIFS(开票登记!$J$5:$J$504,开票登记!$B$5:$B$504,"&gt;="&amp;$B$2,开票登记!$B$5:$B$504,"&lt;="&amp;$B$3,开票登记!$C$5:$C$504,IF($B$4="全部","*",$B$4),开票登记!$F$5:$F$504,F20),SUMIFS(开票登记!$M$5:$M$504,开票登记!$B$5:$B$504,"&gt;="&amp;$B$2,开票登记!$B$5:$B$504,"&lt;="&amp;$B$3,开票登记!$C$5:$C$504,IF($B$4="全部","*",$B$4),开票登记!$F$5:$F$504,F20)))</f>
        <v>0</v>
      </c>
      <c r="H20" s="12">
        <f t="shared" si="1"/>
        <v>0</v>
      </c>
    </row>
    <row r="21" spans="1:8">
      <c r="A21" s="10" t="str">
        <f>IF(基础资料!$Q16="","",基础资料!$Q16)</f>
        <v/>
      </c>
      <c r="B21" s="11" t="str">
        <f>IF(A21="","",IF(基础资料!$R16="经营收入",IF(基础资料!$AH$4="不含税金额",SUMIFS(开票登记!$J$5:$J$504,开票登记!$B$5:$B$504,"&gt;="&amp;$B$2,开票登记!$B$5:$B$504,"&lt;="&amp;$B$3,开票登记!$C$5:$C$504,IF($B$4="全部","*",$B$4),开票登记!$H$5:$H$504,A21),SUMIFS(开票登记!$M$5:$M$504,开票登记!$B$5:$B$504,"&gt;="&amp;$B$2,开票登记!$B$5:$B$504,"&lt;="&amp;$B$3,开票登记!$C$5:$C$504,IF($B$4="全部","*",$B$4),开票登记!$H$5:$H$504,A21)),SUMIFS(资金流水!$K$5:$K$3032,资金流水!$B$5:$B$3032,"&gt;="&amp;$B$2,资金流水!$B$5:$B$3032,"&lt;="&amp;$B$3,资金流水!$D$5:$D$3032,IF($B$4="全部","*",$B$4),资金流水!$G$5:$G$3032,A21)))</f>
        <v/>
      </c>
      <c r="C21" s="12" t="str">
        <f t="shared" si="0"/>
        <v/>
      </c>
      <c r="F21" s="10" t="str">
        <f>IF(基础资料!$Y16="","",基础资料!$Y16)</f>
        <v>客户13</v>
      </c>
      <c r="G21" s="11">
        <f>IF(F21="","",IF(基础资料!$AH$4="不含税金额",SUMIFS(开票登记!$J$5:$J$504,开票登记!$B$5:$B$504,"&gt;="&amp;$B$2,开票登记!$B$5:$B$504,"&lt;="&amp;$B$3,开票登记!$C$5:$C$504,IF($B$4="全部","*",$B$4),开票登记!$F$5:$F$504,F21),SUMIFS(开票登记!$M$5:$M$504,开票登记!$B$5:$B$504,"&gt;="&amp;$B$2,开票登记!$B$5:$B$504,"&lt;="&amp;$B$3,开票登记!$C$5:$C$504,IF($B$4="全部","*",$B$4),开票登记!$F$5:$F$504,F21)))</f>
        <v>0</v>
      </c>
      <c r="H21" s="12">
        <f t="shared" si="1"/>
        <v>0</v>
      </c>
    </row>
    <row r="22" spans="1:8">
      <c r="A22" s="10" t="str">
        <f>IF(基础资料!$Q17="","",基础资料!$Q17)</f>
        <v/>
      </c>
      <c r="B22" s="11" t="str">
        <f>IF(A22="","",IF(基础资料!$R17="经营收入",IF(基础资料!$AH$4="不含税金额",SUMIFS(开票登记!$J$5:$J$504,开票登记!$B$5:$B$504,"&gt;="&amp;$B$2,开票登记!$B$5:$B$504,"&lt;="&amp;$B$3,开票登记!$C$5:$C$504,IF($B$4="全部","*",$B$4),开票登记!$H$5:$H$504,A22),SUMIFS(开票登记!$M$5:$M$504,开票登记!$B$5:$B$504,"&gt;="&amp;$B$2,开票登记!$B$5:$B$504,"&lt;="&amp;$B$3,开票登记!$C$5:$C$504,IF($B$4="全部","*",$B$4),开票登记!$H$5:$H$504,A22)),SUMIFS(资金流水!$K$5:$K$3032,资金流水!$B$5:$B$3032,"&gt;="&amp;$B$2,资金流水!$B$5:$B$3032,"&lt;="&amp;$B$3,资金流水!$D$5:$D$3032,IF($B$4="全部","*",$B$4),资金流水!$G$5:$G$3032,A22)))</f>
        <v/>
      </c>
      <c r="C22" s="12" t="str">
        <f t="shared" si="0"/>
        <v/>
      </c>
      <c r="F22" s="10" t="str">
        <f>IF(基础资料!$Y17="","",基础资料!$Y17)</f>
        <v/>
      </c>
      <c r="G22" s="11" t="str">
        <f>IF(F22="","",IF(基础资料!$AH$4="不含税金额",SUMIFS(开票登记!$J$5:$J$504,开票登记!$B$5:$B$504,"&gt;="&amp;$B$2,开票登记!$B$5:$B$504,"&lt;="&amp;$B$3,开票登记!$C$5:$C$504,IF($B$4="全部","*",$B$4),开票登记!$F$5:$F$504,F22),SUMIFS(开票登记!$M$5:$M$504,开票登记!$B$5:$B$504,"&gt;="&amp;$B$2,开票登记!$B$5:$B$504,"&lt;="&amp;$B$3,开票登记!$C$5:$C$504,IF($B$4="全部","*",$B$4),开票登记!$F$5:$F$504,F22)))</f>
        <v/>
      </c>
      <c r="H22" s="12" t="str">
        <f t="shared" si="1"/>
        <v/>
      </c>
    </row>
    <row r="23" spans="1:8">
      <c r="A23" s="13" t="s">
        <v>1002</v>
      </c>
      <c r="B23" s="14">
        <f>SUM(B9:B22)</f>
        <v>0</v>
      </c>
      <c r="C23" s="15"/>
      <c r="F23" s="10" t="str">
        <f>IF(基础资料!$Y18="","",基础资料!$Y18)</f>
        <v/>
      </c>
      <c r="G23" s="11" t="str">
        <f>IF(F23="","",IF(基础资料!$AH$4="不含税金额",SUMIFS(开票登记!$J$5:$J$504,开票登记!$B$5:$B$504,"&gt;="&amp;$B$2,开票登记!$B$5:$B$504,"&lt;="&amp;$B$3,开票登记!$C$5:$C$504,IF($B$4="全部","*",$B$4),开票登记!$F$5:$F$504,F23),SUMIFS(开票登记!$M$5:$M$504,开票登记!$B$5:$B$504,"&gt;="&amp;$B$2,开票登记!$B$5:$B$504,"&lt;="&amp;$B$3,开票登记!$C$5:$C$504,IF($B$4="全部","*",$B$4),开票登记!$F$5:$F$504,F23)))</f>
        <v/>
      </c>
      <c r="H23" s="12" t="str">
        <f t="shared" si="1"/>
        <v/>
      </c>
    </row>
    <row r="24" spans="1:8">
      <c r="A24" s="8" t="s">
        <v>1003</v>
      </c>
      <c r="B24" s="8"/>
      <c r="C24" s="8"/>
      <c r="F24" s="10" t="str">
        <f>IF(基础资料!$Y19="","",基础资料!$Y19)</f>
        <v/>
      </c>
      <c r="G24" s="11" t="str">
        <f>IF(F24="","",IF(基础资料!$AH$4="不含税金额",SUMIFS(开票登记!$J$5:$J$504,开票登记!$B$5:$B$504,"&gt;="&amp;$B$2,开票登记!$B$5:$B$504,"&lt;="&amp;$B$3,开票登记!$C$5:$C$504,IF($B$4="全部","*",$B$4),开票登记!$F$5:$F$504,F24),SUMIFS(开票登记!$M$5:$M$504,开票登记!$B$5:$B$504,"&gt;="&amp;$B$2,开票登记!$B$5:$B$504,"&lt;="&amp;$B$3,开票登记!$C$5:$C$504,IF($B$4="全部","*",$B$4),开票登记!$F$5:$F$504,F24)))</f>
        <v/>
      </c>
      <c r="H24" s="12" t="str">
        <f t="shared" si="1"/>
        <v/>
      </c>
    </row>
    <row r="25" ht="21.75" customHeight="1" spans="1:8">
      <c r="A25" s="9" t="s">
        <v>1001</v>
      </c>
      <c r="B25" s="9" t="s">
        <v>838</v>
      </c>
      <c r="C25" s="9" t="s">
        <v>902</v>
      </c>
      <c r="F25" s="10" t="str">
        <f>IF(基础资料!$Y20="","",基础资料!$Y20)</f>
        <v/>
      </c>
      <c r="G25" s="11" t="str">
        <f>IF(F25="","",IF(基础资料!$AH$4="不含税金额",SUMIFS(开票登记!$J$5:$J$504,开票登记!$B$5:$B$504,"&gt;="&amp;$B$2,开票登记!$B$5:$B$504,"&lt;="&amp;$B$3,开票登记!$C$5:$C$504,IF($B$4="全部","*",$B$4),开票登记!$F$5:$F$504,F25),SUMIFS(开票登记!$M$5:$M$504,开票登记!$B$5:$B$504,"&gt;="&amp;$B$2,开票登记!$B$5:$B$504,"&lt;="&amp;$B$3,开票登记!$C$5:$C$504,IF($B$4="全部","*",$B$4),开票登记!$F$5:$F$504,F25)))</f>
        <v/>
      </c>
      <c r="H25" s="12" t="str">
        <f t="shared" si="1"/>
        <v/>
      </c>
    </row>
    <row r="26" spans="1:8">
      <c r="A26" s="10" t="str">
        <f>IF(基础资料!$T4="","",基础资料!$T4)</f>
        <v>项目-材料</v>
      </c>
      <c r="B26" s="11">
        <f>IF(A26="","",SUMIFS(资金流水!$L$5:$L$3032,资金流水!$H$5:$H$3032,A26,资金流水!$B$5:$B$3032,"&gt;="&amp;$B$2,资金流水!$B$5:$B$3032,"&lt;="&amp;$B$3,资金流水!$D$5:$D$3032,IF($B$4="全部","*",$B$4)))</f>
        <v>0</v>
      </c>
      <c r="C26" s="12" t="str">
        <f t="shared" ref="C26:C39" si="2">IFERROR(B26/$H$2,"")</f>
        <v/>
      </c>
      <c r="F26" s="10" t="str">
        <f>IF(基础资料!$Y21="","",基础资料!$Y21)</f>
        <v/>
      </c>
      <c r="G26" s="11" t="str">
        <f>IF(F26="","",IF(基础资料!$AH$4="不含税金额",SUMIFS(开票登记!$J$5:$J$504,开票登记!$B$5:$B$504,"&gt;="&amp;$B$2,开票登记!$B$5:$B$504,"&lt;="&amp;$B$3,开票登记!$C$5:$C$504,IF($B$4="全部","*",$B$4),开票登记!$F$5:$F$504,F26),SUMIFS(开票登记!$M$5:$M$504,开票登记!$B$5:$B$504,"&gt;="&amp;$B$2,开票登记!$B$5:$B$504,"&lt;="&amp;$B$3,开票登记!$C$5:$C$504,IF($B$4="全部","*",$B$4),开票登记!$F$5:$F$504,F26)))</f>
        <v/>
      </c>
      <c r="H26" s="12" t="str">
        <f t="shared" si="1"/>
        <v/>
      </c>
    </row>
    <row r="27" spans="1:8">
      <c r="A27" s="10" t="str">
        <f>IF(基础资料!$T5="","",基础资料!$T5)</f>
        <v>项目-人工</v>
      </c>
      <c r="B27" s="11">
        <f>IF(A27="","",SUMIFS(资金流水!$L$5:$L$3032,资金流水!$H$5:$H$3032,A27,资金流水!$B$5:$B$3032,"&gt;="&amp;$B$2,资金流水!$B$5:$B$3032,"&lt;="&amp;$B$3,资金流水!$D$5:$D$3032,IF($B$4="全部","*",$B$4)))</f>
        <v>0</v>
      </c>
      <c r="C27" s="12" t="str">
        <f t="shared" si="2"/>
        <v/>
      </c>
      <c r="F27" s="10" t="str">
        <f>IF(基础资料!$Y22="","",基础资料!$Y22)</f>
        <v/>
      </c>
      <c r="G27" s="11" t="str">
        <f>IF(F27="","",IF(基础资料!$AH$4="不含税金额",SUMIFS(开票登记!$J$5:$J$504,开票登记!$B$5:$B$504,"&gt;="&amp;$B$2,开票登记!$B$5:$B$504,"&lt;="&amp;$B$3,开票登记!$C$5:$C$504,IF($B$4="全部","*",$B$4),开票登记!$F$5:$F$504,F27),SUMIFS(开票登记!$M$5:$M$504,开票登记!$B$5:$B$504,"&gt;="&amp;$B$2,开票登记!$B$5:$B$504,"&lt;="&amp;$B$3,开票登记!$C$5:$C$504,IF($B$4="全部","*",$B$4),开票登记!$F$5:$F$504,F27)))</f>
        <v/>
      </c>
      <c r="H27" s="12" t="str">
        <f t="shared" si="1"/>
        <v/>
      </c>
    </row>
    <row r="28" spans="1:8">
      <c r="A28" s="10" t="str">
        <f>IF(基础资料!$T6="","",基础资料!$T6)</f>
        <v>项目-机械设备</v>
      </c>
      <c r="B28" s="11">
        <f>IF(A28="","",SUMIFS(资金流水!$L$5:$L$3032,资金流水!$H$5:$H$3032,A28,资金流水!$B$5:$B$3032,"&gt;="&amp;$B$2,资金流水!$B$5:$B$3032,"&lt;="&amp;$B$3,资金流水!$D$5:$D$3032,IF($B$4="全部","*",$B$4)))</f>
        <v>0</v>
      </c>
      <c r="C28" s="12" t="str">
        <f t="shared" si="2"/>
        <v/>
      </c>
      <c r="F28" s="10" t="str">
        <f>IF(基础资料!$Y23="","",基础资料!$Y23)</f>
        <v/>
      </c>
      <c r="G28" s="11" t="str">
        <f>IF(F28="","",IF(基础资料!$AH$4="不含税金额",SUMIFS(开票登记!$J$5:$J$504,开票登记!$B$5:$B$504,"&gt;="&amp;$B$2,开票登记!$B$5:$B$504,"&lt;="&amp;$B$3,开票登记!$C$5:$C$504,IF($B$4="全部","*",$B$4),开票登记!$F$5:$F$504,F28),SUMIFS(开票登记!$M$5:$M$504,开票登记!$B$5:$B$504,"&gt;="&amp;$B$2,开票登记!$B$5:$B$504,"&lt;="&amp;$B$3,开票登记!$C$5:$C$504,IF($B$4="全部","*",$B$4),开票登记!$F$5:$F$504,F28)))</f>
        <v/>
      </c>
      <c r="H28" s="12" t="str">
        <f t="shared" si="1"/>
        <v/>
      </c>
    </row>
    <row r="29" spans="1:8">
      <c r="A29" s="10" t="str">
        <f>IF(基础资料!$T7="","",基础资料!$T7)</f>
        <v>项目-零星开支</v>
      </c>
      <c r="B29" s="11">
        <f>IF(A29="","",SUMIFS(资金流水!$L$5:$L$3032,资金流水!$H$5:$H$3032,A29,资金流水!$B$5:$B$3032,"&gt;="&amp;$B$2,资金流水!$B$5:$B$3032,"&lt;="&amp;$B$3,资金流水!$D$5:$D$3032,IF($B$4="全部","*",$B$4)))</f>
        <v>0</v>
      </c>
      <c r="C29" s="12" t="str">
        <f t="shared" si="2"/>
        <v/>
      </c>
      <c r="F29" s="10" t="str">
        <f>IF(基础资料!$Y24="","",基础资料!$Y24)</f>
        <v/>
      </c>
      <c r="G29" s="11" t="str">
        <f>IF(F29="","",IF(基础资料!$AH$4="不含税金额",SUMIFS(开票登记!$J$5:$J$504,开票登记!$B$5:$B$504,"&gt;="&amp;$B$2,开票登记!$B$5:$B$504,"&lt;="&amp;$B$3,开票登记!$C$5:$C$504,IF($B$4="全部","*",$B$4),开票登记!$F$5:$F$504,F29),SUMIFS(开票登记!$M$5:$M$504,开票登记!$B$5:$B$504,"&gt;="&amp;$B$2,开票登记!$B$5:$B$504,"&lt;="&amp;$B$3,开票登记!$C$5:$C$504,IF($B$4="全部","*",$B$4),开票登记!$F$5:$F$504,F29)))</f>
        <v/>
      </c>
      <c r="H29" s="12" t="str">
        <f t="shared" si="1"/>
        <v/>
      </c>
    </row>
    <row r="30" spans="1:8">
      <c r="A30" s="10" t="str">
        <f>IF(基础资料!$T8="","",基础资料!$T8)</f>
        <v>项目-运费</v>
      </c>
      <c r="B30" s="11">
        <f>IF(A30="","",SUMIFS(资金流水!$L$5:$L$3032,资金流水!$H$5:$H$3032,A30,资金流水!$B$5:$B$3032,"&gt;="&amp;$B$2,资金流水!$B$5:$B$3032,"&lt;="&amp;$B$3,资金流水!$D$5:$D$3032,IF($B$4="全部","*",$B$4)))</f>
        <v>0</v>
      </c>
      <c r="C30" s="12" t="str">
        <f t="shared" si="2"/>
        <v/>
      </c>
      <c r="F30" s="10" t="str">
        <f>IF(基础资料!$Y25="","",基础资料!$Y25)</f>
        <v/>
      </c>
      <c r="G30" s="11" t="str">
        <f>IF(F30="","",IF(基础资料!$AH$4="不含税金额",SUMIFS(开票登记!$J$5:$J$504,开票登记!$B$5:$B$504,"&gt;="&amp;$B$2,开票登记!$B$5:$B$504,"&lt;="&amp;$B$3,开票登记!$C$5:$C$504,IF($B$4="全部","*",$B$4),开票登记!$F$5:$F$504,F30),SUMIFS(开票登记!$M$5:$M$504,开票登记!$B$5:$B$504,"&gt;="&amp;$B$2,开票登记!$B$5:$B$504,"&lt;="&amp;$B$3,开票登记!$C$5:$C$504,IF($B$4="全部","*",$B$4),开票登记!$F$5:$F$504,F30)))</f>
        <v/>
      </c>
      <c r="H30" s="12" t="str">
        <f t="shared" si="1"/>
        <v/>
      </c>
    </row>
    <row r="31" spans="1:8">
      <c r="A31" s="10" t="str">
        <f>IF(基础资料!$T9="","",基础资料!$T9)</f>
        <v>项目-分包/劳务</v>
      </c>
      <c r="B31" s="11">
        <f>IF(A31="","",SUMIFS(资金流水!$L$5:$L$3032,资金流水!$H$5:$H$3032,A31,资金流水!$B$5:$B$3032,"&gt;="&amp;$B$2,资金流水!$B$5:$B$3032,"&lt;="&amp;$B$3,资金流水!$D$5:$D$3032,IF($B$4="全部","*",$B$4)))</f>
        <v>0</v>
      </c>
      <c r="C31" s="12" t="str">
        <f t="shared" si="2"/>
        <v/>
      </c>
      <c r="F31" s="10" t="str">
        <f>IF(基础资料!$Y26="","",基础资料!$Y26)</f>
        <v/>
      </c>
      <c r="G31" s="11" t="str">
        <f>IF(F31="","",IF(基础资料!$AH$4="不含税金额",SUMIFS(开票登记!$J$5:$J$504,开票登记!$B$5:$B$504,"&gt;="&amp;$B$2,开票登记!$B$5:$B$504,"&lt;="&amp;$B$3,开票登记!$C$5:$C$504,IF($B$4="全部","*",$B$4),开票登记!$F$5:$F$504,F31),SUMIFS(开票登记!$M$5:$M$504,开票登记!$B$5:$B$504,"&gt;="&amp;$B$2,开票登记!$B$5:$B$504,"&lt;="&amp;$B$3,开票登记!$C$5:$C$504,IF($B$4="全部","*",$B$4),开票登记!$F$5:$F$504,F31)))</f>
        <v/>
      </c>
      <c r="H31" s="12" t="str">
        <f t="shared" si="1"/>
        <v/>
      </c>
    </row>
    <row r="32" spans="1:8">
      <c r="A32" s="10" t="str">
        <f>IF(基础资料!$T10="","",基础资料!$T10)</f>
        <v>项目-税款</v>
      </c>
      <c r="B32" s="11">
        <f>IF(A32="","",SUMIFS(资金流水!$L$5:$L$3032,资金流水!$H$5:$H$3032,A32,资金流水!$B$5:$B$3032,"&gt;="&amp;$B$2,资金流水!$B$5:$B$3032,"&lt;="&amp;$B$3,资金流水!$D$5:$D$3032,IF($B$4="全部","*",$B$4)))</f>
        <v>0</v>
      </c>
      <c r="C32" s="12" t="str">
        <f t="shared" si="2"/>
        <v/>
      </c>
      <c r="F32" s="10" t="str">
        <f>IF(基础资料!$Y27="","",基础资料!$Y27)</f>
        <v/>
      </c>
      <c r="G32" s="11" t="str">
        <f>IF(F32="","",IF(基础资料!$AH$4="不含税金额",SUMIFS(开票登记!$J$5:$J$504,开票登记!$B$5:$B$504,"&gt;="&amp;$B$2,开票登记!$B$5:$B$504,"&lt;="&amp;$B$3,开票登记!$C$5:$C$504,IF($B$4="全部","*",$B$4),开票登记!$F$5:$F$504,F32),SUMIFS(开票登记!$M$5:$M$504,开票登记!$B$5:$B$504,"&gt;="&amp;$B$2,开票登记!$B$5:$B$504,"&lt;="&amp;$B$3,开票登记!$C$5:$C$504,IF($B$4="全部","*",$B$4),开票登记!$F$5:$F$504,F32)))</f>
        <v/>
      </c>
      <c r="H32" s="12" t="str">
        <f t="shared" si="1"/>
        <v/>
      </c>
    </row>
    <row r="33" spans="1:8">
      <c r="A33" s="10" t="str">
        <f>IF(基础资料!$T11="","",基础资料!$T11)</f>
        <v>项目-其他直接成本</v>
      </c>
      <c r="B33" s="11">
        <f>IF(A33="","",SUMIFS(资金流水!$L$5:$L$3032,资金流水!$H$5:$H$3032,A33,资金流水!$B$5:$B$3032,"&gt;="&amp;$B$2,资金流水!$B$5:$B$3032,"&lt;="&amp;$B$3,资金流水!$D$5:$D$3032,IF($B$4="全部","*",$B$4)))</f>
        <v>0</v>
      </c>
      <c r="C33" s="12" t="str">
        <f t="shared" si="2"/>
        <v/>
      </c>
      <c r="F33" s="10" t="str">
        <f>IF(基础资料!$Y28="","",基础资料!$Y28)</f>
        <v/>
      </c>
      <c r="G33" s="11" t="str">
        <f>IF(F33="","",IF(基础资料!$AH$4="不含税金额",SUMIFS(开票登记!$J$5:$J$504,开票登记!$B$5:$B$504,"&gt;="&amp;$B$2,开票登记!$B$5:$B$504,"&lt;="&amp;$B$3,开票登记!$C$5:$C$504,IF($B$4="全部","*",$B$4),开票登记!$F$5:$F$504,F33),SUMIFS(开票登记!$M$5:$M$504,开票登记!$B$5:$B$504,"&gt;="&amp;$B$2,开票登记!$B$5:$B$504,"&lt;="&amp;$B$3,开票登记!$C$5:$C$504,IF($B$4="全部","*",$B$4),开票登记!$F$5:$F$504,F33)))</f>
        <v/>
      </c>
      <c r="H33" s="12" t="str">
        <f t="shared" si="1"/>
        <v/>
      </c>
    </row>
    <row r="34" spans="1:8">
      <c r="A34" s="10" t="str">
        <f>IF(基础资料!$T12="","",基础资料!$T12)</f>
        <v>费用摊销</v>
      </c>
      <c r="B34" s="11">
        <f>IF(A34="","",SUMIFS(资金流水!$L$5:$L$3032,资金流水!$H$5:$H$3032,A34,资金流水!$B$5:$B$3032,"&gt;="&amp;$B$2,资金流水!$B$5:$B$3032,"&lt;="&amp;$B$3,资金流水!$D$5:$D$3032,IF($B$4="全部","*",$B$4)))</f>
        <v>0</v>
      </c>
      <c r="C34" s="12" t="str">
        <f t="shared" si="2"/>
        <v/>
      </c>
      <c r="F34" s="10" t="str">
        <f>IF(基础资料!$Y29="","",基础资料!$Y29)</f>
        <v/>
      </c>
      <c r="G34" s="11" t="str">
        <f>IF(F34="","",IF(基础资料!$AH$4="不含税金额",SUMIFS(开票登记!$J$5:$J$504,开票登记!$B$5:$B$504,"&gt;="&amp;$B$2,开票登记!$B$5:$B$504,"&lt;="&amp;$B$3,开票登记!$C$5:$C$504,IF($B$4="全部","*",$B$4),开票登记!$F$5:$F$504,F34),SUMIFS(开票登记!$M$5:$M$504,开票登记!$B$5:$B$504,"&gt;="&amp;$B$2,开票登记!$B$5:$B$504,"&lt;="&amp;$B$3,开票登记!$C$5:$C$504,IF($B$4="全部","*",$B$4),开票登记!$F$5:$F$504,F34)))</f>
        <v/>
      </c>
      <c r="H34" s="12" t="str">
        <f t="shared" si="1"/>
        <v/>
      </c>
    </row>
    <row r="35" spans="1:8">
      <c r="A35" s="10" t="str">
        <f>IF(基础资料!$T13="","",基础资料!$T13)</f>
        <v/>
      </c>
      <c r="B35" s="11" t="str">
        <f>IF(A35="","",SUMIFS(资金流水!$L$5:$L$3032,资金流水!$H$5:$H$3032,A35,资金流水!$B$5:$B$3032,"&gt;="&amp;$B$2,资金流水!$B$5:$B$3032,"&lt;="&amp;$B$3,资金流水!$D$5:$D$3032,IF($B$4="全部","*",$B$4)))</f>
        <v/>
      </c>
      <c r="C35" s="12" t="str">
        <f t="shared" si="2"/>
        <v/>
      </c>
      <c r="F35" s="10" t="str">
        <f>IF(基础资料!$Y30="","",基础资料!$Y30)</f>
        <v/>
      </c>
      <c r="G35" s="11" t="str">
        <f>IF(F35="","",IF(基础资料!$AH$4="不含税金额",SUMIFS(开票登记!$J$5:$J$504,开票登记!$B$5:$B$504,"&gt;="&amp;$B$2,开票登记!$B$5:$B$504,"&lt;="&amp;$B$3,开票登记!$C$5:$C$504,IF($B$4="全部","*",$B$4),开票登记!$F$5:$F$504,F35),SUMIFS(开票登记!$M$5:$M$504,开票登记!$B$5:$B$504,"&gt;="&amp;$B$2,开票登记!$B$5:$B$504,"&lt;="&amp;$B$3,开票登记!$C$5:$C$504,IF($B$4="全部","*",$B$4),开票登记!$F$5:$F$504,F35)))</f>
        <v/>
      </c>
      <c r="H35" s="12" t="str">
        <f t="shared" si="1"/>
        <v/>
      </c>
    </row>
    <row r="36" spans="1:8">
      <c r="A36" s="10" t="str">
        <f>IF(基础资料!$T14="","",基础资料!$T14)</f>
        <v/>
      </c>
      <c r="B36" s="11" t="str">
        <f>IF(A36="","",SUMIFS(资金流水!$L$5:$L$3032,资金流水!$H$5:$H$3032,A36,资金流水!$B$5:$B$3032,"&gt;="&amp;$B$2,资金流水!$B$5:$B$3032,"&lt;="&amp;$B$3,资金流水!$D$5:$D$3032,IF($B$4="全部","*",$B$4)))</f>
        <v/>
      </c>
      <c r="C36" s="12" t="str">
        <f t="shared" si="2"/>
        <v/>
      </c>
      <c r="F36" s="10" t="str">
        <f>IF(基础资料!$Y31="","",基础资料!$Y31)</f>
        <v/>
      </c>
      <c r="G36" s="11" t="str">
        <f>IF(F36="","",IF(基础资料!$AH$4="不含税金额",SUMIFS(开票登记!$J$5:$J$504,开票登记!$B$5:$B$504,"&gt;="&amp;$B$2,开票登记!$B$5:$B$504,"&lt;="&amp;$B$3,开票登记!$C$5:$C$504,IF($B$4="全部","*",$B$4),开票登记!$F$5:$F$504,F36),SUMIFS(开票登记!$M$5:$M$504,开票登记!$B$5:$B$504,"&gt;="&amp;$B$2,开票登记!$B$5:$B$504,"&lt;="&amp;$B$3,开票登记!$C$5:$C$504,IF($B$4="全部","*",$B$4),开票登记!$F$5:$F$504,F36)))</f>
        <v/>
      </c>
      <c r="H36" s="12" t="str">
        <f t="shared" si="1"/>
        <v/>
      </c>
    </row>
    <row r="37" spans="1:8">
      <c r="A37" s="10" t="str">
        <f>IF(基础资料!$T15="","",基础资料!$T15)</f>
        <v/>
      </c>
      <c r="B37" s="11" t="str">
        <f>IF(A37="","",SUMIFS(资金流水!$L$5:$L$3032,资金流水!$H$5:$H$3032,A37,资金流水!$B$5:$B$3032,"&gt;="&amp;$B$2,资金流水!$B$5:$B$3032,"&lt;="&amp;$B$3,资金流水!$D$5:$D$3032,IF($B$4="全部","*",$B$4)))</f>
        <v/>
      </c>
      <c r="C37" s="12" t="str">
        <f t="shared" si="2"/>
        <v/>
      </c>
      <c r="F37" s="10" t="str">
        <f>IF(基础资料!$Y32="","",基础资料!$Y32)</f>
        <v/>
      </c>
      <c r="G37" s="11" t="str">
        <f>IF(F37="","",IF(基础资料!$AH$4="不含税金额",SUMIFS(开票登记!$J$5:$J$504,开票登记!$B$5:$B$504,"&gt;="&amp;$B$2,开票登记!$B$5:$B$504,"&lt;="&amp;$B$3,开票登记!$C$5:$C$504,IF($B$4="全部","*",$B$4),开票登记!$F$5:$F$504,F37),SUMIFS(开票登记!$M$5:$M$504,开票登记!$B$5:$B$504,"&gt;="&amp;$B$2,开票登记!$B$5:$B$504,"&lt;="&amp;$B$3,开票登记!$C$5:$C$504,IF($B$4="全部","*",$B$4),开票登记!$F$5:$F$504,F37)))</f>
        <v/>
      </c>
      <c r="H37" s="12" t="str">
        <f t="shared" si="1"/>
        <v/>
      </c>
    </row>
    <row r="38" spans="1:8">
      <c r="A38" s="10" t="str">
        <f>IF(基础资料!$T16="","",基础资料!$T16)</f>
        <v/>
      </c>
      <c r="B38" s="11" t="str">
        <f>IF(A38="","",SUMIFS(资金流水!$L$5:$L$3032,资金流水!$H$5:$H$3032,A38,资金流水!$B$5:$B$3032,"&gt;="&amp;$B$2,资金流水!$B$5:$B$3032,"&lt;="&amp;$B$3,资金流水!$D$5:$D$3032,IF($B$4="全部","*",$B$4)))</f>
        <v/>
      </c>
      <c r="C38" s="12" t="str">
        <f t="shared" si="2"/>
        <v/>
      </c>
      <c r="F38" s="10" t="str">
        <f>IF(基础资料!$Y33="","",基础资料!$Y33)</f>
        <v/>
      </c>
      <c r="G38" s="11" t="str">
        <f>IF(F38="","",IF(基础资料!$AH$4="不含税金额",SUMIFS(开票登记!$J$5:$J$504,开票登记!$B$5:$B$504,"&gt;="&amp;$B$2,开票登记!$B$5:$B$504,"&lt;="&amp;$B$3,开票登记!$C$5:$C$504,IF($B$4="全部","*",$B$4),开票登记!$F$5:$F$504,F38),SUMIFS(开票登记!$M$5:$M$504,开票登记!$B$5:$B$504,"&gt;="&amp;$B$2,开票登记!$B$5:$B$504,"&lt;="&amp;$B$3,开票登记!$C$5:$C$504,IF($B$4="全部","*",$B$4),开票登记!$F$5:$F$504,F38)))</f>
        <v/>
      </c>
      <c r="H38" s="12" t="str">
        <f t="shared" si="1"/>
        <v/>
      </c>
    </row>
    <row r="39" spans="1:8">
      <c r="A39" s="10" t="str">
        <f>IF(基础资料!$T17="","",基础资料!$T17)</f>
        <v/>
      </c>
      <c r="B39" s="11" t="str">
        <f>IF(A39="","",SUMIFS(资金流水!$L$5:$L$3032,资金流水!$H$5:$H$3032,A39,资金流水!$B$5:$B$3032,"&gt;="&amp;$B$2,资金流水!$B$5:$B$3032,"&lt;="&amp;$B$3,资金流水!$D$5:$D$3032,IF($B$4="全部","*",$B$4)))</f>
        <v/>
      </c>
      <c r="C39" s="12" t="str">
        <f t="shared" si="2"/>
        <v/>
      </c>
      <c r="F39" s="10" t="str">
        <f>IF(基础资料!$Y34="","",基础资料!$Y34)</f>
        <v/>
      </c>
      <c r="G39" s="11" t="str">
        <f>IF(F39="","",IF(基础资料!$AH$4="不含税金额",SUMIFS(开票登记!$J$5:$J$504,开票登记!$B$5:$B$504,"&gt;="&amp;$B$2,开票登记!$B$5:$B$504,"&lt;="&amp;$B$3,开票登记!$C$5:$C$504,IF($B$4="全部","*",$B$4),开票登记!$F$5:$F$504,F39),SUMIFS(开票登记!$M$5:$M$504,开票登记!$B$5:$B$504,"&gt;="&amp;$B$2,开票登记!$B$5:$B$504,"&lt;="&amp;$B$3,开票登记!$C$5:$C$504,IF($B$4="全部","*",$B$4),开票登记!$F$5:$F$504,F39)))</f>
        <v/>
      </c>
      <c r="H39" s="12" t="str">
        <f t="shared" si="1"/>
        <v/>
      </c>
    </row>
    <row r="40" spans="1:8">
      <c r="A40" s="13" t="s">
        <v>1002</v>
      </c>
      <c r="B40" s="14">
        <f>SUM(B26:B39)</f>
        <v>0</v>
      </c>
      <c r="C40" s="15"/>
      <c r="F40" s="10" t="str">
        <f>IF(基础资料!$Y35="","",基础资料!$Y35)</f>
        <v/>
      </c>
      <c r="G40" s="11" t="str">
        <f>IF(F40="","",IF(基础资料!$AH$4="不含税金额",SUMIFS(开票登记!$J$5:$J$504,开票登记!$B$5:$B$504,"&gt;="&amp;$B$2,开票登记!$B$5:$B$504,"&lt;="&amp;$B$3,开票登记!$C$5:$C$504,IF($B$4="全部","*",$B$4),开票登记!$F$5:$F$504,F40),SUMIFS(开票登记!$M$5:$M$504,开票登记!$B$5:$B$504,"&gt;="&amp;$B$2,开票登记!$B$5:$B$504,"&lt;="&amp;$B$3,开票登记!$C$5:$C$504,IF($B$4="全部","*",$B$4),开票登记!$F$5:$F$504,F40)))</f>
        <v/>
      </c>
      <c r="H40" s="12" t="str">
        <f t="shared" si="1"/>
        <v/>
      </c>
    </row>
    <row r="41" spans="1:8">
      <c r="A41" s="8" t="s">
        <v>1004</v>
      </c>
      <c r="B41" s="8"/>
      <c r="C41" s="8"/>
      <c r="F41" s="10" t="str">
        <f>IF(基础资料!$Y36="","",基础资料!$Y36)</f>
        <v/>
      </c>
      <c r="G41" s="11" t="str">
        <f>IF(F41="","",IF(基础资料!$AH$4="不含税金额",SUMIFS(开票登记!$J$5:$J$504,开票登记!$B$5:$B$504,"&gt;="&amp;$B$2,开票登记!$B$5:$B$504,"&lt;="&amp;$B$3,开票登记!$C$5:$C$504,IF($B$4="全部","*",$B$4),开票登记!$F$5:$F$504,F41),SUMIFS(开票登记!$M$5:$M$504,开票登记!$B$5:$B$504,"&gt;="&amp;$B$2,开票登记!$B$5:$B$504,"&lt;="&amp;$B$3,开票登记!$C$5:$C$504,IF($B$4="全部","*",$B$4),开票登记!$F$5:$F$504,F41)))</f>
        <v/>
      </c>
      <c r="H41" s="12" t="str">
        <f t="shared" si="1"/>
        <v/>
      </c>
    </row>
    <row r="42" ht="21.75" customHeight="1" spans="1:8">
      <c r="A42" s="9" t="s">
        <v>1001</v>
      </c>
      <c r="B42" s="9" t="s">
        <v>838</v>
      </c>
      <c r="C42" s="9" t="s">
        <v>902</v>
      </c>
      <c r="F42" s="10" t="str">
        <f>IF(基础资料!$Y37="","",基础资料!$Y37)</f>
        <v/>
      </c>
      <c r="G42" s="11" t="str">
        <f>IF(F42="","",IF(基础资料!$AH$4="不含税金额",SUMIFS(开票登记!$J$5:$J$504,开票登记!$B$5:$B$504,"&gt;="&amp;$B$2,开票登记!$B$5:$B$504,"&lt;="&amp;$B$3,开票登记!$C$5:$C$504,IF($B$4="全部","*",$B$4),开票登记!$F$5:$F$504,F42),SUMIFS(开票登记!$M$5:$M$504,开票登记!$B$5:$B$504,"&gt;="&amp;$B$2,开票登记!$B$5:$B$504,"&lt;="&amp;$B$3,开票登记!$C$5:$C$504,IF($B$4="全部","*",$B$4),开票登记!$F$5:$F$504,F42)))</f>
        <v/>
      </c>
      <c r="H42" s="12" t="str">
        <f t="shared" si="1"/>
        <v/>
      </c>
    </row>
    <row r="43" spans="1:8">
      <c r="A43" s="10" t="str">
        <f>IF(基础资料!$V4="","",基础资料!$V4)</f>
        <v>办公费</v>
      </c>
      <c r="B43" s="11">
        <f>IF(A43="","",SUMIFS(资金流水!$L$5:$L$3032,资金流水!$I$5:$I$3032,A43,资金流水!$B$5:$B$3032,"&gt;="&amp;$B$2,资金流水!$B$5:$B$3032,"&lt;="&amp;$B$3,资金流水!$D$5:$D$3032,IF($B$4="全部","*",$B$4)))</f>
        <v>0</v>
      </c>
      <c r="C43" s="12" t="str">
        <f t="shared" ref="C43:C88" si="3">IFERROR(B43/$H$2,"")</f>
        <v/>
      </c>
      <c r="F43" s="10" t="str">
        <f>IF(基础资料!$Y38="","",基础资料!$Y38)</f>
        <v/>
      </c>
      <c r="G43" s="11" t="str">
        <f>IF(F43="","",IF(基础资料!$AH$4="不含税金额",SUMIFS(开票登记!$J$5:$J$504,开票登记!$B$5:$B$504,"&gt;="&amp;$B$2,开票登记!$B$5:$B$504,"&lt;="&amp;$B$3,开票登记!$C$5:$C$504,IF($B$4="全部","*",$B$4),开票登记!$F$5:$F$504,F43),SUMIFS(开票登记!$M$5:$M$504,开票登记!$B$5:$B$504,"&gt;="&amp;$B$2,开票登记!$B$5:$B$504,"&lt;="&amp;$B$3,开票登记!$C$5:$C$504,IF($B$4="全部","*",$B$4),开票登记!$F$5:$F$504,F43)))</f>
        <v/>
      </c>
      <c r="H43" s="12" t="str">
        <f t="shared" si="1"/>
        <v/>
      </c>
    </row>
    <row r="44" spans="1:8">
      <c r="A44" s="10" t="str">
        <f>IF(基础资料!$V5="","",基础资料!$V5)</f>
        <v>水费</v>
      </c>
      <c r="B44" s="11">
        <f>IF(A44="","",SUMIFS(资金流水!$L$5:$L$3032,资金流水!$I$5:$I$3032,A44,资金流水!$B$5:$B$3032,"&gt;="&amp;$B$2,资金流水!$B$5:$B$3032,"&lt;="&amp;$B$3,资金流水!$D$5:$D$3032,IF($B$4="全部","*",$B$4)))</f>
        <v>0</v>
      </c>
      <c r="C44" s="12" t="str">
        <f t="shared" si="3"/>
        <v/>
      </c>
      <c r="F44" s="10" t="str">
        <f>IF(基础资料!$Y39="","",基础资料!$Y39)</f>
        <v/>
      </c>
      <c r="G44" s="11" t="str">
        <f>IF(F44="","",IF(基础资料!$AH$4="不含税金额",SUMIFS(开票登记!$J$5:$J$504,开票登记!$B$5:$B$504,"&gt;="&amp;$B$2,开票登记!$B$5:$B$504,"&lt;="&amp;$B$3,开票登记!$C$5:$C$504,IF($B$4="全部","*",$B$4),开票登记!$F$5:$F$504,F44),SUMIFS(开票登记!$M$5:$M$504,开票登记!$B$5:$B$504,"&gt;="&amp;$B$2,开票登记!$B$5:$B$504,"&lt;="&amp;$B$3,开票登记!$C$5:$C$504,IF($B$4="全部","*",$B$4),开票登记!$F$5:$F$504,F44)))</f>
        <v/>
      </c>
      <c r="H44" s="12" t="str">
        <f t="shared" si="1"/>
        <v/>
      </c>
    </row>
    <row r="45" spans="1:8">
      <c r="A45" s="10" t="str">
        <f>IF(基础资料!$V6="","",基础资料!$V6)</f>
        <v>电费</v>
      </c>
      <c r="B45" s="11">
        <f>IF(A45="","",SUMIFS(资金流水!$L$5:$L$3032,资金流水!$I$5:$I$3032,A45,资金流水!$B$5:$B$3032,"&gt;="&amp;$B$2,资金流水!$B$5:$B$3032,"&lt;="&amp;$B$3,资金流水!$D$5:$D$3032,IF($B$4="全部","*",$B$4)))</f>
        <v>0</v>
      </c>
      <c r="C45" s="12" t="str">
        <f t="shared" si="3"/>
        <v/>
      </c>
      <c r="F45" s="10" t="str">
        <f>IF(基础资料!$Y40="","",基础资料!$Y40)</f>
        <v/>
      </c>
      <c r="G45" s="11" t="str">
        <f>IF(F45="","",IF(基础资料!$AH$4="不含税金额",SUMIFS(开票登记!$J$5:$J$504,开票登记!$B$5:$B$504,"&gt;="&amp;$B$2,开票登记!$B$5:$B$504,"&lt;="&amp;$B$3,开票登记!$C$5:$C$504,IF($B$4="全部","*",$B$4),开票登记!$F$5:$F$504,F45),SUMIFS(开票登记!$M$5:$M$504,开票登记!$B$5:$B$504,"&gt;="&amp;$B$2,开票登记!$B$5:$B$504,"&lt;="&amp;$B$3,开票登记!$C$5:$C$504,IF($B$4="全部","*",$B$4),开票登记!$F$5:$F$504,F45)))</f>
        <v/>
      </c>
      <c r="H45" s="12" t="str">
        <f t="shared" si="1"/>
        <v/>
      </c>
    </row>
    <row r="46" spans="1:8">
      <c r="A46" s="10" t="str">
        <f>IF(基础资料!$V7="","",基础资料!$V7)</f>
        <v>伙食费</v>
      </c>
      <c r="B46" s="11">
        <f>IF(A46="","",SUMIFS(资金流水!$L$5:$L$3032,资金流水!$I$5:$I$3032,A46,资金流水!$B$5:$B$3032,"&gt;="&amp;$B$2,资金流水!$B$5:$B$3032,"&lt;="&amp;$B$3,资金流水!$D$5:$D$3032,IF($B$4="全部","*",$B$4)))</f>
        <v>0</v>
      </c>
      <c r="C46" s="12" t="str">
        <f t="shared" si="3"/>
        <v/>
      </c>
      <c r="F46" s="10" t="str">
        <f>IF(基础资料!$Y41="","",基础资料!$Y41)</f>
        <v/>
      </c>
      <c r="G46" s="11" t="str">
        <f>IF(F46="","",IF(基础资料!$AH$4="不含税金额",SUMIFS(开票登记!$J$5:$J$504,开票登记!$B$5:$B$504,"&gt;="&amp;$B$2,开票登记!$B$5:$B$504,"&lt;="&amp;$B$3,开票登记!$C$5:$C$504,IF($B$4="全部","*",$B$4),开票登记!$F$5:$F$504,F46),SUMIFS(开票登记!$M$5:$M$504,开票登记!$B$5:$B$504,"&gt;="&amp;$B$2,开票登记!$B$5:$B$504,"&lt;="&amp;$B$3,开票登记!$C$5:$C$504,IF($B$4="全部","*",$B$4),开票登记!$F$5:$F$504,F46)))</f>
        <v/>
      </c>
      <c r="H46" s="12" t="str">
        <f t="shared" si="1"/>
        <v/>
      </c>
    </row>
    <row r="47" spans="1:8">
      <c r="A47" s="10" t="str">
        <f>IF(基础资料!$V8="","",基础资料!$V8)</f>
        <v>租赁费</v>
      </c>
      <c r="B47" s="11">
        <f>IF(A47="","",SUMIFS(资金流水!$L$5:$L$3032,资金流水!$I$5:$I$3032,A47,资金流水!$B$5:$B$3032,"&gt;="&amp;$B$2,资金流水!$B$5:$B$3032,"&lt;="&amp;$B$3,资金流水!$D$5:$D$3032,IF($B$4="全部","*",$B$4)))</f>
        <v>0</v>
      </c>
      <c r="C47" s="12" t="str">
        <f t="shared" si="3"/>
        <v/>
      </c>
      <c r="F47" s="10" t="str">
        <f>IF(基础资料!$Y42="","",基础资料!$Y42)</f>
        <v/>
      </c>
      <c r="G47" s="11" t="str">
        <f>IF(F47="","",IF(基础资料!$AH$4="不含税金额",SUMIFS(开票登记!$J$5:$J$504,开票登记!$B$5:$B$504,"&gt;="&amp;$B$2,开票登记!$B$5:$B$504,"&lt;="&amp;$B$3,开票登记!$C$5:$C$504,IF($B$4="全部","*",$B$4),开票登记!$F$5:$F$504,F47),SUMIFS(开票登记!$M$5:$M$504,开票登记!$B$5:$B$504,"&gt;="&amp;$B$2,开票登记!$B$5:$B$504,"&lt;="&amp;$B$3,开票登记!$C$5:$C$504,IF($B$4="全部","*",$B$4),开票登记!$F$5:$F$504,F47)))</f>
        <v/>
      </c>
      <c r="H47" s="12" t="str">
        <f t="shared" si="1"/>
        <v/>
      </c>
    </row>
    <row r="48" spans="1:8">
      <c r="A48" s="10" t="str">
        <f>IF(基础资料!$V9="","",基础资料!$V9)</f>
        <v>差旅费</v>
      </c>
      <c r="B48" s="11">
        <f>IF(A48="","",SUMIFS(资金流水!$L$5:$L$3032,资金流水!$I$5:$I$3032,A48,资金流水!$B$5:$B$3032,"&gt;="&amp;$B$2,资金流水!$B$5:$B$3032,"&lt;="&amp;$B$3,资金流水!$D$5:$D$3032,IF($B$4="全部","*",$B$4)))</f>
        <v>0</v>
      </c>
      <c r="C48" s="12" t="str">
        <f t="shared" si="3"/>
        <v/>
      </c>
      <c r="F48" s="10" t="str">
        <f>IF(基础资料!$Y43="","",基础资料!$Y43)</f>
        <v/>
      </c>
      <c r="G48" s="11" t="str">
        <f>IF(F48="","",IF(基础资料!$AH$4="不含税金额",SUMIFS(开票登记!$J$5:$J$504,开票登记!$B$5:$B$504,"&gt;="&amp;$B$2,开票登记!$B$5:$B$504,"&lt;="&amp;$B$3,开票登记!$C$5:$C$504,IF($B$4="全部","*",$B$4),开票登记!$F$5:$F$504,F48),SUMIFS(开票登记!$M$5:$M$504,开票登记!$B$5:$B$504,"&gt;="&amp;$B$2,开票登记!$B$5:$B$504,"&lt;="&amp;$B$3,开票登记!$C$5:$C$504,IF($B$4="全部","*",$B$4),开票登记!$F$5:$F$504,F48)))</f>
        <v/>
      </c>
      <c r="H48" s="12" t="str">
        <f t="shared" si="1"/>
        <v/>
      </c>
    </row>
    <row r="49" spans="1:8">
      <c r="A49" s="10" t="str">
        <f>IF(基础资料!$V10="","",基础资料!$V10)</f>
        <v>业务招待费</v>
      </c>
      <c r="B49" s="11">
        <f>IF(A49="","",SUMIFS(资金流水!$L$5:$L$3032,资金流水!$I$5:$I$3032,A49,资金流水!$B$5:$B$3032,"&gt;="&amp;$B$2,资金流水!$B$5:$B$3032,"&lt;="&amp;$B$3,资金流水!$D$5:$D$3032,IF($B$4="全部","*",$B$4)))</f>
        <v>0</v>
      </c>
      <c r="C49" s="12" t="str">
        <f t="shared" si="3"/>
        <v/>
      </c>
      <c r="F49" s="10" t="str">
        <f>IF(基础资料!$Y44="","",基础资料!$Y44)</f>
        <v/>
      </c>
      <c r="G49" s="11" t="str">
        <f>IF(F49="","",IF(基础资料!$AH$4="不含税金额",SUMIFS(开票登记!$J$5:$J$504,开票登记!$B$5:$B$504,"&gt;="&amp;$B$2,开票登记!$B$5:$B$504,"&lt;="&amp;$B$3,开票登记!$C$5:$C$504,IF($B$4="全部","*",$B$4),开票登记!$F$5:$F$504,F49),SUMIFS(开票登记!$M$5:$M$504,开票登记!$B$5:$B$504,"&gt;="&amp;$B$2,开票登记!$B$5:$B$504,"&lt;="&amp;$B$3,开票登记!$C$5:$C$504,IF($B$4="全部","*",$B$4),开票登记!$F$5:$F$504,F49)))</f>
        <v/>
      </c>
      <c r="H49" s="12" t="str">
        <f t="shared" si="1"/>
        <v/>
      </c>
    </row>
    <row r="50" spans="1:8">
      <c r="A50" s="10" t="str">
        <f>IF(基础资料!$V11="","",基础资料!$V11)</f>
        <v>车辆费用</v>
      </c>
      <c r="B50" s="11">
        <f>IF(A50="","",SUMIFS(资金流水!$L$5:$L$3032,资金流水!$I$5:$I$3032,A50,资金流水!$B$5:$B$3032,"&gt;="&amp;$B$2,资金流水!$B$5:$B$3032,"&lt;="&amp;$B$3,资金流水!$D$5:$D$3032,IF($B$4="全部","*",$B$4)))</f>
        <v>0</v>
      </c>
      <c r="C50" s="12" t="str">
        <f t="shared" si="3"/>
        <v/>
      </c>
      <c r="F50" s="10" t="str">
        <f>IF(基础资料!$Y45="","",基础资料!$Y45)</f>
        <v/>
      </c>
      <c r="G50" s="11" t="str">
        <f>IF(F50="","",IF(基础资料!$AH$4="不含税金额",SUMIFS(开票登记!$J$5:$J$504,开票登记!$B$5:$B$504,"&gt;="&amp;$B$2,开票登记!$B$5:$B$504,"&lt;="&amp;$B$3,开票登记!$C$5:$C$504,IF($B$4="全部","*",$B$4),开票登记!$F$5:$F$504,F50),SUMIFS(开票登记!$M$5:$M$504,开票登记!$B$5:$B$504,"&gt;="&amp;$B$2,开票登记!$B$5:$B$504,"&lt;="&amp;$B$3,开票登记!$C$5:$C$504,IF($B$4="全部","*",$B$4),开票登记!$F$5:$F$504,F50)))</f>
        <v/>
      </c>
      <c r="H50" s="12" t="str">
        <f t="shared" si="1"/>
        <v/>
      </c>
    </row>
    <row r="51" spans="1:8">
      <c r="A51" s="10" t="str">
        <f>IF(基础资料!$V12="","",基础资料!$V12)</f>
        <v>通讯费</v>
      </c>
      <c r="B51" s="11">
        <f>IF(A51="","",SUMIFS(资金流水!$L$5:$L$3032,资金流水!$I$5:$I$3032,A51,资金流水!$B$5:$B$3032,"&gt;="&amp;$B$2,资金流水!$B$5:$B$3032,"&lt;="&amp;$B$3,资金流水!$D$5:$D$3032,IF($B$4="全部","*",$B$4)))</f>
        <v>0</v>
      </c>
      <c r="C51" s="12" t="str">
        <f t="shared" si="3"/>
        <v/>
      </c>
      <c r="F51" s="10" t="str">
        <f>IF(基础资料!$Y46="","",基础资料!$Y46)</f>
        <v/>
      </c>
      <c r="G51" s="11" t="str">
        <f>IF(F51="","",IF(基础资料!$AH$4="不含税金额",SUMIFS(开票登记!$J$5:$J$504,开票登记!$B$5:$B$504,"&gt;="&amp;$B$2,开票登记!$B$5:$B$504,"&lt;="&amp;$B$3,开票登记!$C$5:$C$504,IF($B$4="全部","*",$B$4),开票登记!$F$5:$F$504,F51),SUMIFS(开票登记!$M$5:$M$504,开票登记!$B$5:$B$504,"&gt;="&amp;$B$2,开票登记!$B$5:$B$504,"&lt;="&amp;$B$3,开票登记!$C$5:$C$504,IF($B$4="全部","*",$B$4),开票登记!$F$5:$F$504,F51)))</f>
        <v/>
      </c>
      <c r="H51" s="12" t="str">
        <f t="shared" si="1"/>
        <v/>
      </c>
    </row>
    <row r="52" spans="1:8">
      <c r="A52" s="10" t="str">
        <f>IF(基础资料!$V13="","",基础资料!$V13)</f>
        <v>快递费</v>
      </c>
      <c r="B52" s="11">
        <f>IF(A52="","",SUMIFS(资金流水!$L$5:$L$3032,资金流水!$I$5:$I$3032,A52,资金流水!$B$5:$B$3032,"&gt;="&amp;$B$2,资金流水!$B$5:$B$3032,"&lt;="&amp;$B$3,资金流水!$D$5:$D$3032,IF($B$4="全部","*",$B$4)))</f>
        <v>0</v>
      </c>
      <c r="C52" s="12" t="str">
        <f t="shared" si="3"/>
        <v/>
      </c>
      <c r="F52" s="10" t="str">
        <f>IF(基础资料!$Y47="","",基础资料!$Y47)</f>
        <v/>
      </c>
      <c r="G52" s="11" t="str">
        <f>IF(F52="","",IF(基础资料!$AH$4="不含税金额",SUMIFS(开票登记!$J$5:$J$504,开票登记!$B$5:$B$504,"&gt;="&amp;$B$2,开票登记!$B$5:$B$504,"&lt;="&amp;$B$3,开票登记!$C$5:$C$504,IF($B$4="全部","*",$B$4),开票登记!$F$5:$F$504,F52),SUMIFS(开票登记!$M$5:$M$504,开票登记!$B$5:$B$504,"&gt;="&amp;$B$2,开票登记!$B$5:$B$504,"&lt;="&amp;$B$3,开票登记!$C$5:$C$504,IF($B$4="全部","*",$B$4),开票登记!$F$5:$F$504,F52)))</f>
        <v/>
      </c>
      <c r="H52" s="12" t="str">
        <f t="shared" si="1"/>
        <v/>
      </c>
    </row>
    <row r="53" spans="1:8">
      <c r="A53" s="10" t="str">
        <f>IF(基础资料!$V14="","",基础资料!$V14)</f>
        <v>公证费</v>
      </c>
      <c r="B53" s="11">
        <f>IF(A53="","",SUMIFS(资金流水!$L$5:$L$3032,资金流水!$I$5:$I$3032,A53,资金流水!$B$5:$B$3032,"&gt;="&amp;$B$2,资金流水!$B$5:$B$3032,"&lt;="&amp;$B$3,资金流水!$D$5:$D$3032,IF($B$4="全部","*",$B$4)))</f>
        <v>0</v>
      </c>
      <c r="C53" s="12" t="str">
        <f t="shared" si="3"/>
        <v/>
      </c>
      <c r="F53" s="10" t="str">
        <f>IF(基础资料!$Y48="","",基础资料!$Y48)</f>
        <v/>
      </c>
      <c r="G53" s="11" t="str">
        <f>IF(F53="","",IF(基础资料!$AH$4="不含税金额",SUMIFS(开票登记!$J$5:$J$504,开票登记!$B$5:$B$504,"&gt;="&amp;$B$2,开票登记!$B$5:$B$504,"&lt;="&amp;$B$3,开票登记!$C$5:$C$504,IF($B$4="全部","*",$B$4),开票登记!$F$5:$F$504,F53),SUMIFS(开票登记!$M$5:$M$504,开票登记!$B$5:$B$504,"&gt;="&amp;$B$2,开票登记!$B$5:$B$504,"&lt;="&amp;$B$3,开票登记!$C$5:$C$504,IF($B$4="全部","*",$B$4),开票登记!$F$5:$F$504,F53)))</f>
        <v/>
      </c>
      <c r="H53" s="12" t="str">
        <f t="shared" si="1"/>
        <v/>
      </c>
    </row>
    <row r="54" spans="1:8">
      <c r="A54" s="10" t="str">
        <f>IF(基础资料!$V15="","",基础资料!$V15)</f>
        <v>咨询审计费</v>
      </c>
      <c r="B54" s="11">
        <f>IF(A54="","",SUMIFS(资金流水!$L$5:$L$3032,资金流水!$I$5:$I$3032,A54,资金流水!$B$5:$B$3032,"&gt;="&amp;$B$2,资金流水!$B$5:$B$3032,"&lt;="&amp;$B$3,资金流水!$D$5:$D$3032,IF($B$4="全部","*",$B$4)))</f>
        <v>0</v>
      </c>
      <c r="C54" s="12" t="str">
        <f t="shared" si="3"/>
        <v/>
      </c>
      <c r="F54" s="10" t="str">
        <f>IF(基础资料!$Y49="","",基础资料!$Y49)</f>
        <v/>
      </c>
      <c r="G54" s="11" t="str">
        <f>IF(F54="","",IF(基础资料!$AH$4="不含税金额",SUMIFS(开票登记!$J$5:$J$504,开票登记!$B$5:$B$504,"&gt;="&amp;$B$2,开票登记!$B$5:$B$504,"&lt;="&amp;$B$3,开票登记!$C$5:$C$504,IF($B$4="全部","*",$B$4),开票登记!$F$5:$F$504,F54),SUMIFS(开票登记!$M$5:$M$504,开票登记!$B$5:$B$504,"&gt;="&amp;$B$2,开票登记!$B$5:$B$504,"&lt;="&amp;$B$3,开票登记!$C$5:$C$504,IF($B$4="全部","*",$B$4),开票登记!$F$5:$F$504,F54)))</f>
        <v/>
      </c>
      <c r="H54" s="12" t="str">
        <f t="shared" si="1"/>
        <v/>
      </c>
    </row>
    <row r="55" spans="1:8">
      <c r="A55" s="10" t="str">
        <f>IF(基础资料!$V16="","",基础资料!$V16)</f>
        <v>软件服务费</v>
      </c>
      <c r="B55" s="11">
        <f>IF(A55="","",SUMIFS(资金流水!$L$5:$L$3032,资金流水!$I$5:$I$3032,A55,资金流水!$B$5:$B$3032,"&gt;="&amp;$B$2,资金流水!$B$5:$B$3032,"&lt;="&amp;$B$3,资金流水!$D$5:$D$3032,IF($B$4="全部","*",$B$4)))</f>
        <v>0</v>
      </c>
      <c r="C55" s="12" t="str">
        <f t="shared" si="3"/>
        <v/>
      </c>
      <c r="F55" s="10" t="str">
        <f>IF(基础资料!$Y50="","",基础资料!$Y50)</f>
        <v/>
      </c>
      <c r="G55" s="11" t="str">
        <f>IF(F55="","",IF(基础资料!$AH$4="不含税金额",SUMIFS(开票登记!$J$5:$J$504,开票登记!$B$5:$B$504,"&gt;="&amp;$B$2,开票登记!$B$5:$B$504,"&lt;="&amp;$B$3,开票登记!$C$5:$C$504,IF($B$4="全部","*",$B$4),开票登记!$F$5:$F$504,F55),SUMIFS(开票登记!$M$5:$M$504,开票登记!$B$5:$B$504,"&gt;="&amp;$B$2,开票登记!$B$5:$B$504,"&lt;="&amp;$B$3,开票登记!$C$5:$C$504,IF($B$4="全部","*",$B$4),开票登记!$F$5:$F$504,F55)))</f>
        <v/>
      </c>
      <c r="H55" s="12" t="str">
        <f t="shared" si="1"/>
        <v/>
      </c>
    </row>
    <row r="56" spans="1:8">
      <c r="A56" s="10" t="str">
        <f>IF(基础资料!$V17="","",基础资料!$V17)</f>
        <v>保险费</v>
      </c>
      <c r="B56" s="11">
        <f>IF(A56="","",SUMIFS(资金流水!$L$5:$L$3032,资金流水!$I$5:$I$3032,A56,资金流水!$B$5:$B$3032,"&gt;="&amp;$B$2,资金流水!$B$5:$B$3032,"&lt;="&amp;$B$3,资金流水!$D$5:$D$3032,IF($B$4="全部","*",$B$4)))</f>
        <v>0</v>
      </c>
      <c r="C56" s="12" t="str">
        <f t="shared" si="3"/>
        <v/>
      </c>
      <c r="F56" s="10" t="str">
        <f>IF(基础资料!$Y51="","",基础资料!$Y51)</f>
        <v/>
      </c>
      <c r="G56" s="11" t="str">
        <f>IF(F56="","",IF(基础资料!$AH$4="不含税金额",SUMIFS(开票登记!$J$5:$J$504,开票登记!$B$5:$B$504,"&gt;="&amp;$B$2,开票登记!$B$5:$B$504,"&lt;="&amp;$B$3,开票登记!$C$5:$C$504,IF($B$4="全部","*",$B$4),开票登记!$F$5:$F$504,F56),SUMIFS(开票登记!$M$5:$M$504,开票登记!$B$5:$B$504,"&gt;="&amp;$B$2,开票登记!$B$5:$B$504,"&lt;="&amp;$B$3,开票登记!$C$5:$C$504,IF($B$4="全部","*",$B$4),开票登记!$F$5:$F$504,F56)))</f>
        <v/>
      </c>
      <c r="H56" s="12" t="str">
        <f t="shared" si="1"/>
        <v/>
      </c>
    </row>
    <row r="57" spans="1:8">
      <c r="A57" s="10" t="str">
        <f>IF(基础资料!$V18="","",基础资料!$V18)</f>
        <v>物业费</v>
      </c>
      <c r="B57" s="11">
        <f>IF(A57="","",SUMIFS(资金流水!$L$5:$L$3032,资金流水!$I$5:$I$3032,A57,资金流水!$B$5:$B$3032,"&gt;="&amp;$B$2,资金流水!$B$5:$B$3032,"&lt;="&amp;$B$3,资金流水!$D$5:$D$3032,IF($B$4="全部","*",$B$4)))</f>
        <v>0</v>
      </c>
      <c r="C57" s="12" t="str">
        <f t="shared" si="3"/>
        <v/>
      </c>
      <c r="F57" s="10" t="str">
        <f>IF(基础资料!$Y52="","",基础资料!$Y52)</f>
        <v/>
      </c>
      <c r="G57" s="11" t="str">
        <f>IF(F57="","",IF(基础资料!$AH$4="不含税金额",SUMIFS(开票登记!$J$5:$J$504,开票登记!$B$5:$B$504,"&gt;="&amp;$B$2,开票登记!$B$5:$B$504,"&lt;="&amp;$B$3,开票登记!$C$5:$C$504,IF($B$4="全部","*",$B$4),开票登记!$F$5:$F$504,F57),SUMIFS(开票登记!$M$5:$M$504,开票登记!$B$5:$B$504,"&gt;="&amp;$B$2,开票登记!$B$5:$B$504,"&lt;="&amp;$B$3,开票登记!$C$5:$C$504,IF($B$4="全部","*",$B$4),开票登记!$F$5:$F$504,F57)))</f>
        <v/>
      </c>
      <c r="H57" s="12" t="str">
        <f t="shared" si="1"/>
        <v/>
      </c>
    </row>
    <row r="58" spans="1:8">
      <c r="A58" s="10" t="str">
        <f>IF(基础资料!$V19="","",基础资料!$V19)</f>
        <v>职工福利费</v>
      </c>
      <c r="B58" s="11">
        <f>IF(A58="","",SUMIFS(资金流水!$L$5:$L$3032,资金流水!$I$5:$I$3032,A58,资金流水!$B$5:$B$3032,"&gt;="&amp;$B$2,资金流水!$B$5:$B$3032,"&lt;="&amp;$B$3,资金流水!$D$5:$D$3032,IF($B$4="全部","*",$B$4)))</f>
        <v>0</v>
      </c>
      <c r="C58" s="12" t="str">
        <f t="shared" si="3"/>
        <v/>
      </c>
      <c r="F58" s="10" t="str">
        <f>IF(基础资料!$Y53="","",基础资料!$Y53)</f>
        <v/>
      </c>
      <c r="G58" s="11" t="str">
        <f>IF(F58="","",IF(基础资料!$AH$4="不含税金额",SUMIFS(开票登记!$J$5:$J$504,开票登记!$B$5:$B$504,"&gt;="&amp;$B$2,开票登记!$B$5:$B$504,"&lt;="&amp;$B$3,开票登记!$C$5:$C$504,IF($B$4="全部","*",$B$4),开票登记!$F$5:$F$504,F58),SUMIFS(开票登记!$M$5:$M$504,开票登记!$B$5:$B$504,"&gt;="&amp;$B$2,开票登记!$B$5:$B$504,"&lt;="&amp;$B$3,开票登记!$C$5:$C$504,IF($B$4="全部","*",$B$4),开票登记!$F$5:$F$504,F58)))</f>
        <v/>
      </c>
      <c r="H58" s="12" t="str">
        <f t="shared" si="1"/>
        <v/>
      </c>
    </row>
    <row r="59" spans="1:8">
      <c r="A59" s="10" t="str">
        <f>IF(基础资料!$V20="","",基础资料!$V20)</f>
        <v>其他管理费用</v>
      </c>
      <c r="B59" s="11">
        <f>IF(A59="","",SUMIFS(资金流水!$L$5:$L$3032,资金流水!$I$5:$I$3032,A59,资金流水!$B$5:$B$3032,"&gt;="&amp;$B$2,资金流水!$B$5:$B$3032,"&lt;="&amp;$B$3,资金流水!$D$5:$D$3032,IF($B$4="全部","*",$B$4)))</f>
        <v>0</v>
      </c>
      <c r="C59" s="12" t="str">
        <f t="shared" si="3"/>
        <v/>
      </c>
      <c r="F59" s="10" t="str">
        <f>IF(基础资料!$Y54="","",基础资料!$Y54)</f>
        <v/>
      </c>
      <c r="G59" s="11" t="str">
        <f>IF(F59="","",IF(基础资料!$AH$4="不含税金额",SUMIFS(开票登记!$J$5:$J$504,开票登记!$B$5:$B$504,"&gt;="&amp;$B$2,开票登记!$B$5:$B$504,"&lt;="&amp;$B$3,开票登记!$C$5:$C$504,IF($B$4="全部","*",$B$4),开票登记!$F$5:$F$504,F59),SUMIFS(开票登记!$M$5:$M$504,开票登记!$B$5:$B$504,"&gt;="&amp;$B$2,开票登记!$B$5:$B$504,"&lt;="&amp;$B$3,开票登记!$C$5:$C$504,IF($B$4="全部","*",$B$4),开票登记!$F$5:$F$504,F59)))</f>
        <v/>
      </c>
      <c r="H59" s="12" t="str">
        <f t="shared" si="1"/>
        <v/>
      </c>
    </row>
    <row r="60" spans="1:8">
      <c r="A60" s="10" t="str">
        <f>IF(基础资料!$V21="","",基础资料!$V21)</f>
        <v>工资</v>
      </c>
      <c r="B60" s="11">
        <f>IF(A60="","",SUMIFS(资金流水!$L$5:$L$3032,资金流水!$I$5:$I$3032,A60,资金流水!$B$5:$B$3032,"&gt;="&amp;$B$2,资金流水!$B$5:$B$3032,"&lt;="&amp;$B$3,资金流水!$D$5:$D$3032,IF($B$4="全部","*",$B$4)))</f>
        <v>0</v>
      </c>
      <c r="C60" s="12" t="str">
        <f t="shared" si="3"/>
        <v/>
      </c>
      <c r="F60" s="10" t="str">
        <f>IF(基础资料!$Y55="","",基础资料!$Y55)</f>
        <v/>
      </c>
      <c r="G60" s="11" t="str">
        <f>IF(F60="","",IF(基础资料!$AH$4="不含税金额",SUMIFS(开票登记!$J$5:$J$504,开票登记!$B$5:$B$504,"&gt;="&amp;$B$2,开票登记!$B$5:$B$504,"&lt;="&amp;$B$3,开票登记!$C$5:$C$504,IF($B$4="全部","*",$B$4),开票登记!$F$5:$F$504,F60),SUMIFS(开票登记!$M$5:$M$504,开票登记!$B$5:$B$504,"&gt;="&amp;$B$2,开票登记!$B$5:$B$504,"&lt;="&amp;$B$3,开票登记!$C$5:$C$504,IF($B$4="全部","*",$B$4),开票登记!$F$5:$F$504,F60)))</f>
        <v/>
      </c>
      <c r="H60" s="12" t="str">
        <f t="shared" si="1"/>
        <v/>
      </c>
    </row>
    <row r="61" spans="1:8">
      <c r="A61" s="10" t="str">
        <f>IF(基础资料!$V22="","",基础资料!$V22)</f>
        <v>奖金/提成</v>
      </c>
      <c r="B61" s="11">
        <f>IF(A61="","",SUMIFS(资金流水!$L$5:$L$3032,资金流水!$I$5:$I$3032,A61,资金流水!$B$5:$B$3032,"&gt;="&amp;$B$2,资金流水!$B$5:$B$3032,"&lt;="&amp;$B$3,资金流水!$D$5:$D$3032,IF($B$4="全部","*",$B$4)))</f>
        <v>0</v>
      </c>
      <c r="C61" s="12" t="str">
        <f t="shared" si="3"/>
        <v/>
      </c>
      <c r="F61" s="10" t="str">
        <f>IF(基础资料!$Y56="","",基础资料!$Y56)</f>
        <v/>
      </c>
      <c r="G61" s="11" t="str">
        <f>IF(F61="","",IF(基础资料!$AH$4="不含税金额",SUMIFS(开票登记!$J$5:$J$504,开票登记!$B$5:$B$504,"&gt;="&amp;$B$2,开票登记!$B$5:$B$504,"&lt;="&amp;$B$3,开票登记!$C$5:$C$504,IF($B$4="全部","*",$B$4),开票登记!$F$5:$F$504,F61),SUMIFS(开票登记!$M$5:$M$504,开票登记!$B$5:$B$504,"&gt;="&amp;$B$2,开票登记!$B$5:$B$504,"&lt;="&amp;$B$3,开票登记!$C$5:$C$504,IF($B$4="全部","*",$B$4),开票登记!$F$5:$F$504,F61)))</f>
        <v/>
      </c>
      <c r="H61" s="12" t="str">
        <f t="shared" si="1"/>
        <v/>
      </c>
    </row>
    <row r="62" spans="1:8">
      <c r="A62" s="10" t="str">
        <f>IF(基础资料!$V23="","",基础资料!$V23)</f>
        <v>养老保险</v>
      </c>
      <c r="B62" s="11">
        <f>IF(A62="","",SUMIFS(资金流水!$L$5:$L$3032,资金流水!$I$5:$I$3032,A62,资金流水!$B$5:$B$3032,"&gt;="&amp;$B$2,资金流水!$B$5:$B$3032,"&lt;="&amp;$B$3,资金流水!$D$5:$D$3032,IF($B$4="全部","*",$B$4)))</f>
        <v>0</v>
      </c>
      <c r="C62" s="12" t="str">
        <f t="shared" si="3"/>
        <v/>
      </c>
      <c r="F62" s="10" t="str">
        <f>IF(基础资料!$Y57="","",基础资料!$Y57)</f>
        <v/>
      </c>
      <c r="G62" s="11" t="str">
        <f>IF(F62="","",IF(基础资料!$AH$4="不含税金额",SUMIFS(开票登记!$J$5:$J$504,开票登记!$B$5:$B$504,"&gt;="&amp;$B$2,开票登记!$B$5:$B$504,"&lt;="&amp;$B$3,开票登记!$C$5:$C$504,IF($B$4="全部","*",$B$4),开票登记!$F$5:$F$504,F62),SUMIFS(开票登记!$M$5:$M$504,开票登记!$B$5:$B$504,"&gt;="&amp;$B$2,开票登记!$B$5:$B$504,"&lt;="&amp;$B$3,开票登记!$C$5:$C$504,IF($B$4="全部","*",$B$4),开票登记!$F$5:$F$504,F62)))</f>
        <v/>
      </c>
      <c r="H62" s="12" t="str">
        <f t="shared" si="1"/>
        <v/>
      </c>
    </row>
    <row r="63" spans="1:8">
      <c r="A63" s="10" t="str">
        <f>IF(基础资料!$V24="","",基础资料!$V24)</f>
        <v>医疗保险</v>
      </c>
      <c r="B63" s="11">
        <f>IF(A63="","",SUMIFS(资金流水!$L$5:$L$3032,资金流水!$I$5:$I$3032,A63,资金流水!$B$5:$B$3032,"&gt;="&amp;$B$2,资金流水!$B$5:$B$3032,"&lt;="&amp;$B$3,资金流水!$D$5:$D$3032,IF($B$4="全部","*",$B$4)))</f>
        <v>0</v>
      </c>
      <c r="C63" s="12" t="str">
        <f t="shared" si="3"/>
        <v/>
      </c>
      <c r="F63" s="10" t="str">
        <f>IF(基础资料!$Y58="","",基础资料!$Y58)</f>
        <v/>
      </c>
      <c r="G63" s="11" t="str">
        <f>IF(F63="","",IF(基础资料!$AH$4="不含税金额",SUMIFS(开票登记!$J$5:$J$504,开票登记!$B$5:$B$504,"&gt;="&amp;$B$2,开票登记!$B$5:$B$504,"&lt;="&amp;$B$3,开票登记!$C$5:$C$504,IF($B$4="全部","*",$B$4),开票登记!$F$5:$F$504,F63),SUMIFS(开票登记!$M$5:$M$504,开票登记!$B$5:$B$504,"&gt;="&amp;$B$2,开票登记!$B$5:$B$504,"&lt;="&amp;$B$3,开票登记!$C$5:$C$504,IF($B$4="全部","*",$B$4),开票登记!$F$5:$F$504,F63)))</f>
        <v/>
      </c>
      <c r="H63" s="12" t="str">
        <f t="shared" si="1"/>
        <v/>
      </c>
    </row>
    <row r="64" spans="1:8">
      <c r="A64" s="10" t="str">
        <f>IF(基础资料!$V25="","",基础资料!$V25)</f>
        <v>失业/工伤保险</v>
      </c>
      <c r="B64" s="11">
        <f>IF(A64="","",SUMIFS(资金流水!$L$5:$L$3032,资金流水!$I$5:$I$3032,A64,资金流水!$B$5:$B$3032,"&gt;="&amp;$B$2,资金流水!$B$5:$B$3032,"&lt;="&amp;$B$3,资金流水!$D$5:$D$3032,IF($B$4="全部","*",$B$4)))</f>
        <v>0</v>
      </c>
      <c r="C64" s="12" t="str">
        <f t="shared" si="3"/>
        <v/>
      </c>
      <c r="F64" s="10" t="str">
        <f>IF(基础资料!$Y59="","",基础资料!$Y59)</f>
        <v/>
      </c>
      <c r="G64" s="11" t="str">
        <f>IF(F64="","",IF(基础资料!$AH$4="不含税金额",SUMIFS(开票登记!$J$5:$J$504,开票登记!$B$5:$B$504,"&gt;="&amp;$B$2,开票登记!$B$5:$B$504,"&lt;="&amp;$B$3,开票登记!$C$5:$C$504,IF($B$4="全部","*",$B$4),开票登记!$F$5:$F$504,F64),SUMIFS(开票登记!$M$5:$M$504,开票登记!$B$5:$B$504,"&gt;="&amp;$B$2,开票登记!$B$5:$B$504,"&lt;="&amp;$B$3,开票登记!$C$5:$C$504,IF($B$4="全部","*",$B$4),开票登记!$F$5:$F$504,F64)))</f>
        <v/>
      </c>
      <c r="H64" s="12" t="str">
        <f t="shared" si="1"/>
        <v/>
      </c>
    </row>
    <row r="65" spans="1:8">
      <c r="A65" s="10" t="str">
        <f>IF(基础资料!$V26="","",基础资料!$V26)</f>
        <v>住房公积金</v>
      </c>
      <c r="B65" s="11">
        <f>IF(A65="","",SUMIFS(资金流水!$L$5:$L$3032,资金流水!$I$5:$I$3032,A65,资金流水!$B$5:$B$3032,"&gt;="&amp;$B$2,资金流水!$B$5:$B$3032,"&lt;="&amp;$B$3,资金流水!$D$5:$D$3032,IF($B$4="全部","*",$B$4)))</f>
        <v>0</v>
      </c>
      <c r="C65" s="12" t="str">
        <f t="shared" si="3"/>
        <v/>
      </c>
      <c r="F65" s="10" t="str">
        <f>IF(基础资料!$Y60="","",基础资料!$Y60)</f>
        <v/>
      </c>
      <c r="G65" s="11" t="str">
        <f>IF(F65="","",IF(基础资料!$AH$4="不含税金额",SUMIFS(开票登记!$J$5:$J$504,开票登记!$B$5:$B$504,"&gt;="&amp;$B$2,开票登记!$B$5:$B$504,"&lt;="&amp;$B$3,开票登记!$C$5:$C$504,IF($B$4="全部","*",$B$4),开票登记!$F$5:$F$504,F65),SUMIFS(开票登记!$M$5:$M$504,开票登记!$B$5:$B$504,"&gt;="&amp;$B$2,开票登记!$B$5:$B$504,"&lt;="&amp;$B$3,开票登记!$C$5:$C$504,IF($B$4="全部","*",$B$4),开票登记!$F$5:$F$504,F65)))</f>
        <v/>
      </c>
      <c r="H65" s="12" t="str">
        <f t="shared" si="1"/>
        <v/>
      </c>
    </row>
    <row r="66" spans="1:8">
      <c r="A66" s="10" t="str">
        <f>IF(基础资料!$V27="","",基础资料!$V27)</f>
        <v>劳务费</v>
      </c>
      <c r="B66" s="11">
        <f>IF(A66="","",SUMIFS(资金流水!$L$5:$L$3032,资金流水!$I$5:$I$3032,A66,资金流水!$B$5:$B$3032,"&gt;="&amp;$B$2,资金流水!$B$5:$B$3032,"&lt;="&amp;$B$3,资金流水!$D$5:$D$3032,IF($B$4="全部","*",$B$4)))</f>
        <v>0</v>
      </c>
      <c r="C66" s="12" t="str">
        <f t="shared" si="3"/>
        <v/>
      </c>
      <c r="F66" s="10" t="str">
        <f>IF(基础资料!$Y61="","",基础资料!$Y61)</f>
        <v/>
      </c>
      <c r="G66" s="11" t="str">
        <f>IF(F66="","",IF(基础资料!$AH$4="不含税金额",SUMIFS(开票登记!$J$5:$J$504,开票登记!$B$5:$B$504,"&gt;="&amp;$B$2,开票登记!$B$5:$B$504,"&lt;="&amp;$B$3,开票登记!$C$5:$C$504,IF($B$4="全部","*",$B$4),开票登记!$F$5:$F$504,F66),SUMIFS(开票登记!$M$5:$M$504,开票登记!$B$5:$B$504,"&gt;="&amp;$B$2,开票登记!$B$5:$B$504,"&lt;="&amp;$B$3,开票登记!$C$5:$C$504,IF($B$4="全部","*",$B$4),开票登记!$F$5:$F$504,F66)))</f>
        <v/>
      </c>
      <c r="H66" s="12" t="str">
        <f t="shared" si="1"/>
        <v/>
      </c>
    </row>
    <row r="67" spans="1:8">
      <c r="A67" s="10" t="str">
        <f>IF(基础资料!$V28="","",基础资料!$V28)</f>
        <v>增值税</v>
      </c>
      <c r="B67" s="11">
        <f>IF(A67="","",SUMIFS(资金流水!$L$5:$L$3032,资金流水!$I$5:$I$3032,A67,资金流水!$B$5:$B$3032,"&gt;="&amp;$B$2,资金流水!$B$5:$B$3032,"&lt;="&amp;$B$3,资金流水!$D$5:$D$3032,IF($B$4="全部","*",$B$4)))</f>
        <v>0</v>
      </c>
      <c r="C67" s="12" t="str">
        <f t="shared" si="3"/>
        <v/>
      </c>
      <c r="F67" s="10" t="str">
        <f>IF(基础资料!$Y62="","",基础资料!$Y62)</f>
        <v/>
      </c>
      <c r="G67" s="11" t="str">
        <f>IF(F67="","",IF(基础资料!$AH$4="不含税金额",SUMIFS(开票登记!$J$5:$J$504,开票登记!$B$5:$B$504,"&gt;="&amp;$B$2,开票登记!$B$5:$B$504,"&lt;="&amp;$B$3,开票登记!$C$5:$C$504,IF($B$4="全部","*",$B$4),开票登记!$F$5:$F$504,F67),SUMIFS(开票登记!$M$5:$M$504,开票登记!$B$5:$B$504,"&gt;="&amp;$B$2,开票登记!$B$5:$B$504,"&lt;="&amp;$B$3,开票登记!$C$5:$C$504,IF($B$4="全部","*",$B$4),开票登记!$F$5:$F$504,F67)))</f>
        <v/>
      </c>
      <c r="H67" s="12" t="str">
        <f t="shared" si="1"/>
        <v/>
      </c>
    </row>
    <row r="68" spans="1:8">
      <c r="A68" s="10" t="str">
        <f>IF(基础资料!$V29="","",基础资料!$V29)</f>
        <v>附加税</v>
      </c>
      <c r="B68" s="11">
        <f>IF(A68="","",SUMIFS(资金流水!$L$5:$L$3032,资金流水!$I$5:$I$3032,A68,资金流水!$B$5:$B$3032,"&gt;="&amp;$B$2,资金流水!$B$5:$B$3032,"&lt;="&amp;$B$3,资金流水!$D$5:$D$3032,IF($B$4="全部","*",$B$4)))</f>
        <v>0</v>
      </c>
      <c r="C68" s="12" t="str">
        <f t="shared" si="3"/>
        <v/>
      </c>
      <c r="F68" s="10" t="str">
        <f>IF(基础资料!$Y63="","",基础资料!$Y63)</f>
        <v/>
      </c>
      <c r="G68" s="11" t="str">
        <f>IF(F68="","",IF(基础资料!$AH$4="不含税金额",SUMIFS(开票登记!$J$5:$J$504,开票登记!$B$5:$B$504,"&gt;="&amp;$B$2,开票登记!$B$5:$B$504,"&lt;="&amp;$B$3,开票登记!$C$5:$C$504,IF($B$4="全部","*",$B$4),开票登记!$F$5:$F$504,F68),SUMIFS(开票登记!$M$5:$M$504,开票登记!$B$5:$B$504,"&gt;="&amp;$B$2,开票登记!$B$5:$B$504,"&lt;="&amp;$B$3,开票登记!$C$5:$C$504,IF($B$4="全部","*",$B$4),开票登记!$F$5:$F$504,F68)))</f>
        <v/>
      </c>
      <c r="H68" s="12" t="str">
        <f t="shared" si="1"/>
        <v/>
      </c>
    </row>
    <row r="69" spans="1:8">
      <c r="A69" s="10" t="str">
        <f>IF(基础资料!$V30="","",基础资料!$V30)</f>
        <v>印花税</v>
      </c>
      <c r="B69" s="11">
        <f>IF(A69="","",SUMIFS(资金流水!$L$5:$L$3032,资金流水!$I$5:$I$3032,A69,资金流水!$B$5:$B$3032,"&gt;="&amp;$B$2,资金流水!$B$5:$B$3032,"&lt;="&amp;$B$3,资金流水!$D$5:$D$3032,IF($B$4="全部","*",$B$4)))</f>
        <v>0</v>
      </c>
      <c r="C69" s="12" t="str">
        <f t="shared" si="3"/>
        <v/>
      </c>
      <c r="F69" s="13" t="s">
        <v>1002</v>
      </c>
      <c r="G69" s="14">
        <f>SUM(G9:G68)</f>
        <v>0</v>
      </c>
      <c r="H69" s="15"/>
    </row>
    <row r="70" spans="1:8">
      <c r="A70" s="10" t="str">
        <f>IF(基础资料!$V31="","",基础资料!$V31)</f>
        <v>企业所得税</v>
      </c>
      <c r="B70" s="11">
        <f>IF(A70="","",SUMIFS(资金流水!$L$5:$L$3032,资金流水!$I$5:$I$3032,A70,资金流水!$B$5:$B$3032,"&gt;="&amp;$B$2,资金流水!$B$5:$B$3032,"&lt;="&amp;$B$3,资金流水!$D$5:$D$3032,IF($B$4="全部","*",$B$4)))</f>
        <v>0</v>
      </c>
      <c r="C70" s="12" t="str">
        <f t="shared" si="3"/>
        <v/>
      </c>
      <c r="F70" s="8" t="s">
        <v>1005</v>
      </c>
      <c r="G70" s="8"/>
      <c r="H70" s="8"/>
    </row>
    <row r="71" ht="21.75" customHeight="1" spans="1:8">
      <c r="A71" s="10" t="str">
        <f>IF(基础资料!$V32="","",基础资料!$V32)</f>
        <v>个人所得税</v>
      </c>
      <c r="B71" s="11">
        <f>IF(A71="","",SUMIFS(资金流水!$L$5:$L$3032,资金流水!$I$5:$I$3032,A71,资金流水!$B$5:$B$3032,"&gt;="&amp;$B$2,资金流水!$B$5:$B$3032,"&lt;="&amp;$B$3,资金流水!$D$5:$D$3032,IF($B$4="全部","*",$B$4)))</f>
        <v>0</v>
      </c>
      <c r="C71" s="12" t="str">
        <f t="shared" si="3"/>
        <v/>
      </c>
      <c r="F71" s="9" t="s">
        <v>1001</v>
      </c>
      <c r="G71" s="9" t="s">
        <v>838</v>
      </c>
      <c r="H71" s="9" t="s">
        <v>902</v>
      </c>
    </row>
    <row r="72" spans="1:8">
      <c r="A72" s="10" t="str">
        <f>IF(基础资料!$V33="","",基础资料!$V33)</f>
        <v>其他税费</v>
      </c>
      <c r="B72" s="11">
        <f>IF(A72="","",SUMIFS(资金流水!$L$5:$L$3032,资金流水!$I$5:$I$3032,A72,资金流水!$B$5:$B$3032,"&gt;="&amp;$B$2,资金流水!$B$5:$B$3032,"&lt;="&amp;$B$3,资金流水!$D$5:$D$3032,IF($B$4="全部","*",$B$4)))</f>
        <v>0</v>
      </c>
      <c r="C72" s="12" t="str">
        <f t="shared" si="3"/>
        <v/>
      </c>
      <c r="F72" s="10" t="str">
        <f>IF(基础资料!$AA4="","",基础资料!$AA4)</f>
        <v>供应商1</v>
      </c>
      <c r="G72" s="11" t="e">
        <f>IF(F72="","",SUMIFS(资金流水!$L$5:$L$3032,资金流水!$O$5:$O$3015,F72,资金流水!$B$5:$B$3032,"&gt;="&amp;$B$2,资金流水!$B$5:$B$3032,"&lt;="&amp;$B$3,资金流水!$D$5:$D$3032,IF($B$4="全部","*",$B$4)))</f>
        <v>#VALUE!</v>
      </c>
      <c r="H72" s="12" t="str">
        <f t="shared" ref="H72:H131" si="4">IFERROR(G72/$H$2,"")</f>
        <v/>
      </c>
    </row>
    <row r="73" spans="1:8">
      <c r="A73" s="10" t="str">
        <f>IF(基础资料!$V34="","",基础资料!$V34)</f>
        <v>银行手续费</v>
      </c>
      <c r="B73" s="11">
        <f>IF(A73="","",SUMIFS(资金流水!$L$5:$L$3032,资金流水!$I$5:$I$3032,A73,资金流水!$B$5:$B$3032,"&gt;="&amp;$B$2,资金流水!$B$5:$B$3032,"&lt;="&amp;$B$3,资金流水!$D$5:$D$3032,IF($B$4="全部","*",$B$4)))</f>
        <v>0</v>
      </c>
      <c r="C73" s="12" t="str">
        <f t="shared" si="3"/>
        <v/>
      </c>
      <c r="F73" s="10" t="str">
        <f>IF(基础资料!$AA5="","",基础资料!$AA5)</f>
        <v>供应商2</v>
      </c>
      <c r="G73" s="11" t="e">
        <f>IF(F73="","",SUMIFS(资金流水!$L$5:$L$3032,资金流水!$O$5:$O$3015,F73,资金流水!$B$5:$B$3032,"&gt;="&amp;$B$2,资金流水!$B$5:$B$3032,"&lt;="&amp;$B$3,资金流水!$D$5:$D$3032,IF($B$4="全部","*",$B$4)))</f>
        <v>#VALUE!</v>
      </c>
      <c r="H73" s="12" t="str">
        <f t="shared" si="4"/>
        <v/>
      </c>
    </row>
    <row r="74" spans="1:8">
      <c r="A74" s="10" t="str">
        <f>IF(基础资料!$V35="","",基础资料!$V35)</f>
        <v>利息支出</v>
      </c>
      <c r="B74" s="11">
        <f>IF(A74="","",SUMIFS(资金流水!$L$5:$L$3032,资金流水!$I$5:$I$3032,A74,资金流水!$B$5:$B$3032,"&gt;="&amp;$B$2,资金流水!$B$5:$B$3032,"&lt;="&amp;$B$3,资金流水!$D$5:$D$3032,IF($B$4="全部","*",$B$4)))</f>
        <v>0</v>
      </c>
      <c r="C74" s="12" t="str">
        <f t="shared" si="3"/>
        <v/>
      </c>
      <c r="F74" s="10" t="str">
        <f>IF(基础资料!$AA6="","",基础资料!$AA6)</f>
        <v>供应商3</v>
      </c>
      <c r="G74" s="11" t="e">
        <f>IF(F74="","",SUMIFS(资金流水!$L$5:$L$3032,资金流水!$O$5:$O$3015,F74,资金流水!$B$5:$B$3032,"&gt;="&amp;$B$2,资金流水!$B$5:$B$3032,"&lt;="&amp;$B$3,资金流水!$D$5:$D$3032,IF($B$4="全部","*",$B$4)))</f>
        <v>#VALUE!</v>
      </c>
      <c r="H74" s="12" t="str">
        <f t="shared" si="4"/>
        <v/>
      </c>
    </row>
    <row r="75" spans="1:8">
      <c r="A75" s="10" t="str">
        <f>IF(基础资料!$V36="","",基础资料!$V36)</f>
        <v>汇兑损益</v>
      </c>
      <c r="B75" s="11">
        <f>IF(A75="","",SUMIFS(资金流水!$L$5:$L$3032,资金流水!$I$5:$I$3032,A75,资金流水!$B$5:$B$3032,"&gt;="&amp;$B$2,资金流水!$B$5:$B$3032,"&lt;="&amp;$B$3,资金流水!$D$5:$D$3032,IF($B$4="全部","*",$B$4)))</f>
        <v>0</v>
      </c>
      <c r="C75" s="12" t="str">
        <f t="shared" si="3"/>
        <v/>
      </c>
      <c r="F75" s="10" t="str">
        <f>IF(基础资料!$AA7="","",基础资料!$AA7)</f>
        <v>供应商4</v>
      </c>
      <c r="G75" s="11" t="e">
        <f>IF(F75="","",SUMIFS(资金流水!$L$5:$L$3032,资金流水!$O$5:$O$3015,F75,资金流水!$B$5:$B$3032,"&gt;="&amp;$B$2,资金流水!$B$5:$B$3032,"&lt;="&amp;$B$3,资金流水!$D$5:$D$3032,IF($B$4="全部","*",$B$4)))</f>
        <v>#VALUE!</v>
      </c>
      <c r="H75" s="12" t="str">
        <f t="shared" si="4"/>
        <v/>
      </c>
    </row>
    <row r="76" spans="1:8">
      <c r="A76" s="10" t="str">
        <f>IF(基础资料!$V37="","",基础资料!$V37)</f>
        <v>投标保证金</v>
      </c>
      <c r="B76" s="11">
        <f>IF(A76="","",SUMIFS(资金流水!$L$5:$L$3032,资金流水!$I$5:$I$3032,A76,资金流水!$B$5:$B$3032,"&gt;="&amp;$B$2,资金流水!$B$5:$B$3032,"&lt;="&amp;$B$3,资金流水!$D$5:$D$3032,IF($B$4="全部","*",$B$4)))</f>
        <v>0</v>
      </c>
      <c r="C76" s="12" t="str">
        <f t="shared" si="3"/>
        <v/>
      </c>
      <c r="F76" s="10" t="str">
        <f>IF(基础资料!$AA8="","",基础资料!$AA8)</f>
        <v>供应商5</v>
      </c>
      <c r="G76" s="11" t="e">
        <f>IF(F76="","",SUMIFS(资金流水!$L$5:$L$3032,资金流水!$O$5:$O$3015,F76,资金流水!$B$5:$B$3032,"&gt;="&amp;$B$2,资金流水!$B$5:$B$3032,"&lt;="&amp;$B$3,资金流水!$D$5:$D$3032,IF($B$4="全部","*",$B$4)))</f>
        <v>#VALUE!</v>
      </c>
      <c r="H76" s="12" t="str">
        <f t="shared" si="4"/>
        <v/>
      </c>
    </row>
    <row r="77" spans="1:8">
      <c r="A77" s="10" t="str">
        <f>IF(基础资料!$V38="","",基础资料!$V38)</f>
        <v>履约保证金</v>
      </c>
      <c r="B77" s="11">
        <f>IF(A77="","",SUMIFS(资金流水!$L$5:$L$3032,资金流水!$I$5:$I$3032,A77,资金流水!$B$5:$B$3032,"&gt;="&amp;$B$2,资金流水!$B$5:$B$3032,"&lt;="&amp;$B$3,资金流水!$D$5:$D$3032,IF($B$4="全部","*",$B$4)))</f>
        <v>0</v>
      </c>
      <c r="C77" s="12" t="str">
        <f t="shared" si="3"/>
        <v/>
      </c>
      <c r="F77" s="10" t="str">
        <f>IF(基础资料!$AA9="","",基础资料!$AA9)</f>
        <v>供应商6</v>
      </c>
      <c r="G77" s="11" t="e">
        <f>IF(F77="","",SUMIFS(资金流水!$L$5:$L$3032,资金流水!$O$5:$O$3015,F77,资金流水!$B$5:$B$3032,"&gt;="&amp;$B$2,资金流水!$B$5:$B$3032,"&lt;="&amp;$B$3,资金流水!$D$5:$D$3032,IF($B$4="全部","*",$B$4)))</f>
        <v>#VALUE!</v>
      </c>
      <c r="H77" s="12" t="str">
        <f t="shared" si="4"/>
        <v/>
      </c>
    </row>
    <row r="78" spans="1:8">
      <c r="A78" s="10" t="str">
        <f>IF(基础资料!$V39="","",基础资料!$V39)</f>
        <v>备用金借出</v>
      </c>
      <c r="B78" s="11">
        <f>IF(A78="","",SUMIFS(资金流水!$L$5:$L$3032,资金流水!$I$5:$I$3032,A78,资金流水!$B$5:$B$3032,"&gt;="&amp;$B$2,资金流水!$B$5:$B$3032,"&lt;="&amp;$B$3,资金流水!$D$5:$D$3032,IF($B$4="全部","*",$B$4)))</f>
        <v>0</v>
      </c>
      <c r="C78" s="12" t="str">
        <f t="shared" si="3"/>
        <v/>
      </c>
      <c r="F78" s="10" t="str">
        <f>IF(基础资料!$AA10="","",基础资料!$AA10)</f>
        <v>供应商7</v>
      </c>
      <c r="G78" s="11" t="e">
        <f>IF(F78="","",SUMIFS(资金流水!$L$5:$L$3032,资金流水!$O$5:$O$3015,F78,资金流水!$B$5:$B$3032,"&gt;="&amp;$B$2,资金流水!$B$5:$B$3032,"&lt;="&amp;$B$3,资金流水!$D$5:$D$3032,IF($B$4="全部","*",$B$4)))</f>
        <v>#VALUE!</v>
      </c>
      <c r="H78" s="12" t="str">
        <f t="shared" si="4"/>
        <v/>
      </c>
    </row>
    <row r="79" spans="1:8">
      <c r="A79" s="10" t="str">
        <f>IF(基础资料!$V40="","",基础资料!$V40)</f>
        <v>股东分红/抽资</v>
      </c>
      <c r="B79" s="11">
        <f>IF(A79="","",SUMIFS(资金流水!$L$5:$L$3032,资金流水!$I$5:$I$3032,A79,资金流水!$B$5:$B$3032,"&gt;="&amp;$B$2,资金流水!$B$5:$B$3032,"&lt;="&amp;$B$3,资金流水!$D$5:$D$3032,IF($B$4="全部","*",$B$4)))</f>
        <v>0</v>
      </c>
      <c r="C79" s="12" t="str">
        <f t="shared" si="3"/>
        <v/>
      </c>
      <c r="F79" s="10" t="str">
        <f>IF(基础资料!$AA11="","",基础资料!$AA11)</f>
        <v>供应商8</v>
      </c>
      <c r="G79" s="11" t="e">
        <f>IF(F79="","",SUMIFS(资金流水!$L$5:$L$3032,资金流水!$O$5:$O$3015,F79,资金流水!$B$5:$B$3032,"&gt;="&amp;$B$2,资金流水!$B$5:$B$3032,"&lt;="&amp;$B$3,资金流水!$D$5:$D$3032,IF($B$4="全部","*",$B$4)))</f>
        <v>#VALUE!</v>
      </c>
      <c r="H79" s="12" t="str">
        <f t="shared" si="4"/>
        <v/>
      </c>
    </row>
    <row r="80" spans="1:8">
      <c r="A80" s="10" t="str">
        <f>IF(基础资料!$V41="","",基础资料!$V41)</f>
        <v>内部调拨转出</v>
      </c>
      <c r="B80" s="11">
        <f>IF(A80="","",SUMIFS(资金流水!$L$5:$L$3032,资金流水!$I$5:$I$3032,A80,资金流水!$B$5:$B$3032,"&gt;="&amp;$B$2,资金流水!$B$5:$B$3032,"&lt;="&amp;$B$3,资金流水!$D$5:$D$3032,IF($B$4="全部","*",$B$4)))</f>
        <v>0</v>
      </c>
      <c r="C80" s="12" t="str">
        <f t="shared" si="3"/>
        <v/>
      </c>
      <c r="F80" s="10" t="str">
        <f>IF(基础资料!$AA12="","",基础资料!$AA12)</f>
        <v>供应商9</v>
      </c>
      <c r="G80" s="11" t="e">
        <f>IF(F80="","",SUMIFS(资金流水!$L$5:$L$3032,资金流水!$O$5:$O$3015,F80,资金流水!$B$5:$B$3032,"&gt;="&amp;$B$2,资金流水!$B$5:$B$3032,"&lt;="&amp;$B$3,资金流水!$D$5:$D$3032,IF($B$4="全部","*",$B$4)))</f>
        <v>#VALUE!</v>
      </c>
      <c r="H80" s="12" t="str">
        <f t="shared" si="4"/>
        <v/>
      </c>
    </row>
    <row r="81" spans="1:8">
      <c r="A81" s="10" t="str">
        <f>IF(基础资料!$V42="","",基础资料!$V42)</f>
        <v/>
      </c>
      <c r="B81" s="11" t="str">
        <f>IF(A81="","",SUMIFS(资金流水!$L$5:$L$3032,资金流水!$I$5:$I$3032,A81,资金流水!$B$5:$B$3032,"&gt;="&amp;$B$2,资金流水!$B$5:$B$3032,"&lt;="&amp;$B$3,资金流水!$D$5:$D$3032,IF($B$4="全部","*",$B$4)))</f>
        <v/>
      </c>
      <c r="C81" s="12" t="str">
        <f t="shared" si="3"/>
        <v/>
      </c>
      <c r="F81" s="10" t="str">
        <f>IF(基础资料!$AA13="","",基础资料!$AA13)</f>
        <v>供应商10</v>
      </c>
      <c r="G81" s="11" t="e">
        <f>IF(F81="","",SUMIFS(资金流水!$L$5:$L$3032,资金流水!$O$5:$O$3015,F81,资金流水!$B$5:$B$3032,"&gt;="&amp;$B$2,资金流水!$B$5:$B$3032,"&lt;="&amp;$B$3,资金流水!$D$5:$D$3032,IF($B$4="全部","*",$B$4)))</f>
        <v>#VALUE!</v>
      </c>
      <c r="H81" s="12" t="str">
        <f t="shared" si="4"/>
        <v/>
      </c>
    </row>
    <row r="82" spans="1:8">
      <c r="A82" s="10" t="str">
        <f>IF(基础资料!$V43="","",基础资料!$V43)</f>
        <v/>
      </c>
      <c r="B82" s="11" t="str">
        <f>IF(A82="","",SUMIFS(资金流水!$L$5:$L$3032,资金流水!$I$5:$I$3032,A82,资金流水!$B$5:$B$3032,"&gt;="&amp;$B$2,资金流水!$B$5:$B$3032,"&lt;="&amp;$B$3,资金流水!$D$5:$D$3032,IF($B$4="全部","*",$B$4)))</f>
        <v/>
      </c>
      <c r="C82" s="12" t="str">
        <f t="shared" si="3"/>
        <v/>
      </c>
      <c r="F82" s="10" t="str">
        <f>IF(基础资料!$AA14="","",基础资料!$AA14)</f>
        <v>供应商11</v>
      </c>
      <c r="G82" s="11" t="e">
        <f>IF(F82="","",SUMIFS(资金流水!$L$5:$L$3032,资金流水!$O$5:$O$3015,F82,资金流水!$B$5:$B$3032,"&gt;="&amp;$B$2,资金流水!$B$5:$B$3032,"&lt;="&amp;$B$3,资金流水!$D$5:$D$3032,IF($B$4="全部","*",$B$4)))</f>
        <v>#VALUE!</v>
      </c>
      <c r="H82" s="12" t="str">
        <f t="shared" si="4"/>
        <v/>
      </c>
    </row>
    <row r="83" spans="1:8">
      <c r="A83" s="10" t="str">
        <f>IF(基础资料!$V44="","",基础资料!$V44)</f>
        <v/>
      </c>
      <c r="B83" s="11" t="str">
        <f>IF(A83="","",SUMIFS(资金流水!$L$5:$L$3032,资金流水!$I$5:$I$3032,A83,资金流水!$B$5:$B$3032,"&gt;="&amp;$B$2,资金流水!$B$5:$B$3032,"&lt;="&amp;$B$3,资金流水!$D$5:$D$3032,IF($B$4="全部","*",$B$4)))</f>
        <v/>
      </c>
      <c r="C83" s="12" t="str">
        <f t="shared" si="3"/>
        <v/>
      </c>
      <c r="F83" s="10" t="str">
        <f>IF(基础资料!$AA15="","",基础资料!$AA15)</f>
        <v>供应商12</v>
      </c>
      <c r="G83" s="11" t="e">
        <f>IF(F83="","",SUMIFS(资金流水!$L$5:$L$3032,资金流水!$O$5:$O$3015,F83,资金流水!$B$5:$B$3032,"&gt;="&amp;$B$2,资金流水!$B$5:$B$3032,"&lt;="&amp;$B$3,资金流水!$D$5:$D$3032,IF($B$4="全部","*",$B$4)))</f>
        <v>#VALUE!</v>
      </c>
      <c r="H83" s="12" t="str">
        <f t="shared" si="4"/>
        <v/>
      </c>
    </row>
    <row r="84" spans="1:8">
      <c r="A84" s="10" t="str">
        <f>IF(基础资料!$V45="","",基础资料!$V45)</f>
        <v/>
      </c>
      <c r="B84" s="11" t="str">
        <f>IF(A84="","",SUMIFS(资金流水!$L$5:$L$3032,资金流水!$I$5:$I$3032,A84,资金流水!$B$5:$B$3032,"&gt;="&amp;$B$2,资金流水!$B$5:$B$3032,"&lt;="&amp;$B$3,资金流水!$D$5:$D$3032,IF($B$4="全部","*",$B$4)))</f>
        <v/>
      </c>
      <c r="C84" s="12" t="str">
        <f t="shared" si="3"/>
        <v/>
      </c>
      <c r="F84" s="10" t="str">
        <f>IF(基础资料!$AA16="","",基础资料!$AA16)</f>
        <v>供应商13</v>
      </c>
      <c r="G84" s="11" t="e">
        <f>IF(F84="","",SUMIFS(资金流水!$L$5:$L$3032,资金流水!$O$5:$O$3015,F84,资金流水!$B$5:$B$3032,"&gt;="&amp;$B$2,资金流水!$B$5:$B$3032,"&lt;="&amp;$B$3,资金流水!$D$5:$D$3032,IF($B$4="全部","*",$B$4)))</f>
        <v>#VALUE!</v>
      </c>
      <c r="H84" s="12" t="str">
        <f t="shared" si="4"/>
        <v/>
      </c>
    </row>
    <row r="85" spans="1:8">
      <c r="A85" s="10" t="str">
        <f>IF(基础资料!$V46="","",基础资料!$V46)</f>
        <v/>
      </c>
      <c r="B85" s="11" t="str">
        <f>IF(A85="","",SUMIFS(资金流水!$L$5:$L$3032,资金流水!$I$5:$I$3032,A85,资金流水!$B$5:$B$3032,"&gt;="&amp;$B$2,资金流水!$B$5:$B$3032,"&lt;="&amp;$B$3,资金流水!$D$5:$D$3032,IF($B$4="全部","*",$B$4)))</f>
        <v/>
      </c>
      <c r="C85" s="12" t="str">
        <f t="shared" si="3"/>
        <v/>
      </c>
      <c r="F85" s="10" t="str">
        <f>IF(基础资料!$AA17="","",基础资料!$AA17)</f>
        <v/>
      </c>
      <c r="G85" s="11" t="str">
        <f>IF(F85="","",SUMIFS(资金流水!$L$5:$L$3032,资金流水!$O$5:$O$3015,F85,资金流水!$B$5:$B$3032,"&gt;="&amp;$B$2,资金流水!$B$5:$B$3032,"&lt;="&amp;$B$3,资金流水!$D$5:$D$3032,IF($B$4="全部","*",$B$4)))</f>
        <v/>
      </c>
      <c r="H85" s="12" t="str">
        <f t="shared" si="4"/>
        <v/>
      </c>
    </row>
    <row r="86" spans="1:8">
      <c r="A86" s="10" t="str">
        <f>IF(基础资料!$V47="","",基础资料!$V47)</f>
        <v/>
      </c>
      <c r="B86" s="11" t="str">
        <f>IF(A86="","",SUMIFS(资金流水!$L$5:$L$3032,资金流水!$I$5:$I$3032,A86,资金流水!$B$5:$B$3032,"&gt;="&amp;$B$2,资金流水!$B$5:$B$3032,"&lt;="&amp;$B$3,资金流水!$D$5:$D$3032,IF($B$4="全部","*",$B$4)))</f>
        <v/>
      </c>
      <c r="C86" s="12" t="str">
        <f t="shared" si="3"/>
        <v/>
      </c>
      <c r="F86" s="10" t="str">
        <f>IF(基础资料!$AA18="","",基础资料!$AA18)</f>
        <v/>
      </c>
      <c r="G86" s="11" t="str">
        <f>IF(F86="","",SUMIFS(资金流水!$L$5:$L$3032,资金流水!$O$5:$O$3015,F86,资金流水!$B$5:$B$3032,"&gt;="&amp;$B$2,资金流水!$B$5:$B$3032,"&lt;="&amp;$B$3,资金流水!$D$5:$D$3032,IF($B$4="全部","*",$B$4)))</f>
        <v/>
      </c>
      <c r="H86" s="12" t="str">
        <f t="shared" si="4"/>
        <v/>
      </c>
    </row>
    <row r="87" spans="1:8">
      <c r="A87" s="10" t="str">
        <f>IF(基础资料!$V48="","",基础资料!$V48)</f>
        <v/>
      </c>
      <c r="B87" s="11" t="str">
        <f>IF(A87="","",SUMIFS(资金流水!$L$5:$L$3032,资金流水!$I$5:$I$3032,A87,资金流水!$B$5:$B$3032,"&gt;="&amp;$B$2,资金流水!$B$5:$B$3032,"&lt;="&amp;$B$3,资金流水!$D$5:$D$3032,IF($B$4="全部","*",$B$4)))</f>
        <v/>
      </c>
      <c r="C87" s="12" t="str">
        <f t="shared" si="3"/>
        <v/>
      </c>
      <c r="F87" s="10" t="str">
        <f>IF(基础资料!$AA19="","",基础资料!$AA19)</f>
        <v/>
      </c>
      <c r="G87" s="11" t="str">
        <f>IF(F87="","",SUMIFS(资金流水!$L$5:$L$3032,资金流水!$O$5:$O$3015,F87,资金流水!$B$5:$B$3032,"&gt;="&amp;$B$2,资金流水!$B$5:$B$3032,"&lt;="&amp;$B$3,资金流水!$D$5:$D$3032,IF($B$4="全部","*",$B$4)))</f>
        <v/>
      </c>
      <c r="H87" s="12" t="str">
        <f t="shared" si="4"/>
        <v/>
      </c>
    </row>
    <row r="88" spans="1:8">
      <c r="A88" s="10" t="str">
        <f>IF(基础资料!$V49="","",基础资料!$V49)</f>
        <v/>
      </c>
      <c r="B88" s="11" t="str">
        <f>IF(A88="","",SUMIFS(资金流水!$L$5:$L$3032,资金流水!$I$5:$I$3032,A88,资金流水!$B$5:$B$3032,"&gt;="&amp;$B$2,资金流水!$B$5:$B$3032,"&lt;="&amp;$B$3,资金流水!$D$5:$D$3032,IF($B$4="全部","*",$B$4)))</f>
        <v/>
      </c>
      <c r="C88" s="12" t="str">
        <f t="shared" si="3"/>
        <v/>
      </c>
      <c r="F88" s="10" t="str">
        <f>IF(基础资料!$AA20="","",基础资料!$AA20)</f>
        <v/>
      </c>
      <c r="G88" s="11" t="str">
        <f>IF(F88="","",SUMIFS(资金流水!$L$5:$L$3032,资金流水!$O$5:$O$3015,F88,资金流水!$B$5:$B$3032,"&gt;="&amp;$B$2,资金流水!$B$5:$B$3032,"&lt;="&amp;$B$3,资金流水!$D$5:$D$3032,IF($B$4="全部","*",$B$4)))</f>
        <v/>
      </c>
      <c r="H88" s="12" t="str">
        <f t="shared" si="4"/>
        <v/>
      </c>
    </row>
    <row r="89" spans="1:8">
      <c r="A89" s="13" t="s">
        <v>1002</v>
      </c>
      <c r="B89" s="14">
        <f>SUM(B43:B88)</f>
        <v>0</v>
      </c>
      <c r="C89" s="15"/>
      <c r="F89" s="10" t="str">
        <f>IF(基础资料!$AA21="","",基础资料!$AA21)</f>
        <v/>
      </c>
      <c r="G89" s="11" t="str">
        <f>IF(F89="","",SUMIFS(资金流水!$L$5:$L$3032,资金流水!$O$5:$O$3015,F89,资金流水!$B$5:$B$3032,"&gt;="&amp;$B$2,资金流水!$B$5:$B$3032,"&lt;="&amp;$B$3,资金流水!$D$5:$D$3032,IF($B$4="全部","*",$B$4)))</f>
        <v/>
      </c>
      <c r="H89" s="12" t="str">
        <f t="shared" si="4"/>
        <v/>
      </c>
    </row>
    <row r="90" spans="1:8">
      <c r="F90" s="10" t="str">
        <f>IF(基础资料!$AA22="","",基础资料!$AA22)</f>
        <v/>
      </c>
      <c r="G90" s="11" t="str">
        <f>IF(F90="","",SUMIFS(资金流水!$L$5:$L$3032,资金流水!$O$5:$O$3015,F90,资金流水!$B$5:$B$3032,"&gt;="&amp;$B$2,资金流水!$B$5:$B$3032,"&lt;="&amp;$B$3,资金流水!$D$5:$D$3032,IF($B$4="全部","*",$B$4)))</f>
        <v/>
      </c>
      <c r="H90" s="12" t="str">
        <f t="shared" si="4"/>
        <v/>
      </c>
    </row>
    <row r="91" spans="1:8">
      <c r="F91" s="10" t="str">
        <f>IF(基础资料!$AA23="","",基础资料!$AA23)</f>
        <v/>
      </c>
      <c r="G91" s="11" t="str">
        <f>IF(F91="","",SUMIFS(资金流水!$L$5:$L$3032,资金流水!$O$5:$O$3015,F91,资金流水!$B$5:$B$3032,"&gt;="&amp;$B$2,资金流水!$B$5:$B$3032,"&lt;="&amp;$B$3,资金流水!$D$5:$D$3032,IF($B$4="全部","*",$B$4)))</f>
        <v/>
      </c>
      <c r="H91" s="12" t="str">
        <f t="shared" si="4"/>
        <v/>
      </c>
    </row>
    <row r="92" spans="1:8">
      <c r="F92" s="10" t="str">
        <f>IF(基础资料!$AA24="","",基础资料!$AA24)</f>
        <v/>
      </c>
      <c r="G92" s="11" t="str">
        <f>IF(F92="","",SUMIFS(资金流水!$L$5:$L$3032,资金流水!$O$5:$O$3015,F92,资金流水!$B$5:$B$3032,"&gt;="&amp;$B$2,资金流水!$B$5:$B$3032,"&lt;="&amp;$B$3,资金流水!$D$5:$D$3032,IF($B$4="全部","*",$B$4)))</f>
        <v/>
      </c>
      <c r="H92" s="12" t="str">
        <f t="shared" si="4"/>
        <v/>
      </c>
    </row>
    <row r="93" spans="1:8">
      <c r="F93" s="10" t="str">
        <f>IF(基础资料!$AA25="","",基础资料!$AA25)</f>
        <v/>
      </c>
      <c r="G93" s="11" t="str">
        <f>IF(F93="","",SUMIFS(资金流水!$L$5:$L$3032,资金流水!$O$5:$O$3015,F93,资金流水!$B$5:$B$3032,"&gt;="&amp;$B$2,资金流水!$B$5:$B$3032,"&lt;="&amp;$B$3,资金流水!$D$5:$D$3032,IF($B$4="全部","*",$B$4)))</f>
        <v/>
      </c>
      <c r="H93" s="12" t="str">
        <f t="shared" si="4"/>
        <v/>
      </c>
    </row>
    <row r="94" spans="1:8">
      <c r="F94" s="10" t="str">
        <f>IF(基础资料!$AA26="","",基础资料!$AA26)</f>
        <v/>
      </c>
      <c r="G94" s="11" t="str">
        <f>IF(F94="","",SUMIFS(资金流水!$L$5:$L$3032,资金流水!$O$5:$O$3015,F94,资金流水!$B$5:$B$3032,"&gt;="&amp;$B$2,资金流水!$B$5:$B$3032,"&lt;="&amp;$B$3,资金流水!$D$5:$D$3032,IF($B$4="全部","*",$B$4)))</f>
        <v/>
      </c>
      <c r="H94" s="12" t="str">
        <f t="shared" si="4"/>
        <v/>
      </c>
    </row>
    <row r="95" spans="1:8">
      <c r="F95" s="10" t="str">
        <f>IF(基础资料!$AA27="","",基础资料!$AA27)</f>
        <v/>
      </c>
      <c r="G95" s="11" t="str">
        <f>IF(F95="","",SUMIFS(资金流水!$L$5:$L$3032,资金流水!$O$5:$O$3015,F95,资金流水!$B$5:$B$3032,"&gt;="&amp;$B$2,资金流水!$B$5:$B$3032,"&lt;="&amp;$B$3,资金流水!$D$5:$D$3032,IF($B$4="全部","*",$B$4)))</f>
        <v/>
      </c>
      <c r="H95" s="12" t="str">
        <f t="shared" si="4"/>
        <v/>
      </c>
    </row>
    <row r="96" spans="1:8">
      <c r="F96" s="10" t="str">
        <f>IF(基础资料!$AA28="","",基础资料!$AA28)</f>
        <v/>
      </c>
      <c r="G96" s="11" t="str">
        <f>IF(F96="","",SUMIFS(资金流水!$L$5:$L$3032,资金流水!$O$5:$O$3015,F96,资金流水!$B$5:$B$3032,"&gt;="&amp;$B$2,资金流水!$B$5:$B$3032,"&lt;="&amp;$B$3,资金流水!$D$5:$D$3032,IF($B$4="全部","*",$B$4)))</f>
        <v/>
      </c>
      <c r="H96" s="12" t="str">
        <f t="shared" si="4"/>
        <v/>
      </c>
    </row>
    <row r="97" spans="6:8">
      <c r="F97" s="10" t="str">
        <f>IF(基础资料!$AA29="","",基础资料!$AA29)</f>
        <v/>
      </c>
      <c r="G97" s="11" t="str">
        <f>IF(F97="","",SUMIFS(资金流水!$L$5:$L$3032,资金流水!$O$5:$O$3015,F97,资金流水!$B$5:$B$3032,"&gt;="&amp;$B$2,资金流水!$B$5:$B$3032,"&lt;="&amp;$B$3,资金流水!$D$5:$D$3032,IF($B$4="全部","*",$B$4)))</f>
        <v/>
      </c>
      <c r="H97" s="12" t="str">
        <f t="shared" si="4"/>
        <v/>
      </c>
    </row>
    <row r="98" spans="6:8">
      <c r="F98" s="10" t="str">
        <f>IF(基础资料!$AA30="","",基础资料!$AA30)</f>
        <v/>
      </c>
      <c r="G98" s="11" t="str">
        <f>IF(F98="","",SUMIFS(资金流水!$L$5:$L$3032,资金流水!$O$5:$O$3015,F98,资金流水!$B$5:$B$3032,"&gt;="&amp;$B$2,资金流水!$B$5:$B$3032,"&lt;="&amp;$B$3,资金流水!$D$5:$D$3032,IF($B$4="全部","*",$B$4)))</f>
        <v/>
      </c>
      <c r="H98" s="12" t="str">
        <f t="shared" si="4"/>
        <v/>
      </c>
    </row>
    <row r="99" spans="6:8">
      <c r="F99" s="10" t="str">
        <f>IF(基础资料!$AA31="","",基础资料!$AA31)</f>
        <v/>
      </c>
      <c r="G99" s="11" t="str">
        <f>IF(F99="","",SUMIFS(资金流水!$L$5:$L$3032,资金流水!$O$5:$O$3015,F99,资金流水!$B$5:$B$3032,"&gt;="&amp;$B$2,资金流水!$B$5:$B$3032,"&lt;="&amp;$B$3,资金流水!$D$5:$D$3032,IF($B$4="全部","*",$B$4)))</f>
        <v/>
      </c>
      <c r="H99" s="12" t="str">
        <f t="shared" si="4"/>
        <v/>
      </c>
    </row>
    <row r="100" spans="6:8">
      <c r="F100" s="10" t="str">
        <f>IF(基础资料!$AA32="","",基础资料!$AA32)</f>
        <v/>
      </c>
      <c r="G100" s="11" t="str">
        <f>IF(F100="","",SUMIFS(资金流水!$L$5:$L$3032,资金流水!$O$5:$O$3015,F100,资金流水!$B$5:$B$3032,"&gt;="&amp;$B$2,资金流水!$B$5:$B$3032,"&lt;="&amp;$B$3,资金流水!$D$5:$D$3032,IF($B$4="全部","*",$B$4)))</f>
        <v/>
      </c>
      <c r="H100" s="12" t="str">
        <f t="shared" si="4"/>
        <v/>
      </c>
    </row>
    <row r="101" spans="6:8">
      <c r="F101" s="10" t="str">
        <f>IF(基础资料!$AA33="","",基础资料!$AA33)</f>
        <v/>
      </c>
      <c r="G101" s="11" t="str">
        <f>IF(F101="","",SUMIFS(资金流水!$L$5:$L$3032,资金流水!$O$5:$O$3015,F101,资金流水!$B$5:$B$3032,"&gt;="&amp;$B$2,资金流水!$B$5:$B$3032,"&lt;="&amp;$B$3,资金流水!$D$5:$D$3032,IF($B$4="全部","*",$B$4)))</f>
        <v/>
      </c>
      <c r="H101" s="12" t="str">
        <f t="shared" si="4"/>
        <v/>
      </c>
    </row>
    <row r="102" spans="6:8">
      <c r="F102" s="10" t="str">
        <f>IF(基础资料!$AA34="","",基础资料!$AA34)</f>
        <v/>
      </c>
      <c r="G102" s="11" t="str">
        <f>IF(F102="","",SUMIFS(资金流水!$L$5:$L$3032,资金流水!$O$5:$O$3015,F102,资金流水!$B$5:$B$3032,"&gt;="&amp;$B$2,资金流水!$B$5:$B$3032,"&lt;="&amp;$B$3,资金流水!$D$5:$D$3032,IF($B$4="全部","*",$B$4)))</f>
        <v/>
      </c>
      <c r="H102" s="12" t="str">
        <f t="shared" si="4"/>
        <v/>
      </c>
    </row>
    <row r="103" spans="6:8">
      <c r="F103" s="10" t="str">
        <f>IF(基础资料!$AA35="","",基础资料!$AA35)</f>
        <v/>
      </c>
      <c r="G103" s="11" t="str">
        <f>IF(F103="","",SUMIFS(资金流水!$L$5:$L$3032,资金流水!$O$5:$O$3015,F103,资金流水!$B$5:$B$3032,"&gt;="&amp;$B$2,资金流水!$B$5:$B$3032,"&lt;="&amp;$B$3,资金流水!$D$5:$D$3032,IF($B$4="全部","*",$B$4)))</f>
        <v/>
      </c>
      <c r="H103" s="12" t="str">
        <f t="shared" si="4"/>
        <v/>
      </c>
    </row>
    <row r="104" spans="6:8">
      <c r="F104" s="10" t="str">
        <f>IF(基础资料!$AA36="","",基础资料!$AA36)</f>
        <v/>
      </c>
      <c r="G104" s="11" t="str">
        <f>IF(F104="","",SUMIFS(资金流水!$L$5:$L$3032,资金流水!$O$5:$O$3015,F104,资金流水!$B$5:$B$3032,"&gt;="&amp;$B$2,资金流水!$B$5:$B$3032,"&lt;="&amp;$B$3,资金流水!$D$5:$D$3032,IF($B$4="全部","*",$B$4)))</f>
        <v/>
      </c>
      <c r="H104" s="12" t="str">
        <f t="shared" si="4"/>
        <v/>
      </c>
    </row>
    <row r="105" spans="6:8">
      <c r="F105" s="10" t="str">
        <f>IF(基础资料!$AA37="","",基础资料!$AA37)</f>
        <v/>
      </c>
      <c r="G105" s="11" t="str">
        <f>IF(F105="","",SUMIFS(资金流水!$L$5:$L$3032,资金流水!$O$5:$O$3015,F105,资金流水!$B$5:$B$3032,"&gt;="&amp;$B$2,资金流水!$B$5:$B$3032,"&lt;="&amp;$B$3,资金流水!$D$5:$D$3032,IF($B$4="全部","*",$B$4)))</f>
        <v/>
      </c>
      <c r="H105" s="12" t="str">
        <f t="shared" si="4"/>
        <v/>
      </c>
    </row>
    <row r="106" spans="6:8">
      <c r="F106" s="10" t="str">
        <f>IF(基础资料!$AA38="","",基础资料!$AA38)</f>
        <v/>
      </c>
      <c r="G106" s="11" t="str">
        <f>IF(F106="","",SUMIFS(资金流水!$L$5:$L$3032,资金流水!$O$5:$O$3015,F106,资金流水!$B$5:$B$3032,"&gt;="&amp;$B$2,资金流水!$B$5:$B$3032,"&lt;="&amp;$B$3,资金流水!$D$5:$D$3032,IF($B$4="全部","*",$B$4)))</f>
        <v/>
      </c>
      <c r="H106" s="12" t="str">
        <f t="shared" si="4"/>
        <v/>
      </c>
    </row>
    <row r="107" spans="6:8">
      <c r="F107" s="10" t="str">
        <f>IF(基础资料!$AA39="","",基础资料!$AA39)</f>
        <v/>
      </c>
      <c r="G107" s="11" t="str">
        <f>IF(F107="","",SUMIFS(资金流水!$L$5:$L$3032,资金流水!$O$5:$O$3015,F107,资金流水!$B$5:$B$3032,"&gt;="&amp;$B$2,资金流水!$B$5:$B$3032,"&lt;="&amp;$B$3,资金流水!$D$5:$D$3032,IF($B$4="全部","*",$B$4)))</f>
        <v/>
      </c>
      <c r="H107" s="12" t="str">
        <f t="shared" si="4"/>
        <v/>
      </c>
    </row>
    <row r="108" spans="6:8">
      <c r="F108" s="10" t="str">
        <f>IF(基础资料!$AA40="","",基础资料!$AA40)</f>
        <v/>
      </c>
      <c r="G108" s="11" t="str">
        <f>IF(F108="","",SUMIFS(资金流水!$L$5:$L$3032,资金流水!$O$5:$O$3015,F108,资金流水!$B$5:$B$3032,"&gt;="&amp;$B$2,资金流水!$B$5:$B$3032,"&lt;="&amp;$B$3,资金流水!$D$5:$D$3032,IF($B$4="全部","*",$B$4)))</f>
        <v/>
      </c>
      <c r="H108" s="12" t="str">
        <f t="shared" si="4"/>
        <v/>
      </c>
    </row>
    <row r="109" spans="6:8">
      <c r="F109" s="10" t="str">
        <f>IF(基础资料!$AA41="","",基础资料!$AA41)</f>
        <v/>
      </c>
      <c r="G109" s="11" t="str">
        <f>IF(F109="","",SUMIFS(资金流水!$L$5:$L$3032,资金流水!$O$5:$O$3015,F109,资金流水!$B$5:$B$3032,"&gt;="&amp;$B$2,资金流水!$B$5:$B$3032,"&lt;="&amp;$B$3,资金流水!$D$5:$D$3032,IF($B$4="全部","*",$B$4)))</f>
        <v/>
      </c>
      <c r="H109" s="12" t="str">
        <f t="shared" si="4"/>
        <v/>
      </c>
    </row>
    <row r="110" spans="6:8">
      <c r="F110" s="10" t="str">
        <f>IF(基础资料!$AA42="","",基础资料!$AA42)</f>
        <v/>
      </c>
      <c r="G110" s="11" t="str">
        <f>IF(F110="","",SUMIFS(资金流水!$L$5:$L$3032,资金流水!$O$5:$O$3015,F110,资金流水!$B$5:$B$3032,"&gt;="&amp;$B$2,资金流水!$B$5:$B$3032,"&lt;="&amp;$B$3,资金流水!$D$5:$D$3032,IF($B$4="全部","*",$B$4)))</f>
        <v/>
      </c>
      <c r="H110" s="12" t="str">
        <f t="shared" si="4"/>
        <v/>
      </c>
    </row>
    <row r="111" spans="6:8">
      <c r="F111" s="10" t="str">
        <f>IF(基础资料!$AA43="","",基础资料!$AA43)</f>
        <v/>
      </c>
      <c r="G111" s="11" t="str">
        <f>IF(F111="","",SUMIFS(资金流水!$L$5:$L$3032,资金流水!$O$5:$O$3015,F111,资金流水!$B$5:$B$3032,"&gt;="&amp;$B$2,资金流水!$B$5:$B$3032,"&lt;="&amp;$B$3,资金流水!$D$5:$D$3032,IF($B$4="全部","*",$B$4)))</f>
        <v/>
      </c>
      <c r="H111" s="12" t="str">
        <f t="shared" si="4"/>
        <v/>
      </c>
    </row>
    <row r="112" spans="6:8">
      <c r="F112" s="10" t="str">
        <f>IF(基础资料!$AA44="","",基础资料!$AA44)</f>
        <v/>
      </c>
      <c r="G112" s="11" t="str">
        <f>IF(F112="","",SUMIFS(资金流水!$L$5:$L$3032,资金流水!$O$5:$O$3015,F112,资金流水!$B$5:$B$3032,"&gt;="&amp;$B$2,资金流水!$B$5:$B$3032,"&lt;="&amp;$B$3,资金流水!$D$5:$D$3032,IF($B$4="全部","*",$B$4)))</f>
        <v/>
      </c>
      <c r="H112" s="12" t="str">
        <f t="shared" si="4"/>
        <v/>
      </c>
    </row>
    <row r="113" spans="6:8">
      <c r="F113" s="10" t="str">
        <f>IF(基础资料!$AA45="","",基础资料!$AA45)</f>
        <v/>
      </c>
      <c r="G113" s="11" t="str">
        <f>IF(F113="","",SUMIFS(资金流水!$L$5:$L$3032,资金流水!$O$5:$O$3015,F113,资金流水!$B$5:$B$3032,"&gt;="&amp;$B$2,资金流水!$B$5:$B$3032,"&lt;="&amp;$B$3,资金流水!$D$5:$D$3032,IF($B$4="全部","*",$B$4)))</f>
        <v/>
      </c>
      <c r="H113" s="12" t="str">
        <f t="shared" si="4"/>
        <v/>
      </c>
    </row>
    <row r="114" spans="6:8">
      <c r="F114" s="10" t="str">
        <f>IF(基础资料!$AA46="","",基础资料!$AA46)</f>
        <v/>
      </c>
      <c r="G114" s="11" t="str">
        <f>IF(F114="","",SUMIFS(资金流水!$L$5:$L$3032,资金流水!$O$5:$O$3015,F114,资金流水!$B$5:$B$3032,"&gt;="&amp;$B$2,资金流水!$B$5:$B$3032,"&lt;="&amp;$B$3,资金流水!$D$5:$D$3032,IF($B$4="全部","*",$B$4)))</f>
        <v/>
      </c>
      <c r="H114" s="12" t="str">
        <f t="shared" si="4"/>
        <v/>
      </c>
    </row>
    <row r="115" spans="6:8">
      <c r="F115" s="10" t="str">
        <f>IF(基础资料!$AA47="","",基础资料!$AA47)</f>
        <v/>
      </c>
      <c r="G115" s="11" t="str">
        <f>IF(F115="","",SUMIFS(资金流水!$L$5:$L$3032,资金流水!$O$5:$O$3015,F115,资金流水!$B$5:$B$3032,"&gt;="&amp;$B$2,资金流水!$B$5:$B$3032,"&lt;="&amp;$B$3,资金流水!$D$5:$D$3032,IF($B$4="全部","*",$B$4)))</f>
        <v/>
      </c>
      <c r="H115" s="12" t="str">
        <f t="shared" si="4"/>
        <v/>
      </c>
    </row>
    <row r="116" spans="6:8">
      <c r="F116" s="10" t="str">
        <f>IF(基础资料!$AA48="","",基础资料!$AA48)</f>
        <v/>
      </c>
      <c r="G116" s="11" t="str">
        <f>IF(F116="","",SUMIFS(资金流水!$L$5:$L$3032,资金流水!$O$5:$O$3015,F116,资金流水!$B$5:$B$3032,"&gt;="&amp;$B$2,资金流水!$B$5:$B$3032,"&lt;="&amp;$B$3,资金流水!$D$5:$D$3032,IF($B$4="全部","*",$B$4)))</f>
        <v/>
      </c>
      <c r="H116" s="12" t="str">
        <f t="shared" si="4"/>
        <v/>
      </c>
    </row>
    <row r="117" spans="6:8">
      <c r="F117" s="10" t="str">
        <f>IF(基础资料!$AA49="","",基础资料!$AA49)</f>
        <v/>
      </c>
      <c r="G117" s="11" t="str">
        <f>IF(F117="","",SUMIFS(资金流水!$L$5:$L$3032,资金流水!$O$5:$O$3015,F117,资金流水!$B$5:$B$3032,"&gt;="&amp;$B$2,资金流水!$B$5:$B$3032,"&lt;="&amp;$B$3,资金流水!$D$5:$D$3032,IF($B$4="全部","*",$B$4)))</f>
        <v/>
      </c>
      <c r="H117" s="12" t="str">
        <f t="shared" si="4"/>
        <v/>
      </c>
    </row>
    <row r="118" spans="6:8">
      <c r="F118" s="10" t="str">
        <f>IF(基础资料!$AA50="","",基础资料!$AA50)</f>
        <v/>
      </c>
      <c r="G118" s="11" t="str">
        <f>IF(F118="","",SUMIFS(资金流水!$L$5:$L$3032,资金流水!$O$5:$O$3015,F118,资金流水!$B$5:$B$3032,"&gt;="&amp;$B$2,资金流水!$B$5:$B$3032,"&lt;="&amp;$B$3,资金流水!$D$5:$D$3032,IF($B$4="全部","*",$B$4)))</f>
        <v/>
      </c>
      <c r="H118" s="12" t="str">
        <f t="shared" si="4"/>
        <v/>
      </c>
    </row>
    <row r="119" spans="6:8">
      <c r="F119" s="10" t="str">
        <f>IF(基础资料!$AA51="","",基础资料!$AA51)</f>
        <v/>
      </c>
      <c r="G119" s="11" t="str">
        <f>IF(F119="","",SUMIFS(资金流水!$L$5:$L$3032,资金流水!$O$5:$O$3015,F119,资金流水!$B$5:$B$3032,"&gt;="&amp;$B$2,资金流水!$B$5:$B$3032,"&lt;="&amp;$B$3,资金流水!$D$5:$D$3032,IF($B$4="全部","*",$B$4)))</f>
        <v/>
      </c>
      <c r="H119" s="12" t="str">
        <f t="shared" si="4"/>
        <v/>
      </c>
    </row>
    <row r="120" spans="6:8">
      <c r="F120" s="10" t="str">
        <f>IF(基础资料!$AA52="","",基础资料!$AA52)</f>
        <v/>
      </c>
      <c r="G120" s="11" t="str">
        <f>IF(F120="","",SUMIFS(资金流水!$L$5:$L$3032,资金流水!$O$5:$O$3015,F120,资金流水!$B$5:$B$3032,"&gt;="&amp;$B$2,资金流水!$B$5:$B$3032,"&lt;="&amp;$B$3,资金流水!$D$5:$D$3032,IF($B$4="全部","*",$B$4)))</f>
        <v/>
      </c>
      <c r="H120" s="12" t="str">
        <f t="shared" si="4"/>
        <v/>
      </c>
    </row>
    <row r="121" spans="6:8">
      <c r="F121" s="10" t="str">
        <f>IF(基础资料!$AA53="","",基础资料!$AA53)</f>
        <v/>
      </c>
      <c r="G121" s="11" t="str">
        <f>IF(F121="","",SUMIFS(资金流水!$L$5:$L$3032,资金流水!$O$5:$O$3015,F121,资金流水!$B$5:$B$3032,"&gt;="&amp;$B$2,资金流水!$B$5:$B$3032,"&lt;="&amp;$B$3,资金流水!$D$5:$D$3032,IF($B$4="全部","*",$B$4)))</f>
        <v/>
      </c>
      <c r="H121" s="12" t="str">
        <f t="shared" si="4"/>
        <v/>
      </c>
    </row>
    <row r="122" spans="6:8">
      <c r="F122" s="10" t="str">
        <f>IF(基础资料!$AA54="","",基础资料!$AA54)</f>
        <v/>
      </c>
      <c r="G122" s="11" t="str">
        <f>IF(F122="","",SUMIFS(资金流水!$L$5:$L$3032,资金流水!$O$5:$O$3015,F122,资金流水!$B$5:$B$3032,"&gt;="&amp;$B$2,资金流水!$B$5:$B$3032,"&lt;="&amp;$B$3,资金流水!$D$5:$D$3032,IF($B$4="全部","*",$B$4)))</f>
        <v/>
      </c>
      <c r="H122" s="12" t="str">
        <f t="shared" si="4"/>
        <v/>
      </c>
    </row>
    <row r="123" spans="6:8">
      <c r="F123" s="10" t="str">
        <f>IF(基础资料!$AA55="","",基础资料!$AA55)</f>
        <v/>
      </c>
      <c r="G123" s="11" t="str">
        <f>IF(F123="","",SUMIFS(资金流水!$L$5:$L$3032,资金流水!$O$5:$O$3015,F123,资金流水!$B$5:$B$3032,"&gt;="&amp;$B$2,资金流水!$B$5:$B$3032,"&lt;="&amp;$B$3,资金流水!$D$5:$D$3032,IF($B$4="全部","*",$B$4)))</f>
        <v/>
      </c>
      <c r="H123" s="12" t="str">
        <f t="shared" si="4"/>
        <v/>
      </c>
    </row>
    <row r="124" spans="6:8">
      <c r="F124" s="10" t="str">
        <f>IF(基础资料!$AA56="","",基础资料!$AA56)</f>
        <v/>
      </c>
      <c r="G124" s="11" t="str">
        <f>IF(F124="","",SUMIFS(资金流水!$L$5:$L$3032,资金流水!$O$5:$O$3015,F124,资金流水!$B$5:$B$3032,"&gt;="&amp;$B$2,资金流水!$B$5:$B$3032,"&lt;="&amp;$B$3,资金流水!$D$5:$D$3032,IF($B$4="全部","*",$B$4)))</f>
        <v/>
      </c>
      <c r="H124" s="12" t="str">
        <f t="shared" si="4"/>
        <v/>
      </c>
    </row>
    <row r="125" spans="6:8">
      <c r="F125" s="10" t="str">
        <f>IF(基础资料!$AA57="","",基础资料!$AA57)</f>
        <v/>
      </c>
      <c r="G125" s="11" t="str">
        <f>IF(F125="","",SUMIFS(资金流水!$L$5:$L$3032,资金流水!$O$5:$O$3015,F125,资金流水!$B$5:$B$3032,"&gt;="&amp;$B$2,资金流水!$B$5:$B$3032,"&lt;="&amp;$B$3,资金流水!$D$5:$D$3032,IF($B$4="全部","*",$B$4)))</f>
        <v/>
      </c>
      <c r="H125" s="12" t="str">
        <f t="shared" si="4"/>
        <v/>
      </c>
    </row>
    <row r="126" spans="6:8">
      <c r="F126" s="10" t="str">
        <f>IF(基础资料!$AA58="","",基础资料!$AA58)</f>
        <v/>
      </c>
      <c r="G126" s="11" t="str">
        <f>IF(F126="","",SUMIFS(资金流水!$L$5:$L$3032,资金流水!$O$5:$O$3015,F126,资金流水!$B$5:$B$3032,"&gt;="&amp;$B$2,资金流水!$B$5:$B$3032,"&lt;="&amp;$B$3,资金流水!$D$5:$D$3032,IF($B$4="全部","*",$B$4)))</f>
        <v/>
      </c>
      <c r="H126" s="12" t="str">
        <f t="shared" si="4"/>
        <v/>
      </c>
    </row>
    <row r="127" spans="6:8">
      <c r="F127" s="10" t="str">
        <f>IF(基础资料!$AA59="","",基础资料!$AA59)</f>
        <v/>
      </c>
      <c r="G127" s="11" t="str">
        <f>IF(F127="","",SUMIFS(资金流水!$L$5:$L$3032,资金流水!$O$5:$O$3015,F127,资金流水!$B$5:$B$3032,"&gt;="&amp;$B$2,资金流水!$B$5:$B$3032,"&lt;="&amp;$B$3,资金流水!$D$5:$D$3032,IF($B$4="全部","*",$B$4)))</f>
        <v/>
      </c>
      <c r="H127" s="12" t="str">
        <f t="shared" si="4"/>
        <v/>
      </c>
    </row>
    <row r="128" spans="6:8">
      <c r="F128" s="10" t="str">
        <f>IF(基础资料!$AA60="","",基础资料!$AA60)</f>
        <v/>
      </c>
      <c r="G128" s="11" t="str">
        <f>IF(F128="","",SUMIFS(资金流水!$L$5:$L$3032,资金流水!$O$5:$O$3015,F128,资金流水!$B$5:$B$3032,"&gt;="&amp;$B$2,资金流水!$B$5:$B$3032,"&lt;="&amp;$B$3,资金流水!$D$5:$D$3032,IF($B$4="全部","*",$B$4)))</f>
        <v/>
      </c>
      <c r="H128" s="12" t="str">
        <f t="shared" si="4"/>
        <v/>
      </c>
    </row>
    <row r="129" spans="6:8">
      <c r="F129" s="10" t="str">
        <f>IF(基础资料!$AA61="","",基础资料!$AA61)</f>
        <v/>
      </c>
      <c r="G129" s="11" t="str">
        <f>IF(F129="","",SUMIFS(资金流水!$L$5:$L$3032,资金流水!$O$5:$O$3015,F129,资金流水!$B$5:$B$3032,"&gt;="&amp;$B$2,资金流水!$B$5:$B$3032,"&lt;="&amp;$B$3,资金流水!$D$5:$D$3032,IF($B$4="全部","*",$B$4)))</f>
        <v/>
      </c>
      <c r="H129" s="12" t="str">
        <f t="shared" si="4"/>
        <v/>
      </c>
    </row>
    <row r="130" spans="6:8">
      <c r="F130" s="10" t="str">
        <f>IF(基础资料!$AA62="","",基础资料!$AA62)</f>
        <v/>
      </c>
      <c r="G130" s="11" t="str">
        <f>IF(F130="","",SUMIFS(资金流水!$L$5:$L$3032,资金流水!$O$5:$O$3015,F130,资金流水!$B$5:$B$3032,"&gt;="&amp;$B$2,资金流水!$B$5:$B$3032,"&lt;="&amp;$B$3,资金流水!$D$5:$D$3032,IF($B$4="全部","*",$B$4)))</f>
        <v/>
      </c>
      <c r="H130" s="12" t="str">
        <f t="shared" si="4"/>
        <v/>
      </c>
    </row>
    <row r="131" spans="6:8">
      <c r="F131" s="10" t="str">
        <f>IF(基础资料!$AA63="","",基础资料!$AA63)</f>
        <v/>
      </c>
      <c r="G131" s="11" t="str">
        <f>IF(F131="","",SUMIFS(资金流水!$L$5:$L$3032,资金流水!$O$5:$O$3015,F131,资金流水!$B$5:$B$3032,"&gt;="&amp;$B$2,资金流水!$B$5:$B$3032,"&lt;="&amp;$B$3,资金流水!$D$5:$D$3032,IF($B$4="全部","*",$B$4)))</f>
        <v/>
      </c>
      <c r="H131" s="12" t="str">
        <f t="shared" si="4"/>
        <v/>
      </c>
    </row>
    <row r="132" spans="6:8">
      <c r="F132" s="13" t="s">
        <v>1002</v>
      </c>
      <c r="G132" s="14" t="e">
        <f>SUM(G72:G131)</f>
        <v>#VALUE!</v>
      </c>
      <c r="H132" s="15"/>
    </row>
  </sheetData>
  <mergeCells count="7">
    <mergeCell ref="A1:H1"/>
    <mergeCell ref="A5:H5"/>
    <mergeCell ref="A7:C7"/>
    <mergeCell ref="F7:H7"/>
    <mergeCell ref="A24:C24"/>
    <mergeCell ref="A41:C41"/>
    <mergeCell ref="F70:H70"/>
  </mergeCells>
  <dataValidations count="1">
    <dataValidation type="list" allowBlank="1" sqref="B4">
      <formula1>基础资料!$A$4:$A$11</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12</vt:i4>
      </vt:variant>
    </vt:vector>
  </HeadingPairs>
  <TitlesOfParts>
    <vt:vector size="12" baseType="lpstr">
      <vt:lpstr>使用说明</vt:lpstr>
      <vt:lpstr>基础资料</vt:lpstr>
      <vt:lpstr>开票登记</vt:lpstr>
      <vt:lpstr>资金流水</vt:lpstr>
      <vt:lpstr>应收应付台账</vt:lpstr>
      <vt:lpstr>项目核算表</vt:lpstr>
      <vt:lpstr>项目明细账</vt:lpstr>
      <vt:lpstr>月度汇报表</vt:lpstr>
      <vt:lpstr>图表看板</vt:lpstr>
      <vt:lpstr>月度趋势数据</vt:lpstr>
      <vt:lpstr>资金日报表</vt:lpstr>
      <vt:lpstr>任意时段查询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p:lastModifiedBy>
  <cp:revision>1</cp:revision>
  <dcterms:created xsi:type="dcterms:W3CDTF">2026-08-27T16:14:00Z</dcterms:created>
  <dcterms:modified xsi:type="dcterms:W3CDTF">2026-09-12T12:06:24Z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182893C96D9C4DB08D043ED8E127FAFB_13</vt:lpwstr>
  </property>
  <property fmtid="{D5CDD505-2E9C-101B-9397-08002B2CF9AE}" pid="3" name="KSOProductBuildVer">
    <vt:lpwstr>2052-12.1.0.28505</vt:lpwstr>
  </property>
  <property fmtid="{D5CDD505-2E9C-101B-9397-08002B2CF9AE}" pid="4" name="CalculationRule">
    <vt:i4>0</vt:i4>
  </property>
</Properties>
</file>