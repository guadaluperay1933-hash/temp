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2375"/>
  </bookViews>
  <sheets>
    <sheet name="现金" sheetId="2" r:id="rId1"/>
    <sheet name="银行存款2个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<sst xmlns="http://schemas.openxmlformats.org/spreadsheetml/2006/main" count="175" uniqueCount="89">
  <si>
    <t>现金日记账</t>
  </si>
  <si>
    <t>序号</t>
  </si>
  <si>
    <t>日期</t>
  </si>
  <si>
    <t>资金帐户</t>
  </si>
  <si>
    <t>报销项目</t>
  </si>
  <si>
    <t>费用
类型</t>
  </si>
  <si>
    <t>报账人</t>
  </si>
  <si>
    <t>摘要</t>
  </si>
  <si>
    <t>收入</t>
  </si>
  <si>
    <t>支出</t>
  </si>
  <si>
    <t>结余</t>
  </si>
  <si>
    <t>备注</t>
  </si>
  <si>
    <t>月份</t>
  </si>
  <si>
    <t>上期结余</t>
  </si>
  <si>
    <t>10kv华岭线红升6社</t>
  </si>
  <si>
    <t>餐费</t>
  </si>
  <si>
    <t>曾洪平</t>
  </si>
  <si>
    <t>2026年8月3号曾洪平报销：10kv华岭线红升6社台区隐患治理工程交底中午餐费15元</t>
  </si>
  <si>
    <t>539.1  7.28误转报销</t>
  </si>
  <si>
    <t>铜梁项目</t>
  </si>
  <si>
    <t>运费</t>
  </si>
  <si>
    <t>曾严</t>
  </si>
  <si>
    <t>2026年8月3号曾严报销：取绞磨3台，运费121元</t>
  </si>
  <si>
    <t>10kv少柏线池塘4社</t>
  </si>
  <si>
    <t>耗材费</t>
  </si>
  <si>
    <t>2026年8月4号曾洪平报销：10kv少柏线池塘4社#2变支线买杀虫剂2瓶</t>
  </si>
  <si>
    <t>饮用水费用</t>
  </si>
  <si>
    <t>2026年8月7号曾洪平报销：项目部买水5桶/10元，取水器一个10元</t>
  </si>
  <si>
    <t>转备用金</t>
  </si>
  <si>
    <t>蒋玲</t>
  </si>
  <si>
    <t>2026年8月8号蒋玲存备用金到基本户扣社保1100</t>
  </si>
  <si>
    <t>借款</t>
  </si>
  <si>
    <t>孙代兰</t>
  </si>
  <si>
    <t>2026.8.10收到孙代兰借款</t>
  </si>
  <si>
    <t>2026.8.10转泓普基本户存备用金</t>
  </si>
  <si>
    <t>办公费用</t>
  </si>
  <si>
    <t>李婷婷</t>
  </si>
  <si>
    <t>2026年8月10号李婷婷报销：2026年8月7号购买燕尾夹、文件袋等办公用品，共计186.16元</t>
  </si>
  <si>
    <t>光伏项目</t>
  </si>
  <si>
    <t>田云隆</t>
  </si>
  <si>
    <t>2026年8月10号田云隆报销：2026年8月9日修复红岩厂围网（光伏项目）买柱子、围网共计400元。</t>
  </si>
  <si>
    <t>10kv少柏线池塘4社台区低压</t>
  </si>
  <si>
    <t>2026年8月10号曾洪平报销：10kv少柏线池塘4社台区低压清理树障中午餐费5人，共计75元</t>
  </si>
  <si>
    <t>陈秋平</t>
  </si>
  <si>
    <t>2026年8月10号陈秋平报销: 2026年07月08日：买A4纸1件共8包，114.30元，2026年08月10日：买A4纸1件共8包，114.21元，2026年07月28日：买打印机墨水1瓶48元，2026年7月22日：买U盘2个，136元，2026年08月10日：买装订资料封面纸200张29元</t>
  </si>
  <si>
    <t>2026年8月10号陈秋平报销: 2026年07月01日：收康欣陈利寄来的资料到付11元，2026年07月09日：收康欣陈利寄来的资料到付11元，2026年07月09日：收迅驰廖巧寄来的资料到付11元，2026年07月22日：收金沁杜春霞寄来的资料到付11元，2026年07月23日：收华城唐琴寄来的资料到付11元，2026年07月02日：寄资料给陈利11元，2026年07月08日：寄资料给迅驰廖巧11元，2026年07月08日：寄资料给陈利11元，2026年07月08日：寄资料给金沁杜春霞11元，2026年07月15日：寄藕塘湾停车场资料给审计倪赔函7.2元，</t>
  </si>
  <si>
    <t>铜梁项目部</t>
  </si>
  <si>
    <t>耗材费用</t>
  </si>
  <si>
    <t>刘建鑫</t>
  </si>
  <si>
    <t>2026年8月22日刘建鑫报销：修油锯，换油锯火花塞：20元，换煤气2罐:260元</t>
  </si>
  <si>
    <t>2026年8月25日陈秋平报销：寄资料给陈利9.68元</t>
  </si>
  <si>
    <t>2026年8月25日陈秋平报销：做工器具试验合格证标签2000张共200元</t>
  </si>
  <si>
    <t>2026年8月25日陈秋平报销：买A4纸1件8包114.3元</t>
  </si>
  <si>
    <t>青苗费</t>
  </si>
  <si>
    <t>2026.8.28曾洪平报销：10KV凉俸线垣楼村民委员会支线#01杆组立电杆赔偿花椒(青苗费)共计200元</t>
  </si>
  <si>
    <t>202.8.28李婷婷报销：鑫发塑胶项目跨越图片费用（7张）共105元</t>
  </si>
  <si>
    <t>维修费</t>
  </si>
  <si>
    <t>2026.8.28刘建鑫报销:维修发电机：300元</t>
  </si>
  <si>
    <t>2026.8.28刘建鑫报销:换桶装水4桶40元</t>
  </si>
  <si>
    <t>2026.8.28陈秋平报销：2026.8.23铜梁项目部缴纳考核款5250元</t>
  </si>
  <si>
    <t>银行存款——泓普明细账</t>
  </si>
  <si>
    <t>费用类型</t>
  </si>
  <si>
    <t>经办人</t>
  </si>
  <si>
    <t>余额</t>
  </si>
  <si>
    <t>期初余额</t>
  </si>
  <si>
    <t>账户费年费</t>
  </si>
  <si>
    <t>2026.08.11泓普银付：支付财智账户卡普通卡年费</t>
  </si>
  <si>
    <t>社保</t>
  </si>
  <si>
    <t>2026.08.10泓普银付：支付员工社保</t>
  </si>
  <si>
    <t>2026.08.08泓普银收：收到孙代兰借款</t>
  </si>
  <si>
    <t>2026.08.08泓普银付：支付员工社保</t>
  </si>
  <si>
    <t>2026.08.08泓普银收：收到备用金存款</t>
  </si>
  <si>
    <t>2026.08.07泓普银付：支付员工社保</t>
  </si>
  <si>
    <t>账户年费</t>
  </si>
  <si>
    <t>合计</t>
  </si>
  <si>
    <t>银行存款——仟茂明细账</t>
  </si>
  <si>
    <t>银行存款 明细账</t>
  </si>
  <si>
    <t>货款</t>
  </si>
  <si>
    <t>彭豪</t>
  </si>
  <si>
    <t>2026.8.03仟茂银收：收到电子汇入货款</t>
  </si>
  <si>
    <t>手续费</t>
  </si>
  <si>
    <t>2026.08.5仟茂银付：支付转账手续费</t>
  </si>
  <si>
    <t>燃油费</t>
  </si>
  <si>
    <t>2026.08.05仟茂银付：支付燃油费</t>
  </si>
  <si>
    <t>还借款</t>
  </si>
  <si>
    <t>2026.08.05仟茂银付：还款孙代兰</t>
  </si>
  <si>
    <t>2026.08.26仟茂银收：收到电汇入货款</t>
  </si>
  <si>
    <t>2026.08.27仟茂银付：支付转账手续费</t>
  </si>
  <si>
    <t>2026.08.27仟茂银付：支付燃油费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</si>
</sst>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1"/>
      <color rgb="FF000000"/>
      <name val="Arial"/>
      <charset val="204"/>
    </font>
    <font>
      <b/>
      <sz val="11"/>
      <color rgb="FF000000"/>
      <name val="微软雅黑"/>
      <charset val="204"/>
    </font>
    <font>
      <sz val="11"/>
      <color rgb="FF000000"/>
      <name val="微软雅黑"/>
      <charset val="204"/>
    </font>
    <font>
      <b/>
      <sz val="16"/>
      <color rgb="FF00000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0"/>
      <name val="微软雅黑"/>
      <charset val="0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0"/>
      <name val="微软雅黑"/>
      <charset val="0"/>
    </font>
    <font>
      <sz val="11"/>
      <name val="微软雅黑"/>
      <charset val="0"/>
    </font>
    <font>
      <sz val="11"/>
      <color theme="1"/>
      <name val="微软雅黑"/>
      <charset val="0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6"/>
      <name val="微软雅黑"/>
      <charset val="0"/>
    </font>
    <font>
      <sz val="11"/>
      <color theme="1"/>
      <name val="微软雅黑"/>
      <charset val="204"/>
    </font>
    <font>
      <sz val="11"/>
      <color theme="1"/>
      <name val="宋体"/>
      <charset val="134"/>
      <scheme val="minor"/>
    </font>
    <font>
      <b/>
      <sz val="26"/>
      <color rgb="FF08090C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8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2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9" fillId="6" borderId="12" applyNumberFormat="0" applyAlignment="0" applyProtection="0">
      <alignment vertical="center"/>
    </xf>
    <xf numFmtId="0" fontId="30" fillId="10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84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176" fontId="2" fillId="0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Alignment="1">
      <alignment horizontal="center" vertical="top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Alignment="1">
      <alignment horizontal="left" vertical="top" wrapText="1"/>
    </xf>
    <xf numFmtId="176" fontId="3" fillId="0" borderId="0" xfId="0" applyNumberFormat="1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center" vertical="center"/>
    </xf>
    <xf numFmtId="176" fontId="10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left" vertical="center" wrapText="1"/>
    </xf>
    <xf numFmtId="176" fontId="11" fillId="0" borderId="4" xfId="0" applyNumberFormat="1" applyFont="1" applyFill="1" applyBorder="1" applyAlignment="1">
      <alignment horizontal="center" vertical="center" wrapText="1"/>
    </xf>
    <xf numFmtId="0" fontId="12" fillId="4" borderId="4" xfId="0" applyNumberFormat="1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left"/>
    </xf>
    <xf numFmtId="176" fontId="2" fillId="0" borderId="0" xfId="0" applyNumberFormat="1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76" fontId="5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176" fontId="6" fillId="3" borderId="8" xfId="0" applyNumberFormat="1" applyFont="1" applyFill="1" applyBorder="1" applyAlignment="1">
      <alignment horizontal="center" vertical="center"/>
    </xf>
    <xf numFmtId="176" fontId="10" fillId="3" borderId="8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top" wrapText="1"/>
    </xf>
    <xf numFmtId="0" fontId="6" fillId="0" borderId="2" xfId="0" applyNumberFormat="1" applyFont="1" applyFill="1" applyBorder="1" applyAlignment="1">
      <alignment horizontal="left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/>
    </xf>
    <xf numFmtId="49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18" fillId="6" borderId="0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C13" sqref="C13"/>
    </sheetView>
  </sheetViews>
  <sheetFormatPr defaultColWidth="9" defaultRowHeight="14.25"/>
  <cols>
    <col min="1" max="1" width="4.63333333333333" style="54" customWidth="1"/>
    <col min="2" max="2" width="9.5" style="54" customWidth="1"/>
    <col min="3" max="3" width="8.625" style="54" customWidth="1"/>
    <col min="4" max="4" width="19.5416666666667" style="55" customWidth="1"/>
    <col min="5" max="5" width="12.1083333333333" style="56" customWidth="1"/>
    <col min="6" max="6" width="9.25833333333333" style="57" customWidth="1"/>
    <col min="7" max="7" width="66.6333333333333" style="53" customWidth="1"/>
    <col min="8" max="8" width="10.275" style="57" customWidth="1"/>
    <col min="9" max="9" width="9.38333333333333" style="57" customWidth="1"/>
    <col min="10" max="10" width="10.6333333333333" style="57" customWidth="1"/>
    <col min="11" max="11" width="22" style="53" customWidth="1"/>
    <col min="12" max="12" width="12.625" style="53" customWidth="1"/>
    <col min="13" max="16382" width="9" style="53"/>
  </cols>
  <sheetData>
    <row r="1" s="53" customFormat="1" ht="36.75" spans="1:15">
      <c r="A1" s="58" t="s">
        <v>0</v>
      </c>
      <c r="B1" s="58"/>
      <c r="C1" s="58"/>
      <c r="D1" s="59"/>
      <c r="E1" s="60"/>
      <c r="F1" s="60"/>
      <c r="G1" s="60"/>
      <c r="H1" s="60"/>
      <c r="I1" s="60"/>
      <c r="J1" s="60"/>
      <c r="K1" s="60"/>
      <c r="L1" s="60"/>
    </row>
    <row r="2" s="53" customFormat="1" ht="15" spans="1:15">
      <c r="A2" s="61" t="s">
        <v>1</v>
      </c>
      <c r="B2" s="62" t="s">
        <v>2</v>
      </c>
      <c r="C2" s="62" t="s">
        <v>3</v>
      </c>
      <c r="D2" s="61" t="s">
        <v>4</v>
      </c>
      <c r="E2" s="61" t="s">
        <v>5</v>
      </c>
      <c r="F2" s="61" t="s">
        <v>6</v>
      </c>
      <c r="G2" s="63" t="s">
        <v>7</v>
      </c>
      <c r="H2" s="64" t="s">
        <v>8</v>
      </c>
      <c r="I2" s="65" t="s">
        <v>9</v>
      </c>
      <c r="J2" s="65" t="s">
        <v>10</v>
      </c>
      <c r="K2" s="66" t="s">
        <v>11</v>
      </c>
      <c r="L2" s="66" t="s">
        <v>12</v>
      </c>
    </row>
    <row r="3" s="53" customFormat="1" ht="15" spans="1:15">
      <c r="A3" s="67"/>
      <c r="B3" s="68"/>
      <c r="C3" s="68"/>
      <c r="D3" s="67"/>
      <c r="E3" s="67"/>
      <c r="F3" s="67"/>
      <c r="G3" s="69"/>
      <c r="H3" s="64">
        <f>SUM(H5:H25)</f>
        <v>5000</v>
      </c>
      <c r="I3" s="64">
        <f>SUM(I5:I25)</f>
        <v>14023.85</v>
      </c>
      <c r="J3" s="65">
        <f>+J4+H3-I3</f>
        <v>-5042.36000000001</v>
      </c>
      <c r="K3" s="70"/>
      <c r="L3" s="70"/>
    </row>
    <row r="4" s="53" customFormat="1" ht="16.5" spans="1:15">
      <c r="A4" s="71">
        <f t="shared" ref="A4:A25" si="0">ROW()-3</f>
        <v>1</v>
      </c>
      <c r="B4" s="71"/>
      <c r="C4" s="71"/>
      <c r="D4" s="72"/>
      <c r="E4" s="73"/>
      <c r="F4" s="74"/>
      <c r="G4" s="75" t="s">
        <v>13</v>
      </c>
      <c r="H4" s="76"/>
      <c r="I4" s="77"/>
      <c r="J4" s="77">
        <v>3981.48999999999</v>
      </c>
      <c r="K4" s="78"/>
      <c r="L4" s="78"/>
    </row>
    <row r="5" s="53" customFormat="1" ht="33" spans="1:15">
      <c r="A5" s="71">
        <f t="shared" si="0"/>
        <v>2</v>
      </c>
      <c r="B5" s="71"/>
      <c r="C5" s="71"/>
      <c r="D5" s="72" t="s">
        <v>14</v>
      </c>
      <c r="E5" s="73" t="s">
        <v>15</v>
      </c>
      <c r="F5" s="74" t="s">
        <v>16</v>
      </c>
      <c r="G5" s="75" t="s">
        <v>17</v>
      </c>
      <c r="H5" s="76"/>
      <c r="I5" s="77">
        <v>15</v>
      </c>
      <c r="J5" s="77">
        <f t="shared" ref="J5:J25" si="1">+J4+H5-I5</f>
        <v>3966.48999999999</v>
      </c>
      <c r="K5" s="78" t="s">
        <v>18</v>
      </c>
      <c r="L5" s="78"/>
    </row>
    <row r="6" s="53" customFormat="1" ht="16.5" spans="1:15">
      <c r="A6" s="71">
        <f t="shared" si="0"/>
        <v>3</v>
      </c>
      <c r="B6" s="71"/>
      <c r="C6" s="71"/>
      <c r="D6" s="72" t="s">
        <v>19</v>
      </c>
      <c r="E6" s="73" t="s">
        <v>20</v>
      </c>
      <c r="F6" s="74" t="s">
        <v>21</v>
      </c>
      <c r="G6" s="75" t="s">
        <v>22</v>
      </c>
      <c r="H6" s="76"/>
      <c r="I6" s="77">
        <v>121</v>
      </c>
      <c r="J6" s="77">
        <f t="shared" si="1"/>
        <v>3845.48999999999</v>
      </c>
      <c r="K6" s="75"/>
      <c r="L6" s="75"/>
      <c r="M6" s="79"/>
      <c r="N6" s="79"/>
      <c r="O6" s="80"/>
    </row>
    <row r="7" s="53" customFormat="1" ht="16.5" spans="1:15">
      <c r="A7" s="71">
        <f t="shared" si="0"/>
        <v>4</v>
      </c>
      <c r="B7" s="71"/>
      <c r="C7" s="71"/>
      <c r="D7" s="72" t="s">
        <v>23</v>
      </c>
      <c r="E7" s="73" t="s">
        <v>24</v>
      </c>
      <c r="F7" s="74" t="s">
        <v>16</v>
      </c>
      <c r="G7" s="75" t="s">
        <v>25</v>
      </c>
      <c r="H7" s="76"/>
      <c r="I7" s="77">
        <v>20</v>
      </c>
      <c r="J7" s="77">
        <f t="shared" si="1"/>
        <v>3825.48999999999</v>
      </c>
      <c r="K7" s="78"/>
      <c r="L7" s="78"/>
    </row>
    <row r="8" s="53" customFormat="1" ht="16.5" spans="1:15">
      <c r="A8" s="71">
        <f t="shared" si="0"/>
        <v>5</v>
      </c>
      <c r="B8" s="71"/>
      <c r="C8" s="71"/>
      <c r="D8" s="72" t="s">
        <v>19</v>
      </c>
      <c r="E8" s="72" t="s">
        <v>26</v>
      </c>
      <c r="F8" s="74" t="s">
        <v>16</v>
      </c>
      <c r="G8" s="81" t="s">
        <v>27</v>
      </c>
      <c r="H8" s="76"/>
      <c r="I8" s="77">
        <v>60</v>
      </c>
      <c r="J8" s="77">
        <f t="shared" si="1"/>
        <v>3765.48999999999</v>
      </c>
      <c r="K8" s="78"/>
      <c r="L8" s="78"/>
    </row>
    <row r="9" s="53" customFormat="1" ht="16.5" spans="1:15">
      <c r="A9" s="71">
        <f t="shared" si="0"/>
        <v>6</v>
      </c>
      <c r="B9" s="71"/>
      <c r="C9" s="71"/>
      <c r="D9" s="72" t="s">
        <v>19</v>
      </c>
      <c r="E9" s="72" t="s">
        <v>28</v>
      </c>
      <c r="F9" s="82" t="s">
        <v>29</v>
      </c>
      <c r="G9" s="81" t="s">
        <v>30</v>
      </c>
      <c r="H9" s="76"/>
      <c r="I9" s="77">
        <v>1100</v>
      </c>
      <c r="J9" s="77">
        <f t="shared" si="1"/>
        <v>2665.48999999999</v>
      </c>
      <c r="K9" s="78"/>
      <c r="L9" s="78"/>
    </row>
    <row r="10" s="53" customFormat="1" ht="16.5" spans="1:15">
      <c r="A10" s="71">
        <f t="shared" si="0"/>
        <v>7</v>
      </c>
      <c r="B10" s="71"/>
      <c r="C10" s="71"/>
      <c r="D10" s="72"/>
      <c r="E10" s="72" t="s">
        <v>31</v>
      </c>
      <c r="F10" s="82" t="s">
        <v>32</v>
      </c>
      <c r="G10" s="81" t="s">
        <v>33</v>
      </c>
      <c r="H10" s="76">
        <v>5000</v>
      </c>
      <c r="I10" s="77"/>
      <c r="J10" s="77">
        <f t="shared" si="1"/>
        <v>7665.48999999999</v>
      </c>
      <c r="K10" s="78"/>
      <c r="L10" s="78"/>
    </row>
    <row r="11" s="53" customFormat="1" ht="16.5" spans="1:15">
      <c r="A11" s="71">
        <f t="shared" si="0"/>
        <v>8</v>
      </c>
      <c r="B11" s="71"/>
      <c r="C11" s="71"/>
      <c r="D11" s="72"/>
      <c r="E11" s="72" t="s">
        <v>28</v>
      </c>
      <c r="F11" s="82" t="s">
        <v>29</v>
      </c>
      <c r="G11" s="81" t="s">
        <v>34</v>
      </c>
      <c r="H11" s="76"/>
      <c r="I11" s="77">
        <v>5000</v>
      </c>
      <c r="J11" s="77">
        <f t="shared" si="1"/>
        <v>2665.48999999999</v>
      </c>
      <c r="K11" s="78"/>
      <c r="L11" s="78"/>
    </row>
    <row r="12" s="53" customFormat="1" ht="33" spans="1:15">
      <c r="A12" s="71">
        <f t="shared" si="0"/>
        <v>9</v>
      </c>
      <c r="B12" s="71"/>
      <c r="C12" s="71"/>
      <c r="D12" s="72" t="s">
        <v>19</v>
      </c>
      <c r="E12" s="72" t="s">
        <v>35</v>
      </c>
      <c r="F12" s="72" t="s">
        <v>36</v>
      </c>
      <c r="G12" s="81" t="s">
        <v>37</v>
      </c>
      <c r="H12" s="76"/>
      <c r="I12" s="77">
        <v>186.16</v>
      </c>
      <c r="J12" s="77">
        <f t="shared" si="1"/>
        <v>2479.32999999999</v>
      </c>
      <c r="K12" s="78"/>
      <c r="L12" s="78"/>
    </row>
    <row r="13" s="53" customFormat="1" ht="33" spans="1:15">
      <c r="A13" s="71">
        <f t="shared" si="0"/>
        <v>10</v>
      </c>
      <c r="B13" s="71"/>
      <c r="C13" s="71"/>
      <c r="D13" s="72" t="s">
        <v>38</v>
      </c>
      <c r="E13" s="72" t="s">
        <v>24</v>
      </c>
      <c r="F13" s="72" t="s">
        <v>39</v>
      </c>
      <c r="G13" s="81" t="s">
        <v>40</v>
      </c>
      <c r="H13" s="76"/>
      <c r="I13" s="77">
        <v>400</v>
      </c>
      <c r="J13" s="77">
        <f t="shared" si="1"/>
        <v>2079.32999999999</v>
      </c>
      <c r="K13" s="78"/>
      <c r="L13" s="78"/>
    </row>
    <row r="14" s="53" customFormat="1" ht="33" spans="1:15">
      <c r="A14" s="71">
        <f t="shared" si="0"/>
        <v>11</v>
      </c>
      <c r="B14" s="71"/>
      <c r="C14" s="71"/>
      <c r="D14" s="72" t="s">
        <v>41</v>
      </c>
      <c r="E14" s="72" t="s">
        <v>15</v>
      </c>
      <c r="F14" s="74" t="s">
        <v>16</v>
      </c>
      <c r="G14" s="81" t="s">
        <v>42</v>
      </c>
      <c r="H14" s="76"/>
      <c r="I14" s="77">
        <v>75</v>
      </c>
      <c r="J14" s="77">
        <f t="shared" si="1"/>
        <v>2004.32999999999</v>
      </c>
      <c r="K14" s="78"/>
      <c r="L14" s="78"/>
    </row>
    <row r="15" s="53" customFormat="1" ht="66" spans="1:15">
      <c r="A15" s="71">
        <f t="shared" si="0"/>
        <v>12</v>
      </c>
      <c r="B15" s="71"/>
      <c r="C15" s="71"/>
      <c r="D15" s="72" t="s">
        <v>19</v>
      </c>
      <c r="E15" s="72" t="s">
        <v>35</v>
      </c>
      <c r="F15" s="72" t="s">
        <v>43</v>
      </c>
      <c r="G15" s="81" t="s">
        <v>44</v>
      </c>
      <c r="H15" s="76"/>
      <c r="I15" s="77">
        <f>114.3+114.21+48+136+29</f>
        <v>441.51</v>
      </c>
      <c r="J15" s="77">
        <f t="shared" si="1"/>
        <v>1562.81999999999</v>
      </c>
      <c r="K15" s="78"/>
      <c r="L15" s="78"/>
    </row>
    <row r="16" s="53" customFormat="1" ht="115.5" spans="1:15">
      <c r="A16" s="71">
        <f t="shared" si="0"/>
        <v>13</v>
      </c>
      <c r="B16" s="71"/>
      <c r="C16" s="71"/>
      <c r="D16" s="72" t="s">
        <v>19</v>
      </c>
      <c r="E16" s="72" t="s">
        <v>20</v>
      </c>
      <c r="F16" s="72" t="s">
        <v>43</v>
      </c>
      <c r="G16" s="81" t="s">
        <v>45</v>
      </c>
      <c r="H16" s="76"/>
      <c r="I16" s="77">
        <f>11+11+11+11+11+11+11+11+11+7.2</f>
        <v>106.2</v>
      </c>
      <c r="J16" s="77">
        <f t="shared" si="1"/>
        <v>1456.61999999999</v>
      </c>
      <c r="K16" s="78"/>
      <c r="L16" s="78"/>
    </row>
    <row r="17" s="53" customFormat="1" ht="16.5" spans="1:12">
      <c r="A17" s="71">
        <f t="shared" si="0"/>
        <v>14</v>
      </c>
      <c r="B17" s="71"/>
      <c r="C17" s="71"/>
      <c r="D17" s="72" t="s">
        <v>46</v>
      </c>
      <c r="E17" s="73" t="s">
        <v>47</v>
      </c>
      <c r="F17" s="74" t="s">
        <v>48</v>
      </c>
      <c r="G17" s="75" t="s">
        <v>49</v>
      </c>
      <c r="H17" s="76"/>
      <c r="I17" s="77">
        <f>20+260</f>
        <v>280</v>
      </c>
      <c r="J17" s="77">
        <f t="shared" si="1"/>
        <v>1176.61999999999</v>
      </c>
      <c r="K17" s="78"/>
      <c r="L17" s="78"/>
    </row>
    <row r="18" s="53" customFormat="1" ht="16.5" spans="1:12">
      <c r="A18" s="71">
        <f t="shared" si="0"/>
        <v>15</v>
      </c>
      <c r="B18" s="71"/>
      <c r="C18" s="71"/>
      <c r="D18" s="72" t="s">
        <v>46</v>
      </c>
      <c r="E18" s="73" t="s">
        <v>20</v>
      </c>
      <c r="F18" s="74" t="s">
        <v>43</v>
      </c>
      <c r="G18" s="75" t="s">
        <v>50</v>
      </c>
      <c r="H18" s="76"/>
      <c r="I18" s="77">
        <v>9.68</v>
      </c>
      <c r="J18" s="77">
        <f t="shared" si="1"/>
        <v>1166.93999999999</v>
      </c>
      <c r="K18" s="78"/>
      <c r="L18" s="78"/>
    </row>
    <row r="19" s="53" customFormat="1" ht="16.5" spans="1:12">
      <c r="A19" s="71">
        <f t="shared" si="0"/>
        <v>16</v>
      </c>
      <c r="B19" s="71"/>
      <c r="C19" s="71"/>
      <c r="D19" s="72" t="s">
        <v>46</v>
      </c>
      <c r="E19" s="73" t="s">
        <v>35</v>
      </c>
      <c r="F19" s="74" t="s">
        <v>43</v>
      </c>
      <c r="G19" s="75" t="s">
        <v>51</v>
      </c>
      <c r="H19" s="76"/>
      <c r="I19" s="77">
        <v>200</v>
      </c>
      <c r="J19" s="77">
        <f t="shared" si="1"/>
        <v>966.93999999999</v>
      </c>
      <c r="K19" s="78"/>
      <c r="L19" s="78"/>
    </row>
    <row r="20" s="53" customFormat="1" ht="16.5" spans="1:12">
      <c r="A20" s="71">
        <f t="shared" si="0"/>
        <v>17</v>
      </c>
      <c r="B20" s="71"/>
      <c r="C20" s="71"/>
      <c r="D20" s="72" t="s">
        <v>46</v>
      </c>
      <c r="E20" s="73" t="s">
        <v>35</v>
      </c>
      <c r="F20" s="74" t="s">
        <v>43</v>
      </c>
      <c r="G20" s="75" t="s">
        <v>52</v>
      </c>
      <c r="H20" s="76"/>
      <c r="I20" s="77">
        <v>114.3</v>
      </c>
      <c r="J20" s="77">
        <f t="shared" si="1"/>
        <v>852.63999999999</v>
      </c>
      <c r="K20" s="78"/>
      <c r="L20" s="78"/>
    </row>
    <row r="21" s="53" customFormat="1" ht="33" spans="1:12">
      <c r="A21" s="71">
        <f t="shared" si="0"/>
        <v>18</v>
      </c>
      <c r="B21" s="71"/>
      <c r="C21" s="71"/>
      <c r="D21" s="72" t="s">
        <v>19</v>
      </c>
      <c r="E21" s="73" t="s">
        <v>53</v>
      </c>
      <c r="F21" s="73" t="s">
        <v>16</v>
      </c>
      <c r="G21" s="75" t="s">
        <v>54</v>
      </c>
      <c r="H21" s="76"/>
      <c r="I21" s="77">
        <v>200</v>
      </c>
      <c r="J21" s="77">
        <f t="shared" si="1"/>
        <v>652.63999999999</v>
      </c>
      <c r="K21" s="78"/>
      <c r="L21" s="78"/>
    </row>
    <row r="22" s="53" customFormat="1" ht="16.5" spans="1:12">
      <c r="A22" s="71">
        <f t="shared" si="0"/>
        <v>19</v>
      </c>
      <c r="B22" s="71"/>
      <c r="C22" s="71"/>
      <c r="D22" s="72" t="s">
        <v>19</v>
      </c>
      <c r="E22" s="73" t="s">
        <v>35</v>
      </c>
      <c r="F22" s="73" t="s">
        <v>36</v>
      </c>
      <c r="G22" s="75" t="s">
        <v>55</v>
      </c>
      <c r="H22" s="76"/>
      <c r="I22" s="77">
        <v>105</v>
      </c>
      <c r="J22" s="77">
        <f t="shared" si="1"/>
        <v>547.63999999999</v>
      </c>
      <c r="K22" s="78"/>
      <c r="L22" s="78"/>
    </row>
    <row r="23" s="53" customFormat="1" ht="16.5" spans="1:12">
      <c r="A23" s="71">
        <f t="shared" si="0"/>
        <v>20</v>
      </c>
      <c r="B23" s="71"/>
      <c r="C23" s="71"/>
      <c r="D23" s="72" t="s">
        <v>19</v>
      </c>
      <c r="E23" s="73" t="s">
        <v>56</v>
      </c>
      <c r="F23" s="73" t="s">
        <v>48</v>
      </c>
      <c r="G23" s="75" t="s">
        <v>57</v>
      </c>
      <c r="H23" s="76"/>
      <c r="I23" s="77">
        <v>300</v>
      </c>
      <c r="J23" s="77">
        <f t="shared" si="1"/>
        <v>247.63999999999</v>
      </c>
      <c r="K23" s="78"/>
      <c r="L23" s="78"/>
    </row>
    <row r="24" s="53" customFormat="1" ht="16.5" spans="1:12">
      <c r="A24" s="71">
        <f t="shared" si="0"/>
        <v>21</v>
      </c>
      <c r="B24" s="71"/>
      <c r="C24" s="71"/>
      <c r="D24" s="72" t="s">
        <v>19</v>
      </c>
      <c r="E24" s="72" t="s">
        <v>26</v>
      </c>
      <c r="F24" s="73" t="s">
        <v>48</v>
      </c>
      <c r="G24" s="75" t="s">
        <v>58</v>
      </c>
      <c r="H24" s="76"/>
      <c r="I24" s="77">
        <v>40</v>
      </c>
      <c r="J24" s="77">
        <f t="shared" si="1"/>
        <v>207.63999999999</v>
      </c>
      <c r="K24" s="78"/>
      <c r="L24" s="78"/>
    </row>
    <row r="25" s="53" customFormat="1" ht="16.5" spans="1:12">
      <c r="A25" s="71">
        <f t="shared" si="0"/>
        <v>22</v>
      </c>
      <c r="B25" s="71"/>
      <c r="C25" s="71"/>
      <c r="D25" s="72" t="s">
        <v>19</v>
      </c>
      <c r="E25" s="83" t="s">
        <v>35</v>
      </c>
      <c r="F25" s="83" t="s">
        <v>43</v>
      </c>
      <c r="G25" s="75" t="s">
        <v>59</v>
      </c>
      <c r="H25" s="76"/>
      <c r="I25" s="76">
        <v>5250</v>
      </c>
      <c r="J25" s="77">
        <f t="shared" si="1"/>
        <v>-5042.36000000001</v>
      </c>
      <c r="K25" s="78"/>
      <c r="L25" s="78"/>
    </row>
    <row r="26" s="53" customFormat="1" ht="13.5" spans="1:12">
      <c r="A26" s="54"/>
      <c r="B26" s="54"/>
      <c r="C26" s="54"/>
      <c r="D26" s="55"/>
      <c r="E26" s="56"/>
      <c r="F26" s="57"/>
      <c r="G26" s="53"/>
      <c r="H26" s="57"/>
      <c r="I26" s="57"/>
      <c r="J26" s="57"/>
    </row>
    <row r="27" s="53" customFormat="1" ht="13.5" spans="1:12">
      <c r="A27" s="54"/>
      <c r="B27" s="54"/>
      <c r="C27" s="54"/>
      <c r="D27" s="55"/>
      <c r="E27" s="56"/>
      <c r="F27" s="57"/>
      <c r="G27" s="53"/>
      <c r="H27" s="57"/>
      <c r="I27" s="57"/>
      <c r="J27" s="57"/>
    </row>
  </sheetData>
  <mergeCells count="10">
    <mergeCell ref="A1:K1"/>
    <mergeCell ref="A2:A3"/>
    <mergeCell ref="B2:B3"/>
    <mergeCell ref="C2:C3"/>
    <mergeCell ref="D2:D3"/>
    <mergeCell ref="E2:E3"/>
    <mergeCell ref="F2:F3"/>
    <mergeCell ref="G2:G3"/>
    <mergeCell ref="K2:K3"/>
    <mergeCell ref="L2:L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A19" sqref="A19:G19"/>
    </sheetView>
  </sheetViews>
  <sheetFormatPr defaultColWidth="9" defaultRowHeight="16.5" outlineLevelCol="6"/>
  <cols>
    <col min="1" max="1" width="4.825" style="2" customWidth="1"/>
    <col min="2" max="3" width="11.2083333333333" style="2" hidden="1" customWidth="1"/>
    <col min="4" max="4" width="42.5833333333333" style="2" customWidth="1"/>
    <col min="5" max="6" width="11.2083333333333" style="3" customWidth="1"/>
    <col min="7" max="7" width="11.5416666666667" style="3" customWidth="1"/>
    <col min="8" max="16384" width="9" style="2"/>
  </cols>
  <sheetData>
    <row r="1" ht="22.5" spans="1:7">
      <c r="A1" s="4" t="s">
        <v>60</v>
      </c>
      <c r="B1" s="4"/>
      <c r="C1" s="5"/>
      <c r="D1" s="6"/>
      <c r="E1" s="7"/>
      <c r="F1" s="7"/>
      <c r="G1" s="7"/>
    </row>
    <row r="2" s="1" customFormat="1" ht="12" customHeight="1" spans="1:7">
      <c r="A2" s="8" t="s">
        <v>1</v>
      </c>
      <c r="B2" s="9" t="s">
        <v>61</v>
      </c>
      <c r="C2" s="10" t="s">
        <v>62</v>
      </c>
      <c r="D2" s="11" t="s">
        <v>7</v>
      </c>
      <c r="E2" s="12" t="s">
        <v>8</v>
      </c>
      <c r="F2" s="12" t="s">
        <v>9</v>
      </c>
      <c r="G2" s="12" t="s">
        <v>63</v>
      </c>
    </row>
    <row r="3" s="1" customFormat="1" ht="12" customHeight="1" spans="1:7">
      <c r="A3" s="13"/>
      <c r="B3" s="14"/>
      <c r="C3" s="10"/>
      <c r="D3" s="15"/>
      <c r="E3" s="16">
        <f>SUM(E5:E10)</f>
        <v>6100</v>
      </c>
      <c r="F3" s="16">
        <f>SUM(F5:F10)</f>
        <v>5651.64</v>
      </c>
      <c r="G3" s="12">
        <f>G4+E3-F3</f>
        <v>4104.48</v>
      </c>
    </row>
    <row r="4" s="2" customFormat="1" spans="1:7">
      <c r="A4" s="17">
        <v>1</v>
      </c>
      <c r="B4" s="18"/>
      <c r="C4" s="19"/>
      <c r="D4" s="20" t="s">
        <v>64</v>
      </c>
      <c r="E4" s="21"/>
      <c r="F4" s="21"/>
      <c r="G4" s="22">
        <v>3656.12</v>
      </c>
    </row>
    <row r="5" spans="1:7">
      <c r="A5" s="17">
        <v>2</v>
      </c>
      <c r="B5" s="23" t="s">
        <v>65</v>
      </c>
      <c r="C5" s="24" t="s">
        <v>32</v>
      </c>
      <c r="D5" s="25" t="s">
        <v>66</v>
      </c>
      <c r="E5" s="26"/>
      <c r="F5" s="26">
        <v>100</v>
      </c>
      <c r="G5" s="26">
        <f t="shared" ref="G5:G10" si="0">G4+E5-F5</f>
        <v>3556.12</v>
      </c>
    </row>
    <row r="6" spans="1:7">
      <c r="A6" s="17">
        <v>3</v>
      </c>
      <c r="B6" s="24" t="s">
        <v>67</v>
      </c>
      <c r="C6" s="24" t="s">
        <v>32</v>
      </c>
      <c r="D6" s="25" t="s">
        <v>68</v>
      </c>
      <c r="E6" s="26"/>
      <c r="F6" s="26">
        <v>1071.41</v>
      </c>
      <c r="G6" s="26">
        <f t="shared" si="0"/>
        <v>2484.71</v>
      </c>
    </row>
    <row r="7" spans="1:7">
      <c r="A7" s="17">
        <v>4</v>
      </c>
      <c r="B7" s="24" t="s">
        <v>31</v>
      </c>
      <c r="C7" s="24" t="s">
        <v>32</v>
      </c>
      <c r="D7" s="27" t="s">
        <v>69</v>
      </c>
      <c r="E7" s="26">
        <v>5000</v>
      </c>
      <c r="F7" s="26"/>
      <c r="G7" s="26">
        <f t="shared" si="0"/>
        <v>7484.71</v>
      </c>
    </row>
    <row r="8" spans="1:7">
      <c r="A8" s="17">
        <v>5</v>
      </c>
      <c r="B8" s="24" t="s">
        <v>67</v>
      </c>
      <c r="C8" s="24" t="s">
        <v>32</v>
      </c>
      <c r="D8" s="25" t="s">
        <v>70</v>
      </c>
      <c r="E8" s="26"/>
      <c r="F8" s="26">
        <v>1066.96</v>
      </c>
      <c r="G8" s="26">
        <f t="shared" si="0"/>
        <v>6417.75</v>
      </c>
    </row>
    <row r="9" spans="1:7">
      <c r="A9" s="17">
        <v>6</v>
      </c>
      <c r="B9" s="24" t="s">
        <v>31</v>
      </c>
      <c r="C9" s="24" t="s">
        <v>32</v>
      </c>
      <c r="D9" s="27" t="s">
        <v>71</v>
      </c>
      <c r="E9" s="26">
        <v>1100</v>
      </c>
      <c r="F9" s="26"/>
      <c r="G9" s="26">
        <f t="shared" si="0"/>
        <v>7517.75</v>
      </c>
    </row>
    <row r="10" spans="1:7">
      <c r="A10" s="17">
        <v>7</v>
      </c>
      <c r="B10" s="24" t="s">
        <v>67</v>
      </c>
      <c r="C10" s="24" t="s">
        <v>32</v>
      </c>
      <c r="D10" s="25" t="s">
        <v>72</v>
      </c>
      <c r="E10" s="26"/>
      <c r="F10" s="26">
        <v>3413.27</v>
      </c>
      <c r="G10" s="26">
        <f t="shared" si="0"/>
        <v>4104.48</v>
      </c>
    </row>
    <row r="11" spans="1:7">
      <c r="E11" s="28" t="s">
        <v>61</v>
      </c>
      <c r="F11" s="28" t="s">
        <v>8</v>
      </c>
      <c r="G11" s="28" t="s">
        <v>9</v>
      </c>
    </row>
    <row r="12" spans="1:7">
      <c r="E12" s="29" t="s">
        <v>73</v>
      </c>
      <c r="F12" s="29"/>
      <c r="G12" s="29">
        <v>100</v>
      </c>
    </row>
    <row r="13" spans="1:7">
      <c r="E13" s="29" t="s">
        <v>67</v>
      </c>
      <c r="F13" s="29"/>
      <c r="G13" s="29">
        <v>5551.64</v>
      </c>
    </row>
    <row r="14" spans="1:7">
      <c r="E14" s="29" t="s">
        <v>31</v>
      </c>
      <c r="F14" s="29">
        <v>6100</v>
      </c>
      <c r="G14" s="29"/>
    </row>
    <row r="15" spans="1:7">
      <c r="E15" s="29" t="s">
        <v>74</v>
      </c>
      <c r="F15" s="29">
        <f>SUM(F12:F14)</f>
        <v>6100</v>
      </c>
      <c r="G15" s="29">
        <f>SUM(G12:G14)</f>
        <v>5651.64</v>
      </c>
    </row>
    <row r="19" ht="22.5" spans="1:7">
      <c r="A19" s="30" t="s">
        <v>75</v>
      </c>
      <c r="B19" s="30" t="s">
        <v>76</v>
      </c>
      <c r="C19" s="30" t="s">
        <v>76</v>
      </c>
      <c r="D19" s="31" t="s">
        <v>76</v>
      </c>
      <c r="E19" s="32" t="s">
        <v>76</v>
      </c>
      <c r="F19" s="32" t="s">
        <v>76</v>
      </c>
      <c r="G19" s="32" t="s">
        <v>76</v>
      </c>
    </row>
    <row r="20" s="1" customFormat="1" ht="16" customHeight="1" spans="1:7">
      <c r="A20" s="33" t="s">
        <v>1</v>
      </c>
      <c r="B20" s="34" t="s">
        <v>61</v>
      </c>
      <c r="C20" s="35" t="s">
        <v>62</v>
      </c>
      <c r="D20" s="36" t="s">
        <v>7</v>
      </c>
      <c r="E20" s="37" t="s">
        <v>8</v>
      </c>
      <c r="F20" s="37" t="s">
        <v>9</v>
      </c>
      <c r="G20" s="37" t="s">
        <v>63</v>
      </c>
    </row>
    <row r="21" s="1" customFormat="1" ht="16" customHeight="1" spans="1:7">
      <c r="A21" s="38"/>
      <c r="B21" s="39"/>
      <c r="C21" s="35"/>
      <c r="D21" s="36"/>
      <c r="E21" s="40">
        <f>SUM(E23:E29)</f>
        <v>74124.13</v>
      </c>
      <c r="F21" s="40">
        <f>SUM(F22:F29)</f>
        <v>31002</v>
      </c>
      <c r="G21" s="37">
        <f>G22+E21-F21</f>
        <v>47876.71</v>
      </c>
    </row>
    <row r="22" spans="1:7">
      <c r="A22" s="41">
        <v>1</v>
      </c>
      <c r="B22" s="42"/>
      <c r="C22" s="43"/>
      <c r="D22" s="44" t="s">
        <v>64</v>
      </c>
      <c r="E22" s="45"/>
      <c r="F22" s="45"/>
      <c r="G22" s="46">
        <v>4754.58</v>
      </c>
    </row>
    <row r="23" spans="1:7">
      <c r="A23" s="41">
        <v>2</v>
      </c>
      <c r="B23" s="47" t="s">
        <v>77</v>
      </c>
      <c r="C23" s="48" t="s">
        <v>78</v>
      </c>
      <c r="D23" s="49" t="s">
        <v>79</v>
      </c>
      <c r="E23" s="50">
        <v>24287.73</v>
      </c>
      <c r="F23" s="50"/>
      <c r="G23" s="51">
        <f>G22+E23-F23</f>
        <v>29042.31</v>
      </c>
    </row>
    <row r="24" spans="1:7">
      <c r="A24" s="41">
        <v>3</v>
      </c>
      <c r="B24" s="47" t="s">
        <v>80</v>
      </c>
      <c r="C24" s="48" t="s">
        <v>78</v>
      </c>
      <c r="D24" s="49" t="s">
        <v>81</v>
      </c>
      <c r="E24" s="50"/>
      <c r="F24" s="50">
        <v>1</v>
      </c>
      <c r="G24" s="51">
        <f t="shared" ref="G24:G29" si="1">G23+E24-F24</f>
        <v>29041.31</v>
      </c>
    </row>
    <row r="25" spans="1:7">
      <c r="A25" s="41">
        <v>4</v>
      </c>
      <c r="B25" s="47" t="s">
        <v>82</v>
      </c>
      <c r="C25" s="48" t="s">
        <v>78</v>
      </c>
      <c r="D25" s="49" t="s">
        <v>83</v>
      </c>
      <c r="E25" s="50"/>
      <c r="F25" s="50">
        <v>5000</v>
      </c>
      <c r="G25" s="51">
        <f t="shared" si="1"/>
        <v>24041.31</v>
      </c>
    </row>
    <row r="26" spans="1:7">
      <c r="A26" s="41">
        <v>5</v>
      </c>
      <c r="B26" s="47" t="s">
        <v>84</v>
      </c>
      <c r="C26" s="48" t="s">
        <v>78</v>
      </c>
      <c r="D26" s="49" t="s">
        <v>85</v>
      </c>
      <c r="E26" s="50"/>
      <c r="F26" s="50">
        <v>21000</v>
      </c>
      <c r="G26" s="51">
        <f t="shared" si="1"/>
        <v>3041.31</v>
      </c>
    </row>
    <row r="27" spans="1:7">
      <c r="A27" s="41">
        <v>6</v>
      </c>
      <c r="B27" s="47" t="s">
        <v>77</v>
      </c>
      <c r="C27" s="48" t="s">
        <v>78</v>
      </c>
      <c r="D27" s="49" t="s">
        <v>86</v>
      </c>
      <c r="E27" s="50">
        <v>49836.4</v>
      </c>
      <c r="F27" s="50"/>
      <c r="G27" s="51">
        <f t="shared" si="1"/>
        <v>52877.71</v>
      </c>
    </row>
    <row r="28" spans="1:7">
      <c r="A28" s="41">
        <v>7</v>
      </c>
      <c r="B28" s="47" t="s">
        <v>80</v>
      </c>
      <c r="C28" s="48" t="s">
        <v>78</v>
      </c>
      <c r="D28" s="49" t="s">
        <v>87</v>
      </c>
      <c r="E28" s="50"/>
      <c r="F28" s="50">
        <v>1</v>
      </c>
      <c r="G28" s="51">
        <f t="shared" si="1"/>
        <v>52876.71</v>
      </c>
    </row>
    <row r="29" spans="1:7">
      <c r="A29" s="41">
        <v>8</v>
      </c>
      <c r="B29" s="47" t="s">
        <v>82</v>
      </c>
      <c r="C29" s="48" t="s">
        <v>78</v>
      </c>
      <c r="D29" s="49" t="s">
        <v>88</v>
      </c>
      <c r="E29" s="50"/>
      <c r="F29" s="50">
        <v>5000</v>
      </c>
      <c r="G29" s="51">
        <f t="shared" si="1"/>
        <v>47876.71</v>
      </c>
    </row>
    <row r="30" spans="1:7">
      <c r="E30" s="28" t="s">
        <v>61</v>
      </c>
      <c r="F30" s="28" t="s">
        <v>8</v>
      </c>
      <c r="G30" s="28" t="s">
        <v>9</v>
      </c>
    </row>
    <row r="31" spans="1:7">
      <c r="E31" s="29" t="s">
        <v>77</v>
      </c>
      <c r="F31" s="29">
        <v>74124.13</v>
      </c>
      <c r="G31" s="29"/>
    </row>
    <row r="32" spans="1:7">
      <c r="E32" s="29" t="s">
        <v>80</v>
      </c>
      <c r="F32" s="29"/>
      <c r="G32" s="29">
        <v>2</v>
      </c>
    </row>
    <row r="33" spans="5:7">
      <c r="E33" s="52" t="s">
        <v>82</v>
      </c>
      <c r="F33" s="29"/>
      <c r="G33" s="29">
        <v>10000</v>
      </c>
    </row>
    <row r="34" spans="5:7">
      <c r="E34" s="29" t="s">
        <v>84</v>
      </c>
      <c r="F34" s="29"/>
      <c r="G34" s="29">
        <v>21000</v>
      </c>
    </row>
    <row r="35" spans="5:7">
      <c r="E35" s="29" t="s">
        <v>74</v>
      </c>
      <c r="F35" s="29">
        <f>SUM(F31:F34)</f>
        <v>74124.13</v>
      </c>
      <c r="G35" s="29">
        <f>SUM(G31:G34)</f>
        <v>31002</v>
      </c>
    </row>
  </sheetData>
  <mergeCells count="9">
    <mergeCell ref="A1:G1"/>
    <mergeCell ref="A19:G19"/>
    <mergeCell ref="A2:A3"/>
    <mergeCell ref="A20:A21"/>
    <mergeCell ref="B2:B3"/>
    <mergeCell ref="B20:B21"/>
    <mergeCell ref="C20:C21"/>
    <mergeCell ref="D2:D3"/>
    <mergeCell ref="D20:D2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</vt:lpstr>
      <vt:lpstr>银行存款2个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2026-09-08T10:33:00Z</dcterms:created>
  <dcterms:modified xsi:type="dcterms:W3CDTF">2026-09-12T06:26:57Z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2026-09-08T06:03:36Z</vt:filetime>
  </property>
  <property fmtid="{D5CDD505-2E9C-101B-9397-08002B2CF9AE}" pid="4" name="ICV">
    <vt:lpwstr>E32163066CDE44B8A1FDC4E2EEF5DFD6_13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