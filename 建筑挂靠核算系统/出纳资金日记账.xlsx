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资金日记账" sheetId="1" state="visible" r:id="rId3"/>
    <sheet name="对照清单" sheetId="2" state="visible" r:id="rId4"/>
  </sheets>
  <definedNames>
    <definedName function="false" hidden="true" localSheetId="0" name="_xlnm._FilterDatabase" vbProcedure="false">资金日记账!$A$4:$Q$804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<sst xmlns="http://schemas.openxmlformats.org/spreadsheetml/2006/main" count="244" uniqueCount="233">
  <si>
    <r>
      <rPr>
        <b val="true"/>
        <sz val="16"/>
        <color rgb="FF1F4E79"/>
        <rFont val="WenQuanYi Zen Hei"/>
        <family val="2"/>
      </rPr>
      <t xml:space="preserve">出　纳　资　金　日　记　账（泓普 </t>
    </r>
    <r>
      <rPr>
        <b val="true"/>
        <sz val="16"/>
        <color rgb="FF1F4E79"/>
        <rFont val="微软雅黑"/>
        <family val="0"/>
        <charset val="1"/>
      </rPr>
      <t xml:space="preserve">· </t>
    </r>
    <r>
      <rPr>
        <b val="true"/>
        <sz val="16"/>
        <color rgb="FF1F4E79"/>
        <rFont val="WenQuanYi Zen Hei"/>
        <family val="2"/>
      </rPr>
      <t xml:space="preserve">仟茂 </t>
    </r>
    <r>
      <rPr>
        <b val="true"/>
        <sz val="16"/>
        <color rgb="FF1F4E79"/>
        <rFont val="微软雅黑"/>
        <family val="0"/>
        <charset val="1"/>
      </rPr>
      <t xml:space="preserve">· </t>
    </r>
    <r>
      <rPr>
        <b val="true"/>
        <sz val="16"/>
        <color rgb="FF1F4E79"/>
        <rFont val="WenQuanYi Zen Hei"/>
        <family val="2"/>
      </rPr>
      <t xml:space="preserve">现金 混合录入）</t>
    </r>
  </si>
  <si>
    <t xml:space="preserve">期初余额</t>
  </si>
  <si>
    <t xml:space="preserve">泓普</t>
  </si>
  <si>
    <t xml:space="preserve">仟茂</t>
  </si>
  <si>
    <t xml:space="preserve">现金</t>
  </si>
  <si>
    <r>
      <rPr>
        <sz val="9"/>
        <color rgb="FF808080"/>
        <rFont val="WenQuanYi Zen Hei"/>
        <family val="2"/>
      </rPr>
      <t xml:space="preserve">三个账户混在一起、按日期顺着往下录。淡黄色格子是你要填的，灰色的自动算。
录完怎么交回财务：选中 </t>
    </r>
    <r>
      <rPr>
        <sz val="9"/>
        <color rgb="FF808080"/>
        <rFont val="微软雅黑"/>
        <family val="0"/>
        <charset val="1"/>
      </rPr>
      <t xml:space="preserve">B </t>
    </r>
    <r>
      <rPr>
        <sz val="9"/>
        <color rgb="FF808080"/>
        <rFont val="WenQuanYi Zen Hei"/>
        <family val="2"/>
      </rPr>
      <t xml:space="preserve">列到 </t>
    </r>
    <r>
      <rPr>
        <sz val="9"/>
        <color rgb="FF808080"/>
        <rFont val="微软雅黑"/>
        <family val="0"/>
        <charset val="1"/>
      </rPr>
      <t xml:space="preserve">J </t>
    </r>
    <r>
      <rPr>
        <sz val="9"/>
        <color rgb="FF808080"/>
        <rFont val="WenQuanYi Zen Hei"/>
        <family val="2"/>
      </rPr>
      <t xml:space="preserve">列这一整块 → 复制 → 打开主册《建筑挂靠业务核算系统》的【资金日记账】→ 点到第一行空白行的 </t>
    </r>
    <r>
      <rPr>
        <sz val="9"/>
        <color rgb="FF808080"/>
        <rFont val="微软雅黑"/>
        <family val="0"/>
        <charset val="1"/>
      </rPr>
      <t xml:space="preserve">B </t>
    </r>
    <r>
      <rPr>
        <sz val="9"/>
        <color rgb="FF808080"/>
        <rFont val="WenQuanYi Zen Hei"/>
        <family val="2"/>
      </rPr>
      <t xml:space="preserve">列 → 右键「选择性粘贴 → 数值」；有工程回款的，再把 </t>
    </r>
    <r>
      <rPr>
        <sz val="9"/>
        <color rgb="FF808080"/>
        <rFont val="微软雅黑"/>
        <family val="0"/>
        <charset val="1"/>
      </rPr>
      <t xml:space="preserve">M </t>
    </r>
    <r>
      <rPr>
        <sz val="9"/>
        <color rgb="FF808080"/>
        <rFont val="WenQuanYi Zen Hei"/>
        <family val="2"/>
      </rPr>
      <t xml:space="preserve">列同样粘一次。两边列序完全一样，不用对列。</t>
    </r>
  </si>
  <si>
    <r>
      <rPr>
        <sz val="9"/>
        <color rgb="FF808080"/>
        <rFont val="WenQuanYi Zen Hei"/>
        <family val="2"/>
      </rPr>
      <t xml:space="preserve">↓ 淡黄色 </t>
    </r>
    <r>
      <rPr>
        <sz val="9"/>
        <color rgb="FF808080"/>
        <rFont val="微软雅黑"/>
        <family val="0"/>
        <charset val="1"/>
      </rPr>
      <t xml:space="preserve">= </t>
    </r>
    <r>
      <rPr>
        <sz val="9"/>
        <color rgb="FF808080"/>
        <rFont val="WenQuanYi Zen Hei"/>
        <family val="2"/>
      </rPr>
      <t xml:space="preserve">出纳要填的</t>
    </r>
  </si>
  <si>
    <r>
      <rPr>
        <sz val="9"/>
        <color rgb="FF808080"/>
        <rFont val="WenQuanYi Zen Hei"/>
        <family val="2"/>
      </rPr>
      <t xml:space="preserve">↓ 灰色 </t>
    </r>
    <r>
      <rPr>
        <sz val="9"/>
        <color rgb="FF808080"/>
        <rFont val="微软雅黑"/>
        <family val="0"/>
        <charset val="1"/>
      </rPr>
      <t xml:space="preserve">= </t>
    </r>
    <r>
      <rPr>
        <sz val="9"/>
        <color rgb="FF808080"/>
        <rFont val="WenQuanYi Zen Hei"/>
        <family val="2"/>
      </rPr>
      <t xml:space="preserve">自动算的，别手工改</t>
    </r>
  </si>
  <si>
    <t xml:space="preserve">序号</t>
  </si>
  <si>
    <t xml:space="preserve">日期</t>
  </si>
  <si>
    <t xml:space="preserve">资金账户</t>
  </si>
  <si>
    <t xml:space="preserve">项目编号</t>
  </si>
  <si>
    <t xml:space="preserve">费用类型</t>
  </si>
  <si>
    <t xml:space="preserve">往来单位</t>
  </si>
  <si>
    <t xml:space="preserve">经办人</t>
  </si>
  <si>
    <t xml:space="preserve">摘要</t>
  </si>
  <si>
    <t xml:space="preserve">收入</t>
  </si>
  <si>
    <t xml:space="preserve">支出</t>
  </si>
  <si>
    <t xml:space="preserve">该账户余额</t>
  </si>
  <si>
    <t xml:space="preserve">三账户合计</t>
  </si>
  <si>
    <t xml:space="preserve">工程
回款</t>
  </si>
  <si>
    <t xml:space="preserve">校验</t>
  </si>
  <si>
    <t xml:space="preserve">项目简称</t>
  </si>
  <si>
    <t xml:space="preserve">年月</t>
  </si>
  <si>
    <t xml:space="preserve">年度</t>
  </si>
  <si>
    <r>
      <rPr>
        <sz val="9"/>
        <color rgb="FF808080"/>
        <rFont val="WenQuanYi Zen Hei"/>
        <family val="2"/>
      </rPr>
      <t xml:space="preserve">交回财务的步骤：① 选中 </t>
    </r>
    <r>
      <rPr>
        <sz val="9"/>
        <color rgb="FF808080"/>
        <rFont val="微软雅黑"/>
        <family val="0"/>
        <charset val="1"/>
      </rPr>
      <t xml:space="preserve">B5:J804 </t>
    </r>
    <r>
      <rPr>
        <sz val="9"/>
        <color rgb="FF808080"/>
        <rFont val="WenQuanYi Zen Hei"/>
        <family val="2"/>
      </rPr>
      <t xml:space="preserve">整块 → 复制；② 打开主册《建筑挂靠业务核算系统》的【资金日记账】，点到第一行空白行的 </t>
    </r>
    <r>
      <rPr>
        <sz val="9"/>
        <color rgb="FF808080"/>
        <rFont val="微软雅黑"/>
        <family val="0"/>
        <charset val="1"/>
      </rPr>
      <t xml:space="preserve">B </t>
    </r>
    <r>
      <rPr>
        <sz val="9"/>
        <color rgb="FF808080"/>
        <rFont val="WenQuanYi Zen Hei"/>
        <family val="2"/>
      </rPr>
      <t xml:space="preserve">列 → 右键「选择性粘贴 → 数值」；③ 有工程回款的，再把 </t>
    </r>
    <r>
      <rPr>
        <sz val="9"/>
        <color rgb="FF808080"/>
        <rFont val="微软雅黑"/>
        <family val="0"/>
        <charset val="1"/>
      </rPr>
      <t xml:space="preserve">M5:M804 </t>
    </r>
    <r>
      <rPr>
        <sz val="9"/>
        <color rgb="FF808080"/>
        <rFont val="WenQuanYi Zen Hei"/>
        <family val="2"/>
      </rPr>
      <t xml:space="preserve">同样粘到主册 </t>
    </r>
    <r>
      <rPr>
        <sz val="9"/>
        <color rgb="FF808080"/>
        <rFont val="微软雅黑"/>
        <family val="0"/>
        <charset val="1"/>
      </rPr>
      <t xml:space="preserve">M </t>
    </r>
    <r>
      <rPr>
        <sz val="9"/>
        <color rgb="FF808080"/>
        <rFont val="WenQuanYi Zen Hei"/>
        <family val="2"/>
      </rPr>
      <t xml:space="preserve">列对应位置；④ 粘完在主册上看一眼「校验」列全是 √ 就完事。⑤ 本册不参与主册的任何汇总，主册只认它自己那张【资金日记账】，所以不会重复算。</t>
    </r>
  </si>
  <si>
    <t xml:space="preserve">对　照　清　单（从主册抄过来的死值，出纳不用改）</t>
  </si>
  <si>
    <t xml:space="preserve">★ 这张表只是给左边【资金日记账】的下拉用的。主册那边加了新项目或新单位，让财务重新发一本给你，或者直接在这里照着补一行。</t>
  </si>
  <si>
    <t xml:space="preserve">项目全称</t>
  </si>
  <si>
    <t xml:space="preserve">A001</t>
  </si>
  <si>
    <r>
      <rPr>
        <sz val="10"/>
        <rFont val="WenQuanYi Zen Hei"/>
        <family val="2"/>
      </rPr>
      <t xml:space="preserve">平双线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</si>
  <si>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平双线新建联络工程</t>
    </r>
  </si>
  <si>
    <t xml:space="preserve">民能</t>
  </si>
  <si>
    <t xml:space="preserve">工程回款</t>
  </si>
  <si>
    <t xml:space="preserve">A002</t>
  </si>
  <si>
    <r>
      <rPr>
        <sz val="10"/>
        <rFont val="WenQuanYi Zen Hei"/>
        <family val="2"/>
      </rPr>
      <t xml:space="preserve">水羊线金鸡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（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）社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</si>
  <si>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水羊线金鸡</t>
    </r>
    <r>
      <rPr>
        <sz val="10"/>
        <rFont val="微软雅黑"/>
        <family val="0"/>
        <charset val="1"/>
      </rPr>
      <t xml:space="preserve">3(4)</t>
    </r>
    <r>
      <rPr>
        <sz val="10"/>
        <rFont val="WenQuanYi Zen Hei"/>
        <family val="2"/>
      </rPr>
      <t xml:space="preserve">社台区重过载治理工程</t>
    </r>
  </si>
  <si>
    <t xml:space="preserve">铜梁供电</t>
  </si>
  <si>
    <t xml:space="preserve">货款</t>
  </si>
  <si>
    <t xml:space="preserve">A003</t>
  </si>
  <si>
    <r>
      <rPr>
        <sz val="10"/>
        <rFont val="WenQuanYi Zen Hei"/>
        <family val="2"/>
      </rPr>
      <t xml:space="preserve">龙羊线七佛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社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</si>
  <si>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龙羊线七佛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社台区重过载治理工程</t>
    </r>
  </si>
  <si>
    <t xml:space="preserve">德誉嘉</t>
  </si>
  <si>
    <t xml:space="preserve">借款</t>
  </si>
  <si>
    <t xml:space="preserve">A004</t>
  </si>
  <si>
    <r>
      <rPr>
        <sz val="10"/>
        <rFont val="WenQuanYi Zen Hei"/>
        <family val="2"/>
      </rPr>
      <t xml:space="preserve">少柏线池塘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社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</si>
  <si>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少柏线池塘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社柱台区电压越限治理工程</t>
    </r>
  </si>
  <si>
    <t xml:space="preserve">迅驰</t>
  </si>
  <si>
    <t xml:space="preserve">还借款</t>
  </si>
  <si>
    <t xml:space="preserve">A005</t>
  </si>
  <si>
    <r>
      <rPr>
        <sz val="10"/>
        <rFont val="WenQuanYi Zen Hei"/>
        <family val="2"/>
      </rPr>
      <t xml:space="preserve">少柏线团山</t>
    </r>
    <r>
      <rPr>
        <sz val="10"/>
        <rFont val="微软雅黑"/>
        <family val="0"/>
        <charset val="1"/>
      </rPr>
      <t xml:space="preserve">7.6.11</t>
    </r>
    <r>
      <rPr>
        <sz val="10"/>
        <rFont val="WenQuanYi Zen Hei"/>
        <family val="2"/>
      </rPr>
      <t xml:space="preserve">社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</si>
  <si>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少柏线团山</t>
    </r>
    <r>
      <rPr>
        <sz val="10"/>
        <rFont val="微软雅黑"/>
        <family val="0"/>
        <charset val="1"/>
      </rPr>
      <t xml:space="preserve">7.6.11</t>
    </r>
    <r>
      <rPr>
        <sz val="10"/>
        <rFont val="WenQuanYi Zen Hei"/>
        <family val="2"/>
      </rPr>
      <t xml:space="preserve">社台区电压越限治理工程</t>
    </r>
  </si>
  <si>
    <t xml:space="preserve">华城</t>
  </si>
  <si>
    <t xml:space="preserve">工资</t>
  </si>
  <si>
    <t xml:space="preserve">A006</t>
  </si>
  <si>
    <r>
      <rPr>
        <sz val="10"/>
        <rFont val="WenQuanYi Zen Hei"/>
        <family val="2"/>
      </rPr>
      <t xml:space="preserve">平凉线惠丰</t>
    </r>
    <r>
      <rPr>
        <sz val="10"/>
        <rFont val="微软雅黑"/>
        <family val="0"/>
        <charset val="1"/>
      </rPr>
      <t xml:space="preserve">9</t>
    </r>
    <r>
      <rPr>
        <sz val="10"/>
        <rFont val="WenQuanYi Zen Hei"/>
        <family val="2"/>
      </rPr>
      <t xml:space="preserve">社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</si>
  <si>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平凉线惠丰</t>
    </r>
    <r>
      <rPr>
        <sz val="10"/>
        <rFont val="微软雅黑"/>
        <family val="0"/>
        <charset val="1"/>
      </rPr>
      <t xml:space="preserve">9</t>
    </r>
    <r>
      <rPr>
        <sz val="10"/>
        <rFont val="WenQuanYi Zen Hei"/>
        <family val="2"/>
      </rPr>
      <t xml:space="preserve">社等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个台区重过载治理工程</t>
    </r>
  </si>
  <si>
    <t xml:space="preserve">金沁</t>
  </si>
  <si>
    <t xml:space="preserve">社保</t>
  </si>
  <si>
    <t xml:space="preserve">A007</t>
  </si>
  <si>
    <r>
      <rPr>
        <sz val="10"/>
        <rFont val="WenQuanYi Zen Hei"/>
        <family val="2"/>
      </rPr>
      <t xml:space="preserve">平滩所何银强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</si>
  <si>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重庆德誉佳实业有限公司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2025</t>
    </r>
    <r>
      <rPr>
        <sz val="10"/>
        <rFont val="WenQuanYi Zen Hei"/>
        <family val="2"/>
      </rPr>
      <t xml:space="preserve">年成本类优化营商环境项目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平滩所何银强等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个低压业扩工程</t>
    </r>
    <r>
      <rPr>
        <sz val="10"/>
        <rFont val="微软雅黑"/>
        <family val="0"/>
        <charset val="1"/>
      </rPr>
      <t xml:space="preserve">)</t>
    </r>
  </si>
  <si>
    <t xml:space="preserve">湖南锦泰</t>
  </si>
  <si>
    <t xml:space="preserve">材料费</t>
  </si>
  <si>
    <t xml:space="preserve">A008</t>
  </si>
  <si>
    <r>
      <rPr>
        <sz val="10"/>
        <rFont val="WenQuanYi Zen Hei"/>
        <family val="2"/>
      </rPr>
      <t xml:space="preserve">金湖东西线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</si>
  <si>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重庆德誉佳实业有限公司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年度工程用施工机具等租赁服务框架采购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国网重庆铜梁公司</t>
    </r>
    <r>
      <rPr>
        <sz val="10"/>
        <rFont val="微软雅黑"/>
        <family val="0"/>
        <charset val="1"/>
      </rPr>
      <t xml:space="preserve">110kV</t>
    </r>
    <r>
      <rPr>
        <sz val="10"/>
        <rFont val="WenQuanYi Zen Hei"/>
        <family val="2"/>
      </rPr>
      <t xml:space="preserve">金湖东西电缆改造</t>
    </r>
    <r>
      <rPr>
        <sz val="10"/>
        <rFont val="微软雅黑"/>
        <family val="0"/>
        <charset val="1"/>
      </rPr>
      <t xml:space="preserve">)</t>
    </r>
  </si>
  <si>
    <t xml:space="preserve">康欣</t>
  </si>
  <si>
    <t xml:space="preserve">运费</t>
  </si>
  <si>
    <t xml:space="preserve">A009</t>
  </si>
  <si>
    <r>
      <rPr>
        <sz val="10"/>
        <rFont val="WenQuanYi Zen Hei"/>
        <family val="2"/>
      </rPr>
      <t xml:space="preserve">侣新线铜安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</si>
  <si>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批德誉佳施工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侣新线铜安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)</t>
    </r>
  </si>
  <si>
    <t xml:space="preserve">安锐</t>
  </si>
  <si>
    <t xml:space="preserve">餐费</t>
  </si>
  <si>
    <t xml:space="preserve">A010</t>
  </si>
  <si>
    <r>
      <rPr>
        <sz val="10"/>
        <rFont val="WenQuanYi Zen Hei"/>
        <family val="2"/>
      </rPr>
      <t xml:space="preserve">侣新线铜安</t>
    </r>
    <r>
      <rPr>
        <sz val="10"/>
        <rFont val="微软雅黑"/>
        <family val="0"/>
        <charset val="1"/>
      </rPr>
      <t xml:space="preserve">9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</si>
  <si>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批德誉佳施工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侣新线铜安</t>
    </r>
    <r>
      <rPr>
        <sz val="10"/>
        <rFont val="微软雅黑"/>
        <family val="0"/>
        <charset val="1"/>
      </rPr>
      <t xml:space="preserve">9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)</t>
    </r>
  </si>
  <si>
    <t xml:space="preserve">杰华</t>
  </si>
  <si>
    <t xml:space="preserve">耗材费</t>
  </si>
  <si>
    <t xml:space="preserve">A011</t>
  </si>
  <si>
    <r>
      <rPr>
        <sz val="10"/>
        <rFont val="WenQuanYi Zen Hei"/>
        <family val="2"/>
      </rPr>
      <t xml:space="preserve">平双线群益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</si>
  <si>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批德誉佳施工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平双线群益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)</t>
    </r>
  </si>
  <si>
    <t xml:space="preserve">办公费用</t>
  </si>
  <si>
    <t xml:space="preserve">A012</t>
  </si>
  <si>
    <r>
      <rPr>
        <sz val="10"/>
        <rFont val="WenQuanYi Zen Hei"/>
        <family val="2"/>
      </rPr>
      <t xml:space="preserve">平镇线新桥社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</si>
  <si>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批德誉佳施工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平镇线新桥社台区重过载治理工程</t>
    </r>
    <r>
      <rPr>
        <sz val="10"/>
        <rFont val="微软雅黑"/>
        <family val="0"/>
        <charset val="1"/>
      </rPr>
      <t xml:space="preserve">)</t>
    </r>
  </si>
  <si>
    <t xml:space="preserve">维修费</t>
  </si>
  <si>
    <t xml:space="preserve">A013</t>
  </si>
  <si>
    <r>
      <rPr>
        <sz val="10"/>
        <rFont val="WenQuanYi Zen Hei"/>
        <family val="2"/>
      </rPr>
      <t xml:space="preserve">侣新线凤飞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</si>
  <si>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批德誉佳施工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侣新线凤飞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)</t>
    </r>
  </si>
  <si>
    <t xml:space="preserve">税局</t>
  </si>
  <si>
    <t xml:space="preserve">青苗费</t>
  </si>
  <si>
    <t xml:space="preserve">A014</t>
  </si>
  <si>
    <r>
      <rPr>
        <sz val="10"/>
        <rFont val="WenQuanYi Zen Hei"/>
        <family val="2"/>
      </rPr>
      <t xml:space="preserve">黄荆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社</t>
    </r>
  </si>
  <si>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黄荆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社等台区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个隐患治理项目、三湾</t>
    </r>
    <r>
      <rPr>
        <sz val="10"/>
        <rFont val="微软雅黑"/>
        <family val="0"/>
        <charset val="1"/>
      </rPr>
      <t xml:space="preserve">1.2</t>
    </r>
    <r>
      <rPr>
        <sz val="10"/>
        <rFont val="WenQuanYi Zen Hei"/>
        <family val="2"/>
      </rPr>
      <t xml:space="preserve">社等台区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个应急抢修项目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</si>
  <si>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管理费率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返现率已取消：请到【业务流水】的「管理费率」「返现率」两列逐笔填（淡黄色格子）。历史 </t>
    </r>
    <r>
      <rPr>
        <sz val="10"/>
        <rFont val="微软雅黑"/>
        <family val="0"/>
        <charset val="1"/>
      </rPr>
      <t xml:space="preserve">3xx </t>
    </r>
    <r>
      <rPr>
        <sz val="10"/>
        <rFont val="WenQuanYi Zen Hei"/>
        <family val="2"/>
      </rPr>
      <t xml:space="preserve">行已按你那份《对账明细》逐笔写死，一分没动。　　这里的税率参数只驱动【业务流水】最右边那一列「税费参考试算」，供录入时对照，不参与任何汇总：税差法＝上游销项税−我方成本票进项税；全额销项法＝开票额</t>
    </r>
    <r>
      <rPr>
        <sz val="10"/>
        <rFont val="微软雅黑"/>
        <family val="0"/>
        <charset val="1"/>
      </rPr>
      <t xml:space="preserve">÷(1+</t>
    </r>
    <r>
      <rPr>
        <sz val="10"/>
        <rFont val="WenQuanYi Zen Hei"/>
        <family val="2"/>
      </rPr>
      <t xml:space="preserve">上游税率</t>
    </r>
    <r>
      <rPr>
        <sz val="10"/>
        <rFont val="微软雅黑"/>
        <family val="0"/>
        <charset val="1"/>
      </rPr>
      <t xml:space="preserve">)×</t>
    </r>
    <r>
      <rPr>
        <sz val="10"/>
        <rFont val="WenQuanYi Zen Hei"/>
        <family val="2"/>
      </rPr>
      <t xml:space="preserve">上游税率；预征率法＝开票额</t>
    </r>
    <r>
      <rPr>
        <sz val="10"/>
        <rFont val="微软雅黑"/>
        <family val="0"/>
        <charset val="1"/>
      </rPr>
      <t xml:space="preserve">÷(1+</t>
    </r>
    <r>
      <rPr>
        <sz val="10"/>
        <rFont val="WenQuanYi Zen Hei"/>
        <family val="2"/>
      </rPr>
      <t xml:space="preserve">上游税率</t>
    </r>
    <r>
      <rPr>
        <sz val="10"/>
        <rFont val="微软雅黑"/>
        <family val="0"/>
        <charset val="1"/>
      </rPr>
      <t xml:space="preserve">)×</t>
    </r>
    <r>
      <rPr>
        <sz val="10"/>
        <rFont val="WenQuanYi Zen Hei"/>
        <family val="2"/>
      </rPr>
      <t xml:space="preserve">预征率。真正入账的税费在【业务流水】</t>
    </r>
    <r>
      <rPr>
        <sz val="10"/>
        <rFont val="微软雅黑"/>
        <family val="0"/>
        <charset val="1"/>
      </rPr>
      <t xml:space="preserve">O~R </t>
    </r>
    <r>
      <rPr>
        <sz val="10"/>
        <rFont val="WenQuanYi Zen Hei"/>
        <family val="2"/>
      </rPr>
      <t xml:space="preserve">四列按实际逐笔录。</t>
    </r>
  </si>
  <si>
    <t xml:space="preserve">饮用水费用</t>
  </si>
  <si>
    <t xml:space="preserve">A015</t>
  </si>
  <si>
    <r>
      <rPr>
        <sz val="10"/>
        <rFont val="WenQuanYi Zen Hei"/>
        <family val="2"/>
      </rPr>
      <t xml:space="preserve">永嘉所许家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</si>
  <si>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永嘉所许家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等台区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个隐患治理项目</t>
    </r>
    <r>
      <rPr>
        <sz val="10"/>
        <rFont val="微软雅黑"/>
        <family val="0"/>
        <charset val="1"/>
      </rPr>
      <t xml:space="preserve">))</t>
    </r>
  </si>
  <si>
    <t xml:space="preserve">转备用金</t>
  </si>
  <si>
    <t xml:space="preserve">A016</t>
  </si>
  <si>
    <r>
      <rPr>
        <sz val="10"/>
        <rFont val="WenQuanYi Zen Hei"/>
        <family val="2"/>
      </rPr>
      <t xml:space="preserve">永嘉所高丰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</si>
  <si>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永嘉所高丰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社等台区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个应急抢修项目</t>
    </r>
    <r>
      <rPr>
        <sz val="10"/>
        <rFont val="微软雅黑"/>
        <family val="0"/>
        <charset val="1"/>
      </rPr>
      <t xml:space="preserve">))</t>
    </r>
  </si>
  <si>
    <t xml:space="preserve">手续费</t>
  </si>
  <si>
    <t xml:space="preserve">A017</t>
  </si>
  <si>
    <r>
      <rPr>
        <sz val="10"/>
        <rFont val="WenQuanYi Zen Hei"/>
        <family val="2"/>
      </rPr>
      <t xml:space="preserve">永嘉所义和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</si>
  <si>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永嘉所义和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社等台区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个对地不足隐患治理项目</t>
    </r>
    <r>
      <rPr>
        <sz val="10"/>
        <rFont val="微软雅黑"/>
        <family val="0"/>
        <charset val="1"/>
      </rPr>
      <t xml:space="preserve">))</t>
    </r>
  </si>
  <si>
    <t xml:space="preserve">燃油费</t>
  </si>
  <si>
    <t xml:space="preserve">A018</t>
  </si>
  <si>
    <r>
      <rPr>
        <sz val="10"/>
        <rFont val="WenQuanYi Zen Hei"/>
        <family val="2"/>
      </rPr>
      <t xml:space="preserve">输电运检中心线路接地隐患消除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</si>
  <si>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微软雅黑"/>
        <family val="0"/>
        <charset val="1"/>
      </rPr>
      <t xml:space="preserve">35kV</t>
    </r>
    <r>
      <rPr>
        <sz val="10"/>
        <rFont val="WenQuanYi Zen Hei"/>
        <family val="2"/>
      </rPr>
      <t xml:space="preserve">输电专业应急抢修检修外包项目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输电运检中心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微软雅黑"/>
        <family val="0"/>
        <charset val="1"/>
      </rPr>
      <t xml:space="preserve">35kV</t>
    </r>
    <r>
      <rPr>
        <sz val="10"/>
        <rFont val="WenQuanYi Zen Hei"/>
        <family val="2"/>
      </rPr>
      <t xml:space="preserve">线路接地隐患消除等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))</t>
    </r>
  </si>
  <si>
    <t xml:space="preserve">税费</t>
  </si>
  <si>
    <t xml:space="preserve">A019</t>
  </si>
  <si>
    <r>
      <rPr>
        <sz val="10"/>
        <rFont val="WenQuanYi Zen Hei"/>
        <family val="2"/>
      </rPr>
      <t xml:space="preserve">少盘线哨楼村支线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</si>
  <si>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(10kV</t>
    </r>
    <r>
      <rPr>
        <sz val="10"/>
        <rFont val="WenQuanYi Zen Hei"/>
        <family val="2"/>
      </rPr>
      <t xml:space="preserve">少盘线哨楼村支线</t>
    </r>
    <r>
      <rPr>
        <sz val="10"/>
        <rFont val="微软雅黑"/>
        <family val="0"/>
        <charset val="1"/>
      </rPr>
      <t xml:space="preserve">#1</t>
    </r>
    <r>
      <rPr>
        <sz val="10"/>
        <rFont val="WenQuanYi Zen Hei"/>
        <family val="2"/>
      </rPr>
      <t xml:space="preserve">杆线路迁改工程</t>
    </r>
    <r>
      <rPr>
        <sz val="10"/>
        <rFont val="微软雅黑"/>
        <family val="0"/>
        <charset val="1"/>
      </rPr>
      <t xml:space="preserve">)</t>
    </r>
  </si>
  <si>
    <t xml:space="preserve">管理费</t>
  </si>
  <si>
    <t xml:space="preserve">A020</t>
  </si>
  <si>
    <t xml:space="preserve">大太线</t>
  </si>
  <si>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年度工程用施工机具等租赁服务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大太线老旧线路改造工程</t>
    </r>
    <r>
      <rPr>
        <sz val="10"/>
        <rFont val="微软雅黑"/>
        <family val="0"/>
        <charset val="1"/>
      </rPr>
      <t xml:space="preserve">)</t>
    </r>
  </si>
  <si>
    <t xml:space="preserve">租赁费</t>
  </si>
  <si>
    <t xml:space="preserve">A021</t>
  </si>
  <si>
    <t xml:space="preserve">平滩农光互补项目</t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</si>
  <si>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华润电力重庆能源铜梁平滩农光互补项目</t>
    </r>
    <r>
      <rPr>
        <sz val="10"/>
        <rFont val="微软雅黑"/>
        <family val="0"/>
        <charset val="1"/>
      </rPr>
      <t xml:space="preserve">220kV</t>
    </r>
    <r>
      <rPr>
        <sz val="10"/>
        <rFont val="WenQuanYi Zen Hei"/>
        <family val="2"/>
      </rPr>
      <t xml:space="preserve">升压站</t>
    </r>
    <r>
      <rPr>
        <sz val="10"/>
        <rFont val="微软雅黑"/>
        <family val="0"/>
        <charset val="1"/>
      </rPr>
      <t xml:space="preserve">PC</t>
    </r>
    <r>
      <rPr>
        <sz val="10"/>
        <rFont val="WenQuanYi Zen Hei"/>
        <family val="2"/>
      </rPr>
      <t xml:space="preserve">工程</t>
    </r>
    <r>
      <rPr>
        <sz val="10"/>
        <rFont val="微软雅黑"/>
        <family val="0"/>
        <charset val="1"/>
      </rPr>
      <t xml:space="preserve">)</t>
    </r>
  </si>
  <si>
    <t xml:space="preserve">考核款</t>
  </si>
  <si>
    <t xml:space="preserve">A022</t>
  </si>
  <si>
    <t xml:space="preserve">充电桩新装用电工程</t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</si>
  <si>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重庆稷博汇物流有限公司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充电桩新装用电工程</t>
    </r>
    <r>
      <rPr>
        <sz val="10"/>
        <rFont val="微软雅黑"/>
        <family val="0"/>
        <charset val="1"/>
      </rPr>
      <t xml:space="preserve">)</t>
    </r>
  </si>
  <si>
    <t xml:space="preserve">账户年费</t>
  </si>
  <si>
    <t xml:space="preserve">A023</t>
  </si>
  <si>
    <r>
      <rPr>
        <sz val="10"/>
        <rFont val="WenQuanYi Zen Hei"/>
        <family val="2"/>
      </rPr>
      <t xml:space="preserve">永嘉所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西新线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德誉嘉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</si>
  <si>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永嘉所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西新线等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条线路综合检修项目</t>
    </r>
    <r>
      <rPr>
        <sz val="10"/>
        <rFont val="微软雅黑"/>
        <family val="0"/>
        <charset val="1"/>
      </rPr>
      <t xml:space="preserve">))</t>
    </r>
  </si>
  <si>
    <t xml:space="preserve">其他应收收回</t>
  </si>
  <si>
    <t xml:space="preserve">A024</t>
  </si>
  <si>
    <r>
      <rPr>
        <sz val="10"/>
        <rFont val="WenQuanYi Zen Hei"/>
        <family val="2"/>
      </rPr>
      <t xml:space="preserve">少柏线社田</t>
    </r>
    <r>
      <rPr>
        <sz val="10"/>
        <rFont val="微软雅黑"/>
        <family val="0"/>
        <charset val="1"/>
      </rPr>
      <t xml:space="preserve">1.6.7</t>
    </r>
    <r>
      <rPr>
        <sz val="10"/>
        <rFont val="WenQuanYi Zen Hei"/>
        <family val="2"/>
      </rPr>
      <t xml:space="preserve">社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</si>
  <si>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少柏线社田</t>
    </r>
    <r>
      <rPr>
        <sz val="10"/>
        <rFont val="微软雅黑"/>
        <family val="0"/>
        <charset val="1"/>
      </rPr>
      <t xml:space="preserve">1.6.7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机械费</t>
    </r>
    <r>
      <rPr>
        <sz val="10"/>
        <rFont val="微软雅黑"/>
        <family val="0"/>
        <charset val="1"/>
      </rPr>
      <t xml:space="preserve">)</t>
    </r>
  </si>
  <si>
    <t xml:space="preserve">其他应付支付</t>
  </si>
  <si>
    <t xml:space="preserve">A025</t>
  </si>
  <si>
    <t xml:space="preserve">大科新建联络工程</t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</si>
  <si>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大科新建联络工程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机械费</t>
    </r>
    <r>
      <rPr>
        <sz val="10"/>
        <rFont val="微软雅黑"/>
        <family val="0"/>
        <charset val="1"/>
      </rPr>
      <t xml:space="preserve">)</t>
    </r>
  </si>
  <si>
    <t xml:space="preserve">其他</t>
  </si>
  <si>
    <t xml:space="preserve">A026</t>
  </si>
  <si>
    <t xml:space="preserve">大岭线新建联络工程</t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</si>
  <si>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大岭线新建联络工程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机械费</t>
    </r>
    <r>
      <rPr>
        <sz val="10"/>
        <rFont val="微软雅黑"/>
        <family val="0"/>
        <charset val="1"/>
      </rPr>
      <t xml:space="preserve">)</t>
    </r>
  </si>
  <si>
    <t xml:space="preserve">A027</t>
  </si>
  <si>
    <t xml:space="preserve">物华天宝镀膜科技</t>
  </si>
  <si>
    <r>
      <rPr>
        <sz val="10"/>
        <rFont val="WenQuanYi Zen Hei"/>
        <family val="2"/>
      </rPr>
      <t xml:space="preserve">重庆铜梁重庆物华天宝镀膜科技有限公司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业扩配套工程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机械费</t>
    </r>
    <r>
      <rPr>
        <sz val="10"/>
        <rFont val="微软雅黑"/>
        <family val="0"/>
        <charset val="1"/>
      </rPr>
      <t xml:space="preserve">)</t>
    </r>
  </si>
  <si>
    <t xml:space="preserve">A028</t>
  </si>
  <si>
    <t xml:space="preserve">虎泉线</t>
  </si>
  <si>
    <t xml:space="preserve">A029</t>
  </si>
  <si>
    <t xml:space="preserve">安居所张绍华</t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</si>
  <si>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2025</t>
    </r>
    <r>
      <rPr>
        <sz val="10"/>
        <rFont val="WenQuanYi Zen Hei"/>
        <family val="2"/>
      </rPr>
      <t xml:space="preserve">年成本类优化营商环境项目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安居所张绍华等</t>
    </r>
    <r>
      <rPr>
        <sz val="10"/>
        <rFont val="微软雅黑"/>
        <family val="0"/>
        <charset val="1"/>
      </rPr>
      <t xml:space="preserve">10</t>
    </r>
    <r>
      <rPr>
        <sz val="10"/>
        <rFont val="WenQuanYi Zen Hei"/>
        <family val="2"/>
      </rPr>
      <t xml:space="preserve">个低压业扩项目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机械费</t>
    </r>
    <r>
      <rPr>
        <sz val="10"/>
        <rFont val="微软雅黑"/>
        <family val="0"/>
        <charset val="1"/>
      </rPr>
      <t xml:space="preserve">)</t>
    </r>
  </si>
  <si>
    <t xml:space="preserve">A030</t>
  </si>
  <si>
    <r>
      <rPr>
        <sz val="10"/>
        <rFont val="WenQuanYi Zen Hei"/>
        <family val="2"/>
      </rPr>
      <t xml:space="preserve">围塘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社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</si>
  <si>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年度工程用特种设备租赁服务框架采购、铜梁公司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围塘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社等台区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个隐患治理项目。大桥</t>
    </r>
    <r>
      <rPr>
        <sz val="10"/>
        <rFont val="微软雅黑"/>
        <family val="0"/>
        <charset val="1"/>
      </rPr>
      <t xml:space="preserve">7.8</t>
    </r>
    <r>
      <rPr>
        <sz val="10"/>
        <rFont val="WenQuanYi Zen Hei"/>
        <family val="2"/>
      </rPr>
      <t xml:space="preserve">社等台区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个应急抢修项目</t>
    </r>
    <r>
      <rPr>
        <sz val="10"/>
        <rFont val="微软雅黑"/>
        <family val="0"/>
        <charset val="1"/>
      </rPr>
      <t xml:space="preserve">)</t>
    </r>
    <r>
      <rPr>
        <sz val="10"/>
        <rFont val="WenQuanYi Zen Hei"/>
        <family val="2"/>
      </rPr>
      <t xml:space="preserve">机械费</t>
    </r>
  </si>
  <si>
    <t xml:space="preserve">A031</t>
  </si>
  <si>
    <t xml:space="preserve">峰盛模具箱变拆除</t>
  </si>
  <si>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年度工程用特种设备租赁服务框架采购、峰盛模具</t>
    </r>
    <r>
      <rPr>
        <sz val="10"/>
        <rFont val="微软雅黑"/>
        <family val="0"/>
        <charset val="1"/>
      </rPr>
      <t xml:space="preserve">ZBW-250KVA</t>
    </r>
    <r>
      <rPr>
        <sz val="10"/>
        <rFont val="WenQuanYi Zen Hei"/>
        <family val="2"/>
      </rPr>
      <t xml:space="preserve">箱变拆除工程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机械费</t>
    </r>
    <r>
      <rPr>
        <sz val="10"/>
        <rFont val="微软雅黑"/>
        <family val="0"/>
        <charset val="1"/>
      </rPr>
      <t xml:space="preserve">)</t>
    </r>
  </si>
  <si>
    <t xml:space="preserve">A032</t>
  </si>
  <si>
    <r>
      <rPr>
        <sz val="10"/>
        <rFont val="WenQuanYi Zen Hei"/>
        <family val="2"/>
      </rPr>
      <t xml:space="preserve">金湖东西线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迅驰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</si>
  <si>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年度工程用施工机具等租赁服务框架采购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国网重庆铜梁公司</t>
    </r>
    <r>
      <rPr>
        <sz val="10"/>
        <rFont val="微软雅黑"/>
        <family val="0"/>
        <charset val="1"/>
      </rPr>
      <t xml:space="preserve">110kV</t>
    </r>
    <r>
      <rPr>
        <sz val="10"/>
        <rFont val="WenQuanYi Zen Hei"/>
        <family val="2"/>
      </rPr>
      <t xml:space="preserve">金湖东西电缆改造</t>
    </r>
    <r>
      <rPr>
        <sz val="10"/>
        <rFont val="微软雅黑"/>
        <family val="0"/>
        <charset val="1"/>
      </rPr>
      <t xml:space="preserve">)</t>
    </r>
  </si>
  <si>
    <t xml:space="preserve">A033</t>
  </si>
  <si>
    <r>
      <rPr>
        <sz val="10"/>
        <rFont val="WenQuanYi Zen Hei"/>
        <family val="2"/>
      </rPr>
      <t xml:space="preserve">少盘线哨楼村支线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迅驰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</si>
  <si>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(10kV</t>
    </r>
    <r>
      <rPr>
        <sz val="10"/>
        <rFont val="WenQuanYi Zen Hei"/>
        <family val="2"/>
      </rPr>
      <t xml:space="preserve">少盘线哨楼村支线</t>
    </r>
    <r>
      <rPr>
        <sz val="10"/>
        <rFont val="微软雅黑"/>
        <family val="0"/>
        <charset val="1"/>
      </rPr>
      <t xml:space="preserve">#1</t>
    </r>
    <r>
      <rPr>
        <sz val="10"/>
        <rFont val="WenQuanYi Zen Hei"/>
        <family val="2"/>
      </rPr>
      <t xml:space="preserve">杆线路迁改工程</t>
    </r>
    <r>
      <rPr>
        <sz val="10"/>
        <rFont val="微软雅黑"/>
        <family val="0"/>
        <charset val="1"/>
      </rPr>
      <t xml:space="preserve">)</t>
    </r>
  </si>
  <si>
    <t xml:space="preserve">A034</t>
  </si>
  <si>
    <r>
      <rPr>
        <sz val="10"/>
        <rFont val="WenQuanYi Zen Hei"/>
        <family val="2"/>
      </rPr>
      <t xml:space="preserve">平双线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华城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</si>
  <si>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11kV</t>
    </r>
    <r>
      <rPr>
        <sz val="10"/>
        <rFont val="WenQuanYi Zen Hei"/>
        <family val="2"/>
      </rPr>
      <t xml:space="preserve">平双线新建联络工程</t>
    </r>
  </si>
  <si>
    <t xml:space="preserve">A035</t>
  </si>
  <si>
    <r>
      <rPr>
        <sz val="10"/>
        <rFont val="WenQuanYi Zen Hei"/>
        <family val="2"/>
      </rPr>
      <t xml:space="preserve">永嘉所许家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华城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</si>
  <si>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永嘉所许家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等台区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个隐患治理项目</t>
    </r>
    <r>
      <rPr>
        <sz val="10"/>
        <rFont val="微软雅黑"/>
        <family val="0"/>
        <charset val="1"/>
      </rPr>
      <t xml:space="preserve">)</t>
    </r>
  </si>
  <si>
    <t xml:space="preserve">A036</t>
  </si>
  <si>
    <r>
      <rPr>
        <sz val="10"/>
        <rFont val="WenQuanYi Zen Hei"/>
        <family val="2"/>
      </rPr>
      <t xml:space="preserve">永嘉所义和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华城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</si>
  <si>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永嘉所义和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社等台区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个对地不足隐患治理项目</t>
    </r>
    <r>
      <rPr>
        <sz val="10"/>
        <rFont val="微软雅黑"/>
        <family val="0"/>
        <charset val="1"/>
      </rPr>
      <t xml:space="preserve">)</t>
    </r>
  </si>
  <si>
    <t xml:space="preserve">A037</t>
  </si>
  <si>
    <r>
      <rPr>
        <sz val="10"/>
        <rFont val="WenQuanYi Zen Hei"/>
        <family val="2"/>
      </rPr>
      <t xml:space="preserve">永嘉所高丰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华城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</si>
  <si>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永嘉所高丰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社等台区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个应急抢修项目</t>
    </r>
    <r>
      <rPr>
        <sz val="10"/>
        <rFont val="微软雅黑"/>
        <family val="0"/>
        <charset val="1"/>
      </rPr>
      <t xml:space="preserve">)</t>
    </r>
  </si>
  <si>
    <t xml:space="preserve">A038</t>
  </si>
  <si>
    <r>
      <rPr>
        <sz val="10"/>
        <rFont val="WenQuanYi Zen Hei"/>
        <family val="2"/>
      </rPr>
      <t xml:space="preserve">输电运检中心线路接地隐患消除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华城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</si>
  <si>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微软雅黑"/>
        <family val="0"/>
        <charset val="1"/>
      </rPr>
      <t xml:space="preserve">35kV</t>
    </r>
    <r>
      <rPr>
        <sz val="10"/>
        <rFont val="WenQuanYi Zen Hei"/>
        <family val="2"/>
      </rPr>
      <t xml:space="preserve">输电专业应急抢修检修外包项目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输电运检中心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微软雅黑"/>
        <family val="0"/>
        <charset val="1"/>
      </rPr>
      <t xml:space="preserve">35kV</t>
    </r>
    <r>
      <rPr>
        <sz val="10"/>
        <rFont val="WenQuanYi Zen Hei"/>
        <family val="2"/>
      </rPr>
      <t xml:space="preserve">线路接地隐患消除等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)</t>
    </r>
  </si>
  <si>
    <t xml:space="preserve">A039</t>
  </si>
  <si>
    <r>
      <rPr>
        <sz val="10"/>
        <rFont val="WenQuanYi Zen Hei"/>
        <family val="2"/>
      </rPr>
      <t xml:space="preserve">永嘉所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西新线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华城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</si>
  <si>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年配电专业应急抢修抢险等外包项目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永嘉所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西新线等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条线路综合检修项目</t>
    </r>
    <r>
      <rPr>
        <sz val="10"/>
        <rFont val="微软雅黑"/>
        <family val="0"/>
        <charset val="1"/>
      </rPr>
      <t xml:space="preserve">)</t>
    </r>
  </si>
  <si>
    <t xml:space="preserve">A040</t>
  </si>
  <si>
    <r>
      <rPr>
        <sz val="10"/>
        <rFont val="WenQuanYi Zen Hei"/>
        <family val="2"/>
      </rPr>
      <t xml:space="preserve">输电运检中心线路接地隐患消除</t>
    </r>
    <r>
      <rPr>
        <sz val="10"/>
        <rFont val="微软雅黑"/>
        <family val="0"/>
        <charset val="1"/>
      </rPr>
      <t xml:space="preserve">-1</t>
    </r>
  </si>
  <si>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微软雅黑"/>
        <family val="0"/>
        <charset val="1"/>
      </rPr>
      <t xml:space="preserve">35kV</t>
    </r>
    <r>
      <rPr>
        <sz val="10"/>
        <rFont val="WenQuanYi Zen Hei"/>
        <family val="2"/>
      </rPr>
      <t xml:space="preserve">输电专业应急抢修检修外包项目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输电运检中心</t>
    </r>
    <r>
      <rPr>
        <sz val="10"/>
        <rFont val="微软雅黑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微软雅黑"/>
        <family val="0"/>
        <charset val="1"/>
      </rPr>
      <t xml:space="preserve">35kV</t>
    </r>
    <r>
      <rPr>
        <sz val="10"/>
        <rFont val="WenQuanYi Zen Hei"/>
        <family val="2"/>
      </rPr>
      <t xml:space="preserve">线路接地隐患消除等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项目</t>
    </r>
    <r>
      <rPr>
        <sz val="10"/>
        <rFont val="微软雅黑"/>
        <family val="0"/>
        <charset val="1"/>
      </rPr>
      <t xml:space="preserve">)</t>
    </r>
  </si>
  <si>
    <t xml:space="preserve">A041</t>
  </si>
  <si>
    <r>
      <rPr>
        <sz val="10"/>
        <rFont val="WenQuanYi Zen Hei"/>
        <family val="2"/>
      </rPr>
      <t xml:space="preserve">平滩农光互补</t>
    </r>
    <r>
      <rPr>
        <sz val="10"/>
        <rFont val="微软雅黑"/>
        <family val="0"/>
        <charset val="1"/>
      </rPr>
      <t xml:space="preserve">219kV</t>
    </r>
  </si>
  <si>
    <r>
      <rPr>
        <sz val="10"/>
        <rFont val="WenQuanYi Zen Hei"/>
        <family val="2"/>
      </rPr>
      <t xml:space="preserve">华润电力重庆能源铜梁平滩农光互补项目</t>
    </r>
    <r>
      <rPr>
        <sz val="10"/>
        <rFont val="微软雅黑"/>
        <family val="0"/>
        <charset val="1"/>
      </rPr>
      <t xml:space="preserve">219kV</t>
    </r>
    <r>
      <rPr>
        <sz val="10"/>
        <rFont val="WenQuanYi Zen Hei"/>
        <family val="2"/>
      </rPr>
      <t xml:space="preserve">升压站</t>
    </r>
    <r>
      <rPr>
        <sz val="10"/>
        <rFont val="微软雅黑"/>
        <family val="0"/>
        <charset val="1"/>
      </rPr>
      <t xml:space="preserve">PC</t>
    </r>
    <r>
      <rPr>
        <sz val="10"/>
        <rFont val="WenQuanYi Zen Hei"/>
        <family val="2"/>
      </rPr>
      <t xml:space="preserve">工程</t>
    </r>
  </si>
  <si>
    <t xml:space="preserve">A042</t>
  </si>
  <si>
    <r>
      <rPr>
        <sz val="10"/>
        <rFont val="WenQuanYi Zen Hei"/>
        <family val="2"/>
      </rPr>
      <t xml:space="preserve">平滩农光互补</t>
    </r>
    <r>
      <rPr>
        <sz val="10"/>
        <rFont val="微软雅黑"/>
        <family val="0"/>
        <charset val="1"/>
      </rPr>
      <t xml:space="preserve">220kV</t>
    </r>
  </si>
  <si>
    <r>
      <rPr>
        <sz val="10"/>
        <rFont val="WenQuanYi Zen Hei"/>
        <family val="2"/>
      </rPr>
      <t xml:space="preserve">华润电力重庆能源铜梁平滩农光互补项目</t>
    </r>
    <r>
      <rPr>
        <sz val="10"/>
        <rFont val="微软雅黑"/>
        <family val="0"/>
        <charset val="1"/>
      </rPr>
      <t xml:space="preserve">220kV</t>
    </r>
    <r>
      <rPr>
        <sz val="10"/>
        <rFont val="WenQuanYi Zen Hei"/>
        <family val="2"/>
      </rPr>
      <t xml:space="preserve">升压站</t>
    </r>
    <r>
      <rPr>
        <sz val="10"/>
        <rFont val="微软雅黑"/>
        <family val="0"/>
        <charset val="1"/>
      </rPr>
      <t xml:space="preserve">PC</t>
    </r>
    <r>
      <rPr>
        <sz val="10"/>
        <rFont val="WenQuanYi Zen Hei"/>
        <family val="2"/>
      </rPr>
      <t xml:space="preserve">工程</t>
    </r>
  </si>
  <si>
    <t xml:space="preserve">A043</t>
  </si>
  <si>
    <r>
      <rPr>
        <sz val="10"/>
        <rFont val="WenQuanYi Zen Hei"/>
        <family val="2"/>
      </rPr>
      <t xml:space="preserve">平滩所何银强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金沁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</si>
  <si>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重庆民能实业有限公司</t>
    </r>
    <r>
      <rPr>
        <sz val="10"/>
        <rFont val="微软雅黑"/>
        <family val="0"/>
        <charset val="1"/>
      </rPr>
      <t xml:space="preserve">2025-2026</t>
    </r>
    <r>
      <rPr>
        <sz val="10"/>
        <rFont val="WenQuanYi Zen Hei"/>
        <family val="2"/>
      </rPr>
      <t xml:space="preserve">年度工程用特种设备租赁服务框架采购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铜梁公司</t>
    </r>
    <r>
      <rPr>
        <sz val="10"/>
        <rFont val="微软雅黑"/>
        <family val="0"/>
        <charset val="1"/>
      </rPr>
      <t xml:space="preserve">2025</t>
    </r>
    <r>
      <rPr>
        <sz val="10"/>
        <rFont val="WenQuanYi Zen Hei"/>
        <family val="2"/>
      </rPr>
      <t xml:space="preserve">年成本类优化营商环境项目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平滩所何银强等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个低压业扩工程</t>
    </r>
    <r>
      <rPr>
        <sz val="10"/>
        <rFont val="微软雅黑"/>
        <family val="0"/>
        <charset val="1"/>
      </rPr>
      <t xml:space="preserve">)</t>
    </r>
  </si>
  <si>
    <t xml:space="preserve">A044</t>
  </si>
  <si>
    <r>
      <rPr>
        <sz val="10"/>
        <rFont val="WenQuanYi Zen Hei"/>
        <family val="2"/>
      </rPr>
      <t xml:space="preserve">园区光伏电力新建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金沁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</si>
  <si>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铜梁区园区屋顶分布式光伏发电建设项目</t>
    </r>
    <r>
      <rPr>
        <sz val="10"/>
        <rFont val="微软雅黑"/>
        <family val="0"/>
        <charset val="1"/>
      </rPr>
      <t xml:space="preserve">-10kV</t>
    </r>
    <r>
      <rPr>
        <sz val="10"/>
        <rFont val="WenQuanYi Zen Hei"/>
        <family val="2"/>
      </rPr>
      <t xml:space="preserve">电力新建工程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康欣</t>
    </r>
    <r>
      <rPr>
        <sz val="10"/>
        <rFont val="微软雅黑"/>
        <family val="0"/>
        <charset val="1"/>
      </rPr>
      <t xml:space="preserve">3W,</t>
    </r>
    <r>
      <rPr>
        <sz val="10"/>
        <rFont val="WenQuanYi Zen Hei"/>
        <family val="2"/>
      </rPr>
      <t xml:space="preserve">泓普</t>
    </r>
    <r>
      <rPr>
        <sz val="10"/>
        <rFont val="微软雅黑"/>
        <family val="0"/>
        <charset val="1"/>
      </rPr>
      <t xml:space="preserve">7W)</t>
    </r>
  </si>
  <si>
    <t xml:space="preserve">A045</t>
  </si>
  <si>
    <r>
      <rPr>
        <sz val="10"/>
        <rFont val="WenQuanYi Zen Hei"/>
        <family val="2"/>
      </rPr>
      <t xml:space="preserve">侣新线铜安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金沁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</si>
  <si>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批民能施工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侣新线铜安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)</t>
    </r>
  </si>
  <si>
    <t xml:space="preserve">A046</t>
  </si>
  <si>
    <r>
      <rPr>
        <sz val="10"/>
        <rFont val="WenQuanYi Zen Hei"/>
        <family val="2"/>
      </rPr>
      <t xml:space="preserve">侣新线铜安</t>
    </r>
    <r>
      <rPr>
        <sz val="10"/>
        <rFont val="微软雅黑"/>
        <family val="0"/>
        <charset val="1"/>
      </rPr>
      <t xml:space="preserve">9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金沁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</si>
  <si>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批民能施工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侣新线铜安</t>
    </r>
    <r>
      <rPr>
        <sz val="10"/>
        <rFont val="微软雅黑"/>
        <family val="0"/>
        <charset val="1"/>
      </rPr>
      <t xml:space="preserve">9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)</t>
    </r>
  </si>
  <si>
    <t xml:space="preserve">A047</t>
  </si>
  <si>
    <r>
      <rPr>
        <sz val="10"/>
        <rFont val="WenQuanYi Zen Hei"/>
        <family val="2"/>
      </rPr>
      <t xml:space="preserve">平双线群益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金沁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</si>
  <si>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批民能施工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平双线群益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)</t>
    </r>
  </si>
  <si>
    <t xml:space="preserve">A048</t>
  </si>
  <si>
    <r>
      <rPr>
        <sz val="10"/>
        <rFont val="WenQuanYi Zen Hei"/>
        <family val="2"/>
      </rPr>
      <t xml:space="preserve">平镇线新桥社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金沁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</si>
  <si>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批民能施工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平镇线新桥社台区重过载治理工程</t>
    </r>
    <r>
      <rPr>
        <sz val="10"/>
        <rFont val="微软雅黑"/>
        <family val="0"/>
        <charset val="1"/>
      </rPr>
      <t xml:space="preserve">)</t>
    </r>
  </si>
  <si>
    <t xml:space="preserve">A049</t>
  </si>
  <si>
    <r>
      <rPr>
        <sz val="10"/>
        <rFont val="WenQuanYi Zen Hei"/>
        <family val="2"/>
      </rPr>
      <t xml:space="preserve">侣新线凤飞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社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金沁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</si>
  <si>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梧桐村</t>
    </r>
    <r>
      <rPr>
        <sz val="10"/>
        <rFont val="微软雅黑"/>
        <family val="0"/>
        <charset val="1"/>
      </rPr>
      <t xml:space="preserve">4.5.6</t>
    </r>
    <r>
      <rPr>
        <sz val="10"/>
        <rFont val="WenQuanYi Zen Hei"/>
        <family val="2"/>
      </rPr>
      <t xml:space="preserve">社台区重过载治理工程等</t>
    </r>
    <r>
      <rPr>
        <sz val="10"/>
        <rFont val="微软雅黑"/>
        <family val="0"/>
        <charset val="1"/>
      </rPr>
      <t xml:space="preserve">23</t>
    </r>
    <r>
      <rPr>
        <sz val="10"/>
        <rFont val="WenQuanYi Zen Hei"/>
        <family val="2"/>
      </rPr>
      <t xml:space="preserve">个项目</t>
    </r>
    <r>
      <rPr>
        <sz val="10"/>
        <rFont val="微软雅黑"/>
        <family val="0"/>
        <charset val="1"/>
      </rPr>
      <t xml:space="preserve">(2025</t>
    </r>
    <r>
      <rPr>
        <sz val="10"/>
        <rFont val="WenQuanYi Zen Hei"/>
        <family val="2"/>
      </rPr>
      <t xml:space="preserve">年配网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批、业扩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批民能施工</t>
    </r>
    <r>
      <rPr>
        <sz val="10"/>
        <rFont val="微软雅黑"/>
        <family val="0"/>
        <charset val="1"/>
      </rPr>
      <t xml:space="preserve">)(</t>
    </r>
    <r>
      <rPr>
        <sz val="10"/>
        <rFont val="WenQuanYi Zen Hei"/>
        <family val="2"/>
      </rPr>
      <t xml:space="preserve">重庆铜梁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侣新线凤飞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社台区重过载治理工程</t>
    </r>
    <r>
      <rPr>
        <sz val="10"/>
        <rFont val="微软雅黑"/>
        <family val="0"/>
        <charset val="1"/>
      </rPr>
      <t xml:space="preserve">)</t>
    </r>
  </si>
  <si>
    <t xml:space="preserve">A050</t>
  </si>
  <si>
    <r>
      <rPr>
        <sz val="10"/>
        <rFont val="WenQuanYi Zen Hei"/>
        <family val="2"/>
      </rPr>
      <t xml:space="preserve">滨河东路</t>
    </r>
    <r>
      <rPr>
        <sz val="10"/>
        <rFont val="微软雅黑"/>
        <family val="0"/>
        <charset val="1"/>
      </rPr>
      <t xml:space="preserve">68</t>
    </r>
    <r>
      <rPr>
        <sz val="10"/>
        <rFont val="WenQuanYi Zen Hei"/>
        <family val="2"/>
      </rPr>
      <t xml:space="preserve">小区</t>
    </r>
  </si>
  <si>
    <r>
      <rPr>
        <sz val="10"/>
        <rFont val="WenQuanYi Zen Hei"/>
        <family val="2"/>
      </rPr>
      <t xml:space="preserve">重庆市铜梁区滨河东路</t>
    </r>
    <r>
      <rPr>
        <sz val="10"/>
        <rFont val="微软雅黑"/>
        <family val="0"/>
        <charset val="1"/>
      </rPr>
      <t xml:space="preserve">68</t>
    </r>
    <r>
      <rPr>
        <sz val="10"/>
        <rFont val="WenQuanYi Zen Hei"/>
        <family val="2"/>
      </rPr>
      <t xml:space="preserve">小区居民供电设施改造工程</t>
    </r>
  </si>
  <si>
    <t xml:space="preserve">A051</t>
  </si>
  <si>
    <t xml:space="preserve">新华商住楼</t>
  </si>
  <si>
    <t xml:space="preserve">重庆市铜梁区新华商住楼居民供电设施改造工程</t>
  </si>
  <si>
    <t xml:space="preserve">A052</t>
  </si>
  <si>
    <r>
      <rPr>
        <sz val="10"/>
        <rFont val="WenQuanYi Zen Hei"/>
        <family val="2"/>
      </rPr>
      <t xml:space="preserve">锦绣花园</t>
    </r>
    <r>
      <rPr>
        <sz val="10"/>
        <rFont val="微软雅黑"/>
        <family val="0"/>
        <charset val="1"/>
      </rPr>
      <t xml:space="preserve">A</t>
    </r>
    <r>
      <rPr>
        <sz val="10"/>
        <rFont val="WenQuanYi Zen Hei"/>
        <family val="2"/>
      </rPr>
      <t xml:space="preserve">区</t>
    </r>
  </si>
  <si>
    <r>
      <rPr>
        <sz val="10"/>
        <rFont val="WenQuanYi Zen Hei"/>
        <family val="2"/>
      </rPr>
      <t xml:space="preserve">重庆市铜梁区锦绣花园</t>
    </r>
    <r>
      <rPr>
        <sz val="10"/>
        <rFont val="微软雅黑"/>
        <family val="0"/>
        <charset val="1"/>
      </rPr>
      <t xml:space="preserve">A</t>
    </r>
    <r>
      <rPr>
        <sz val="10"/>
        <rFont val="WenQuanYi Zen Hei"/>
        <family val="2"/>
      </rPr>
      <t xml:space="preserve">区居民供电设施改造工程</t>
    </r>
  </si>
  <si>
    <t xml:space="preserve">A053</t>
  </si>
  <si>
    <t xml:space="preserve">桥亭水云居</t>
  </si>
  <si>
    <r>
      <rPr>
        <sz val="10"/>
        <rFont val="WenQuanYi Zen Hei"/>
        <family val="2"/>
      </rPr>
      <t xml:space="preserve">围龙镇巴岳农庄项目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桥亭水云居项目</t>
    </r>
    <r>
      <rPr>
        <sz val="10"/>
        <rFont val="微软雅黑"/>
        <family val="0"/>
        <charset val="1"/>
      </rPr>
      <t xml:space="preserve">)</t>
    </r>
    <r>
      <rPr>
        <sz val="10"/>
        <rFont val="WenQuanYi Zen Hei"/>
        <family val="2"/>
      </rPr>
      <t xml:space="preserve">双电源工程</t>
    </r>
  </si>
  <si>
    <t xml:space="preserve">A054</t>
  </si>
  <si>
    <r>
      <rPr>
        <sz val="10"/>
        <rFont val="WenQuanYi Zen Hei"/>
        <family val="2"/>
      </rPr>
      <t xml:space="preserve">园区光伏电力新建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康欣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</si>
  <si>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铜梁区园区屋顶分布式光伏发电建设项目</t>
    </r>
    <r>
      <rPr>
        <sz val="10"/>
        <rFont val="微软雅黑"/>
        <family val="0"/>
        <charset val="1"/>
      </rPr>
      <t xml:space="preserve">-10kV</t>
    </r>
    <r>
      <rPr>
        <sz val="10"/>
        <rFont val="WenQuanYi Zen Hei"/>
        <family val="2"/>
      </rPr>
      <t xml:space="preserve">电力新建工程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康欣</t>
    </r>
    <r>
      <rPr>
        <sz val="10"/>
        <rFont val="微软雅黑"/>
        <family val="0"/>
        <charset val="1"/>
      </rPr>
      <t xml:space="preserve">3W,</t>
    </r>
    <r>
      <rPr>
        <sz val="10"/>
        <rFont val="WenQuanYi Zen Hei"/>
        <family val="2"/>
      </rPr>
      <t xml:space="preserve">泓普</t>
    </r>
    <r>
      <rPr>
        <sz val="10"/>
        <rFont val="微软雅黑"/>
        <family val="0"/>
        <charset val="1"/>
      </rPr>
      <t xml:space="preserve">6W)</t>
    </r>
  </si>
  <si>
    <t xml:space="preserve">A055</t>
  </si>
  <si>
    <t xml:space="preserve">重庆稷博汇物流</t>
  </si>
  <si>
    <r>
      <rPr>
        <sz val="10"/>
        <rFont val="WenQuanYi Zen Hei"/>
        <family val="2"/>
      </rPr>
      <t xml:space="preserve">重庆稷博汇物流有限公司</t>
    </r>
    <r>
      <rPr>
        <sz val="10"/>
        <rFont val="微软雅黑"/>
        <family val="0"/>
        <charset val="1"/>
      </rPr>
      <t xml:space="preserve">10kV</t>
    </r>
    <r>
      <rPr>
        <sz val="10"/>
        <rFont val="WenQuanYi Zen Hei"/>
        <family val="2"/>
      </rPr>
      <t xml:space="preserve">充电桩新装用电工程</t>
    </r>
  </si>
  <si>
    <t xml:space="preserve">A056</t>
  </si>
  <si>
    <t xml:space="preserve">（新项目）</t>
  </si>
  <si>
    <t xml:space="preserve">（新项目：请填项目全称）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</si>
</sst>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.00_);[RED]&quot;(¥&quot;#,##0.00\)"/>
    <numFmt numFmtId="166" formatCode="yyyy/mm/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WenQuanYi Zen Hei"/>
      <family val="2"/>
    </font>
    <font>
      <b val="true"/>
      <sz val="16"/>
      <color rgb="FF1F4E79"/>
      <name val="微软雅黑"/>
      <family val="0"/>
      <charset val="1"/>
    </font>
    <font>
      <b val="true"/>
      <sz val="10"/>
      <color rgb="FF1F4E79"/>
      <name val="WenQuanYi Zen Hei"/>
      <family val="2"/>
    </font>
    <font>
      <sz val="9"/>
      <color rgb="FF808080"/>
      <name val="WenQuanYi Zen Hei"/>
      <family val="2"/>
    </font>
    <font>
      <b val="true"/>
      <sz val="10"/>
      <color rgb="FF1F4E79"/>
      <name val="微软雅黑"/>
      <family val="0"/>
      <charset val="1"/>
    </font>
    <font>
      <sz val="9"/>
      <color rgb="FF808080"/>
      <name val="微软雅黑"/>
      <family val="0"/>
      <charset val="1"/>
    </font>
    <font>
      <b val="true"/>
      <sz val="10"/>
      <color rgb="FFFFFFFF"/>
      <name val="WenQuanYi Zen Hei"/>
      <family val="2"/>
    </font>
    <font>
      <sz val="10"/>
      <color rgb="FF7F7F7F"/>
      <name val="微软雅黑"/>
      <family val="0"/>
      <charset val="1"/>
    </font>
    <font>
      <sz val="10"/>
      <name val="微软雅黑"/>
      <family val="0"/>
      <charset val="1"/>
    </font>
    <font>
      <sz val="10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FFF7E0"/>
        <bgColor rgb="FFF2F2F2"/>
      </patternFill>
    </fill>
    <fill>
      <patternFill patternType="solid">
        <fgColor rgb="FFF2F2F2"/>
        <bgColor rgb="FFFFF7E0"/>
      </patternFill>
    </fill>
    <fill>
      <patternFill patternType="solid">
        <fgColor rgb="FF4472C4"/>
        <bgColor rgb="FF666699"/>
      </patternFill>
    </fill>
    <fill>
      <patternFill patternType="solid">
        <fgColor rgb="FF8EA9DB"/>
        <bgColor rgb="FF99CCFF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7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7E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06"/>
  <sheetViews>
    <sheetView tabSelected="1"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10" min="9" style="0" width="13"/>
    <col collapsed="false" customWidth="true" hidden="false" outlineLevel="0" max="12" min="11" style="0" width="14"/>
    <col collapsed="false" customWidth="true" hidden="false" outlineLevel="0" max="13" min="13" style="0" width="9"/>
    <col collapsed="false" customWidth="true" hidden="false" outlineLevel="0" max="14" min="14" style="0" width="15"/>
    <col collapsed="false" customWidth="true" hidden="false" outlineLevel="0" max="15" min="15" style="0" width="26"/>
    <col collapsed="false" customWidth="true" hidden="false" outlineLevel="0" max="16" min="16" style="0" width="9"/>
    <col collapsed="false" customWidth="true" hidden="false" outlineLevel="0" max="17" min="17" style="0" width="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45.75" hidden="false" customHeight="true" outlineLevel="0" collapsed="false">
      <c r="A2" s="2" t="s">
        <v>1</v>
      </c>
      <c r="B2" s="3" t="s">
        <v>2</v>
      </c>
      <c r="C2" s="4" t="n">
        <v>3656.12</v>
      </c>
      <c r="D2" s="3" t="s">
        <v>3</v>
      </c>
      <c r="E2" s="4" t="n">
        <v>4754.58</v>
      </c>
      <c r="F2" s="3" t="s">
        <v>4</v>
      </c>
      <c r="G2" s="4" t="n">
        <v>3981.49</v>
      </c>
      <c r="H2" s="5" t="s">
        <v>5</v>
      </c>
      <c r="I2" s="5"/>
      <c r="J2" s="5"/>
      <c r="K2" s="5"/>
      <c r="L2" s="5"/>
      <c r="M2" s="5"/>
      <c r="N2" s="5"/>
      <c r="O2" s="5"/>
      <c r="P2" s="5"/>
      <c r="Q2" s="5"/>
    </row>
    <row r="3" customFormat="false" ht="13.4" hidden="false" customHeight="false" outlineLevel="0" collapsed="false">
      <c r="A3" s="6" t="s">
        <v>6</v>
      </c>
      <c r="B3" s="6"/>
      <c r="C3" s="6"/>
      <c r="D3" s="6"/>
      <c r="E3" s="6"/>
      <c r="F3" s="6"/>
      <c r="G3" s="6"/>
      <c r="H3" s="6"/>
      <c r="I3" s="6"/>
      <c r="J3" s="6"/>
      <c r="K3" s="7" t="s">
        <v>7</v>
      </c>
      <c r="L3" s="7"/>
      <c r="M3" s="7"/>
      <c r="N3" s="7"/>
      <c r="O3" s="7"/>
      <c r="P3" s="7"/>
      <c r="Q3" s="7"/>
    </row>
    <row r="4" customFormat="false" ht="30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16</v>
      </c>
      <c r="J4" s="8" t="s">
        <v>17</v>
      </c>
      <c r="K4" s="9" t="s">
        <v>18</v>
      </c>
      <c r="L4" s="9" t="s">
        <v>19</v>
      </c>
      <c r="M4" s="9" t="s">
        <v>20</v>
      </c>
      <c r="N4" s="9" t="s">
        <v>21</v>
      </c>
      <c r="O4" s="9" t="s">
        <v>22</v>
      </c>
      <c r="P4" s="9" t="s">
        <v>23</v>
      </c>
      <c r="Q4" s="9" t="s">
        <v>24</v>
      </c>
    </row>
    <row r="5" customFormat="false" ht="15.75" hidden="false" customHeight="true" outlineLevel="0" collapsed="false">
      <c r="A5" s="10" t="str">
        <f aca="false">IF($B5="","",ROW()-4)</f>
        <v/>
      </c>
      <c r="B5" s="11"/>
      <c r="C5" s="12"/>
      <c r="D5" s="12"/>
      <c r="E5" s="12"/>
      <c r="F5" s="12"/>
      <c r="G5" s="12"/>
      <c r="H5" s="13"/>
      <c r="I5" s="4"/>
      <c r="J5" s="4"/>
      <c r="K5" s="14" t="str">
        <f aca="false">IF($B5="","",IF($C5="泓普",$C$2,IF($C5="仟茂",$E$2,IF($C5="现金",$G$2,0)))+SUMIFS($I$5:$I5,$C$5:$C5,$C5)-SUMIFS($J$5:$J5,$C$5:$C5,$C5))</f>
        <v/>
      </c>
      <c r="L5" s="14" t="str">
        <f aca="false">IF($B5="","",$C$2+$E$2+$G$2+SUM($I$5:$I5)-SUM($J$5:$J5))</f>
        <v/>
      </c>
      <c r="M5" s="12"/>
      <c r="N5" s="15" t="str">
        <f aca="false">IF($B5="","",IF(NOT(ISNUMBER($B5)),"日期格式不对",IF($C5="","未选资金账户",IF(AND(N($I5)=0,N($J5)=0),"收支都为空",IF(AND(N($I5)&gt;0,N($J5)&gt;0),"收支不能同时填",IF(AND($D5&lt;&gt;"",LEFT($O5,1)="⚠"),"项目编号不存在",IF(AND($M5="是",$F5=""),"工程回款必须填往来单位","√")))))))</f>
        <v/>
      </c>
      <c r="O5" s="16" t="str">
        <f aca="false">IF($D5="","",IFERROR(INDEX(对照清单!$B$5:$B$60,MATCH($D5,对照清单!$A$5:$A$60,0)),"⚠编号不存在"))</f>
        <v/>
      </c>
      <c r="P5" s="10" t="str">
        <f aca="false">IF($B5="","",IF(ISNUMBER($B5),TEXT($B5,"yyyy-mm"),"日期非法"))</f>
        <v/>
      </c>
      <c r="Q5" s="10" t="str">
        <f aca="false">IF($B5="","",IF(ISNUMBER($B5),YEAR($B5),"日期非法"))</f>
        <v/>
      </c>
    </row>
    <row r="6" customFormat="false" ht="15.75" hidden="false" customHeight="true" outlineLevel="0" collapsed="false">
      <c r="A6" s="10" t="str">
        <f aca="false">IF($B6="","",ROW()-4)</f>
        <v/>
      </c>
      <c r="B6" s="11"/>
      <c r="C6" s="12"/>
      <c r="D6" s="12"/>
      <c r="E6" s="12"/>
      <c r="F6" s="12"/>
      <c r="G6" s="12"/>
      <c r="H6" s="13"/>
      <c r="I6" s="4"/>
      <c r="J6" s="4"/>
      <c r="K6" s="14" t="str">
        <f aca="false">IF($B6="","",IF($C6="泓普",$C$2,IF($C6="仟茂",$E$2,IF($C6="现金",$G$2,0)))+SUMIFS($I$5:$I6,$C$5:$C6,$C6)-SUMIFS($J$5:$J6,$C$5:$C6,$C6))</f>
        <v/>
      </c>
      <c r="L6" s="14" t="str">
        <f aca="false">IF($B6="","",$C$2+$E$2+$G$2+SUM($I$5:$I6)-SUM($J$5:$J6))</f>
        <v/>
      </c>
      <c r="M6" s="12"/>
      <c r="N6" s="15" t="str">
        <f aca="false">IF($B6="","",IF(NOT(ISNUMBER($B6)),"日期格式不对",IF($C6="","未选资金账户",IF(AND(N($I6)=0,N($J6)=0),"收支都为空",IF(AND(N($I6)&gt;0,N($J6)&gt;0),"收支不能同时填",IF(AND($D6&lt;&gt;"",LEFT($O6,1)="⚠"),"项目编号不存在",IF(AND($M6="是",$F6=""),"工程回款必须填往来单位","√")))))))</f>
        <v/>
      </c>
      <c r="O6" s="16" t="str">
        <f aca="false">IF($D6="","",IFERROR(INDEX(对照清单!$B$5:$B$60,MATCH($D6,对照清单!$A$5:$A$60,0)),"⚠编号不存在"))</f>
        <v/>
      </c>
      <c r="P6" s="10" t="str">
        <f aca="false">IF($B6="","",IF(ISNUMBER($B6),TEXT($B6,"yyyy-mm"),"日期非法"))</f>
        <v/>
      </c>
      <c r="Q6" s="10" t="str">
        <f aca="false">IF($B6="","",IF(ISNUMBER($B6),YEAR($B6),"日期非法"))</f>
        <v/>
      </c>
    </row>
    <row r="7" customFormat="false" ht="15.75" hidden="false" customHeight="true" outlineLevel="0" collapsed="false">
      <c r="A7" s="10" t="str">
        <f aca="false">IF($B7="","",ROW()-4)</f>
        <v/>
      </c>
      <c r="B7" s="11"/>
      <c r="C7" s="12"/>
      <c r="D7" s="12"/>
      <c r="E7" s="12"/>
      <c r="F7" s="12"/>
      <c r="G7" s="12"/>
      <c r="H7" s="13"/>
      <c r="I7" s="4"/>
      <c r="J7" s="4"/>
      <c r="K7" s="14" t="str">
        <f aca="false">IF($B7="","",IF($C7="泓普",$C$2,IF($C7="仟茂",$E$2,IF($C7="现金",$G$2,0)))+SUMIFS($I$5:$I7,$C$5:$C7,$C7)-SUMIFS($J$5:$J7,$C$5:$C7,$C7))</f>
        <v/>
      </c>
      <c r="L7" s="14" t="str">
        <f aca="false">IF($B7="","",$C$2+$E$2+$G$2+SUM($I$5:$I7)-SUM($J$5:$J7))</f>
        <v/>
      </c>
      <c r="M7" s="12"/>
      <c r="N7" s="15" t="str">
        <f aca="false">IF($B7="","",IF(NOT(ISNUMBER($B7)),"日期格式不对",IF($C7="","未选资金账户",IF(AND(N($I7)=0,N($J7)=0),"收支都为空",IF(AND(N($I7)&gt;0,N($J7)&gt;0),"收支不能同时填",IF(AND($D7&lt;&gt;"",LEFT($O7,1)="⚠"),"项目编号不存在",IF(AND($M7="是",$F7=""),"工程回款必须填往来单位","√")))))))</f>
        <v/>
      </c>
      <c r="O7" s="16" t="str">
        <f aca="false">IF($D7="","",IFERROR(INDEX(对照清单!$B$5:$B$60,MATCH($D7,对照清单!$A$5:$A$60,0)),"⚠编号不存在"))</f>
        <v/>
      </c>
      <c r="P7" s="10" t="str">
        <f aca="false">IF($B7="","",IF(ISNUMBER($B7),TEXT($B7,"yyyy-mm"),"日期非法"))</f>
        <v/>
      </c>
      <c r="Q7" s="10" t="str">
        <f aca="false">IF($B7="","",IF(ISNUMBER($B7),YEAR($B7),"日期非法"))</f>
        <v/>
      </c>
    </row>
    <row r="8" customFormat="false" ht="15.75" hidden="false" customHeight="true" outlineLevel="0" collapsed="false">
      <c r="A8" s="10" t="str">
        <f aca="false">IF($B8="","",ROW()-4)</f>
        <v/>
      </c>
      <c r="B8" s="11"/>
      <c r="C8" s="12"/>
      <c r="D8" s="12"/>
      <c r="E8" s="12"/>
      <c r="F8" s="12"/>
      <c r="G8" s="12"/>
      <c r="H8" s="13"/>
      <c r="I8" s="4"/>
      <c r="J8" s="4"/>
      <c r="K8" s="14" t="str">
        <f aca="false">IF($B8="","",IF($C8="泓普",$C$2,IF($C8="仟茂",$E$2,IF($C8="现金",$G$2,0)))+SUMIFS($I$5:$I8,$C$5:$C8,$C8)-SUMIFS($J$5:$J8,$C$5:$C8,$C8))</f>
        <v/>
      </c>
      <c r="L8" s="14" t="str">
        <f aca="false">IF($B8="","",$C$2+$E$2+$G$2+SUM($I$5:$I8)-SUM($J$5:$J8))</f>
        <v/>
      </c>
      <c r="M8" s="12"/>
      <c r="N8" s="15" t="str">
        <f aca="false">IF($B8="","",IF(NOT(ISNUMBER($B8)),"日期格式不对",IF($C8="","未选资金账户",IF(AND(N($I8)=0,N($J8)=0),"收支都为空",IF(AND(N($I8)&gt;0,N($J8)&gt;0),"收支不能同时填",IF(AND($D8&lt;&gt;"",LEFT($O8,1)="⚠"),"项目编号不存在",IF(AND($M8="是",$F8=""),"工程回款必须填往来单位","√")))))))</f>
        <v/>
      </c>
      <c r="O8" s="16" t="str">
        <f aca="false">IF($D8="","",IFERROR(INDEX(对照清单!$B$5:$B$60,MATCH($D8,对照清单!$A$5:$A$60,0)),"⚠编号不存在"))</f>
        <v/>
      </c>
      <c r="P8" s="10" t="str">
        <f aca="false">IF($B8="","",IF(ISNUMBER($B8),TEXT($B8,"yyyy-mm"),"日期非法"))</f>
        <v/>
      </c>
      <c r="Q8" s="10" t="str">
        <f aca="false">IF($B8="","",IF(ISNUMBER($B8),YEAR($B8),"日期非法"))</f>
        <v/>
      </c>
    </row>
    <row r="9" customFormat="false" ht="15.75" hidden="false" customHeight="true" outlineLevel="0" collapsed="false">
      <c r="A9" s="10" t="str">
        <f aca="false">IF($B9="","",ROW()-4)</f>
        <v/>
      </c>
      <c r="B9" s="11"/>
      <c r="C9" s="12"/>
      <c r="D9" s="12"/>
      <c r="E9" s="12"/>
      <c r="F9" s="12"/>
      <c r="G9" s="12"/>
      <c r="H9" s="13"/>
      <c r="I9" s="4"/>
      <c r="J9" s="4"/>
      <c r="K9" s="14" t="str">
        <f aca="false">IF($B9="","",IF($C9="泓普",$C$2,IF($C9="仟茂",$E$2,IF($C9="现金",$G$2,0)))+SUMIFS($I$5:$I9,$C$5:$C9,$C9)-SUMIFS($J$5:$J9,$C$5:$C9,$C9))</f>
        <v/>
      </c>
      <c r="L9" s="14" t="str">
        <f aca="false">IF($B9="","",$C$2+$E$2+$G$2+SUM($I$5:$I9)-SUM($J$5:$J9))</f>
        <v/>
      </c>
      <c r="M9" s="12"/>
      <c r="N9" s="15" t="str">
        <f aca="false">IF($B9="","",IF(NOT(ISNUMBER($B9)),"日期格式不对",IF($C9="","未选资金账户",IF(AND(N($I9)=0,N($J9)=0),"收支都为空",IF(AND(N($I9)&gt;0,N($J9)&gt;0),"收支不能同时填",IF(AND($D9&lt;&gt;"",LEFT($O9,1)="⚠"),"项目编号不存在",IF(AND($M9="是",$F9=""),"工程回款必须填往来单位","√")))))))</f>
        <v/>
      </c>
      <c r="O9" s="16" t="str">
        <f aca="false">IF($D9="","",IFERROR(INDEX(对照清单!$B$5:$B$60,MATCH($D9,对照清单!$A$5:$A$60,0)),"⚠编号不存在"))</f>
        <v/>
      </c>
      <c r="P9" s="10" t="str">
        <f aca="false">IF($B9="","",IF(ISNUMBER($B9),TEXT($B9,"yyyy-mm"),"日期非法"))</f>
        <v/>
      </c>
      <c r="Q9" s="10" t="str">
        <f aca="false">IF($B9="","",IF(ISNUMBER($B9),YEAR($B9),"日期非法"))</f>
        <v/>
      </c>
    </row>
    <row r="10" customFormat="false" ht="15.75" hidden="false" customHeight="true" outlineLevel="0" collapsed="false">
      <c r="A10" s="10" t="str">
        <f aca="false">IF($B10="","",ROW()-4)</f>
        <v/>
      </c>
      <c r="B10" s="11"/>
      <c r="C10" s="12"/>
      <c r="D10" s="12"/>
      <c r="E10" s="12"/>
      <c r="F10" s="12"/>
      <c r="G10" s="12"/>
      <c r="H10" s="13"/>
      <c r="I10" s="4"/>
      <c r="J10" s="4"/>
      <c r="K10" s="14" t="str">
        <f aca="false">IF($B10="","",IF($C10="泓普",$C$2,IF($C10="仟茂",$E$2,IF($C10="现金",$G$2,0)))+SUMIFS($I$5:$I10,$C$5:$C10,$C10)-SUMIFS($J$5:$J10,$C$5:$C10,$C10))</f>
        <v/>
      </c>
      <c r="L10" s="14" t="str">
        <f aca="false">IF($B10="","",$C$2+$E$2+$G$2+SUM($I$5:$I10)-SUM($J$5:$J10))</f>
        <v/>
      </c>
      <c r="M10" s="12"/>
      <c r="N10" s="15" t="str">
        <f aca="false">IF($B10="","",IF(NOT(ISNUMBER($B10)),"日期格式不对",IF($C10="","未选资金账户",IF(AND(N($I10)=0,N($J10)=0),"收支都为空",IF(AND(N($I10)&gt;0,N($J10)&gt;0),"收支不能同时填",IF(AND($D10&lt;&gt;"",LEFT($O10,1)="⚠"),"项目编号不存在",IF(AND($M10="是",$F10=""),"工程回款必须填往来单位","√")))))))</f>
        <v/>
      </c>
      <c r="O10" s="16" t="str">
        <f aca="false">IF($D10="","",IFERROR(INDEX(对照清单!$B$5:$B$60,MATCH($D10,对照清单!$A$5:$A$60,0)),"⚠编号不存在"))</f>
        <v/>
      </c>
      <c r="P10" s="10" t="str">
        <f aca="false">IF($B10="","",IF(ISNUMBER($B10),TEXT($B10,"yyyy-mm"),"日期非法"))</f>
        <v/>
      </c>
      <c r="Q10" s="10" t="str">
        <f aca="false">IF($B10="","",IF(ISNUMBER($B10),YEAR($B10),"日期非法"))</f>
        <v/>
      </c>
    </row>
    <row r="11" customFormat="false" ht="15.75" hidden="false" customHeight="true" outlineLevel="0" collapsed="false">
      <c r="A11" s="10" t="str">
        <f aca="false">IF($B11="","",ROW()-4)</f>
        <v/>
      </c>
      <c r="B11" s="11"/>
      <c r="C11" s="12"/>
      <c r="D11" s="12"/>
      <c r="E11" s="12"/>
      <c r="F11" s="12"/>
      <c r="G11" s="12"/>
      <c r="H11" s="13"/>
      <c r="I11" s="4"/>
      <c r="J11" s="4"/>
      <c r="K11" s="14" t="str">
        <f aca="false">IF($B11="","",IF($C11="泓普",$C$2,IF($C11="仟茂",$E$2,IF($C11="现金",$G$2,0)))+SUMIFS($I$5:$I11,$C$5:$C11,$C11)-SUMIFS($J$5:$J11,$C$5:$C11,$C11))</f>
        <v/>
      </c>
      <c r="L11" s="14" t="str">
        <f aca="false">IF($B11="","",$C$2+$E$2+$G$2+SUM($I$5:$I11)-SUM($J$5:$J11))</f>
        <v/>
      </c>
      <c r="M11" s="12"/>
      <c r="N11" s="15" t="str">
        <f aca="false">IF($B11="","",IF(NOT(ISNUMBER($B11)),"日期格式不对",IF($C11="","未选资金账户",IF(AND(N($I11)=0,N($J11)=0),"收支都为空",IF(AND(N($I11)&gt;0,N($J11)&gt;0),"收支不能同时填",IF(AND($D11&lt;&gt;"",LEFT($O11,1)="⚠"),"项目编号不存在",IF(AND($M11="是",$F11=""),"工程回款必须填往来单位","√")))))))</f>
        <v/>
      </c>
      <c r="O11" s="16" t="str">
        <f aca="false">IF($D11="","",IFERROR(INDEX(对照清单!$B$5:$B$60,MATCH($D11,对照清单!$A$5:$A$60,0)),"⚠编号不存在"))</f>
        <v/>
      </c>
      <c r="P11" s="10" t="str">
        <f aca="false">IF($B11="","",IF(ISNUMBER($B11),TEXT($B11,"yyyy-mm"),"日期非法"))</f>
        <v/>
      </c>
      <c r="Q11" s="10" t="str">
        <f aca="false">IF($B11="","",IF(ISNUMBER($B11),YEAR($B11),"日期非法"))</f>
        <v/>
      </c>
    </row>
    <row r="12" customFormat="false" ht="15.75" hidden="false" customHeight="true" outlineLevel="0" collapsed="false">
      <c r="A12" s="10" t="str">
        <f aca="false">IF($B12="","",ROW()-4)</f>
        <v/>
      </c>
      <c r="B12" s="11"/>
      <c r="C12" s="12"/>
      <c r="D12" s="12"/>
      <c r="E12" s="12"/>
      <c r="F12" s="12"/>
      <c r="G12" s="12"/>
      <c r="H12" s="13"/>
      <c r="I12" s="4"/>
      <c r="J12" s="4"/>
      <c r="K12" s="14" t="str">
        <f aca="false">IF($B12="","",IF($C12="泓普",$C$2,IF($C12="仟茂",$E$2,IF($C12="现金",$G$2,0)))+SUMIFS($I$5:$I12,$C$5:$C12,$C12)-SUMIFS($J$5:$J12,$C$5:$C12,$C12))</f>
        <v/>
      </c>
      <c r="L12" s="14" t="str">
        <f aca="false">IF($B12="","",$C$2+$E$2+$G$2+SUM($I$5:$I12)-SUM($J$5:$J12))</f>
        <v/>
      </c>
      <c r="M12" s="12"/>
      <c r="N12" s="15" t="str">
        <f aca="false">IF($B12="","",IF(NOT(ISNUMBER($B12)),"日期格式不对",IF($C12="","未选资金账户",IF(AND(N($I12)=0,N($J12)=0),"收支都为空",IF(AND(N($I12)&gt;0,N($J12)&gt;0),"收支不能同时填",IF(AND($D12&lt;&gt;"",LEFT($O12,1)="⚠"),"项目编号不存在",IF(AND($M12="是",$F12=""),"工程回款必须填往来单位","√")))))))</f>
        <v/>
      </c>
      <c r="O12" s="16" t="str">
        <f aca="false">IF($D12="","",IFERROR(INDEX(对照清单!$B$5:$B$60,MATCH($D12,对照清单!$A$5:$A$60,0)),"⚠编号不存在"))</f>
        <v/>
      </c>
      <c r="P12" s="10" t="str">
        <f aca="false">IF($B12="","",IF(ISNUMBER($B12),TEXT($B12,"yyyy-mm"),"日期非法"))</f>
        <v/>
      </c>
      <c r="Q12" s="10" t="str">
        <f aca="false">IF($B12="","",IF(ISNUMBER($B12),YEAR($B12),"日期非法"))</f>
        <v/>
      </c>
    </row>
    <row r="13" customFormat="false" ht="15.75" hidden="false" customHeight="true" outlineLevel="0" collapsed="false">
      <c r="A13" s="10" t="str">
        <f aca="false">IF($B13="","",ROW()-4)</f>
        <v/>
      </c>
      <c r="B13" s="11"/>
      <c r="C13" s="12"/>
      <c r="D13" s="12"/>
      <c r="E13" s="12"/>
      <c r="F13" s="12"/>
      <c r="G13" s="12"/>
      <c r="H13" s="13"/>
      <c r="I13" s="4"/>
      <c r="J13" s="4"/>
      <c r="K13" s="14" t="str">
        <f aca="false">IF($B13="","",IF($C13="泓普",$C$2,IF($C13="仟茂",$E$2,IF($C13="现金",$G$2,0)))+SUMIFS($I$5:$I13,$C$5:$C13,$C13)-SUMIFS($J$5:$J13,$C$5:$C13,$C13))</f>
        <v/>
      </c>
      <c r="L13" s="14" t="str">
        <f aca="false">IF($B13="","",$C$2+$E$2+$G$2+SUM($I$5:$I13)-SUM($J$5:$J13))</f>
        <v/>
      </c>
      <c r="M13" s="12"/>
      <c r="N13" s="15" t="str">
        <f aca="false">IF($B13="","",IF(NOT(ISNUMBER($B13)),"日期格式不对",IF($C13="","未选资金账户",IF(AND(N($I13)=0,N($J13)=0),"收支都为空",IF(AND(N($I13)&gt;0,N($J13)&gt;0),"收支不能同时填",IF(AND($D13&lt;&gt;"",LEFT($O13,1)="⚠"),"项目编号不存在",IF(AND($M13="是",$F13=""),"工程回款必须填往来单位","√")))))))</f>
        <v/>
      </c>
      <c r="O13" s="16" t="str">
        <f aca="false">IF($D13="","",IFERROR(INDEX(对照清单!$B$5:$B$60,MATCH($D13,对照清单!$A$5:$A$60,0)),"⚠编号不存在"))</f>
        <v/>
      </c>
      <c r="P13" s="10" t="str">
        <f aca="false">IF($B13="","",IF(ISNUMBER($B13),TEXT($B13,"yyyy-mm"),"日期非法"))</f>
        <v/>
      </c>
      <c r="Q13" s="10" t="str">
        <f aca="false">IF($B13="","",IF(ISNUMBER($B13),YEAR($B13),"日期非法"))</f>
        <v/>
      </c>
    </row>
    <row r="14" customFormat="false" ht="15.75" hidden="false" customHeight="true" outlineLevel="0" collapsed="false">
      <c r="A14" s="10" t="str">
        <f aca="false">IF($B14="","",ROW()-4)</f>
        <v/>
      </c>
      <c r="B14" s="11"/>
      <c r="C14" s="12"/>
      <c r="D14" s="12"/>
      <c r="E14" s="12"/>
      <c r="F14" s="12"/>
      <c r="G14" s="12"/>
      <c r="H14" s="13"/>
      <c r="I14" s="4"/>
      <c r="J14" s="4"/>
      <c r="K14" s="14" t="str">
        <f aca="false">IF($B14="","",IF($C14="泓普",$C$2,IF($C14="仟茂",$E$2,IF($C14="现金",$G$2,0)))+SUMIFS($I$5:$I14,$C$5:$C14,$C14)-SUMIFS($J$5:$J14,$C$5:$C14,$C14))</f>
        <v/>
      </c>
      <c r="L14" s="14" t="str">
        <f aca="false">IF($B14="","",$C$2+$E$2+$G$2+SUM($I$5:$I14)-SUM($J$5:$J14))</f>
        <v/>
      </c>
      <c r="M14" s="12"/>
      <c r="N14" s="15" t="str">
        <f aca="false">IF($B14="","",IF(NOT(ISNUMBER($B14)),"日期格式不对",IF($C14="","未选资金账户",IF(AND(N($I14)=0,N($J14)=0),"收支都为空",IF(AND(N($I14)&gt;0,N($J14)&gt;0),"收支不能同时填",IF(AND($D14&lt;&gt;"",LEFT($O14,1)="⚠"),"项目编号不存在",IF(AND($M14="是",$F14=""),"工程回款必须填往来单位","√")))))))</f>
        <v/>
      </c>
      <c r="O14" s="16" t="str">
        <f aca="false">IF($D14="","",IFERROR(INDEX(对照清单!$B$5:$B$60,MATCH($D14,对照清单!$A$5:$A$60,0)),"⚠编号不存在"))</f>
        <v/>
      </c>
      <c r="P14" s="10" t="str">
        <f aca="false">IF($B14="","",IF(ISNUMBER($B14),TEXT($B14,"yyyy-mm"),"日期非法"))</f>
        <v/>
      </c>
      <c r="Q14" s="10" t="str">
        <f aca="false">IF($B14="","",IF(ISNUMBER($B14),YEAR($B14),"日期非法"))</f>
        <v/>
      </c>
    </row>
    <row r="15" customFormat="false" ht="15.75" hidden="false" customHeight="true" outlineLevel="0" collapsed="false">
      <c r="A15" s="10" t="str">
        <f aca="false">IF($B15="","",ROW()-4)</f>
        <v/>
      </c>
      <c r="B15" s="11"/>
      <c r="C15" s="12"/>
      <c r="D15" s="12"/>
      <c r="E15" s="12"/>
      <c r="F15" s="12"/>
      <c r="G15" s="12"/>
      <c r="H15" s="13"/>
      <c r="I15" s="4"/>
      <c r="J15" s="4"/>
      <c r="K15" s="14" t="str">
        <f aca="false">IF($B15="","",IF($C15="泓普",$C$2,IF($C15="仟茂",$E$2,IF($C15="现金",$G$2,0)))+SUMIFS($I$5:$I15,$C$5:$C15,$C15)-SUMIFS($J$5:$J15,$C$5:$C15,$C15))</f>
        <v/>
      </c>
      <c r="L15" s="14" t="str">
        <f aca="false">IF($B15="","",$C$2+$E$2+$G$2+SUM($I$5:$I15)-SUM($J$5:$J15))</f>
        <v/>
      </c>
      <c r="M15" s="12"/>
      <c r="N15" s="15" t="str">
        <f aca="false">IF($B15="","",IF(NOT(ISNUMBER($B15)),"日期格式不对",IF($C15="","未选资金账户",IF(AND(N($I15)=0,N($J15)=0),"收支都为空",IF(AND(N($I15)&gt;0,N($J15)&gt;0),"收支不能同时填",IF(AND($D15&lt;&gt;"",LEFT($O15,1)="⚠"),"项目编号不存在",IF(AND($M15="是",$F15=""),"工程回款必须填往来单位","√")))))))</f>
        <v/>
      </c>
      <c r="O15" s="16" t="str">
        <f aca="false">IF($D15="","",IFERROR(INDEX(对照清单!$B$5:$B$60,MATCH($D15,对照清单!$A$5:$A$60,0)),"⚠编号不存在"))</f>
        <v/>
      </c>
      <c r="P15" s="10" t="str">
        <f aca="false">IF($B15="","",IF(ISNUMBER($B15),TEXT($B15,"yyyy-mm"),"日期非法"))</f>
        <v/>
      </c>
      <c r="Q15" s="10" t="str">
        <f aca="false">IF($B15="","",IF(ISNUMBER($B15),YEAR($B15),"日期非法"))</f>
        <v/>
      </c>
    </row>
    <row r="16" customFormat="false" ht="15.75" hidden="false" customHeight="true" outlineLevel="0" collapsed="false">
      <c r="A16" s="10" t="str">
        <f aca="false">IF($B16="","",ROW()-4)</f>
        <v/>
      </c>
      <c r="B16" s="11"/>
      <c r="C16" s="12"/>
      <c r="D16" s="12"/>
      <c r="E16" s="12"/>
      <c r="F16" s="12"/>
      <c r="G16" s="12"/>
      <c r="H16" s="13"/>
      <c r="I16" s="4"/>
      <c r="J16" s="4"/>
      <c r="K16" s="14" t="str">
        <f aca="false">IF($B16="","",IF($C16="泓普",$C$2,IF($C16="仟茂",$E$2,IF($C16="现金",$G$2,0)))+SUMIFS($I$5:$I16,$C$5:$C16,$C16)-SUMIFS($J$5:$J16,$C$5:$C16,$C16))</f>
        <v/>
      </c>
      <c r="L16" s="14" t="str">
        <f aca="false">IF($B16="","",$C$2+$E$2+$G$2+SUM($I$5:$I16)-SUM($J$5:$J16))</f>
        <v/>
      </c>
      <c r="M16" s="12"/>
      <c r="N16" s="15" t="str">
        <f aca="false">IF($B16="","",IF(NOT(ISNUMBER($B16)),"日期格式不对",IF($C16="","未选资金账户",IF(AND(N($I16)=0,N($J16)=0),"收支都为空",IF(AND(N($I16)&gt;0,N($J16)&gt;0),"收支不能同时填",IF(AND($D16&lt;&gt;"",LEFT($O16,1)="⚠"),"项目编号不存在",IF(AND($M16="是",$F16=""),"工程回款必须填往来单位","√")))))))</f>
        <v/>
      </c>
      <c r="O16" s="16" t="str">
        <f aca="false">IF($D16="","",IFERROR(INDEX(对照清单!$B$5:$B$60,MATCH($D16,对照清单!$A$5:$A$60,0)),"⚠编号不存在"))</f>
        <v/>
      </c>
      <c r="P16" s="10" t="str">
        <f aca="false">IF($B16="","",IF(ISNUMBER($B16),TEXT($B16,"yyyy-mm"),"日期非法"))</f>
        <v/>
      </c>
      <c r="Q16" s="10" t="str">
        <f aca="false">IF($B16="","",IF(ISNUMBER($B16),YEAR($B16),"日期非法"))</f>
        <v/>
      </c>
    </row>
    <row r="17" customFormat="false" ht="15.75" hidden="false" customHeight="true" outlineLevel="0" collapsed="false">
      <c r="A17" s="10" t="str">
        <f aca="false">IF($B17="","",ROW()-4)</f>
        <v/>
      </c>
      <c r="B17" s="11"/>
      <c r="C17" s="12"/>
      <c r="D17" s="12"/>
      <c r="E17" s="12"/>
      <c r="F17" s="12"/>
      <c r="G17" s="12"/>
      <c r="H17" s="13"/>
      <c r="I17" s="4"/>
      <c r="J17" s="4"/>
      <c r="K17" s="14" t="str">
        <f aca="false">IF($B17="","",IF($C17="泓普",$C$2,IF($C17="仟茂",$E$2,IF($C17="现金",$G$2,0)))+SUMIFS($I$5:$I17,$C$5:$C17,$C17)-SUMIFS($J$5:$J17,$C$5:$C17,$C17))</f>
        <v/>
      </c>
      <c r="L17" s="14" t="str">
        <f aca="false">IF($B17="","",$C$2+$E$2+$G$2+SUM($I$5:$I17)-SUM($J$5:$J17))</f>
        <v/>
      </c>
      <c r="M17" s="12"/>
      <c r="N17" s="15" t="str">
        <f aca="false">IF($B17="","",IF(NOT(ISNUMBER($B17)),"日期格式不对",IF($C17="","未选资金账户",IF(AND(N($I17)=0,N($J17)=0),"收支都为空",IF(AND(N($I17)&gt;0,N($J17)&gt;0),"收支不能同时填",IF(AND($D17&lt;&gt;"",LEFT($O17,1)="⚠"),"项目编号不存在",IF(AND($M17="是",$F17=""),"工程回款必须填往来单位","√")))))))</f>
        <v/>
      </c>
      <c r="O17" s="16" t="str">
        <f aca="false">IF($D17="","",IFERROR(INDEX(对照清单!$B$5:$B$60,MATCH($D17,对照清单!$A$5:$A$60,0)),"⚠编号不存在"))</f>
        <v/>
      </c>
      <c r="P17" s="10" t="str">
        <f aca="false">IF($B17="","",IF(ISNUMBER($B17),TEXT($B17,"yyyy-mm"),"日期非法"))</f>
        <v/>
      </c>
      <c r="Q17" s="10" t="str">
        <f aca="false">IF($B17="","",IF(ISNUMBER($B17),YEAR($B17),"日期非法"))</f>
        <v/>
      </c>
    </row>
    <row r="18" customFormat="false" ht="15.75" hidden="false" customHeight="true" outlineLevel="0" collapsed="false">
      <c r="A18" s="10" t="str">
        <f aca="false">IF($B18="","",ROW()-4)</f>
        <v/>
      </c>
      <c r="B18" s="11"/>
      <c r="C18" s="12"/>
      <c r="D18" s="12"/>
      <c r="E18" s="12"/>
      <c r="F18" s="12"/>
      <c r="G18" s="12"/>
      <c r="H18" s="13"/>
      <c r="I18" s="4"/>
      <c r="J18" s="4"/>
      <c r="K18" s="14" t="str">
        <f aca="false">IF($B18="","",IF($C18="泓普",$C$2,IF($C18="仟茂",$E$2,IF($C18="现金",$G$2,0)))+SUMIFS($I$5:$I18,$C$5:$C18,$C18)-SUMIFS($J$5:$J18,$C$5:$C18,$C18))</f>
        <v/>
      </c>
      <c r="L18" s="14" t="str">
        <f aca="false">IF($B18="","",$C$2+$E$2+$G$2+SUM($I$5:$I18)-SUM($J$5:$J18))</f>
        <v/>
      </c>
      <c r="M18" s="12"/>
      <c r="N18" s="15" t="str">
        <f aca="false">IF($B18="","",IF(NOT(ISNUMBER($B18)),"日期格式不对",IF($C18="","未选资金账户",IF(AND(N($I18)=0,N($J18)=0),"收支都为空",IF(AND(N($I18)&gt;0,N($J18)&gt;0),"收支不能同时填",IF(AND($D18&lt;&gt;"",LEFT($O18,1)="⚠"),"项目编号不存在",IF(AND($M18="是",$F18=""),"工程回款必须填往来单位","√")))))))</f>
        <v/>
      </c>
      <c r="O18" s="16" t="str">
        <f aca="false">IF($D18="","",IFERROR(INDEX(对照清单!$B$5:$B$60,MATCH($D18,对照清单!$A$5:$A$60,0)),"⚠编号不存在"))</f>
        <v/>
      </c>
      <c r="P18" s="10" t="str">
        <f aca="false">IF($B18="","",IF(ISNUMBER($B18),TEXT($B18,"yyyy-mm"),"日期非法"))</f>
        <v/>
      </c>
      <c r="Q18" s="10" t="str">
        <f aca="false">IF($B18="","",IF(ISNUMBER($B18),YEAR($B18),"日期非法"))</f>
        <v/>
      </c>
    </row>
    <row r="19" customFormat="false" ht="15.75" hidden="false" customHeight="true" outlineLevel="0" collapsed="false">
      <c r="A19" s="10" t="str">
        <f aca="false">IF($B19="","",ROW()-4)</f>
        <v/>
      </c>
      <c r="B19" s="11"/>
      <c r="C19" s="12"/>
      <c r="D19" s="12"/>
      <c r="E19" s="12"/>
      <c r="F19" s="12"/>
      <c r="G19" s="12"/>
      <c r="H19" s="13"/>
      <c r="I19" s="4"/>
      <c r="J19" s="4"/>
      <c r="K19" s="14" t="str">
        <f aca="false">IF($B19="","",IF($C19="泓普",$C$2,IF($C19="仟茂",$E$2,IF($C19="现金",$G$2,0)))+SUMIFS($I$5:$I19,$C$5:$C19,$C19)-SUMIFS($J$5:$J19,$C$5:$C19,$C19))</f>
        <v/>
      </c>
      <c r="L19" s="14" t="str">
        <f aca="false">IF($B19="","",$C$2+$E$2+$G$2+SUM($I$5:$I19)-SUM($J$5:$J19))</f>
        <v/>
      </c>
      <c r="M19" s="12"/>
      <c r="N19" s="15" t="str">
        <f aca="false">IF($B19="","",IF(NOT(ISNUMBER($B19)),"日期格式不对",IF($C19="","未选资金账户",IF(AND(N($I19)=0,N($J19)=0),"收支都为空",IF(AND(N($I19)&gt;0,N($J19)&gt;0),"收支不能同时填",IF(AND($D19&lt;&gt;"",LEFT($O19,1)="⚠"),"项目编号不存在",IF(AND($M19="是",$F19=""),"工程回款必须填往来单位","√")))))))</f>
        <v/>
      </c>
      <c r="O19" s="16" t="str">
        <f aca="false">IF($D19="","",IFERROR(INDEX(对照清单!$B$5:$B$60,MATCH($D19,对照清单!$A$5:$A$60,0)),"⚠编号不存在"))</f>
        <v/>
      </c>
      <c r="P19" s="10" t="str">
        <f aca="false">IF($B19="","",IF(ISNUMBER($B19),TEXT($B19,"yyyy-mm"),"日期非法"))</f>
        <v/>
      </c>
      <c r="Q19" s="10" t="str">
        <f aca="false">IF($B19="","",IF(ISNUMBER($B19),YEAR($B19),"日期非法"))</f>
        <v/>
      </c>
    </row>
    <row r="20" customFormat="false" ht="15.75" hidden="false" customHeight="true" outlineLevel="0" collapsed="false">
      <c r="A20" s="10" t="str">
        <f aca="false">IF($B20="","",ROW()-4)</f>
        <v/>
      </c>
      <c r="B20" s="11"/>
      <c r="C20" s="12"/>
      <c r="D20" s="12"/>
      <c r="E20" s="12"/>
      <c r="F20" s="12"/>
      <c r="G20" s="12"/>
      <c r="H20" s="13"/>
      <c r="I20" s="4"/>
      <c r="J20" s="4"/>
      <c r="K20" s="14" t="str">
        <f aca="false">IF($B20="","",IF($C20="泓普",$C$2,IF($C20="仟茂",$E$2,IF($C20="现金",$G$2,0)))+SUMIFS($I$5:$I20,$C$5:$C20,$C20)-SUMIFS($J$5:$J20,$C$5:$C20,$C20))</f>
        <v/>
      </c>
      <c r="L20" s="14" t="str">
        <f aca="false">IF($B20="","",$C$2+$E$2+$G$2+SUM($I$5:$I20)-SUM($J$5:$J20))</f>
        <v/>
      </c>
      <c r="M20" s="12"/>
      <c r="N20" s="15" t="str">
        <f aca="false">IF($B20="","",IF(NOT(ISNUMBER($B20)),"日期格式不对",IF($C20="","未选资金账户",IF(AND(N($I20)=0,N($J20)=0),"收支都为空",IF(AND(N($I20)&gt;0,N($J20)&gt;0),"收支不能同时填",IF(AND($D20&lt;&gt;"",LEFT($O20,1)="⚠"),"项目编号不存在",IF(AND($M20="是",$F20=""),"工程回款必须填往来单位","√")))))))</f>
        <v/>
      </c>
      <c r="O20" s="16" t="str">
        <f aca="false">IF($D20="","",IFERROR(INDEX(对照清单!$B$5:$B$60,MATCH($D20,对照清单!$A$5:$A$60,0)),"⚠编号不存在"))</f>
        <v/>
      </c>
      <c r="P20" s="10" t="str">
        <f aca="false">IF($B20="","",IF(ISNUMBER($B20),TEXT($B20,"yyyy-mm"),"日期非法"))</f>
        <v/>
      </c>
      <c r="Q20" s="10" t="str">
        <f aca="false">IF($B20="","",IF(ISNUMBER($B20),YEAR($B20),"日期非法"))</f>
        <v/>
      </c>
    </row>
    <row r="21" customFormat="false" ht="15.75" hidden="false" customHeight="true" outlineLevel="0" collapsed="false">
      <c r="A21" s="10" t="str">
        <f aca="false">IF($B21="","",ROW()-4)</f>
        <v/>
      </c>
      <c r="B21" s="11"/>
      <c r="C21" s="12"/>
      <c r="D21" s="12"/>
      <c r="E21" s="12"/>
      <c r="F21" s="12"/>
      <c r="G21" s="12"/>
      <c r="H21" s="13"/>
      <c r="I21" s="4"/>
      <c r="J21" s="4"/>
      <c r="K21" s="14" t="str">
        <f aca="false">IF($B21="","",IF($C21="泓普",$C$2,IF($C21="仟茂",$E$2,IF($C21="现金",$G$2,0)))+SUMIFS($I$5:$I21,$C$5:$C21,$C21)-SUMIFS($J$5:$J21,$C$5:$C21,$C21))</f>
        <v/>
      </c>
      <c r="L21" s="14" t="str">
        <f aca="false">IF($B21="","",$C$2+$E$2+$G$2+SUM($I$5:$I21)-SUM($J$5:$J21))</f>
        <v/>
      </c>
      <c r="M21" s="12"/>
      <c r="N21" s="15" t="str">
        <f aca="false">IF($B21="","",IF(NOT(ISNUMBER($B21)),"日期格式不对",IF($C21="","未选资金账户",IF(AND(N($I21)=0,N($J21)=0),"收支都为空",IF(AND(N($I21)&gt;0,N($J21)&gt;0),"收支不能同时填",IF(AND($D21&lt;&gt;"",LEFT($O21,1)="⚠"),"项目编号不存在",IF(AND($M21="是",$F21=""),"工程回款必须填往来单位","√")))))))</f>
        <v/>
      </c>
      <c r="O21" s="16" t="str">
        <f aca="false">IF($D21="","",IFERROR(INDEX(对照清单!$B$5:$B$60,MATCH($D21,对照清单!$A$5:$A$60,0)),"⚠编号不存在"))</f>
        <v/>
      </c>
      <c r="P21" s="10" t="str">
        <f aca="false">IF($B21="","",IF(ISNUMBER($B21),TEXT($B21,"yyyy-mm"),"日期非法"))</f>
        <v/>
      </c>
      <c r="Q21" s="10" t="str">
        <f aca="false">IF($B21="","",IF(ISNUMBER($B21),YEAR($B21),"日期非法"))</f>
        <v/>
      </c>
    </row>
    <row r="22" customFormat="false" ht="15.75" hidden="false" customHeight="true" outlineLevel="0" collapsed="false">
      <c r="A22" s="10" t="str">
        <f aca="false">IF($B22="","",ROW()-4)</f>
        <v/>
      </c>
      <c r="B22" s="11"/>
      <c r="C22" s="12"/>
      <c r="D22" s="12"/>
      <c r="E22" s="12"/>
      <c r="F22" s="12"/>
      <c r="G22" s="12"/>
      <c r="H22" s="13"/>
      <c r="I22" s="4"/>
      <c r="J22" s="4"/>
      <c r="K22" s="14" t="str">
        <f aca="false">IF($B22="","",IF($C22="泓普",$C$2,IF($C22="仟茂",$E$2,IF($C22="现金",$G$2,0)))+SUMIFS($I$5:$I22,$C$5:$C22,$C22)-SUMIFS($J$5:$J22,$C$5:$C22,$C22))</f>
        <v/>
      </c>
      <c r="L22" s="14" t="str">
        <f aca="false">IF($B22="","",$C$2+$E$2+$G$2+SUM($I$5:$I22)-SUM($J$5:$J22))</f>
        <v/>
      </c>
      <c r="M22" s="12"/>
      <c r="N22" s="15" t="str">
        <f aca="false">IF($B22="","",IF(NOT(ISNUMBER($B22)),"日期格式不对",IF($C22="","未选资金账户",IF(AND(N($I22)=0,N($J22)=0),"收支都为空",IF(AND(N($I22)&gt;0,N($J22)&gt;0),"收支不能同时填",IF(AND($D22&lt;&gt;"",LEFT($O22,1)="⚠"),"项目编号不存在",IF(AND($M22="是",$F22=""),"工程回款必须填往来单位","√")))))))</f>
        <v/>
      </c>
      <c r="O22" s="16" t="str">
        <f aca="false">IF($D22="","",IFERROR(INDEX(对照清单!$B$5:$B$60,MATCH($D22,对照清单!$A$5:$A$60,0)),"⚠编号不存在"))</f>
        <v/>
      </c>
      <c r="P22" s="10" t="str">
        <f aca="false">IF($B22="","",IF(ISNUMBER($B22),TEXT($B22,"yyyy-mm"),"日期非法"))</f>
        <v/>
      </c>
      <c r="Q22" s="10" t="str">
        <f aca="false">IF($B22="","",IF(ISNUMBER($B22),YEAR($B22),"日期非法"))</f>
        <v/>
      </c>
    </row>
    <row r="23" customFormat="false" ht="15.75" hidden="false" customHeight="true" outlineLevel="0" collapsed="false">
      <c r="A23" s="10" t="str">
        <f aca="false">IF($B23="","",ROW()-4)</f>
        <v/>
      </c>
      <c r="B23" s="11"/>
      <c r="C23" s="12"/>
      <c r="D23" s="12"/>
      <c r="E23" s="12"/>
      <c r="F23" s="12"/>
      <c r="G23" s="12"/>
      <c r="H23" s="13"/>
      <c r="I23" s="4"/>
      <c r="J23" s="4"/>
      <c r="K23" s="14" t="str">
        <f aca="false">IF($B23="","",IF($C23="泓普",$C$2,IF($C23="仟茂",$E$2,IF($C23="现金",$G$2,0)))+SUMIFS($I$5:$I23,$C$5:$C23,$C23)-SUMIFS($J$5:$J23,$C$5:$C23,$C23))</f>
        <v/>
      </c>
      <c r="L23" s="14" t="str">
        <f aca="false">IF($B23="","",$C$2+$E$2+$G$2+SUM($I$5:$I23)-SUM($J$5:$J23))</f>
        <v/>
      </c>
      <c r="M23" s="12"/>
      <c r="N23" s="15" t="str">
        <f aca="false">IF($B23="","",IF(NOT(ISNUMBER($B23)),"日期格式不对",IF($C23="","未选资金账户",IF(AND(N($I23)=0,N($J23)=0),"收支都为空",IF(AND(N($I23)&gt;0,N($J23)&gt;0),"收支不能同时填",IF(AND($D23&lt;&gt;"",LEFT($O23,1)="⚠"),"项目编号不存在",IF(AND($M23="是",$F23=""),"工程回款必须填往来单位","√")))))))</f>
        <v/>
      </c>
      <c r="O23" s="16" t="str">
        <f aca="false">IF($D23="","",IFERROR(INDEX(对照清单!$B$5:$B$60,MATCH($D23,对照清单!$A$5:$A$60,0)),"⚠编号不存在"))</f>
        <v/>
      </c>
      <c r="P23" s="10" t="str">
        <f aca="false">IF($B23="","",IF(ISNUMBER($B23),TEXT($B23,"yyyy-mm"),"日期非法"))</f>
        <v/>
      </c>
      <c r="Q23" s="10" t="str">
        <f aca="false">IF($B23="","",IF(ISNUMBER($B23),YEAR($B23),"日期非法"))</f>
        <v/>
      </c>
    </row>
    <row r="24" customFormat="false" ht="15.75" hidden="false" customHeight="true" outlineLevel="0" collapsed="false">
      <c r="A24" s="10" t="str">
        <f aca="false">IF($B24="","",ROW()-4)</f>
        <v/>
      </c>
      <c r="B24" s="11"/>
      <c r="C24" s="12"/>
      <c r="D24" s="12"/>
      <c r="E24" s="12"/>
      <c r="F24" s="12"/>
      <c r="G24" s="12"/>
      <c r="H24" s="13"/>
      <c r="I24" s="4"/>
      <c r="J24" s="4"/>
      <c r="K24" s="14" t="str">
        <f aca="false">IF($B24="","",IF($C24="泓普",$C$2,IF($C24="仟茂",$E$2,IF($C24="现金",$G$2,0)))+SUMIFS($I$5:$I24,$C$5:$C24,$C24)-SUMIFS($J$5:$J24,$C$5:$C24,$C24))</f>
        <v/>
      </c>
      <c r="L24" s="14" t="str">
        <f aca="false">IF($B24="","",$C$2+$E$2+$G$2+SUM($I$5:$I24)-SUM($J$5:$J24))</f>
        <v/>
      </c>
      <c r="M24" s="12"/>
      <c r="N24" s="15" t="str">
        <f aca="false">IF($B24="","",IF(NOT(ISNUMBER($B24)),"日期格式不对",IF($C24="","未选资金账户",IF(AND(N($I24)=0,N($J24)=0),"收支都为空",IF(AND(N($I24)&gt;0,N($J24)&gt;0),"收支不能同时填",IF(AND($D24&lt;&gt;"",LEFT($O24,1)="⚠"),"项目编号不存在",IF(AND($M24="是",$F24=""),"工程回款必须填往来单位","√")))))))</f>
        <v/>
      </c>
      <c r="O24" s="16" t="str">
        <f aca="false">IF($D24="","",IFERROR(INDEX(对照清单!$B$5:$B$60,MATCH($D24,对照清单!$A$5:$A$60,0)),"⚠编号不存在"))</f>
        <v/>
      </c>
      <c r="P24" s="10" t="str">
        <f aca="false">IF($B24="","",IF(ISNUMBER($B24),TEXT($B24,"yyyy-mm"),"日期非法"))</f>
        <v/>
      </c>
      <c r="Q24" s="10" t="str">
        <f aca="false">IF($B24="","",IF(ISNUMBER($B24),YEAR($B24),"日期非法"))</f>
        <v/>
      </c>
    </row>
    <row r="25" customFormat="false" ht="15.75" hidden="false" customHeight="true" outlineLevel="0" collapsed="false">
      <c r="A25" s="10" t="str">
        <f aca="false">IF($B25="","",ROW()-4)</f>
        <v/>
      </c>
      <c r="B25" s="11"/>
      <c r="C25" s="12"/>
      <c r="D25" s="12"/>
      <c r="E25" s="12"/>
      <c r="F25" s="12"/>
      <c r="G25" s="12"/>
      <c r="H25" s="13"/>
      <c r="I25" s="4"/>
      <c r="J25" s="4"/>
      <c r="K25" s="14" t="str">
        <f aca="false">IF($B25="","",IF($C25="泓普",$C$2,IF($C25="仟茂",$E$2,IF($C25="现金",$G$2,0)))+SUMIFS($I$5:$I25,$C$5:$C25,$C25)-SUMIFS($J$5:$J25,$C$5:$C25,$C25))</f>
        <v/>
      </c>
      <c r="L25" s="14" t="str">
        <f aca="false">IF($B25="","",$C$2+$E$2+$G$2+SUM($I$5:$I25)-SUM($J$5:$J25))</f>
        <v/>
      </c>
      <c r="M25" s="12"/>
      <c r="N25" s="15" t="str">
        <f aca="false">IF($B25="","",IF(NOT(ISNUMBER($B25)),"日期格式不对",IF($C25="","未选资金账户",IF(AND(N($I25)=0,N($J25)=0),"收支都为空",IF(AND(N($I25)&gt;0,N($J25)&gt;0),"收支不能同时填",IF(AND($D25&lt;&gt;"",LEFT($O25,1)="⚠"),"项目编号不存在",IF(AND($M25="是",$F25=""),"工程回款必须填往来单位","√")))))))</f>
        <v/>
      </c>
      <c r="O25" s="16" t="str">
        <f aca="false">IF($D25="","",IFERROR(INDEX(对照清单!$B$5:$B$60,MATCH($D25,对照清单!$A$5:$A$60,0)),"⚠编号不存在"))</f>
        <v/>
      </c>
      <c r="P25" s="10" t="str">
        <f aca="false">IF($B25="","",IF(ISNUMBER($B25),TEXT($B25,"yyyy-mm"),"日期非法"))</f>
        <v/>
      </c>
      <c r="Q25" s="10" t="str">
        <f aca="false">IF($B25="","",IF(ISNUMBER($B25),YEAR($B25),"日期非法"))</f>
        <v/>
      </c>
    </row>
    <row r="26" customFormat="false" ht="15.75" hidden="false" customHeight="true" outlineLevel="0" collapsed="false">
      <c r="A26" s="10" t="str">
        <f aca="false">IF($B26="","",ROW()-4)</f>
        <v/>
      </c>
      <c r="B26" s="11"/>
      <c r="C26" s="12"/>
      <c r="D26" s="12"/>
      <c r="E26" s="12"/>
      <c r="F26" s="12"/>
      <c r="G26" s="12"/>
      <c r="H26" s="13"/>
      <c r="I26" s="4"/>
      <c r="J26" s="4"/>
      <c r="K26" s="14" t="str">
        <f aca="false">IF($B26="","",IF($C26="泓普",$C$2,IF($C26="仟茂",$E$2,IF($C26="现金",$G$2,0)))+SUMIFS($I$5:$I26,$C$5:$C26,$C26)-SUMIFS($J$5:$J26,$C$5:$C26,$C26))</f>
        <v/>
      </c>
      <c r="L26" s="14" t="str">
        <f aca="false">IF($B26="","",$C$2+$E$2+$G$2+SUM($I$5:$I26)-SUM($J$5:$J26))</f>
        <v/>
      </c>
      <c r="M26" s="12"/>
      <c r="N26" s="15" t="str">
        <f aca="false">IF($B26="","",IF(NOT(ISNUMBER($B26)),"日期格式不对",IF($C26="","未选资金账户",IF(AND(N($I26)=0,N($J26)=0),"收支都为空",IF(AND(N($I26)&gt;0,N($J26)&gt;0),"收支不能同时填",IF(AND($D26&lt;&gt;"",LEFT($O26,1)="⚠"),"项目编号不存在",IF(AND($M26="是",$F26=""),"工程回款必须填往来单位","√")))))))</f>
        <v/>
      </c>
      <c r="O26" s="16" t="str">
        <f aca="false">IF($D26="","",IFERROR(INDEX(对照清单!$B$5:$B$60,MATCH($D26,对照清单!$A$5:$A$60,0)),"⚠编号不存在"))</f>
        <v/>
      </c>
      <c r="P26" s="10" t="str">
        <f aca="false">IF($B26="","",IF(ISNUMBER($B26),TEXT($B26,"yyyy-mm"),"日期非法"))</f>
        <v/>
      </c>
      <c r="Q26" s="10" t="str">
        <f aca="false">IF($B26="","",IF(ISNUMBER($B26),YEAR($B26),"日期非法"))</f>
        <v/>
      </c>
    </row>
    <row r="27" customFormat="false" ht="15.75" hidden="false" customHeight="true" outlineLevel="0" collapsed="false">
      <c r="A27" s="10" t="str">
        <f aca="false">IF($B27="","",ROW()-4)</f>
        <v/>
      </c>
      <c r="B27" s="11"/>
      <c r="C27" s="12"/>
      <c r="D27" s="12"/>
      <c r="E27" s="12"/>
      <c r="F27" s="12"/>
      <c r="G27" s="12"/>
      <c r="H27" s="13"/>
      <c r="I27" s="4"/>
      <c r="J27" s="4"/>
      <c r="K27" s="14" t="str">
        <f aca="false">IF($B27="","",IF($C27="泓普",$C$2,IF($C27="仟茂",$E$2,IF($C27="现金",$G$2,0)))+SUMIFS($I$5:$I27,$C$5:$C27,$C27)-SUMIFS($J$5:$J27,$C$5:$C27,$C27))</f>
        <v/>
      </c>
      <c r="L27" s="14" t="str">
        <f aca="false">IF($B27="","",$C$2+$E$2+$G$2+SUM($I$5:$I27)-SUM($J$5:$J27))</f>
        <v/>
      </c>
      <c r="M27" s="12"/>
      <c r="N27" s="15" t="str">
        <f aca="false">IF($B27="","",IF(NOT(ISNUMBER($B27)),"日期格式不对",IF($C27="","未选资金账户",IF(AND(N($I27)=0,N($J27)=0),"收支都为空",IF(AND(N($I27)&gt;0,N($J27)&gt;0),"收支不能同时填",IF(AND($D27&lt;&gt;"",LEFT($O27,1)="⚠"),"项目编号不存在",IF(AND($M27="是",$F27=""),"工程回款必须填往来单位","√")))))))</f>
        <v/>
      </c>
      <c r="O27" s="16" t="str">
        <f aca="false">IF($D27="","",IFERROR(INDEX(对照清单!$B$5:$B$60,MATCH($D27,对照清单!$A$5:$A$60,0)),"⚠编号不存在"))</f>
        <v/>
      </c>
      <c r="P27" s="10" t="str">
        <f aca="false">IF($B27="","",IF(ISNUMBER($B27),TEXT($B27,"yyyy-mm"),"日期非法"))</f>
        <v/>
      </c>
      <c r="Q27" s="10" t="str">
        <f aca="false">IF($B27="","",IF(ISNUMBER($B27),YEAR($B27),"日期非法"))</f>
        <v/>
      </c>
    </row>
    <row r="28" customFormat="false" ht="15.75" hidden="false" customHeight="true" outlineLevel="0" collapsed="false">
      <c r="A28" s="10" t="str">
        <f aca="false">IF($B28="","",ROW()-4)</f>
        <v/>
      </c>
      <c r="B28" s="11"/>
      <c r="C28" s="12"/>
      <c r="D28" s="12"/>
      <c r="E28" s="12"/>
      <c r="F28" s="12"/>
      <c r="G28" s="12"/>
      <c r="H28" s="13"/>
      <c r="I28" s="4"/>
      <c r="J28" s="4"/>
      <c r="K28" s="14" t="str">
        <f aca="false">IF($B28="","",IF($C28="泓普",$C$2,IF($C28="仟茂",$E$2,IF($C28="现金",$G$2,0)))+SUMIFS($I$5:$I28,$C$5:$C28,$C28)-SUMIFS($J$5:$J28,$C$5:$C28,$C28))</f>
        <v/>
      </c>
      <c r="L28" s="14" t="str">
        <f aca="false">IF($B28="","",$C$2+$E$2+$G$2+SUM($I$5:$I28)-SUM($J$5:$J28))</f>
        <v/>
      </c>
      <c r="M28" s="12"/>
      <c r="N28" s="15" t="str">
        <f aca="false">IF($B28="","",IF(NOT(ISNUMBER($B28)),"日期格式不对",IF($C28="","未选资金账户",IF(AND(N($I28)=0,N($J28)=0),"收支都为空",IF(AND(N($I28)&gt;0,N($J28)&gt;0),"收支不能同时填",IF(AND($D28&lt;&gt;"",LEFT($O28,1)="⚠"),"项目编号不存在",IF(AND($M28="是",$F28=""),"工程回款必须填往来单位","√")))))))</f>
        <v/>
      </c>
      <c r="O28" s="16" t="str">
        <f aca="false">IF($D28="","",IFERROR(INDEX(对照清单!$B$5:$B$60,MATCH($D28,对照清单!$A$5:$A$60,0)),"⚠编号不存在"))</f>
        <v/>
      </c>
      <c r="P28" s="10" t="str">
        <f aca="false">IF($B28="","",IF(ISNUMBER($B28),TEXT($B28,"yyyy-mm"),"日期非法"))</f>
        <v/>
      </c>
      <c r="Q28" s="10" t="str">
        <f aca="false">IF($B28="","",IF(ISNUMBER($B28),YEAR($B28),"日期非法"))</f>
        <v/>
      </c>
    </row>
    <row r="29" customFormat="false" ht="15.75" hidden="false" customHeight="true" outlineLevel="0" collapsed="false">
      <c r="A29" s="10" t="str">
        <f aca="false">IF($B29="","",ROW()-4)</f>
        <v/>
      </c>
      <c r="B29" s="11"/>
      <c r="C29" s="12"/>
      <c r="D29" s="12"/>
      <c r="E29" s="12"/>
      <c r="F29" s="12"/>
      <c r="G29" s="12"/>
      <c r="H29" s="13"/>
      <c r="I29" s="4"/>
      <c r="J29" s="4"/>
      <c r="K29" s="14" t="str">
        <f aca="false">IF($B29="","",IF($C29="泓普",$C$2,IF($C29="仟茂",$E$2,IF($C29="现金",$G$2,0)))+SUMIFS($I$5:$I29,$C$5:$C29,$C29)-SUMIFS($J$5:$J29,$C$5:$C29,$C29))</f>
        <v/>
      </c>
      <c r="L29" s="14" t="str">
        <f aca="false">IF($B29="","",$C$2+$E$2+$G$2+SUM($I$5:$I29)-SUM($J$5:$J29))</f>
        <v/>
      </c>
      <c r="M29" s="12"/>
      <c r="N29" s="15" t="str">
        <f aca="false">IF($B29="","",IF(NOT(ISNUMBER($B29)),"日期格式不对",IF($C29="","未选资金账户",IF(AND(N($I29)=0,N($J29)=0),"收支都为空",IF(AND(N($I29)&gt;0,N($J29)&gt;0),"收支不能同时填",IF(AND($D29&lt;&gt;"",LEFT($O29,1)="⚠"),"项目编号不存在",IF(AND($M29="是",$F29=""),"工程回款必须填往来单位","√")))))))</f>
        <v/>
      </c>
      <c r="O29" s="16" t="str">
        <f aca="false">IF($D29="","",IFERROR(INDEX(对照清单!$B$5:$B$60,MATCH($D29,对照清单!$A$5:$A$60,0)),"⚠编号不存在"))</f>
        <v/>
      </c>
      <c r="P29" s="10" t="str">
        <f aca="false">IF($B29="","",IF(ISNUMBER($B29),TEXT($B29,"yyyy-mm"),"日期非法"))</f>
        <v/>
      </c>
      <c r="Q29" s="10" t="str">
        <f aca="false">IF($B29="","",IF(ISNUMBER($B29),YEAR($B29),"日期非法"))</f>
        <v/>
      </c>
    </row>
    <row r="30" customFormat="false" ht="15.75" hidden="false" customHeight="true" outlineLevel="0" collapsed="false">
      <c r="A30" s="10" t="str">
        <f aca="false">IF($B30="","",ROW()-4)</f>
        <v/>
      </c>
      <c r="B30" s="11"/>
      <c r="C30" s="12"/>
      <c r="D30" s="12"/>
      <c r="E30" s="12"/>
      <c r="F30" s="12"/>
      <c r="G30" s="12"/>
      <c r="H30" s="13"/>
      <c r="I30" s="4"/>
      <c r="J30" s="4"/>
      <c r="K30" s="14" t="str">
        <f aca="false">IF($B30="","",IF($C30="泓普",$C$2,IF($C30="仟茂",$E$2,IF($C30="现金",$G$2,0)))+SUMIFS($I$5:$I30,$C$5:$C30,$C30)-SUMIFS($J$5:$J30,$C$5:$C30,$C30))</f>
        <v/>
      </c>
      <c r="L30" s="14" t="str">
        <f aca="false">IF($B30="","",$C$2+$E$2+$G$2+SUM($I$5:$I30)-SUM($J$5:$J30))</f>
        <v/>
      </c>
      <c r="M30" s="12"/>
      <c r="N30" s="15" t="str">
        <f aca="false">IF($B30="","",IF(NOT(ISNUMBER($B30)),"日期格式不对",IF($C30="","未选资金账户",IF(AND(N($I30)=0,N($J30)=0),"收支都为空",IF(AND(N($I30)&gt;0,N($J30)&gt;0),"收支不能同时填",IF(AND($D30&lt;&gt;"",LEFT($O30,1)="⚠"),"项目编号不存在",IF(AND($M30="是",$F30=""),"工程回款必须填往来单位","√")))))))</f>
        <v/>
      </c>
      <c r="O30" s="16" t="str">
        <f aca="false">IF($D30="","",IFERROR(INDEX(对照清单!$B$5:$B$60,MATCH($D30,对照清单!$A$5:$A$60,0)),"⚠编号不存在"))</f>
        <v/>
      </c>
      <c r="P30" s="10" t="str">
        <f aca="false">IF($B30="","",IF(ISNUMBER($B30),TEXT($B30,"yyyy-mm"),"日期非法"))</f>
        <v/>
      </c>
      <c r="Q30" s="10" t="str">
        <f aca="false">IF($B30="","",IF(ISNUMBER($B30),YEAR($B30),"日期非法"))</f>
        <v/>
      </c>
    </row>
    <row r="31" customFormat="false" ht="15.75" hidden="false" customHeight="true" outlineLevel="0" collapsed="false">
      <c r="A31" s="10" t="str">
        <f aca="false">IF($B31="","",ROW()-4)</f>
        <v/>
      </c>
      <c r="B31" s="11"/>
      <c r="C31" s="12"/>
      <c r="D31" s="12"/>
      <c r="E31" s="12"/>
      <c r="F31" s="12"/>
      <c r="G31" s="12"/>
      <c r="H31" s="13"/>
      <c r="I31" s="4"/>
      <c r="J31" s="4"/>
      <c r="K31" s="14" t="str">
        <f aca="false">IF($B31="","",IF($C31="泓普",$C$2,IF($C31="仟茂",$E$2,IF($C31="现金",$G$2,0)))+SUMIFS($I$5:$I31,$C$5:$C31,$C31)-SUMIFS($J$5:$J31,$C$5:$C31,$C31))</f>
        <v/>
      </c>
      <c r="L31" s="14" t="str">
        <f aca="false">IF($B31="","",$C$2+$E$2+$G$2+SUM($I$5:$I31)-SUM($J$5:$J31))</f>
        <v/>
      </c>
      <c r="M31" s="12"/>
      <c r="N31" s="15" t="str">
        <f aca="false">IF($B31="","",IF(NOT(ISNUMBER($B31)),"日期格式不对",IF($C31="","未选资金账户",IF(AND(N($I31)=0,N($J31)=0),"收支都为空",IF(AND(N($I31)&gt;0,N($J31)&gt;0),"收支不能同时填",IF(AND($D31&lt;&gt;"",LEFT($O31,1)="⚠"),"项目编号不存在",IF(AND($M31="是",$F31=""),"工程回款必须填往来单位","√")))))))</f>
        <v/>
      </c>
      <c r="O31" s="16" t="str">
        <f aca="false">IF($D31="","",IFERROR(INDEX(对照清单!$B$5:$B$60,MATCH($D31,对照清单!$A$5:$A$60,0)),"⚠编号不存在"))</f>
        <v/>
      </c>
      <c r="P31" s="10" t="str">
        <f aca="false">IF($B31="","",IF(ISNUMBER($B31),TEXT($B31,"yyyy-mm"),"日期非法"))</f>
        <v/>
      </c>
      <c r="Q31" s="10" t="str">
        <f aca="false">IF($B31="","",IF(ISNUMBER($B31),YEAR($B31),"日期非法"))</f>
        <v/>
      </c>
    </row>
    <row r="32" customFormat="false" ht="15.75" hidden="false" customHeight="true" outlineLevel="0" collapsed="false">
      <c r="A32" s="10" t="str">
        <f aca="false">IF($B32="","",ROW()-4)</f>
        <v/>
      </c>
      <c r="B32" s="11"/>
      <c r="C32" s="12"/>
      <c r="D32" s="12"/>
      <c r="E32" s="12"/>
      <c r="F32" s="12"/>
      <c r="G32" s="12"/>
      <c r="H32" s="13"/>
      <c r="I32" s="4"/>
      <c r="J32" s="4"/>
      <c r="K32" s="14" t="str">
        <f aca="false">IF($B32="","",IF($C32="泓普",$C$2,IF($C32="仟茂",$E$2,IF($C32="现金",$G$2,0)))+SUMIFS($I$5:$I32,$C$5:$C32,$C32)-SUMIFS($J$5:$J32,$C$5:$C32,$C32))</f>
        <v/>
      </c>
      <c r="L32" s="14" t="str">
        <f aca="false">IF($B32="","",$C$2+$E$2+$G$2+SUM($I$5:$I32)-SUM($J$5:$J32))</f>
        <v/>
      </c>
      <c r="M32" s="12"/>
      <c r="N32" s="15" t="str">
        <f aca="false">IF($B32="","",IF(NOT(ISNUMBER($B32)),"日期格式不对",IF($C32="","未选资金账户",IF(AND(N($I32)=0,N($J32)=0),"收支都为空",IF(AND(N($I32)&gt;0,N($J32)&gt;0),"收支不能同时填",IF(AND($D32&lt;&gt;"",LEFT($O32,1)="⚠"),"项目编号不存在",IF(AND($M32="是",$F32=""),"工程回款必须填往来单位","√")))))))</f>
        <v/>
      </c>
      <c r="O32" s="16" t="str">
        <f aca="false">IF($D32="","",IFERROR(INDEX(对照清单!$B$5:$B$60,MATCH($D32,对照清单!$A$5:$A$60,0)),"⚠编号不存在"))</f>
        <v/>
      </c>
      <c r="P32" s="10" t="str">
        <f aca="false">IF($B32="","",IF(ISNUMBER($B32),TEXT($B32,"yyyy-mm"),"日期非法"))</f>
        <v/>
      </c>
      <c r="Q32" s="10" t="str">
        <f aca="false">IF($B32="","",IF(ISNUMBER($B32),YEAR($B32),"日期非法"))</f>
        <v/>
      </c>
    </row>
    <row r="33" customFormat="false" ht="15.75" hidden="false" customHeight="true" outlineLevel="0" collapsed="false">
      <c r="A33" s="10" t="str">
        <f aca="false">IF($B33="","",ROW()-4)</f>
        <v/>
      </c>
      <c r="B33" s="11"/>
      <c r="C33" s="12"/>
      <c r="D33" s="12"/>
      <c r="E33" s="12"/>
      <c r="F33" s="12"/>
      <c r="G33" s="12"/>
      <c r="H33" s="13"/>
      <c r="I33" s="4"/>
      <c r="J33" s="4"/>
      <c r="K33" s="14" t="str">
        <f aca="false">IF($B33="","",IF($C33="泓普",$C$2,IF($C33="仟茂",$E$2,IF($C33="现金",$G$2,0)))+SUMIFS($I$5:$I33,$C$5:$C33,$C33)-SUMIFS($J$5:$J33,$C$5:$C33,$C33))</f>
        <v/>
      </c>
      <c r="L33" s="14" t="str">
        <f aca="false">IF($B33="","",$C$2+$E$2+$G$2+SUM($I$5:$I33)-SUM($J$5:$J33))</f>
        <v/>
      </c>
      <c r="M33" s="12"/>
      <c r="N33" s="15" t="str">
        <f aca="false">IF($B33="","",IF(NOT(ISNUMBER($B33)),"日期格式不对",IF($C33="","未选资金账户",IF(AND(N($I33)=0,N($J33)=0),"收支都为空",IF(AND(N($I33)&gt;0,N($J33)&gt;0),"收支不能同时填",IF(AND($D33&lt;&gt;"",LEFT($O33,1)="⚠"),"项目编号不存在",IF(AND($M33="是",$F33=""),"工程回款必须填往来单位","√")))))))</f>
        <v/>
      </c>
      <c r="O33" s="16" t="str">
        <f aca="false">IF($D33="","",IFERROR(INDEX(对照清单!$B$5:$B$60,MATCH($D33,对照清单!$A$5:$A$60,0)),"⚠编号不存在"))</f>
        <v/>
      </c>
      <c r="P33" s="10" t="str">
        <f aca="false">IF($B33="","",IF(ISNUMBER($B33),TEXT($B33,"yyyy-mm"),"日期非法"))</f>
        <v/>
      </c>
      <c r="Q33" s="10" t="str">
        <f aca="false">IF($B33="","",IF(ISNUMBER($B33),YEAR($B33),"日期非法"))</f>
        <v/>
      </c>
    </row>
    <row r="34" customFormat="false" ht="15.75" hidden="false" customHeight="true" outlineLevel="0" collapsed="false">
      <c r="A34" s="10" t="str">
        <f aca="false">IF($B34="","",ROW()-4)</f>
        <v/>
      </c>
      <c r="B34" s="11"/>
      <c r="C34" s="12"/>
      <c r="D34" s="12"/>
      <c r="E34" s="12"/>
      <c r="F34" s="12"/>
      <c r="G34" s="12"/>
      <c r="H34" s="13"/>
      <c r="I34" s="4"/>
      <c r="J34" s="4"/>
      <c r="K34" s="14" t="str">
        <f aca="false">IF($B34="","",IF($C34="泓普",$C$2,IF($C34="仟茂",$E$2,IF($C34="现金",$G$2,0)))+SUMIFS($I$5:$I34,$C$5:$C34,$C34)-SUMIFS($J$5:$J34,$C$5:$C34,$C34))</f>
        <v/>
      </c>
      <c r="L34" s="14" t="str">
        <f aca="false">IF($B34="","",$C$2+$E$2+$G$2+SUM($I$5:$I34)-SUM($J$5:$J34))</f>
        <v/>
      </c>
      <c r="M34" s="12"/>
      <c r="N34" s="15" t="str">
        <f aca="false">IF($B34="","",IF(NOT(ISNUMBER($B34)),"日期格式不对",IF($C34="","未选资金账户",IF(AND(N($I34)=0,N($J34)=0),"收支都为空",IF(AND(N($I34)&gt;0,N($J34)&gt;0),"收支不能同时填",IF(AND($D34&lt;&gt;"",LEFT($O34,1)="⚠"),"项目编号不存在",IF(AND($M34="是",$F34=""),"工程回款必须填往来单位","√")))))))</f>
        <v/>
      </c>
      <c r="O34" s="16" t="str">
        <f aca="false">IF($D34="","",IFERROR(INDEX(对照清单!$B$5:$B$60,MATCH($D34,对照清单!$A$5:$A$60,0)),"⚠编号不存在"))</f>
        <v/>
      </c>
      <c r="P34" s="10" t="str">
        <f aca="false">IF($B34="","",IF(ISNUMBER($B34),TEXT($B34,"yyyy-mm"),"日期非法"))</f>
        <v/>
      </c>
      <c r="Q34" s="10" t="str">
        <f aca="false">IF($B34="","",IF(ISNUMBER($B34),YEAR($B34),"日期非法"))</f>
        <v/>
      </c>
    </row>
    <row r="35" customFormat="false" ht="15.75" hidden="false" customHeight="true" outlineLevel="0" collapsed="false">
      <c r="A35" s="10" t="str">
        <f aca="false">IF($B35="","",ROW()-4)</f>
        <v/>
      </c>
      <c r="B35" s="11"/>
      <c r="C35" s="12"/>
      <c r="D35" s="12"/>
      <c r="E35" s="12"/>
      <c r="F35" s="12"/>
      <c r="G35" s="12"/>
      <c r="H35" s="13"/>
      <c r="I35" s="4"/>
      <c r="J35" s="4"/>
      <c r="K35" s="14" t="str">
        <f aca="false">IF($B35="","",IF($C35="泓普",$C$2,IF($C35="仟茂",$E$2,IF($C35="现金",$G$2,0)))+SUMIFS($I$5:$I35,$C$5:$C35,$C35)-SUMIFS($J$5:$J35,$C$5:$C35,$C35))</f>
        <v/>
      </c>
      <c r="L35" s="14" t="str">
        <f aca="false">IF($B35="","",$C$2+$E$2+$G$2+SUM($I$5:$I35)-SUM($J$5:$J35))</f>
        <v/>
      </c>
      <c r="M35" s="12"/>
      <c r="N35" s="15" t="str">
        <f aca="false">IF($B35="","",IF(NOT(ISNUMBER($B35)),"日期格式不对",IF($C35="","未选资金账户",IF(AND(N($I35)=0,N($J35)=0),"收支都为空",IF(AND(N($I35)&gt;0,N($J35)&gt;0),"收支不能同时填",IF(AND($D35&lt;&gt;"",LEFT($O35,1)="⚠"),"项目编号不存在",IF(AND($M35="是",$F35=""),"工程回款必须填往来单位","√")))))))</f>
        <v/>
      </c>
      <c r="O35" s="16" t="str">
        <f aca="false">IF($D35="","",IFERROR(INDEX(对照清单!$B$5:$B$60,MATCH($D35,对照清单!$A$5:$A$60,0)),"⚠编号不存在"))</f>
        <v/>
      </c>
      <c r="P35" s="10" t="str">
        <f aca="false">IF($B35="","",IF(ISNUMBER($B35),TEXT($B35,"yyyy-mm"),"日期非法"))</f>
        <v/>
      </c>
      <c r="Q35" s="10" t="str">
        <f aca="false">IF($B35="","",IF(ISNUMBER($B35),YEAR($B35),"日期非法"))</f>
        <v/>
      </c>
    </row>
    <row r="36" customFormat="false" ht="15.75" hidden="false" customHeight="true" outlineLevel="0" collapsed="false">
      <c r="A36" s="10" t="str">
        <f aca="false">IF($B36="","",ROW()-4)</f>
        <v/>
      </c>
      <c r="B36" s="11"/>
      <c r="C36" s="12"/>
      <c r="D36" s="12"/>
      <c r="E36" s="12"/>
      <c r="F36" s="12"/>
      <c r="G36" s="12"/>
      <c r="H36" s="13"/>
      <c r="I36" s="4"/>
      <c r="J36" s="4"/>
      <c r="K36" s="14" t="str">
        <f aca="false">IF($B36="","",IF($C36="泓普",$C$2,IF($C36="仟茂",$E$2,IF($C36="现金",$G$2,0)))+SUMIFS($I$5:$I36,$C$5:$C36,$C36)-SUMIFS($J$5:$J36,$C$5:$C36,$C36))</f>
        <v/>
      </c>
      <c r="L36" s="14" t="str">
        <f aca="false">IF($B36="","",$C$2+$E$2+$G$2+SUM($I$5:$I36)-SUM($J$5:$J36))</f>
        <v/>
      </c>
      <c r="M36" s="12"/>
      <c r="N36" s="15" t="str">
        <f aca="false">IF($B36="","",IF(NOT(ISNUMBER($B36)),"日期格式不对",IF($C36="","未选资金账户",IF(AND(N($I36)=0,N($J36)=0),"收支都为空",IF(AND(N($I36)&gt;0,N($J36)&gt;0),"收支不能同时填",IF(AND($D36&lt;&gt;"",LEFT($O36,1)="⚠"),"项目编号不存在",IF(AND($M36="是",$F36=""),"工程回款必须填往来单位","√")))))))</f>
        <v/>
      </c>
      <c r="O36" s="16" t="str">
        <f aca="false">IF($D36="","",IFERROR(INDEX(对照清单!$B$5:$B$60,MATCH($D36,对照清单!$A$5:$A$60,0)),"⚠编号不存在"))</f>
        <v/>
      </c>
      <c r="P36" s="10" t="str">
        <f aca="false">IF($B36="","",IF(ISNUMBER($B36),TEXT($B36,"yyyy-mm"),"日期非法"))</f>
        <v/>
      </c>
      <c r="Q36" s="10" t="str">
        <f aca="false">IF($B36="","",IF(ISNUMBER($B36),YEAR($B36),"日期非法"))</f>
        <v/>
      </c>
    </row>
    <row r="37" customFormat="false" ht="15.75" hidden="false" customHeight="true" outlineLevel="0" collapsed="false">
      <c r="A37" s="10" t="str">
        <f aca="false">IF($B37="","",ROW()-4)</f>
        <v/>
      </c>
      <c r="B37" s="11"/>
      <c r="C37" s="12"/>
      <c r="D37" s="12"/>
      <c r="E37" s="12"/>
      <c r="F37" s="12"/>
      <c r="G37" s="12"/>
      <c r="H37" s="13"/>
      <c r="I37" s="4"/>
      <c r="J37" s="4"/>
      <c r="K37" s="14" t="str">
        <f aca="false">IF($B37="","",IF($C37="泓普",$C$2,IF($C37="仟茂",$E$2,IF($C37="现金",$G$2,0)))+SUMIFS($I$5:$I37,$C$5:$C37,$C37)-SUMIFS($J$5:$J37,$C$5:$C37,$C37))</f>
        <v/>
      </c>
      <c r="L37" s="14" t="str">
        <f aca="false">IF($B37="","",$C$2+$E$2+$G$2+SUM($I$5:$I37)-SUM($J$5:$J37))</f>
        <v/>
      </c>
      <c r="M37" s="12"/>
      <c r="N37" s="15" t="str">
        <f aca="false">IF($B37="","",IF(NOT(ISNUMBER($B37)),"日期格式不对",IF($C37="","未选资金账户",IF(AND(N($I37)=0,N($J37)=0),"收支都为空",IF(AND(N($I37)&gt;0,N($J37)&gt;0),"收支不能同时填",IF(AND($D37&lt;&gt;"",LEFT($O37,1)="⚠"),"项目编号不存在",IF(AND($M37="是",$F37=""),"工程回款必须填往来单位","√")))))))</f>
        <v/>
      </c>
      <c r="O37" s="16" t="str">
        <f aca="false">IF($D37="","",IFERROR(INDEX(对照清单!$B$5:$B$60,MATCH($D37,对照清单!$A$5:$A$60,0)),"⚠编号不存在"))</f>
        <v/>
      </c>
      <c r="P37" s="10" t="str">
        <f aca="false">IF($B37="","",IF(ISNUMBER($B37),TEXT($B37,"yyyy-mm"),"日期非法"))</f>
        <v/>
      </c>
      <c r="Q37" s="10" t="str">
        <f aca="false">IF($B37="","",IF(ISNUMBER($B37),YEAR($B37),"日期非法"))</f>
        <v/>
      </c>
    </row>
    <row r="38" customFormat="false" ht="15.75" hidden="false" customHeight="true" outlineLevel="0" collapsed="false">
      <c r="A38" s="10" t="str">
        <f aca="false">IF($B38="","",ROW()-4)</f>
        <v/>
      </c>
      <c r="B38" s="11"/>
      <c r="C38" s="12"/>
      <c r="D38" s="12"/>
      <c r="E38" s="12"/>
      <c r="F38" s="12"/>
      <c r="G38" s="12"/>
      <c r="H38" s="13"/>
      <c r="I38" s="4"/>
      <c r="J38" s="4"/>
      <c r="K38" s="14" t="str">
        <f aca="false">IF($B38="","",IF($C38="泓普",$C$2,IF($C38="仟茂",$E$2,IF($C38="现金",$G$2,0)))+SUMIFS($I$5:$I38,$C$5:$C38,$C38)-SUMIFS($J$5:$J38,$C$5:$C38,$C38))</f>
        <v/>
      </c>
      <c r="L38" s="14" t="str">
        <f aca="false">IF($B38="","",$C$2+$E$2+$G$2+SUM($I$5:$I38)-SUM($J$5:$J38))</f>
        <v/>
      </c>
      <c r="M38" s="12"/>
      <c r="N38" s="15" t="str">
        <f aca="false">IF($B38="","",IF(NOT(ISNUMBER($B38)),"日期格式不对",IF($C38="","未选资金账户",IF(AND(N($I38)=0,N($J38)=0),"收支都为空",IF(AND(N($I38)&gt;0,N($J38)&gt;0),"收支不能同时填",IF(AND($D38&lt;&gt;"",LEFT($O38,1)="⚠"),"项目编号不存在",IF(AND($M38="是",$F38=""),"工程回款必须填往来单位","√")))))))</f>
        <v/>
      </c>
      <c r="O38" s="16" t="str">
        <f aca="false">IF($D38="","",IFERROR(INDEX(对照清单!$B$5:$B$60,MATCH($D38,对照清单!$A$5:$A$60,0)),"⚠编号不存在"))</f>
        <v/>
      </c>
      <c r="P38" s="10" t="str">
        <f aca="false">IF($B38="","",IF(ISNUMBER($B38),TEXT($B38,"yyyy-mm"),"日期非法"))</f>
        <v/>
      </c>
      <c r="Q38" s="10" t="str">
        <f aca="false">IF($B38="","",IF(ISNUMBER($B38),YEAR($B38),"日期非法"))</f>
        <v/>
      </c>
    </row>
    <row r="39" customFormat="false" ht="15.75" hidden="false" customHeight="true" outlineLevel="0" collapsed="false">
      <c r="A39" s="10" t="str">
        <f aca="false">IF($B39="","",ROW()-4)</f>
        <v/>
      </c>
      <c r="B39" s="11"/>
      <c r="C39" s="12"/>
      <c r="D39" s="12"/>
      <c r="E39" s="12"/>
      <c r="F39" s="12"/>
      <c r="G39" s="12"/>
      <c r="H39" s="13"/>
      <c r="I39" s="4"/>
      <c r="J39" s="4"/>
      <c r="K39" s="14" t="str">
        <f aca="false">IF($B39="","",IF($C39="泓普",$C$2,IF($C39="仟茂",$E$2,IF($C39="现金",$G$2,0)))+SUMIFS($I$5:$I39,$C$5:$C39,$C39)-SUMIFS($J$5:$J39,$C$5:$C39,$C39))</f>
        <v/>
      </c>
      <c r="L39" s="14" t="str">
        <f aca="false">IF($B39="","",$C$2+$E$2+$G$2+SUM($I$5:$I39)-SUM($J$5:$J39))</f>
        <v/>
      </c>
      <c r="M39" s="12"/>
      <c r="N39" s="15" t="str">
        <f aca="false">IF($B39="","",IF(NOT(ISNUMBER($B39)),"日期格式不对",IF($C39="","未选资金账户",IF(AND(N($I39)=0,N($J39)=0),"收支都为空",IF(AND(N($I39)&gt;0,N($J39)&gt;0),"收支不能同时填",IF(AND($D39&lt;&gt;"",LEFT($O39,1)="⚠"),"项目编号不存在",IF(AND($M39="是",$F39=""),"工程回款必须填往来单位","√")))))))</f>
        <v/>
      </c>
      <c r="O39" s="16" t="str">
        <f aca="false">IF($D39="","",IFERROR(INDEX(对照清单!$B$5:$B$60,MATCH($D39,对照清单!$A$5:$A$60,0)),"⚠编号不存在"))</f>
        <v/>
      </c>
      <c r="P39" s="10" t="str">
        <f aca="false">IF($B39="","",IF(ISNUMBER($B39),TEXT($B39,"yyyy-mm"),"日期非法"))</f>
        <v/>
      </c>
      <c r="Q39" s="10" t="str">
        <f aca="false">IF($B39="","",IF(ISNUMBER($B39),YEAR($B39),"日期非法"))</f>
        <v/>
      </c>
    </row>
    <row r="40" customFormat="false" ht="15.75" hidden="false" customHeight="true" outlineLevel="0" collapsed="false">
      <c r="A40" s="10" t="str">
        <f aca="false">IF($B40="","",ROW()-4)</f>
        <v/>
      </c>
      <c r="B40" s="11"/>
      <c r="C40" s="12"/>
      <c r="D40" s="12"/>
      <c r="E40" s="12"/>
      <c r="F40" s="12"/>
      <c r="G40" s="12"/>
      <c r="H40" s="13"/>
      <c r="I40" s="4"/>
      <c r="J40" s="4"/>
      <c r="K40" s="14" t="str">
        <f aca="false">IF($B40="","",IF($C40="泓普",$C$2,IF($C40="仟茂",$E$2,IF($C40="现金",$G$2,0)))+SUMIFS($I$5:$I40,$C$5:$C40,$C40)-SUMIFS($J$5:$J40,$C$5:$C40,$C40))</f>
        <v/>
      </c>
      <c r="L40" s="14" t="str">
        <f aca="false">IF($B40="","",$C$2+$E$2+$G$2+SUM($I$5:$I40)-SUM($J$5:$J40))</f>
        <v/>
      </c>
      <c r="M40" s="12"/>
      <c r="N40" s="15" t="str">
        <f aca="false">IF($B40="","",IF(NOT(ISNUMBER($B40)),"日期格式不对",IF($C40="","未选资金账户",IF(AND(N($I40)=0,N($J40)=0),"收支都为空",IF(AND(N($I40)&gt;0,N($J40)&gt;0),"收支不能同时填",IF(AND($D40&lt;&gt;"",LEFT($O40,1)="⚠"),"项目编号不存在",IF(AND($M40="是",$F40=""),"工程回款必须填往来单位","√")))))))</f>
        <v/>
      </c>
      <c r="O40" s="16" t="str">
        <f aca="false">IF($D40="","",IFERROR(INDEX(对照清单!$B$5:$B$60,MATCH($D40,对照清单!$A$5:$A$60,0)),"⚠编号不存在"))</f>
        <v/>
      </c>
      <c r="P40" s="10" t="str">
        <f aca="false">IF($B40="","",IF(ISNUMBER($B40),TEXT($B40,"yyyy-mm"),"日期非法"))</f>
        <v/>
      </c>
      <c r="Q40" s="10" t="str">
        <f aca="false">IF($B40="","",IF(ISNUMBER($B40),YEAR($B40),"日期非法"))</f>
        <v/>
      </c>
    </row>
    <row r="41" customFormat="false" ht="15.75" hidden="false" customHeight="true" outlineLevel="0" collapsed="false">
      <c r="A41" s="10" t="str">
        <f aca="false">IF($B41="","",ROW()-4)</f>
        <v/>
      </c>
      <c r="B41" s="11"/>
      <c r="C41" s="12"/>
      <c r="D41" s="12"/>
      <c r="E41" s="12"/>
      <c r="F41" s="12"/>
      <c r="G41" s="12"/>
      <c r="H41" s="13"/>
      <c r="I41" s="4"/>
      <c r="J41" s="4"/>
      <c r="K41" s="14" t="str">
        <f aca="false">IF($B41="","",IF($C41="泓普",$C$2,IF($C41="仟茂",$E$2,IF($C41="现金",$G$2,0)))+SUMIFS($I$5:$I41,$C$5:$C41,$C41)-SUMIFS($J$5:$J41,$C$5:$C41,$C41))</f>
        <v/>
      </c>
      <c r="L41" s="14" t="str">
        <f aca="false">IF($B41="","",$C$2+$E$2+$G$2+SUM($I$5:$I41)-SUM($J$5:$J41))</f>
        <v/>
      </c>
      <c r="M41" s="12"/>
      <c r="N41" s="15" t="str">
        <f aca="false">IF($B41="","",IF(NOT(ISNUMBER($B41)),"日期格式不对",IF($C41="","未选资金账户",IF(AND(N($I41)=0,N($J41)=0),"收支都为空",IF(AND(N($I41)&gt;0,N($J41)&gt;0),"收支不能同时填",IF(AND($D41&lt;&gt;"",LEFT($O41,1)="⚠"),"项目编号不存在",IF(AND($M41="是",$F41=""),"工程回款必须填往来单位","√")))))))</f>
        <v/>
      </c>
      <c r="O41" s="16" t="str">
        <f aca="false">IF($D41="","",IFERROR(INDEX(对照清单!$B$5:$B$60,MATCH($D41,对照清单!$A$5:$A$60,0)),"⚠编号不存在"))</f>
        <v/>
      </c>
      <c r="P41" s="10" t="str">
        <f aca="false">IF($B41="","",IF(ISNUMBER($B41),TEXT($B41,"yyyy-mm"),"日期非法"))</f>
        <v/>
      </c>
      <c r="Q41" s="10" t="str">
        <f aca="false">IF($B41="","",IF(ISNUMBER($B41),YEAR($B41),"日期非法"))</f>
        <v/>
      </c>
    </row>
    <row r="42" customFormat="false" ht="15.75" hidden="false" customHeight="true" outlineLevel="0" collapsed="false">
      <c r="A42" s="10" t="str">
        <f aca="false">IF($B42="","",ROW()-4)</f>
        <v/>
      </c>
      <c r="B42" s="11"/>
      <c r="C42" s="12"/>
      <c r="D42" s="12"/>
      <c r="E42" s="12"/>
      <c r="F42" s="12"/>
      <c r="G42" s="12"/>
      <c r="H42" s="13"/>
      <c r="I42" s="4"/>
      <c r="J42" s="4"/>
      <c r="K42" s="14" t="str">
        <f aca="false">IF($B42="","",IF($C42="泓普",$C$2,IF($C42="仟茂",$E$2,IF($C42="现金",$G$2,0)))+SUMIFS($I$5:$I42,$C$5:$C42,$C42)-SUMIFS($J$5:$J42,$C$5:$C42,$C42))</f>
        <v/>
      </c>
      <c r="L42" s="14" t="str">
        <f aca="false">IF($B42="","",$C$2+$E$2+$G$2+SUM($I$5:$I42)-SUM($J$5:$J42))</f>
        <v/>
      </c>
      <c r="M42" s="12"/>
      <c r="N42" s="15" t="str">
        <f aca="false">IF($B42="","",IF(NOT(ISNUMBER($B42)),"日期格式不对",IF($C42="","未选资金账户",IF(AND(N($I42)=0,N($J42)=0),"收支都为空",IF(AND(N($I42)&gt;0,N($J42)&gt;0),"收支不能同时填",IF(AND($D42&lt;&gt;"",LEFT($O42,1)="⚠"),"项目编号不存在",IF(AND($M42="是",$F42=""),"工程回款必须填往来单位","√")))))))</f>
        <v/>
      </c>
      <c r="O42" s="16" t="str">
        <f aca="false">IF($D42="","",IFERROR(INDEX(对照清单!$B$5:$B$60,MATCH($D42,对照清单!$A$5:$A$60,0)),"⚠编号不存在"))</f>
        <v/>
      </c>
      <c r="P42" s="10" t="str">
        <f aca="false">IF($B42="","",IF(ISNUMBER($B42),TEXT($B42,"yyyy-mm"),"日期非法"))</f>
        <v/>
      </c>
      <c r="Q42" s="10" t="str">
        <f aca="false">IF($B42="","",IF(ISNUMBER($B42),YEAR($B42),"日期非法"))</f>
        <v/>
      </c>
    </row>
    <row r="43" customFormat="false" ht="15.75" hidden="false" customHeight="true" outlineLevel="0" collapsed="false">
      <c r="A43" s="10" t="str">
        <f aca="false">IF($B43="","",ROW()-4)</f>
        <v/>
      </c>
      <c r="B43" s="11"/>
      <c r="C43" s="12"/>
      <c r="D43" s="12"/>
      <c r="E43" s="12"/>
      <c r="F43" s="12"/>
      <c r="G43" s="12"/>
      <c r="H43" s="13"/>
      <c r="I43" s="4"/>
      <c r="J43" s="4"/>
      <c r="K43" s="14" t="str">
        <f aca="false">IF($B43="","",IF($C43="泓普",$C$2,IF($C43="仟茂",$E$2,IF($C43="现金",$G$2,0)))+SUMIFS($I$5:$I43,$C$5:$C43,$C43)-SUMIFS($J$5:$J43,$C$5:$C43,$C43))</f>
        <v/>
      </c>
      <c r="L43" s="14" t="str">
        <f aca="false">IF($B43="","",$C$2+$E$2+$G$2+SUM($I$5:$I43)-SUM($J$5:$J43))</f>
        <v/>
      </c>
      <c r="M43" s="12"/>
      <c r="N43" s="15" t="str">
        <f aca="false">IF($B43="","",IF(NOT(ISNUMBER($B43)),"日期格式不对",IF($C43="","未选资金账户",IF(AND(N($I43)=0,N($J43)=0),"收支都为空",IF(AND(N($I43)&gt;0,N($J43)&gt;0),"收支不能同时填",IF(AND($D43&lt;&gt;"",LEFT($O43,1)="⚠"),"项目编号不存在",IF(AND($M43="是",$F43=""),"工程回款必须填往来单位","√")))))))</f>
        <v/>
      </c>
      <c r="O43" s="16" t="str">
        <f aca="false">IF($D43="","",IFERROR(INDEX(对照清单!$B$5:$B$60,MATCH($D43,对照清单!$A$5:$A$60,0)),"⚠编号不存在"))</f>
        <v/>
      </c>
      <c r="P43" s="10" t="str">
        <f aca="false">IF($B43="","",IF(ISNUMBER($B43),TEXT($B43,"yyyy-mm"),"日期非法"))</f>
        <v/>
      </c>
      <c r="Q43" s="10" t="str">
        <f aca="false">IF($B43="","",IF(ISNUMBER($B43),YEAR($B43),"日期非法"))</f>
        <v/>
      </c>
    </row>
    <row r="44" customFormat="false" ht="15.75" hidden="false" customHeight="true" outlineLevel="0" collapsed="false">
      <c r="A44" s="10" t="str">
        <f aca="false">IF($B44="","",ROW()-4)</f>
        <v/>
      </c>
      <c r="B44" s="11"/>
      <c r="C44" s="12"/>
      <c r="D44" s="12"/>
      <c r="E44" s="12"/>
      <c r="F44" s="12"/>
      <c r="G44" s="12"/>
      <c r="H44" s="13"/>
      <c r="I44" s="4"/>
      <c r="J44" s="4"/>
      <c r="K44" s="14" t="str">
        <f aca="false">IF($B44="","",IF($C44="泓普",$C$2,IF($C44="仟茂",$E$2,IF($C44="现金",$G$2,0)))+SUMIFS($I$5:$I44,$C$5:$C44,$C44)-SUMIFS($J$5:$J44,$C$5:$C44,$C44))</f>
        <v/>
      </c>
      <c r="L44" s="14" t="str">
        <f aca="false">IF($B44="","",$C$2+$E$2+$G$2+SUM($I$5:$I44)-SUM($J$5:$J44))</f>
        <v/>
      </c>
      <c r="M44" s="12"/>
      <c r="N44" s="15" t="str">
        <f aca="false">IF($B44="","",IF(NOT(ISNUMBER($B44)),"日期格式不对",IF($C44="","未选资金账户",IF(AND(N($I44)=0,N($J44)=0),"收支都为空",IF(AND(N($I44)&gt;0,N($J44)&gt;0),"收支不能同时填",IF(AND($D44&lt;&gt;"",LEFT($O44,1)="⚠"),"项目编号不存在",IF(AND($M44="是",$F44=""),"工程回款必须填往来单位","√")))))))</f>
        <v/>
      </c>
      <c r="O44" s="16" t="str">
        <f aca="false">IF($D44="","",IFERROR(INDEX(对照清单!$B$5:$B$60,MATCH($D44,对照清单!$A$5:$A$60,0)),"⚠编号不存在"))</f>
        <v/>
      </c>
      <c r="P44" s="10" t="str">
        <f aca="false">IF($B44="","",IF(ISNUMBER($B44),TEXT($B44,"yyyy-mm"),"日期非法"))</f>
        <v/>
      </c>
      <c r="Q44" s="10" t="str">
        <f aca="false">IF($B44="","",IF(ISNUMBER($B44),YEAR($B44),"日期非法"))</f>
        <v/>
      </c>
    </row>
    <row r="45" customFormat="false" ht="15.75" hidden="false" customHeight="true" outlineLevel="0" collapsed="false">
      <c r="A45" s="10" t="str">
        <f aca="false">IF($B45="","",ROW()-4)</f>
        <v/>
      </c>
      <c r="B45" s="11"/>
      <c r="C45" s="12"/>
      <c r="D45" s="12"/>
      <c r="E45" s="12"/>
      <c r="F45" s="12"/>
      <c r="G45" s="12"/>
      <c r="H45" s="13"/>
      <c r="I45" s="4"/>
      <c r="J45" s="4"/>
      <c r="K45" s="14" t="str">
        <f aca="false">IF($B45="","",IF($C45="泓普",$C$2,IF($C45="仟茂",$E$2,IF($C45="现金",$G$2,0)))+SUMIFS($I$5:$I45,$C$5:$C45,$C45)-SUMIFS($J$5:$J45,$C$5:$C45,$C45))</f>
        <v/>
      </c>
      <c r="L45" s="14" t="str">
        <f aca="false">IF($B45="","",$C$2+$E$2+$G$2+SUM($I$5:$I45)-SUM($J$5:$J45))</f>
        <v/>
      </c>
      <c r="M45" s="12"/>
      <c r="N45" s="15" t="str">
        <f aca="false">IF($B45="","",IF(NOT(ISNUMBER($B45)),"日期格式不对",IF($C45="","未选资金账户",IF(AND(N($I45)=0,N($J45)=0),"收支都为空",IF(AND(N($I45)&gt;0,N($J45)&gt;0),"收支不能同时填",IF(AND($D45&lt;&gt;"",LEFT($O45,1)="⚠"),"项目编号不存在",IF(AND($M45="是",$F45=""),"工程回款必须填往来单位","√")))))))</f>
        <v/>
      </c>
      <c r="O45" s="16" t="str">
        <f aca="false">IF($D45="","",IFERROR(INDEX(对照清单!$B$5:$B$60,MATCH($D45,对照清单!$A$5:$A$60,0)),"⚠编号不存在"))</f>
        <v/>
      </c>
      <c r="P45" s="10" t="str">
        <f aca="false">IF($B45="","",IF(ISNUMBER($B45),TEXT($B45,"yyyy-mm"),"日期非法"))</f>
        <v/>
      </c>
      <c r="Q45" s="10" t="str">
        <f aca="false">IF($B45="","",IF(ISNUMBER($B45),YEAR($B45),"日期非法"))</f>
        <v/>
      </c>
    </row>
    <row r="46" customFormat="false" ht="15.75" hidden="false" customHeight="true" outlineLevel="0" collapsed="false">
      <c r="A46" s="10" t="str">
        <f aca="false">IF($B46="","",ROW()-4)</f>
        <v/>
      </c>
      <c r="B46" s="11"/>
      <c r="C46" s="12"/>
      <c r="D46" s="12"/>
      <c r="E46" s="12"/>
      <c r="F46" s="12"/>
      <c r="G46" s="12"/>
      <c r="H46" s="13"/>
      <c r="I46" s="4"/>
      <c r="J46" s="4"/>
      <c r="K46" s="14" t="str">
        <f aca="false">IF($B46="","",IF($C46="泓普",$C$2,IF($C46="仟茂",$E$2,IF($C46="现金",$G$2,0)))+SUMIFS($I$5:$I46,$C$5:$C46,$C46)-SUMIFS($J$5:$J46,$C$5:$C46,$C46))</f>
        <v/>
      </c>
      <c r="L46" s="14" t="str">
        <f aca="false">IF($B46="","",$C$2+$E$2+$G$2+SUM($I$5:$I46)-SUM($J$5:$J46))</f>
        <v/>
      </c>
      <c r="M46" s="12"/>
      <c r="N46" s="15" t="str">
        <f aca="false">IF($B46="","",IF(NOT(ISNUMBER($B46)),"日期格式不对",IF($C46="","未选资金账户",IF(AND(N($I46)=0,N($J46)=0),"收支都为空",IF(AND(N($I46)&gt;0,N($J46)&gt;0),"收支不能同时填",IF(AND($D46&lt;&gt;"",LEFT($O46,1)="⚠"),"项目编号不存在",IF(AND($M46="是",$F46=""),"工程回款必须填往来单位","√")))))))</f>
        <v/>
      </c>
      <c r="O46" s="16" t="str">
        <f aca="false">IF($D46="","",IFERROR(INDEX(对照清单!$B$5:$B$60,MATCH($D46,对照清单!$A$5:$A$60,0)),"⚠编号不存在"))</f>
        <v/>
      </c>
      <c r="P46" s="10" t="str">
        <f aca="false">IF($B46="","",IF(ISNUMBER($B46),TEXT($B46,"yyyy-mm"),"日期非法"))</f>
        <v/>
      </c>
      <c r="Q46" s="10" t="str">
        <f aca="false">IF($B46="","",IF(ISNUMBER($B46),YEAR($B46),"日期非法"))</f>
        <v/>
      </c>
    </row>
    <row r="47" customFormat="false" ht="15.75" hidden="false" customHeight="true" outlineLevel="0" collapsed="false">
      <c r="A47" s="10" t="str">
        <f aca="false">IF($B47="","",ROW()-4)</f>
        <v/>
      </c>
      <c r="B47" s="11"/>
      <c r="C47" s="12"/>
      <c r="D47" s="12"/>
      <c r="E47" s="12"/>
      <c r="F47" s="12"/>
      <c r="G47" s="12"/>
      <c r="H47" s="13"/>
      <c r="I47" s="4"/>
      <c r="J47" s="4"/>
      <c r="K47" s="14" t="str">
        <f aca="false">IF($B47="","",IF($C47="泓普",$C$2,IF($C47="仟茂",$E$2,IF($C47="现金",$G$2,0)))+SUMIFS($I$5:$I47,$C$5:$C47,$C47)-SUMIFS($J$5:$J47,$C$5:$C47,$C47))</f>
        <v/>
      </c>
      <c r="L47" s="14" t="str">
        <f aca="false">IF($B47="","",$C$2+$E$2+$G$2+SUM($I$5:$I47)-SUM($J$5:$J47))</f>
        <v/>
      </c>
      <c r="M47" s="12"/>
      <c r="N47" s="15" t="str">
        <f aca="false">IF($B47="","",IF(NOT(ISNUMBER($B47)),"日期格式不对",IF($C47="","未选资金账户",IF(AND(N($I47)=0,N($J47)=0),"收支都为空",IF(AND(N($I47)&gt;0,N($J47)&gt;0),"收支不能同时填",IF(AND($D47&lt;&gt;"",LEFT($O47,1)="⚠"),"项目编号不存在",IF(AND($M47="是",$F47=""),"工程回款必须填往来单位","√")))))))</f>
        <v/>
      </c>
      <c r="O47" s="16" t="str">
        <f aca="false">IF($D47="","",IFERROR(INDEX(对照清单!$B$5:$B$60,MATCH($D47,对照清单!$A$5:$A$60,0)),"⚠编号不存在"))</f>
        <v/>
      </c>
      <c r="P47" s="10" t="str">
        <f aca="false">IF($B47="","",IF(ISNUMBER($B47),TEXT($B47,"yyyy-mm"),"日期非法"))</f>
        <v/>
      </c>
      <c r="Q47" s="10" t="str">
        <f aca="false">IF($B47="","",IF(ISNUMBER($B47),YEAR($B47),"日期非法"))</f>
        <v/>
      </c>
    </row>
    <row r="48" customFormat="false" ht="15.75" hidden="false" customHeight="true" outlineLevel="0" collapsed="false">
      <c r="A48" s="10" t="str">
        <f aca="false">IF($B48="","",ROW()-4)</f>
        <v/>
      </c>
      <c r="B48" s="11"/>
      <c r="C48" s="12"/>
      <c r="D48" s="12"/>
      <c r="E48" s="12"/>
      <c r="F48" s="12"/>
      <c r="G48" s="12"/>
      <c r="H48" s="13"/>
      <c r="I48" s="4"/>
      <c r="J48" s="4"/>
      <c r="K48" s="14" t="str">
        <f aca="false">IF($B48="","",IF($C48="泓普",$C$2,IF($C48="仟茂",$E$2,IF($C48="现金",$G$2,0)))+SUMIFS($I$5:$I48,$C$5:$C48,$C48)-SUMIFS($J$5:$J48,$C$5:$C48,$C48))</f>
        <v/>
      </c>
      <c r="L48" s="14" t="str">
        <f aca="false">IF($B48="","",$C$2+$E$2+$G$2+SUM($I$5:$I48)-SUM($J$5:$J48))</f>
        <v/>
      </c>
      <c r="M48" s="12"/>
      <c r="N48" s="15" t="str">
        <f aca="false">IF($B48="","",IF(NOT(ISNUMBER($B48)),"日期格式不对",IF($C48="","未选资金账户",IF(AND(N($I48)=0,N($J48)=0),"收支都为空",IF(AND(N($I48)&gt;0,N($J48)&gt;0),"收支不能同时填",IF(AND($D48&lt;&gt;"",LEFT($O48,1)="⚠"),"项目编号不存在",IF(AND($M48="是",$F48=""),"工程回款必须填往来单位","√")))))))</f>
        <v/>
      </c>
      <c r="O48" s="16" t="str">
        <f aca="false">IF($D48="","",IFERROR(INDEX(对照清单!$B$5:$B$60,MATCH($D48,对照清单!$A$5:$A$60,0)),"⚠编号不存在"))</f>
        <v/>
      </c>
      <c r="P48" s="10" t="str">
        <f aca="false">IF($B48="","",IF(ISNUMBER($B48),TEXT($B48,"yyyy-mm"),"日期非法"))</f>
        <v/>
      </c>
      <c r="Q48" s="10" t="str">
        <f aca="false">IF($B48="","",IF(ISNUMBER($B48),YEAR($B48),"日期非法"))</f>
        <v/>
      </c>
    </row>
    <row r="49" customFormat="false" ht="15.75" hidden="false" customHeight="true" outlineLevel="0" collapsed="false">
      <c r="A49" s="10" t="str">
        <f aca="false">IF($B49="","",ROW()-4)</f>
        <v/>
      </c>
      <c r="B49" s="11"/>
      <c r="C49" s="12"/>
      <c r="D49" s="12"/>
      <c r="E49" s="12"/>
      <c r="F49" s="12"/>
      <c r="G49" s="12"/>
      <c r="H49" s="13"/>
      <c r="I49" s="4"/>
      <c r="J49" s="4"/>
      <c r="K49" s="14" t="str">
        <f aca="false">IF($B49="","",IF($C49="泓普",$C$2,IF($C49="仟茂",$E$2,IF($C49="现金",$G$2,0)))+SUMIFS($I$5:$I49,$C$5:$C49,$C49)-SUMIFS($J$5:$J49,$C$5:$C49,$C49))</f>
        <v/>
      </c>
      <c r="L49" s="14" t="str">
        <f aca="false">IF($B49="","",$C$2+$E$2+$G$2+SUM($I$5:$I49)-SUM($J$5:$J49))</f>
        <v/>
      </c>
      <c r="M49" s="12"/>
      <c r="N49" s="15" t="str">
        <f aca="false">IF($B49="","",IF(NOT(ISNUMBER($B49)),"日期格式不对",IF($C49="","未选资金账户",IF(AND(N($I49)=0,N($J49)=0),"收支都为空",IF(AND(N($I49)&gt;0,N($J49)&gt;0),"收支不能同时填",IF(AND($D49&lt;&gt;"",LEFT($O49,1)="⚠"),"项目编号不存在",IF(AND($M49="是",$F49=""),"工程回款必须填往来单位","√")))))))</f>
        <v/>
      </c>
      <c r="O49" s="16" t="str">
        <f aca="false">IF($D49="","",IFERROR(INDEX(对照清单!$B$5:$B$60,MATCH($D49,对照清单!$A$5:$A$60,0)),"⚠编号不存在"))</f>
        <v/>
      </c>
      <c r="P49" s="10" t="str">
        <f aca="false">IF($B49="","",IF(ISNUMBER($B49),TEXT($B49,"yyyy-mm"),"日期非法"))</f>
        <v/>
      </c>
      <c r="Q49" s="10" t="str">
        <f aca="false">IF($B49="","",IF(ISNUMBER($B49),YEAR($B49),"日期非法"))</f>
        <v/>
      </c>
    </row>
    <row r="50" customFormat="false" ht="15.75" hidden="false" customHeight="true" outlineLevel="0" collapsed="false">
      <c r="A50" s="10" t="str">
        <f aca="false">IF($B50="","",ROW()-4)</f>
        <v/>
      </c>
      <c r="B50" s="11"/>
      <c r="C50" s="12"/>
      <c r="D50" s="12"/>
      <c r="E50" s="12"/>
      <c r="F50" s="12"/>
      <c r="G50" s="12"/>
      <c r="H50" s="13"/>
      <c r="I50" s="4"/>
      <c r="J50" s="4"/>
      <c r="K50" s="14" t="str">
        <f aca="false">IF($B50="","",IF($C50="泓普",$C$2,IF($C50="仟茂",$E$2,IF($C50="现金",$G$2,0)))+SUMIFS($I$5:$I50,$C$5:$C50,$C50)-SUMIFS($J$5:$J50,$C$5:$C50,$C50))</f>
        <v/>
      </c>
      <c r="L50" s="14" t="str">
        <f aca="false">IF($B50="","",$C$2+$E$2+$G$2+SUM($I$5:$I50)-SUM($J$5:$J50))</f>
        <v/>
      </c>
      <c r="M50" s="12"/>
      <c r="N50" s="15" t="str">
        <f aca="false">IF($B50="","",IF(NOT(ISNUMBER($B50)),"日期格式不对",IF($C50="","未选资金账户",IF(AND(N($I50)=0,N($J50)=0),"收支都为空",IF(AND(N($I50)&gt;0,N($J50)&gt;0),"收支不能同时填",IF(AND($D50&lt;&gt;"",LEFT($O50,1)="⚠"),"项目编号不存在",IF(AND($M50="是",$F50=""),"工程回款必须填往来单位","√")))))))</f>
        <v/>
      </c>
      <c r="O50" s="16" t="str">
        <f aca="false">IF($D50="","",IFERROR(INDEX(对照清单!$B$5:$B$60,MATCH($D50,对照清单!$A$5:$A$60,0)),"⚠编号不存在"))</f>
        <v/>
      </c>
      <c r="P50" s="10" t="str">
        <f aca="false">IF($B50="","",IF(ISNUMBER($B50),TEXT($B50,"yyyy-mm"),"日期非法"))</f>
        <v/>
      </c>
      <c r="Q50" s="10" t="str">
        <f aca="false">IF($B50="","",IF(ISNUMBER($B50),YEAR($B50),"日期非法"))</f>
        <v/>
      </c>
    </row>
    <row r="51" customFormat="false" ht="15.75" hidden="false" customHeight="true" outlineLevel="0" collapsed="false">
      <c r="A51" s="10" t="str">
        <f aca="false">IF($B51="","",ROW()-4)</f>
        <v/>
      </c>
      <c r="B51" s="11"/>
      <c r="C51" s="12"/>
      <c r="D51" s="12"/>
      <c r="E51" s="12"/>
      <c r="F51" s="12"/>
      <c r="G51" s="12"/>
      <c r="H51" s="13"/>
      <c r="I51" s="4"/>
      <c r="J51" s="4"/>
      <c r="K51" s="14" t="str">
        <f aca="false">IF($B51="","",IF($C51="泓普",$C$2,IF($C51="仟茂",$E$2,IF($C51="现金",$G$2,0)))+SUMIFS($I$5:$I51,$C$5:$C51,$C51)-SUMIFS($J$5:$J51,$C$5:$C51,$C51))</f>
        <v/>
      </c>
      <c r="L51" s="14" t="str">
        <f aca="false">IF($B51="","",$C$2+$E$2+$G$2+SUM($I$5:$I51)-SUM($J$5:$J51))</f>
        <v/>
      </c>
      <c r="M51" s="12"/>
      <c r="N51" s="15" t="str">
        <f aca="false">IF($B51="","",IF(NOT(ISNUMBER($B51)),"日期格式不对",IF($C51="","未选资金账户",IF(AND(N($I51)=0,N($J51)=0),"收支都为空",IF(AND(N($I51)&gt;0,N($J51)&gt;0),"收支不能同时填",IF(AND($D51&lt;&gt;"",LEFT($O51,1)="⚠"),"项目编号不存在",IF(AND($M51="是",$F51=""),"工程回款必须填往来单位","√")))))))</f>
        <v/>
      </c>
      <c r="O51" s="16" t="str">
        <f aca="false">IF($D51="","",IFERROR(INDEX(对照清单!$B$5:$B$60,MATCH($D51,对照清单!$A$5:$A$60,0)),"⚠编号不存在"))</f>
        <v/>
      </c>
      <c r="P51" s="10" t="str">
        <f aca="false">IF($B51="","",IF(ISNUMBER($B51),TEXT($B51,"yyyy-mm"),"日期非法"))</f>
        <v/>
      </c>
      <c r="Q51" s="10" t="str">
        <f aca="false">IF($B51="","",IF(ISNUMBER($B51),YEAR($B51),"日期非法"))</f>
        <v/>
      </c>
    </row>
    <row r="52" customFormat="false" ht="15.75" hidden="false" customHeight="true" outlineLevel="0" collapsed="false">
      <c r="A52" s="10" t="str">
        <f aca="false">IF($B52="","",ROW()-4)</f>
        <v/>
      </c>
      <c r="B52" s="11"/>
      <c r="C52" s="12"/>
      <c r="D52" s="12"/>
      <c r="E52" s="12"/>
      <c r="F52" s="12"/>
      <c r="G52" s="12"/>
      <c r="H52" s="13"/>
      <c r="I52" s="4"/>
      <c r="J52" s="4"/>
      <c r="K52" s="14" t="str">
        <f aca="false">IF($B52="","",IF($C52="泓普",$C$2,IF($C52="仟茂",$E$2,IF($C52="现金",$G$2,0)))+SUMIFS($I$5:$I52,$C$5:$C52,$C52)-SUMIFS($J$5:$J52,$C$5:$C52,$C52))</f>
        <v/>
      </c>
      <c r="L52" s="14" t="str">
        <f aca="false">IF($B52="","",$C$2+$E$2+$G$2+SUM($I$5:$I52)-SUM($J$5:$J52))</f>
        <v/>
      </c>
      <c r="M52" s="12"/>
      <c r="N52" s="15" t="str">
        <f aca="false">IF($B52="","",IF(NOT(ISNUMBER($B52)),"日期格式不对",IF($C52="","未选资金账户",IF(AND(N($I52)=0,N($J52)=0),"收支都为空",IF(AND(N($I52)&gt;0,N($J52)&gt;0),"收支不能同时填",IF(AND($D52&lt;&gt;"",LEFT($O52,1)="⚠"),"项目编号不存在",IF(AND($M52="是",$F52=""),"工程回款必须填往来单位","√")))))))</f>
        <v/>
      </c>
      <c r="O52" s="16" t="str">
        <f aca="false">IF($D52="","",IFERROR(INDEX(对照清单!$B$5:$B$60,MATCH($D52,对照清单!$A$5:$A$60,0)),"⚠编号不存在"))</f>
        <v/>
      </c>
      <c r="P52" s="10" t="str">
        <f aca="false">IF($B52="","",IF(ISNUMBER($B52),TEXT($B52,"yyyy-mm"),"日期非法"))</f>
        <v/>
      </c>
      <c r="Q52" s="10" t="str">
        <f aca="false">IF($B52="","",IF(ISNUMBER($B52),YEAR($B52),"日期非法"))</f>
        <v/>
      </c>
    </row>
    <row r="53" customFormat="false" ht="15.75" hidden="false" customHeight="true" outlineLevel="0" collapsed="false">
      <c r="A53" s="10" t="str">
        <f aca="false">IF($B53="","",ROW()-4)</f>
        <v/>
      </c>
      <c r="B53" s="11"/>
      <c r="C53" s="12"/>
      <c r="D53" s="12"/>
      <c r="E53" s="12"/>
      <c r="F53" s="12"/>
      <c r="G53" s="12"/>
      <c r="H53" s="13"/>
      <c r="I53" s="4"/>
      <c r="J53" s="4"/>
      <c r="K53" s="14" t="str">
        <f aca="false">IF($B53="","",IF($C53="泓普",$C$2,IF($C53="仟茂",$E$2,IF($C53="现金",$G$2,0)))+SUMIFS($I$5:$I53,$C$5:$C53,$C53)-SUMIFS($J$5:$J53,$C$5:$C53,$C53))</f>
        <v/>
      </c>
      <c r="L53" s="14" t="str">
        <f aca="false">IF($B53="","",$C$2+$E$2+$G$2+SUM($I$5:$I53)-SUM($J$5:$J53))</f>
        <v/>
      </c>
      <c r="M53" s="12"/>
      <c r="N53" s="15" t="str">
        <f aca="false">IF($B53="","",IF(NOT(ISNUMBER($B53)),"日期格式不对",IF($C53="","未选资金账户",IF(AND(N($I53)=0,N($J53)=0),"收支都为空",IF(AND(N($I53)&gt;0,N($J53)&gt;0),"收支不能同时填",IF(AND($D53&lt;&gt;"",LEFT($O53,1)="⚠"),"项目编号不存在",IF(AND($M53="是",$F53=""),"工程回款必须填往来单位","√")))))))</f>
        <v/>
      </c>
      <c r="O53" s="16" t="str">
        <f aca="false">IF($D53="","",IFERROR(INDEX(对照清单!$B$5:$B$60,MATCH($D53,对照清单!$A$5:$A$60,0)),"⚠编号不存在"))</f>
        <v/>
      </c>
      <c r="P53" s="10" t="str">
        <f aca="false">IF($B53="","",IF(ISNUMBER($B53),TEXT($B53,"yyyy-mm"),"日期非法"))</f>
        <v/>
      </c>
      <c r="Q53" s="10" t="str">
        <f aca="false">IF($B53="","",IF(ISNUMBER($B53),YEAR($B53),"日期非法"))</f>
        <v/>
      </c>
    </row>
    <row r="54" customFormat="false" ht="15.75" hidden="false" customHeight="true" outlineLevel="0" collapsed="false">
      <c r="A54" s="10" t="str">
        <f aca="false">IF($B54="","",ROW()-4)</f>
        <v/>
      </c>
      <c r="B54" s="11"/>
      <c r="C54" s="12"/>
      <c r="D54" s="12"/>
      <c r="E54" s="12"/>
      <c r="F54" s="12"/>
      <c r="G54" s="12"/>
      <c r="H54" s="13"/>
      <c r="I54" s="4"/>
      <c r="J54" s="4"/>
      <c r="K54" s="14" t="str">
        <f aca="false">IF($B54="","",IF($C54="泓普",$C$2,IF($C54="仟茂",$E$2,IF($C54="现金",$G$2,0)))+SUMIFS($I$5:$I54,$C$5:$C54,$C54)-SUMIFS($J$5:$J54,$C$5:$C54,$C54))</f>
        <v/>
      </c>
      <c r="L54" s="14" t="str">
        <f aca="false">IF($B54="","",$C$2+$E$2+$G$2+SUM($I$5:$I54)-SUM($J$5:$J54))</f>
        <v/>
      </c>
      <c r="M54" s="12"/>
      <c r="N54" s="15" t="str">
        <f aca="false">IF($B54="","",IF(NOT(ISNUMBER($B54)),"日期格式不对",IF($C54="","未选资金账户",IF(AND(N($I54)=0,N($J54)=0),"收支都为空",IF(AND(N($I54)&gt;0,N($J54)&gt;0),"收支不能同时填",IF(AND($D54&lt;&gt;"",LEFT($O54,1)="⚠"),"项目编号不存在",IF(AND($M54="是",$F54=""),"工程回款必须填往来单位","√")))))))</f>
        <v/>
      </c>
      <c r="O54" s="16" t="str">
        <f aca="false">IF($D54="","",IFERROR(INDEX(对照清单!$B$5:$B$60,MATCH($D54,对照清单!$A$5:$A$60,0)),"⚠编号不存在"))</f>
        <v/>
      </c>
      <c r="P54" s="10" t="str">
        <f aca="false">IF($B54="","",IF(ISNUMBER($B54),TEXT($B54,"yyyy-mm"),"日期非法"))</f>
        <v/>
      </c>
      <c r="Q54" s="10" t="str">
        <f aca="false">IF($B54="","",IF(ISNUMBER($B54),YEAR($B54),"日期非法"))</f>
        <v/>
      </c>
    </row>
    <row r="55" customFormat="false" ht="15.75" hidden="false" customHeight="true" outlineLevel="0" collapsed="false">
      <c r="A55" s="10" t="str">
        <f aca="false">IF($B55="","",ROW()-4)</f>
        <v/>
      </c>
      <c r="B55" s="11"/>
      <c r="C55" s="12"/>
      <c r="D55" s="12"/>
      <c r="E55" s="12"/>
      <c r="F55" s="12"/>
      <c r="G55" s="12"/>
      <c r="H55" s="13"/>
      <c r="I55" s="4"/>
      <c r="J55" s="4"/>
      <c r="K55" s="14" t="str">
        <f aca="false">IF($B55="","",IF($C55="泓普",$C$2,IF($C55="仟茂",$E$2,IF($C55="现金",$G$2,0)))+SUMIFS($I$5:$I55,$C$5:$C55,$C55)-SUMIFS($J$5:$J55,$C$5:$C55,$C55))</f>
        <v/>
      </c>
      <c r="L55" s="14" t="str">
        <f aca="false">IF($B55="","",$C$2+$E$2+$G$2+SUM($I$5:$I55)-SUM($J$5:$J55))</f>
        <v/>
      </c>
      <c r="M55" s="12"/>
      <c r="N55" s="15" t="str">
        <f aca="false">IF($B55="","",IF(NOT(ISNUMBER($B55)),"日期格式不对",IF($C55="","未选资金账户",IF(AND(N($I55)=0,N($J55)=0),"收支都为空",IF(AND(N($I55)&gt;0,N($J55)&gt;0),"收支不能同时填",IF(AND($D55&lt;&gt;"",LEFT($O55,1)="⚠"),"项目编号不存在",IF(AND($M55="是",$F55=""),"工程回款必须填往来单位","√")))))))</f>
        <v/>
      </c>
      <c r="O55" s="16" t="str">
        <f aca="false">IF($D55="","",IFERROR(INDEX(对照清单!$B$5:$B$60,MATCH($D55,对照清单!$A$5:$A$60,0)),"⚠编号不存在"))</f>
        <v/>
      </c>
      <c r="P55" s="10" t="str">
        <f aca="false">IF($B55="","",IF(ISNUMBER($B55),TEXT($B55,"yyyy-mm"),"日期非法"))</f>
        <v/>
      </c>
      <c r="Q55" s="10" t="str">
        <f aca="false">IF($B55="","",IF(ISNUMBER($B55),YEAR($B55),"日期非法"))</f>
        <v/>
      </c>
    </row>
    <row r="56" customFormat="false" ht="15.75" hidden="false" customHeight="true" outlineLevel="0" collapsed="false">
      <c r="A56" s="10" t="str">
        <f aca="false">IF($B56="","",ROW()-4)</f>
        <v/>
      </c>
      <c r="B56" s="11"/>
      <c r="C56" s="12"/>
      <c r="D56" s="12"/>
      <c r="E56" s="12"/>
      <c r="F56" s="12"/>
      <c r="G56" s="12"/>
      <c r="H56" s="13"/>
      <c r="I56" s="4"/>
      <c r="J56" s="4"/>
      <c r="K56" s="14" t="str">
        <f aca="false">IF($B56="","",IF($C56="泓普",$C$2,IF($C56="仟茂",$E$2,IF($C56="现金",$G$2,0)))+SUMIFS($I$5:$I56,$C$5:$C56,$C56)-SUMIFS($J$5:$J56,$C$5:$C56,$C56))</f>
        <v/>
      </c>
      <c r="L56" s="14" t="str">
        <f aca="false">IF($B56="","",$C$2+$E$2+$G$2+SUM($I$5:$I56)-SUM($J$5:$J56))</f>
        <v/>
      </c>
      <c r="M56" s="12"/>
      <c r="N56" s="15" t="str">
        <f aca="false">IF($B56="","",IF(NOT(ISNUMBER($B56)),"日期格式不对",IF($C56="","未选资金账户",IF(AND(N($I56)=0,N($J56)=0),"收支都为空",IF(AND(N($I56)&gt;0,N($J56)&gt;0),"收支不能同时填",IF(AND($D56&lt;&gt;"",LEFT($O56,1)="⚠"),"项目编号不存在",IF(AND($M56="是",$F56=""),"工程回款必须填往来单位","√")))))))</f>
        <v/>
      </c>
      <c r="O56" s="16" t="str">
        <f aca="false">IF($D56="","",IFERROR(INDEX(对照清单!$B$5:$B$60,MATCH($D56,对照清单!$A$5:$A$60,0)),"⚠编号不存在"))</f>
        <v/>
      </c>
      <c r="P56" s="10" t="str">
        <f aca="false">IF($B56="","",IF(ISNUMBER($B56),TEXT($B56,"yyyy-mm"),"日期非法"))</f>
        <v/>
      </c>
      <c r="Q56" s="10" t="str">
        <f aca="false">IF($B56="","",IF(ISNUMBER($B56),YEAR($B56),"日期非法"))</f>
        <v/>
      </c>
    </row>
    <row r="57" customFormat="false" ht="15.75" hidden="false" customHeight="true" outlineLevel="0" collapsed="false">
      <c r="A57" s="10" t="str">
        <f aca="false">IF($B57="","",ROW()-4)</f>
        <v/>
      </c>
      <c r="B57" s="11"/>
      <c r="C57" s="12"/>
      <c r="D57" s="12"/>
      <c r="E57" s="12"/>
      <c r="F57" s="12"/>
      <c r="G57" s="12"/>
      <c r="H57" s="13"/>
      <c r="I57" s="4"/>
      <c r="J57" s="4"/>
      <c r="K57" s="14" t="str">
        <f aca="false">IF($B57="","",IF($C57="泓普",$C$2,IF($C57="仟茂",$E$2,IF($C57="现金",$G$2,0)))+SUMIFS($I$5:$I57,$C$5:$C57,$C57)-SUMIFS($J$5:$J57,$C$5:$C57,$C57))</f>
        <v/>
      </c>
      <c r="L57" s="14" t="str">
        <f aca="false">IF($B57="","",$C$2+$E$2+$G$2+SUM($I$5:$I57)-SUM($J$5:$J57))</f>
        <v/>
      </c>
      <c r="M57" s="12"/>
      <c r="N57" s="15" t="str">
        <f aca="false">IF($B57="","",IF(NOT(ISNUMBER($B57)),"日期格式不对",IF($C57="","未选资金账户",IF(AND(N($I57)=0,N($J57)=0),"收支都为空",IF(AND(N($I57)&gt;0,N($J57)&gt;0),"收支不能同时填",IF(AND($D57&lt;&gt;"",LEFT($O57,1)="⚠"),"项目编号不存在",IF(AND($M57="是",$F57=""),"工程回款必须填往来单位","√")))))))</f>
        <v/>
      </c>
      <c r="O57" s="16" t="str">
        <f aca="false">IF($D57="","",IFERROR(INDEX(对照清单!$B$5:$B$60,MATCH($D57,对照清单!$A$5:$A$60,0)),"⚠编号不存在"))</f>
        <v/>
      </c>
      <c r="P57" s="10" t="str">
        <f aca="false">IF($B57="","",IF(ISNUMBER($B57),TEXT($B57,"yyyy-mm"),"日期非法"))</f>
        <v/>
      </c>
      <c r="Q57" s="10" t="str">
        <f aca="false">IF($B57="","",IF(ISNUMBER($B57),YEAR($B57),"日期非法"))</f>
        <v/>
      </c>
    </row>
    <row r="58" customFormat="false" ht="15.75" hidden="false" customHeight="true" outlineLevel="0" collapsed="false">
      <c r="A58" s="10" t="str">
        <f aca="false">IF($B58="","",ROW()-4)</f>
        <v/>
      </c>
      <c r="B58" s="11"/>
      <c r="C58" s="12"/>
      <c r="D58" s="12"/>
      <c r="E58" s="12"/>
      <c r="F58" s="12"/>
      <c r="G58" s="12"/>
      <c r="H58" s="13"/>
      <c r="I58" s="4"/>
      <c r="J58" s="4"/>
      <c r="K58" s="14" t="str">
        <f aca="false">IF($B58="","",IF($C58="泓普",$C$2,IF($C58="仟茂",$E$2,IF($C58="现金",$G$2,0)))+SUMIFS($I$5:$I58,$C$5:$C58,$C58)-SUMIFS($J$5:$J58,$C$5:$C58,$C58))</f>
        <v/>
      </c>
      <c r="L58" s="14" t="str">
        <f aca="false">IF($B58="","",$C$2+$E$2+$G$2+SUM($I$5:$I58)-SUM($J$5:$J58))</f>
        <v/>
      </c>
      <c r="M58" s="12"/>
      <c r="N58" s="15" t="str">
        <f aca="false">IF($B58="","",IF(NOT(ISNUMBER($B58)),"日期格式不对",IF($C58="","未选资金账户",IF(AND(N($I58)=0,N($J58)=0),"收支都为空",IF(AND(N($I58)&gt;0,N($J58)&gt;0),"收支不能同时填",IF(AND($D58&lt;&gt;"",LEFT($O58,1)="⚠"),"项目编号不存在",IF(AND($M58="是",$F58=""),"工程回款必须填往来单位","√")))))))</f>
        <v/>
      </c>
      <c r="O58" s="16" t="str">
        <f aca="false">IF($D58="","",IFERROR(INDEX(对照清单!$B$5:$B$60,MATCH($D58,对照清单!$A$5:$A$60,0)),"⚠编号不存在"))</f>
        <v/>
      </c>
      <c r="P58" s="10" t="str">
        <f aca="false">IF($B58="","",IF(ISNUMBER($B58),TEXT($B58,"yyyy-mm"),"日期非法"))</f>
        <v/>
      </c>
      <c r="Q58" s="10" t="str">
        <f aca="false">IF($B58="","",IF(ISNUMBER($B58),YEAR($B58),"日期非法"))</f>
        <v/>
      </c>
    </row>
    <row r="59" customFormat="false" ht="15.75" hidden="false" customHeight="true" outlineLevel="0" collapsed="false">
      <c r="A59" s="10" t="str">
        <f aca="false">IF($B59="","",ROW()-4)</f>
        <v/>
      </c>
      <c r="B59" s="11"/>
      <c r="C59" s="12"/>
      <c r="D59" s="12"/>
      <c r="E59" s="12"/>
      <c r="F59" s="12"/>
      <c r="G59" s="12"/>
      <c r="H59" s="13"/>
      <c r="I59" s="4"/>
      <c r="J59" s="4"/>
      <c r="K59" s="14" t="str">
        <f aca="false">IF($B59="","",IF($C59="泓普",$C$2,IF($C59="仟茂",$E$2,IF($C59="现金",$G$2,0)))+SUMIFS($I$5:$I59,$C$5:$C59,$C59)-SUMIFS($J$5:$J59,$C$5:$C59,$C59))</f>
        <v/>
      </c>
      <c r="L59" s="14" t="str">
        <f aca="false">IF($B59="","",$C$2+$E$2+$G$2+SUM($I$5:$I59)-SUM($J$5:$J59))</f>
        <v/>
      </c>
      <c r="M59" s="12"/>
      <c r="N59" s="15" t="str">
        <f aca="false">IF($B59="","",IF(NOT(ISNUMBER($B59)),"日期格式不对",IF($C59="","未选资金账户",IF(AND(N($I59)=0,N($J59)=0),"收支都为空",IF(AND(N($I59)&gt;0,N($J59)&gt;0),"收支不能同时填",IF(AND($D59&lt;&gt;"",LEFT($O59,1)="⚠"),"项目编号不存在",IF(AND($M59="是",$F59=""),"工程回款必须填往来单位","√")))))))</f>
        <v/>
      </c>
      <c r="O59" s="16" t="str">
        <f aca="false">IF($D59="","",IFERROR(INDEX(对照清单!$B$5:$B$60,MATCH($D59,对照清单!$A$5:$A$60,0)),"⚠编号不存在"))</f>
        <v/>
      </c>
      <c r="P59" s="10" t="str">
        <f aca="false">IF($B59="","",IF(ISNUMBER($B59),TEXT($B59,"yyyy-mm"),"日期非法"))</f>
        <v/>
      </c>
      <c r="Q59" s="10" t="str">
        <f aca="false">IF($B59="","",IF(ISNUMBER($B59),YEAR($B59),"日期非法"))</f>
        <v/>
      </c>
    </row>
    <row r="60" customFormat="false" ht="15.75" hidden="false" customHeight="true" outlineLevel="0" collapsed="false">
      <c r="A60" s="10" t="str">
        <f aca="false">IF($B60="","",ROW()-4)</f>
        <v/>
      </c>
      <c r="B60" s="11"/>
      <c r="C60" s="12"/>
      <c r="D60" s="12"/>
      <c r="E60" s="12"/>
      <c r="F60" s="12"/>
      <c r="G60" s="12"/>
      <c r="H60" s="13"/>
      <c r="I60" s="4"/>
      <c r="J60" s="4"/>
      <c r="K60" s="14" t="str">
        <f aca="false">IF($B60="","",IF($C60="泓普",$C$2,IF($C60="仟茂",$E$2,IF($C60="现金",$G$2,0)))+SUMIFS($I$5:$I60,$C$5:$C60,$C60)-SUMIFS($J$5:$J60,$C$5:$C60,$C60))</f>
        <v/>
      </c>
      <c r="L60" s="14" t="str">
        <f aca="false">IF($B60="","",$C$2+$E$2+$G$2+SUM($I$5:$I60)-SUM($J$5:$J60))</f>
        <v/>
      </c>
      <c r="M60" s="12"/>
      <c r="N60" s="15" t="str">
        <f aca="false">IF($B60="","",IF(NOT(ISNUMBER($B60)),"日期格式不对",IF($C60="","未选资金账户",IF(AND(N($I60)=0,N($J60)=0),"收支都为空",IF(AND(N($I60)&gt;0,N($J60)&gt;0),"收支不能同时填",IF(AND($D60&lt;&gt;"",LEFT($O60,1)="⚠"),"项目编号不存在",IF(AND($M60="是",$F60=""),"工程回款必须填往来单位","√")))))))</f>
        <v/>
      </c>
      <c r="O60" s="16" t="str">
        <f aca="false">IF($D60="","",IFERROR(INDEX(对照清单!$B$5:$B$60,MATCH($D60,对照清单!$A$5:$A$60,0)),"⚠编号不存在"))</f>
        <v/>
      </c>
      <c r="P60" s="10" t="str">
        <f aca="false">IF($B60="","",IF(ISNUMBER($B60),TEXT($B60,"yyyy-mm"),"日期非法"))</f>
        <v/>
      </c>
      <c r="Q60" s="10" t="str">
        <f aca="false">IF($B60="","",IF(ISNUMBER($B60),YEAR($B60),"日期非法"))</f>
        <v/>
      </c>
    </row>
    <row r="61" customFormat="false" ht="15.75" hidden="false" customHeight="true" outlineLevel="0" collapsed="false">
      <c r="A61" s="10" t="str">
        <f aca="false">IF($B61="","",ROW()-4)</f>
        <v/>
      </c>
      <c r="B61" s="11"/>
      <c r="C61" s="12"/>
      <c r="D61" s="12"/>
      <c r="E61" s="12"/>
      <c r="F61" s="12"/>
      <c r="G61" s="12"/>
      <c r="H61" s="13"/>
      <c r="I61" s="4"/>
      <c r="J61" s="4"/>
      <c r="K61" s="14" t="str">
        <f aca="false">IF($B61="","",IF($C61="泓普",$C$2,IF($C61="仟茂",$E$2,IF($C61="现金",$G$2,0)))+SUMIFS($I$5:$I61,$C$5:$C61,$C61)-SUMIFS($J$5:$J61,$C$5:$C61,$C61))</f>
        <v/>
      </c>
      <c r="L61" s="14" t="str">
        <f aca="false">IF($B61="","",$C$2+$E$2+$G$2+SUM($I$5:$I61)-SUM($J$5:$J61))</f>
        <v/>
      </c>
      <c r="M61" s="12"/>
      <c r="N61" s="15" t="str">
        <f aca="false">IF($B61="","",IF(NOT(ISNUMBER($B61)),"日期格式不对",IF($C61="","未选资金账户",IF(AND(N($I61)=0,N($J61)=0),"收支都为空",IF(AND(N($I61)&gt;0,N($J61)&gt;0),"收支不能同时填",IF(AND($D61&lt;&gt;"",LEFT($O61,1)="⚠"),"项目编号不存在",IF(AND($M61="是",$F61=""),"工程回款必须填往来单位","√")))))))</f>
        <v/>
      </c>
      <c r="O61" s="16" t="str">
        <f aca="false">IF($D61="","",IFERROR(INDEX(对照清单!$B$5:$B$60,MATCH($D61,对照清单!$A$5:$A$60,0)),"⚠编号不存在"))</f>
        <v/>
      </c>
      <c r="P61" s="10" t="str">
        <f aca="false">IF($B61="","",IF(ISNUMBER($B61),TEXT($B61,"yyyy-mm"),"日期非法"))</f>
        <v/>
      </c>
      <c r="Q61" s="10" t="str">
        <f aca="false">IF($B61="","",IF(ISNUMBER($B61),YEAR($B61),"日期非法"))</f>
        <v/>
      </c>
    </row>
    <row r="62" customFormat="false" ht="15.75" hidden="false" customHeight="true" outlineLevel="0" collapsed="false">
      <c r="A62" s="10" t="str">
        <f aca="false">IF($B62="","",ROW()-4)</f>
        <v/>
      </c>
      <c r="B62" s="11"/>
      <c r="C62" s="12"/>
      <c r="D62" s="12"/>
      <c r="E62" s="12"/>
      <c r="F62" s="12"/>
      <c r="G62" s="12"/>
      <c r="H62" s="13"/>
      <c r="I62" s="4"/>
      <c r="J62" s="4"/>
      <c r="K62" s="14" t="str">
        <f aca="false">IF($B62="","",IF($C62="泓普",$C$2,IF($C62="仟茂",$E$2,IF($C62="现金",$G$2,0)))+SUMIFS($I$5:$I62,$C$5:$C62,$C62)-SUMIFS($J$5:$J62,$C$5:$C62,$C62))</f>
        <v/>
      </c>
      <c r="L62" s="14" t="str">
        <f aca="false">IF($B62="","",$C$2+$E$2+$G$2+SUM($I$5:$I62)-SUM($J$5:$J62))</f>
        <v/>
      </c>
      <c r="M62" s="12"/>
      <c r="N62" s="15" t="str">
        <f aca="false">IF($B62="","",IF(NOT(ISNUMBER($B62)),"日期格式不对",IF($C62="","未选资金账户",IF(AND(N($I62)=0,N($J62)=0),"收支都为空",IF(AND(N($I62)&gt;0,N($J62)&gt;0),"收支不能同时填",IF(AND($D62&lt;&gt;"",LEFT($O62,1)="⚠"),"项目编号不存在",IF(AND($M62="是",$F62=""),"工程回款必须填往来单位","√")))))))</f>
        <v/>
      </c>
      <c r="O62" s="16" t="str">
        <f aca="false">IF($D62="","",IFERROR(INDEX(对照清单!$B$5:$B$60,MATCH($D62,对照清单!$A$5:$A$60,0)),"⚠编号不存在"))</f>
        <v/>
      </c>
      <c r="P62" s="10" t="str">
        <f aca="false">IF($B62="","",IF(ISNUMBER($B62),TEXT($B62,"yyyy-mm"),"日期非法"))</f>
        <v/>
      </c>
      <c r="Q62" s="10" t="str">
        <f aca="false">IF($B62="","",IF(ISNUMBER($B62),YEAR($B62),"日期非法"))</f>
        <v/>
      </c>
    </row>
    <row r="63" customFormat="false" ht="15.75" hidden="false" customHeight="true" outlineLevel="0" collapsed="false">
      <c r="A63" s="10" t="str">
        <f aca="false">IF($B63="","",ROW()-4)</f>
        <v/>
      </c>
      <c r="B63" s="11"/>
      <c r="C63" s="12"/>
      <c r="D63" s="12"/>
      <c r="E63" s="12"/>
      <c r="F63" s="12"/>
      <c r="G63" s="12"/>
      <c r="H63" s="13"/>
      <c r="I63" s="4"/>
      <c r="J63" s="4"/>
      <c r="K63" s="14" t="str">
        <f aca="false">IF($B63="","",IF($C63="泓普",$C$2,IF($C63="仟茂",$E$2,IF($C63="现金",$G$2,0)))+SUMIFS($I$5:$I63,$C$5:$C63,$C63)-SUMIFS($J$5:$J63,$C$5:$C63,$C63))</f>
        <v/>
      </c>
      <c r="L63" s="14" t="str">
        <f aca="false">IF($B63="","",$C$2+$E$2+$G$2+SUM($I$5:$I63)-SUM($J$5:$J63))</f>
        <v/>
      </c>
      <c r="M63" s="12"/>
      <c r="N63" s="15" t="str">
        <f aca="false">IF($B63="","",IF(NOT(ISNUMBER($B63)),"日期格式不对",IF($C63="","未选资金账户",IF(AND(N($I63)=0,N($J63)=0),"收支都为空",IF(AND(N($I63)&gt;0,N($J63)&gt;0),"收支不能同时填",IF(AND($D63&lt;&gt;"",LEFT($O63,1)="⚠"),"项目编号不存在",IF(AND($M63="是",$F63=""),"工程回款必须填往来单位","√")))))))</f>
        <v/>
      </c>
      <c r="O63" s="16" t="str">
        <f aca="false">IF($D63="","",IFERROR(INDEX(对照清单!$B$5:$B$60,MATCH($D63,对照清单!$A$5:$A$60,0)),"⚠编号不存在"))</f>
        <v/>
      </c>
      <c r="P63" s="10" t="str">
        <f aca="false">IF($B63="","",IF(ISNUMBER($B63),TEXT($B63,"yyyy-mm"),"日期非法"))</f>
        <v/>
      </c>
      <c r="Q63" s="10" t="str">
        <f aca="false">IF($B63="","",IF(ISNUMBER($B63),YEAR($B63),"日期非法"))</f>
        <v/>
      </c>
    </row>
    <row r="64" customFormat="false" ht="15.75" hidden="false" customHeight="true" outlineLevel="0" collapsed="false">
      <c r="A64" s="10" t="str">
        <f aca="false">IF($B64="","",ROW()-4)</f>
        <v/>
      </c>
      <c r="B64" s="11"/>
      <c r="C64" s="12"/>
      <c r="D64" s="12"/>
      <c r="E64" s="12"/>
      <c r="F64" s="12"/>
      <c r="G64" s="12"/>
      <c r="H64" s="13"/>
      <c r="I64" s="4"/>
      <c r="J64" s="4"/>
      <c r="K64" s="14" t="str">
        <f aca="false">IF($B64="","",IF($C64="泓普",$C$2,IF($C64="仟茂",$E$2,IF($C64="现金",$G$2,0)))+SUMIFS($I$5:$I64,$C$5:$C64,$C64)-SUMIFS($J$5:$J64,$C$5:$C64,$C64))</f>
        <v/>
      </c>
      <c r="L64" s="14" t="str">
        <f aca="false">IF($B64="","",$C$2+$E$2+$G$2+SUM($I$5:$I64)-SUM($J$5:$J64))</f>
        <v/>
      </c>
      <c r="M64" s="12"/>
      <c r="N64" s="15" t="str">
        <f aca="false">IF($B64="","",IF(NOT(ISNUMBER($B64)),"日期格式不对",IF($C64="","未选资金账户",IF(AND(N($I64)=0,N($J64)=0),"收支都为空",IF(AND(N($I64)&gt;0,N($J64)&gt;0),"收支不能同时填",IF(AND($D64&lt;&gt;"",LEFT($O64,1)="⚠"),"项目编号不存在",IF(AND($M64="是",$F64=""),"工程回款必须填往来单位","√")))))))</f>
        <v/>
      </c>
      <c r="O64" s="16" t="str">
        <f aca="false">IF($D64="","",IFERROR(INDEX(对照清单!$B$5:$B$60,MATCH($D64,对照清单!$A$5:$A$60,0)),"⚠编号不存在"))</f>
        <v/>
      </c>
      <c r="P64" s="10" t="str">
        <f aca="false">IF($B64="","",IF(ISNUMBER($B64),TEXT($B64,"yyyy-mm"),"日期非法"))</f>
        <v/>
      </c>
      <c r="Q64" s="10" t="str">
        <f aca="false">IF($B64="","",IF(ISNUMBER($B64),YEAR($B64),"日期非法"))</f>
        <v/>
      </c>
    </row>
    <row r="65" customFormat="false" ht="15.75" hidden="false" customHeight="true" outlineLevel="0" collapsed="false">
      <c r="A65" s="10" t="str">
        <f aca="false">IF($B65="","",ROW()-4)</f>
        <v/>
      </c>
      <c r="B65" s="11"/>
      <c r="C65" s="12"/>
      <c r="D65" s="12"/>
      <c r="E65" s="12"/>
      <c r="F65" s="12"/>
      <c r="G65" s="12"/>
      <c r="H65" s="13"/>
      <c r="I65" s="4"/>
      <c r="J65" s="4"/>
      <c r="K65" s="14" t="str">
        <f aca="false">IF($B65="","",IF($C65="泓普",$C$2,IF($C65="仟茂",$E$2,IF($C65="现金",$G$2,0)))+SUMIFS($I$5:$I65,$C$5:$C65,$C65)-SUMIFS($J$5:$J65,$C$5:$C65,$C65))</f>
        <v/>
      </c>
      <c r="L65" s="14" t="str">
        <f aca="false">IF($B65="","",$C$2+$E$2+$G$2+SUM($I$5:$I65)-SUM($J$5:$J65))</f>
        <v/>
      </c>
      <c r="M65" s="12"/>
      <c r="N65" s="15" t="str">
        <f aca="false">IF($B65="","",IF(NOT(ISNUMBER($B65)),"日期格式不对",IF($C65="","未选资金账户",IF(AND(N($I65)=0,N($J65)=0),"收支都为空",IF(AND(N($I65)&gt;0,N($J65)&gt;0),"收支不能同时填",IF(AND($D65&lt;&gt;"",LEFT($O65,1)="⚠"),"项目编号不存在",IF(AND($M65="是",$F65=""),"工程回款必须填往来单位","√")))))))</f>
        <v/>
      </c>
      <c r="O65" s="16" t="str">
        <f aca="false">IF($D65="","",IFERROR(INDEX(对照清单!$B$5:$B$60,MATCH($D65,对照清单!$A$5:$A$60,0)),"⚠编号不存在"))</f>
        <v/>
      </c>
      <c r="P65" s="10" t="str">
        <f aca="false">IF($B65="","",IF(ISNUMBER($B65),TEXT($B65,"yyyy-mm"),"日期非法"))</f>
        <v/>
      </c>
      <c r="Q65" s="10" t="str">
        <f aca="false">IF($B65="","",IF(ISNUMBER($B65),YEAR($B65),"日期非法"))</f>
        <v/>
      </c>
    </row>
    <row r="66" customFormat="false" ht="15.75" hidden="false" customHeight="true" outlineLevel="0" collapsed="false">
      <c r="A66" s="10" t="str">
        <f aca="false">IF($B66="","",ROW()-4)</f>
        <v/>
      </c>
      <c r="B66" s="11"/>
      <c r="C66" s="12"/>
      <c r="D66" s="12"/>
      <c r="E66" s="12"/>
      <c r="F66" s="12"/>
      <c r="G66" s="12"/>
      <c r="H66" s="13"/>
      <c r="I66" s="4"/>
      <c r="J66" s="4"/>
      <c r="K66" s="14" t="str">
        <f aca="false">IF($B66="","",IF($C66="泓普",$C$2,IF($C66="仟茂",$E$2,IF($C66="现金",$G$2,0)))+SUMIFS($I$5:$I66,$C$5:$C66,$C66)-SUMIFS($J$5:$J66,$C$5:$C66,$C66))</f>
        <v/>
      </c>
      <c r="L66" s="14" t="str">
        <f aca="false">IF($B66="","",$C$2+$E$2+$G$2+SUM($I$5:$I66)-SUM($J$5:$J66))</f>
        <v/>
      </c>
      <c r="M66" s="12"/>
      <c r="N66" s="15" t="str">
        <f aca="false">IF($B66="","",IF(NOT(ISNUMBER($B66)),"日期格式不对",IF($C66="","未选资金账户",IF(AND(N($I66)=0,N($J66)=0),"收支都为空",IF(AND(N($I66)&gt;0,N($J66)&gt;0),"收支不能同时填",IF(AND($D66&lt;&gt;"",LEFT($O66,1)="⚠"),"项目编号不存在",IF(AND($M66="是",$F66=""),"工程回款必须填往来单位","√")))))))</f>
        <v/>
      </c>
      <c r="O66" s="16" t="str">
        <f aca="false">IF($D66="","",IFERROR(INDEX(对照清单!$B$5:$B$60,MATCH($D66,对照清单!$A$5:$A$60,0)),"⚠编号不存在"))</f>
        <v/>
      </c>
      <c r="P66" s="10" t="str">
        <f aca="false">IF($B66="","",IF(ISNUMBER($B66),TEXT($B66,"yyyy-mm"),"日期非法"))</f>
        <v/>
      </c>
      <c r="Q66" s="10" t="str">
        <f aca="false">IF($B66="","",IF(ISNUMBER($B66),YEAR($B66),"日期非法"))</f>
        <v/>
      </c>
    </row>
    <row r="67" customFormat="false" ht="15.75" hidden="false" customHeight="true" outlineLevel="0" collapsed="false">
      <c r="A67" s="10" t="str">
        <f aca="false">IF($B67="","",ROW()-4)</f>
        <v/>
      </c>
      <c r="B67" s="11"/>
      <c r="C67" s="12"/>
      <c r="D67" s="12"/>
      <c r="E67" s="12"/>
      <c r="F67" s="12"/>
      <c r="G67" s="12"/>
      <c r="H67" s="13"/>
      <c r="I67" s="4"/>
      <c r="J67" s="4"/>
      <c r="K67" s="14" t="str">
        <f aca="false">IF($B67="","",IF($C67="泓普",$C$2,IF($C67="仟茂",$E$2,IF($C67="现金",$G$2,0)))+SUMIFS($I$5:$I67,$C$5:$C67,$C67)-SUMIFS($J$5:$J67,$C$5:$C67,$C67))</f>
        <v/>
      </c>
      <c r="L67" s="14" t="str">
        <f aca="false">IF($B67="","",$C$2+$E$2+$G$2+SUM($I$5:$I67)-SUM($J$5:$J67))</f>
        <v/>
      </c>
      <c r="M67" s="12"/>
      <c r="N67" s="15" t="str">
        <f aca="false">IF($B67="","",IF(NOT(ISNUMBER($B67)),"日期格式不对",IF($C67="","未选资金账户",IF(AND(N($I67)=0,N($J67)=0),"收支都为空",IF(AND(N($I67)&gt;0,N($J67)&gt;0),"收支不能同时填",IF(AND($D67&lt;&gt;"",LEFT($O67,1)="⚠"),"项目编号不存在",IF(AND($M67="是",$F67=""),"工程回款必须填往来单位","√")))))))</f>
        <v/>
      </c>
      <c r="O67" s="16" t="str">
        <f aca="false">IF($D67="","",IFERROR(INDEX(对照清单!$B$5:$B$60,MATCH($D67,对照清单!$A$5:$A$60,0)),"⚠编号不存在"))</f>
        <v/>
      </c>
      <c r="P67" s="10" t="str">
        <f aca="false">IF($B67="","",IF(ISNUMBER($B67),TEXT($B67,"yyyy-mm"),"日期非法"))</f>
        <v/>
      </c>
      <c r="Q67" s="10" t="str">
        <f aca="false">IF($B67="","",IF(ISNUMBER($B67),YEAR($B67),"日期非法"))</f>
        <v/>
      </c>
    </row>
    <row r="68" customFormat="false" ht="15.75" hidden="false" customHeight="true" outlineLevel="0" collapsed="false">
      <c r="A68" s="10" t="str">
        <f aca="false">IF($B68="","",ROW()-4)</f>
        <v/>
      </c>
      <c r="B68" s="11"/>
      <c r="C68" s="12"/>
      <c r="D68" s="12"/>
      <c r="E68" s="12"/>
      <c r="F68" s="12"/>
      <c r="G68" s="12"/>
      <c r="H68" s="13"/>
      <c r="I68" s="4"/>
      <c r="J68" s="4"/>
      <c r="K68" s="14" t="str">
        <f aca="false">IF($B68="","",IF($C68="泓普",$C$2,IF($C68="仟茂",$E$2,IF($C68="现金",$G$2,0)))+SUMIFS($I$5:$I68,$C$5:$C68,$C68)-SUMIFS($J$5:$J68,$C$5:$C68,$C68))</f>
        <v/>
      </c>
      <c r="L68" s="14" t="str">
        <f aca="false">IF($B68="","",$C$2+$E$2+$G$2+SUM($I$5:$I68)-SUM($J$5:$J68))</f>
        <v/>
      </c>
      <c r="M68" s="12"/>
      <c r="N68" s="15" t="str">
        <f aca="false">IF($B68="","",IF(NOT(ISNUMBER($B68)),"日期格式不对",IF($C68="","未选资金账户",IF(AND(N($I68)=0,N($J68)=0),"收支都为空",IF(AND(N($I68)&gt;0,N($J68)&gt;0),"收支不能同时填",IF(AND($D68&lt;&gt;"",LEFT($O68,1)="⚠"),"项目编号不存在",IF(AND($M68="是",$F68=""),"工程回款必须填往来单位","√")))))))</f>
        <v/>
      </c>
      <c r="O68" s="16" t="str">
        <f aca="false">IF($D68="","",IFERROR(INDEX(对照清单!$B$5:$B$60,MATCH($D68,对照清单!$A$5:$A$60,0)),"⚠编号不存在"))</f>
        <v/>
      </c>
      <c r="P68" s="10" t="str">
        <f aca="false">IF($B68="","",IF(ISNUMBER($B68),TEXT($B68,"yyyy-mm"),"日期非法"))</f>
        <v/>
      </c>
      <c r="Q68" s="10" t="str">
        <f aca="false">IF($B68="","",IF(ISNUMBER($B68),YEAR($B68),"日期非法"))</f>
        <v/>
      </c>
    </row>
    <row r="69" customFormat="false" ht="15.75" hidden="false" customHeight="true" outlineLevel="0" collapsed="false">
      <c r="A69" s="10" t="str">
        <f aca="false">IF($B69="","",ROW()-4)</f>
        <v/>
      </c>
      <c r="B69" s="11"/>
      <c r="C69" s="12"/>
      <c r="D69" s="12"/>
      <c r="E69" s="12"/>
      <c r="F69" s="12"/>
      <c r="G69" s="12"/>
      <c r="H69" s="13"/>
      <c r="I69" s="4"/>
      <c r="J69" s="4"/>
      <c r="K69" s="14" t="str">
        <f aca="false">IF($B69="","",IF($C69="泓普",$C$2,IF($C69="仟茂",$E$2,IF($C69="现金",$G$2,0)))+SUMIFS($I$5:$I69,$C$5:$C69,$C69)-SUMIFS($J$5:$J69,$C$5:$C69,$C69))</f>
        <v/>
      </c>
      <c r="L69" s="14" t="str">
        <f aca="false">IF($B69="","",$C$2+$E$2+$G$2+SUM($I$5:$I69)-SUM($J$5:$J69))</f>
        <v/>
      </c>
      <c r="M69" s="12"/>
      <c r="N69" s="15" t="str">
        <f aca="false">IF($B69="","",IF(NOT(ISNUMBER($B69)),"日期格式不对",IF($C69="","未选资金账户",IF(AND(N($I69)=0,N($J69)=0),"收支都为空",IF(AND(N($I69)&gt;0,N($J69)&gt;0),"收支不能同时填",IF(AND($D69&lt;&gt;"",LEFT($O69,1)="⚠"),"项目编号不存在",IF(AND($M69="是",$F69=""),"工程回款必须填往来单位","√")))))))</f>
        <v/>
      </c>
      <c r="O69" s="16" t="str">
        <f aca="false">IF($D69="","",IFERROR(INDEX(对照清单!$B$5:$B$60,MATCH($D69,对照清单!$A$5:$A$60,0)),"⚠编号不存在"))</f>
        <v/>
      </c>
      <c r="P69" s="10" t="str">
        <f aca="false">IF($B69="","",IF(ISNUMBER($B69),TEXT($B69,"yyyy-mm"),"日期非法"))</f>
        <v/>
      </c>
      <c r="Q69" s="10" t="str">
        <f aca="false">IF($B69="","",IF(ISNUMBER($B69),YEAR($B69),"日期非法"))</f>
        <v/>
      </c>
    </row>
    <row r="70" customFormat="false" ht="15.75" hidden="false" customHeight="true" outlineLevel="0" collapsed="false">
      <c r="A70" s="10" t="str">
        <f aca="false">IF($B70="","",ROW()-4)</f>
        <v/>
      </c>
      <c r="B70" s="11"/>
      <c r="C70" s="12"/>
      <c r="D70" s="12"/>
      <c r="E70" s="12"/>
      <c r="F70" s="12"/>
      <c r="G70" s="12"/>
      <c r="H70" s="13"/>
      <c r="I70" s="4"/>
      <c r="J70" s="4"/>
      <c r="K70" s="14" t="str">
        <f aca="false">IF($B70="","",IF($C70="泓普",$C$2,IF($C70="仟茂",$E$2,IF($C70="现金",$G$2,0)))+SUMIFS($I$5:$I70,$C$5:$C70,$C70)-SUMIFS($J$5:$J70,$C$5:$C70,$C70))</f>
        <v/>
      </c>
      <c r="L70" s="14" t="str">
        <f aca="false">IF($B70="","",$C$2+$E$2+$G$2+SUM($I$5:$I70)-SUM($J$5:$J70))</f>
        <v/>
      </c>
      <c r="M70" s="12"/>
      <c r="N70" s="15" t="str">
        <f aca="false">IF($B70="","",IF(NOT(ISNUMBER($B70)),"日期格式不对",IF($C70="","未选资金账户",IF(AND(N($I70)=0,N($J70)=0),"收支都为空",IF(AND(N($I70)&gt;0,N($J70)&gt;0),"收支不能同时填",IF(AND($D70&lt;&gt;"",LEFT($O70,1)="⚠"),"项目编号不存在",IF(AND($M70="是",$F70=""),"工程回款必须填往来单位","√")))))))</f>
        <v/>
      </c>
      <c r="O70" s="16" t="str">
        <f aca="false">IF($D70="","",IFERROR(INDEX(对照清单!$B$5:$B$60,MATCH($D70,对照清单!$A$5:$A$60,0)),"⚠编号不存在"))</f>
        <v/>
      </c>
      <c r="P70" s="10" t="str">
        <f aca="false">IF($B70="","",IF(ISNUMBER($B70),TEXT($B70,"yyyy-mm"),"日期非法"))</f>
        <v/>
      </c>
      <c r="Q70" s="10" t="str">
        <f aca="false">IF($B70="","",IF(ISNUMBER($B70),YEAR($B70),"日期非法"))</f>
        <v/>
      </c>
    </row>
    <row r="71" customFormat="false" ht="15.75" hidden="false" customHeight="true" outlineLevel="0" collapsed="false">
      <c r="A71" s="10" t="str">
        <f aca="false">IF($B71="","",ROW()-4)</f>
        <v/>
      </c>
      <c r="B71" s="11"/>
      <c r="C71" s="12"/>
      <c r="D71" s="12"/>
      <c r="E71" s="12"/>
      <c r="F71" s="12"/>
      <c r="G71" s="12"/>
      <c r="H71" s="13"/>
      <c r="I71" s="4"/>
      <c r="J71" s="4"/>
      <c r="K71" s="14" t="str">
        <f aca="false">IF($B71="","",IF($C71="泓普",$C$2,IF($C71="仟茂",$E$2,IF($C71="现金",$G$2,0)))+SUMIFS($I$5:$I71,$C$5:$C71,$C71)-SUMIFS($J$5:$J71,$C$5:$C71,$C71))</f>
        <v/>
      </c>
      <c r="L71" s="14" t="str">
        <f aca="false">IF($B71="","",$C$2+$E$2+$G$2+SUM($I$5:$I71)-SUM($J$5:$J71))</f>
        <v/>
      </c>
      <c r="M71" s="12"/>
      <c r="N71" s="15" t="str">
        <f aca="false">IF($B71="","",IF(NOT(ISNUMBER($B71)),"日期格式不对",IF($C71="","未选资金账户",IF(AND(N($I71)=0,N($J71)=0),"收支都为空",IF(AND(N($I71)&gt;0,N($J71)&gt;0),"收支不能同时填",IF(AND($D71&lt;&gt;"",LEFT($O71,1)="⚠"),"项目编号不存在",IF(AND($M71="是",$F71=""),"工程回款必须填往来单位","√")))))))</f>
        <v/>
      </c>
      <c r="O71" s="16" t="str">
        <f aca="false">IF($D71="","",IFERROR(INDEX(对照清单!$B$5:$B$60,MATCH($D71,对照清单!$A$5:$A$60,0)),"⚠编号不存在"))</f>
        <v/>
      </c>
      <c r="P71" s="10" t="str">
        <f aca="false">IF($B71="","",IF(ISNUMBER($B71),TEXT($B71,"yyyy-mm"),"日期非法"))</f>
        <v/>
      </c>
      <c r="Q71" s="10" t="str">
        <f aca="false">IF($B71="","",IF(ISNUMBER($B71),YEAR($B71),"日期非法"))</f>
        <v/>
      </c>
    </row>
    <row r="72" customFormat="false" ht="15.75" hidden="false" customHeight="true" outlineLevel="0" collapsed="false">
      <c r="A72" s="10" t="str">
        <f aca="false">IF($B72="","",ROW()-4)</f>
        <v/>
      </c>
      <c r="B72" s="11"/>
      <c r="C72" s="12"/>
      <c r="D72" s="12"/>
      <c r="E72" s="12"/>
      <c r="F72" s="12"/>
      <c r="G72" s="12"/>
      <c r="H72" s="13"/>
      <c r="I72" s="4"/>
      <c r="J72" s="4"/>
      <c r="K72" s="14" t="str">
        <f aca="false">IF($B72="","",IF($C72="泓普",$C$2,IF($C72="仟茂",$E$2,IF($C72="现金",$G$2,0)))+SUMIFS($I$5:$I72,$C$5:$C72,$C72)-SUMIFS($J$5:$J72,$C$5:$C72,$C72))</f>
        <v/>
      </c>
      <c r="L72" s="14" t="str">
        <f aca="false">IF($B72="","",$C$2+$E$2+$G$2+SUM($I$5:$I72)-SUM($J$5:$J72))</f>
        <v/>
      </c>
      <c r="M72" s="12"/>
      <c r="N72" s="15" t="str">
        <f aca="false">IF($B72="","",IF(NOT(ISNUMBER($B72)),"日期格式不对",IF($C72="","未选资金账户",IF(AND(N($I72)=0,N($J72)=0),"收支都为空",IF(AND(N($I72)&gt;0,N($J72)&gt;0),"收支不能同时填",IF(AND($D72&lt;&gt;"",LEFT($O72,1)="⚠"),"项目编号不存在",IF(AND($M72="是",$F72=""),"工程回款必须填往来单位","√")))))))</f>
        <v/>
      </c>
      <c r="O72" s="16" t="str">
        <f aca="false">IF($D72="","",IFERROR(INDEX(对照清单!$B$5:$B$60,MATCH($D72,对照清单!$A$5:$A$60,0)),"⚠编号不存在"))</f>
        <v/>
      </c>
      <c r="P72" s="10" t="str">
        <f aca="false">IF($B72="","",IF(ISNUMBER($B72),TEXT($B72,"yyyy-mm"),"日期非法"))</f>
        <v/>
      </c>
      <c r="Q72" s="10" t="str">
        <f aca="false">IF($B72="","",IF(ISNUMBER($B72),YEAR($B72),"日期非法"))</f>
        <v/>
      </c>
    </row>
    <row r="73" customFormat="false" ht="15.75" hidden="false" customHeight="true" outlineLevel="0" collapsed="false">
      <c r="A73" s="10" t="str">
        <f aca="false">IF($B73="","",ROW()-4)</f>
        <v/>
      </c>
      <c r="B73" s="11"/>
      <c r="C73" s="12"/>
      <c r="D73" s="12"/>
      <c r="E73" s="12"/>
      <c r="F73" s="12"/>
      <c r="G73" s="12"/>
      <c r="H73" s="13"/>
      <c r="I73" s="4"/>
      <c r="J73" s="4"/>
      <c r="K73" s="14" t="str">
        <f aca="false">IF($B73="","",IF($C73="泓普",$C$2,IF($C73="仟茂",$E$2,IF($C73="现金",$G$2,0)))+SUMIFS($I$5:$I73,$C$5:$C73,$C73)-SUMIFS($J$5:$J73,$C$5:$C73,$C73))</f>
        <v/>
      </c>
      <c r="L73" s="14" t="str">
        <f aca="false">IF($B73="","",$C$2+$E$2+$G$2+SUM($I$5:$I73)-SUM($J$5:$J73))</f>
        <v/>
      </c>
      <c r="M73" s="12"/>
      <c r="N73" s="15" t="str">
        <f aca="false">IF($B73="","",IF(NOT(ISNUMBER($B73)),"日期格式不对",IF($C73="","未选资金账户",IF(AND(N($I73)=0,N($J73)=0),"收支都为空",IF(AND(N($I73)&gt;0,N($J73)&gt;0),"收支不能同时填",IF(AND($D73&lt;&gt;"",LEFT($O73,1)="⚠"),"项目编号不存在",IF(AND($M73="是",$F73=""),"工程回款必须填往来单位","√")))))))</f>
        <v/>
      </c>
      <c r="O73" s="16" t="str">
        <f aca="false">IF($D73="","",IFERROR(INDEX(对照清单!$B$5:$B$60,MATCH($D73,对照清单!$A$5:$A$60,0)),"⚠编号不存在"))</f>
        <v/>
      </c>
      <c r="P73" s="10" t="str">
        <f aca="false">IF($B73="","",IF(ISNUMBER($B73),TEXT($B73,"yyyy-mm"),"日期非法"))</f>
        <v/>
      </c>
      <c r="Q73" s="10" t="str">
        <f aca="false">IF($B73="","",IF(ISNUMBER($B73),YEAR($B73),"日期非法"))</f>
        <v/>
      </c>
    </row>
    <row r="74" customFormat="false" ht="15.75" hidden="false" customHeight="true" outlineLevel="0" collapsed="false">
      <c r="A74" s="10" t="str">
        <f aca="false">IF($B74="","",ROW()-4)</f>
        <v/>
      </c>
      <c r="B74" s="11"/>
      <c r="C74" s="12"/>
      <c r="D74" s="12"/>
      <c r="E74" s="12"/>
      <c r="F74" s="12"/>
      <c r="G74" s="12"/>
      <c r="H74" s="13"/>
      <c r="I74" s="4"/>
      <c r="J74" s="4"/>
      <c r="K74" s="14" t="str">
        <f aca="false">IF($B74="","",IF($C74="泓普",$C$2,IF($C74="仟茂",$E$2,IF($C74="现金",$G$2,0)))+SUMIFS($I$5:$I74,$C$5:$C74,$C74)-SUMIFS($J$5:$J74,$C$5:$C74,$C74))</f>
        <v/>
      </c>
      <c r="L74" s="14" t="str">
        <f aca="false">IF($B74="","",$C$2+$E$2+$G$2+SUM($I$5:$I74)-SUM($J$5:$J74))</f>
        <v/>
      </c>
      <c r="M74" s="12"/>
      <c r="N74" s="15" t="str">
        <f aca="false">IF($B74="","",IF(NOT(ISNUMBER($B74)),"日期格式不对",IF($C74="","未选资金账户",IF(AND(N($I74)=0,N($J74)=0),"收支都为空",IF(AND(N($I74)&gt;0,N($J74)&gt;0),"收支不能同时填",IF(AND($D74&lt;&gt;"",LEFT($O74,1)="⚠"),"项目编号不存在",IF(AND($M74="是",$F74=""),"工程回款必须填往来单位","√")))))))</f>
        <v/>
      </c>
      <c r="O74" s="16" t="str">
        <f aca="false">IF($D74="","",IFERROR(INDEX(对照清单!$B$5:$B$60,MATCH($D74,对照清单!$A$5:$A$60,0)),"⚠编号不存在"))</f>
        <v/>
      </c>
      <c r="P74" s="10" t="str">
        <f aca="false">IF($B74="","",IF(ISNUMBER($B74),TEXT($B74,"yyyy-mm"),"日期非法"))</f>
        <v/>
      </c>
      <c r="Q74" s="10" t="str">
        <f aca="false">IF($B74="","",IF(ISNUMBER($B74),YEAR($B74),"日期非法"))</f>
        <v/>
      </c>
    </row>
    <row r="75" customFormat="false" ht="15.75" hidden="false" customHeight="true" outlineLevel="0" collapsed="false">
      <c r="A75" s="10" t="str">
        <f aca="false">IF($B75="","",ROW()-4)</f>
        <v/>
      </c>
      <c r="B75" s="11"/>
      <c r="C75" s="12"/>
      <c r="D75" s="12"/>
      <c r="E75" s="12"/>
      <c r="F75" s="12"/>
      <c r="G75" s="12"/>
      <c r="H75" s="13"/>
      <c r="I75" s="4"/>
      <c r="J75" s="4"/>
      <c r="K75" s="14" t="str">
        <f aca="false">IF($B75="","",IF($C75="泓普",$C$2,IF($C75="仟茂",$E$2,IF($C75="现金",$G$2,0)))+SUMIFS($I$5:$I75,$C$5:$C75,$C75)-SUMIFS($J$5:$J75,$C$5:$C75,$C75))</f>
        <v/>
      </c>
      <c r="L75" s="14" t="str">
        <f aca="false">IF($B75="","",$C$2+$E$2+$G$2+SUM($I$5:$I75)-SUM($J$5:$J75))</f>
        <v/>
      </c>
      <c r="M75" s="12"/>
      <c r="N75" s="15" t="str">
        <f aca="false">IF($B75="","",IF(NOT(ISNUMBER($B75)),"日期格式不对",IF($C75="","未选资金账户",IF(AND(N($I75)=0,N($J75)=0),"收支都为空",IF(AND(N($I75)&gt;0,N($J75)&gt;0),"收支不能同时填",IF(AND($D75&lt;&gt;"",LEFT($O75,1)="⚠"),"项目编号不存在",IF(AND($M75="是",$F75=""),"工程回款必须填往来单位","√")))))))</f>
        <v/>
      </c>
      <c r="O75" s="16" t="str">
        <f aca="false">IF($D75="","",IFERROR(INDEX(对照清单!$B$5:$B$60,MATCH($D75,对照清单!$A$5:$A$60,0)),"⚠编号不存在"))</f>
        <v/>
      </c>
      <c r="P75" s="10" t="str">
        <f aca="false">IF($B75="","",IF(ISNUMBER($B75),TEXT($B75,"yyyy-mm"),"日期非法"))</f>
        <v/>
      </c>
      <c r="Q75" s="10" t="str">
        <f aca="false">IF($B75="","",IF(ISNUMBER($B75),YEAR($B75),"日期非法"))</f>
        <v/>
      </c>
    </row>
    <row r="76" customFormat="false" ht="15.75" hidden="false" customHeight="true" outlineLevel="0" collapsed="false">
      <c r="A76" s="10" t="str">
        <f aca="false">IF($B76="","",ROW()-4)</f>
        <v/>
      </c>
      <c r="B76" s="11"/>
      <c r="C76" s="12"/>
      <c r="D76" s="12"/>
      <c r="E76" s="12"/>
      <c r="F76" s="12"/>
      <c r="G76" s="12"/>
      <c r="H76" s="13"/>
      <c r="I76" s="4"/>
      <c r="J76" s="4"/>
      <c r="K76" s="14" t="str">
        <f aca="false">IF($B76="","",IF($C76="泓普",$C$2,IF($C76="仟茂",$E$2,IF($C76="现金",$G$2,0)))+SUMIFS($I$5:$I76,$C$5:$C76,$C76)-SUMIFS($J$5:$J76,$C$5:$C76,$C76))</f>
        <v/>
      </c>
      <c r="L76" s="14" t="str">
        <f aca="false">IF($B76="","",$C$2+$E$2+$G$2+SUM($I$5:$I76)-SUM($J$5:$J76))</f>
        <v/>
      </c>
      <c r="M76" s="12"/>
      <c r="N76" s="15" t="str">
        <f aca="false">IF($B76="","",IF(NOT(ISNUMBER($B76)),"日期格式不对",IF($C76="","未选资金账户",IF(AND(N($I76)=0,N($J76)=0),"收支都为空",IF(AND(N($I76)&gt;0,N($J76)&gt;0),"收支不能同时填",IF(AND($D76&lt;&gt;"",LEFT($O76,1)="⚠"),"项目编号不存在",IF(AND($M76="是",$F76=""),"工程回款必须填往来单位","√")))))))</f>
        <v/>
      </c>
      <c r="O76" s="16" t="str">
        <f aca="false">IF($D76="","",IFERROR(INDEX(对照清单!$B$5:$B$60,MATCH($D76,对照清单!$A$5:$A$60,0)),"⚠编号不存在"))</f>
        <v/>
      </c>
      <c r="P76" s="10" t="str">
        <f aca="false">IF($B76="","",IF(ISNUMBER($B76),TEXT($B76,"yyyy-mm"),"日期非法"))</f>
        <v/>
      </c>
      <c r="Q76" s="10" t="str">
        <f aca="false">IF($B76="","",IF(ISNUMBER($B76),YEAR($B76),"日期非法"))</f>
        <v/>
      </c>
    </row>
    <row r="77" customFormat="false" ht="15.75" hidden="false" customHeight="true" outlineLevel="0" collapsed="false">
      <c r="A77" s="10" t="str">
        <f aca="false">IF($B77="","",ROW()-4)</f>
        <v/>
      </c>
      <c r="B77" s="11"/>
      <c r="C77" s="12"/>
      <c r="D77" s="12"/>
      <c r="E77" s="12"/>
      <c r="F77" s="12"/>
      <c r="G77" s="12"/>
      <c r="H77" s="13"/>
      <c r="I77" s="4"/>
      <c r="J77" s="4"/>
      <c r="K77" s="14" t="str">
        <f aca="false">IF($B77="","",IF($C77="泓普",$C$2,IF($C77="仟茂",$E$2,IF($C77="现金",$G$2,0)))+SUMIFS($I$5:$I77,$C$5:$C77,$C77)-SUMIFS($J$5:$J77,$C$5:$C77,$C77))</f>
        <v/>
      </c>
      <c r="L77" s="14" t="str">
        <f aca="false">IF($B77="","",$C$2+$E$2+$G$2+SUM($I$5:$I77)-SUM($J$5:$J77))</f>
        <v/>
      </c>
      <c r="M77" s="12"/>
      <c r="N77" s="15" t="str">
        <f aca="false">IF($B77="","",IF(NOT(ISNUMBER($B77)),"日期格式不对",IF($C77="","未选资金账户",IF(AND(N($I77)=0,N($J77)=0),"收支都为空",IF(AND(N($I77)&gt;0,N($J77)&gt;0),"收支不能同时填",IF(AND($D77&lt;&gt;"",LEFT($O77,1)="⚠"),"项目编号不存在",IF(AND($M77="是",$F77=""),"工程回款必须填往来单位","√")))))))</f>
        <v/>
      </c>
      <c r="O77" s="16" t="str">
        <f aca="false">IF($D77="","",IFERROR(INDEX(对照清单!$B$5:$B$60,MATCH($D77,对照清单!$A$5:$A$60,0)),"⚠编号不存在"))</f>
        <v/>
      </c>
      <c r="P77" s="10" t="str">
        <f aca="false">IF($B77="","",IF(ISNUMBER($B77),TEXT($B77,"yyyy-mm"),"日期非法"))</f>
        <v/>
      </c>
      <c r="Q77" s="10" t="str">
        <f aca="false">IF($B77="","",IF(ISNUMBER($B77),YEAR($B77),"日期非法"))</f>
        <v/>
      </c>
    </row>
    <row r="78" customFormat="false" ht="15.75" hidden="false" customHeight="true" outlineLevel="0" collapsed="false">
      <c r="A78" s="10" t="str">
        <f aca="false">IF($B78="","",ROW()-4)</f>
        <v/>
      </c>
      <c r="B78" s="11"/>
      <c r="C78" s="12"/>
      <c r="D78" s="12"/>
      <c r="E78" s="12"/>
      <c r="F78" s="12"/>
      <c r="G78" s="12"/>
      <c r="H78" s="13"/>
      <c r="I78" s="4"/>
      <c r="J78" s="4"/>
      <c r="K78" s="14" t="str">
        <f aca="false">IF($B78="","",IF($C78="泓普",$C$2,IF($C78="仟茂",$E$2,IF($C78="现金",$G$2,0)))+SUMIFS($I$5:$I78,$C$5:$C78,$C78)-SUMIFS($J$5:$J78,$C$5:$C78,$C78))</f>
        <v/>
      </c>
      <c r="L78" s="14" t="str">
        <f aca="false">IF($B78="","",$C$2+$E$2+$G$2+SUM($I$5:$I78)-SUM($J$5:$J78))</f>
        <v/>
      </c>
      <c r="M78" s="12"/>
      <c r="N78" s="15" t="str">
        <f aca="false">IF($B78="","",IF(NOT(ISNUMBER($B78)),"日期格式不对",IF($C78="","未选资金账户",IF(AND(N($I78)=0,N($J78)=0),"收支都为空",IF(AND(N($I78)&gt;0,N($J78)&gt;0),"收支不能同时填",IF(AND($D78&lt;&gt;"",LEFT($O78,1)="⚠"),"项目编号不存在",IF(AND($M78="是",$F78=""),"工程回款必须填往来单位","√")))))))</f>
        <v/>
      </c>
      <c r="O78" s="16" t="str">
        <f aca="false">IF($D78="","",IFERROR(INDEX(对照清单!$B$5:$B$60,MATCH($D78,对照清单!$A$5:$A$60,0)),"⚠编号不存在"))</f>
        <v/>
      </c>
      <c r="P78" s="10" t="str">
        <f aca="false">IF($B78="","",IF(ISNUMBER($B78),TEXT($B78,"yyyy-mm"),"日期非法"))</f>
        <v/>
      </c>
      <c r="Q78" s="10" t="str">
        <f aca="false">IF($B78="","",IF(ISNUMBER($B78),YEAR($B78),"日期非法"))</f>
        <v/>
      </c>
    </row>
    <row r="79" customFormat="false" ht="15.75" hidden="false" customHeight="true" outlineLevel="0" collapsed="false">
      <c r="A79" s="10" t="str">
        <f aca="false">IF($B79="","",ROW()-4)</f>
        <v/>
      </c>
      <c r="B79" s="11"/>
      <c r="C79" s="12"/>
      <c r="D79" s="12"/>
      <c r="E79" s="12"/>
      <c r="F79" s="12"/>
      <c r="G79" s="12"/>
      <c r="H79" s="13"/>
      <c r="I79" s="4"/>
      <c r="J79" s="4"/>
      <c r="K79" s="14" t="str">
        <f aca="false">IF($B79="","",IF($C79="泓普",$C$2,IF($C79="仟茂",$E$2,IF($C79="现金",$G$2,0)))+SUMIFS($I$5:$I79,$C$5:$C79,$C79)-SUMIFS($J$5:$J79,$C$5:$C79,$C79))</f>
        <v/>
      </c>
      <c r="L79" s="14" t="str">
        <f aca="false">IF($B79="","",$C$2+$E$2+$G$2+SUM($I$5:$I79)-SUM($J$5:$J79))</f>
        <v/>
      </c>
      <c r="M79" s="12"/>
      <c r="N79" s="15" t="str">
        <f aca="false">IF($B79="","",IF(NOT(ISNUMBER($B79)),"日期格式不对",IF($C79="","未选资金账户",IF(AND(N($I79)=0,N($J79)=0),"收支都为空",IF(AND(N($I79)&gt;0,N($J79)&gt;0),"收支不能同时填",IF(AND($D79&lt;&gt;"",LEFT($O79,1)="⚠"),"项目编号不存在",IF(AND($M79="是",$F79=""),"工程回款必须填往来单位","√")))))))</f>
        <v/>
      </c>
      <c r="O79" s="16" t="str">
        <f aca="false">IF($D79="","",IFERROR(INDEX(对照清单!$B$5:$B$60,MATCH($D79,对照清单!$A$5:$A$60,0)),"⚠编号不存在"))</f>
        <v/>
      </c>
      <c r="P79" s="10" t="str">
        <f aca="false">IF($B79="","",IF(ISNUMBER($B79),TEXT($B79,"yyyy-mm"),"日期非法"))</f>
        <v/>
      </c>
      <c r="Q79" s="10" t="str">
        <f aca="false">IF($B79="","",IF(ISNUMBER($B79),YEAR($B79),"日期非法"))</f>
        <v/>
      </c>
    </row>
    <row r="80" customFormat="false" ht="15.75" hidden="false" customHeight="true" outlineLevel="0" collapsed="false">
      <c r="A80" s="10" t="str">
        <f aca="false">IF($B80="","",ROW()-4)</f>
        <v/>
      </c>
      <c r="B80" s="11"/>
      <c r="C80" s="12"/>
      <c r="D80" s="12"/>
      <c r="E80" s="12"/>
      <c r="F80" s="12"/>
      <c r="G80" s="12"/>
      <c r="H80" s="13"/>
      <c r="I80" s="4"/>
      <c r="J80" s="4"/>
      <c r="K80" s="14" t="str">
        <f aca="false">IF($B80="","",IF($C80="泓普",$C$2,IF($C80="仟茂",$E$2,IF($C80="现金",$G$2,0)))+SUMIFS($I$5:$I80,$C$5:$C80,$C80)-SUMIFS($J$5:$J80,$C$5:$C80,$C80))</f>
        <v/>
      </c>
      <c r="L80" s="14" t="str">
        <f aca="false">IF($B80="","",$C$2+$E$2+$G$2+SUM($I$5:$I80)-SUM($J$5:$J80))</f>
        <v/>
      </c>
      <c r="M80" s="12"/>
      <c r="N80" s="15" t="str">
        <f aca="false">IF($B80="","",IF(NOT(ISNUMBER($B80)),"日期格式不对",IF($C80="","未选资金账户",IF(AND(N($I80)=0,N($J80)=0),"收支都为空",IF(AND(N($I80)&gt;0,N($J80)&gt;0),"收支不能同时填",IF(AND($D80&lt;&gt;"",LEFT($O80,1)="⚠"),"项目编号不存在",IF(AND($M80="是",$F80=""),"工程回款必须填往来单位","√")))))))</f>
        <v/>
      </c>
      <c r="O80" s="16" t="str">
        <f aca="false">IF($D80="","",IFERROR(INDEX(对照清单!$B$5:$B$60,MATCH($D80,对照清单!$A$5:$A$60,0)),"⚠编号不存在"))</f>
        <v/>
      </c>
      <c r="P80" s="10" t="str">
        <f aca="false">IF($B80="","",IF(ISNUMBER($B80),TEXT($B80,"yyyy-mm"),"日期非法"))</f>
        <v/>
      </c>
      <c r="Q80" s="10" t="str">
        <f aca="false">IF($B80="","",IF(ISNUMBER($B80),YEAR($B80),"日期非法"))</f>
        <v/>
      </c>
    </row>
    <row r="81" customFormat="false" ht="15.75" hidden="false" customHeight="true" outlineLevel="0" collapsed="false">
      <c r="A81" s="10" t="str">
        <f aca="false">IF($B81="","",ROW()-4)</f>
        <v/>
      </c>
      <c r="B81" s="11"/>
      <c r="C81" s="12"/>
      <c r="D81" s="12"/>
      <c r="E81" s="12"/>
      <c r="F81" s="12"/>
      <c r="G81" s="12"/>
      <c r="H81" s="13"/>
      <c r="I81" s="4"/>
      <c r="J81" s="4"/>
      <c r="K81" s="14" t="str">
        <f aca="false">IF($B81="","",IF($C81="泓普",$C$2,IF($C81="仟茂",$E$2,IF($C81="现金",$G$2,0)))+SUMIFS($I$5:$I81,$C$5:$C81,$C81)-SUMIFS($J$5:$J81,$C$5:$C81,$C81))</f>
        <v/>
      </c>
      <c r="L81" s="14" t="str">
        <f aca="false">IF($B81="","",$C$2+$E$2+$G$2+SUM($I$5:$I81)-SUM($J$5:$J81))</f>
        <v/>
      </c>
      <c r="M81" s="12"/>
      <c r="N81" s="15" t="str">
        <f aca="false">IF($B81="","",IF(NOT(ISNUMBER($B81)),"日期格式不对",IF($C81="","未选资金账户",IF(AND(N($I81)=0,N($J81)=0),"收支都为空",IF(AND(N($I81)&gt;0,N($J81)&gt;0),"收支不能同时填",IF(AND($D81&lt;&gt;"",LEFT($O81,1)="⚠"),"项目编号不存在",IF(AND($M81="是",$F81=""),"工程回款必须填往来单位","√")))))))</f>
        <v/>
      </c>
      <c r="O81" s="16" t="str">
        <f aca="false">IF($D81="","",IFERROR(INDEX(对照清单!$B$5:$B$60,MATCH($D81,对照清单!$A$5:$A$60,0)),"⚠编号不存在"))</f>
        <v/>
      </c>
      <c r="P81" s="10" t="str">
        <f aca="false">IF($B81="","",IF(ISNUMBER($B81),TEXT($B81,"yyyy-mm"),"日期非法"))</f>
        <v/>
      </c>
      <c r="Q81" s="10" t="str">
        <f aca="false">IF($B81="","",IF(ISNUMBER($B81),YEAR($B81),"日期非法"))</f>
        <v/>
      </c>
    </row>
    <row r="82" customFormat="false" ht="15.75" hidden="false" customHeight="true" outlineLevel="0" collapsed="false">
      <c r="A82" s="10" t="str">
        <f aca="false">IF($B82="","",ROW()-4)</f>
        <v/>
      </c>
      <c r="B82" s="11"/>
      <c r="C82" s="12"/>
      <c r="D82" s="12"/>
      <c r="E82" s="12"/>
      <c r="F82" s="12"/>
      <c r="G82" s="12"/>
      <c r="H82" s="13"/>
      <c r="I82" s="4"/>
      <c r="J82" s="4"/>
      <c r="K82" s="14" t="str">
        <f aca="false">IF($B82="","",IF($C82="泓普",$C$2,IF($C82="仟茂",$E$2,IF($C82="现金",$G$2,0)))+SUMIFS($I$5:$I82,$C$5:$C82,$C82)-SUMIFS($J$5:$J82,$C$5:$C82,$C82))</f>
        <v/>
      </c>
      <c r="L82" s="14" t="str">
        <f aca="false">IF($B82="","",$C$2+$E$2+$G$2+SUM($I$5:$I82)-SUM($J$5:$J82))</f>
        <v/>
      </c>
      <c r="M82" s="12"/>
      <c r="N82" s="15" t="str">
        <f aca="false">IF($B82="","",IF(NOT(ISNUMBER($B82)),"日期格式不对",IF($C82="","未选资金账户",IF(AND(N($I82)=0,N($J82)=0),"收支都为空",IF(AND(N($I82)&gt;0,N($J82)&gt;0),"收支不能同时填",IF(AND($D82&lt;&gt;"",LEFT($O82,1)="⚠"),"项目编号不存在",IF(AND($M82="是",$F82=""),"工程回款必须填往来单位","√")))))))</f>
        <v/>
      </c>
      <c r="O82" s="16" t="str">
        <f aca="false">IF($D82="","",IFERROR(INDEX(对照清单!$B$5:$B$60,MATCH($D82,对照清单!$A$5:$A$60,0)),"⚠编号不存在"))</f>
        <v/>
      </c>
      <c r="P82" s="10" t="str">
        <f aca="false">IF($B82="","",IF(ISNUMBER($B82),TEXT($B82,"yyyy-mm"),"日期非法"))</f>
        <v/>
      </c>
      <c r="Q82" s="10" t="str">
        <f aca="false">IF($B82="","",IF(ISNUMBER($B82),YEAR($B82),"日期非法"))</f>
        <v/>
      </c>
    </row>
    <row r="83" customFormat="false" ht="15.75" hidden="false" customHeight="true" outlineLevel="0" collapsed="false">
      <c r="A83" s="10" t="str">
        <f aca="false">IF($B83="","",ROW()-4)</f>
        <v/>
      </c>
      <c r="B83" s="11"/>
      <c r="C83" s="12"/>
      <c r="D83" s="12"/>
      <c r="E83" s="12"/>
      <c r="F83" s="12"/>
      <c r="G83" s="12"/>
      <c r="H83" s="13"/>
      <c r="I83" s="4"/>
      <c r="J83" s="4"/>
      <c r="K83" s="14" t="str">
        <f aca="false">IF($B83="","",IF($C83="泓普",$C$2,IF($C83="仟茂",$E$2,IF($C83="现金",$G$2,0)))+SUMIFS($I$5:$I83,$C$5:$C83,$C83)-SUMIFS($J$5:$J83,$C$5:$C83,$C83))</f>
        <v/>
      </c>
      <c r="L83" s="14" t="str">
        <f aca="false">IF($B83="","",$C$2+$E$2+$G$2+SUM($I$5:$I83)-SUM($J$5:$J83))</f>
        <v/>
      </c>
      <c r="M83" s="12"/>
      <c r="N83" s="15" t="str">
        <f aca="false">IF($B83="","",IF(NOT(ISNUMBER($B83)),"日期格式不对",IF($C83="","未选资金账户",IF(AND(N($I83)=0,N($J83)=0),"收支都为空",IF(AND(N($I83)&gt;0,N($J83)&gt;0),"收支不能同时填",IF(AND($D83&lt;&gt;"",LEFT($O83,1)="⚠"),"项目编号不存在",IF(AND($M83="是",$F83=""),"工程回款必须填往来单位","√")))))))</f>
        <v/>
      </c>
      <c r="O83" s="16" t="str">
        <f aca="false">IF($D83="","",IFERROR(INDEX(对照清单!$B$5:$B$60,MATCH($D83,对照清单!$A$5:$A$60,0)),"⚠编号不存在"))</f>
        <v/>
      </c>
      <c r="P83" s="10" t="str">
        <f aca="false">IF($B83="","",IF(ISNUMBER($B83),TEXT($B83,"yyyy-mm"),"日期非法"))</f>
        <v/>
      </c>
      <c r="Q83" s="10" t="str">
        <f aca="false">IF($B83="","",IF(ISNUMBER($B83),YEAR($B83),"日期非法"))</f>
        <v/>
      </c>
    </row>
    <row r="84" customFormat="false" ht="15.75" hidden="false" customHeight="true" outlineLevel="0" collapsed="false">
      <c r="A84" s="10" t="str">
        <f aca="false">IF($B84="","",ROW()-4)</f>
        <v/>
      </c>
      <c r="B84" s="11"/>
      <c r="C84" s="12"/>
      <c r="D84" s="12"/>
      <c r="E84" s="12"/>
      <c r="F84" s="12"/>
      <c r="G84" s="12"/>
      <c r="H84" s="13"/>
      <c r="I84" s="4"/>
      <c r="J84" s="4"/>
      <c r="K84" s="14" t="str">
        <f aca="false">IF($B84="","",IF($C84="泓普",$C$2,IF($C84="仟茂",$E$2,IF($C84="现金",$G$2,0)))+SUMIFS($I$5:$I84,$C$5:$C84,$C84)-SUMIFS($J$5:$J84,$C$5:$C84,$C84))</f>
        <v/>
      </c>
      <c r="L84" s="14" t="str">
        <f aca="false">IF($B84="","",$C$2+$E$2+$G$2+SUM($I$5:$I84)-SUM($J$5:$J84))</f>
        <v/>
      </c>
      <c r="M84" s="12"/>
      <c r="N84" s="15" t="str">
        <f aca="false">IF($B84="","",IF(NOT(ISNUMBER($B84)),"日期格式不对",IF($C84="","未选资金账户",IF(AND(N($I84)=0,N($J84)=0),"收支都为空",IF(AND(N($I84)&gt;0,N($J84)&gt;0),"收支不能同时填",IF(AND($D84&lt;&gt;"",LEFT($O84,1)="⚠"),"项目编号不存在",IF(AND($M84="是",$F84=""),"工程回款必须填往来单位","√")))))))</f>
        <v/>
      </c>
      <c r="O84" s="16" t="str">
        <f aca="false">IF($D84="","",IFERROR(INDEX(对照清单!$B$5:$B$60,MATCH($D84,对照清单!$A$5:$A$60,0)),"⚠编号不存在"))</f>
        <v/>
      </c>
      <c r="P84" s="10" t="str">
        <f aca="false">IF($B84="","",IF(ISNUMBER($B84),TEXT($B84,"yyyy-mm"),"日期非法"))</f>
        <v/>
      </c>
      <c r="Q84" s="10" t="str">
        <f aca="false">IF($B84="","",IF(ISNUMBER($B84),YEAR($B84),"日期非法"))</f>
        <v/>
      </c>
    </row>
    <row r="85" customFormat="false" ht="15.75" hidden="false" customHeight="true" outlineLevel="0" collapsed="false">
      <c r="A85" s="10" t="str">
        <f aca="false">IF($B85="","",ROW()-4)</f>
        <v/>
      </c>
      <c r="B85" s="11"/>
      <c r="C85" s="12"/>
      <c r="D85" s="12"/>
      <c r="E85" s="12"/>
      <c r="F85" s="12"/>
      <c r="G85" s="12"/>
      <c r="H85" s="13"/>
      <c r="I85" s="4"/>
      <c r="J85" s="4"/>
      <c r="K85" s="14" t="str">
        <f aca="false">IF($B85="","",IF($C85="泓普",$C$2,IF($C85="仟茂",$E$2,IF($C85="现金",$G$2,0)))+SUMIFS($I$5:$I85,$C$5:$C85,$C85)-SUMIFS($J$5:$J85,$C$5:$C85,$C85))</f>
        <v/>
      </c>
      <c r="L85" s="14" t="str">
        <f aca="false">IF($B85="","",$C$2+$E$2+$G$2+SUM($I$5:$I85)-SUM($J$5:$J85))</f>
        <v/>
      </c>
      <c r="M85" s="12"/>
      <c r="N85" s="15" t="str">
        <f aca="false">IF($B85="","",IF(NOT(ISNUMBER($B85)),"日期格式不对",IF($C85="","未选资金账户",IF(AND(N($I85)=0,N($J85)=0),"收支都为空",IF(AND(N($I85)&gt;0,N($J85)&gt;0),"收支不能同时填",IF(AND($D85&lt;&gt;"",LEFT($O85,1)="⚠"),"项目编号不存在",IF(AND($M85="是",$F85=""),"工程回款必须填往来单位","√")))))))</f>
        <v/>
      </c>
      <c r="O85" s="16" t="str">
        <f aca="false">IF($D85="","",IFERROR(INDEX(对照清单!$B$5:$B$60,MATCH($D85,对照清单!$A$5:$A$60,0)),"⚠编号不存在"))</f>
        <v/>
      </c>
      <c r="P85" s="10" t="str">
        <f aca="false">IF($B85="","",IF(ISNUMBER($B85),TEXT($B85,"yyyy-mm"),"日期非法"))</f>
        <v/>
      </c>
      <c r="Q85" s="10" t="str">
        <f aca="false">IF($B85="","",IF(ISNUMBER($B85),YEAR($B85),"日期非法"))</f>
        <v/>
      </c>
    </row>
    <row r="86" customFormat="false" ht="15.75" hidden="false" customHeight="true" outlineLevel="0" collapsed="false">
      <c r="A86" s="10" t="str">
        <f aca="false">IF($B86="","",ROW()-4)</f>
        <v/>
      </c>
      <c r="B86" s="11"/>
      <c r="C86" s="12"/>
      <c r="D86" s="12"/>
      <c r="E86" s="12"/>
      <c r="F86" s="12"/>
      <c r="G86" s="12"/>
      <c r="H86" s="13"/>
      <c r="I86" s="4"/>
      <c r="J86" s="4"/>
      <c r="K86" s="14" t="str">
        <f aca="false">IF($B86="","",IF($C86="泓普",$C$2,IF($C86="仟茂",$E$2,IF($C86="现金",$G$2,0)))+SUMIFS($I$5:$I86,$C$5:$C86,$C86)-SUMIFS($J$5:$J86,$C$5:$C86,$C86))</f>
        <v/>
      </c>
      <c r="L86" s="14" t="str">
        <f aca="false">IF($B86="","",$C$2+$E$2+$G$2+SUM($I$5:$I86)-SUM($J$5:$J86))</f>
        <v/>
      </c>
      <c r="M86" s="12"/>
      <c r="N86" s="15" t="str">
        <f aca="false">IF($B86="","",IF(NOT(ISNUMBER($B86)),"日期格式不对",IF($C86="","未选资金账户",IF(AND(N($I86)=0,N($J86)=0),"收支都为空",IF(AND(N($I86)&gt;0,N($J86)&gt;0),"收支不能同时填",IF(AND($D86&lt;&gt;"",LEFT($O86,1)="⚠"),"项目编号不存在",IF(AND($M86="是",$F86=""),"工程回款必须填往来单位","√")))))))</f>
        <v/>
      </c>
      <c r="O86" s="16" t="str">
        <f aca="false">IF($D86="","",IFERROR(INDEX(对照清单!$B$5:$B$60,MATCH($D86,对照清单!$A$5:$A$60,0)),"⚠编号不存在"))</f>
        <v/>
      </c>
      <c r="P86" s="10" t="str">
        <f aca="false">IF($B86="","",IF(ISNUMBER($B86),TEXT($B86,"yyyy-mm"),"日期非法"))</f>
        <v/>
      </c>
      <c r="Q86" s="10" t="str">
        <f aca="false">IF($B86="","",IF(ISNUMBER($B86),YEAR($B86),"日期非法"))</f>
        <v/>
      </c>
    </row>
    <row r="87" customFormat="false" ht="15.75" hidden="false" customHeight="true" outlineLevel="0" collapsed="false">
      <c r="A87" s="10" t="str">
        <f aca="false">IF($B87="","",ROW()-4)</f>
        <v/>
      </c>
      <c r="B87" s="11"/>
      <c r="C87" s="12"/>
      <c r="D87" s="12"/>
      <c r="E87" s="12"/>
      <c r="F87" s="12"/>
      <c r="G87" s="12"/>
      <c r="H87" s="13"/>
      <c r="I87" s="4"/>
      <c r="J87" s="4"/>
      <c r="K87" s="14" t="str">
        <f aca="false">IF($B87="","",IF($C87="泓普",$C$2,IF($C87="仟茂",$E$2,IF($C87="现金",$G$2,0)))+SUMIFS($I$5:$I87,$C$5:$C87,$C87)-SUMIFS($J$5:$J87,$C$5:$C87,$C87))</f>
        <v/>
      </c>
      <c r="L87" s="14" t="str">
        <f aca="false">IF($B87="","",$C$2+$E$2+$G$2+SUM($I$5:$I87)-SUM($J$5:$J87))</f>
        <v/>
      </c>
      <c r="M87" s="12"/>
      <c r="N87" s="15" t="str">
        <f aca="false">IF($B87="","",IF(NOT(ISNUMBER($B87)),"日期格式不对",IF($C87="","未选资金账户",IF(AND(N($I87)=0,N($J87)=0),"收支都为空",IF(AND(N($I87)&gt;0,N($J87)&gt;0),"收支不能同时填",IF(AND($D87&lt;&gt;"",LEFT($O87,1)="⚠"),"项目编号不存在",IF(AND($M87="是",$F87=""),"工程回款必须填往来单位","√")))))))</f>
        <v/>
      </c>
      <c r="O87" s="16" t="str">
        <f aca="false">IF($D87="","",IFERROR(INDEX(对照清单!$B$5:$B$60,MATCH($D87,对照清单!$A$5:$A$60,0)),"⚠编号不存在"))</f>
        <v/>
      </c>
      <c r="P87" s="10" t="str">
        <f aca="false">IF($B87="","",IF(ISNUMBER($B87),TEXT($B87,"yyyy-mm"),"日期非法"))</f>
        <v/>
      </c>
      <c r="Q87" s="10" t="str">
        <f aca="false">IF($B87="","",IF(ISNUMBER($B87),YEAR($B87),"日期非法"))</f>
        <v/>
      </c>
    </row>
    <row r="88" customFormat="false" ht="15.75" hidden="false" customHeight="true" outlineLevel="0" collapsed="false">
      <c r="A88" s="10" t="str">
        <f aca="false">IF($B88="","",ROW()-4)</f>
        <v/>
      </c>
      <c r="B88" s="11"/>
      <c r="C88" s="12"/>
      <c r="D88" s="12"/>
      <c r="E88" s="12"/>
      <c r="F88" s="12"/>
      <c r="G88" s="12"/>
      <c r="H88" s="13"/>
      <c r="I88" s="4"/>
      <c r="J88" s="4"/>
      <c r="K88" s="14" t="str">
        <f aca="false">IF($B88="","",IF($C88="泓普",$C$2,IF($C88="仟茂",$E$2,IF($C88="现金",$G$2,0)))+SUMIFS($I$5:$I88,$C$5:$C88,$C88)-SUMIFS($J$5:$J88,$C$5:$C88,$C88))</f>
        <v/>
      </c>
      <c r="L88" s="14" t="str">
        <f aca="false">IF($B88="","",$C$2+$E$2+$G$2+SUM($I$5:$I88)-SUM($J$5:$J88))</f>
        <v/>
      </c>
      <c r="M88" s="12"/>
      <c r="N88" s="15" t="str">
        <f aca="false">IF($B88="","",IF(NOT(ISNUMBER($B88)),"日期格式不对",IF($C88="","未选资金账户",IF(AND(N($I88)=0,N($J88)=0),"收支都为空",IF(AND(N($I88)&gt;0,N($J88)&gt;0),"收支不能同时填",IF(AND($D88&lt;&gt;"",LEFT($O88,1)="⚠"),"项目编号不存在",IF(AND($M88="是",$F88=""),"工程回款必须填往来单位","√")))))))</f>
        <v/>
      </c>
      <c r="O88" s="16" t="str">
        <f aca="false">IF($D88="","",IFERROR(INDEX(对照清单!$B$5:$B$60,MATCH($D88,对照清单!$A$5:$A$60,0)),"⚠编号不存在"))</f>
        <v/>
      </c>
      <c r="P88" s="10" t="str">
        <f aca="false">IF($B88="","",IF(ISNUMBER($B88),TEXT($B88,"yyyy-mm"),"日期非法"))</f>
        <v/>
      </c>
      <c r="Q88" s="10" t="str">
        <f aca="false">IF($B88="","",IF(ISNUMBER($B88),YEAR($B88),"日期非法"))</f>
        <v/>
      </c>
    </row>
    <row r="89" customFormat="false" ht="15.75" hidden="false" customHeight="true" outlineLevel="0" collapsed="false">
      <c r="A89" s="10" t="str">
        <f aca="false">IF($B89="","",ROW()-4)</f>
        <v/>
      </c>
      <c r="B89" s="11"/>
      <c r="C89" s="12"/>
      <c r="D89" s="12"/>
      <c r="E89" s="12"/>
      <c r="F89" s="12"/>
      <c r="G89" s="12"/>
      <c r="H89" s="13"/>
      <c r="I89" s="4"/>
      <c r="J89" s="4"/>
      <c r="K89" s="14" t="str">
        <f aca="false">IF($B89="","",IF($C89="泓普",$C$2,IF($C89="仟茂",$E$2,IF($C89="现金",$G$2,0)))+SUMIFS($I$5:$I89,$C$5:$C89,$C89)-SUMIFS($J$5:$J89,$C$5:$C89,$C89))</f>
        <v/>
      </c>
      <c r="L89" s="14" t="str">
        <f aca="false">IF($B89="","",$C$2+$E$2+$G$2+SUM($I$5:$I89)-SUM($J$5:$J89))</f>
        <v/>
      </c>
      <c r="M89" s="12"/>
      <c r="N89" s="15" t="str">
        <f aca="false">IF($B89="","",IF(NOT(ISNUMBER($B89)),"日期格式不对",IF($C89="","未选资金账户",IF(AND(N($I89)=0,N($J89)=0),"收支都为空",IF(AND(N($I89)&gt;0,N($J89)&gt;0),"收支不能同时填",IF(AND($D89&lt;&gt;"",LEFT($O89,1)="⚠"),"项目编号不存在",IF(AND($M89="是",$F89=""),"工程回款必须填往来单位","√")))))))</f>
        <v/>
      </c>
      <c r="O89" s="16" t="str">
        <f aca="false">IF($D89="","",IFERROR(INDEX(对照清单!$B$5:$B$60,MATCH($D89,对照清单!$A$5:$A$60,0)),"⚠编号不存在"))</f>
        <v/>
      </c>
      <c r="P89" s="10" t="str">
        <f aca="false">IF($B89="","",IF(ISNUMBER($B89),TEXT($B89,"yyyy-mm"),"日期非法"))</f>
        <v/>
      </c>
      <c r="Q89" s="10" t="str">
        <f aca="false">IF($B89="","",IF(ISNUMBER($B89),YEAR($B89),"日期非法"))</f>
        <v/>
      </c>
    </row>
    <row r="90" customFormat="false" ht="15.75" hidden="false" customHeight="true" outlineLevel="0" collapsed="false">
      <c r="A90" s="10" t="str">
        <f aca="false">IF($B90="","",ROW()-4)</f>
        <v/>
      </c>
      <c r="B90" s="11"/>
      <c r="C90" s="12"/>
      <c r="D90" s="12"/>
      <c r="E90" s="12"/>
      <c r="F90" s="12"/>
      <c r="G90" s="12"/>
      <c r="H90" s="13"/>
      <c r="I90" s="4"/>
      <c r="J90" s="4"/>
      <c r="K90" s="14" t="str">
        <f aca="false">IF($B90="","",IF($C90="泓普",$C$2,IF($C90="仟茂",$E$2,IF($C90="现金",$G$2,0)))+SUMIFS($I$5:$I90,$C$5:$C90,$C90)-SUMIFS($J$5:$J90,$C$5:$C90,$C90))</f>
        <v/>
      </c>
      <c r="L90" s="14" t="str">
        <f aca="false">IF($B90="","",$C$2+$E$2+$G$2+SUM($I$5:$I90)-SUM($J$5:$J90))</f>
        <v/>
      </c>
      <c r="M90" s="12"/>
      <c r="N90" s="15" t="str">
        <f aca="false">IF($B90="","",IF(NOT(ISNUMBER($B90)),"日期格式不对",IF($C90="","未选资金账户",IF(AND(N($I90)=0,N($J90)=0),"收支都为空",IF(AND(N($I90)&gt;0,N($J90)&gt;0),"收支不能同时填",IF(AND($D90&lt;&gt;"",LEFT($O90,1)="⚠"),"项目编号不存在",IF(AND($M90="是",$F90=""),"工程回款必须填往来单位","√")))))))</f>
        <v/>
      </c>
      <c r="O90" s="16" t="str">
        <f aca="false">IF($D90="","",IFERROR(INDEX(对照清单!$B$5:$B$60,MATCH($D90,对照清单!$A$5:$A$60,0)),"⚠编号不存在"))</f>
        <v/>
      </c>
      <c r="P90" s="10" t="str">
        <f aca="false">IF($B90="","",IF(ISNUMBER($B90),TEXT($B90,"yyyy-mm"),"日期非法"))</f>
        <v/>
      </c>
      <c r="Q90" s="10" t="str">
        <f aca="false">IF($B90="","",IF(ISNUMBER($B90),YEAR($B90),"日期非法"))</f>
        <v/>
      </c>
    </row>
    <row r="91" customFormat="false" ht="15.75" hidden="false" customHeight="true" outlineLevel="0" collapsed="false">
      <c r="A91" s="10" t="str">
        <f aca="false">IF($B91="","",ROW()-4)</f>
        <v/>
      </c>
      <c r="B91" s="11"/>
      <c r="C91" s="12"/>
      <c r="D91" s="12"/>
      <c r="E91" s="12"/>
      <c r="F91" s="12"/>
      <c r="G91" s="12"/>
      <c r="H91" s="13"/>
      <c r="I91" s="4"/>
      <c r="J91" s="4"/>
      <c r="K91" s="14" t="str">
        <f aca="false">IF($B91="","",IF($C91="泓普",$C$2,IF($C91="仟茂",$E$2,IF($C91="现金",$G$2,0)))+SUMIFS($I$5:$I91,$C$5:$C91,$C91)-SUMIFS($J$5:$J91,$C$5:$C91,$C91))</f>
        <v/>
      </c>
      <c r="L91" s="14" t="str">
        <f aca="false">IF($B91="","",$C$2+$E$2+$G$2+SUM($I$5:$I91)-SUM($J$5:$J91))</f>
        <v/>
      </c>
      <c r="M91" s="12"/>
      <c r="N91" s="15" t="str">
        <f aca="false">IF($B91="","",IF(NOT(ISNUMBER($B91)),"日期格式不对",IF($C91="","未选资金账户",IF(AND(N($I91)=0,N($J91)=0),"收支都为空",IF(AND(N($I91)&gt;0,N($J91)&gt;0),"收支不能同时填",IF(AND($D91&lt;&gt;"",LEFT($O91,1)="⚠"),"项目编号不存在",IF(AND($M91="是",$F91=""),"工程回款必须填往来单位","√")))))))</f>
        <v/>
      </c>
      <c r="O91" s="16" t="str">
        <f aca="false">IF($D91="","",IFERROR(INDEX(对照清单!$B$5:$B$60,MATCH($D91,对照清单!$A$5:$A$60,0)),"⚠编号不存在"))</f>
        <v/>
      </c>
      <c r="P91" s="10" t="str">
        <f aca="false">IF($B91="","",IF(ISNUMBER($B91),TEXT($B91,"yyyy-mm"),"日期非法"))</f>
        <v/>
      </c>
      <c r="Q91" s="10" t="str">
        <f aca="false">IF($B91="","",IF(ISNUMBER($B91),YEAR($B91),"日期非法"))</f>
        <v/>
      </c>
    </row>
    <row r="92" customFormat="false" ht="15.75" hidden="false" customHeight="true" outlineLevel="0" collapsed="false">
      <c r="A92" s="10" t="str">
        <f aca="false">IF($B92="","",ROW()-4)</f>
        <v/>
      </c>
      <c r="B92" s="11"/>
      <c r="C92" s="12"/>
      <c r="D92" s="12"/>
      <c r="E92" s="12"/>
      <c r="F92" s="12"/>
      <c r="G92" s="12"/>
      <c r="H92" s="13"/>
      <c r="I92" s="4"/>
      <c r="J92" s="4"/>
      <c r="K92" s="14" t="str">
        <f aca="false">IF($B92="","",IF($C92="泓普",$C$2,IF($C92="仟茂",$E$2,IF($C92="现金",$G$2,0)))+SUMIFS($I$5:$I92,$C$5:$C92,$C92)-SUMIFS($J$5:$J92,$C$5:$C92,$C92))</f>
        <v/>
      </c>
      <c r="L92" s="14" t="str">
        <f aca="false">IF($B92="","",$C$2+$E$2+$G$2+SUM($I$5:$I92)-SUM($J$5:$J92))</f>
        <v/>
      </c>
      <c r="M92" s="12"/>
      <c r="N92" s="15" t="str">
        <f aca="false">IF($B92="","",IF(NOT(ISNUMBER($B92)),"日期格式不对",IF($C92="","未选资金账户",IF(AND(N($I92)=0,N($J92)=0),"收支都为空",IF(AND(N($I92)&gt;0,N($J92)&gt;0),"收支不能同时填",IF(AND($D92&lt;&gt;"",LEFT($O92,1)="⚠"),"项目编号不存在",IF(AND($M92="是",$F92=""),"工程回款必须填往来单位","√")))))))</f>
        <v/>
      </c>
      <c r="O92" s="16" t="str">
        <f aca="false">IF($D92="","",IFERROR(INDEX(对照清单!$B$5:$B$60,MATCH($D92,对照清单!$A$5:$A$60,0)),"⚠编号不存在"))</f>
        <v/>
      </c>
      <c r="P92" s="10" t="str">
        <f aca="false">IF($B92="","",IF(ISNUMBER($B92),TEXT($B92,"yyyy-mm"),"日期非法"))</f>
        <v/>
      </c>
      <c r="Q92" s="10" t="str">
        <f aca="false">IF($B92="","",IF(ISNUMBER($B92),YEAR($B92),"日期非法"))</f>
        <v/>
      </c>
    </row>
    <row r="93" customFormat="false" ht="15.75" hidden="false" customHeight="true" outlineLevel="0" collapsed="false">
      <c r="A93" s="10" t="str">
        <f aca="false">IF($B93="","",ROW()-4)</f>
        <v/>
      </c>
      <c r="B93" s="11"/>
      <c r="C93" s="12"/>
      <c r="D93" s="12"/>
      <c r="E93" s="12"/>
      <c r="F93" s="12"/>
      <c r="G93" s="12"/>
      <c r="H93" s="13"/>
      <c r="I93" s="4"/>
      <c r="J93" s="4"/>
      <c r="K93" s="14" t="str">
        <f aca="false">IF($B93="","",IF($C93="泓普",$C$2,IF($C93="仟茂",$E$2,IF($C93="现金",$G$2,0)))+SUMIFS($I$5:$I93,$C$5:$C93,$C93)-SUMIFS($J$5:$J93,$C$5:$C93,$C93))</f>
        <v/>
      </c>
      <c r="L93" s="14" t="str">
        <f aca="false">IF($B93="","",$C$2+$E$2+$G$2+SUM($I$5:$I93)-SUM($J$5:$J93))</f>
        <v/>
      </c>
      <c r="M93" s="12"/>
      <c r="N93" s="15" t="str">
        <f aca="false">IF($B93="","",IF(NOT(ISNUMBER($B93)),"日期格式不对",IF($C93="","未选资金账户",IF(AND(N($I93)=0,N($J93)=0),"收支都为空",IF(AND(N($I93)&gt;0,N($J93)&gt;0),"收支不能同时填",IF(AND($D93&lt;&gt;"",LEFT($O93,1)="⚠"),"项目编号不存在",IF(AND($M93="是",$F93=""),"工程回款必须填往来单位","√")))))))</f>
        <v/>
      </c>
      <c r="O93" s="16" t="str">
        <f aca="false">IF($D93="","",IFERROR(INDEX(对照清单!$B$5:$B$60,MATCH($D93,对照清单!$A$5:$A$60,0)),"⚠编号不存在"))</f>
        <v/>
      </c>
      <c r="P93" s="10" t="str">
        <f aca="false">IF($B93="","",IF(ISNUMBER($B93),TEXT($B93,"yyyy-mm"),"日期非法"))</f>
        <v/>
      </c>
      <c r="Q93" s="10" t="str">
        <f aca="false">IF($B93="","",IF(ISNUMBER($B93),YEAR($B93),"日期非法"))</f>
        <v/>
      </c>
    </row>
    <row r="94" customFormat="false" ht="15.75" hidden="false" customHeight="true" outlineLevel="0" collapsed="false">
      <c r="A94" s="10" t="str">
        <f aca="false">IF($B94="","",ROW()-4)</f>
        <v/>
      </c>
      <c r="B94" s="11"/>
      <c r="C94" s="12"/>
      <c r="D94" s="12"/>
      <c r="E94" s="12"/>
      <c r="F94" s="12"/>
      <c r="G94" s="12"/>
      <c r="H94" s="13"/>
      <c r="I94" s="4"/>
      <c r="J94" s="4"/>
      <c r="K94" s="14" t="str">
        <f aca="false">IF($B94="","",IF($C94="泓普",$C$2,IF($C94="仟茂",$E$2,IF($C94="现金",$G$2,0)))+SUMIFS($I$5:$I94,$C$5:$C94,$C94)-SUMIFS($J$5:$J94,$C$5:$C94,$C94))</f>
        <v/>
      </c>
      <c r="L94" s="14" t="str">
        <f aca="false">IF($B94="","",$C$2+$E$2+$G$2+SUM($I$5:$I94)-SUM($J$5:$J94))</f>
        <v/>
      </c>
      <c r="M94" s="12"/>
      <c r="N94" s="15" t="str">
        <f aca="false">IF($B94="","",IF(NOT(ISNUMBER($B94)),"日期格式不对",IF($C94="","未选资金账户",IF(AND(N($I94)=0,N($J94)=0),"收支都为空",IF(AND(N($I94)&gt;0,N($J94)&gt;0),"收支不能同时填",IF(AND($D94&lt;&gt;"",LEFT($O94,1)="⚠"),"项目编号不存在",IF(AND($M94="是",$F94=""),"工程回款必须填往来单位","√")))))))</f>
        <v/>
      </c>
      <c r="O94" s="16" t="str">
        <f aca="false">IF($D94="","",IFERROR(INDEX(对照清单!$B$5:$B$60,MATCH($D94,对照清单!$A$5:$A$60,0)),"⚠编号不存在"))</f>
        <v/>
      </c>
      <c r="P94" s="10" t="str">
        <f aca="false">IF($B94="","",IF(ISNUMBER($B94),TEXT($B94,"yyyy-mm"),"日期非法"))</f>
        <v/>
      </c>
      <c r="Q94" s="10" t="str">
        <f aca="false">IF($B94="","",IF(ISNUMBER($B94),YEAR($B94),"日期非法"))</f>
        <v/>
      </c>
    </row>
    <row r="95" customFormat="false" ht="15.75" hidden="false" customHeight="true" outlineLevel="0" collapsed="false">
      <c r="A95" s="10" t="str">
        <f aca="false">IF($B95="","",ROW()-4)</f>
        <v/>
      </c>
      <c r="B95" s="11"/>
      <c r="C95" s="12"/>
      <c r="D95" s="12"/>
      <c r="E95" s="12"/>
      <c r="F95" s="12"/>
      <c r="G95" s="12"/>
      <c r="H95" s="13"/>
      <c r="I95" s="4"/>
      <c r="J95" s="4"/>
      <c r="K95" s="14" t="str">
        <f aca="false">IF($B95="","",IF($C95="泓普",$C$2,IF($C95="仟茂",$E$2,IF($C95="现金",$G$2,0)))+SUMIFS($I$5:$I95,$C$5:$C95,$C95)-SUMIFS($J$5:$J95,$C$5:$C95,$C95))</f>
        <v/>
      </c>
      <c r="L95" s="14" t="str">
        <f aca="false">IF($B95="","",$C$2+$E$2+$G$2+SUM($I$5:$I95)-SUM($J$5:$J95))</f>
        <v/>
      </c>
      <c r="M95" s="12"/>
      <c r="N95" s="15" t="str">
        <f aca="false">IF($B95="","",IF(NOT(ISNUMBER($B95)),"日期格式不对",IF($C95="","未选资金账户",IF(AND(N($I95)=0,N($J95)=0),"收支都为空",IF(AND(N($I95)&gt;0,N($J95)&gt;0),"收支不能同时填",IF(AND($D95&lt;&gt;"",LEFT($O95,1)="⚠"),"项目编号不存在",IF(AND($M95="是",$F95=""),"工程回款必须填往来单位","√")))))))</f>
        <v/>
      </c>
      <c r="O95" s="16" t="str">
        <f aca="false">IF($D95="","",IFERROR(INDEX(对照清单!$B$5:$B$60,MATCH($D95,对照清单!$A$5:$A$60,0)),"⚠编号不存在"))</f>
        <v/>
      </c>
      <c r="P95" s="10" t="str">
        <f aca="false">IF($B95="","",IF(ISNUMBER($B95),TEXT($B95,"yyyy-mm"),"日期非法"))</f>
        <v/>
      </c>
      <c r="Q95" s="10" t="str">
        <f aca="false">IF($B95="","",IF(ISNUMBER($B95),YEAR($B95),"日期非法"))</f>
        <v/>
      </c>
    </row>
    <row r="96" customFormat="false" ht="15.75" hidden="false" customHeight="true" outlineLevel="0" collapsed="false">
      <c r="A96" s="10" t="str">
        <f aca="false">IF($B96="","",ROW()-4)</f>
        <v/>
      </c>
      <c r="B96" s="11"/>
      <c r="C96" s="12"/>
      <c r="D96" s="12"/>
      <c r="E96" s="12"/>
      <c r="F96" s="12"/>
      <c r="G96" s="12"/>
      <c r="H96" s="13"/>
      <c r="I96" s="4"/>
      <c r="J96" s="4"/>
      <c r="K96" s="14" t="str">
        <f aca="false">IF($B96="","",IF($C96="泓普",$C$2,IF($C96="仟茂",$E$2,IF($C96="现金",$G$2,0)))+SUMIFS($I$5:$I96,$C$5:$C96,$C96)-SUMIFS($J$5:$J96,$C$5:$C96,$C96))</f>
        <v/>
      </c>
      <c r="L96" s="14" t="str">
        <f aca="false">IF($B96="","",$C$2+$E$2+$G$2+SUM($I$5:$I96)-SUM($J$5:$J96))</f>
        <v/>
      </c>
      <c r="M96" s="12"/>
      <c r="N96" s="15" t="str">
        <f aca="false">IF($B96="","",IF(NOT(ISNUMBER($B96)),"日期格式不对",IF($C96="","未选资金账户",IF(AND(N($I96)=0,N($J96)=0),"收支都为空",IF(AND(N($I96)&gt;0,N($J96)&gt;0),"收支不能同时填",IF(AND($D96&lt;&gt;"",LEFT($O96,1)="⚠"),"项目编号不存在",IF(AND($M96="是",$F96=""),"工程回款必须填往来单位","√")))))))</f>
        <v/>
      </c>
      <c r="O96" s="16" t="str">
        <f aca="false">IF($D96="","",IFERROR(INDEX(对照清单!$B$5:$B$60,MATCH($D96,对照清单!$A$5:$A$60,0)),"⚠编号不存在"))</f>
        <v/>
      </c>
      <c r="P96" s="10" t="str">
        <f aca="false">IF($B96="","",IF(ISNUMBER($B96),TEXT($B96,"yyyy-mm"),"日期非法"))</f>
        <v/>
      </c>
      <c r="Q96" s="10" t="str">
        <f aca="false">IF($B96="","",IF(ISNUMBER($B96),YEAR($B96),"日期非法"))</f>
        <v/>
      </c>
    </row>
    <row r="97" customFormat="false" ht="15.75" hidden="false" customHeight="true" outlineLevel="0" collapsed="false">
      <c r="A97" s="10" t="str">
        <f aca="false">IF($B97="","",ROW()-4)</f>
        <v/>
      </c>
      <c r="B97" s="11"/>
      <c r="C97" s="12"/>
      <c r="D97" s="12"/>
      <c r="E97" s="12"/>
      <c r="F97" s="12"/>
      <c r="G97" s="12"/>
      <c r="H97" s="13"/>
      <c r="I97" s="4"/>
      <c r="J97" s="4"/>
      <c r="K97" s="14" t="str">
        <f aca="false">IF($B97="","",IF($C97="泓普",$C$2,IF($C97="仟茂",$E$2,IF($C97="现金",$G$2,0)))+SUMIFS($I$5:$I97,$C$5:$C97,$C97)-SUMIFS($J$5:$J97,$C$5:$C97,$C97))</f>
        <v/>
      </c>
      <c r="L97" s="14" t="str">
        <f aca="false">IF($B97="","",$C$2+$E$2+$G$2+SUM($I$5:$I97)-SUM($J$5:$J97))</f>
        <v/>
      </c>
      <c r="M97" s="12"/>
      <c r="N97" s="15" t="str">
        <f aca="false">IF($B97="","",IF(NOT(ISNUMBER($B97)),"日期格式不对",IF($C97="","未选资金账户",IF(AND(N($I97)=0,N($J97)=0),"收支都为空",IF(AND(N($I97)&gt;0,N($J97)&gt;0),"收支不能同时填",IF(AND($D97&lt;&gt;"",LEFT($O97,1)="⚠"),"项目编号不存在",IF(AND($M97="是",$F97=""),"工程回款必须填往来单位","√")))))))</f>
        <v/>
      </c>
      <c r="O97" s="16" t="str">
        <f aca="false">IF($D97="","",IFERROR(INDEX(对照清单!$B$5:$B$60,MATCH($D97,对照清单!$A$5:$A$60,0)),"⚠编号不存在"))</f>
        <v/>
      </c>
      <c r="P97" s="10" t="str">
        <f aca="false">IF($B97="","",IF(ISNUMBER($B97),TEXT($B97,"yyyy-mm"),"日期非法"))</f>
        <v/>
      </c>
      <c r="Q97" s="10" t="str">
        <f aca="false">IF($B97="","",IF(ISNUMBER($B97),YEAR($B97),"日期非法"))</f>
        <v/>
      </c>
    </row>
    <row r="98" customFormat="false" ht="15.75" hidden="false" customHeight="true" outlineLevel="0" collapsed="false">
      <c r="A98" s="10" t="str">
        <f aca="false">IF($B98="","",ROW()-4)</f>
        <v/>
      </c>
      <c r="B98" s="11"/>
      <c r="C98" s="12"/>
      <c r="D98" s="12"/>
      <c r="E98" s="12"/>
      <c r="F98" s="12"/>
      <c r="G98" s="12"/>
      <c r="H98" s="13"/>
      <c r="I98" s="4"/>
      <c r="J98" s="4"/>
      <c r="K98" s="14" t="str">
        <f aca="false">IF($B98="","",IF($C98="泓普",$C$2,IF($C98="仟茂",$E$2,IF($C98="现金",$G$2,0)))+SUMIFS($I$5:$I98,$C$5:$C98,$C98)-SUMIFS($J$5:$J98,$C$5:$C98,$C98))</f>
        <v/>
      </c>
      <c r="L98" s="14" t="str">
        <f aca="false">IF($B98="","",$C$2+$E$2+$G$2+SUM($I$5:$I98)-SUM($J$5:$J98))</f>
        <v/>
      </c>
      <c r="M98" s="12"/>
      <c r="N98" s="15" t="str">
        <f aca="false">IF($B98="","",IF(NOT(ISNUMBER($B98)),"日期格式不对",IF($C98="","未选资金账户",IF(AND(N($I98)=0,N($J98)=0),"收支都为空",IF(AND(N($I98)&gt;0,N($J98)&gt;0),"收支不能同时填",IF(AND($D98&lt;&gt;"",LEFT($O98,1)="⚠"),"项目编号不存在",IF(AND($M98="是",$F98=""),"工程回款必须填往来单位","√")))))))</f>
        <v/>
      </c>
      <c r="O98" s="16" t="str">
        <f aca="false">IF($D98="","",IFERROR(INDEX(对照清单!$B$5:$B$60,MATCH($D98,对照清单!$A$5:$A$60,0)),"⚠编号不存在"))</f>
        <v/>
      </c>
      <c r="P98" s="10" t="str">
        <f aca="false">IF($B98="","",IF(ISNUMBER($B98),TEXT($B98,"yyyy-mm"),"日期非法"))</f>
        <v/>
      </c>
      <c r="Q98" s="10" t="str">
        <f aca="false">IF($B98="","",IF(ISNUMBER($B98),YEAR($B98),"日期非法"))</f>
        <v/>
      </c>
    </row>
    <row r="99" customFormat="false" ht="15.75" hidden="false" customHeight="true" outlineLevel="0" collapsed="false">
      <c r="A99" s="10" t="str">
        <f aca="false">IF($B99="","",ROW()-4)</f>
        <v/>
      </c>
      <c r="B99" s="11"/>
      <c r="C99" s="12"/>
      <c r="D99" s="12"/>
      <c r="E99" s="12"/>
      <c r="F99" s="12"/>
      <c r="G99" s="12"/>
      <c r="H99" s="13"/>
      <c r="I99" s="4"/>
      <c r="J99" s="4"/>
      <c r="K99" s="14" t="str">
        <f aca="false">IF($B99="","",IF($C99="泓普",$C$2,IF($C99="仟茂",$E$2,IF($C99="现金",$G$2,0)))+SUMIFS($I$5:$I99,$C$5:$C99,$C99)-SUMIFS($J$5:$J99,$C$5:$C99,$C99))</f>
        <v/>
      </c>
      <c r="L99" s="14" t="str">
        <f aca="false">IF($B99="","",$C$2+$E$2+$G$2+SUM($I$5:$I99)-SUM($J$5:$J99))</f>
        <v/>
      </c>
      <c r="M99" s="12"/>
      <c r="N99" s="15" t="str">
        <f aca="false">IF($B99="","",IF(NOT(ISNUMBER($B99)),"日期格式不对",IF($C99="","未选资金账户",IF(AND(N($I99)=0,N($J99)=0),"收支都为空",IF(AND(N($I99)&gt;0,N($J99)&gt;0),"收支不能同时填",IF(AND($D99&lt;&gt;"",LEFT($O99,1)="⚠"),"项目编号不存在",IF(AND($M99="是",$F99=""),"工程回款必须填往来单位","√")))))))</f>
        <v/>
      </c>
      <c r="O99" s="16" t="str">
        <f aca="false">IF($D99="","",IFERROR(INDEX(对照清单!$B$5:$B$60,MATCH($D99,对照清单!$A$5:$A$60,0)),"⚠编号不存在"))</f>
        <v/>
      </c>
      <c r="P99" s="10" t="str">
        <f aca="false">IF($B99="","",IF(ISNUMBER($B99),TEXT($B99,"yyyy-mm"),"日期非法"))</f>
        <v/>
      </c>
      <c r="Q99" s="10" t="str">
        <f aca="false">IF($B99="","",IF(ISNUMBER($B99),YEAR($B99),"日期非法"))</f>
        <v/>
      </c>
    </row>
    <row r="100" customFormat="false" ht="15.75" hidden="false" customHeight="true" outlineLevel="0" collapsed="false">
      <c r="A100" s="10" t="str">
        <f aca="false">IF($B100="","",ROW()-4)</f>
        <v/>
      </c>
      <c r="B100" s="11"/>
      <c r="C100" s="12"/>
      <c r="D100" s="12"/>
      <c r="E100" s="12"/>
      <c r="F100" s="12"/>
      <c r="G100" s="12"/>
      <c r="H100" s="13"/>
      <c r="I100" s="4"/>
      <c r="J100" s="4"/>
      <c r="K100" s="14" t="str">
        <f aca="false">IF($B100="","",IF($C100="泓普",$C$2,IF($C100="仟茂",$E$2,IF($C100="现金",$G$2,0)))+SUMIFS($I$5:$I100,$C$5:$C100,$C100)-SUMIFS($J$5:$J100,$C$5:$C100,$C100))</f>
        <v/>
      </c>
      <c r="L100" s="14" t="str">
        <f aca="false">IF($B100="","",$C$2+$E$2+$G$2+SUM($I$5:$I100)-SUM($J$5:$J100))</f>
        <v/>
      </c>
      <c r="M100" s="12"/>
      <c r="N100" s="15" t="str">
        <f aca="false">IF($B100="","",IF(NOT(ISNUMBER($B100)),"日期格式不对",IF($C100="","未选资金账户",IF(AND(N($I100)=0,N($J100)=0),"收支都为空",IF(AND(N($I100)&gt;0,N($J100)&gt;0),"收支不能同时填",IF(AND($D100&lt;&gt;"",LEFT($O100,1)="⚠"),"项目编号不存在",IF(AND($M100="是",$F100=""),"工程回款必须填往来单位","√")))))))</f>
        <v/>
      </c>
      <c r="O100" s="16" t="str">
        <f aca="false">IF($D100="","",IFERROR(INDEX(对照清单!$B$5:$B$60,MATCH($D100,对照清单!$A$5:$A$60,0)),"⚠编号不存在"))</f>
        <v/>
      </c>
      <c r="P100" s="10" t="str">
        <f aca="false">IF($B100="","",IF(ISNUMBER($B100),TEXT($B100,"yyyy-mm"),"日期非法"))</f>
        <v/>
      </c>
      <c r="Q100" s="10" t="str">
        <f aca="false">IF($B100="","",IF(ISNUMBER($B100),YEAR($B100),"日期非法"))</f>
        <v/>
      </c>
    </row>
    <row r="101" customFormat="false" ht="15.75" hidden="false" customHeight="true" outlineLevel="0" collapsed="false">
      <c r="A101" s="10" t="str">
        <f aca="false">IF($B101="","",ROW()-4)</f>
        <v/>
      </c>
      <c r="B101" s="11"/>
      <c r="C101" s="12"/>
      <c r="D101" s="12"/>
      <c r="E101" s="12"/>
      <c r="F101" s="12"/>
      <c r="G101" s="12"/>
      <c r="H101" s="13"/>
      <c r="I101" s="4"/>
      <c r="J101" s="4"/>
      <c r="K101" s="14" t="str">
        <f aca="false">IF($B101="","",IF($C101="泓普",$C$2,IF($C101="仟茂",$E$2,IF($C101="现金",$G$2,0)))+SUMIFS($I$5:$I101,$C$5:$C101,$C101)-SUMIFS($J$5:$J101,$C$5:$C101,$C101))</f>
        <v/>
      </c>
      <c r="L101" s="14" t="str">
        <f aca="false">IF($B101="","",$C$2+$E$2+$G$2+SUM($I$5:$I101)-SUM($J$5:$J101))</f>
        <v/>
      </c>
      <c r="M101" s="12"/>
      <c r="N101" s="15" t="str">
        <f aca="false">IF($B101="","",IF(NOT(ISNUMBER($B101)),"日期格式不对",IF($C101="","未选资金账户",IF(AND(N($I101)=0,N($J101)=0),"收支都为空",IF(AND(N($I101)&gt;0,N($J101)&gt;0),"收支不能同时填",IF(AND($D101&lt;&gt;"",LEFT($O101,1)="⚠"),"项目编号不存在",IF(AND($M101="是",$F101=""),"工程回款必须填往来单位","√")))))))</f>
        <v/>
      </c>
      <c r="O101" s="16" t="str">
        <f aca="false">IF($D101="","",IFERROR(INDEX(对照清单!$B$5:$B$60,MATCH($D101,对照清单!$A$5:$A$60,0)),"⚠编号不存在"))</f>
        <v/>
      </c>
      <c r="P101" s="10" t="str">
        <f aca="false">IF($B101="","",IF(ISNUMBER($B101),TEXT($B101,"yyyy-mm"),"日期非法"))</f>
        <v/>
      </c>
      <c r="Q101" s="10" t="str">
        <f aca="false">IF($B101="","",IF(ISNUMBER($B101),YEAR($B101),"日期非法"))</f>
        <v/>
      </c>
    </row>
    <row r="102" customFormat="false" ht="15.75" hidden="false" customHeight="true" outlineLevel="0" collapsed="false">
      <c r="A102" s="10" t="str">
        <f aca="false">IF($B102="","",ROW()-4)</f>
        <v/>
      </c>
      <c r="B102" s="11"/>
      <c r="C102" s="12"/>
      <c r="D102" s="12"/>
      <c r="E102" s="12"/>
      <c r="F102" s="12"/>
      <c r="G102" s="12"/>
      <c r="H102" s="13"/>
      <c r="I102" s="4"/>
      <c r="J102" s="4"/>
      <c r="K102" s="14" t="str">
        <f aca="false">IF($B102="","",IF($C102="泓普",$C$2,IF($C102="仟茂",$E$2,IF($C102="现金",$G$2,0)))+SUMIFS($I$5:$I102,$C$5:$C102,$C102)-SUMIFS($J$5:$J102,$C$5:$C102,$C102))</f>
        <v/>
      </c>
      <c r="L102" s="14" t="str">
        <f aca="false">IF($B102="","",$C$2+$E$2+$G$2+SUM($I$5:$I102)-SUM($J$5:$J102))</f>
        <v/>
      </c>
      <c r="M102" s="12"/>
      <c r="N102" s="15" t="str">
        <f aca="false">IF($B102="","",IF(NOT(ISNUMBER($B102)),"日期格式不对",IF($C102="","未选资金账户",IF(AND(N($I102)=0,N($J102)=0),"收支都为空",IF(AND(N($I102)&gt;0,N($J102)&gt;0),"收支不能同时填",IF(AND($D102&lt;&gt;"",LEFT($O102,1)="⚠"),"项目编号不存在",IF(AND($M102="是",$F102=""),"工程回款必须填往来单位","√")))))))</f>
        <v/>
      </c>
      <c r="O102" s="16" t="str">
        <f aca="false">IF($D102="","",IFERROR(INDEX(对照清单!$B$5:$B$60,MATCH($D102,对照清单!$A$5:$A$60,0)),"⚠编号不存在"))</f>
        <v/>
      </c>
      <c r="P102" s="10" t="str">
        <f aca="false">IF($B102="","",IF(ISNUMBER($B102),TEXT($B102,"yyyy-mm"),"日期非法"))</f>
        <v/>
      </c>
      <c r="Q102" s="10" t="str">
        <f aca="false">IF($B102="","",IF(ISNUMBER($B102),YEAR($B102),"日期非法"))</f>
        <v/>
      </c>
    </row>
    <row r="103" customFormat="false" ht="15.75" hidden="false" customHeight="true" outlineLevel="0" collapsed="false">
      <c r="A103" s="10" t="str">
        <f aca="false">IF($B103="","",ROW()-4)</f>
        <v/>
      </c>
      <c r="B103" s="11"/>
      <c r="C103" s="12"/>
      <c r="D103" s="12"/>
      <c r="E103" s="12"/>
      <c r="F103" s="12"/>
      <c r="G103" s="12"/>
      <c r="H103" s="13"/>
      <c r="I103" s="4"/>
      <c r="J103" s="4"/>
      <c r="K103" s="14" t="str">
        <f aca="false">IF($B103="","",IF($C103="泓普",$C$2,IF($C103="仟茂",$E$2,IF($C103="现金",$G$2,0)))+SUMIFS($I$5:$I103,$C$5:$C103,$C103)-SUMIFS($J$5:$J103,$C$5:$C103,$C103))</f>
        <v/>
      </c>
      <c r="L103" s="14" t="str">
        <f aca="false">IF($B103="","",$C$2+$E$2+$G$2+SUM($I$5:$I103)-SUM($J$5:$J103))</f>
        <v/>
      </c>
      <c r="M103" s="12"/>
      <c r="N103" s="15" t="str">
        <f aca="false">IF($B103="","",IF(NOT(ISNUMBER($B103)),"日期格式不对",IF($C103="","未选资金账户",IF(AND(N($I103)=0,N($J103)=0),"收支都为空",IF(AND(N($I103)&gt;0,N($J103)&gt;0),"收支不能同时填",IF(AND($D103&lt;&gt;"",LEFT($O103,1)="⚠"),"项目编号不存在",IF(AND($M103="是",$F103=""),"工程回款必须填往来单位","√")))))))</f>
        <v/>
      </c>
      <c r="O103" s="16" t="str">
        <f aca="false">IF($D103="","",IFERROR(INDEX(对照清单!$B$5:$B$60,MATCH($D103,对照清单!$A$5:$A$60,0)),"⚠编号不存在"))</f>
        <v/>
      </c>
      <c r="P103" s="10" t="str">
        <f aca="false">IF($B103="","",IF(ISNUMBER($B103),TEXT($B103,"yyyy-mm"),"日期非法"))</f>
        <v/>
      </c>
      <c r="Q103" s="10" t="str">
        <f aca="false">IF($B103="","",IF(ISNUMBER($B103),YEAR($B103),"日期非法"))</f>
        <v/>
      </c>
    </row>
    <row r="104" customFormat="false" ht="15.75" hidden="false" customHeight="true" outlineLevel="0" collapsed="false">
      <c r="A104" s="10" t="str">
        <f aca="false">IF($B104="","",ROW()-4)</f>
        <v/>
      </c>
      <c r="B104" s="11"/>
      <c r="C104" s="12"/>
      <c r="D104" s="12"/>
      <c r="E104" s="12"/>
      <c r="F104" s="12"/>
      <c r="G104" s="12"/>
      <c r="H104" s="13"/>
      <c r="I104" s="4"/>
      <c r="J104" s="4"/>
      <c r="K104" s="14" t="str">
        <f aca="false">IF($B104="","",IF($C104="泓普",$C$2,IF($C104="仟茂",$E$2,IF($C104="现金",$G$2,0)))+SUMIFS($I$5:$I104,$C$5:$C104,$C104)-SUMIFS($J$5:$J104,$C$5:$C104,$C104))</f>
        <v/>
      </c>
      <c r="L104" s="14" t="str">
        <f aca="false">IF($B104="","",$C$2+$E$2+$G$2+SUM($I$5:$I104)-SUM($J$5:$J104))</f>
        <v/>
      </c>
      <c r="M104" s="12"/>
      <c r="N104" s="15" t="str">
        <f aca="false">IF($B104="","",IF(NOT(ISNUMBER($B104)),"日期格式不对",IF($C104="","未选资金账户",IF(AND(N($I104)=0,N($J104)=0),"收支都为空",IF(AND(N($I104)&gt;0,N($J104)&gt;0),"收支不能同时填",IF(AND($D104&lt;&gt;"",LEFT($O104,1)="⚠"),"项目编号不存在",IF(AND($M104="是",$F104=""),"工程回款必须填往来单位","√")))))))</f>
        <v/>
      </c>
      <c r="O104" s="16" t="str">
        <f aca="false">IF($D104="","",IFERROR(INDEX(对照清单!$B$5:$B$60,MATCH($D104,对照清单!$A$5:$A$60,0)),"⚠编号不存在"))</f>
        <v/>
      </c>
      <c r="P104" s="10" t="str">
        <f aca="false">IF($B104="","",IF(ISNUMBER($B104),TEXT($B104,"yyyy-mm"),"日期非法"))</f>
        <v/>
      </c>
      <c r="Q104" s="10" t="str">
        <f aca="false">IF($B104="","",IF(ISNUMBER($B104),YEAR($B104),"日期非法"))</f>
        <v/>
      </c>
    </row>
    <row r="105" customFormat="false" ht="15.75" hidden="false" customHeight="true" outlineLevel="0" collapsed="false">
      <c r="A105" s="10" t="str">
        <f aca="false">IF($B105="","",ROW()-4)</f>
        <v/>
      </c>
      <c r="B105" s="11"/>
      <c r="C105" s="12"/>
      <c r="D105" s="12"/>
      <c r="E105" s="12"/>
      <c r="F105" s="12"/>
      <c r="G105" s="12"/>
      <c r="H105" s="13"/>
      <c r="I105" s="4"/>
      <c r="J105" s="4"/>
      <c r="K105" s="14" t="str">
        <f aca="false">IF($B105="","",IF($C105="泓普",$C$2,IF($C105="仟茂",$E$2,IF($C105="现金",$G$2,0)))+SUMIFS($I$5:$I105,$C$5:$C105,$C105)-SUMIFS($J$5:$J105,$C$5:$C105,$C105))</f>
        <v/>
      </c>
      <c r="L105" s="14" t="str">
        <f aca="false">IF($B105="","",$C$2+$E$2+$G$2+SUM($I$5:$I105)-SUM($J$5:$J105))</f>
        <v/>
      </c>
      <c r="M105" s="12"/>
      <c r="N105" s="15" t="str">
        <f aca="false">IF($B105="","",IF(NOT(ISNUMBER($B105)),"日期格式不对",IF($C105="","未选资金账户",IF(AND(N($I105)=0,N($J105)=0),"收支都为空",IF(AND(N($I105)&gt;0,N($J105)&gt;0),"收支不能同时填",IF(AND($D105&lt;&gt;"",LEFT($O105,1)="⚠"),"项目编号不存在",IF(AND($M105="是",$F105=""),"工程回款必须填往来单位","√")))))))</f>
        <v/>
      </c>
      <c r="O105" s="16" t="str">
        <f aca="false">IF($D105="","",IFERROR(INDEX(对照清单!$B$5:$B$60,MATCH($D105,对照清单!$A$5:$A$60,0)),"⚠编号不存在"))</f>
        <v/>
      </c>
      <c r="P105" s="10" t="str">
        <f aca="false">IF($B105="","",IF(ISNUMBER($B105),TEXT($B105,"yyyy-mm"),"日期非法"))</f>
        <v/>
      </c>
      <c r="Q105" s="10" t="str">
        <f aca="false">IF($B105="","",IF(ISNUMBER($B105),YEAR($B105),"日期非法"))</f>
        <v/>
      </c>
    </row>
    <row r="106" customFormat="false" ht="15.75" hidden="false" customHeight="true" outlineLevel="0" collapsed="false">
      <c r="A106" s="10" t="str">
        <f aca="false">IF($B106="","",ROW()-4)</f>
        <v/>
      </c>
      <c r="B106" s="11"/>
      <c r="C106" s="12"/>
      <c r="D106" s="12"/>
      <c r="E106" s="12"/>
      <c r="F106" s="12"/>
      <c r="G106" s="12"/>
      <c r="H106" s="13"/>
      <c r="I106" s="4"/>
      <c r="J106" s="4"/>
      <c r="K106" s="14" t="str">
        <f aca="false">IF($B106="","",IF($C106="泓普",$C$2,IF($C106="仟茂",$E$2,IF($C106="现金",$G$2,0)))+SUMIFS($I$5:$I106,$C$5:$C106,$C106)-SUMIFS($J$5:$J106,$C$5:$C106,$C106))</f>
        <v/>
      </c>
      <c r="L106" s="14" t="str">
        <f aca="false">IF($B106="","",$C$2+$E$2+$G$2+SUM($I$5:$I106)-SUM($J$5:$J106))</f>
        <v/>
      </c>
      <c r="M106" s="12"/>
      <c r="N106" s="15" t="str">
        <f aca="false">IF($B106="","",IF(NOT(ISNUMBER($B106)),"日期格式不对",IF($C106="","未选资金账户",IF(AND(N($I106)=0,N($J106)=0),"收支都为空",IF(AND(N($I106)&gt;0,N($J106)&gt;0),"收支不能同时填",IF(AND($D106&lt;&gt;"",LEFT($O106,1)="⚠"),"项目编号不存在",IF(AND($M106="是",$F106=""),"工程回款必须填往来单位","√")))))))</f>
        <v/>
      </c>
      <c r="O106" s="16" t="str">
        <f aca="false">IF($D106="","",IFERROR(INDEX(对照清单!$B$5:$B$60,MATCH($D106,对照清单!$A$5:$A$60,0)),"⚠编号不存在"))</f>
        <v/>
      </c>
      <c r="P106" s="10" t="str">
        <f aca="false">IF($B106="","",IF(ISNUMBER($B106),TEXT($B106,"yyyy-mm"),"日期非法"))</f>
        <v/>
      </c>
      <c r="Q106" s="10" t="str">
        <f aca="false">IF($B106="","",IF(ISNUMBER($B106),YEAR($B106),"日期非法"))</f>
        <v/>
      </c>
    </row>
    <row r="107" customFormat="false" ht="15.75" hidden="false" customHeight="true" outlineLevel="0" collapsed="false">
      <c r="A107" s="10" t="str">
        <f aca="false">IF($B107="","",ROW()-4)</f>
        <v/>
      </c>
      <c r="B107" s="11"/>
      <c r="C107" s="12"/>
      <c r="D107" s="12"/>
      <c r="E107" s="12"/>
      <c r="F107" s="12"/>
      <c r="G107" s="12"/>
      <c r="H107" s="13"/>
      <c r="I107" s="4"/>
      <c r="J107" s="4"/>
      <c r="K107" s="14" t="str">
        <f aca="false">IF($B107="","",IF($C107="泓普",$C$2,IF($C107="仟茂",$E$2,IF($C107="现金",$G$2,0)))+SUMIFS($I$5:$I107,$C$5:$C107,$C107)-SUMIFS($J$5:$J107,$C$5:$C107,$C107))</f>
        <v/>
      </c>
      <c r="L107" s="14" t="str">
        <f aca="false">IF($B107="","",$C$2+$E$2+$G$2+SUM($I$5:$I107)-SUM($J$5:$J107))</f>
        <v/>
      </c>
      <c r="M107" s="12"/>
      <c r="N107" s="15" t="str">
        <f aca="false">IF($B107="","",IF(NOT(ISNUMBER($B107)),"日期格式不对",IF($C107="","未选资金账户",IF(AND(N($I107)=0,N($J107)=0),"收支都为空",IF(AND(N($I107)&gt;0,N($J107)&gt;0),"收支不能同时填",IF(AND($D107&lt;&gt;"",LEFT($O107,1)="⚠"),"项目编号不存在",IF(AND($M107="是",$F107=""),"工程回款必须填往来单位","√")))))))</f>
        <v/>
      </c>
      <c r="O107" s="16" t="str">
        <f aca="false">IF($D107="","",IFERROR(INDEX(对照清单!$B$5:$B$60,MATCH($D107,对照清单!$A$5:$A$60,0)),"⚠编号不存在"))</f>
        <v/>
      </c>
      <c r="P107" s="10" t="str">
        <f aca="false">IF($B107="","",IF(ISNUMBER($B107),TEXT($B107,"yyyy-mm"),"日期非法"))</f>
        <v/>
      </c>
      <c r="Q107" s="10" t="str">
        <f aca="false">IF($B107="","",IF(ISNUMBER($B107),YEAR($B107),"日期非法"))</f>
        <v/>
      </c>
    </row>
    <row r="108" customFormat="false" ht="15.75" hidden="false" customHeight="true" outlineLevel="0" collapsed="false">
      <c r="A108" s="10" t="str">
        <f aca="false">IF($B108="","",ROW()-4)</f>
        <v/>
      </c>
      <c r="B108" s="11"/>
      <c r="C108" s="12"/>
      <c r="D108" s="12"/>
      <c r="E108" s="12"/>
      <c r="F108" s="12"/>
      <c r="G108" s="12"/>
      <c r="H108" s="13"/>
      <c r="I108" s="4"/>
      <c r="J108" s="4"/>
      <c r="K108" s="14" t="str">
        <f aca="false">IF($B108="","",IF($C108="泓普",$C$2,IF($C108="仟茂",$E$2,IF($C108="现金",$G$2,0)))+SUMIFS($I$5:$I108,$C$5:$C108,$C108)-SUMIFS($J$5:$J108,$C$5:$C108,$C108))</f>
        <v/>
      </c>
      <c r="L108" s="14" t="str">
        <f aca="false">IF($B108="","",$C$2+$E$2+$G$2+SUM($I$5:$I108)-SUM($J$5:$J108))</f>
        <v/>
      </c>
      <c r="M108" s="12"/>
      <c r="N108" s="15" t="str">
        <f aca="false">IF($B108="","",IF(NOT(ISNUMBER($B108)),"日期格式不对",IF($C108="","未选资金账户",IF(AND(N($I108)=0,N($J108)=0),"收支都为空",IF(AND(N($I108)&gt;0,N($J108)&gt;0),"收支不能同时填",IF(AND($D108&lt;&gt;"",LEFT($O108,1)="⚠"),"项目编号不存在",IF(AND($M108="是",$F108=""),"工程回款必须填往来单位","√")))))))</f>
        <v/>
      </c>
      <c r="O108" s="16" t="str">
        <f aca="false">IF($D108="","",IFERROR(INDEX(对照清单!$B$5:$B$60,MATCH($D108,对照清单!$A$5:$A$60,0)),"⚠编号不存在"))</f>
        <v/>
      </c>
      <c r="P108" s="10" t="str">
        <f aca="false">IF($B108="","",IF(ISNUMBER($B108),TEXT($B108,"yyyy-mm"),"日期非法"))</f>
        <v/>
      </c>
      <c r="Q108" s="10" t="str">
        <f aca="false">IF($B108="","",IF(ISNUMBER($B108),YEAR($B108),"日期非法"))</f>
        <v/>
      </c>
    </row>
    <row r="109" customFormat="false" ht="15.75" hidden="false" customHeight="true" outlineLevel="0" collapsed="false">
      <c r="A109" s="10" t="str">
        <f aca="false">IF($B109="","",ROW()-4)</f>
        <v/>
      </c>
      <c r="B109" s="11"/>
      <c r="C109" s="12"/>
      <c r="D109" s="12"/>
      <c r="E109" s="12"/>
      <c r="F109" s="12"/>
      <c r="G109" s="12"/>
      <c r="H109" s="13"/>
      <c r="I109" s="4"/>
      <c r="J109" s="4"/>
      <c r="K109" s="14" t="str">
        <f aca="false">IF($B109="","",IF($C109="泓普",$C$2,IF($C109="仟茂",$E$2,IF($C109="现金",$G$2,0)))+SUMIFS($I$5:$I109,$C$5:$C109,$C109)-SUMIFS($J$5:$J109,$C$5:$C109,$C109))</f>
        <v/>
      </c>
      <c r="L109" s="14" t="str">
        <f aca="false">IF($B109="","",$C$2+$E$2+$G$2+SUM($I$5:$I109)-SUM($J$5:$J109))</f>
        <v/>
      </c>
      <c r="M109" s="12"/>
      <c r="N109" s="15" t="str">
        <f aca="false">IF($B109="","",IF(NOT(ISNUMBER($B109)),"日期格式不对",IF($C109="","未选资金账户",IF(AND(N($I109)=0,N($J109)=0),"收支都为空",IF(AND(N($I109)&gt;0,N($J109)&gt;0),"收支不能同时填",IF(AND($D109&lt;&gt;"",LEFT($O109,1)="⚠"),"项目编号不存在",IF(AND($M109="是",$F109=""),"工程回款必须填往来单位","√")))))))</f>
        <v/>
      </c>
      <c r="O109" s="16" t="str">
        <f aca="false">IF($D109="","",IFERROR(INDEX(对照清单!$B$5:$B$60,MATCH($D109,对照清单!$A$5:$A$60,0)),"⚠编号不存在"))</f>
        <v/>
      </c>
      <c r="P109" s="10" t="str">
        <f aca="false">IF($B109="","",IF(ISNUMBER($B109),TEXT($B109,"yyyy-mm"),"日期非法"))</f>
        <v/>
      </c>
      <c r="Q109" s="10" t="str">
        <f aca="false">IF($B109="","",IF(ISNUMBER($B109),YEAR($B109),"日期非法"))</f>
        <v/>
      </c>
    </row>
    <row r="110" customFormat="false" ht="15.75" hidden="false" customHeight="true" outlineLevel="0" collapsed="false">
      <c r="A110" s="10" t="str">
        <f aca="false">IF($B110="","",ROW()-4)</f>
        <v/>
      </c>
      <c r="B110" s="11"/>
      <c r="C110" s="12"/>
      <c r="D110" s="12"/>
      <c r="E110" s="12"/>
      <c r="F110" s="12"/>
      <c r="G110" s="12"/>
      <c r="H110" s="13"/>
      <c r="I110" s="4"/>
      <c r="J110" s="4"/>
      <c r="K110" s="14" t="str">
        <f aca="false">IF($B110="","",IF($C110="泓普",$C$2,IF($C110="仟茂",$E$2,IF($C110="现金",$G$2,0)))+SUMIFS($I$5:$I110,$C$5:$C110,$C110)-SUMIFS($J$5:$J110,$C$5:$C110,$C110))</f>
        <v/>
      </c>
      <c r="L110" s="14" t="str">
        <f aca="false">IF($B110="","",$C$2+$E$2+$G$2+SUM($I$5:$I110)-SUM($J$5:$J110))</f>
        <v/>
      </c>
      <c r="M110" s="12"/>
      <c r="N110" s="15" t="str">
        <f aca="false">IF($B110="","",IF(NOT(ISNUMBER($B110)),"日期格式不对",IF($C110="","未选资金账户",IF(AND(N($I110)=0,N($J110)=0),"收支都为空",IF(AND(N($I110)&gt;0,N($J110)&gt;0),"收支不能同时填",IF(AND($D110&lt;&gt;"",LEFT($O110,1)="⚠"),"项目编号不存在",IF(AND($M110="是",$F110=""),"工程回款必须填往来单位","√")))))))</f>
        <v/>
      </c>
      <c r="O110" s="16" t="str">
        <f aca="false">IF($D110="","",IFERROR(INDEX(对照清单!$B$5:$B$60,MATCH($D110,对照清单!$A$5:$A$60,0)),"⚠编号不存在"))</f>
        <v/>
      </c>
      <c r="P110" s="10" t="str">
        <f aca="false">IF($B110="","",IF(ISNUMBER($B110),TEXT($B110,"yyyy-mm"),"日期非法"))</f>
        <v/>
      </c>
      <c r="Q110" s="10" t="str">
        <f aca="false">IF($B110="","",IF(ISNUMBER($B110),YEAR($B110),"日期非法"))</f>
        <v/>
      </c>
    </row>
    <row r="111" customFormat="false" ht="15.75" hidden="false" customHeight="true" outlineLevel="0" collapsed="false">
      <c r="A111" s="10" t="str">
        <f aca="false">IF($B111="","",ROW()-4)</f>
        <v/>
      </c>
      <c r="B111" s="11"/>
      <c r="C111" s="12"/>
      <c r="D111" s="12"/>
      <c r="E111" s="12"/>
      <c r="F111" s="12"/>
      <c r="G111" s="12"/>
      <c r="H111" s="13"/>
      <c r="I111" s="4"/>
      <c r="J111" s="4"/>
      <c r="K111" s="14" t="str">
        <f aca="false">IF($B111="","",IF($C111="泓普",$C$2,IF($C111="仟茂",$E$2,IF($C111="现金",$G$2,0)))+SUMIFS($I$5:$I111,$C$5:$C111,$C111)-SUMIFS($J$5:$J111,$C$5:$C111,$C111))</f>
        <v/>
      </c>
      <c r="L111" s="14" t="str">
        <f aca="false">IF($B111="","",$C$2+$E$2+$G$2+SUM($I$5:$I111)-SUM($J$5:$J111))</f>
        <v/>
      </c>
      <c r="M111" s="12"/>
      <c r="N111" s="15" t="str">
        <f aca="false">IF($B111="","",IF(NOT(ISNUMBER($B111)),"日期格式不对",IF($C111="","未选资金账户",IF(AND(N($I111)=0,N($J111)=0),"收支都为空",IF(AND(N($I111)&gt;0,N($J111)&gt;0),"收支不能同时填",IF(AND($D111&lt;&gt;"",LEFT($O111,1)="⚠"),"项目编号不存在",IF(AND($M111="是",$F111=""),"工程回款必须填往来单位","√")))))))</f>
        <v/>
      </c>
      <c r="O111" s="16" t="str">
        <f aca="false">IF($D111="","",IFERROR(INDEX(对照清单!$B$5:$B$60,MATCH($D111,对照清单!$A$5:$A$60,0)),"⚠编号不存在"))</f>
        <v/>
      </c>
      <c r="P111" s="10" t="str">
        <f aca="false">IF($B111="","",IF(ISNUMBER($B111),TEXT($B111,"yyyy-mm"),"日期非法"))</f>
        <v/>
      </c>
      <c r="Q111" s="10" t="str">
        <f aca="false">IF($B111="","",IF(ISNUMBER($B111),YEAR($B111),"日期非法"))</f>
        <v/>
      </c>
    </row>
    <row r="112" customFormat="false" ht="15.75" hidden="false" customHeight="true" outlineLevel="0" collapsed="false">
      <c r="A112" s="10" t="str">
        <f aca="false">IF($B112="","",ROW()-4)</f>
        <v/>
      </c>
      <c r="B112" s="11"/>
      <c r="C112" s="12"/>
      <c r="D112" s="12"/>
      <c r="E112" s="12"/>
      <c r="F112" s="12"/>
      <c r="G112" s="12"/>
      <c r="H112" s="13"/>
      <c r="I112" s="4"/>
      <c r="J112" s="4"/>
      <c r="K112" s="14" t="str">
        <f aca="false">IF($B112="","",IF($C112="泓普",$C$2,IF($C112="仟茂",$E$2,IF($C112="现金",$G$2,0)))+SUMIFS($I$5:$I112,$C$5:$C112,$C112)-SUMIFS($J$5:$J112,$C$5:$C112,$C112))</f>
        <v/>
      </c>
      <c r="L112" s="14" t="str">
        <f aca="false">IF($B112="","",$C$2+$E$2+$G$2+SUM($I$5:$I112)-SUM($J$5:$J112))</f>
        <v/>
      </c>
      <c r="M112" s="12"/>
      <c r="N112" s="15" t="str">
        <f aca="false">IF($B112="","",IF(NOT(ISNUMBER($B112)),"日期格式不对",IF($C112="","未选资金账户",IF(AND(N($I112)=0,N($J112)=0),"收支都为空",IF(AND(N($I112)&gt;0,N($J112)&gt;0),"收支不能同时填",IF(AND($D112&lt;&gt;"",LEFT($O112,1)="⚠"),"项目编号不存在",IF(AND($M112="是",$F112=""),"工程回款必须填往来单位","√")))))))</f>
        <v/>
      </c>
      <c r="O112" s="16" t="str">
        <f aca="false">IF($D112="","",IFERROR(INDEX(对照清单!$B$5:$B$60,MATCH($D112,对照清单!$A$5:$A$60,0)),"⚠编号不存在"))</f>
        <v/>
      </c>
      <c r="P112" s="10" t="str">
        <f aca="false">IF($B112="","",IF(ISNUMBER($B112),TEXT($B112,"yyyy-mm"),"日期非法"))</f>
        <v/>
      </c>
      <c r="Q112" s="10" t="str">
        <f aca="false">IF($B112="","",IF(ISNUMBER($B112),YEAR($B112),"日期非法"))</f>
        <v/>
      </c>
    </row>
    <row r="113" customFormat="false" ht="15.75" hidden="false" customHeight="true" outlineLevel="0" collapsed="false">
      <c r="A113" s="10" t="str">
        <f aca="false">IF($B113="","",ROW()-4)</f>
        <v/>
      </c>
      <c r="B113" s="11"/>
      <c r="C113" s="12"/>
      <c r="D113" s="12"/>
      <c r="E113" s="12"/>
      <c r="F113" s="12"/>
      <c r="G113" s="12"/>
      <c r="H113" s="13"/>
      <c r="I113" s="4"/>
      <c r="J113" s="4"/>
      <c r="K113" s="14" t="str">
        <f aca="false">IF($B113="","",IF($C113="泓普",$C$2,IF($C113="仟茂",$E$2,IF($C113="现金",$G$2,0)))+SUMIFS($I$5:$I113,$C$5:$C113,$C113)-SUMIFS($J$5:$J113,$C$5:$C113,$C113))</f>
        <v/>
      </c>
      <c r="L113" s="14" t="str">
        <f aca="false">IF($B113="","",$C$2+$E$2+$G$2+SUM($I$5:$I113)-SUM($J$5:$J113))</f>
        <v/>
      </c>
      <c r="M113" s="12"/>
      <c r="N113" s="15" t="str">
        <f aca="false">IF($B113="","",IF(NOT(ISNUMBER($B113)),"日期格式不对",IF($C113="","未选资金账户",IF(AND(N($I113)=0,N($J113)=0),"收支都为空",IF(AND(N($I113)&gt;0,N($J113)&gt;0),"收支不能同时填",IF(AND($D113&lt;&gt;"",LEFT($O113,1)="⚠"),"项目编号不存在",IF(AND($M113="是",$F113=""),"工程回款必须填往来单位","√")))))))</f>
        <v/>
      </c>
      <c r="O113" s="16" t="str">
        <f aca="false">IF($D113="","",IFERROR(INDEX(对照清单!$B$5:$B$60,MATCH($D113,对照清单!$A$5:$A$60,0)),"⚠编号不存在"))</f>
        <v/>
      </c>
      <c r="P113" s="10" t="str">
        <f aca="false">IF($B113="","",IF(ISNUMBER($B113),TEXT($B113,"yyyy-mm"),"日期非法"))</f>
        <v/>
      </c>
      <c r="Q113" s="10" t="str">
        <f aca="false">IF($B113="","",IF(ISNUMBER($B113),YEAR($B113),"日期非法"))</f>
        <v/>
      </c>
    </row>
    <row r="114" customFormat="false" ht="15.75" hidden="false" customHeight="true" outlineLevel="0" collapsed="false">
      <c r="A114" s="10" t="str">
        <f aca="false">IF($B114="","",ROW()-4)</f>
        <v/>
      </c>
      <c r="B114" s="11"/>
      <c r="C114" s="12"/>
      <c r="D114" s="12"/>
      <c r="E114" s="12"/>
      <c r="F114" s="12"/>
      <c r="G114" s="12"/>
      <c r="H114" s="13"/>
      <c r="I114" s="4"/>
      <c r="J114" s="4"/>
      <c r="K114" s="14" t="str">
        <f aca="false">IF($B114="","",IF($C114="泓普",$C$2,IF($C114="仟茂",$E$2,IF($C114="现金",$G$2,0)))+SUMIFS($I$5:$I114,$C$5:$C114,$C114)-SUMIFS($J$5:$J114,$C$5:$C114,$C114))</f>
        <v/>
      </c>
      <c r="L114" s="14" t="str">
        <f aca="false">IF($B114="","",$C$2+$E$2+$G$2+SUM($I$5:$I114)-SUM($J$5:$J114))</f>
        <v/>
      </c>
      <c r="M114" s="12"/>
      <c r="N114" s="15" t="str">
        <f aca="false">IF($B114="","",IF(NOT(ISNUMBER($B114)),"日期格式不对",IF($C114="","未选资金账户",IF(AND(N($I114)=0,N($J114)=0),"收支都为空",IF(AND(N($I114)&gt;0,N($J114)&gt;0),"收支不能同时填",IF(AND($D114&lt;&gt;"",LEFT($O114,1)="⚠"),"项目编号不存在",IF(AND($M114="是",$F114=""),"工程回款必须填往来单位","√")))))))</f>
        <v/>
      </c>
      <c r="O114" s="16" t="str">
        <f aca="false">IF($D114="","",IFERROR(INDEX(对照清单!$B$5:$B$60,MATCH($D114,对照清单!$A$5:$A$60,0)),"⚠编号不存在"))</f>
        <v/>
      </c>
      <c r="P114" s="10" t="str">
        <f aca="false">IF($B114="","",IF(ISNUMBER($B114),TEXT($B114,"yyyy-mm"),"日期非法"))</f>
        <v/>
      </c>
      <c r="Q114" s="10" t="str">
        <f aca="false">IF($B114="","",IF(ISNUMBER($B114),YEAR($B114),"日期非法"))</f>
        <v/>
      </c>
    </row>
    <row r="115" customFormat="false" ht="15.75" hidden="false" customHeight="true" outlineLevel="0" collapsed="false">
      <c r="A115" s="10" t="str">
        <f aca="false">IF($B115="","",ROW()-4)</f>
        <v/>
      </c>
      <c r="B115" s="11"/>
      <c r="C115" s="12"/>
      <c r="D115" s="12"/>
      <c r="E115" s="12"/>
      <c r="F115" s="12"/>
      <c r="G115" s="12"/>
      <c r="H115" s="13"/>
      <c r="I115" s="4"/>
      <c r="J115" s="4"/>
      <c r="K115" s="14" t="str">
        <f aca="false">IF($B115="","",IF($C115="泓普",$C$2,IF($C115="仟茂",$E$2,IF($C115="现金",$G$2,0)))+SUMIFS($I$5:$I115,$C$5:$C115,$C115)-SUMIFS($J$5:$J115,$C$5:$C115,$C115))</f>
        <v/>
      </c>
      <c r="L115" s="14" t="str">
        <f aca="false">IF($B115="","",$C$2+$E$2+$G$2+SUM($I$5:$I115)-SUM($J$5:$J115))</f>
        <v/>
      </c>
      <c r="M115" s="12"/>
      <c r="N115" s="15" t="str">
        <f aca="false">IF($B115="","",IF(NOT(ISNUMBER($B115)),"日期格式不对",IF($C115="","未选资金账户",IF(AND(N($I115)=0,N($J115)=0),"收支都为空",IF(AND(N($I115)&gt;0,N($J115)&gt;0),"收支不能同时填",IF(AND($D115&lt;&gt;"",LEFT($O115,1)="⚠"),"项目编号不存在",IF(AND($M115="是",$F115=""),"工程回款必须填往来单位","√")))))))</f>
        <v/>
      </c>
      <c r="O115" s="16" t="str">
        <f aca="false">IF($D115="","",IFERROR(INDEX(对照清单!$B$5:$B$60,MATCH($D115,对照清单!$A$5:$A$60,0)),"⚠编号不存在"))</f>
        <v/>
      </c>
      <c r="P115" s="10" t="str">
        <f aca="false">IF($B115="","",IF(ISNUMBER($B115),TEXT($B115,"yyyy-mm"),"日期非法"))</f>
        <v/>
      </c>
      <c r="Q115" s="10" t="str">
        <f aca="false">IF($B115="","",IF(ISNUMBER($B115),YEAR($B115),"日期非法"))</f>
        <v/>
      </c>
    </row>
    <row r="116" customFormat="false" ht="15.75" hidden="false" customHeight="true" outlineLevel="0" collapsed="false">
      <c r="A116" s="10" t="str">
        <f aca="false">IF($B116="","",ROW()-4)</f>
        <v/>
      </c>
      <c r="B116" s="11"/>
      <c r="C116" s="12"/>
      <c r="D116" s="12"/>
      <c r="E116" s="12"/>
      <c r="F116" s="12"/>
      <c r="G116" s="12"/>
      <c r="H116" s="13"/>
      <c r="I116" s="4"/>
      <c r="J116" s="4"/>
      <c r="K116" s="14" t="str">
        <f aca="false">IF($B116="","",IF($C116="泓普",$C$2,IF($C116="仟茂",$E$2,IF($C116="现金",$G$2,0)))+SUMIFS($I$5:$I116,$C$5:$C116,$C116)-SUMIFS($J$5:$J116,$C$5:$C116,$C116))</f>
        <v/>
      </c>
      <c r="L116" s="14" t="str">
        <f aca="false">IF($B116="","",$C$2+$E$2+$G$2+SUM($I$5:$I116)-SUM($J$5:$J116))</f>
        <v/>
      </c>
      <c r="M116" s="12"/>
      <c r="N116" s="15" t="str">
        <f aca="false">IF($B116="","",IF(NOT(ISNUMBER($B116)),"日期格式不对",IF($C116="","未选资金账户",IF(AND(N($I116)=0,N($J116)=0),"收支都为空",IF(AND(N($I116)&gt;0,N($J116)&gt;0),"收支不能同时填",IF(AND($D116&lt;&gt;"",LEFT($O116,1)="⚠"),"项目编号不存在",IF(AND($M116="是",$F116=""),"工程回款必须填往来单位","√")))))))</f>
        <v/>
      </c>
      <c r="O116" s="16" t="str">
        <f aca="false">IF($D116="","",IFERROR(INDEX(对照清单!$B$5:$B$60,MATCH($D116,对照清单!$A$5:$A$60,0)),"⚠编号不存在"))</f>
        <v/>
      </c>
      <c r="P116" s="10" t="str">
        <f aca="false">IF($B116="","",IF(ISNUMBER($B116),TEXT($B116,"yyyy-mm"),"日期非法"))</f>
        <v/>
      </c>
      <c r="Q116" s="10" t="str">
        <f aca="false">IF($B116="","",IF(ISNUMBER($B116),YEAR($B116),"日期非法"))</f>
        <v/>
      </c>
    </row>
    <row r="117" customFormat="false" ht="15.75" hidden="false" customHeight="true" outlineLevel="0" collapsed="false">
      <c r="A117" s="10" t="str">
        <f aca="false">IF($B117="","",ROW()-4)</f>
        <v/>
      </c>
      <c r="B117" s="11"/>
      <c r="C117" s="12"/>
      <c r="D117" s="12"/>
      <c r="E117" s="12"/>
      <c r="F117" s="12"/>
      <c r="G117" s="12"/>
      <c r="H117" s="13"/>
      <c r="I117" s="4"/>
      <c r="J117" s="4"/>
      <c r="K117" s="14" t="str">
        <f aca="false">IF($B117="","",IF($C117="泓普",$C$2,IF($C117="仟茂",$E$2,IF($C117="现金",$G$2,0)))+SUMIFS($I$5:$I117,$C$5:$C117,$C117)-SUMIFS($J$5:$J117,$C$5:$C117,$C117))</f>
        <v/>
      </c>
      <c r="L117" s="14" t="str">
        <f aca="false">IF($B117="","",$C$2+$E$2+$G$2+SUM($I$5:$I117)-SUM($J$5:$J117))</f>
        <v/>
      </c>
      <c r="M117" s="12"/>
      <c r="N117" s="15" t="str">
        <f aca="false">IF($B117="","",IF(NOT(ISNUMBER($B117)),"日期格式不对",IF($C117="","未选资金账户",IF(AND(N($I117)=0,N($J117)=0),"收支都为空",IF(AND(N($I117)&gt;0,N($J117)&gt;0),"收支不能同时填",IF(AND($D117&lt;&gt;"",LEFT($O117,1)="⚠"),"项目编号不存在",IF(AND($M117="是",$F117=""),"工程回款必须填往来单位","√")))))))</f>
        <v/>
      </c>
      <c r="O117" s="16" t="str">
        <f aca="false">IF($D117="","",IFERROR(INDEX(对照清单!$B$5:$B$60,MATCH($D117,对照清单!$A$5:$A$60,0)),"⚠编号不存在"))</f>
        <v/>
      </c>
      <c r="P117" s="10" t="str">
        <f aca="false">IF($B117="","",IF(ISNUMBER($B117),TEXT($B117,"yyyy-mm"),"日期非法"))</f>
        <v/>
      </c>
      <c r="Q117" s="10" t="str">
        <f aca="false">IF($B117="","",IF(ISNUMBER($B117),YEAR($B117),"日期非法"))</f>
        <v/>
      </c>
    </row>
    <row r="118" customFormat="false" ht="15.75" hidden="false" customHeight="true" outlineLevel="0" collapsed="false">
      <c r="A118" s="10" t="str">
        <f aca="false">IF($B118="","",ROW()-4)</f>
        <v/>
      </c>
      <c r="B118" s="11"/>
      <c r="C118" s="12"/>
      <c r="D118" s="12"/>
      <c r="E118" s="12"/>
      <c r="F118" s="12"/>
      <c r="G118" s="12"/>
      <c r="H118" s="13"/>
      <c r="I118" s="4"/>
      <c r="J118" s="4"/>
      <c r="K118" s="14" t="str">
        <f aca="false">IF($B118="","",IF($C118="泓普",$C$2,IF($C118="仟茂",$E$2,IF($C118="现金",$G$2,0)))+SUMIFS($I$5:$I118,$C$5:$C118,$C118)-SUMIFS($J$5:$J118,$C$5:$C118,$C118))</f>
        <v/>
      </c>
      <c r="L118" s="14" t="str">
        <f aca="false">IF($B118="","",$C$2+$E$2+$G$2+SUM($I$5:$I118)-SUM($J$5:$J118))</f>
        <v/>
      </c>
      <c r="M118" s="12"/>
      <c r="N118" s="15" t="str">
        <f aca="false">IF($B118="","",IF(NOT(ISNUMBER($B118)),"日期格式不对",IF($C118="","未选资金账户",IF(AND(N($I118)=0,N($J118)=0),"收支都为空",IF(AND(N($I118)&gt;0,N($J118)&gt;0),"收支不能同时填",IF(AND($D118&lt;&gt;"",LEFT($O118,1)="⚠"),"项目编号不存在",IF(AND($M118="是",$F118=""),"工程回款必须填往来单位","√")))))))</f>
        <v/>
      </c>
      <c r="O118" s="16" t="str">
        <f aca="false">IF($D118="","",IFERROR(INDEX(对照清单!$B$5:$B$60,MATCH($D118,对照清单!$A$5:$A$60,0)),"⚠编号不存在"))</f>
        <v/>
      </c>
      <c r="P118" s="10" t="str">
        <f aca="false">IF($B118="","",IF(ISNUMBER($B118),TEXT($B118,"yyyy-mm"),"日期非法"))</f>
        <v/>
      </c>
      <c r="Q118" s="10" t="str">
        <f aca="false">IF($B118="","",IF(ISNUMBER($B118),YEAR($B118),"日期非法"))</f>
        <v/>
      </c>
    </row>
    <row r="119" customFormat="false" ht="15.75" hidden="false" customHeight="true" outlineLevel="0" collapsed="false">
      <c r="A119" s="10" t="str">
        <f aca="false">IF($B119="","",ROW()-4)</f>
        <v/>
      </c>
      <c r="B119" s="11"/>
      <c r="C119" s="12"/>
      <c r="D119" s="12"/>
      <c r="E119" s="12"/>
      <c r="F119" s="12"/>
      <c r="G119" s="12"/>
      <c r="H119" s="13"/>
      <c r="I119" s="4"/>
      <c r="J119" s="4"/>
      <c r="K119" s="14" t="str">
        <f aca="false">IF($B119="","",IF($C119="泓普",$C$2,IF($C119="仟茂",$E$2,IF($C119="现金",$G$2,0)))+SUMIFS($I$5:$I119,$C$5:$C119,$C119)-SUMIFS($J$5:$J119,$C$5:$C119,$C119))</f>
        <v/>
      </c>
      <c r="L119" s="14" t="str">
        <f aca="false">IF($B119="","",$C$2+$E$2+$G$2+SUM($I$5:$I119)-SUM($J$5:$J119))</f>
        <v/>
      </c>
      <c r="M119" s="12"/>
      <c r="N119" s="15" t="str">
        <f aca="false">IF($B119="","",IF(NOT(ISNUMBER($B119)),"日期格式不对",IF($C119="","未选资金账户",IF(AND(N($I119)=0,N($J119)=0),"收支都为空",IF(AND(N($I119)&gt;0,N($J119)&gt;0),"收支不能同时填",IF(AND($D119&lt;&gt;"",LEFT($O119,1)="⚠"),"项目编号不存在",IF(AND($M119="是",$F119=""),"工程回款必须填往来单位","√")))))))</f>
        <v/>
      </c>
      <c r="O119" s="16" t="str">
        <f aca="false">IF($D119="","",IFERROR(INDEX(对照清单!$B$5:$B$60,MATCH($D119,对照清单!$A$5:$A$60,0)),"⚠编号不存在"))</f>
        <v/>
      </c>
      <c r="P119" s="10" t="str">
        <f aca="false">IF($B119="","",IF(ISNUMBER($B119),TEXT($B119,"yyyy-mm"),"日期非法"))</f>
        <v/>
      </c>
      <c r="Q119" s="10" t="str">
        <f aca="false">IF($B119="","",IF(ISNUMBER($B119),YEAR($B119),"日期非法"))</f>
        <v/>
      </c>
    </row>
    <row r="120" customFormat="false" ht="15.75" hidden="false" customHeight="true" outlineLevel="0" collapsed="false">
      <c r="A120" s="10" t="str">
        <f aca="false">IF($B120="","",ROW()-4)</f>
        <v/>
      </c>
      <c r="B120" s="11"/>
      <c r="C120" s="12"/>
      <c r="D120" s="12"/>
      <c r="E120" s="12"/>
      <c r="F120" s="12"/>
      <c r="G120" s="12"/>
      <c r="H120" s="13"/>
      <c r="I120" s="4"/>
      <c r="J120" s="4"/>
      <c r="K120" s="14" t="str">
        <f aca="false">IF($B120="","",IF($C120="泓普",$C$2,IF($C120="仟茂",$E$2,IF($C120="现金",$G$2,0)))+SUMIFS($I$5:$I120,$C$5:$C120,$C120)-SUMIFS($J$5:$J120,$C$5:$C120,$C120))</f>
        <v/>
      </c>
      <c r="L120" s="14" t="str">
        <f aca="false">IF($B120="","",$C$2+$E$2+$G$2+SUM($I$5:$I120)-SUM($J$5:$J120))</f>
        <v/>
      </c>
      <c r="M120" s="12"/>
      <c r="N120" s="15" t="str">
        <f aca="false">IF($B120="","",IF(NOT(ISNUMBER($B120)),"日期格式不对",IF($C120="","未选资金账户",IF(AND(N($I120)=0,N($J120)=0),"收支都为空",IF(AND(N($I120)&gt;0,N($J120)&gt;0),"收支不能同时填",IF(AND($D120&lt;&gt;"",LEFT($O120,1)="⚠"),"项目编号不存在",IF(AND($M120="是",$F120=""),"工程回款必须填往来单位","√")))))))</f>
        <v/>
      </c>
      <c r="O120" s="16" t="str">
        <f aca="false">IF($D120="","",IFERROR(INDEX(对照清单!$B$5:$B$60,MATCH($D120,对照清单!$A$5:$A$60,0)),"⚠编号不存在"))</f>
        <v/>
      </c>
      <c r="P120" s="10" t="str">
        <f aca="false">IF($B120="","",IF(ISNUMBER($B120),TEXT($B120,"yyyy-mm"),"日期非法"))</f>
        <v/>
      </c>
      <c r="Q120" s="10" t="str">
        <f aca="false">IF($B120="","",IF(ISNUMBER($B120),YEAR($B120),"日期非法"))</f>
        <v/>
      </c>
    </row>
    <row r="121" customFormat="false" ht="15.75" hidden="false" customHeight="true" outlineLevel="0" collapsed="false">
      <c r="A121" s="10" t="str">
        <f aca="false">IF($B121="","",ROW()-4)</f>
        <v/>
      </c>
      <c r="B121" s="11"/>
      <c r="C121" s="12"/>
      <c r="D121" s="12"/>
      <c r="E121" s="12"/>
      <c r="F121" s="12"/>
      <c r="G121" s="12"/>
      <c r="H121" s="13"/>
      <c r="I121" s="4"/>
      <c r="J121" s="4"/>
      <c r="K121" s="14" t="str">
        <f aca="false">IF($B121="","",IF($C121="泓普",$C$2,IF($C121="仟茂",$E$2,IF($C121="现金",$G$2,0)))+SUMIFS($I$5:$I121,$C$5:$C121,$C121)-SUMIFS($J$5:$J121,$C$5:$C121,$C121))</f>
        <v/>
      </c>
      <c r="L121" s="14" t="str">
        <f aca="false">IF($B121="","",$C$2+$E$2+$G$2+SUM($I$5:$I121)-SUM($J$5:$J121))</f>
        <v/>
      </c>
      <c r="M121" s="12"/>
      <c r="N121" s="15" t="str">
        <f aca="false">IF($B121="","",IF(NOT(ISNUMBER($B121)),"日期格式不对",IF($C121="","未选资金账户",IF(AND(N($I121)=0,N($J121)=0),"收支都为空",IF(AND(N($I121)&gt;0,N($J121)&gt;0),"收支不能同时填",IF(AND($D121&lt;&gt;"",LEFT($O121,1)="⚠"),"项目编号不存在",IF(AND($M121="是",$F121=""),"工程回款必须填往来单位","√")))))))</f>
        <v/>
      </c>
      <c r="O121" s="16" t="str">
        <f aca="false">IF($D121="","",IFERROR(INDEX(对照清单!$B$5:$B$60,MATCH($D121,对照清单!$A$5:$A$60,0)),"⚠编号不存在"))</f>
        <v/>
      </c>
      <c r="P121" s="10" t="str">
        <f aca="false">IF($B121="","",IF(ISNUMBER($B121),TEXT($B121,"yyyy-mm"),"日期非法"))</f>
        <v/>
      </c>
      <c r="Q121" s="10" t="str">
        <f aca="false">IF($B121="","",IF(ISNUMBER($B121),YEAR($B121),"日期非法"))</f>
        <v/>
      </c>
    </row>
    <row r="122" customFormat="false" ht="15.75" hidden="false" customHeight="true" outlineLevel="0" collapsed="false">
      <c r="A122" s="10" t="str">
        <f aca="false">IF($B122="","",ROW()-4)</f>
        <v/>
      </c>
      <c r="B122" s="11"/>
      <c r="C122" s="12"/>
      <c r="D122" s="12"/>
      <c r="E122" s="12"/>
      <c r="F122" s="12"/>
      <c r="G122" s="12"/>
      <c r="H122" s="13"/>
      <c r="I122" s="4"/>
      <c r="J122" s="4"/>
      <c r="K122" s="14" t="str">
        <f aca="false">IF($B122="","",IF($C122="泓普",$C$2,IF($C122="仟茂",$E$2,IF($C122="现金",$G$2,0)))+SUMIFS($I$5:$I122,$C$5:$C122,$C122)-SUMIFS($J$5:$J122,$C$5:$C122,$C122))</f>
        <v/>
      </c>
      <c r="L122" s="14" t="str">
        <f aca="false">IF($B122="","",$C$2+$E$2+$G$2+SUM($I$5:$I122)-SUM($J$5:$J122))</f>
        <v/>
      </c>
      <c r="M122" s="12"/>
      <c r="N122" s="15" t="str">
        <f aca="false">IF($B122="","",IF(NOT(ISNUMBER($B122)),"日期格式不对",IF($C122="","未选资金账户",IF(AND(N($I122)=0,N($J122)=0),"收支都为空",IF(AND(N($I122)&gt;0,N($J122)&gt;0),"收支不能同时填",IF(AND($D122&lt;&gt;"",LEFT($O122,1)="⚠"),"项目编号不存在",IF(AND($M122="是",$F122=""),"工程回款必须填往来单位","√")))))))</f>
        <v/>
      </c>
      <c r="O122" s="16" t="str">
        <f aca="false">IF($D122="","",IFERROR(INDEX(对照清单!$B$5:$B$60,MATCH($D122,对照清单!$A$5:$A$60,0)),"⚠编号不存在"))</f>
        <v/>
      </c>
      <c r="P122" s="10" t="str">
        <f aca="false">IF($B122="","",IF(ISNUMBER($B122),TEXT($B122,"yyyy-mm"),"日期非法"))</f>
        <v/>
      </c>
      <c r="Q122" s="10" t="str">
        <f aca="false">IF($B122="","",IF(ISNUMBER($B122),YEAR($B122),"日期非法"))</f>
        <v/>
      </c>
    </row>
    <row r="123" customFormat="false" ht="15.75" hidden="false" customHeight="true" outlineLevel="0" collapsed="false">
      <c r="A123" s="10" t="str">
        <f aca="false">IF($B123="","",ROW()-4)</f>
        <v/>
      </c>
      <c r="B123" s="11"/>
      <c r="C123" s="12"/>
      <c r="D123" s="12"/>
      <c r="E123" s="12"/>
      <c r="F123" s="12"/>
      <c r="G123" s="12"/>
      <c r="H123" s="13"/>
      <c r="I123" s="4"/>
      <c r="J123" s="4"/>
      <c r="K123" s="14" t="str">
        <f aca="false">IF($B123="","",IF($C123="泓普",$C$2,IF($C123="仟茂",$E$2,IF($C123="现金",$G$2,0)))+SUMIFS($I$5:$I123,$C$5:$C123,$C123)-SUMIFS($J$5:$J123,$C$5:$C123,$C123))</f>
        <v/>
      </c>
      <c r="L123" s="14" t="str">
        <f aca="false">IF($B123="","",$C$2+$E$2+$G$2+SUM($I$5:$I123)-SUM($J$5:$J123))</f>
        <v/>
      </c>
      <c r="M123" s="12"/>
      <c r="N123" s="15" t="str">
        <f aca="false">IF($B123="","",IF(NOT(ISNUMBER($B123)),"日期格式不对",IF($C123="","未选资金账户",IF(AND(N($I123)=0,N($J123)=0),"收支都为空",IF(AND(N($I123)&gt;0,N($J123)&gt;0),"收支不能同时填",IF(AND($D123&lt;&gt;"",LEFT($O123,1)="⚠"),"项目编号不存在",IF(AND($M123="是",$F123=""),"工程回款必须填往来单位","√")))))))</f>
        <v/>
      </c>
      <c r="O123" s="16" t="str">
        <f aca="false">IF($D123="","",IFERROR(INDEX(对照清单!$B$5:$B$60,MATCH($D123,对照清单!$A$5:$A$60,0)),"⚠编号不存在"))</f>
        <v/>
      </c>
      <c r="P123" s="10" t="str">
        <f aca="false">IF($B123="","",IF(ISNUMBER($B123),TEXT($B123,"yyyy-mm"),"日期非法"))</f>
        <v/>
      </c>
      <c r="Q123" s="10" t="str">
        <f aca="false">IF($B123="","",IF(ISNUMBER($B123),YEAR($B123),"日期非法"))</f>
        <v/>
      </c>
    </row>
    <row r="124" customFormat="false" ht="15.75" hidden="false" customHeight="true" outlineLevel="0" collapsed="false">
      <c r="A124" s="10" t="str">
        <f aca="false">IF($B124="","",ROW()-4)</f>
        <v/>
      </c>
      <c r="B124" s="11"/>
      <c r="C124" s="12"/>
      <c r="D124" s="12"/>
      <c r="E124" s="12"/>
      <c r="F124" s="12"/>
      <c r="G124" s="12"/>
      <c r="H124" s="13"/>
      <c r="I124" s="4"/>
      <c r="J124" s="4"/>
      <c r="K124" s="14" t="str">
        <f aca="false">IF($B124="","",IF($C124="泓普",$C$2,IF($C124="仟茂",$E$2,IF($C124="现金",$G$2,0)))+SUMIFS($I$5:$I124,$C$5:$C124,$C124)-SUMIFS($J$5:$J124,$C$5:$C124,$C124))</f>
        <v/>
      </c>
      <c r="L124" s="14" t="str">
        <f aca="false">IF($B124="","",$C$2+$E$2+$G$2+SUM($I$5:$I124)-SUM($J$5:$J124))</f>
        <v/>
      </c>
      <c r="M124" s="12"/>
      <c r="N124" s="15" t="str">
        <f aca="false">IF($B124="","",IF(NOT(ISNUMBER($B124)),"日期格式不对",IF($C124="","未选资金账户",IF(AND(N($I124)=0,N($J124)=0),"收支都为空",IF(AND(N($I124)&gt;0,N($J124)&gt;0),"收支不能同时填",IF(AND($D124&lt;&gt;"",LEFT($O124,1)="⚠"),"项目编号不存在",IF(AND($M124="是",$F124=""),"工程回款必须填往来单位","√")))))))</f>
        <v/>
      </c>
      <c r="O124" s="16" t="str">
        <f aca="false">IF($D124="","",IFERROR(INDEX(对照清单!$B$5:$B$60,MATCH($D124,对照清单!$A$5:$A$60,0)),"⚠编号不存在"))</f>
        <v/>
      </c>
      <c r="P124" s="10" t="str">
        <f aca="false">IF($B124="","",IF(ISNUMBER($B124),TEXT($B124,"yyyy-mm"),"日期非法"))</f>
        <v/>
      </c>
      <c r="Q124" s="10" t="str">
        <f aca="false">IF($B124="","",IF(ISNUMBER($B124),YEAR($B124),"日期非法"))</f>
        <v/>
      </c>
    </row>
    <row r="125" customFormat="false" ht="15.75" hidden="false" customHeight="true" outlineLevel="0" collapsed="false">
      <c r="A125" s="10" t="str">
        <f aca="false">IF($B125="","",ROW()-4)</f>
        <v/>
      </c>
      <c r="B125" s="11"/>
      <c r="C125" s="12"/>
      <c r="D125" s="12"/>
      <c r="E125" s="12"/>
      <c r="F125" s="12"/>
      <c r="G125" s="12"/>
      <c r="H125" s="13"/>
      <c r="I125" s="4"/>
      <c r="J125" s="4"/>
      <c r="K125" s="14" t="str">
        <f aca="false">IF($B125="","",IF($C125="泓普",$C$2,IF($C125="仟茂",$E$2,IF($C125="现金",$G$2,0)))+SUMIFS($I$5:$I125,$C$5:$C125,$C125)-SUMIFS($J$5:$J125,$C$5:$C125,$C125))</f>
        <v/>
      </c>
      <c r="L125" s="14" t="str">
        <f aca="false">IF($B125="","",$C$2+$E$2+$G$2+SUM($I$5:$I125)-SUM($J$5:$J125))</f>
        <v/>
      </c>
      <c r="M125" s="12"/>
      <c r="N125" s="15" t="str">
        <f aca="false">IF($B125="","",IF(NOT(ISNUMBER($B125)),"日期格式不对",IF($C125="","未选资金账户",IF(AND(N($I125)=0,N($J125)=0),"收支都为空",IF(AND(N($I125)&gt;0,N($J125)&gt;0),"收支不能同时填",IF(AND($D125&lt;&gt;"",LEFT($O125,1)="⚠"),"项目编号不存在",IF(AND($M125="是",$F125=""),"工程回款必须填往来单位","√")))))))</f>
        <v/>
      </c>
      <c r="O125" s="16" t="str">
        <f aca="false">IF($D125="","",IFERROR(INDEX(对照清单!$B$5:$B$60,MATCH($D125,对照清单!$A$5:$A$60,0)),"⚠编号不存在"))</f>
        <v/>
      </c>
      <c r="P125" s="10" t="str">
        <f aca="false">IF($B125="","",IF(ISNUMBER($B125),TEXT($B125,"yyyy-mm"),"日期非法"))</f>
        <v/>
      </c>
      <c r="Q125" s="10" t="str">
        <f aca="false">IF($B125="","",IF(ISNUMBER($B125),YEAR($B125),"日期非法"))</f>
        <v/>
      </c>
    </row>
    <row r="126" customFormat="false" ht="15.75" hidden="false" customHeight="true" outlineLevel="0" collapsed="false">
      <c r="A126" s="10" t="str">
        <f aca="false">IF($B126="","",ROW()-4)</f>
        <v/>
      </c>
      <c r="B126" s="11"/>
      <c r="C126" s="12"/>
      <c r="D126" s="12"/>
      <c r="E126" s="12"/>
      <c r="F126" s="12"/>
      <c r="G126" s="12"/>
      <c r="H126" s="13"/>
      <c r="I126" s="4"/>
      <c r="J126" s="4"/>
      <c r="K126" s="14" t="str">
        <f aca="false">IF($B126="","",IF($C126="泓普",$C$2,IF($C126="仟茂",$E$2,IF($C126="现金",$G$2,0)))+SUMIFS($I$5:$I126,$C$5:$C126,$C126)-SUMIFS($J$5:$J126,$C$5:$C126,$C126))</f>
        <v/>
      </c>
      <c r="L126" s="14" t="str">
        <f aca="false">IF($B126="","",$C$2+$E$2+$G$2+SUM($I$5:$I126)-SUM($J$5:$J126))</f>
        <v/>
      </c>
      <c r="M126" s="12"/>
      <c r="N126" s="15" t="str">
        <f aca="false">IF($B126="","",IF(NOT(ISNUMBER($B126)),"日期格式不对",IF($C126="","未选资金账户",IF(AND(N($I126)=0,N($J126)=0),"收支都为空",IF(AND(N($I126)&gt;0,N($J126)&gt;0),"收支不能同时填",IF(AND($D126&lt;&gt;"",LEFT($O126,1)="⚠"),"项目编号不存在",IF(AND($M126="是",$F126=""),"工程回款必须填往来单位","√")))))))</f>
        <v/>
      </c>
      <c r="O126" s="16" t="str">
        <f aca="false">IF($D126="","",IFERROR(INDEX(对照清单!$B$5:$B$60,MATCH($D126,对照清单!$A$5:$A$60,0)),"⚠编号不存在"))</f>
        <v/>
      </c>
      <c r="P126" s="10" t="str">
        <f aca="false">IF($B126="","",IF(ISNUMBER($B126),TEXT($B126,"yyyy-mm"),"日期非法"))</f>
        <v/>
      </c>
      <c r="Q126" s="10" t="str">
        <f aca="false">IF($B126="","",IF(ISNUMBER($B126),YEAR($B126),"日期非法"))</f>
        <v/>
      </c>
    </row>
    <row r="127" customFormat="false" ht="15.75" hidden="false" customHeight="true" outlineLevel="0" collapsed="false">
      <c r="A127" s="10" t="str">
        <f aca="false">IF($B127="","",ROW()-4)</f>
        <v/>
      </c>
      <c r="B127" s="11"/>
      <c r="C127" s="12"/>
      <c r="D127" s="12"/>
      <c r="E127" s="12"/>
      <c r="F127" s="12"/>
      <c r="G127" s="12"/>
      <c r="H127" s="13"/>
      <c r="I127" s="4"/>
      <c r="J127" s="4"/>
      <c r="K127" s="14" t="str">
        <f aca="false">IF($B127="","",IF($C127="泓普",$C$2,IF($C127="仟茂",$E$2,IF($C127="现金",$G$2,0)))+SUMIFS($I$5:$I127,$C$5:$C127,$C127)-SUMIFS($J$5:$J127,$C$5:$C127,$C127))</f>
        <v/>
      </c>
      <c r="L127" s="14" t="str">
        <f aca="false">IF($B127="","",$C$2+$E$2+$G$2+SUM($I$5:$I127)-SUM($J$5:$J127))</f>
        <v/>
      </c>
      <c r="M127" s="12"/>
      <c r="N127" s="15" t="str">
        <f aca="false">IF($B127="","",IF(NOT(ISNUMBER($B127)),"日期格式不对",IF($C127="","未选资金账户",IF(AND(N($I127)=0,N($J127)=0),"收支都为空",IF(AND(N($I127)&gt;0,N($J127)&gt;0),"收支不能同时填",IF(AND($D127&lt;&gt;"",LEFT($O127,1)="⚠"),"项目编号不存在",IF(AND($M127="是",$F127=""),"工程回款必须填往来单位","√")))))))</f>
        <v/>
      </c>
      <c r="O127" s="16" t="str">
        <f aca="false">IF($D127="","",IFERROR(INDEX(对照清单!$B$5:$B$60,MATCH($D127,对照清单!$A$5:$A$60,0)),"⚠编号不存在"))</f>
        <v/>
      </c>
      <c r="P127" s="10" t="str">
        <f aca="false">IF($B127="","",IF(ISNUMBER($B127),TEXT($B127,"yyyy-mm"),"日期非法"))</f>
        <v/>
      </c>
      <c r="Q127" s="10" t="str">
        <f aca="false">IF($B127="","",IF(ISNUMBER($B127),YEAR($B127),"日期非法"))</f>
        <v/>
      </c>
    </row>
    <row r="128" customFormat="false" ht="15.75" hidden="false" customHeight="true" outlineLevel="0" collapsed="false">
      <c r="A128" s="10" t="str">
        <f aca="false">IF($B128="","",ROW()-4)</f>
        <v/>
      </c>
      <c r="B128" s="11"/>
      <c r="C128" s="12"/>
      <c r="D128" s="12"/>
      <c r="E128" s="12"/>
      <c r="F128" s="12"/>
      <c r="G128" s="12"/>
      <c r="H128" s="13"/>
      <c r="I128" s="4"/>
      <c r="J128" s="4"/>
      <c r="K128" s="14" t="str">
        <f aca="false">IF($B128="","",IF($C128="泓普",$C$2,IF($C128="仟茂",$E$2,IF($C128="现金",$G$2,0)))+SUMIFS($I$5:$I128,$C$5:$C128,$C128)-SUMIFS($J$5:$J128,$C$5:$C128,$C128))</f>
        <v/>
      </c>
      <c r="L128" s="14" t="str">
        <f aca="false">IF($B128="","",$C$2+$E$2+$G$2+SUM($I$5:$I128)-SUM($J$5:$J128))</f>
        <v/>
      </c>
      <c r="M128" s="12"/>
      <c r="N128" s="15" t="str">
        <f aca="false">IF($B128="","",IF(NOT(ISNUMBER($B128)),"日期格式不对",IF($C128="","未选资金账户",IF(AND(N($I128)=0,N($J128)=0),"收支都为空",IF(AND(N($I128)&gt;0,N($J128)&gt;0),"收支不能同时填",IF(AND($D128&lt;&gt;"",LEFT($O128,1)="⚠"),"项目编号不存在",IF(AND($M128="是",$F128=""),"工程回款必须填往来单位","√")))))))</f>
        <v/>
      </c>
      <c r="O128" s="16" t="str">
        <f aca="false">IF($D128="","",IFERROR(INDEX(对照清单!$B$5:$B$60,MATCH($D128,对照清单!$A$5:$A$60,0)),"⚠编号不存在"))</f>
        <v/>
      </c>
      <c r="P128" s="10" t="str">
        <f aca="false">IF($B128="","",IF(ISNUMBER($B128),TEXT($B128,"yyyy-mm"),"日期非法"))</f>
        <v/>
      </c>
      <c r="Q128" s="10" t="str">
        <f aca="false">IF($B128="","",IF(ISNUMBER($B128),YEAR($B128),"日期非法"))</f>
        <v/>
      </c>
    </row>
    <row r="129" customFormat="false" ht="15.75" hidden="false" customHeight="true" outlineLevel="0" collapsed="false">
      <c r="A129" s="10" t="str">
        <f aca="false">IF($B129="","",ROW()-4)</f>
        <v/>
      </c>
      <c r="B129" s="11"/>
      <c r="C129" s="12"/>
      <c r="D129" s="12"/>
      <c r="E129" s="12"/>
      <c r="F129" s="12"/>
      <c r="G129" s="12"/>
      <c r="H129" s="13"/>
      <c r="I129" s="4"/>
      <c r="J129" s="4"/>
      <c r="K129" s="14" t="str">
        <f aca="false">IF($B129="","",IF($C129="泓普",$C$2,IF($C129="仟茂",$E$2,IF($C129="现金",$G$2,0)))+SUMIFS($I$5:$I129,$C$5:$C129,$C129)-SUMIFS($J$5:$J129,$C$5:$C129,$C129))</f>
        <v/>
      </c>
      <c r="L129" s="14" t="str">
        <f aca="false">IF($B129="","",$C$2+$E$2+$G$2+SUM($I$5:$I129)-SUM($J$5:$J129))</f>
        <v/>
      </c>
      <c r="M129" s="12"/>
      <c r="N129" s="15" t="str">
        <f aca="false">IF($B129="","",IF(NOT(ISNUMBER($B129)),"日期格式不对",IF($C129="","未选资金账户",IF(AND(N($I129)=0,N($J129)=0),"收支都为空",IF(AND(N($I129)&gt;0,N($J129)&gt;0),"收支不能同时填",IF(AND($D129&lt;&gt;"",LEFT($O129,1)="⚠"),"项目编号不存在",IF(AND($M129="是",$F129=""),"工程回款必须填往来单位","√")))))))</f>
        <v/>
      </c>
      <c r="O129" s="16" t="str">
        <f aca="false">IF($D129="","",IFERROR(INDEX(对照清单!$B$5:$B$60,MATCH($D129,对照清单!$A$5:$A$60,0)),"⚠编号不存在"))</f>
        <v/>
      </c>
      <c r="P129" s="10" t="str">
        <f aca="false">IF($B129="","",IF(ISNUMBER($B129),TEXT($B129,"yyyy-mm"),"日期非法"))</f>
        <v/>
      </c>
      <c r="Q129" s="10" t="str">
        <f aca="false">IF($B129="","",IF(ISNUMBER($B129),YEAR($B129),"日期非法"))</f>
        <v/>
      </c>
    </row>
    <row r="130" customFormat="false" ht="15.75" hidden="false" customHeight="true" outlineLevel="0" collapsed="false">
      <c r="A130" s="10" t="str">
        <f aca="false">IF($B130="","",ROW()-4)</f>
        <v/>
      </c>
      <c r="B130" s="11"/>
      <c r="C130" s="12"/>
      <c r="D130" s="12"/>
      <c r="E130" s="12"/>
      <c r="F130" s="12"/>
      <c r="G130" s="12"/>
      <c r="H130" s="13"/>
      <c r="I130" s="4"/>
      <c r="J130" s="4"/>
      <c r="K130" s="14" t="str">
        <f aca="false">IF($B130="","",IF($C130="泓普",$C$2,IF($C130="仟茂",$E$2,IF($C130="现金",$G$2,0)))+SUMIFS($I$5:$I130,$C$5:$C130,$C130)-SUMIFS($J$5:$J130,$C$5:$C130,$C130))</f>
        <v/>
      </c>
      <c r="L130" s="14" t="str">
        <f aca="false">IF($B130="","",$C$2+$E$2+$G$2+SUM($I$5:$I130)-SUM($J$5:$J130))</f>
        <v/>
      </c>
      <c r="M130" s="12"/>
      <c r="N130" s="15" t="str">
        <f aca="false">IF($B130="","",IF(NOT(ISNUMBER($B130)),"日期格式不对",IF($C130="","未选资金账户",IF(AND(N($I130)=0,N($J130)=0),"收支都为空",IF(AND(N($I130)&gt;0,N($J130)&gt;0),"收支不能同时填",IF(AND($D130&lt;&gt;"",LEFT($O130,1)="⚠"),"项目编号不存在",IF(AND($M130="是",$F130=""),"工程回款必须填往来单位","√")))))))</f>
        <v/>
      </c>
      <c r="O130" s="16" t="str">
        <f aca="false">IF($D130="","",IFERROR(INDEX(对照清单!$B$5:$B$60,MATCH($D130,对照清单!$A$5:$A$60,0)),"⚠编号不存在"))</f>
        <v/>
      </c>
      <c r="P130" s="10" t="str">
        <f aca="false">IF($B130="","",IF(ISNUMBER($B130),TEXT($B130,"yyyy-mm"),"日期非法"))</f>
        <v/>
      </c>
      <c r="Q130" s="10" t="str">
        <f aca="false">IF($B130="","",IF(ISNUMBER($B130),YEAR($B130),"日期非法"))</f>
        <v/>
      </c>
    </row>
    <row r="131" customFormat="false" ht="15.75" hidden="false" customHeight="true" outlineLevel="0" collapsed="false">
      <c r="A131" s="10" t="str">
        <f aca="false">IF($B131="","",ROW()-4)</f>
        <v/>
      </c>
      <c r="B131" s="11"/>
      <c r="C131" s="12"/>
      <c r="D131" s="12"/>
      <c r="E131" s="12"/>
      <c r="F131" s="12"/>
      <c r="G131" s="12"/>
      <c r="H131" s="13"/>
      <c r="I131" s="4"/>
      <c r="J131" s="4"/>
      <c r="K131" s="14" t="str">
        <f aca="false">IF($B131="","",IF($C131="泓普",$C$2,IF($C131="仟茂",$E$2,IF($C131="现金",$G$2,0)))+SUMIFS($I$5:$I131,$C$5:$C131,$C131)-SUMIFS($J$5:$J131,$C$5:$C131,$C131))</f>
        <v/>
      </c>
      <c r="L131" s="14" t="str">
        <f aca="false">IF($B131="","",$C$2+$E$2+$G$2+SUM($I$5:$I131)-SUM($J$5:$J131))</f>
        <v/>
      </c>
      <c r="M131" s="12"/>
      <c r="N131" s="15" t="str">
        <f aca="false">IF($B131="","",IF(NOT(ISNUMBER($B131)),"日期格式不对",IF($C131="","未选资金账户",IF(AND(N($I131)=0,N($J131)=0),"收支都为空",IF(AND(N($I131)&gt;0,N($J131)&gt;0),"收支不能同时填",IF(AND($D131&lt;&gt;"",LEFT($O131,1)="⚠"),"项目编号不存在",IF(AND($M131="是",$F131=""),"工程回款必须填往来单位","√")))))))</f>
        <v/>
      </c>
      <c r="O131" s="16" t="str">
        <f aca="false">IF($D131="","",IFERROR(INDEX(对照清单!$B$5:$B$60,MATCH($D131,对照清单!$A$5:$A$60,0)),"⚠编号不存在"))</f>
        <v/>
      </c>
      <c r="P131" s="10" t="str">
        <f aca="false">IF($B131="","",IF(ISNUMBER($B131),TEXT($B131,"yyyy-mm"),"日期非法"))</f>
        <v/>
      </c>
      <c r="Q131" s="10" t="str">
        <f aca="false">IF($B131="","",IF(ISNUMBER($B131),YEAR($B131),"日期非法"))</f>
        <v/>
      </c>
    </row>
    <row r="132" customFormat="false" ht="15.75" hidden="false" customHeight="true" outlineLevel="0" collapsed="false">
      <c r="A132" s="10" t="str">
        <f aca="false">IF($B132="","",ROW()-4)</f>
        <v/>
      </c>
      <c r="B132" s="11"/>
      <c r="C132" s="12"/>
      <c r="D132" s="12"/>
      <c r="E132" s="12"/>
      <c r="F132" s="12"/>
      <c r="G132" s="12"/>
      <c r="H132" s="13"/>
      <c r="I132" s="4"/>
      <c r="J132" s="4"/>
      <c r="K132" s="14" t="str">
        <f aca="false">IF($B132="","",IF($C132="泓普",$C$2,IF($C132="仟茂",$E$2,IF($C132="现金",$G$2,0)))+SUMIFS($I$5:$I132,$C$5:$C132,$C132)-SUMIFS($J$5:$J132,$C$5:$C132,$C132))</f>
        <v/>
      </c>
      <c r="L132" s="14" t="str">
        <f aca="false">IF($B132="","",$C$2+$E$2+$G$2+SUM($I$5:$I132)-SUM($J$5:$J132))</f>
        <v/>
      </c>
      <c r="M132" s="12"/>
      <c r="N132" s="15" t="str">
        <f aca="false">IF($B132="","",IF(NOT(ISNUMBER($B132)),"日期格式不对",IF($C132="","未选资金账户",IF(AND(N($I132)=0,N($J132)=0),"收支都为空",IF(AND(N($I132)&gt;0,N($J132)&gt;0),"收支不能同时填",IF(AND($D132&lt;&gt;"",LEFT($O132,1)="⚠"),"项目编号不存在",IF(AND($M132="是",$F132=""),"工程回款必须填往来单位","√")))))))</f>
        <v/>
      </c>
      <c r="O132" s="16" t="str">
        <f aca="false">IF($D132="","",IFERROR(INDEX(对照清单!$B$5:$B$60,MATCH($D132,对照清单!$A$5:$A$60,0)),"⚠编号不存在"))</f>
        <v/>
      </c>
      <c r="P132" s="10" t="str">
        <f aca="false">IF($B132="","",IF(ISNUMBER($B132),TEXT($B132,"yyyy-mm"),"日期非法"))</f>
        <v/>
      </c>
      <c r="Q132" s="10" t="str">
        <f aca="false">IF($B132="","",IF(ISNUMBER($B132),YEAR($B132),"日期非法"))</f>
        <v/>
      </c>
    </row>
    <row r="133" customFormat="false" ht="15.75" hidden="false" customHeight="true" outlineLevel="0" collapsed="false">
      <c r="A133" s="10" t="str">
        <f aca="false">IF($B133="","",ROW()-4)</f>
        <v/>
      </c>
      <c r="B133" s="11"/>
      <c r="C133" s="12"/>
      <c r="D133" s="12"/>
      <c r="E133" s="12"/>
      <c r="F133" s="12"/>
      <c r="G133" s="12"/>
      <c r="H133" s="13"/>
      <c r="I133" s="4"/>
      <c r="J133" s="4"/>
      <c r="K133" s="14" t="str">
        <f aca="false">IF($B133="","",IF($C133="泓普",$C$2,IF($C133="仟茂",$E$2,IF($C133="现金",$G$2,0)))+SUMIFS($I$5:$I133,$C$5:$C133,$C133)-SUMIFS($J$5:$J133,$C$5:$C133,$C133))</f>
        <v/>
      </c>
      <c r="L133" s="14" t="str">
        <f aca="false">IF($B133="","",$C$2+$E$2+$G$2+SUM($I$5:$I133)-SUM($J$5:$J133))</f>
        <v/>
      </c>
      <c r="M133" s="12"/>
      <c r="N133" s="15" t="str">
        <f aca="false">IF($B133="","",IF(NOT(ISNUMBER($B133)),"日期格式不对",IF($C133="","未选资金账户",IF(AND(N($I133)=0,N($J133)=0),"收支都为空",IF(AND(N($I133)&gt;0,N($J133)&gt;0),"收支不能同时填",IF(AND($D133&lt;&gt;"",LEFT($O133,1)="⚠"),"项目编号不存在",IF(AND($M133="是",$F133=""),"工程回款必须填往来单位","√")))))))</f>
        <v/>
      </c>
      <c r="O133" s="16" t="str">
        <f aca="false">IF($D133="","",IFERROR(INDEX(对照清单!$B$5:$B$60,MATCH($D133,对照清单!$A$5:$A$60,0)),"⚠编号不存在"))</f>
        <v/>
      </c>
      <c r="P133" s="10" t="str">
        <f aca="false">IF($B133="","",IF(ISNUMBER($B133),TEXT($B133,"yyyy-mm"),"日期非法"))</f>
        <v/>
      </c>
      <c r="Q133" s="10" t="str">
        <f aca="false">IF($B133="","",IF(ISNUMBER($B133),YEAR($B133),"日期非法"))</f>
        <v/>
      </c>
    </row>
    <row r="134" customFormat="false" ht="15.75" hidden="false" customHeight="true" outlineLevel="0" collapsed="false">
      <c r="A134" s="10" t="str">
        <f aca="false">IF($B134="","",ROW()-4)</f>
        <v/>
      </c>
      <c r="B134" s="11"/>
      <c r="C134" s="12"/>
      <c r="D134" s="12"/>
      <c r="E134" s="12"/>
      <c r="F134" s="12"/>
      <c r="G134" s="12"/>
      <c r="H134" s="13"/>
      <c r="I134" s="4"/>
      <c r="J134" s="4"/>
      <c r="K134" s="14" t="str">
        <f aca="false">IF($B134="","",IF($C134="泓普",$C$2,IF($C134="仟茂",$E$2,IF($C134="现金",$G$2,0)))+SUMIFS($I$5:$I134,$C$5:$C134,$C134)-SUMIFS($J$5:$J134,$C$5:$C134,$C134))</f>
        <v/>
      </c>
      <c r="L134" s="14" t="str">
        <f aca="false">IF($B134="","",$C$2+$E$2+$G$2+SUM($I$5:$I134)-SUM($J$5:$J134))</f>
        <v/>
      </c>
      <c r="M134" s="12"/>
      <c r="N134" s="15" t="str">
        <f aca="false">IF($B134="","",IF(NOT(ISNUMBER($B134)),"日期格式不对",IF($C134="","未选资金账户",IF(AND(N($I134)=0,N($J134)=0),"收支都为空",IF(AND(N($I134)&gt;0,N($J134)&gt;0),"收支不能同时填",IF(AND($D134&lt;&gt;"",LEFT($O134,1)="⚠"),"项目编号不存在",IF(AND($M134="是",$F134=""),"工程回款必须填往来单位","√")))))))</f>
        <v/>
      </c>
      <c r="O134" s="16" t="str">
        <f aca="false">IF($D134="","",IFERROR(INDEX(对照清单!$B$5:$B$60,MATCH($D134,对照清单!$A$5:$A$60,0)),"⚠编号不存在"))</f>
        <v/>
      </c>
      <c r="P134" s="10" t="str">
        <f aca="false">IF($B134="","",IF(ISNUMBER($B134),TEXT($B134,"yyyy-mm"),"日期非法"))</f>
        <v/>
      </c>
      <c r="Q134" s="10" t="str">
        <f aca="false">IF($B134="","",IF(ISNUMBER($B134),YEAR($B134),"日期非法"))</f>
        <v/>
      </c>
    </row>
    <row r="135" customFormat="false" ht="15.75" hidden="false" customHeight="true" outlineLevel="0" collapsed="false">
      <c r="A135" s="10" t="str">
        <f aca="false">IF($B135="","",ROW()-4)</f>
        <v/>
      </c>
      <c r="B135" s="11"/>
      <c r="C135" s="12"/>
      <c r="D135" s="12"/>
      <c r="E135" s="12"/>
      <c r="F135" s="12"/>
      <c r="G135" s="12"/>
      <c r="H135" s="13"/>
      <c r="I135" s="4"/>
      <c r="J135" s="4"/>
      <c r="K135" s="14" t="str">
        <f aca="false">IF($B135="","",IF($C135="泓普",$C$2,IF($C135="仟茂",$E$2,IF($C135="现金",$G$2,0)))+SUMIFS($I$5:$I135,$C$5:$C135,$C135)-SUMIFS($J$5:$J135,$C$5:$C135,$C135))</f>
        <v/>
      </c>
      <c r="L135" s="14" t="str">
        <f aca="false">IF($B135="","",$C$2+$E$2+$G$2+SUM($I$5:$I135)-SUM($J$5:$J135))</f>
        <v/>
      </c>
      <c r="M135" s="12"/>
      <c r="N135" s="15" t="str">
        <f aca="false">IF($B135="","",IF(NOT(ISNUMBER($B135)),"日期格式不对",IF($C135="","未选资金账户",IF(AND(N($I135)=0,N($J135)=0),"收支都为空",IF(AND(N($I135)&gt;0,N($J135)&gt;0),"收支不能同时填",IF(AND($D135&lt;&gt;"",LEFT($O135,1)="⚠"),"项目编号不存在",IF(AND($M135="是",$F135=""),"工程回款必须填往来单位","√")))))))</f>
        <v/>
      </c>
      <c r="O135" s="16" t="str">
        <f aca="false">IF($D135="","",IFERROR(INDEX(对照清单!$B$5:$B$60,MATCH($D135,对照清单!$A$5:$A$60,0)),"⚠编号不存在"))</f>
        <v/>
      </c>
      <c r="P135" s="10" t="str">
        <f aca="false">IF($B135="","",IF(ISNUMBER($B135),TEXT($B135,"yyyy-mm"),"日期非法"))</f>
        <v/>
      </c>
      <c r="Q135" s="10" t="str">
        <f aca="false">IF($B135="","",IF(ISNUMBER($B135),YEAR($B135),"日期非法"))</f>
        <v/>
      </c>
    </row>
    <row r="136" customFormat="false" ht="15.75" hidden="false" customHeight="true" outlineLevel="0" collapsed="false">
      <c r="A136" s="10" t="str">
        <f aca="false">IF($B136="","",ROW()-4)</f>
        <v/>
      </c>
      <c r="B136" s="11"/>
      <c r="C136" s="12"/>
      <c r="D136" s="12"/>
      <c r="E136" s="12"/>
      <c r="F136" s="12"/>
      <c r="G136" s="12"/>
      <c r="H136" s="13"/>
      <c r="I136" s="4"/>
      <c r="J136" s="4"/>
      <c r="K136" s="14" t="str">
        <f aca="false">IF($B136="","",IF($C136="泓普",$C$2,IF($C136="仟茂",$E$2,IF($C136="现金",$G$2,0)))+SUMIFS($I$5:$I136,$C$5:$C136,$C136)-SUMIFS($J$5:$J136,$C$5:$C136,$C136))</f>
        <v/>
      </c>
      <c r="L136" s="14" t="str">
        <f aca="false">IF($B136="","",$C$2+$E$2+$G$2+SUM($I$5:$I136)-SUM($J$5:$J136))</f>
        <v/>
      </c>
      <c r="M136" s="12"/>
      <c r="N136" s="15" t="str">
        <f aca="false">IF($B136="","",IF(NOT(ISNUMBER($B136)),"日期格式不对",IF($C136="","未选资金账户",IF(AND(N($I136)=0,N($J136)=0),"收支都为空",IF(AND(N($I136)&gt;0,N($J136)&gt;0),"收支不能同时填",IF(AND($D136&lt;&gt;"",LEFT($O136,1)="⚠"),"项目编号不存在",IF(AND($M136="是",$F136=""),"工程回款必须填往来单位","√")))))))</f>
        <v/>
      </c>
      <c r="O136" s="16" t="str">
        <f aca="false">IF($D136="","",IFERROR(INDEX(对照清单!$B$5:$B$60,MATCH($D136,对照清单!$A$5:$A$60,0)),"⚠编号不存在"))</f>
        <v/>
      </c>
      <c r="P136" s="10" t="str">
        <f aca="false">IF($B136="","",IF(ISNUMBER($B136),TEXT($B136,"yyyy-mm"),"日期非法"))</f>
        <v/>
      </c>
      <c r="Q136" s="10" t="str">
        <f aca="false">IF($B136="","",IF(ISNUMBER($B136),YEAR($B136),"日期非法"))</f>
        <v/>
      </c>
    </row>
    <row r="137" customFormat="false" ht="15.75" hidden="false" customHeight="true" outlineLevel="0" collapsed="false">
      <c r="A137" s="10" t="str">
        <f aca="false">IF($B137="","",ROW()-4)</f>
        <v/>
      </c>
      <c r="B137" s="11"/>
      <c r="C137" s="12"/>
      <c r="D137" s="12"/>
      <c r="E137" s="12"/>
      <c r="F137" s="12"/>
      <c r="G137" s="12"/>
      <c r="H137" s="13"/>
      <c r="I137" s="4"/>
      <c r="J137" s="4"/>
      <c r="K137" s="14" t="str">
        <f aca="false">IF($B137="","",IF($C137="泓普",$C$2,IF($C137="仟茂",$E$2,IF($C137="现金",$G$2,0)))+SUMIFS($I$5:$I137,$C$5:$C137,$C137)-SUMIFS($J$5:$J137,$C$5:$C137,$C137))</f>
        <v/>
      </c>
      <c r="L137" s="14" t="str">
        <f aca="false">IF($B137="","",$C$2+$E$2+$G$2+SUM($I$5:$I137)-SUM($J$5:$J137))</f>
        <v/>
      </c>
      <c r="M137" s="12"/>
      <c r="N137" s="15" t="str">
        <f aca="false">IF($B137="","",IF(NOT(ISNUMBER($B137)),"日期格式不对",IF($C137="","未选资金账户",IF(AND(N($I137)=0,N($J137)=0),"收支都为空",IF(AND(N($I137)&gt;0,N($J137)&gt;0),"收支不能同时填",IF(AND($D137&lt;&gt;"",LEFT($O137,1)="⚠"),"项目编号不存在",IF(AND($M137="是",$F137=""),"工程回款必须填往来单位","√")))))))</f>
        <v/>
      </c>
      <c r="O137" s="16" t="str">
        <f aca="false">IF($D137="","",IFERROR(INDEX(对照清单!$B$5:$B$60,MATCH($D137,对照清单!$A$5:$A$60,0)),"⚠编号不存在"))</f>
        <v/>
      </c>
      <c r="P137" s="10" t="str">
        <f aca="false">IF($B137="","",IF(ISNUMBER($B137),TEXT($B137,"yyyy-mm"),"日期非法"))</f>
        <v/>
      </c>
      <c r="Q137" s="10" t="str">
        <f aca="false">IF($B137="","",IF(ISNUMBER($B137),YEAR($B137),"日期非法"))</f>
        <v/>
      </c>
    </row>
    <row r="138" customFormat="false" ht="15.75" hidden="false" customHeight="true" outlineLevel="0" collapsed="false">
      <c r="A138" s="10" t="str">
        <f aca="false">IF($B138="","",ROW()-4)</f>
        <v/>
      </c>
      <c r="B138" s="11"/>
      <c r="C138" s="12"/>
      <c r="D138" s="12"/>
      <c r="E138" s="12"/>
      <c r="F138" s="12"/>
      <c r="G138" s="12"/>
      <c r="H138" s="13"/>
      <c r="I138" s="4"/>
      <c r="J138" s="4"/>
      <c r="K138" s="14" t="str">
        <f aca="false">IF($B138="","",IF($C138="泓普",$C$2,IF($C138="仟茂",$E$2,IF($C138="现金",$G$2,0)))+SUMIFS($I$5:$I138,$C$5:$C138,$C138)-SUMIFS($J$5:$J138,$C$5:$C138,$C138))</f>
        <v/>
      </c>
      <c r="L138" s="14" t="str">
        <f aca="false">IF($B138="","",$C$2+$E$2+$G$2+SUM($I$5:$I138)-SUM($J$5:$J138))</f>
        <v/>
      </c>
      <c r="M138" s="12"/>
      <c r="N138" s="15" t="str">
        <f aca="false">IF($B138="","",IF(NOT(ISNUMBER($B138)),"日期格式不对",IF($C138="","未选资金账户",IF(AND(N($I138)=0,N($J138)=0),"收支都为空",IF(AND(N($I138)&gt;0,N($J138)&gt;0),"收支不能同时填",IF(AND($D138&lt;&gt;"",LEFT($O138,1)="⚠"),"项目编号不存在",IF(AND($M138="是",$F138=""),"工程回款必须填往来单位","√")))))))</f>
        <v/>
      </c>
      <c r="O138" s="16" t="str">
        <f aca="false">IF($D138="","",IFERROR(INDEX(对照清单!$B$5:$B$60,MATCH($D138,对照清单!$A$5:$A$60,0)),"⚠编号不存在"))</f>
        <v/>
      </c>
      <c r="P138" s="10" t="str">
        <f aca="false">IF($B138="","",IF(ISNUMBER($B138),TEXT($B138,"yyyy-mm"),"日期非法"))</f>
        <v/>
      </c>
      <c r="Q138" s="10" t="str">
        <f aca="false">IF($B138="","",IF(ISNUMBER($B138),YEAR($B138),"日期非法"))</f>
        <v/>
      </c>
    </row>
    <row r="139" customFormat="false" ht="15.75" hidden="false" customHeight="true" outlineLevel="0" collapsed="false">
      <c r="A139" s="10" t="str">
        <f aca="false">IF($B139="","",ROW()-4)</f>
        <v/>
      </c>
      <c r="B139" s="11"/>
      <c r="C139" s="12"/>
      <c r="D139" s="12"/>
      <c r="E139" s="12"/>
      <c r="F139" s="12"/>
      <c r="G139" s="12"/>
      <c r="H139" s="13"/>
      <c r="I139" s="4"/>
      <c r="J139" s="4"/>
      <c r="K139" s="14" t="str">
        <f aca="false">IF($B139="","",IF($C139="泓普",$C$2,IF($C139="仟茂",$E$2,IF($C139="现金",$G$2,0)))+SUMIFS($I$5:$I139,$C$5:$C139,$C139)-SUMIFS($J$5:$J139,$C$5:$C139,$C139))</f>
        <v/>
      </c>
      <c r="L139" s="14" t="str">
        <f aca="false">IF($B139="","",$C$2+$E$2+$G$2+SUM($I$5:$I139)-SUM($J$5:$J139))</f>
        <v/>
      </c>
      <c r="M139" s="12"/>
      <c r="N139" s="15" t="str">
        <f aca="false">IF($B139="","",IF(NOT(ISNUMBER($B139)),"日期格式不对",IF($C139="","未选资金账户",IF(AND(N($I139)=0,N($J139)=0),"收支都为空",IF(AND(N($I139)&gt;0,N($J139)&gt;0),"收支不能同时填",IF(AND($D139&lt;&gt;"",LEFT($O139,1)="⚠"),"项目编号不存在",IF(AND($M139="是",$F139=""),"工程回款必须填往来单位","√")))))))</f>
        <v/>
      </c>
      <c r="O139" s="16" t="str">
        <f aca="false">IF($D139="","",IFERROR(INDEX(对照清单!$B$5:$B$60,MATCH($D139,对照清单!$A$5:$A$60,0)),"⚠编号不存在"))</f>
        <v/>
      </c>
      <c r="P139" s="10" t="str">
        <f aca="false">IF($B139="","",IF(ISNUMBER($B139),TEXT($B139,"yyyy-mm"),"日期非法"))</f>
        <v/>
      </c>
      <c r="Q139" s="10" t="str">
        <f aca="false">IF($B139="","",IF(ISNUMBER($B139),YEAR($B139),"日期非法"))</f>
        <v/>
      </c>
    </row>
    <row r="140" customFormat="false" ht="15.75" hidden="false" customHeight="true" outlineLevel="0" collapsed="false">
      <c r="A140" s="10" t="str">
        <f aca="false">IF($B140="","",ROW()-4)</f>
        <v/>
      </c>
      <c r="B140" s="11"/>
      <c r="C140" s="12"/>
      <c r="D140" s="12"/>
      <c r="E140" s="12"/>
      <c r="F140" s="12"/>
      <c r="G140" s="12"/>
      <c r="H140" s="13"/>
      <c r="I140" s="4"/>
      <c r="J140" s="4"/>
      <c r="K140" s="14" t="str">
        <f aca="false">IF($B140="","",IF($C140="泓普",$C$2,IF($C140="仟茂",$E$2,IF($C140="现金",$G$2,0)))+SUMIFS($I$5:$I140,$C$5:$C140,$C140)-SUMIFS($J$5:$J140,$C$5:$C140,$C140))</f>
        <v/>
      </c>
      <c r="L140" s="14" t="str">
        <f aca="false">IF($B140="","",$C$2+$E$2+$G$2+SUM($I$5:$I140)-SUM($J$5:$J140))</f>
        <v/>
      </c>
      <c r="M140" s="12"/>
      <c r="N140" s="15" t="str">
        <f aca="false">IF($B140="","",IF(NOT(ISNUMBER($B140)),"日期格式不对",IF($C140="","未选资金账户",IF(AND(N($I140)=0,N($J140)=0),"收支都为空",IF(AND(N($I140)&gt;0,N($J140)&gt;0),"收支不能同时填",IF(AND($D140&lt;&gt;"",LEFT($O140,1)="⚠"),"项目编号不存在",IF(AND($M140="是",$F140=""),"工程回款必须填往来单位","√")))))))</f>
        <v/>
      </c>
      <c r="O140" s="16" t="str">
        <f aca="false">IF($D140="","",IFERROR(INDEX(对照清单!$B$5:$B$60,MATCH($D140,对照清单!$A$5:$A$60,0)),"⚠编号不存在"))</f>
        <v/>
      </c>
      <c r="P140" s="10" t="str">
        <f aca="false">IF($B140="","",IF(ISNUMBER($B140),TEXT($B140,"yyyy-mm"),"日期非法"))</f>
        <v/>
      </c>
      <c r="Q140" s="10" t="str">
        <f aca="false">IF($B140="","",IF(ISNUMBER($B140),YEAR($B140),"日期非法"))</f>
        <v/>
      </c>
    </row>
    <row r="141" customFormat="false" ht="15.75" hidden="false" customHeight="true" outlineLevel="0" collapsed="false">
      <c r="A141" s="10" t="str">
        <f aca="false">IF($B141="","",ROW()-4)</f>
        <v/>
      </c>
      <c r="B141" s="11"/>
      <c r="C141" s="12"/>
      <c r="D141" s="12"/>
      <c r="E141" s="12"/>
      <c r="F141" s="12"/>
      <c r="G141" s="12"/>
      <c r="H141" s="13"/>
      <c r="I141" s="4"/>
      <c r="J141" s="4"/>
      <c r="K141" s="14" t="str">
        <f aca="false">IF($B141="","",IF($C141="泓普",$C$2,IF($C141="仟茂",$E$2,IF($C141="现金",$G$2,0)))+SUMIFS($I$5:$I141,$C$5:$C141,$C141)-SUMIFS($J$5:$J141,$C$5:$C141,$C141))</f>
        <v/>
      </c>
      <c r="L141" s="14" t="str">
        <f aca="false">IF($B141="","",$C$2+$E$2+$G$2+SUM($I$5:$I141)-SUM($J$5:$J141))</f>
        <v/>
      </c>
      <c r="M141" s="12"/>
      <c r="N141" s="15" t="str">
        <f aca="false">IF($B141="","",IF(NOT(ISNUMBER($B141)),"日期格式不对",IF($C141="","未选资金账户",IF(AND(N($I141)=0,N($J141)=0),"收支都为空",IF(AND(N($I141)&gt;0,N($J141)&gt;0),"收支不能同时填",IF(AND($D141&lt;&gt;"",LEFT($O141,1)="⚠"),"项目编号不存在",IF(AND($M141="是",$F141=""),"工程回款必须填往来单位","√")))))))</f>
        <v/>
      </c>
      <c r="O141" s="16" t="str">
        <f aca="false">IF($D141="","",IFERROR(INDEX(对照清单!$B$5:$B$60,MATCH($D141,对照清单!$A$5:$A$60,0)),"⚠编号不存在"))</f>
        <v/>
      </c>
      <c r="P141" s="10" t="str">
        <f aca="false">IF($B141="","",IF(ISNUMBER($B141),TEXT($B141,"yyyy-mm"),"日期非法"))</f>
        <v/>
      </c>
      <c r="Q141" s="10" t="str">
        <f aca="false">IF($B141="","",IF(ISNUMBER($B141),YEAR($B141),"日期非法"))</f>
        <v/>
      </c>
    </row>
    <row r="142" customFormat="false" ht="15.75" hidden="false" customHeight="true" outlineLevel="0" collapsed="false">
      <c r="A142" s="10" t="str">
        <f aca="false">IF($B142="","",ROW()-4)</f>
        <v/>
      </c>
      <c r="B142" s="11"/>
      <c r="C142" s="12"/>
      <c r="D142" s="12"/>
      <c r="E142" s="12"/>
      <c r="F142" s="12"/>
      <c r="G142" s="12"/>
      <c r="H142" s="13"/>
      <c r="I142" s="4"/>
      <c r="J142" s="4"/>
      <c r="K142" s="14" t="str">
        <f aca="false">IF($B142="","",IF($C142="泓普",$C$2,IF($C142="仟茂",$E$2,IF($C142="现金",$G$2,0)))+SUMIFS($I$5:$I142,$C$5:$C142,$C142)-SUMIFS($J$5:$J142,$C$5:$C142,$C142))</f>
        <v/>
      </c>
      <c r="L142" s="14" t="str">
        <f aca="false">IF($B142="","",$C$2+$E$2+$G$2+SUM($I$5:$I142)-SUM($J$5:$J142))</f>
        <v/>
      </c>
      <c r="M142" s="12"/>
      <c r="N142" s="15" t="str">
        <f aca="false">IF($B142="","",IF(NOT(ISNUMBER($B142)),"日期格式不对",IF($C142="","未选资金账户",IF(AND(N($I142)=0,N($J142)=0),"收支都为空",IF(AND(N($I142)&gt;0,N($J142)&gt;0),"收支不能同时填",IF(AND($D142&lt;&gt;"",LEFT($O142,1)="⚠"),"项目编号不存在",IF(AND($M142="是",$F142=""),"工程回款必须填往来单位","√")))))))</f>
        <v/>
      </c>
      <c r="O142" s="16" t="str">
        <f aca="false">IF($D142="","",IFERROR(INDEX(对照清单!$B$5:$B$60,MATCH($D142,对照清单!$A$5:$A$60,0)),"⚠编号不存在"))</f>
        <v/>
      </c>
      <c r="P142" s="10" t="str">
        <f aca="false">IF($B142="","",IF(ISNUMBER($B142),TEXT($B142,"yyyy-mm"),"日期非法"))</f>
        <v/>
      </c>
      <c r="Q142" s="10" t="str">
        <f aca="false">IF($B142="","",IF(ISNUMBER($B142),YEAR($B142),"日期非法"))</f>
        <v/>
      </c>
    </row>
    <row r="143" customFormat="false" ht="15.75" hidden="false" customHeight="true" outlineLevel="0" collapsed="false">
      <c r="A143" s="10" t="str">
        <f aca="false">IF($B143="","",ROW()-4)</f>
        <v/>
      </c>
      <c r="B143" s="11"/>
      <c r="C143" s="12"/>
      <c r="D143" s="12"/>
      <c r="E143" s="12"/>
      <c r="F143" s="12"/>
      <c r="G143" s="12"/>
      <c r="H143" s="13"/>
      <c r="I143" s="4"/>
      <c r="J143" s="4"/>
      <c r="K143" s="14" t="str">
        <f aca="false">IF($B143="","",IF($C143="泓普",$C$2,IF($C143="仟茂",$E$2,IF($C143="现金",$G$2,0)))+SUMIFS($I$5:$I143,$C$5:$C143,$C143)-SUMIFS($J$5:$J143,$C$5:$C143,$C143))</f>
        <v/>
      </c>
      <c r="L143" s="14" t="str">
        <f aca="false">IF($B143="","",$C$2+$E$2+$G$2+SUM($I$5:$I143)-SUM($J$5:$J143))</f>
        <v/>
      </c>
      <c r="M143" s="12"/>
      <c r="N143" s="15" t="str">
        <f aca="false">IF($B143="","",IF(NOT(ISNUMBER($B143)),"日期格式不对",IF($C143="","未选资金账户",IF(AND(N($I143)=0,N($J143)=0),"收支都为空",IF(AND(N($I143)&gt;0,N($J143)&gt;0),"收支不能同时填",IF(AND($D143&lt;&gt;"",LEFT($O143,1)="⚠"),"项目编号不存在",IF(AND($M143="是",$F143=""),"工程回款必须填往来单位","√")))))))</f>
        <v/>
      </c>
      <c r="O143" s="16" t="str">
        <f aca="false">IF($D143="","",IFERROR(INDEX(对照清单!$B$5:$B$60,MATCH($D143,对照清单!$A$5:$A$60,0)),"⚠编号不存在"))</f>
        <v/>
      </c>
      <c r="P143" s="10" t="str">
        <f aca="false">IF($B143="","",IF(ISNUMBER($B143),TEXT($B143,"yyyy-mm"),"日期非法"))</f>
        <v/>
      </c>
      <c r="Q143" s="10" t="str">
        <f aca="false">IF($B143="","",IF(ISNUMBER($B143),YEAR($B143),"日期非法"))</f>
        <v/>
      </c>
    </row>
    <row r="144" customFormat="false" ht="15.75" hidden="false" customHeight="true" outlineLevel="0" collapsed="false">
      <c r="A144" s="10" t="str">
        <f aca="false">IF($B144="","",ROW()-4)</f>
        <v/>
      </c>
      <c r="B144" s="11"/>
      <c r="C144" s="12"/>
      <c r="D144" s="12"/>
      <c r="E144" s="12"/>
      <c r="F144" s="12"/>
      <c r="G144" s="12"/>
      <c r="H144" s="13"/>
      <c r="I144" s="4"/>
      <c r="J144" s="4"/>
      <c r="K144" s="14" t="str">
        <f aca="false">IF($B144="","",IF($C144="泓普",$C$2,IF($C144="仟茂",$E$2,IF($C144="现金",$G$2,0)))+SUMIFS($I$5:$I144,$C$5:$C144,$C144)-SUMIFS($J$5:$J144,$C$5:$C144,$C144))</f>
        <v/>
      </c>
      <c r="L144" s="14" t="str">
        <f aca="false">IF($B144="","",$C$2+$E$2+$G$2+SUM($I$5:$I144)-SUM($J$5:$J144))</f>
        <v/>
      </c>
      <c r="M144" s="12"/>
      <c r="N144" s="15" t="str">
        <f aca="false">IF($B144="","",IF(NOT(ISNUMBER($B144)),"日期格式不对",IF($C144="","未选资金账户",IF(AND(N($I144)=0,N($J144)=0),"收支都为空",IF(AND(N($I144)&gt;0,N($J144)&gt;0),"收支不能同时填",IF(AND($D144&lt;&gt;"",LEFT($O144,1)="⚠"),"项目编号不存在",IF(AND($M144="是",$F144=""),"工程回款必须填往来单位","√")))))))</f>
        <v/>
      </c>
      <c r="O144" s="16" t="str">
        <f aca="false">IF($D144="","",IFERROR(INDEX(对照清单!$B$5:$B$60,MATCH($D144,对照清单!$A$5:$A$60,0)),"⚠编号不存在"))</f>
        <v/>
      </c>
      <c r="P144" s="10" t="str">
        <f aca="false">IF($B144="","",IF(ISNUMBER($B144),TEXT($B144,"yyyy-mm"),"日期非法"))</f>
        <v/>
      </c>
      <c r="Q144" s="10" t="str">
        <f aca="false">IF($B144="","",IF(ISNUMBER($B144),YEAR($B144),"日期非法"))</f>
        <v/>
      </c>
    </row>
    <row r="145" customFormat="false" ht="15.75" hidden="false" customHeight="true" outlineLevel="0" collapsed="false">
      <c r="A145" s="10" t="str">
        <f aca="false">IF($B145="","",ROW()-4)</f>
        <v/>
      </c>
      <c r="B145" s="11"/>
      <c r="C145" s="12"/>
      <c r="D145" s="12"/>
      <c r="E145" s="12"/>
      <c r="F145" s="12"/>
      <c r="G145" s="12"/>
      <c r="H145" s="13"/>
      <c r="I145" s="4"/>
      <c r="J145" s="4"/>
      <c r="K145" s="14" t="str">
        <f aca="false">IF($B145="","",IF($C145="泓普",$C$2,IF($C145="仟茂",$E$2,IF($C145="现金",$G$2,0)))+SUMIFS($I$5:$I145,$C$5:$C145,$C145)-SUMIFS($J$5:$J145,$C$5:$C145,$C145))</f>
        <v/>
      </c>
      <c r="L145" s="14" t="str">
        <f aca="false">IF($B145="","",$C$2+$E$2+$G$2+SUM($I$5:$I145)-SUM($J$5:$J145))</f>
        <v/>
      </c>
      <c r="M145" s="12"/>
      <c r="N145" s="15" t="str">
        <f aca="false">IF($B145="","",IF(NOT(ISNUMBER($B145)),"日期格式不对",IF($C145="","未选资金账户",IF(AND(N($I145)=0,N($J145)=0),"收支都为空",IF(AND(N($I145)&gt;0,N($J145)&gt;0),"收支不能同时填",IF(AND($D145&lt;&gt;"",LEFT($O145,1)="⚠"),"项目编号不存在",IF(AND($M145="是",$F145=""),"工程回款必须填往来单位","√")))))))</f>
        <v/>
      </c>
      <c r="O145" s="16" t="str">
        <f aca="false">IF($D145="","",IFERROR(INDEX(对照清单!$B$5:$B$60,MATCH($D145,对照清单!$A$5:$A$60,0)),"⚠编号不存在"))</f>
        <v/>
      </c>
      <c r="P145" s="10" t="str">
        <f aca="false">IF($B145="","",IF(ISNUMBER($B145),TEXT($B145,"yyyy-mm"),"日期非法"))</f>
        <v/>
      </c>
      <c r="Q145" s="10" t="str">
        <f aca="false">IF($B145="","",IF(ISNUMBER($B145),YEAR($B145),"日期非法"))</f>
        <v/>
      </c>
    </row>
    <row r="146" customFormat="false" ht="15.75" hidden="false" customHeight="true" outlineLevel="0" collapsed="false">
      <c r="A146" s="10" t="str">
        <f aca="false">IF($B146="","",ROW()-4)</f>
        <v/>
      </c>
      <c r="B146" s="11"/>
      <c r="C146" s="12"/>
      <c r="D146" s="12"/>
      <c r="E146" s="12"/>
      <c r="F146" s="12"/>
      <c r="G146" s="12"/>
      <c r="H146" s="13"/>
      <c r="I146" s="4"/>
      <c r="J146" s="4"/>
      <c r="K146" s="14" t="str">
        <f aca="false">IF($B146="","",IF($C146="泓普",$C$2,IF($C146="仟茂",$E$2,IF($C146="现金",$G$2,0)))+SUMIFS($I$5:$I146,$C$5:$C146,$C146)-SUMIFS($J$5:$J146,$C$5:$C146,$C146))</f>
        <v/>
      </c>
      <c r="L146" s="14" t="str">
        <f aca="false">IF($B146="","",$C$2+$E$2+$G$2+SUM($I$5:$I146)-SUM($J$5:$J146))</f>
        <v/>
      </c>
      <c r="M146" s="12"/>
      <c r="N146" s="15" t="str">
        <f aca="false">IF($B146="","",IF(NOT(ISNUMBER($B146)),"日期格式不对",IF($C146="","未选资金账户",IF(AND(N($I146)=0,N($J146)=0),"收支都为空",IF(AND(N($I146)&gt;0,N($J146)&gt;0),"收支不能同时填",IF(AND($D146&lt;&gt;"",LEFT($O146,1)="⚠"),"项目编号不存在",IF(AND($M146="是",$F146=""),"工程回款必须填往来单位","√")))))))</f>
        <v/>
      </c>
      <c r="O146" s="16" t="str">
        <f aca="false">IF($D146="","",IFERROR(INDEX(对照清单!$B$5:$B$60,MATCH($D146,对照清单!$A$5:$A$60,0)),"⚠编号不存在"))</f>
        <v/>
      </c>
      <c r="P146" s="10" t="str">
        <f aca="false">IF($B146="","",IF(ISNUMBER($B146),TEXT($B146,"yyyy-mm"),"日期非法"))</f>
        <v/>
      </c>
      <c r="Q146" s="10" t="str">
        <f aca="false">IF($B146="","",IF(ISNUMBER($B146),YEAR($B146),"日期非法"))</f>
        <v/>
      </c>
    </row>
    <row r="147" customFormat="false" ht="15.75" hidden="false" customHeight="true" outlineLevel="0" collapsed="false">
      <c r="A147" s="10" t="str">
        <f aca="false">IF($B147="","",ROW()-4)</f>
        <v/>
      </c>
      <c r="B147" s="11"/>
      <c r="C147" s="12"/>
      <c r="D147" s="12"/>
      <c r="E147" s="12"/>
      <c r="F147" s="12"/>
      <c r="G147" s="12"/>
      <c r="H147" s="13"/>
      <c r="I147" s="4"/>
      <c r="J147" s="4"/>
      <c r="K147" s="14" t="str">
        <f aca="false">IF($B147="","",IF($C147="泓普",$C$2,IF($C147="仟茂",$E$2,IF($C147="现金",$G$2,0)))+SUMIFS($I$5:$I147,$C$5:$C147,$C147)-SUMIFS($J$5:$J147,$C$5:$C147,$C147))</f>
        <v/>
      </c>
      <c r="L147" s="14" t="str">
        <f aca="false">IF($B147="","",$C$2+$E$2+$G$2+SUM($I$5:$I147)-SUM($J$5:$J147))</f>
        <v/>
      </c>
      <c r="M147" s="12"/>
      <c r="N147" s="15" t="str">
        <f aca="false">IF($B147="","",IF(NOT(ISNUMBER($B147)),"日期格式不对",IF($C147="","未选资金账户",IF(AND(N($I147)=0,N($J147)=0),"收支都为空",IF(AND(N($I147)&gt;0,N($J147)&gt;0),"收支不能同时填",IF(AND($D147&lt;&gt;"",LEFT($O147,1)="⚠"),"项目编号不存在",IF(AND($M147="是",$F147=""),"工程回款必须填往来单位","√")))))))</f>
        <v/>
      </c>
      <c r="O147" s="16" t="str">
        <f aca="false">IF($D147="","",IFERROR(INDEX(对照清单!$B$5:$B$60,MATCH($D147,对照清单!$A$5:$A$60,0)),"⚠编号不存在"))</f>
        <v/>
      </c>
      <c r="P147" s="10" t="str">
        <f aca="false">IF($B147="","",IF(ISNUMBER($B147),TEXT($B147,"yyyy-mm"),"日期非法"))</f>
        <v/>
      </c>
      <c r="Q147" s="10" t="str">
        <f aca="false">IF($B147="","",IF(ISNUMBER($B147),YEAR($B147),"日期非法"))</f>
        <v/>
      </c>
    </row>
    <row r="148" customFormat="false" ht="15.75" hidden="false" customHeight="true" outlineLevel="0" collapsed="false">
      <c r="A148" s="10" t="str">
        <f aca="false">IF($B148="","",ROW()-4)</f>
        <v/>
      </c>
      <c r="B148" s="11"/>
      <c r="C148" s="12"/>
      <c r="D148" s="12"/>
      <c r="E148" s="12"/>
      <c r="F148" s="12"/>
      <c r="G148" s="12"/>
      <c r="H148" s="13"/>
      <c r="I148" s="4"/>
      <c r="J148" s="4"/>
      <c r="K148" s="14" t="str">
        <f aca="false">IF($B148="","",IF($C148="泓普",$C$2,IF($C148="仟茂",$E$2,IF($C148="现金",$G$2,0)))+SUMIFS($I$5:$I148,$C$5:$C148,$C148)-SUMIFS($J$5:$J148,$C$5:$C148,$C148))</f>
        <v/>
      </c>
      <c r="L148" s="14" t="str">
        <f aca="false">IF($B148="","",$C$2+$E$2+$G$2+SUM($I$5:$I148)-SUM($J$5:$J148))</f>
        <v/>
      </c>
      <c r="M148" s="12"/>
      <c r="N148" s="15" t="str">
        <f aca="false">IF($B148="","",IF(NOT(ISNUMBER($B148)),"日期格式不对",IF($C148="","未选资金账户",IF(AND(N($I148)=0,N($J148)=0),"收支都为空",IF(AND(N($I148)&gt;0,N($J148)&gt;0),"收支不能同时填",IF(AND($D148&lt;&gt;"",LEFT($O148,1)="⚠"),"项目编号不存在",IF(AND($M148="是",$F148=""),"工程回款必须填往来单位","√")))))))</f>
        <v/>
      </c>
      <c r="O148" s="16" t="str">
        <f aca="false">IF($D148="","",IFERROR(INDEX(对照清单!$B$5:$B$60,MATCH($D148,对照清单!$A$5:$A$60,0)),"⚠编号不存在"))</f>
        <v/>
      </c>
      <c r="P148" s="10" t="str">
        <f aca="false">IF($B148="","",IF(ISNUMBER($B148),TEXT($B148,"yyyy-mm"),"日期非法"))</f>
        <v/>
      </c>
      <c r="Q148" s="10" t="str">
        <f aca="false">IF($B148="","",IF(ISNUMBER($B148),YEAR($B148),"日期非法"))</f>
        <v/>
      </c>
    </row>
    <row r="149" customFormat="false" ht="15.75" hidden="false" customHeight="true" outlineLevel="0" collapsed="false">
      <c r="A149" s="10" t="str">
        <f aca="false">IF($B149="","",ROW()-4)</f>
        <v/>
      </c>
      <c r="B149" s="11"/>
      <c r="C149" s="12"/>
      <c r="D149" s="12"/>
      <c r="E149" s="12"/>
      <c r="F149" s="12"/>
      <c r="G149" s="12"/>
      <c r="H149" s="13"/>
      <c r="I149" s="4"/>
      <c r="J149" s="4"/>
      <c r="K149" s="14" t="str">
        <f aca="false">IF($B149="","",IF($C149="泓普",$C$2,IF($C149="仟茂",$E$2,IF($C149="现金",$G$2,0)))+SUMIFS($I$5:$I149,$C$5:$C149,$C149)-SUMIFS($J$5:$J149,$C$5:$C149,$C149))</f>
        <v/>
      </c>
      <c r="L149" s="14" t="str">
        <f aca="false">IF($B149="","",$C$2+$E$2+$G$2+SUM($I$5:$I149)-SUM($J$5:$J149))</f>
        <v/>
      </c>
      <c r="M149" s="12"/>
      <c r="N149" s="15" t="str">
        <f aca="false">IF($B149="","",IF(NOT(ISNUMBER($B149)),"日期格式不对",IF($C149="","未选资金账户",IF(AND(N($I149)=0,N($J149)=0),"收支都为空",IF(AND(N($I149)&gt;0,N($J149)&gt;0),"收支不能同时填",IF(AND($D149&lt;&gt;"",LEFT($O149,1)="⚠"),"项目编号不存在",IF(AND($M149="是",$F149=""),"工程回款必须填往来单位","√")))))))</f>
        <v/>
      </c>
      <c r="O149" s="16" t="str">
        <f aca="false">IF($D149="","",IFERROR(INDEX(对照清单!$B$5:$B$60,MATCH($D149,对照清单!$A$5:$A$60,0)),"⚠编号不存在"))</f>
        <v/>
      </c>
      <c r="P149" s="10" t="str">
        <f aca="false">IF($B149="","",IF(ISNUMBER($B149),TEXT($B149,"yyyy-mm"),"日期非法"))</f>
        <v/>
      </c>
      <c r="Q149" s="10" t="str">
        <f aca="false">IF($B149="","",IF(ISNUMBER($B149),YEAR($B149),"日期非法"))</f>
        <v/>
      </c>
    </row>
    <row r="150" customFormat="false" ht="15.75" hidden="false" customHeight="true" outlineLevel="0" collapsed="false">
      <c r="A150" s="10" t="str">
        <f aca="false">IF($B150="","",ROW()-4)</f>
        <v/>
      </c>
      <c r="B150" s="11"/>
      <c r="C150" s="12"/>
      <c r="D150" s="12"/>
      <c r="E150" s="12"/>
      <c r="F150" s="12"/>
      <c r="G150" s="12"/>
      <c r="H150" s="13"/>
      <c r="I150" s="4"/>
      <c r="J150" s="4"/>
      <c r="K150" s="14" t="str">
        <f aca="false">IF($B150="","",IF($C150="泓普",$C$2,IF($C150="仟茂",$E$2,IF($C150="现金",$G$2,0)))+SUMIFS($I$5:$I150,$C$5:$C150,$C150)-SUMIFS($J$5:$J150,$C$5:$C150,$C150))</f>
        <v/>
      </c>
      <c r="L150" s="14" t="str">
        <f aca="false">IF($B150="","",$C$2+$E$2+$G$2+SUM($I$5:$I150)-SUM($J$5:$J150))</f>
        <v/>
      </c>
      <c r="M150" s="12"/>
      <c r="N150" s="15" t="str">
        <f aca="false">IF($B150="","",IF(NOT(ISNUMBER($B150)),"日期格式不对",IF($C150="","未选资金账户",IF(AND(N($I150)=0,N($J150)=0),"收支都为空",IF(AND(N($I150)&gt;0,N($J150)&gt;0),"收支不能同时填",IF(AND($D150&lt;&gt;"",LEFT($O150,1)="⚠"),"项目编号不存在",IF(AND($M150="是",$F150=""),"工程回款必须填往来单位","√")))))))</f>
        <v/>
      </c>
      <c r="O150" s="16" t="str">
        <f aca="false">IF($D150="","",IFERROR(INDEX(对照清单!$B$5:$B$60,MATCH($D150,对照清单!$A$5:$A$60,0)),"⚠编号不存在"))</f>
        <v/>
      </c>
      <c r="P150" s="10" t="str">
        <f aca="false">IF($B150="","",IF(ISNUMBER($B150),TEXT($B150,"yyyy-mm"),"日期非法"))</f>
        <v/>
      </c>
      <c r="Q150" s="10" t="str">
        <f aca="false">IF($B150="","",IF(ISNUMBER($B150),YEAR($B150),"日期非法"))</f>
        <v/>
      </c>
    </row>
    <row r="151" customFormat="false" ht="15.75" hidden="false" customHeight="true" outlineLevel="0" collapsed="false">
      <c r="A151" s="10" t="str">
        <f aca="false">IF($B151="","",ROW()-4)</f>
        <v/>
      </c>
      <c r="B151" s="11"/>
      <c r="C151" s="12"/>
      <c r="D151" s="12"/>
      <c r="E151" s="12"/>
      <c r="F151" s="12"/>
      <c r="G151" s="12"/>
      <c r="H151" s="13"/>
      <c r="I151" s="4"/>
      <c r="J151" s="4"/>
      <c r="K151" s="14" t="str">
        <f aca="false">IF($B151="","",IF($C151="泓普",$C$2,IF($C151="仟茂",$E$2,IF($C151="现金",$G$2,0)))+SUMIFS($I$5:$I151,$C$5:$C151,$C151)-SUMIFS($J$5:$J151,$C$5:$C151,$C151))</f>
        <v/>
      </c>
      <c r="L151" s="14" t="str">
        <f aca="false">IF($B151="","",$C$2+$E$2+$G$2+SUM($I$5:$I151)-SUM($J$5:$J151))</f>
        <v/>
      </c>
      <c r="M151" s="12"/>
      <c r="N151" s="15" t="str">
        <f aca="false">IF($B151="","",IF(NOT(ISNUMBER($B151)),"日期格式不对",IF($C151="","未选资金账户",IF(AND(N($I151)=0,N($J151)=0),"收支都为空",IF(AND(N($I151)&gt;0,N($J151)&gt;0),"收支不能同时填",IF(AND($D151&lt;&gt;"",LEFT($O151,1)="⚠"),"项目编号不存在",IF(AND($M151="是",$F151=""),"工程回款必须填往来单位","√")))))))</f>
        <v/>
      </c>
      <c r="O151" s="16" t="str">
        <f aca="false">IF($D151="","",IFERROR(INDEX(对照清单!$B$5:$B$60,MATCH($D151,对照清单!$A$5:$A$60,0)),"⚠编号不存在"))</f>
        <v/>
      </c>
      <c r="P151" s="10" t="str">
        <f aca="false">IF($B151="","",IF(ISNUMBER($B151),TEXT($B151,"yyyy-mm"),"日期非法"))</f>
        <v/>
      </c>
      <c r="Q151" s="10" t="str">
        <f aca="false">IF($B151="","",IF(ISNUMBER($B151),YEAR($B151),"日期非法"))</f>
        <v/>
      </c>
    </row>
    <row r="152" customFormat="false" ht="15.75" hidden="false" customHeight="true" outlineLevel="0" collapsed="false">
      <c r="A152" s="10" t="str">
        <f aca="false">IF($B152="","",ROW()-4)</f>
        <v/>
      </c>
      <c r="B152" s="11"/>
      <c r="C152" s="12"/>
      <c r="D152" s="12"/>
      <c r="E152" s="12"/>
      <c r="F152" s="12"/>
      <c r="G152" s="12"/>
      <c r="H152" s="13"/>
      <c r="I152" s="4"/>
      <c r="J152" s="4"/>
      <c r="K152" s="14" t="str">
        <f aca="false">IF($B152="","",IF($C152="泓普",$C$2,IF($C152="仟茂",$E$2,IF($C152="现金",$G$2,0)))+SUMIFS($I$5:$I152,$C$5:$C152,$C152)-SUMIFS($J$5:$J152,$C$5:$C152,$C152))</f>
        <v/>
      </c>
      <c r="L152" s="14" t="str">
        <f aca="false">IF($B152="","",$C$2+$E$2+$G$2+SUM($I$5:$I152)-SUM($J$5:$J152))</f>
        <v/>
      </c>
      <c r="M152" s="12"/>
      <c r="N152" s="15" t="str">
        <f aca="false">IF($B152="","",IF(NOT(ISNUMBER($B152)),"日期格式不对",IF($C152="","未选资金账户",IF(AND(N($I152)=0,N($J152)=0),"收支都为空",IF(AND(N($I152)&gt;0,N($J152)&gt;0),"收支不能同时填",IF(AND($D152&lt;&gt;"",LEFT($O152,1)="⚠"),"项目编号不存在",IF(AND($M152="是",$F152=""),"工程回款必须填往来单位","√")))))))</f>
        <v/>
      </c>
      <c r="O152" s="16" t="str">
        <f aca="false">IF($D152="","",IFERROR(INDEX(对照清单!$B$5:$B$60,MATCH($D152,对照清单!$A$5:$A$60,0)),"⚠编号不存在"))</f>
        <v/>
      </c>
      <c r="P152" s="10" t="str">
        <f aca="false">IF($B152="","",IF(ISNUMBER($B152),TEXT($B152,"yyyy-mm"),"日期非法"))</f>
        <v/>
      </c>
      <c r="Q152" s="10" t="str">
        <f aca="false">IF($B152="","",IF(ISNUMBER($B152),YEAR($B152),"日期非法"))</f>
        <v/>
      </c>
    </row>
    <row r="153" customFormat="false" ht="15.75" hidden="false" customHeight="true" outlineLevel="0" collapsed="false">
      <c r="A153" s="10" t="str">
        <f aca="false">IF($B153="","",ROW()-4)</f>
        <v/>
      </c>
      <c r="B153" s="11"/>
      <c r="C153" s="12"/>
      <c r="D153" s="12"/>
      <c r="E153" s="12"/>
      <c r="F153" s="12"/>
      <c r="G153" s="12"/>
      <c r="H153" s="13"/>
      <c r="I153" s="4"/>
      <c r="J153" s="4"/>
      <c r="K153" s="14" t="str">
        <f aca="false">IF($B153="","",IF($C153="泓普",$C$2,IF($C153="仟茂",$E$2,IF($C153="现金",$G$2,0)))+SUMIFS($I$5:$I153,$C$5:$C153,$C153)-SUMIFS($J$5:$J153,$C$5:$C153,$C153))</f>
        <v/>
      </c>
      <c r="L153" s="14" t="str">
        <f aca="false">IF($B153="","",$C$2+$E$2+$G$2+SUM($I$5:$I153)-SUM($J$5:$J153))</f>
        <v/>
      </c>
      <c r="M153" s="12"/>
      <c r="N153" s="15" t="str">
        <f aca="false">IF($B153="","",IF(NOT(ISNUMBER($B153)),"日期格式不对",IF($C153="","未选资金账户",IF(AND(N($I153)=0,N($J153)=0),"收支都为空",IF(AND(N($I153)&gt;0,N($J153)&gt;0),"收支不能同时填",IF(AND($D153&lt;&gt;"",LEFT($O153,1)="⚠"),"项目编号不存在",IF(AND($M153="是",$F153=""),"工程回款必须填往来单位","√")))))))</f>
        <v/>
      </c>
      <c r="O153" s="16" t="str">
        <f aca="false">IF($D153="","",IFERROR(INDEX(对照清单!$B$5:$B$60,MATCH($D153,对照清单!$A$5:$A$60,0)),"⚠编号不存在"))</f>
        <v/>
      </c>
      <c r="P153" s="10" t="str">
        <f aca="false">IF($B153="","",IF(ISNUMBER($B153),TEXT($B153,"yyyy-mm"),"日期非法"))</f>
        <v/>
      </c>
      <c r="Q153" s="10" t="str">
        <f aca="false">IF($B153="","",IF(ISNUMBER($B153),YEAR($B153),"日期非法"))</f>
        <v/>
      </c>
    </row>
    <row r="154" customFormat="false" ht="15.75" hidden="false" customHeight="true" outlineLevel="0" collapsed="false">
      <c r="A154" s="10" t="str">
        <f aca="false">IF($B154="","",ROW()-4)</f>
        <v/>
      </c>
      <c r="B154" s="11"/>
      <c r="C154" s="12"/>
      <c r="D154" s="12"/>
      <c r="E154" s="12"/>
      <c r="F154" s="12"/>
      <c r="G154" s="12"/>
      <c r="H154" s="13"/>
      <c r="I154" s="4"/>
      <c r="J154" s="4"/>
      <c r="K154" s="14" t="str">
        <f aca="false">IF($B154="","",IF($C154="泓普",$C$2,IF($C154="仟茂",$E$2,IF($C154="现金",$G$2,0)))+SUMIFS($I$5:$I154,$C$5:$C154,$C154)-SUMIFS($J$5:$J154,$C$5:$C154,$C154))</f>
        <v/>
      </c>
      <c r="L154" s="14" t="str">
        <f aca="false">IF($B154="","",$C$2+$E$2+$G$2+SUM($I$5:$I154)-SUM($J$5:$J154))</f>
        <v/>
      </c>
      <c r="M154" s="12"/>
      <c r="N154" s="15" t="str">
        <f aca="false">IF($B154="","",IF(NOT(ISNUMBER($B154)),"日期格式不对",IF($C154="","未选资金账户",IF(AND(N($I154)=0,N($J154)=0),"收支都为空",IF(AND(N($I154)&gt;0,N($J154)&gt;0),"收支不能同时填",IF(AND($D154&lt;&gt;"",LEFT($O154,1)="⚠"),"项目编号不存在",IF(AND($M154="是",$F154=""),"工程回款必须填往来单位","√")))))))</f>
        <v/>
      </c>
      <c r="O154" s="16" t="str">
        <f aca="false">IF($D154="","",IFERROR(INDEX(对照清单!$B$5:$B$60,MATCH($D154,对照清单!$A$5:$A$60,0)),"⚠编号不存在"))</f>
        <v/>
      </c>
      <c r="P154" s="10" t="str">
        <f aca="false">IF($B154="","",IF(ISNUMBER($B154),TEXT($B154,"yyyy-mm"),"日期非法"))</f>
        <v/>
      </c>
      <c r="Q154" s="10" t="str">
        <f aca="false">IF($B154="","",IF(ISNUMBER($B154),YEAR($B154),"日期非法"))</f>
        <v/>
      </c>
    </row>
    <row r="155" customFormat="false" ht="15.75" hidden="false" customHeight="true" outlineLevel="0" collapsed="false">
      <c r="A155" s="10" t="str">
        <f aca="false">IF($B155="","",ROW()-4)</f>
        <v/>
      </c>
      <c r="B155" s="11"/>
      <c r="C155" s="12"/>
      <c r="D155" s="12"/>
      <c r="E155" s="12"/>
      <c r="F155" s="12"/>
      <c r="G155" s="12"/>
      <c r="H155" s="13"/>
      <c r="I155" s="4"/>
      <c r="J155" s="4"/>
      <c r="K155" s="14" t="str">
        <f aca="false">IF($B155="","",IF($C155="泓普",$C$2,IF($C155="仟茂",$E$2,IF($C155="现金",$G$2,0)))+SUMIFS($I$5:$I155,$C$5:$C155,$C155)-SUMIFS($J$5:$J155,$C$5:$C155,$C155))</f>
        <v/>
      </c>
      <c r="L155" s="14" t="str">
        <f aca="false">IF($B155="","",$C$2+$E$2+$G$2+SUM($I$5:$I155)-SUM($J$5:$J155))</f>
        <v/>
      </c>
      <c r="M155" s="12"/>
      <c r="N155" s="15" t="str">
        <f aca="false">IF($B155="","",IF(NOT(ISNUMBER($B155)),"日期格式不对",IF($C155="","未选资金账户",IF(AND(N($I155)=0,N($J155)=0),"收支都为空",IF(AND(N($I155)&gt;0,N($J155)&gt;0),"收支不能同时填",IF(AND($D155&lt;&gt;"",LEFT($O155,1)="⚠"),"项目编号不存在",IF(AND($M155="是",$F155=""),"工程回款必须填往来单位","√")))))))</f>
        <v/>
      </c>
      <c r="O155" s="16" t="str">
        <f aca="false">IF($D155="","",IFERROR(INDEX(对照清单!$B$5:$B$60,MATCH($D155,对照清单!$A$5:$A$60,0)),"⚠编号不存在"))</f>
        <v/>
      </c>
      <c r="P155" s="10" t="str">
        <f aca="false">IF($B155="","",IF(ISNUMBER($B155),TEXT($B155,"yyyy-mm"),"日期非法"))</f>
        <v/>
      </c>
      <c r="Q155" s="10" t="str">
        <f aca="false">IF($B155="","",IF(ISNUMBER($B155),YEAR($B155),"日期非法"))</f>
        <v/>
      </c>
    </row>
    <row r="156" customFormat="false" ht="15.75" hidden="false" customHeight="true" outlineLevel="0" collapsed="false">
      <c r="A156" s="10" t="str">
        <f aca="false">IF($B156="","",ROW()-4)</f>
        <v/>
      </c>
      <c r="B156" s="11"/>
      <c r="C156" s="12"/>
      <c r="D156" s="12"/>
      <c r="E156" s="12"/>
      <c r="F156" s="12"/>
      <c r="G156" s="12"/>
      <c r="H156" s="13"/>
      <c r="I156" s="4"/>
      <c r="J156" s="4"/>
      <c r="K156" s="14" t="str">
        <f aca="false">IF($B156="","",IF($C156="泓普",$C$2,IF($C156="仟茂",$E$2,IF($C156="现金",$G$2,0)))+SUMIFS($I$5:$I156,$C$5:$C156,$C156)-SUMIFS($J$5:$J156,$C$5:$C156,$C156))</f>
        <v/>
      </c>
      <c r="L156" s="14" t="str">
        <f aca="false">IF($B156="","",$C$2+$E$2+$G$2+SUM($I$5:$I156)-SUM($J$5:$J156))</f>
        <v/>
      </c>
      <c r="M156" s="12"/>
      <c r="N156" s="15" t="str">
        <f aca="false">IF($B156="","",IF(NOT(ISNUMBER($B156)),"日期格式不对",IF($C156="","未选资金账户",IF(AND(N($I156)=0,N($J156)=0),"收支都为空",IF(AND(N($I156)&gt;0,N($J156)&gt;0),"收支不能同时填",IF(AND($D156&lt;&gt;"",LEFT($O156,1)="⚠"),"项目编号不存在",IF(AND($M156="是",$F156=""),"工程回款必须填往来单位","√")))))))</f>
        <v/>
      </c>
      <c r="O156" s="16" t="str">
        <f aca="false">IF($D156="","",IFERROR(INDEX(对照清单!$B$5:$B$60,MATCH($D156,对照清单!$A$5:$A$60,0)),"⚠编号不存在"))</f>
        <v/>
      </c>
      <c r="P156" s="10" t="str">
        <f aca="false">IF($B156="","",IF(ISNUMBER($B156),TEXT($B156,"yyyy-mm"),"日期非法"))</f>
        <v/>
      </c>
      <c r="Q156" s="10" t="str">
        <f aca="false">IF($B156="","",IF(ISNUMBER($B156),YEAR($B156),"日期非法"))</f>
        <v/>
      </c>
    </row>
    <row r="157" customFormat="false" ht="15.75" hidden="false" customHeight="true" outlineLevel="0" collapsed="false">
      <c r="A157" s="10" t="str">
        <f aca="false">IF($B157="","",ROW()-4)</f>
        <v/>
      </c>
      <c r="B157" s="11"/>
      <c r="C157" s="12"/>
      <c r="D157" s="12"/>
      <c r="E157" s="12"/>
      <c r="F157" s="12"/>
      <c r="G157" s="12"/>
      <c r="H157" s="13"/>
      <c r="I157" s="4"/>
      <c r="J157" s="4"/>
      <c r="K157" s="14" t="str">
        <f aca="false">IF($B157="","",IF($C157="泓普",$C$2,IF($C157="仟茂",$E$2,IF($C157="现金",$G$2,0)))+SUMIFS($I$5:$I157,$C$5:$C157,$C157)-SUMIFS($J$5:$J157,$C$5:$C157,$C157))</f>
        <v/>
      </c>
      <c r="L157" s="14" t="str">
        <f aca="false">IF($B157="","",$C$2+$E$2+$G$2+SUM($I$5:$I157)-SUM($J$5:$J157))</f>
        <v/>
      </c>
      <c r="M157" s="12"/>
      <c r="N157" s="15" t="str">
        <f aca="false">IF($B157="","",IF(NOT(ISNUMBER($B157)),"日期格式不对",IF($C157="","未选资金账户",IF(AND(N($I157)=0,N($J157)=0),"收支都为空",IF(AND(N($I157)&gt;0,N($J157)&gt;0),"收支不能同时填",IF(AND($D157&lt;&gt;"",LEFT($O157,1)="⚠"),"项目编号不存在",IF(AND($M157="是",$F157=""),"工程回款必须填往来单位","√")))))))</f>
        <v/>
      </c>
      <c r="O157" s="16" t="str">
        <f aca="false">IF($D157="","",IFERROR(INDEX(对照清单!$B$5:$B$60,MATCH($D157,对照清单!$A$5:$A$60,0)),"⚠编号不存在"))</f>
        <v/>
      </c>
      <c r="P157" s="10" t="str">
        <f aca="false">IF($B157="","",IF(ISNUMBER($B157),TEXT($B157,"yyyy-mm"),"日期非法"))</f>
        <v/>
      </c>
      <c r="Q157" s="10" t="str">
        <f aca="false">IF($B157="","",IF(ISNUMBER($B157),YEAR($B157),"日期非法"))</f>
        <v/>
      </c>
    </row>
    <row r="158" customFormat="false" ht="15.75" hidden="false" customHeight="true" outlineLevel="0" collapsed="false">
      <c r="A158" s="10" t="str">
        <f aca="false">IF($B158="","",ROW()-4)</f>
        <v/>
      </c>
      <c r="B158" s="11"/>
      <c r="C158" s="12"/>
      <c r="D158" s="12"/>
      <c r="E158" s="12"/>
      <c r="F158" s="12"/>
      <c r="G158" s="12"/>
      <c r="H158" s="13"/>
      <c r="I158" s="4"/>
      <c r="J158" s="4"/>
      <c r="K158" s="14" t="str">
        <f aca="false">IF($B158="","",IF($C158="泓普",$C$2,IF($C158="仟茂",$E$2,IF($C158="现金",$G$2,0)))+SUMIFS($I$5:$I158,$C$5:$C158,$C158)-SUMIFS($J$5:$J158,$C$5:$C158,$C158))</f>
        <v/>
      </c>
      <c r="L158" s="14" t="str">
        <f aca="false">IF($B158="","",$C$2+$E$2+$G$2+SUM($I$5:$I158)-SUM($J$5:$J158))</f>
        <v/>
      </c>
      <c r="M158" s="12"/>
      <c r="N158" s="15" t="str">
        <f aca="false">IF($B158="","",IF(NOT(ISNUMBER($B158)),"日期格式不对",IF($C158="","未选资金账户",IF(AND(N($I158)=0,N($J158)=0),"收支都为空",IF(AND(N($I158)&gt;0,N($J158)&gt;0),"收支不能同时填",IF(AND($D158&lt;&gt;"",LEFT($O158,1)="⚠"),"项目编号不存在",IF(AND($M158="是",$F158=""),"工程回款必须填往来单位","√")))))))</f>
        <v/>
      </c>
      <c r="O158" s="16" t="str">
        <f aca="false">IF($D158="","",IFERROR(INDEX(对照清单!$B$5:$B$60,MATCH($D158,对照清单!$A$5:$A$60,0)),"⚠编号不存在"))</f>
        <v/>
      </c>
      <c r="P158" s="10" t="str">
        <f aca="false">IF($B158="","",IF(ISNUMBER($B158),TEXT($B158,"yyyy-mm"),"日期非法"))</f>
        <v/>
      </c>
      <c r="Q158" s="10" t="str">
        <f aca="false">IF($B158="","",IF(ISNUMBER($B158),YEAR($B158),"日期非法"))</f>
        <v/>
      </c>
    </row>
    <row r="159" customFormat="false" ht="15.75" hidden="false" customHeight="true" outlineLevel="0" collapsed="false">
      <c r="A159" s="10" t="str">
        <f aca="false">IF($B159="","",ROW()-4)</f>
        <v/>
      </c>
      <c r="B159" s="11"/>
      <c r="C159" s="12"/>
      <c r="D159" s="12"/>
      <c r="E159" s="12"/>
      <c r="F159" s="12"/>
      <c r="G159" s="12"/>
      <c r="H159" s="13"/>
      <c r="I159" s="4"/>
      <c r="J159" s="4"/>
      <c r="K159" s="14" t="str">
        <f aca="false">IF($B159="","",IF($C159="泓普",$C$2,IF($C159="仟茂",$E$2,IF($C159="现金",$G$2,0)))+SUMIFS($I$5:$I159,$C$5:$C159,$C159)-SUMIFS($J$5:$J159,$C$5:$C159,$C159))</f>
        <v/>
      </c>
      <c r="L159" s="14" t="str">
        <f aca="false">IF($B159="","",$C$2+$E$2+$G$2+SUM($I$5:$I159)-SUM($J$5:$J159))</f>
        <v/>
      </c>
      <c r="M159" s="12"/>
      <c r="N159" s="15" t="str">
        <f aca="false">IF($B159="","",IF(NOT(ISNUMBER($B159)),"日期格式不对",IF($C159="","未选资金账户",IF(AND(N($I159)=0,N($J159)=0),"收支都为空",IF(AND(N($I159)&gt;0,N($J159)&gt;0),"收支不能同时填",IF(AND($D159&lt;&gt;"",LEFT($O159,1)="⚠"),"项目编号不存在",IF(AND($M159="是",$F159=""),"工程回款必须填往来单位","√")))))))</f>
        <v/>
      </c>
      <c r="O159" s="16" t="str">
        <f aca="false">IF($D159="","",IFERROR(INDEX(对照清单!$B$5:$B$60,MATCH($D159,对照清单!$A$5:$A$60,0)),"⚠编号不存在"))</f>
        <v/>
      </c>
      <c r="P159" s="10" t="str">
        <f aca="false">IF($B159="","",IF(ISNUMBER($B159),TEXT($B159,"yyyy-mm"),"日期非法"))</f>
        <v/>
      </c>
      <c r="Q159" s="10" t="str">
        <f aca="false">IF($B159="","",IF(ISNUMBER($B159),YEAR($B159),"日期非法"))</f>
        <v/>
      </c>
    </row>
    <row r="160" customFormat="false" ht="15.75" hidden="false" customHeight="true" outlineLevel="0" collapsed="false">
      <c r="A160" s="10" t="str">
        <f aca="false">IF($B160="","",ROW()-4)</f>
        <v/>
      </c>
      <c r="B160" s="11"/>
      <c r="C160" s="12"/>
      <c r="D160" s="12"/>
      <c r="E160" s="12"/>
      <c r="F160" s="12"/>
      <c r="G160" s="12"/>
      <c r="H160" s="13"/>
      <c r="I160" s="4"/>
      <c r="J160" s="4"/>
      <c r="K160" s="14" t="str">
        <f aca="false">IF($B160="","",IF($C160="泓普",$C$2,IF($C160="仟茂",$E$2,IF($C160="现金",$G$2,0)))+SUMIFS($I$5:$I160,$C$5:$C160,$C160)-SUMIFS($J$5:$J160,$C$5:$C160,$C160))</f>
        <v/>
      </c>
      <c r="L160" s="14" t="str">
        <f aca="false">IF($B160="","",$C$2+$E$2+$G$2+SUM($I$5:$I160)-SUM($J$5:$J160))</f>
        <v/>
      </c>
      <c r="M160" s="12"/>
      <c r="N160" s="15" t="str">
        <f aca="false">IF($B160="","",IF(NOT(ISNUMBER($B160)),"日期格式不对",IF($C160="","未选资金账户",IF(AND(N($I160)=0,N($J160)=0),"收支都为空",IF(AND(N($I160)&gt;0,N($J160)&gt;0),"收支不能同时填",IF(AND($D160&lt;&gt;"",LEFT($O160,1)="⚠"),"项目编号不存在",IF(AND($M160="是",$F160=""),"工程回款必须填往来单位","√")))))))</f>
        <v/>
      </c>
      <c r="O160" s="16" t="str">
        <f aca="false">IF($D160="","",IFERROR(INDEX(对照清单!$B$5:$B$60,MATCH($D160,对照清单!$A$5:$A$60,0)),"⚠编号不存在"))</f>
        <v/>
      </c>
      <c r="P160" s="10" t="str">
        <f aca="false">IF($B160="","",IF(ISNUMBER($B160),TEXT($B160,"yyyy-mm"),"日期非法"))</f>
        <v/>
      </c>
      <c r="Q160" s="10" t="str">
        <f aca="false">IF($B160="","",IF(ISNUMBER($B160),YEAR($B160),"日期非法"))</f>
        <v/>
      </c>
    </row>
    <row r="161" customFormat="false" ht="15.75" hidden="false" customHeight="true" outlineLevel="0" collapsed="false">
      <c r="A161" s="10" t="str">
        <f aca="false">IF($B161="","",ROW()-4)</f>
        <v/>
      </c>
      <c r="B161" s="11"/>
      <c r="C161" s="12"/>
      <c r="D161" s="12"/>
      <c r="E161" s="12"/>
      <c r="F161" s="12"/>
      <c r="G161" s="12"/>
      <c r="H161" s="13"/>
      <c r="I161" s="4"/>
      <c r="J161" s="4"/>
      <c r="K161" s="14" t="str">
        <f aca="false">IF($B161="","",IF($C161="泓普",$C$2,IF($C161="仟茂",$E$2,IF($C161="现金",$G$2,0)))+SUMIFS($I$5:$I161,$C$5:$C161,$C161)-SUMIFS($J$5:$J161,$C$5:$C161,$C161))</f>
        <v/>
      </c>
      <c r="L161" s="14" t="str">
        <f aca="false">IF($B161="","",$C$2+$E$2+$G$2+SUM($I$5:$I161)-SUM($J$5:$J161))</f>
        <v/>
      </c>
      <c r="M161" s="12"/>
      <c r="N161" s="15" t="str">
        <f aca="false">IF($B161="","",IF(NOT(ISNUMBER($B161)),"日期格式不对",IF($C161="","未选资金账户",IF(AND(N($I161)=0,N($J161)=0),"收支都为空",IF(AND(N($I161)&gt;0,N($J161)&gt;0),"收支不能同时填",IF(AND($D161&lt;&gt;"",LEFT($O161,1)="⚠"),"项目编号不存在",IF(AND($M161="是",$F161=""),"工程回款必须填往来单位","√")))))))</f>
        <v/>
      </c>
      <c r="O161" s="16" t="str">
        <f aca="false">IF($D161="","",IFERROR(INDEX(对照清单!$B$5:$B$60,MATCH($D161,对照清单!$A$5:$A$60,0)),"⚠编号不存在"))</f>
        <v/>
      </c>
      <c r="P161" s="10" t="str">
        <f aca="false">IF($B161="","",IF(ISNUMBER($B161),TEXT($B161,"yyyy-mm"),"日期非法"))</f>
        <v/>
      </c>
      <c r="Q161" s="10" t="str">
        <f aca="false">IF($B161="","",IF(ISNUMBER($B161),YEAR($B161),"日期非法"))</f>
        <v/>
      </c>
    </row>
    <row r="162" customFormat="false" ht="15.75" hidden="false" customHeight="true" outlineLevel="0" collapsed="false">
      <c r="A162" s="10" t="str">
        <f aca="false">IF($B162="","",ROW()-4)</f>
        <v/>
      </c>
      <c r="B162" s="11"/>
      <c r="C162" s="12"/>
      <c r="D162" s="12"/>
      <c r="E162" s="12"/>
      <c r="F162" s="12"/>
      <c r="G162" s="12"/>
      <c r="H162" s="13"/>
      <c r="I162" s="4"/>
      <c r="J162" s="4"/>
      <c r="K162" s="14" t="str">
        <f aca="false">IF($B162="","",IF($C162="泓普",$C$2,IF($C162="仟茂",$E$2,IF($C162="现金",$G$2,0)))+SUMIFS($I$5:$I162,$C$5:$C162,$C162)-SUMIFS($J$5:$J162,$C$5:$C162,$C162))</f>
        <v/>
      </c>
      <c r="L162" s="14" t="str">
        <f aca="false">IF($B162="","",$C$2+$E$2+$G$2+SUM($I$5:$I162)-SUM($J$5:$J162))</f>
        <v/>
      </c>
      <c r="M162" s="12"/>
      <c r="N162" s="15" t="str">
        <f aca="false">IF($B162="","",IF(NOT(ISNUMBER($B162)),"日期格式不对",IF($C162="","未选资金账户",IF(AND(N($I162)=0,N($J162)=0),"收支都为空",IF(AND(N($I162)&gt;0,N($J162)&gt;0),"收支不能同时填",IF(AND($D162&lt;&gt;"",LEFT($O162,1)="⚠"),"项目编号不存在",IF(AND($M162="是",$F162=""),"工程回款必须填往来单位","√")))))))</f>
        <v/>
      </c>
      <c r="O162" s="16" t="str">
        <f aca="false">IF($D162="","",IFERROR(INDEX(对照清单!$B$5:$B$60,MATCH($D162,对照清单!$A$5:$A$60,0)),"⚠编号不存在"))</f>
        <v/>
      </c>
      <c r="P162" s="10" t="str">
        <f aca="false">IF($B162="","",IF(ISNUMBER($B162),TEXT($B162,"yyyy-mm"),"日期非法"))</f>
        <v/>
      </c>
      <c r="Q162" s="10" t="str">
        <f aca="false">IF($B162="","",IF(ISNUMBER($B162),YEAR($B162),"日期非法"))</f>
        <v/>
      </c>
    </row>
    <row r="163" customFormat="false" ht="15.75" hidden="false" customHeight="true" outlineLevel="0" collapsed="false">
      <c r="A163" s="10" t="str">
        <f aca="false">IF($B163="","",ROW()-4)</f>
        <v/>
      </c>
      <c r="B163" s="11"/>
      <c r="C163" s="12"/>
      <c r="D163" s="12"/>
      <c r="E163" s="12"/>
      <c r="F163" s="12"/>
      <c r="G163" s="12"/>
      <c r="H163" s="13"/>
      <c r="I163" s="4"/>
      <c r="J163" s="4"/>
      <c r="K163" s="14" t="str">
        <f aca="false">IF($B163="","",IF($C163="泓普",$C$2,IF($C163="仟茂",$E$2,IF($C163="现金",$G$2,0)))+SUMIFS($I$5:$I163,$C$5:$C163,$C163)-SUMIFS($J$5:$J163,$C$5:$C163,$C163))</f>
        <v/>
      </c>
      <c r="L163" s="14" t="str">
        <f aca="false">IF($B163="","",$C$2+$E$2+$G$2+SUM($I$5:$I163)-SUM($J$5:$J163))</f>
        <v/>
      </c>
      <c r="M163" s="12"/>
      <c r="N163" s="15" t="str">
        <f aca="false">IF($B163="","",IF(NOT(ISNUMBER($B163)),"日期格式不对",IF($C163="","未选资金账户",IF(AND(N($I163)=0,N($J163)=0),"收支都为空",IF(AND(N($I163)&gt;0,N($J163)&gt;0),"收支不能同时填",IF(AND($D163&lt;&gt;"",LEFT($O163,1)="⚠"),"项目编号不存在",IF(AND($M163="是",$F163=""),"工程回款必须填往来单位","√")))))))</f>
        <v/>
      </c>
      <c r="O163" s="16" t="str">
        <f aca="false">IF($D163="","",IFERROR(INDEX(对照清单!$B$5:$B$60,MATCH($D163,对照清单!$A$5:$A$60,0)),"⚠编号不存在"))</f>
        <v/>
      </c>
      <c r="P163" s="10" t="str">
        <f aca="false">IF($B163="","",IF(ISNUMBER($B163),TEXT($B163,"yyyy-mm"),"日期非法"))</f>
        <v/>
      </c>
      <c r="Q163" s="10" t="str">
        <f aca="false">IF($B163="","",IF(ISNUMBER($B163),YEAR($B163),"日期非法"))</f>
        <v/>
      </c>
    </row>
    <row r="164" customFormat="false" ht="15.75" hidden="false" customHeight="true" outlineLevel="0" collapsed="false">
      <c r="A164" s="10" t="str">
        <f aca="false">IF($B164="","",ROW()-4)</f>
        <v/>
      </c>
      <c r="B164" s="11"/>
      <c r="C164" s="12"/>
      <c r="D164" s="12"/>
      <c r="E164" s="12"/>
      <c r="F164" s="12"/>
      <c r="G164" s="12"/>
      <c r="H164" s="13"/>
      <c r="I164" s="4"/>
      <c r="J164" s="4"/>
      <c r="K164" s="14" t="str">
        <f aca="false">IF($B164="","",IF($C164="泓普",$C$2,IF($C164="仟茂",$E$2,IF($C164="现金",$G$2,0)))+SUMIFS($I$5:$I164,$C$5:$C164,$C164)-SUMIFS($J$5:$J164,$C$5:$C164,$C164))</f>
        <v/>
      </c>
      <c r="L164" s="14" t="str">
        <f aca="false">IF($B164="","",$C$2+$E$2+$G$2+SUM($I$5:$I164)-SUM($J$5:$J164))</f>
        <v/>
      </c>
      <c r="M164" s="12"/>
      <c r="N164" s="15" t="str">
        <f aca="false">IF($B164="","",IF(NOT(ISNUMBER($B164)),"日期格式不对",IF($C164="","未选资金账户",IF(AND(N($I164)=0,N($J164)=0),"收支都为空",IF(AND(N($I164)&gt;0,N($J164)&gt;0),"收支不能同时填",IF(AND($D164&lt;&gt;"",LEFT($O164,1)="⚠"),"项目编号不存在",IF(AND($M164="是",$F164=""),"工程回款必须填往来单位","√")))))))</f>
        <v/>
      </c>
      <c r="O164" s="16" t="str">
        <f aca="false">IF($D164="","",IFERROR(INDEX(对照清单!$B$5:$B$60,MATCH($D164,对照清单!$A$5:$A$60,0)),"⚠编号不存在"))</f>
        <v/>
      </c>
      <c r="P164" s="10" t="str">
        <f aca="false">IF($B164="","",IF(ISNUMBER($B164),TEXT($B164,"yyyy-mm"),"日期非法"))</f>
        <v/>
      </c>
      <c r="Q164" s="10" t="str">
        <f aca="false">IF($B164="","",IF(ISNUMBER($B164),YEAR($B164),"日期非法"))</f>
        <v/>
      </c>
    </row>
    <row r="165" customFormat="false" ht="15.75" hidden="false" customHeight="true" outlineLevel="0" collapsed="false">
      <c r="A165" s="10" t="str">
        <f aca="false">IF($B165="","",ROW()-4)</f>
        <v/>
      </c>
      <c r="B165" s="11"/>
      <c r="C165" s="12"/>
      <c r="D165" s="12"/>
      <c r="E165" s="12"/>
      <c r="F165" s="12"/>
      <c r="G165" s="12"/>
      <c r="H165" s="13"/>
      <c r="I165" s="4"/>
      <c r="J165" s="4"/>
      <c r="K165" s="14" t="str">
        <f aca="false">IF($B165="","",IF($C165="泓普",$C$2,IF($C165="仟茂",$E$2,IF($C165="现金",$G$2,0)))+SUMIFS($I$5:$I165,$C$5:$C165,$C165)-SUMIFS($J$5:$J165,$C$5:$C165,$C165))</f>
        <v/>
      </c>
      <c r="L165" s="14" t="str">
        <f aca="false">IF($B165="","",$C$2+$E$2+$G$2+SUM($I$5:$I165)-SUM($J$5:$J165))</f>
        <v/>
      </c>
      <c r="M165" s="12"/>
      <c r="N165" s="15" t="str">
        <f aca="false">IF($B165="","",IF(NOT(ISNUMBER($B165)),"日期格式不对",IF($C165="","未选资金账户",IF(AND(N($I165)=0,N($J165)=0),"收支都为空",IF(AND(N($I165)&gt;0,N($J165)&gt;0),"收支不能同时填",IF(AND($D165&lt;&gt;"",LEFT($O165,1)="⚠"),"项目编号不存在",IF(AND($M165="是",$F165=""),"工程回款必须填往来单位","√")))))))</f>
        <v/>
      </c>
      <c r="O165" s="16" t="str">
        <f aca="false">IF($D165="","",IFERROR(INDEX(对照清单!$B$5:$B$60,MATCH($D165,对照清单!$A$5:$A$60,0)),"⚠编号不存在"))</f>
        <v/>
      </c>
      <c r="P165" s="10" t="str">
        <f aca="false">IF($B165="","",IF(ISNUMBER($B165),TEXT($B165,"yyyy-mm"),"日期非法"))</f>
        <v/>
      </c>
      <c r="Q165" s="10" t="str">
        <f aca="false">IF($B165="","",IF(ISNUMBER($B165),YEAR($B165),"日期非法"))</f>
        <v/>
      </c>
    </row>
    <row r="166" customFormat="false" ht="15.75" hidden="false" customHeight="true" outlineLevel="0" collapsed="false">
      <c r="A166" s="10" t="str">
        <f aca="false">IF($B166="","",ROW()-4)</f>
        <v/>
      </c>
      <c r="B166" s="11"/>
      <c r="C166" s="12"/>
      <c r="D166" s="12"/>
      <c r="E166" s="12"/>
      <c r="F166" s="12"/>
      <c r="G166" s="12"/>
      <c r="H166" s="13"/>
      <c r="I166" s="4"/>
      <c r="J166" s="4"/>
      <c r="K166" s="14" t="str">
        <f aca="false">IF($B166="","",IF($C166="泓普",$C$2,IF($C166="仟茂",$E$2,IF($C166="现金",$G$2,0)))+SUMIFS($I$5:$I166,$C$5:$C166,$C166)-SUMIFS($J$5:$J166,$C$5:$C166,$C166))</f>
        <v/>
      </c>
      <c r="L166" s="14" t="str">
        <f aca="false">IF($B166="","",$C$2+$E$2+$G$2+SUM($I$5:$I166)-SUM($J$5:$J166))</f>
        <v/>
      </c>
      <c r="M166" s="12"/>
      <c r="N166" s="15" t="str">
        <f aca="false">IF($B166="","",IF(NOT(ISNUMBER($B166)),"日期格式不对",IF($C166="","未选资金账户",IF(AND(N($I166)=0,N($J166)=0),"收支都为空",IF(AND(N($I166)&gt;0,N($J166)&gt;0),"收支不能同时填",IF(AND($D166&lt;&gt;"",LEFT($O166,1)="⚠"),"项目编号不存在",IF(AND($M166="是",$F166=""),"工程回款必须填往来单位","√")))))))</f>
        <v/>
      </c>
      <c r="O166" s="16" t="str">
        <f aca="false">IF($D166="","",IFERROR(INDEX(对照清单!$B$5:$B$60,MATCH($D166,对照清单!$A$5:$A$60,0)),"⚠编号不存在"))</f>
        <v/>
      </c>
      <c r="P166" s="10" t="str">
        <f aca="false">IF($B166="","",IF(ISNUMBER($B166),TEXT($B166,"yyyy-mm"),"日期非法"))</f>
        <v/>
      </c>
      <c r="Q166" s="10" t="str">
        <f aca="false">IF($B166="","",IF(ISNUMBER($B166),YEAR($B166),"日期非法"))</f>
        <v/>
      </c>
    </row>
    <row r="167" customFormat="false" ht="15.75" hidden="false" customHeight="true" outlineLevel="0" collapsed="false">
      <c r="A167" s="10" t="str">
        <f aca="false">IF($B167="","",ROW()-4)</f>
        <v/>
      </c>
      <c r="B167" s="11"/>
      <c r="C167" s="12"/>
      <c r="D167" s="12"/>
      <c r="E167" s="12"/>
      <c r="F167" s="12"/>
      <c r="G167" s="12"/>
      <c r="H167" s="13"/>
      <c r="I167" s="4"/>
      <c r="J167" s="4"/>
      <c r="K167" s="14" t="str">
        <f aca="false">IF($B167="","",IF($C167="泓普",$C$2,IF($C167="仟茂",$E$2,IF($C167="现金",$G$2,0)))+SUMIFS($I$5:$I167,$C$5:$C167,$C167)-SUMIFS($J$5:$J167,$C$5:$C167,$C167))</f>
        <v/>
      </c>
      <c r="L167" s="14" t="str">
        <f aca="false">IF($B167="","",$C$2+$E$2+$G$2+SUM($I$5:$I167)-SUM($J$5:$J167))</f>
        <v/>
      </c>
      <c r="M167" s="12"/>
      <c r="N167" s="15" t="str">
        <f aca="false">IF($B167="","",IF(NOT(ISNUMBER($B167)),"日期格式不对",IF($C167="","未选资金账户",IF(AND(N($I167)=0,N($J167)=0),"收支都为空",IF(AND(N($I167)&gt;0,N($J167)&gt;0),"收支不能同时填",IF(AND($D167&lt;&gt;"",LEFT($O167,1)="⚠"),"项目编号不存在",IF(AND($M167="是",$F167=""),"工程回款必须填往来单位","√")))))))</f>
        <v/>
      </c>
      <c r="O167" s="16" t="str">
        <f aca="false">IF($D167="","",IFERROR(INDEX(对照清单!$B$5:$B$60,MATCH($D167,对照清单!$A$5:$A$60,0)),"⚠编号不存在"))</f>
        <v/>
      </c>
      <c r="P167" s="10" t="str">
        <f aca="false">IF($B167="","",IF(ISNUMBER($B167),TEXT($B167,"yyyy-mm"),"日期非法"))</f>
        <v/>
      </c>
      <c r="Q167" s="10" t="str">
        <f aca="false">IF($B167="","",IF(ISNUMBER($B167),YEAR($B167),"日期非法"))</f>
        <v/>
      </c>
    </row>
    <row r="168" customFormat="false" ht="15.75" hidden="false" customHeight="true" outlineLevel="0" collapsed="false">
      <c r="A168" s="10" t="str">
        <f aca="false">IF($B168="","",ROW()-4)</f>
        <v/>
      </c>
      <c r="B168" s="11"/>
      <c r="C168" s="12"/>
      <c r="D168" s="12"/>
      <c r="E168" s="12"/>
      <c r="F168" s="12"/>
      <c r="G168" s="12"/>
      <c r="H168" s="13"/>
      <c r="I168" s="4"/>
      <c r="J168" s="4"/>
      <c r="K168" s="14" t="str">
        <f aca="false">IF($B168="","",IF($C168="泓普",$C$2,IF($C168="仟茂",$E$2,IF($C168="现金",$G$2,0)))+SUMIFS($I$5:$I168,$C$5:$C168,$C168)-SUMIFS($J$5:$J168,$C$5:$C168,$C168))</f>
        <v/>
      </c>
      <c r="L168" s="14" t="str">
        <f aca="false">IF($B168="","",$C$2+$E$2+$G$2+SUM($I$5:$I168)-SUM($J$5:$J168))</f>
        <v/>
      </c>
      <c r="M168" s="12"/>
      <c r="N168" s="15" t="str">
        <f aca="false">IF($B168="","",IF(NOT(ISNUMBER($B168)),"日期格式不对",IF($C168="","未选资金账户",IF(AND(N($I168)=0,N($J168)=0),"收支都为空",IF(AND(N($I168)&gt;0,N($J168)&gt;0),"收支不能同时填",IF(AND($D168&lt;&gt;"",LEFT($O168,1)="⚠"),"项目编号不存在",IF(AND($M168="是",$F168=""),"工程回款必须填往来单位","√")))))))</f>
        <v/>
      </c>
      <c r="O168" s="16" t="str">
        <f aca="false">IF($D168="","",IFERROR(INDEX(对照清单!$B$5:$B$60,MATCH($D168,对照清单!$A$5:$A$60,0)),"⚠编号不存在"))</f>
        <v/>
      </c>
      <c r="P168" s="10" t="str">
        <f aca="false">IF($B168="","",IF(ISNUMBER($B168),TEXT($B168,"yyyy-mm"),"日期非法"))</f>
        <v/>
      </c>
      <c r="Q168" s="10" t="str">
        <f aca="false">IF($B168="","",IF(ISNUMBER($B168),YEAR($B168),"日期非法"))</f>
        <v/>
      </c>
    </row>
    <row r="169" customFormat="false" ht="15.75" hidden="false" customHeight="true" outlineLevel="0" collapsed="false">
      <c r="A169" s="10" t="str">
        <f aca="false">IF($B169="","",ROW()-4)</f>
        <v/>
      </c>
      <c r="B169" s="11"/>
      <c r="C169" s="12"/>
      <c r="D169" s="12"/>
      <c r="E169" s="12"/>
      <c r="F169" s="12"/>
      <c r="G169" s="12"/>
      <c r="H169" s="13"/>
      <c r="I169" s="4"/>
      <c r="J169" s="4"/>
      <c r="K169" s="14" t="str">
        <f aca="false">IF($B169="","",IF($C169="泓普",$C$2,IF($C169="仟茂",$E$2,IF($C169="现金",$G$2,0)))+SUMIFS($I$5:$I169,$C$5:$C169,$C169)-SUMIFS($J$5:$J169,$C$5:$C169,$C169))</f>
        <v/>
      </c>
      <c r="L169" s="14" t="str">
        <f aca="false">IF($B169="","",$C$2+$E$2+$G$2+SUM($I$5:$I169)-SUM($J$5:$J169))</f>
        <v/>
      </c>
      <c r="M169" s="12"/>
      <c r="N169" s="15" t="str">
        <f aca="false">IF($B169="","",IF(NOT(ISNUMBER($B169)),"日期格式不对",IF($C169="","未选资金账户",IF(AND(N($I169)=0,N($J169)=0),"收支都为空",IF(AND(N($I169)&gt;0,N($J169)&gt;0),"收支不能同时填",IF(AND($D169&lt;&gt;"",LEFT($O169,1)="⚠"),"项目编号不存在",IF(AND($M169="是",$F169=""),"工程回款必须填往来单位","√")))))))</f>
        <v/>
      </c>
      <c r="O169" s="16" t="str">
        <f aca="false">IF($D169="","",IFERROR(INDEX(对照清单!$B$5:$B$60,MATCH($D169,对照清单!$A$5:$A$60,0)),"⚠编号不存在"))</f>
        <v/>
      </c>
      <c r="P169" s="10" t="str">
        <f aca="false">IF($B169="","",IF(ISNUMBER($B169),TEXT($B169,"yyyy-mm"),"日期非法"))</f>
        <v/>
      </c>
      <c r="Q169" s="10" t="str">
        <f aca="false">IF($B169="","",IF(ISNUMBER($B169),YEAR($B169),"日期非法"))</f>
        <v/>
      </c>
    </row>
    <row r="170" customFormat="false" ht="15.75" hidden="false" customHeight="true" outlineLevel="0" collapsed="false">
      <c r="A170" s="10" t="str">
        <f aca="false">IF($B170="","",ROW()-4)</f>
        <v/>
      </c>
      <c r="B170" s="11"/>
      <c r="C170" s="12"/>
      <c r="D170" s="12"/>
      <c r="E170" s="12"/>
      <c r="F170" s="12"/>
      <c r="G170" s="12"/>
      <c r="H170" s="13"/>
      <c r="I170" s="4"/>
      <c r="J170" s="4"/>
      <c r="K170" s="14" t="str">
        <f aca="false">IF($B170="","",IF($C170="泓普",$C$2,IF($C170="仟茂",$E$2,IF($C170="现金",$G$2,0)))+SUMIFS($I$5:$I170,$C$5:$C170,$C170)-SUMIFS($J$5:$J170,$C$5:$C170,$C170))</f>
        <v/>
      </c>
      <c r="L170" s="14" t="str">
        <f aca="false">IF($B170="","",$C$2+$E$2+$G$2+SUM($I$5:$I170)-SUM($J$5:$J170))</f>
        <v/>
      </c>
      <c r="M170" s="12"/>
      <c r="N170" s="15" t="str">
        <f aca="false">IF($B170="","",IF(NOT(ISNUMBER($B170)),"日期格式不对",IF($C170="","未选资金账户",IF(AND(N($I170)=0,N($J170)=0),"收支都为空",IF(AND(N($I170)&gt;0,N($J170)&gt;0),"收支不能同时填",IF(AND($D170&lt;&gt;"",LEFT($O170,1)="⚠"),"项目编号不存在",IF(AND($M170="是",$F170=""),"工程回款必须填往来单位","√")))))))</f>
        <v/>
      </c>
      <c r="O170" s="16" t="str">
        <f aca="false">IF($D170="","",IFERROR(INDEX(对照清单!$B$5:$B$60,MATCH($D170,对照清单!$A$5:$A$60,0)),"⚠编号不存在"))</f>
        <v/>
      </c>
      <c r="P170" s="10" t="str">
        <f aca="false">IF($B170="","",IF(ISNUMBER($B170),TEXT($B170,"yyyy-mm"),"日期非法"))</f>
        <v/>
      </c>
      <c r="Q170" s="10" t="str">
        <f aca="false">IF($B170="","",IF(ISNUMBER($B170),YEAR($B170),"日期非法"))</f>
        <v/>
      </c>
    </row>
    <row r="171" customFormat="false" ht="15.75" hidden="false" customHeight="true" outlineLevel="0" collapsed="false">
      <c r="A171" s="10" t="str">
        <f aca="false">IF($B171="","",ROW()-4)</f>
        <v/>
      </c>
      <c r="B171" s="11"/>
      <c r="C171" s="12"/>
      <c r="D171" s="12"/>
      <c r="E171" s="12"/>
      <c r="F171" s="12"/>
      <c r="G171" s="12"/>
      <c r="H171" s="13"/>
      <c r="I171" s="4"/>
      <c r="J171" s="4"/>
      <c r="K171" s="14" t="str">
        <f aca="false">IF($B171="","",IF($C171="泓普",$C$2,IF($C171="仟茂",$E$2,IF($C171="现金",$G$2,0)))+SUMIFS($I$5:$I171,$C$5:$C171,$C171)-SUMIFS($J$5:$J171,$C$5:$C171,$C171))</f>
        <v/>
      </c>
      <c r="L171" s="14" t="str">
        <f aca="false">IF($B171="","",$C$2+$E$2+$G$2+SUM($I$5:$I171)-SUM($J$5:$J171))</f>
        <v/>
      </c>
      <c r="M171" s="12"/>
      <c r="N171" s="15" t="str">
        <f aca="false">IF($B171="","",IF(NOT(ISNUMBER($B171)),"日期格式不对",IF($C171="","未选资金账户",IF(AND(N($I171)=0,N($J171)=0),"收支都为空",IF(AND(N($I171)&gt;0,N($J171)&gt;0),"收支不能同时填",IF(AND($D171&lt;&gt;"",LEFT($O171,1)="⚠"),"项目编号不存在",IF(AND($M171="是",$F171=""),"工程回款必须填往来单位","√")))))))</f>
        <v/>
      </c>
      <c r="O171" s="16" t="str">
        <f aca="false">IF($D171="","",IFERROR(INDEX(对照清单!$B$5:$B$60,MATCH($D171,对照清单!$A$5:$A$60,0)),"⚠编号不存在"))</f>
        <v/>
      </c>
      <c r="P171" s="10" t="str">
        <f aca="false">IF($B171="","",IF(ISNUMBER($B171),TEXT($B171,"yyyy-mm"),"日期非法"))</f>
        <v/>
      </c>
      <c r="Q171" s="10" t="str">
        <f aca="false">IF($B171="","",IF(ISNUMBER($B171),YEAR($B171),"日期非法"))</f>
        <v/>
      </c>
    </row>
    <row r="172" customFormat="false" ht="15.75" hidden="false" customHeight="true" outlineLevel="0" collapsed="false">
      <c r="A172" s="10" t="str">
        <f aca="false">IF($B172="","",ROW()-4)</f>
        <v/>
      </c>
      <c r="B172" s="11"/>
      <c r="C172" s="12"/>
      <c r="D172" s="12"/>
      <c r="E172" s="12"/>
      <c r="F172" s="12"/>
      <c r="G172" s="12"/>
      <c r="H172" s="13"/>
      <c r="I172" s="4"/>
      <c r="J172" s="4"/>
      <c r="K172" s="14" t="str">
        <f aca="false">IF($B172="","",IF($C172="泓普",$C$2,IF($C172="仟茂",$E$2,IF($C172="现金",$G$2,0)))+SUMIFS($I$5:$I172,$C$5:$C172,$C172)-SUMIFS($J$5:$J172,$C$5:$C172,$C172))</f>
        <v/>
      </c>
      <c r="L172" s="14" t="str">
        <f aca="false">IF($B172="","",$C$2+$E$2+$G$2+SUM($I$5:$I172)-SUM($J$5:$J172))</f>
        <v/>
      </c>
      <c r="M172" s="12"/>
      <c r="N172" s="15" t="str">
        <f aca="false">IF($B172="","",IF(NOT(ISNUMBER($B172)),"日期格式不对",IF($C172="","未选资金账户",IF(AND(N($I172)=0,N($J172)=0),"收支都为空",IF(AND(N($I172)&gt;0,N($J172)&gt;0),"收支不能同时填",IF(AND($D172&lt;&gt;"",LEFT($O172,1)="⚠"),"项目编号不存在",IF(AND($M172="是",$F172=""),"工程回款必须填往来单位","√")))))))</f>
        <v/>
      </c>
      <c r="O172" s="16" t="str">
        <f aca="false">IF($D172="","",IFERROR(INDEX(对照清单!$B$5:$B$60,MATCH($D172,对照清单!$A$5:$A$60,0)),"⚠编号不存在"))</f>
        <v/>
      </c>
      <c r="P172" s="10" t="str">
        <f aca="false">IF($B172="","",IF(ISNUMBER($B172),TEXT($B172,"yyyy-mm"),"日期非法"))</f>
        <v/>
      </c>
      <c r="Q172" s="10" t="str">
        <f aca="false">IF($B172="","",IF(ISNUMBER($B172),YEAR($B172),"日期非法"))</f>
        <v/>
      </c>
    </row>
    <row r="173" customFormat="false" ht="15.75" hidden="false" customHeight="true" outlineLevel="0" collapsed="false">
      <c r="A173" s="10" t="str">
        <f aca="false">IF($B173="","",ROW()-4)</f>
        <v/>
      </c>
      <c r="B173" s="11"/>
      <c r="C173" s="12"/>
      <c r="D173" s="12"/>
      <c r="E173" s="12"/>
      <c r="F173" s="12"/>
      <c r="G173" s="12"/>
      <c r="H173" s="13"/>
      <c r="I173" s="4"/>
      <c r="J173" s="4"/>
      <c r="K173" s="14" t="str">
        <f aca="false">IF($B173="","",IF($C173="泓普",$C$2,IF($C173="仟茂",$E$2,IF($C173="现金",$G$2,0)))+SUMIFS($I$5:$I173,$C$5:$C173,$C173)-SUMIFS($J$5:$J173,$C$5:$C173,$C173))</f>
        <v/>
      </c>
      <c r="L173" s="14" t="str">
        <f aca="false">IF($B173="","",$C$2+$E$2+$G$2+SUM($I$5:$I173)-SUM($J$5:$J173))</f>
        <v/>
      </c>
      <c r="M173" s="12"/>
      <c r="N173" s="15" t="str">
        <f aca="false">IF($B173="","",IF(NOT(ISNUMBER($B173)),"日期格式不对",IF($C173="","未选资金账户",IF(AND(N($I173)=0,N($J173)=0),"收支都为空",IF(AND(N($I173)&gt;0,N($J173)&gt;0),"收支不能同时填",IF(AND($D173&lt;&gt;"",LEFT($O173,1)="⚠"),"项目编号不存在",IF(AND($M173="是",$F173=""),"工程回款必须填往来单位","√")))))))</f>
        <v/>
      </c>
      <c r="O173" s="16" t="str">
        <f aca="false">IF($D173="","",IFERROR(INDEX(对照清单!$B$5:$B$60,MATCH($D173,对照清单!$A$5:$A$60,0)),"⚠编号不存在"))</f>
        <v/>
      </c>
      <c r="P173" s="10" t="str">
        <f aca="false">IF($B173="","",IF(ISNUMBER($B173),TEXT($B173,"yyyy-mm"),"日期非法"))</f>
        <v/>
      </c>
      <c r="Q173" s="10" t="str">
        <f aca="false">IF($B173="","",IF(ISNUMBER($B173),YEAR($B173),"日期非法"))</f>
        <v/>
      </c>
    </row>
    <row r="174" customFormat="false" ht="15.75" hidden="false" customHeight="true" outlineLevel="0" collapsed="false">
      <c r="A174" s="10" t="str">
        <f aca="false">IF($B174="","",ROW()-4)</f>
        <v/>
      </c>
      <c r="B174" s="11"/>
      <c r="C174" s="12"/>
      <c r="D174" s="12"/>
      <c r="E174" s="12"/>
      <c r="F174" s="12"/>
      <c r="G174" s="12"/>
      <c r="H174" s="13"/>
      <c r="I174" s="4"/>
      <c r="J174" s="4"/>
      <c r="K174" s="14" t="str">
        <f aca="false">IF($B174="","",IF($C174="泓普",$C$2,IF($C174="仟茂",$E$2,IF($C174="现金",$G$2,0)))+SUMIFS($I$5:$I174,$C$5:$C174,$C174)-SUMIFS($J$5:$J174,$C$5:$C174,$C174))</f>
        <v/>
      </c>
      <c r="L174" s="14" t="str">
        <f aca="false">IF($B174="","",$C$2+$E$2+$G$2+SUM($I$5:$I174)-SUM($J$5:$J174))</f>
        <v/>
      </c>
      <c r="M174" s="12"/>
      <c r="N174" s="15" t="str">
        <f aca="false">IF($B174="","",IF(NOT(ISNUMBER($B174)),"日期格式不对",IF($C174="","未选资金账户",IF(AND(N($I174)=0,N($J174)=0),"收支都为空",IF(AND(N($I174)&gt;0,N($J174)&gt;0),"收支不能同时填",IF(AND($D174&lt;&gt;"",LEFT($O174,1)="⚠"),"项目编号不存在",IF(AND($M174="是",$F174=""),"工程回款必须填往来单位","√")))))))</f>
        <v/>
      </c>
      <c r="O174" s="16" t="str">
        <f aca="false">IF($D174="","",IFERROR(INDEX(对照清单!$B$5:$B$60,MATCH($D174,对照清单!$A$5:$A$60,0)),"⚠编号不存在"))</f>
        <v/>
      </c>
      <c r="P174" s="10" t="str">
        <f aca="false">IF($B174="","",IF(ISNUMBER($B174),TEXT($B174,"yyyy-mm"),"日期非法"))</f>
        <v/>
      </c>
      <c r="Q174" s="10" t="str">
        <f aca="false">IF($B174="","",IF(ISNUMBER($B174),YEAR($B174),"日期非法"))</f>
        <v/>
      </c>
    </row>
    <row r="175" customFormat="false" ht="15.75" hidden="false" customHeight="true" outlineLevel="0" collapsed="false">
      <c r="A175" s="10" t="str">
        <f aca="false">IF($B175="","",ROW()-4)</f>
        <v/>
      </c>
      <c r="B175" s="11"/>
      <c r="C175" s="12"/>
      <c r="D175" s="12"/>
      <c r="E175" s="12"/>
      <c r="F175" s="12"/>
      <c r="G175" s="12"/>
      <c r="H175" s="13"/>
      <c r="I175" s="4"/>
      <c r="J175" s="4"/>
      <c r="K175" s="14" t="str">
        <f aca="false">IF($B175="","",IF($C175="泓普",$C$2,IF($C175="仟茂",$E$2,IF($C175="现金",$G$2,0)))+SUMIFS($I$5:$I175,$C$5:$C175,$C175)-SUMIFS($J$5:$J175,$C$5:$C175,$C175))</f>
        <v/>
      </c>
      <c r="L175" s="14" t="str">
        <f aca="false">IF($B175="","",$C$2+$E$2+$G$2+SUM($I$5:$I175)-SUM($J$5:$J175))</f>
        <v/>
      </c>
      <c r="M175" s="12"/>
      <c r="N175" s="15" t="str">
        <f aca="false">IF($B175="","",IF(NOT(ISNUMBER($B175)),"日期格式不对",IF($C175="","未选资金账户",IF(AND(N($I175)=0,N($J175)=0),"收支都为空",IF(AND(N($I175)&gt;0,N($J175)&gt;0),"收支不能同时填",IF(AND($D175&lt;&gt;"",LEFT($O175,1)="⚠"),"项目编号不存在",IF(AND($M175="是",$F175=""),"工程回款必须填往来单位","√")))))))</f>
        <v/>
      </c>
      <c r="O175" s="16" t="str">
        <f aca="false">IF($D175="","",IFERROR(INDEX(对照清单!$B$5:$B$60,MATCH($D175,对照清单!$A$5:$A$60,0)),"⚠编号不存在"))</f>
        <v/>
      </c>
      <c r="P175" s="10" t="str">
        <f aca="false">IF($B175="","",IF(ISNUMBER($B175),TEXT($B175,"yyyy-mm"),"日期非法"))</f>
        <v/>
      </c>
      <c r="Q175" s="10" t="str">
        <f aca="false">IF($B175="","",IF(ISNUMBER($B175),YEAR($B175),"日期非法"))</f>
        <v/>
      </c>
    </row>
    <row r="176" customFormat="false" ht="15.75" hidden="false" customHeight="true" outlineLevel="0" collapsed="false">
      <c r="A176" s="10" t="str">
        <f aca="false">IF($B176="","",ROW()-4)</f>
        <v/>
      </c>
      <c r="B176" s="11"/>
      <c r="C176" s="12"/>
      <c r="D176" s="12"/>
      <c r="E176" s="12"/>
      <c r="F176" s="12"/>
      <c r="G176" s="12"/>
      <c r="H176" s="13"/>
      <c r="I176" s="4"/>
      <c r="J176" s="4"/>
      <c r="K176" s="14" t="str">
        <f aca="false">IF($B176="","",IF($C176="泓普",$C$2,IF($C176="仟茂",$E$2,IF($C176="现金",$G$2,0)))+SUMIFS($I$5:$I176,$C$5:$C176,$C176)-SUMIFS($J$5:$J176,$C$5:$C176,$C176))</f>
        <v/>
      </c>
      <c r="L176" s="14" t="str">
        <f aca="false">IF($B176="","",$C$2+$E$2+$G$2+SUM($I$5:$I176)-SUM($J$5:$J176))</f>
        <v/>
      </c>
      <c r="M176" s="12"/>
      <c r="N176" s="15" t="str">
        <f aca="false">IF($B176="","",IF(NOT(ISNUMBER($B176)),"日期格式不对",IF($C176="","未选资金账户",IF(AND(N($I176)=0,N($J176)=0),"收支都为空",IF(AND(N($I176)&gt;0,N($J176)&gt;0),"收支不能同时填",IF(AND($D176&lt;&gt;"",LEFT($O176,1)="⚠"),"项目编号不存在",IF(AND($M176="是",$F176=""),"工程回款必须填往来单位","√")))))))</f>
        <v/>
      </c>
      <c r="O176" s="16" t="str">
        <f aca="false">IF($D176="","",IFERROR(INDEX(对照清单!$B$5:$B$60,MATCH($D176,对照清单!$A$5:$A$60,0)),"⚠编号不存在"))</f>
        <v/>
      </c>
      <c r="P176" s="10" t="str">
        <f aca="false">IF($B176="","",IF(ISNUMBER($B176),TEXT($B176,"yyyy-mm"),"日期非法"))</f>
        <v/>
      </c>
      <c r="Q176" s="10" t="str">
        <f aca="false">IF($B176="","",IF(ISNUMBER($B176),YEAR($B176),"日期非法"))</f>
        <v/>
      </c>
    </row>
    <row r="177" customFormat="false" ht="15.75" hidden="false" customHeight="true" outlineLevel="0" collapsed="false">
      <c r="A177" s="10" t="str">
        <f aca="false">IF($B177="","",ROW()-4)</f>
        <v/>
      </c>
      <c r="B177" s="11"/>
      <c r="C177" s="12"/>
      <c r="D177" s="12"/>
      <c r="E177" s="12"/>
      <c r="F177" s="12"/>
      <c r="G177" s="12"/>
      <c r="H177" s="13"/>
      <c r="I177" s="4"/>
      <c r="J177" s="4"/>
      <c r="K177" s="14" t="str">
        <f aca="false">IF($B177="","",IF($C177="泓普",$C$2,IF($C177="仟茂",$E$2,IF($C177="现金",$G$2,0)))+SUMIFS($I$5:$I177,$C$5:$C177,$C177)-SUMIFS($J$5:$J177,$C$5:$C177,$C177))</f>
        <v/>
      </c>
      <c r="L177" s="14" t="str">
        <f aca="false">IF($B177="","",$C$2+$E$2+$G$2+SUM($I$5:$I177)-SUM($J$5:$J177))</f>
        <v/>
      </c>
      <c r="M177" s="12"/>
      <c r="N177" s="15" t="str">
        <f aca="false">IF($B177="","",IF(NOT(ISNUMBER($B177)),"日期格式不对",IF($C177="","未选资金账户",IF(AND(N($I177)=0,N($J177)=0),"收支都为空",IF(AND(N($I177)&gt;0,N($J177)&gt;0),"收支不能同时填",IF(AND($D177&lt;&gt;"",LEFT($O177,1)="⚠"),"项目编号不存在",IF(AND($M177="是",$F177=""),"工程回款必须填往来单位","√")))))))</f>
        <v/>
      </c>
      <c r="O177" s="16" t="str">
        <f aca="false">IF($D177="","",IFERROR(INDEX(对照清单!$B$5:$B$60,MATCH($D177,对照清单!$A$5:$A$60,0)),"⚠编号不存在"))</f>
        <v/>
      </c>
      <c r="P177" s="10" t="str">
        <f aca="false">IF($B177="","",IF(ISNUMBER($B177),TEXT($B177,"yyyy-mm"),"日期非法"))</f>
        <v/>
      </c>
      <c r="Q177" s="10" t="str">
        <f aca="false">IF($B177="","",IF(ISNUMBER($B177),YEAR($B177),"日期非法"))</f>
        <v/>
      </c>
    </row>
    <row r="178" customFormat="false" ht="15.75" hidden="false" customHeight="true" outlineLevel="0" collapsed="false">
      <c r="A178" s="10" t="str">
        <f aca="false">IF($B178="","",ROW()-4)</f>
        <v/>
      </c>
      <c r="B178" s="11"/>
      <c r="C178" s="12"/>
      <c r="D178" s="12"/>
      <c r="E178" s="12"/>
      <c r="F178" s="12"/>
      <c r="G178" s="12"/>
      <c r="H178" s="13"/>
      <c r="I178" s="4"/>
      <c r="J178" s="4"/>
      <c r="K178" s="14" t="str">
        <f aca="false">IF($B178="","",IF($C178="泓普",$C$2,IF($C178="仟茂",$E$2,IF($C178="现金",$G$2,0)))+SUMIFS($I$5:$I178,$C$5:$C178,$C178)-SUMIFS($J$5:$J178,$C$5:$C178,$C178))</f>
        <v/>
      </c>
      <c r="L178" s="14" t="str">
        <f aca="false">IF($B178="","",$C$2+$E$2+$G$2+SUM($I$5:$I178)-SUM($J$5:$J178))</f>
        <v/>
      </c>
      <c r="M178" s="12"/>
      <c r="N178" s="15" t="str">
        <f aca="false">IF($B178="","",IF(NOT(ISNUMBER($B178)),"日期格式不对",IF($C178="","未选资金账户",IF(AND(N($I178)=0,N($J178)=0),"收支都为空",IF(AND(N($I178)&gt;0,N($J178)&gt;0),"收支不能同时填",IF(AND($D178&lt;&gt;"",LEFT($O178,1)="⚠"),"项目编号不存在",IF(AND($M178="是",$F178=""),"工程回款必须填往来单位","√")))))))</f>
        <v/>
      </c>
      <c r="O178" s="16" t="str">
        <f aca="false">IF($D178="","",IFERROR(INDEX(对照清单!$B$5:$B$60,MATCH($D178,对照清单!$A$5:$A$60,0)),"⚠编号不存在"))</f>
        <v/>
      </c>
      <c r="P178" s="10" t="str">
        <f aca="false">IF($B178="","",IF(ISNUMBER($B178),TEXT($B178,"yyyy-mm"),"日期非法"))</f>
        <v/>
      </c>
      <c r="Q178" s="10" t="str">
        <f aca="false">IF($B178="","",IF(ISNUMBER($B178),YEAR($B178),"日期非法"))</f>
        <v/>
      </c>
    </row>
    <row r="179" customFormat="false" ht="15.75" hidden="false" customHeight="true" outlineLevel="0" collapsed="false">
      <c r="A179" s="10" t="str">
        <f aca="false">IF($B179="","",ROW()-4)</f>
        <v/>
      </c>
      <c r="B179" s="11"/>
      <c r="C179" s="12"/>
      <c r="D179" s="12"/>
      <c r="E179" s="12"/>
      <c r="F179" s="12"/>
      <c r="G179" s="12"/>
      <c r="H179" s="13"/>
      <c r="I179" s="4"/>
      <c r="J179" s="4"/>
      <c r="K179" s="14" t="str">
        <f aca="false">IF($B179="","",IF($C179="泓普",$C$2,IF($C179="仟茂",$E$2,IF($C179="现金",$G$2,0)))+SUMIFS($I$5:$I179,$C$5:$C179,$C179)-SUMIFS($J$5:$J179,$C$5:$C179,$C179))</f>
        <v/>
      </c>
      <c r="L179" s="14" t="str">
        <f aca="false">IF($B179="","",$C$2+$E$2+$G$2+SUM($I$5:$I179)-SUM($J$5:$J179))</f>
        <v/>
      </c>
      <c r="M179" s="12"/>
      <c r="N179" s="15" t="str">
        <f aca="false">IF($B179="","",IF(NOT(ISNUMBER($B179)),"日期格式不对",IF($C179="","未选资金账户",IF(AND(N($I179)=0,N($J179)=0),"收支都为空",IF(AND(N($I179)&gt;0,N($J179)&gt;0),"收支不能同时填",IF(AND($D179&lt;&gt;"",LEFT($O179,1)="⚠"),"项目编号不存在",IF(AND($M179="是",$F179=""),"工程回款必须填往来单位","√")))))))</f>
        <v/>
      </c>
      <c r="O179" s="16" t="str">
        <f aca="false">IF($D179="","",IFERROR(INDEX(对照清单!$B$5:$B$60,MATCH($D179,对照清单!$A$5:$A$60,0)),"⚠编号不存在"))</f>
        <v/>
      </c>
      <c r="P179" s="10" t="str">
        <f aca="false">IF($B179="","",IF(ISNUMBER($B179),TEXT($B179,"yyyy-mm"),"日期非法"))</f>
        <v/>
      </c>
      <c r="Q179" s="10" t="str">
        <f aca="false">IF($B179="","",IF(ISNUMBER($B179),YEAR($B179),"日期非法"))</f>
        <v/>
      </c>
    </row>
    <row r="180" customFormat="false" ht="15.75" hidden="false" customHeight="true" outlineLevel="0" collapsed="false">
      <c r="A180" s="10" t="str">
        <f aca="false">IF($B180="","",ROW()-4)</f>
        <v/>
      </c>
      <c r="B180" s="11"/>
      <c r="C180" s="12"/>
      <c r="D180" s="12"/>
      <c r="E180" s="12"/>
      <c r="F180" s="12"/>
      <c r="G180" s="12"/>
      <c r="H180" s="13"/>
      <c r="I180" s="4"/>
      <c r="J180" s="4"/>
      <c r="K180" s="14" t="str">
        <f aca="false">IF($B180="","",IF($C180="泓普",$C$2,IF($C180="仟茂",$E$2,IF($C180="现金",$G$2,0)))+SUMIFS($I$5:$I180,$C$5:$C180,$C180)-SUMIFS($J$5:$J180,$C$5:$C180,$C180))</f>
        <v/>
      </c>
      <c r="L180" s="14" t="str">
        <f aca="false">IF($B180="","",$C$2+$E$2+$G$2+SUM($I$5:$I180)-SUM($J$5:$J180))</f>
        <v/>
      </c>
      <c r="M180" s="12"/>
      <c r="N180" s="15" t="str">
        <f aca="false">IF($B180="","",IF(NOT(ISNUMBER($B180)),"日期格式不对",IF($C180="","未选资金账户",IF(AND(N($I180)=0,N($J180)=0),"收支都为空",IF(AND(N($I180)&gt;0,N($J180)&gt;0),"收支不能同时填",IF(AND($D180&lt;&gt;"",LEFT($O180,1)="⚠"),"项目编号不存在",IF(AND($M180="是",$F180=""),"工程回款必须填往来单位","√")))))))</f>
        <v/>
      </c>
      <c r="O180" s="16" t="str">
        <f aca="false">IF($D180="","",IFERROR(INDEX(对照清单!$B$5:$B$60,MATCH($D180,对照清单!$A$5:$A$60,0)),"⚠编号不存在"))</f>
        <v/>
      </c>
      <c r="P180" s="10" t="str">
        <f aca="false">IF($B180="","",IF(ISNUMBER($B180),TEXT($B180,"yyyy-mm"),"日期非法"))</f>
        <v/>
      </c>
      <c r="Q180" s="10" t="str">
        <f aca="false">IF($B180="","",IF(ISNUMBER($B180),YEAR($B180),"日期非法"))</f>
        <v/>
      </c>
    </row>
    <row r="181" customFormat="false" ht="15.75" hidden="false" customHeight="true" outlineLevel="0" collapsed="false">
      <c r="A181" s="10" t="str">
        <f aca="false">IF($B181="","",ROW()-4)</f>
        <v/>
      </c>
      <c r="B181" s="11"/>
      <c r="C181" s="12"/>
      <c r="D181" s="12"/>
      <c r="E181" s="12"/>
      <c r="F181" s="12"/>
      <c r="G181" s="12"/>
      <c r="H181" s="13"/>
      <c r="I181" s="4"/>
      <c r="J181" s="4"/>
      <c r="K181" s="14" t="str">
        <f aca="false">IF($B181="","",IF($C181="泓普",$C$2,IF($C181="仟茂",$E$2,IF($C181="现金",$G$2,0)))+SUMIFS($I$5:$I181,$C$5:$C181,$C181)-SUMIFS($J$5:$J181,$C$5:$C181,$C181))</f>
        <v/>
      </c>
      <c r="L181" s="14" t="str">
        <f aca="false">IF($B181="","",$C$2+$E$2+$G$2+SUM($I$5:$I181)-SUM($J$5:$J181))</f>
        <v/>
      </c>
      <c r="M181" s="12"/>
      <c r="N181" s="15" t="str">
        <f aca="false">IF($B181="","",IF(NOT(ISNUMBER($B181)),"日期格式不对",IF($C181="","未选资金账户",IF(AND(N($I181)=0,N($J181)=0),"收支都为空",IF(AND(N($I181)&gt;0,N($J181)&gt;0),"收支不能同时填",IF(AND($D181&lt;&gt;"",LEFT($O181,1)="⚠"),"项目编号不存在",IF(AND($M181="是",$F181=""),"工程回款必须填往来单位","√")))))))</f>
        <v/>
      </c>
      <c r="O181" s="16" t="str">
        <f aca="false">IF($D181="","",IFERROR(INDEX(对照清单!$B$5:$B$60,MATCH($D181,对照清单!$A$5:$A$60,0)),"⚠编号不存在"))</f>
        <v/>
      </c>
      <c r="P181" s="10" t="str">
        <f aca="false">IF($B181="","",IF(ISNUMBER($B181),TEXT($B181,"yyyy-mm"),"日期非法"))</f>
        <v/>
      </c>
      <c r="Q181" s="10" t="str">
        <f aca="false">IF($B181="","",IF(ISNUMBER($B181),YEAR($B181),"日期非法"))</f>
        <v/>
      </c>
    </row>
    <row r="182" customFormat="false" ht="15.75" hidden="false" customHeight="true" outlineLevel="0" collapsed="false">
      <c r="A182" s="10" t="str">
        <f aca="false">IF($B182="","",ROW()-4)</f>
        <v/>
      </c>
      <c r="B182" s="11"/>
      <c r="C182" s="12"/>
      <c r="D182" s="12"/>
      <c r="E182" s="12"/>
      <c r="F182" s="12"/>
      <c r="G182" s="12"/>
      <c r="H182" s="13"/>
      <c r="I182" s="4"/>
      <c r="J182" s="4"/>
      <c r="K182" s="14" t="str">
        <f aca="false">IF($B182="","",IF($C182="泓普",$C$2,IF($C182="仟茂",$E$2,IF($C182="现金",$G$2,0)))+SUMIFS($I$5:$I182,$C$5:$C182,$C182)-SUMIFS($J$5:$J182,$C$5:$C182,$C182))</f>
        <v/>
      </c>
      <c r="L182" s="14" t="str">
        <f aca="false">IF($B182="","",$C$2+$E$2+$G$2+SUM($I$5:$I182)-SUM($J$5:$J182))</f>
        <v/>
      </c>
      <c r="M182" s="12"/>
      <c r="N182" s="15" t="str">
        <f aca="false">IF($B182="","",IF(NOT(ISNUMBER($B182)),"日期格式不对",IF($C182="","未选资金账户",IF(AND(N($I182)=0,N($J182)=0),"收支都为空",IF(AND(N($I182)&gt;0,N($J182)&gt;0),"收支不能同时填",IF(AND($D182&lt;&gt;"",LEFT($O182,1)="⚠"),"项目编号不存在",IF(AND($M182="是",$F182=""),"工程回款必须填往来单位","√")))))))</f>
        <v/>
      </c>
      <c r="O182" s="16" t="str">
        <f aca="false">IF($D182="","",IFERROR(INDEX(对照清单!$B$5:$B$60,MATCH($D182,对照清单!$A$5:$A$60,0)),"⚠编号不存在"))</f>
        <v/>
      </c>
      <c r="P182" s="10" t="str">
        <f aca="false">IF($B182="","",IF(ISNUMBER($B182),TEXT($B182,"yyyy-mm"),"日期非法"))</f>
        <v/>
      </c>
      <c r="Q182" s="10" t="str">
        <f aca="false">IF($B182="","",IF(ISNUMBER($B182),YEAR($B182),"日期非法"))</f>
        <v/>
      </c>
    </row>
    <row r="183" customFormat="false" ht="15.75" hidden="false" customHeight="true" outlineLevel="0" collapsed="false">
      <c r="A183" s="10" t="str">
        <f aca="false">IF($B183="","",ROW()-4)</f>
        <v/>
      </c>
      <c r="B183" s="11"/>
      <c r="C183" s="12"/>
      <c r="D183" s="12"/>
      <c r="E183" s="12"/>
      <c r="F183" s="12"/>
      <c r="G183" s="12"/>
      <c r="H183" s="13"/>
      <c r="I183" s="4"/>
      <c r="J183" s="4"/>
      <c r="K183" s="14" t="str">
        <f aca="false">IF($B183="","",IF($C183="泓普",$C$2,IF($C183="仟茂",$E$2,IF($C183="现金",$G$2,0)))+SUMIFS($I$5:$I183,$C$5:$C183,$C183)-SUMIFS($J$5:$J183,$C$5:$C183,$C183))</f>
        <v/>
      </c>
      <c r="L183" s="14" t="str">
        <f aca="false">IF($B183="","",$C$2+$E$2+$G$2+SUM($I$5:$I183)-SUM($J$5:$J183))</f>
        <v/>
      </c>
      <c r="M183" s="12"/>
      <c r="N183" s="15" t="str">
        <f aca="false">IF($B183="","",IF(NOT(ISNUMBER($B183)),"日期格式不对",IF($C183="","未选资金账户",IF(AND(N($I183)=0,N($J183)=0),"收支都为空",IF(AND(N($I183)&gt;0,N($J183)&gt;0),"收支不能同时填",IF(AND($D183&lt;&gt;"",LEFT($O183,1)="⚠"),"项目编号不存在",IF(AND($M183="是",$F183=""),"工程回款必须填往来单位","√")))))))</f>
        <v/>
      </c>
      <c r="O183" s="16" t="str">
        <f aca="false">IF($D183="","",IFERROR(INDEX(对照清单!$B$5:$B$60,MATCH($D183,对照清单!$A$5:$A$60,0)),"⚠编号不存在"))</f>
        <v/>
      </c>
      <c r="P183" s="10" t="str">
        <f aca="false">IF($B183="","",IF(ISNUMBER($B183),TEXT($B183,"yyyy-mm"),"日期非法"))</f>
        <v/>
      </c>
      <c r="Q183" s="10" t="str">
        <f aca="false">IF($B183="","",IF(ISNUMBER($B183),YEAR($B183),"日期非法"))</f>
        <v/>
      </c>
    </row>
    <row r="184" customFormat="false" ht="15.75" hidden="false" customHeight="true" outlineLevel="0" collapsed="false">
      <c r="A184" s="10" t="str">
        <f aca="false">IF($B184="","",ROW()-4)</f>
        <v/>
      </c>
      <c r="B184" s="11"/>
      <c r="C184" s="12"/>
      <c r="D184" s="12"/>
      <c r="E184" s="12"/>
      <c r="F184" s="12"/>
      <c r="G184" s="12"/>
      <c r="H184" s="13"/>
      <c r="I184" s="4"/>
      <c r="J184" s="4"/>
      <c r="K184" s="14" t="str">
        <f aca="false">IF($B184="","",IF($C184="泓普",$C$2,IF($C184="仟茂",$E$2,IF($C184="现金",$G$2,0)))+SUMIFS($I$5:$I184,$C$5:$C184,$C184)-SUMIFS($J$5:$J184,$C$5:$C184,$C184))</f>
        <v/>
      </c>
      <c r="L184" s="14" t="str">
        <f aca="false">IF($B184="","",$C$2+$E$2+$G$2+SUM($I$5:$I184)-SUM($J$5:$J184))</f>
        <v/>
      </c>
      <c r="M184" s="12"/>
      <c r="N184" s="15" t="str">
        <f aca="false">IF($B184="","",IF(NOT(ISNUMBER($B184)),"日期格式不对",IF($C184="","未选资金账户",IF(AND(N($I184)=0,N($J184)=0),"收支都为空",IF(AND(N($I184)&gt;0,N($J184)&gt;0),"收支不能同时填",IF(AND($D184&lt;&gt;"",LEFT($O184,1)="⚠"),"项目编号不存在",IF(AND($M184="是",$F184=""),"工程回款必须填往来单位","√")))))))</f>
        <v/>
      </c>
      <c r="O184" s="16" t="str">
        <f aca="false">IF($D184="","",IFERROR(INDEX(对照清单!$B$5:$B$60,MATCH($D184,对照清单!$A$5:$A$60,0)),"⚠编号不存在"))</f>
        <v/>
      </c>
      <c r="P184" s="10" t="str">
        <f aca="false">IF($B184="","",IF(ISNUMBER($B184),TEXT($B184,"yyyy-mm"),"日期非法"))</f>
        <v/>
      </c>
      <c r="Q184" s="10" t="str">
        <f aca="false">IF($B184="","",IF(ISNUMBER($B184),YEAR($B184),"日期非法"))</f>
        <v/>
      </c>
    </row>
    <row r="185" customFormat="false" ht="15.75" hidden="false" customHeight="true" outlineLevel="0" collapsed="false">
      <c r="A185" s="10" t="str">
        <f aca="false">IF($B185="","",ROW()-4)</f>
        <v/>
      </c>
      <c r="B185" s="11"/>
      <c r="C185" s="12"/>
      <c r="D185" s="12"/>
      <c r="E185" s="12"/>
      <c r="F185" s="12"/>
      <c r="G185" s="12"/>
      <c r="H185" s="13"/>
      <c r="I185" s="4"/>
      <c r="J185" s="4"/>
      <c r="K185" s="14" t="str">
        <f aca="false">IF($B185="","",IF($C185="泓普",$C$2,IF($C185="仟茂",$E$2,IF($C185="现金",$G$2,0)))+SUMIFS($I$5:$I185,$C$5:$C185,$C185)-SUMIFS($J$5:$J185,$C$5:$C185,$C185))</f>
        <v/>
      </c>
      <c r="L185" s="14" t="str">
        <f aca="false">IF($B185="","",$C$2+$E$2+$G$2+SUM($I$5:$I185)-SUM($J$5:$J185))</f>
        <v/>
      </c>
      <c r="M185" s="12"/>
      <c r="N185" s="15" t="str">
        <f aca="false">IF($B185="","",IF(NOT(ISNUMBER($B185)),"日期格式不对",IF($C185="","未选资金账户",IF(AND(N($I185)=0,N($J185)=0),"收支都为空",IF(AND(N($I185)&gt;0,N($J185)&gt;0),"收支不能同时填",IF(AND($D185&lt;&gt;"",LEFT($O185,1)="⚠"),"项目编号不存在",IF(AND($M185="是",$F185=""),"工程回款必须填往来单位","√")))))))</f>
        <v/>
      </c>
      <c r="O185" s="16" t="str">
        <f aca="false">IF($D185="","",IFERROR(INDEX(对照清单!$B$5:$B$60,MATCH($D185,对照清单!$A$5:$A$60,0)),"⚠编号不存在"))</f>
        <v/>
      </c>
      <c r="P185" s="10" t="str">
        <f aca="false">IF($B185="","",IF(ISNUMBER($B185),TEXT($B185,"yyyy-mm"),"日期非法"))</f>
        <v/>
      </c>
      <c r="Q185" s="10" t="str">
        <f aca="false">IF($B185="","",IF(ISNUMBER($B185),YEAR($B185),"日期非法"))</f>
        <v/>
      </c>
    </row>
    <row r="186" customFormat="false" ht="15.75" hidden="false" customHeight="true" outlineLevel="0" collapsed="false">
      <c r="A186" s="10" t="str">
        <f aca="false">IF($B186="","",ROW()-4)</f>
        <v/>
      </c>
      <c r="B186" s="11"/>
      <c r="C186" s="12"/>
      <c r="D186" s="12"/>
      <c r="E186" s="12"/>
      <c r="F186" s="12"/>
      <c r="G186" s="12"/>
      <c r="H186" s="13"/>
      <c r="I186" s="4"/>
      <c r="J186" s="4"/>
      <c r="K186" s="14" t="str">
        <f aca="false">IF($B186="","",IF($C186="泓普",$C$2,IF($C186="仟茂",$E$2,IF($C186="现金",$G$2,0)))+SUMIFS($I$5:$I186,$C$5:$C186,$C186)-SUMIFS($J$5:$J186,$C$5:$C186,$C186))</f>
        <v/>
      </c>
      <c r="L186" s="14" t="str">
        <f aca="false">IF($B186="","",$C$2+$E$2+$G$2+SUM($I$5:$I186)-SUM($J$5:$J186))</f>
        <v/>
      </c>
      <c r="M186" s="12"/>
      <c r="N186" s="15" t="str">
        <f aca="false">IF($B186="","",IF(NOT(ISNUMBER($B186)),"日期格式不对",IF($C186="","未选资金账户",IF(AND(N($I186)=0,N($J186)=0),"收支都为空",IF(AND(N($I186)&gt;0,N($J186)&gt;0),"收支不能同时填",IF(AND($D186&lt;&gt;"",LEFT($O186,1)="⚠"),"项目编号不存在",IF(AND($M186="是",$F186=""),"工程回款必须填往来单位","√")))))))</f>
        <v/>
      </c>
      <c r="O186" s="16" t="str">
        <f aca="false">IF($D186="","",IFERROR(INDEX(对照清单!$B$5:$B$60,MATCH($D186,对照清单!$A$5:$A$60,0)),"⚠编号不存在"))</f>
        <v/>
      </c>
      <c r="P186" s="10" t="str">
        <f aca="false">IF($B186="","",IF(ISNUMBER($B186),TEXT($B186,"yyyy-mm"),"日期非法"))</f>
        <v/>
      </c>
      <c r="Q186" s="10" t="str">
        <f aca="false">IF($B186="","",IF(ISNUMBER($B186),YEAR($B186),"日期非法"))</f>
        <v/>
      </c>
    </row>
    <row r="187" customFormat="false" ht="15.75" hidden="false" customHeight="true" outlineLevel="0" collapsed="false">
      <c r="A187" s="10" t="str">
        <f aca="false">IF($B187="","",ROW()-4)</f>
        <v/>
      </c>
      <c r="B187" s="11"/>
      <c r="C187" s="12"/>
      <c r="D187" s="12"/>
      <c r="E187" s="12"/>
      <c r="F187" s="12"/>
      <c r="G187" s="12"/>
      <c r="H187" s="13"/>
      <c r="I187" s="4"/>
      <c r="J187" s="4"/>
      <c r="K187" s="14" t="str">
        <f aca="false">IF($B187="","",IF($C187="泓普",$C$2,IF($C187="仟茂",$E$2,IF($C187="现金",$G$2,0)))+SUMIFS($I$5:$I187,$C$5:$C187,$C187)-SUMIFS($J$5:$J187,$C$5:$C187,$C187))</f>
        <v/>
      </c>
      <c r="L187" s="14" t="str">
        <f aca="false">IF($B187="","",$C$2+$E$2+$G$2+SUM($I$5:$I187)-SUM($J$5:$J187))</f>
        <v/>
      </c>
      <c r="M187" s="12"/>
      <c r="N187" s="15" t="str">
        <f aca="false">IF($B187="","",IF(NOT(ISNUMBER($B187)),"日期格式不对",IF($C187="","未选资金账户",IF(AND(N($I187)=0,N($J187)=0),"收支都为空",IF(AND(N($I187)&gt;0,N($J187)&gt;0),"收支不能同时填",IF(AND($D187&lt;&gt;"",LEFT($O187,1)="⚠"),"项目编号不存在",IF(AND($M187="是",$F187=""),"工程回款必须填往来单位","√")))))))</f>
        <v/>
      </c>
      <c r="O187" s="16" t="str">
        <f aca="false">IF($D187="","",IFERROR(INDEX(对照清单!$B$5:$B$60,MATCH($D187,对照清单!$A$5:$A$60,0)),"⚠编号不存在"))</f>
        <v/>
      </c>
      <c r="P187" s="10" t="str">
        <f aca="false">IF($B187="","",IF(ISNUMBER($B187),TEXT($B187,"yyyy-mm"),"日期非法"))</f>
        <v/>
      </c>
      <c r="Q187" s="10" t="str">
        <f aca="false">IF($B187="","",IF(ISNUMBER($B187),YEAR($B187),"日期非法"))</f>
        <v/>
      </c>
    </row>
    <row r="188" customFormat="false" ht="15.75" hidden="false" customHeight="true" outlineLevel="0" collapsed="false">
      <c r="A188" s="10" t="str">
        <f aca="false">IF($B188="","",ROW()-4)</f>
        <v/>
      </c>
      <c r="B188" s="11"/>
      <c r="C188" s="12"/>
      <c r="D188" s="12"/>
      <c r="E188" s="12"/>
      <c r="F188" s="12"/>
      <c r="G188" s="12"/>
      <c r="H188" s="13"/>
      <c r="I188" s="4"/>
      <c r="J188" s="4"/>
      <c r="K188" s="14" t="str">
        <f aca="false">IF($B188="","",IF($C188="泓普",$C$2,IF($C188="仟茂",$E$2,IF($C188="现金",$G$2,0)))+SUMIFS($I$5:$I188,$C$5:$C188,$C188)-SUMIFS($J$5:$J188,$C$5:$C188,$C188))</f>
        <v/>
      </c>
      <c r="L188" s="14" t="str">
        <f aca="false">IF($B188="","",$C$2+$E$2+$G$2+SUM($I$5:$I188)-SUM($J$5:$J188))</f>
        <v/>
      </c>
      <c r="M188" s="12"/>
      <c r="N188" s="15" t="str">
        <f aca="false">IF($B188="","",IF(NOT(ISNUMBER($B188)),"日期格式不对",IF($C188="","未选资金账户",IF(AND(N($I188)=0,N($J188)=0),"收支都为空",IF(AND(N($I188)&gt;0,N($J188)&gt;0),"收支不能同时填",IF(AND($D188&lt;&gt;"",LEFT($O188,1)="⚠"),"项目编号不存在",IF(AND($M188="是",$F188=""),"工程回款必须填往来单位","√")))))))</f>
        <v/>
      </c>
      <c r="O188" s="16" t="str">
        <f aca="false">IF($D188="","",IFERROR(INDEX(对照清单!$B$5:$B$60,MATCH($D188,对照清单!$A$5:$A$60,0)),"⚠编号不存在"))</f>
        <v/>
      </c>
      <c r="P188" s="10" t="str">
        <f aca="false">IF($B188="","",IF(ISNUMBER($B188),TEXT($B188,"yyyy-mm"),"日期非法"))</f>
        <v/>
      </c>
      <c r="Q188" s="10" t="str">
        <f aca="false">IF($B188="","",IF(ISNUMBER($B188),YEAR($B188),"日期非法"))</f>
        <v/>
      </c>
    </row>
    <row r="189" customFormat="false" ht="15.75" hidden="false" customHeight="true" outlineLevel="0" collapsed="false">
      <c r="A189" s="10" t="str">
        <f aca="false">IF($B189="","",ROW()-4)</f>
        <v/>
      </c>
      <c r="B189" s="11"/>
      <c r="C189" s="12"/>
      <c r="D189" s="12"/>
      <c r="E189" s="12"/>
      <c r="F189" s="12"/>
      <c r="G189" s="12"/>
      <c r="H189" s="13"/>
      <c r="I189" s="4"/>
      <c r="J189" s="4"/>
      <c r="K189" s="14" t="str">
        <f aca="false">IF($B189="","",IF($C189="泓普",$C$2,IF($C189="仟茂",$E$2,IF($C189="现金",$G$2,0)))+SUMIFS($I$5:$I189,$C$5:$C189,$C189)-SUMIFS($J$5:$J189,$C$5:$C189,$C189))</f>
        <v/>
      </c>
      <c r="L189" s="14" t="str">
        <f aca="false">IF($B189="","",$C$2+$E$2+$G$2+SUM($I$5:$I189)-SUM($J$5:$J189))</f>
        <v/>
      </c>
      <c r="M189" s="12"/>
      <c r="N189" s="15" t="str">
        <f aca="false">IF($B189="","",IF(NOT(ISNUMBER($B189)),"日期格式不对",IF($C189="","未选资金账户",IF(AND(N($I189)=0,N($J189)=0),"收支都为空",IF(AND(N($I189)&gt;0,N($J189)&gt;0),"收支不能同时填",IF(AND($D189&lt;&gt;"",LEFT($O189,1)="⚠"),"项目编号不存在",IF(AND($M189="是",$F189=""),"工程回款必须填往来单位","√")))))))</f>
        <v/>
      </c>
      <c r="O189" s="16" t="str">
        <f aca="false">IF($D189="","",IFERROR(INDEX(对照清单!$B$5:$B$60,MATCH($D189,对照清单!$A$5:$A$60,0)),"⚠编号不存在"))</f>
        <v/>
      </c>
      <c r="P189" s="10" t="str">
        <f aca="false">IF($B189="","",IF(ISNUMBER($B189),TEXT($B189,"yyyy-mm"),"日期非法"))</f>
        <v/>
      </c>
      <c r="Q189" s="10" t="str">
        <f aca="false">IF($B189="","",IF(ISNUMBER($B189),YEAR($B189),"日期非法"))</f>
        <v/>
      </c>
    </row>
    <row r="190" customFormat="false" ht="15.75" hidden="false" customHeight="true" outlineLevel="0" collapsed="false">
      <c r="A190" s="10" t="str">
        <f aca="false">IF($B190="","",ROW()-4)</f>
        <v/>
      </c>
      <c r="B190" s="11"/>
      <c r="C190" s="12"/>
      <c r="D190" s="12"/>
      <c r="E190" s="12"/>
      <c r="F190" s="12"/>
      <c r="G190" s="12"/>
      <c r="H190" s="13"/>
      <c r="I190" s="4"/>
      <c r="J190" s="4"/>
      <c r="K190" s="14" t="str">
        <f aca="false">IF($B190="","",IF($C190="泓普",$C$2,IF($C190="仟茂",$E$2,IF($C190="现金",$G$2,0)))+SUMIFS($I$5:$I190,$C$5:$C190,$C190)-SUMIFS($J$5:$J190,$C$5:$C190,$C190))</f>
        <v/>
      </c>
      <c r="L190" s="14" t="str">
        <f aca="false">IF($B190="","",$C$2+$E$2+$G$2+SUM($I$5:$I190)-SUM($J$5:$J190))</f>
        <v/>
      </c>
      <c r="M190" s="12"/>
      <c r="N190" s="15" t="str">
        <f aca="false">IF($B190="","",IF(NOT(ISNUMBER($B190)),"日期格式不对",IF($C190="","未选资金账户",IF(AND(N($I190)=0,N($J190)=0),"收支都为空",IF(AND(N($I190)&gt;0,N($J190)&gt;0),"收支不能同时填",IF(AND($D190&lt;&gt;"",LEFT($O190,1)="⚠"),"项目编号不存在",IF(AND($M190="是",$F190=""),"工程回款必须填往来单位","√")))))))</f>
        <v/>
      </c>
      <c r="O190" s="16" t="str">
        <f aca="false">IF($D190="","",IFERROR(INDEX(对照清单!$B$5:$B$60,MATCH($D190,对照清单!$A$5:$A$60,0)),"⚠编号不存在"))</f>
        <v/>
      </c>
      <c r="P190" s="10" t="str">
        <f aca="false">IF($B190="","",IF(ISNUMBER($B190),TEXT($B190,"yyyy-mm"),"日期非法"))</f>
        <v/>
      </c>
      <c r="Q190" s="10" t="str">
        <f aca="false">IF($B190="","",IF(ISNUMBER($B190),YEAR($B190),"日期非法"))</f>
        <v/>
      </c>
    </row>
    <row r="191" customFormat="false" ht="15.75" hidden="false" customHeight="true" outlineLevel="0" collapsed="false">
      <c r="A191" s="10" t="str">
        <f aca="false">IF($B191="","",ROW()-4)</f>
        <v/>
      </c>
      <c r="B191" s="11"/>
      <c r="C191" s="12"/>
      <c r="D191" s="12"/>
      <c r="E191" s="12"/>
      <c r="F191" s="12"/>
      <c r="G191" s="12"/>
      <c r="H191" s="13"/>
      <c r="I191" s="4"/>
      <c r="J191" s="4"/>
      <c r="K191" s="14" t="str">
        <f aca="false">IF($B191="","",IF($C191="泓普",$C$2,IF($C191="仟茂",$E$2,IF($C191="现金",$G$2,0)))+SUMIFS($I$5:$I191,$C$5:$C191,$C191)-SUMIFS($J$5:$J191,$C$5:$C191,$C191))</f>
        <v/>
      </c>
      <c r="L191" s="14" t="str">
        <f aca="false">IF($B191="","",$C$2+$E$2+$G$2+SUM($I$5:$I191)-SUM($J$5:$J191))</f>
        <v/>
      </c>
      <c r="M191" s="12"/>
      <c r="N191" s="15" t="str">
        <f aca="false">IF($B191="","",IF(NOT(ISNUMBER($B191)),"日期格式不对",IF($C191="","未选资金账户",IF(AND(N($I191)=0,N($J191)=0),"收支都为空",IF(AND(N($I191)&gt;0,N($J191)&gt;0),"收支不能同时填",IF(AND($D191&lt;&gt;"",LEFT($O191,1)="⚠"),"项目编号不存在",IF(AND($M191="是",$F191=""),"工程回款必须填往来单位","√")))))))</f>
        <v/>
      </c>
      <c r="O191" s="16" t="str">
        <f aca="false">IF($D191="","",IFERROR(INDEX(对照清单!$B$5:$B$60,MATCH($D191,对照清单!$A$5:$A$60,0)),"⚠编号不存在"))</f>
        <v/>
      </c>
      <c r="P191" s="10" t="str">
        <f aca="false">IF($B191="","",IF(ISNUMBER($B191),TEXT($B191,"yyyy-mm"),"日期非法"))</f>
        <v/>
      </c>
      <c r="Q191" s="10" t="str">
        <f aca="false">IF($B191="","",IF(ISNUMBER($B191),YEAR($B191),"日期非法"))</f>
        <v/>
      </c>
    </row>
    <row r="192" customFormat="false" ht="15.75" hidden="false" customHeight="true" outlineLevel="0" collapsed="false">
      <c r="A192" s="10" t="str">
        <f aca="false">IF($B192="","",ROW()-4)</f>
        <v/>
      </c>
      <c r="B192" s="11"/>
      <c r="C192" s="12"/>
      <c r="D192" s="12"/>
      <c r="E192" s="12"/>
      <c r="F192" s="12"/>
      <c r="G192" s="12"/>
      <c r="H192" s="13"/>
      <c r="I192" s="4"/>
      <c r="J192" s="4"/>
      <c r="K192" s="14" t="str">
        <f aca="false">IF($B192="","",IF($C192="泓普",$C$2,IF($C192="仟茂",$E$2,IF($C192="现金",$G$2,0)))+SUMIFS($I$5:$I192,$C$5:$C192,$C192)-SUMIFS($J$5:$J192,$C$5:$C192,$C192))</f>
        <v/>
      </c>
      <c r="L192" s="14" t="str">
        <f aca="false">IF($B192="","",$C$2+$E$2+$G$2+SUM($I$5:$I192)-SUM($J$5:$J192))</f>
        <v/>
      </c>
      <c r="M192" s="12"/>
      <c r="N192" s="15" t="str">
        <f aca="false">IF($B192="","",IF(NOT(ISNUMBER($B192)),"日期格式不对",IF($C192="","未选资金账户",IF(AND(N($I192)=0,N($J192)=0),"收支都为空",IF(AND(N($I192)&gt;0,N($J192)&gt;0),"收支不能同时填",IF(AND($D192&lt;&gt;"",LEFT($O192,1)="⚠"),"项目编号不存在",IF(AND($M192="是",$F192=""),"工程回款必须填往来单位","√")))))))</f>
        <v/>
      </c>
      <c r="O192" s="16" t="str">
        <f aca="false">IF($D192="","",IFERROR(INDEX(对照清单!$B$5:$B$60,MATCH($D192,对照清单!$A$5:$A$60,0)),"⚠编号不存在"))</f>
        <v/>
      </c>
      <c r="P192" s="10" t="str">
        <f aca="false">IF($B192="","",IF(ISNUMBER($B192),TEXT($B192,"yyyy-mm"),"日期非法"))</f>
        <v/>
      </c>
      <c r="Q192" s="10" t="str">
        <f aca="false">IF($B192="","",IF(ISNUMBER($B192),YEAR($B192),"日期非法"))</f>
        <v/>
      </c>
    </row>
    <row r="193" customFormat="false" ht="15.75" hidden="false" customHeight="true" outlineLevel="0" collapsed="false">
      <c r="A193" s="10" t="str">
        <f aca="false">IF($B193="","",ROW()-4)</f>
        <v/>
      </c>
      <c r="B193" s="11"/>
      <c r="C193" s="12"/>
      <c r="D193" s="12"/>
      <c r="E193" s="12"/>
      <c r="F193" s="12"/>
      <c r="G193" s="12"/>
      <c r="H193" s="13"/>
      <c r="I193" s="4"/>
      <c r="J193" s="4"/>
      <c r="K193" s="14" t="str">
        <f aca="false">IF($B193="","",IF($C193="泓普",$C$2,IF($C193="仟茂",$E$2,IF($C193="现金",$G$2,0)))+SUMIFS($I$5:$I193,$C$5:$C193,$C193)-SUMIFS($J$5:$J193,$C$5:$C193,$C193))</f>
        <v/>
      </c>
      <c r="L193" s="14" t="str">
        <f aca="false">IF($B193="","",$C$2+$E$2+$G$2+SUM($I$5:$I193)-SUM($J$5:$J193))</f>
        <v/>
      </c>
      <c r="M193" s="12"/>
      <c r="N193" s="15" t="str">
        <f aca="false">IF($B193="","",IF(NOT(ISNUMBER($B193)),"日期格式不对",IF($C193="","未选资金账户",IF(AND(N($I193)=0,N($J193)=0),"收支都为空",IF(AND(N($I193)&gt;0,N($J193)&gt;0),"收支不能同时填",IF(AND($D193&lt;&gt;"",LEFT($O193,1)="⚠"),"项目编号不存在",IF(AND($M193="是",$F193=""),"工程回款必须填往来单位","√")))))))</f>
        <v/>
      </c>
      <c r="O193" s="16" t="str">
        <f aca="false">IF($D193="","",IFERROR(INDEX(对照清单!$B$5:$B$60,MATCH($D193,对照清单!$A$5:$A$60,0)),"⚠编号不存在"))</f>
        <v/>
      </c>
      <c r="P193" s="10" t="str">
        <f aca="false">IF($B193="","",IF(ISNUMBER($B193),TEXT($B193,"yyyy-mm"),"日期非法"))</f>
        <v/>
      </c>
      <c r="Q193" s="10" t="str">
        <f aca="false">IF($B193="","",IF(ISNUMBER($B193),YEAR($B193),"日期非法"))</f>
        <v/>
      </c>
    </row>
    <row r="194" customFormat="false" ht="15.75" hidden="false" customHeight="true" outlineLevel="0" collapsed="false">
      <c r="A194" s="10" t="str">
        <f aca="false">IF($B194="","",ROW()-4)</f>
        <v/>
      </c>
      <c r="B194" s="11"/>
      <c r="C194" s="12"/>
      <c r="D194" s="12"/>
      <c r="E194" s="12"/>
      <c r="F194" s="12"/>
      <c r="G194" s="12"/>
      <c r="H194" s="13"/>
      <c r="I194" s="4"/>
      <c r="J194" s="4"/>
      <c r="K194" s="14" t="str">
        <f aca="false">IF($B194="","",IF($C194="泓普",$C$2,IF($C194="仟茂",$E$2,IF($C194="现金",$G$2,0)))+SUMIFS($I$5:$I194,$C$5:$C194,$C194)-SUMIFS($J$5:$J194,$C$5:$C194,$C194))</f>
        <v/>
      </c>
      <c r="L194" s="14" t="str">
        <f aca="false">IF($B194="","",$C$2+$E$2+$G$2+SUM($I$5:$I194)-SUM($J$5:$J194))</f>
        <v/>
      </c>
      <c r="M194" s="12"/>
      <c r="N194" s="15" t="str">
        <f aca="false">IF($B194="","",IF(NOT(ISNUMBER($B194)),"日期格式不对",IF($C194="","未选资金账户",IF(AND(N($I194)=0,N($J194)=0),"收支都为空",IF(AND(N($I194)&gt;0,N($J194)&gt;0),"收支不能同时填",IF(AND($D194&lt;&gt;"",LEFT($O194,1)="⚠"),"项目编号不存在",IF(AND($M194="是",$F194=""),"工程回款必须填往来单位","√")))))))</f>
        <v/>
      </c>
      <c r="O194" s="16" t="str">
        <f aca="false">IF($D194="","",IFERROR(INDEX(对照清单!$B$5:$B$60,MATCH($D194,对照清单!$A$5:$A$60,0)),"⚠编号不存在"))</f>
        <v/>
      </c>
      <c r="P194" s="10" t="str">
        <f aca="false">IF($B194="","",IF(ISNUMBER($B194),TEXT($B194,"yyyy-mm"),"日期非法"))</f>
        <v/>
      </c>
      <c r="Q194" s="10" t="str">
        <f aca="false">IF($B194="","",IF(ISNUMBER($B194),YEAR($B194),"日期非法"))</f>
        <v/>
      </c>
    </row>
    <row r="195" customFormat="false" ht="15.75" hidden="false" customHeight="true" outlineLevel="0" collapsed="false">
      <c r="A195" s="10" t="str">
        <f aca="false">IF($B195="","",ROW()-4)</f>
        <v/>
      </c>
      <c r="B195" s="11"/>
      <c r="C195" s="12"/>
      <c r="D195" s="12"/>
      <c r="E195" s="12"/>
      <c r="F195" s="12"/>
      <c r="G195" s="12"/>
      <c r="H195" s="13"/>
      <c r="I195" s="4"/>
      <c r="J195" s="4"/>
      <c r="K195" s="14" t="str">
        <f aca="false">IF($B195="","",IF($C195="泓普",$C$2,IF($C195="仟茂",$E$2,IF($C195="现金",$G$2,0)))+SUMIFS($I$5:$I195,$C$5:$C195,$C195)-SUMIFS($J$5:$J195,$C$5:$C195,$C195))</f>
        <v/>
      </c>
      <c r="L195" s="14" t="str">
        <f aca="false">IF($B195="","",$C$2+$E$2+$G$2+SUM($I$5:$I195)-SUM($J$5:$J195))</f>
        <v/>
      </c>
      <c r="M195" s="12"/>
      <c r="N195" s="15" t="str">
        <f aca="false">IF($B195="","",IF(NOT(ISNUMBER($B195)),"日期格式不对",IF($C195="","未选资金账户",IF(AND(N($I195)=0,N($J195)=0),"收支都为空",IF(AND(N($I195)&gt;0,N($J195)&gt;0),"收支不能同时填",IF(AND($D195&lt;&gt;"",LEFT($O195,1)="⚠"),"项目编号不存在",IF(AND($M195="是",$F195=""),"工程回款必须填往来单位","√")))))))</f>
        <v/>
      </c>
      <c r="O195" s="16" t="str">
        <f aca="false">IF($D195="","",IFERROR(INDEX(对照清单!$B$5:$B$60,MATCH($D195,对照清单!$A$5:$A$60,0)),"⚠编号不存在"))</f>
        <v/>
      </c>
      <c r="P195" s="10" t="str">
        <f aca="false">IF($B195="","",IF(ISNUMBER($B195),TEXT($B195,"yyyy-mm"),"日期非法"))</f>
        <v/>
      </c>
      <c r="Q195" s="10" t="str">
        <f aca="false">IF($B195="","",IF(ISNUMBER($B195),YEAR($B195),"日期非法"))</f>
        <v/>
      </c>
    </row>
    <row r="196" customFormat="false" ht="15.75" hidden="false" customHeight="true" outlineLevel="0" collapsed="false">
      <c r="A196" s="10" t="str">
        <f aca="false">IF($B196="","",ROW()-4)</f>
        <v/>
      </c>
      <c r="B196" s="11"/>
      <c r="C196" s="12"/>
      <c r="D196" s="12"/>
      <c r="E196" s="12"/>
      <c r="F196" s="12"/>
      <c r="G196" s="12"/>
      <c r="H196" s="13"/>
      <c r="I196" s="4"/>
      <c r="J196" s="4"/>
      <c r="K196" s="14" t="str">
        <f aca="false">IF($B196="","",IF($C196="泓普",$C$2,IF($C196="仟茂",$E$2,IF($C196="现金",$G$2,0)))+SUMIFS($I$5:$I196,$C$5:$C196,$C196)-SUMIFS($J$5:$J196,$C$5:$C196,$C196))</f>
        <v/>
      </c>
      <c r="L196" s="14" t="str">
        <f aca="false">IF($B196="","",$C$2+$E$2+$G$2+SUM($I$5:$I196)-SUM($J$5:$J196))</f>
        <v/>
      </c>
      <c r="M196" s="12"/>
      <c r="N196" s="15" t="str">
        <f aca="false">IF($B196="","",IF(NOT(ISNUMBER($B196)),"日期格式不对",IF($C196="","未选资金账户",IF(AND(N($I196)=0,N($J196)=0),"收支都为空",IF(AND(N($I196)&gt;0,N($J196)&gt;0),"收支不能同时填",IF(AND($D196&lt;&gt;"",LEFT($O196,1)="⚠"),"项目编号不存在",IF(AND($M196="是",$F196=""),"工程回款必须填往来单位","√")))))))</f>
        <v/>
      </c>
      <c r="O196" s="16" t="str">
        <f aca="false">IF($D196="","",IFERROR(INDEX(对照清单!$B$5:$B$60,MATCH($D196,对照清单!$A$5:$A$60,0)),"⚠编号不存在"))</f>
        <v/>
      </c>
      <c r="P196" s="10" t="str">
        <f aca="false">IF($B196="","",IF(ISNUMBER($B196),TEXT($B196,"yyyy-mm"),"日期非法"))</f>
        <v/>
      </c>
      <c r="Q196" s="10" t="str">
        <f aca="false">IF($B196="","",IF(ISNUMBER($B196),YEAR($B196),"日期非法"))</f>
        <v/>
      </c>
    </row>
    <row r="197" customFormat="false" ht="15.75" hidden="false" customHeight="true" outlineLevel="0" collapsed="false">
      <c r="A197" s="10" t="str">
        <f aca="false">IF($B197="","",ROW()-4)</f>
        <v/>
      </c>
      <c r="B197" s="11"/>
      <c r="C197" s="12"/>
      <c r="D197" s="12"/>
      <c r="E197" s="12"/>
      <c r="F197" s="12"/>
      <c r="G197" s="12"/>
      <c r="H197" s="13"/>
      <c r="I197" s="4"/>
      <c r="J197" s="4"/>
      <c r="K197" s="14" t="str">
        <f aca="false">IF($B197="","",IF($C197="泓普",$C$2,IF($C197="仟茂",$E$2,IF($C197="现金",$G$2,0)))+SUMIFS($I$5:$I197,$C$5:$C197,$C197)-SUMIFS($J$5:$J197,$C$5:$C197,$C197))</f>
        <v/>
      </c>
      <c r="L197" s="14" t="str">
        <f aca="false">IF($B197="","",$C$2+$E$2+$G$2+SUM($I$5:$I197)-SUM($J$5:$J197))</f>
        <v/>
      </c>
      <c r="M197" s="12"/>
      <c r="N197" s="15" t="str">
        <f aca="false">IF($B197="","",IF(NOT(ISNUMBER($B197)),"日期格式不对",IF($C197="","未选资金账户",IF(AND(N($I197)=0,N($J197)=0),"收支都为空",IF(AND(N($I197)&gt;0,N($J197)&gt;0),"收支不能同时填",IF(AND($D197&lt;&gt;"",LEFT($O197,1)="⚠"),"项目编号不存在",IF(AND($M197="是",$F197=""),"工程回款必须填往来单位","√")))))))</f>
        <v/>
      </c>
      <c r="O197" s="16" t="str">
        <f aca="false">IF($D197="","",IFERROR(INDEX(对照清单!$B$5:$B$60,MATCH($D197,对照清单!$A$5:$A$60,0)),"⚠编号不存在"))</f>
        <v/>
      </c>
      <c r="P197" s="10" t="str">
        <f aca="false">IF($B197="","",IF(ISNUMBER($B197),TEXT($B197,"yyyy-mm"),"日期非法"))</f>
        <v/>
      </c>
      <c r="Q197" s="10" t="str">
        <f aca="false">IF($B197="","",IF(ISNUMBER($B197),YEAR($B197),"日期非法"))</f>
        <v/>
      </c>
    </row>
    <row r="198" customFormat="false" ht="15.75" hidden="false" customHeight="true" outlineLevel="0" collapsed="false">
      <c r="A198" s="10" t="str">
        <f aca="false">IF($B198="","",ROW()-4)</f>
        <v/>
      </c>
      <c r="B198" s="11"/>
      <c r="C198" s="12"/>
      <c r="D198" s="12"/>
      <c r="E198" s="12"/>
      <c r="F198" s="12"/>
      <c r="G198" s="12"/>
      <c r="H198" s="13"/>
      <c r="I198" s="4"/>
      <c r="J198" s="4"/>
      <c r="K198" s="14" t="str">
        <f aca="false">IF($B198="","",IF($C198="泓普",$C$2,IF($C198="仟茂",$E$2,IF($C198="现金",$G$2,0)))+SUMIFS($I$5:$I198,$C$5:$C198,$C198)-SUMIFS($J$5:$J198,$C$5:$C198,$C198))</f>
        <v/>
      </c>
      <c r="L198" s="14" t="str">
        <f aca="false">IF($B198="","",$C$2+$E$2+$G$2+SUM($I$5:$I198)-SUM($J$5:$J198))</f>
        <v/>
      </c>
      <c r="M198" s="12"/>
      <c r="N198" s="15" t="str">
        <f aca="false">IF($B198="","",IF(NOT(ISNUMBER($B198)),"日期格式不对",IF($C198="","未选资金账户",IF(AND(N($I198)=0,N($J198)=0),"收支都为空",IF(AND(N($I198)&gt;0,N($J198)&gt;0),"收支不能同时填",IF(AND($D198&lt;&gt;"",LEFT($O198,1)="⚠"),"项目编号不存在",IF(AND($M198="是",$F198=""),"工程回款必须填往来单位","√")))))))</f>
        <v/>
      </c>
      <c r="O198" s="16" t="str">
        <f aca="false">IF($D198="","",IFERROR(INDEX(对照清单!$B$5:$B$60,MATCH($D198,对照清单!$A$5:$A$60,0)),"⚠编号不存在"))</f>
        <v/>
      </c>
      <c r="P198" s="10" t="str">
        <f aca="false">IF($B198="","",IF(ISNUMBER($B198),TEXT($B198,"yyyy-mm"),"日期非法"))</f>
        <v/>
      </c>
      <c r="Q198" s="10" t="str">
        <f aca="false">IF($B198="","",IF(ISNUMBER($B198),YEAR($B198),"日期非法"))</f>
        <v/>
      </c>
    </row>
    <row r="199" customFormat="false" ht="15.75" hidden="false" customHeight="true" outlineLevel="0" collapsed="false">
      <c r="A199" s="10" t="str">
        <f aca="false">IF($B199="","",ROW()-4)</f>
        <v/>
      </c>
      <c r="B199" s="11"/>
      <c r="C199" s="12"/>
      <c r="D199" s="12"/>
      <c r="E199" s="12"/>
      <c r="F199" s="12"/>
      <c r="G199" s="12"/>
      <c r="H199" s="13"/>
      <c r="I199" s="4"/>
      <c r="J199" s="4"/>
      <c r="K199" s="14" t="str">
        <f aca="false">IF($B199="","",IF($C199="泓普",$C$2,IF($C199="仟茂",$E$2,IF($C199="现金",$G$2,0)))+SUMIFS($I$5:$I199,$C$5:$C199,$C199)-SUMIFS($J$5:$J199,$C$5:$C199,$C199))</f>
        <v/>
      </c>
      <c r="L199" s="14" t="str">
        <f aca="false">IF($B199="","",$C$2+$E$2+$G$2+SUM($I$5:$I199)-SUM($J$5:$J199))</f>
        <v/>
      </c>
      <c r="M199" s="12"/>
      <c r="N199" s="15" t="str">
        <f aca="false">IF($B199="","",IF(NOT(ISNUMBER($B199)),"日期格式不对",IF($C199="","未选资金账户",IF(AND(N($I199)=0,N($J199)=0),"收支都为空",IF(AND(N($I199)&gt;0,N($J199)&gt;0),"收支不能同时填",IF(AND($D199&lt;&gt;"",LEFT($O199,1)="⚠"),"项目编号不存在",IF(AND($M199="是",$F199=""),"工程回款必须填往来单位","√")))))))</f>
        <v/>
      </c>
      <c r="O199" s="16" t="str">
        <f aca="false">IF($D199="","",IFERROR(INDEX(对照清单!$B$5:$B$60,MATCH($D199,对照清单!$A$5:$A$60,0)),"⚠编号不存在"))</f>
        <v/>
      </c>
      <c r="P199" s="10" t="str">
        <f aca="false">IF($B199="","",IF(ISNUMBER($B199),TEXT($B199,"yyyy-mm"),"日期非法"))</f>
        <v/>
      </c>
      <c r="Q199" s="10" t="str">
        <f aca="false">IF($B199="","",IF(ISNUMBER($B199),YEAR($B199),"日期非法"))</f>
        <v/>
      </c>
    </row>
    <row r="200" customFormat="false" ht="15.75" hidden="false" customHeight="true" outlineLevel="0" collapsed="false">
      <c r="A200" s="10" t="str">
        <f aca="false">IF($B200="","",ROW()-4)</f>
        <v/>
      </c>
      <c r="B200" s="11"/>
      <c r="C200" s="12"/>
      <c r="D200" s="12"/>
      <c r="E200" s="12"/>
      <c r="F200" s="12"/>
      <c r="G200" s="12"/>
      <c r="H200" s="13"/>
      <c r="I200" s="4"/>
      <c r="J200" s="4"/>
      <c r="K200" s="14" t="str">
        <f aca="false">IF($B200="","",IF($C200="泓普",$C$2,IF($C200="仟茂",$E$2,IF($C200="现金",$G$2,0)))+SUMIFS($I$5:$I200,$C$5:$C200,$C200)-SUMIFS($J$5:$J200,$C$5:$C200,$C200))</f>
        <v/>
      </c>
      <c r="L200" s="14" t="str">
        <f aca="false">IF($B200="","",$C$2+$E$2+$G$2+SUM($I$5:$I200)-SUM($J$5:$J200))</f>
        <v/>
      </c>
      <c r="M200" s="12"/>
      <c r="N200" s="15" t="str">
        <f aca="false">IF($B200="","",IF(NOT(ISNUMBER($B200)),"日期格式不对",IF($C200="","未选资金账户",IF(AND(N($I200)=0,N($J200)=0),"收支都为空",IF(AND(N($I200)&gt;0,N($J200)&gt;0),"收支不能同时填",IF(AND($D200&lt;&gt;"",LEFT($O200,1)="⚠"),"项目编号不存在",IF(AND($M200="是",$F200=""),"工程回款必须填往来单位","√")))))))</f>
        <v/>
      </c>
      <c r="O200" s="16" t="str">
        <f aca="false">IF($D200="","",IFERROR(INDEX(对照清单!$B$5:$B$60,MATCH($D200,对照清单!$A$5:$A$60,0)),"⚠编号不存在"))</f>
        <v/>
      </c>
      <c r="P200" s="10" t="str">
        <f aca="false">IF($B200="","",IF(ISNUMBER($B200),TEXT($B200,"yyyy-mm"),"日期非法"))</f>
        <v/>
      </c>
      <c r="Q200" s="10" t="str">
        <f aca="false">IF($B200="","",IF(ISNUMBER($B200),YEAR($B200),"日期非法"))</f>
        <v/>
      </c>
    </row>
    <row r="201" customFormat="false" ht="15.75" hidden="false" customHeight="true" outlineLevel="0" collapsed="false">
      <c r="A201" s="10" t="str">
        <f aca="false">IF($B201="","",ROW()-4)</f>
        <v/>
      </c>
      <c r="B201" s="11"/>
      <c r="C201" s="12"/>
      <c r="D201" s="12"/>
      <c r="E201" s="12"/>
      <c r="F201" s="12"/>
      <c r="G201" s="12"/>
      <c r="H201" s="13"/>
      <c r="I201" s="4"/>
      <c r="J201" s="4"/>
      <c r="K201" s="14" t="str">
        <f aca="false">IF($B201="","",IF($C201="泓普",$C$2,IF($C201="仟茂",$E$2,IF($C201="现金",$G$2,0)))+SUMIFS($I$5:$I201,$C$5:$C201,$C201)-SUMIFS($J$5:$J201,$C$5:$C201,$C201))</f>
        <v/>
      </c>
      <c r="L201" s="14" t="str">
        <f aca="false">IF($B201="","",$C$2+$E$2+$G$2+SUM($I$5:$I201)-SUM($J$5:$J201))</f>
        <v/>
      </c>
      <c r="M201" s="12"/>
      <c r="N201" s="15" t="str">
        <f aca="false">IF($B201="","",IF(NOT(ISNUMBER($B201)),"日期格式不对",IF($C201="","未选资金账户",IF(AND(N($I201)=0,N($J201)=0),"收支都为空",IF(AND(N($I201)&gt;0,N($J201)&gt;0),"收支不能同时填",IF(AND($D201&lt;&gt;"",LEFT($O201,1)="⚠"),"项目编号不存在",IF(AND($M201="是",$F201=""),"工程回款必须填往来单位","√")))))))</f>
        <v/>
      </c>
      <c r="O201" s="16" t="str">
        <f aca="false">IF($D201="","",IFERROR(INDEX(对照清单!$B$5:$B$60,MATCH($D201,对照清单!$A$5:$A$60,0)),"⚠编号不存在"))</f>
        <v/>
      </c>
      <c r="P201" s="10" t="str">
        <f aca="false">IF($B201="","",IF(ISNUMBER($B201),TEXT($B201,"yyyy-mm"),"日期非法"))</f>
        <v/>
      </c>
      <c r="Q201" s="10" t="str">
        <f aca="false">IF($B201="","",IF(ISNUMBER($B201),YEAR($B201),"日期非法"))</f>
        <v/>
      </c>
    </row>
    <row r="202" customFormat="false" ht="15.75" hidden="false" customHeight="true" outlineLevel="0" collapsed="false">
      <c r="A202" s="10" t="str">
        <f aca="false">IF($B202="","",ROW()-4)</f>
        <v/>
      </c>
      <c r="B202" s="11"/>
      <c r="C202" s="12"/>
      <c r="D202" s="12"/>
      <c r="E202" s="12"/>
      <c r="F202" s="12"/>
      <c r="G202" s="12"/>
      <c r="H202" s="13"/>
      <c r="I202" s="4"/>
      <c r="J202" s="4"/>
      <c r="K202" s="14" t="str">
        <f aca="false">IF($B202="","",IF($C202="泓普",$C$2,IF($C202="仟茂",$E$2,IF($C202="现金",$G$2,0)))+SUMIFS($I$5:$I202,$C$5:$C202,$C202)-SUMIFS($J$5:$J202,$C$5:$C202,$C202))</f>
        <v/>
      </c>
      <c r="L202" s="14" t="str">
        <f aca="false">IF($B202="","",$C$2+$E$2+$G$2+SUM($I$5:$I202)-SUM($J$5:$J202))</f>
        <v/>
      </c>
      <c r="M202" s="12"/>
      <c r="N202" s="15" t="str">
        <f aca="false">IF($B202="","",IF(NOT(ISNUMBER($B202)),"日期格式不对",IF($C202="","未选资金账户",IF(AND(N($I202)=0,N($J202)=0),"收支都为空",IF(AND(N($I202)&gt;0,N($J202)&gt;0),"收支不能同时填",IF(AND($D202&lt;&gt;"",LEFT($O202,1)="⚠"),"项目编号不存在",IF(AND($M202="是",$F202=""),"工程回款必须填往来单位","√")))))))</f>
        <v/>
      </c>
      <c r="O202" s="16" t="str">
        <f aca="false">IF($D202="","",IFERROR(INDEX(对照清单!$B$5:$B$60,MATCH($D202,对照清单!$A$5:$A$60,0)),"⚠编号不存在"))</f>
        <v/>
      </c>
      <c r="P202" s="10" t="str">
        <f aca="false">IF($B202="","",IF(ISNUMBER($B202),TEXT($B202,"yyyy-mm"),"日期非法"))</f>
        <v/>
      </c>
      <c r="Q202" s="10" t="str">
        <f aca="false">IF($B202="","",IF(ISNUMBER($B202),YEAR($B202),"日期非法"))</f>
        <v/>
      </c>
    </row>
    <row r="203" customFormat="false" ht="15.75" hidden="false" customHeight="true" outlineLevel="0" collapsed="false">
      <c r="A203" s="10" t="str">
        <f aca="false">IF($B203="","",ROW()-4)</f>
        <v/>
      </c>
      <c r="B203" s="11"/>
      <c r="C203" s="12"/>
      <c r="D203" s="12"/>
      <c r="E203" s="12"/>
      <c r="F203" s="12"/>
      <c r="G203" s="12"/>
      <c r="H203" s="13"/>
      <c r="I203" s="4"/>
      <c r="J203" s="4"/>
      <c r="K203" s="14" t="str">
        <f aca="false">IF($B203="","",IF($C203="泓普",$C$2,IF($C203="仟茂",$E$2,IF($C203="现金",$G$2,0)))+SUMIFS($I$5:$I203,$C$5:$C203,$C203)-SUMIFS($J$5:$J203,$C$5:$C203,$C203))</f>
        <v/>
      </c>
      <c r="L203" s="14" t="str">
        <f aca="false">IF($B203="","",$C$2+$E$2+$G$2+SUM($I$5:$I203)-SUM($J$5:$J203))</f>
        <v/>
      </c>
      <c r="M203" s="12"/>
      <c r="N203" s="15" t="str">
        <f aca="false">IF($B203="","",IF(NOT(ISNUMBER($B203)),"日期格式不对",IF($C203="","未选资金账户",IF(AND(N($I203)=0,N($J203)=0),"收支都为空",IF(AND(N($I203)&gt;0,N($J203)&gt;0),"收支不能同时填",IF(AND($D203&lt;&gt;"",LEFT($O203,1)="⚠"),"项目编号不存在",IF(AND($M203="是",$F203=""),"工程回款必须填往来单位","√")))))))</f>
        <v/>
      </c>
      <c r="O203" s="16" t="str">
        <f aca="false">IF($D203="","",IFERROR(INDEX(对照清单!$B$5:$B$60,MATCH($D203,对照清单!$A$5:$A$60,0)),"⚠编号不存在"))</f>
        <v/>
      </c>
      <c r="P203" s="10" t="str">
        <f aca="false">IF($B203="","",IF(ISNUMBER($B203),TEXT($B203,"yyyy-mm"),"日期非法"))</f>
        <v/>
      </c>
      <c r="Q203" s="10" t="str">
        <f aca="false">IF($B203="","",IF(ISNUMBER($B203),YEAR($B203),"日期非法"))</f>
        <v/>
      </c>
    </row>
    <row r="204" customFormat="false" ht="15.75" hidden="false" customHeight="true" outlineLevel="0" collapsed="false">
      <c r="A204" s="10" t="str">
        <f aca="false">IF($B204="","",ROW()-4)</f>
        <v/>
      </c>
      <c r="B204" s="11"/>
      <c r="C204" s="12"/>
      <c r="D204" s="12"/>
      <c r="E204" s="12"/>
      <c r="F204" s="12"/>
      <c r="G204" s="12"/>
      <c r="H204" s="13"/>
      <c r="I204" s="4"/>
      <c r="J204" s="4"/>
      <c r="K204" s="14" t="str">
        <f aca="false">IF($B204="","",IF($C204="泓普",$C$2,IF($C204="仟茂",$E$2,IF($C204="现金",$G$2,0)))+SUMIFS($I$5:$I204,$C$5:$C204,$C204)-SUMIFS($J$5:$J204,$C$5:$C204,$C204))</f>
        <v/>
      </c>
      <c r="L204" s="14" t="str">
        <f aca="false">IF($B204="","",$C$2+$E$2+$G$2+SUM($I$5:$I204)-SUM($J$5:$J204))</f>
        <v/>
      </c>
      <c r="M204" s="12"/>
      <c r="N204" s="15" t="str">
        <f aca="false">IF($B204="","",IF(NOT(ISNUMBER($B204)),"日期格式不对",IF($C204="","未选资金账户",IF(AND(N($I204)=0,N($J204)=0),"收支都为空",IF(AND(N($I204)&gt;0,N($J204)&gt;0),"收支不能同时填",IF(AND($D204&lt;&gt;"",LEFT($O204,1)="⚠"),"项目编号不存在",IF(AND($M204="是",$F204=""),"工程回款必须填往来单位","√")))))))</f>
        <v/>
      </c>
      <c r="O204" s="16" t="str">
        <f aca="false">IF($D204="","",IFERROR(INDEX(对照清单!$B$5:$B$60,MATCH($D204,对照清单!$A$5:$A$60,0)),"⚠编号不存在"))</f>
        <v/>
      </c>
      <c r="P204" s="10" t="str">
        <f aca="false">IF($B204="","",IF(ISNUMBER($B204),TEXT($B204,"yyyy-mm"),"日期非法"))</f>
        <v/>
      </c>
      <c r="Q204" s="10" t="str">
        <f aca="false">IF($B204="","",IF(ISNUMBER($B204),YEAR($B204),"日期非法"))</f>
        <v/>
      </c>
    </row>
    <row r="205" customFormat="false" ht="15.75" hidden="false" customHeight="true" outlineLevel="0" collapsed="false">
      <c r="A205" s="10" t="str">
        <f aca="false">IF($B205="","",ROW()-4)</f>
        <v/>
      </c>
      <c r="B205" s="11"/>
      <c r="C205" s="12"/>
      <c r="D205" s="12"/>
      <c r="E205" s="12"/>
      <c r="F205" s="12"/>
      <c r="G205" s="12"/>
      <c r="H205" s="13"/>
      <c r="I205" s="4"/>
      <c r="J205" s="4"/>
      <c r="K205" s="14" t="str">
        <f aca="false">IF($B205="","",IF($C205="泓普",$C$2,IF($C205="仟茂",$E$2,IF($C205="现金",$G$2,0)))+SUMIFS($I$5:$I205,$C$5:$C205,$C205)-SUMIFS($J$5:$J205,$C$5:$C205,$C205))</f>
        <v/>
      </c>
      <c r="L205" s="14" t="str">
        <f aca="false">IF($B205="","",$C$2+$E$2+$G$2+SUM($I$5:$I205)-SUM($J$5:$J205))</f>
        <v/>
      </c>
      <c r="M205" s="12"/>
      <c r="N205" s="15" t="str">
        <f aca="false">IF($B205="","",IF(NOT(ISNUMBER($B205)),"日期格式不对",IF($C205="","未选资金账户",IF(AND(N($I205)=0,N($J205)=0),"收支都为空",IF(AND(N($I205)&gt;0,N($J205)&gt;0),"收支不能同时填",IF(AND($D205&lt;&gt;"",LEFT($O205,1)="⚠"),"项目编号不存在",IF(AND($M205="是",$F205=""),"工程回款必须填往来单位","√")))))))</f>
        <v/>
      </c>
      <c r="O205" s="16" t="str">
        <f aca="false">IF($D205="","",IFERROR(INDEX(对照清单!$B$5:$B$60,MATCH($D205,对照清单!$A$5:$A$60,0)),"⚠编号不存在"))</f>
        <v/>
      </c>
      <c r="P205" s="10" t="str">
        <f aca="false">IF($B205="","",IF(ISNUMBER($B205),TEXT($B205,"yyyy-mm"),"日期非法"))</f>
        <v/>
      </c>
      <c r="Q205" s="10" t="str">
        <f aca="false">IF($B205="","",IF(ISNUMBER($B205),YEAR($B205),"日期非法"))</f>
        <v/>
      </c>
    </row>
    <row r="206" customFormat="false" ht="15.75" hidden="false" customHeight="true" outlineLevel="0" collapsed="false">
      <c r="A206" s="10" t="str">
        <f aca="false">IF($B206="","",ROW()-4)</f>
        <v/>
      </c>
      <c r="B206" s="11"/>
      <c r="C206" s="12"/>
      <c r="D206" s="12"/>
      <c r="E206" s="12"/>
      <c r="F206" s="12"/>
      <c r="G206" s="12"/>
      <c r="H206" s="13"/>
      <c r="I206" s="4"/>
      <c r="J206" s="4"/>
      <c r="K206" s="14" t="str">
        <f aca="false">IF($B206="","",IF($C206="泓普",$C$2,IF($C206="仟茂",$E$2,IF($C206="现金",$G$2,0)))+SUMIFS($I$5:$I206,$C$5:$C206,$C206)-SUMIFS($J$5:$J206,$C$5:$C206,$C206))</f>
        <v/>
      </c>
      <c r="L206" s="14" t="str">
        <f aca="false">IF($B206="","",$C$2+$E$2+$G$2+SUM($I$5:$I206)-SUM($J$5:$J206))</f>
        <v/>
      </c>
      <c r="M206" s="12"/>
      <c r="N206" s="15" t="str">
        <f aca="false">IF($B206="","",IF(NOT(ISNUMBER($B206)),"日期格式不对",IF($C206="","未选资金账户",IF(AND(N($I206)=0,N($J206)=0),"收支都为空",IF(AND(N($I206)&gt;0,N($J206)&gt;0),"收支不能同时填",IF(AND($D206&lt;&gt;"",LEFT($O206,1)="⚠"),"项目编号不存在",IF(AND($M206="是",$F206=""),"工程回款必须填往来单位","√")))))))</f>
        <v/>
      </c>
      <c r="O206" s="16" t="str">
        <f aca="false">IF($D206="","",IFERROR(INDEX(对照清单!$B$5:$B$60,MATCH($D206,对照清单!$A$5:$A$60,0)),"⚠编号不存在"))</f>
        <v/>
      </c>
      <c r="P206" s="10" t="str">
        <f aca="false">IF($B206="","",IF(ISNUMBER($B206),TEXT($B206,"yyyy-mm"),"日期非法"))</f>
        <v/>
      </c>
      <c r="Q206" s="10" t="str">
        <f aca="false">IF($B206="","",IF(ISNUMBER($B206),YEAR($B206),"日期非法"))</f>
        <v/>
      </c>
    </row>
    <row r="207" customFormat="false" ht="15.75" hidden="false" customHeight="true" outlineLevel="0" collapsed="false">
      <c r="A207" s="10" t="str">
        <f aca="false">IF($B207="","",ROW()-4)</f>
        <v/>
      </c>
      <c r="B207" s="11"/>
      <c r="C207" s="12"/>
      <c r="D207" s="12"/>
      <c r="E207" s="12"/>
      <c r="F207" s="12"/>
      <c r="G207" s="12"/>
      <c r="H207" s="13"/>
      <c r="I207" s="4"/>
      <c r="J207" s="4"/>
      <c r="K207" s="14" t="str">
        <f aca="false">IF($B207="","",IF($C207="泓普",$C$2,IF($C207="仟茂",$E$2,IF($C207="现金",$G$2,0)))+SUMIFS($I$5:$I207,$C$5:$C207,$C207)-SUMIFS($J$5:$J207,$C$5:$C207,$C207))</f>
        <v/>
      </c>
      <c r="L207" s="14" t="str">
        <f aca="false">IF($B207="","",$C$2+$E$2+$G$2+SUM($I$5:$I207)-SUM($J$5:$J207))</f>
        <v/>
      </c>
      <c r="M207" s="12"/>
      <c r="N207" s="15" t="str">
        <f aca="false">IF($B207="","",IF(NOT(ISNUMBER($B207)),"日期格式不对",IF($C207="","未选资金账户",IF(AND(N($I207)=0,N($J207)=0),"收支都为空",IF(AND(N($I207)&gt;0,N($J207)&gt;0),"收支不能同时填",IF(AND($D207&lt;&gt;"",LEFT($O207,1)="⚠"),"项目编号不存在",IF(AND($M207="是",$F207=""),"工程回款必须填往来单位","√")))))))</f>
        <v/>
      </c>
      <c r="O207" s="16" t="str">
        <f aca="false">IF($D207="","",IFERROR(INDEX(对照清单!$B$5:$B$60,MATCH($D207,对照清单!$A$5:$A$60,0)),"⚠编号不存在"))</f>
        <v/>
      </c>
      <c r="P207" s="10" t="str">
        <f aca="false">IF($B207="","",IF(ISNUMBER($B207),TEXT($B207,"yyyy-mm"),"日期非法"))</f>
        <v/>
      </c>
      <c r="Q207" s="10" t="str">
        <f aca="false">IF($B207="","",IF(ISNUMBER($B207),YEAR($B207),"日期非法"))</f>
        <v/>
      </c>
    </row>
    <row r="208" customFormat="false" ht="15.75" hidden="false" customHeight="true" outlineLevel="0" collapsed="false">
      <c r="A208" s="10" t="str">
        <f aca="false">IF($B208="","",ROW()-4)</f>
        <v/>
      </c>
      <c r="B208" s="11"/>
      <c r="C208" s="12"/>
      <c r="D208" s="12"/>
      <c r="E208" s="12"/>
      <c r="F208" s="12"/>
      <c r="G208" s="12"/>
      <c r="H208" s="13"/>
      <c r="I208" s="4"/>
      <c r="J208" s="4"/>
      <c r="K208" s="14" t="str">
        <f aca="false">IF($B208="","",IF($C208="泓普",$C$2,IF($C208="仟茂",$E$2,IF($C208="现金",$G$2,0)))+SUMIFS($I$5:$I208,$C$5:$C208,$C208)-SUMIFS($J$5:$J208,$C$5:$C208,$C208))</f>
        <v/>
      </c>
      <c r="L208" s="14" t="str">
        <f aca="false">IF($B208="","",$C$2+$E$2+$G$2+SUM($I$5:$I208)-SUM($J$5:$J208))</f>
        <v/>
      </c>
      <c r="M208" s="12"/>
      <c r="N208" s="15" t="str">
        <f aca="false">IF($B208="","",IF(NOT(ISNUMBER($B208)),"日期格式不对",IF($C208="","未选资金账户",IF(AND(N($I208)=0,N($J208)=0),"收支都为空",IF(AND(N($I208)&gt;0,N($J208)&gt;0),"收支不能同时填",IF(AND($D208&lt;&gt;"",LEFT($O208,1)="⚠"),"项目编号不存在",IF(AND($M208="是",$F208=""),"工程回款必须填往来单位","√")))))))</f>
        <v/>
      </c>
      <c r="O208" s="16" t="str">
        <f aca="false">IF($D208="","",IFERROR(INDEX(对照清单!$B$5:$B$60,MATCH($D208,对照清单!$A$5:$A$60,0)),"⚠编号不存在"))</f>
        <v/>
      </c>
      <c r="P208" s="10" t="str">
        <f aca="false">IF($B208="","",IF(ISNUMBER($B208),TEXT($B208,"yyyy-mm"),"日期非法"))</f>
        <v/>
      </c>
      <c r="Q208" s="10" t="str">
        <f aca="false">IF($B208="","",IF(ISNUMBER($B208),YEAR($B208),"日期非法"))</f>
        <v/>
      </c>
    </row>
    <row r="209" customFormat="false" ht="15.75" hidden="false" customHeight="true" outlineLevel="0" collapsed="false">
      <c r="A209" s="10" t="str">
        <f aca="false">IF($B209="","",ROW()-4)</f>
        <v/>
      </c>
      <c r="B209" s="11"/>
      <c r="C209" s="12"/>
      <c r="D209" s="12"/>
      <c r="E209" s="12"/>
      <c r="F209" s="12"/>
      <c r="G209" s="12"/>
      <c r="H209" s="13"/>
      <c r="I209" s="4"/>
      <c r="J209" s="4"/>
      <c r="K209" s="14" t="str">
        <f aca="false">IF($B209="","",IF($C209="泓普",$C$2,IF($C209="仟茂",$E$2,IF($C209="现金",$G$2,0)))+SUMIFS($I$5:$I209,$C$5:$C209,$C209)-SUMIFS($J$5:$J209,$C$5:$C209,$C209))</f>
        <v/>
      </c>
      <c r="L209" s="14" t="str">
        <f aca="false">IF($B209="","",$C$2+$E$2+$G$2+SUM($I$5:$I209)-SUM($J$5:$J209))</f>
        <v/>
      </c>
      <c r="M209" s="12"/>
      <c r="N209" s="15" t="str">
        <f aca="false">IF($B209="","",IF(NOT(ISNUMBER($B209)),"日期格式不对",IF($C209="","未选资金账户",IF(AND(N($I209)=0,N($J209)=0),"收支都为空",IF(AND(N($I209)&gt;0,N($J209)&gt;0),"收支不能同时填",IF(AND($D209&lt;&gt;"",LEFT($O209,1)="⚠"),"项目编号不存在",IF(AND($M209="是",$F209=""),"工程回款必须填往来单位","√")))))))</f>
        <v/>
      </c>
      <c r="O209" s="16" t="str">
        <f aca="false">IF($D209="","",IFERROR(INDEX(对照清单!$B$5:$B$60,MATCH($D209,对照清单!$A$5:$A$60,0)),"⚠编号不存在"))</f>
        <v/>
      </c>
      <c r="P209" s="10" t="str">
        <f aca="false">IF($B209="","",IF(ISNUMBER($B209),TEXT($B209,"yyyy-mm"),"日期非法"))</f>
        <v/>
      </c>
      <c r="Q209" s="10" t="str">
        <f aca="false">IF($B209="","",IF(ISNUMBER($B209),YEAR($B209),"日期非法"))</f>
        <v/>
      </c>
    </row>
    <row r="210" customFormat="false" ht="15.75" hidden="false" customHeight="true" outlineLevel="0" collapsed="false">
      <c r="A210" s="10" t="str">
        <f aca="false">IF($B210="","",ROW()-4)</f>
        <v/>
      </c>
      <c r="B210" s="11"/>
      <c r="C210" s="12"/>
      <c r="D210" s="12"/>
      <c r="E210" s="12"/>
      <c r="F210" s="12"/>
      <c r="G210" s="12"/>
      <c r="H210" s="13"/>
      <c r="I210" s="4"/>
      <c r="J210" s="4"/>
      <c r="K210" s="14" t="str">
        <f aca="false">IF($B210="","",IF($C210="泓普",$C$2,IF($C210="仟茂",$E$2,IF($C210="现金",$G$2,0)))+SUMIFS($I$5:$I210,$C$5:$C210,$C210)-SUMIFS($J$5:$J210,$C$5:$C210,$C210))</f>
        <v/>
      </c>
      <c r="L210" s="14" t="str">
        <f aca="false">IF($B210="","",$C$2+$E$2+$G$2+SUM($I$5:$I210)-SUM($J$5:$J210))</f>
        <v/>
      </c>
      <c r="M210" s="12"/>
      <c r="N210" s="15" t="str">
        <f aca="false">IF($B210="","",IF(NOT(ISNUMBER($B210)),"日期格式不对",IF($C210="","未选资金账户",IF(AND(N($I210)=0,N($J210)=0),"收支都为空",IF(AND(N($I210)&gt;0,N($J210)&gt;0),"收支不能同时填",IF(AND($D210&lt;&gt;"",LEFT($O210,1)="⚠"),"项目编号不存在",IF(AND($M210="是",$F210=""),"工程回款必须填往来单位","√")))))))</f>
        <v/>
      </c>
      <c r="O210" s="16" t="str">
        <f aca="false">IF($D210="","",IFERROR(INDEX(对照清单!$B$5:$B$60,MATCH($D210,对照清单!$A$5:$A$60,0)),"⚠编号不存在"))</f>
        <v/>
      </c>
      <c r="P210" s="10" t="str">
        <f aca="false">IF($B210="","",IF(ISNUMBER($B210),TEXT($B210,"yyyy-mm"),"日期非法"))</f>
        <v/>
      </c>
      <c r="Q210" s="10" t="str">
        <f aca="false">IF($B210="","",IF(ISNUMBER($B210),YEAR($B210),"日期非法"))</f>
        <v/>
      </c>
    </row>
    <row r="211" customFormat="false" ht="15.75" hidden="false" customHeight="true" outlineLevel="0" collapsed="false">
      <c r="A211" s="10" t="str">
        <f aca="false">IF($B211="","",ROW()-4)</f>
        <v/>
      </c>
      <c r="B211" s="11"/>
      <c r="C211" s="12"/>
      <c r="D211" s="12"/>
      <c r="E211" s="12"/>
      <c r="F211" s="12"/>
      <c r="G211" s="12"/>
      <c r="H211" s="13"/>
      <c r="I211" s="4"/>
      <c r="J211" s="4"/>
      <c r="K211" s="14" t="str">
        <f aca="false">IF($B211="","",IF($C211="泓普",$C$2,IF($C211="仟茂",$E$2,IF($C211="现金",$G$2,0)))+SUMIFS($I$5:$I211,$C$5:$C211,$C211)-SUMIFS($J$5:$J211,$C$5:$C211,$C211))</f>
        <v/>
      </c>
      <c r="L211" s="14" t="str">
        <f aca="false">IF($B211="","",$C$2+$E$2+$G$2+SUM($I$5:$I211)-SUM($J$5:$J211))</f>
        <v/>
      </c>
      <c r="M211" s="12"/>
      <c r="N211" s="15" t="str">
        <f aca="false">IF($B211="","",IF(NOT(ISNUMBER($B211)),"日期格式不对",IF($C211="","未选资金账户",IF(AND(N($I211)=0,N($J211)=0),"收支都为空",IF(AND(N($I211)&gt;0,N($J211)&gt;0),"收支不能同时填",IF(AND($D211&lt;&gt;"",LEFT($O211,1)="⚠"),"项目编号不存在",IF(AND($M211="是",$F211=""),"工程回款必须填往来单位","√")))))))</f>
        <v/>
      </c>
      <c r="O211" s="16" t="str">
        <f aca="false">IF($D211="","",IFERROR(INDEX(对照清单!$B$5:$B$60,MATCH($D211,对照清单!$A$5:$A$60,0)),"⚠编号不存在"))</f>
        <v/>
      </c>
      <c r="P211" s="10" t="str">
        <f aca="false">IF($B211="","",IF(ISNUMBER($B211),TEXT($B211,"yyyy-mm"),"日期非法"))</f>
        <v/>
      </c>
      <c r="Q211" s="10" t="str">
        <f aca="false">IF($B211="","",IF(ISNUMBER($B211),YEAR($B211),"日期非法"))</f>
        <v/>
      </c>
    </row>
    <row r="212" customFormat="false" ht="15.75" hidden="false" customHeight="true" outlineLevel="0" collapsed="false">
      <c r="A212" s="10" t="str">
        <f aca="false">IF($B212="","",ROW()-4)</f>
        <v/>
      </c>
      <c r="B212" s="11"/>
      <c r="C212" s="12"/>
      <c r="D212" s="12"/>
      <c r="E212" s="12"/>
      <c r="F212" s="12"/>
      <c r="G212" s="12"/>
      <c r="H212" s="13"/>
      <c r="I212" s="4"/>
      <c r="J212" s="4"/>
      <c r="K212" s="14" t="str">
        <f aca="false">IF($B212="","",IF($C212="泓普",$C$2,IF($C212="仟茂",$E$2,IF($C212="现金",$G$2,0)))+SUMIFS($I$5:$I212,$C$5:$C212,$C212)-SUMIFS($J$5:$J212,$C$5:$C212,$C212))</f>
        <v/>
      </c>
      <c r="L212" s="14" t="str">
        <f aca="false">IF($B212="","",$C$2+$E$2+$G$2+SUM($I$5:$I212)-SUM($J$5:$J212))</f>
        <v/>
      </c>
      <c r="M212" s="12"/>
      <c r="N212" s="15" t="str">
        <f aca="false">IF($B212="","",IF(NOT(ISNUMBER($B212)),"日期格式不对",IF($C212="","未选资金账户",IF(AND(N($I212)=0,N($J212)=0),"收支都为空",IF(AND(N($I212)&gt;0,N($J212)&gt;0),"收支不能同时填",IF(AND($D212&lt;&gt;"",LEFT($O212,1)="⚠"),"项目编号不存在",IF(AND($M212="是",$F212=""),"工程回款必须填往来单位","√")))))))</f>
        <v/>
      </c>
      <c r="O212" s="16" t="str">
        <f aca="false">IF($D212="","",IFERROR(INDEX(对照清单!$B$5:$B$60,MATCH($D212,对照清单!$A$5:$A$60,0)),"⚠编号不存在"))</f>
        <v/>
      </c>
      <c r="P212" s="10" t="str">
        <f aca="false">IF($B212="","",IF(ISNUMBER($B212),TEXT($B212,"yyyy-mm"),"日期非法"))</f>
        <v/>
      </c>
      <c r="Q212" s="10" t="str">
        <f aca="false">IF($B212="","",IF(ISNUMBER($B212),YEAR($B212),"日期非法"))</f>
        <v/>
      </c>
    </row>
    <row r="213" customFormat="false" ht="15.75" hidden="false" customHeight="true" outlineLevel="0" collapsed="false">
      <c r="A213" s="10" t="str">
        <f aca="false">IF($B213="","",ROW()-4)</f>
        <v/>
      </c>
      <c r="B213" s="11"/>
      <c r="C213" s="12"/>
      <c r="D213" s="12"/>
      <c r="E213" s="12"/>
      <c r="F213" s="12"/>
      <c r="G213" s="12"/>
      <c r="H213" s="13"/>
      <c r="I213" s="4"/>
      <c r="J213" s="4"/>
      <c r="K213" s="14" t="str">
        <f aca="false">IF($B213="","",IF($C213="泓普",$C$2,IF($C213="仟茂",$E$2,IF($C213="现金",$G$2,0)))+SUMIFS($I$5:$I213,$C$5:$C213,$C213)-SUMIFS($J$5:$J213,$C$5:$C213,$C213))</f>
        <v/>
      </c>
      <c r="L213" s="14" t="str">
        <f aca="false">IF($B213="","",$C$2+$E$2+$G$2+SUM($I$5:$I213)-SUM($J$5:$J213))</f>
        <v/>
      </c>
      <c r="M213" s="12"/>
      <c r="N213" s="15" t="str">
        <f aca="false">IF($B213="","",IF(NOT(ISNUMBER($B213)),"日期格式不对",IF($C213="","未选资金账户",IF(AND(N($I213)=0,N($J213)=0),"收支都为空",IF(AND(N($I213)&gt;0,N($J213)&gt;0),"收支不能同时填",IF(AND($D213&lt;&gt;"",LEFT($O213,1)="⚠"),"项目编号不存在",IF(AND($M213="是",$F213=""),"工程回款必须填往来单位","√")))))))</f>
        <v/>
      </c>
      <c r="O213" s="16" t="str">
        <f aca="false">IF($D213="","",IFERROR(INDEX(对照清单!$B$5:$B$60,MATCH($D213,对照清单!$A$5:$A$60,0)),"⚠编号不存在"))</f>
        <v/>
      </c>
      <c r="P213" s="10" t="str">
        <f aca="false">IF($B213="","",IF(ISNUMBER($B213),TEXT($B213,"yyyy-mm"),"日期非法"))</f>
        <v/>
      </c>
      <c r="Q213" s="10" t="str">
        <f aca="false">IF($B213="","",IF(ISNUMBER($B213),YEAR($B213),"日期非法"))</f>
        <v/>
      </c>
    </row>
    <row r="214" customFormat="false" ht="15.75" hidden="false" customHeight="true" outlineLevel="0" collapsed="false">
      <c r="A214" s="10" t="str">
        <f aca="false">IF($B214="","",ROW()-4)</f>
        <v/>
      </c>
      <c r="B214" s="11"/>
      <c r="C214" s="12"/>
      <c r="D214" s="12"/>
      <c r="E214" s="12"/>
      <c r="F214" s="12"/>
      <c r="G214" s="12"/>
      <c r="H214" s="13"/>
      <c r="I214" s="4"/>
      <c r="J214" s="4"/>
      <c r="K214" s="14" t="str">
        <f aca="false">IF($B214="","",IF($C214="泓普",$C$2,IF($C214="仟茂",$E$2,IF($C214="现金",$G$2,0)))+SUMIFS($I$5:$I214,$C$5:$C214,$C214)-SUMIFS($J$5:$J214,$C$5:$C214,$C214))</f>
        <v/>
      </c>
      <c r="L214" s="14" t="str">
        <f aca="false">IF($B214="","",$C$2+$E$2+$G$2+SUM($I$5:$I214)-SUM($J$5:$J214))</f>
        <v/>
      </c>
      <c r="M214" s="12"/>
      <c r="N214" s="15" t="str">
        <f aca="false">IF($B214="","",IF(NOT(ISNUMBER($B214)),"日期格式不对",IF($C214="","未选资金账户",IF(AND(N($I214)=0,N($J214)=0),"收支都为空",IF(AND(N($I214)&gt;0,N($J214)&gt;0),"收支不能同时填",IF(AND($D214&lt;&gt;"",LEFT($O214,1)="⚠"),"项目编号不存在",IF(AND($M214="是",$F214=""),"工程回款必须填往来单位","√")))))))</f>
        <v/>
      </c>
      <c r="O214" s="16" t="str">
        <f aca="false">IF($D214="","",IFERROR(INDEX(对照清单!$B$5:$B$60,MATCH($D214,对照清单!$A$5:$A$60,0)),"⚠编号不存在"))</f>
        <v/>
      </c>
      <c r="P214" s="10" t="str">
        <f aca="false">IF($B214="","",IF(ISNUMBER($B214),TEXT($B214,"yyyy-mm"),"日期非法"))</f>
        <v/>
      </c>
      <c r="Q214" s="10" t="str">
        <f aca="false">IF($B214="","",IF(ISNUMBER($B214),YEAR($B214),"日期非法"))</f>
        <v/>
      </c>
    </row>
    <row r="215" customFormat="false" ht="15.75" hidden="false" customHeight="true" outlineLevel="0" collapsed="false">
      <c r="A215" s="10" t="str">
        <f aca="false">IF($B215="","",ROW()-4)</f>
        <v/>
      </c>
      <c r="B215" s="11"/>
      <c r="C215" s="12"/>
      <c r="D215" s="12"/>
      <c r="E215" s="12"/>
      <c r="F215" s="12"/>
      <c r="G215" s="12"/>
      <c r="H215" s="13"/>
      <c r="I215" s="4"/>
      <c r="J215" s="4"/>
      <c r="K215" s="14" t="str">
        <f aca="false">IF($B215="","",IF($C215="泓普",$C$2,IF($C215="仟茂",$E$2,IF($C215="现金",$G$2,0)))+SUMIFS($I$5:$I215,$C$5:$C215,$C215)-SUMIFS($J$5:$J215,$C$5:$C215,$C215))</f>
        <v/>
      </c>
      <c r="L215" s="14" t="str">
        <f aca="false">IF($B215="","",$C$2+$E$2+$G$2+SUM($I$5:$I215)-SUM($J$5:$J215))</f>
        <v/>
      </c>
      <c r="M215" s="12"/>
      <c r="N215" s="15" t="str">
        <f aca="false">IF($B215="","",IF(NOT(ISNUMBER($B215)),"日期格式不对",IF($C215="","未选资金账户",IF(AND(N($I215)=0,N($J215)=0),"收支都为空",IF(AND(N($I215)&gt;0,N($J215)&gt;0),"收支不能同时填",IF(AND($D215&lt;&gt;"",LEFT($O215,1)="⚠"),"项目编号不存在",IF(AND($M215="是",$F215=""),"工程回款必须填往来单位","√")))))))</f>
        <v/>
      </c>
      <c r="O215" s="16" t="str">
        <f aca="false">IF($D215="","",IFERROR(INDEX(对照清单!$B$5:$B$60,MATCH($D215,对照清单!$A$5:$A$60,0)),"⚠编号不存在"))</f>
        <v/>
      </c>
      <c r="P215" s="10" t="str">
        <f aca="false">IF($B215="","",IF(ISNUMBER($B215),TEXT($B215,"yyyy-mm"),"日期非法"))</f>
        <v/>
      </c>
      <c r="Q215" s="10" t="str">
        <f aca="false">IF($B215="","",IF(ISNUMBER($B215),YEAR($B215),"日期非法"))</f>
        <v/>
      </c>
    </row>
    <row r="216" customFormat="false" ht="15.75" hidden="false" customHeight="true" outlineLevel="0" collapsed="false">
      <c r="A216" s="10" t="str">
        <f aca="false">IF($B216="","",ROW()-4)</f>
        <v/>
      </c>
      <c r="B216" s="11"/>
      <c r="C216" s="12"/>
      <c r="D216" s="12"/>
      <c r="E216" s="12"/>
      <c r="F216" s="12"/>
      <c r="G216" s="12"/>
      <c r="H216" s="13"/>
      <c r="I216" s="4"/>
      <c r="J216" s="4"/>
      <c r="K216" s="14" t="str">
        <f aca="false">IF($B216="","",IF($C216="泓普",$C$2,IF($C216="仟茂",$E$2,IF($C216="现金",$G$2,0)))+SUMIFS($I$5:$I216,$C$5:$C216,$C216)-SUMIFS($J$5:$J216,$C$5:$C216,$C216))</f>
        <v/>
      </c>
      <c r="L216" s="14" t="str">
        <f aca="false">IF($B216="","",$C$2+$E$2+$G$2+SUM($I$5:$I216)-SUM($J$5:$J216))</f>
        <v/>
      </c>
      <c r="M216" s="12"/>
      <c r="N216" s="15" t="str">
        <f aca="false">IF($B216="","",IF(NOT(ISNUMBER($B216)),"日期格式不对",IF($C216="","未选资金账户",IF(AND(N($I216)=0,N($J216)=0),"收支都为空",IF(AND(N($I216)&gt;0,N($J216)&gt;0),"收支不能同时填",IF(AND($D216&lt;&gt;"",LEFT($O216,1)="⚠"),"项目编号不存在",IF(AND($M216="是",$F216=""),"工程回款必须填往来单位","√")))))))</f>
        <v/>
      </c>
      <c r="O216" s="16" t="str">
        <f aca="false">IF($D216="","",IFERROR(INDEX(对照清单!$B$5:$B$60,MATCH($D216,对照清单!$A$5:$A$60,0)),"⚠编号不存在"))</f>
        <v/>
      </c>
      <c r="P216" s="10" t="str">
        <f aca="false">IF($B216="","",IF(ISNUMBER($B216),TEXT($B216,"yyyy-mm"),"日期非法"))</f>
        <v/>
      </c>
      <c r="Q216" s="10" t="str">
        <f aca="false">IF($B216="","",IF(ISNUMBER($B216),YEAR($B216),"日期非法"))</f>
        <v/>
      </c>
    </row>
    <row r="217" customFormat="false" ht="15.75" hidden="false" customHeight="true" outlineLevel="0" collapsed="false">
      <c r="A217" s="10" t="str">
        <f aca="false">IF($B217="","",ROW()-4)</f>
        <v/>
      </c>
      <c r="B217" s="11"/>
      <c r="C217" s="12"/>
      <c r="D217" s="12"/>
      <c r="E217" s="12"/>
      <c r="F217" s="12"/>
      <c r="G217" s="12"/>
      <c r="H217" s="13"/>
      <c r="I217" s="4"/>
      <c r="J217" s="4"/>
      <c r="K217" s="14" t="str">
        <f aca="false">IF($B217="","",IF($C217="泓普",$C$2,IF($C217="仟茂",$E$2,IF($C217="现金",$G$2,0)))+SUMIFS($I$5:$I217,$C$5:$C217,$C217)-SUMIFS($J$5:$J217,$C$5:$C217,$C217))</f>
        <v/>
      </c>
      <c r="L217" s="14" t="str">
        <f aca="false">IF($B217="","",$C$2+$E$2+$G$2+SUM($I$5:$I217)-SUM($J$5:$J217))</f>
        <v/>
      </c>
      <c r="M217" s="12"/>
      <c r="N217" s="15" t="str">
        <f aca="false">IF($B217="","",IF(NOT(ISNUMBER($B217)),"日期格式不对",IF($C217="","未选资金账户",IF(AND(N($I217)=0,N($J217)=0),"收支都为空",IF(AND(N($I217)&gt;0,N($J217)&gt;0),"收支不能同时填",IF(AND($D217&lt;&gt;"",LEFT($O217,1)="⚠"),"项目编号不存在",IF(AND($M217="是",$F217=""),"工程回款必须填往来单位","√")))))))</f>
        <v/>
      </c>
      <c r="O217" s="16" t="str">
        <f aca="false">IF($D217="","",IFERROR(INDEX(对照清单!$B$5:$B$60,MATCH($D217,对照清单!$A$5:$A$60,0)),"⚠编号不存在"))</f>
        <v/>
      </c>
      <c r="P217" s="10" t="str">
        <f aca="false">IF($B217="","",IF(ISNUMBER($B217),TEXT($B217,"yyyy-mm"),"日期非法"))</f>
        <v/>
      </c>
      <c r="Q217" s="10" t="str">
        <f aca="false">IF($B217="","",IF(ISNUMBER($B217),YEAR($B217),"日期非法"))</f>
        <v/>
      </c>
    </row>
    <row r="218" customFormat="false" ht="15.75" hidden="false" customHeight="true" outlineLevel="0" collapsed="false">
      <c r="A218" s="10" t="str">
        <f aca="false">IF($B218="","",ROW()-4)</f>
        <v/>
      </c>
      <c r="B218" s="11"/>
      <c r="C218" s="12"/>
      <c r="D218" s="12"/>
      <c r="E218" s="12"/>
      <c r="F218" s="12"/>
      <c r="G218" s="12"/>
      <c r="H218" s="13"/>
      <c r="I218" s="4"/>
      <c r="J218" s="4"/>
      <c r="K218" s="14" t="str">
        <f aca="false">IF($B218="","",IF($C218="泓普",$C$2,IF($C218="仟茂",$E$2,IF($C218="现金",$G$2,0)))+SUMIFS($I$5:$I218,$C$5:$C218,$C218)-SUMIFS($J$5:$J218,$C$5:$C218,$C218))</f>
        <v/>
      </c>
      <c r="L218" s="14" t="str">
        <f aca="false">IF($B218="","",$C$2+$E$2+$G$2+SUM($I$5:$I218)-SUM($J$5:$J218))</f>
        <v/>
      </c>
      <c r="M218" s="12"/>
      <c r="N218" s="15" t="str">
        <f aca="false">IF($B218="","",IF(NOT(ISNUMBER($B218)),"日期格式不对",IF($C218="","未选资金账户",IF(AND(N($I218)=0,N($J218)=0),"收支都为空",IF(AND(N($I218)&gt;0,N($J218)&gt;0),"收支不能同时填",IF(AND($D218&lt;&gt;"",LEFT($O218,1)="⚠"),"项目编号不存在",IF(AND($M218="是",$F218=""),"工程回款必须填往来单位","√")))))))</f>
        <v/>
      </c>
      <c r="O218" s="16" t="str">
        <f aca="false">IF($D218="","",IFERROR(INDEX(对照清单!$B$5:$B$60,MATCH($D218,对照清单!$A$5:$A$60,0)),"⚠编号不存在"))</f>
        <v/>
      </c>
      <c r="P218" s="10" t="str">
        <f aca="false">IF($B218="","",IF(ISNUMBER($B218),TEXT($B218,"yyyy-mm"),"日期非法"))</f>
        <v/>
      </c>
      <c r="Q218" s="10" t="str">
        <f aca="false">IF($B218="","",IF(ISNUMBER($B218),YEAR($B218),"日期非法"))</f>
        <v/>
      </c>
    </row>
    <row r="219" customFormat="false" ht="15.75" hidden="false" customHeight="true" outlineLevel="0" collapsed="false">
      <c r="A219" s="10" t="str">
        <f aca="false">IF($B219="","",ROW()-4)</f>
        <v/>
      </c>
      <c r="B219" s="11"/>
      <c r="C219" s="12"/>
      <c r="D219" s="12"/>
      <c r="E219" s="12"/>
      <c r="F219" s="12"/>
      <c r="G219" s="12"/>
      <c r="H219" s="13"/>
      <c r="I219" s="4"/>
      <c r="J219" s="4"/>
      <c r="K219" s="14" t="str">
        <f aca="false">IF($B219="","",IF($C219="泓普",$C$2,IF($C219="仟茂",$E$2,IF($C219="现金",$G$2,0)))+SUMIFS($I$5:$I219,$C$5:$C219,$C219)-SUMIFS($J$5:$J219,$C$5:$C219,$C219))</f>
        <v/>
      </c>
      <c r="L219" s="14" t="str">
        <f aca="false">IF($B219="","",$C$2+$E$2+$G$2+SUM($I$5:$I219)-SUM($J$5:$J219))</f>
        <v/>
      </c>
      <c r="M219" s="12"/>
      <c r="N219" s="15" t="str">
        <f aca="false">IF($B219="","",IF(NOT(ISNUMBER($B219)),"日期格式不对",IF($C219="","未选资金账户",IF(AND(N($I219)=0,N($J219)=0),"收支都为空",IF(AND(N($I219)&gt;0,N($J219)&gt;0),"收支不能同时填",IF(AND($D219&lt;&gt;"",LEFT($O219,1)="⚠"),"项目编号不存在",IF(AND($M219="是",$F219=""),"工程回款必须填往来单位","√")))))))</f>
        <v/>
      </c>
      <c r="O219" s="16" t="str">
        <f aca="false">IF($D219="","",IFERROR(INDEX(对照清单!$B$5:$B$60,MATCH($D219,对照清单!$A$5:$A$60,0)),"⚠编号不存在"))</f>
        <v/>
      </c>
      <c r="P219" s="10" t="str">
        <f aca="false">IF($B219="","",IF(ISNUMBER($B219),TEXT($B219,"yyyy-mm"),"日期非法"))</f>
        <v/>
      </c>
      <c r="Q219" s="10" t="str">
        <f aca="false">IF($B219="","",IF(ISNUMBER($B219),YEAR($B219),"日期非法"))</f>
        <v/>
      </c>
    </row>
    <row r="220" customFormat="false" ht="15.75" hidden="false" customHeight="true" outlineLevel="0" collapsed="false">
      <c r="A220" s="10" t="str">
        <f aca="false">IF($B220="","",ROW()-4)</f>
        <v/>
      </c>
      <c r="B220" s="11"/>
      <c r="C220" s="12"/>
      <c r="D220" s="12"/>
      <c r="E220" s="12"/>
      <c r="F220" s="12"/>
      <c r="G220" s="12"/>
      <c r="H220" s="13"/>
      <c r="I220" s="4"/>
      <c r="J220" s="4"/>
      <c r="K220" s="14" t="str">
        <f aca="false">IF($B220="","",IF($C220="泓普",$C$2,IF($C220="仟茂",$E$2,IF($C220="现金",$G$2,0)))+SUMIFS($I$5:$I220,$C$5:$C220,$C220)-SUMIFS($J$5:$J220,$C$5:$C220,$C220))</f>
        <v/>
      </c>
      <c r="L220" s="14" t="str">
        <f aca="false">IF($B220="","",$C$2+$E$2+$G$2+SUM($I$5:$I220)-SUM($J$5:$J220))</f>
        <v/>
      </c>
      <c r="M220" s="12"/>
      <c r="N220" s="15" t="str">
        <f aca="false">IF($B220="","",IF(NOT(ISNUMBER($B220)),"日期格式不对",IF($C220="","未选资金账户",IF(AND(N($I220)=0,N($J220)=0),"收支都为空",IF(AND(N($I220)&gt;0,N($J220)&gt;0),"收支不能同时填",IF(AND($D220&lt;&gt;"",LEFT($O220,1)="⚠"),"项目编号不存在",IF(AND($M220="是",$F220=""),"工程回款必须填往来单位","√")))))))</f>
        <v/>
      </c>
      <c r="O220" s="16" t="str">
        <f aca="false">IF($D220="","",IFERROR(INDEX(对照清单!$B$5:$B$60,MATCH($D220,对照清单!$A$5:$A$60,0)),"⚠编号不存在"))</f>
        <v/>
      </c>
      <c r="P220" s="10" t="str">
        <f aca="false">IF($B220="","",IF(ISNUMBER($B220),TEXT($B220,"yyyy-mm"),"日期非法"))</f>
        <v/>
      </c>
      <c r="Q220" s="10" t="str">
        <f aca="false">IF($B220="","",IF(ISNUMBER($B220),YEAR($B220),"日期非法"))</f>
        <v/>
      </c>
    </row>
    <row r="221" customFormat="false" ht="15.75" hidden="false" customHeight="true" outlineLevel="0" collapsed="false">
      <c r="A221" s="10" t="str">
        <f aca="false">IF($B221="","",ROW()-4)</f>
        <v/>
      </c>
      <c r="B221" s="11"/>
      <c r="C221" s="12"/>
      <c r="D221" s="12"/>
      <c r="E221" s="12"/>
      <c r="F221" s="12"/>
      <c r="G221" s="12"/>
      <c r="H221" s="13"/>
      <c r="I221" s="4"/>
      <c r="J221" s="4"/>
      <c r="K221" s="14" t="str">
        <f aca="false">IF($B221="","",IF($C221="泓普",$C$2,IF($C221="仟茂",$E$2,IF($C221="现金",$G$2,0)))+SUMIFS($I$5:$I221,$C$5:$C221,$C221)-SUMIFS($J$5:$J221,$C$5:$C221,$C221))</f>
        <v/>
      </c>
      <c r="L221" s="14" t="str">
        <f aca="false">IF($B221="","",$C$2+$E$2+$G$2+SUM($I$5:$I221)-SUM($J$5:$J221))</f>
        <v/>
      </c>
      <c r="M221" s="12"/>
      <c r="N221" s="15" t="str">
        <f aca="false">IF($B221="","",IF(NOT(ISNUMBER($B221)),"日期格式不对",IF($C221="","未选资金账户",IF(AND(N($I221)=0,N($J221)=0),"收支都为空",IF(AND(N($I221)&gt;0,N($J221)&gt;0),"收支不能同时填",IF(AND($D221&lt;&gt;"",LEFT($O221,1)="⚠"),"项目编号不存在",IF(AND($M221="是",$F221=""),"工程回款必须填往来单位","√")))))))</f>
        <v/>
      </c>
      <c r="O221" s="16" t="str">
        <f aca="false">IF($D221="","",IFERROR(INDEX(对照清单!$B$5:$B$60,MATCH($D221,对照清单!$A$5:$A$60,0)),"⚠编号不存在"))</f>
        <v/>
      </c>
      <c r="P221" s="10" t="str">
        <f aca="false">IF($B221="","",IF(ISNUMBER($B221),TEXT($B221,"yyyy-mm"),"日期非法"))</f>
        <v/>
      </c>
      <c r="Q221" s="10" t="str">
        <f aca="false">IF($B221="","",IF(ISNUMBER($B221),YEAR($B221),"日期非法"))</f>
        <v/>
      </c>
    </row>
    <row r="222" customFormat="false" ht="15.75" hidden="false" customHeight="true" outlineLevel="0" collapsed="false">
      <c r="A222" s="10" t="str">
        <f aca="false">IF($B222="","",ROW()-4)</f>
        <v/>
      </c>
      <c r="B222" s="11"/>
      <c r="C222" s="12"/>
      <c r="D222" s="12"/>
      <c r="E222" s="12"/>
      <c r="F222" s="12"/>
      <c r="G222" s="12"/>
      <c r="H222" s="13"/>
      <c r="I222" s="4"/>
      <c r="J222" s="4"/>
      <c r="K222" s="14" t="str">
        <f aca="false">IF($B222="","",IF($C222="泓普",$C$2,IF($C222="仟茂",$E$2,IF($C222="现金",$G$2,0)))+SUMIFS($I$5:$I222,$C$5:$C222,$C222)-SUMIFS($J$5:$J222,$C$5:$C222,$C222))</f>
        <v/>
      </c>
      <c r="L222" s="14" t="str">
        <f aca="false">IF($B222="","",$C$2+$E$2+$G$2+SUM($I$5:$I222)-SUM($J$5:$J222))</f>
        <v/>
      </c>
      <c r="M222" s="12"/>
      <c r="N222" s="15" t="str">
        <f aca="false">IF($B222="","",IF(NOT(ISNUMBER($B222)),"日期格式不对",IF($C222="","未选资金账户",IF(AND(N($I222)=0,N($J222)=0),"收支都为空",IF(AND(N($I222)&gt;0,N($J222)&gt;0),"收支不能同时填",IF(AND($D222&lt;&gt;"",LEFT($O222,1)="⚠"),"项目编号不存在",IF(AND($M222="是",$F222=""),"工程回款必须填往来单位","√")))))))</f>
        <v/>
      </c>
      <c r="O222" s="16" t="str">
        <f aca="false">IF($D222="","",IFERROR(INDEX(对照清单!$B$5:$B$60,MATCH($D222,对照清单!$A$5:$A$60,0)),"⚠编号不存在"))</f>
        <v/>
      </c>
      <c r="P222" s="10" t="str">
        <f aca="false">IF($B222="","",IF(ISNUMBER($B222),TEXT($B222,"yyyy-mm"),"日期非法"))</f>
        <v/>
      </c>
      <c r="Q222" s="10" t="str">
        <f aca="false">IF($B222="","",IF(ISNUMBER($B222),YEAR($B222),"日期非法"))</f>
        <v/>
      </c>
    </row>
    <row r="223" customFormat="false" ht="15.75" hidden="false" customHeight="true" outlineLevel="0" collapsed="false">
      <c r="A223" s="10" t="str">
        <f aca="false">IF($B223="","",ROW()-4)</f>
        <v/>
      </c>
      <c r="B223" s="11"/>
      <c r="C223" s="12"/>
      <c r="D223" s="12"/>
      <c r="E223" s="12"/>
      <c r="F223" s="12"/>
      <c r="G223" s="12"/>
      <c r="H223" s="13"/>
      <c r="I223" s="4"/>
      <c r="J223" s="4"/>
      <c r="K223" s="14" t="str">
        <f aca="false">IF($B223="","",IF($C223="泓普",$C$2,IF($C223="仟茂",$E$2,IF($C223="现金",$G$2,0)))+SUMIFS($I$5:$I223,$C$5:$C223,$C223)-SUMIFS($J$5:$J223,$C$5:$C223,$C223))</f>
        <v/>
      </c>
      <c r="L223" s="14" t="str">
        <f aca="false">IF($B223="","",$C$2+$E$2+$G$2+SUM($I$5:$I223)-SUM($J$5:$J223))</f>
        <v/>
      </c>
      <c r="M223" s="12"/>
      <c r="N223" s="15" t="str">
        <f aca="false">IF($B223="","",IF(NOT(ISNUMBER($B223)),"日期格式不对",IF($C223="","未选资金账户",IF(AND(N($I223)=0,N($J223)=0),"收支都为空",IF(AND(N($I223)&gt;0,N($J223)&gt;0),"收支不能同时填",IF(AND($D223&lt;&gt;"",LEFT($O223,1)="⚠"),"项目编号不存在",IF(AND($M223="是",$F223=""),"工程回款必须填往来单位","√")))))))</f>
        <v/>
      </c>
      <c r="O223" s="16" t="str">
        <f aca="false">IF($D223="","",IFERROR(INDEX(对照清单!$B$5:$B$60,MATCH($D223,对照清单!$A$5:$A$60,0)),"⚠编号不存在"))</f>
        <v/>
      </c>
      <c r="P223" s="10" t="str">
        <f aca="false">IF($B223="","",IF(ISNUMBER($B223),TEXT($B223,"yyyy-mm"),"日期非法"))</f>
        <v/>
      </c>
      <c r="Q223" s="10" t="str">
        <f aca="false">IF($B223="","",IF(ISNUMBER($B223),YEAR($B223),"日期非法"))</f>
        <v/>
      </c>
    </row>
    <row r="224" customFormat="false" ht="15.75" hidden="false" customHeight="true" outlineLevel="0" collapsed="false">
      <c r="A224" s="10" t="str">
        <f aca="false">IF($B224="","",ROW()-4)</f>
        <v/>
      </c>
      <c r="B224" s="11"/>
      <c r="C224" s="12"/>
      <c r="D224" s="12"/>
      <c r="E224" s="12"/>
      <c r="F224" s="12"/>
      <c r="G224" s="12"/>
      <c r="H224" s="13"/>
      <c r="I224" s="4"/>
      <c r="J224" s="4"/>
      <c r="K224" s="14" t="str">
        <f aca="false">IF($B224="","",IF($C224="泓普",$C$2,IF($C224="仟茂",$E$2,IF($C224="现金",$G$2,0)))+SUMIFS($I$5:$I224,$C$5:$C224,$C224)-SUMIFS($J$5:$J224,$C$5:$C224,$C224))</f>
        <v/>
      </c>
      <c r="L224" s="14" t="str">
        <f aca="false">IF($B224="","",$C$2+$E$2+$G$2+SUM($I$5:$I224)-SUM($J$5:$J224))</f>
        <v/>
      </c>
      <c r="M224" s="12"/>
      <c r="N224" s="15" t="str">
        <f aca="false">IF($B224="","",IF(NOT(ISNUMBER($B224)),"日期格式不对",IF($C224="","未选资金账户",IF(AND(N($I224)=0,N($J224)=0),"收支都为空",IF(AND(N($I224)&gt;0,N($J224)&gt;0),"收支不能同时填",IF(AND($D224&lt;&gt;"",LEFT($O224,1)="⚠"),"项目编号不存在",IF(AND($M224="是",$F224=""),"工程回款必须填往来单位","√")))))))</f>
        <v/>
      </c>
      <c r="O224" s="16" t="str">
        <f aca="false">IF($D224="","",IFERROR(INDEX(对照清单!$B$5:$B$60,MATCH($D224,对照清单!$A$5:$A$60,0)),"⚠编号不存在"))</f>
        <v/>
      </c>
      <c r="P224" s="10" t="str">
        <f aca="false">IF($B224="","",IF(ISNUMBER($B224),TEXT($B224,"yyyy-mm"),"日期非法"))</f>
        <v/>
      </c>
      <c r="Q224" s="10" t="str">
        <f aca="false">IF($B224="","",IF(ISNUMBER($B224),YEAR($B224),"日期非法"))</f>
        <v/>
      </c>
    </row>
    <row r="225" customFormat="false" ht="15.75" hidden="false" customHeight="true" outlineLevel="0" collapsed="false">
      <c r="A225" s="10" t="str">
        <f aca="false">IF($B225="","",ROW()-4)</f>
        <v/>
      </c>
      <c r="B225" s="11"/>
      <c r="C225" s="12"/>
      <c r="D225" s="12"/>
      <c r="E225" s="12"/>
      <c r="F225" s="12"/>
      <c r="G225" s="12"/>
      <c r="H225" s="13"/>
      <c r="I225" s="4"/>
      <c r="J225" s="4"/>
      <c r="K225" s="14" t="str">
        <f aca="false">IF($B225="","",IF($C225="泓普",$C$2,IF($C225="仟茂",$E$2,IF($C225="现金",$G$2,0)))+SUMIFS($I$5:$I225,$C$5:$C225,$C225)-SUMIFS($J$5:$J225,$C$5:$C225,$C225))</f>
        <v/>
      </c>
      <c r="L225" s="14" t="str">
        <f aca="false">IF($B225="","",$C$2+$E$2+$G$2+SUM($I$5:$I225)-SUM($J$5:$J225))</f>
        <v/>
      </c>
      <c r="M225" s="12"/>
      <c r="N225" s="15" t="str">
        <f aca="false">IF($B225="","",IF(NOT(ISNUMBER($B225)),"日期格式不对",IF($C225="","未选资金账户",IF(AND(N($I225)=0,N($J225)=0),"收支都为空",IF(AND(N($I225)&gt;0,N($J225)&gt;0),"收支不能同时填",IF(AND($D225&lt;&gt;"",LEFT($O225,1)="⚠"),"项目编号不存在",IF(AND($M225="是",$F225=""),"工程回款必须填往来单位","√")))))))</f>
        <v/>
      </c>
      <c r="O225" s="16" t="str">
        <f aca="false">IF($D225="","",IFERROR(INDEX(对照清单!$B$5:$B$60,MATCH($D225,对照清单!$A$5:$A$60,0)),"⚠编号不存在"))</f>
        <v/>
      </c>
      <c r="P225" s="10" t="str">
        <f aca="false">IF($B225="","",IF(ISNUMBER($B225),TEXT($B225,"yyyy-mm"),"日期非法"))</f>
        <v/>
      </c>
      <c r="Q225" s="10" t="str">
        <f aca="false">IF($B225="","",IF(ISNUMBER($B225),YEAR($B225),"日期非法"))</f>
        <v/>
      </c>
    </row>
    <row r="226" customFormat="false" ht="15.75" hidden="false" customHeight="true" outlineLevel="0" collapsed="false">
      <c r="A226" s="10" t="str">
        <f aca="false">IF($B226="","",ROW()-4)</f>
        <v/>
      </c>
      <c r="B226" s="11"/>
      <c r="C226" s="12"/>
      <c r="D226" s="12"/>
      <c r="E226" s="12"/>
      <c r="F226" s="12"/>
      <c r="G226" s="12"/>
      <c r="H226" s="13"/>
      <c r="I226" s="4"/>
      <c r="J226" s="4"/>
      <c r="K226" s="14" t="str">
        <f aca="false">IF($B226="","",IF($C226="泓普",$C$2,IF($C226="仟茂",$E$2,IF($C226="现金",$G$2,0)))+SUMIFS($I$5:$I226,$C$5:$C226,$C226)-SUMIFS($J$5:$J226,$C$5:$C226,$C226))</f>
        <v/>
      </c>
      <c r="L226" s="14" t="str">
        <f aca="false">IF($B226="","",$C$2+$E$2+$G$2+SUM($I$5:$I226)-SUM($J$5:$J226))</f>
        <v/>
      </c>
      <c r="M226" s="12"/>
      <c r="N226" s="15" t="str">
        <f aca="false">IF($B226="","",IF(NOT(ISNUMBER($B226)),"日期格式不对",IF($C226="","未选资金账户",IF(AND(N($I226)=0,N($J226)=0),"收支都为空",IF(AND(N($I226)&gt;0,N($J226)&gt;0),"收支不能同时填",IF(AND($D226&lt;&gt;"",LEFT($O226,1)="⚠"),"项目编号不存在",IF(AND($M226="是",$F226=""),"工程回款必须填往来单位","√")))))))</f>
        <v/>
      </c>
      <c r="O226" s="16" t="str">
        <f aca="false">IF($D226="","",IFERROR(INDEX(对照清单!$B$5:$B$60,MATCH($D226,对照清单!$A$5:$A$60,0)),"⚠编号不存在"))</f>
        <v/>
      </c>
      <c r="P226" s="10" t="str">
        <f aca="false">IF($B226="","",IF(ISNUMBER($B226),TEXT($B226,"yyyy-mm"),"日期非法"))</f>
        <v/>
      </c>
      <c r="Q226" s="10" t="str">
        <f aca="false">IF($B226="","",IF(ISNUMBER($B226),YEAR($B226),"日期非法"))</f>
        <v/>
      </c>
    </row>
    <row r="227" customFormat="false" ht="15.75" hidden="false" customHeight="true" outlineLevel="0" collapsed="false">
      <c r="A227" s="10" t="str">
        <f aca="false">IF($B227="","",ROW()-4)</f>
        <v/>
      </c>
      <c r="B227" s="11"/>
      <c r="C227" s="12"/>
      <c r="D227" s="12"/>
      <c r="E227" s="12"/>
      <c r="F227" s="12"/>
      <c r="G227" s="12"/>
      <c r="H227" s="13"/>
      <c r="I227" s="4"/>
      <c r="J227" s="4"/>
      <c r="K227" s="14" t="str">
        <f aca="false">IF($B227="","",IF($C227="泓普",$C$2,IF($C227="仟茂",$E$2,IF($C227="现金",$G$2,0)))+SUMIFS($I$5:$I227,$C$5:$C227,$C227)-SUMIFS($J$5:$J227,$C$5:$C227,$C227))</f>
        <v/>
      </c>
      <c r="L227" s="14" t="str">
        <f aca="false">IF($B227="","",$C$2+$E$2+$G$2+SUM($I$5:$I227)-SUM($J$5:$J227))</f>
        <v/>
      </c>
      <c r="M227" s="12"/>
      <c r="N227" s="15" t="str">
        <f aca="false">IF($B227="","",IF(NOT(ISNUMBER($B227)),"日期格式不对",IF($C227="","未选资金账户",IF(AND(N($I227)=0,N($J227)=0),"收支都为空",IF(AND(N($I227)&gt;0,N($J227)&gt;0),"收支不能同时填",IF(AND($D227&lt;&gt;"",LEFT($O227,1)="⚠"),"项目编号不存在",IF(AND($M227="是",$F227=""),"工程回款必须填往来单位","√")))))))</f>
        <v/>
      </c>
      <c r="O227" s="16" t="str">
        <f aca="false">IF($D227="","",IFERROR(INDEX(对照清单!$B$5:$B$60,MATCH($D227,对照清单!$A$5:$A$60,0)),"⚠编号不存在"))</f>
        <v/>
      </c>
      <c r="P227" s="10" t="str">
        <f aca="false">IF($B227="","",IF(ISNUMBER($B227),TEXT($B227,"yyyy-mm"),"日期非法"))</f>
        <v/>
      </c>
      <c r="Q227" s="10" t="str">
        <f aca="false">IF($B227="","",IF(ISNUMBER($B227),YEAR($B227),"日期非法"))</f>
        <v/>
      </c>
    </row>
    <row r="228" customFormat="false" ht="15.75" hidden="false" customHeight="true" outlineLevel="0" collapsed="false">
      <c r="A228" s="10" t="str">
        <f aca="false">IF($B228="","",ROW()-4)</f>
        <v/>
      </c>
      <c r="B228" s="11"/>
      <c r="C228" s="12"/>
      <c r="D228" s="12"/>
      <c r="E228" s="12"/>
      <c r="F228" s="12"/>
      <c r="G228" s="12"/>
      <c r="H228" s="13"/>
      <c r="I228" s="4"/>
      <c r="J228" s="4"/>
      <c r="K228" s="14" t="str">
        <f aca="false">IF($B228="","",IF($C228="泓普",$C$2,IF($C228="仟茂",$E$2,IF($C228="现金",$G$2,0)))+SUMIFS($I$5:$I228,$C$5:$C228,$C228)-SUMIFS($J$5:$J228,$C$5:$C228,$C228))</f>
        <v/>
      </c>
      <c r="L228" s="14" t="str">
        <f aca="false">IF($B228="","",$C$2+$E$2+$G$2+SUM($I$5:$I228)-SUM($J$5:$J228))</f>
        <v/>
      </c>
      <c r="M228" s="12"/>
      <c r="N228" s="15" t="str">
        <f aca="false">IF($B228="","",IF(NOT(ISNUMBER($B228)),"日期格式不对",IF($C228="","未选资金账户",IF(AND(N($I228)=0,N($J228)=0),"收支都为空",IF(AND(N($I228)&gt;0,N($J228)&gt;0),"收支不能同时填",IF(AND($D228&lt;&gt;"",LEFT($O228,1)="⚠"),"项目编号不存在",IF(AND($M228="是",$F228=""),"工程回款必须填往来单位","√")))))))</f>
        <v/>
      </c>
      <c r="O228" s="16" t="str">
        <f aca="false">IF($D228="","",IFERROR(INDEX(对照清单!$B$5:$B$60,MATCH($D228,对照清单!$A$5:$A$60,0)),"⚠编号不存在"))</f>
        <v/>
      </c>
      <c r="P228" s="10" t="str">
        <f aca="false">IF($B228="","",IF(ISNUMBER($B228),TEXT($B228,"yyyy-mm"),"日期非法"))</f>
        <v/>
      </c>
      <c r="Q228" s="10" t="str">
        <f aca="false">IF($B228="","",IF(ISNUMBER($B228),YEAR($B228),"日期非法"))</f>
        <v/>
      </c>
    </row>
    <row r="229" customFormat="false" ht="15.75" hidden="false" customHeight="true" outlineLevel="0" collapsed="false">
      <c r="A229" s="10" t="str">
        <f aca="false">IF($B229="","",ROW()-4)</f>
        <v/>
      </c>
      <c r="B229" s="11"/>
      <c r="C229" s="12"/>
      <c r="D229" s="12"/>
      <c r="E229" s="12"/>
      <c r="F229" s="12"/>
      <c r="G229" s="12"/>
      <c r="H229" s="13"/>
      <c r="I229" s="4"/>
      <c r="J229" s="4"/>
      <c r="K229" s="14" t="str">
        <f aca="false">IF($B229="","",IF($C229="泓普",$C$2,IF($C229="仟茂",$E$2,IF($C229="现金",$G$2,0)))+SUMIFS($I$5:$I229,$C$5:$C229,$C229)-SUMIFS($J$5:$J229,$C$5:$C229,$C229))</f>
        <v/>
      </c>
      <c r="L229" s="14" t="str">
        <f aca="false">IF($B229="","",$C$2+$E$2+$G$2+SUM($I$5:$I229)-SUM($J$5:$J229))</f>
        <v/>
      </c>
      <c r="M229" s="12"/>
      <c r="N229" s="15" t="str">
        <f aca="false">IF($B229="","",IF(NOT(ISNUMBER($B229)),"日期格式不对",IF($C229="","未选资金账户",IF(AND(N($I229)=0,N($J229)=0),"收支都为空",IF(AND(N($I229)&gt;0,N($J229)&gt;0),"收支不能同时填",IF(AND($D229&lt;&gt;"",LEFT($O229,1)="⚠"),"项目编号不存在",IF(AND($M229="是",$F229=""),"工程回款必须填往来单位","√")))))))</f>
        <v/>
      </c>
      <c r="O229" s="16" t="str">
        <f aca="false">IF($D229="","",IFERROR(INDEX(对照清单!$B$5:$B$60,MATCH($D229,对照清单!$A$5:$A$60,0)),"⚠编号不存在"))</f>
        <v/>
      </c>
      <c r="P229" s="10" t="str">
        <f aca="false">IF($B229="","",IF(ISNUMBER($B229),TEXT($B229,"yyyy-mm"),"日期非法"))</f>
        <v/>
      </c>
      <c r="Q229" s="10" t="str">
        <f aca="false">IF($B229="","",IF(ISNUMBER($B229),YEAR($B229),"日期非法"))</f>
        <v/>
      </c>
    </row>
    <row r="230" customFormat="false" ht="15.75" hidden="false" customHeight="true" outlineLevel="0" collapsed="false">
      <c r="A230" s="10" t="str">
        <f aca="false">IF($B230="","",ROW()-4)</f>
        <v/>
      </c>
      <c r="B230" s="11"/>
      <c r="C230" s="12"/>
      <c r="D230" s="12"/>
      <c r="E230" s="12"/>
      <c r="F230" s="12"/>
      <c r="G230" s="12"/>
      <c r="H230" s="13"/>
      <c r="I230" s="4"/>
      <c r="J230" s="4"/>
      <c r="K230" s="14" t="str">
        <f aca="false">IF($B230="","",IF($C230="泓普",$C$2,IF($C230="仟茂",$E$2,IF($C230="现金",$G$2,0)))+SUMIFS($I$5:$I230,$C$5:$C230,$C230)-SUMIFS($J$5:$J230,$C$5:$C230,$C230))</f>
        <v/>
      </c>
      <c r="L230" s="14" t="str">
        <f aca="false">IF($B230="","",$C$2+$E$2+$G$2+SUM($I$5:$I230)-SUM($J$5:$J230))</f>
        <v/>
      </c>
      <c r="M230" s="12"/>
      <c r="N230" s="15" t="str">
        <f aca="false">IF($B230="","",IF(NOT(ISNUMBER($B230)),"日期格式不对",IF($C230="","未选资金账户",IF(AND(N($I230)=0,N($J230)=0),"收支都为空",IF(AND(N($I230)&gt;0,N($J230)&gt;0),"收支不能同时填",IF(AND($D230&lt;&gt;"",LEFT($O230,1)="⚠"),"项目编号不存在",IF(AND($M230="是",$F230=""),"工程回款必须填往来单位","√")))))))</f>
        <v/>
      </c>
      <c r="O230" s="16" t="str">
        <f aca="false">IF($D230="","",IFERROR(INDEX(对照清单!$B$5:$B$60,MATCH($D230,对照清单!$A$5:$A$60,0)),"⚠编号不存在"))</f>
        <v/>
      </c>
      <c r="P230" s="10" t="str">
        <f aca="false">IF($B230="","",IF(ISNUMBER($B230),TEXT($B230,"yyyy-mm"),"日期非法"))</f>
        <v/>
      </c>
      <c r="Q230" s="10" t="str">
        <f aca="false">IF($B230="","",IF(ISNUMBER($B230),YEAR($B230),"日期非法"))</f>
        <v/>
      </c>
    </row>
    <row r="231" customFormat="false" ht="15.75" hidden="false" customHeight="true" outlineLevel="0" collapsed="false">
      <c r="A231" s="10" t="str">
        <f aca="false">IF($B231="","",ROW()-4)</f>
        <v/>
      </c>
      <c r="B231" s="11"/>
      <c r="C231" s="12"/>
      <c r="D231" s="12"/>
      <c r="E231" s="12"/>
      <c r="F231" s="12"/>
      <c r="G231" s="12"/>
      <c r="H231" s="13"/>
      <c r="I231" s="4"/>
      <c r="J231" s="4"/>
      <c r="K231" s="14" t="str">
        <f aca="false">IF($B231="","",IF($C231="泓普",$C$2,IF($C231="仟茂",$E$2,IF($C231="现金",$G$2,0)))+SUMIFS($I$5:$I231,$C$5:$C231,$C231)-SUMIFS($J$5:$J231,$C$5:$C231,$C231))</f>
        <v/>
      </c>
      <c r="L231" s="14" t="str">
        <f aca="false">IF($B231="","",$C$2+$E$2+$G$2+SUM($I$5:$I231)-SUM($J$5:$J231))</f>
        <v/>
      </c>
      <c r="M231" s="12"/>
      <c r="N231" s="15" t="str">
        <f aca="false">IF($B231="","",IF(NOT(ISNUMBER($B231)),"日期格式不对",IF($C231="","未选资金账户",IF(AND(N($I231)=0,N($J231)=0),"收支都为空",IF(AND(N($I231)&gt;0,N($J231)&gt;0),"收支不能同时填",IF(AND($D231&lt;&gt;"",LEFT($O231,1)="⚠"),"项目编号不存在",IF(AND($M231="是",$F231=""),"工程回款必须填往来单位","√")))))))</f>
        <v/>
      </c>
      <c r="O231" s="16" t="str">
        <f aca="false">IF($D231="","",IFERROR(INDEX(对照清单!$B$5:$B$60,MATCH($D231,对照清单!$A$5:$A$60,0)),"⚠编号不存在"))</f>
        <v/>
      </c>
      <c r="P231" s="10" t="str">
        <f aca="false">IF($B231="","",IF(ISNUMBER($B231),TEXT($B231,"yyyy-mm"),"日期非法"))</f>
        <v/>
      </c>
      <c r="Q231" s="10" t="str">
        <f aca="false">IF($B231="","",IF(ISNUMBER($B231),YEAR($B231),"日期非法"))</f>
        <v/>
      </c>
    </row>
    <row r="232" customFormat="false" ht="15.75" hidden="false" customHeight="true" outlineLevel="0" collapsed="false">
      <c r="A232" s="10" t="str">
        <f aca="false">IF($B232="","",ROW()-4)</f>
        <v/>
      </c>
      <c r="B232" s="11"/>
      <c r="C232" s="12"/>
      <c r="D232" s="12"/>
      <c r="E232" s="12"/>
      <c r="F232" s="12"/>
      <c r="G232" s="12"/>
      <c r="H232" s="13"/>
      <c r="I232" s="4"/>
      <c r="J232" s="4"/>
      <c r="K232" s="14" t="str">
        <f aca="false">IF($B232="","",IF($C232="泓普",$C$2,IF($C232="仟茂",$E$2,IF($C232="现金",$G$2,0)))+SUMIFS($I$5:$I232,$C$5:$C232,$C232)-SUMIFS($J$5:$J232,$C$5:$C232,$C232))</f>
        <v/>
      </c>
      <c r="L232" s="14" t="str">
        <f aca="false">IF($B232="","",$C$2+$E$2+$G$2+SUM($I$5:$I232)-SUM($J$5:$J232))</f>
        <v/>
      </c>
      <c r="M232" s="12"/>
      <c r="N232" s="15" t="str">
        <f aca="false">IF($B232="","",IF(NOT(ISNUMBER($B232)),"日期格式不对",IF($C232="","未选资金账户",IF(AND(N($I232)=0,N($J232)=0),"收支都为空",IF(AND(N($I232)&gt;0,N($J232)&gt;0),"收支不能同时填",IF(AND($D232&lt;&gt;"",LEFT($O232,1)="⚠"),"项目编号不存在",IF(AND($M232="是",$F232=""),"工程回款必须填往来单位","√")))))))</f>
        <v/>
      </c>
      <c r="O232" s="16" t="str">
        <f aca="false">IF($D232="","",IFERROR(INDEX(对照清单!$B$5:$B$60,MATCH($D232,对照清单!$A$5:$A$60,0)),"⚠编号不存在"))</f>
        <v/>
      </c>
      <c r="P232" s="10" t="str">
        <f aca="false">IF($B232="","",IF(ISNUMBER($B232),TEXT($B232,"yyyy-mm"),"日期非法"))</f>
        <v/>
      </c>
      <c r="Q232" s="10" t="str">
        <f aca="false">IF($B232="","",IF(ISNUMBER($B232),YEAR($B232),"日期非法"))</f>
        <v/>
      </c>
    </row>
    <row r="233" customFormat="false" ht="15.75" hidden="false" customHeight="true" outlineLevel="0" collapsed="false">
      <c r="A233" s="10" t="str">
        <f aca="false">IF($B233="","",ROW()-4)</f>
        <v/>
      </c>
      <c r="B233" s="11"/>
      <c r="C233" s="12"/>
      <c r="D233" s="12"/>
      <c r="E233" s="12"/>
      <c r="F233" s="12"/>
      <c r="G233" s="12"/>
      <c r="H233" s="13"/>
      <c r="I233" s="4"/>
      <c r="J233" s="4"/>
      <c r="K233" s="14" t="str">
        <f aca="false">IF($B233="","",IF($C233="泓普",$C$2,IF($C233="仟茂",$E$2,IF($C233="现金",$G$2,0)))+SUMIFS($I$5:$I233,$C$5:$C233,$C233)-SUMIFS($J$5:$J233,$C$5:$C233,$C233))</f>
        <v/>
      </c>
      <c r="L233" s="14" t="str">
        <f aca="false">IF($B233="","",$C$2+$E$2+$G$2+SUM($I$5:$I233)-SUM($J$5:$J233))</f>
        <v/>
      </c>
      <c r="M233" s="12"/>
      <c r="N233" s="15" t="str">
        <f aca="false">IF($B233="","",IF(NOT(ISNUMBER($B233)),"日期格式不对",IF($C233="","未选资金账户",IF(AND(N($I233)=0,N($J233)=0),"收支都为空",IF(AND(N($I233)&gt;0,N($J233)&gt;0),"收支不能同时填",IF(AND($D233&lt;&gt;"",LEFT($O233,1)="⚠"),"项目编号不存在",IF(AND($M233="是",$F233=""),"工程回款必须填往来单位","√")))))))</f>
        <v/>
      </c>
      <c r="O233" s="16" t="str">
        <f aca="false">IF($D233="","",IFERROR(INDEX(对照清单!$B$5:$B$60,MATCH($D233,对照清单!$A$5:$A$60,0)),"⚠编号不存在"))</f>
        <v/>
      </c>
      <c r="P233" s="10" t="str">
        <f aca="false">IF($B233="","",IF(ISNUMBER($B233),TEXT($B233,"yyyy-mm"),"日期非法"))</f>
        <v/>
      </c>
      <c r="Q233" s="10" t="str">
        <f aca="false">IF($B233="","",IF(ISNUMBER($B233),YEAR($B233),"日期非法"))</f>
        <v/>
      </c>
    </row>
    <row r="234" customFormat="false" ht="15.75" hidden="false" customHeight="true" outlineLevel="0" collapsed="false">
      <c r="A234" s="10" t="str">
        <f aca="false">IF($B234="","",ROW()-4)</f>
        <v/>
      </c>
      <c r="B234" s="11"/>
      <c r="C234" s="12"/>
      <c r="D234" s="12"/>
      <c r="E234" s="12"/>
      <c r="F234" s="12"/>
      <c r="G234" s="12"/>
      <c r="H234" s="13"/>
      <c r="I234" s="4"/>
      <c r="J234" s="4"/>
      <c r="K234" s="14" t="str">
        <f aca="false">IF($B234="","",IF($C234="泓普",$C$2,IF($C234="仟茂",$E$2,IF($C234="现金",$G$2,0)))+SUMIFS($I$5:$I234,$C$5:$C234,$C234)-SUMIFS($J$5:$J234,$C$5:$C234,$C234))</f>
        <v/>
      </c>
      <c r="L234" s="14" t="str">
        <f aca="false">IF($B234="","",$C$2+$E$2+$G$2+SUM($I$5:$I234)-SUM($J$5:$J234))</f>
        <v/>
      </c>
      <c r="M234" s="12"/>
      <c r="N234" s="15" t="str">
        <f aca="false">IF($B234="","",IF(NOT(ISNUMBER($B234)),"日期格式不对",IF($C234="","未选资金账户",IF(AND(N($I234)=0,N($J234)=0),"收支都为空",IF(AND(N($I234)&gt;0,N($J234)&gt;0),"收支不能同时填",IF(AND($D234&lt;&gt;"",LEFT($O234,1)="⚠"),"项目编号不存在",IF(AND($M234="是",$F234=""),"工程回款必须填往来单位","√")))))))</f>
        <v/>
      </c>
      <c r="O234" s="16" t="str">
        <f aca="false">IF($D234="","",IFERROR(INDEX(对照清单!$B$5:$B$60,MATCH($D234,对照清单!$A$5:$A$60,0)),"⚠编号不存在"))</f>
        <v/>
      </c>
      <c r="P234" s="10" t="str">
        <f aca="false">IF($B234="","",IF(ISNUMBER($B234),TEXT($B234,"yyyy-mm"),"日期非法"))</f>
        <v/>
      </c>
      <c r="Q234" s="10" t="str">
        <f aca="false">IF($B234="","",IF(ISNUMBER($B234),YEAR($B234),"日期非法"))</f>
        <v/>
      </c>
    </row>
    <row r="235" customFormat="false" ht="15.75" hidden="false" customHeight="true" outlineLevel="0" collapsed="false">
      <c r="A235" s="10" t="str">
        <f aca="false">IF($B235="","",ROW()-4)</f>
        <v/>
      </c>
      <c r="B235" s="11"/>
      <c r="C235" s="12"/>
      <c r="D235" s="12"/>
      <c r="E235" s="12"/>
      <c r="F235" s="12"/>
      <c r="G235" s="12"/>
      <c r="H235" s="13"/>
      <c r="I235" s="4"/>
      <c r="J235" s="4"/>
      <c r="K235" s="14" t="str">
        <f aca="false">IF($B235="","",IF($C235="泓普",$C$2,IF($C235="仟茂",$E$2,IF($C235="现金",$G$2,0)))+SUMIFS($I$5:$I235,$C$5:$C235,$C235)-SUMIFS($J$5:$J235,$C$5:$C235,$C235))</f>
        <v/>
      </c>
      <c r="L235" s="14" t="str">
        <f aca="false">IF($B235="","",$C$2+$E$2+$G$2+SUM($I$5:$I235)-SUM($J$5:$J235))</f>
        <v/>
      </c>
      <c r="M235" s="12"/>
      <c r="N235" s="15" t="str">
        <f aca="false">IF($B235="","",IF(NOT(ISNUMBER($B235)),"日期格式不对",IF($C235="","未选资金账户",IF(AND(N($I235)=0,N($J235)=0),"收支都为空",IF(AND(N($I235)&gt;0,N($J235)&gt;0),"收支不能同时填",IF(AND($D235&lt;&gt;"",LEFT($O235,1)="⚠"),"项目编号不存在",IF(AND($M235="是",$F235=""),"工程回款必须填往来单位","√")))))))</f>
        <v/>
      </c>
      <c r="O235" s="16" t="str">
        <f aca="false">IF($D235="","",IFERROR(INDEX(对照清单!$B$5:$B$60,MATCH($D235,对照清单!$A$5:$A$60,0)),"⚠编号不存在"))</f>
        <v/>
      </c>
      <c r="P235" s="10" t="str">
        <f aca="false">IF($B235="","",IF(ISNUMBER($B235),TEXT($B235,"yyyy-mm"),"日期非法"))</f>
        <v/>
      </c>
      <c r="Q235" s="10" t="str">
        <f aca="false">IF($B235="","",IF(ISNUMBER($B235),YEAR($B235),"日期非法"))</f>
        <v/>
      </c>
    </row>
    <row r="236" customFormat="false" ht="15.75" hidden="false" customHeight="true" outlineLevel="0" collapsed="false">
      <c r="A236" s="10" t="str">
        <f aca="false">IF($B236="","",ROW()-4)</f>
        <v/>
      </c>
      <c r="B236" s="11"/>
      <c r="C236" s="12"/>
      <c r="D236" s="12"/>
      <c r="E236" s="12"/>
      <c r="F236" s="12"/>
      <c r="G236" s="12"/>
      <c r="H236" s="13"/>
      <c r="I236" s="4"/>
      <c r="J236" s="4"/>
      <c r="K236" s="14" t="str">
        <f aca="false">IF($B236="","",IF($C236="泓普",$C$2,IF($C236="仟茂",$E$2,IF($C236="现金",$G$2,0)))+SUMIFS($I$5:$I236,$C$5:$C236,$C236)-SUMIFS($J$5:$J236,$C$5:$C236,$C236))</f>
        <v/>
      </c>
      <c r="L236" s="14" t="str">
        <f aca="false">IF($B236="","",$C$2+$E$2+$G$2+SUM($I$5:$I236)-SUM($J$5:$J236))</f>
        <v/>
      </c>
      <c r="M236" s="12"/>
      <c r="N236" s="15" t="str">
        <f aca="false">IF($B236="","",IF(NOT(ISNUMBER($B236)),"日期格式不对",IF($C236="","未选资金账户",IF(AND(N($I236)=0,N($J236)=0),"收支都为空",IF(AND(N($I236)&gt;0,N($J236)&gt;0),"收支不能同时填",IF(AND($D236&lt;&gt;"",LEFT($O236,1)="⚠"),"项目编号不存在",IF(AND($M236="是",$F236=""),"工程回款必须填往来单位","√")))))))</f>
        <v/>
      </c>
      <c r="O236" s="16" t="str">
        <f aca="false">IF($D236="","",IFERROR(INDEX(对照清单!$B$5:$B$60,MATCH($D236,对照清单!$A$5:$A$60,0)),"⚠编号不存在"))</f>
        <v/>
      </c>
      <c r="P236" s="10" t="str">
        <f aca="false">IF($B236="","",IF(ISNUMBER($B236),TEXT($B236,"yyyy-mm"),"日期非法"))</f>
        <v/>
      </c>
      <c r="Q236" s="10" t="str">
        <f aca="false">IF($B236="","",IF(ISNUMBER($B236),YEAR($B236),"日期非法"))</f>
        <v/>
      </c>
    </row>
    <row r="237" customFormat="false" ht="15.75" hidden="false" customHeight="true" outlineLevel="0" collapsed="false">
      <c r="A237" s="10" t="str">
        <f aca="false">IF($B237="","",ROW()-4)</f>
        <v/>
      </c>
      <c r="B237" s="11"/>
      <c r="C237" s="12"/>
      <c r="D237" s="12"/>
      <c r="E237" s="12"/>
      <c r="F237" s="12"/>
      <c r="G237" s="12"/>
      <c r="H237" s="13"/>
      <c r="I237" s="4"/>
      <c r="J237" s="4"/>
      <c r="K237" s="14" t="str">
        <f aca="false">IF($B237="","",IF($C237="泓普",$C$2,IF($C237="仟茂",$E$2,IF($C237="现金",$G$2,0)))+SUMIFS($I$5:$I237,$C$5:$C237,$C237)-SUMIFS($J$5:$J237,$C$5:$C237,$C237))</f>
        <v/>
      </c>
      <c r="L237" s="14" t="str">
        <f aca="false">IF($B237="","",$C$2+$E$2+$G$2+SUM($I$5:$I237)-SUM($J$5:$J237))</f>
        <v/>
      </c>
      <c r="M237" s="12"/>
      <c r="N237" s="15" t="str">
        <f aca="false">IF($B237="","",IF(NOT(ISNUMBER($B237)),"日期格式不对",IF($C237="","未选资金账户",IF(AND(N($I237)=0,N($J237)=0),"收支都为空",IF(AND(N($I237)&gt;0,N($J237)&gt;0),"收支不能同时填",IF(AND($D237&lt;&gt;"",LEFT($O237,1)="⚠"),"项目编号不存在",IF(AND($M237="是",$F237=""),"工程回款必须填往来单位","√")))))))</f>
        <v/>
      </c>
      <c r="O237" s="16" t="str">
        <f aca="false">IF($D237="","",IFERROR(INDEX(对照清单!$B$5:$B$60,MATCH($D237,对照清单!$A$5:$A$60,0)),"⚠编号不存在"))</f>
        <v/>
      </c>
      <c r="P237" s="10" t="str">
        <f aca="false">IF($B237="","",IF(ISNUMBER($B237),TEXT($B237,"yyyy-mm"),"日期非法"))</f>
        <v/>
      </c>
      <c r="Q237" s="10" t="str">
        <f aca="false">IF($B237="","",IF(ISNUMBER($B237),YEAR($B237),"日期非法"))</f>
        <v/>
      </c>
    </row>
    <row r="238" customFormat="false" ht="15.75" hidden="false" customHeight="true" outlineLevel="0" collapsed="false">
      <c r="A238" s="10" t="str">
        <f aca="false">IF($B238="","",ROW()-4)</f>
        <v/>
      </c>
      <c r="B238" s="11"/>
      <c r="C238" s="12"/>
      <c r="D238" s="12"/>
      <c r="E238" s="12"/>
      <c r="F238" s="12"/>
      <c r="G238" s="12"/>
      <c r="H238" s="13"/>
      <c r="I238" s="4"/>
      <c r="J238" s="4"/>
      <c r="K238" s="14" t="str">
        <f aca="false">IF($B238="","",IF($C238="泓普",$C$2,IF($C238="仟茂",$E$2,IF($C238="现金",$G$2,0)))+SUMIFS($I$5:$I238,$C$5:$C238,$C238)-SUMIFS($J$5:$J238,$C$5:$C238,$C238))</f>
        <v/>
      </c>
      <c r="L238" s="14" t="str">
        <f aca="false">IF($B238="","",$C$2+$E$2+$G$2+SUM($I$5:$I238)-SUM($J$5:$J238))</f>
        <v/>
      </c>
      <c r="M238" s="12"/>
      <c r="N238" s="15" t="str">
        <f aca="false">IF($B238="","",IF(NOT(ISNUMBER($B238)),"日期格式不对",IF($C238="","未选资金账户",IF(AND(N($I238)=0,N($J238)=0),"收支都为空",IF(AND(N($I238)&gt;0,N($J238)&gt;0),"收支不能同时填",IF(AND($D238&lt;&gt;"",LEFT($O238,1)="⚠"),"项目编号不存在",IF(AND($M238="是",$F238=""),"工程回款必须填往来单位","√")))))))</f>
        <v/>
      </c>
      <c r="O238" s="16" t="str">
        <f aca="false">IF($D238="","",IFERROR(INDEX(对照清单!$B$5:$B$60,MATCH($D238,对照清单!$A$5:$A$60,0)),"⚠编号不存在"))</f>
        <v/>
      </c>
      <c r="P238" s="10" t="str">
        <f aca="false">IF($B238="","",IF(ISNUMBER($B238),TEXT($B238,"yyyy-mm"),"日期非法"))</f>
        <v/>
      </c>
      <c r="Q238" s="10" t="str">
        <f aca="false">IF($B238="","",IF(ISNUMBER($B238),YEAR($B238),"日期非法"))</f>
        <v/>
      </c>
    </row>
    <row r="239" customFormat="false" ht="15.75" hidden="false" customHeight="true" outlineLevel="0" collapsed="false">
      <c r="A239" s="10" t="str">
        <f aca="false">IF($B239="","",ROW()-4)</f>
        <v/>
      </c>
      <c r="B239" s="11"/>
      <c r="C239" s="12"/>
      <c r="D239" s="12"/>
      <c r="E239" s="12"/>
      <c r="F239" s="12"/>
      <c r="G239" s="12"/>
      <c r="H239" s="13"/>
      <c r="I239" s="4"/>
      <c r="J239" s="4"/>
      <c r="K239" s="14" t="str">
        <f aca="false">IF($B239="","",IF($C239="泓普",$C$2,IF($C239="仟茂",$E$2,IF($C239="现金",$G$2,0)))+SUMIFS($I$5:$I239,$C$5:$C239,$C239)-SUMIFS($J$5:$J239,$C$5:$C239,$C239))</f>
        <v/>
      </c>
      <c r="L239" s="14" t="str">
        <f aca="false">IF($B239="","",$C$2+$E$2+$G$2+SUM($I$5:$I239)-SUM($J$5:$J239))</f>
        <v/>
      </c>
      <c r="M239" s="12"/>
      <c r="N239" s="15" t="str">
        <f aca="false">IF($B239="","",IF(NOT(ISNUMBER($B239)),"日期格式不对",IF($C239="","未选资金账户",IF(AND(N($I239)=0,N($J239)=0),"收支都为空",IF(AND(N($I239)&gt;0,N($J239)&gt;0),"收支不能同时填",IF(AND($D239&lt;&gt;"",LEFT($O239,1)="⚠"),"项目编号不存在",IF(AND($M239="是",$F239=""),"工程回款必须填往来单位","√")))))))</f>
        <v/>
      </c>
      <c r="O239" s="16" t="str">
        <f aca="false">IF($D239="","",IFERROR(INDEX(对照清单!$B$5:$B$60,MATCH($D239,对照清单!$A$5:$A$60,0)),"⚠编号不存在"))</f>
        <v/>
      </c>
      <c r="P239" s="10" t="str">
        <f aca="false">IF($B239="","",IF(ISNUMBER($B239),TEXT($B239,"yyyy-mm"),"日期非法"))</f>
        <v/>
      </c>
      <c r="Q239" s="10" t="str">
        <f aca="false">IF($B239="","",IF(ISNUMBER($B239),YEAR($B239),"日期非法"))</f>
        <v/>
      </c>
    </row>
    <row r="240" customFormat="false" ht="15.75" hidden="false" customHeight="true" outlineLevel="0" collapsed="false">
      <c r="A240" s="10" t="str">
        <f aca="false">IF($B240="","",ROW()-4)</f>
        <v/>
      </c>
      <c r="B240" s="11"/>
      <c r="C240" s="12"/>
      <c r="D240" s="12"/>
      <c r="E240" s="12"/>
      <c r="F240" s="12"/>
      <c r="G240" s="12"/>
      <c r="H240" s="13"/>
      <c r="I240" s="4"/>
      <c r="J240" s="4"/>
      <c r="K240" s="14" t="str">
        <f aca="false">IF($B240="","",IF($C240="泓普",$C$2,IF($C240="仟茂",$E$2,IF($C240="现金",$G$2,0)))+SUMIFS($I$5:$I240,$C$5:$C240,$C240)-SUMIFS($J$5:$J240,$C$5:$C240,$C240))</f>
        <v/>
      </c>
      <c r="L240" s="14" t="str">
        <f aca="false">IF($B240="","",$C$2+$E$2+$G$2+SUM($I$5:$I240)-SUM($J$5:$J240))</f>
        <v/>
      </c>
      <c r="M240" s="12"/>
      <c r="N240" s="15" t="str">
        <f aca="false">IF($B240="","",IF(NOT(ISNUMBER($B240)),"日期格式不对",IF($C240="","未选资金账户",IF(AND(N($I240)=0,N($J240)=0),"收支都为空",IF(AND(N($I240)&gt;0,N($J240)&gt;0),"收支不能同时填",IF(AND($D240&lt;&gt;"",LEFT($O240,1)="⚠"),"项目编号不存在",IF(AND($M240="是",$F240=""),"工程回款必须填往来单位","√")))))))</f>
        <v/>
      </c>
      <c r="O240" s="16" t="str">
        <f aca="false">IF($D240="","",IFERROR(INDEX(对照清单!$B$5:$B$60,MATCH($D240,对照清单!$A$5:$A$60,0)),"⚠编号不存在"))</f>
        <v/>
      </c>
      <c r="P240" s="10" t="str">
        <f aca="false">IF($B240="","",IF(ISNUMBER($B240),TEXT($B240,"yyyy-mm"),"日期非法"))</f>
        <v/>
      </c>
      <c r="Q240" s="10" t="str">
        <f aca="false">IF($B240="","",IF(ISNUMBER($B240),YEAR($B240),"日期非法"))</f>
        <v/>
      </c>
    </row>
    <row r="241" customFormat="false" ht="15.75" hidden="false" customHeight="true" outlineLevel="0" collapsed="false">
      <c r="A241" s="10" t="str">
        <f aca="false">IF($B241="","",ROW()-4)</f>
        <v/>
      </c>
      <c r="B241" s="11"/>
      <c r="C241" s="12"/>
      <c r="D241" s="12"/>
      <c r="E241" s="12"/>
      <c r="F241" s="12"/>
      <c r="G241" s="12"/>
      <c r="H241" s="13"/>
      <c r="I241" s="4"/>
      <c r="J241" s="4"/>
      <c r="K241" s="14" t="str">
        <f aca="false">IF($B241="","",IF($C241="泓普",$C$2,IF($C241="仟茂",$E$2,IF($C241="现金",$G$2,0)))+SUMIFS($I$5:$I241,$C$5:$C241,$C241)-SUMIFS($J$5:$J241,$C$5:$C241,$C241))</f>
        <v/>
      </c>
      <c r="L241" s="14" t="str">
        <f aca="false">IF($B241="","",$C$2+$E$2+$G$2+SUM($I$5:$I241)-SUM($J$5:$J241))</f>
        <v/>
      </c>
      <c r="M241" s="12"/>
      <c r="N241" s="15" t="str">
        <f aca="false">IF($B241="","",IF(NOT(ISNUMBER($B241)),"日期格式不对",IF($C241="","未选资金账户",IF(AND(N($I241)=0,N($J241)=0),"收支都为空",IF(AND(N($I241)&gt;0,N($J241)&gt;0),"收支不能同时填",IF(AND($D241&lt;&gt;"",LEFT($O241,1)="⚠"),"项目编号不存在",IF(AND($M241="是",$F241=""),"工程回款必须填往来单位","√")))))))</f>
        <v/>
      </c>
      <c r="O241" s="16" t="str">
        <f aca="false">IF($D241="","",IFERROR(INDEX(对照清单!$B$5:$B$60,MATCH($D241,对照清单!$A$5:$A$60,0)),"⚠编号不存在"))</f>
        <v/>
      </c>
      <c r="P241" s="10" t="str">
        <f aca="false">IF($B241="","",IF(ISNUMBER($B241),TEXT($B241,"yyyy-mm"),"日期非法"))</f>
        <v/>
      </c>
      <c r="Q241" s="10" t="str">
        <f aca="false">IF($B241="","",IF(ISNUMBER($B241),YEAR($B241),"日期非法"))</f>
        <v/>
      </c>
    </row>
    <row r="242" customFormat="false" ht="15.75" hidden="false" customHeight="true" outlineLevel="0" collapsed="false">
      <c r="A242" s="10" t="str">
        <f aca="false">IF($B242="","",ROW()-4)</f>
        <v/>
      </c>
      <c r="B242" s="11"/>
      <c r="C242" s="12"/>
      <c r="D242" s="12"/>
      <c r="E242" s="12"/>
      <c r="F242" s="12"/>
      <c r="G242" s="12"/>
      <c r="H242" s="13"/>
      <c r="I242" s="4"/>
      <c r="J242" s="4"/>
      <c r="K242" s="14" t="str">
        <f aca="false">IF($B242="","",IF($C242="泓普",$C$2,IF($C242="仟茂",$E$2,IF($C242="现金",$G$2,0)))+SUMIFS($I$5:$I242,$C$5:$C242,$C242)-SUMIFS($J$5:$J242,$C$5:$C242,$C242))</f>
        <v/>
      </c>
      <c r="L242" s="14" t="str">
        <f aca="false">IF($B242="","",$C$2+$E$2+$G$2+SUM($I$5:$I242)-SUM($J$5:$J242))</f>
        <v/>
      </c>
      <c r="M242" s="12"/>
      <c r="N242" s="15" t="str">
        <f aca="false">IF($B242="","",IF(NOT(ISNUMBER($B242)),"日期格式不对",IF($C242="","未选资金账户",IF(AND(N($I242)=0,N($J242)=0),"收支都为空",IF(AND(N($I242)&gt;0,N($J242)&gt;0),"收支不能同时填",IF(AND($D242&lt;&gt;"",LEFT($O242,1)="⚠"),"项目编号不存在",IF(AND($M242="是",$F242=""),"工程回款必须填往来单位","√")))))))</f>
        <v/>
      </c>
      <c r="O242" s="16" t="str">
        <f aca="false">IF($D242="","",IFERROR(INDEX(对照清单!$B$5:$B$60,MATCH($D242,对照清单!$A$5:$A$60,0)),"⚠编号不存在"))</f>
        <v/>
      </c>
      <c r="P242" s="10" t="str">
        <f aca="false">IF($B242="","",IF(ISNUMBER($B242),TEXT($B242,"yyyy-mm"),"日期非法"))</f>
        <v/>
      </c>
      <c r="Q242" s="10" t="str">
        <f aca="false">IF($B242="","",IF(ISNUMBER($B242),YEAR($B242),"日期非法"))</f>
        <v/>
      </c>
    </row>
    <row r="243" customFormat="false" ht="15.75" hidden="false" customHeight="true" outlineLevel="0" collapsed="false">
      <c r="A243" s="10" t="str">
        <f aca="false">IF($B243="","",ROW()-4)</f>
        <v/>
      </c>
      <c r="B243" s="11"/>
      <c r="C243" s="12"/>
      <c r="D243" s="12"/>
      <c r="E243" s="12"/>
      <c r="F243" s="12"/>
      <c r="G243" s="12"/>
      <c r="H243" s="13"/>
      <c r="I243" s="4"/>
      <c r="J243" s="4"/>
      <c r="K243" s="14" t="str">
        <f aca="false">IF($B243="","",IF($C243="泓普",$C$2,IF($C243="仟茂",$E$2,IF($C243="现金",$G$2,0)))+SUMIFS($I$5:$I243,$C$5:$C243,$C243)-SUMIFS($J$5:$J243,$C$5:$C243,$C243))</f>
        <v/>
      </c>
      <c r="L243" s="14" t="str">
        <f aca="false">IF($B243="","",$C$2+$E$2+$G$2+SUM($I$5:$I243)-SUM($J$5:$J243))</f>
        <v/>
      </c>
      <c r="M243" s="12"/>
      <c r="N243" s="15" t="str">
        <f aca="false">IF($B243="","",IF(NOT(ISNUMBER($B243)),"日期格式不对",IF($C243="","未选资金账户",IF(AND(N($I243)=0,N($J243)=0),"收支都为空",IF(AND(N($I243)&gt;0,N($J243)&gt;0),"收支不能同时填",IF(AND($D243&lt;&gt;"",LEFT($O243,1)="⚠"),"项目编号不存在",IF(AND($M243="是",$F243=""),"工程回款必须填往来单位","√")))))))</f>
        <v/>
      </c>
      <c r="O243" s="16" t="str">
        <f aca="false">IF($D243="","",IFERROR(INDEX(对照清单!$B$5:$B$60,MATCH($D243,对照清单!$A$5:$A$60,0)),"⚠编号不存在"))</f>
        <v/>
      </c>
      <c r="P243" s="10" t="str">
        <f aca="false">IF($B243="","",IF(ISNUMBER($B243),TEXT($B243,"yyyy-mm"),"日期非法"))</f>
        <v/>
      </c>
      <c r="Q243" s="10" t="str">
        <f aca="false">IF($B243="","",IF(ISNUMBER($B243),YEAR($B243),"日期非法"))</f>
        <v/>
      </c>
    </row>
    <row r="244" customFormat="false" ht="15.75" hidden="false" customHeight="true" outlineLevel="0" collapsed="false">
      <c r="A244" s="10" t="str">
        <f aca="false">IF($B244="","",ROW()-4)</f>
        <v/>
      </c>
      <c r="B244" s="11"/>
      <c r="C244" s="12"/>
      <c r="D244" s="12"/>
      <c r="E244" s="12"/>
      <c r="F244" s="12"/>
      <c r="G244" s="12"/>
      <c r="H244" s="13"/>
      <c r="I244" s="4"/>
      <c r="J244" s="4"/>
      <c r="K244" s="14" t="str">
        <f aca="false">IF($B244="","",IF($C244="泓普",$C$2,IF($C244="仟茂",$E$2,IF($C244="现金",$G$2,0)))+SUMIFS($I$5:$I244,$C$5:$C244,$C244)-SUMIFS($J$5:$J244,$C$5:$C244,$C244))</f>
        <v/>
      </c>
      <c r="L244" s="14" t="str">
        <f aca="false">IF($B244="","",$C$2+$E$2+$G$2+SUM($I$5:$I244)-SUM($J$5:$J244))</f>
        <v/>
      </c>
      <c r="M244" s="12"/>
      <c r="N244" s="15" t="str">
        <f aca="false">IF($B244="","",IF(NOT(ISNUMBER($B244)),"日期格式不对",IF($C244="","未选资金账户",IF(AND(N($I244)=0,N($J244)=0),"收支都为空",IF(AND(N($I244)&gt;0,N($J244)&gt;0),"收支不能同时填",IF(AND($D244&lt;&gt;"",LEFT($O244,1)="⚠"),"项目编号不存在",IF(AND($M244="是",$F244=""),"工程回款必须填往来单位","√")))))))</f>
        <v/>
      </c>
      <c r="O244" s="16" t="str">
        <f aca="false">IF($D244="","",IFERROR(INDEX(对照清单!$B$5:$B$60,MATCH($D244,对照清单!$A$5:$A$60,0)),"⚠编号不存在"))</f>
        <v/>
      </c>
      <c r="P244" s="10" t="str">
        <f aca="false">IF($B244="","",IF(ISNUMBER($B244),TEXT($B244,"yyyy-mm"),"日期非法"))</f>
        <v/>
      </c>
      <c r="Q244" s="10" t="str">
        <f aca="false">IF($B244="","",IF(ISNUMBER($B244),YEAR($B244),"日期非法"))</f>
        <v/>
      </c>
    </row>
    <row r="245" customFormat="false" ht="15.75" hidden="false" customHeight="true" outlineLevel="0" collapsed="false">
      <c r="A245" s="10" t="str">
        <f aca="false">IF($B245="","",ROW()-4)</f>
        <v/>
      </c>
      <c r="B245" s="11"/>
      <c r="C245" s="12"/>
      <c r="D245" s="12"/>
      <c r="E245" s="12"/>
      <c r="F245" s="12"/>
      <c r="G245" s="12"/>
      <c r="H245" s="13"/>
      <c r="I245" s="4"/>
      <c r="J245" s="4"/>
      <c r="K245" s="14" t="str">
        <f aca="false">IF($B245="","",IF($C245="泓普",$C$2,IF($C245="仟茂",$E$2,IF($C245="现金",$G$2,0)))+SUMIFS($I$5:$I245,$C$5:$C245,$C245)-SUMIFS($J$5:$J245,$C$5:$C245,$C245))</f>
        <v/>
      </c>
      <c r="L245" s="14" t="str">
        <f aca="false">IF($B245="","",$C$2+$E$2+$G$2+SUM($I$5:$I245)-SUM($J$5:$J245))</f>
        <v/>
      </c>
      <c r="M245" s="12"/>
      <c r="N245" s="15" t="str">
        <f aca="false">IF($B245="","",IF(NOT(ISNUMBER($B245)),"日期格式不对",IF($C245="","未选资金账户",IF(AND(N($I245)=0,N($J245)=0),"收支都为空",IF(AND(N($I245)&gt;0,N($J245)&gt;0),"收支不能同时填",IF(AND($D245&lt;&gt;"",LEFT($O245,1)="⚠"),"项目编号不存在",IF(AND($M245="是",$F245=""),"工程回款必须填往来单位","√")))))))</f>
        <v/>
      </c>
      <c r="O245" s="16" t="str">
        <f aca="false">IF($D245="","",IFERROR(INDEX(对照清单!$B$5:$B$60,MATCH($D245,对照清单!$A$5:$A$60,0)),"⚠编号不存在"))</f>
        <v/>
      </c>
      <c r="P245" s="10" t="str">
        <f aca="false">IF($B245="","",IF(ISNUMBER($B245),TEXT($B245,"yyyy-mm"),"日期非法"))</f>
        <v/>
      </c>
      <c r="Q245" s="10" t="str">
        <f aca="false">IF($B245="","",IF(ISNUMBER($B245),YEAR($B245),"日期非法"))</f>
        <v/>
      </c>
    </row>
    <row r="246" customFormat="false" ht="15.75" hidden="false" customHeight="true" outlineLevel="0" collapsed="false">
      <c r="A246" s="10" t="str">
        <f aca="false">IF($B246="","",ROW()-4)</f>
        <v/>
      </c>
      <c r="B246" s="11"/>
      <c r="C246" s="12"/>
      <c r="D246" s="12"/>
      <c r="E246" s="12"/>
      <c r="F246" s="12"/>
      <c r="G246" s="12"/>
      <c r="H246" s="13"/>
      <c r="I246" s="4"/>
      <c r="J246" s="4"/>
      <c r="K246" s="14" t="str">
        <f aca="false">IF($B246="","",IF($C246="泓普",$C$2,IF($C246="仟茂",$E$2,IF($C246="现金",$G$2,0)))+SUMIFS($I$5:$I246,$C$5:$C246,$C246)-SUMIFS($J$5:$J246,$C$5:$C246,$C246))</f>
        <v/>
      </c>
      <c r="L246" s="14" t="str">
        <f aca="false">IF($B246="","",$C$2+$E$2+$G$2+SUM($I$5:$I246)-SUM($J$5:$J246))</f>
        <v/>
      </c>
      <c r="M246" s="12"/>
      <c r="N246" s="15" t="str">
        <f aca="false">IF($B246="","",IF(NOT(ISNUMBER($B246)),"日期格式不对",IF($C246="","未选资金账户",IF(AND(N($I246)=0,N($J246)=0),"收支都为空",IF(AND(N($I246)&gt;0,N($J246)&gt;0),"收支不能同时填",IF(AND($D246&lt;&gt;"",LEFT($O246,1)="⚠"),"项目编号不存在",IF(AND($M246="是",$F246=""),"工程回款必须填往来单位","√")))))))</f>
        <v/>
      </c>
      <c r="O246" s="16" t="str">
        <f aca="false">IF($D246="","",IFERROR(INDEX(对照清单!$B$5:$B$60,MATCH($D246,对照清单!$A$5:$A$60,0)),"⚠编号不存在"))</f>
        <v/>
      </c>
      <c r="P246" s="10" t="str">
        <f aca="false">IF($B246="","",IF(ISNUMBER($B246),TEXT($B246,"yyyy-mm"),"日期非法"))</f>
        <v/>
      </c>
      <c r="Q246" s="10" t="str">
        <f aca="false">IF($B246="","",IF(ISNUMBER($B246),YEAR($B246),"日期非法"))</f>
        <v/>
      </c>
    </row>
    <row r="247" customFormat="false" ht="15.75" hidden="false" customHeight="true" outlineLevel="0" collapsed="false">
      <c r="A247" s="10" t="str">
        <f aca="false">IF($B247="","",ROW()-4)</f>
        <v/>
      </c>
      <c r="B247" s="11"/>
      <c r="C247" s="12"/>
      <c r="D247" s="12"/>
      <c r="E247" s="12"/>
      <c r="F247" s="12"/>
      <c r="G247" s="12"/>
      <c r="H247" s="13"/>
      <c r="I247" s="4"/>
      <c r="J247" s="4"/>
      <c r="K247" s="14" t="str">
        <f aca="false">IF($B247="","",IF($C247="泓普",$C$2,IF($C247="仟茂",$E$2,IF($C247="现金",$G$2,0)))+SUMIFS($I$5:$I247,$C$5:$C247,$C247)-SUMIFS($J$5:$J247,$C$5:$C247,$C247))</f>
        <v/>
      </c>
      <c r="L247" s="14" t="str">
        <f aca="false">IF($B247="","",$C$2+$E$2+$G$2+SUM($I$5:$I247)-SUM($J$5:$J247))</f>
        <v/>
      </c>
      <c r="M247" s="12"/>
      <c r="N247" s="15" t="str">
        <f aca="false">IF($B247="","",IF(NOT(ISNUMBER($B247)),"日期格式不对",IF($C247="","未选资金账户",IF(AND(N($I247)=0,N($J247)=0),"收支都为空",IF(AND(N($I247)&gt;0,N($J247)&gt;0),"收支不能同时填",IF(AND($D247&lt;&gt;"",LEFT($O247,1)="⚠"),"项目编号不存在",IF(AND($M247="是",$F247=""),"工程回款必须填往来单位","√")))))))</f>
        <v/>
      </c>
      <c r="O247" s="16" t="str">
        <f aca="false">IF($D247="","",IFERROR(INDEX(对照清单!$B$5:$B$60,MATCH($D247,对照清单!$A$5:$A$60,0)),"⚠编号不存在"))</f>
        <v/>
      </c>
      <c r="P247" s="10" t="str">
        <f aca="false">IF($B247="","",IF(ISNUMBER($B247),TEXT($B247,"yyyy-mm"),"日期非法"))</f>
        <v/>
      </c>
      <c r="Q247" s="10" t="str">
        <f aca="false">IF($B247="","",IF(ISNUMBER($B247),YEAR($B247),"日期非法"))</f>
        <v/>
      </c>
    </row>
    <row r="248" customFormat="false" ht="15.75" hidden="false" customHeight="true" outlineLevel="0" collapsed="false">
      <c r="A248" s="10" t="str">
        <f aca="false">IF($B248="","",ROW()-4)</f>
        <v/>
      </c>
      <c r="B248" s="11"/>
      <c r="C248" s="12"/>
      <c r="D248" s="12"/>
      <c r="E248" s="12"/>
      <c r="F248" s="12"/>
      <c r="G248" s="12"/>
      <c r="H248" s="13"/>
      <c r="I248" s="4"/>
      <c r="J248" s="4"/>
      <c r="K248" s="14" t="str">
        <f aca="false">IF($B248="","",IF($C248="泓普",$C$2,IF($C248="仟茂",$E$2,IF($C248="现金",$G$2,0)))+SUMIFS($I$5:$I248,$C$5:$C248,$C248)-SUMIFS($J$5:$J248,$C$5:$C248,$C248))</f>
        <v/>
      </c>
      <c r="L248" s="14" t="str">
        <f aca="false">IF($B248="","",$C$2+$E$2+$G$2+SUM($I$5:$I248)-SUM($J$5:$J248))</f>
        <v/>
      </c>
      <c r="M248" s="12"/>
      <c r="N248" s="15" t="str">
        <f aca="false">IF($B248="","",IF(NOT(ISNUMBER($B248)),"日期格式不对",IF($C248="","未选资金账户",IF(AND(N($I248)=0,N($J248)=0),"收支都为空",IF(AND(N($I248)&gt;0,N($J248)&gt;0),"收支不能同时填",IF(AND($D248&lt;&gt;"",LEFT($O248,1)="⚠"),"项目编号不存在",IF(AND($M248="是",$F248=""),"工程回款必须填往来单位","√")))))))</f>
        <v/>
      </c>
      <c r="O248" s="16" t="str">
        <f aca="false">IF($D248="","",IFERROR(INDEX(对照清单!$B$5:$B$60,MATCH($D248,对照清单!$A$5:$A$60,0)),"⚠编号不存在"))</f>
        <v/>
      </c>
      <c r="P248" s="10" t="str">
        <f aca="false">IF($B248="","",IF(ISNUMBER($B248),TEXT($B248,"yyyy-mm"),"日期非法"))</f>
        <v/>
      </c>
      <c r="Q248" s="10" t="str">
        <f aca="false">IF($B248="","",IF(ISNUMBER($B248),YEAR($B248),"日期非法"))</f>
        <v/>
      </c>
    </row>
    <row r="249" customFormat="false" ht="15.75" hidden="false" customHeight="true" outlineLevel="0" collapsed="false">
      <c r="A249" s="10" t="str">
        <f aca="false">IF($B249="","",ROW()-4)</f>
        <v/>
      </c>
      <c r="B249" s="11"/>
      <c r="C249" s="12"/>
      <c r="D249" s="12"/>
      <c r="E249" s="12"/>
      <c r="F249" s="12"/>
      <c r="G249" s="12"/>
      <c r="H249" s="13"/>
      <c r="I249" s="4"/>
      <c r="J249" s="4"/>
      <c r="K249" s="14" t="str">
        <f aca="false">IF($B249="","",IF($C249="泓普",$C$2,IF($C249="仟茂",$E$2,IF($C249="现金",$G$2,0)))+SUMIFS($I$5:$I249,$C$5:$C249,$C249)-SUMIFS($J$5:$J249,$C$5:$C249,$C249))</f>
        <v/>
      </c>
      <c r="L249" s="14" t="str">
        <f aca="false">IF($B249="","",$C$2+$E$2+$G$2+SUM($I$5:$I249)-SUM($J$5:$J249))</f>
        <v/>
      </c>
      <c r="M249" s="12"/>
      <c r="N249" s="15" t="str">
        <f aca="false">IF($B249="","",IF(NOT(ISNUMBER($B249)),"日期格式不对",IF($C249="","未选资金账户",IF(AND(N($I249)=0,N($J249)=0),"收支都为空",IF(AND(N($I249)&gt;0,N($J249)&gt;0),"收支不能同时填",IF(AND($D249&lt;&gt;"",LEFT($O249,1)="⚠"),"项目编号不存在",IF(AND($M249="是",$F249=""),"工程回款必须填往来单位","√")))))))</f>
        <v/>
      </c>
      <c r="O249" s="16" t="str">
        <f aca="false">IF($D249="","",IFERROR(INDEX(对照清单!$B$5:$B$60,MATCH($D249,对照清单!$A$5:$A$60,0)),"⚠编号不存在"))</f>
        <v/>
      </c>
      <c r="P249" s="10" t="str">
        <f aca="false">IF($B249="","",IF(ISNUMBER($B249),TEXT($B249,"yyyy-mm"),"日期非法"))</f>
        <v/>
      </c>
      <c r="Q249" s="10" t="str">
        <f aca="false">IF($B249="","",IF(ISNUMBER($B249),YEAR($B249),"日期非法"))</f>
        <v/>
      </c>
    </row>
    <row r="250" customFormat="false" ht="15.75" hidden="false" customHeight="true" outlineLevel="0" collapsed="false">
      <c r="A250" s="10" t="str">
        <f aca="false">IF($B250="","",ROW()-4)</f>
        <v/>
      </c>
      <c r="B250" s="11"/>
      <c r="C250" s="12"/>
      <c r="D250" s="12"/>
      <c r="E250" s="12"/>
      <c r="F250" s="12"/>
      <c r="G250" s="12"/>
      <c r="H250" s="13"/>
      <c r="I250" s="4"/>
      <c r="J250" s="4"/>
      <c r="K250" s="14" t="str">
        <f aca="false">IF($B250="","",IF($C250="泓普",$C$2,IF($C250="仟茂",$E$2,IF($C250="现金",$G$2,0)))+SUMIFS($I$5:$I250,$C$5:$C250,$C250)-SUMIFS($J$5:$J250,$C$5:$C250,$C250))</f>
        <v/>
      </c>
      <c r="L250" s="14" t="str">
        <f aca="false">IF($B250="","",$C$2+$E$2+$G$2+SUM($I$5:$I250)-SUM($J$5:$J250))</f>
        <v/>
      </c>
      <c r="M250" s="12"/>
      <c r="N250" s="15" t="str">
        <f aca="false">IF($B250="","",IF(NOT(ISNUMBER($B250)),"日期格式不对",IF($C250="","未选资金账户",IF(AND(N($I250)=0,N($J250)=0),"收支都为空",IF(AND(N($I250)&gt;0,N($J250)&gt;0),"收支不能同时填",IF(AND($D250&lt;&gt;"",LEFT($O250,1)="⚠"),"项目编号不存在",IF(AND($M250="是",$F250=""),"工程回款必须填往来单位","√")))))))</f>
        <v/>
      </c>
      <c r="O250" s="16" t="str">
        <f aca="false">IF($D250="","",IFERROR(INDEX(对照清单!$B$5:$B$60,MATCH($D250,对照清单!$A$5:$A$60,0)),"⚠编号不存在"))</f>
        <v/>
      </c>
      <c r="P250" s="10" t="str">
        <f aca="false">IF($B250="","",IF(ISNUMBER($B250),TEXT($B250,"yyyy-mm"),"日期非法"))</f>
        <v/>
      </c>
      <c r="Q250" s="10" t="str">
        <f aca="false">IF($B250="","",IF(ISNUMBER($B250),YEAR($B250),"日期非法"))</f>
        <v/>
      </c>
    </row>
    <row r="251" customFormat="false" ht="15.75" hidden="false" customHeight="true" outlineLevel="0" collapsed="false">
      <c r="A251" s="10" t="str">
        <f aca="false">IF($B251="","",ROW()-4)</f>
        <v/>
      </c>
      <c r="B251" s="11"/>
      <c r="C251" s="12"/>
      <c r="D251" s="12"/>
      <c r="E251" s="12"/>
      <c r="F251" s="12"/>
      <c r="G251" s="12"/>
      <c r="H251" s="13"/>
      <c r="I251" s="4"/>
      <c r="J251" s="4"/>
      <c r="K251" s="14" t="str">
        <f aca="false">IF($B251="","",IF($C251="泓普",$C$2,IF($C251="仟茂",$E$2,IF($C251="现金",$G$2,0)))+SUMIFS($I$5:$I251,$C$5:$C251,$C251)-SUMIFS($J$5:$J251,$C$5:$C251,$C251))</f>
        <v/>
      </c>
      <c r="L251" s="14" t="str">
        <f aca="false">IF($B251="","",$C$2+$E$2+$G$2+SUM($I$5:$I251)-SUM($J$5:$J251))</f>
        <v/>
      </c>
      <c r="M251" s="12"/>
      <c r="N251" s="15" t="str">
        <f aca="false">IF($B251="","",IF(NOT(ISNUMBER($B251)),"日期格式不对",IF($C251="","未选资金账户",IF(AND(N($I251)=0,N($J251)=0),"收支都为空",IF(AND(N($I251)&gt;0,N($J251)&gt;0),"收支不能同时填",IF(AND($D251&lt;&gt;"",LEFT($O251,1)="⚠"),"项目编号不存在",IF(AND($M251="是",$F251=""),"工程回款必须填往来单位","√")))))))</f>
        <v/>
      </c>
      <c r="O251" s="16" t="str">
        <f aca="false">IF($D251="","",IFERROR(INDEX(对照清单!$B$5:$B$60,MATCH($D251,对照清单!$A$5:$A$60,0)),"⚠编号不存在"))</f>
        <v/>
      </c>
      <c r="P251" s="10" t="str">
        <f aca="false">IF($B251="","",IF(ISNUMBER($B251),TEXT($B251,"yyyy-mm"),"日期非法"))</f>
        <v/>
      </c>
      <c r="Q251" s="10" t="str">
        <f aca="false">IF($B251="","",IF(ISNUMBER($B251),YEAR($B251),"日期非法"))</f>
        <v/>
      </c>
    </row>
    <row r="252" customFormat="false" ht="15.75" hidden="false" customHeight="true" outlineLevel="0" collapsed="false">
      <c r="A252" s="10" t="str">
        <f aca="false">IF($B252="","",ROW()-4)</f>
        <v/>
      </c>
      <c r="B252" s="11"/>
      <c r="C252" s="12"/>
      <c r="D252" s="12"/>
      <c r="E252" s="12"/>
      <c r="F252" s="12"/>
      <c r="G252" s="12"/>
      <c r="H252" s="13"/>
      <c r="I252" s="4"/>
      <c r="J252" s="4"/>
      <c r="K252" s="14" t="str">
        <f aca="false">IF($B252="","",IF($C252="泓普",$C$2,IF($C252="仟茂",$E$2,IF($C252="现金",$G$2,0)))+SUMIFS($I$5:$I252,$C$5:$C252,$C252)-SUMIFS($J$5:$J252,$C$5:$C252,$C252))</f>
        <v/>
      </c>
      <c r="L252" s="14" t="str">
        <f aca="false">IF($B252="","",$C$2+$E$2+$G$2+SUM($I$5:$I252)-SUM($J$5:$J252))</f>
        <v/>
      </c>
      <c r="M252" s="12"/>
      <c r="N252" s="15" t="str">
        <f aca="false">IF($B252="","",IF(NOT(ISNUMBER($B252)),"日期格式不对",IF($C252="","未选资金账户",IF(AND(N($I252)=0,N($J252)=0),"收支都为空",IF(AND(N($I252)&gt;0,N($J252)&gt;0),"收支不能同时填",IF(AND($D252&lt;&gt;"",LEFT($O252,1)="⚠"),"项目编号不存在",IF(AND($M252="是",$F252=""),"工程回款必须填往来单位","√")))))))</f>
        <v/>
      </c>
      <c r="O252" s="16" t="str">
        <f aca="false">IF($D252="","",IFERROR(INDEX(对照清单!$B$5:$B$60,MATCH($D252,对照清单!$A$5:$A$60,0)),"⚠编号不存在"))</f>
        <v/>
      </c>
      <c r="P252" s="10" t="str">
        <f aca="false">IF($B252="","",IF(ISNUMBER($B252),TEXT($B252,"yyyy-mm"),"日期非法"))</f>
        <v/>
      </c>
      <c r="Q252" s="10" t="str">
        <f aca="false">IF($B252="","",IF(ISNUMBER($B252),YEAR($B252),"日期非法"))</f>
        <v/>
      </c>
    </row>
    <row r="253" customFormat="false" ht="15.75" hidden="false" customHeight="true" outlineLevel="0" collapsed="false">
      <c r="A253" s="10" t="str">
        <f aca="false">IF($B253="","",ROW()-4)</f>
        <v/>
      </c>
      <c r="B253" s="11"/>
      <c r="C253" s="12"/>
      <c r="D253" s="12"/>
      <c r="E253" s="12"/>
      <c r="F253" s="12"/>
      <c r="G253" s="12"/>
      <c r="H253" s="13"/>
      <c r="I253" s="4"/>
      <c r="J253" s="4"/>
      <c r="K253" s="14" t="str">
        <f aca="false">IF($B253="","",IF($C253="泓普",$C$2,IF($C253="仟茂",$E$2,IF($C253="现金",$G$2,0)))+SUMIFS($I$5:$I253,$C$5:$C253,$C253)-SUMIFS($J$5:$J253,$C$5:$C253,$C253))</f>
        <v/>
      </c>
      <c r="L253" s="14" t="str">
        <f aca="false">IF($B253="","",$C$2+$E$2+$G$2+SUM($I$5:$I253)-SUM($J$5:$J253))</f>
        <v/>
      </c>
      <c r="M253" s="12"/>
      <c r="N253" s="15" t="str">
        <f aca="false">IF($B253="","",IF(NOT(ISNUMBER($B253)),"日期格式不对",IF($C253="","未选资金账户",IF(AND(N($I253)=0,N($J253)=0),"收支都为空",IF(AND(N($I253)&gt;0,N($J253)&gt;0),"收支不能同时填",IF(AND($D253&lt;&gt;"",LEFT($O253,1)="⚠"),"项目编号不存在",IF(AND($M253="是",$F253=""),"工程回款必须填往来单位","√")))))))</f>
        <v/>
      </c>
      <c r="O253" s="16" t="str">
        <f aca="false">IF($D253="","",IFERROR(INDEX(对照清单!$B$5:$B$60,MATCH($D253,对照清单!$A$5:$A$60,0)),"⚠编号不存在"))</f>
        <v/>
      </c>
      <c r="P253" s="10" t="str">
        <f aca="false">IF($B253="","",IF(ISNUMBER($B253),TEXT($B253,"yyyy-mm"),"日期非法"))</f>
        <v/>
      </c>
      <c r="Q253" s="10" t="str">
        <f aca="false">IF($B253="","",IF(ISNUMBER($B253),YEAR($B253),"日期非法"))</f>
        <v/>
      </c>
    </row>
    <row r="254" customFormat="false" ht="15.75" hidden="false" customHeight="true" outlineLevel="0" collapsed="false">
      <c r="A254" s="10" t="str">
        <f aca="false">IF($B254="","",ROW()-4)</f>
        <v/>
      </c>
      <c r="B254" s="11"/>
      <c r="C254" s="12"/>
      <c r="D254" s="12"/>
      <c r="E254" s="12"/>
      <c r="F254" s="12"/>
      <c r="G254" s="12"/>
      <c r="H254" s="13"/>
      <c r="I254" s="4"/>
      <c r="J254" s="4"/>
      <c r="K254" s="14" t="str">
        <f aca="false">IF($B254="","",IF($C254="泓普",$C$2,IF($C254="仟茂",$E$2,IF($C254="现金",$G$2,0)))+SUMIFS($I$5:$I254,$C$5:$C254,$C254)-SUMIFS($J$5:$J254,$C$5:$C254,$C254))</f>
        <v/>
      </c>
      <c r="L254" s="14" t="str">
        <f aca="false">IF($B254="","",$C$2+$E$2+$G$2+SUM($I$5:$I254)-SUM($J$5:$J254))</f>
        <v/>
      </c>
      <c r="M254" s="12"/>
      <c r="N254" s="15" t="str">
        <f aca="false">IF($B254="","",IF(NOT(ISNUMBER($B254)),"日期格式不对",IF($C254="","未选资金账户",IF(AND(N($I254)=0,N($J254)=0),"收支都为空",IF(AND(N($I254)&gt;0,N($J254)&gt;0),"收支不能同时填",IF(AND($D254&lt;&gt;"",LEFT($O254,1)="⚠"),"项目编号不存在",IF(AND($M254="是",$F254=""),"工程回款必须填往来单位","√")))))))</f>
        <v/>
      </c>
      <c r="O254" s="16" t="str">
        <f aca="false">IF($D254="","",IFERROR(INDEX(对照清单!$B$5:$B$60,MATCH($D254,对照清单!$A$5:$A$60,0)),"⚠编号不存在"))</f>
        <v/>
      </c>
      <c r="P254" s="10" t="str">
        <f aca="false">IF($B254="","",IF(ISNUMBER($B254),TEXT($B254,"yyyy-mm"),"日期非法"))</f>
        <v/>
      </c>
      <c r="Q254" s="10" t="str">
        <f aca="false">IF($B254="","",IF(ISNUMBER($B254),YEAR($B254),"日期非法"))</f>
        <v/>
      </c>
    </row>
    <row r="255" customFormat="false" ht="15.75" hidden="false" customHeight="true" outlineLevel="0" collapsed="false">
      <c r="A255" s="10" t="str">
        <f aca="false">IF($B255="","",ROW()-4)</f>
        <v/>
      </c>
      <c r="B255" s="11"/>
      <c r="C255" s="12"/>
      <c r="D255" s="12"/>
      <c r="E255" s="12"/>
      <c r="F255" s="12"/>
      <c r="G255" s="12"/>
      <c r="H255" s="13"/>
      <c r="I255" s="4"/>
      <c r="J255" s="4"/>
      <c r="K255" s="14" t="str">
        <f aca="false">IF($B255="","",IF($C255="泓普",$C$2,IF($C255="仟茂",$E$2,IF($C255="现金",$G$2,0)))+SUMIFS($I$5:$I255,$C$5:$C255,$C255)-SUMIFS($J$5:$J255,$C$5:$C255,$C255))</f>
        <v/>
      </c>
      <c r="L255" s="14" t="str">
        <f aca="false">IF($B255="","",$C$2+$E$2+$G$2+SUM($I$5:$I255)-SUM($J$5:$J255))</f>
        <v/>
      </c>
      <c r="M255" s="12"/>
      <c r="N255" s="15" t="str">
        <f aca="false">IF($B255="","",IF(NOT(ISNUMBER($B255)),"日期格式不对",IF($C255="","未选资金账户",IF(AND(N($I255)=0,N($J255)=0),"收支都为空",IF(AND(N($I255)&gt;0,N($J255)&gt;0),"收支不能同时填",IF(AND($D255&lt;&gt;"",LEFT($O255,1)="⚠"),"项目编号不存在",IF(AND($M255="是",$F255=""),"工程回款必须填往来单位","√")))))))</f>
        <v/>
      </c>
      <c r="O255" s="16" t="str">
        <f aca="false">IF($D255="","",IFERROR(INDEX(对照清单!$B$5:$B$60,MATCH($D255,对照清单!$A$5:$A$60,0)),"⚠编号不存在"))</f>
        <v/>
      </c>
      <c r="P255" s="10" t="str">
        <f aca="false">IF($B255="","",IF(ISNUMBER($B255),TEXT($B255,"yyyy-mm"),"日期非法"))</f>
        <v/>
      </c>
      <c r="Q255" s="10" t="str">
        <f aca="false">IF($B255="","",IF(ISNUMBER($B255),YEAR($B255),"日期非法"))</f>
        <v/>
      </c>
    </row>
    <row r="256" customFormat="false" ht="15.75" hidden="false" customHeight="true" outlineLevel="0" collapsed="false">
      <c r="A256" s="10" t="str">
        <f aca="false">IF($B256="","",ROW()-4)</f>
        <v/>
      </c>
      <c r="B256" s="11"/>
      <c r="C256" s="12"/>
      <c r="D256" s="12"/>
      <c r="E256" s="12"/>
      <c r="F256" s="12"/>
      <c r="G256" s="12"/>
      <c r="H256" s="13"/>
      <c r="I256" s="4"/>
      <c r="J256" s="4"/>
      <c r="K256" s="14" t="str">
        <f aca="false">IF($B256="","",IF($C256="泓普",$C$2,IF($C256="仟茂",$E$2,IF($C256="现金",$G$2,0)))+SUMIFS($I$5:$I256,$C$5:$C256,$C256)-SUMIFS($J$5:$J256,$C$5:$C256,$C256))</f>
        <v/>
      </c>
      <c r="L256" s="14" t="str">
        <f aca="false">IF($B256="","",$C$2+$E$2+$G$2+SUM($I$5:$I256)-SUM($J$5:$J256))</f>
        <v/>
      </c>
      <c r="M256" s="12"/>
      <c r="N256" s="15" t="str">
        <f aca="false">IF($B256="","",IF(NOT(ISNUMBER($B256)),"日期格式不对",IF($C256="","未选资金账户",IF(AND(N($I256)=0,N($J256)=0),"收支都为空",IF(AND(N($I256)&gt;0,N($J256)&gt;0),"收支不能同时填",IF(AND($D256&lt;&gt;"",LEFT($O256,1)="⚠"),"项目编号不存在",IF(AND($M256="是",$F256=""),"工程回款必须填往来单位","√")))))))</f>
        <v/>
      </c>
      <c r="O256" s="16" t="str">
        <f aca="false">IF($D256="","",IFERROR(INDEX(对照清单!$B$5:$B$60,MATCH($D256,对照清单!$A$5:$A$60,0)),"⚠编号不存在"))</f>
        <v/>
      </c>
      <c r="P256" s="10" t="str">
        <f aca="false">IF($B256="","",IF(ISNUMBER($B256),TEXT($B256,"yyyy-mm"),"日期非法"))</f>
        <v/>
      </c>
      <c r="Q256" s="10" t="str">
        <f aca="false">IF($B256="","",IF(ISNUMBER($B256),YEAR($B256),"日期非法"))</f>
        <v/>
      </c>
    </row>
    <row r="257" customFormat="false" ht="15.75" hidden="false" customHeight="true" outlineLevel="0" collapsed="false">
      <c r="A257" s="10" t="str">
        <f aca="false">IF($B257="","",ROW()-4)</f>
        <v/>
      </c>
      <c r="B257" s="11"/>
      <c r="C257" s="12"/>
      <c r="D257" s="12"/>
      <c r="E257" s="12"/>
      <c r="F257" s="12"/>
      <c r="G257" s="12"/>
      <c r="H257" s="13"/>
      <c r="I257" s="4"/>
      <c r="J257" s="4"/>
      <c r="K257" s="14" t="str">
        <f aca="false">IF($B257="","",IF($C257="泓普",$C$2,IF($C257="仟茂",$E$2,IF($C257="现金",$G$2,0)))+SUMIFS($I$5:$I257,$C$5:$C257,$C257)-SUMIFS($J$5:$J257,$C$5:$C257,$C257))</f>
        <v/>
      </c>
      <c r="L257" s="14" t="str">
        <f aca="false">IF($B257="","",$C$2+$E$2+$G$2+SUM($I$5:$I257)-SUM($J$5:$J257))</f>
        <v/>
      </c>
      <c r="M257" s="12"/>
      <c r="N257" s="15" t="str">
        <f aca="false">IF($B257="","",IF(NOT(ISNUMBER($B257)),"日期格式不对",IF($C257="","未选资金账户",IF(AND(N($I257)=0,N($J257)=0),"收支都为空",IF(AND(N($I257)&gt;0,N($J257)&gt;0),"收支不能同时填",IF(AND($D257&lt;&gt;"",LEFT($O257,1)="⚠"),"项目编号不存在",IF(AND($M257="是",$F257=""),"工程回款必须填往来单位","√")))))))</f>
        <v/>
      </c>
      <c r="O257" s="16" t="str">
        <f aca="false">IF($D257="","",IFERROR(INDEX(对照清单!$B$5:$B$60,MATCH($D257,对照清单!$A$5:$A$60,0)),"⚠编号不存在"))</f>
        <v/>
      </c>
      <c r="P257" s="10" t="str">
        <f aca="false">IF($B257="","",IF(ISNUMBER($B257),TEXT($B257,"yyyy-mm"),"日期非法"))</f>
        <v/>
      </c>
      <c r="Q257" s="10" t="str">
        <f aca="false">IF($B257="","",IF(ISNUMBER($B257),YEAR($B257),"日期非法"))</f>
        <v/>
      </c>
    </row>
    <row r="258" customFormat="false" ht="15.75" hidden="false" customHeight="true" outlineLevel="0" collapsed="false">
      <c r="A258" s="10" t="str">
        <f aca="false">IF($B258="","",ROW()-4)</f>
        <v/>
      </c>
      <c r="B258" s="11"/>
      <c r="C258" s="12"/>
      <c r="D258" s="12"/>
      <c r="E258" s="12"/>
      <c r="F258" s="12"/>
      <c r="G258" s="12"/>
      <c r="H258" s="13"/>
      <c r="I258" s="4"/>
      <c r="J258" s="4"/>
      <c r="K258" s="14" t="str">
        <f aca="false">IF($B258="","",IF($C258="泓普",$C$2,IF($C258="仟茂",$E$2,IF($C258="现金",$G$2,0)))+SUMIFS($I$5:$I258,$C$5:$C258,$C258)-SUMIFS($J$5:$J258,$C$5:$C258,$C258))</f>
        <v/>
      </c>
      <c r="L258" s="14" t="str">
        <f aca="false">IF($B258="","",$C$2+$E$2+$G$2+SUM($I$5:$I258)-SUM($J$5:$J258))</f>
        <v/>
      </c>
      <c r="M258" s="12"/>
      <c r="N258" s="15" t="str">
        <f aca="false">IF($B258="","",IF(NOT(ISNUMBER($B258)),"日期格式不对",IF($C258="","未选资金账户",IF(AND(N($I258)=0,N($J258)=0),"收支都为空",IF(AND(N($I258)&gt;0,N($J258)&gt;0),"收支不能同时填",IF(AND($D258&lt;&gt;"",LEFT($O258,1)="⚠"),"项目编号不存在",IF(AND($M258="是",$F258=""),"工程回款必须填往来单位","√")))))))</f>
        <v/>
      </c>
      <c r="O258" s="16" t="str">
        <f aca="false">IF($D258="","",IFERROR(INDEX(对照清单!$B$5:$B$60,MATCH($D258,对照清单!$A$5:$A$60,0)),"⚠编号不存在"))</f>
        <v/>
      </c>
      <c r="P258" s="10" t="str">
        <f aca="false">IF($B258="","",IF(ISNUMBER($B258),TEXT($B258,"yyyy-mm"),"日期非法"))</f>
        <v/>
      </c>
      <c r="Q258" s="10" t="str">
        <f aca="false">IF($B258="","",IF(ISNUMBER($B258),YEAR($B258),"日期非法"))</f>
        <v/>
      </c>
    </row>
    <row r="259" customFormat="false" ht="15.75" hidden="false" customHeight="true" outlineLevel="0" collapsed="false">
      <c r="A259" s="10" t="str">
        <f aca="false">IF($B259="","",ROW()-4)</f>
        <v/>
      </c>
      <c r="B259" s="11"/>
      <c r="C259" s="12"/>
      <c r="D259" s="12"/>
      <c r="E259" s="12"/>
      <c r="F259" s="12"/>
      <c r="G259" s="12"/>
      <c r="H259" s="13"/>
      <c r="I259" s="4"/>
      <c r="J259" s="4"/>
      <c r="K259" s="14" t="str">
        <f aca="false">IF($B259="","",IF($C259="泓普",$C$2,IF($C259="仟茂",$E$2,IF($C259="现金",$G$2,0)))+SUMIFS($I$5:$I259,$C$5:$C259,$C259)-SUMIFS($J$5:$J259,$C$5:$C259,$C259))</f>
        <v/>
      </c>
      <c r="L259" s="14" t="str">
        <f aca="false">IF($B259="","",$C$2+$E$2+$G$2+SUM($I$5:$I259)-SUM($J$5:$J259))</f>
        <v/>
      </c>
      <c r="M259" s="12"/>
      <c r="N259" s="15" t="str">
        <f aca="false">IF($B259="","",IF(NOT(ISNUMBER($B259)),"日期格式不对",IF($C259="","未选资金账户",IF(AND(N($I259)=0,N($J259)=0),"收支都为空",IF(AND(N($I259)&gt;0,N($J259)&gt;0),"收支不能同时填",IF(AND($D259&lt;&gt;"",LEFT($O259,1)="⚠"),"项目编号不存在",IF(AND($M259="是",$F259=""),"工程回款必须填往来单位","√")))))))</f>
        <v/>
      </c>
      <c r="O259" s="16" t="str">
        <f aca="false">IF($D259="","",IFERROR(INDEX(对照清单!$B$5:$B$60,MATCH($D259,对照清单!$A$5:$A$60,0)),"⚠编号不存在"))</f>
        <v/>
      </c>
      <c r="P259" s="10" t="str">
        <f aca="false">IF($B259="","",IF(ISNUMBER($B259),TEXT($B259,"yyyy-mm"),"日期非法"))</f>
        <v/>
      </c>
      <c r="Q259" s="10" t="str">
        <f aca="false">IF($B259="","",IF(ISNUMBER($B259),YEAR($B259),"日期非法"))</f>
        <v/>
      </c>
    </row>
    <row r="260" customFormat="false" ht="15.75" hidden="false" customHeight="true" outlineLevel="0" collapsed="false">
      <c r="A260" s="10" t="str">
        <f aca="false">IF($B260="","",ROW()-4)</f>
        <v/>
      </c>
      <c r="B260" s="11"/>
      <c r="C260" s="12"/>
      <c r="D260" s="12"/>
      <c r="E260" s="12"/>
      <c r="F260" s="12"/>
      <c r="G260" s="12"/>
      <c r="H260" s="13"/>
      <c r="I260" s="4"/>
      <c r="J260" s="4"/>
      <c r="K260" s="14" t="str">
        <f aca="false">IF($B260="","",IF($C260="泓普",$C$2,IF($C260="仟茂",$E$2,IF($C260="现金",$G$2,0)))+SUMIFS($I$5:$I260,$C$5:$C260,$C260)-SUMIFS($J$5:$J260,$C$5:$C260,$C260))</f>
        <v/>
      </c>
      <c r="L260" s="14" t="str">
        <f aca="false">IF($B260="","",$C$2+$E$2+$G$2+SUM($I$5:$I260)-SUM($J$5:$J260))</f>
        <v/>
      </c>
      <c r="M260" s="12"/>
      <c r="N260" s="15" t="str">
        <f aca="false">IF($B260="","",IF(NOT(ISNUMBER($B260)),"日期格式不对",IF($C260="","未选资金账户",IF(AND(N($I260)=0,N($J260)=0),"收支都为空",IF(AND(N($I260)&gt;0,N($J260)&gt;0),"收支不能同时填",IF(AND($D260&lt;&gt;"",LEFT($O260,1)="⚠"),"项目编号不存在",IF(AND($M260="是",$F260=""),"工程回款必须填往来单位","√")))))))</f>
        <v/>
      </c>
      <c r="O260" s="16" t="str">
        <f aca="false">IF($D260="","",IFERROR(INDEX(对照清单!$B$5:$B$60,MATCH($D260,对照清单!$A$5:$A$60,0)),"⚠编号不存在"))</f>
        <v/>
      </c>
      <c r="P260" s="10" t="str">
        <f aca="false">IF($B260="","",IF(ISNUMBER($B260),TEXT($B260,"yyyy-mm"),"日期非法"))</f>
        <v/>
      </c>
      <c r="Q260" s="10" t="str">
        <f aca="false">IF($B260="","",IF(ISNUMBER($B260),YEAR($B260),"日期非法"))</f>
        <v/>
      </c>
    </row>
    <row r="261" customFormat="false" ht="15.75" hidden="false" customHeight="true" outlineLevel="0" collapsed="false">
      <c r="A261" s="10" t="str">
        <f aca="false">IF($B261="","",ROW()-4)</f>
        <v/>
      </c>
      <c r="B261" s="11"/>
      <c r="C261" s="12"/>
      <c r="D261" s="12"/>
      <c r="E261" s="12"/>
      <c r="F261" s="12"/>
      <c r="G261" s="12"/>
      <c r="H261" s="13"/>
      <c r="I261" s="4"/>
      <c r="J261" s="4"/>
      <c r="K261" s="14" t="str">
        <f aca="false">IF($B261="","",IF($C261="泓普",$C$2,IF($C261="仟茂",$E$2,IF($C261="现金",$G$2,0)))+SUMIFS($I$5:$I261,$C$5:$C261,$C261)-SUMIFS($J$5:$J261,$C$5:$C261,$C261))</f>
        <v/>
      </c>
      <c r="L261" s="14" t="str">
        <f aca="false">IF($B261="","",$C$2+$E$2+$G$2+SUM($I$5:$I261)-SUM($J$5:$J261))</f>
        <v/>
      </c>
      <c r="M261" s="12"/>
      <c r="N261" s="15" t="str">
        <f aca="false">IF($B261="","",IF(NOT(ISNUMBER($B261)),"日期格式不对",IF($C261="","未选资金账户",IF(AND(N($I261)=0,N($J261)=0),"收支都为空",IF(AND(N($I261)&gt;0,N($J261)&gt;0),"收支不能同时填",IF(AND($D261&lt;&gt;"",LEFT($O261,1)="⚠"),"项目编号不存在",IF(AND($M261="是",$F261=""),"工程回款必须填往来单位","√")))))))</f>
        <v/>
      </c>
      <c r="O261" s="16" t="str">
        <f aca="false">IF($D261="","",IFERROR(INDEX(对照清单!$B$5:$B$60,MATCH($D261,对照清单!$A$5:$A$60,0)),"⚠编号不存在"))</f>
        <v/>
      </c>
      <c r="P261" s="10" t="str">
        <f aca="false">IF($B261="","",IF(ISNUMBER($B261),TEXT($B261,"yyyy-mm"),"日期非法"))</f>
        <v/>
      </c>
      <c r="Q261" s="10" t="str">
        <f aca="false">IF($B261="","",IF(ISNUMBER($B261),YEAR($B261),"日期非法"))</f>
        <v/>
      </c>
    </row>
    <row r="262" customFormat="false" ht="15.75" hidden="false" customHeight="true" outlineLevel="0" collapsed="false">
      <c r="A262" s="10" t="str">
        <f aca="false">IF($B262="","",ROW()-4)</f>
        <v/>
      </c>
      <c r="B262" s="11"/>
      <c r="C262" s="12"/>
      <c r="D262" s="12"/>
      <c r="E262" s="12"/>
      <c r="F262" s="12"/>
      <c r="G262" s="12"/>
      <c r="H262" s="13"/>
      <c r="I262" s="4"/>
      <c r="J262" s="4"/>
      <c r="K262" s="14" t="str">
        <f aca="false">IF($B262="","",IF($C262="泓普",$C$2,IF($C262="仟茂",$E$2,IF($C262="现金",$G$2,0)))+SUMIFS($I$5:$I262,$C$5:$C262,$C262)-SUMIFS($J$5:$J262,$C$5:$C262,$C262))</f>
        <v/>
      </c>
      <c r="L262" s="14" t="str">
        <f aca="false">IF($B262="","",$C$2+$E$2+$G$2+SUM($I$5:$I262)-SUM($J$5:$J262))</f>
        <v/>
      </c>
      <c r="M262" s="12"/>
      <c r="N262" s="15" t="str">
        <f aca="false">IF($B262="","",IF(NOT(ISNUMBER($B262)),"日期格式不对",IF($C262="","未选资金账户",IF(AND(N($I262)=0,N($J262)=0),"收支都为空",IF(AND(N($I262)&gt;0,N($J262)&gt;0),"收支不能同时填",IF(AND($D262&lt;&gt;"",LEFT($O262,1)="⚠"),"项目编号不存在",IF(AND($M262="是",$F262=""),"工程回款必须填往来单位","√")))))))</f>
        <v/>
      </c>
      <c r="O262" s="16" t="str">
        <f aca="false">IF($D262="","",IFERROR(INDEX(对照清单!$B$5:$B$60,MATCH($D262,对照清单!$A$5:$A$60,0)),"⚠编号不存在"))</f>
        <v/>
      </c>
      <c r="P262" s="10" t="str">
        <f aca="false">IF($B262="","",IF(ISNUMBER($B262),TEXT($B262,"yyyy-mm"),"日期非法"))</f>
        <v/>
      </c>
      <c r="Q262" s="10" t="str">
        <f aca="false">IF($B262="","",IF(ISNUMBER($B262),YEAR($B262),"日期非法"))</f>
        <v/>
      </c>
    </row>
    <row r="263" customFormat="false" ht="15.75" hidden="false" customHeight="true" outlineLevel="0" collapsed="false">
      <c r="A263" s="10" t="str">
        <f aca="false">IF($B263="","",ROW()-4)</f>
        <v/>
      </c>
      <c r="B263" s="11"/>
      <c r="C263" s="12"/>
      <c r="D263" s="12"/>
      <c r="E263" s="12"/>
      <c r="F263" s="12"/>
      <c r="G263" s="12"/>
      <c r="H263" s="13"/>
      <c r="I263" s="4"/>
      <c r="J263" s="4"/>
      <c r="K263" s="14" t="str">
        <f aca="false">IF($B263="","",IF($C263="泓普",$C$2,IF($C263="仟茂",$E$2,IF($C263="现金",$G$2,0)))+SUMIFS($I$5:$I263,$C$5:$C263,$C263)-SUMIFS($J$5:$J263,$C$5:$C263,$C263))</f>
        <v/>
      </c>
      <c r="L263" s="14" t="str">
        <f aca="false">IF($B263="","",$C$2+$E$2+$G$2+SUM($I$5:$I263)-SUM($J$5:$J263))</f>
        <v/>
      </c>
      <c r="M263" s="12"/>
      <c r="N263" s="15" t="str">
        <f aca="false">IF($B263="","",IF(NOT(ISNUMBER($B263)),"日期格式不对",IF($C263="","未选资金账户",IF(AND(N($I263)=0,N($J263)=0),"收支都为空",IF(AND(N($I263)&gt;0,N($J263)&gt;0),"收支不能同时填",IF(AND($D263&lt;&gt;"",LEFT($O263,1)="⚠"),"项目编号不存在",IF(AND($M263="是",$F263=""),"工程回款必须填往来单位","√")))))))</f>
        <v/>
      </c>
      <c r="O263" s="16" t="str">
        <f aca="false">IF($D263="","",IFERROR(INDEX(对照清单!$B$5:$B$60,MATCH($D263,对照清单!$A$5:$A$60,0)),"⚠编号不存在"))</f>
        <v/>
      </c>
      <c r="P263" s="10" t="str">
        <f aca="false">IF($B263="","",IF(ISNUMBER($B263),TEXT($B263,"yyyy-mm"),"日期非法"))</f>
        <v/>
      </c>
      <c r="Q263" s="10" t="str">
        <f aca="false">IF($B263="","",IF(ISNUMBER($B263),YEAR($B263),"日期非法"))</f>
        <v/>
      </c>
    </row>
    <row r="264" customFormat="false" ht="15.75" hidden="false" customHeight="true" outlineLevel="0" collapsed="false">
      <c r="A264" s="10" t="str">
        <f aca="false">IF($B264="","",ROW()-4)</f>
        <v/>
      </c>
      <c r="B264" s="11"/>
      <c r="C264" s="12"/>
      <c r="D264" s="12"/>
      <c r="E264" s="12"/>
      <c r="F264" s="12"/>
      <c r="G264" s="12"/>
      <c r="H264" s="13"/>
      <c r="I264" s="4"/>
      <c r="J264" s="4"/>
      <c r="K264" s="14" t="str">
        <f aca="false">IF($B264="","",IF($C264="泓普",$C$2,IF($C264="仟茂",$E$2,IF($C264="现金",$G$2,0)))+SUMIFS($I$5:$I264,$C$5:$C264,$C264)-SUMIFS($J$5:$J264,$C$5:$C264,$C264))</f>
        <v/>
      </c>
      <c r="L264" s="14" t="str">
        <f aca="false">IF($B264="","",$C$2+$E$2+$G$2+SUM($I$5:$I264)-SUM($J$5:$J264))</f>
        <v/>
      </c>
      <c r="M264" s="12"/>
      <c r="N264" s="15" t="str">
        <f aca="false">IF($B264="","",IF(NOT(ISNUMBER($B264)),"日期格式不对",IF($C264="","未选资金账户",IF(AND(N($I264)=0,N($J264)=0),"收支都为空",IF(AND(N($I264)&gt;0,N($J264)&gt;0),"收支不能同时填",IF(AND($D264&lt;&gt;"",LEFT($O264,1)="⚠"),"项目编号不存在",IF(AND($M264="是",$F264=""),"工程回款必须填往来单位","√")))))))</f>
        <v/>
      </c>
      <c r="O264" s="16" t="str">
        <f aca="false">IF($D264="","",IFERROR(INDEX(对照清单!$B$5:$B$60,MATCH($D264,对照清单!$A$5:$A$60,0)),"⚠编号不存在"))</f>
        <v/>
      </c>
      <c r="P264" s="10" t="str">
        <f aca="false">IF($B264="","",IF(ISNUMBER($B264),TEXT($B264,"yyyy-mm"),"日期非法"))</f>
        <v/>
      </c>
      <c r="Q264" s="10" t="str">
        <f aca="false">IF($B264="","",IF(ISNUMBER($B264),YEAR($B264),"日期非法"))</f>
        <v/>
      </c>
    </row>
    <row r="265" customFormat="false" ht="15.75" hidden="false" customHeight="true" outlineLevel="0" collapsed="false">
      <c r="A265" s="10" t="str">
        <f aca="false">IF($B265="","",ROW()-4)</f>
        <v/>
      </c>
      <c r="B265" s="11"/>
      <c r="C265" s="12"/>
      <c r="D265" s="12"/>
      <c r="E265" s="12"/>
      <c r="F265" s="12"/>
      <c r="G265" s="12"/>
      <c r="H265" s="13"/>
      <c r="I265" s="4"/>
      <c r="J265" s="4"/>
      <c r="K265" s="14" t="str">
        <f aca="false">IF($B265="","",IF($C265="泓普",$C$2,IF($C265="仟茂",$E$2,IF($C265="现金",$G$2,0)))+SUMIFS($I$5:$I265,$C$5:$C265,$C265)-SUMIFS($J$5:$J265,$C$5:$C265,$C265))</f>
        <v/>
      </c>
      <c r="L265" s="14" t="str">
        <f aca="false">IF($B265="","",$C$2+$E$2+$G$2+SUM($I$5:$I265)-SUM($J$5:$J265))</f>
        <v/>
      </c>
      <c r="M265" s="12"/>
      <c r="N265" s="15" t="str">
        <f aca="false">IF($B265="","",IF(NOT(ISNUMBER($B265)),"日期格式不对",IF($C265="","未选资金账户",IF(AND(N($I265)=0,N($J265)=0),"收支都为空",IF(AND(N($I265)&gt;0,N($J265)&gt;0),"收支不能同时填",IF(AND($D265&lt;&gt;"",LEFT($O265,1)="⚠"),"项目编号不存在",IF(AND($M265="是",$F265=""),"工程回款必须填往来单位","√")))))))</f>
        <v/>
      </c>
      <c r="O265" s="16" t="str">
        <f aca="false">IF($D265="","",IFERROR(INDEX(对照清单!$B$5:$B$60,MATCH($D265,对照清单!$A$5:$A$60,0)),"⚠编号不存在"))</f>
        <v/>
      </c>
      <c r="P265" s="10" t="str">
        <f aca="false">IF($B265="","",IF(ISNUMBER($B265),TEXT($B265,"yyyy-mm"),"日期非法"))</f>
        <v/>
      </c>
      <c r="Q265" s="10" t="str">
        <f aca="false">IF($B265="","",IF(ISNUMBER($B265),YEAR($B265),"日期非法"))</f>
        <v/>
      </c>
    </row>
    <row r="266" customFormat="false" ht="15.75" hidden="false" customHeight="true" outlineLevel="0" collapsed="false">
      <c r="A266" s="10" t="str">
        <f aca="false">IF($B266="","",ROW()-4)</f>
        <v/>
      </c>
      <c r="B266" s="11"/>
      <c r="C266" s="12"/>
      <c r="D266" s="12"/>
      <c r="E266" s="12"/>
      <c r="F266" s="12"/>
      <c r="G266" s="12"/>
      <c r="H266" s="13"/>
      <c r="I266" s="4"/>
      <c r="J266" s="4"/>
      <c r="K266" s="14" t="str">
        <f aca="false">IF($B266="","",IF($C266="泓普",$C$2,IF($C266="仟茂",$E$2,IF($C266="现金",$G$2,0)))+SUMIFS($I$5:$I266,$C$5:$C266,$C266)-SUMIFS($J$5:$J266,$C$5:$C266,$C266))</f>
        <v/>
      </c>
      <c r="L266" s="14" t="str">
        <f aca="false">IF($B266="","",$C$2+$E$2+$G$2+SUM($I$5:$I266)-SUM($J$5:$J266))</f>
        <v/>
      </c>
      <c r="M266" s="12"/>
      <c r="N266" s="15" t="str">
        <f aca="false">IF($B266="","",IF(NOT(ISNUMBER($B266)),"日期格式不对",IF($C266="","未选资金账户",IF(AND(N($I266)=0,N($J266)=0),"收支都为空",IF(AND(N($I266)&gt;0,N($J266)&gt;0),"收支不能同时填",IF(AND($D266&lt;&gt;"",LEFT($O266,1)="⚠"),"项目编号不存在",IF(AND($M266="是",$F266=""),"工程回款必须填往来单位","√")))))))</f>
        <v/>
      </c>
      <c r="O266" s="16" t="str">
        <f aca="false">IF($D266="","",IFERROR(INDEX(对照清单!$B$5:$B$60,MATCH($D266,对照清单!$A$5:$A$60,0)),"⚠编号不存在"))</f>
        <v/>
      </c>
      <c r="P266" s="10" t="str">
        <f aca="false">IF($B266="","",IF(ISNUMBER($B266),TEXT($B266,"yyyy-mm"),"日期非法"))</f>
        <v/>
      </c>
      <c r="Q266" s="10" t="str">
        <f aca="false">IF($B266="","",IF(ISNUMBER($B266),YEAR($B266),"日期非法"))</f>
        <v/>
      </c>
    </row>
    <row r="267" customFormat="false" ht="15.75" hidden="false" customHeight="true" outlineLevel="0" collapsed="false">
      <c r="A267" s="10" t="str">
        <f aca="false">IF($B267="","",ROW()-4)</f>
        <v/>
      </c>
      <c r="B267" s="11"/>
      <c r="C267" s="12"/>
      <c r="D267" s="12"/>
      <c r="E267" s="12"/>
      <c r="F267" s="12"/>
      <c r="G267" s="12"/>
      <c r="H267" s="13"/>
      <c r="I267" s="4"/>
      <c r="J267" s="4"/>
      <c r="K267" s="14" t="str">
        <f aca="false">IF($B267="","",IF($C267="泓普",$C$2,IF($C267="仟茂",$E$2,IF($C267="现金",$G$2,0)))+SUMIFS($I$5:$I267,$C$5:$C267,$C267)-SUMIFS($J$5:$J267,$C$5:$C267,$C267))</f>
        <v/>
      </c>
      <c r="L267" s="14" t="str">
        <f aca="false">IF($B267="","",$C$2+$E$2+$G$2+SUM($I$5:$I267)-SUM($J$5:$J267))</f>
        <v/>
      </c>
      <c r="M267" s="12"/>
      <c r="N267" s="15" t="str">
        <f aca="false">IF($B267="","",IF(NOT(ISNUMBER($B267)),"日期格式不对",IF($C267="","未选资金账户",IF(AND(N($I267)=0,N($J267)=0),"收支都为空",IF(AND(N($I267)&gt;0,N($J267)&gt;0),"收支不能同时填",IF(AND($D267&lt;&gt;"",LEFT($O267,1)="⚠"),"项目编号不存在",IF(AND($M267="是",$F267=""),"工程回款必须填往来单位","√")))))))</f>
        <v/>
      </c>
      <c r="O267" s="16" t="str">
        <f aca="false">IF($D267="","",IFERROR(INDEX(对照清单!$B$5:$B$60,MATCH($D267,对照清单!$A$5:$A$60,0)),"⚠编号不存在"))</f>
        <v/>
      </c>
      <c r="P267" s="10" t="str">
        <f aca="false">IF($B267="","",IF(ISNUMBER($B267),TEXT($B267,"yyyy-mm"),"日期非法"))</f>
        <v/>
      </c>
      <c r="Q267" s="10" t="str">
        <f aca="false">IF($B267="","",IF(ISNUMBER($B267),YEAR($B267),"日期非法"))</f>
        <v/>
      </c>
    </row>
    <row r="268" customFormat="false" ht="15.75" hidden="false" customHeight="true" outlineLevel="0" collapsed="false">
      <c r="A268" s="10" t="str">
        <f aca="false">IF($B268="","",ROW()-4)</f>
        <v/>
      </c>
      <c r="B268" s="11"/>
      <c r="C268" s="12"/>
      <c r="D268" s="12"/>
      <c r="E268" s="12"/>
      <c r="F268" s="12"/>
      <c r="G268" s="12"/>
      <c r="H268" s="13"/>
      <c r="I268" s="4"/>
      <c r="J268" s="4"/>
      <c r="K268" s="14" t="str">
        <f aca="false">IF($B268="","",IF($C268="泓普",$C$2,IF($C268="仟茂",$E$2,IF($C268="现金",$G$2,0)))+SUMIFS($I$5:$I268,$C$5:$C268,$C268)-SUMIFS($J$5:$J268,$C$5:$C268,$C268))</f>
        <v/>
      </c>
      <c r="L268" s="14" t="str">
        <f aca="false">IF($B268="","",$C$2+$E$2+$G$2+SUM($I$5:$I268)-SUM($J$5:$J268))</f>
        <v/>
      </c>
      <c r="M268" s="12"/>
      <c r="N268" s="15" t="str">
        <f aca="false">IF($B268="","",IF(NOT(ISNUMBER($B268)),"日期格式不对",IF($C268="","未选资金账户",IF(AND(N($I268)=0,N($J268)=0),"收支都为空",IF(AND(N($I268)&gt;0,N($J268)&gt;0),"收支不能同时填",IF(AND($D268&lt;&gt;"",LEFT($O268,1)="⚠"),"项目编号不存在",IF(AND($M268="是",$F268=""),"工程回款必须填往来单位","√")))))))</f>
        <v/>
      </c>
      <c r="O268" s="16" t="str">
        <f aca="false">IF($D268="","",IFERROR(INDEX(对照清单!$B$5:$B$60,MATCH($D268,对照清单!$A$5:$A$60,0)),"⚠编号不存在"))</f>
        <v/>
      </c>
      <c r="P268" s="10" t="str">
        <f aca="false">IF($B268="","",IF(ISNUMBER($B268),TEXT($B268,"yyyy-mm"),"日期非法"))</f>
        <v/>
      </c>
      <c r="Q268" s="10" t="str">
        <f aca="false">IF($B268="","",IF(ISNUMBER($B268),YEAR($B268),"日期非法"))</f>
        <v/>
      </c>
    </row>
    <row r="269" customFormat="false" ht="15.75" hidden="false" customHeight="true" outlineLevel="0" collapsed="false">
      <c r="A269" s="10" t="str">
        <f aca="false">IF($B269="","",ROW()-4)</f>
        <v/>
      </c>
      <c r="B269" s="11"/>
      <c r="C269" s="12"/>
      <c r="D269" s="12"/>
      <c r="E269" s="12"/>
      <c r="F269" s="12"/>
      <c r="G269" s="12"/>
      <c r="H269" s="13"/>
      <c r="I269" s="4"/>
      <c r="J269" s="4"/>
      <c r="K269" s="14" t="str">
        <f aca="false">IF($B269="","",IF($C269="泓普",$C$2,IF($C269="仟茂",$E$2,IF($C269="现金",$G$2,0)))+SUMIFS($I$5:$I269,$C$5:$C269,$C269)-SUMIFS($J$5:$J269,$C$5:$C269,$C269))</f>
        <v/>
      </c>
      <c r="L269" s="14" t="str">
        <f aca="false">IF($B269="","",$C$2+$E$2+$G$2+SUM($I$5:$I269)-SUM($J$5:$J269))</f>
        <v/>
      </c>
      <c r="M269" s="12"/>
      <c r="N269" s="15" t="str">
        <f aca="false">IF($B269="","",IF(NOT(ISNUMBER($B269)),"日期格式不对",IF($C269="","未选资金账户",IF(AND(N($I269)=0,N($J269)=0),"收支都为空",IF(AND(N($I269)&gt;0,N($J269)&gt;0),"收支不能同时填",IF(AND($D269&lt;&gt;"",LEFT($O269,1)="⚠"),"项目编号不存在",IF(AND($M269="是",$F269=""),"工程回款必须填往来单位","√")))))))</f>
        <v/>
      </c>
      <c r="O269" s="16" t="str">
        <f aca="false">IF($D269="","",IFERROR(INDEX(对照清单!$B$5:$B$60,MATCH($D269,对照清单!$A$5:$A$60,0)),"⚠编号不存在"))</f>
        <v/>
      </c>
      <c r="P269" s="10" t="str">
        <f aca="false">IF($B269="","",IF(ISNUMBER($B269),TEXT($B269,"yyyy-mm"),"日期非法"))</f>
        <v/>
      </c>
      <c r="Q269" s="10" t="str">
        <f aca="false">IF($B269="","",IF(ISNUMBER($B269),YEAR($B269),"日期非法"))</f>
        <v/>
      </c>
    </row>
    <row r="270" customFormat="false" ht="15.75" hidden="false" customHeight="true" outlineLevel="0" collapsed="false">
      <c r="A270" s="10" t="str">
        <f aca="false">IF($B270="","",ROW()-4)</f>
        <v/>
      </c>
      <c r="B270" s="11"/>
      <c r="C270" s="12"/>
      <c r="D270" s="12"/>
      <c r="E270" s="12"/>
      <c r="F270" s="12"/>
      <c r="G270" s="12"/>
      <c r="H270" s="13"/>
      <c r="I270" s="4"/>
      <c r="J270" s="4"/>
      <c r="K270" s="14" t="str">
        <f aca="false">IF($B270="","",IF($C270="泓普",$C$2,IF($C270="仟茂",$E$2,IF($C270="现金",$G$2,0)))+SUMIFS($I$5:$I270,$C$5:$C270,$C270)-SUMIFS($J$5:$J270,$C$5:$C270,$C270))</f>
        <v/>
      </c>
      <c r="L270" s="14" t="str">
        <f aca="false">IF($B270="","",$C$2+$E$2+$G$2+SUM($I$5:$I270)-SUM($J$5:$J270))</f>
        <v/>
      </c>
      <c r="M270" s="12"/>
      <c r="N270" s="15" t="str">
        <f aca="false">IF($B270="","",IF(NOT(ISNUMBER($B270)),"日期格式不对",IF($C270="","未选资金账户",IF(AND(N($I270)=0,N($J270)=0),"收支都为空",IF(AND(N($I270)&gt;0,N($J270)&gt;0),"收支不能同时填",IF(AND($D270&lt;&gt;"",LEFT($O270,1)="⚠"),"项目编号不存在",IF(AND($M270="是",$F270=""),"工程回款必须填往来单位","√")))))))</f>
        <v/>
      </c>
      <c r="O270" s="16" t="str">
        <f aca="false">IF($D270="","",IFERROR(INDEX(对照清单!$B$5:$B$60,MATCH($D270,对照清单!$A$5:$A$60,0)),"⚠编号不存在"))</f>
        <v/>
      </c>
      <c r="P270" s="10" t="str">
        <f aca="false">IF($B270="","",IF(ISNUMBER($B270),TEXT($B270,"yyyy-mm"),"日期非法"))</f>
        <v/>
      </c>
      <c r="Q270" s="10" t="str">
        <f aca="false">IF($B270="","",IF(ISNUMBER($B270),YEAR($B270),"日期非法"))</f>
        <v/>
      </c>
    </row>
    <row r="271" customFormat="false" ht="15.75" hidden="false" customHeight="true" outlineLevel="0" collapsed="false">
      <c r="A271" s="10" t="str">
        <f aca="false">IF($B271="","",ROW()-4)</f>
        <v/>
      </c>
      <c r="B271" s="11"/>
      <c r="C271" s="12"/>
      <c r="D271" s="12"/>
      <c r="E271" s="12"/>
      <c r="F271" s="12"/>
      <c r="G271" s="12"/>
      <c r="H271" s="13"/>
      <c r="I271" s="4"/>
      <c r="J271" s="4"/>
      <c r="K271" s="14" t="str">
        <f aca="false">IF($B271="","",IF($C271="泓普",$C$2,IF($C271="仟茂",$E$2,IF($C271="现金",$G$2,0)))+SUMIFS($I$5:$I271,$C$5:$C271,$C271)-SUMIFS($J$5:$J271,$C$5:$C271,$C271))</f>
        <v/>
      </c>
      <c r="L271" s="14" t="str">
        <f aca="false">IF($B271="","",$C$2+$E$2+$G$2+SUM($I$5:$I271)-SUM($J$5:$J271))</f>
        <v/>
      </c>
      <c r="M271" s="12"/>
      <c r="N271" s="15" t="str">
        <f aca="false">IF($B271="","",IF(NOT(ISNUMBER($B271)),"日期格式不对",IF($C271="","未选资金账户",IF(AND(N($I271)=0,N($J271)=0),"收支都为空",IF(AND(N($I271)&gt;0,N($J271)&gt;0),"收支不能同时填",IF(AND($D271&lt;&gt;"",LEFT($O271,1)="⚠"),"项目编号不存在",IF(AND($M271="是",$F271=""),"工程回款必须填往来单位","√")))))))</f>
        <v/>
      </c>
      <c r="O271" s="16" t="str">
        <f aca="false">IF($D271="","",IFERROR(INDEX(对照清单!$B$5:$B$60,MATCH($D271,对照清单!$A$5:$A$60,0)),"⚠编号不存在"))</f>
        <v/>
      </c>
      <c r="P271" s="10" t="str">
        <f aca="false">IF($B271="","",IF(ISNUMBER($B271),TEXT($B271,"yyyy-mm"),"日期非法"))</f>
        <v/>
      </c>
      <c r="Q271" s="10" t="str">
        <f aca="false">IF($B271="","",IF(ISNUMBER($B271),YEAR($B271),"日期非法"))</f>
        <v/>
      </c>
    </row>
    <row r="272" customFormat="false" ht="15.75" hidden="false" customHeight="true" outlineLevel="0" collapsed="false">
      <c r="A272" s="10" t="str">
        <f aca="false">IF($B272="","",ROW()-4)</f>
        <v/>
      </c>
      <c r="B272" s="11"/>
      <c r="C272" s="12"/>
      <c r="D272" s="12"/>
      <c r="E272" s="12"/>
      <c r="F272" s="12"/>
      <c r="G272" s="12"/>
      <c r="H272" s="13"/>
      <c r="I272" s="4"/>
      <c r="J272" s="4"/>
      <c r="K272" s="14" t="str">
        <f aca="false">IF($B272="","",IF($C272="泓普",$C$2,IF($C272="仟茂",$E$2,IF($C272="现金",$G$2,0)))+SUMIFS($I$5:$I272,$C$5:$C272,$C272)-SUMIFS($J$5:$J272,$C$5:$C272,$C272))</f>
        <v/>
      </c>
      <c r="L272" s="14" t="str">
        <f aca="false">IF($B272="","",$C$2+$E$2+$G$2+SUM($I$5:$I272)-SUM($J$5:$J272))</f>
        <v/>
      </c>
      <c r="M272" s="12"/>
      <c r="N272" s="15" t="str">
        <f aca="false">IF($B272="","",IF(NOT(ISNUMBER($B272)),"日期格式不对",IF($C272="","未选资金账户",IF(AND(N($I272)=0,N($J272)=0),"收支都为空",IF(AND(N($I272)&gt;0,N($J272)&gt;0),"收支不能同时填",IF(AND($D272&lt;&gt;"",LEFT($O272,1)="⚠"),"项目编号不存在",IF(AND($M272="是",$F272=""),"工程回款必须填往来单位","√")))))))</f>
        <v/>
      </c>
      <c r="O272" s="16" t="str">
        <f aca="false">IF($D272="","",IFERROR(INDEX(对照清单!$B$5:$B$60,MATCH($D272,对照清单!$A$5:$A$60,0)),"⚠编号不存在"))</f>
        <v/>
      </c>
      <c r="P272" s="10" t="str">
        <f aca="false">IF($B272="","",IF(ISNUMBER($B272),TEXT($B272,"yyyy-mm"),"日期非法"))</f>
        <v/>
      </c>
      <c r="Q272" s="10" t="str">
        <f aca="false">IF($B272="","",IF(ISNUMBER($B272),YEAR($B272),"日期非法"))</f>
        <v/>
      </c>
    </row>
    <row r="273" customFormat="false" ht="15.75" hidden="false" customHeight="true" outlineLevel="0" collapsed="false">
      <c r="A273" s="10" t="str">
        <f aca="false">IF($B273="","",ROW()-4)</f>
        <v/>
      </c>
      <c r="B273" s="11"/>
      <c r="C273" s="12"/>
      <c r="D273" s="12"/>
      <c r="E273" s="12"/>
      <c r="F273" s="12"/>
      <c r="G273" s="12"/>
      <c r="H273" s="13"/>
      <c r="I273" s="4"/>
      <c r="J273" s="4"/>
      <c r="K273" s="14" t="str">
        <f aca="false">IF($B273="","",IF($C273="泓普",$C$2,IF($C273="仟茂",$E$2,IF($C273="现金",$G$2,0)))+SUMIFS($I$5:$I273,$C$5:$C273,$C273)-SUMIFS($J$5:$J273,$C$5:$C273,$C273))</f>
        <v/>
      </c>
      <c r="L273" s="14" t="str">
        <f aca="false">IF($B273="","",$C$2+$E$2+$G$2+SUM($I$5:$I273)-SUM($J$5:$J273))</f>
        <v/>
      </c>
      <c r="M273" s="12"/>
      <c r="N273" s="15" t="str">
        <f aca="false">IF($B273="","",IF(NOT(ISNUMBER($B273)),"日期格式不对",IF($C273="","未选资金账户",IF(AND(N($I273)=0,N($J273)=0),"收支都为空",IF(AND(N($I273)&gt;0,N($J273)&gt;0),"收支不能同时填",IF(AND($D273&lt;&gt;"",LEFT($O273,1)="⚠"),"项目编号不存在",IF(AND($M273="是",$F273=""),"工程回款必须填往来单位","√")))))))</f>
        <v/>
      </c>
      <c r="O273" s="16" t="str">
        <f aca="false">IF($D273="","",IFERROR(INDEX(对照清单!$B$5:$B$60,MATCH($D273,对照清单!$A$5:$A$60,0)),"⚠编号不存在"))</f>
        <v/>
      </c>
      <c r="P273" s="10" t="str">
        <f aca="false">IF($B273="","",IF(ISNUMBER($B273),TEXT($B273,"yyyy-mm"),"日期非法"))</f>
        <v/>
      </c>
      <c r="Q273" s="10" t="str">
        <f aca="false">IF($B273="","",IF(ISNUMBER($B273),YEAR($B273),"日期非法"))</f>
        <v/>
      </c>
    </row>
    <row r="274" customFormat="false" ht="15.75" hidden="false" customHeight="true" outlineLevel="0" collapsed="false">
      <c r="A274" s="10" t="str">
        <f aca="false">IF($B274="","",ROW()-4)</f>
        <v/>
      </c>
      <c r="B274" s="11"/>
      <c r="C274" s="12"/>
      <c r="D274" s="12"/>
      <c r="E274" s="12"/>
      <c r="F274" s="12"/>
      <c r="G274" s="12"/>
      <c r="H274" s="13"/>
      <c r="I274" s="4"/>
      <c r="J274" s="4"/>
      <c r="K274" s="14" t="str">
        <f aca="false">IF($B274="","",IF($C274="泓普",$C$2,IF($C274="仟茂",$E$2,IF($C274="现金",$G$2,0)))+SUMIFS($I$5:$I274,$C$5:$C274,$C274)-SUMIFS($J$5:$J274,$C$5:$C274,$C274))</f>
        <v/>
      </c>
      <c r="L274" s="14" t="str">
        <f aca="false">IF($B274="","",$C$2+$E$2+$G$2+SUM($I$5:$I274)-SUM($J$5:$J274))</f>
        <v/>
      </c>
      <c r="M274" s="12"/>
      <c r="N274" s="15" t="str">
        <f aca="false">IF($B274="","",IF(NOT(ISNUMBER($B274)),"日期格式不对",IF($C274="","未选资金账户",IF(AND(N($I274)=0,N($J274)=0),"收支都为空",IF(AND(N($I274)&gt;0,N($J274)&gt;0),"收支不能同时填",IF(AND($D274&lt;&gt;"",LEFT($O274,1)="⚠"),"项目编号不存在",IF(AND($M274="是",$F274=""),"工程回款必须填往来单位","√")))))))</f>
        <v/>
      </c>
      <c r="O274" s="16" t="str">
        <f aca="false">IF($D274="","",IFERROR(INDEX(对照清单!$B$5:$B$60,MATCH($D274,对照清单!$A$5:$A$60,0)),"⚠编号不存在"))</f>
        <v/>
      </c>
      <c r="P274" s="10" t="str">
        <f aca="false">IF($B274="","",IF(ISNUMBER($B274),TEXT($B274,"yyyy-mm"),"日期非法"))</f>
        <v/>
      </c>
      <c r="Q274" s="10" t="str">
        <f aca="false">IF($B274="","",IF(ISNUMBER($B274),YEAR($B274),"日期非法"))</f>
        <v/>
      </c>
    </row>
    <row r="275" customFormat="false" ht="15.75" hidden="false" customHeight="true" outlineLevel="0" collapsed="false">
      <c r="A275" s="10" t="str">
        <f aca="false">IF($B275="","",ROW()-4)</f>
        <v/>
      </c>
      <c r="B275" s="11"/>
      <c r="C275" s="12"/>
      <c r="D275" s="12"/>
      <c r="E275" s="12"/>
      <c r="F275" s="12"/>
      <c r="G275" s="12"/>
      <c r="H275" s="13"/>
      <c r="I275" s="4"/>
      <c r="J275" s="4"/>
      <c r="K275" s="14" t="str">
        <f aca="false">IF($B275="","",IF($C275="泓普",$C$2,IF($C275="仟茂",$E$2,IF($C275="现金",$G$2,0)))+SUMIFS($I$5:$I275,$C$5:$C275,$C275)-SUMIFS($J$5:$J275,$C$5:$C275,$C275))</f>
        <v/>
      </c>
      <c r="L275" s="14" t="str">
        <f aca="false">IF($B275="","",$C$2+$E$2+$G$2+SUM($I$5:$I275)-SUM($J$5:$J275))</f>
        <v/>
      </c>
      <c r="M275" s="12"/>
      <c r="N275" s="15" t="str">
        <f aca="false">IF($B275="","",IF(NOT(ISNUMBER($B275)),"日期格式不对",IF($C275="","未选资金账户",IF(AND(N($I275)=0,N($J275)=0),"收支都为空",IF(AND(N($I275)&gt;0,N($J275)&gt;0),"收支不能同时填",IF(AND($D275&lt;&gt;"",LEFT($O275,1)="⚠"),"项目编号不存在",IF(AND($M275="是",$F275=""),"工程回款必须填往来单位","√")))))))</f>
        <v/>
      </c>
      <c r="O275" s="16" t="str">
        <f aca="false">IF($D275="","",IFERROR(INDEX(对照清单!$B$5:$B$60,MATCH($D275,对照清单!$A$5:$A$60,0)),"⚠编号不存在"))</f>
        <v/>
      </c>
      <c r="P275" s="10" t="str">
        <f aca="false">IF($B275="","",IF(ISNUMBER($B275),TEXT($B275,"yyyy-mm"),"日期非法"))</f>
        <v/>
      </c>
      <c r="Q275" s="10" t="str">
        <f aca="false">IF($B275="","",IF(ISNUMBER($B275),YEAR($B275),"日期非法"))</f>
        <v/>
      </c>
    </row>
    <row r="276" customFormat="false" ht="15.75" hidden="false" customHeight="true" outlineLevel="0" collapsed="false">
      <c r="A276" s="10" t="str">
        <f aca="false">IF($B276="","",ROW()-4)</f>
        <v/>
      </c>
      <c r="B276" s="11"/>
      <c r="C276" s="12"/>
      <c r="D276" s="12"/>
      <c r="E276" s="12"/>
      <c r="F276" s="12"/>
      <c r="G276" s="12"/>
      <c r="H276" s="13"/>
      <c r="I276" s="4"/>
      <c r="J276" s="4"/>
      <c r="K276" s="14" t="str">
        <f aca="false">IF($B276="","",IF($C276="泓普",$C$2,IF($C276="仟茂",$E$2,IF($C276="现金",$G$2,0)))+SUMIFS($I$5:$I276,$C$5:$C276,$C276)-SUMIFS($J$5:$J276,$C$5:$C276,$C276))</f>
        <v/>
      </c>
      <c r="L276" s="14" t="str">
        <f aca="false">IF($B276="","",$C$2+$E$2+$G$2+SUM($I$5:$I276)-SUM($J$5:$J276))</f>
        <v/>
      </c>
      <c r="M276" s="12"/>
      <c r="N276" s="15" t="str">
        <f aca="false">IF($B276="","",IF(NOT(ISNUMBER($B276)),"日期格式不对",IF($C276="","未选资金账户",IF(AND(N($I276)=0,N($J276)=0),"收支都为空",IF(AND(N($I276)&gt;0,N($J276)&gt;0),"收支不能同时填",IF(AND($D276&lt;&gt;"",LEFT($O276,1)="⚠"),"项目编号不存在",IF(AND($M276="是",$F276=""),"工程回款必须填往来单位","√")))))))</f>
        <v/>
      </c>
      <c r="O276" s="16" t="str">
        <f aca="false">IF($D276="","",IFERROR(INDEX(对照清单!$B$5:$B$60,MATCH($D276,对照清单!$A$5:$A$60,0)),"⚠编号不存在"))</f>
        <v/>
      </c>
      <c r="P276" s="10" t="str">
        <f aca="false">IF($B276="","",IF(ISNUMBER($B276),TEXT($B276,"yyyy-mm"),"日期非法"))</f>
        <v/>
      </c>
      <c r="Q276" s="10" t="str">
        <f aca="false">IF($B276="","",IF(ISNUMBER($B276),YEAR($B276),"日期非法"))</f>
        <v/>
      </c>
    </row>
    <row r="277" customFormat="false" ht="15.75" hidden="false" customHeight="true" outlineLevel="0" collapsed="false">
      <c r="A277" s="10" t="str">
        <f aca="false">IF($B277="","",ROW()-4)</f>
        <v/>
      </c>
      <c r="B277" s="11"/>
      <c r="C277" s="12"/>
      <c r="D277" s="12"/>
      <c r="E277" s="12"/>
      <c r="F277" s="12"/>
      <c r="G277" s="12"/>
      <c r="H277" s="13"/>
      <c r="I277" s="4"/>
      <c r="J277" s="4"/>
      <c r="K277" s="14" t="str">
        <f aca="false">IF($B277="","",IF($C277="泓普",$C$2,IF($C277="仟茂",$E$2,IF($C277="现金",$G$2,0)))+SUMIFS($I$5:$I277,$C$5:$C277,$C277)-SUMIFS($J$5:$J277,$C$5:$C277,$C277))</f>
        <v/>
      </c>
      <c r="L277" s="14" t="str">
        <f aca="false">IF($B277="","",$C$2+$E$2+$G$2+SUM($I$5:$I277)-SUM($J$5:$J277))</f>
        <v/>
      </c>
      <c r="M277" s="12"/>
      <c r="N277" s="15" t="str">
        <f aca="false">IF($B277="","",IF(NOT(ISNUMBER($B277)),"日期格式不对",IF($C277="","未选资金账户",IF(AND(N($I277)=0,N($J277)=0),"收支都为空",IF(AND(N($I277)&gt;0,N($J277)&gt;0),"收支不能同时填",IF(AND($D277&lt;&gt;"",LEFT($O277,1)="⚠"),"项目编号不存在",IF(AND($M277="是",$F277=""),"工程回款必须填往来单位","√")))))))</f>
        <v/>
      </c>
      <c r="O277" s="16" t="str">
        <f aca="false">IF($D277="","",IFERROR(INDEX(对照清单!$B$5:$B$60,MATCH($D277,对照清单!$A$5:$A$60,0)),"⚠编号不存在"))</f>
        <v/>
      </c>
      <c r="P277" s="10" t="str">
        <f aca="false">IF($B277="","",IF(ISNUMBER($B277),TEXT($B277,"yyyy-mm"),"日期非法"))</f>
        <v/>
      </c>
      <c r="Q277" s="10" t="str">
        <f aca="false">IF($B277="","",IF(ISNUMBER($B277),YEAR($B277),"日期非法"))</f>
        <v/>
      </c>
    </row>
    <row r="278" customFormat="false" ht="15.75" hidden="false" customHeight="true" outlineLevel="0" collapsed="false">
      <c r="A278" s="10" t="str">
        <f aca="false">IF($B278="","",ROW()-4)</f>
        <v/>
      </c>
      <c r="B278" s="11"/>
      <c r="C278" s="12"/>
      <c r="D278" s="12"/>
      <c r="E278" s="12"/>
      <c r="F278" s="12"/>
      <c r="G278" s="12"/>
      <c r="H278" s="13"/>
      <c r="I278" s="4"/>
      <c r="J278" s="4"/>
      <c r="K278" s="14" t="str">
        <f aca="false">IF($B278="","",IF($C278="泓普",$C$2,IF($C278="仟茂",$E$2,IF($C278="现金",$G$2,0)))+SUMIFS($I$5:$I278,$C$5:$C278,$C278)-SUMIFS($J$5:$J278,$C$5:$C278,$C278))</f>
        <v/>
      </c>
      <c r="L278" s="14" t="str">
        <f aca="false">IF($B278="","",$C$2+$E$2+$G$2+SUM($I$5:$I278)-SUM($J$5:$J278))</f>
        <v/>
      </c>
      <c r="M278" s="12"/>
      <c r="N278" s="15" t="str">
        <f aca="false">IF($B278="","",IF(NOT(ISNUMBER($B278)),"日期格式不对",IF($C278="","未选资金账户",IF(AND(N($I278)=0,N($J278)=0),"收支都为空",IF(AND(N($I278)&gt;0,N($J278)&gt;0),"收支不能同时填",IF(AND($D278&lt;&gt;"",LEFT($O278,1)="⚠"),"项目编号不存在",IF(AND($M278="是",$F278=""),"工程回款必须填往来单位","√")))))))</f>
        <v/>
      </c>
      <c r="O278" s="16" t="str">
        <f aca="false">IF($D278="","",IFERROR(INDEX(对照清单!$B$5:$B$60,MATCH($D278,对照清单!$A$5:$A$60,0)),"⚠编号不存在"))</f>
        <v/>
      </c>
      <c r="P278" s="10" t="str">
        <f aca="false">IF($B278="","",IF(ISNUMBER($B278),TEXT($B278,"yyyy-mm"),"日期非法"))</f>
        <v/>
      </c>
      <c r="Q278" s="10" t="str">
        <f aca="false">IF($B278="","",IF(ISNUMBER($B278),YEAR($B278),"日期非法"))</f>
        <v/>
      </c>
    </row>
    <row r="279" customFormat="false" ht="15.75" hidden="false" customHeight="true" outlineLevel="0" collapsed="false">
      <c r="A279" s="10" t="str">
        <f aca="false">IF($B279="","",ROW()-4)</f>
        <v/>
      </c>
      <c r="B279" s="11"/>
      <c r="C279" s="12"/>
      <c r="D279" s="12"/>
      <c r="E279" s="12"/>
      <c r="F279" s="12"/>
      <c r="G279" s="12"/>
      <c r="H279" s="13"/>
      <c r="I279" s="4"/>
      <c r="J279" s="4"/>
      <c r="K279" s="14" t="str">
        <f aca="false">IF($B279="","",IF($C279="泓普",$C$2,IF($C279="仟茂",$E$2,IF($C279="现金",$G$2,0)))+SUMIFS($I$5:$I279,$C$5:$C279,$C279)-SUMIFS($J$5:$J279,$C$5:$C279,$C279))</f>
        <v/>
      </c>
      <c r="L279" s="14" t="str">
        <f aca="false">IF($B279="","",$C$2+$E$2+$G$2+SUM($I$5:$I279)-SUM($J$5:$J279))</f>
        <v/>
      </c>
      <c r="M279" s="12"/>
      <c r="N279" s="15" t="str">
        <f aca="false">IF($B279="","",IF(NOT(ISNUMBER($B279)),"日期格式不对",IF($C279="","未选资金账户",IF(AND(N($I279)=0,N($J279)=0),"收支都为空",IF(AND(N($I279)&gt;0,N($J279)&gt;0),"收支不能同时填",IF(AND($D279&lt;&gt;"",LEFT($O279,1)="⚠"),"项目编号不存在",IF(AND($M279="是",$F279=""),"工程回款必须填往来单位","√")))))))</f>
        <v/>
      </c>
      <c r="O279" s="16" t="str">
        <f aca="false">IF($D279="","",IFERROR(INDEX(对照清单!$B$5:$B$60,MATCH($D279,对照清单!$A$5:$A$60,0)),"⚠编号不存在"))</f>
        <v/>
      </c>
      <c r="P279" s="10" t="str">
        <f aca="false">IF($B279="","",IF(ISNUMBER($B279),TEXT($B279,"yyyy-mm"),"日期非法"))</f>
        <v/>
      </c>
      <c r="Q279" s="10" t="str">
        <f aca="false">IF($B279="","",IF(ISNUMBER($B279),YEAR($B279),"日期非法"))</f>
        <v/>
      </c>
    </row>
    <row r="280" customFormat="false" ht="15.75" hidden="false" customHeight="true" outlineLevel="0" collapsed="false">
      <c r="A280" s="10" t="str">
        <f aca="false">IF($B280="","",ROW()-4)</f>
        <v/>
      </c>
      <c r="B280" s="11"/>
      <c r="C280" s="12"/>
      <c r="D280" s="12"/>
      <c r="E280" s="12"/>
      <c r="F280" s="12"/>
      <c r="G280" s="12"/>
      <c r="H280" s="13"/>
      <c r="I280" s="4"/>
      <c r="J280" s="4"/>
      <c r="K280" s="14" t="str">
        <f aca="false">IF($B280="","",IF($C280="泓普",$C$2,IF($C280="仟茂",$E$2,IF($C280="现金",$G$2,0)))+SUMIFS($I$5:$I280,$C$5:$C280,$C280)-SUMIFS($J$5:$J280,$C$5:$C280,$C280))</f>
        <v/>
      </c>
      <c r="L280" s="14" t="str">
        <f aca="false">IF($B280="","",$C$2+$E$2+$G$2+SUM($I$5:$I280)-SUM($J$5:$J280))</f>
        <v/>
      </c>
      <c r="M280" s="12"/>
      <c r="N280" s="15" t="str">
        <f aca="false">IF($B280="","",IF(NOT(ISNUMBER($B280)),"日期格式不对",IF($C280="","未选资金账户",IF(AND(N($I280)=0,N($J280)=0),"收支都为空",IF(AND(N($I280)&gt;0,N($J280)&gt;0),"收支不能同时填",IF(AND($D280&lt;&gt;"",LEFT($O280,1)="⚠"),"项目编号不存在",IF(AND($M280="是",$F280=""),"工程回款必须填往来单位","√")))))))</f>
        <v/>
      </c>
      <c r="O280" s="16" t="str">
        <f aca="false">IF($D280="","",IFERROR(INDEX(对照清单!$B$5:$B$60,MATCH($D280,对照清单!$A$5:$A$60,0)),"⚠编号不存在"))</f>
        <v/>
      </c>
      <c r="P280" s="10" t="str">
        <f aca="false">IF($B280="","",IF(ISNUMBER($B280),TEXT($B280,"yyyy-mm"),"日期非法"))</f>
        <v/>
      </c>
      <c r="Q280" s="10" t="str">
        <f aca="false">IF($B280="","",IF(ISNUMBER($B280),YEAR($B280),"日期非法"))</f>
        <v/>
      </c>
    </row>
    <row r="281" customFormat="false" ht="15.75" hidden="false" customHeight="true" outlineLevel="0" collapsed="false">
      <c r="A281" s="10" t="str">
        <f aca="false">IF($B281="","",ROW()-4)</f>
        <v/>
      </c>
      <c r="B281" s="11"/>
      <c r="C281" s="12"/>
      <c r="D281" s="12"/>
      <c r="E281" s="12"/>
      <c r="F281" s="12"/>
      <c r="G281" s="12"/>
      <c r="H281" s="13"/>
      <c r="I281" s="4"/>
      <c r="J281" s="4"/>
      <c r="K281" s="14" t="str">
        <f aca="false">IF($B281="","",IF($C281="泓普",$C$2,IF($C281="仟茂",$E$2,IF($C281="现金",$G$2,0)))+SUMIFS($I$5:$I281,$C$5:$C281,$C281)-SUMIFS($J$5:$J281,$C$5:$C281,$C281))</f>
        <v/>
      </c>
      <c r="L281" s="14" t="str">
        <f aca="false">IF($B281="","",$C$2+$E$2+$G$2+SUM($I$5:$I281)-SUM($J$5:$J281))</f>
        <v/>
      </c>
      <c r="M281" s="12"/>
      <c r="N281" s="15" t="str">
        <f aca="false">IF($B281="","",IF(NOT(ISNUMBER($B281)),"日期格式不对",IF($C281="","未选资金账户",IF(AND(N($I281)=0,N($J281)=0),"收支都为空",IF(AND(N($I281)&gt;0,N($J281)&gt;0),"收支不能同时填",IF(AND($D281&lt;&gt;"",LEFT($O281,1)="⚠"),"项目编号不存在",IF(AND($M281="是",$F281=""),"工程回款必须填往来单位","√")))))))</f>
        <v/>
      </c>
      <c r="O281" s="16" t="str">
        <f aca="false">IF($D281="","",IFERROR(INDEX(对照清单!$B$5:$B$60,MATCH($D281,对照清单!$A$5:$A$60,0)),"⚠编号不存在"))</f>
        <v/>
      </c>
      <c r="P281" s="10" t="str">
        <f aca="false">IF($B281="","",IF(ISNUMBER($B281),TEXT($B281,"yyyy-mm"),"日期非法"))</f>
        <v/>
      </c>
      <c r="Q281" s="10" t="str">
        <f aca="false">IF($B281="","",IF(ISNUMBER($B281),YEAR($B281),"日期非法"))</f>
        <v/>
      </c>
    </row>
    <row r="282" customFormat="false" ht="15.75" hidden="false" customHeight="true" outlineLevel="0" collapsed="false">
      <c r="A282" s="10" t="str">
        <f aca="false">IF($B282="","",ROW()-4)</f>
        <v/>
      </c>
      <c r="B282" s="11"/>
      <c r="C282" s="12"/>
      <c r="D282" s="12"/>
      <c r="E282" s="12"/>
      <c r="F282" s="12"/>
      <c r="G282" s="12"/>
      <c r="H282" s="13"/>
      <c r="I282" s="4"/>
      <c r="J282" s="4"/>
      <c r="K282" s="14" t="str">
        <f aca="false">IF($B282="","",IF($C282="泓普",$C$2,IF($C282="仟茂",$E$2,IF($C282="现金",$G$2,0)))+SUMIFS($I$5:$I282,$C$5:$C282,$C282)-SUMIFS($J$5:$J282,$C$5:$C282,$C282))</f>
        <v/>
      </c>
      <c r="L282" s="14" t="str">
        <f aca="false">IF($B282="","",$C$2+$E$2+$G$2+SUM($I$5:$I282)-SUM($J$5:$J282))</f>
        <v/>
      </c>
      <c r="M282" s="12"/>
      <c r="N282" s="15" t="str">
        <f aca="false">IF($B282="","",IF(NOT(ISNUMBER($B282)),"日期格式不对",IF($C282="","未选资金账户",IF(AND(N($I282)=0,N($J282)=0),"收支都为空",IF(AND(N($I282)&gt;0,N($J282)&gt;0),"收支不能同时填",IF(AND($D282&lt;&gt;"",LEFT($O282,1)="⚠"),"项目编号不存在",IF(AND($M282="是",$F282=""),"工程回款必须填往来单位","√")))))))</f>
        <v/>
      </c>
      <c r="O282" s="16" t="str">
        <f aca="false">IF($D282="","",IFERROR(INDEX(对照清单!$B$5:$B$60,MATCH($D282,对照清单!$A$5:$A$60,0)),"⚠编号不存在"))</f>
        <v/>
      </c>
      <c r="P282" s="10" t="str">
        <f aca="false">IF($B282="","",IF(ISNUMBER($B282),TEXT($B282,"yyyy-mm"),"日期非法"))</f>
        <v/>
      </c>
      <c r="Q282" s="10" t="str">
        <f aca="false">IF($B282="","",IF(ISNUMBER($B282),YEAR($B282),"日期非法"))</f>
        <v/>
      </c>
    </row>
    <row r="283" customFormat="false" ht="15.75" hidden="false" customHeight="true" outlineLevel="0" collapsed="false">
      <c r="A283" s="10" t="str">
        <f aca="false">IF($B283="","",ROW()-4)</f>
        <v/>
      </c>
      <c r="B283" s="11"/>
      <c r="C283" s="12"/>
      <c r="D283" s="12"/>
      <c r="E283" s="12"/>
      <c r="F283" s="12"/>
      <c r="G283" s="12"/>
      <c r="H283" s="13"/>
      <c r="I283" s="4"/>
      <c r="J283" s="4"/>
      <c r="K283" s="14" t="str">
        <f aca="false">IF($B283="","",IF($C283="泓普",$C$2,IF($C283="仟茂",$E$2,IF($C283="现金",$G$2,0)))+SUMIFS($I$5:$I283,$C$5:$C283,$C283)-SUMIFS($J$5:$J283,$C$5:$C283,$C283))</f>
        <v/>
      </c>
      <c r="L283" s="14" t="str">
        <f aca="false">IF($B283="","",$C$2+$E$2+$G$2+SUM($I$5:$I283)-SUM($J$5:$J283))</f>
        <v/>
      </c>
      <c r="M283" s="12"/>
      <c r="N283" s="15" t="str">
        <f aca="false">IF($B283="","",IF(NOT(ISNUMBER($B283)),"日期格式不对",IF($C283="","未选资金账户",IF(AND(N($I283)=0,N($J283)=0),"收支都为空",IF(AND(N($I283)&gt;0,N($J283)&gt;0),"收支不能同时填",IF(AND($D283&lt;&gt;"",LEFT($O283,1)="⚠"),"项目编号不存在",IF(AND($M283="是",$F283=""),"工程回款必须填往来单位","√")))))))</f>
        <v/>
      </c>
      <c r="O283" s="16" t="str">
        <f aca="false">IF($D283="","",IFERROR(INDEX(对照清单!$B$5:$B$60,MATCH($D283,对照清单!$A$5:$A$60,0)),"⚠编号不存在"))</f>
        <v/>
      </c>
      <c r="P283" s="10" t="str">
        <f aca="false">IF($B283="","",IF(ISNUMBER($B283),TEXT($B283,"yyyy-mm"),"日期非法"))</f>
        <v/>
      </c>
      <c r="Q283" s="10" t="str">
        <f aca="false">IF($B283="","",IF(ISNUMBER($B283),YEAR($B283),"日期非法"))</f>
        <v/>
      </c>
    </row>
    <row r="284" customFormat="false" ht="15.75" hidden="false" customHeight="true" outlineLevel="0" collapsed="false">
      <c r="A284" s="10" t="str">
        <f aca="false">IF($B284="","",ROW()-4)</f>
        <v/>
      </c>
      <c r="B284" s="11"/>
      <c r="C284" s="12"/>
      <c r="D284" s="12"/>
      <c r="E284" s="12"/>
      <c r="F284" s="12"/>
      <c r="G284" s="12"/>
      <c r="H284" s="13"/>
      <c r="I284" s="4"/>
      <c r="J284" s="4"/>
      <c r="K284" s="14" t="str">
        <f aca="false">IF($B284="","",IF($C284="泓普",$C$2,IF($C284="仟茂",$E$2,IF($C284="现金",$G$2,0)))+SUMIFS($I$5:$I284,$C$5:$C284,$C284)-SUMIFS($J$5:$J284,$C$5:$C284,$C284))</f>
        <v/>
      </c>
      <c r="L284" s="14" t="str">
        <f aca="false">IF($B284="","",$C$2+$E$2+$G$2+SUM($I$5:$I284)-SUM($J$5:$J284))</f>
        <v/>
      </c>
      <c r="M284" s="12"/>
      <c r="N284" s="15" t="str">
        <f aca="false">IF($B284="","",IF(NOT(ISNUMBER($B284)),"日期格式不对",IF($C284="","未选资金账户",IF(AND(N($I284)=0,N($J284)=0),"收支都为空",IF(AND(N($I284)&gt;0,N($J284)&gt;0),"收支不能同时填",IF(AND($D284&lt;&gt;"",LEFT($O284,1)="⚠"),"项目编号不存在",IF(AND($M284="是",$F284=""),"工程回款必须填往来单位","√")))))))</f>
        <v/>
      </c>
      <c r="O284" s="16" t="str">
        <f aca="false">IF($D284="","",IFERROR(INDEX(对照清单!$B$5:$B$60,MATCH($D284,对照清单!$A$5:$A$60,0)),"⚠编号不存在"))</f>
        <v/>
      </c>
      <c r="P284" s="10" t="str">
        <f aca="false">IF($B284="","",IF(ISNUMBER($B284),TEXT($B284,"yyyy-mm"),"日期非法"))</f>
        <v/>
      </c>
      <c r="Q284" s="10" t="str">
        <f aca="false">IF($B284="","",IF(ISNUMBER($B284),YEAR($B284),"日期非法"))</f>
        <v/>
      </c>
    </row>
    <row r="285" customFormat="false" ht="15.75" hidden="false" customHeight="true" outlineLevel="0" collapsed="false">
      <c r="A285" s="10" t="str">
        <f aca="false">IF($B285="","",ROW()-4)</f>
        <v/>
      </c>
      <c r="B285" s="11"/>
      <c r="C285" s="12"/>
      <c r="D285" s="12"/>
      <c r="E285" s="12"/>
      <c r="F285" s="12"/>
      <c r="G285" s="12"/>
      <c r="H285" s="13"/>
      <c r="I285" s="4"/>
      <c r="J285" s="4"/>
      <c r="K285" s="14" t="str">
        <f aca="false">IF($B285="","",IF($C285="泓普",$C$2,IF($C285="仟茂",$E$2,IF($C285="现金",$G$2,0)))+SUMIFS($I$5:$I285,$C$5:$C285,$C285)-SUMIFS($J$5:$J285,$C$5:$C285,$C285))</f>
        <v/>
      </c>
      <c r="L285" s="14" t="str">
        <f aca="false">IF($B285="","",$C$2+$E$2+$G$2+SUM($I$5:$I285)-SUM($J$5:$J285))</f>
        <v/>
      </c>
      <c r="M285" s="12"/>
      <c r="N285" s="15" t="str">
        <f aca="false">IF($B285="","",IF(NOT(ISNUMBER($B285)),"日期格式不对",IF($C285="","未选资金账户",IF(AND(N($I285)=0,N($J285)=0),"收支都为空",IF(AND(N($I285)&gt;0,N($J285)&gt;0),"收支不能同时填",IF(AND($D285&lt;&gt;"",LEFT($O285,1)="⚠"),"项目编号不存在",IF(AND($M285="是",$F285=""),"工程回款必须填往来单位","√")))))))</f>
        <v/>
      </c>
      <c r="O285" s="16" t="str">
        <f aca="false">IF($D285="","",IFERROR(INDEX(对照清单!$B$5:$B$60,MATCH($D285,对照清单!$A$5:$A$60,0)),"⚠编号不存在"))</f>
        <v/>
      </c>
      <c r="P285" s="10" t="str">
        <f aca="false">IF($B285="","",IF(ISNUMBER($B285),TEXT($B285,"yyyy-mm"),"日期非法"))</f>
        <v/>
      </c>
      <c r="Q285" s="10" t="str">
        <f aca="false">IF($B285="","",IF(ISNUMBER($B285),YEAR($B285),"日期非法"))</f>
        <v/>
      </c>
    </row>
    <row r="286" customFormat="false" ht="15.75" hidden="false" customHeight="true" outlineLevel="0" collapsed="false">
      <c r="A286" s="10" t="str">
        <f aca="false">IF($B286="","",ROW()-4)</f>
        <v/>
      </c>
      <c r="B286" s="11"/>
      <c r="C286" s="12"/>
      <c r="D286" s="12"/>
      <c r="E286" s="12"/>
      <c r="F286" s="12"/>
      <c r="G286" s="12"/>
      <c r="H286" s="13"/>
      <c r="I286" s="4"/>
      <c r="J286" s="4"/>
      <c r="K286" s="14" t="str">
        <f aca="false">IF($B286="","",IF($C286="泓普",$C$2,IF($C286="仟茂",$E$2,IF($C286="现金",$G$2,0)))+SUMIFS($I$5:$I286,$C$5:$C286,$C286)-SUMIFS($J$5:$J286,$C$5:$C286,$C286))</f>
        <v/>
      </c>
      <c r="L286" s="14" t="str">
        <f aca="false">IF($B286="","",$C$2+$E$2+$G$2+SUM($I$5:$I286)-SUM($J$5:$J286))</f>
        <v/>
      </c>
      <c r="M286" s="12"/>
      <c r="N286" s="15" t="str">
        <f aca="false">IF($B286="","",IF(NOT(ISNUMBER($B286)),"日期格式不对",IF($C286="","未选资金账户",IF(AND(N($I286)=0,N($J286)=0),"收支都为空",IF(AND(N($I286)&gt;0,N($J286)&gt;0),"收支不能同时填",IF(AND($D286&lt;&gt;"",LEFT($O286,1)="⚠"),"项目编号不存在",IF(AND($M286="是",$F286=""),"工程回款必须填往来单位","√")))))))</f>
        <v/>
      </c>
      <c r="O286" s="16" t="str">
        <f aca="false">IF($D286="","",IFERROR(INDEX(对照清单!$B$5:$B$60,MATCH($D286,对照清单!$A$5:$A$60,0)),"⚠编号不存在"))</f>
        <v/>
      </c>
      <c r="P286" s="10" t="str">
        <f aca="false">IF($B286="","",IF(ISNUMBER($B286),TEXT($B286,"yyyy-mm"),"日期非法"))</f>
        <v/>
      </c>
      <c r="Q286" s="10" t="str">
        <f aca="false">IF($B286="","",IF(ISNUMBER($B286),YEAR($B286),"日期非法"))</f>
        <v/>
      </c>
    </row>
    <row r="287" customFormat="false" ht="15.75" hidden="false" customHeight="true" outlineLevel="0" collapsed="false">
      <c r="A287" s="10" t="str">
        <f aca="false">IF($B287="","",ROW()-4)</f>
        <v/>
      </c>
      <c r="B287" s="11"/>
      <c r="C287" s="12"/>
      <c r="D287" s="12"/>
      <c r="E287" s="12"/>
      <c r="F287" s="12"/>
      <c r="G287" s="12"/>
      <c r="H287" s="13"/>
      <c r="I287" s="4"/>
      <c r="J287" s="4"/>
      <c r="K287" s="14" t="str">
        <f aca="false">IF($B287="","",IF($C287="泓普",$C$2,IF($C287="仟茂",$E$2,IF($C287="现金",$G$2,0)))+SUMIFS($I$5:$I287,$C$5:$C287,$C287)-SUMIFS($J$5:$J287,$C$5:$C287,$C287))</f>
        <v/>
      </c>
      <c r="L287" s="14" t="str">
        <f aca="false">IF($B287="","",$C$2+$E$2+$G$2+SUM($I$5:$I287)-SUM($J$5:$J287))</f>
        <v/>
      </c>
      <c r="M287" s="12"/>
      <c r="N287" s="15" t="str">
        <f aca="false">IF($B287="","",IF(NOT(ISNUMBER($B287)),"日期格式不对",IF($C287="","未选资金账户",IF(AND(N($I287)=0,N($J287)=0),"收支都为空",IF(AND(N($I287)&gt;0,N($J287)&gt;0),"收支不能同时填",IF(AND($D287&lt;&gt;"",LEFT($O287,1)="⚠"),"项目编号不存在",IF(AND($M287="是",$F287=""),"工程回款必须填往来单位","√")))))))</f>
        <v/>
      </c>
      <c r="O287" s="16" t="str">
        <f aca="false">IF($D287="","",IFERROR(INDEX(对照清单!$B$5:$B$60,MATCH($D287,对照清单!$A$5:$A$60,0)),"⚠编号不存在"))</f>
        <v/>
      </c>
      <c r="P287" s="10" t="str">
        <f aca="false">IF($B287="","",IF(ISNUMBER($B287),TEXT($B287,"yyyy-mm"),"日期非法"))</f>
        <v/>
      </c>
      <c r="Q287" s="10" t="str">
        <f aca="false">IF($B287="","",IF(ISNUMBER($B287),YEAR($B287),"日期非法"))</f>
        <v/>
      </c>
    </row>
    <row r="288" customFormat="false" ht="15.75" hidden="false" customHeight="true" outlineLevel="0" collapsed="false">
      <c r="A288" s="10" t="str">
        <f aca="false">IF($B288="","",ROW()-4)</f>
        <v/>
      </c>
      <c r="B288" s="11"/>
      <c r="C288" s="12"/>
      <c r="D288" s="12"/>
      <c r="E288" s="12"/>
      <c r="F288" s="12"/>
      <c r="G288" s="12"/>
      <c r="H288" s="13"/>
      <c r="I288" s="4"/>
      <c r="J288" s="4"/>
      <c r="K288" s="14" t="str">
        <f aca="false">IF($B288="","",IF($C288="泓普",$C$2,IF($C288="仟茂",$E$2,IF($C288="现金",$G$2,0)))+SUMIFS($I$5:$I288,$C$5:$C288,$C288)-SUMIFS($J$5:$J288,$C$5:$C288,$C288))</f>
        <v/>
      </c>
      <c r="L288" s="14" t="str">
        <f aca="false">IF($B288="","",$C$2+$E$2+$G$2+SUM($I$5:$I288)-SUM($J$5:$J288))</f>
        <v/>
      </c>
      <c r="M288" s="12"/>
      <c r="N288" s="15" t="str">
        <f aca="false">IF($B288="","",IF(NOT(ISNUMBER($B288)),"日期格式不对",IF($C288="","未选资金账户",IF(AND(N($I288)=0,N($J288)=0),"收支都为空",IF(AND(N($I288)&gt;0,N($J288)&gt;0),"收支不能同时填",IF(AND($D288&lt;&gt;"",LEFT($O288,1)="⚠"),"项目编号不存在",IF(AND($M288="是",$F288=""),"工程回款必须填往来单位","√")))))))</f>
        <v/>
      </c>
      <c r="O288" s="16" t="str">
        <f aca="false">IF($D288="","",IFERROR(INDEX(对照清单!$B$5:$B$60,MATCH($D288,对照清单!$A$5:$A$60,0)),"⚠编号不存在"))</f>
        <v/>
      </c>
      <c r="P288" s="10" t="str">
        <f aca="false">IF($B288="","",IF(ISNUMBER($B288),TEXT($B288,"yyyy-mm"),"日期非法"))</f>
        <v/>
      </c>
      <c r="Q288" s="10" t="str">
        <f aca="false">IF($B288="","",IF(ISNUMBER($B288),YEAR($B288),"日期非法"))</f>
        <v/>
      </c>
    </row>
    <row r="289" customFormat="false" ht="15.75" hidden="false" customHeight="true" outlineLevel="0" collapsed="false">
      <c r="A289" s="10" t="str">
        <f aca="false">IF($B289="","",ROW()-4)</f>
        <v/>
      </c>
      <c r="B289" s="11"/>
      <c r="C289" s="12"/>
      <c r="D289" s="12"/>
      <c r="E289" s="12"/>
      <c r="F289" s="12"/>
      <c r="G289" s="12"/>
      <c r="H289" s="13"/>
      <c r="I289" s="4"/>
      <c r="J289" s="4"/>
      <c r="K289" s="14" t="str">
        <f aca="false">IF($B289="","",IF($C289="泓普",$C$2,IF($C289="仟茂",$E$2,IF($C289="现金",$G$2,0)))+SUMIFS($I$5:$I289,$C$5:$C289,$C289)-SUMIFS($J$5:$J289,$C$5:$C289,$C289))</f>
        <v/>
      </c>
      <c r="L289" s="14" t="str">
        <f aca="false">IF($B289="","",$C$2+$E$2+$G$2+SUM($I$5:$I289)-SUM($J$5:$J289))</f>
        <v/>
      </c>
      <c r="M289" s="12"/>
      <c r="N289" s="15" t="str">
        <f aca="false">IF($B289="","",IF(NOT(ISNUMBER($B289)),"日期格式不对",IF($C289="","未选资金账户",IF(AND(N($I289)=0,N($J289)=0),"收支都为空",IF(AND(N($I289)&gt;0,N($J289)&gt;0),"收支不能同时填",IF(AND($D289&lt;&gt;"",LEFT($O289,1)="⚠"),"项目编号不存在",IF(AND($M289="是",$F289=""),"工程回款必须填往来单位","√")))))))</f>
        <v/>
      </c>
      <c r="O289" s="16" t="str">
        <f aca="false">IF($D289="","",IFERROR(INDEX(对照清单!$B$5:$B$60,MATCH($D289,对照清单!$A$5:$A$60,0)),"⚠编号不存在"))</f>
        <v/>
      </c>
      <c r="P289" s="10" t="str">
        <f aca="false">IF($B289="","",IF(ISNUMBER($B289),TEXT($B289,"yyyy-mm"),"日期非法"))</f>
        <v/>
      </c>
      <c r="Q289" s="10" t="str">
        <f aca="false">IF($B289="","",IF(ISNUMBER($B289),YEAR($B289),"日期非法"))</f>
        <v/>
      </c>
    </row>
    <row r="290" customFormat="false" ht="15.75" hidden="false" customHeight="true" outlineLevel="0" collapsed="false">
      <c r="A290" s="10" t="str">
        <f aca="false">IF($B290="","",ROW()-4)</f>
        <v/>
      </c>
      <c r="B290" s="11"/>
      <c r="C290" s="12"/>
      <c r="D290" s="12"/>
      <c r="E290" s="12"/>
      <c r="F290" s="12"/>
      <c r="G290" s="12"/>
      <c r="H290" s="13"/>
      <c r="I290" s="4"/>
      <c r="J290" s="4"/>
      <c r="K290" s="14" t="str">
        <f aca="false">IF($B290="","",IF($C290="泓普",$C$2,IF($C290="仟茂",$E$2,IF($C290="现金",$G$2,0)))+SUMIFS($I$5:$I290,$C$5:$C290,$C290)-SUMIFS($J$5:$J290,$C$5:$C290,$C290))</f>
        <v/>
      </c>
      <c r="L290" s="14" t="str">
        <f aca="false">IF($B290="","",$C$2+$E$2+$G$2+SUM($I$5:$I290)-SUM($J$5:$J290))</f>
        <v/>
      </c>
      <c r="M290" s="12"/>
      <c r="N290" s="15" t="str">
        <f aca="false">IF($B290="","",IF(NOT(ISNUMBER($B290)),"日期格式不对",IF($C290="","未选资金账户",IF(AND(N($I290)=0,N($J290)=0),"收支都为空",IF(AND(N($I290)&gt;0,N($J290)&gt;0),"收支不能同时填",IF(AND($D290&lt;&gt;"",LEFT($O290,1)="⚠"),"项目编号不存在",IF(AND($M290="是",$F290=""),"工程回款必须填往来单位","√")))))))</f>
        <v/>
      </c>
      <c r="O290" s="16" t="str">
        <f aca="false">IF($D290="","",IFERROR(INDEX(对照清单!$B$5:$B$60,MATCH($D290,对照清单!$A$5:$A$60,0)),"⚠编号不存在"))</f>
        <v/>
      </c>
      <c r="P290" s="10" t="str">
        <f aca="false">IF($B290="","",IF(ISNUMBER($B290),TEXT($B290,"yyyy-mm"),"日期非法"))</f>
        <v/>
      </c>
      <c r="Q290" s="10" t="str">
        <f aca="false">IF($B290="","",IF(ISNUMBER($B290),YEAR($B290),"日期非法"))</f>
        <v/>
      </c>
    </row>
    <row r="291" customFormat="false" ht="15.75" hidden="false" customHeight="true" outlineLevel="0" collapsed="false">
      <c r="A291" s="10" t="str">
        <f aca="false">IF($B291="","",ROW()-4)</f>
        <v/>
      </c>
      <c r="B291" s="11"/>
      <c r="C291" s="12"/>
      <c r="D291" s="12"/>
      <c r="E291" s="12"/>
      <c r="F291" s="12"/>
      <c r="G291" s="12"/>
      <c r="H291" s="13"/>
      <c r="I291" s="4"/>
      <c r="J291" s="4"/>
      <c r="K291" s="14" t="str">
        <f aca="false">IF($B291="","",IF($C291="泓普",$C$2,IF($C291="仟茂",$E$2,IF($C291="现金",$G$2,0)))+SUMIFS($I$5:$I291,$C$5:$C291,$C291)-SUMIFS($J$5:$J291,$C$5:$C291,$C291))</f>
        <v/>
      </c>
      <c r="L291" s="14" t="str">
        <f aca="false">IF($B291="","",$C$2+$E$2+$G$2+SUM($I$5:$I291)-SUM($J$5:$J291))</f>
        <v/>
      </c>
      <c r="M291" s="12"/>
      <c r="N291" s="15" t="str">
        <f aca="false">IF($B291="","",IF(NOT(ISNUMBER($B291)),"日期格式不对",IF($C291="","未选资金账户",IF(AND(N($I291)=0,N($J291)=0),"收支都为空",IF(AND(N($I291)&gt;0,N($J291)&gt;0),"收支不能同时填",IF(AND($D291&lt;&gt;"",LEFT($O291,1)="⚠"),"项目编号不存在",IF(AND($M291="是",$F291=""),"工程回款必须填往来单位","√")))))))</f>
        <v/>
      </c>
      <c r="O291" s="16" t="str">
        <f aca="false">IF($D291="","",IFERROR(INDEX(对照清单!$B$5:$B$60,MATCH($D291,对照清单!$A$5:$A$60,0)),"⚠编号不存在"))</f>
        <v/>
      </c>
      <c r="P291" s="10" t="str">
        <f aca="false">IF($B291="","",IF(ISNUMBER($B291),TEXT($B291,"yyyy-mm"),"日期非法"))</f>
        <v/>
      </c>
      <c r="Q291" s="10" t="str">
        <f aca="false">IF($B291="","",IF(ISNUMBER($B291),YEAR($B291),"日期非法"))</f>
        <v/>
      </c>
    </row>
    <row r="292" customFormat="false" ht="15.75" hidden="false" customHeight="true" outlineLevel="0" collapsed="false">
      <c r="A292" s="10" t="str">
        <f aca="false">IF($B292="","",ROW()-4)</f>
        <v/>
      </c>
      <c r="B292" s="11"/>
      <c r="C292" s="12"/>
      <c r="D292" s="12"/>
      <c r="E292" s="12"/>
      <c r="F292" s="12"/>
      <c r="G292" s="12"/>
      <c r="H292" s="13"/>
      <c r="I292" s="4"/>
      <c r="J292" s="4"/>
      <c r="K292" s="14" t="str">
        <f aca="false">IF($B292="","",IF($C292="泓普",$C$2,IF($C292="仟茂",$E$2,IF($C292="现金",$G$2,0)))+SUMIFS($I$5:$I292,$C$5:$C292,$C292)-SUMIFS($J$5:$J292,$C$5:$C292,$C292))</f>
        <v/>
      </c>
      <c r="L292" s="14" t="str">
        <f aca="false">IF($B292="","",$C$2+$E$2+$G$2+SUM($I$5:$I292)-SUM($J$5:$J292))</f>
        <v/>
      </c>
      <c r="M292" s="12"/>
      <c r="N292" s="15" t="str">
        <f aca="false">IF($B292="","",IF(NOT(ISNUMBER($B292)),"日期格式不对",IF($C292="","未选资金账户",IF(AND(N($I292)=0,N($J292)=0),"收支都为空",IF(AND(N($I292)&gt;0,N($J292)&gt;0),"收支不能同时填",IF(AND($D292&lt;&gt;"",LEFT($O292,1)="⚠"),"项目编号不存在",IF(AND($M292="是",$F292=""),"工程回款必须填往来单位","√")))))))</f>
        <v/>
      </c>
      <c r="O292" s="16" t="str">
        <f aca="false">IF($D292="","",IFERROR(INDEX(对照清单!$B$5:$B$60,MATCH($D292,对照清单!$A$5:$A$60,0)),"⚠编号不存在"))</f>
        <v/>
      </c>
      <c r="P292" s="10" t="str">
        <f aca="false">IF($B292="","",IF(ISNUMBER($B292),TEXT($B292,"yyyy-mm"),"日期非法"))</f>
        <v/>
      </c>
      <c r="Q292" s="10" t="str">
        <f aca="false">IF($B292="","",IF(ISNUMBER($B292),YEAR($B292),"日期非法"))</f>
        <v/>
      </c>
    </row>
    <row r="293" customFormat="false" ht="15.75" hidden="false" customHeight="true" outlineLevel="0" collapsed="false">
      <c r="A293" s="10" t="str">
        <f aca="false">IF($B293="","",ROW()-4)</f>
        <v/>
      </c>
      <c r="B293" s="11"/>
      <c r="C293" s="12"/>
      <c r="D293" s="12"/>
      <c r="E293" s="12"/>
      <c r="F293" s="12"/>
      <c r="G293" s="12"/>
      <c r="H293" s="13"/>
      <c r="I293" s="4"/>
      <c r="J293" s="4"/>
      <c r="K293" s="14" t="str">
        <f aca="false">IF($B293="","",IF($C293="泓普",$C$2,IF($C293="仟茂",$E$2,IF($C293="现金",$G$2,0)))+SUMIFS($I$5:$I293,$C$5:$C293,$C293)-SUMIFS($J$5:$J293,$C$5:$C293,$C293))</f>
        <v/>
      </c>
      <c r="L293" s="14" t="str">
        <f aca="false">IF($B293="","",$C$2+$E$2+$G$2+SUM($I$5:$I293)-SUM($J$5:$J293))</f>
        <v/>
      </c>
      <c r="M293" s="12"/>
      <c r="N293" s="15" t="str">
        <f aca="false">IF($B293="","",IF(NOT(ISNUMBER($B293)),"日期格式不对",IF($C293="","未选资金账户",IF(AND(N($I293)=0,N($J293)=0),"收支都为空",IF(AND(N($I293)&gt;0,N($J293)&gt;0),"收支不能同时填",IF(AND($D293&lt;&gt;"",LEFT($O293,1)="⚠"),"项目编号不存在",IF(AND($M293="是",$F293=""),"工程回款必须填往来单位","√")))))))</f>
        <v/>
      </c>
      <c r="O293" s="16" t="str">
        <f aca="false">IF($D293="","",IFERROR(INDEX(对照清单!$B$5:$B$60,MATCH($D293,对照清单!$A$5:$A$60,0)),"⚠编号不存在"))</f>
        <v/>
      </c>
      <c r="P293" s="10" t="str">
        <f aca="false">IF($B293="","",IF(ISNUMBER($B293),TEXT($B293,"yyyy-mm"),"日期非法"))</f>
        <v/>
      </c>
      <c r="Q293" s="10" t="str">
        <f aca="false">IF($B293="","",IF(ISNUMBER($B293),YEAR($B293),"日期非法"))</f>
        <v/>
      </c>
    </row>
    <row r="294" customFormat="false" ht="15.75" hidden="false" customHeight="true" outlineLevel="0" collapsed="false">
      <c r="A294" s="10" t="str">
        <f aca="false">IF($B294="","",ROW()-4)</f>
        <v/>
      </c>
      <c r="B294" s="11"/>
      <c r="C294" s="12"/>
      <c r="D294" s="12"/>
      <c r="E294" s="12"/>
      <c r="F294" s="12"/>
      <c r="G294" s="12"/>
      <c r="H294" s="13"/>
      <c r="I294" s="4"/>
      <c r="J294" s="4"/>
      <c r="K294" s="14" t="str">
        <f aca="false">IF($B294="","",IF($C294="泓普",$C$2,IF($C294="仟茂",$E$2,IF($C294="现金",$G$2,0)))+SUMIFS($I$5:$I294,$C$5:$C294,$C294)-SUMIFS($J$5:$J294,$C$5:$C294,$C294))</f>
        <v/>
      </c>
      <c r="L294" s="14" t="str">
        <f aca="false">IF($B294="","",$C$2+$E$2+$G$2+SUM($I$5:$I294)-SUM($J$5:$J294))</f>
        <v/>
      </c>
      <c r="M294" s="12"/>
      <c r="N294" s="15" t="str">
        <f aca="false">IF($B294="","",IF(NOT(ISNUMBER($B294)),"日期格式不对",IF($C294="","未选资金账户",IF(AND(N($I294)=0,N($J294)=0),"收支都为空",IF(AND(N($I294)&gt;0,N($J294)&gt;0),"收支不能同时填",IF(AND($D294&lt;&gt;"",LEFT($O294,1)="⚠"),"项目编号不存在",IF(AND($M294="是",$F294=""),"工程回款必须填往来单位","√")))))))</f>
        <v/>
      </c>
      <c r="O294" s="16" t="str">
        <f aca="false">IF($D294="","",IFERROR(INDEX(对照清单!$B$5:$B$60,MATCH($D294,对照清单!$A$5:$A$60,0)),"⚠编号不存在"))</f>
        <v/>
      </c>
      <c r="P294" s="10" t="str">
        <f aca="false">IF($B294="","",IF(ISNUMBER($B294),TEXT($B294,"yyyy-mm"),"日期非法"))</f>
        <v/>
      </c>
      <c r="Q294" s="10" t="str">
        <f aca="false">IF($B294="","",IF(ISNUMBER($B294),YEAR($B294),"日期非法"))</f>
        <v/>
      </c>
    </row>
    <row r="295" customFormat="false" ht="15.75" hidden="false" customHeight="true" outlineLevel="0" collapsed="false">
      <c r="A295" s="10" t="str">
        <f aca="false">IF($B295="","",ROW()-4)</f>
        <v/>
      </c>
      <c r="B295" s="11"/>
      <c r="C295" s="12"/>
      <c r="D295" s="12"/>
      <c r="E295" s="12"/>
      <c r="F295" s="12"/>
      <c r="G295" s="12"/>
      <c r="H295" s="13"/>
      <c r="I295" s="4"/>
      <c r="J295" s="4"/>
      <c r="K295" s="14" t="str">
        <f aca="false">IF($B295="","",IF($C295="泓普",$C$2,IF($C295="仟茂",$E$2,IF($C295="现金",$G$2,0)))+SUMIFS($I$5:$I295,$C$5:$C295,$C295)-SUMIFS($J$5:$J295,$C$5:$C295,$C295))</f>
        <v/>
      </c>
      <c r="L295" s="14" t="str">
        <f aca="false">IF($B295="","",$C$2+$E$2+$G$2+SUM($I$5:$I295)-SUM($J$5:$J295))</f>
        <v/>
      </c>
      <c r="M295" s="12"/>
      <c r="N295" s="15" t="str">
        <f aca="false">IF($B295="","",IF(NOT(ISNUMBER($B295)),"日期格式不对",IF($C295="","未选资金账户",IF(AND(N($I295)=0,N($J295)=0),"收支都为空",IF(AND(N($I295)&gt;0,N($J295)&gt;0),"收支不能同时填",IF(AND($D295&lt;&gt;"",LEFT($O295,1)="⚠"),"项目编号不存在",IF(AND($M295="是",$F295=""),"工程回款必须填往来单位","√")))))))</f>
        <v/>
      </c>
      <c r="O295" s="16" t="str">
        <f aca="false">IF($D295="","",IFERROR(INDEX(对照清单!$B$5:$B$60,MATCH($D295,对照清单!$A$5:$A$60,0)),"⚠编号不存在"))</f>
        <v/>
      </c>
      <c r="P295" s="10" t="str">
        <f aca="false">IF($B295="","",IF(ISNUMBER($B295),TEXT($B295,"yyyy-mm"),"日期非法"))</f>
        <v/>
      </c>
      <c r="Q295" s="10" t="str">
        <f aca="false">IF($B295="","",IF(ISNUMBER($B295),YEAR($B295),"日期非法"))</f>
        <v/>
      </c>
    </row>
    <row r="296" customFormat="false" ht="15.75" hidden="false" customHeight="true" outlineLevel="0" collapsed="false">
      <c r="A296" s="10" t="str">
        <f aca="false">IF($B296="","",ROW()-4)</f>
        <v/>
      </c>
      <c r="B296" s="11"/>
      <c r="C296" s="12"/>
      <c r="D296" s="12"/>
      <c r="E296" s="12"/>
      <c r="F296" s="12"/>
      <c r="G296" s="12"/>
      <c r="H296" s="13"/>
      <c r="I296" s="4"/>
      <c r="J296" s="4"/>
      <c r="K296" s="14" t="str">
        <f aca="false">IF($B296="","",IF($C296="泓普",$C$2,IF($C296="仟茂",$E$2,IF($C296="现金",$G$2,0)))+SUMIFS($I$5:$I296,$C$5:$C296,$C296)-SUMIFS($J$5:$J296,$C$5:$C296,$C296))</f>
        <v/>
      </c>
      <c r="L296" s="14" t="str">
        <f aca="false">IF($B296="","",$C$2+$E$2+$G$2+SUM($I$5:$I296)-SUM($J$5:$J296))</f>
        <v/>
      </c>
      <c r="M296" s="12"/>
      <c r="N296" s="15" t="str">
        <f aca="false">IF($B296="","",IF(NOT(ISNUMBER($B296)),"日期格式不对",IF($C296="","未选资金账户",IF(AND(N($I296)=0,N($J296)=0),"收支都为空",IF(AND(N($I296)&gt;0,N($J296)&gt;0),"收支不能同时填",IF(AND($D296&lt;&gt;"",LEFT($O296,1)="⚠"),"项目编号不存在",IF(AND($M296="是",$F296=""),"工程回款必须填往来单位","√")))))))</f>
        <v/>
      </c>
      <c r="O296" s="16" t="str">
        <f aca="false">IF($D296="","",IFERROR(INDEX(对照清单!$B$5:$B$60,MATCH($D296,对照清单!$A$5:$A$60,0)),"⚠编号不存在"))</f>
        <v/>
      </c>
      <c r="P296" s="10" t="str">
        <f aca="false">IF($B296="","",IF(ISNUMBER($B296),TEXT($B296,"yyyy-mm"),"日期非法"))</f>
        <v/>
      </c>
      <c r="Q296" s="10" t="str">
        <f aca="false">IF($B296="","",IF(ISNUMBER($B296),YEAR($B296),"日期非法"))</f>
        <v/>
      </c>
    </row>
    <row r="297" customFormat="false" ht="15.75" hidden="false" customHeight="true" outlineLevel="0" collapsed="false">
      <c r="A297" s="10" t="str">
        <f aca="false">IF($B297="","",ROW()-4)</f>
        <v/>
      </c>
      <c r="B297" s="11"/>
      <c r="C297" s="12"/>
      <c r="D297" s="12"/>
      <c r="E297" s="12"/>
      <c r="F297" s="12"/>
      <c r="G297" s="12"/>
      <c r="H297" s="13"/>
      <c r="I297" s="4"/>
      <c r="J297" s="4"/>
      <c r="K297" s="14" t="str">
        <f aca="false">IF($B297="","",IF($C297="泓普",$C$2,IF($C297="仟茂",$E$2,IF($C297="现金",$G$2,0)))+SUMIFS($I$5:$I297,$C$5:$C297,$C297)-SUMIFS($J$5:$J297,$C$5:$C297,$C297))</f>
        <v/>
      </c>
      <c r="L297" s="14" t="str">
        <f aca="false">IF($B297="","",$C$2+$E$2+$G$2+SUM($I$5:$I297)-SUM($J$5:$J297))</f>
        <v/>
      </c>
      <c r="M297" s="12"/>
      <c r="N297" s="15" t="str">
        <f aca="false">IF($B297="","",IF(NOT(ISNUMBER($B297)),"日期格式不对",IF($C297="","未选资金账户",IF(AND(N($I297)=0,N($J297)=0),"收支都为空",IF(AND(N($I297)&gt;0,N($J297)&gt;0),"收支不能同时填",IF(AND($D297&lt;&gt;"",LEFT($O297,1)="⚠"),"项目编号不存在",IF(AND($M297="是",$F297=""),"工程回款必须填往来单位","√")))))))</f>
        <v/>
      </c>
      <c r="O297" s="16" t="str">
        <f aca="false">IF($D297="","",IFERROR(INDEX(对照清单!$B$5:$B$60,MATCH($D297,对照清单!$A$5:$A$60,0)),"⚠编号不存在"))</f>
        <v/>
      </c>
      <c r="P297" s="10" t="str">
        <f aca="false">IF($B297="","",IF(ISNUMBER($B297),TEXT($B297,"yyyy-mm"),"日期非法"))</f>
        <v/>
      </c>
      <c r="Q297" s="10" t="str">
        <f aca="false">IF($B297="","",IF(ISNUMBER($B297),YEAR($B297),"日期非法"))</f>
        <v/>
      </c>
    </row>
    <row r="298" customFormat="false" ht="15.75" hidden="false" customHeight="true" outlineLevel="0" collapsed="false">
      <c r="A298" s="10" t="str">
        <f aca="false">IF($B298="","",ROW()-4)</f>
        <v/>
      </c>
      <c r="B298" s="11"/>
      <c r="C298" s="12"/>
      <c r="D298" s="12"/>
      <c r="E298" s="12"/>
      <c r="F298" s="12"/>
      <c r="G298" s="12"/>
      <c r="H298" s="13"/>
      <c r="I298" s="4"/>
      <c r="J298" s="4"/>
      <c r="K298" s="14" t="str">
        <f aca="false">IF($B298="","",IF($C298="泓普",$C$2,IF($C298="仟茂",$E$2,IF($C298="现金",$G$2,0)))+SUMIFS($I$5:$I298,$C$5:$C298,$C298)-SUMIFS($J$5:$J298,$C$5:$C298,$C298))</f>
        <v/>
      </c>
      <c r="L298" s="14" t="str">
        <f aca="false">IF($B298="","",$C$2+$E$2+$G$2+SUM($I$5:$I298)-SUM($J$5:$J298))</f>
        <v/>
      </c>
      <c r="M298" s="12"/>
      <c r="N298" s="15" t="str">
        <f aca="false">IF($B298="","",IF(NOT(ISNUMBER($B298)),"日期格式不对",IF($C298="","未选资金账户",IF(AND(N($I298)=0,N($J298)=0),"收支都为空",IF(AND(N($I298)&gt;0,N($J298)&gt;0),"收支不能同时填",IF(AND($D298&lt;&gt;"",LEFT($O298,1)="⚠"),"项目编号不存在",IF(AND($M298="是",$F298=""),"工程回款必须填往来单位","√")))))))</f>
        <v/>
      </c>
      <c r="O298" s="16" t="str">
        <f aca="false">IF($D298="","",IFERROR(INDEX(对照清单!$B$5:$B$60,MATCH($D298,对照清单!$A$5:$A$60,0)),"⚠编号不存在"))</f>
        <v/>
      </c>
      <c r="P298" s="10" t="str">
        <f aca="false">IF($B298="","",IF(ISNUMBER($B298),TEXT($B298,"yyyy-mm"),"日期非法"))</f>
        <v/>
      </c>
      <c r="Q298" s="10" t="str">
        <f aca="false">IF($B298="","",IF(ISNUMBER($B298),YEAR($B298),"日期非法"))</f>
        <v/>
      </c>
    </row>
    <row r="299" customFormat="false" ht="15.75" hidden="false" customHeight="true" outlineLevel="0" collapsed="false">
      <c r="A299" s="10" t="str">
        <f aca="false">IF($B299="","",ROW()-4)</f>
        <v/>
      </c>
      <c r="B299" s="11"/>
      <c r="C299" s="12"/>
      <c r="D299" s="12"/>
      <c r="E299" s="12"/>
      <c r="F299" s="12"/>
      <c r="G299" s="12"/>
      <c r="H299" s="13"/>
      <c r="I299" s="4"/>
      <c r="J299" s="4"/>
      <c r="K299" s="14" t="str">
        <f aca="false">IF($B299="","",IF($C299="泓普",$C$2,IF($C299="仟茂",$E$2,IF($C299="现金",$G$2,0)))+SUMIFS($I$5:$I299,$C$5:$C299,$C299)-SUMIFS($J$5:$J299,$C$5:$C299,$C299))</f>
        <v/>
      </c>
      <c r="L299" s="14" t="str">
        <f aca="false">IF($B299="","",$C$2+$E$2+$G$2+SUM($I$5:$I299)-SUM($J$5:$J299))</f>
        <v/>
      </c>
      <c r="M299" s="12"/>
      <c r="N299" s="15" t="str">
        <f aca="false">IF($B299="","",IF(NOT(ISNUMBER($B299)),"日期格式不对",IF($C299="","未选资金账户",IF(AND(N($I299)=0,N($J299)=0),"收支都为空",IF(AND(N($I299)&gt;0,N($J299)&gt;0),"收支不能同时填",IF(AND($D299&lt;&gt;"",LEFT($O299,1)="⚠"),"项目编号不存在",IF(AND($M299="是",$F299=""),"工程回款必须填往来单位","√")))))))</f>
        <v/>
      </c>
      <c r="O299" s="16" t="str">
        <f aca="false">IF($D299="","",IFERROR(INDEX(对照清单!$B$5:$B$60,MATCH($D299,对照清单!$A$5:$A$60,0)),"⚠编号不存在"))</f>
        <v/>
      </c>
      <c r="P299" s="10" t="str">
        <f aca="false">IF($B299="","",IF(ISNUMBER($B299),TEXT($B299,"yyyy-mm"),"日期非法"))</f>
        <v/>
      </c>
      <c r="Q299" s="10" t="str">
        <f aca="false">IF($B299="","",IF(ISNUMBER($B299),YEAR($B299),"日期非法"))</f>
        <v/>
      </c>
    </row>
    <row r="300" customFormat="false" ht="15.75" hidden="false" customHeight="true" outlineLevel="0" collapsed="false">
      <c r="A300" s="10" t="str">
        <f aca="false">IF($B300="","",ROW()-4)</f>
        <v/>
      </c>
      <c r="B300" s="11"/>
      <c r="C300" s="12"/>
      <c r="D300" s="12"/>
      <c r="E300" s="12"/>
      <c r="F300" s="12"/>
      <c r="G300" s="12"/>
      <c r="H300" s="13"/>
      <c r="I300" s="4"/>
      <c r="J300" s="4"/>
      <c r="K300" s="14" t="str">
        <f aca="false">IF($B300="","",IF($C300="泓普",$C$2,IF($C300="仟茂",$E$2,IF($C300="现金",$G$2,0)))+SUMIFS($I$5:$I300,$C$5:$C300,$C300)-SUMIFS($J$5:$J300,$C$5:$C300,$C300))</f>
        <v/>
      </c>
      <c r="L300" s="14" t="str">
        <f aca="false">IF($B300="","",$C$2+$E$2+$G$2+SUM($I$5:$I300)-SUM($J$5:$J300))</f>
        <v/>
      </c>
      <c r="M300" s="12"/>
      <c r="N300" s="15" t="str">
        <f aca="false">IF($B300="","",IF(NOT(ISNUMBER($B300)),"日期格式不对",IF($C300="","未选资金账户",IF(AND(N($I300)=0,N($J300)=0),"收支都为空",IF(AND(N($I300)&gt;0,N($J300)&gt;0),"收支不能同时填",IF(AND($D300&lt;&gt;"",LEFT($O300,1)="⚠"),"项目编号不存在",IF(AND($M300="是",$F300=""),"工程回款必须填往来单位","√")))))))</f>
        <v/>
      </c>
      <c r="O300" s="16" t="str">
        <f aca="false">IF($D300="","",IFERROR(INDEX(对照清单!$B$5:$B$60,MATCH($D300,对照清单!$A$5:$A$60,0)),"⚠编号不存在"))</f>
        <v/>
      </c>
      <c r="P300" s="10" t="str">
        <f aca="false">IF($B300="","",IF(ISNUMBER($B300),TEXT($B300,"yyyy-mm"),"日期非法"))</f>
        <v/>
      </c>
      <c r="Q300" s="10" t="str">
        <f aca="false">IF($B300="","",IF(ISNUMBER($B300),YEAR($B300),"日期非法"))</f>
        <v/>
      </c>
    </row>
    <row r="301" customFormat="false" ht="15.75" hidden="false" customHeight="true" outlineLevel="0" collapsed="false">
      <c r="A301" s="10" t="str">
        <f aca="false">IF($B301="","",ROW()-4)</f>
        <v/>
      </c>
      <c r="B301" s="11"/>
      <c r="C301" s="12"/>
      <c r="D301" s="12"/>
      <c r="E301" s="12"/>
      <c r="F301" s="12"/>
      <c r="G301" s="12"/>
      <c r="H301" s="13"/>
      <c r="I301" s="4"/>
      <c r="J301" s="4"/>
      <c r="K301" s="14" t="str">
        <f aca="false">IF($B301="","",IF($C301="泓普",$C$2,IF($C301="仟茂",$E$2,IF($C301="现金",$G$2,0)))+SUMIFS($I$5:$I301,$C$5:$C301,$C301)-SUMIFS($J$5:$J301,$C$5:$C301,$C301))</f>
        <v/>
      </c>
      <c r="L301" s="14" t="str">
        <f aca="false">IF($B301="","",$C$2+$E$2+$G$2+SUM($I$5:$I301)-SUM($J$5:$J301))</f>
        <v/>
      </c>
      <c r="M301" s="12"/>
      <c r="N301" s="15" t="str">
        <f aca="false">IF($B301="","",IF(NOT(ISNUMBER($B301)),"日期格式不对",IF($C301="","未选资金账户",IF(AND(N($I301)=0,N($J301)=0),"收支都为空",IF(AND(N($I301)&gt;0,N($J301)&gt;0),"收支不能同时填",IF(AND($D301&lt;&gt;"",LEFT($O301,1)="⚠"),"项目编号不存在",IF(AND($M301="是",$F301=""),"工程回款必须填往来单位","√")))))))</f>
        <v/>
      </c>
      <c r="O301" s="16" t="str">
        <f aca="false">IF($D301="","",IFERROR(INDEX(对照清单!$B$5:$B$60,MATCH($D301,对照清单!$A$5:$A$60,0)),"⚠编号不存在"))</f>
        <v/>
      </c>
      <c r="P301" s="10" t="str">
        <f aca="false">IF($B301="","",IF(ISNUMBER($B301),TEXT($B301,"yyyy-mm"),"日期非法"))</f>
        <v/>
      </c>
      <c r="Q301" s="10" t="str">
        <f aca="false">IF($B301="","",IF(ISNUMBER($B301),YEAR($B301),"日期非法"))</f>
        <v/>
      </c>
    </row>
    <row r="302" customFormat="false" ht="15.75" hidden="false" customHeight="true" outlineLevel="0" collapsed="false">
      <c r="A302" s="10" t="str">
        <f aca="false">IF($B302="","",ROW()-4)</f>
        <v/>
      </c>
      <c r="B302" s="11"/>
      <c r="C302" s="12"/>
      <c r="D302" s="12"/>
      <c r="E302" s="12"/>
      <c r="F302" s="12"/>
      <c r="G302" s="12"/>
      <c r="H302" s="13"/>
      <c r="I302" s="4"/>
      <c r="J302" s="4"/>
      <c r="K302" s="14" t="str">
        <f aca="false">IF($B302="","",IF($C302="泓普",$C$2,IF($C302="仟茂",$E$2,IF($C302="现金",$G$2,0)))+SUMIFS($I$5:$I302,$C$5:$C302,$C302)-SUMIFS($J$5:$J302,$C$5:$C302,$C302))</f>
        <v/>
      </c>
      <c r="L302" s="14" t="str">
        <f aca="false">IF($B302="","",$C$2+$E$2+$G$2+SUM($I$5:$I302)-SUM($J$5:$J302))</f>
        <v/>
      </c>
      <c r="M302" s="12"/>
      <c r="N302" s="15" t="str">
        <f aca="false">IF($B302="","",IF(NOT(ISNUMBER($B302)),"日期格式不对",IF($C302="","未选资金账户",IF(AND(N($I302)=0,N($J302)=0),"收支都为空",IF(AND(N($I302)&gt;0,N($J302)&gt;0),"收支不能同时填",IF(AND($D302&lt;&gt;"",LEFT($O302,1)="⚠"),"项目编号不存在",IF(AND($M302="是",$F302=""),"工程回款必须填往来单位","√")))))))</f>
        <v/>
      </c>
      <c r="O302" s="16" t="str">
        <f aca="false">IF($D302="","",IFERROR(INDEX(对照清单!$B$5:$B$60,MATCH($D302,对照清单!$A$5:$A$60,0)),"⚠编号不存在"))</f>
        <v/>
      </c>
      <c r="P302" s="10" t="str">
        <f aca="false">IF($B302="","",IF(ISNUMBER($B302),TEXT($B302,"yyyy-mm"),"日期非法"))</f>
        <v/>
      </c>
      <c r="Q302" s="10" t="str">
        <f aca="false">IF($B302="","",IF(ISNUMBER($B302),YEAR($B302),"日期非法"))</f>
        <v/>
      </c>
    </row>
    <row r="303" customFormat="false" ht="15.75" hidden="false" customHeight="true" outlineLevel="0" collapsed="false">
      <c r="A303" s="10" t="str">
        <f aca="false">IF($B303="","",ROW()-4)</f>
        <v/>
      </c>
      <c r="B303" s="11"/>
      <c r="C303" s="12"/>
      <c r="D303" s="12"/>
      <c r="E303" s="12"/>
      <c r="F303" s="12"/>
      <c r="G303" s="12"/>
      <c r="H303" s="13"/>
      <c r="I303" s="4"/>
      <c r="J303" s="4"/>
      <c r="K303" s="14" t="str">
        <f aca="false">IF($B303="","",IF($C303="泓普",$C$2,IF($C303="仟茂",$E$2,IF($C303="现金",$G$2,0)))+SUMIFS($I$5:$I303,$C$5:$C303,$C303)-SUMIFS($J$5:$J303,$C$5:$C303,$C303))</f>
        <v/>
      </c>
      <c r="L303" s="14" t="str">
        <f aca="false">IF($B303="","",$C$2+$E$2+$G$2+SUM($I$5:$I303)-SUM($J$5:$J303))</f>
        <v/>
      </c>
      <c r="M303" s="12"/>
      <c r="N303" s="15" t="str">
        <f aca="false">IF($B303="","",IF(NOT(ISNUMBER($B303)),"日期格式不对",IF($C303="","未选资金账户",IF(AND(N($I303)=0,N($J303)=0),"收支都为空",IF(AND(N($I303)&gt;0,N($J303)&gt;0),"收支不能同时填",IF(AND($D303&lt;&gt;"",LEFT($O303,1)="⚠"),"项目编号不存在",IF(AND($M303="是",$F303=""),"工程回款必须填往来单位","√")))))))</f>
        <v/>
      </c>
      <c r="O303" s="16" t="str">
        <f aca="false">IF($D303="","",IFERROR(INDEX(对照清单!$B$5:$B$60,MATCH($D303,对照清单!$A$5:$A$60,0)),"⚠编号不存在"))</f>
        <v/>
      </c>
      <c r="P303" s="10" t="str">
        <f aca="false">IF($B303="","",IF(ISNUMBER($B303),TEXT($B303,"yyyy-mm"),"日期非法"))</f>
        <v/>
      </c>
      <c r="Q303" s="10" t="str">
        <f aca="false">IF($B303="","",IF(ISNUMBER($B303),YEAR($B303),"日期非法"))</f>
        <v/>
      </c>
    </row>
    <row r="304" customFormat="false" ht="15.75" hidden="false" customHeight="true" outlineLevel="0" collapsed="false">
      <c r="A304" s="10" t="str">
        <f aca="false">IF($B304="","",ROW()-4)</f>
        <v/>
      </c>
      <c r="B304" s="11"/>
      <c r="C304" s="12"/>
      <c r="D304" s="12"/>
      <c r="E304" s="12"/>
      <c r="F304" s="12"/>
      <c r="G304" s="12"/>
      <c r="H304" s="13"/>
      <c r="I304" s="4"/>
      <c r="J304" s="4"/>
      <c r="K304" s="14" t="str">
        <f aca="false">IF($B304="","",IF($C304="泓普",$C$2,IF($C304="仟茂",$E$2,IF($C304="现金",$G$2,0)))+SUMIFS($I$5:$I304,$C$5:$C304,$C304)-SUMIFS($J$5:$J304,$C$5:$C304,$C304))</f>
        <v/>
      </c>
      <c r="L304" s="14" t="str">
        <f aca="false">IF($B304="","",$C$2+$E$2+$G$2+SUM($I$5:$I304)-SUM($J$5:$J304))</f>
        <v/>
      </c>
      <c r="M304" s="12"/>
      <c r="N304" s="15" t="str">
        <f aca="false">IF($B304="","",IF(NOT(ISNUMBER($B304)),"日期格式不对",IF($C304="","未选资金账户",IF(AND(N($I304)=0,N($J304)=0),"收支都为空",IF(AND(N($I304)&gt;0,N($J304)&gt;0),"收支不能同时填",IF(AND($D304&lt;&gt;"",LEFT($O304,1)="⚠"),"项目编号不存在",IF(AND($M304="是",$F304=""),"工程回款必须填往来单位","√")))))))</f>
        <v/>
      </c>
      <c r="O304" s="16" t="str">
        <f aca="false">IF($D304="","",IFERROR(INDEX(对照清单!$B$5:$B$60,MATCH($D304,对照清单!$A$5:$A$60,0)),"⚠编号不存在"))</f>
        <v/>
      </c>
      <c r="P304" s="10" t="str">
        <f aca="false">IF($B304="","",IF(ISNUMBER($B304),TEXT($B304,"yyyy-mm"),"日期非法"))</f>
        <v/>
      </c>
      <c r="Q304" s="10" t="str">
        <f aca="false">IF($B304="","",IF(ISNUMBER($B304),YEAR($B304),"日期非法"))</f>
        <v/>
      </c>
    </row>
    <row r="305" customFormat="false" ht="15.75" hidden="false" customHeight="true" outlineLevel="0" collapsed="false">
      <c r="A305" s="10" t="str">
        <f aca="false">IF($B305="","",ROW()-4)</f>
        <v/>
      </c>
      <c r="B305" s="11"/>
      <c r="C305" s="12"/>
      <c r="D305" s="12"/>
      <c r="E305" s="12"/>
      <c r="F305" s="12"/>
      <c r="G305" s="12"/>
      <c r="H305" s="13"/>
      <c r="I305" s="4"/>
      <c r="J305" s="4"/>
      <c r="K305" s="14" t="str">
        <f aca="false">IF($B305="","",IF($C305="泓普",$C$2,IF($C305="仟茂",$E$2,IF($C305="现金",$G$2,0)))+SUMIFS($I$5:$I305,$C$5:$C305,$C305)-SUMIFS($J$5:$J305,$C$5:$C305,$C305))</f>
        <v/>
      </c>
      <c r="L305" s="14" t="str">
        <f aca="false">IF($B305="","",$C$2+$E$2+$G$2+SUM($I$5:$I305)-SUM($J$5:$J305))</f>
        <v/>
      </c>
      <c r="M305" s="12"/>
      <c r="N305" s="15" t="str">
        <f aca="false">IF($B305="","",IF(NOT(ISNUMBER($B305)),"日期格式不对",IF($C305="","未选资金账户",IF(AND(N($I305)=0,N($J305)=0),"收支都为空",IF(AND(N($I305)&gt;0,N($J305)&gt;0),"收支不能同时填",IF(AND($D305&lt;&gt;"",LEFT($O305,1)="⚠"),"项目编号不存在",IF(AND($M305="是",$F305=""),"工程回款必须填往来单位","√")))))))</f>
        <v/>
      </c>
      <c r="O305" s="16" t="str">
        <f aca="false">IF($D305="","",IFERROR(INDEX(对照清单!$B$5:$B$60,MATCH($D305,对照清单!$A$5:$A$60,0)),"⚠编号不存在"))</f>
        <v/>
      </c>
      <c r="P305" s="10" t="str">
        <f aca="false">IF($B305="","",IF(ISNUMBER($B305),TEXT($B305,"yyyy-mm"),"日期非法"))</f>
        <v/>
      </c>
      <c r="Q305" s="10" t="str">
        <f aca="false">IF($B305="","",IF(ISNUMBER($B305),YEAR($B305),"日期非法"))</f>
        <v/>
      </c>
    </row>
    <row r="306" customFormat="false" ht="15.75" hidden="false" customHeight="true" outlineLevel="0" collapsed="false">
      <c r="A306" s="10" t="str">
        <f aca="false">IF($B306="","",ROW()-4)</f>
        <v/>
      </c>
      <c r="B306" s="11"/>
      <c r="C306" s="12"/>
      <c r="D306" s="12"/>
      <c r="E306" s="12"/>
      <c r="F306" s="12"/>
      <c r="G306" s="12"/>
      <c r="H306" s="13"/>
      <c r="I306" s="4"/>
      <c r="J306" s="4"/>
      <c r="K306" s="14" t="str">
        <f aca="false">IF($B306="","",IF($C306="泓普",$C$2,IF($C306="仟茂",$E$2,IF($C306="现金",$G$2,0)))+SUMIFS($I$5:$I306,$C$5:$C306,$C306)-SUMIFS($J$5:$J306,$C$5:$C306,$C306))</f>
        <v/>
      </c>
      <c r="L306" s="14" t="str">
        <f aca="false">IF($B306="","",$C$2+$E$2+$G$2+SUM($I$5:$I306)-SUM($J$5:$J306))</f>
        <v/>
      </c>
      <c r="M306" s="12"/>
      <c r="N306" s="15" t="str">
        <f aca="false">IF($B306="","",IF(NOT(ISNUMBER($B306)),"日期格式不对",IF($C306="","未选资金账户",IF(AND(N($I306)=0,N($J306)=0),"收支都为空",IF(AND(N($I306)&gt;0,N($J306)&gt;0),"收支不能同时填",IF(AND($D306&lt;&gt;"",LEFT($O306,1)="⚠"),"项目编号不存在",IF(AND($M306="是",$F306=""),"工程回款必须填往来单位","√")))))))</f>
        <v/>
      </c>
      <c r="O306" s="16" t="str">
        <f aca="false">IF($D306="","",IFERROR(INDEX(对照清单!$B$5:$B$60,MATCH($D306,对照清单!$A$5:$A$60,0)),"⚠编号不存在"))</f>
        <v/>
      </c>
      <c r="P306" s="10" t="str">
        <f aca="false">IF($B306="","",IF(ISNUMBER($B306),TEXT($B306,"yyyy-mm"),"日期非法"))</f>
        <v/>
      </c>
      <c r="Q306" s="10" t="str">
        <f aca="false">IF($B306="","",IF(ISNUMBER($B306),YEAR($B306),"日期非法"))</f>
        <v/>
      </c>
    </row>
    <row r="307" customFormat="false" ht="15.75" hidden="false" customHeight="true" outlineLevel="0" collapsed="false">
      <c r="A307" s="10" t="str">
        <f aca="false">IF($B307="","",ROW()-4)</f>
        <v/>
      </c>
      <c r="B307" s="11"/>
      <c r="C307" s="12"/>
      <c r="D307" s="12"/>
      <c r="E307" s="12"/>
      <c r="F307" s="12"/>
      <c r="G307" s="12"/>
      <c r="H307" s="13"/>
      <c r="I307" s="4"/>
      <c r="J307" s="4"/>
      <c r="K307" s="14" t="str">
        <f aca="false">IF($B307="","",IF($C307="泓普",$C$2,IF($C307="仟茂",$E$2,IF($C307="现金",$G$2,0)))+SUMIFS($I$5:$I307,$C$5:$C307,$C307)-SUMIFS($J$5:$J307,$C$5:$C307,$C307))</f>
        <v/>
      </c>
      <c r="L307" s="14" t="str">
        <f aca="false">IF($B307="","",$C$2+$E$2+$G$2+SUM($I$5:$I307)-SUM($J$5:$J307))</f>
        <v/>
      </c>
      <c r="M307" s="12"/>
      <c r="N307" s="15" t="str">
        <f aca="false">IF($B307="","",IF(NOT(ISNUMBER($B307)),"日期格式不对",IF($C307="","未选资金账户",IF(AND(N($I307)=0,N($J307)=0),"收支都为空",IF(AND(N($I307)&gt;0,N($J307)&gt;0),"收支不能同时填",IF(AND($D307&lt;&gt;"",LEFT($O307,1)="⚠"),"项目编号不存在",IF(AND($M307="是",$F307=""),"工程回款必须填往来单位","√")))))))</f>
        <v/>
      </c>
      <c r="O307" s="16" t="str">
        <f aca="false">IF($D307="","",IFERROR(INDEX(对照清单!$B$5:$B$60,MATCH($D307,对照清单!$A$5:$A$60,0)),"⚠编号不存在"))</f>
        <v/>
      </c>
      <c r="P307" s="10" t="str">
        <f aca="false">IF($B307="","",IF(ISNUMBER($B307),TEXT($B307,"yyyy-mm"),"日期非法"))</f>
        <v/>
      </c>
      <c r="Q307" s="10" t="str">
        <f aca="false">IF($B307="","",IF(ISNUMBER($B307),YEAR($B307),"日期非法"))</f>
        <v/>
      </c>
    </row>
    <row r="308" customFormat="false" ht="15.75" hidden="false" customHeight="true" outlineLevel="0" collapsed="false">
      <c r="A308" s="10" t="str">
        <f aca="false">IF($B308="","",ROW()-4)</f>
        <v/>
      </c>
      <c r="B308" s="11"/>
      <c r="C308" s="12"/>
      <c r="D308" s="12"/>
      <c r="E308" s="12"/>
      <c r="F308" s="12"/>
      <c r="G308" s="12"/>
      <c r="H308" s="13"/>
      <c r="I308" s="4"/>
      <c r="J308" s="4"/>
      <c r="K308" s="14" t="str">
        <f aca="false">IF($B308="","",IF($C308="泓普",$C$2,IF($C308="仟茂",$E$2,IF($C308="现金",$G$2,0)))+SUMIFS($I$5:$I308,$C$5:$C308,$C308)-SUMIFS($J$5:$J308,$C$5:$C308,$C308))</f>
        <v/>
      </c>
      <c r="L308" s="14" t="str">
        <f aca="false">IF($B308="","",$C$2+$E$2+$G$2+SUM($I$5:$I308)-SUM($J$5:$J308))</f>
        <v/>
      </c>
      <c r="M308" s="12"/>
      <c r="N308" s="15" t="str">
        <f aca="false">IF($B308="","",IF(NOT(ISNUMBER($B308)),"日期格式不对",IF($C308="","未选资金账户",IF(AND(N($I308)=0,N($J308)=0),"收支都为空",IF(AND(N($I308)&gt;0,N($J308)&gt;0),"收支不能同时填",IF(AND($D308&lt;&gt;"",LEFT($O308,1)="⚠"),"项目编号不存在",IF(AND($M308="是",$F308=""),"工程回款必须填往来单位","√")))))))</f>
        <v/>
      </c>
      <c r="O308" s="16" t="str">
        <f aca="false">IF($D308="","",IFERROR(INDEX(对照清单!$B$5:$B$60,MATCH($D308,对照清单!$A$5:$A$60,0)),"⚠编号不存在"))</f>
        <v/>
      </c>
      <c r="P308" s="10" t="str">
        <f aca="false">IF($B308="","",IF(ISNUMBER($B308),TEXT($B308,"yyyy-mm"),"日期非法"))</f>
        <v/>
      </c>
      <c r="Q308" s="10" t="str">
        <f aca="false">IF($B308="","",IF(ISNUMBER($B308),YEAR($B308),"日期非法"))</f>
        <v/>
      </c>
    </row>
    <row r="309" customFormat="false" ht="15.75" hidden="false" customHeight="true" outlineLevel="0" collapsed="false">
      <c r="A309" s="10" t="str">
        <f aca="false">IF($B309="","",ROW()-4)</f>
        <v/>
      </c>
      <c r="B309" s="11"/>
      <c r="C309" s="12"/>
      <c r="D309" s="12"/>
      <c r="E309" s="12"/>
      <c r="F309" s="12"/>
      <c r="G309" s="12"/>
      <c r="H309" s="13"/>
      <c r="I309" s="4"/>
      <c r="J309" s="4"/>
      <c r="K309" s="14" t="str">
        <f aca="false">IF($B309="","",IF($C309="泓普",$C$2,IF($C309="仟茂",$E$2,IF($C309="现金",$G$2,0)))+SUMIFS($I$5:$I309,$C$5:$C309,$C309)-SUMIFS($J$5:$J309,$C$5:$C309,$C309))</f>
        <v/>
      </c>
      <c r="L309" s="14" t="str">
        <f aca="false">IF($B309="","",$C$2+$E$2+$G$2+SUM($I$5:$I309)-SUM($J$5:$J309))</f>
        <v/>
      </c>
      <c r="M309" s="12"/>
      <c r="N309" s="15" t="str">
        <f aca="false">IF($B309="","",IF(NOT(ISNUMBER($B309)),"日期格式不对",IF($C309="","未选资金账户",IF(AND(N($I309)=0,N($J309)=0),"收支都为空",IF(AND(N($I309)&gt;0,N($J309)&gt;0),"收支不能同时填",IF(AND($D309&lt;&gt;"",LEFT($O309,1)="⚠"),"项目编号不存在",IF(AND($M309="是",$F309=""),"工程回款必须填往来单位","√")))))))</f>
        <v/>
      </c>
      <c r="O309" s="16" t="str">
        <f aca="false">IF($D309="","",IFERROR(INDEX(对照清单!$B$5:$B$60,MATCH($D309,对照清单!$A$5:$A$60,0)),"⚠编号不存在"))</f>
        <v/>
      </c>
      <c r="P309" s="10" t="str">
        <f aca="false">IF($B309="","",IF(ISNUMBER($B309),TEXT($B309,"yyyy-mm"),"日期非法"))</f>
        <v/>
      </c>
      <c r="Q309" s="10" t="str">
        <f aca="false">IF($B309="","",IF(ISNUMBER($B309),YEAR($B309),"日期非法"))</f>
        <v/>
      </c>
    </row>
    <row r="310" customFormat="false" ht="15.75" hidden="false" customHeight="true" outlineLevel="0" collapsed="false">
      <c r="A310" s="10" t="str">
        <f aca="false">IF($B310="","",ROW()-4)</f>
        <v/>
      </c>
      <c r="B310" s="11"/>
      <c r="C310" s="12"/>
      <c r="D310" s="12"/>
      <c r="E310" s="12"/>
      <c r="F310" s="12"/>
      <c r="G310" s="12"/>
      <c r="H310" s="13"/>
      <c r="I310" s="4"/>
      <c r="J310" s="4"/>
      <c r="K310" s="14" t="str">
        <f aca="false">IF($B310="","",IF($C310="泓普",$C$2,IF($C310="仟茂",$E$2,IF($C310="现金",$G$2,0)))+SUMIFS($I$5:$I310,$C$5:$C310,$C310)-SUMIFS($J$5:$J310,$C$5:$C310,$C310))</f>
        <v/>
      </c>
      <c r="L310" s="14" t="str">
        <f aca="false">IF($B310="","",$C$2+$E$2+$G$2+SUM($I$5:$I310)-SUM($J$5:$J310))</f>
        <v/>
      </c>
      <c r="M310" s="12"/>
      <c r="N310" s="15" t="str">
        <f aca="false">IF($B310="","",IF(NOT(ISNUMBER($B310)),"日期格式不对",IF($C310="","未选资金账户",IF(AND(N($I310)=0,N($J310)=0),"收支都为空",IF(AND(N($I310)&gt;0,N($J310)&gt;0),"收支不能同时填",IF(AND($D310&lt;&gt;"",LEFT($O310,1)="⚠"),"项目编号不存在",IF(AND($M310="是",$F310=""),"工程回款必须填往来单位","√")))))))</f>
        <v/>
      </c>
      <c r="O310" s="16" t="str">
        <f aca="false">IF($D310="","",IFERROR(INDEX(对照清单!$B$5:$B$60,MATCH($D310,对照清单!$A$5:$A$60,0)),"⚠编号不存在"))</f>
        <v/>
      </c>
      <c r="P310" s="10" t="str">
        <f aca="false">IF($B310="","",IF(ISNUMBER($B310),TEXT($B310,"yyyy-mm"),"日期非法"))</f>
        <v/>
      </c>
      <c r="Q310" s="10" t="str">
        <f aca="false">IF($B310="","",IF(ISNUMBER($B310),YEAR($B310),"日期非法"))</f>
        <v/>
      </c>
    </row>
    <row r="311" customFormat="false" ht="15.75" hidden="false" customHeight="true" outlineLevel="0" collapsed="false">
      <c r="A311" s="10" t="str">
        <f aca="false">IF($B311="","",ROW()-4)</f>
        <v/>
      </c>
      <c r="B311" s="11"/>
      <c r="C311" s="12"/>
      <c r="D311" s="12"/>
      <c r="E311" s="12"/>
      <c r="F311" s="12"/>
      <c r="G311" s="12"/>
      <c r="H311" s="13"/>
      <c r="I311" s="4"/>
      <c r="J311" s="4"/>
      <c r="K311" s="14" t="str">
        <f aca="false">IF($B311="","",IF($C311="泓普",$C$2,IF($C311="仟茂",$E$2,IF($C311="现金",$G$2,0)))+SUMIFS($I$5:$I311,$C$5:$C311,$C311)-SUMIFS($J$5:$J311,$C$5:$C311,$C311))</f>
        <v/>
      </c>
      <c r="L311" s="14" t="str">
        <f aca="false">IF($B311="","",$C$2+$E$2+$G$2+SUM($I$5:$I311)-SUM($J$5:$J311))</f>
        <v/>
      </c>
      <c r="M311" s="12"/>
      <c r="N311" s="15" t="str">
        <f aca="false">IF($B311="","",IF(NOT(ISNUMBER($B311)),"日期格式不对",IF($C311="","未选资金账户",IF(AND(N($I311)=0,N($J311)=0),"收支都为空",IF(AND(N($I311)&gt;0,N($J311)&gt;0),"收支不能同时填",IF(AND($D311&lt;&gt;"",LEFT($O311,1)="⚠"),"项目编号不存在",IF(AND($M311="是",$F311=""),"工程回款必须填往来单位","√")))))))</f>
        <v/>
      </c>
      <c r="O311" s="16" t="str">
        <f aca="false">IF($D311="","",IFERROR(INDEX(对照清单!$B$5:$B$60,MATCH($D311,对照清单!$A$5:$A$60,0)),"⚠编号不存在"))</f>
        <v/>
      </c>
      <c r="P311" s="10" t="str">
        <f aca="false">IF($B311="","",IF(ISNUMBER($B311),TEXT($B311,"yyyy-mm"),"日期非法"))</f>
        <v/>
      </c>
      <c r="Q311" s="10" t="str">
        <f aca="false">IF($B311="","",IF(ISNUMBER($B311),YEAR($B311),"日期非法"))</f>
        <v/>
      </c>
    </row>
    <row r="312" customFormat="false" ht="15.75" hidden="false" customHeight="true" outlineLevel="0" collapsed="false">
      <c r="A312" s="10" t="str">
        <f aca="false">IF($B312="","",ROW()-4)</f>
        <v/>
      </c>
      <c r="B312" s="11"/>
      <c r="C312" s="12"/>
      <c r="D312" s="12"/>
      <c r="E312" s="12"/>
      <c r="F312" s="12"/>
      <c r="G312" s="12"/>
      <c r="H312" s="13"/>
      <c r="I312" s="4"/>
      <c r="J312" s="4"/>
      <c r="K312" s="14" t="str">
        <f aca="false">IF($B312="","",IF($C312="泓普",$C$2,IF($C312="仟茂",$E$2,IF($C312="现金",$G$2,0)))+SUMIFS($I$5:$I312,$C$5:$C312,$C312)-SUMIFS($J$5:$J312,$C$5:$C312,$C312))</f>
        <v/>
      </c>
      <c r="L312" s="14" t="str">
        <f aca="false">IF($B312="","",$C$2+$E$2+$G$2+SUM($I$5:$I312)-SUM($J$5:$J312))</f>
        <v/>
      </c>
      <c r="M312" s="12"/>
      <c r="N312" s="15" t="str">
        <f aca="false">IF($B312="","",IF(NOT(ISNUMBER($B312)),"日期格式不对",IF($C312="","未选资金账户",IF(AND(N($I312)=0,N($J312)=0),"收支都为空",IF(AND(N($I312)&gt;0,N($J312)&gt;0),"收支不能同时填",IF(AND($D312&lt;&gt;"",LEFT($O312,1)="⚠"),"项目编号不存在",IF(AND($M312="是",$F312=""),"工程回款必须填往来单位","√")))))))</f>
        <v/>
      </c>
      <c r="O312" s="16" t="str">
        <f aca="false">IF($D312="","",IFERROR(INDEX(对照清单!$B$5:$B$60,MATCH($D312,对照清单!$A$5:$A$60,0)),"⚠编号不存在"))</f>
        <v/>
      </c>
      <c r="P312" s="10" t="str">
        <f aca="false">IF($B312="","",IF(ISNUMBER($B312),TEXT($B312,"yyyy-mm"),"日期非法"))</f>
        <v/>
      </c>
      <c r="Q312" s="10" t="str">
        <f aca="false">IF($B312="","",IF(ISNUMBER($B312),YEAR($B312),"日期非法"))</f>
        <v/>
      </c>
    </row>
    <row r="313" customFormat="false" ht="15.75" hidden="false" customHeight="true" outlineLevel="0" collapsed="false">
      <c r="A313" s="10" t="str">
        <f aca="false">IF($B313="","",ROW()-4)</f>
        <v/>
      </c>
      <c r="B313" s="11"/>
      <c r="C313" s="12"/>
      <c r="D313" s="12"/>
      <c r="E313" s="12"/>
      <c r="F313" s="12"/>
      <c r="G313" s="12"/>
      <c r="H313" s="13"/>
      <c r="I313" s="4"/>
      <c r="J313" s="4"/>
      <c r="K313" s="14" t="str">
        <f aca="false">IF($B313="","",IF($C313="泓普",$C$2,IF($C313="仟茂",$E$2,IF($C313="现金",$G$2,0)))+SUMIFS($I$5:$I313,$C$5:$C313,$C313)-SUMIFS($J$5:$J313,$C$5:$C313,$C313))</f>
        <v/>
      </c>
      <c r="L313" s="14" t="str">
        <f aca="false">IF($B313="","",$C$2+$E$2+$G$2+SUM($I$5:$I313)-SUM($J$5:$J313))</f>
        <v/>
      </c>
      <c r="M313" s="12"/>
      <c r="N313" s="15" t="str">
        <f aca="false">IF($B313="","",IF(NOT(ISNUMBER($B313)),"日期格式不对",IF($C313="","未选资金账户",IF(AND(N($I313)=0,N($J313)=0),"收支都为空",IF(AND(N($I313)&gt;0,N($J313)&gt;0),"收支不能同时填",IF(AND($D313&lt;&gt;"",LEFT($O313,1)="⚠"),"项目编号不存在",IF(AND($M313="是",$F313=""),"工程回款必须填往来单位","√")))))))</f>
        <v/>
      </c>
      <c r="O313" s="16" t="str">
        <f aca="false">IF($D313="","",IFERROR(INDEX(对照清单!$B$5:$B$60,MATCH($D313,对照清单!$A$5:$A$60,0)),"⚠编号不存在"))</f>
        <v/>
      </c>
      <c r="P313" s="10" t="str">
        <f aca="false">IF($B313="","",IF(ISNUMBER($B313),TEXT($B313,"yyyy-mm"),"日期非法"))</f>
        <v/>
      </c>
      <c r="Q313" s="10" t="str">
        <f aca="false">IF($B313="","",IF(ISNUMBER($B313),YEAR($B313),"日期非法"))</f>
        <v/>
      </c>
    </row>
    <row r="314" customFormat="false" ht="15.75" hidden="false" customHeight="true" outlineLevel="0" collapsed="false">
      <c r="A314" s="10" t="str">
        <f aca="false">IF($B314="","",ROW()-4)</f>
        <v/>
      </c>
      <c r="B314" s="11"/>
      <c r="C314" s="12"/>
      <c r="D314" s="12"/>
      <c r="E314" s="12"/>
      <c r="F314" s="12"/>
      <c r="G314" s="12"/>
      <c r="H314" s="13"/>
      <c r="I314" s="4"/>
      <c r="J314" s="4"/>
      <c r="K314" s="14" t="str">
        <f aca="false">IF($B314="","",IF($C314="泓普",$C$2,IF($C314="仟茂",$E$2,IF($C314="现金",$G$2,0)))+SUMIFS($I$5:$I314,$C$5:$C314,$C314)-SUMIFS($J$5:$J314,$C$5:$C314,$C314))</f>
        <v/>
      </c>
      <c r="L314" s="14" t="str">
        <f aca="false">IF($B314="","",$C$2+$E$2+$G$2+SUM($I$5:$I314)-SUM($J$5:$J314))</f>
        <v/>
      </c>
      <c r="M314" s="12"/>
      <c r="N314" s="15" t="str">
        <f aca="false">IF($B314="","",IF(NOT(ISNUMBER($B314)),"日期格式不对",IF($C314="","未选资金账户",IF(AND(N($I314)=0,N($J314)=0),"收支都为空",IF(AND(N($I314)&gt;0,N($J314)&gt;0),"收支不能同时填",IF(AND($D314&lt;&gt;"",LEFT($O314,1)="⚠"),"项目编号不存在",IF(AND($M314="是",$F314=""),"工程回款必须填往来单位","√")))))))</f>
        <v/>
      </c>
      <c r="O314" s="16" t="str">
        <f aca="false">IF($D314="","",IFERROR(INDEX(对照清单!$B$5:$B$60,MATCH($D314,对照清单!$A$5:$A$60,0)),"⚠编号不存在"))</f>
        <v/>
      </c>
      <c r="P314" s="10" t="str">
        <f aca="false">IF($B314="","",IF(ISNUMBER($B314),TEXT($B314,"yyyy-mm"),"日期非法"))</f>
        <v/>
      </c>
      <c r="Q314" s="10" t="str">
        <f aca="false">IF($B314="","",IF(ISNUMBER($B314),YEAR($B314),"日期非法"))</f>
        <v/>
      </c>
    </row>
    <row r="315" customFormat="false" ht="15.75" hidden="false" customHeight="true" outlineLevel="0" collapsed="false">
      <c r="A315" s="10" t="str">
        <f aca="false">IF($B315="","",ROW()-4)</f>
        <v/>
      </c>
      <c r="B315" s="11"/>
      <c r="C315" s="12"/>
      <c r="D315" s="12"/>
      <c r="E315" s="12"/>
      <c r="F315" s="12"/>
      <c r="G315" s="12"/>
      <c r="H315" s="13"/>
      <c r="I315" s="4"/>
      <c r="J315" s="4"/>
      <c r="K315" s="14" t="str">
        <f aca="false">IF($B315="","",IF($C315="泓普",$C$2,IF($C315="仟茂",$E$2,IF($C315="现金",$G$2,0)))+SUMIFS($I$5:$I315,$C$5:$C315,$C315)-SUMIFS($J$5:$J315,$C$5:$C315,$C315))</f>
        <v/>
      </c>
      <c r="L315" s="14" t="str">
        <f aca="false">IF($B315="","",$C$2+$E$2+$G$2+SUM($I$5:$I315)-SUM($J$5:$J315))</f>
        <v/>
      </c>
      <c r="M315" s="12"/>
      <c r="N315" s="15" t="str">
        <f aca="false">IF($B315="","",IF(NOT(ISNUMBER($B315)),"日期格式不对",IF($C315="","未选资金账户",IF(AND(N($I315)=0,N($J315)=0),"收支都为空",IF(AND(N($I315)&gt;0,N($J315)&gt;0),"收支不能同时填",IF(AND($D315&lt;&gt;"",LEFT($O315,1)="⚠"),"项目编号不存在",IF(AND($M315="是",$F315=""),"工程回款必须填往来单位","√")))))))</f>
        <v/>
      </c>
      <c r="O315" s="16" t="str">
        <f aca="false">IF($D315="","",IFERROR(INDEX(对照清单!$B$5:$B$60,MATCH($D315,对照清单!$A$5:$A$60,0)),"⚠编号不存在"))</f>
        <v/>
      </c>
      <c r="P315" s="10" t="str">
        <f aca="false">IF($B315="","",IF(ISNUMBER($B315),TEXT($B315,"yyyy-mm"),"日期非法"))</f>
        <v/>
      </c>
      <c r="Q315" s="10" t="str">
        <f aca="false">IF($B315="","",IF(ISNUMBER($B315),YEAR($B315),"日期非法"))</f>
        <v/>
      </c>
    </row>
    <row r="316" customFormat="false" ht="15.75" hidden="false" customHeight="true" outlineLevel="0" collapsed="false">
      <c r="A316" s="10" t="str">
        <f aca="false">IF($B316="","",ROW()-4)</f>
        <v/>
      </c>
      <c r="B316" s="11"/>
      <c r="C316" s="12"/>
      <c r="D316" s="12"/>
      <c r="E316" s="12"/>
      <c r="F316" s="12"/>
      <c r="G316" s="12"/>
      <c r="H316" s="13"/>
      <c r="I316" s="4"/>
      <c r="J316" s="4"/>
      <c r="K316" s="14" t="str">
        <f aca="false">IF($B316="","",IF($C316="泓普",$C$2,IF($C316="仟茂",$E$2,IF($C316="现金",$G$2,0)))+SUMIFS($I$5:$I316,$C$5:$C316,$C316)-SUMIFS($J$5:$J316,$C$5:$C316,$C316))</f>
        <v/>
      </c>
      <c r="L316" s="14" t="str">
        <f aca="false">IF($B316="","",$C$2+$E$2+$G$2+SUM($I$5:$I316)-SUM($J$5:$J316))</f>
        <v/>
      </c>
      <c r="M316" s="12"/>
      <c r="N316" s="15" t="str">
        <f aca="false">IF($B316="","",IF(NOT(ISNUMBER($B316)),"日期格式不对",IF($C316="","未选资金账户",IF(AND(N($I316)=0,N($J316)=0),"收支都为空",IF(AND(N($I316)&gt;0,N($J316)&gt;0),"收支不能同时填",IF(AND($D316&lt;&gt;"",LEFT($O316,1)="⚠"),"项目编号不存在",IF(AND($M316="是",$F316=""),"工程回款必须填往来单位","√")))))))</f>
        <v/>
      </c>
      <c r="O316" s="16" t="str">
        <f aca="false">IF($D316="","",IFERROR(INDEX(对照清单!$B$5:$B$60,MATCH($D316,对照清单!$A$5:$A$60,0)),"⚠编号不存在"))</f>
        <v/>
      </c>
      <c r="P316" s="10" t="str">
        <f aca="false">IF($B316="","",IF(ISNUMBER($B316),TEXT($B316,"yyyy-mm"),"日期非法"))</f>
        <v/>
      </c>
      <c r="Q316" s="10" t="str">
        <f aca="false">IF($B316="","",IF(ISNUMBER($B316),YEAR($B316),"日期非法"))</f>
        <v/>
      </c>
    </row>
    <row r="317" customFormat="false" ht="15.75" hidden="false" customHeight="true" outlineLevel="0" collapsed="false">
      <c r="A317" s="10" t="str">
        <f aca="false">IF($B317="","",ROW()-4)</f>
        <v/>
      </c>
      <c r="B317" s="11"/>
      <c r="C317" s="12"/>
      <c r="D317" s="12"/>
      <c r="E317" s="12"/>
      <c r="F317" s="12"/>
      <c r="G317" s="12"/>
      <c r="H317" s="13"/>
      <c r="I317" s="4"/>
      <c r="J317" s="4"/>
      <c r="K317" s="14" t="str">
        <f aca="false">IF($B317="","",IF($C317="泓普",$C$2,IF($C317="仟茂",$E$2,IF($C317="现金",$G$2,0)))+SUMIFS($I$5:$I317,$C$5:$C317,$C317)-SUMIFS($J$5:$J317,$C$5:$C317,$C317))</f>
        <v/>
      </c>
      <c r="L317" s="14" t="str">
        <f aca="false">IF($B317="","",$C$2+$E$2+$G$2+SUM($I$5:$I317)-SUM($J$5:$J317))</f>
        <v/>
      </c>
      <c r="M317" s="12"/>
      <c r="N317" s="15" t="str">
        <f aca="false">IF($B317="","",IF(NOT(ISNUMBER($B317)),"日期格式不对",IF($C317="","未选资金账户",IF(AND(N($I317)=0,N($J317)=0),"收支都为空",IF(AND(N($I317)&gt;0,N($J317)&gt;0),"收支不能同时填",IF(AND($D317&lt;&gt;"",LEFT($O317,1)="⚠"),"项目编号不存在",IF(AND($M317="是",$F317=""),"工程回款必须填往来单位","√")))))))</f>
        <v/>
      </c>
      <c r="O317" s="16" t="str">
        <f aca="false">IF($D317="","",IFERROR(INDEX(对照清单!$B$5:$B$60,MATCH($D317,对照清单!$A$5:$A$60,0)),"⚠编号不存在"))</f>
        <v/>
      </c>
      <c r="P317" s="10" t="str">
        <f aca="false">IF($B317="","",IF(ISNUMBER($B317),TEXT($B317,"yyyy-mm"),"日期非法"))</f>
        <v/>
      </c>
      <c r="Q317" s="10" t="str">
        <f aca="false">IF($B317="","",IF(ISNUMBER($B317),YEAR($B317),"日期非法"))</f>
        <v/>
      </c>
    </row>
    <row r="318" customFormat="false" ht="15.75" hidden="false" customHeight="true" outlineLevel="0" collapsed="false">
      <c r="A318" s="10" t="str">
        <f aca="false">IF($B318="","",ROW()-4)</f>
        <v/>
      </c>
      <c r="B318" s="11"/>
      <c r="C318" s="12"/>
      <c r="D318" s="12"/>
      <c r="E318" s="12"/>
      <c r="F318" s="12"/>
      <c r="G318" s="12"/>
      <c r="H318" s="13"/>
      <c r="I318" s="4"/>
      <c r="J318" s="4"/>
      <c r="K318" s="14" t="str">
        <f aca="false">IF($B318="","",IF($C318="泓普",$C$2,IF($C318="仟茂",$E$2,IF($C318="现金",$G$2,0)))+SUMIFS($I$5:$I318,$C$5:$C318,$C318)-SUMIFS($J$5:$J318,$C$5:$C318,$C318))</f>
        <v/>
      </c>
      <c r="L318" s="14" t="str">
        <f aca="false">IF($B318="","",$C$2+$E$2+$G$2+SUM($I$5:$I318)-SUM($J$5:$J318))</f>
        <v/>
      </c>
      <c r="M318" s="12"/>
      <c r="N318" s="15" t="str">
        <f aca="false">IF($B318="","",IF(NOT(ISNUMBER($B318)),"日期格式不对",IF($C318="","未选资金账户",IF(AND(N($I318)=0,N($J318)=0),"收支都为空",IF(AND(N($I318)&gt;0,N($J318)&gt;0),"收支不能同时填",IF(AND($D318&lt;&gt;"",LEFT($O318,1)="⚠"),"项目编号不存在",IF(AND($M318="是",$F318=""),"工程回款必须填往来单位","√")))))))</f>
        <v/>
      </c>
      <c r="O318" s="16" t="str">
        <f aca="false">IF($D318="","",IFERROR(INDEX(对照清单!$B$5:$B$60,MATCH($D318,对照清单!$A$5:$A$60,0)),"⚠编号不存在"))</f>
        <v/>
      </c>
      <c r="P318" s="10" t="str">
        <f aca="false">IF($B318="","",IF(ISNUMBER($B318),TEXT($B318,"yyyy-mm"),"日期非法"))</f>
        <v/>
      </c>
      <c r="Q318" s="10" t="str">
        <f aca="false">IF($B318="","",IF(ISNUMBER($B318),YEAR($B318),"日期非法"))</f>
        <v/>
      </c>
    </row>
    <row r="319" customFormat="false" ht="15.75" hidden="false" customHeight="true" outlineLevel="0" collapsed="false">
      <c r="A319" s="10" t="str">
        <f aca="false">IF($B319="","",ROW()-4)</f>
        <v/>
      </c>
      <c r="B319" s="11"/>
      <c r="C319" s="12"/>
      <c r="D319" s="12"/>
      <c r="E319" s="12"/>
      <c r="F319" s="12"/>
      <c r="G319" s="12"/>
      <c r="H319" s="13"/>
      <c r="I319" s="4"/>
      <c r="J319" s="4"/>
      <c r="K319" s="14" t="str">
        <f aca="false">IF($B319="","",IF($C319="泓普",$C$2,IF($C319="仟茂",$E$2,IF($C319="现金",$G$2,0)))+SUMIFS($I$5:$I319,$C$5:$C319,$C319)-SUMIFS($J$5:$J319,$C$5:$C319,$C319))</f>
        <v/>
      </c>
      <c r="L319" s="14" t="str">
        <f aca="false">IF($B319="","",$C$2+$E$2+$G$2+SUM($I$5:$I319)-SUM($J$5:$J319))</f>
        <v/>
      </c>
      <c r="M319" s="12"/>
      <c r="N319" s="15" t="str">
        <f aca="false">IF($B319="","",IF(NOT(ISNUMBER($B319)),"日期格式不对",IF($C319="","未选资金账户",IF(AND(N($I319)=0,N($J319)=0),"收支都为空",IF(AND(N($I319)&gt;0,N($J319)&gt;0),"收支不能同时填",IF(AND($D319&lt;&gt;"",LEFT($O319,1)="⚠"),"项目编号不存在",IF(AND($M319="是",$F319=""),"工程回款必须填往来单位","√")))))))</f>
        <v/>
      </c>
      <c r="O319" s="16" t="str">
        <f aca="false">IF($D319="","",IFERROR(INDEX(对照清单!$B$5:$B$60,MATCH($D319,对照清单!$A$5:$A$60,0)),"⚠编号不存在"))</f>
        <v/>
      </c>
      <c r="P319" s="10" t="str">
        <f aca="false">IF($B319="","",IF(ISNUMBER($B319),TEXT($B319,"yyyy-mm"),"日期非法"))</f>
        <v/>
      </c>
      <c r="Q319" s="10" t="str">
        <f aca="false">IF($B319="","",IF(ISNUMBER($B319),YEAR($B319),"日期非法"))</f>
        <v/>
      </c>
    </row>
    <row r="320" customFormat="false" ht="15.75" hidden="false" customHeight="true" outlineLevel="0" collapsed="false">
      <c r="A320" s="10" t="str">
        <f aca="false">IF($B320="","",ROW()-4)</f>
        <v/>
      </c>
      <c r="B320" s="11"/>
      <c r="C320" s="12"/>
      <c r="D320" s="12"/>
      <c r="E320" s="12"/>
      <c r="F320" s="12"/>
      <c r="G320" s="12"/>
      <c r="H320" s="13"/>
      <c r="I320" s="4"/>
      <c r="J320" s="4"/>
      <c r="K320" s="14" t="str">
        <f aca="false">IF($B320="","",IF($C320="泓普",$C$2,IF($C320="仟茂",$E$2,IF($C320="现金",$G$2,0)))+SUMIFS($I$5:$I320,$C$5:$C320,$C320)-SUMIFS($J$5:$J320,$C$5:$C320,$C320))</f>
        <v/>
      </c>
      <c r="L320" s="14" t="str">
        <f aca="false">IF($B320="","",$C$2+$E$2+$G$2+SUM($I$5:$I320)-SUM($J$5:$J320))</f>
        <v/>
      </c>
      <c r="M320" s="12"/>
      <c r="N320" s="15" t="str">
        <f aca="false">IF($B320="","",IF(NOT(ISNUMBER($B320)),"日期格式不对",IF($C320="","未选资金账户",IF(AND(N($I320)=0,N($J320)=0),"收支都为空",IF(AND(N($I320)&gt;0,N($J320)&gt;0),"收支不能同时填",IF(AND($D320&lt;&gt;"",LEFT($O320,1)="⚠"),"项目编号不存在",IF(AND($M320="是",$F320=""),"工程回款必须填往来单位","√")))))))</f>
        <v/>
      </c>
      <c r="O320" s="16" t="str">
        <f aca="false">IF($D320="","",IFERROR(INDEX(对照清单!$B$5:$B$60,MATCH($D320,对照清单!$A$5:$A$60,0)),"⚠编号不存在"))</f>
        <v/>
      </c>
      <c r="P320" s="10" t="str">
        <f aca="false">IF($B320="","",IF(ISNUMBER($B320),TEXT($B320,"yyyy-mm"),"日期非法"))</f>
        <v/>
      </c>
      <c r="Q320" s="10" t="str">
        <f aca="false">IF($B320="","",IF(ISNUMBER($B320),YEAR($B320),"日期非法"))</f>
        <v/>
      </c>
    </row>
    <row r="321" customFormat="false" ht="15.75" hidden="false" customHeight="true" outlineLevel="0" collapsed="false">
      <c r="A321" s="10" t="str">
        <f aca="false">IF($B321="","",ROW()-4)</f>
        <v/>
      </c>
      <c r="B321" s="11"/>
      <c r="C321" s="12"/>
      <c r="D321" s="12"/>
      <c r="E321" s="12"/>
      <c r="F321" s="12"/>
      <c r="G321" s="12"/>
      <c r="H321" s="13"/>
      <c r="I321" s="4"/>
      <c r="J321" s="4"/>
      <c r="K321" s="14" t="str">
        <f aca="false">IF($B321="","",IF($C321="泓普",$C$2,IF($C321="仟茂",$E$2,IF($C321="现金",$G$2,0)))+SUMIFS($I$5:$I321,$C$5:$C321,$C321)-SUMIFS($J$5:$J321,$C$5:$C321,$C321))</f>
        <v/>
      </c>
      <c r="L321" s="14" t="str">
        <f aca="false">IF($B321="","",$C$2+$E$2+$G$2+SUM($I$5:$I321)-SUM($J$5:$J321))</f>
        <v/>
      </c>
      <c r="M321" s="12"/>
      <c r="N321" s="15" t="str">
        <f aca="false">IF($B321="","",IF(NOT(ISNUMBER($B321)),"日期格式不对",IF($C321="","未选资金账户",IF(AND(N($I321)=0,N($J321)=0),"收支都为空",IF(AND(N($I321)&gt;0,N($J321)&gt;0),"收支不能同时填",IF(AND($D321&lt;&gt;"",LEFT($O321,1)="⚠"),"项目编号不存在",IF(AND($M321="是",$F321=""),"工程回款必须填往来单位","√")))))))</f>
        <v/>
      </c>
      <c r="O321" s="16" t="str">
        <f aca="false">IF($D321="","",IFERROR(INDEX(对照清单!$B$5:$B$60,MATCH($D321,对照清单!$A$5:$A$60,0)),"⚠编号不存在"))</f>
        <v/>
      </c>
      <c r="P321" s="10" t="str">
        <f aca="false">IF($B321="","",IF(ISNUMBER($B321),TEXT($B321,"yyyy-mm"),"日期非法"))</f>
        <v/>
      </c>
      <c r="Q321" s="10" t="str">
        <f aca="false">IF($B321="","",IF(ISNUMBER($B321),YEAR($B321),"日期非法"))</f>
        <v/>
      </c>
    </row>
    <row r="322" customFormat="false" ht="15.75" hidden="false" customHeight="true" outlineLevel="0" collapsed="false">
      <c r="A322" s="10" t="str">
        <f aca="false">IF($B322="","",ROW()-4)</f>
        <v/>
      </c>
      <c r="B322" s="11"/>
      <c r="C322" s="12"/>
      <c r="D322" s="12"/>
      <c r="E322" s="12"/>
      <c r="F322" s="12"/>
      <c r="G322" s="12"/>
      <c r="H322" s="13"/>
      <c r="I322" s="4"/>
      <c r="J322" s="4"/>
      <c r="K322" s="14" t="str">
        <f aca="false">IF($B322="","",IF($C322="泓普",$C$2,IF($C322="仟茂",$E$2,IF($C322="现金",$G$2,0)))+SUMIFS($I$5:$I322,$C$5:$C322,$C322)-SUMIFS($J$5:$J322,$C$5:$C322,$C322))</f>
        <v/>
      </c>
      <c r="L322" s="14" t="str">
        <f aca="false">IF($B322="","",$C$2+$E$2+$G$2+SUM($I$5:$I322)-SUM($J$5:$J322))</f>
        <v/>
      </c>
      <c r="M322" s="12"/>
      <c r="N322" s="15" t="str">
        <f aca="false">IF($B322="","",IF(NOT(ISNUMBER($B322)),"日期格式不对",IF($C322="","未选资金账户",IF(AND(N($I322)=0,N($J322)=0),"收支都为空",IF(AND(N($I322)&gt;0,N($J322)&gt;0),"收支不能同时填",IF(AND($D322&lt;&gt;"",LEFT($O322,1)="⚠"),"项目编号不存在",IF(AND($M322="是",$F322=""),"工程回款必须填往来单位","√")))))))</f>
        <v/>
      </c>
      <c r="O322" s="16" t="str">
        <f aca="false">IF($D322="","",IFERROR(INDEX(对照清单!$B$5:$B$60,MATCH($D322,对照清单!$A$5:$A$60,0)),"⚠编号不存在"))</f>
        <v/>
      </c>
      <c r="P322" s="10" t="str">
        <f aca="false">IF($B322="","",IF(ISNUMBER($B322),TEXT($B322,"yyyy-mm"),"日期非法"))</f>
        <v/>
      </c>
      <c r="Q322" s="10" t="str">
        <f aca="false">IF($B322="","",IF(ISNUMBER($B322),YEAR($B322),"日期非法"))</f>
        <v/>
      </c>
    </row>
    <row r="323" customFormat="false" ht="15.75" hidden="false" customHeight="true" outlineLevel="0" collapsed="false">
      <c r="A323" s="10" t="str">
        <f aca="false">IF($B323="","",ROW()-4)</f>
        <v/>
      </c>
      <c r="B323" s="11"/>
      <c r="C323" s="12"/>
      <c r="D323" s="12"/>
      <c r="E323" s="12"/>
      <c r="F323" s="12"/>
      <c r="G323" s="12"/>
      <c r="H323" s="13"/>
      <c r="I323" s="4"/>
      <c r="J323" s="4"/>
      <c r="K323" s="14" t="str">
        <f aca="false">IF($B323="","",IF($C323="泓普",$C$2,IF($C323="仟茂",$E$2,IF($C323="现金",$G$2,0)))+SUMIFS($I$5:$I323,$C$5:$C323,$C323)-SUMIFS($J$5:$J323,$C$5:$C323,$C323))</f>
        <v/>
      </c>
      <c r="L323" s="14" t="str">
        <f aca="false">IF($B323="","",$C$2+$E$2+$G$2+SUM($I$5:$I323)-SUM($J$5:$J323))</f>
        <v/>
      </c>
      <c r="M323" s="12"/>
      <c r="N323" s="15" t="str">
        <f aca="false">IF($B323="","",IF(NOT(ISNUMBER($B323)),"日期格式不对",IF($C323="","未选资金账户",IF(AND(N($I323)=0,N($J323)=0),"收支都为空",IF(AND(N($I323)&gt;0,N($J323)&gt;0),"收支不能同时填",IF(AND($D323&lt;&gt;"",LEFT($O323,1)="⚠"),"项目编号不存在",IF(AND($M323="是",$F323=""),"工程回款必须填往来单位","√")))))))</f>
        <v/>
      </c>
      <c r="O323" s="16" t="str">
        <f aca="false">IF($D323="","",IFERROR(INDEX(对照清单!$B$5:$B$60,MATCH($D323,对照清单!$A$5:$A$60,0)),"⚠编号不存在"))</f>
        <v/>
      </c>
      <c r="P323" s="10" t="str">
        <f aca="false">IF($B323="","",IF(ISNUMBER($B323),TEXT($B323,"yyyy-mm"),"日期非法"))</f>
        <v/>
      </c>
      <c r="Q323" s="10" t="str">
        <f aca="false">IF($B323="","",IF(ISNUMBER($B323),YEAR($B323),"日期非法"))</f>
        <v/>
      </c>
    </row>
    <row r="324" customFormat="false" ht="15.75" hidden="false" customHeight="true" outlineLevel="0" collapsed="false">
      <c r="A324" s="10" t="str">
        <f aca="false">IF($B324="","",ROW()-4)</f>
        <v/>
      </c>
      <c r="B324" s="11"/>
      <c r="C324" s="12"/>
      <c r="D324" s="12"/>
      <c r="E324" s="12"/>
      <c r="F324" s="12"/>
      <c r="G324" s="12"/>
      <c r="H324" s="13"/>
      <c r="I324" s="4"/>
      <c r="J324" s="4"/>
      <c r="K324" s="14" t="str">
        <f aca="false">IF($B324="","",IF($C324="泓普",$C$2,IF($C324="仟茂",$E$2,IF($C324="现金",$G$2,0)))+SUMIFS($I$5:$I324,$C$5:$C324,$C324)-SUMIFS($J$5:$J324,$C$5:$C324,$C324))</f>
        <v/>
      </c>
      <c r="L324" s="14" t="str">
        <f aca="false">IF($B324="","",$C$2+$E$2+$G$2+SUM($I$5:$I324)-SUM($J$5:$J324))</f>
        <v/>
      </c>
      <c r="M324" s="12"/>
      <c r="N324" s="15" t="str">
        <f aca="false">IF($B324="","",IF(NOT(ISNUMBER($B324)),"日期格式不对",IF($C324="","未选资金账户",IF(AND(N($I324)=0,N($J324)=0),"收支都为空",IF(AND(N($I324)&gt;0,N($J324)&gt;0),"收支不能同时填",IF(AND($D324&lt;&gt;"",LEFT($O324,1)="⚠"),"项目编号不存在",IF(AND($M324="是",$F324=""),"工程回款必须填往来单位","√")))))))</f>
        <v/>
      </c>
      <c r="O324" s="16" t="str">
        <f aca="false">IF($D324="","",IFERROR(INDEX(对照清单!$B$5:$B$60,MATCH($D324,对照清单!$A$5:$A$60,0)),"⚠编号不存在"))</f>
        <v/>
      </c>
      <c r="P324" s="10" t="str">
        <f aca="false">IF($B324="","",IF(ISNUMBER($B324),TEXT($B324,"yyyy-mm"),"日期非法"))</f>
        <v/>
      </c>
      <c r="Q324" s="10" t="str">
        <f aca="false">IF($B324="","",IF(ISNUMBER($B324),YEAR($B324),"日期非法"))</f>
        <v/>
      </c>
    </row>
    <row r="325" customFormat="false" ht="15.75" hidden="false" customHeight="true" outlineLevel="0" collapsed="false">
      <c r="A325" s="10" t="str">
        <f aca="false">IF($B325="","",ROW()-4)</f>
        <v/>
      </c>
      <c r="B325" s="11"/>
      <c r="C325" s="12"/>
      <c r="D325" s="12"/>
      <c r="E325" s="12"/>
      <c r="F325" s="12"/>
      <c r="G325" s="12"/>
      <c r="H325" s="13"/>
      <c r="I325" s="4"/>
      <c r="J325" s="4"/>
      <c r="K325" s="14" t="str">
        <f aca="false">IF($B325="","",IF($C325="泓普",$C$2,IF($C325="仟茂",$E$2,IF($C325="现金",$G$2,0)))+SUMIFS($I$5:$I325,$C$5:$C325,$C325)-SUMIFS($J$5:$J325,$C$5:$C325,$C325))</f>
        <v/>
      </c>
      <c r="L325" s="14" t="str">
        <f aca="false">IF($B325="","",$C$2+$E$2+$G$2+SUM($I$5:$I325)-SUM($J$5:$J325))</f>
        <v/>
      </c>
      <c r="M325" s="12"/>
      <c r="N325" s="15" t="str">
        <f aca="false">IF($B325="","",IF(NOT(ISNUMBER($B325)),"日期格式不对",IF($C325="","未选资金账户",IF(AND(N($I325)=0,N($J325)=0),"收支都为空",IF(AND(N($I325)&gt;0,N($J325)&gt;0),"收支不能同时填",IF(AND($D325&lt;&gt;"",LEFT($O325,1)="⚠"),"项目编号不存在",IF(AND($M325="是",$F325=""),"工程回款必须填往来单位","√")))))))</f>
        <v/>
      </c>
      <c r="O325" s="16" t="str">
        <f aca="false">IF($D325="","",IFERROR(INDEX(对照清单!$B$5:$B$60,MATCH($D325,对照清单!$A$5:$A$60,0)),"⚠编号不存在"))</f>
        <v/>
      </c>
      <c r="P325" s="10" t="str">
        <f aca="false">IF($B325="","",IF(ISNUMBER($B325),TEXT($B325,"yyyy-mm"),"日期非法"))</f>
        <v/>
      </c>
      <c r="Q325" s="10" t="str">
        <f aca="false">IF($B325="","",IF(ISNUMBER($B325),YEAR($B325),"日期非法"))</f>
        <v/>
      </c>
    </row>
    <row r="326" customFormat="false" ht="15.75" hidden="false" customHeight="true" outlineLevel="0" collapsed="false">
      <c r="A326" s="10" t="str">
        <f aca="false">IF($B326="","",ROW()-4)</f>
        <v/>
      </c>
      <c r="B326" s="11"/>
      <c r="C326" s="12"/>
      <c r="D326" s="12"/>
      <c r="E326" s="12"/>
      <c r="F326" s="12"/>
      <c r="G326" s="12"/>
      <c r="H326" s="13"/>
      <c r="I326" s="4"/>
      <c r="J326" s="4"/>
      <c r="K326" s="14" t="str">
        <f aca="false">IF($B326="","",IF($C326="泓普",$C$2,IF($C326="仟茂",$E$2,IF($C326="现金",$G$2,0)))+SUMIFS($I$5:$I326,$C$5:$C326,$C326)-SUMIFS($J$5:$J326,$C$5:$C326,$C326))</f>
        <v/>
      </c>
      <c r="L326" s="14" t="str">
        <f aca="false">IF($B326="","",$C$2+$E$2+$G$2+SUM($I$5:$I326)-SUM($J$5:$J326))</f>
        <v/>
      </c>
      <c r="M326" s="12"/>
      <c r="N326" s="15" t="str">
        <f aca="false">IF($B326="","",IF(NOT(ISNUMBER($B326)),"日期格式不对",IF($C326="","未选资金账户",IF(AND(N($I326)=0,N($J326)=0),"收支都为空",IF(AND(N($I326)&gt;0,N($J326)&gt;0),"收支不能同时填",IF(AND($D326&lt;&gt;"",LEFT($O326,1)="⚠"),"项目编号不存在",IF(AND($M326="是",$F326=""),"工程回款必须填往来单位","√")))))))</f>
        <v/>
      </c>
      <c r="O326" s="16" t="str">
        <f aca="false">IF($D326="","",IFERROR(INDEX(对照清单!$B$5:$B$60,MATCH($D326,对照清单!$A$5:$A$60,0)),"⚠编号不存在"))</f>
        <v/>
      </c>
      <c r="P326" s="10" t="str">
        <f aca="false">IF($B326="","",IF(ISNUMBER($B326),TEXT($B326,"yyyy-mm"),"日期非法"))</f>
        <v/>
      </c>
      <c r="Q326" s="10" t="str">
        <f aca="false">IF($B326="","",IF(ISNUMBER($B326),YEAR($B326),"日期非法"))</f>
        <v/>
      </c>
    </row>
    <row r="327" customFormat="false" ht="15.75" hidden="false" customHeight="true" outlineLevel="0" collapsed="false">
      <c r="A327" s="10" t="str">
        <f aca="false">IF($B327="","",ROW()-4)</f>
        <v/>
      </c>
      <c r="B327" s="11"/>
      <c r="C327" s="12"/>
      <c r="D327" s="12"/>
      <c r="E327" s="12"/>
      <c r="F327" s="12"/>
      <c r="G327" s="12"/>
      <c r="H327" s="13"/>
      <c r="I327" s="4"/>
      <c r="J327" s="4"/>
      <c r="K327" s="14" t="str">
        <f aca="false">IF($B327="","",IF($C327="泓普",$C$2,IF($C327="仟茂",$E$2,IF($C327="现金",$G$2,0)))+SUMIFS($I$5:$I327,$C$5:$C327,$C327)-SUMIFS($J$5:$J327,$C$5:$C327,$C327))</f>
        <v/>
      </c>
      <c r="L327" s="14" t="str">
        <f aca="false">IF($B327="","",$C$2+$E$2+$G$2+SUM($I$5:$I327)-SUM($J$5:$J327))</f>
        <v/>
      </c>
      <c r="M327" s="12"/>
      <c r="N327" s="15" t="str">
        <f aca="false">IF($B327="","",IF(NOT(ISNUMBER($B327)),"日期格式不对",IF($C327="","未选资金账户",IF(AND(N($I327)=0,N($J327)=0),"收支都为空",IF(AND(N($I327)&gt;0,N($J327)&gt;0),"收支不能同时填",IF(AND($D327&lt;&gt;"",LEFT($O327,1)="⚠"),"项目编号不存在",IF(AND($M327="是",$F327=""),"工程回款必须填往来单位","√")))))))</f>
        <v/>
      </c>
      <c r="O327" s="16" t="str">
        <f aca="false">IF($D327="","",IFERROR(INDEX(对照清单!$B$5:$B$60,MATCH($D327,对照清单!$A$5:$A$60,0)),"⚠编号不存在"))</f>
        <v/>
      </c>
      <c r="P327" s="10" t="str">
        <f aca="false">IF($B327="","",IF(ISNUMBER($B327),TEXT($B327,"yyyy-mm"),"日期非法"))</f>
        <v/>
      </c>
      <c r="Q327" s="10" t="str">
        <f aca="false">IF($B327="","",IF(ISNUMBER($B327),YEAR($B327),"日期非法"))</f>
        <v/>
      </c>
    </row>
    <row r="328" customFormat="false" ht="15.75" hidden="false" customHeight="true" outlineLevel="0" collapsed="false">
      <c r="A328" s="10" t="str">
        <f aca="false">IF($B328="","",ROW()-4)</f>
        <v/>
      </c>
      <c r="B328" s="11"/>
      <c r="C328" s="12"/>
      <c r="D328" s="12"/>
      <c r="E328" s="12"/>
      <c r="F328" s="12"/>
      <c r="G328" s="12"/>
      <c r="H328" s="13"/>
      <c r="I328" s="4"/>
      <c r="J328" s="4"/>
      <c r="K328" s="14" t="str">
        <f aca="false">IF($B328="","",IF($C328="泓普",$C$2,IF($C328="仟茂",$E$2,IF($C328="现金",$G$2,0)))+SUMIFS($I$5:$I328,$C$5:$C328,$C328)-SUMIFS($J$5:$J328,$C$5:$C328,$C328))</f>
        <v/>
      </c>
      <c r="L328" s="14" t="str">
        <f aca="false">IF($B328="","",$C$2+$E$2+$G$2+SUM($I$5:$I328)-SUM($J$5:$J328))</f>
        <v/>
      </c>
      <c r="M328" s="12"/>
      <c r="N328" s="15" t="str">
        <f aca="false">IF($B328="","",IF(NOT(ISNUMBER($B328)),"日期格式不对",IF($C328="","未选资金账户",IF(AND(N($I328)=0,N($J328)=0),"收支都为空",IF(AND(N($I328)&gt;0,N($J328)&gt;0),"收支不能同时填",IF(AND($D328&lt;&gt;"",LEFT($O328,1)="⚠"),"项目编号不存在",IF(AND($M328="是",$F328=""),"工程回款必须填往来单位","√")))))))</f>
        <v/>
      </c>
      <c r="O328" s="16" t="str">
        <f aca="false">IF($D328="","",IFERROR(INDEX(对照清单!$B$5:$B$60,MATCH($D328,对照清单!$A$5:$A$60,0)),"⚠编号不存在"))</f>
        <v/>
      </c>
      <c r="P328" s="10" t="str">
        <f aca="false">IF($B328="","",IF(ISNUMBER($B328),TEXT($B328,"yyyy-mm"),"日期非法"))</f>
        <v/>
      </c>
      <c r="Q328" s="10" t="str">
        <f aca="false">IF($B328="","",IF(ISNUMBER($B328),YEAR($B328),"日期非法"))</f>
        <v/>
      </c>
    </row>
    <row r="329" customFormat="false" ht="15.75" hidden="false" customHeight="true" outlineLevel="0" collapsed="false">
      <c r="A329" s="10" t="str">
        <f aca="false">IF($B329="","",ROW()-4)</f>
        <v/>
      </c>
      <c r="B329" s="11"/>
      <c r="C329" s="12"/>
      <c r="D329" s="12"/>
      <c r="E329" s="12"/>
      <c r="F329" s="12"/>
      <c r="G329" s="12"/>
      <c r="H329" s="13"/>
      <c r="I329" s="4"/>
      <c r="J329" s="4"/>
      <c r="K329" s="14" t="str">
        <f aca="false">IF($B329="","",IF($C329="泓普",$C$2,IF($C329="仟茂",$E$2,IF($C329="现金",$G$2,0)))+SUMIFS($I$5:$I329,$C$5:$C329,$C329)-SUMIFS($J$5:$J329,$C$5:$C329,$C329))</f>
        <v/>
      </c>
      <c r="L329" s="14" t="str">
        <f aca="false">IF($B329="","",$C$2+$E$2+$G$2+SUM($I$5:$I329)-SUM($J$5:$J329))</f>
        <v/>
      </c>
      <c r="M329" s="12"/>
      <c r="N329" s="15" t="str">
        <f aca="false">IF($B329="","",IF(NOT(ISNUMBER($B329)),"日期格式不对",IF($C329="","未选资金账户",IF(AND(N($I329)=0,N($J329)=0),"收支都为空",IF(AND(N($I329)&gt;0,N($J329)&gt;0),"收支不能同时填",IF(AND($D329&lt;&gt;"",LEFT($O329,1)="⚠"),"项目编号不存在",IF(AND($M329="是",$F329=""),"工程回款必须填往来单位","√")))))))</f>
        <v/>
      </c>
      <c r="O329" s="16" t="str">
        <f aca="false">IF($D329="","",IFERROR(INDEX(对照清单!$B$5:$B$60,MATCH($D329,对照清单!$A$5:$A$60,0)),"⚠编号不存在"))</f>
        <v/>
      </c>
      <c r="P329" s="10" t="str">
        <f aca="false">IF($B329="","",IF(ISNUMBER($B329),TEXT($B329,"yyyy-mm"),"日期非法"))</f>
        <v/>
      </c>
      <c r="Q329" s="10" t="str">
        <f aca="false">IF($B329="","",IF(ISNUMBER($B329),YEAR($B329),"日期非法"))</f>
        <v/>
      </c>
    </row>
    <row r="330" customFormat="false" ht="15.75" hidden="false" customHeight="true" outlineLevel="0" collapsed="false">
      <c r="A330" s="10" t="str">
        <f aca="false">IF($B330="","",ROW()-4)</f>
        <v/>
      </c>
      <c r="B330" s="11"/>
      <c r="C330" s="12"/>
      <c r="D330" s="12"/>
      <c r="E330" s="12"/>
      <c r="F330" s="12"/>
      <c r="G330" s="12"/>
      <c r="H330" s="13"/>
      <c r="I330" s="4"/>
      <c r="J330" s="4"/>
      <c r="K330" s="14" t="str">
        <f aca="false">IF($B330="","",IF($C330="泓普",$C$2,IF($C330="仟茂",$E$2,IF($C330="现金",$G$2,0)))+SUMIFS($I$5:$I330,$C$5:$C330,$C330)-SUMIFS($J$5:$J330,$C$5:$C330,$C330))</f>
        <v/>
      </c>
      <c r="L330" s="14" t="str">
        <f aca="false">IF($B330="","",$C$2+$E$2+$G$2+SUM($I$5:$I330)-SUM($J$5:$J330))</f>
        <v/>
      </c>
      <c r="M330" s="12"/>
      <c r="N330" s="15" t="str">
        <f aca="false">IF($B330="","",IF(NOT(ISNUMBER($B330)),"日期格式不对",IF($C330="","未选资金账户",IF(AND(N($I330)=0,N($J330)=0),"收支都为空",IF(AND(N($I330)&gt;0,N($J330)&gt;0),"收支不能同时填",IF(AND($D330&lt;&gt;"",LEFT($O330,1)="⚠"),"项目编号不存在",IF(AND($M330="是",$F330=""),"工程回款必须填往来单位","√")))))))</f>
        <v/>
      </c>
      <c r="O330" s="16" t="str">
        <f aca="false">IF($D330="","",IFERROR(INDEX(对照清单!$B$5:$B$60,MATCH($D330,对照清单!$A$5:$A$60,0)),"⚠编号不存在"))</f>
        <v/>
      </c>
      <c r="P330" s="10" t="str">
        <f aca="false">IF($B330="","",IF(ISNUMBER($B330),TEXT($B330,"yyyy-mm"),"日期非法"))</f>
        <v/>
      </c>
      <c r="Q330" s="10" t="str">
        <f aca="false">IF($B330="","",IF(ISNUMBER($B330),YEAR($B330),"日期非法"))</f>
        <v/>
      </c>
    </row>
    <row r="331" customFormat="false" ht="15.75" hidden="false" customHeight="true" outlineLevel="0" collapsed="false">
      <c r="A331" s="10" t="str">
        <f aca="false">IF($B331="","",ROW()-4)</f>
        <v/>
      </c>
      <c r="B331" s="11"/>
      <c r="C331" s="12"/>
      <c r="D331" s="12"/>
      <c r="E331" s="12"/>
      <c r="F331" s="12"/>
      <c r="G331" s="12"/>
      <c r="H331" s="13"/>
      <c r="I331" s="4"/>
      <c r="J331" s="4"/>
      <c r="K331" s="14" t="str">
        <f aca="false">IF($B331="","",IF($C331="泓普",$C$2,IF($C331="仟茂",$E$2,IF($C331="现金",$G$2,0)))+SUMIFS($I$5:$I331,$C$5:$C331,$C331)-SUMIFS($J$5:$J331,$C$5:$C331,$C331))</f>
        <v/>
      </c>
      <c r="L331" s="14" t="str">
        <f aca="false">IF($B331="","",$C$2+$E$2+$G$2+SUM($I$5:$I331)-SUM($J$5:$J331))</f>
        <v/>
      </c>
      <c r="M331" s="12"/>
      <c r="N331" s="15" t="str">
        <f aca="false">IF($B331="","",IF(NOT(ISNUMBER($B331)),"日期格式不对",IF($C331="","未选资金账户",IF(AND(N($I331)=0,N($J331)=0),"收支都为空",IF(AND(N($I331)&gt;0,N($J331)&gt;0),"收支不能同时填",IF(AND($D331&lt;&gt;"",LEFT($O331,1)="⚠"),"项目编号不存在",IF(AND($M331="是",$F331=""),"工程回款必须填往来单位","√")))))))</f>
        <v/>
      </c>
      <c r="O331" s="16" t="str">
        <f aca="false">IF($D331="","",IFERROR(INDEX(对照清单!$B$5:$B$60,MATCH($D331,对照清单!$A$5:$A$60,0)),"⚠编号不存在"))</f>
        <v/>
      </c>
      <c r="P331" s="10" t="str">
        <f aca="false">IF($B331="","",IF(ISNUMBER($B331),TEXT($B331,"yyyy-mm"),"日期非法"))</f>
        <v/>
      </c>
      <c r="Q331" s="10" t="str">
        <f aca="false">IF($B331="","",IF(ISNUMBER($B331),YEAR($B331),"日期非法"))</f>
        <v/>
      </c>
    </row>
    <row r="332" customFormat="false" ht="15.75" hidden="false" customHeight="true" outlineLevel="0" collapsed="false">
      <c r="A332" s="10" t="str">
        <f aca="false">IF($B332="","",ROW()-4)</f>
        <v/>
      </c>
      <c r="B332" s="11"/>
      <c r="C332" s="12"/>
      <c r="D332" s="12"/>
      <c r="E332" s="12"/>
      <c r="F332" s="12"/>
      <c r="G332" s="12"/>
      <c r="H332" s="13"/>
      <c r="I332" s="4"/>
      <c r="J332" s="4"/>
      <c r="K332" s="14" t="str">
        <f aca="false">IF($B332="","",IF($C332="泓普",$C$2,IF($C332="仟茂",$E$2,IF($C332="现金",$G$2,0)))+SUMIFS($I$5:$I332,$C$5:$C332,$C332)-SUMIFS($J$5:$J332,$C$5:$C332,$C332))</f>
        <v/>
      </c>
      <c r="L332" s="14" t="str">
        <f aca="false">IF($B332="","",$C$2+$E$2+$G$2+SUM($I$5:$I332)-SUM($J$5:$J332))</f>
        <v/>
      </c>
      <c r="M332" s="12"/>
      <c r="N332" s="15" t="str">
        <f aca="false">IF($B332="","",IF(NOT(ISNUMBER($B332)),"日期格式不对",IF($C332="","未选资金账户",IF(AND(N($I332)=0,N($J332)=0),"收支都为空",IF(AND(N($I332)&gt;0,N($J332)&gt;0),"收支不能同时填",IF(AND($D332&lt;&gt;"",LEFT($O332,1)="⚠"),"项目编号不存在",IF(AND($M332="是",$F332=""),"工程回款必须填往来单位","√")))))))</f>
        <v/>
      </c>
      <c r="O332" s="16" t="str">
        <f aca="false">IF($D332="","",IFERROR(INDEX(对照清单!$B$5:$B$60,MATCH($D332,对照清单!$A$5:$A$60,0)),"⚠编号不存在"))</f>
        <v/>
      </c>
      <c r="P332" s="10" t="str">
        <f aca="false">IF($B332="","",IF(ISNUMBER($B332),TEXT($B332,"yyyy-mm"),"日期非法"))</f>
        <v/>
      </c>
      <c r="Q332" s="10" t="str">
        <f aca="false">IF($B332="","",IF(ISNUMBER($B332),YEAR($B332),"日期非法"))</f>
        <v/>
      </c>
    </row>
    <row r="333" customFormat="false" ht="15.75" hidden="false" customHeight="true" outlineLevel="0" collapsed="false">
      <c r="A333" s="10" t="str">
        <f aca="false">IF($B333="","",ROW()-4)</f>
        <v/>
      </c>
      <c r="B333" s="11"/>
      <c r="C333" s="12"/>
      <c r="D333" s="12"/>
      <c r="E333" s="12"/>
      <c r="F333" s="12"/>
      <c r="G333" s="12"/>
      <c r="H333" s="13"/>
      <c r="I333" s="4"/>
      <c r="J333" s="4"/>
      <c r="K333" s="14" t="str">
        <f aca="false">IF($B333="","",IF($C333="泓普",$C$2,IF($C333="仟茂",$E$2,IF($C333="现金",$G$2,0)))+SUMIFS($I$5:$I333,$C$5:$C333,$C333)-SUMIFS($J$5:$J333,$C$5:$C333,$C333))</f>
        <v/>
      </c>
      <c r="L333" s="14" t="str">
        <f aca="false">IF($B333="","",$C$2+$E$2+$G$2+SUM($I$5:$I333)-SUM($J$5:$J333))</f>
        <v/>
      </c>
      <c r="M333" s="12"/>
      <c r="N333" s="15" t="str">
        <f aca="false">IF($B333="","",IF(NOT(ISNUMBER($B333)),"日期格式不对",IF($C333="","未选资金账户",IF(AND(N($I333)=0,N($J333)=0),"收支都为空",IF(AND(N($I333)&gt;0,N($J333)&gt;0),"收支不能同时填",IF(AND($D333&lt;&gt;"",LEFT($O333,1)="⚠"),"项目编号不存在",IF(AND($M333="是",$F333=""),"工程回款必须填往来单位","√")))))))</f>
        <v/>
      </c>
      <c r="O333" s="16" t="str">
        <f aca="false">IF($D333="","",IFERROR(INDEX(对照清单!$B$5:$B$60,MATCH($D333,对照清单!$A$5:$A$60,0)),"⚠编号不存在"))</f>
        <v/>
      </c>
      <c r="P333" s="10" t="str">
        <f aca="false">IF($B333="","",IF(ISNUMBER($B333),TEXT($B333,"yyyy-mm"),"日期非法"))</f>
        <v/>
      </c>
      <c r="Q333" s="10" t="str">
        <f aca="false">IF($B333="","",IF(ISNUMBER($B333),YEAR($B333),"日期非法"))</f>
        <v/>
      </c>
    </row>
    <row r="334" customFormat="false" ht="15.75" hidden="false" customHeight="true" outlineLevel="0" collapsed="false">
      <c r="A334" s="10" t="str">
        <f aca="false">IF($B334="","",ROW()-4)</f>
        <v/>
      </c>
      <c r="B334" s="11"/>
      <c r="C334" s="12"/>
      <c r="D334" s="12"/>
      <c r="E334" s="12"/>
      <c r="F334" s="12"/>
      <c r="G334" s="12"/>
      <c r="H334" s="13"/>
      <c r="I334" s="4"/>
      <c r="J334" s="4"/>
      <c r="K334" s="14" t="str">
        <f aca="false">IF($B334="","",IF($C334="泓普",$C$2,IF($C334="仟茂",$E$2,IF($C334="现金",$G$2,0)))+SUMIFS($I$5:$I334,$C$5:$C334,$C334)-SUMIFS($J$5:$J334,$C$5:$C334,$C334))</f>
        <v/>
      </c>
      <c r="L334" s="14" t="str">
        <f aca="false">IF($B334="","",$C$2+$E$2+$G$2+SUM($I$5:$I334)-SUM($J$5:$J334))</f>
        <v/>
      </c>
      <c r="M334" s="12"/>
      <c r="N334" s="15" t="str">
        <f aca="false">IF($B334="","",IF(NOT(ISNUMBER($B334)),"日期格式不对",IF($C334="","未选资金账户",IF(AND(N($I334)=0,N($J334)=0),"收支都为空",IF(AND(N($I334)&gt;0,N($J334)&gt;0),"收支不能同时填",IF(AND($D334&lt;&gt;"",LEFT($O334,1)="⚠"),"项目编号不存在",IF(AND($M334="是",$F334=""),"工程回款必须填往来单位","√")))))))</f>
        <v/>
      </c>
      <c r="O334" s="16" t="str">
        <f aca="false">IF($D334="","",IFERROR(INDEX(对照清单!$B$5:$B$60,MATCH($D334,对照清单!$A$5:$A$60,0)),"⚠编号不存在"))</f>
        <v/>
      </c>
      <c r="P334" s="10" t="str">
        <f aca="false">IF($B334="","",IF(ISNUMBER($B334),TEXT($B334,"yyyy-mm"),"日期非法"))</f>
        <v/>
      </c>
      <c r="Q334" s="10" t="str">
        <f aca="false">IF($B334="","",IF(ISNUMBER($B334),YEAR($B334),"日期非法"))</f>
        <v/>
      </c>
    </row>
    <row r="335" customFormat="false" ht="15.75" hidden="false" customHeight="true" outlineLevel="0" collapsed="false">
      <c r="A335" s="10" t="str">
        <f aca="false">IF($B335="","",ROW()-4)</f>
        <v/>
      </c>
      <c r="B335" s="11"/>
      <c r="C335" s="12"/>
      <c r="D335" s="12"/>
      <c r="E335" s="12"/>
      <c r="F335" s="12"/>
      <c r="G335" s="12"/>
      <c r="H335" s="13"/>
      <c r="I335" s="4"/>
      <c r="J335" s="4"/>
      <c r="K335" s="14" t="str">
        <f aca="false">IF($B335="","",IF($C335="泓普",$C$2,IF($C335="仟茂",$E$2,IF($C335="现金",$G$2,0)))+SUMIFS($I$5:$I335,$C$5:$C335,$C335)-SUMIFS($J$5:$J335,$C$5:$C335,$C335))</f>
        <v/>
      </c>
      <c r="L335" s="14" t="str">
        <f aca="false">IF($B335="","",$C$2+$E$2+$G$2+SUM($I$5:$I335)-SUM($J$5:$J335))</f>
        <v/>
      </c>
      <c r="M335" s="12"/>
      <c r="N335" s="15" t="str">
        <f aca="false">IF($B335="","",IF(NOT(ISNUMBER($B335)),"日期格式不对",IF($C335="","未选资金账户",IF(AND(N($I335)=0,N($J335)=0),"收支都为空",IF(AND(N($I335)&gt;0,N($J335)&gt;0),"收支不能同时填",IF(AND($D335&lt;&gt;"",LEFT($O335,1)="⚠"),"项目编号不存在",IF(AND($M335="是",$F335=""),"工程回款必须填往来单位","√")))))))</f>
        <v/>
      </c>
      <c r="O335" s="16" t="str">
        <f aca="false">IF($D335="","",IFERROR(INDEX(对照清单!$B$5:$B$60,MATCH($D335,对照清单!$A$5:$A$60,0)),"⚠编号不存在"))</f>
        <v/>
      </c>
      <c r="P335" s="10" t="str">
        <f aca="false">IF($B335="","",IF(ISNUMBER($B335),TEXT($B335,"yyyy-mm"),"日期非法"))</f>
        <v/>
      </c>
      <c r="Q335" s="10" t="str">
        <f aca="false">IF($B335="","",IF(ISNUMBER($B335),YEAR($B335),"日期非法"))</f>
        <v/>
      </c>
    </row>
    <row r="336" customFormat="false" ht="15.75" hidden="false" customHeight="true" outlineLevel="0" collapsed="false">
      <c r="A336" s="10" t="str">
        <f aca="false">IF($B336="","",ROW()-4)</f>
        <v/>
      </c>
      <c r="B336" s="11"/>
      <c r="C336" s="12"/>
      <c r="D336" s="12"/>
      <c r="E336" s="12"/>
      <c r="F336" s="12"/>
      <c r="G336" s="12"/>
      <c r="H336" s="13"/>
      <c r="I336" s="4"/>
      <c r="J336" s="4"/>
      <c r="K336" s="14" t="str">
        <f aca="false">IF($B336="","",IF($C336="泓普",$C$2,IF($C336="仟茂",$E$2,IF($C336="现金",$G$2,0)))+SUMIFS($I$5:$I336,$C$5:$C336,$C336)-SUMIFS($J$5:$J336,$C$5:$C336,$C336))</f>
        <v/>
      </c>
      <c r="L336" s="14" t="str">
        <f aca="false">IF($B336="","",$C$2+$E$2+$G$2+SUM($I$5:$I336)-SUM($J$5:$J336))</f>
        <v/>
      </c>
      <c r="M336" s="12"/>
      <c r="N336" s="15" t="str">
        <f aca="false">IF($B336="","",IF(NOT(ISNUMBER($B336)),"日期格式不对",IF($C336="","未选资金账户",IF(AND(N($I336)=0,N($J336)=0),"收支都为空",IF(AND(N($I336)&gt;0,N($J336)&gt;0),"收支不能同时填",IF(AND($D336&lt;&gt;"",LEFT($O336,1)="⚠"),"项目编号不存在",IF(AND($M336="是",$F336=""),"工程回款必须填往来单位","√")))))))</f>
        <v/>
      </c>
      <c r="O336" s="16" t="str">
        <f aca="false">IF($D336="","",IFERROR(INDEX(对照清单!$B$5:$B$60,MATCH($D336,对照清单!$A$5:$A$60,0)),"⚠编号不存在"))</f>
        <v/>
      </c>
      <c r="P336" s="10" t="str">
        <f aca="false">IF($B336="","",IF(ISNUMBER($B336),TEXT($B336,"yyyy-mm"),"日期非法"))</f>
        <v/>
      </c>
      <c r="Q336" s="10" t="str">
        <f aca="false">IF($B336="","",IF(ISNUMBER($B336),YEAR($B336),"日期非法"))</f>
        <v/>
      </c>
    </row>
    <row r="337" customFormat="false" ht="15.75" hidden="false" customHeight="true" outlineLevel="0" collapsed="false">
      <c r="A337" s="10" t="str">
        <f aca="false">IF($B337="","",ROW()-4)</f>
        <v/>
      </c>
      <c r="B337" s="11"/>
      <c r="C337" s="12"/>
      <c r="D337" s="12"/>
      <c r="E337" s="12"/>
      <c r="F337" s="12"/>
      <c r="G337" s="12"/>
      <c r="H337" s="13"/>
      <c r="I337" s="4"/>
      <c r="J337" s="4"/>
      <c r="K337" s="14" t="str">
        <f aca="false">IF($B337="","",IF($C337="泓普",$C$2,IF($C337="仟茂",$E$2,IF($C337="现金",$G$2,0)))+SUMIFS($I$5:$I337,$C$5:$C337,$C337)-SUMIFS($J$5:$J337,$C$5:$C337,$C337))</f>
        <v/>
      </c>
      <c r="L337" s="14" t="str">
        <f aca="false">IF($B337="","",$C$2+$E$2+$G$2+SUM($I$5:$I337)-SUM($J$5:$J337))</f>
        <v/>
      </c>
      <c r="M337" s="12"/>
      <c r="N337" s="15" t="str">
        <f aca="false">IF($B337="","",IF(NOT(ISNUMBER($B337)),"日期格式不对",IF($C337="","未选资金账户",IF(AND(N($I337)=0,N($J337)=0),"收支都为空",IF(AND(N($I337)&gt;0,N($J337)&gt;0),"收支不能同时填",IF(AND($D337&lt;&gt;"",LEFT($O337,1)="⚠"),"项目编号不存在",IF(AND($M337="是",$F337=""),"工程回款必须填往来单位","√")))))))</f>
        <v/>
      </c>
      <c r="O337" s="16" t="str">
        <f aca="false">IF($D337="","",IFERROR(INDEX(对照清单!$B$5:$B$60,MATCH($D337,对照清单!$A$5:$A$60,0)),"⚠编号不存在"))</f>
        <v/>
      </c>
      <c r="P337" s="10" t="str">
        <f aca="false">IF($B337="","",IF(ISNUMBER($B337),TEXT($B337,"yyyy-mm"),"日期非法"))</f>
        <v/>
      </c>
      <c r="Q337" s="10" t="str">
        <f aca="false">IF($B337="","",IF(ISNUMBER($B337),YEAR($B337),"日期非法"))</f>
        <v/>
      </c>
    </row>
    <row r="338" customFormat="false" ht="15.75" hidden="false" customHeight="true" outlineLevel="0" collapsed="false">
      <c r="A338" s="10" t="str">
        <f aca="false">IF($B338="","",ROW()-4)</f>
        <v/>
      </c>
      <c r="B338" s="11"/>
      <c r="C338" s="12"/>
      <c r="D338" s="12"/>
      <c r="E338" s="12"/>
      <c r="F338" s="12"/>
      <c r="G338" s="12"/>
      <c r="H338" s="13"/>
      <c r="I338" s="4"/>
      <c r="J338" s="4"/>
      <c r="K338" s="14" t="str">
        <f aca="false">IF($B338="","",IF($C338="泓普",$C$2,IF($C338="仟茂",$E$2,IF($C338="现金",$G$2,0)))+SUMIFS($I$5:$I338,$C$5:$C338,$C338)-SUMIFS($J$5:$J338,$C$5:$C338,$C338))</f>
        <v/>
      </c>
      <c r="L338" s="14" t="str">
        <f aca="false">IF($B338="","",$C$2+$E$2+$G$2+SUM($I$5:$I338)-SUM($J$5:$J338))</f>
        <v/>
      </c>
      <c r="M338" s="12"/>
      <c r="N338" s="15" t="str">
        <f aca="false">IF($B338="","",IF(NOT(ISNUMBER($B338)),"日期格式不对",IF($C338="","未选资金账户",IF(AND(N($I338)=0,N($J338)=0),"收支都为空",IF(AND(N($I338)&gt;0,N($J338)&gt;0),"收支不能同时填",IF(AND($D338&lt;&gt;"",LEFT($O338,1)="⚠"),"项目编号不存在",IF(AND($M338="是",$F338=""),"工程回款必须填往来单位","√")))))))</f>
        <v/>
      </c>
      <c r="O338" s="16" t="str">
        <f aca="false">IF($D338="","",IFERROR(INDEX(对照清单!$B$5:$B$60,MATCH($D338,对照清单!$A$5:$A$60,0)),"⚠编号不存在"))</f>
        <v/>
      </c>
      <c r="P338" s="10" t="str">
        <f aca="false">IF($B338="","",IF(ISNUMBER($B338),TEXT($B338,"yyyy-mm"),"日期非法"))</f>
        <v/>
      </c>
      <c r="Q338" s="10" t="str">
        <f aca="false">IF($B338="","",IF(ISNUMBER($B338),YEAR($B338),"日期非法"))</f>
        <v/>
      </c>
    </row>
    <row r="339" customFormat="false" ht="15.75" hidden="false" customHeight="true" outlineLevel="0" collapsed="false">
      <c r="A339" s="10" t="str">
        <f aca="false">IF($B339="","",ROW()-4)</f>
        <v/>
      </c>
      <c r="B339" s="11"/>
      <c r="C339" s="12"/>
      <c r="D339" s="12"/>
      <c r="E339" s="12"/>
      <c r="F339" s="12"/>
      <c r="G339" s="12"/>
      <c r="H339" s="13"/>
      <c r="I339" s="4"/>
      <c r="J339" s="4"/>
      <c r="K339" s="14" t="str">
        <f aca="false">IF($B339="","",IF($C339="泓普",$C$2,IF($C339="仟茂",$E$2,IF($C339="现金",$G$2,0)))+SUMIFS($I$5:$I339,$C$5:$C339,$C339)-SUMIFS($J$5:$J339,$C$5:$C339,$C339))</f>
        <v/>
      </c>
      <c r="L339" s="14" t="str">
        <f aca="false">IF($B339="","",$C$2+$E$2+$G$2+SUM($I$5:$I339)-SUM($J$5:$J339))</f>
        <v/>
      </c>
      <c r="M339" s="12"/>
      <c r="N339" s="15" t="str">
        <f aca="false">IF($B339="","",IF(NOT(ISNUMBER($B339)),"日期格式不对",IF($C339="","未选资金账户",IF(AND(N($I339)=0,N($J339)=0),"收支都为空",IF(AND(N($I339)&gt;0,N($J339)&gt;0),"收支不能同时填",IF(AND($D339&lt;&gt;"",LEFT($O339,1)="⚠"),"项目编号不存在",IF(AND($M339="是",$F339=""),"工程回款必须填往来单位","√")))))))</f>
        <v/>
      </c>
      <c r="O339" s="16" t="str">
        <f aca="false">IF($D339="","",IFERROR(INDEX(对照清单!$B$5:$B$60,MATCH($D339,对照清单!$A$5:$A$60,0)),"⚠编号不存在"))</f>
        <v/>
      </c>
      <c r="P339" s="10" t="str">
        <f aca="false">IF($B339="","",IF(ISNUMBER($B339),TEXT($B339,"yyyy-mm"),"日期非法"))</f>
        <v/>
      </c>
      <c r="Q339" s="10" t="str">
        <f aca="false">IF($B339="","",IF(ISNUMBER($B339),YEAR($B339),"日期非法"))</f>
        <v/>
      </c>
    </row>
    <row r="340" customFormat="false" ht="15.75" hidden="false" customHeight="true" outlineLevel="0" collapsed="false">
      <c r="A340" s="10" t="str">
        <f aca="false">IF($B340="","",ROW()-4)</f>
        <v/>
      </c>
      <c r="B340" s="11"/>
      <c r="C340" s="12"/>
      <c r="D340" s="12"/>
      <c r="E340" s="12"/>
      <c r="F340" s="12"/>
      <c r="G340" s="12"/>
      <c r="H340" s="13"/>
      <c r="I340" s="4"/>
      <c r="J340" s="4"/>
      <c r="K340" s="14" t="str">
        <f aca="false">IF($B340="","",IF($C340="泓普",$C$2,IF($C340="仟茂",$E$2,IF($C340="现金",$G$2,0)))+SUMIFS($I$5:$I340,$C$5:$C340,$C340)-SUMIFS($J$5:$J340,$C$5:$C340,$C340))</f>
        <v/>
      </c>
      <c r="L340" s="14" t="str">
        <f aca="false">IF($B340="","",$C$2+$E$2+$G$2+SUM($I$5:$I340)-SUM($J$5:$J340))</f>
        <v/>
      </c>
      <c r="M340" s="12"/>
      <c r="N340" s="15" t="str">
        <f aca="false">IF($B340="","",IF(NOT(ISNUMBER($B340)),"日期格式不对",IF($C340="","未选资金账户",IF(AND(N($I340)=0,N($J340)=0),"收支都为空",IF(AND(N($I340)&gt;0,N($J340)&gt;0),"收支不能同时填",IF(AND($D340&lt;&gt;"",LEFT($O340,1)="⚠"),"项目编号不存在",IF(AND($M340="是",$F340=""),"工程回款必须填往来单位","√")))))))</f>
        <v/>
      </c>
      <c r="O340" s="16" t="str">
        <f aca="false">IF($D340="","",IFERROR(INDEX(对照清单!$B$5:$B$60,MATCH($D340,对照清单!$A$5:$A$60,0)),"⚠编号不存在"))</f>
        <v/>
      </c>
      <c r="P340" s="10" t="str">
        <f aca="false">IF($B340="","",IF(ISNUMBER($B340),TEXT($B340,"yyyy-mm"),"日期非法"))</f>
        <v/>
      </c>
      <c r="Q340" s="10" t="str">
        <f aca="false">IF($B340="","",IF(ISNUMBER($B340),YEAR($B340),"日期非法"))</f>
        <v/>
      </c>
    </row>
    <row r="341" customFormat="false" ht="15.75" hidden="false" customHeight="true" outlineLevel="0" collapsed="false">
      <c r="A341" s="10" t="str">
        <f aca="false">IF($B341="","",ROW()-4)</f>
        <v/>
      </c>
      <c r="B341" s="11"/>
      <c r="C341" s="12"/>
      <c r="D341" s="12"/>
      <c r="E341" s="12"/>
      <c r="F341" s="12"/>
      <c r="G341" s="12"/>
      <c r="H341" s="13"/>
      <c r="I341" s="4"/>
      <c r="J341" s="4"/>
      <c r="K341" s="14" t="str">
        <f aca="false">IF($B341="","",IF($C341="泓普",$C$2,IF($C341="仟茂",$E$2,IF($C341="现金",$G$2,0)))+SUMIFS($I$5:$I341,$C$5:$C341,$C341)-SUMIFS($J$5:$J341,$C$5:$C341,$C341))</f>
        <v/>
      </c>
      <c r="L341" s="14" t="str">
        <f aca="false">IF($B341="","",$C$2+$E$2+$G$2+SUM($I$5:$I341)-SUM($J$5:$J341))</f>
        <v/>
      </c>
      <c r="M341" s="12"/>
      <c r="N341" s="15" t="str">
        <f aca="false">IF($B341="","",IF(NOT(ISNUMBER($B341)),"日期格式不对",IF($C341="","未选资金账户",IF(AND(N($I341)=0,N($J341)=0),"收支都为空",IF(AND(N($I341)&gt;0,N($J341)&gt;0),"收支不能同时填",IF(AND($D341&lt;&gt;"",LEFT($O341,1)="⚠"),"项目编号不存在",IF(AND($M341="是",$F341=""),"工程回款必须填往来单位","√")))))))</f>
        <v/>
      </c>
      <c r="O341" s="16" t="str">
        <f aca="false">IF($D341="","",IFERROR(INDEX(对照清单!$B$5:$B$60,MATCH($D341,对照清单!$A$5:$A$60,0)),"⚠编号不存在"))</f>
        <v/>
      </c>
      <c r="P341" s="10" t="str">
        <f aca="false">IF($B341="","",IF(ISNUMBER($B341),TEXT($B341,"yyyy-mm"),"日期非法"))</f>
        <v/>
      </c>
      <c r="Q341" s="10" t="str">
        <f aca="false">IF($B341="","",IF(ISNUMBER($B341),YEAR($B341),"日期非法"))</f>
        <v/>
      </c>
    </row>
    <row r="342" customFormat="false" ht="15.75" hidden="false" customHeight="true" outlineLevel="0" collapsed="false">
      <c r="A342" s="10" t="str">
        <f aca="false">IF($B342="","",ROW()-4)</f>
        <v/>
      </c>
      <c r="B342" s="11"/>
      <c r="C342" s="12"/>
      <c r="D342" s="12"/>
      <c r="E342" s="12"/>
      <c r="F342" s="12"/>
      <c r="G342" s="12"/>
      <c r="H342" s="13"/>
      <c r="I342" s="4"/>
      <c r="J342" s="4"/>
      <c r="K342" s="14" t="str">
        <f aca="false">IF($B342="","",IF($C342="泓普",$C$2,IF($C342="仟茂",$E$2,IF($C342="现金",$G$2,0)))+SUMIFS($I$5:$I342,$C$5:$C342,$C342)-SUMIFS($J$5:$J342,$C$5:$C342,$C342))</f>
        <v/>
      </c>
      <c r="L342" s="14" t="str">
        <f aca="false">IF($B342="","",$C$2+$E$2+$G$2+SUM($I$5:$I342)-SUM($J$5:$J342))</f>
        <v/>
      </c>
      <c r="M342" s="12"/>
      <c r="N342" s="15" t="str">
        <f aca="false">IF($B342="","",IF(NOT(ISNUMBER($B342)),"日期格式不对",IF($C342="","未选资金账户",IF(AND(N($I342)=0,N($J342)=0),"收支都为空",IF(AND(N($I342)&gt;0,N($J342)&gt;0),"收支不能同时填",IF(AND($D342&lt;&gt;"",LEFT($O342,1)="⚠"),"项目编号不存在",IF(AND($M342="是",$F342=""),"工程回款必须填往来单位","√")))))))</f>
        <v/>
      </c>
      <c r="O342" s="16" t="str">
        <f aca="false">IF($D342="","",IFERROR(INDEX(对照清单!$B$5:$B$60,MATCH($D342,对照清单!$A$5:$A$60,0)),"⚠编号不存在"))</f>
        <v/>
      </c>
      <c r="P342" s="10" t="str">
        <f aca="false">IF($B342="","",IF(ISNUMBER($B342),TEXT($B342,"yyyy-mm"),"日期非法"))</f>
        <v/>
      </c>
      <c r="Q342" s="10" t="str">
        <f aca="false">IF($B342="","",IF(ISNUMBER($B342),YEAR($B342),"日期非法"))</f>
        <v/>
      </c>
    </row>
    <row r="343" customFormat="false" ht="15.75" hidden="false" customHeight="true" outlineLevel="0" collapsed="false">
      <c r="A343" s="10" t="str">
        <f aca="false">IF($B343="","",ROW()-4)</f>
        <v/>
      </c>
      <c r="B343" s="11"/>
      <c r="C343" s="12"/>
      <c r="D343" s="12"/>
      <c r="E343" s="12"/>
      <c r="F343" s="12"/>
      <c r="G343" s="12"/>
      <c r="H343" s="13"/>
      <c r="I343" s="4"/>
      <c r="J343" s="4"/>
      <c r="K343" s="14" t="str">
        <f aca="false">IF($B343="","",IF($C343="泓普",$C$2,IF($C343="仟茂",$E$2,IF($C343="现金",$G$2,0)))+SUMIFS($I$5:$I343,$C$5:$C343,$C343)-SUMIFS($J$5:$J343,$C$5:$C343,$C343))</f>
        <v/>
      </c>
      <c r="L343" s="14" t="str">
        <f aca="false">IF($B343="","",$C$2+$E$2+$G$2+SUM($I$5:$I343)-SUM($J$5:$J343))</f>
        <v/>
      </c>
      <c r="M343" s="12"/>
      <c r="N343" s="15" t="str">
        <f aca="false">IF($B343="","",IF(NOT(ISNUMBER($B343)),"日期格式不对",IF($C343="","未选资金账户",IF(AND(N($I343)=0,N($J343)=0),"收支都为空",IF(AND(N($I343)&gt;0,N($J343)&gt;0),"收支不能同时填",IF(AND($D343&lt;&gt;"",LEFT($O343,1)="⚠"),"项目编号不存在",IF(AND($M343="是",$F343=""),"工程回款必须填往来单位","√")))))))</f>
        <v/>
      </c>
      <c r="O343" s="16" t="str">
        <f aca="false">IF($D343="","",IFERROR(INDEX(对照清单!$B$5:$B$60,MATCH($D343,对照清单!$A$5:$A$60,0)),"⚠编号不存在"))</f>
        <v/>
      </c>
      <c r="P343" s="10" t="str">
        <f aca="false">IF($B343="","",IF(ISNUMBER($B343),TEXT($B343,"yyyy-mm"),"日期非法"))</f>
        <v/>
      </c>
      <c r="Q343" s="10" t="str">
        <f aca="false">IF($B343="","",IF(ISNUMBER($B343),YEAR($B343),"日期非法"))</f>
        <v/>
      </c>
    </row>
    <row r="344" customFormat="false" ht="15.75" hidden="false" customHeight="true" outlineLevel="0" collapsed="false">
      <c r="A344" s="10" t="str">
        <f aca="false">IF($B344="","",ROW()-4)</f>
        <v/>
      </c>
      <c r="B344" s="11"/>
      <c r="C344" s="12"/>
      <c r="D344" s="12"/>
      <c r="E344" s="12"/>
      <c r="F344" s="12"/>
      <c r="G344" s="12"/>
      <c r="H344" s="13"/>
      <c r="I344" s="4"/>
      <c r="J344" s="4"/>
      <c r="K344" s="14" t="str">
        <f aca="false">IF($B344="","",IF($C344="泓普",$C$2,IF($C344="仟茂",$E$2,IF($C344="现金",$G$2,0)))+SUMIFS($I$5:$I344,$C$5:$C344,$C344)-SUMIFS($J$5:$J344,$C$5:$C344,$C344))</f>
        <v/>
      </c>
      <c r="L344" s="14" t="str">
        <f aca="false">IF($B344="","",$C$2+$E$2+$G$2+SUM($I$5:$I344)-SUM($J$5:$J344))</f>
        <v/>
      </c>
      <c r="M344" s="12"/>
      <c r="N344" s="15" t="str">
        <f aca="false">IF($B344="","",IF(NOT(ISNUMBER($B344)),"日期格式不对",IF($C344="","未选资金账户",IF(AND(N($I344)=0,N($J344)=0),"收支都为空",IF(AND(N($I344)&gt;0,N($J344)&gt;0),"收支不能同时填",IF(AND($D344&lt;&gt;"",LEFT($O344,1)="⚠"),"项目编号不存在",IF(AND($M344="是",$F344=""),"工程回款必须填往来单位","√")))))))</f>
        <v/>
      </c>
      <c r="O344" s="16" t="str">
        <f aca="false">IF($D344="","",IFERROR(INDEX(对照清单!$B$5:$B$60,MATCH($D344,对照清单!$A$5:$A$60,0)),"⚠编号不存在"))</f>
        <v/>
      </c>
      <c r="P344" s="10" t="str">
        <f aca="false">IF($B344="","",IF(ISNUMBER($B344),TEXT($B344,"yyyy-mm"),"日期非法"))</f>
        <v/>
      </c>
      <c r="Q344" s="10" t="str">
        <f aca="false">IF($B344="","",IF(ISNUMBER($B344),YEAR($B344),"日期非法"))</f>
        <v/>
      </c>
    </row>
    <row r="345" customFormat="false" ht="15.75" hidden="false" customHeight="true" outlineLevel="0" collapsed="false">
      <c r="A345" s="10" t="str">
        <f aca="false">IF($B345="","",ROW()-4)</f>
        <v/>
      </c>
      <c r="B345" s="11"/>
      <c r="C345" s="12"/>
      <c r="D345" s="12"/>
      <c r="E345" s="12"/>
      <c r="F345" s="12"/>
      <c r="G345" s="12"/>
      <c r="H345" s="13"/>
      <c r="I345" s="4"/>
      <c r="J345" s="4"/>
      <c r="K345" s="14" t="str">
        <f aca="false">IF($B345="","",IF($C345="泓普",$C$2,IF($C345="仟茂",$E$2,IF($C345="现金",$G$2,0)))+SUMIFS($I$5:$I345,$C$5:$C345,$C345)-SUMIFS($J$5:$J345,$C$5:$C345,$C345))</f>
        <v/>
      </c>
      <c r="L345" s="14" t="str">
        <f aca="false">IF($B345="","",$C$2+$E$2+$G$2+SUM($I$5:$I345)-SUM($J$5:$J345))</f>
        <v/>
      </c>
      <c r="M345" s="12"/>
      <c r="N345" s="15" t="str">
        <f aca="false">IF($B345="","",IF(NOT(ISNUMBER($B345)),"日期格式不对",IF($C345="","未选资金账户",IF(AND(N($I345)=0,N($J345)=0),"收支都为空",IF(AND(N($I345)&gt;0,N($J345)&gt;0),"收支不能同时填",IF(AND($D345&lt;&gt;"",LEFT($O345,1)="⚠"),"项目编号不存在",IF(AND($M345="是",$F345=""),"工程回款必须填往来单位","√")))))))</f>
        <v/>
      </c>
      <c r="O345" s="16" t="str">
        <f aca="false">IF($D345="","",IFERROR(INDEX(对照清单!$B$5:$B$60,MATCH($D345,对照清单!$A$5:$A$60,0)),"⚠编号不存在"))</f>
        <v/>
      </c>
      <c r="P345" s="10" t="str">
        <f aca="false">IF($B345="","",IF(ISNUMBER($B345),TEXT($B345,"yyyy-mm"),"日期非法"))</f>
        <v/>
      </c>
      <c r="Q345" s="10" t="str">
        <f aca="false">IF($B345="","",IF(ISNUMBER($B345),YEAR($B345),"日期非法"))</f>
        <v/>
      </c>
    </row>
    <row r="346" customFormat="false" ht="15.75" hidden="false" customHeight="true" outlineLevel="0" collapsed="false">
      <c r="A346" s="10" t="str">
        <f aca="false">IF($B346="","",ROW()-4)</f>
        <v/>
      </c>
      <c r="B346" s="11"/>
      <c r="C346" s="12"/>
      <c r="D346" s="12"/>
      <c r="E346" s="12"/>
      <c r="F346" s="12"/>
      <c r="G346" s="12"/>
      <c r="H346" s="13"/>
      <c r="I346" s="4"/>
      <c r="J346" s="4"/>
      <c r="K346" s="14" t="str">
        <f aca="false">IF($B346="","",IF($C346="泓普",$C$2,IF($C346="仟茂",$E$2,IF($C346="现金",$G$2,0)))+SUMIFS($I$5:$I346,$C$5:$C346,$C346)-SUMIFS($J$5:$J346,$C$5:$C346,$C346))</f>
        <v/>
      </c>
      <c r="L346" s="14" t="str">
        <f aca="false">IF($B346="","",$C$2+$E$2+$G$2+SUM($I$5:$I346)-SUM($J$5:$J346))</f>
        <v/>
      </c>
      <c r="M346" s="12"/>
      <c r="N346" s="15" t="str">
        <f aca="false">IF($B346="","",IF(NOT(ISNUMBER($B346)),"日期格式不对",IF($C346="","未选资金账户",IF(AND(N($I346)=0,N($J346)=0),"收支都为空",IF(AND(N($I346)&gt;0,N($J346)&gt;0),"收支不能同时填",IF(AND($D346&lt;&gt;"",LEFT($O346,1)="⚠"),"项目编号不存在",IF(AND($M346="是",$F346=""),"工程回款必须填往来单位","√")))))))</f>
        <v/>
      </c>
      <c r="O346" s="16" t="str">
        <f aca="false">IF($D346="","",IFERROR(INDEX(对照清单!$B$5:$B$60,MATCH($D346,对照清单!$A$5:$A$60,0)),"⚠编号不存在"))</f>
        <v/>
      </c>
      <c r="P346" s="10" t="str">
        <f aca="false">IF($B346="","",IF(ISNUMBER($B346),TEXT($B346,"yyyy-mm"),"日期非法"))</f>
        <v/>
      </c>
      <c r="Q346" s="10" t="str">
        <f aca="false">IF($B346="","",IF(ISNUMBER($B346),YEAR($B346),"日期非法"))</f>
        <v/>
      </c>
    </row>
    <row r="347" customFormat="false" ht="15.75" hidden="false" customHeight="true" outlineLevel="0" collapsed="false">
      <c r="A347" s="10" t="str">
        <f aca="false">IF($B347="","",ROW()-4)</f>
        <v/>
      </c>
      <c r="B347" s="11"/>
      <c r="C347" s="12"/>
      <c r="D347" s="12"/>
      <c r="E347" s="12"/>
      <c r="F347" s="12"/>
      <c r="G347" s="12"/>
      <c r="H347" s="13"/>
      <c r="I347" s="4"/>
      <c r="J347" s="4"/>
      <c r="K347" s="14" t="str">
        <f aca="false">IF($B347="","",IF($C347="泓普",$C$2,IF($C347="仟茂",$E$2,IF($C347="现金",$G$2,0)))+SUMIFS($I$5:$I347,$C$5:$C347,$C347)-SUMIFS($J$5:$J347,$C$5:$C347,$C347))</f>
        <v/>
      </c>
      <c r="L347" s="14" t="str">
        <f aca="false">IF($B347="","",$C$2+$E$2+$G$2+SUM($I$5:$I347)-SUM($J$5:$J347))</f>
        <v/>
      </c>
      <c r="M347" s="12"/>
      <c r="N347" s="15" t="str">
        <f aca="false">IF($B347="","",IF(NOT(ISNUMBER($B347)),"日期格式不对",IF($C347="","未选资金账户",IF(AND(N($I347)=0,N($J347)=0),"收支都为空",IF(AND(N($I347)&gt;0,N($J347)&gt;0),"收支不能同时填",IF(AND($D347&lt;&gt;"",LEFT($O347,1)="⚠"),"项目编号不存在",IF(AND($M347="是",$F347=""),"工程回款必须填往来单位","√")))))))</f>
        <v/>
      </c>
      <c r="O347" s="16" t="str">
        <f aca="false">IF($D347="","",IFERROR(INDEX(对照清单!$B$5:$B$60,MATCH($D347,对照清单!$A$5:$A$60,0)),"⚠编号不存在"))</f>
        <v/>
      </c>
      <c r="P347" s="10" t="str">
        <f aca="false">IF($B347="","",IF(ISNUMBER($B347),TEXT($B347,"yyyy-mm"),"日期非法"))</f>
        <v/>
      </c>
      <c r="Q347" s="10" t="str">
        <f aca="false">IF($B347="","",IF(ISNUMBER($B347),YEAR($B347),"日期非法"))</f>
        <v/>
      </c>
    </row>
    <row r="348" customFormat="false" ht="15.75" hidden="false" customHeight="true" outlineLevel="0" collapsed="false">
      <c r="A348" s="10" t="str">
        <f aca="false">IF($B348="","",ROW()-4)</f>
        <v/>
      </c>
      <c r="B348" s="11"/>
      <c r="C348" s="12"/>
      <c r="D348" s="12"/>
      <c r="E348" s="12"/>
      <c r="F348" s="12"/>
      <c r="G348" s="12"/>
      <c r="H348" s="13"/>
      <c r="I348" s="4"/>
      <c r="J348" s="4"/>
      <c r="K348" s="14" t="str">
        <f aca="false">IF($B348="","",IF($C348="泓普",$C$2,IF($C348="仟茂",$E$2,IF($C348="现金",$G$2,0)))+SUMIFS($I$5:$I348,$C$5:$C348,$C348)-SUMIFS($J$5:$J348,$C$5:$C348,$C348))</f>
        <v/>
      </c>
      <c r="L348" s="14" t="str">
        <f aca="false">IF($B348="","",$C$2+$E$2+$G$2+SUM($I$5:$I348)-SUM($J$5:$J348))</f>
        <v/>
      </c>
      <c r="M348" s="12"/>
      <c r="N348" s="15" t="str">
        <f aca="false">IF($B348="","",IF(NOT(ISNUMBER($B348)),"日期格式不对",IF($C348="","未选资金账户",IF(AND(N($I348)=0,N($J348)=0),"收支都为空",IF(AND(N($I348)&gt;0,N($J348)&gt;0),"收支不能同时填",IF(AND($D348&lt;&gt;"",LEFT($O348,1)="⚠"),"项目编号不存在",IF(AND($M348="是",$F348=""),"工程回款必须填往来单位","√")))))))</f>
        <v/>
      </c>
      <c r="O348" s="16" t="str">
        <f aca="false">IF($D348="","",IFERROR(INDEX(对照清单!$B$5:$B$60,MATCH($D348,对照清单!$A$5:$A$60,0)),"⚠编号不存在"))</f>
        <v/>
      </c>
      <c r="P348" s="10" t="str">
        <f aca="false">IF($B348="","",IF(ISNUMBER($B348),TEXT($B348,"yyyy-mm"),"日期非法"))</f>
        <v/>
      </c>
      <c r="Q348" s="10" t="str">
        <f aca="false">IF($B348="","",IF(ISNUMBER($B348),YEAR($B348),"日期非法"))</f>
        <v/>
      </c>
    </row>
    <row r="349" customFormat="false" ht="15.75" hidden="false" customHeight="true" outlineLevel="0" collapsed="false">
      <c r="A349" s="10" t="str">
        <f aca="false">IF($B349="","",ROW()-4)</f>
        <v/>
      </c>
      <c r="B349" s="11"/>
      <c r="C349" s="12"/>
      <c r="D349" s="12"/>
      <c r="E349" s="12"/>
      <c r="F349" s="12"/>
      <c r="G349" s="12"/>
      <c r="H349" s="13"/>
      <c r="I349" s="4"/>
      <c r="J349" s="4"/>
      <c r="K349" s="14" t="str">
        <f aca="false">IF($B349="","",IF($C349="泓普",$C$2,IF($C349="仟茂",$E$2,IF($C349="现金",$G$2,0)))+SUMIFS($I$5:$I349,$C$5:$C349,$C349)-SUMIFS($J$5:$J349,$C$5:$C349,$C349))</f>
        <v/>
      </c>
      <c r="L349" s="14" t="str">
        <f aca="false">IF($B349="","",$C$2+$E$2+$G$2+SUM($I$5:$I349)-SUM($J$5:$J349))</f>
        <v/>
      </c>
      <c r="M349" s="12"/>
      <c r="N349" s="15" t="str">
        <f aca="false">IF($B349="","",IF(NOT(ISNUMBER($B349)),"日期格式不对",IF($C349="","未选资金账户",IF(AND(N($I349)=0,N($J349)=0),"收支都为空",IF(AND(N($I349)&gt;0,N($J349)&gt;0),"收支不能同时填",IF(AND($D349&lt;&gt;"",LEFT($O349,1)="⚠"),"项目编号不存在",IF(AND($M349="是",$F349=""),"工程回款必须填往来单位","√")))))))</f>
        <v/>
      </c>
      <c r="O349" s="16" t="str">
        <f aca="false">IF($D349="","",IFERROR(INDEX(对照清单!$B$5:$B$60,MATCH($D349,对照清单!$A$5:$A$60,0)),"⚠编号不存在"))</f>
        <v/>
      </c>
      <c r="P349" s="10" t="str">
        <f aca="false">IF($B349="","",IF(ISNUMBER($B349),TEXT($B349,"yyyy-mm"),"日期非法"))</f>
        <v/>
      </c>
      <c r="Q349" s="10" t="str">
        <f aca="false">IF($B349="","",IF(ISNUMBER($B349),YEAR($B349),"日期非法"))</f>
        <v/>
      </c>
    </row>
    <row r="350" customFormat="false" ht="15.75" hidden="false" customHeight="true" outlineLevel="0" collapsed="false">
      <c r="A350" s="10" t="str">
        <f aca="false">IF($B350="","",ROW()-4)</f>
        <v/>
      </c>
      <c r="B350" s="11"/>
      <c r="C350" s="12"/>
      <c r="D350" s="12"/>
      <c r="E350" s="12"/>
      <c r="F350" s="12"/>
      <c r="G350" s="12"/>
      <c r="H350" s="13"/>
      <c r="I350" s="4"/>
      <c r="J350" s="4"/>
      <c r="K350" s="14" t="str">
        <f aca="false">IF($B350="","",IF($C350="泓普",$C$2,IF($C350="仟茂",$E$2,IF($C350="现金",$G$2,0)))+SUMIFS($I$5:$I350,$C$5:$C350,$C350)-SUMIFS($J$5:$J350,$C$5:$C350,$C350))</f>
        <v/>
      </c>
      <c r="L350" s="14" t="str">
        <f aca="false">IF($B350="","",$C$2+$E$2+$G$2+SUM($I$5:$I350)-SUM($J$5:$J350))</f>
        <v/>
      </c>
      <c r="M350" s="12"/>
      <c r="N350" s="15" t="str">
        <f aca="false">IF($B350="","",IF(NOT(ISNUMBER($B350)),"日期格式不对",IF($C350="","未选资金账户",IF(AND(N($I350)=0,N($J350)=0),"收支都为空",IF(AND(N($I350)&gt;0,N($J350)&gt;0),"收支不能同时填",IF(AND($D350&lt;&gt;"",LEFT($O350,1)="⚠"),"项目编号不存在",IF(AND($M350="是",$F350=""),"工程回款必须填往来单位","√")))))))</f>
        <v/>
      </c>
      <c r="O350" s="16" t="str">
        <f aca="false">IF($D350="","",IFERROR(INDEX(对照清单!$B$5:$B$60,MATCH($D350,对照清单!$A$5:$A$60,0)),"⚠编号不存在"))</f>
        <v/>
      </c>
      <c r="P350" s="10" t="str">
        <f aca="false">IF($B350="","",IF(ISNUMBER($B350),TEXT($B350,"yyyy-mm"),"日期非法"))</f>
        <v/>
      </c>
      <c r="Q350" s="10" t="str">
        <f aca="false">IF($B350="","",IF(ISNUMBER($B350),YEAR($B350),"日期非法"))</f>
        <v/>
      </c>
    </row>
    <row r="351" customFormat="false" ht="15.75" hidden="false" customHeight="true" outlineLevel="0" collapsed="false">
      <c r="A351" s="10" t="str">
        <f aca="false">IF($B351="","",ROW()-4)</f>
        <v/>
      </c>
      <c r="B351" s="11"/>
      <c r="C351" s="12"/>
      <c r="D351" s="12"/>
      <c r="E351" s="12"/>
      <c r="F351" s="12"/>
      <c r="G351" s="12"/>
      <c r="H351" s="13"/>
      <c r="I351" s="4"/>
      <c r="J351" s="4"/>
      <c r="K351" s="14" t="str">
        <f aca="false">IF($B351="","",IF($C351="泓普",$C$2,IF($C351="仟茂",$E$2,IF($C351="现金",$G$2,0)))+SUMIFS($I$5:$I351,$C$5:$C351,$C351)-SUMIFS($J$5:$J351,$C$5:$C351,$C351))</f>
        <v/>
      </c>
      <c r="L351" s="14" t="str">
        <f aca="false">IF($B351="","",$C$2+$E$2+$G$2+SUM($I$5:$I351)-SUM($J$5:$J351))</f>
        <v/>
      </c>
      <c r="M351" s="12"/>
      <c r="N351" s="15" t="str">
        <f aca="false">IF($B351="","",IF(NOT(ISNUMBER($B351)),"日期格式不对",IF($C351="","未选资金账户",IF(AND(N($I351)=0,N($J351)=0),"收支都为空",IF(AND(N($I351)&gt;0,N($J351)&gt;0),"收支不能同时填",IF(AND($D351&lt;&gt;"",LEFT($O351,1)="⚠"),"项目编号不存在",IF(AND($M351="是",$F351=""),"工程回款必须填往来单位","√")))))))</f>
        <v/>
      </c>
      <c r="O351" s="16" t="str">
        <f aca="false">IF($D351="","",IFERROR(INDEX(对照清单!$B$5:$B$60,MATCH($D351,对照清单!$A$5:$A$60,0)),"⚠编号不存在"))</f>
        <v/>
      </c>
      <c r="P351" s="10" t="str">
        <f aca="false">IF($B351="","",IF(ISNUMBER($B351),TEXT($B351,"yyyy-mm"),"日期非法"))</f>
        <v/>
      </c>
      <c r="Q351" s="10" t="str">
        <f aca="false">IF($B351="","",IF(ISNUMBER($B351),YEAR($B351),"日期非法"))</f>
        <v/>
      </c>
    </row>
    <row r="352" customFormat="false" ht="15.75" hidden="false" customHeight="true" outlineLevel="0" collapsed="false">
      <c r="A352" s="10" t="str">
        <f aca="false">IF($B352="","",ROW()-4)</f>
        <v/>
      </c>
      <c r="B352" s="11"/>
      <c r="C352" s="12"/>
      <c r="D352" s="12"/>
      <c r="E352" s="12"/>
      <c r="F352" s="12"/>
      <c r="G352" s="12"/>
      <c r="H352" s="13"/>
      <c r="I352" s="4"/>
      <c r="J352" s="4"/>
      <c r="K352" s="14" t="str">
        <f aca="false">IF($B352="","",IF($C352="泓普",$C$2,IF($C352="仟茂",$E$2,IF($C352="现金",$G$2,0)))+SUMIFS($I$5:$I352,$C$5:$C352,$C352)-SUMIFS($J$5:$J352,$C$5:$C352,$C352))</f>
        <v/>
      </c>
      <c r="L352" s="14" t="str">
        <f aca="false">IF($B352="","",$C$2+$E$2+$G$2+SUM($I$5:$I352)-SUM($J$5:$J352))</f>
        <v/>
      </c>
      <c r="M352" s="12"/>
      <c r="N352" s="15" t="str">
        <f aca="false">IF($B352="","",IF(NOT(ISNUMBER($B352)),"日期格式不对",IF($C352="","未选资金账户",IF(AND(N($I352)=0,N($J352)=0),"收支都为空",IF(AND(N($I352)&gt;0,N($J352)&gt;0),"收支不能同时填",IF(AND($D352&lt;&gt;"",LEFT($O352,1)="⚠"),"项目编号不存在",IF(AND($M352="是",$F352=""),"工程回款必须填往来单位","√")))))))</f>
        <v/>
      </c>
      <c r="O352" s="16" t="str">
        <f aca="false">IF($D352="","",IFERROR(INDEX(对照清单!$B$5:$B$60,MATCH($D352,对照清单!$A$5:$A$60,0)),"⚠编号不存在"))</f>
        <v/>
      </c>
      <c r="P352" s="10" t="str">
        <f aca="false">IF($B352="","",IF(ISNUMBER($B352),TEXT($B352,"yyyy-mm"),"日期非法"))</f>
        <v/>
      </c>
      <c r="Q352" s="10" t="str">
        <f aca="false">IF($B352="","",IF(ISNUMBER($B352),YEAR($B352),"日期非法"))</f>
        <v/>
      </c>
    </row>
    <row r="353" customFormat="false" ht="15.75" hidden="false" customHeight="true" outlineLevel="0" collapsed="false">
      <c r="A353" s="10" t="str">
        <f aca="false">IF($B353="","",ROW()-4)</f>
        <v/>
      </c>
      <c r="B353" s="11"/>
      <c r="C353" s="12"/>
      <c r="D353" s="12"/>
      <c r="E353" s="12"/>
      <c r="F353" s="12"/>
      <c r="G353" s="12"/>
      <c r="H353" s="13"/>
      <c r="I353" s="4"/>
      <c r="J353" s="4"/>
      <c r="K353" s="14" t="str">
        <f aca="false">IF($B353="","",IF($C353="泓普",$C$2,IF($C353="仟茂",$E$2,IF($C353="现金",$G$2,0)))+SUMIFS($I$5:$I353,$C$5:$C353,$C353)-SUMIFS($J$5:$J353,$C$5:$C353,$C353))</f>
        <v/>
      </c>
      <c r="L353" s="14" t="str">
        <f aca="false">IF($B353="","",$C$2+$E$2+$G$2+SUM($I$5:$I353)-SUM($J$5:$J353))</f>
        <v/>
      </c>
      <c r="M353" s="12"/>
      <c r="N353" s="15" t="str">
        <f aca="false">IF($B353="","",IF(NOT(ISNUMBER($B353)),"日期格式不对",IF($C353="","未选资金账户",IF(AND(N($I353)=0,N($J353)=0),"收支都为空",IF(AND(N($I353)&gt;0,N($J353)&gt;0),"收支不能同时填",IF(AND($D353&lt;&gt;"",LEFT($O353,1)="⚠"),"项目编号不存在",IF(AND($M353="是",$F353=""),"工程回款必须填往来单位","√")))))))</f>
        <v/>
      </c>
      <c r="O353" s="16" t="str">
        <f aca="false">IF($D353="","",IFERROR(INDEX(对照清单!$B$5:$B$60,MATCH($D353,对照清单!$A$5:$A$60,0)),"⚠编号不存在"))</f>
        <v/>
      </c>
      <c r="P353" s="10" t="str">
        <f aca="false">IF($B353="","",IF(ISNUMBER($B353),TEXT($B353,"yyyy-mm"),"日期非法"))</f>
        <v/>
      </c>
      <c r="Q353" s="10" t="str">
        <f aca="false">IF($B353="","",IF(ISNUMBER($B353),YEAR($B353),"日期非法"))</f>
        <v/>
      </c>
    </row>
    <row r="354" customFormat="false" ht="15.75" hidden="false" customHeight="true" outlineLevel="0" collapsed="false">
      <c r="A354" s="10" t="str">
        <f aca="false">IF($B354="","",ROW()-4)</f>
        <v/>
      </c>
      <c r="B354" s="11"/>
      <c r="C354" s="12"/>
      <c r="D354" s="12"/>
      <c r="E354" s="12"/>
      <c r="F354" s="12"/>
      <c r="G354" s="12"/>
      <c r="H354" s="13"/>
      <c r="I354" s="4"/>
      <c r="J354" s="4"/>
      <c r="K354" s="14" t="str">
        <f aca="false">IF($B354="","",IF($C354="泓普",$C$2,IF($C354="仟茂",$E$2,IF($C354="现金",$G$2,0)))+SUMIFS($I$5:$I354,$C$5:$C354,$C354)-SUMIFS($J$5:$J354,$C$5:$C354,$C354))</f>
        <v/>
      </c>
      <c r="L354" s="14" t="str">
        <f aca="false">IF($B354="","",$C$2+$E$2+$G$2+SUM($I$5:$I354)-SUM($J$5:$J354))</f>
        <v/>
      </c>
      <c r="M354" s="12"/>
      <c r="N354" s="15" t="str">
        <f aca="false">IF($B354="","",IF(NOT(ISNUMBER($B354)),"日期格式不对",IF($C354="","未选资金账户",IF(AND(N($I354)=0,N($J354)=0),"收支都为空",IF(AND(N($I354)&gt;0,N($J354)&gt;0),"收支不能同时填",IF(AND($D354&lt;&gt;"",LEFT($O354,1)="⚠"),"项目编号不存在",IF(AND($M354="是",$F354=""),"工程回款必须填往来单位","√")))))))</f>
        <v/>
      </c>
      <c r="O354" s="16" t="str">
        <f aca="false">IF($D354="","",IFERROR(INDEX(对照清单!$B$5:$B$60,MATCH($D354,对照清单!$A$5:$A$60,0)),"⚠编号不存在"))</f>
        <v/>
      </c>
      <c r="P354" s="10" t="str">
        <f aca="false">IF($B354="","",IF(ISNUMBER($B354),TEXT($B354,"yyyy-mm"),"日期非法"))</f>
        <v/>
      </c>
      <c r="Q354" s="10" t="str">
        <f aca="false">IF($B354="","",IF(ISNUMBER($B354),YEAR($B354),"日期非法"))</f>
        <v/>
      </c>
    </row>
    <row r="355" customFormat="false" ht="15.75" hidden="false" customHeight="true" outlineLevel="0" collapsed="false">
      <c r="A355" s="10" t="str">
        <f aca="false">IF($B355="","",ROW()-4)</f>
        <v/>
      </c>
      <c r="B355" s="11"/>
      <c r="C355" s="12"/>
      <c r="D355" s="12"/>
      <c r="E355" s="12"/>
      <c r="F355" s="12"/>
      <c r="G355" s="12"/>
      <c r="H355" s="13"/>
      <c r="I355" s="4"/>
      <c r="J355" s="4"/>
      <c r="K355" s="14" t="str">
        <f aca="false">IF($B355="","",IF($C355="泓普",$C$2,IF($C355="仟茂",$E$2,IF($C355="现金",$G$2,0)))+SUMIFS($I$5:$I355,$C$5:$C355,$C355)-SUMIFS($J$5:$J355,$C$5:$C355,$C355))</f>
        <v/>
      </c>
      <c r="L355" s="14" t="str">
        <f aca="false">IF($B355="","",$C$2+$E$2+$G$2+SUM($I$5:$I355)-SUM($J$5:$J355))</f>
        <v/>
      </c>
      <c r="M355" s="12"/>
      <c r="N355" s="15" t="str">
        <f aca="false">IF($B355="","",IF(NOT(ISNUMBER($B355)),"日期格式不对",IF($C355="","未选资金账户",IF(AND(N($I355)=0,N($J355)=0),"收支都为空",IF(AND(N($I355)&gt;0,N($J355)&gt;0),"收支不能同时填",IF(AND($D355&lt;&gt;"",LEFT($O355,1)="⚠"),"项目编号不存在",IF(AND($M355="是",$F355=""),"工程回款必须填往来单位","√")))))))</f>
        <v/>
      </c>
      <c r="O355" s="16" t="str">
        <f aca="false">IF($D355="","",IFERROR(INDEX(对照清单!$B$5:$B$60,MATCH($D355,对照清单!$A$5:$A$60,0)),"⚠编号不存在"))</f>
        <v/>
      </c>
      <c r="P355" s="10" t="str">
        <f aca="false">IF($B355="","",IF(ISNUMBER($B355),TEXT($B355,"yyyy-mm"),"日期非法"))</f>
        <v/>
      </c>
      <c r="Q355" s="10" t="str">
        <f aca="false">IF($B355="","",IF(ISNUMBER($B355),YEAR($B355),"日期非法"))</f>
        <v/>
      </c>
    </row>
    <row r="356" customFormat="false" ht="15.75" hidden="false" customHeight="true" outlineLevel="0" collapsed="false">
      <c r="A356" s="10" t="str">
        <f aca="false">IF($B356="","",ROW()-4)</f>
        <v/>
      </c>
      <c r="B356" s="11"/>
      <c r="C356" s="12"/>
      <c r="D356" s="12"/>
      <c r="E356" s="12"/>
      <c r="F356" s="12"/>
      <c r="G356" s="12"/>
      <c r="H356" s="13"/>
      <c r="I356" s="4"/>
      <c r="J356" s="4"/>
      <c r="K356" s="14" t="str">
        <f aca="false">IF($B356="","",IF($C356="泓普",$C$2,IF($C356="仟茂",$E$2,IF($C356="现金",$G$2,0)))+SUMIFS($I$5:$I356,$C$5:$C356,$C356)-SUMIFS($J$5:$J356,$C$5:$C356,$C356))</f>
        <v/>
      </c>
      <c r="L356" s="14" t="str">
        <f aca="false">IF($B356="","",$C$2+$E$2+$G$2+SUM($I$5:$I356)-SUM($J$5:$J356))</f>
        <v/>
      </c>
      <c r="M356" s="12"/>
      <c r="N356" s="15" t="str">
        <f aca="false">IF($B356="","",IF(NOT(ISNUMBER($B356)),"日期格式不对",IF($C356="","未选资金账户",IF(AND(N($I356)=0,N($J356)=0),"收支都为空",IF(AND(N($I356)&gt;0,N($J356)&gt;0),"收支不能同时填",IF(AND($D356&lt;&gt;"",LEFT($O356,1)="⚠"),"项目编号不存在",IF(AND($M356="是",$F356=""),"工程回款必须填往来单位","√")))))))</f>
        <v/>
      </c>
      <c r="O356" s="16" t="str">
        <f aca="false">IF($D356="","",IFERROR(INDEX(对照清单!$B$5:$B$60,MATCH($D356,对照清单!$A$5:$A$60,0)),"⚠编号不存在"))</f>
        <v/>
      </c>
      <c r="P356" s="10" t="str">
        <f aca="false">IF($B356="","",IF(ISNUMBER($B356),TEXT($B356,"yyyy-mm"),"日期非法"))</f>
        <v/>
      </c>
      <c r="Q356" s="10" t="str">
        <f aca="false">IF($B356="","",IF(ISNUMBER($B356),YEAR($B356),"日期非法"))</f>
        <v/>
      </c>
    </row>
    <row r="357" customFormat="false" ht="15.75" hidden="false" customHeight="true" outlineLevel="0" collapsed="false">
      <c r="A357" s="10" t="str">
        <f aca="false">IF($B357="","",ROW()-4)</f>
        <v/>
      </c>
      <c r="B357" s="11"/>
      <c r="C357" s="12"/>
      <c r="D357" s="12"/>
      <c r="E357" s="12"/>
      <c r="F357" s="12"/>
      <c r="G357" s="12"/>
      <c r="H357" s="13"/>
      <c r="I357" s="4"/>
      <c r="J357" s="4"/>
      <c r="K357" s="14" t="str">
        <f aca="false">IF($B357="","",IF($C357="泓普",$C$2,IF($C357="仟茂",$E$2,IF($C357="现金",$G$2,0)))+SUMIFS($I$5:$I357,$C$5:$C357,$C357)-SUMIFS($J$5:$J357,$C$5:$C357,$C357))</f>
        <v/>
      </c>
      <c r="L357" s="14" t="str">
        <f aca="false">IF($B357="","",$C$2+$E$2+$G$2+SUM($I$5:$I357)-SUM($J$5:$J357))</f>
        <v/>
      </c>
      <c r="M357" s="12"/>
      <c r="N357" s="15" t="str">
        <f aca="false">IF($B357="","",IF(NOT(ISNUMBER($B357)),"日期格式不对",IF($C357="","未选资金账户",IF(AND(N($I357)=0,N($J357)=0),"收支都为空",IF(AND(N($I357)&gt;0,N($J357)&gt;0),"收支不能同时填",IF(AND($D357&lt;&gt;"",LEFT($O357,1)="⚠"),"项目编号不存在",IF(AND($M357="是",$F357=""),"工程回款必须填往来单位","√")))))))</f>
        <v/>
      </c>
      <c r="O357" s="16" t="str">
        <f aca="false">IF($D357="","",IFERROR(INDEX(对照清单!$B$5:$B$60,MATCH($D357,对照清单!$A$5:$A$60,0)),"⚠编号不存在"))</f>
        <v/>
      </c>
      <c r="P357" s="10" t="str">
        <f aca="false">IF($B357="","",IF(ISNUMBER($B357),TEXT($B357,"yyyy-mm"),"日期非法"))</f>
        <v/>
      </c>
      <c r="Q357" s="10" t="str">
        <f aca="false">IF($B357="","",IF(ISNUMBER($B357),YEAR($B357),"日期非法"))</f>
        <v/>
      </c>
    </row>
    <row r="358" customFormat="false" ht="15.75" hidden="false" customHeight="true" outlineLevel="0" collapsed="false">
      <c r="A358" s="10" t="str">
        <f aca="false">IF($B358="","",ROW()-4)</f>
        <v/>
      </c>
      <c r="B358" s="11"/>
      <c r="C358" s="12"/>
      <c r="D358" s="12"/>
      <c r="E358" s="12"/>
      <c r="F358" s="12"/>
      <c r="G358" s="12"/>
      <c r="H358" s="13"/>
      <c r="I358" s="4"/>
      <c r="J358" s="4"/>
      <c r="K358" s="14" t="str">
        <f aca="false">IF($B358="","",IF($C358="泓普",$C$2,IF($C358="仟茂",$E$2,IF($C358="现金",$G$2,0)))+SUMIFS($I$5:$I358,$C$5:$C358,$C358)-SUMIFS($J$5:$J358,$C$5:$C358,$C358))</f>
        <v/>
      </c>
      <c r="L358" s="14" t="str">
        <f aca="false">IF($B358="","",$C$2+$E$2+$G$2+SUM($I$5:$I358)-SUM($J$5:$J358))</f>
        <v/>
      </c>
      <c r="M358" s="12"/>
      <c r="N358" s="15" t="str">
        <f aca="false">IF($B358="","",IF(NOT(ISNUMBER($B358)),"日期格式不对",IF($C358="","未选资金账户",IF(AND(N($I358)=0,N($J358)=0),"收支都为空",IF(AND(N($I358)&gt;0,N($J358)&gt;0),"收支不能同时填",IF(AND($D358&lt;&gt;"",LEFT($O358,1)="⚠"),"项目编号不存在",IF(AND($M358="是",$F358=""),"工程回款必须填往来单位","√")))))))</f>
        <v/>
      </c>
      <c r="O358" s="16" t="str">
        <f aca="false">IF($D358="","",IFERROR(INDEX(对照清单!$B$5:$B$60,MATCH($D358,对照清单!$A$5:$A$60,0)),"⚠编号不存在"))</f>
        <v/>
      </c>
      <c r="P358" s="10" t="str">
        <f aca="false">IF($B358="","",IF(ISNUMBER($B358),TEXT($B358,"yyyy-mm"),"日期非法"))</f>
        <v/>
      </c>
      <c r="Q358" s="10" t="str">
        <f aca="false">IF($B358="","",IF(ISNUMBER($B358),YEAR($B358),"日期非法"))</f>
        <v/>
      </c>
    </row>
    <row r="359" customFormat="false" ht="15.75" hidden="false" customHeight="true" outlineLevel="0" collapsed="false">
      <c r="A359" s="10" t="str">
        <f aca="false">IF($B359="","",ROW()-4)</f>
        <v/>
      </c>
      <c r="B359" s="11"/>
      <c r="C359" s="12"/>
      <c r="D359" s="12"/>
      <c r="E359" s="12"/>
      <c r="F359" s="12"/>
      <c r="G359" s="12"/>
      <c r="H359" s="13"/>
      <c r="I359" s="4"/>
      <c r="J359" s="4"/>
      <c r="K359" s="14" t="str">
        <f aca="false">IF($B359="","",IF($C359="泓普",$C$2,IF($C359="仟茂",$E$2,IF($C359="现金",$G$2,0)))+SUMIFS($I$5:$I359,$C$5:$C359,$C359)-SUMIFS($J$5:$J359,$C$5:$C359,$C359))</f>
        <v/>
      </c>
      <c r="L359" s="14" t="str">
        <f aca="false">IF($B359="","",$C$2+$E$2+$G$2+SUM($I$5:$I359)-SUM($J$5:$J359))</f>
        <v/>
      </c>
      <c r="M359" s="12"/>
      <c r="N359" s="15" t="str">
        <f aca="false">IF($B359="","",IF(NOT(ISNUMBER($B359)),"日期格式不对",IF($C359="","未选资金账户",IF(AND(N($I359)=0,N($J359)=0),"收支都为空",IF(AND(N($I359)&gt;0,N($J359)&gt;0),"收支不能同时填",IF(AND($D359&lt;&gt;"",LEFT($O359,1)="⚠"),"项目编号不存在",IF(AND($M359="是",$F359=""),"工程回款必须填往来单位","√")))))))</f>
        <v/>
      </c>
      <c r="O359" s="16" t="str">
        <f aca="false">IF($D359="","",IFERROR(INDEX(对照清单!$B$5:$B$60,MATCH($D359,对照清单!$A$5:$A$60,0)),"⚠编号不存在"))</f>
        <v/>
      </c>
      <c r="P359" s="10" t="str">
        <f aca="false">IF($B359="","",IF(ISNUMBER($B359),TEXT($B359,"yyyy-mm"),"日期非法"))</f>
        <v/>
      </c>
      <c r="Q359" s="10" t="str">
        <f aca="false">IF($B359="","",IF(ISNUMBER($B359),YEAR($B359),"日期非法"))</f>
        <v/>
      </c>
    </row>
    <row r="360" customFormat="false" ht="15.75" hidden="false" customHeight="true" outlineLevel="0" collapsed="false">
      <c r="A360" s="10" t="str">
        <f aca="false">IF($B360="","",ROW()-4)</f>
        <v/>
      </c>
      <c r="B360" s="11"/>
      <c r="C360" s="12"/>
      <c r="D360" s="12"/>
      <c r="E360" s="12"/>
      <c r="F360" s="12"/>
      <c r="G360" s="12"/>
      <c r="H360" s="13"/>
      <c r="I360" s="4"/>
      <c r="J360" s="4"/>
      <c r="K360" s="14" t="str">
        <f aca="false">IF($B360="","",IF($C360="泓普",$C$2,IF($C360="仟茂",$E$2,IF($C360="现金",$G$2,0)))+SUMIFS($I$5:$I360,$C$5:$C360,$C360)-SUMIFS($J$5:$J360,$C$5:$C360,$C360))</f>
        <v/>
      </c>
      <c r="L360" s="14" t="str">
        <f aca="false">IF($B360="","",$C$2+$E$2+$G$2+SUM($I$5:$I360)-SUM($J$5:$J360))</f>
        <v/>
      </c>
      <c r="M360" s="12"/>
      <c r="N360" s="15" t="str">
        <f aca="false">IF($B360="","",IF(NOT(ISNUMBER($B360)),"日期格式不对",IF($C360="","未选资金账户",IF(AND(N($I360)=0,N($J360)=0),"收支都为空",IF(AND(N($I360)&gt;0,N($J360)&gt;0),"收支不能同时填",IF(AND($D360&lt;&gt;"",LEFT($O360,1)="⚠"),"项目编号不存在",IF(AND($M360="是",$F360=""),"工程回款必须填往来单位","√")))))))</f>
        <v/>
      </c>
      <c r="O360" s="16" t="str">
        <f aca="false">IF($D360="","",IFERROR(INDEX(对照清单!$B$5:$B$60,MATCH($D360,对照清单!$A$5:$A$60,0)),"⚠编号不存在"))</f>
        <v/>
      </c>
      <c r="P360" s="10" t="str">
        <f aca="false">IF($B360="","",IF(ISNUMBER($B360),TEXT($B360,"yyyy-mm"),"日期非法"))</f>
        <v/>
      </c>
      <c r="Q360" s="10" t="str">
        <f aca="false">IF($B360="","",IF(ISNUMBER($B360),YEAR($B360),"日期非法"))</f>
        <v/>
      </c>
    </row>
    <row r="361" customFormat="false" ht="15.75" hidden="false" customHeight="true" outlineLevel="0" collapsed="false">
      <c r="A361" s="10" t="str">
        <f aca="false">IF($B361="","",ROW()-4)</f>
        <v/>
      </c>
      <c r="B361" s="11"/>
      <c r="C361" s="12"/>
      <c r="D361" s="12"/>
      <c r="E361" s="12"/>
      <c r="F361" s="12"/>
      <c r="G361" s="12"/>
      <c r="H361" s="13"/>
      <c r="I361" s="4"/>
      <c r="J361" s="4"/>
      <c r="K361" s="14" t="str">
        <f aca="false">IF($B361="","",IF($C361="泓普",$C$2,IF($C361="仟茂",$E$2,IF($C361="现金",$G$2,0)))+SUMIFS($I$5:$I361,$C$5:$C361,$C361)-SUMIFS($J$5:$J361,$C$5:$C361,$C361))</f>
        <v/>
      </c>
      <c r="L361" s="14" t="str">
        <f aca="false">IF($B361="","",$C$2+$E$2+$G$2+SUM($I$5:$I361)-SUM($J$5:$J361))</f>
        <v/>
      </c>
      <c r="M361" s="12"/>
      <c r="N361" s="15" t="str">
        <f aca="false">IF($B361="","",IF(NOT(ISNUMBER($B361)),"日期格式不对",IF($C361="","未选资金账户",IF(AND(N($I361)=0,N($J361)=0),"收支都为空",IF(AND(N($I361)&gt;0,N($J361)&gt;0),"收支不能同时填",IF(AND($D361&lt;&gt;"",LEFT($O361,1)="⚠"),"项目编号不存在",IF(AND($M361="是",$F361=""),"工程回款必须填往来单位","√")))))))</f>
        <v/>
      </c>
      <c r="O361" s="16" t="str">
        <f aca="false">IF($D361="","",IFERROR(INDEX(对照清单!$B$5:$B$60,MATCH($D361,对照清单!$A$5:$A$60,0)),"⚠编号不存在"))</f>
        <v/>
      </c>
      <c r="P361" s="10" t="str">
        <f aca="false">IF($B361="","",IF(ISNUMBER($B361),TEXT($B361,"yyyy-mm"),"日期非法"))</f>
        <v/>
      </c>
      <c r="Q361" s="10" t="str">
        <f aca="false">IF($B361="","",IF(ISNUMBER($B361),YEAR($B361),"日期非法"))</f>
        <v/>
      </c>
    </row>
    <row r="362" customFormat="false" ht="15.75" hidden="false" customHeight="true" outlineLevel="0" collapsed="false">
      <c r="A362" s="10" t="str">
        <f aca="false">IF($B362="","",ROW()-4)</f>
        <v/>
      </c>
      <c r="B362" s="11"/>
      <c r="C362" s="12"/>
      <c r="D362" s="12"/>
      <c r="E362" s="12"/>
      <c r="F362" s="12"/>
      <c r="G362" s="12"/>
      <c r="H362" s="13"/>
      <c r="I362" s="4"/>
      <c r="J362" s="4"/>
      <c r="K362" s="14" t="str">
        <f aca="false">IF($B362="","",IF($C362="泓普",$C$2,IF($C362="仟茂",$E$2,IF($C362="现金",$G$2,0)))+SUMIFS($I$5:$I362,$C$5:$C362,$C362)-SUMIFS($J$5:$J362,$C$5:$C362,$C362))</f>
        <v/>
      </c>
      <c r="L362" s="14" t="str">
        <f aca="false">IF($B362="","",$C$2+$E$2+$G$2+SUM($I$5:$I362)-SUM($J$5:$J362))</f>
        <v/>
      </c>
      <c r="M362" s="12"/>
      <c r="N362" s="15" t="str">
        <f aca="false">IF($B362="","",IF(NOT(ISNUMBER($B362)),"日期格式不对",IF($C362="","未选资金账户",IF(AND(N($I362)=0,N($J362)=0),"收支都为空",IF(AND(N($I362)&gt;0,N($J362)&gt;0),"收支不能同时填",IF(AND($D362&lt;&gt;"",LEFT($O362,1)="⚠"),"项目编号不存在",IF(AND($M362="是",$F362=""),"工程回款必须填往来单位","√")))))))</f>
        <v/>
      </c>
      <c r="O362" s="16" t="str">
        <f aca="false">IF($D362="","",IFERROR(INDEX(对照清单!$B$5:$B$60,MATCH($D362,对照清单!$A$5:$A$60,0)),"⚠编号不存在"))</f>
        <v/>
      </c>
      <c r="P362" s="10" t="str">
        <f aca="false">IF($B362="","",IF(ISNUMBER($B362),TEXT($B362,"yyyy-mm"),"日期非法"))</f>
        <v/>
      </c>
      <c r="Q362" s="10" t="str">
        <f aca="false">IF($B362="","",IF(ISNUMBER($B362),YEAR($B362),"日期非法"))</f>
        <v/>
      </c>
    </row>
    <row r="363" customFormat="false" ht="15.75" hidden="false" customHeight="true" outlineLevel="0" collapsed="false">
      <c r="A363" s="10" t="str">
        <f aca="false">IF($B363="","",ROW()-4)</f>
        <v/>
      </c>
      <c r="B363" s="11"/>
      <c r="C363" s="12"/>
      <c r="D363" s="12"/>
      <c r="E363" s="12"/>
      <c r="F363" s="12"/>
      <c r="G363" s="12"/>
      <c r="H363" s="13"/>
      <c r="I363" s="4"/>
      <c r="J363" s="4"/>
      <c r="K363" s="14" t="str">
        <f aca="false">IF($B363="","",IF($C363="泓普",$C$2,IF($C363="仟茂",$E$2,IF($C363="现金",$G$2,0)))+SUMIFS($I$5:$I363,$C$5:$C363,$C363)-SUMIFS($J$5:$J363,$C$5:$C363,$C363))</f>
        <v/>
      </c>
      <c r="L363" s="14" t="str">
        <f aca="false">IF($B363="","",$C$2+$E$2+$G$2+SUM($I$5:$I363)-SUM($J$5:$J363))</f>
        <v/>
      </c>
      <c r="M363" s="12"/>
      <c r="N363" s="15" t="str">
        <f aca="false">IF($B363="","",IF(NOT(ISNUMBER($B363)),"日期格式不对",IF($C363="","未选资金账户",IF(AND(N($I363)=0,N($J363)=0),"收支都为空",IF(AND(N($I363)&gt;0,N($J363)&gt;0),"收支不能同时填",IF(AND($D363&lt;&gt;"",LEFT($O363,1)="⚠"),"项目编号不存在",IF(AND($M363="是",$F363=""),"工程回款必须填往来单位","√")))))))</f>
        <v/>
      </c>
      <c r="O363" s="16" t="str">
        <f aca="false">IF($D363="","",IFERROR(INDEX(对照清单!$B$5:$B$60,MATCH($D363,对照清单!$A$5:$A$60,0)),"⚠编号不存在"))</f>
        <v/>
      </c>
      <c r="P363" s="10" t="str">
        <f aca="false">IF($B363="","",IF(ISNUMBER($B363),TEXT($B363,"yyyy-mm"),"日期非法"))</f>
        <v/>
      </c>
      <c r="Q363" s="10" t="str">
        <f aca="false">IF($B363="","",IF(ISNUMBER($B363),YEAR($B363),"日期非法"))</f>
        <v/>
      </c>
    </row>
    <row r="364" customFormat="false" ht="15.75" hidden="false" customHeight="true" outlineLevel="0" collapsed="false">
      <c r="A364" s="10" t="str">
        <f aca="false">IF($B364="","",ROW()-4)</f>
        <v/>
      </c>
      <c r="B364" s="11"/>
      <c r="C364" s="12"/>
      <c r="D364" s="12"/>
      <c r="E364" s="12"/>
      <c r="F364" s="12"/>
      <c r="G364" s="12"/>
      <c r="H364" s="13"/>
      <c r="I364" s="4"/>
      <c r="J364" s="4"/>
      <c r="K364" s="14" t="str">
        <f aca="false">IF($B364="","",IF($C364="泓普",$C$2,IF($C364="仟茂",$E$2,IF($C364="现金",$G$2,0)))+SUMIFS($I$5:$I364,$C$5:$C364,$C364)-SUMIFS($J$5:$J364,$C$5:$C364,$C364))</f>
        <v/>
      </c>
      <c r="L364" s="14" t="str">
        <f aca="false">IF($B364="","",$C$2+$E$2+$G$2+SUM($I$5:$I364)-SUM($J$5:$J364))</f>
        <v/>
      </c>
      <c r="M364" s="12"/>
      <c r="N364" s="15" t="str">
        <f aca="false">IF($B364="","",IF(NOT(ISNUMBER($B364)),"日期格式不对",IF($C364="","未选资金账户",IF(AND(N($I364)=0,N($J364)=0),"收支都为空",IF(AND(N($I364)&gt;0,N($J364)&gt;0),"收支不能同时填",IF(AND($D364&lt;&gt;"",LEFT($O364,1)="⚠"),"项目编号不存在",IF(AND($M364="是",$F364=""),"工程回款必须填往来单位","√")))))))</f>
        <v/>
      </c>
      <c r="O364" s="16" t="str">
        <f aca="false">IF($D364="","",IFERROR(INDEX(对照清单!$B$5:$B$60,MATCH($D364,对照清单!$A$5:$A$60,0)),"⚠编号不存在"))</f>
        <v/>
      </c>
      <c r="P364" s="10" t="str">
        <f aca="false">IF($B364="","",IF(ISNUMBER($B364),TEXT($B364,"yyyy-mm"),"日期非法"))</f>
        <v/>
      </c>
      <c r="Q364" s="10" t="str">
        <f aca="false">IF($B364="","",IF(ISNUMBER($B364),YEAR($B364),"日期非法"))</f>
        <v/>
      </c>
    </row>
    <row r="365" customFormat="false" ht="15.75" hidden="false" customHeight="true" outlineLevel="0" collapsed="false">
      <c r="A365" s="10" t="str">
        <f aca="false">IF($B365="","",ROW()-4)</f>
        <v/>
      </c>
      <c r="B365" s="11"/>
      <c r="C365" s="12"/>
      <c r="D365" s="12"/>
      <c r="E365" s="12"/>
      <c r="F365" s="12"/>
      <c r="G365" s="12"/>
      <c r="H365" s="13"/>
      <c r="I365" s="4"/>
      <c r="J365" s="4"/>
      <c r="K365" s="14" t="str">
        <f aca="false">IF($B365="","",IF($C365="泓普",$C$2,IF($C365="仟茂",$E$2,IF($C365="现金",$G$2,0)))+SUMIFS($I$5:$I365,$C$5:$C365,$C365)-SUMIFS($J$5:$J365,$C$5:$C365,$C365))</f>
        <v/>
      </c>
      <c r="L365" s="14" t="str">
        <f aca="false">IF($B365="","",$C$2+$E$2+$G$2+SUM($I$5:$I365)-SUM($J$5:$J365))</f>
        <v/>
      </c>
      <c r="M365" s="12"/>
      <c r="N365" s="15" t="str">
        <f aca="false">IF($B365="","",IF(NOT(ISNUMBER($B365)),"日期格式不对",IF($C365="","未选资金账户",IF(AND(N($I365)=0,N($J365)=0),"收支都为空",IF(AND(N($I365)&gt;0,N($J365)&gt;0),"收支不能同时填",IF(AND($D365&lt;&gt;"",LEFT($O365,1)="⚠"),"项目编号不存在",IF(AND($M365="是",$F365=""),"工程回款必须填往来单位","√")))))))</f>
        <v/>
      </c>
      <c r="O365" s="16" t="str">
        <f aca="false">IF($D365="","",IFERROR(INDEX(对照清单!$B$5:$B$60,MATCH($D365,对照清单!$A$5:$A$60,0)),"⚠编号不存在"))</f>
        <v/>
      </c>
      <c r="P365" s="10" t="str">
        <f aca="false">IF($B365="","",IF(ISNUMBER($B365),TEXT($B365,"yyyy-mm"),"日期非法"))</f>
        <v/>
      </c>
      <c r="Q365" s="10" t="str">
        <f aca="false">IF($B365="","",IF(ISNUMBER($B365),YEAR($B365),"日期非法"))</f>
        <v/>
      </c>
    </row>
    <row r="366" customFormat="false" ht="15.75" hidden="false" customHeight="true" outlineLevel="0" collapsed="false">
      <c r="A366" s="10" t="str">
        <f aca="false">IF($B366="","",ROW()-4)</f>
        <v/>
      </c>
      <c r="B366" s="11"/>
      <c r="C366" s="12"/>
      <c r="D366" s="12"/>
      <c r="E366" s="12"/>
      <c r="F366" s="12"/>
      <c r="G366" s="12"/>
      <c r="H366" s="13"/>
      <c r="I366" s="4"/>
      <c r="J366" s="4"/>
      <c r="K366" s="14" t="str">
        <f aca="false">IF($B366="","",IF($C366="泓普",$C$2,IF($C366="仟茂",$E$2,IF($C366="现金",$G$2,0)))+SUMIFS($I$5:$I366,$C$5:$C366,$C366)-SUMIFS($J$5:$J366,$C$5:$C366,$C366))</f>
        <v/>
      </c>
      <c r="L366" s="14" t="str">
        <f aca="false">IF($B366="","",$C$2+$E$2+$G$2+SUM($I$5:$I366)-SUM($J$5:$J366))</f>
        <v/>
      </c>
      <c r="M366" s="12"/>
      <c r="N366" s="15" t="str">
        <f aca="false">IF($B366="","",IF(NOT(ISNUMBER($B366)),"日期格式不对",IF($C366="","未选资金账户",IF(AND(N($I366)=0,N($J366)=0),"收支都为空",IF(AND(N($I366)&gt;0,N($J366)&gt;0),"收支不能同时填",IF(AND($D366&lt;&gt;"",LEFT($O366,1)="⚠"),"项目编号不存在",IF(AND($M366="是",$F366=""),"工程回款必须填往来单位","√")))))))</f>
        <v/>
      </c>
      <c r="O366" s="16" t="str">
        <f aca="false">IF($D366="","",IFERROR(INDEX(对照清单!$B$5:$B$60,MATCH($D366,对照清单!$A$5:$A$60,0)),"⚠编号不存在"))</f>
        <v/>
      </c>
      <c r="P366" s="10" t="str">
        <f aca="false">IF($B366="","",IF(ISNUMBER($B366),TEXT($B366,"yyyy-mm"),"日期非法"))</f>
        <v/>
      </c>
      <c r="Q366" s="10" t="str">
        <f aca="false">IF($B366="","",IF(ISNUMBER($B366),YEAR($B366),"日期非法"))</f>
        <v/>
      </c>
    </row>
    <row r="367" customFormat="false" ht="15.75" hidden="false" customHeight="true" outlineLevel="0" collapsed="false">
      <c r="A367" s="10" t="str">
        <f aca="false">IF($B367="","",ROW()-4)</f>
        <v/>
      </c>
      <c r="B367" s="11"/>
      <c r="C367" s="12"/>
      <c r="D367" s="12"/>
      <c r="E367" s="12"/>
      <c r="F367" s="12"/>
      <c r="G367" s="12"/>
      <c r="H367" s="13"/>
      <c r="I367" s="4"/>
      <c r="J367" s="4"/>
      <c r="K367" s="14" t="str">
        <f aca="false">IF($B367="","",IF($C367="泓普",$C$2,IF($C367="仟茂",$E$2,IF($C367="现金",$G$2,0)))+SUMIFS($I$5:$I367,$C$5:$C367,$C367)-SUMIFS($J$5:$J367,$C$5:$C367,$C367))</f>
        <v/>
      </c>
      <c r="L367" s="14" t="str">
        <f aca="false">IF($B367="","",$C$2+$E$2+$G$2+SUM($I$5:$I367)-SUM($J$5:$J367))</f>
        <v/>
      </c>
      <c r="M367" s="12"/>
      <c r="N367" s="15" t="str">
        <f aca="false">IF($B367="","",IF(NOT(ISNUMBER($B367)),"日期格式不对",IF($C367="","未选资金账户",IF(AND(N($I367)=0,N($J367)=0),"收支都为空",IF(AND(N($I367)&gt;0,N($J367)&gt;0),"收支不能同时填",IF(AND($D367&lt;&gt;"",LEFT($O367,1)="⚠"),"项目编号不存在",IF(AND($M367="是",$F367=""),"工程回款必须填往来单位","√")))))))</f>
        <v/>
      </c>
      <c r="O367" s="16" t="str">
        <f aca="false">IF($D367="","",IFERROR(INDEX(对照清单!$B$5:$B$60,MATCH($D367,对照清单!$A$5:$A$60,0)),"⚠编号不存在"))</f>
        <v/>
      </c>
      <c r="P367" s="10" t="str">
        <f aca="false">IF($B367="","",IF(ISNUMBER($B367),TEXT($B367,"yyyy-mm"),"日期非法"))</f>
        <v/>
      </c>
      <c r="Q367" s="10" t="str">
        <f aca="false">IF($B367="","",IF(ISNUMBER($B367),YEAR($B367),"日期非法"))</f>
        <v/>
      </c>
    </row>
    <row r="368" customFormat="false" ht="15.75" hidden="false" customHeight="true" outlineLevel="0" collapsed="false">
      <c r="A368" s="10" t="str">
        <f aca="false">IF($B368="","",ROW()-4)</f>
        <v/>
      </c>
      <c r="B368" s="11"/>
      <c r="C368" s="12"/>
      <c r="D368" s="12"/>
      <c r="E368" s="12"/>
      <c r="F368" s="12"/>
      <c r="G368" s="12"/>
      <c r="H368" s="13"/>
      <c r="I368" s="4"/>
      <c r="J368" s="4"/>
      <c r="K368" s="14" t="str">
        <f aca="false">IF($B368="","",IF($C368="泓普",$C$2,IF($C368="仟茂",$E$2,IF($C368="现金",$G$2,0)))+SUMIFS($I$5:$I368,$C$5:$C368,$C368)-SUMIFS($J$5:$J368,$C$5:$C368,$C368))</f>
        <v/>
      </c>
      <c r="L368" s="14" t="str">
        <f aca="false">IF($B368="","",$C$2+$E$2+$G$2+SUM($I$5:$I368)-SUM($J$5:$J368))</f>
        <v/>
      </c>
      <c r="M368" s="12"/>
      <c r="N368" s="15" t="str">
        <f aca="false">IF($B368="","",IF(NOT(ISNUMBER($B368)),"日期格式不对",IF($C368="","未选资金账户",IF(AND(N($I368)=0,N($J368)=0),"收支都为空",IF(AND(N($I368)&gt;0,N($J368)&gt;0),"收支不能同时填",IF(AND($D368&lt;&gt;"",LEFT($O368,1)="⚠"),"项目编号不存在",IF(AND($M368="是",$F368=""),"工程回款必须填往来单位","√")))))))</f>
        <v/>
      </c>
      <c r="O368" s="16" t="str">
        <f aca="false">IF($D368="","",IFERROR(INDEX(对照清单!$B$5:$B$60,MATCH($D368,对照清单!$A$5:$A$60,0)),"⚠编号不存在"))</f>
        <v/>
      </c>
      <c r="P368" s="10" t="str">
        <f aca="false">IF($B368="","",IF(ISNUMBER($B368),TEXT($B368,"yyyy-mm"),"日期非法"))</f>
        <v/>
      </c>
      <c r="Q368" s="10" t="str">
        <f aca="false">IF($B368="","",IF(ISNUMBER($B368),YEAR($B368),"日期非法"))</f>
        <v/>
      </c>
    </row>
    <row r="369" customFormat="false" ht="15.75" hidden="false" customHeight="true" outlineLevel="0" collapsed="false">
      <c r="A369" s="10" t="str">
        <f aca="false">IF($B369="","",ROW()-4)</f>
        <v/>
      </c>
      <c r="B369" s="11"/>
      <c r="C369" s="12"/>
      <c r="D369" s="12"/>
      <c r="E369" s="12"/>
      <c r="F369" s="12"/>
      <c r="G369" s="12"/>
      <c r="H369" s="13"/>
      <c r="I369" s="4"/>
      <c r="J369" s="4"/>
      <c r="K369" s="14" t="str">
        <f aca="false">IF($B369="","",IF($C369="泓普",$C$2,IF($C369="仟茂",$E$2,IF($C369="现金",$G$2,0)))+SUMIFS($I$5:$I369,$C$5:$C369,$C369)-SUMIFS($J$5:$J369,$C$5:$C369,$C369))</f>
        <v/>
      </c>
      <c r="L369" s="14" t="str">
        <f aca="false">IF($B369="","",$C$2+$E$2+$G$2+SUM($I$5:$I369)-SUM($J$5:$J369))</f>
        <v/>
      </c>
      <c r="M369" s="12"/>
      <c r="N369" s="15" t="str">
        <f aca="false">IF($B369="","",IF(NOT(ISNUMBER($B369)),"日期格式不对",IF($C369="","未选资金账户",IF(AND(N($I369)=0,N($J369)=0),"收支都为空",IF(AND(N($I369)&gt;0,N($J369)&gt;0),"收支不能同时填",IF(AND($D369&lt;&gt;"",LEFT($O369,1)="⚠"),"项目编号不存在",IF(AND($M369="是",$F369=""),"工程回款必须填往来单位","√")))))))</f>
        <v/>
      </c>
      <c r="O369" s="16" t="str">
        <f aca="false">IF($D369="","",IFERROR(INDEX(对照清单!$B$5:$B$60,MATCH($D369,对照清单!$A$5:$A$60,0)),"⚠编号不存在"))</f>
        <v/>
      </c>
      <c r="P369" s="10" t="str">
        <f aca="false">IF($B369="","",IF(ISNUMBER($B369),TEXT($B369,"yyyy-mm"),"日期非法"))</f>
        <v/>
      </c>
      <c r="Q369" s="10" t="str">
        <f aca="false">IF($B369="","",IF(ISNUMBER($B369),YEAR($B369),"日期非法"))</f>
        <v/>
      </c>
    </row>
    <row r="370" customFormat="false" ht="15.75" hidden="false" customHeight="true" outlineLevel="0" collapsed="false">
      <c r="A370" s="10" t="str">
        <f aca="false">IF($B370="","",ROW()-4)</f>
        <v/>
      </c>
      <c r="B370" s="11"/>
      <c r="C370" s="12"/>
      <c r="D370" s="12"/>
      <c r="E370" s="12"/>
      <c r="F370" s="12"/>
      <c r="G370" s="12"/>
      <c r="H370" s="13"/>
      <c r="I370" s="4"/>
      <c r="J370" s="4"/>
      <c r="K370" s="14" t="str">
        <f aca="false">IF($B370="","",IF($C370="泓普",$C$2,IF($C370="仟茂",$E$2,IF($C370="现金",$G$2,0)))+SUMIFS($I$5:$I370,$C$5:$C370,$C370)-SUMIFS($J$5:$J370,$C$5:$C370,$C370))</f>
        <v/>
      </c>
      <c r="L370" s="14" t="str">
        <f aca="false">IF($B370="","",$C$2+$E$2+$G$2+SUM($I$5:$I370)-SUM($J$5:$J370))</f>
        <v/>
      </c>
      <c r="M370" s="12"/>
      <c r="N370" s="15" t="str">
        <f aca="false">IF($B370="","",IF(NOT(ISNUMBER($B370)),"日期格式不对",IF($C370="","未选资金账户",IF(AND(N($I370)=0,N($J370)=0),"收支都为空",IF(AND(N($I370)&gt;0,N($J370)&gt;0),"收支不能同时填",IF(AND($D370&lt;&gt;"",LEFT($O370,1)="⚠"),"项目编号不存在",IF(AND($M370="是",$F370=""),"工程回款必须填往来单位","√")))))))</f>
        <v/>
      </c>
      <c r="O370" s="16" t="str">
        <f aca="false">IF($D370="","",IFERROR(INDEX(对照清单!$B$5:$B$60,MATCH($D370,对照清单!$A$5:$A$60,0)),"⚠编号不存在"))</f>
        <v/>
      </c>
      <c r="P370" s="10" t="str">
        <f aca="false">IF($B370="","",IF(ISNUMBER($B370),TEXT($B370,"yyyy-mm"),"日期非法"))</f>
        <v/>
      </c>
      <c r="Q370" s="10" t="str">
        <f aca="false">IF($B370="","",IF(ISNUMBER($B370),YEAR($B370),"日期非法"))</f>
        <v/>
      </c>
    </row>
    <row r="371" customFormat="false" ht="15.75" hidden="false" customHeight="true" outlineLevel="0" collapsed="false">
      <c r="A371" s="10" t="str">
        <f aca="false">IF($B371="","",ROW()-4)</f>
        <v/>
      </c>
      <c r="B371" s="11"/>
      <c r="C371" s="12"/>
      <c r="D371" s="12"/>
      <c r="E371" s="12"/>
      <c r="F371" s="12"/>
      <c r="G371" s="12"/>
      <c r="H371" s="13"/>
      <c r="I371" s="4"/>
      <c r="J371" s="4"/>
      <c r="K371" s="14" t="str">
        <f aca="false">IF($B371="","",IF($C371="泓普",$C$2,IF($C371="仟茂",$E$2,IF($C371="现金",$G$2,0)))+SUMIFS($I$5:$I371,$C$5:$C371,$C371)-SUMIFS($J$5:$J371,$C$5:$C371,$C371))</f>
        <v/>
      </c>
      <c r="L371" s="14" t="str">
        <f aca="false">IF($B371="","",$C$2+$E$2+$G$2+SUM($I$5:$I371)-SUM($J$5:$J371))</f>
        <v/>
      </c>
      <c r="M371" s="12"/>
      <c r="N371" s="15" t="str">
        <f aca="false">IF($B371="","",IF(NOT(ISNUMBER($B371)),"日期格式不对",IF($C371="","未选资金账户",IF(AND(N($I371)=0,N($J371)=0),"收支都为空",IF(AND(N($I371)&gt;0,N($J371)&gt;0),"收支不能同时填",IF(AND($D371&lt;&gt;"",LEFT($O371,1)="⚠"),"项目编号不存在",IF(AND($M371="是",$F371=""),"工程回款必须填往来单位","√")))))))</f>
        <v/>
      </c>
      <c r="O371" s="16" t="str">
        <f aca="false">IF($D371="","",IFERROR(INDEX(对照清单!$B$5:$B$60,MATCH($D371,对照清单!$A$5:$A$60,0)),"⚠编号不存在"))</f>
        <v/>
      </c>
      <c r="P371" s="10" t="str">
        <f aca="false">IF($B371="","",IF(ISNUMBER($B371),TEXT($B371,"yyyy-mm"),"日期非法"))</f>
        <v/>
      </c>
      <c r="Q371" s="10" t="str">
        <f aca="false">IF($B371="","",IF(ISNUMBER($B371),YEAR($B371),"日期非法"))</f>
        <v/>
      </c>
    </row>
    <row r="372" customFormat="false" ht="15.75" hidden="false" customHeight="true" outlineLevel="0" collapsed="false">
      <c r="A372" s="10" t="str">
        <f aca="false">IF($B372="","",ROW()-4)</f>
        <v/>
      </c>
      <c r="B372" s="11"/>
      <c r="C372" s="12"/>
      <c r="D372" s="12"/>
      <c r="E372" s="12"/>
      <c r="F372" s="12"/>
      <c r="G372" s="12"/>
      <c r="H372" s="13"/>
      <c r="I372" s="4"/>
      <c r="J372" s="4"/>
      <c r="K372" s="14" t="str">
        <f aca="false">IF($B372="","",IF($C372="泓普",$C$2,IF($C372="仟茂",$E$2,IF($C372="现金",$G$2,0)))+SUMIFS($I$5:$I372,$C$5:$C372,$C372)-SUMIFS($J$5:$J372,$C$5:$C372,$C372))</f>
        <v/>
      </c>
      <c r="L372" s="14" t="str">
        <f aca="false">IF($B372="","",$C$2+$E$2+$G$2+SUM($I$5:$I372)-SUM($J$5:$J372))</f>
        <v/>
      </c>
      <c r="M372" s="12"/>
      <c r="N372" s="15" t="str">
        <f aca="false">IF($B372="","",IF(NOT(ISNUMBER($B372)),"日期格式不对",IF($C372="","未选资金账户",IF(AND(N($I372)=0,N($J372)=0),"收支都为空",IF(AND(N($I372)&gt;0,N($J372)&gt;0),"收支不能同时填",IF(AND($D372&lt;&gt;"",LEFT($O372,1)="⚠"),"项目编号不存在",IF(AND($M372="是",$F372=""),"工程回款必须填往来单位","√")))))))</f>
        <v/>
      </c>
      <c r="O372" s="16" t="str">
        <f aca="false">IF($D372="","",IFERROR(INDEX(对照清单!$B$5:$B$60,MATCH($D372,对照清单!$A$5:$A$60,0)),"⚠编号不存在"))</f>
        <v/>
      </c>
      <c r="P372" s="10" t="str">
        <f aca="false">IF($B372="","",IF(ISNUMBER($B372),TEXT($B372,"yyyy-mm"),"日期非法"))</f>
        <v/>
      </c>
      <c r="Q372" s="10" t="str">
        <f aca="false">IF($B372="","",IF(ISNUMBER($B372),YEAR($B372),"日期非法"))</f>
        <v/>
      </c>
    </row>
    <row r="373" customFormat="false" ht="15.75" hidden="false" customHeight="true" outlineLevel="0" collapsed="false">
      <c r="A373" s="10" t="str">
        <f aca="false">IF($B373="","",ROW()-4)</f>
        <v/>
      </c>
      <c r="B373" s="11"/>
      <c r="C373" s="12"/>
      <c r="D373" s="12"/>
      <c r="E373" s="12"/>
      <c r="F373" s="12"/>
      <c r="G373" s="12"/>
      <c r="H373" s="13"/>
      <c r="I373" s="4"/>
      <c r="J373" s="4"/>
      <c r="K373" s="14" t="str">
        <f aca="false">IF($B373="","",IF($C373="泓普",$C$2,IF($C373="仟茂",$E$2,IF($C373="现金",$G$2,0)))+SUMIFS($I$5:$I373,$C$5:$C373,$C373)-SUMIFS($J$5:$J373,$C$5:$C373,$C373))</f>
        <v/>
      </c>
      <c r="L373" s="14" t="str">
        <f aca="false">IF($B373="","",$C$2+$E$2+$G$2+SUM($I$5:$I373)-SUM($J$5:$J373))</f>
        <v/>
      </c>
      <c r="M373" s="12"/>
      <c r="N373" s="15" t="str">
        <f aca="false">IF($B373="","",IF(NOT(ISNUMBER($B373)),"日期格式不对",IF($C373="","未选资金账户",IF(AND(N($I373)=0,N($J373)=0),"收支都为空",IF(AND(N($I373)&gt;0,N($J373)&gt;0),"收支不能同时填",IF(AND($D373&lt;&gt;"",LEFT($O373,1)="⚠"),"项目编号不存在",IF(AND($M373="是",$F373=""),"工程回款必须填往来单位","√")))))))</f>
        <v/>
      </c>
      <c r="O373" s="16" t="str">
        <f aca="false">IF($D373="","",IFERROR(INDEX(对照清单!$B$5:$B$60,MATCH($D373,对照清单!$A$5:$A$60,0)),"⚠编号不存在"))</f>
        <v/>
      </c>
      <c r="P373" s="10" t="str">
        <f aca="false">IF($B373="","",IF(ISNUMBER($B373),TEXT($B373,"yyyy-mm"),"日期非法"))</f>
        <v/>
      </c>
      <c r="Q373" s="10" t="str">
        <f aca="false">IF($B373="","",IF(ISNUMBER($B373),YEAR($B373),"日期非法"))</f>
        <v/>
      </c>
    </row>
    <row r="374" customFormat="false" ht="15.75" hidden="false" customHeight="true" outlineLevel="0" collapsed="false">
      <c r="A374" s="10" t="str">
        <f aca="false">IF($B374="","",ROW()-4)</f>
        <v/>
      </c>
      <c r="B374" s="11"/>
      <c r="C374" s="12"/>
      <c r="D374" s="12"/>
      <c r="E374" s="12"/>
      <c r="F374" s="12"/>
      <c r="G374" s="12"/>
      <c r="H374" s="13"/>
      <c r="I374" s="4"/>
      <c r="J374" s="4"/>
      <c r="K374" s="14" t="str">
        <f aca="false">IF($B374="","",IF($C374="泓普",$C$2,IF($C374="仟茂",$E$2,IF($C374="现金",$G$2,0)))+SUMIFS($I$5:$I374,$C$5:$C374,$C374)-SUMIFS($J$5:$J374,$C$5:$C374,$C374))</f>
        <v/>
      </c>
      <c r="L374" s="14" t="str">
        <f aca="false">IF($B374="","",$C$2+$E$2+$G$2+SUM($I$5:$I374)-SUM($J$5:$J374))</f>
        <v/>
      </c>
      <c r="M374" s="12"/>
      <c r="N374" s="15" t="str">
        <f aca="false">IF($B374="","",IF(NOT(ISNUMBER($B374)),"日期格式不对",IF($C374="","未选资金账户",IF(AND(N($I374)=0,N($J374)=0),"收支都为空",IF(AND(N($I374)&gt;0,N($J374)&gt;0),"收支不能同时填",IF(AND($D374&lt;&gt;"",LEFT($O374,1)="⚠"),"项目编号不存在",IF(AND($M374="是",$F374=""),"工程回款必须填往来单位","√")))))))</f>
        <v/>
      </c>
      <c r="O374" s="16" t="str">
        <f aca="false">IF($D374="","",IFERROR(INDEX(对照清单!$B$5:$B$60,MATCH($D374,对照清单!$A$5:$A$60,0)),"⚠编号不存在"))</f>
        <v/>
      </c>
      <c r="P374" s="10" t="str">
        <f aca="false">IF($B374="","",IF(ISNUMBER($B374),TEXT($B374,"yyyy-mm"),"日期非法"))</f>
        <v/>
      </c>
      <c r="Q374" s="10" t="str">
        <f aca="false">IF($B374="","",IF(ISNUMBER($B374),YEAR($B374),"日期非法"))</f>
        <v/>
      </c>
    </row>
    <row r="375" customFormat="false" ht="15.75" hidden="false" customHeight="true" outlineLevel="0" collapsed="false">
      <c r="A375" s="10" t="str">
        <f aca="false">IF($B375="","",ROW()-4)</f>
        <v/>
      </c>
      <c r="B375" s="11"/>
      <c r="C375" s="12"/>
      <c r="D375" s="12"/>
      <c r="E375" s="12"/>
      <c r="F375" s="12"/>
      <c r="G375" s="12"/>
      <c r="H375" s="13"/>
      <c r="I375" s="4"/>
      <c r="J375" s="4"/>
      <c r="K375" s="14" t="str">
        <f aca="false">IF($B375="","",IF($C375="泓普",$C$2,IF($C375="仟茂",$E$2,IF($C375="现金",$G$2,0)))+SUMIFS($I$5:$I375,$C$5:$C375,$C375)-SUMIFS($J$5:$J375,$C$5:$C375,$C375))</f>
        <v/>
      </c>
      <c r="L375" s="14" t="str">
        <f aca="false">IF($B375="","",$C$2+$E$2+$G$2+SUM($I$5:$I375)-SUM($J$5:$J375))</f>
        <v/>
      </c>
      <c r="M375" s="12"/>
      <c r="N375" s="15" t="str">
        <f aca="false">IF($B375="","",IF(NOT(ISNUMBER($B375)),"日期格式不对",IF($C375="","未选资金账户",IF(AND(N($I375)=0,N($J375)=0),"收支都为空",IF(AND(N($I375)&gt;0,N($J375)&gt;0),"收支不能同时填",IF(AND($D375&lt;&gt;"",LEFT($O375,1)="⚠"),"项目编号不存在",IF(AND($M375="是",$F375=""),"工程回款必须填往来单位","√")))))))</f>
        <v/>
      </c>
      <c r="O375" s="16" t="str">
        <f aca="false">IF($D375="","",IFERROR(INDEX(对照清单!$B$5:$B$60,MATCH($D375,对照清单!$A$5:$A$60,0)),"⚠编号不存在"))</f>
        <v/>
      </c>
      <c r="P375" s="10" t="str">
        <f aca="false">IF($B375="","",IF(ISNUMBER($B375),TEXT($B375,"yyyy-mm"),"日期非法"))</f>
        <v/>
      </c>
      <c r="Q375" s="10" t="str">
        <f aca="false">IF($B375="","",IF(ISNUMBER($B375),YEAR($B375),"日期非法"))</f>
        <v/>
      </c>
    </row>
    <row r="376" customFormat="false" ht="15.75" hidden="false" customHeight="true" outlineLevel="0" collapsed="false">
      <c r="A376" s="10" t="str">
        <f aca="false">IF($B376="","",ROW()-4)</f>
        <v/>
      </c>
      <c r="B376" s="11"/>
      <c r="C376" s="12"/>
      <c r="D376" s="12"/>
      <c r="E376" s="12"/>
      <c r="F376" s="12"/>
      <c r="G376" s="12"/>
      <c r="H376" s="13"/>
      <c r="I376" s="4"/>
      <c r="J376" s="4"/>
      <c r="K376" s="14" t="str">
        <f aca="false">IF($B376="","",IF($C376="泓普",$C$2,IF($C376="仟茂",$E$2,IF($C376="现金",$G$2,0)))+SUMIFS($I$5:$I376,$C$5:$C376,$C376)-SUMIFS($J$5:$J376,$C$5:$C376,$C376))</f>
        <v/>
      </c>
      <c r="L376" s="14" t="str">
        <f aca="false">IF($B376="","",$C$2+$E$2+$G$2+SUM($I$5:$I376)-SUM($J$5:$J376))</f>
        <v/>
      </c>
      <c r="M376" s="12"/>
      <c r="N376" s="15" t="str">
        <f aca="false">IF($B376="","",IF(NOT(ISNUMBER($B376)),"日期格式不对",IF($C376="","未选资金账户",IF(AND(N($I376)=0,N($J376)=0),"收支都为空",IF(AND(N($I376)&gt;0,N($J376)&gt;0),"收支不能同时填",IF(AND($D376&lt;&gt;"",LEFT($O376,1)="⚠"),"项目编号不存在",IF(AND($M376="是",$F376=""),"工程回款必须填往来单位","√")))))))</f>
        <v/>
      </c>
      <c r="O376" s="16" t="str">
        <f aca="false">IF($D376="","",IFERROR(INDEX(对照清单!$B$5:$B$60,MATCH($D376,对照清单!$A$5:$A$60,0)),"⚠编号不存在"))</f>
        <v/>
      </c>
      <c r="P376" s="10" t="str">
        <f aca="false">IF($B376="","",IF(ISNUMBER($B376),TEXT($B376,"yyyy-mm"),"日期非法"))</f>
        <v/>
      </c>
      <c r="Q376" s="10" t="str">
        <f aca="false">IF($B376="","",IF(ISNUMBER($B376),YEAR($B376),"日期非法"))</f>
        <v/>
      </c>
    </row>
    <row r="377" customFormat="false" ht="15.75" hidden="false" customHeight="true" outlineLevel="0" collapsed="false">
      <c r="A377" s="10" t="str">
        <f aca="false">IF($B377="","",ROW()-4)</f>
        <v/>
      </c>
      <c r="B377" s="11"/>
      <c r="C377" s="12"/>
      <c r="D377" s="12"/>
      <c r="E377" s="12"/>
      <c r="F377" s="12"/>
      <c r="G377" s="12"/>
      <c r="H377" s="13"/>
      <c r="I377" s="4"/>
      <c r="J377" s="4"/>
      <c r="K377" s="14" t="str">
        <f aca="false">IF($B377="","",IF($C377="泓普",$C$2,IF($C377="仟茂",$E$2,IF($C377="现金",$G$2,0)))+SUMIFS($I$5:$I377,$C$5:$C377,$C377)-SUMIFS($J$5:$J377,$C$5:$C377,$C377))</f>
        <v/>
      </c>
      <c r="L377" s="14" t="str">
        <f aca="false">IF($B377="","",$C$2+$E$2+$G$2+SUM($I$5:$I377)-SUM($J$5:$J377))</f>
        <v/>
      </c>
      <c r="M377" s="12"/>
      <c r="N377" s="15" t="str">
        <f aca="false">IF($B377="","",IF(NOT(ISNUMBER($B377)),"日期格式不对",IF($C377="","未选资金账户",IF(AND(N($I377)=0,N($J377)=0),"收支都为空",IF(AND(N($I377)&gt;0,N($J377)&gt;0),"收支不能同时填",IF(AND($D377&lt;&gt;"",LEFT($O377,1)="⚠"),"项目编号不存在",IF(AND($M377="是",$F377=""),"工程回款必须填往来单位","√")))))))</f>
        <v/>
      </c>
      <c r="O377" s="16" t="str">
        <f aca="false">IF($D377="","",IFERROR(INDEX(对照清单!$B$5:$B$60,MATCH($D377,对照清单!$A$5:$A$60,0)),"⚠编号不存在"))</f>
        <v/>
      </c>
      <c r="P377" s="10" t="str">
        <f aca="false">IF($B377="","",IF(ISNUMBER($B377),TEXT($B377,"yyyy-mm"),"日期非法"))</f>
        <v/>
      </c>
      <c r="Q377" s="10" t="str">
        <f aca="false">IF($B377="","",IF(ISNUMBER($B377),YEAR($B377),"日期非法"))</f>
        <v/>
      </c>
    </row>
    <row r="378" customFormat="false" ht="15.75" hidden="false" customHeight="true" outlineLevel="0" collapsed="false">
      <c r="A378" s="10" t="str">
        <f aca="false">IF($B378="","",ROW()-4)</f>
        <v/>
      </c>
      <c r="B378" s="11"/>
      <c r="C378" s="12"/>
      <c r="D378" s="12"/>
      <c r="E378" s="12"/>
      <c r="F378" s="12"/>
      <c r="G378" s="12"/>
      <c r="H378" s="13"/>
      <c r="I378" s="4"/>
      <c r="J378" s="4"/>
      <c r="K378" s="14" t="str">
        <f aca="false">IF($B378="","",IF($C378="泓普",$C$2,IF($C378="仟茂",$E$2,IF($C378="现金",$G$2,0)))+SUMIFS($I$5:$I378,$C$5:$C378,$C378)-SUMIFS($J$5:$J378,$C$5:$C378,$C378))</f>
        <v/>
      </c>
      <c r="L378" s="14" t="str">
        <f aca="false">IF($B378="","",$C$2+$E$2+$G$2+SUM($I$5:$I378)-SUM($J$5:$J378))</f>
        <v/>
      </c>
      <c r="M378" s="12"/>
      <c r="N378" s="15" t="str">
        <f aca="false">IF($B378="","",IF(NOT(ISNUMBER($B378)),"日期格式不对",IF($C378="","未选资金账户",IF(AND(N($I378)=0,N($J378)=0),"收支都为空",IF(AND(N($I378)&gt;0,N($J378)&gt;0),"收支不能同时填",IF(AND($D378&lt;&gt;"",LEFT($O378,1)="⚠"),"项目编号不存在",IF(AND($M378="是",$F378=""),"工程回款必须填往来单位","√")))))))</f>
        <v/>
      </c>
      <c r="O378" s="16" t="str">
        <f aca="false">IF($D378="","",IFERROR(INDEX(对照清单!$B$5:$B$60,MATCH($D378,对照清单!$A$5:$A$60,0)),"⚠编号不存在"))</f>
        <v/>
      </c>
      <c r="P378" s="10" t="str">
        <f aca="false">IF($B378="","",IF(ISNUMBER($B378),TEXT($B378,"yyyy-mm"),"日期非法"))</f>
        <v/>
      </c>
      <c r="Q378" s="10" t="str">
        <f aca="false">IF($B378="","",IF(ISNUMBER($B378),YEAR($B378),"日期非法"))</f>
        <v/>
      </c>
    </row>
    <row r="379" customFormat="false" ht="15.75" hidden="false" customHeight="true" outlineLevel="0" collapsed="false">
      <c r="A379" s="10" t="str">
        <f aca="false">IF($B379="","",ROW()-4)</f>
        <v/>
      </c>
      <c r="B379" s="11"/>
      <c r="C379" s="12"/>
      <c r="D379" s="12"/>
      <c r="E379" s="12"/>
      <c r="F379" s="12"/>
      <c r="G379" s="12"/>
      <c r="H379" s="13"/>
      <c r="I379" s="4"/>
      <c r="J379" s="4"/>
      <c r="K379" s="14" t="str">
        <f aca="false">IF($B379="","",IF($C379="泓普",$C$2,IF($C379="仟茂",$E$2,IF($C379="现金",$G$2,0)))+SUMIFS($I$5:$I379,$C$5:$C379,$C379)-SUMIFS($J$5:$J379,$C$5:$C379,$C379))</f>
        <v/>
      </c>
      <c r="L379" s="14" t="str">
        <f aca="false">IF($B379="","",$C$2+$E$2+$G$2+SUM($I$5:$I379)-SUM($J$5:$J379))</f>
        <v/>
      </c>
      <c r="M379" s="12"/>
      <c r="N379" s="15" t="str">
        <f aca="false">IF($B379="","",IF(NOT(ISNUMBER($B379)),"日期格式不对",IF($C379="","未选资金账户",IF(AND(N($I379)=0,N($J379)=0),"收支都为空",IF(AND(N($I379)&gt;0,N($J379)&gt;0),"收支不能同时填",IF(AND($D379&lt;&gt;"",LEFT($O379,1)="⚠"),"项目编号不存在",IF(AND($M379="是",$F379=""),"工程回款必须填往来单位","√")))))))</f>
        <v/>
      </c>
      <c r="O379" s="16" t="str">
        <f aca="false">IF($D379="","",IFERROR(INDEX(对照清单!$B$5:$B$60,MATCH($D379,对照清单!$A$5:$A$60,0)),"⚠编号不存在"))</f>
        <v/>
      </c>
      <c r="P379" s="10" t="str">
        <f aca="false">IF($B379="","",IF(ISNUMBER($B379),TEXT($B379,"yyyy-mm"),"日期非法"))</f>
        <v/>
      </c>
      <c r="Q379" s="10" t="str">
        <f aca="false">IF($B379="","",IF(ISNUMBER($B379),YEAR($B379),"日期非法"))</f>
        <v/>
      </c>
    </row>
    <row r="380" customFormat="false" ht="15.75" hidden="false" customHeight="true" outlineLevel="0" collapsed="false">
      <c r="A380" s="10" t="str">
        <f aca="false">IF($B380="","",ROW()-4)</f>
        <v/>
      </c>
      <c r="B380" s="11"/>
      <c r="C380" s="12"/>
      <c r="D380" s="12"/>
      <c r="E380" s="12"/>
      <c r="F380" s="12"/>
      <c r="G380" s="12"/>
      <c r="H380" s="13"/>
      <c r="I380" s="4"/>
      <c r="J380" s="4"/>
      <c r="K380" s="14" t="str">
        <f aca="false">IF($B380="","",IF($C380="泓普",$C$2,IF($C380="仟茂",$E$2,IF($C380="现金",$G$2,0)))+SUMIFS($I$5:$I380,$C$5:$C380,$C380)-SUMIFS($J$5:$J380,$C$5:$C380,$C380))</f>
        <v/>
      </c>
      <c r="L380" s="14" t="str">
        <f aca="false">IF($B380="","",$C$2+$E$2+$G$2+SUM($I$5:$I380)-SUM($J$5:$J380))</f>
        <v/>
      </c>
      <c r="M380" s="12"/>
      <c r="N380" s="15" t="str">
        <f aca="false">IF($B380="","",IF(NOT(ISNUMBER($B380)),"日期格式不对",IF($C380="","未选资金账户",IF(AND(N($I380)=0,N($J380)=0),"收支都为空",IF(AND(N($I380)&gt;0,N($J380)&gt;0),"收支不能同时填",IF(AND($D380&lt;&gt;"",LEFT($O380,1)="⚠"),"项目编号不存在",IF(AND($M380="是",$F380=""),"工程回款必须填往来单位","√")))))))</f>
        <v/>
      </c>
      <c r="O380" s="16" t="str">
        <f aca="false">IF($D380="","",IFERROR(INDEX(对照清单!$B$5:$B$60,MATCH($D380,对照清单!$A$5:$A$60,0)),"⚠编号不存在"))</f>
        <v/>
      </c>
      <c r="P380" s="10" t="str">
        <f aca="false">IF($B380="","",IF(ISNUMBER($B380),TEXT($B380,"yyyy-mm"),"日期非法"))</f>
        <v/>
      </c>
      <c r="Q380" s="10" t="str">
        <f aca="false">IF($B380="","",IF(ISNUMBER($B380),YEAR($B380),"日期非法"))</f>
        <v/>
      </c>
    </row>
    <row r="381" customFormat="false" ht="15.75" hidden="false" customHeight="true" outlineLevel="0" collapsed="false">
      <c r="A381" s="10" t="str">
        <f aca="false">IF($B381="","",ROW()-4)</f>
        <v/>
      </c>
      <c r="B381" s="11"/>
      <c r="C381" s="12"/>
      <c r="D381" s="12"/>
      <c r="E381" s="12"/>
      <c r="F381" s="12"/>
      <c r="G381" s="12"/>
      <c r="H381" s="13"/>
      <c r="I381" s="4"/>
      <c r="J381" s="4"/>
      <c r="K381" s="14" t="str">
        <f aca="false">IF($B381="","",IF($C381="泓普",$C$2,IF($C381="仟茂",$E$2,IF($C381="现金",$G$2,0)))+SUMIFS($I$5:$I381,$C$5:$C381,$C381)-SUMIFS($J$5:$J381,$C$5:$C381,$C381))</f>
        <v/>
      </c>
      <c r="L381" s="14" t="str">
        <f aca="false">IF($B381="","",$C$2+$E$2+$G$2+SUM($I$5:$I381)-SUM($J$5:$J381))</f>
        <v/>
      </c>
      <c r="M381" s="12"/>
      <c r="N381" s="15" t="str">
        <f aca="false">IF($B381="","",IF(NOT(ISNUMBER($B381)),"日期格式不对",IF($C381="","未选资金账户",IF(AND(N($I381)=0,N($J381)=0),"收支都为空",IF(AND(N($I381)&gt;0,N($J381)&gt;0),"收支不能同时填",IF(AND($D381&lt;&gt;"",LEFT($O381,1)="⚠"),"项目编号不存在",IF(AND($M381="是",$F381=""),"工程回款必须填往来单位","√")))))))</f>
        <v/>
      </c>
      <c r="O381" s="16" t="str">
        <f aca="false">IF($D381="","",IFERROR(INDEX(对照清单!$B$5:$B$60,MATCH($D381,对照清单!$A$5:$A$60,0)),"⚠编号不存在"))</f>
        <v/>
      </c>
      <c r="P381" s="10" t="str">
        <f aca="false">IF($B381="","",IF(ISNUMBER($B381),TEXT($B381,"yyyy-mm"),"日期非法"))</f>
        <v/>
      </c>
      <c r="Q381" s="10" t="str">
        <f aca="false">IF($B381="","",IF(ISNUMBER($B381),YEAR($B381),"日期非法"))</f>
        <v/>
      </c>
    </row>
    <row r="382" customFormat="false" ht="15.75" hidden="false" customHeight="true" outlineLevel="0" collapsed="false">
      <c r="A382" s="10" t="str">
        <f aca="false">IF($B382="","",ROW()-4)</f>
        <v/>
      </c>
      <c r="B382" s="11"/>
      <c r="C382" s="12"/>
      <c r="D382" s="12"/>
      <c r="E382" s="12"/>
      <c r="F382" s="12"/>
      <c r="G382" s="12"/>
      <c r="H382" s="13"/>
      <c r="I382" s="4"/>
      <c r="J382" s="4"/>
      <c r="K382" s="14" t="str">
        <f aca="false">IF($B382="","",IF($C382="泓普",$C$2,IF($C382="仟茂",$E$2,IF($C382="现金",$G$2,0)))+SUMIFS($I$5:$I382,$C$5:$C382,$C382)-SUMIFS($J$5:$J382,$C$5:$C382,$C382))</f>
        <v/>
      </c>
      <c r="L382" s="14" t="str">
        <f aca="false">IF($B382="","",$C$2+$E$2+$G$2+SUM($I$5:$I382)-SUM($J$5:$J382))</f>
        <v/>
      </c>
      <c r="M382" s="12"/>
      <c r="N382" s="15" t="str">
        <f aca="false">IF($B382="","",IF(NOT(ISNUMBER($B382)),"日期格式不对",IF($C382="","未选资金账户",IF(AND(N($I382)=0,N($J382)=0),"收支都为空",IF(AND(N($I382)&gt;0,N($J382)&gt;0),"收支不能同时填",IF(AND($D382&lt;&gt;"",LEFT($O382,1)="⚠"),"项目编号不存在",IF(AND($M382="是",$F382=""),"工程回款必须填往来单位","√")))))))</f>
        <v/>
      </c>
      <c r="O382" s="16" t="str">
        <f aca="false">IF($D382="","",IFERROR(INDEX(对照清单!$B$5:$B$60,MATCH($D382,对照清单!$A$5:$A$60,0)),"⚠编号不存在"))</f>
        <v/>
      </c>
      <c r="P382" s="10" t="str">
        <f aca="false">IF($B382="","",IF(ISNUMBER($B382),TEXT($B382,"yyyy-mm"),"日期非法"))</f>
        <v/>
      </c>
      <c r="Q382" s="10" t="str">
        <f aca="false">IF($B382="","",IF(ISNUMBER($B382),YEAR($B382),"日期非法"))</f>
        <v/>
      </c>
    </row>
    <row r="383" customFormat="false" ht="15.75" hidden="false" customHeight="true" outlineLevel="0" collapsed="false">
      <c r="A383" s="10" t="str">
        <f aca="false">IF($B383="","",ROW()-4)</f>
        <v/>
      </c>
      <c r="B383" s="11"/>
      <c r="C383" s="12"/>
      <c r="D383" s="12"/>
      <c r="E383" s="12"/>
      <c r="F383" s="12"/>
      <c r="G383" s="12"/>
      <c r="H383" s="13"/>
      <c r="I383" s="4"/>
      <c r="J383" s="4"/>
      <c r="K383" s="14" t="str">
        <f aca="false">IF($B383="","",IF($C383="泓普",$C$2,IF($C383="仟茂",$E$2,IF($C383="现金",$G$2,0)))+SUMIFS($I$5:$I383,$C$5:$C383,$C383)-SUMIFS($J$5:$J383,$C$5:$C383,$C383))</f>
        <v/>
      </c>
      <c r="L383" s="14" t="str">
        <f aca="false">IF($B383="","",$C$2+$E$2+$G$2+SUM($I$5:$I383)-SUM($J$5:$J383))</f>
        <v/>
      </c>
      <c r="M383" s="12"/>
      <c r="N383" s="15" t="str">
        <f aca="false">IF($B383="","",IF(NOT(ISNUMBER($B383)),"日期格式不对",IF($C383="","未选资金账户",IF(AND(N($I383)=0,N($J383)=0),"收支都为空",IF(AND(N($I383)&gt;0,N($J383)&gt;0),"收支不能同时填",IF(AND($D383&lt;&gt;"",LEFT($O383,1)="⚠"),"项目编号不存在",IF(AND($M383="是",$F383=""),"工程回款必须填往来单位","√")))))))</f>
        <v/>
      </c>
      <c r="O383" s="16" t="str">
        <f aca="false">IF($D383="","",IFERROR(INDEX(对照清单!$B$5:$B$60,MATCH($D383,对照清单!$A$5:$A$60,0)),"⚠编号不存在"))</f>
        <v/>
      </c>
      <c r="P383" s="10" t="str">
        <f aca="false">IF($B383="","",IF(ISNUMBER($B383),TEXT($B383,"yyyy-mm"),"日期非法"))</f>
        <v/>
      </c>
      <c r="Q383" s="10" t="str">
        <f aca="false">IF($B383="","",IF(ISNUMBER($B383),YEAR($B383),"日期非法"))</f>
        <v/>
      </c>
    </row>
    <row r="384" customFormat="false" ht="15.75" hidden="false" customHeight="true" outlineLevel="0" collapsed="false">
      <c r="A384" s="10" t="str">
        <f aca="false">IF($B384="","",ROW()-4)</f>
        <v/>
      </c>
      <c r="B384" s="11"/>
      <c r="C384" s="12"/>
      <c r="D384" s="12"/>
      <c r="E384" s="12"/>
      <c r="F384" s="12"/>
      <c r="G384" s="12"/>
      <c r="H384" s="13"/>
      <c r="I384" s="4"/>
      <c r="J384" s="4"/>
      <c r="K384" s="14" t="str">
        <f aca="false">IF($B384="","",IF($C384="泓普",$C$2,IF($C384="仟茂",$E$2,IF($C384="现金",$G$2,0)))+SUMIFS($I$5:$I384,$C$5:$C384,$C384)-SUMIFS($J$5:$J384,$C$5:$C384,$C384))</f>
        <v/>
      </c>
      <c r="L384" s="14" t="str">
        <f aca="false">IF($B384="","",$C$2+$E$2+$G$2+SUM($I$5:$I384)-SUM($J$5:$J384))</f>
        <v/>
      </c>
      <c r="M384" s="12"/>
      <c r="N384" s="15" t="str">
        <f aca="false">IF($B384="","",IF(NOT(ISNUMBER($B384)),"日期格式不对",IF($C384="","未选资金账户",IF(AND(N($I384)=0,N($J384)=0),"收支都为空",IF(AND(N($I384)&gt;0,N($J384)&gt;0),"收支不能同时填",IF(AND($D384&lt;&gt;"",LEFT($O384,1)="⚠"),"项目编号不存在",IF(AND($M384="是",$F384=""),"工程回款必须填往来单位","√")))))))</f>
        <v/>
      </c>
      <c r="O384" s="16" t="str">
        <f aca="false">IF($D384="","",IFERROR(INDEX(对照清单!$B$5:$B$60,MATCH($D384,对照清单!$A$5:$A$60,0)),"⚠编号不存在"))</f>
        <v/>
      </c>
      <c r="P384" s="10" t="str">
        <f aca="false">IF($B384="","",IF(ISNUMBER($B384),TEXT($B384,"yyyy-mm"),"日期非法"))</f>
        <v/>
      </c>
      <c r="Q384" s="10" t="str">
        <f aca="false">IF($B384="","",IF(ISNUMBER($B384),YEAR($B384),"日期非法"))</f>
        <v/>
      </c>
    </row>
    <row r="385" customFormat="false" ht="15.75" hidden="false" customHeight="true" outlineLevel="0" collapsed="false">
      <c r="A385" s="10" t="str">
        <f aca="false">IF($B385="","",ROW()-4)</f>
        <v/>
      </c>
      <c r="B385" s="11"/>
      <c r="C385" s="12"/>
      <c r="D385" s="12"/>
      <c r="E385" s="12"/>
      <c r="F385" s="12"/>
      <c r="G385" s="12"/>
      <c r="H385" s="13"/>
      <c r="I385" s="4"/>
      <c r="J385" s="4"/>
      <c r="K385" s="14" t="str">
        <f aca="false">IF($B385="","",IF($C385="泓普",$C$2,IF($C385="仟茂",$E$2,IF($C385="现金",$G$2,0)))+SUMIFS($I$5:$I385,$C$5:$C385,$C385)-SUMIFS($J$5:$J385,$C$5:$C385,$C385))</f>
        <v/>
      </c>
      <c r="L385" s="14" t="str">
        <f aca="false">IF($B385="","",$C$2+$E$2+$G$2+SUM($I$5:$I385)-SUM($J$5:$J385))</f>
        <v/>
      </c>
      <c r="M385" s="12"/>
      <c r="N385" s="15" t="str">
        <f aca="false">IF($B385="","",IF(NOT(ISNUMBER($B385)),"日期格式不对",IF($C385="","未选资金账户",IF(AND(N($I385)=0,N($J385)=0),"收支都为空",IF(AND(N($I385)&gt;0,N($J385)&gt;0),"收支不能同时填",IF(AND($D385&lt;&gt;"",LEFT($O385,1)="⚠"),"项目编号不存在",IF(AND($M385="是",$F385=""),"工程回款必须填往来单位","√")))))))</f>
        <v/>
      </c>
      <c r="O385" s="16" t="str">
        <f aca="false">IF($D385="","",IFERROR(INDEX(对照清单!$B$5:$B$60,MATCH($D385,对照清单!$A$5:$A$60,0)),"⚠编号不存在"))</f>
        <v/>
      </c>
      <c r="P385" s="10" t="str">
        <f aca="false">IF($B385="","",IF(ISNUMBER($B385),TEXT($B385,"yyyy-mm"),"日期非法"))</f>
        <v/>
      </c>
      <c r="Q385" s="10" t="str">
        <f aca="false">IF($B385="","",IF(ISNUMBER($B385),YEAR($B385),"日期非法"))</f>
        <v/>
      </c>
    </row>
    <row r="386" customFormat="false" ht="15.75" hidden="false" customHeight="true" outlineLevel="0" collapsed="false">
      <c r="A386" s="10" t="str">
        <f aca="false">IF($B386="","",ROW()-4)</f>
        <v/>
      </c>
      <c r="B386" s="11"/>
      <c r="C386" s="12"/>
      <c r="D386" s="12"/>
      <c r="E386" s="12"/>
      <c r="F386" s="12"/>
      <c r="G386" s="12"/>
      <c r="H386" s="13"/>
      <c r="I386" s="4"/>
      <c r="J386" s="4"/>
      <c r="K386" s="14" t="str">
        <f aca="false">IF($B386="","",IF($C386="泓普",$C$2,IF($C386="仟茂",$E$2,IF($C386="现金",$G$2,0)))+SUMIFS($I$5:$I386,$C$5:$C386,$C386)-SUMIFS($J$5:$J386,$C$5:$C386,$C386))</f>
        <v/>
      </c>
      <c r="L386" s="14" t="str">
        <f aca="false">IF($B386="","",$C$2+$E$2+$G$2+SUM($I$5:$I386)-SUM($J$5:$J386))</f>
        <v/>
      </c>
      <c r="M386" s="12"/>
      <c r="N386" s="15" t="str">
        <f aca="false">IF($B386="","",IF(NOT(ISNUMBER($B386)),"日期格式不对",IF($C386="","未选资金账户",IF(AND(N($I386)=0,N($J386)=0),"收支都为空",IF(AND(N($I386)&gt;0,N($J386)&gt;0),"收支不能同时填",IF(AND($D386&lt;&gt;"",LEFT($O386,1)="⚠"),"项目编号不存在",IF(AND($M386="是",$F386=""),"工程回款必须填往来单位","√")))))))</f>
        <v/>
      </c>
      <c r="O386" s="16" t="str">
        <f aca="false">IF($D386="","",IFERROR(INDEX(对照清单!$B$5:$B$60,MATCH($D386,对照清单!$A$5:$A$60,0)),"⚠编号不存在"))</f>
        <v/>
      </c>
      <c r="P386" s="10" t="str">
        <f aca="false">IF($B386="","",IF(ISNUMBER($B386),TEXT($B386,"yyyy-mm"),"日期非法"))</f>
        <v/>
      </c>
      <c r="Q386" s="10" t="str">
        <f aca="false">IF($B386="","",IF(ISNUMBER($B386),YEAR($B386),"日期非法"))</f>
        <v/>
      </c>
    </row>
    <row r="387" customFormat="false" ht="15.75" hidden="false" customHeight="true" outlineLevel="0" collapsed="false">
      <c r="A387" s="10" t="str">
        <f aca="false">IF($B387="","",ROW()-4)</f>
        <v/>
      </c>
      <c r="B387" s="11"/>
      <c r="C387" s="12"/>
      <c r="D387" s="12"/>
      <c r="E387" s="12"/>
      <c r="F387" s="12"/>
      <c r="G387" s="12"/>
      <c r="H387" s="13"/>
      <c r="I387" s="4"/>
      <c r="J387" s="4"/>
      <c r="K387" s="14" t="str">
        <f aca="false">IF($B387="","",IF($C387="泓普",$C$2,IF($C387="仟茂",$E$2,IF($C387="现金",$G$2,0)))+SUMIFS($I$5:$I387,$C$5:$C387,$C387)-SUMIFS($J$5:$J387,$C$5:$C387,$C387))</f>
        <v/>
      </c>
      <c r="L387" s="14" t="str">
        <f aca="false">IF($B387="","",$C$2+$E$2+$G$2+SUM($I$5:$I387)-SUM($J$5:$J387))</f>
        <v/>
      </c>
      <c r="M387" s="12"/>
      <c r="N387" s="15" t="str">
        <f aca="false">IF($B387="","",IF(NOT(ISNUMBER($B387)),"日期格式不对",IF($C387="","未选资金账户",IF(AND(N($I387)=0,N($J387)=0),"收支都为空",IF(AND(N($I387)&gt;0,N($J387)&gt;0),"收支不能同时填",IF(AND($D387&lt;&gt;"",LEFT($O387,1)="⚠"),"项目编号不存在",IF(AND($M387="是",$F387=""),"工程回款必须填往来单位","√")))))))</f>
        <v/>
      </c>
      <c r="O387" s="16" t="str">
        <f aca="false">IF($D387="","",IFERROR(INDEX(对照清单!$B$5:$B$60,MATCH($D387,对照清单!$A$5:$A$60,0)),"⚠编号不存在"))</f>
        <v/>
      </c>
      <c r="P387" s="10" t="str">
        <f aca="false">IF($B387="","",IF(ISNUMBER($B387),TEXT($B387,"yyyy-mm"),"日期非法"))</f>
        <v/>
      </c>
      <c r="Q387" s="10" t="str">
        <f aca="false">IF($B387="","",IF(ISNUMBER($B387),YEAR($B387),"日期非法"))</f>
        <v/>
      </c>
    </row>
    <row r="388" customFormat="false" ht="15.75" hidden="false" customHeight="true" outlineLevel="0" collapsed="false">
      <c r="A388" s="10" t="str">
        <f aca="false">IF($B388="","",ROW()-4)</f>
        <v/>
      </c>
      <c r="B388" s="11"/>
      <c r="C388" s="12"/>
      <c r="D388" s="12"/>
      <c r="E388" s="12"/>
      <c r="F388" s="12"/>
      <c r="G388" s="12"/>
      <c r="H388" s="13"/>
      <c r="I388" s="4"/>
      <c r="J388" s="4"/>
      <c r="K388" s="14" t="str">
        <f aca="false">IF($B388="","",IF($C388="泓普",$C$2,IF($C388="仟茂",$E$2,IF($C388="现金",$G$2,0)))+SUMIFS($I$5:$I388,$C$5:$C388,$C388)-SUMIFS($J$5:$J388,$C$5:$C388,$C388))</f>
        <v/>
      </c>
      <c r="L388" s="14" t="str">
        <f aca="false">IF($B388="","",$C$2+$E$2+$G$2+SUM($I$5:$I388)-SUM($J$5:$J388))</f>
        <v/>
      </c>
      <c r="M388" s="12"/>
      <c r="N388" s="15" t="str">
        <f aca="false">IF($B388="","",IF(NOT(ISNUMBER($B388)),"日期格式不对",IF($C388="","未选资金账户",IF(AND(N($I388)=0,N($J388)=0),"收支都为空",IF(AND(N($I388)&gt;0,N($J388)&gt;0),"收支不能同时填",IF(AND($D388&lt;&gt;"",LEFT($O388,1)="⚠"),"项目编号不存在",IF(AND($M388="是",$F388=""),"工程回款必须填往来单位","√")))))))</f>
        <v/>
      </c>
      <c r="O388" s="16" t="str">
        <f aca="false">IF($D388="","",IFERROR(INDEX(对照清单!$B$5:$B$60,MATCH($D388,对照清单!$A$5:$A$60,0)),"⚠编号不存在"))</f>
        <v/>
      </c>
      <c r="P388" s="10" t="str">
        <f aca="false">IF($B388="","",IF(ISNUMBER($B388),TEXT($B388,"yyyy-mm"),"日期非法"))</f>
        <v/>
      </c>
      <c r="Q388" s="10" t="str">
        <f aca="false">IF($B388="","",IF(ISNUMBER($B388),YEAR($B388),"日期非法"))</f>
        <v/>
      </c>
    </row>
    <row r="389" customFormat="false" ht="15.75" hidden="false" customHeight="true" outlineLevel="0" collapsed="false">
      <c r="A389" s="10" t="str">
        <f aca="false">IF($B389="","",ROW()-4)</f>
        <v/>
      </c>
      <c r="B389" s="11"/>
      <c r="C389" s="12"/>
      <c r="D389" s="12"/>
      <c r="E389" s="12"/>
      <c r="F389" s="12"/>
      <c r="G389" s="12"/>
      <c r="H389" s="13"/>
      <c r="I389" s="4"/>
      <c r="J389" s="4"/>
      <c r="K389" s="14" t="str">
        <f aca="false">IF($B389="","",IF($C389="泓普",$C$2,IF($C389="仟茂",$E$2,IF($C389="现金",$G$2,0)))+SUMIFS($I$5:$I389,$C$5:$C389,$C389)-SUMIFS($J$5:$J389,$C$5:$C389,$C389))</f>
        <v/>
      </c>
      <c r="L389" s="14" t="str">
        <f aca="false">IF($B389="","",$C$2+$E$2+$G$2+SUM($I$5:$I389)-SUM($J$5:$J389))</f>
        <v/>
      </c>
      <c r="M389" s="12"/>
      <c r="N389" s="15" t="str">
        <f aca="false">IF($B389="","",IF(NOT(ISNUMBER($B389)),"日期格式不对",IF($C389="","未选资金账户",IF(AND(N($I389)=0,N($J389)=0),"收支都为空",IF(AND(N($I389)&gt;0,N($J389)&gt;0),"收支不能同时填",IF(AND($D389&lt;&gt;"",LEFT($O389,1)="⚠"),"项目编号不存在",IF(AND($M389="是",$F389=""),"工程回款必须填往来单位","√")))))))</f>
        <v/>
      </c>
      <c r="O389" s="16" t="str">
        <f aca="false">IF($D389="","",IFERROR(INDEX(对照清单!$B$5:$B$60,MATCH($D389,对照清单!$A$5:$A$60,0)),"⚠编号不存在"))</f>
        <v/>
      </c>
      <c r="P389" s="10" t="str">
        <f aca="false">IF($B389="","",IF(ISNUMBER($B389),TEXT($B389,"yyyy-mm"),"日期非法"))</f>
        <v/>
      </c>
      <c r="Q389" s="10" t="str">
        <f aca="false">IF($B389="","",IF(ISNUMBER($B389),YEAR($B389),"日期非法"))</f>
        <v/>
      </c>
    </row>
    <row r="390" customFormat="false" ht="15.75" hidden="false" customHeight="true" outlineLevel="0" collapsed="false">
      <c r="A390" s="10" t="str">
        <f aca="false">IF($B390="","",ROW()-4)</f>
        <v/>
      </c>
      <c r="B390" s="11"/>
      <c r="C390" s="12"/>
      <c r="D390" s="12"/>
      <c r="E390" s="12"/>
      <c r="F390" s="12"/>
      <c r="G390" s="12"/>
      <c r="H390" s="13"/>
      <c r="I390" s="4"/>
      <c r="J390" s="4"/>
      <c r="K390" s="14" t="str">
        <f aca="false">IF($B390="","",IF($C390="泓普",$C$2,IF($C390="仟茂",$E$2,IF($C390="现金",$G$2,0)))+SUMIFS($I$5:$I390,$C$5:$C390,$C390)-SUMIFS($J$5:$J390,$C$5:$C390,$C390))</f>
        <v/>
      </c>
      <c r="L390" s="14" t="str">
        <f aca="false">IF($B390="","",$C$2+$E$2+$G$2+SUM($I$5:$I390)-SUM($J$5:$J390))</f>
        <v/>
      </c>
      <c r="M390" s="12"/>
      <c r="N390" s="15" t="str">
        <f aca="false">IF($B390="","",IF(NOT(ISNUMBER($B390)),"日期格式不对",IF($C390="","未选资金账户",IF(AND(N($I390)=0,N($J390)=0),"收支都为空",IF(AND(N($I390)&gt;0,N($J390)&gt;0),"收支不能同时填",IF(AND($D390&lt;&gt;"",LEFT($O390,1)="⚠"),"项目编号不存在",IF(AND($M390="是",$F390=""),"工程回款必须填往来单位","√")))))))</f>
        <v/>
      </c>
      <c r="O390" s="16" t="str">
        <f aca="false">IF($D390="","",IFERROR(INDEX(对照清单!$B$5:$B$60,MATCH($D390,对照清单!$A$5:$A$60,0)),"⚠编号不存在"))</f>
        <v/>
      </c>
      <c r="P390" s="10" t="str">
        <f aca="false">IF($B390="","",IF(ISNUMBER($B390),TEXT($B390,"yyyy-mm"),"日期非法"))</f>
        <v/>
      </c>
      <c r="Q390" s="10" t="str">
        <f aca="false">IF($B390="","",IF(ISNUMBER($B390),YEAR($B390),"日期非法"))</f>
        <v/>
      </c>
    </row>
    <row r="391" customFormat="false" ht="15.75" hidden="false" customHeight="true" outlineLevel="0" collapsed="false">
      <c r="A391" s="10" t="str">
        <f aca="false">IF($B391="","",ROW()-4)</f>
        <v/>
      </c>
      <c r="B391" s="11"/>
      <c r="C391" s="12"/>
      <c r="D391" s="12"/>
      <c r="E391" s="12"/>
      <c r="F391" s="12"/>
      <c r="G391" s="12"/>
      <c r="H391" s="13"/>
      <c r="I391" s="4"/>
      <c r="J391" s="4"/>
      <c r="K391" s="14" t="str">
        <f aca="false">IF($B391="","",IF($C391="泓普",$C$2,IF($C391="仟茂",$E$2,IF($C391="现金",$G$2,0)))+SUMIFS($I$5:$I391,$C$5:$C391,$C391)-SUMIFS($J$5:$J391,$C$5:$C391,$C391))</f>
        <v/>
      </c>
      <c r="L391" s="14" t="str">
        <f aca="false">IF($B391="","",$C$2+$E$2+$G$2+SUM($I$5:$I391)-SUM($J$5:$J391))</f>
        <v/>
      </c>
      <c r="M391" s="12"/>
      <c r="N391" s="15" t="str">
        <f aca="false">IF($B391="","",IF(NOT(ISNUMBER($B391)),"日期格式不对",IF($C391="","未选资金账户",IF(AND(N($I391)=0,N($J391)=0),"收支都为空",IF(AND(N($I391)&gt;0,N($J391)&gt;0),"收支不能同时填",IF(AND($D391&lt;&gt;"",LEFT($O391,1)="⚠"),"项目编号不存在",IF(AND($M391="是",$F391=""),"工程回款必须填往来单位","√")))))))</f>
        <v/>
      </c>
      <c r="O391" s="16" t="str">
        <f aca="false">IF($D391="","",IFERROR(INDEX(对照清单!$B$5:$B$60,MATCH($D391,对照清单!$A$5:$A$60,0)),"⚠编号不存在"))</f>
        <v/>
      </c>
      <c r="P391" s="10" t="str">
        <f aca="false">IF($B391="","",IF(ISNUMBER($B391),TEXT($B391,"yyyy-mm"),"日期非法"))</f>
        <v/>
      </c>
      <c r="Q391" s="10" t="str">
        <f aca="false">IF($B391="","",IF(ISNUMBER($B391),YEAR($B391),"日期非法"))</f>
        <v/>
      </c>
    </row>
    <row r="392" customFormat="false" ht="15.75" hidden="false" customHeight="true" outlineLevel="0" collapsed="false">
      <c r="A392" s="10" t="str">
        <f aca="false">IF($B392="","",ROW()-4)</f>
        <v/>
      </c>
      <c r="B392" s="11"/>
      <c r="C392" s="12"/>
      <c r="D392" s="12"/>
      <c r="E392" s="12"/>
      <c r="F392" s="12"/>
      <c r="G392" s="12"/>
      <c r="H392" s="13"/>
      <c r="I392" s="4"/>
      <c r="J392" s="4"/>
      <c r="K392" s="14" t="str">
        <f aca="false">IF($B392="","",IF($C392="泓普",$C$2,IF($C392="仟茂",$E$2,IF($C392="现金",$G$2,0)))+SUMIFS($I$5:$I392,$C$5:$C392,$C392)-SUMIFS($J$5:$J392,$C$5:$C392,$C392))</f>
        <v/>
      </c>
      <c r="L392" s="14" t="str">
        <f aca="false">IF($B392="","",$C$2+$E$2+$G$2+SUM($I$5:$I392)-SUM($J$5:$J392))</f>
        <v/>
      </c>
      <c r="M392" s="12"/>
      <c r="N392" s="15" t="str">
        <f aca="false">IF($B392="","",IF(NOT(ISNUMBER($B392)),"日期格式不对",IF($C392="","未选资金账户",IF(AND(N($I392)=0,N($J392)=0),"收支都为空",IF(AND(N($I392)&gt;0,N($J392)&gt;0),"收支不能同时填",IF(AND($D392&lt;&gt;"",LEFT($O392,1)="⚠"),"项目编号不存在",IF(AND($M392="是",$F392=""),"工程回款必须填往来单位","√")))))))</f>
        <v/>
      </c>
      <c r="O392" s="16" t="str">
        <f aca="false">IF($D392="","",IFERROR(INDEX(对照清单!$B$5:$B$60,MATCH($D392,对照清单!$A$5:$A$60,0)),"⚠编号不存在"))</f>
        <v/>
      </c>
      <c r="P392" s="10" t="str">
        <f aca="false">IF($B392="","",IF(ISNUMBER($B392),TEXT($B392,"yyyy-mm"),"日期非法"))</f>
        <v/>
      </c>
      <c r="Q392" s="10" t="str">
        <f aca="false">IF($B392="","",IF(ISNUMBER($B392),YEAR($B392),"日期非法"))</f>
        <v/>
      </c>
    </row>
    <row r="393" customFormat="false" ht="15.75" hidden="false" customHeight="true" outlineLevel="0" collapsed="false">
      <c r="A393" s="10" t="str">
        <f aca="false">IF($B393="","",ROW()-4)</f>
        <v/>
      </c>
      <c r="B393" s="11"/>
      <c r="C393" s="12"/>
      <c r="D393" s="12"/>
      <c r="E393" s="12"/>
      <c r="F393" s="12"/>
      <c r="G393" s="12"/>
      <c r="H393" s="13"/>
      <c r="I393" s="4"/>
      <c r="J393" s="4"/>
      <c r="K393" s="14" t="str">
        <f aca="false">IF($B393="","",IF($C393="泓普",$C$2,IF($C393="仟茂",$E$2,IF($C393="现金",$G$2,0)))+SUMIFS($I$5:$I393,$C$5:$C393,$C393)-SUMIFS($J$5:$J393,$C$5:$C393,$C393))</f>
        <v/>
      </c>
      <c r="L393" s="14" t="str">
        <f aca="false">IF($B393="","",$C$2+$E$2+$G$2+SUM($I$5:$I393)-SUM($J$5:$J393))</f>
        <v/>
      </c>
      <c r="M393" s="12"/>
      <c r="N393" s="15" t="str">
        <f aca="false">IF($B393="","",IF(NOT(ISNUMBER($B393)),"日期格式不对",IF($C393="","未选资金账户",IF(AND(N($I393)=0,N($J393)=0),"收支都为空",IF(AND(N($I393)&gt;0,N($J393)&gt;0),"收支不能同时填",IF(AND($D393&lt;&gt;"",LEFT($O393,1)="⚠"),"项目编号不存在",IF(AND($M393="是",$F393=""),"工程回款必须填往来单位","√")))))))</f>
        <v/>
      </c>
      <c r="O393" s="16" t="str">
        <f aca="false">IF($D393="","",IFERROR(INDEX(对照清单!$B$5:$B$60,MATCH($D393,对照清单!$A$5:$A$60,0)),"⚠编号不存在"))</f>
        <v/>
      </c>
      <c r="P393" s="10" t="str">
        <f aca="false">IF($B393="","",IF(ISNUMBER($B393),TEXT($B393,"yyyy-mm"),"日期非法"))</f>
        <v/>
      </c>
      <c r="Q393" s="10" t="str">
        <f aca="false">IF($B393="","",IF(ISNUMBER($B393),YEAR($B393),"日期非法"))</f>
        <v/>
      </c>
    </row>
    <row r="394" customFormat="false" ht="15.75" hidden="false" customHeight="true" outlineLevel="0" collapsed="false">
      <c r="A394" s="10" t="str">
        <f aca="false">IF($B394="","",ROW()-4)</f>
        <v/>
      </c>
      <c r="B394" s="11"/>
      <c r="C394" s="12"/>
      <c r="D394" s="12"/>
      <c r="E394" s="12"/>
      <c r="F394" s="12"/>
      <c r="G394" s="12"/>
      <c r="H394" s="13"/>
      <c r="I394" s="4"/>
      <c r="J394" s="4"/>
      <c r="K394" s="14" t="str">
        <f aca="false">IF($B394="","",IF($C394="泓普",$C$2,IF($C394="仟茂",$E$2,IF($C394="现金",$G$2,0)))+SUMIFS($I$5:$I394,$C$5:$C394,$C394)-SUMIFS($J$5:$J394,$C$5:$C394,$C394))</f>
        <v/>
      </c>
      <c r="L394" s="14" t="str">
        <f aca="false">IF($B394="","",$C$2+$E$2+$G$2+SUM($I$5:$I394)-SUM($J$5:$J394))</f>
        <v/>
      </c>
      <c r="M394" s="12"/>
      <c r="N394" s="15" t="str">
        <f aca="false">IF($B394="","",IF(NOT(ISNUMBER($B394)),"日期格式不对",IF($C394="","未选资金账户",IF(AND(N($I394)=0,N($J394)=0),"收支都为空",IF(AND(N($I394)&gt;0,N($J394)&gt;0),"收支不能同时填",IF(AND($D394&lt;&gt;"",LEFT($O394,1)="⚠"),"项目编号不存在",IF(AND($M394="是",$F394=""),"工程回款必须填往来单位","√")))))))</f>
        <v/>
      </c>
      <c r="O394" s="16" t="str">
        <f aca="false">IF($D394="","",IFERROR(INDEX(对照清单!$B$5:$B$60,MATCH($D394,对照清单!$A$5:$A$60,0)),"⚠编号不存在"))</f>
        <v/>
      </c>
      <c r="P394" s="10" t="str">
        <f aca="false">IF($B394="","",IF(ISNUMBER($B394),TEXT($B394,"yyyy-mm"),"日期非法"))</f>
        <v/>
      </c>
      <c r="Q394" s="10" t="str">
        <f aca="false">IF($B394="","",IF(ISNUMBER($B394),YEAR($B394),"日期非法"))</f>
        <v/>
      </c>
    </row>
    <row r="395" customFormat="false" ht="15.75" hidden="false" customHeight="true" outlineLevel="0" collapsed="false">
      <c r="A395" s="10" t="str">
        <f aca="false">IF($B395="","",ROW()-4)</f>
        <v/>
      </c>
      <c r="B395" s="11"/>
      <c r="C395" s="12"/>
      <c r="D395" s="12"/>
      <c r="E395" s="12"/>
      <c r="F395" s="12"/>
      <c r="G395" s="12"/>
      <c r="H395" s="13"/>
      <c r="I395" s="4"/>
      <c r="J395" s="4"/>
      <c r="K395" s="14" t="str">
        <f aca="false">IF($B395="","",IF($C395="泓普",$C$2,IF($C395="仟茂",$E$2,IF($C395="现金",$G$2,0)))+SUMIFS($I$5:$I395,$C$5:$C395,$C395)-SUMIFS($J$5:$J395,$C$5:$C395,$C395))</f>
        <v/>
      </c>
      <c r="L395" s="14" t="str">
        <f aca="false">IF($B395="","",$C$2+$E$2+$G$2+SUM($I$5:$I395)-SUM($J$5:$J395))</f>
        <v/>
      </c>
      <c r="M395" s="12"/>
      <c r="N395" s="15" t="str">
        <f aca="false">IF($B395="","",IF(NOT(ISNUMBER($B395)),"日期格式不对",IF($C395="","未选资金账户",IF(AND(N($I395)=0,N($J395)=0),"收支都为空",IF(AND(N($I395)&gt;0,N($J395)&gt;0),"收支不能同时填",IF(AND($D395&lt;&gt;"",LEFT($O395,1)="⚠"),"项目编号不存在",IF(AND($M395="是",$F395=""),"工程回款必须填往来单位","√")))))))</f>
        <v/>
      </c>
      <c r="O395" s="16" t="str">
        <f aca="false">IF($D395="","",IFERROR(INDEX(对照清单!$B$5:$B$60,MATCH($D395,对照清单!$A$5:$A$60,0)),"⚠编号不存在"))</f>
        <v/>
      </c>
      <c r="P395" s="10" t="str">
        <f aca="false">IF($B395="","",IF(ISNUMBER($B395),TEXT($B395,"yyyy-mm"),"日期非法"))</f>
        <v/>
      </c>
      <c r="Q395" s="10" t="str">
        <f aca="false">IF($B395="","",IF(ISNUMBER($B395),YEAR($B395),"日期非法"))</f>
        <v/>
      </c>
    </row>
    <row r="396" customFormat="false" ht="15.75" hidden="false" customHeight="true" outlineLevel="0" collapsed="false">
      <c r="A396" s="10" t="str">
        <f aca="false">IF($B396="","",ROW()-4)</f>
        <v/>
      </c>
      <c r="B396" s="11"/>
      <c r="C396" s="12"/>
      <c r="D396" s="12"/>
      <c r="E396" s="12"/>
      <c r="F396" s="12"/>
      <c r="G396" s="12"/>
      <c r="H396" s="13"/>
      <c r="I396" s="4"/>
      <c r="J396" s="4"/>
      <c r="K396" s="14" t="str">
        <f aca="false">IF($B396="","",IF($C396="泓普",$C$2,IF($C396="仟茂",$E$2,IF($C396="现金",$G$2,0)))+SUMIFS($I$5:$I396,$C$5:$C396,$C396)-SUMIFS($J$5:$J396,$C$5:$C396,$C396))</f>
        <v/>
      </c>
      <c r="L396" s="14" t="str">
        <f aca="false">IF($B396="","",$C$2+$E$2+$G$2+SUM($I$5:$I396)-SUM($J$5:$J396))</f>
        <v/>
      </c>
      <c r="M396" s="12"/>
      <c r="N396" s="15" t="str">
        <f aca="false">IF($B396="","",IF(NOT(ISNUMBER($B396)),"日期格式不对",IF($C396="","未选资金账户",IF(AND(N($I396)=0,N($J396)=0),"收支都为空",IF(AND(N($I396)&gt;0,N($J396)&gt;0),"收支不能同时填",IF(AND($D396&lt;&gt;"",LEFT($O396,1)="⚠"),"项目编号不存在",IF(AND($M396="是",$F396=""),"工程回款必须填往来单位","√")))))))</f>
        <v/>
      </c>
      <c r="O396" s="16" t="str">
        <f aca="false">IF($D396="","",IFERROR(INDEX(对照清单!$B$5:$B$60,MATCH($D396,对照清单!$A$5:$A$60,0)),"⚠编号不存在"))</f>
        <v/>
      </c>
      <c r="P396" s="10" t="str">
        <f aca="false">IF($B396="","",IF(ISNUMBER($B396),TEXT($B396,"yyyy-mm"),"日期非法"))</f>
        <v/>
      </c>
      <c r="Q396" s="10" t="str">
        <f aca="false">IF($B396="","",IF(ISNUMBER($B396),YEAR($B396),"日期非法"))</f>
        <v/>
      </c>
    </row>
    <row r="397" customFormat="false" ht="15.75" hidden="false" customHeight="true" outlineLevel="0" collapsed="false">
      <c r="A397" s="10" t="str">
        <f aca="false">IF($B397="","",ROW()-4)</f>
        <v/>
      </c>
      <c r="B397" s="11"/>
      <c r="C397" s="12"/>
      <c r="D397" s="12"/>
      <c r="E397" s="12"/>
      <c r="F397" s="12"/>
      <c r="G397" s="12"/>
      <c r="H397" s="13"/>
      <c r="I397" s="4"/>
      <c r="J397" s="4"/>
      <c r="K397" s="14" t="str">
        <f aca="false">IF($B397="","",IF($C397="泓普",$C$2,IF($C397="仟茂",$E$2,IF($C397="现金",$G$2,0)))+SUMIFS($I$5:$I397,$C$5:$C397,$C397)-SUMIFS($J$5:$J397,$C$5:$C397,$C397))</f>
        <v/>
      </c>
      <c r="L397" s="14" t="str">
        <f aca="false">IF($B397="","",$C$2+$E$2+$G$2+SUM($I$5:$I397)-SUM($J$5:$J397))</f>
        <v/>
      </c>
      <c r="M397" s="12"/>
      <c r="N397" s="15" t="str">
        <f aca="false">IF($B397="","",IF(NOT(ISNUMBER($B397)),"日期格式不对",IF($C397="","未选资金账户",IF(AND(N($I397)=0,N($J397)=0),"收支都为空",IF(AND(N($I397)&gt;0,N($J397)&gt;0),"收支不能同时填",IF(AND($D397&lt;&gt;"",LEFT($O397,1)="⚠"),"项目编号不存在",IF(AND($M397="是",$F397=""),"工程回款必须填往来单位","√")))))))</f>
        <v/>
      </c>
      <c r="O397" s="16" t="str">
        <f aca="false">IF($D397="","",IFERROR(INDEX(对照清单!$B$5:$B$60,MATCH($D397,对照清单!$A$5:$A$60,0)),"⚠编号不存在"))</f>
        <v/>
      </c>
      <c r="P397" s="10" t="str">
        <f aca="false">IF($B397="","",IF(ISNUMBER($B397),TEXT($B397,"yyyy-mm"),"日期非法"))</f>
        <v/>
      </c>
      <c r="Q397" s="10" t="str">
        <f aca="false">IF($B397="","",IF(ISNUMBER($B397),YEAR($B397),"日期非法"))</f>
        <v/>
      </c>
    </row>
    <row r="398" customFormat="false" ht="15.75" hidden="false" customHeight="true" outlineLevel="0" collapsed="false">
      <c r="A398" s="10" t="str">
        <f aca="false">IF($B398="","",ROW()-4)</f>
        <v/>
      </c>
      <c r="B398" s="11"/>
      <c r="C398" s="12"/>
      <c r="D398" s="12"/>
      <c r="E398" s="12"/>
      <c r="F398" s="12"/>
      <c r="G398" s="12"/>
      <c r="H398" s="13"/>
      <c r="I398" s="4"/>
      <c r="J398" s="4"/>
      <c r="K398" s="14" t="str">
        <f aca="false">IF($B398="","",IF($C398="泓普",$C$2,IF($C398="仟茂",$E$2,IF($C398="现金",$G$2,0)))+SUMIFS($I$5:$I398,$C$5:$C398,$C398)-SUMIFS($J$5:$J398,$C$5:$C398,$C398))</f>
        <v/>
      </c>
      <c r="L398" s="14" t="str">
        <f aca="false">IF($B398="","",$C$2+$E$2+$G$2+SUM($I$5:$I398)-SUM($J$5:$J398))</f>
        <v/>
      </c>
      <c r="M398" s="12"/>
      <c r="N398" s="15" t="str">
        <f aca="false">IF($B398="","",IF(NOT(ISNUMBER($B398)),"日期格式不对",IF($C398="","未选资金账户",IF(AND(N($I398)=0,N($J398)=0),"收支都为空",IF(AND(N($I398)&gt;0,N($J398)&gt;0),"收支不能同时填",IF(AND($D398&lt;&gt;"",LEFT($O398,1)="⚠"),"项目编号不存在",IF(AND($M398="是",$F398=""),"工程回款必须填往来单位","√")))))))</f>
        <v/>
      </c>
      <c r="O398" s="16" t="str">
        <f aca="false">IF($D398="","",IFERROR(INDEX(对照清单!$B$5:$B$60,MATCH($D398,对照清单!$A$5:$A$60,0)),"⚠编号不存在"))</f>
        <v/>
      </c>
      <c r="P398" s="10" t="str">
        <f aca="false">IF($B398="","",IF(ISNUMBER($B398),TEXT($B398,"yyyy-mm"),"日期非法"))</f>
        <v/>
      </c>
      <c r="Q398" s="10" t="str">
        <f aca="false">IF($B398="","",IF(ISNUMBER($B398),YEAR($B398),"日期非法"))</f>
        <v/>
      </c>
    </row>
    <row r="399" customFormat="false" ht="15.75" hidden="false" customHeight="true" outlineLevel="0" collapsed="false">
      <c r="A399" s="10" t="str">
        <f aca="false">IF($B399="","",ROW()-4)</f>
        <v/>
      </c>
      <c r="B399" s="11"/>
      <c r="C399" s="12"/>
      <c r="D399" s="12"/>
      <c r="E399" s="12"/>
      <c r="F399" s="12"/>
      <c r="G399" s="12"/>
      <c r="H399" s="13"/>
      <c r="I399" s="4"/>
      <c r="J399" s="4"/>
      <c r="K399" s="14" t="str">
        <f aca="false">IF($B399="","",IF($C399="泓普",$C$2,IF($C399="仟茂",$E$2,IF($C399="现金",$G$2,0)))+SUMIFS($I$5:$I399,$C$5:$C399,$C399)-SUMIFS($J$5:$J399,$C$5:$C399,$C399))</f>
        <v/>
      </c>
      <c r="L399" s="14" t="str">
        <f aca="false">IF($B399="","",$C$2+$E$2+$G$2+SUM($I$5:$I399)-SUM($J$5:$J399))</f>
        <v/>
      </c>
      <c r="M399" s="12"/>
      <c r="N399" s="15" t="str">
        <f aca="false">IF($B399="","",IF(NOT(ISNUMBER($B399)),"日期格式不对",IF($C399="","未选资金账户",IF(AND(N($I399)=0,N($J399)=0),"收支都为空",IF(AND(N($I399)&gt;0,N($J399)&gt;0),"收支不能同时填",IF(AND($D399&lt;&gt;"",LEFT($O399,1)="⚠"),"项目编号不存在",IF(AND($M399="是",$F399=""),"工程回款必须填往来单位","√")))))))</f>
        <v/>
      </c>
      <c r="O399" s="16" t="str">
        <f aca="false">IF($D399="","",IFERROR(INDEX(对照清单!$B$5:$B$60,MATCH($D399,对照清单!$A$5:$A$60,0)),"⚠编号不存在"))</f>
        <v/>
      </c>
      <c r="P399" s="10" t="str">
        <f aca="false">IF($B399="","",IF(ISNUMBER($B399),TEXT($B399,"yyyy-mm"),"日期非法"))</f>
        <v/>
      </c>
      <c r="Q399" s="10" t="str">
        <f aca="false">IF($B399="","",IF(ISNUMBER($B399),YEAR($B399),"日期非法"))</f>
        <v/>
      </c>
    </row>
    <row r="400" customFormat="false" ht="15.75" hidden="false" customHeight="true" outlineLevel="0" collapsed="false">
      <c r="A400" s="10" t="str">
        <f aca="false">IF($B400="","",ROW()-4)</f>
        <v/>
      </c>
      <c r="B400" s="11"/>
      <c r="C400" s="12"/>
      <c r="D400" s="12"/>
      <c r="E400" s="12"/>
      <c r="F400" s="12"/>
      <c r="G400" s="12"/>
      <c r="H400" s="13"/>
      <c r="I400" s="4"/>
      <c r="J400" s="4"/>
      <c r="K400" s="14" t="str">
        <f aca="false">IF($B400="","",IF($C400="泓普",$C$2,IF($C400="仟茂",$E$2,IF($C400="现金",$G$2,0)))+SUMIFS($I$5:$I400,$C$5:$C400,$C400)-SUMIFS($J$5:$J400,$C$5:$C400,$C400))</f>
        <v/>
      </c>
      <c r="L400" s="14" t="str">
        <f aca="false">IF($B400="","",$C$2+$E$2+$G$2+SUM($I$5:$I400)-SUM($J$5:$J400))</f>
        <v/>
      </c>
      <c r="M400" s="12"/>
      <c r="N400" s="15" t="str">
        <f aca="false">IF($B400="","",IF(NOT(ISNUMBER($B400)),"日期格式不对",IF($C400="","未选资金账户",IF(AND(N($I400)=0,N($J400)=0),"收支都为空",IF(AND(N($I400)&gt;0,N($J400)&gt;0),"收支不能同时填",IF(AND($D400&lt;&gt;"",LEFT($O400,1)="⚠"),"项目编号不存在",IF(AND($M400="是",$F400=""),"工程回款必须填往来单位","√")))))))</f>
        <v/>
      </c>
      <c r="O400" s="16" t="str">
        <f aca="false">IF($D400="","",IFERROR(INDEX(对照清单!$B$5:$B$60,MATCH($D400,对照清单!$A$5:$A$60,0)),"⚠编号不存在"))</f>
        <v/>
      </c>
      <c r="P400" s="10" t="str">
        <f aca="false">IF($B400="","",IF(ISNUMBER($B400),TEXT($B400,"yyyy-mm"),"日期非法"))</f>
        <v/>
      </c>
      <c r="Q400" s="10" t="str">
        <f aca="false">IF($B400="","",IF(ISNUMBER($B400),YEAR($B400),"日期非法"))</f>
        <v/>
      </c>
    </row>
    <row r="401" customFormat="false" ht="15.75" hidden="false" customHeight="true" outlineLevel="0" collapsed="false">
      <c r="A401" s="10" t="str">
        <f aca="false">IF($B401="","",ROW()-4)</f>
        <v/>
      </c>
      <c r="B401" s="11"/>
      <c r="C401" s="12"/>
      <c r="D401" s="12"/>
      <c r="E401" s="12"/>
      <c r="F401" s="12"/>
      <c r="G401" s="12"/>
      <c r="H401" s="13"/>
      <c r="I401" s="4"/>
      <c r="J401" s="4"/>
      <c r="K401" s="14" t="str">
        <f aca="false">IF($B401="","",IF($C401="泓普",$C$2,IF($C401="仟茂",$E$2,IF($C401="现金",$G$2,0)))+SUMIFS($I$5:$I401,$C$5:$C401,$C401)-SUMIFS($J$5:$J401,$C$5:$C401,$C401))</f>
        <v/>
      </c>
      <c r="L401" s="14" t="str">
        <f aca="false">IF($B401="","",$C$2+$E$2+$G$2+SUM($I$5:$I401)-SUM($J$5:$J401))</f>
        <v/>
      </c>
      <c r="M401" s="12"/>
      <c r="N401" s="15" t="str">
        <f aca="false">IF($B401="","",IF(NOT(ISNUMBER($B401)),"日期格式不对",IF($C401="","未选资金账户",IF(AND(N($I401)=0,N($J401)=0),"收支都为空",IF(AND(N($I401)&gt;0,N($J401)&gt;0),"收支不能同时填",IF(AND($D401&lt;&gt;"",LEFT($O401,1)="⚠"),"项目编号不存在",IF(AND($M401="是",$F401=""),"工程回款必须填往来单位","√")))))))</f>
        <v/>
      </c>
      <c r="O401" s="16" t="str">
        <f aca="false">IF($D401="","",IFERROR(INDEX(对照清单!$B$5:$B$60,MATCH($D401,对照清单!$A$5:$A$60,0)),"⚠编号不存在"))</f>
        <v/>
      </c>
      <c r="P401" s="10" t="str">
        <f aca="false">IF($B401="","",IF(ISNUMBER($B401),TEXT($B401,"yyyy-mm"),"日期非法"))</f>
        <v/>
      </c>
      <c r="Q401" s="10" t="str">
        <f aca="false">IF($B401="","",IF(ISNUMBER($B401),YEAR($B401),"日期非法"))</f>
        <v/>
      </c>
    </row>
    <row r="402" customFormat="false" ht="15.75" hidden="false" customHeight="true" outlineLevel="0" collapsed="false">
      <c r="A402" s="10" t="str">
        <f aca="false">IF($B402="","",ROW()-4)</f>
        <v/>
      </c>
      <c r="B402" s="11"/>
      <c r="C402" s="12"/>
      <c r="D402" s="12"/>
      <c r="E402" s="12"/>
      <c r="F402" s="12"/>
      <c r="G402" s="12"/>
      <c r="H402" s="13"/>
      <c r="I402" s="4"/>
      <c r="J402" s="4"/>
      <c r="K402" s="14" t="str">
        <f aca="false">IF($B402="","",IF($C402="泓普",$C$2,IF($C402="仟茂",$E$2,IF($C402="现金",$G$2,0)))+SUMIFS($I$5:$I402,$C$5:$C402,$C402)-SUMIFS($J$5:$J402,$C$5:$C402,$C402))</f>
        <v/>
      </c>
      <c r="L402" s="14" t="str">
        <f aca="false">IF($B402="","",$C$2+$E$2+$G$2+SUM($I$5:$I402)-SUM($J$5:$J402))</f>
        <v/>
      </c>
      <c r="M402" s="12"/>
      <c r="N402" s="15" t="str">
        <f aca="false">IF($B402="","",IF(NOT(ISNUMBER($B402)),"日期格式不对",IF($C402="","未选资金账户",IF(AND(N($I402)=0,N($J402)=0),"收支都为空",IF(AND(N($I402)&gt;0,N($J402)&gt;0),"收支不能同时填",IF(AND($D402&lt;&gt;"",LEFT($O402,1)="⚠"),"项目编号不存在",IF(AND($M402="是",$F402=""),"工程回款必须填往来单位","√")))))))</f>
        <v/>
      </c>
      <c r="O402" s="16" t="str">
        <f aca="false">IF($D402="","",IFERROR(INDEX(对照清单!$B$5:$B$60,MATCH($D402,对照清单!$A$5:$A$60,0)),"⚠编号不存在"))</f>
        <v/>
      </c>
      <c r="P402" s="10" t="str">
        <f aca="false">IF($B402="","",IF(ISNUMBER($B402),TEXT($B402,"yyyy-mm"),"日期非法"))</f>
        <v/>
      </c>
      <c r="Q402" s="10" t="str">
        <f aca="false">IF($B402="","",IF(ISNUMBER($B402),YEAR($B402),"日期非法"))</f>
        <v/>
      </c>
    </row>
    <row r="403" customFormat="false" ht="15.75" hidden="false" customHeight="true" outlineLevel="0" collapsed="false">
      <c r="A403" s="10" t="str">
        <f aca="false">IF($B403="","",ROW()-4)</f>
        <v/>
      </c>
      <c r="B403" s="11"/>
      <c r="C403" s="12"/>
      <c r="D403" s="12"/>
      <c r="E403" s="12"/>
      <c r="F403" s="12"/>
      <c r="G403" s="12"/>
      <c r="H403" s="13"/>
      <c r="I403" s="4"/>
      <c r="J403" s="4"/>
      <c r="K403" s="14" t="str">
        <f aca="false">IF($B403="","",IF($C403="泓普",$C$2,IF($C403="仟茂",$E$2,IF($C403="现金",$G$2,0)))+SUMIFS($I$5:$I403,$C$5:$C403,$C403)-SUMIFS($J$5:$J403,$C$5:$C403,$C403))</f>
        <v/>
      </c>
      <c r="L403" s="14" t="str">
        <f aca="false">IF($B403="","",$C$2+$E$2+$G$2+SUM($I$5:$I403)-SUM($J$5:$J403))</f>
        <v/>
      </c>
      <c r="M403" s="12"/>
      <c r="N403" s="15" t="str">
        <f aca="false">IF($B403="","",IF(NOT(ISNUMBER($B403)),"日期格式不对",IF($C403="","未选资金账户",IF(AND(N($I403)=0,N($J403)=0),"收支都为空",IF(AND(N($I403)&gt;0,N($J403)&gt;0),"收支不能同时填",IF(AND($D403&lt;&gt;"",LEFT($O403,1)="⚠"),"项目编号不存在",IF(AND($M403="是",$F403=""),"工程回款必须填往来单位","√")))))))</f>
        <v/>
      </c>
      <c r="O403" s="16" t="str">
        <f aca="false">IF($D403="","",IFERROR(INDEX(对照清单!$B$5:$B$60,MATCH($D403,对照清单!$A$5:$A$60,0)),"⚠编号不存在"))</f>
        <v/>
      </c>
      <c r="P403" s="10" t="str">
        <f aca="false">IF($B403="","",IF(ISNUMBER($B403),TEXT($B403,"yyyy-mm"),"日期非法"))</f>
        <v/>
      </c>
      <c r="Q403" s="10" t="str">
        <f aca="false">IF($B403="","",IF(ISNUMBER($B403),YEAR($B403),"日期非法"))</f>
        <v/>
      </c>
    </row>
    <row r="404" customFormat="false" ht="15.75" hidden="false" customHeight="true" outlineLevel="0" collapsed="false">
      <c r="A404" s="10" t="str">
        <f aca="false">IF($B404="","",ROW()-4)</f>
        <v/>
      </c>
      <c r="B404" s="11"/>
      <c r="C404" s="12"/>
      <c r="D404" s="12"/>
      <c r="E404" s="12"/>
      <c r="F404" s="12"/>
      <c r="G404" s="12"/>
      <c r="H404" s="13"/>
      <c r="I404" s="4"/>
      <c r="J404" s="4"/>
      <c r="K404" s="14" t="str">
        <f aca="false">IF($B404="","",IF($C404="泓普",$C$2,IF($C404="仟茂",$E$2,IF($C404="现金",$G$2,0)))+SUMIFS($I$5:$I404,$C$5:$C404,$C404)-SUMIFS($J$5:$J404,$C$5:$C404,$C404))</f>
        <v/>
      </c>
      <c r="L404" s="14" t="str">
        <f aca="false">IF($B404="","",$C$2+$E$2+$G$2+SUM($I$5:$I404)-SUM($J$5:$J404))</f>
        <v/>
      </c>
      <c r="M404" s="12"/>
      <c r="N404" s="15" t="str">
        <f aca="false">IF($B404="","",IF(NOT(ISNUMBER($B404)),"日期格式不对",IF($C404="","未选资金账户",IF(AND(N($I404)=0,N($J404)=0),"收支都为空",IF(AND(N($I404)&gt;0,N($J404)&gt;0),"收支不能同时填",IF(AND($D404&lt;&gt;"",LEFT($O404,1)="⚠"),"项目编号不存在",IF(AND($M404="是",$F404=""),"工程回款必须填往来单位","√")))))))</f>
        <v/>
      </c>
      <c r="O404" s="16" t="str">
        <f aca="false">IF($D404="","",IFERROR(INDEX(对照清单!$B$5:$B$60,MATCH($D404,对照清单!$A$5:$A$60,0)),"⚠编号不存在"))</f>
        <v/>
      </c>
      <c r="P404" s="10" t="str">
        <f aca="false">IF($B404="","",IF(ISNUMBER($B404),TEXT($B404,"yyyy-mm"),"日期非法"))</f>
        <v/>
      </c>
      <c r="Q404" s="10" t="str">
        <f aca="false">IF($B404="","",IF(ISNUMBER($B404),YEAR($B404),"日期非法"))</f>
        <v/>
      </c>
    </row>
    <row r="405" customFormat="false" ht="15.75" hidden="false" customHeight="true" outlineLevel="0" collapsed="false">
      <c r="A405" s="10" t="str">
        <f aca="false">IF($B405="","",ROW()-4)</f>
        <v/>
      </c>
      <c r="B405" s="11"/>
      <c r="C405" s="12"/>
      <c r="D405" s="12"/>
      <c r="E405" s="12"/>
      <c r="F405" s="12"/>
      <c r="G405" s="12"/>
      <c r="H405" s="13"/>
      <c r="I405" s="4"/>
      <c r="J405" s="4"/>
      <c r="K405" s="14" t="str">
        <f aca="false">IF($B405="","",IF($C405="泓普",$C$2,IF($C405="仟茂",$E$2,IF($C405="现金",$G$2,0)))+SUMIFS($I$5:$I405,$C$5:$C405,$C405)-SUMIFS($J$5:$J405,$C$5:$C405,$C405))</f>
        <v/>
      </c>
      <c r="L405" s="14" t="str">
        <f aca="false">IF($B405="","",$C$2+$E$2+$G$2+SUM($I$5:$I405)-SUM($J$5:$J405))</f>
        <v/>
      </c>
      <c r="M405" s="12"/>
      <c r="N405" s="15" t="str">
        <f aca="false">IF($B405="","",IF(NOT(ISNUMBER($B405)),"日期格式不对",IF($C405="","未选资金账户",IF(AND(N($I405)=0,N($J405)=0),"收支都为空",IF(AND(N($I405)&gt;0,N($J405)&gt;0),"收支不能同时填",IF(AND($D405&lt;&gt;"",LEFT($O405,1)="⚠"),"项目编号不存在",IF(AND($M405="是",$F405=""),"工程回款必须填往来单位","√")))))))</f>
        <v/>
      </c>
      <c r="O405" s="16" t="str">
        <f aca="false">IF($D405="","",IFERROR(INDEX(对照清单!$B$5:$B$60,MATCH($D405,对照清单!$A$5:$A$60,0)),"⚠编号不存在"))</f>
        <v/>
      </c>
      <c r="P405" s="10" t="str">
        <f aca="false">IF($B405="","",IF(ISNUMBER($B405),TEXT($B405,"yyyy-mm"),"日期非法"))</f>
        <v/>
      </c>
      <c r="Q405" s="10" t="str">
        <f aca="false">IF($B405="","",IF(ISNUMBER($B405),YEAR($B405),"日期非法"))</f>
        <v/>
      </c>
    </row>
    <row r="406" customFormat="false" ht="15.75" hidden="false" customHeight="true" outlineLevel="0" collapsed="false">
      <c r="A406" s="10" t="str">
        <f aca="false">IF($B406="","",ROW()-4)</f>
        <v/>
      </c>
      <c r="B406" s="11"/>
      <c r="C406" s="12"/>
      <c r="D406" s="12"/>
      <c r="E406" s="12"/>
      <c r="F406" s="12"/>
      <c r="G406" s="12"/>
      <c r="H406" s="13"/>
      <c r="I406" s="4"/>
      <c r="J406" s="4"/>
      <c r="K406" s="14" t="str">
        <f aca="false">IF($B406="","",IF($C406="泓普",$C$2,IF($C406="仟茂",$E$2,IF($C406="现金",$G$2,0)))+SUMIFS($I$5:$I406,$C$5:$C406,$C406)-SUMIFS($J$5:$J406,$C$5:$C406,$C406))</f>
        <v/>
      </c>
      <c r="L406" s="14" t="str">
        <f aca="false">IF($B406="","",$C$2+$E$2+$G$2+SUM($I$5:$I406)-SUM($J$5:$J406))</f>
        <v/>
      </c>
      <c r="M406" s="12"/>
      <c r="N406" s="15" t="str">
        <f aca="false">IF($B406="","",IF(NOT(ISNUMBER($B406)),"日期格式不对",IF($C406="","未选资金账户",IF(AND(N($I406)=0,N($J406)=0),"收支都为空",IF(AND(N($I406)&gt;0,N($J406)&gt;0),"收支不能同时填",IF(AND($D406&lt;&gt;"",LEFT($O406,1)="⚠"),"项目编号不存在",IF(AND($M406="是",$F406=""),"工程回款必须填往来单位","√")))))))</f>
        <v/>
      </c>
      <c r="O406" s="16" t="str">
        <f aca="false">IF($D406="","",IFERROR(INDEX(对照清单!$B$5:$B$60,MATCH($D406,对照清单!$A$5:$A$60,0)),"⚠编号不存在"))</f>
        <v/>
      </c>
      <c r="P406" s="10" t="str">
        <f aca="false">IF($B406="","",IF(ISNUMBER($B406),TEXT($B406,"yyyy-mm"),"日期非法"))</f>
        <v/>
      </c>
      <c r="Q406" s="10" t="str">
        <f aca="false">IF($B406="","",IF(ISNUMBER($B406),YEAR($B406),"日期非法"))</f>
        <v/>
      </c>
    </row>
    <row r="407" customFormat="false" ht="15.75" hidden="false" customHeight="true" outlineLevel="0" collapsed="false">
      <c r="A407" s="10" t="str">
        <f aca="false">IF($B407="","",ROW()-4)</f>
        <v/>
      </c>
      <c r="B407" s="11"/>
      <c r="C407" s="12"/>
      <c r="D407" s="12"/>
      <c r="E407" s="12"/>
      <c r="F407" s="12"/>
      <c r="G407" s="12"/>
      <c r="H407" s="13"/>
      <c r="I407" s="4"/>
      <c r="J407" s="4"/>
      <c r="K407" s="14" t="str">
        <f aca="false">IF($B407="","",IF($C407="泓普",$C$2,IF($C407="仟茂",$E$2,IF($C407="现金",$G$2,0)))+SUMIFS($I$5:$I407,$C$5:$C407,$C407)-SUMIFS($J$5:$J407,$C$5:$C407,$C407))</f>
        <v/>
      </c>
      <c r="L407" s="14" t="str">
        <f aca="false">IF($B407="","",$C$2+$E$2+$G$2+SUM($I$5:$I407)-SUM($J$5:$J407))</f>
        <v/>
      </c>
      <c r="M407" s="12"/>
      <c r="N407" s="15" t="str">
        <f aca="false">IF($B407="","",IF(NOT(ISNUMBER($B407)),"日期格式不对",IF($C407="","未选资金账户",IF(AND(N($I407)=0,N($J407)=0),"收支都为空",IF(AND(N($I407)&gt;0,N($J407)&gt;0),"收支不能同时填",IF(AND($D407&lt;&gt;"",LEFT($O407,1)="⚠"),"项目编号不存在",IF(AND($M407="是",$F407=""),"工程回款必须填往来单位","√")))))))</f>
        <v/>
      </c>
      <c r="O407" s="16" t="str">
        <f aca="false">IF($D407="","",IFERROR(INDEX(对照清单!$B$5:$B$60,MATCH($D407,对照清单!$A$5:$A$60,0)),"⚠编号不存在"))</f>
        <v/>
      </c>
      <c r="P407" s="10" t="str">
        <f aca="false">IF($B407="","",IF(ISNUMBER($B407),TEXT($B407,"yyyy-mm"),"日期非法"))</f>
        <v/>
      </c>
      <c r="Q407" s="10" t="str">
        <f aca="false">IF($B407="","",IF(ISNUMBER($B407),YEAR($B407),"日期非法"))</f>
        <v/>
      </c>
    </row>
    <row r="408" customFormat="false" ht="15.75" hidden="false" customHeight="true" outlineLevel="0" collapsed="false">
      <c r="A408" s="10" t="str">
        <f aca="false">IF($B408="","",ROW()-4)</f>
        <v/>
      </c>
      <c r="B408" s="11"/>
      <c r="C408" s="12"/>
      <c r="D408" s="12"/>
      <c r="E408" s="12"/>
      <c r="F408" s="12"/>
      <c r="G408" s="12"/>
      <c r="H408" s="13"/>
      <c r="I408" s="4"/>
      <c r="J408" s="4"/>
      <c r="K408" s="14" t="str">
        <f aca="false">IF($B408="","",IF($C408="泓普",$C$2,IF($C408="仟茂",$E$2,IF($C408="现金",$G$2,0)))+SUMIFS($I$5:$I408,$C$5:$C408,$C408)-SUMIFS($J$5:$J408,$C$5:$C408,$C408))</f>
        <v/>
      </c>
      <c r="L408" s="14" t="str">
        <f aca="false">IF($B408="","",$C$2+$E$2+$G$2+SUM($I$5:$I408)-SUM($J$5:$J408))</f>
        <v/>
      </c>
      <c r="M408" s="12"/>
      <c r="N408" s="15" t="str">
        <f aca="false">IF($B408="","",IF(NOT(ISNUMBER($B408)),"日期格式不对",IF($C408="","未选资金账户",IF(AND(N($I408)=0,N($J408)=0),"收支都为空",IF(AND(N($I408)&gt;0,N($J408)&gt;0),"收支不能同时填",IF(AND($D408&lt;&gt;"",LEFT($O408,1)="⚠"),"项目编号不存在",IF(AND($M408="是",$F408=""),"工程回款必须填往来单位","√")))))))</f>
        <v/>
      </c>
      <c r="O408" s="16" t="str">
        <f aca="false">IF($D408="","",IFERROR(INDEX(对照清单!$B$5:$B$60,MATCH($D408,对照清单!$A$5:$A$60,0)),"⚠编号不存在"))</f>
        <v/>
      </c>
      <c r="P408" s="10" t="str">
        <f aca="false">IF($B408="","",IF(ISNUMBER($B408),TEXT($B408,"yyyy-mm"),"日期非法"))</f>
        <v/>
      </c>
      <c r="Q408" s="10" t="str">
        <f aca="false">IF($B408="","",IF(ISNUMBER($B408),YEAR($B408),"日期非法"))</f>
        <v/>
      </c>
    </row>
    <row r="409" customFormat="false" ht="15.75" hidden="false" customHeight="true" outlineLevel="0" collapsed="false">
      <c r="A409" s="10" t="str">
        <f aca="false">IF($B409="","",ROW()-4)</f>
        <v/>
      </c>
      <c r="B409" s="11"/>
      <c r="C409" s="12"/>
      <c r="D409" s="12"/>
      <c r="E409" s="12"/>
      <c r="F409" s="12"/>
      <c r="G409" s="12"/>
      <c r="H409" s="13"/>
      <c r="I409" s="4"/>
      <c r="J409" s="4"/>
      <c r="K409" s="14" t="str">
        <f aca="false">IF($B409="","",IF($C409="泓普",$C$2,IF($C409="仟茂",$E$2,IF($C409="现金",$G$2,0)))+SUMIFS($I$5:$I409,$C$5:$C409,$C409)-SUMIFS($J$5:$J409,$C$5:$C409,$C409))</f>
        <v/>
      </c>
      <c r="L409" s="14" t="str">
        <f aca="false">IF($B409="","",$C$2+$E$2+$G$2+SUM($I$5:$I409)-SUM($J$5:$J409))</f>
        <v/>
      </c>
      <c r="M409" s="12"/>
      <c r="N409" s="15" t="str">
        <f aca="false">IF($B409="","",IF(NOT(ISNUMBER($B409)),"日期格式不对",IF($C409="","未选资金账户",IF(AND(N($I409)=0,N($J409)=0),"收支都为空",IF(AND(N($I409)&gt;0,N($J409)&gt;0),"收支不能同时填",IF(AND($D409&lt;&gt;"",LEFT($O409,1)="⚠"),"项目编号不存在",IF(AND($M409="是",$F409=""),"工程回款必须填往来单位","√")))))))</f>
        <v/>
      </c>
      <c r="O409" s="16" t="str">
        <f aca="false">IF($D409="","",IFERROR(INDEX(对照清单!$B$5:$B$60,MATCH($D409,对照清单!$A$5:$A$60,0)),"⚠编号不存在"))</f>
        <v/>
      </c>
      <c r="P409" s="10" t="str">
        <f aca="false">IF($B409="","",IF(ISNUMBER($B409),TEXT($B409,"yyyy-mm"),"日期非法"))</f>
        <v/>
      </c>
      <c r="Q409" s="10" t="str">
        <f aca="false">IF($B409="","",IF(ISNUMBER($B409),YEAR($B409),"日期非法"))</f>
        <v/>
      </c>
    </row>
    <row r="410" customFormat="false" ht="15.75" hidden="false" customHeight="true" outlineLevel="0" collapsed="false">
      <c r="A410" s="10" t="str">
        <f aca="false">IF($B410="","",ROW()-4)</f>
        <v/>
      </c>
      <c r="B410" s="11"/>
      <c r="C410" s="12"/>
      <c r="D410" s="12"/>
      <c r="E410" s="12"/>
      <c r="F410" s="12"/>
      <c r="G410" s="12"/>
      <c r="H410" s="13"/>
      <c r="I410" s="4"/>
      <c r="J410" s="4"/>
      <c r="K410" s="14" t="str">
        <f aca="false">IF($B410="","",IF($C410="泓普",$C$2,IF($C410="仟茂",$E$2,IF($C410="现金",$G$2,0)))+SUMIFS($I$5:$I410,$C$5:$C410,$C410)-SUMIFS($J$5:$J410,$C$5:$C410,$C410))</f>
        <v/>
      </c>
      <c r="L410" s="14" t="str">
        <f aca="false">IF($B410="","",$C$2+$E$2+$G$2+SUM($I$5:$I410)-SUM($J$5:$J410))</f>
        <v/>
      </c>
      <c r="M410" s="12"/>
      <c r="N410" s="15" t="str">
        <f aca="false">IF($B410="","",IF(NOT(ISNUMBER($B410)),"日期格式不对",IF($C410="","未选资金账户",IF(AND(N($I410)=0,N($J410)=0),"收支都为空",IF(AND(N($I410)&gt;0,N($J410)&gt;0),"收支不能同时填",IF(AND($D410&lt;&gt;"",LEFT($O410,1)="⚠"),"项目编号不存在",IF(AND($M410="是",$F410=""),"工程回款必须填往来单位","√")))))))</f>
        <v/>
      </c>
      <c r="O410" s="16" t="str">
        <f aca="false">IF($D410="","",IFERROR(INDEX(对照清单!$B$5:$B$60,MATCH($D410,对照清单!$A$5:$A$60,0)),"⚠编号不存在"))</f>
        <v/>
      </c>
      <c r="P410" s="10" t="str">
        <f aca="false">IF($B410="","",IF(ISNUMBER($B410),TEXT($B410,"yyyy-mm"),"日期非法"))</f>
        <v/>
      </c>
      <c r="Q410" s="10" t="str">
        <f aca="false">IF($B410="","",IF(ISNUMBER($B410),YEAR($B410),"日期非法"))</f>
        <v/>
      </c>
    </row>
    <row r="411" customFormat="false" ht="15.75" hidden="false" customHeight="true" outlineLevel="0" collapsed="false">
      <c r="A411" s="10" t="str">
        <f aca="false">IF($B411="","",ROW()-4)</f>
        <v/>
      </c>
      <c r="B411" s="11"/>
      <c r="C411" s="12"/>
      <c r="D411" s="12"/>
      <c r="E411" s="12"/>
      <c r="F411" s="12"/>
      <c r="G411" s="12"/>
      <c r="H411" s="13"/>
      <c r="I411" s="4"/>
      <c r="J411" s="4"/>
      <c r="K411" s="14" t="str">
        <f aca="false">IF($B411="","",IF($C411="泓普",$C$2,IF($C411="仟茂",$E$2,IF($C411="现金",$G$2,0)))+SUMIFS($I$5:$I411,$C$5:$C411,$C411)-SUMIFS($J$5:$J411,$C$5:$C411,$C411))</f>
        <v/>
      </c>
      <c r="L411" s="14" t="str">
        <f aca="false">IF($B411="","",$C$2+$E$2+$G$2+SUM($I$5:$I411)-SUM($J$5:$J411))</f>
        <v/>
      </c>
      <c r="M411" s="12"/>
      <c r="N411" s="15" t="str">
        <f aca="false">IF($B411="","",IF(NOT(ISNUMBER($B411)),"日期格式不对",IF($C411="","未选资金账户",IF(AND(N($I411)=0,N($J411)=0),"收支都为空",IF(AND(N($I411)&gt;0,N($J411)&gt;0),"收支不能同时填",IF(AND($D411&lt;&gt;"",LEFT($O411,1)="⚠"),"项目编号不存在",IF(AND($M411="是",$F411=""),"工程回款必须填往来单位","√")))))))</f>
        <v/>
      </c>
      <c r="O411" s="16" t="str">
        <f aca="false">IF($D411="","",IFERROR(INDEX(对照清单!$B$5:$B$60,MATCH($D411,对照清单!$A$5:$A$60,0)),"⚠编号不存在"))</f>
        <v/>
      </c>
      <c r="P411" s="10" t="str">
        <f aca="false">IF($B411="","",IF(ISNUMBER($B411),TEXT($B411,"yyyy-mm"),"日期非法"))</f>
        <v/>
      </c>
      <c r="Q411" s="10" t="str">
        <f aca="false">IF($B411="","",IF(ISNUMBER($B411),YEAR($B411),"日期非法"))</f>
        <v/>
      </c>
    </row>
    <row r="412" customFormat="false" ht="15.75" hidden="false" customHeight="true" outlineLevel="0" collapsed="false">
      <c r="A412" s="10" t="str">
        <f aca="false">IF($B412="","",ROW()-4)</f>
        <v/>
      </c>
      <c r="B412" s="11"/>
      <c r="C412" s="12"/>
      <c r="D412" s="12"/>
      <c r="E412" s="12"/>
      <c r="F412" s="12"/>
      <c r="G412" s="12"/>
      <c r="H412" s="13"/>
      <c r="I412" s="4"/>
      <c r="J412" s="4"/>
      <c r="K412" s="14" t="str">
        <f aca="false">IF($B412="","",IF($C412="泓普",$C$2,IF($C412="仟茂",$E$2,IF($C412="现金",$G$2,0)))+SUMIFS($I$5:$I412,$C$5:$C412,$C412)-SUMIFS($J$5:$J412,$C$5:$C412,$C412))</f>
        <v/>
      </c>
      <c r="L412" s="14" t="str">
        <f aca="false">IF($B412="","",$C$2+$E$2+$G$2+SUM($I$5:$I412)-SUM($J$5:$J412))</f>
        <v/>
      </c>
      <c r="M412" s="12"/>
      <c r="N412" s="15" t="str">
        <f aca="false">IF($B412="","",IF(NOT(ISNUMBER($B412)),"日期格式不对",IF($C412="","未选资金账户",IF(AND(N($I412)=0,N($J412)=0),"收支都为空",IF(AND(N($I412)&gt;0,N($J412)&gt;0),"收支不能同时填",IF(AND($D412&lt;&gt;"",LEFT($O412,1)="⚠"),"项目编号不存在",IF(AND($M412="是",$F412=""),"工程回款必须填往来单位","√")))))))</f>
        <v/>
      </c>
      <c r="O412" s="16" t="str">
        <f aca="false">IF($D412="","",IFERROR(INDEX(对照清单!$B$5:$B$60,MATCH($D412,对照清单!$A$5:$A$60,0)),"⚠编号不存在"))</f>
        <v/>
      </c>
      <c r="P412" s="10" t="str">
        <f aca="false">IF($B412="","",IF(ISNUMBER($B412),TEXT($B412,"yyyy-mm"),"日期非法"))</f>
        <v/>
      </c>
      <c r="Q412" s="10" t="str">
        <f aca="false">IF($B412="","",IF(ISNUMBER($B412),YEAR($B412),"日期非法"))</f>
        <v/>
      </c>
    </row>
    <row r="413" customFormat="false" ht="15.75" hidden="false" customHeight="true" outlineLevel="0" collapsed="false">
      <c r="A413" s="10" t="str">
        <f aca="false">IF($B413="","",ROW()-4)</f>
        <v/>
      </c>
      <c r="B413" s="11"/>
      <c r="C413" s="12"/>
      <c r="D413" s="12"/>
      <c r="E413" s="12"/>
      <c r="F413" s="12"/>
      <c r="G413" s="12"/>
      <c r="H413" s="13"/>
      <c r="I413" s="4"/>
      <c r="J413" s="4"/>
      <c r="K413" s="14" t="str">
        <f aca="false">IF($B413="","",IF($C413="泓普",$C$2,IF($C413="仟茂",$E$2,IF($C413="现金",$G$2,0)))+SUMIFS($I$5:$I413,$C$5:$C413,$C413)-SUMIFS($J$5:$J413,$C$5:$C413,$C413))</f>
        <v/>
      </c>
      <c r="L413" s="14" t="str">
        <f aca="false">IF($B413="","",$C$2+$E$2+$G$2+SUM($I$5:$I413)-SUM($J$5:$J413))</f>
        <v/>
      </c>
      <c r="M413" s="12"/>
      <c r="N413" s="15" t="str">
        <f aca="false">IF($B413="","",IF(NOT(ISNUMBER($B413)),"日期格式不对",IF($C413="","未选资金账户",IF(AND(N($I413)=0,N($J413)=0),"收支都为空",IF(AND(N($I413)&gt;0,N($J413)&gt;0),"收支不能同时填",IF(AND($D413&lt;&gt;"",LEFT($O413,1)="⚠"),"项目编号不存在",IF(AND($M413="是",$F413=""),"工程回款必须填往来单位","√")))))))</f>
        <v/>
      </c>
      <c r="O413" s="16" t="str">
        <f aca="false">IF($D413="","",IFERROR(INDEX(对照清单!$B$5:$B$60,MATCH($D413,对照清单!$A$5:$A$60,0)),"⚠编号不存在"))</f>
        <v/>
      </c>
      <c r="P413" s="10" t="str">
        <f aca="false">IF($B413="","",IF(ISNUMBER($B413),TEXT($B413,"yyyy-mm"),"日期非法"))</f>
        <v/>
      </c>
      <c r="Q413" s="10" t="str">
        <f aca="false">IF($B413="","",IF(ISNUMBER($B413),YEAR($B413),"日期非法"))</f>
        <v/>
      </c>
    </row>
    <row r="414" customFormat="false" ht="15.75" hidden="false" customHeight="true" outlineLevel="0" collapsed="false">
      <c r="A414" s="10" t="str">
        <f aca="false">IF($B414="","",ROW()-4)</f>
        <v/>
      </c>
      <c r="B414" s="11"/>
      <c r="C414" s="12"/>
      <c r="D414" s="12"/>
      <c r="E414" s="12"/>
      <c r="F414" s="12"/>
      <c r="G414" s="12"/>
      <c r="H414" s="13"/>
      <c r="I414" s="4"/>
      <c r="J414" s="4"/>
      <c r="K414" s="14" t="str">
        <f aca="false">IF($B414="","",IF($C414="泓普",$C$2,IF($C414="仟茂",$E$2,IF($C414="现金",$G$2,0)))+SUMIFS($I$5:$I414,$C$5:$C414,$C414)-SUMIFS($J$5:$J414,$C$5:$C414,$C414))</f>
        <v/>
      </c>
      <c r="L414" s="14" t="str">
        <f aca="false">IF($B414="","",$C$2+$E$2+$G$2+SUM($I$5:$I414)-SUM($J$5:$J414))</f>
        <v/>
      </c>
      <c r="M414" s="12"/>
      <c r="N414" s="15" t="str">
        <f aca="false">IF($B414="","",IF(NOT(ISNUMBER($B414)),"日期格式不对",IF($C414="","未选资金账户",IF(AND(N($I414)=0,N($J414)=0),"收支都为空",IF(AND(N($I414)&gt;0,N($J414)&gt;0),"收支不能同时填",IF(AND($D414&lt;&gt;"",LEFT($O414,1)="⚠"),"项目编号不存在",IF(AND($M414="是",$F414=""),"工程回款必须填往来单位","√")))))))</f>
        <v/>
      </c>
      <c r="O414" s="16" t="str">
        <f aca="false">IF($D414="","",IFERROR(INDEX(对照清单!$B$5:$B$60,MATCH($D414,对照清单!$A$5:$A$60,0)),"⚠编号不存在"))</f>
        <v/>
      </c>
      <c r="P414" s="10" t="str">
        <f aca="false">IF($B414="","",IF(ISNUMBER($B414),TEXT($B414,"yyyy-mm"),"日期非法"))</f>
        <v/>
      </c>
      <c r="Q414" s="10" t="str">
        <f aca="false">IF($B414="","",IF(ISNUMBER($B414),YEAR($B414),"日期非法"))</f>
        <v/>
      </c>
    </row>
    <row r="415" customFormat="false" ht="15.75" hidden="false" customHeight="true" outlineLevel="0" collapsed="false">
      <c r="A415" s="10" t="str">
        <f aca="false">IF($B415="","",ROW()-4)</f>
        <v/>
      </c>
      <c r="B415" s="11"/>
      <c r="C415" s="12"/>
      <c r="D415" s="12"/>
      <c r="E415" s="12"/>
      <c r="F415" s="12"/>
      <c r="G415" s="12"/>
      <c r="H415" s="13"/>
      <c r="I415" s="4"/>
      <c r="J415" s="4"/>
      <c r="K415" s="14" t="str">
        <f aca="false">IF($B415="","",IF($C415="泓普",$C$2,IF($C415="仟茂",$E$2,IF($C415="现金",$G$2,0)))+SUMIFS($I$5:$I415,$C$5:$C415,$C415)-SUMIFS($J$5:$J415,$C$5:$C415,$C415))</f>
        <v/>
      </c>
      <c r="L415" s="14" t="str">
        <f aca="false">IF($B415="","",$C$2+$E$2+$G$2+SUM($I$5:$I415)-SUM($J$5:$J415))</f>
        <v/>
      </c>
      <c r="M415" s="12"/>
      <c r="N415" s="15" t="str">
        <f aca="false">IF($B415="","",IF(NOT(ISNUMBER($B415)),"日期格式不对",IF($C415="","未选资金账户",IF(AND(N($I415)=0,N($J415)=0),"收支都为空",IF(AND(N($I415)&gt;0,N($J415)&gt;0),"收支不能同时填",IF(AND($D415&lt;&gt;"",LEFT($O415,1)="⚠"),"项目编号不存在",IF(AND($M415="是",$F415=""),"工程回款必须填往来单位","√")))))))</f>
        <v/>
      </c>
      <c r="O415" s="16" t="str">
        <f aca="false">IF($D415="","",IFERROR(INDEX(对照清单!$B$5:$B$60,MATCH($D415,对照清单!$A$5:$A$60,0)),"⚠编号不存在"))</f>
        <v/>
      </c>
      <c r="P415" s="10" t="str">
        <f aca="false">IF($B415="","",IF(ISNUMBER($B415),TEXT($B415,"yyyy-mm"),"日期非法"))</f>
        <v/>
      </c>
      <c r="Q415" s="10" t="str">
        <f aca="false">IF($B415="","",IF(ISNUMBER($B415),YEAR($B415),"日期非法"))</f>
        <v/>
      </c>
    </row>
    <row r="416" customFormat="false" ht="15.75" hidden="false" customHeight="true" outlineLevel="0" collapsed="false">
      <c r="A416" s="10" t="str">
        <f aca="false">IF($B416="","",ROW()-4)</f>
        <v/>
      </c>
      <c r="B416" s="11"/>
      <c r="C416" s="12"/>
      <c r="D416" s="12"/>
      <c r="E416" s="12"/>
      <c r="F416" s="12"/>
      <c r="G416" s="12"/>
      <c r="H416" s="13"/>
      <c r="I416" s="4"/>
      <c r="J416" s="4"/>
      <c r="K416" s="14" t="str">
        <f aca="false">IF($B416="","",IF($C416="泓普",$C$2,IF($C416="仟茂",$E$2,IF($C416="现金",$G$2,0)))+SUMIFS($I$5:$I416,$C$5:$C416,$C416)-SUMIFS($J$5:$J416,$C$5:$C416,$C416))</f>
        <v/>
      </c>
      <c r="L416" s="14" t="str">
        <f aca="false">IF($B416="","",$C$2+$E$2+$G$2+SUM($I$5:$I416)-SUM($J$5:$J416))</f>
        <v/>
      </c>
      <c r="M416" s="12"/>
      <c r="N416" s="15" t="str">
        <f aca="false">IF($B416="","",IF(NOT(ISNUMBER($B416)),"日期格式不对",IF($C416="","未选资金账户",IF(AND(N($I416)=0,N($J416)=0),"收支都为空",IF(AND(N($I416)&gt;0,N($J416)&gt;0),"收支不能同时填",IF(AND($D416&lt;&gt;"",LEFT($O416,1)="⚠"),"项目编号不存在",IF(AND($M416="是",$F416=""),"工程回款必须填往来单位","√")))))))</f>
        <v/>
      </c>
      <c r="O416" s="16" t="str">
        <f aca="false">IF($D416="","",IFERROR(INDEX(对照清单!$B$5:$B$60,MATCH($D416,对照清单!$A$5:$A$60,0)),"⚠编号不存在"))</f>
        <v/>
      </c>
      <c r="P416" s="10" t="str">
        <f aca="false">IF($B416="","",IF(ISNUMBER($B416),TEXT($B416,"yyyy-mm"),"日期非法"))</f>
        <v/>
      </c>
      <c r="Q416" s="10" t="str">
        <f aca="false">IF($B416="","",IF(ISNUMBER($B416),YEAR($B416),"日期非法"))</f>
        <v/>
      </c>
    </row>
    <row r="417" customFormat="false" ht="15.75" hidden="false" customHeight="true" outlineLevel="0" collapsed="false">
      <c r="A417" s="10" t="str">
        <f aca="false">IF($B417="","",ROW()-4)</f>
        <v/>
      </c>
      <c r="B417" s="11"/>
      <c r="C417" s="12"/>
      <c r="D417" s="12"/>
      <c r="E417" s="12"/>
      <c r="F417" s="12"/>
      <c r="G417" s="12"/>
      <c r="H417" s="13"/>
      <c r="I417" s="4"/>
      <c r="J417" s="4"/>
      <c r="K417" s="14" t="str">
        <f aca="false">IF($B417="","",IF($C417="泓普",$C$2,IF($C417="仟茂",$E$2,IF($C417="现金",$G$2,0)))+SUMIFS($I$5:$I417,$C$5:$C417,$C417)-SUMIFS($J$5:$J417,$C$5:$C417,$C417))</f>
        <v/>
      </c>
      <c r="L417" s="14" t="str">
        <f aca="false">IF($B417="","",$C$2+$E$2+$G$2+SUM($I$5:$I417)-SUM($J$5:$J417))</f>
        <v/>
      </c>
      <c r="M417" s="12"/>
      <c r="N417" s="15" t="str">
        <f aca="false">IF($B417="","",IF(NOT(ISNUMBER($B417)),"日期格式不对",IF($C417="","未选资金账户",IF(AND(N($I417)=0,N($J417)=0),"收支都为空",IF(AND(N($I417)&gt;0,N($J417)&gt;0),"收支不能同时填",IF(AND($D417&lt;&gt;"",LEFT($O417,1)="⚠"),"项目编号不存在",IF(AND($M417="是",$F417=""),"工程回款必须填往来单位","√")))))))</f>
        <v/>
      </c>
      <c r="O417" s="16" t="str">
        <f aca="false">IF($D417="","",IFERROR(INDEX(对照清单!$B$5:$B$60,MATCH($D417,对照清单!$A$5:$A$60,0)),"⚠编号不存在"))</f>
        <v/>
      </c>
      <c r="P417" s="10" t="str">
        <f aca="false">IF($B417="","",IF(ISNUMBER($B417),TEXT($B417,"yyyy-mm"),"日期非法"))</f>
        <v/>
      </c>
      <c r="Q417" s="10" t="str">
        <f aca="false">IF($B417="","",IF(ISNUMBER($B417),YEAR($B417),"日期非法"))</f>
        <v/>
      </c>
    </row>
    <row r="418" customFormat="false" ht="15.75" hidden="false" customHeight="true" outlineLevel="0" collapsed="false">
      <c r="A418" s="10" t="str">
        <f aca="false">IF($B418="","",ROW()-4)</f>
        <v/>
      </c>
      <c r="B418" s="11"/>
      <c r="C418" s="12"/>
      <c r="D418" s="12"/>
      <c r="E418" s="12"/>
      <c r="F418" s="12"/>
      <c r="G418" s="12"/>
      <c r="H418" s="13"/>
      <c r="I418" s="4"/>
      <c r="J418" s="4"/>
      <c r="K418" s="14" t="str">
        <f aca="false">IF($B418="","",IF($C418="泓普",$C$2,IF($C418="仟茂",$E$2,IF($C418="现金",$G$2,0)))+SUMIFS($I$5:$I418,$C$5:$C418,$C418)-SUMIFS($J$5:$J418,$C$5:$C418,$C418))</f>
        <v/>
      </c>
      <c r="L418" s="14" t="str">
        <f aca="false">IF($B418="","",$C$2+$E$2+$G$2+SUM($I$5:$I418)-SUM($J$5:$J418))</f>
        <v/>
      </c>
      <c r="M418" s="12"/>
      <c r="N418" s="15" t="str">
        <f aca="false">IF($B418="","",IF(NOT(ISNUMBER($B418)),"日期格式不对",IF($C418="","未选资金账户",IF(AND(N($I418)=0,N($J418)=0),"收支都为空",IF(AND(N($I418)&gt;0,N($J418)&gt;0),"收支不能同时填",IF(AND($D418&lt;&gt;"",LEFT($O418,1)="⚠"),"项目编号不存在",IF(AND($M418="是",$F418=""),"工程回款必须填往来单位","√")))))))</f>
        <v/>
      </c>
      <c r="O418" s="16" t="str">
        <f aca="false">IF($D418="","",IFERROR(INDEX(对照清单!$B$5:$B$60,MATCH($D418,对照清单!$A$5:$A$60,0)),"⚠编号不存在"))</f>
        <v/>
      </c>
      <c r="P418" s="10" t="str">
        <f aca="false">IF($B418="","",IF(ISNUMBER($B418),TEXT($B418,"yyyy-mm"),"日期非法"))</f>
        <v/>
      </c>
      <c r="Q418" s="10" t="str">
        <f aca="false">IF($B418="","",IF(ISNUMBER($B418),YEAR($B418),"日期非法"))</f>
        <v/>
      </c>
    </row>
    <row r="419" customFormat="false" ht="15.75" hidden="false" customHeight="true" outlineLevel="0" collapsed="false">
      <c r="A419" s="10" t="str">
        <f aca="false">IF($B419="","",ROW()-4)</f>
        <v/>
      </c>
      <c r="B419" s="11"/>
      <c r="C419" s="12"/>
      <c r="D419" s="12"/>
      <c r="E419" s="12"/>
      <c r="F419" s="12"/>
      <c r="G419" s="12"/>
      <c r="H419" s="13"/>
      <c r="I419" s="4"/>
      <c r="J419" s="4"/>
      <c r="K419" s="14" t="str">
        <f aca="false">IF($B419="","",IF($C419="泓普",$C$2,IF($C419="仟茂",$E$2,IF($C419="现金",$G$2,0)))+SUMIFS($I$5:$I419,$C$5:$C419,$C419)-SUMIFS($J$5:$J419,$C$5:$C419,$C419))</f>
        <v/>
      </c>
      <c r="L419" s="14" t="str">
        <f aca="false">IF($B419="","",$C$2+$E$2+$G$2+SUM($I$5:$I419)-SUM($J$5:$J419))</f>
        <v/>
      </c>
      <c r="M419" s="12"/>
      <c r="N419" s="15" t="str">
        <f aca="false">IF($B419="","",IF(NOT(ISNUMBER($B419)),"日期格式不对",IF($C419="","未选资金账户",IF(AND(N($I419)=0,N($J419)=0),"收支都为空",IF(AND(N($I419)&gt;0,N($J419)&gt;0),"收支不能同时填",IF(AND($D419&lt;&gt;"",LEFT($O419,1)="⚠"),"项目编号不存在",IF(AND($M419="是",$F419=""),"工程回款必须填往来单位","√")))))))</f>
        <v/>
      </c>
      <c r="O419" s="16" t="str">
        <f aca="false">IF($D419="","",IFERROR(INDEX(对照清单!$B$5:$B$60,MATCH($D419,对照清单!$A$5:$A$60,0)),"⚠编号不存在"))</f>
        <v/>
      </c>
      <c r="P419" s="10" t="str">
        <f aca="false">IF($B419="","",IF(ISNUMBER($B419),TEXT($B419,"yyyy-mm"),"日期非法"))</f>
        <v/>
      </c>
      <c r="Q419" s="10" t="str">
        <f aca="false">IF($B419="","",IF(ISNUMBER($B419),YEAR($B419),"日期非法"))</f>
        <v/>
      </c>
    </row>
    <row r="420" customFormat="false" ht="15.75" hidden="false" customHeight="true" outlineLevel="0" collapsed="false">
      <c r="A420" s="10" t="str">
        <f aca="false">IF($B420="","",ROW()-4)</f>
        <v/>
      </c>
      <c r="B420" s="11"/>
      <c r="C420" s="12"/>
      <c r="D420" s="12"/>
      <c r="E420" s="12"/>
      <c r="F420" s="12"/>
      <c r="G420" s="12"/>
      <c r="H420" s="13"/>
      <c r="I420" s="4"/>
      <c r="J420" s="4"/>
      <c r="K420" s="14" t="str">
        <f aca="false">IF($B420="","",IF($C420="泓普",$C$2,IF($C420="仟茂",$E$2,IF($C420="现金",$G$2,0)))+SUMIFS($I$5:$I420,$C$5:$C420,$C420)-SUMIFS($J$5:$J420,$C$5:$C420,$C420))</f>
        <v/>
      </c>
      <c r="L420" s="14" t="str">
        <f aca="false">IF($B420="","",$C$2+$E$2+$G$2+SUM($I$5:$I420)-SUM($J$5:$J420))</f>
        <v/>
      </c>
      <c r="M420" s="12"/>
      <c r="N420" s="15" t="str">
        <f aca="false">IF($B420="","",IF(NOT(ISNUMBER($B420)),"日期格式不对",IF($C420="","未选资金账户",IF(AND(N($I420)=0,N($J420)=0),"收支都为空",IF(AND(N($I420)&gt;0,N($J420)&gt;0),"收支不能同时填",IF(AND($D420&lt;&gt;"",LEFT($O420,1)="⚠"),"项目编号不存在",IF(AND($M420="是",$F420=""),"工程回款必须填往来单位","√")))))))</f>
        <v/>
      </c>
      <c r="O420" s="16" t="str">
        <f aca="false">IF($D420="","",IFERROR(INDEX(对照清单!$B$5:$B$60,MATCH($D420,对照清单!$A$5:$A$60,0)),"⚠编号不存在"))</f>
        <v/>
      </c>
      <c r="P420" s="10" t="str">
        <f aca="false">IF($B420="","",IF(ISNUMBER($B420),TEXT($B420,"yyyy-mm"),"日期非法"))</f>
        <v/>
      </c>
      <c r="Q420" s="10" t="str">
        <f aca="false">IF($B420="","",IF(ISNUMBER($B420),YEAR($B420),"日期非法"))</f>
        <v/>
      </c>
    </row>
    <row r="421" customFormat="false" ht="15.75" hidden="false" customHeight="true" outlineLevel="0" collapsed="false">
      <c r="A421" s="10" t="str">
        <f aca="false">IF($B421="","",ROW()-4)</f>
        <v/>
      </c>
      <c r="B421" s="11"/>
      <c r="C421" s="12"/>
      <c r="D421" s="12"/>
      <c r="E421" s="12"/>
      <c r="F421" s="12"/>
      <c r="G421" s="12"/>
      <c r="H421" s="13"/>
      <c r="I421" s="4"/>
      <c r="J421" s="4"/>
      <c r="K421" s="14" t="str">
        <f aca="false">IF($B421="","",IF($C421="泓普",$C$2,IF($C421="仟茂",$E$2,IF($C421="现金",$G$2,0)))+SUMIFS($I$5:$I421,$C$5:$C421,$C421)-SUMIFS($J$5:$J421,$C$5:$C421,$C421))</f>
        <v/>
      </c>
      <c r="L421" s="14" t="str">
        <f aca="false">IF($B421="","",$C$2+$E$2+$G$2+SUM($I$5:$I421)-SUM($J$5:$J421))</f>
        <v/>
      </c>
      <c r="M421" s="12"/>
      <c r="N421" s="15" t="str">
        <f aca="false">IF($B421="","",IF(NOT(ISNUMBER($B421)),"日期格式不对",IF($C421="","未选资金账户",IF(AND(N($I421)=0,N($J421)=0),"收支都为空",IF(AND(N($I421)&gt;0,N($J421)&gt;0),"收支不能同时填",IF(AND($D421&lt;&gt;"",LEFT($O421,1)="⚠"),"项目编号不存在",IF(AND($M421="是",$F421=""),"工程回款必须填往来单位","√")))))))</f>
        <v/>
      </c>
      <c r="O421" s="16" t="str">
        <f aca="false">IF($D421="","",IFERROR(INDEX(对照清单!$B$5:$B$60,MATCH($D421,对照清单!$A$5:$A$60,0)),"⚠编号不存在"))</f>
        <v/>
      </c>
      <c r="P421" s="10" t="str">
        <f aca="false">IF($B421="","",IF(ISNUMBER($B421),TEXT($B421,"yyyy-mm"),"日期非法"))</f>
        <v/>
      </c>
      <c r="Q421" s="10" t="str">
        <f aca="false">IF($B421="","",IF(ISNUMBER($B421),YEAR($B421),"日期非法"))</f>
        <v/>
      </c>
    </row>
    <row r="422" customFormat="false" ht="15.75" hidden="false" customHeight="true" outlineLevel="0" collapsed="false">
      <c r="A422" s="10" t="str">
        <f aca="false">IF($B422="","",ROW()-4)</f>
        <v/>
      </c>
      <c r="B422" s="11"/>
      <c r="C422" s="12"/>
      <c r="D422" s="12"/>
      <c r="E422" s="12"/>
      <c r="F422" s="12"/>
      <c r="G422" s="12"/>
      <c r="H422" s="13"/>
      <c r="I422" s="4"/>
      <c r="J422" s="4"/>
      <c r="K422" s="14" t="str">
        <f aca="false">IF($B422="","",IF($C422="泓普",$C$2,IF($C422="仟茂",$E$2,IF($C422="现金",$G$2,0)))+SUMIFS($I$5:$I422,$C$5:$C422,$C422)-SUMIFS($J$5:$J422,$C$5:$C422,$C422))</f>
        <v/>
      </c>
      <c r="L422" s="14" t="str">
        <f aca="false">IF($B422="","",$C$2+$E$2+$G$2+SUM($I$5:$I422)-SUM($J$5:$J422))</f>
        <v/>
      </c>
      <c r="M422" s="12"/>
      <c r="N422" s="15" t="str">
        <f aca="false">IF($B422="","",IF(NOT(ISNUMBER($B422)),"日期格式不对",IF($C422="","未选资金账户",IF(AND(N($I422)=0,N($J422)=0),"收支都为空",IF(AND(N($I422)&gt;0,N($J422)&gt;0),"收支不能同时填",IF(AND($D422&lt;&gt;"",LEFT($O422,1)="⚠"),"项目编号不存在",IF(AND($M422="是",$F422=""),"工程回款必须填往来单位","√")))))))</f>
        <v/>
      </c>
      <c r="O422" s="16" t="str">
        <f aca="false">IF($D422="","",IFERROR(INDEX(对照清单!$B$5:$B$60,MATCH($D422,对照清单!$A$5:$A$60,0)),"⚠编号不存在"))</f>
        <v/>
      </c>
      <c r="P422" s="10" t="str">
        <f aca="false">IF($B422="","",IF(ISNUMBER($B422),TEXT($B422,"yyyy-mm"),"日期非法"))</f>
        <v/>
      </c>
      <c r="Q422" s="10" t="str">
        <f aca="false">IF($B422="","",IF(ISNUMBER($B422),YEAR($B422),"日期非法"))</f>
        <v/>
      </c>
    </row>
    <row r="423" customFormat="false" ht="15.75" hidden="false" customHeight="true" outlineLevel="0" collapsed="false">
      <c r="A423" s="10" t="str">
        <f aca="false">IF($B423="","",ROW()-4)</f>
        <v/>
      </c>
      <c r="B423" s="11"/>
      <c r="C423" s="12"/>
      <c r="D423" s="12"/>
      <c r="E423" s="12"/>
      <c r="F423" s="12"/>
      <c r="G423" s="12"/>
      <c r="H423" s="13"/>
      <c r="I423" s="4"/>
      <c r="J423" s="4"/>
      <c r="K423" s="14" t="str">
        <f aca="false">IF($B423="","",IF($C423="泓普",$C$2,IF($C423="仟茂",$E$2,IF($C423="现金",$G$2,0)))+SUMIFS($I$5:$I423,$C$5:$C423,$C423)-SUMIFS($J$5:$J423,$C$5:$C423,$C423))</f>
        <v/>
      </c>
      <c r="L423" s="14" t="str">
        <f aca="false">IF($B423="","",$C$2+$E$2+$G$2+SUM($I$5:$I423)-SUM($J$5:$J423))</f>
        <v/>
      </c>
      <c r="M423" s="12"/>
      <c r="N423" s="15" t="str">
        <f aca="false">IF($B423="","",IF(NOT(ISNUMBER($B423)),"日期格式不对",IF($C423="","未选资金账户",IF(AND(N($I423)=0,N($J423)=0),"收支都为空",IF(AND(N($I423)&gt;0,N($J423)&gt;0),"收支不能同时填",IF(AND($D423&lt;&gt;"",LEFT($O423,1)="⚠"),"项目编号不存在",IF(AND($M423="是",$F423=""),"工程回款必须填往来单位","√")))))))</f>
        <v/>
      </c>
      <c r="O423" s="16" t="str">
        <f aca="false">IF($D423="","",IFERROR(INDEX(对照清单!$B$5:$B$60,MATCH($D423,对照清单!$A$5:$A$60,0)),"⚠编号不存在"))</f>
        <v/>
      </c>
      <c r="P423" s="10" t="str">
        <f aca="false">IF($B423="","",IF(ISNUMBER($B423),TEXT($B423,"yyyy-mm"),"日期非法"))</f>
        <v/>
      </c>
      <c r="Q423" s="10" t="str">
        <f aca="false">IF($B423="","",IF(ISNUMBER($B423),YEAR($B423),"日期非法"))</f>
        <v/>
      </c>
    </row>
    <row r="424" customFormat="false" ht="15.75" hidden="false" customHeight="true" outlineLevel="0" collapsed="false">
      <c r="A424" s="10" t="str">
        <f aca="false">IF($B424="","",ROW()-4)</f>
        <v/>
      </c>
      <c r="B424" s="11"/>
      <c r="C424" s="12"/>
      <c r="D424" s="12"/>
      <c r="E424" s="12"/>
      <c r="F424" s="12"/>
      <c r="G424" s="12"/>
      <c r="H424" s="13"/>
      <c r="I424" s="4"/>
      <c r="J424" s="4"/>
      <c r="K424" s="14" t="str">
        <f aca="false">IF($B424="","",IF($C424="泓普",$C$2,IF($C424="仟茂",$E$2,IF($C424="现金",$G$2,0)))+SUMIFS($I$5:$I424,$C$5:$C424,$C424)-SUMIFS($J$5:$J424,$C$5:$C424,$C424))</f>
        <v/>
      </c>
      <c r="L424" s="14" t="str">
        <f aca="false">IF($B424="","",$C$2+$E$2+$G$2+SUM($I$5:$I424)-SUM($J$5:$J424))</f>
        <v/>
      </c>
      <c r="M424" s="12"/>
      <c r="N424" s="15" t="str">
        <f aca="false">IF($B424="","",IF(NOT(ISNUMBER($B424)),"日期格式不对",IF($C424="","未选资金账户",IF(AND(N($I424)=0,N($J424)=0),"收支都为空",IF(AND(N($I424)&gt;0,N($J424)&gt;0),"收支不能同时填",IF(AND($D424&lt;&gt;"",LEFT($O424,1)="⚠"),"项目编号不存在",IF(AND($M424="是",$F424=""),"工程回款必须填往来单位","√")))))))</f>
        <v/>
      </c>
      <c r="O424" s="16" t="str">
        <f aca="false">IF($D424="","",IFERROR(INDEX(对照清单!$B$5:$B$60,MATCH($D424,对照清单!$A$5:$A$60,0)),"⚠编号不存在"))</f>
        <v/>
      </c>
      <c r="P424" s="10" t="str">
        <f aca="false">IF($B424="","",IF(ISNUMBER($B424),TEXT($B424,"yyyy-mm"),"日期非法"))</f>
        <v/>
      </c>
      <c r="Q424" s="10" t="str">
        <f aca="false">IF($B424="","",IF(ISNUMBER($B424),YEAR($B424),"日期非法"))</f>
        <v/>
      </c>
    </row>
    <row r="425" customFormat="false" ht="15.75" hidden="false" customHeight="true" outlineLevel="0" collapsed="false">
      <c r="A425" s="10" t="str">
        <f aca="false">IF($B425="","",ROW()-4)</f>
        <v/>
      </c>
      <c r="B425" s="11"/>
      <c r="C425" s="12"/>
      <c r="D425" s="12"/>
      <c r="E425" s="12"/>
      <c r="F425" s="12"/>
      <c r="G425" s="12"/>
      <c r="H425" s="13"/>
      <c r="I425" s="4"/>
      <c r="J425" s="4"/>
      <c r="K425" s="14" t="str">
        <f aca="false">IF($B425="","",IF($C425="泓普",$C$2,IF($C425="仟茂",$E$2,IF($C425="现金",$G$2,0)))+SUMIFS($I$5:$I425,$C$5:$C425,$C425)-SUMIFS($J$5:$J425,$C$5:$C425,$C425))</f>
        <v/>
      </c>
      <c r="L425" s="14" t="str">
        <f aca="false">IF($B425="","",$C$2+$E$2+$G$2+SUM($I$5:$I425)-SUM($J$5:$J425))</f>
        <v/>
      </c>
      <c r="M425" s="12"/>
      <c r="N425" s="15" t="str">
        <f aca="false">IF($B425="","",IF(NOT(ISNUMBER($B425)),"日期格式不对",IF($C425="","未选资金账户",IF(AND(N($I425)=0,N($J425)=0),"收支都为空",IF(AND(N($I425)&gt;0,N($J425)&gt;0),"收支不能同时填",IF(AND($D425&lt;&gt;"",LEFT($O425,1)="⚠"),"项目编号不存在",IF(AND($M425="是",$F425=""),"工程回款必须填往来单位","√")))))))</f>
        <v/>
      </c>
      <c r="O425" s="16" t="str">
        <f aca="false">IF($D425="","",IFERROR(INDEX(对照清单!$B$5:$B$60,MATCH($D425,对照清单!$A$5:$A$60,0)),"⚠编号不存在"))</f>
        <v/>
      </c>
      <c r="P425" s="10" t="str">
        <f aca="false">IF($B425="","",IF(ISNUMBER($B425),TEXT($B425,"yyyy-mm"),"日期非法"))</f>
        <v/>
      </c>
      <c r="Q425" s="10" t="str">
        <f aca="false">IF($B425="","",IF(ISNUMBER($B425),YEAR($B425),"日期非法"))</f>
        <v/>
      </c>
    </row>
    <row r="426" customFormat="false" ht="15.75" hidden="false" customHeight="true" outlineLevel="0" collapsed="false">
      <c r="A426" s="10" t="str">
        <f aca="false">IF($B426="","",ROW()-4)</f>
        <v/>
      </c>
      <c r="B426" s="11"/>
      <c r="C426" s="12"/>
      <c r="D426" s="12"/>
      <c r="E426" s="12"/>
      <c r="F426" s="12"/>
      <c r="G426" s="12"/>
      <c r="H426" s="13"/>
      <c r="I426" s="4"/>
      <c r="J426" s="4"/>
      <c r="K426" s="14" t="str">
        <f aca="false">IF($B426="","",IF($C426="泓普",$C$2,IF($C426="仟茂",$E$2,IF($C426="现金",$G$2,0)))+SUMIFS($I$5:$I426,$C$5:$C426,$C426)-SUMIFS($J$5:$J426,$C$5:$C426,$C426))</f>
        <v/>
      </c>
      <c r="L426" s="14" t="str">
        <f aca="false">IF($B426="","",$C$2+$E$2+$G$2+SUM($I$5:$I426)-SUM($J$5:$J426))</f>
        <v/>
      </c>
      <c r="M426" s="12"/>
      <c r="N426" s="15" t="str">
        <f aca="false">IF($B426="","",IF(NOT(ISNUMBER($B426)),"日期格式不对",IF($C426="","未选资金账户",IF(AND(N($I426)=0,N($J426)=0),"收支都为空",IF(AND(N($I426)&gt;0,N($J426)&gt;0),"收支不能同时填",IF(AND($D426&lt;&gt;"",LEFT($O426,1)="⚠"),"项目编号不存在",IF(AND($M426="是",$F426=""),"工程回款必须填往来单位","√")))))))</f>
        <v/>
      </c>
      <c r="O426" s="16" t="str">
        <f aca="false">IF($D426="","",IFERROR(INDEX(对照清单!$B$5:$B$60,MATCH($D426,对照清单!$A$5:$A$60,0)),"⚠编号不存在"))</f>
        <v/>
      </c>
      <c r="P426" s="10" t="str">
        <f aca="false">IF($B426="","",IF(ISNUMBER($B426),TEXT($B426,"yyyy-mm"),"日期非法"))</f>
        <v/>
      </c>
      <c r="Q426" s="10" t="str">
        <f aca="false">IF($B426="","",IF(ISNUMBER($B426),YEAR($B426),"日期非法"))</f>
        <v/>
      </c>
    </row>
    <row r="427" customFormat="false" ht="15.75" hidden="false" customHeight="true" outlineLevel="0" collapsed="false">
      <c r="A427" s="10" t="str">
        <f aca="false">IF($B427="","",ROW()-4)</f>
        <v/>
      </c>
      <c r="B427" s="11"/>
      <c r="C427" s="12"/>
      <c r="D427" s="12"/>
      <c r="E427" s="12"/>
      <c r="F427" s="12"/>
      <c r="G427" s="12"/>
      <c r="H427" s="13"/>
      <c r="I427" s="4"/>
      <c r="J427" s="4"/>
      <c r="K427" s="14" t="str">
        <f aca="false">IF($B427="","",IF($C427="泓普",$C$2,IF($C427="仟茂",$E$2,IF($C427="现金",$G$2,0)))+SUMIFS($I$5:$I427,$C$5:$C427,$C427)-SUMIFS($J$5:$J427,$C$5:$C427,$C427))</f>
        <v/>
      </c>
      <c r="L427" s="14" t="str">
        <f aca="false">IF($B427="","",$C$2+$E$2+$G$2+SUM($I$5:$I427)-SUM($J$5:$J427))</f>
        <v/>
      </c>
      <c r="M427" s="12"/>
      <c r="N427" s="15" t="str">
        <f aca="false">IF($B427="","",IF(NOT(ISNUMBER($B427)),"日期格式不对",IF($C427="","未选资金账户",IF(AND(N($I427)=0,N($J427)=0),"收支都为空",IF(AND(N($I427)&gt;0,N($J427)&gt;0),"收支不能同时填",IF(AND($D427&lt;&gt;"",LEFT($O427,1)="⚠"),"项目编号不存在",IF(AND($M427="是",$F427=""),"工程回款必须填往来单位","√")))))))</f>
        <v/>
      </c>
      <c r="O427" s="16" t="str">
        <f aca="false">IF($D427="","",IFERROR(INDEX(对照清单!$B$5:$B$60,MATCH($D427,对照清单!$A$5:$A$60,0)),"⚠编号不存在"))</f>
        <v/>
      </c>
      <c r="P427" s="10" t="str">
        <f aca="false">IF($B427="","",IF(ISNUMBER($B427),TEXT($B427,"yyyy-mm"),"日期非法"))</f>
        <v/>
      </c>
      <c r="Q427" s="10" t="str">
        <f aca="false">IF($B427="","",IF(ISNUMBER($B427),YEAR($B427),"日期非法"))</f>
        <v/>
      </c>
    </row>
    <row r="428" customFormat="false" ht="15.75" hidden="false" customHeight="true" outlineLevel="0" collapsed="false">
      <c r="A428" s="10" t="str">
        <f aca="false">IF($B428="","",ROW()-4)</f>
        <v/>
      </c>
      <c r="B428" s="11"/>
      <c r="C428" s="12"/>
      <c r="D428" s="12"/>
      <c r="E428" s="12"/>
      <c r="F428" s="12"/>
      <c r="G428" s="12"/>
      <c r="H428" s="13"/>
      <c r="I428" s="4"/>
      <c r="J428" s="4"/>
      <c r="K428" s="14" t="str">
        <f aca="false">IF($B428="","",IF($C428="泓普",$C$2,IF($C428="仟茂",$E$2,IF($C428="现金",$G$2,0)))+SUMIFS($I$5:$I428,$C$5:$C428,$C428)-SUMIFS($J$5:$J428,$C$5:$C428,$C428))</f>
        <v/>
      </c>
      <c r="L428" s="14" t="str">
        <f aca="false">IF($B428="","",$C$2+$E$2+$G$2+SUM($I$5:$I428)-SUM($J$5:$J428))</f>
        <v/>
      </c>
      <c r="M428" s="12"/>
      <c r="N428" s="15" t="str">
        <f aca="false">IF($B428="","",IF(NOT(ISNUMBER($B428)),"日期格式不对",IF($C428="","未选资金账户",IF(AND(N($I428)=0,N($J428)=0),"收支都为空",IF(AND(N($I428)&gt;0,N($J428)&gt;0),"收支不能同时填",IF(AND($D428&lt;&gt;"",LEFT($O428,1)="⚠"),"项目编号不存在",IF(AND($M428="是",$F428=""),"工程回款必须填往来单位","√")))))))</f>
        <v/>
      </c>
      <c r="O428" s="16" t="str">
        <f aca="false">IF($D428="","",IFERROR(INDEX(对照清单!$B$5:$B$60,MATCH($D428,对照清单!$A$5:$A$60,0)),"⚠编号不存在"))</f>
        <v/>
      </c>
      <c r="P428" s="10" t="str">
        <f aca="false">IF($B428="","",IF(ISNUMBER($B428),TEXT($B428,"yyyy-mm"),"日期非法"))</f>
        <v/>
      </c>
      <c r="Q428" s="10" t="str">
        <f aca="false">IF($B428="","",IF(ISNUMBER($B428),YEAR($B428),"日期非法"))</f>
        <v/>
      </c>
    </row>
    <row r="429" customFormat="false" ht="15.75" hidden="false" customHeight="true" outlineLevel="0" collapsed="false">
      <c r="A429" s="10" t="str">
        <f aca="false">IF($B429="","",ROW()-4)</f>
        <v/>
      </c>
      <c r="B429" s="11"/>
      <c r="C429" s="12"/>
      <c r="D429" s="12"/>
      <c r="E429" s="12"/>
      <c r="F429" s="12"/>
      <c r="G429" s="12"/>
      <c r="H429" s="13"/>
      <c r="I429" s="4"/>
      <c r="J429" s="4"/>
      <c r="K429" s="14" t="str">
        <f aca="false">IF($B429="","",IF($C429="泓普",$C$2,IF($C429="仟茂",$E$2,IF($C429="现金",$G$2,0)))+SUMIFS($I$5:$I429,$C$5:$C429,$C429)-SUMIFS($J$5:$J429,$C$5:$C429,$C429))</f>
        <v/>
      </c>
      <c r="L429" s="14" t="str">
        <f aca="false">IF($B429="","",$C$2+$E$2+$G$2+SUM($I$5:$I429)-SUM($J$5:$J429))</f>
        <v/>
      </c>
      <c r="M429" s="12"/>
      <c r="N429" s="15" t="str">
        <f aca="false">IF($B429="","",IF(NOT(ISNUMBER($B429)),"日期格式不对",IF($C429="","未选资金账户",IF(AND(N($I429)=0,N($J429)=0),"收支都为空",IF(AND(N($I429)&gt;0,N($J429)&gt;0),"收支不能同时填",IF(AND($D429&lt;&gt;"",LEFT($O429,1)="⚠"),"项目编号不存在",IF(AND($M429="是",$F429=""),"工程回款必须填往来单位","√")))))))</f>
        <v/>
      </c>
      <c r="O429" s="16" t="str">
        <f aca="false">IF($D429="","",IFERROR(INDEX(对照清单!$B$5:$B$60,MATCH($D429,对照清单!$A$5:$A$60,0)),"⚠编号不存在"))</f>
        <v/>
      </c>
      <c r="P429" s="10" t="str">
        <f aca="false">IF($B429="","",IF(ISNUMBER($B429),TEXT($B429,"yyyy-mm"),"日期非法"))</f>
        <v/>
      </c>
      <c r="Q429" s="10" t="str">
        <f aca="false">IF($B429="","",IF(ISNUMBER($B429),YEAR($B429),"日期非法"))</f>
        <v/>
      </c>
    </row>
    <row r="430" customFormat="false" ht="15.75" hidden="false" customHeight="true" outlineLevel="0" collapsed="false">
      <c r="A430" s="10" t="str">
        <f aca="false">IF($B430="","",ROW()-4)</f>
        <v/>
      </c>
      <c r="B430" s="11"/>
      <c r="C430" s="12"/>
      <c r="D430" s="12"/>
      <c r="E430" s="12"/>
      <c r="F430" s="12"/>
      <c r="G430" s="12"/>
      <c r="H430" s="13"/>
      <c r="I430" s="4"/>
      <c r="J430" s="4"/>
      <c r="K430" s="14" t="str">
        <f aca="false">IF($B430="","",IF($C430="泓普",$C$2,IF($C430="仟茂",$E$2,IF($C430="现金",$G$2,0)))+SUMIFS($I$5:$I430,$C$5:$C430,$C430)-SUMIFS($J$5:$J430,$C$5:$C430,$C430))</f>
        <v/>
      </c>
      <c r="L430" s="14" t="str">
        <f aca="false">IF($B430="","",$C$2+$E$2+$G$2+SUM($I$5:$I430)-SUM($J$5:$J430))</f>
        <v/>
      </c>
      <c r="M430" s="12"/>
      <c r="N430" s="15" t="str">
        <f aca="false">IF($B430="","",IF(NOT(ISNUMBER($B430)),"日期格式不对",IF($C430="","未选资金账户",IF(AND(N($I430)=0,N($J430)=0),"收支都为空",IF(AND(N($I430)&gt;0,N($J430)&gt;0),"收支不能同时填",IF(AND($D430&lt;&gt;"",LEFT($O430,1)="⚠"),"项目编号不存在",IF(AND($M430="是",$F430=""),"工程回款必须填往来单位","√")))))))</f>
        <v/>
      </c>
      <c r="O430" s="16" t="str">
        <f aca="false">IF($D430="","",IFERROR(INDEX(对照清单!$B$5:$B$60,MATCH($D430,对照清单!$A$5:$A$60,0)),"⚠编号不存在"))</f>
        <v/>
      </c>
      <c r="P430" s="10" t="str">
        <f aca="false">IF($B430="","",IF(ISNUMBER($B430),TEXT($B430,"yyyy-mm"),"日期非法"))</f>
        <v/>
      </c>
      <c r="Q430" s="10" t="str">
        <f aca="false">IF($B430="","",IF(ISNUMBER($B430),YEAR($B430),"日期非法"))</f>
        <v/>
      </c>
    </row>
    <row r="431" customFormat="false" ht="15.75" hidden="false" customHeight="true" outlineLevel="0" collapsed="false">
      <c r="A431" s="10" t="str">
        <f aca="false">IF($B431="","",ROW()-4)</f>
        <v/>
      </c>
      <c r="B431" s="11"/>
      <c r="C431" s="12"/>
      <c r="D431" s="12"/>
      <c r="E431" s="12"/>
      <c r="F431" s="12"/>
      <c r="G431" s="12"/>
      <c r="H431" s="13"/>
      <c r="I431" s="4"/>
      <c r="J431" s="4"/>
      <c r="K431" s="14" t="str">
        <f aca="false">IF($B431="","",IF($C431="泓普",$C$2,IF($C431="仟茂",$E$2,IF($C431="现金",$G$2,0)))+SUMIFS($I$5:$I431,$C$5:$C431,$C431)-SUMIFS($J$5:$J431,$C$5:$C431,$C431))</f>
        <v/>
      </c>
      <c r="L431" s="14" t="str">
        <f aca="false">IF($B431="","",$C$2+$E$2+$G$2+SUM($I$5:$I431)-SUM($J$5:$J431))</f>
        <v/>
      </c>
      <c r="M431" s="12"/>
      <c r="N431" s="15" t="str">
        <f aca="false">IF($B431="","",IF(NOT(ISNUMBER($B431)),"日期格式不对",IF($C431="","未选资金账户",IF(AND(N($I431)=0,N($J431)=0),"收支都为空",IF(AND(N($I431)&gt;0,N($J431)&gt;0),"收支不能同时填",IF(AND($D431&lt;&gt;"",LEFT($O431,1)="⚠"),"项目编号不存在",IF(AND($M431="是",$F431=""),"工程回款必须填往来单位","√")))))))</f>
        <v/>
      </c>
      <c r="O431" s="16" t="str">
        <f aca="false">IF($D431="","",IFERROR(INDEX(对照清单!$B$5:$B$60,MATCH($D431,对照清单!$A$5:$A$60,0)),"⚠编号不存在"))</f>
        <v/>
      </c>
      <c r="P431" s="10" t="str">
        <f aca="false">IF($B431="","",IF(ISNUMBER($B431),TEXT($B431,"yyyy-mm"),"日期非法"))</f>
        <v/>
      </c>
      <c r="Q431" s="10" t="str">
        <f aca="false">IF($B431="","",IF(ISNUMBER($B431),YEAR($B431),"日期非法"))</f>
        <v/>
      </c>
    </row>
    <row r="432" customFormat="false" ht="15.75" hidden="false" customHeight="true" outlineLevel="0" collapsed="false">
      <c r="A432" s="10" t="str">
        <f aca="false">IF($B432="","",ROW()-4)</f>
        <v/>
      </c>
      <c r="B432" s="11"/>
      <c r="C432" s="12"/>
      <c r="D432" s="12"/>
      <c r="E432" s="12"/>
      <c r="F432" s="12"/>
      <c r="G432" s="12"/>
      <c r="H432" s="13"/>
      <c r="I432" s="4"/>
      <c r="J432" s="4"/>
      <c r="K432" s="14" t="str">
        <f aca="false">IF($B432="","",IF($C432="泓普",$C$2,IF($C432="仟茂",$E$2,IF($C432="现金",$G$2,0)))+SUMIFS($I$5:$I432,$C$5:$C432,$C432)-SUMIFS($J$5:$J432,$C$5:$C432,$C432))</f>
        <v/>
      </c>
      <c r="L432" s="14" t="str">
        <f aca="false">IF($B432="","",$C$2+$E$2+$G$2+SUM($I$5:$I432)-SUM($J$5:$J432))</f>
        <v/>
      </c>
      <c r="M432" s="12"/>
      <c r="N432" s="15" t="str">
        <f aca="false">IF($B432="","",IF(NOT(ISNUMBER($B432)),"日期格式不对",IF($C432="","未选资金账户",IF(AND(N($I432)=0,N($J432)=0),"收支都为空",IF(AND(N($I432)&gt;0,N($J432)&gt;0),"收支不能同时填",IF(AND($D432&lt;&gt;"",LEFT($O432,1)="⚠"),"项目编号不存在",IF(AND($M432="是",$F432=""),"工程回款必须填往来单位","√")))))))</f>
        <v/>
      </c>
      <c r="O432" s="16" t="str">
        <f aca="false">IF($D432="","",IFERROR(INDEX(对照清单!$B$5:$B$60,MATCH($D432,对照清单!$A$5:$A$60,0)),"⚠编号不存在"))</f>
        <v/>
      </c>
      <c r="P432" s="10" t="str">
        <f aca="false">IF($B432="","",IF(ISNUMBER($B432),TEXT($B432,"yyyy-mm"),"日期非法"))</f>
        <v/>
      </c>
      <c r="Q432" s="10" t="str">
        <f aca="false">IF($B432="","",IF(ISNUMBER($B432),YEAR($B432),"日期非法"))</f>
        <v/>
      </c>
    </row>
    <row r="433" customFormat="false" ht="15.75" hidden="false" customHeight="true" outlineLevel="0" collapsed="false">
      <c r="A433" s="10" t="str">
        <f aca="false">IF($B433="","",ROW()-4)</f>
        <v/>
      </c>
      <c r="B433" s="11"/>
      <c r="C433" s="12"/>
      <c r="D433" s="12"/>
      <c r="E433" s="12"/>
      <c r="F433" s="12"/>
      <c r="G433" s="12"/>
      <c r="H433" s="13"/>
      <c r="I433" s="4"/>
      <c r="J433" s="4"/>
      <c r="K433" s="14" t="str">
        <f aca="false">IF($B433="","",IF($C433="泓普",$C$2,IF($C433="仟茂",$E$2,IF($C433="现金",$G$2,0)))+SUMIFS($I$5:$I433,$C$5:$C433,$C433)-SUMIFS($J$5:$J433,$C$5:$C433,$C433))</f>
        <v/>
      </c>
      <c r="L433" s="14" t="str">
        <f aca="false">IF($B433="","",$C$2+$E$2+$G$2+SUM($I$5:$I433)-SUM($J$5:$J433))</f>
        <v/>
      </c>
      <c r="M433" s="12"/>
      <c r="N433" s="15" t="str">
        <f aca="false">IF($B433="","",IF(NOT(ISNUMBER($B433)),"日期格式不对",IF($C433="","未选资金账户",IF(AND(N($I433)=0,N($J433)=0),"收支都为空",IF(AND(N($I433)&gt;0,N($J433)&gt;0),"收支不能同时填",IF(AND($D433&lt;&gt;"",LEFT($O433,1)="⚠"),"项目编号不存在",IF(AND($M433="是",$F433=""),"工程回款必须填往来单位","√")))))))</f>
        <v/>
      </c>
      <c r="O433" s="16" t="str">
        <f aca="false">IF($D433="","",IFERROR(INDEX(对照清单!$B$5:$B$60,MATCH($D433,对照清单!$A$5:$A$60,0)),"⚠编号不存在"))</f>
        <v/>
      </c>
      <c r="P433" s="10" t="str">
        <f aca="false">IF($B433="","",IF(ISNUMBER($B433),TEXT($B433,"yyyy-mm"),"日期非法"))</f>
        <v/>
      </c>
      <c r="Q433" s="10" t="str">
        <f aca="false">IF($B433="","",IF(ISNUMBER($B433),YEAR($B433),"日期非法"))</f>
        <v/>
      </c>
    </row>
    <row r="434" customFormat="false" ht="15.75" hidden="false" customHeight="true" outlineLevel="0" collapsed="false">
      <c r="A434" s="10" t="str">
        <f aca="false">IF($B434="","",ROW()-4)</f>
        <v/>
      </c>
      <c r="B434" s="11"/>
      <c r="C434" s="12"/>
      <c r="D434" s="12"/>
      <c r="E434" s="12"/>
      <c r="F434" s="12"/>
      <c r="G434" s="12"/>
      <c r="H434" s="13"/>
      <c r="I434" s="4"/>
      <c r="J434" s="4"/>
      <c r="K434" s="14" t="str">
        <f aca="false">IF($B434="","",IF($C434="泓普",$C$2,IF($C434="仟茂",$E$2,IF($C434="现金",$G$2,0)))+SUMIFS($I$5:$I434,$C$5:$C434,$C434)-SUMIFS($J$5:$J434,$C$5:$C434,$C434))</f>
        <v/>
      </c>
      <c r="L434" s="14" t="str">
        <f aca="false">IF($B434="","",$C$2+$E$2+$G$2+SUM($I$5:$I434)-SUM($J$5:$J434))</f>
        <v/>
      </c>
      <c r="M434" s="12"/>
      <c r="N434" s="15" t="str">
        <f aca="false">IF($B434="","",IF(NOT(ISNUMBER($B434)),"日期格式不对",IF($C434="","未选资金账户",IF(AND(N($I434)=0,N($J434)=0),"收支都为空",IF(AND(N($I434)&gt;0,N($J434)&gt;0),"收支不能同时填",IF(AND($D434&lt;&gt;"",LEFT($O434,1)="⚠"),"项目编号不存在",IF(AND($M434="是",$F434=""),"工程回款必须填往来单位","√")))))))</f>
        <v/>
      </c>
      <c r="O434" s="16" t="str">
        <f aca="false">IF($D434="","",IFERROR(INDEX(对照清单!$B$5:$B$60,MATCH($D434,对照清单!$A$5:$A$60,0)),"⚠编号不存在"))</f>
        <v/>
      </c>
      <c r="P434" s="10" t="str">
        <f aca="false">IF($B434="","",IF(ISNUMBER($B434),TEXT($B434,"yyyy-mm"),"日期非法"))</f>
        <v/>
      </c>
      <c r="Q434" s="10" t="str">
        <f aca="false">IF($B434="","",IF(ISNUMBER($B434),YEAR($B434),"日期非法"))</f>
        <v/>
      </c>
    </row>
    <row r="435" customFormat="false" ht="15.75" hidden="false" customHeight="true" outlineLevel="0" collapsed="false">
      <c r="A435" s="10" t="str">
        <f aca="false">IF($B435="","",ROW()-4)</f>
        <v/>
      </c>
      <c r="B435" s="11"/>
      <c r="C435" s="12"/>
      <c r="D435" s="12"/>
      <c r="E435" s="12"/>
      <c r="F435" s="12"/>
      <c r="G435" s="12"/>
      <c r="H435" s="13"/>
      <c r="I435" s="4"/>
      <c r="J435" s="4"/>
      <c r="K435" s="14" t="str">
        <f aca="false">IF($B435="","",IF($C435="泓普",$C$2,IF($C435="仟茂",$E$2,IF($C435="现金",$G$2,0)))+SUMIFS($I$5:$I435,$C$5:$C435,$C435)-SUMIFS($J$5:$J435,$C$5:$C435,$C435))</f>
        <v/>
      </c>
      <c r="L435" s="14" t="str">
        <f aca="false">IF($B435="","",$C$2+$E$2+$G$2+SUM($I$5:$I435)-SUM($J$5:$J435))</f>
        <v/>
      </c>
      <c r="M435" s="12"/>
      <c r="N435" s="15" t="str">
        <f aca="false">IF($B435="","",IF(NOT(ISNUMBER($B435)),"日期格式不对",IF($C435="","未选资金账户",IF(AND(N($I435)=0,N($J435)=0),"收支都为空",IF(AND(N($I435)&gt;0,N($J435)&gt;0),"收支不能同时填",IF(AND($D435&lt;&gt;"",LEFT($O435,1)="⚠"),"项目编号不存在",IF(AND($M435="是",$F435=""),"工程回款必须填往来单位","√")))))))</f>
        <v/>
      </c>
      <c r="O435" s="16" t="str">
        <f aca="false">IF($D435="","",IFERROR(INDEX(对照清单!$B$5:$B$60,MATCH($D435,对照清单!$A$5:$A$60,0)),"⚠编号不存在"))</f>
        <v/>
      </c>
      <c r="P435" s="10" t="str">
        <f aca="false">IF($B435="","",IF(ISNUMBER($B435),TEXT($B435,"yyyy-mm"),"日期非法"))</f>
        <v/>
      </c>
      <c r="Q435" s="10" t="str">
        <f aca="false">IF($B435="","",IF(ISNUMBER($B435),YEAR($B435),"日期非法"))</f>
        <v/>
      </c>
    </row>
    <row r="436" customFormat="false" ht="15.75" hidden="false" customHeight="true" outlineLevel="0" collapsed="false">
      <c r="A436" s="10" t="str">
        <f aca="false">IF($B436="","",ROW()-4)</f>
        <v/>
      </c>
      <c r="B436" s="11"/>
      <c r="C436" s="12"/>
      <c r="D436" s="12"/>
      <c r="E436" s="12"/>
      <c r="F436" s="12"/>
      <c r="G436" s="12"/>
      <c r="H436" s="13"/>
      <c r="I436" s="4"/>
      <c r="J436" s="4"/>
      <c r="K436" s="14" t="str">
        <f aca="false">IF($B436="","",IF($C436="泓普",$C$2,IF($C436="仟茂",$E$2,IF($C436="现金",$G$2,0)))+SUMIFS($I$5:$I436,$C$5:$C436,$C436)-SUMIFS($J$5:$J436,$C$5:$C436,$C436))</f>
        <v/>
      </c>
      <c r="L436" s="14" t="str">
        <f aca="false">IF($B436="","",$C$2+$E$2+$G$2+SUM($I$5:$I436)-SUM($J$5:$J436))</f>
        <v/>
      </c>
      <c r="M436" s="12"/>
      <c r="N436" s="15" t="str">
        <f aca="false">IF($B436="","",IF(NOT(ISNUMBER($B436)),"日期格式不对",IF($C436="","未选资金账户",IF(AND(N($I436)=0,N($J436)=0),"收支都为空",IF(AND(N($I436)&gt;0,N($J436)&gt;0),"收支不能同时填",IF(AND($D436&lt;&gt;"",LEFT($O436,1)="⚠"),"项目编号不存在",IF(AND($M436="是",$F436=""),"工程回款必须填往来单位","√")))))))</f>
        <v/>
      </c>
      <c r="O436" s="16" t="str">
        <f aca="false">IF($D436="","",IFERROR(INDEX(对照清单!$B$5:$B$60,MATCH($D436,对照清单!$A$5:$A$60,0)),"⚠编号不存在"))</f>
        <v/>
      </c>
      <c r="P436" s="10" t="str">
        <f aca="false">IF($B436="","",IF(ISNUMBER($B436),TEXT($B436,"yyyy-mm"),"日期非法"))</f>
        <v/>
      </c>
      <c r="Q436" s="10" t="str">
        <f aca="false">IF($B436="","",IF(ISNUMBER($B436),YEAR($B436),"日期非法"))</f>
        <v/>
      </c>
    </row>
    <row r="437" customFormat="false" ht="15.75" hidden="false" customHeight="true" outlineLevel="0" collapsed="false">
      <c r="A437" s="10" t="str">
        <f aca="false">IF($B437="","",ROW()-4)</f>
        <v/>
      </c>
      <c r="B437" s="11"/>
      <c r="C437" s="12"/>
      <c r="D437" s="12"/>
      <c r="E437" s="12"/>
      <c r="F437" s="12"/>
      <c r="G437" s="12"/>
      <c r="H437" s="13"/>
      <c r="I437" s="4"/>
      <c r="J437" s="4"/>
      <c r="K437" s="14" t="str">
        <f aca="false">IF($B437="","",IF($C437="泓普",$C$2,IF($C437="仟茂",$E$2,IF($C437="现金",$G$2,0)))+SUMIFS($I$5:$I437,$C$5:$C437,$C437)-SUMIFS($J$5:$J437,$C$5:$C437,$C437))</f>
        <v/>
      </c>
      <c r="L437" s="14" t="str">
        <f aca="false">IF($B437="","",$C$2+$E$2+$G$2+SUM($I$5:$I437)-SUM($J$5:$J437))</f>
        <v/>
      </c>
      <c r="M437" s="12"/>
      <c r="N437" s="15" t="str">
        <f aca="false">IF($B437="","",IF(NOT(ISNUMBER($B437)),"日期格式不对",IF($C437="","未选资金账户",IF(AND(N($I437)=0,N($J437)=0),"收支都为空",IF(AND(N($I437)&gt;0,N($J437)&gt;0),"收支不能同时填",IF(AND($D437&lt;&gt;"",LEFT($O437,1)="⚠"),"项目编号不存在",IF(AND($M437="是",$F437=""),"工程回款必须填往来单位","√")))))))</f>
        <v/>
      </c>
      <c r="O437" s="16" t="str">
        <f aca="false">IF($D437="","",IFERROR(INDEX(对照清单!$B$5:$B$60,MATCH($D437,对照清单!$A$5:$A$60,0)),"⚠编号不存在"))</f>
        <v/>
      </c>
      <c r="P437" s="10" t="str">
        <f aca="false">IF($B437="","",IF(ISNUMBER($B437),TEXT($B437,"yyyy-mm"),"日期非法"))</f>
        <v/>
      </c>
      <c r="Q437" s="10" t="str">
        <f aca="false">IF($B437="","",IF(ISNUMBER($B437),YEAR($B437),"日期非法"))</f>
        <v/>
      </c>
    </row>
    <row r="438" customFormat="false" ht="15.75" hidden="false" customHeight="true" outlineLevel="0" collapsed="false">
      <c r="A438" s="10" t="str">
        <f aca="false">IF($B438="","",ROW()-4)</f>
        <v/>
      </c>
      <c r="B438" s="11"/>
      <c r="C438" s="12"/>
      <c r="D438" s="12"/>
      <c r="E438" s="12"/>
      <c r="F438" s="12"/>
      <c r="G438" s="12"/>
      <c r="H438" s="13"/>
      <c r="I438" s="4"/>
      <c r="J438" s="4"/>
      <c r="K438" s="14" t="str">
        <f aca="false">IF($B438="","",IF($C438="泓普",$C$2,IF($C438="仟茂",$E$2,IF($C438="现金",$G$2,0)))+SUMIFS($I$5:$I438,$C$5:$C438,$C438)-SUMIFS($J$5:$J438,$C$5:$C438,$C438))</f>
        <v/>
      </c>
      <c r="L438" s="14" t="str">
        <f aca="false">IF($B438="","",$C$2+$E$2+$G$2+SUM($I$5:$I438)-SUM($J$5:$J438))</f>
        <v/>
      </c>
      <c r="M438" s="12"/>
      <c r="N438" s="15" t="str">
        <f aca="false">IF($B438="","",IF(NOT(ISNUMBER($B438)),"日期格式不对",IF($C438="","未选资金账户",IF(AND(N($I438)=0,N($J438)=0),"收支都为空",IF(AND(N($I438)&gt;0,N($J438)&gt;0),"收支不能同时填",IF(AND($D438&lt;&gt;"",LEFT($O438,1)="⚠"),"项目编号不存在",IF(AND($M438="是",$F438=""),"工程回款必须填往来单位","√")))))))</f>
        <v/>
      </c>
      <c r="O438" s="16" t="str">
        <f aca="false">IF($D438="","",IFERROR(INDEX(对照清单!$B$5:$B$60,MATCH($D438,对照清单!$A$5:$A$60,0)),"⚠编号不存在"))</f>
        <v/>
      </c>
      <c r="P438" s="10" t="str">
        <f aca="false">IF($B438="","",IF(ISNUMBER($B438),TEXT($B438,"yyyy-mm"),"日期非法"))</f>
        <v/>
      </c>
      <c r="Q438" s="10" t="str">
        <f aca="false">IF($B438="","",IF(ISNUMBER($B438),YEAR($B438),"日期非法"))</f>
        <v/>
      </c>
    </row>
    <row r="439" customFormat="false" ht="15.75" hidden="false" customHeight="true" outlineLevel="0" collapsed="false">
      <c r="A439" s="10" t="str">
        <f aca="false">IF($B439="","",ROW()-4)</f>
        <v/>
      </c>
      <c r="B439" s="11"/>
      <c r="C439" s="12"/>
      <c r="D439" s="12"/>
      <c r="E439" s="12"/>
      <c r="F439" s="12"/>
      <c r="G439" s="12"/>
      <c r="H439" s="13"/>
      <c r="I439" s="4"/>
      <c r="J439" s="4"/>
      <c r="K439" s="14" t="str">
        <f aca="false">IF($B439="","",IF($C439="泓普",$C$2,IF($C439="仟茂",$E$2,IF($C439="现金",$G$2,0)))+SUMIFS($I$5:$I439,$C$5:$C439,$C439)-SUMIFS($J$5:$J439,$C$5:$C439,$C439))</f>
        <v/>
      </c>
      <c r="L439" s="14" t="str">
        <f aca="false">IF($B439="","",$C$2+$E$2+$G$2+SUM($I$5:$I439)-SUM($J$5:$J439))</f>
        <v/>
      </c>
      <c r="M439" s="12"/>
      <c r="N439" s="15" t="str">
        <f aca="false">IF($B439="","",IF(NOT(ISNUMBER($B439)),"日期格式不对",IF($C439="","未选资金账户",IF(AND(N($I439)=0,N($J439)=0),"收支都为空",IF(AND(N($I439)&gt;0,N($J439)&gt;0),"收支不能同时填",IF(AND($D439&lt;&gt;"",LEFT($O439,1)="⚠"),"项目编号不存在",IF(AND($M439="是",$F439=""),"工程回款必须填往来单位","√")))))))</f>
        <v/>
      </c>
      <c r="O439" s="16" t="str">
        <f aca="false">IF($D439="","",IFERROR(INDEX(对照清单!$B$5:$B$60,MATCH($D439,对照清单!$A$5:$A$60,0)),"⚠编号不存在"))</f>
        <v/>
      </c>
      <c r="P439" s="10" t="str">
        <f aca="false">IF($B439="","",IF(ISNUMBER($B439),TEXT($B439,"yyyy-mm"),"日期非法"))</f>
        <v/>
      </c>
      <c r="Q439" s="10" t="str">
        <f aca="false">IF($B439="","",IF(ISNUMBER($B439),YEAR($B439),"日期非法"))</f>
        <v/>
      </c>
    </row>
    <row r="440" customFormat="false" ht="15.75" hidden="false" customHeight="true" outlineLevel="0" collapsed="false">
      <c r="A440" s="10" t="str">
        <f aca="false">IF($B440="","",ROW()-4)</f>
        <v/>
      </c>
      <c r="B440" s="11"/>
      <c r="C440" s="12"/>
      <c r="D440" s="12"/>
      <c r="E440" s="12"/>
      <c r="F440" s="12"/>
      <c r="G440" s="12"/>
      <c r="H440" s="13"/>
      <c r="I440" s="4"/>
      <c r="J440" s="4"/>
      <c r="K440" s="14" t="str">
        <f aca="false">IF($B440="","",IF($C440="泓普",$C$2,IF($C440="仟茂",$E$2,IF($C440="现金",$G$2,0)))+SUMIFS($I$5:$I440,$C$5:$C440,$C440)-SUMIFS($J$5:$J440,$C$5:$C440,$C440))</f>
        <v/>
      </c>
      <c r="L440" s="14" t="str">
        <f aca="false">IF($B440="","",$C$2+$E$2+$G$2+SUM($I$5:$I440)-SUM($J$5:$J440))</f>
        <v/>
      </c>
      <c r="M440" s="12"/>
      <c r="N440" s="15" t="str">
        <f aca="false">IF($B440="","",IF(NOT(ISNUMBER($B440)),"日期格式不对",IF($C440="","未选资金账户",IF(AND(N($I440)=0,N($J440)=0),"收支都为空",IF(AND(N($I440)&gt;0,N($J440)&gt;0),"收支不能同时填",IF(AND($D440&lt;&gt;"",LEFT($O440,1)="⚠"),"项目编号不存在",IF(AND($M440="是",$F440=""),"工程回款必须填往来单位","√")))))))</f>
        <v/>
      </c>
      <c r="O440" s="16" t="str">
        <f aca="false">IF($D440="","",IFERROR(INDEX(对照清单!$B$5:$B$60,MATCH($D440,对照清单!$A$5:$A$60,0)),"⚠编号不存在"))</f>
        <v/>
      </c>
      <c r="P440" s="10" t="str">
        <f aca="false">IF($B440="","",IF(ISNUMBER($B440),TEXT($B440,"yyyy-mm"),"日期非法"))</f>
        <v/>
      </c>
      <c r="Q440" s="10" t="str">
        <f aca="false">IF($B440="","",IF(ISNUMBER($B440),YEAR($B440),"日期非法"))</f>
        <v/>
      </c>
    </row>
    <row r="441" customFormat="false" ht="15.75" hidden="false" customHeight="true" outlineLevel="0" collapsed="false">
      <c r="A441" s="10" t="str">
        <f aca="false">IF($B441="","",ROW()-4)</f>
        <v/>
      </c>
      <c r="B441" s="11"/>
      <c r="C441" s="12"/>
      <c r="D441" s="12"/>
      <c r="E441" s="12"/>
      <c r="F441" s="12"/>
      <c r="G441" s="12"/>
      <c r="H441" s="13"/>
      <c r="I441" s="4"/>
      <c r="J441" s="4"/>
      <c r="K441" s="14" t="str">
        <f aca="false">IF($B441="","",IF($C441="泓普",$C$2,IF($C441="仟茂",$E$2,IF($C441="现金",$G$2,0)))+SUMIFS($I$5:$I441,$C$5:$C441,$C441)-SUMIFS($J$5:$J441,$C$5:$C441,$C441))</f>
        <v/>
      </c>
      <c r="L441" s="14" t="str">
        <f aca="false">IF($B441="","",$C$2+$E$2+$G$2+SUM($I$5:$I441)-SUM($J$5:$J441))</f>
        <v/>
      </c>
      <c r="M441" s="12"/>
      <c r="N441" s="15" t="str">
        <f aca="false">IF($B441="","",IF(NOT(ISNUMBER($B441)),"日期格式不对",IF($C441="","未选资金账户",IF(AND(N($I441)=0,N($J441)=0),"收支都为空",IF(AND(N($I441)&gt;0,N($J441)&gt;0),"收支不能同时填",IF(AND($D441&lt;&gt;"",LEFT($O441,1)="⚠"),"项目编号不存在",IF(AND($M441="是",$F441=""),"工程回款必须填往来单位","√")))))))</f>
        <v/>
      </c>
      <c r="O441" s="16" t="str">
        <f aca="false">IF($D441="","",IFERROR(INDEX(对照清单!$B$5:$B$60,MATCH($D441,对照清单!$A$5:$A$60,0)),"⚠编号不存在"))</f>
        <v/>
      </c>
      <c r="P441" s="10" t="str">
        <f aca="false">IF($B441="","",IF(ISNUMBER($B441),TEXT($B441,"yyyy-mm"),"日期非法"))</f>
        <v/>
      </c>
      <c r="Q441" s="10" t="str">
        <f aca="false">IF($B441="","",IF(ISNUMBER($B441),YEAR($B441),"日期非法"))</f>
        <v/>
      </c>
    </row>
    <row r="442" customFormat="false" ht="15.75" hidden="false" customHeight="true" outlineLevel="0" collapsed="false">
      <c r="A442" s="10" t="str">
        <f aca="false">IF($B442="","",ROW()-4)</f>
        <v/>
      </c>
      <c r="B442" s="11"/>
      <c r="C442" s="12"/>
      <c r="D442" s="12"/>
      <c r="E442" s="12"/>
      <c r="F442" s="12"/>
      <c r="G442" s="12"/>
      <c r="H442" s="13"/>
      <c r="I442" s="4"/>
      <c r="J442" s="4"/>
      <c r="K442" s="14" t="str">
        <f aca="false">IF($B442="","",IF($C442="泓普",$C$2,IF($C442="仟茂",$E$2,IF($C442="现金",$G$2,0)))+SUMIFS($I$5:$I442,$C$5:$C442,$C442)-SUMIFS($J$5:$J442,$C$5:$C442,$C442))</f>
        <v/>
      </c>
      <c r="L442" s="14" t="str">
        <f aca="false">IF($B442="","",$C$2+$E$2+$G$2+SUM($I$5:$I442)-SUM($J$5:$J442))</f>
        <v/>
      </c>
      <c r="M442" s="12"/>
      <c r="N442" s="15" t="str">
        <f aca="false">IF($B442="","",IF(NOT(ISNUMBER($B442)),"日期格式不对",IF($C442="","未选资金账户",IF(AND(N($I442)=0,N($J442)=0),"收支都为空",IF(AND(N($I442)&gt;0,N($J442)&gt;0),"收支不能同时填",IF(AND($D442&lt;&gt;"",LEFT($O442,1)="⚠"),"项目编号不存在",IF(AND($M442="是",$F442=""),"工程回款必须填往来单位","√")))))))</f>
        <v/>
      </c>
      <c r="O442" s="16" t="str">
        <f aca="false">IF($D442="","",IFERROR(INDEX(对照清单!$B$5:$B$60,MATCH($D442,对照清单!$A$5:$A$60,0)),"⚠编号不存在"))</f>
        <v/>
      </c>
      <c r="P442" s="10" t="str">
        <f aca="false">IF($B442="","",IF(ISNUMBER($B442),TEXT($B442,"yyyy-mm"),"日期非法"))</f>
        <v/>
      </c>
      <c r="Q442" s="10" t="str">
        <f aca="false">IF($B442="","",IF(ISNUMBER($B442),YEAR($B442),"日期非法"))</f>
        <v/>
      </c>
    </row>
    <row r="443" customFormat="false" ht="15.75" hidden="false" customHeight="true" outlineLevel="0" collapsed="false">
      <c r="A443" s="10" t="str">
        <f aca="false">IF($B443="","",ROW()-4)</f>
        <v/>
      </c>
      <c r="B443" s="11"/>
      <c r="C443" s="12"/>
      <c r="D443" s="12"/>
      <c r="E443" s="12"/>
      <c r="F443" s="12"/>
      <c r="G443" s="12"/>
      <c r="H443" s="13"/>
      <c r="I443" s="4"/>
      <c r="J443" s="4"/>
      <c r="K443" s="14" t="str">
        <f aca="false">IF($B443="","",IF($C443="泓普",$C$2,IF($C443="仟茂",$E$2,IF($C443="现金",$G$2,0)))+SUMIFS($I$5:$I443,$C$5:$C443,$C443)-SUMIFS($J$5:$J443,$C$5:$C443,$C443))</f>
        <v/>
      </c>
      <c r="L443" s="14" t="str">
        <f aca="false">IF($B443="","",$C$2+$E$2+$G$2+SUM($I$5:$I443)-SUM($J$5:$J443))</f>
        <v/>
      </c>
      <c r="M443" s="12"/>
      <c r="N443" s="15" t="str">
        <f aca="false">IF($B443="","",IF(NOT(ISNUMBER($B443)),"日期格式不对",IF($C443="","未选资金账户",IF(AND(N($I443)=0,N($J443)=0),"收支都为空",IF(AND(N($I443)&gt;0,N($J443)&gt;0),"收支不能同时填",IF(AND($D443&lt;&gt;"",LEFT($O443,1)="⚠"),"项目编号不存在",IF(AND($M443="是",$F443=""),"工程回款必须填往来单位","√")))))))</f>
        <v/>
      </c>
      <c r="O443" s="16" t="str">
        <f aca="false">IF($D443="","",IFERROR(INDEX(对照清单!$B$5:$B$60,MATCH($D443,对照清单!$A$5:$A$60,0)),"⚠编号不存在"))</f>
        <v/>
      </c>
      <c r="P443" s="10" t="str">
        <f aca="false">IF($B443="","",IF(ISNUMBER($B443),TEXT($B443,"yyyy-mm"),"日期非法"))</f>
        <v/>
      </c>
      <c r="Q443" s="10" t="str">
        <f aca="false">IF($B443="","",IF(ISNUMBER($B443),YEAR($B443),"日期非法"))</f>
        <v/>
      </c>
    </row>
    <row r="444" customFormat="false" ht="15.75" hidden="false" customHeight="true" outlineLevel="0" collapsed="false">
      <c r="A444" s="10" t="str">
        <f aca="false">IF($B444="","",ROW()-4)</f>
        <v/>
      </c>
      <c r="B444" s="11"/>
      <c r="C444" s="12"/>
      <c r="D444" s="12"/>
      <c r="E444" s="12"/>
      <c r="F444" s="12"/>
      <c r="G444" s="12"/>
      <c r="H444" s="13"/>
      <c r="I444" s="4"/>
      <c r="J444" s="4"/>
      <c r="K444" s="14" t="str">
        <f aca="false">IF($B444="","",IF($C444="泓普",$C$2,IF($C444="仟茂",$E$2,IF($C444="现金",$G$2,0)))+SUMIFS($I$5:$I444,$C$5:$C444,$C444)-SUMIFS($J$5:$J444,$C$5:$C444,$C444))</f>
        <v/>
      </c>
      <c r="L444" s="14" t="str">
        <f aca="false">IF($B444="","",$C$2+$E$2+$G$2+SUM($I$5:$I444)-SUM($J$5:$J444))</f>
        <v/>
      </c>
      <c r="M444" s="12"/>
      <c r="N444" s="15" t="str">
        <f aca="false">IF($B444="","",IF(NOT(ISNUMBER($B444)),"日期格式不对",IF($C444="","未选资金账户",IF(AND(N($I444)=0,N($J444)=0),"收支都为空",IF(AND(N($I444)&gt;0,N($J444)&gt;0),"收支不能同时填",IF(AND($D444&lt;&gt;"",LEFT($O444,1)="⚠"),"项目编号不存在",IF(AND($M444="是",$F444=""),"工程回款必须填往来单位","√")))))))</f>
        <v/>
      </c>
      <c r="O444" s="16" t="str">
        <f aca="false">IF($D444="","",IFERROR(INDEX(对照清单!$B$5:$B$60,MATCH($D444,对照清单!$A$5:$A$60,0)),"⚠编号不存在"))</f>
        <v/>
      </c>
      <c r="P444" s="10" t="str">
        <f aca="false">IF($B444="","",IF(ISNUMBER($B444),TEXT($B444,"yyyy-mm"),"日期非法"))</f>
        <v/>
      </c>
      <c r="Q444" s="10" t="str">
        <f aca="false">IF($B444="","",IF(ISNUMBER($B444),YEAR($B444),"日期非法"))</f>
        <v/>
      </c>
    </row>
    <row r="445" customFormat="false" ht="15.75" hidden="false" customHeight="true" outlineLevel="0" collapsed="false">
      <c r="A445" s="10" t="str">
        <f aca="false">IF($B445="","",ROW()-4)</f>
        <v/>
      </c>
      <c r="B445" s="11"/>
      <c r="C445" s="12"/>
      <c r="D445" s="12"/>
      <c r="E445" s="12"/>
      <c r="F445" s="12"/>
      <c r="G445" s="12"/>
      <c r="H445" s="13"/>
      <c r="I445" s="4"/>
      <c r="J445" s="4"/>
      <c r="K445" s="14" t="str">
        <f aca="false">IF($B445="","",IF($C445="泓普",$C$2,IF($C445="仟茂",$E$2,IF($C445="现金",$G$2,0)))+SUMIFS($I$5:$I445,$C$5:$C445,$C445)-SUMIFS($J$5:$J445,$C$5:$C445,$C445))</f>
        <v/>
      </c>
      <c r="L445" s="14" t="str">
        <f aca="false">IF($B445="","",$C$2+$E$2+$G$2+SUM($I$5:$I445)-SUM($J$5:$J445))</f>
        <v/>
      </c>
      <c r="M445" s="12"/>
      <c r="N445" s="15" t="str">
        <f aca="false">IF($B445="","",IF(NOT(ISNUMBER($B445)),"日期格式不对",IF($C445="","未选资金账户",IF(AND(N($I445)=0,N($J445)=0),"收支都为空",IF(AND(N($I445)&gt;0,N($J445)&gt;0),"收支不能同时填",IF(AND($D445&lt;&gt;"",LEFT($O445,1)="⚠"),"项目编号不存在",IF(AND($M445="是",$F445=""),"工程回款必须填往来单位","√")))))))</f>
        <v/>
      </c>
      <c r="O445" s="16" t="str">
        <f aca="false">IF($D445="","",IFERROR(INDEX(对照清单!$B$5:$B$60,MATCH($D445,对照清单!$A$5:$A$60,0)),"⚠编号不存在"))</f>
        <v/>
      </c>
      <c r="P445" s="10" t="str">
        <f aca="false">IF($B445="","",IF(ISNUMBER($B445),TEXT($B445,"yyyy-mm"),"日期非法"))</f>
        <v/>
      </c>
      <c r="Q445" s="10" t="str">
        <f aca="false">IF($B445="","",IF(ISNUMBER($B445),YEAR($B445),"日期非法"))</f>
        <v/>
      </c>
    </row>
    <row r="446" customFormat="false" ht="15.75" hidden="false" customHeight="true" outlineLevel="0" collapsed="false">
      <c r="A446" s="10" t="str">
        <f aca="false">IF($B446="","",ROW()-4)</f>
        <v/>
      </c>
      <c r="B446" s="11"/>
      <c r="C446" s="12"/>
      <c r="D446" s="12"/>
      <c r="E446" s="12"/>
      <c r="F446" s="12"/>
      <c r="G446" s="12"/>
      <c r="H446" s="13"/>
      <c r="I446" s="4"/>
      <c r="J446" s="4"/>
      <c r="K446" s="14" t="str">
        <f aca="false">IF($B446="","",IF($C446="泓普",$C$2,IF($C446="仟茂",$E$2,IF($C446="现金",$G$2,0)))+SUMIFS($I$5:$I446,$C$5:$C446,$C446)-SUMIFS($J$5:$J446,$C$5:$C446,$C446))</f>
        <v/>
      </c>
      <c r="L446" s="14" t="str">
        <f aca="false">IF($B446="","",$C$2+$E$2+$G$2+SUM($I$5:$I446)-SUM($J$5:$J446))</f>
        <v/>
      </c>
      <c r="M446" s="12"/>
      <c r="N446" s="15" t="str">
        <f aca="false">IF($B446="","",IF(NOT(ISNUMBER($B446)),"日期格式不对",IF($C446="","未选资金账户",IF(AND(N($I446)=0,N($J446)=0),"收支都为空",IF(AND(N($I446)&gt;0,N($J446)&gt;0),"收支不能同时填",IF(AND($D446&lt;&gt;"",LEFT($O446,1)="⚠"),"项目编号不存在",IF(AND($M446="是",$F446=""),"工程回款必须填往来单位","√")))))))</f>
        <v/>
      </c>
      <c r="O446" s="16" t="str">
        <f aca="false">IF($D446="","",IFERROR(INDEX(对照清单!$B$5:$B$60,MATCH($D446,对照清单!$A$5:$A$60,0)),"⚠编号不存在"))</f>
        <v/>
      </c>
      <c r="P446" s="10" t="str">
        <f aca="false">IF($B446="","",IF(ISNUMBER($B446),TEXT($B446,"yyyy-mm"),"日期非法"))</f>
        <v/>
      </c>
      <c r="Q446" s="10" t="str">
        <f aca="false">IF($B446="","",IF(ISNUMBER($B446),YEAR($B446),"日期非法"))</f>
        <v/>
      </c>
    </row>
    <row r="447" customFormat="false" ht="15.75" hidden="false" customHeight="true" outlineLevel="0" collapsed="false">
      <c r="A447" s="10" t="str">
        <f aca="false">IF($B447="","",ROW()-4)</f>
        <v/>
      </c>
      <c r="B447" s="11"/>
      <c r="C447" s="12"/>
      <c r="D447" s="12"/>
      <c r="E447" s="12"/>
      <c r="F447" s="12"/>
      <c r="G447" s="12"/>
      <c r="H447" s="13"/>
      <c r="I447" s="4"/>
      <c r="J447" s="4"/>
      <c r="K447" s="14" t="str">
        <f aca="false">IF($B447="","",IF($C447="泓普",$C$2,IF($C447="仟茂",$E$2,IF($C447="现金",$G$2,0)))+SUMIFS($I$5:$I447,$C$5:$C447,$C447)-SUMIFS($J$5:$J447,$C$5:$C447,$C447))</f>
        <v/>
      </c>
      <c r="L447" s="14" t="str">
        <f aca="false">IF($B447="","",$C$2+$E$2+$G$2+SUM($I$5:$I447)-SUM($J$5:$J447))</f>
        <v/>
      </c>
      <c r="M447" s="12"/>
      <c r="N447" s="15" t="str">
        <f aca="false">IF($B447="","",IF(NOT(ISNUMBER($B447)),"日期格式不对",IF($C447="","未选资金账户",IF(AND(N($I447)=0,N($J447)=0),"收支都为空",IF(AND(N($I447)&gt;0,N($J447)&gt;0),"收支不能同时填",IF(AND($D447&lt;&gt;"",LEFT($O447,1)="⚠"),"项目编号不存在",IF(AND($M447="是",$F447=""),"工程回款必须填往来单位","√")))))))</f>
        <v/>
      </c>
      <c r="O447" s="16" t="str">
        <f aca="false">IF($D447="","",IFERROR(INDEX(对照清单!$B$5:$B$60,MATCH($D447,对照清单!$A$5:$A$60,0)),"⚠编号不存在"))</f>
        <v/>
      </c>
      <c r="P447" s="10" t="str">
        <f aca="false">IF($B447="","",IF(ISNUMBER($B447),TEXT($B447,"yyyy-mm"),"日期非法"))</f>
        <v/>
      </c>
      <c r="Q447" s="10" t="str">
        <f aca="false">IF($B447="","",IF(ISNUMBER($B447),YEAR($B447),"日期非法"))</f>
        <v/>
      </c>
    </row>
    <row r="448" customFormat="false" ht="15.75" hidden="false" customHeight="true" outlineLevel="0" collapsed="false">
      <c r="A448" s="10" t="str">
        <f aca="false">IF($B448="","",ROW()-4)</f>
        <v/>
      </c>
      <c r="B448" s="11"/>
      <c r="C448" s="12"/>
      <c r="D448" s="12"/>
      <c r="E448" s="12"/>
      <c r="F448" s="12"/>
      <c r="G448" s="12"/>
      <c r="H448" s="13"/>
      <c r="I448" s="4"/>
      <c r="J448" s="4"/>
      <c r="K448" s="14" t="str">
        <f aca="false">IF($B448="","",IF($C448="泓普",$C$2,IF($C448="仟茂",$E$2,IF($C448="现金",$G$2,0)))+SUMIFS($I$5:$I448,$C$5:$C448,$C448)-SUMIFS($J$5:$J448,$C$5:$C448,$C448))</f>
        <v/>
      </c>
      <c r="L448" s="14" t="str">
        <f aca="false">IF($B448="","",$C$2+$E$2+$G$2+SUM($I$5:$I448)-SUM($J$5:$J448))</f>
        <v/>
      </c>
      <c r="M448" s="12"/>
      <c r="N448" s="15" t="str">
        <f aca="false">IF($B448="","",IF(NOT(ISNUMBER($B448)),"日期格式不对",IF($C448="","未选资金账户",IF(AND(N($I448)=0,N($J448)=0),"收支都为空",IF(AND(N($I448)&gt;0,N($J448)&gt;0),"收支不能同时填",IF(AND($D448&lt;&gt;"",LEFT($O448,1)="⚠"),"项目编号不存在",IF(AND($M448="是",$F448=""),"工程回款必须填往来单位","√")))))))</f>
        <v/>
      </c>
      <c r="O448" s="16" t="str">
        <f aca="false">IF($D448="","",IFERROR(INDEX(对照清单!$B$5:$B$60,MATCH($D448,对照清单!$A$5:$A$60,0)),"⚠编号不存在"))</f>
        <v/>
      </c>
      <c r="P448" s="10" t="str">
        <f aca="false">IF($B448="","",IF(ISNUMBER($B448),TEXT($B448,"yyyy-mm"),"日期非法"))</f>
        <v/>
      </c>
      <c r="Q448" s="10" t="str">
        <f aca="false">IF($B448="","",IF(ISNUMBER($B448),YEAR($B448),"日期非法"))</f>
        <v/>
      </c>
    </row>
    <row r="449" customFormat="false" ht="15.75" hidden="false" customHeight="true" outlineLevel="0" collapsed="false">
      <c r="A449" s="10" t="str">
        <f aca="false">IF($B449="","",ROW()-4)</f>
        <v/>
      </c>
      <c r="B449" s="11"/>
      <c r="C449" s="12"/>
      <c r="D449" s="12"/>
      <c r="E449" s="12"/>
      <c r="F449" s="12"/>
      <c r="G449" s="12"/>
      <c r="H449" s="13"/>
      <c r="I449" s="4"/>
      <c r="J449" s="4"/>
      <c r="K449" s="14" t="str">
        <f aca="false">IF($B449="","",IF($C449="泓普",$C$2,IF($C449="仟茂",$E$2,IF($C449="现金",$G$2,0)))+SUMIFS($I$5:$I449,$C$5:$C449,$C449)-SUMIFS($J$5:$J449,$C$5:$C449,$C449))</f>
        <v/>
      </c>
      <c r="L449" s="14" t="str">
        <f aca="false">IF($B449="","",$C$2+$E$2+$G$2+SUM($I$5:$I449)-SUM($J$5:$J449))</f>
        <v/>
      </c>
      <c r="M449" s="12"/>
      <c r="N449" s="15" t="str">
        <f aca="false">IF($B449="","",IF(NOT(ISNUMBER($B449)),"日期格式不对",IF($C449="","未选资金账户",IF(AND(N($I449)=0,N($J449)=0),"收支都为空",IF(AND(N($I449)&gt;0,N($J449)&gt;0),"收支不能同时填",IF(AND($D449&lt;&gt;"",LEFT($O449,1)="⚠"),"项目编号不存在",IF(AND($M449="是",$F449=""),"工程回款必须填往来单位","√")))))))</f>
        <v/>
      </c>
      <c r="O449" s="16" t="str">
        <f aca="false">IF($D449="","",IFERROR(INDEX(对照清单!$B$5:$B$60,MATCH($D449,对照清单!$A$5:$A$60,0)),"⚠编号不存在"))</f>
        <v/>
      </c>
      <c r="P449" s="10" t="str">
        <f aca="false">IF($B449="","",IF(ISNUMBER($B449),TEXT($B449,"yyyy-mm"),"日期非法"))</f>
        <v/>
      </c>
      <c r="Q449" s="10" t="str">
        <f aca="false">IF($B449="","",IF(ISNUMBER($B449),YEAR($B449),"日期非法"))</f>
        <v/>
      </c>
    </row>
    <row r="450" customFormat="false" ht="15.75" hidden="false" customHeight="true" outlineLevel="0" collapsed="false">
      <c r="A450" s="10" t="str">
        <f aca="false">IF($B450="","",ROW()-4)</f>
        <v/>
      </c>
      <c r="B450" s="11"/>
      <c r="C450" s="12"/>
      <c r="D450" s="12"/>
      <c r="E450" s="12"/>
      <c r="F450" s="12"/>
      <c r="G450" s="12"/>
      <c r="H450" s="13"/>
      <c r="I450" s="4"/>
      <c r="J450" s="4"/>
      <c r="K450" s="14" t="str">
        <f aca="false">IF($B450="","",IF($C450="泓普",$C$2,IF($C450="仟茂",$E$2,IF($C450="现金",$G$2,0)))+SUMIFS($I$5:$I450,$C$5:$C450,$C450)-SUMIFS($J$5:$J450,$C$5:$C450,$C450))</f>
        <v/>
      </c>
      <c r="L450" s="14" t="str">
        <f aca="false">IF($B450="","",$C$2+$E$2+$G$2+SUM($I$5:$I450)-SUM($J$5:$J450))</f>
        <v/>
      </c>
      <c r="M450" s="12"/>
      <c r="N450" s="15" t="str">
        <f aca="false">IF($B450="","",IF(NOT(ISNUMBER($B450)),"日期格式不对",IF($C450="","未选资金账户",IF(AND(N($I450)=0,N($J450)=0),"收支都为空",IF(AND(N($I450)&gt;0,N($J450)&gt;0),"收支不能同时填",IF(AND($D450&lt;&gt;"",LEFT($O450,1)="⚠"),"项目编号不存在",IF(AND($M450="是",$F450=""),"工程回款必须填往来单位","√")))))))</f>
        <v/>
      </c>
      <c r="O450" s="16" t="str">
        <f aca="false">IF($D450="","",IFERROR(INDEX(对照清单!$B$5:$B$60,MATCH($D450,对照清单!$A$5:$A$60,0)),"⚠编号不存在"))</f>
        <v/>
      </c>
      <c r="P450" s="10" t="str">
        <f aca="false">IF($B450="","",IF(ISNUMBER($B450),TEXT($B450,"yyyy-mm"),"日期非法"))</f>
        <v/>
      </c>
      <c r="Q450" s="10" t="str">
        <f aca="false">IF($B450="","",IF(ISNUMBER($B450),YEAR($B450),"日期非法"))</f>
        <v/>
      </c>
    </row>
    <row r="451" customFormat="false" ht="15.75" hidden="false" customHeight="true" outlineLevel="0" collapsed="false">
      <c r="A451" s="10" t="str">
        <f aca="false">IF($B451="","",ROW()-4)</f>
        <v/>
      </c>
      <c r="B451" s="11"/>
      <c r="C451" s="12"/>
      <c r="D451" s="12"/>
      <c r="E451" s="12"/>
      <c r="F451" s="12"/>
      <c r="G451" s="12"/>
      <c r="H451" s="13"/>
      <c r="I451" s="4"/>
      <c r="J451" s="4"/>
      <c r="K451" s="14" t="str">
        <f aca="false">IF($B451="","",IF($C451="泓普",$C$2,IF($C451="仟茂",$E$2,IF($C451="现金",$G$2,0)))+SUMIFS($I$5:$I451,$C$5:$C451,$C451)-SUMIFS($J$5:$J451,$C$5:$C451,$C451))</f>
        <v/>
      </c>
      <c r="L451" s="14" t="str">
        <f aca="false">IF($B451="","",$C$2+$E$2+$G$2+SUM($I$5:$I451)-SUM($J$5:$J451))</f>
        <v/>
      </c>
      <c r="M451" s="12"/>
      <c r="N451" s="15" t="str">
        <f aca="false">IF($B451="","",IF(NOT(ISNUMBER($B451)),"日期格式不对",IF($C451="","未选资金账户",IF(AND(N($I451)=0,N($J451)=0),"收支都为空",IF(AND(N($I451)&gt;0,N($J451)&gt;0),"收支不能同时填",IF(AND($D451&lt;&gt;"",LEFT($O451,1)="⚠"),"项目编号不存在",IF(AND($M451="是",$F451=""),"工程回款必须填往来单位","√")))))))</f>
        <v/>
      </c>
      <c r="O451" s="16" t="str">
        <f aca="false">IF($D451="","",IFERROR(INDEX(对照清单!$B$5:$B$60,MATCH($D451,对照清单!$A$5:$A$60,0)),"⚠编号不存在"))</f>
        <v/>
      </c>
      <c r="P451" s="10" t="str">
        <f aca="false">IF($B451="","",IF(ISNUMBER($B451),TEXT($B451,"yyyy-mm"),"日期非法"))</f>
        <v/>
      </c>
      <c r="Q451" s="10" t="str">
        <f aca="false">IF($B451="","",IF(ISNUMBER($B451),YEAR($B451),"日期非法"))</f>
        <v/>
      </c>
    </row>
    <row r="452" customFormat="false" ht="15.75" hidden="false" customHeight="true" outlineLevel="0" collapsed="false">
      <c r="A452" s="10" t="str">
        <f aca="false">IF($B452="","",ROW()-4)</f>
        <v/>
      </c>
      <c r="B452" s="11"/>
      <c r="C452" s="12"/>
      <c r="D452" s="12"/>
      <c r="E452" s="12"/>
      <c r="F452" s="12"/>
      <c r="G452" s="12"/>
      <c r="H452" s="13"/>
      <c r="I452" s="4"/>
      <c r="J452" s="4"/>
      <c r="K452" s="14" t="str">
        <f aca="false">IF($B452="","",IF($C452="泓普",$C$2,IF($C452="仟茂",$E$2,IF($C452="现金",$G$2,0)))+SUMIFS($I$5:$I452,$C$5:$C452,$C452)-SUMIFS($J$5:$J452,$C$5:$C452,$C452))</f>
        <v/>
      </c>
      <c r="L452" s="14" t="str">
        <f aca="false">IF($B452="","",$C$2+$E$2+$G$2+SUM($I$5:$I452)-SUM($J$5:$J452))</f>
        <v/>
      </c>
      <c r="M452" s="12"/>
      <c r="N452" s="15" t="str">
        <f aca="false">IF($B452="","",IF(NOT(ISNUMBER($B452)),"日期格式不对",IF($C452="","未选资金账户",IF(AND(N($I452)=0,N($J452)=0),"收支都为空",IF(AND(N($I452)&gt;0,N($J452)&gt;0),"收支不能同时填",IF(AND($D452&lt;&gt;"",LEFT($O452,1)="⚠"),"项目编号不存在",IF(AND($M452="是",$F452=""),"工程回款必须填往来单位","√")))))))</f>
        <v/>
      </c>
      <c r="O452" s="16" t="str">
        <f aca="false">IF($D452="","",IFERROR(INDEX(对照清单!$B$5:$B$60,MATCH($D452,对照清单!$A$5:$A$60,0)),"⚠编号不存在"))</f>
        <v/>
      </c>
      <c r="P452" s="10" t="str">
        <f aca="false">IF($B452="","",IF(ISNUMBER($B452),TEXT($B452,"yyyy-mm"),"日期非法"))</f>
        <v/>
      </c>
      <c r="Q452" s="10" t="str">
        <f aca="false">IF($B452="","",IF(ISNUMBER($B452),YEAR($B452),"日期非法"))</f>
        <v/>
      </c>
    </row>
    <row r="453" customFormat="false" ht="15.75" hidden="false" customHeight="true" outlineLevel="0" collapsed="false">
      <c r="A453" s="10" t="str">
        <f aca="false">IF($B453="","",ROW()-4)</f>
        <v/>
      </c>
      <c r="B453" s="11"/>
      <c r="C453" s="12"/>
      <c r="D453" s="12"/>
      <c r="E453" s="12"/>
      <c r="F453" s="12"/>
      <c r="G453" s="12"/>
      <c r="H453" s="13"/>
      <c r="I453" s="4"/>
      <c r="J453" s="4"/>
      <c r="K453" s="14" t="str">
        <f aca="false">IF($B453="","",IF($C453="泓普",$C$2,IF($C453="仟茂",$E$2,IF($C453="现金",$G$2,0)))+SUMIFS($I$5:$I453,$C$5:$C453,$C453)-SUMIFS($J$5:$J453,$C$5:$C453,$C453))</f>
        <v/>
      </c>
      <c r="L453" s="14" t="str">
        <f aca="false">IF($B453="","",$C$2+$E$2+$G$2+SUM($I$5:$I453)-SUM($J$5:$J453))</f>
        <v/>
      </c>
      <c r="M453" s="12"/>
      <c r="N453" s="15" t="str">
        <f aca="false">IF($B453="","",IF(NOT(ISNUMBER($B453)),"日期格式不对",IF($C453="","未选资金账户",IF(AND(N($I453)=0,N($J453)=0),"收支都为空",IF(AND(N($I453)&gt;0,N($J453)&gt;0),"收支不能同时填",IF(AND($D453&lt;&gt;"",LEFT($O453,1)="⚠"),"项目编号不存在",IF(AND($M453="是",$F453=""),"工程回款必须填往来单位","√")))))))</f>
        <v/>
      </c>
      <c r="O453" s="16" t="str">
        <f aca="false">IF($D453="","",IFERROR(INDEX(对照清单!$B$5:$B$60,MATCH($D453,对照清单!$A$5:$A$60,0)),"⚠编号不存在"))</f>
        <v/>
      </c>
      <c r="P453" s="10" t="str">
        <f aca="false">IF($B453="","",IF(ISNUMBER($B453),TEXT($B453,"yyyy-mm"),"日期非法"))</f>
        <v/>
      </c>
      <c r="Q453" s="10" t="str">
        <f aca="false">IF($B453="","",IF(ISNUMBER($B453),YEAR($B453),"日期非法"))</f>
        <v/>
      </c>
    </row>
    <row r="454" customFormat="false" ht="15.75" hidden="false" customHeight="true" outlineLevel="0" collapsed="false">
      <c r="A454" s="10" t="str">
        <f aca="false">IF($B454="","",ROW()-4)</f>
        <v/>
      </c>
      <c r="B454" s="11"/>
      <c r="C454" s="12"/>
      <c r="D454" s="12"/>
      <c r="E454" s="12"/>
      <c r="F454" s="12"/>
      <c r="G454" s="12"/>
      <c r="H454" s="13"/>
      <c r="I454" s="4"/>
      <c r="J454" s="4"/>
      <c r="K454" s="14" t="str">
        <f aca="false">IF($B454="","",IF($C454="泓普",$C$2,IF($C454="仟茂",$E$2,IF($C454="现金",$G$2,0)))+SUMIFS($I$5:$I454,$C$5:$C454,$C454)-SUMIFS($J$5:$J454,$C$5:$C454,$C454))</f>
        <v/>
      </c>
      <c r="L454" s="14" t="str">
        <f aca="false">IF($B454="","",$C$2+$E$2+$G$2+SUM($I$5:$I454)-SUM($J$5:$J454))</f>
        <v/>
      </c>
      <c r="M454" s="12"/>
      <c r="N454" s="15" t="str">
        <f aca="false">IF($B454="","",IF(NOT(ISNUMBER($B454)),"日期格式不对",IF($C454="","未选资金账户",IF(AND(N($I454)=0,N($J454)=0),"收支都为空",IF(AND(N($I454)&gt;0,N($J454)&gt;0),"收支不能同时填",IF(AND($D454&lt;&gt;"",LEFT($O454,1)="⚠"),"项目编号不存在",IF(AND($M454="是",$F454=""),"工程回款必须填往来单位","√")))))))</f>
        <v/>
      </c>
      <c r="O454" s="16" t="str">
        <f aca="false">IF($D454="","",IFERROR(INDEX(对照清单!$B$5:$B$60,MATCH($D454,对照清单!$A$5:$A$60,0)),"⚠编号不存在"))</f>
        <v/>
      </c>
      <c r="P454" s="10" t="str">
        <f aca="false">IF($B454="","",IF(ISNUMBER($B454),TEXT($B454,"yyyy-mm"),"日期非法"))</f>
        <v/>
      </c>
      <c r="Q454" s="10" t="str">
        <f aca="false">IF($B454="","",IF(ISNUMBER($B454),YEAR($B454),"日期非法"))</f>
        <v/>
      </c>
    </row>
    <row r="455" customFormat="false" ht="15.75" hidden="false" customHeight="true" outlineLevel="0" collapsed="false">
      <c r="A455" s="10" t="str">
        <f aca="false">IF($B455="","",ROW()-4)</f>
        <v/>
      </c>
      <c r="B455" s="11"/>
      <c r="C455" s="12"/>
      <c r="D455" s="12"/>
      <c r="E455" s="12"/>
      <c r="F455" s="12"/>
      <c r="G455" s="12"/>
      <c r="H455" s="13"/>
      <c r="I455" s="4"/>
      <c r="J455" s="4"/>
      <c r="K455" s="14" t="str">
        <f aca="false">IF($B455="","",IF($C455="泓普",$C$2,IF($C455="仟茂",$E$2,IF($C455="现金",$G$2,0)))+SUMIFS($I$5:$I455,$C$5:$C455,$C455)-SUMIFS($J$5:$J455,$C$5:$C455,$C455))</f>
        <v/>
      </c>
      <c r="L455" s="14" t="str">
        <f aca="false">IF($B455="","",$C$2+$E$2+$G$2+SUM($I$5:$I455)-SUM($J$5:$J455))</f>
        <v/>
      </c>
      <c r="M455" s="12"/>
      <c r="N455" s="15" t="str">
        <f aca="false">IF($B455="","",IF(NOT(ISNUMBER($B455)),"日期格式不对",IF($C455="","未选资金账户",IF(AND(N($I455)=0,N($J455)=0),"收支都为空",IF(AND(N($I455)&gt;0,N($J455)&gt;0),"收支不能同时填",IF(AND($D455&lt;&gt;"",LEFT($O455,1)="⚠"),"项目编号不存在",IF(AND($M455="是",$F455=""),"工程回款必须填往来单位","√")))))))</f>
        <v/>
      </c>
      <c r="O455" s="16" t="str">
        <f aca="false">IF($D455="","",IFERROR(INDEX(对照清单!$B$5:$B$60,MATCH($D455,对照清单!$A$5:$A$60,0)),"⚠编号不存在"))</f>
        <v/>
      </c>
      <c r="P455" s="10" t="str">
        <f aca="false">IF($B455="","",IF(ISNUMBER($B455),TEXT($B455,"yyyy-mm"),"日期非法"))</f>
        <v/>
      </c>
      <c r="Q455" s="10" t="str">
        <f aca="false">IF($B455="","",IF(ISNUMBER($B455),YEAR($B455),"日期非法"))</f>
        <v/>
      </c>
    </row>
    <row r="456" customFormat="false" ht="15.75" hidden="false" customHeight="true" outlineLevel="0" collapsed="false">
      <c r="A456" s="10" t="str">
        <f aca="false">IF($B456="","",ROW()-4)</f>
        <v/>
      </c>
      <c r="B456" s="11"/>
      <c r="C456" s="12"/>
      <c r="D456" s="12"/>
      <c r="E456" s="12"/>
      <c r="F456" s="12"/>
      <c r="G456" s="12"/>
      <c r="H456" s="13"/>
      <c r="I456" s="4"/>
      <c r="J456" s="4"/>
      <c r="K456" s="14" t="str">
        <f aca="false">IF($B456="","",IF($C456="泓普",$C$2,IF($C456="仟茂",$E$2,IF($C456="现金",$G$2,0)))+SUMIFS($I$5:$I456,$C$5:$C456,$C456)-SUMIFS($J$5:$J456,$C$5:$C456,$C456))</f>
        <v/>
      </c>
      <c r="L456" s="14" t="str">
        <f aca="false">IF($B456="","",$C$2+$E$2+$G$2+SUM($I$5:$I456)-SUM($J$5:$J456))</f>
        <v/>
      </c>
      <c r="M456" s="12"/>
      <c r="N456" s="15" t="str">
        <f aca="false">IF($B456="","",IF(NOT(ISNUMBER($B456)),"日期格式不对",IF($C456="","未选资金账户",IF(AND(N($I456)=0,N($J456)=0),"收支都为空",IF(AND(N($I456)&gt;0,N($J456)&gt;0),"收支不能同时填",IF(AND($D456&lt;&gt;"",LEFT($O456,1)="⚠"),"项目编号不存在",IF(AND($M456="是",$F456=""),"工程回款必须填往来单位","√")))))))</f>
        <v/>
      </c>
      <c r="O456" s="16" t="str">
        <f aca="false">IF($D456="","",IFERROR(INDEX(对照清单!$B$5:$B$60,MATCH($D456,对照清单!$A$5:$A$60,0)),"⚠编号不存在"))</f>
        <v/>
      </c>
      <c r="P456" s="10" t="str">
        <f aca="false">IF($B456="","",IF(ISNUMBER($B456),TEXT($B456,"yyyy-mm"),"日期非法"))</f>
        <v/>
      </c>
      <c r="Q456" s="10" t="str">
        <f aca="false">IF($B456="","",IF(ISNUMBER($B456),YEAR($B456),"日期非法"))</f>
        <v/>
      </c>
    </row>
    <row r="457" customFormat="false" ht="15.75" hidden="false" customHeight="true" outlineLevel="0" collapsed="false">
      <c r="A457" s="10" t="str">
        <f aca="false">IF($B457="","",ROW()-4)</f>
        <v/>
      </c>
      <c r="B457" s="11"/>
      <c r="C457" s="12"/>
      <c r="D457" s="12"/>
      <c r="E457" s="12"/>
      <c r="F457" s="12"/>
      <c r="G457" s="12"/>
      <c r="H457" s="13"/>
      <c r="I457" s="4"/>
      <c r="J457" s="4"/>
      <c r="K457" s="14" t="str">
        <f aca="false">IF($B457="","",IF($C457="泓普",$C$2,IF($C457="仟茂",$E$2,IF($C457="现金",$G$2,0)))+SUMIFS($I$5:$I457,$C$5:$C457,$C457)-SUMIFS($J$5:$J457,$C$5:$C457,$C457))</f>
        <v/>
      </c>
      <c r="L457" s="14" t="str">
        <f aca="false">IF($B457="","",$C$2+$E$2+$G$2+SUM($I$5:$I457)-SUM($J$5:$J457))</f>
        <v/>
      </c>
      <c r="M457" s="12"/>
      <c r="N457" s="15" t="str">
        <f aca="false">IF($B457="","",IF(NOT(ISNUMBER($B457)),"日期格式不对",IF($C457="","未选资金账户",IF(AND(N($I457)=0,N($J457)=0),"收支都为空",IF(AND(N($I457)&gt;0,N($J457)&gt;0),"收支不能同时填",IF(AND($D457&lt;&gt;"",LEFT($O457,1)="⚠"),"项目编号不存在",IF(AND($M457="是",$F457=""),"工程回款必须填往来单位","√")))))))</f>
        <v/>
      </c>
      <c r="O457" s="16" t="str">
        <f aca="false">IF($D457="","",IFERROR(INDEX(对照清单!$B$5:$B$60,MATCH($D457,对照清单!$A$5:$A$60,0)),"⚠编号不存在"))</f>
        <v/>
      </c>
      <c r="P457" s="10" t="str">
        <f aca="false">IF($B457="","",IF(ISNUMBER($B457),TEXT($B457,"yyyy-mm"),"日期非法"))</f>
        <v/>
      </c>
      <c r="Q457" s="10" t="str">
        <f aca="false">IF($B457="","",IF(ISNUMBER($B457),YEAR($B457),"日期非法"))</f>
        <v/>
      </c>
    </row>
    <row r="458" customFormat="false" ht="15.75" hidden="false" customHeight="true" outlineLevel="0" collapsed="false">
      <c r="A458" s="10" t="str">
        <f aca="false">IF($B458="","",ROW()-4)</f>
        <v/>
      </c>
      <c r="B458" s="11"/>
      <c r="C458" s="12"/>
      <c r="D458" s="12"/>
      <c r="E458" s="12"/>
      <c r="F458" s="12"/>
      <c r="G458" s="12"/>
      <c r="H458" s="13"/>
      <c r="I458" s="4"/>
      <c r="J458" s="4"/>
      <c r="K458" s="14" t="str">
        <f aca="false">IF($B458="","",IF($C458="泓普",$C$2,IF($C458="仟茂",$E$2,IF($C458="现金",$G$2,0)))+SUMIFS($I$5:$I458,$C$5:$C458,$C458)-SUMIFS($J$5:$J458,$C$5:$C458,$C458))</f>
        <v/>
      </c>
      <c r="L458" s="14" t="str">
        <f aca="false">IF($B458="","",$C$2+$E$2+$G$2+SUM($I$5:$I458)-SUM($J$5:$J458))</f>
        <v/>
      </c>
      <c r="M458" s="12"/>
      <c r="N458" s="15" t="str">
        <f aca="false">IF($B458="","",IF(NOT(ISNUMBER($B458)),"日期格式不对",IF($C458="","未选资金账户",IF(AND(N($I458)=0,N($J458)=0),"收支都为空",IF(AND(N($I458)&gt;0,N($J458)&gt;0),"收支不能同时填",IF(AND($D458&lt;&gt;"",LEFT($O458,1)="⚠"),"项目编号不存在",IF(AND($M458="是",$F458=""),"工程回款必须填往来单位","√")))))))</f>
        <v/>
      </c>
      <c r="O458" s="16" t="str">
        <f aca="false">IF($D458="","",IFERROR(INDEX(对照清单!$B$5:$B$60,MATCH($D458,对照清单!$A$5:$A$60,0)),"⚠编号不存在"))</f>
        <v/>
      </c>
      <c r="P458" s="10" t="str">
        <f aca="false">IF($B458="","",IF(ISNUMBER($B458),TEXT($B458,"yyyy-mm"),"日期非法"))</f>
        <v/>
      </c>
      <c r="Q458" s="10" t="str">
        <f aca="false">IF($B458="","",IF(ISNUMBER($B458),YEAR($B458),"日期非法"))</f>
        <v/>
      </c>
    </row>
    <row r="459" customFormat="false" ht="15.75" hidden="false" customHeight="true" outlineLevel="0" collapsed="false">
      <c r="A459" s="10" t="str">
        <f aca="false">IF($B459="","",ROW()-4)</f>
        <v/>
      </c>
      <c r="B459" s="11"/>
      <c r="C459" s="12"/>
      <c r="D459" s="12"/>
      <c r="E459" s="12"/>
      <c r="F459" s="12"/>
      <c r="G459" s="12"/>
      <c r="H459" s="13"/>
      <c r="I459" s="4"/>
      <c r="J459" s="4"/>
      <c r="K459" s="14" t="str">
        <f aca="false">IF($B459="","",IF($C459="泓普",$C$2,IF($C459="仟茂",$E$2,IF($C459="现金",$G$2,0)))+SUMIFS($I$5:$I459,$C$5:$C459,$C459)-SUMIFS($J$5:$J459,$C$5:$C459,$C459))</f>
        <v/>
      </c>
      <c r="L459" s="14" t="str">
        <f aca="false">IF($B459="","",$C$2+$E$2+$G$2+SUM($I$5:$I459)-SUM($J$5:$J459))</f>
        <v/>
      </c>
      <c r="M459" s="12"/>
      <c r="N459" s="15" t="str">
        <f aca="false">IF($B459="","",IF(NOT(ISNUMBER($B459)),"日期格式不对",IF($C459="","未选资金账户",IF(AND(N($I459)=0,N($J459)=0),"收支都为空",IF(AND(N($I459)&gt;0,N($J459)&gt;0),"收支不能同时填",IF(AND($D459&lt;&gt;"",LEFT($O459,1)="⚠"),"项目编号不存在",IF(AND($M459="是",$F459=""),"工程回款必须填往来单位","√")))))))</f>
        <v/>
      </c>
      <c r="O459" s="16" t="str">
        <f aca="false">IF($D459="","",IFERROR(INDEX(对照清单!$B$5:$B$60,MATCH($D459,对照清单!$A$5:$A$60,0)),"⚠编号不存在"))</f>
        <v/>
      </c>
      <c r="P459" s="10" t="str">
        <f aca="false">IF($B459="","",IF(ISNUMBER($B459),TEXT($B459,"yyyy-mm"),"日期非法"))</f>
        <v/>
      </c>
      <c r="Q459" s="10" t="str">
        <f aca="false">IF($B459="","",IF(ISNUMBER($B459),YEAR($B459),"日期非法"))</f>
        <v/>
      </c>
    </row>
    <row r="460" customFormat="false" ht="15.75" hidden="false" customHeight="true" outlineLevel="0" collapsed="false">
      <c r="A460" s="10" t="str">
        <f aca="false">IF($B460="","",ROW()-4)</f>
        <v/>
      </c>
      <c r="B460" s="11"/>
      <c r="C460" s="12"/>
      <c r="D460" s="12"/>
      <c r="E460" s="12"/>
      <c r="F460" s="12"/>
      <c r="G460" s="12"/>
      <c r="H460" s="13"/>
      <c r="I460" s="4"/>
      <c r="J460" s="4"/>
      <c r="K460" s="14" t="str">
        <f aca="false">IF($B460="","",IF($C460="泓普",$C$2,IF($C460="仟茂",$E$2,IF($C460="现金",$G$2,0)))+SUMIFS($I$5:$I460,$C$5:$C460,$C460)-SUMIFS($J$5:$J460,$C$5:$C460,$C460))</f>
        <v/>
      </c>
      <c r="L460" s="14" t="str">
        <f aca="false">IF($B460="","",$C$2+$E$2+$G$2+SUM($I$5:$I460)-SUM($J$5:$J460))</f>
        <v/>
      </c>
      <c r="M460" s="12"/>
      <c r="N460" s="15" t="str">
        <f aca="false">IF($B460="","",IF(NOT(ISNUMBER($B460)),"日期格式不对",IF($C460="","未选资金账户",IF(AND(N($I460)=0,N($J460)=0),"收支都为空",IF(AND(N($I460)&gt;0,N($J460)&gt;0),"收支不能同时填",IF(AND($D460&lt;&gt;"",LEFT($O460,1)="⚠"),"项目编号不存在",IF(AND($M460="是",$F460=""),"工程回款必须填往来单位","√")))))))</f>
        <v/>
      </c>
      <c r="O460" s="16" t="str">
        <f aca="false">IF($D460="","",IFERROR(INDEX(对照清单!$B$5:$B$60,MATCH($D460,对照清单!$A$5:$A$60,0)),"⚠编号不存在"))</f>
        <v/>
      </c>
      <c r="P460" s="10" t="str">
        <f aca="false">IF($B460="","",IF(ISNUMBER($B460),TEXT($B460,"yyyy-mm"),"日期非法"))</f>
        <v/>
      </c>
      <c r="Q460" s="10" t="str">
        <f aca="false">IF($B460="","",IF(ISNUMBER($B460),YEAR($B460),"日期非法"))</f>
        <v/>
      </c>
    </row>
    <row r="461" customFormat="false" ht="15.75" hidden="false" customHeight="true" outlineLevel="0" collapsed="false">
      <c r="A461" s="10" t="str">
        <f aca="false">IF($B461="","",ROW()-4)</f>
        <v/>
      </c>
      <c r="B461" s="11"/>
      <c r="C461" s="12"/>
      <c r="D461" s="12"/>
      <c r="E461" s="12"/>
      <c r="F461" s="12"/>
      <c r="G461" s="12"/>
      <c r="H461" s="13"/>
      <c r="I461" s="4"/>
      <c r="J461" s="4"/>
      <c r="K461" s="14" t="str">
        <f aca="false">IF($B461="","",IF($C461="泓普",$C$2,IF($C461="仟茂",$E$2,IF($C461="现金",$G$2,0)))+SUMIFS($I$5:$I461,$C$5:$C461,$C461)-SUMIFS($J$5:$J461,$C$5:$C461,$C461))</f>
        <v/>
      </c>
      <c r="L461" s="14" t="str">
        <f aca="false">IF($B461="","",$C$2+$E$2+$G$2+SUM($I$5:$I461)-SUM($J$5:$J461))</f>
        <v/>
      </c>
      <c r="M461" s="12"/>
      <c r="N461" s="15" t="str">
        <f aca="false">IF($B461="","",IF(NOT(ISNUMBER($B461)),"日期格式不对",IF($C461="","未选资金账户",IF(AND(N($I461)=0,N($J461)=0),"收支都为空",IF(AND(N($I461)&gt;0,N($J461)&gt;0),"收支不能同时填",IF(AND($D461&lt;&gt;"",LEFT($O461,1)="⚠"),"项目编号不存在",IF(AND($M461="是",$F461=""),"工程回款必须填往来单位","√")))))))</f>
        <v/>
      </c>
      <c r="O461" s="16" t="str">
        <f aca="false">IF($D461="","",IFERROR(INDEX(对照清单!$B$5:$B$60,MATCH($D461,对照清单!$A$5:$A$60,0)),"⚠编号不存在"))</f>
        <v/>
      </c>
      <c r="P461" s="10" t="str">
        <f aca="false">IF($B461="","",IF(ISNUMBER($B461),TEXT($B461,"yyyy-mm"),"日期非法"))</f>
        <v/>
      </c>
      <c r="Q461" s="10" t="str">
        <f aca="false">IF($B461="","",IF(ISNUMBER($B461),YEAR($B461),"日期非法"))</f>
        <v/>
      </c>
    </row>
    <row r="462" customFormat="false" ht="15.75" hidden="false" customHeight="true" outlineLevel="0" collapsed="false">
      <c r="A462" s="10" t="str">
        <f aca="false">IF($B462="","",ROW()-4)</f>
        <v/>
      </c>
      <c r="B462" s="11"/>
      <c r="C462" s="12"/>
      <c r="D462" s="12"/>
      <c r="E462" s="12"/>
      <c r="F462" s="12"/>
      <c r="G462" s="12"/>
      <c r="H462" s="13"/>
      <c r="I462" s="4"/>
      <c r="J462" s="4"/>
      <c r="K462" s="14" t="str">
        <f aca="false">IF($B462="","",IF($C462="泓普",$C$2,IF($C462="仟茂",$E$2,IF($C462="现金",$G$2,0)))+SUMIFS($I$5:$I462,$C$5:$C462,$C462)-SUMIFS($J$5:$J462,$C$5:$C462,$C462))</f>
        <v/>
      </c>
      <c r="L462" s="14" t="str">
        <f aca="false">IF($B462="","",$C$2+$E$2+$G$2+SUM($I$5:$I462)-SUM($J$5:$J462))</f>
        <v/>
      </c>
      <c r="M462" s="12"/>
      <c r="N462" s="15" t="str">
        <f aca="false">IF($B462="","",IF(NOT(ISNUMBER($B462)),"日期格式不对",IF($C462="","未选资金账户",IF(AND(N($I462)=0,N($J462)=0),"收支都为空",IF(AND(N($I462)&gt;0,N($J462)&gt;0),"收支不能同时填",IF(AND($D462&lt;&gt;"",LEFT($O462,1)="⚠"),"项目编号不存在",IF(AND($M462="是",$F462=""),"工程回款必须填往来单位","√")))))))</f>
        <v/>
      </c>
      <c r="O462" s="16" t="str">
        <f aca="false">IF($D462="","",IFERROR(INDEX(对照清单!$B$5:$B$60,MATCH($D462,对照清单!$A$5:$A$60,0)),"⚠编号不存在"))</f>
        <v/>
      </c>
      <c r="P462" s="10" t="str">
        <f aca="false">IF($B462="","",IF(ISNUMBER($B462),TEXT($B462,"yyyy-mm"),"日期非法"))</f>
        <v/>
      </c>
      <c r="Q462" s="10" t="str">
        <f aca="false">IF($B462="","",IF(ISNUMBER($B462),YEAR($B462),"日期非法"))</f>
        <v/>
      </c>
    </row>
    <row r="463" customFormat="false" ht="15.75" hidden="false" customHeight="true" outlineLevel="0" collapsed="false">
      <c r="A463" s="10" t="str">
        <f aca="false">IF($B463="","",ROW()-4)</f>
        <v/>
      </c>
      <c r="B463" s="11"/>
      <c r="C463" s="12"/>
      <c r="D463" s="12"/>
      <c r="E463" s="12"/>
      <c r="F463" s="12"/>
      <c r="G463" s="12"/>
      <c r="H463" s="13"/>
      <c r="I463" s="4"/>
      <c r="J463" s="4"/>
      <c r="K463" s="14" t="str">
        <f aca="false">IF($B463="","",IF($C463="泓普",$C$2,IF($C463="仟茂",$E$2,IF($C463="现金",$G$2,0)))+SUMIFS($I$5:$I463,$C$5:$C463,$C463)-SUMIFS($J$5:$J463,$C$5:$C463,$C463))</f>
        <v/>
      </c>
      <c r="L463" s="14" t="str">
        <f aca="false">IF($B463="","",$C$2+$E$2+$G$2+SUM($I$5:$I463)-SUM($J$5:$J463))</f>
        <v/>
      </c>
      <c r="M463" s="12"/>
      <c r="N463" s="15" t="str">
        <f aca="false">IF($B463="","",IF(NOT(ISNUMBER($B463)),"日期格式不对",IF($C463="","未选资金账户",IF(AND(N($I463)=0,N($J463)=0),"收支都为空",IF(AND(N($I463)&gt;0,N($J463)&gt;0),"收支不能同时填",IF(AND($D463&lt;&gt;"",LEFT($O463,1)="⚠"),"项目编号不存在",IF(AND($M463="是",$F463=""),"工程回款必须填往来单位","√")))))))</f>
        <v/>
      </c>
      <c r="O463" s="16" t="str">
        <f aca="false">IF($D463="","",IFERROR(INDEX(对照清单!$B$5:$B$60,MATCH($D463,对照清单!$A$5:$A$60,0)),"⚠编号不存在"))</f>
        <v/>
      </c>
      <c r="P463" s="10" t="str">
        <f aca="false">IF($B463="","",IF(ISNUMBER($B463),TEXT($B463,"yyyy-mm"),"日期非法"))</f>
        <v/>
      </c>
      <c r="Q463" s="10" t="str">
        <f aca="false">IF($B463="","",IF(ISNUMBER($B463),YEAR($B463),"日期非法"))</f>
        <v/>
      </c>
    </row>
    <row r="464" customFormat="false" ht="15.75" hidden="false" customHeight="true" outlineLevel="0" collapsed="false">
      <c r="A464" s="10" t="str">
        <f aca="false">IF($B464="","",ROW()-4)</f>
        <v/>
      </c>
      <c r="B464" s="11"/>
      <c r="C464" s="12"/>
      <c r="D464" s="12"/>
      <c r="E464" s="12"/>
      <c r="F464" s="12"/>
      <c r="G464" s="12"/>
      <c r="H464" s="13"/>
      <c r="I464" s="4"/>
      <c r="J464" s="4"/>
      <c r="K464" s="14" t="str">
        <f aca="false">IF($B464="","",IF($C464="泓普",$C$2,IF($C464="仟茂",$E$2,IF($C464="现金",$G$2,0)))+SUMIFS($I$5:$I464,$C$5:$C464,$C464)-SUMIFS($J$5:$J464,$C$5:$C464,$C464))</f>
        <v/>
      </c>
      <c r="L464" s="14" t="str">
        <f aca="false">IF($B464="","",$C$2+$E$2+$G$2+SUM($I$5:$I464)-SUM($J$5:$J464))</f>
        <v/>
      </c>
      <c r="M464" s="12"/>
      <c r="N464" s="15" t="str">
        <f aca="false">IF($B464="","",IF(NOT(ISNUMBER($B464)),"日期格式不对",IF($C464="","未选资金账户",IF(AND(N($I464)=0,N($J464)=0),"收支都为空",IF(AND(N($I464)&gt;0,N($J464)&gt;0),"收支不能同时填",IF(AND($D464&lt;&gt;"",LEFT($O464,1)="⚠"),"项目编号不存在",IF(AND($M464="是",$F464=""),"工程回款必须填往来单位","√")))))))</f>
        <v/>
      </c>
      <c r="O464" s="16" t="str">
        <f aca="false">IF($D464="","",IFERROR(INDEX(对照清单!$B$5:$B$60,MATCH($D464,对照清单!$A$5:$A$60,0)),"⚠编号不存在"))</f>
        <v/>
      </c>
      <c r="P464" s="10" t="str">
        <f aca="false">IF($B464="","",IF(ISNUMBER($B464),TEXT($B464,"yyyy-mm"),"日期非法"))</f>
        <v/>
      </c>
      <c r="Q464" s="10" t="str">
        <f aca="false">IF($B464="","",IF(ISNUMBER($B464),YEAR($B464),"日期非法"))</f>
        <v/>
      </c>
    </row>
    <row r="465" customFormat="false" ht="15.75" hidden="false" customHeight="true" outlineLevel="0" collapsed="false">
      <c r="A465" s="10" t="str">
        <f aca="false">IF($B465="","",ROW()-4)</f>
        <v/>
      </c>
      <c r="B465" s="11"/>
      <c r="C465" s="12"/>
      <c r="D465" s="12"/>
      <c r="E465" s="12"/>
      <c r="F465" s="12"/>
      <c r="G465" s="12"/>
      <c r="H465" s="13"/>
      <c r="I465" s="4"/>
      <c r="J465" s="4"/>
      <c r="K465" s="14" t="str">
        <f aca="false">IF($B465="","",IF($C465="泓普",$C$2,IF($C465="仟茂",$E$2,IF($C465="现金",$G$2,0)))+SUMIFS($I$5:$I465,$C$5:$C465,$C465)-SUMIFS($J$5:$J465,$C$5:$C465,$C465))</f>
        <v/>
      </c>
      <c r="L465" s="14" t="str">
        <f aca="false">IF($B465="","",$C$2+$E$2+$G$2+SUM($I$5:$I465)-SUM($J$5:$J465))</f>
        <v/>
      </c>
      <c r="M465" s="12"/>
      <c r="N465" s="15" t="str">
        <f aca="false">IF($B465="","",IF(NOT(ISNUMBER($B465)),"日期格式不对",IF($C465="","未选资金账户",IF(AND(N($I465)=0,N($J465)=0),"收支都为空",IF(AND(N($I465)&gt;0,N($J465)&gt;0),"收支不能同时填",IF(AND($D465&lt;&gt;"",LEFT($O465,1)="⚠"),"项目编号不存在",IF(AND($M465="是",$F465=""),"工程回款必须填往来单位","√")))))))</f>
        <v/>
      </c>
      <c r="O465" s="16" t="str">
        <f aca="false">IF($D465="","",IFERROR(INDEX(对照清单!$B$5:$B$60,MATCH($D465,对照清单!$A$5:$A$60,0)),"⚠编号不存在"))</f>
        <v/>
      </c>
      <c r="P465" s="10" t="str">
        <f aca="false">IF($B465="","",IF(ISNUMBER($B465),TEXT($B465,"yyyy-mm"),"日期非法"))</f>
        <v/>
      </c>
      <c r="Q465" s="10" t="str">
        <f aca="false">IF($B465="","",IF(ISNUMBER($B465),YEAR($B465),"日期非法"))</f>
        <v/>
      </c>
    </row>
    <row r="466" customFormat="false" ht="15.75" hidden="false" customHeight="true" outlineLevel="0" collapsed="false">
      <c r="A466" s="10" t="str">
        <f aca="false">IF($B466="","",ROW()-4)</f>
        <v/>
      </c>
      <c r="B466" s="11"/>
      <c r="C466" s="12"/>
      <c r="D466" s="12"/>
      <c r="E466" s="12"/>
      <c r="F466" s="12"/>
      <c r="G466" s="12"/>
      <c r="H466" s="13"/>
      <c r="I466" s="4"/>
      <c r="J466" s="4"/>
      <c r="K466" s="14" t="str">
        <f aca="false">IF($B466="","",IF($C466="泓普",$C$2,IF($C466="仟茂",$E$2,IF($C466="现金",$G$2,0)))+SUMIFS($I$5:$I466,$C$5:$C466,$C466)-SUMIFS($J$5:$J466,$C$5:$C466,$C466))</f>
        <v/>
      </c>
      <c r="L466" s="14" t="str">
        <f aca="false">IF($B466="","",$C$2+$E$2+$G$2+SUM($I$5:$I466)-SUM($J$5:$J466))</f>
        <v/>
      </c>
      <c r="M466" s="12"/>
      <c r="N466" s="15" t="str">
        <f aca="false">IF($B466="","",IF(NOT(ISNUMBER($B466)),"日期格式不对",IF($C466="","未选资金账户",IF(AND(N($I466)=0,N($J466)=0),"收支都为空",IF(AND(N($I466)&gt;0,N($J466)&gt;0),"收支不能同时填",IF(AND($D466&lt;&gt;"",LEFT($O466,1)="⚠"),"项目编号不存在",IF(AND($M466="是",$F466=""),"工程回款必须填往来单位","√")))))))</f>
        <v/>
      </c>
      <c r="O466" s="16" t="str">
        <f aca="false">IF($D466="","",IFERROR(INDEX(对照清单!$B$5:$B$60,MATCH($D466,对照清单!$A$5:$A$60,0)),"⚠编号不存在"))</f>
        <v/>
      </c>
      <c r="P466" s="10" t="str">
        <f aca="false">IF($B466="","",IF(ISNUMBER($B466),TEXT($B466,"yyyy-mm"),"日期非法"))</f>
        <v/>
      </c>
      <c r="Q466" s="10" t="str">
        <f aca="false">IF($B466="","",IF(ISNUMBER($B466),YEAR($B466),"日期非法"))</f>
        <v/>
      </c>
    </row>
    <row r="467" customFormat="false" ht="15.75" hidden="false" customHeight="true" outlineLevel="0" collapsed="false">
      <c r="A467" s="10" t="str">
        <f aca="false">IF($B467="","",ROW()-4)</f>
        <v/>
      </c>
      <c r="B467" s="11"/>
      <c r="C467" s="12"/>
      <c r="D467" s="12"/>
      <c r="E467" s="12"/>
      <c r="F467" s="12"/>
      <c r="G467" s="12"/>
      <c r="H467" s="13"/>
      <c r="I467" s="4"/>
      <c r="J467" s="4"/>
      <c r="K467" s="14" t="str">
        <f aca="false">IF($B467="","",IF($C467="泓普",$C$2,IF($C467="仟茂",$E$2,IF($C467="现金",$G$2,0)))+SUMIFS($I$5:$I467,$C$5:$C467,$C467)-SUMIFS($J$5:$J467,$C$5:$C467,$C467))</f>
        <v/>
      </c>
      <c r="L467" s="14" t="str">
        <f aca="false">IF($B467="","",$C$2+$E$2+$G$2+SUM($I$5:$I467)-SUM($J$5:$J467))</f>
        <v/>
      </c>
      <c r="M467" s="12"/>
      <c r="N467" s="15" t="str">
        <f aca="false">IF($B467="","",IF(NOT(ISNUMBER($B467)),"日期格式不对",IF($C467="","未选资金账户",IF(AND(N($I467)=0,N($J467)=0),"收支都为空",IF(AND(N($I467)&gt;0,N($J467)&gt;0),"收支不能同时填",IF(AND($D467&lt;&gt;"",LEFT($O467,1)="⚠"),"项目编号不存在",IF(AND($M467="是",$F467=""),"工程回款必须填往来单位","√")))))))</f>
        <v/>
      </c>
      <c r="O467" s="16" t="str">
        <f aca="false">IF($D467="","",IFERROR(INDEX(对照清单!$B$5:$B$60,MATCH($D467,对照清单!$A$5:$A$60,0)),"⚠编号不存在"))</f>
        <v/>
      </c>
      <c r="P467" s="10" t="str">
        <f aca="false">IF($B467="","",IF(ISNUMBER($B467),TEXT($B467,"yyyy-mm"),"日期非法"))</f>
        <v/>
      </c>
      <c r="Q467" s="10" t="str">
        <f aca="false">IF($B467="","",IF(ISNUMBER($B467),YEAR($B467),"日期非法"))</f>
        <v/>
      </c>
    </row>
    <row r="468" customFormat="false" ht="15.75" hidden="false" customHeight="true" outlineLevel="0" collapsed="false">
      <c r="A468" s="10" t="str">
        <f aca="false">IF($B468="","",ROW()-4)</f>
        <v/>
      </c>
      <c r="B468" s="11"/>
      <c r="C468" s="12"/>
      <c r="D468" s="12"/>
      <c r="E468" s="12"/>
      <c r="F468" s="12"/>
      <c r="G468" s="12"/>
      <c r="H468" s="13"/>
      <c r="I468" s="4"/>
      <c r="J468" s="4"/>
      <c r="K468" s="14" t="str">
        <f aca="false">IF($B468="","",IF($C468="泓普",$C$2,IF($C468="仟茂",$E$2,IF($C468="现金",$G$2,0)))+SUMIFS($I$5:$I468,$C$5:$C468,$C468)-SUMIFS($J$5:$J468,$C$5:$C468,$C468))</f>
        <v/>
      </c>
      <c r="L468" s="14" t="str">
        <f aca="false">IF($B468="","",$C$2+$E$2+$G$2+SUM($I$5:$I468)-SUM($J$5:$J468))</f>
        <v/>
      </c>
      <c r="M468" s="12"/>
      <c r="N468" s="15" t="str">
        <f aca="false">IF($B468="","",IF(NOT(ISNUMBER($B468)),"日期格式不对",IF($C468="","未选资金账户",IF(AND(N($I468)=0,N($J468)=0),"收支都为空",IF(AND(N($I468)&gt;0,N($J468)&gt;0),"收支不能同时填",IF(AND($D468&lt;&gt;"",LEFT($O468,1)="⚠"),"项目编号不存在",IF(AND($M468="是",$F468=""),"工程回款必须填往来单位","√")))))))</f>
        <v/>
      </c>
      <c r="O468" s="16" t="str">
        <f aca="false">IF($D468="","",IFERROR(INDEX(对照清单!$B$5:$B$60,MATCH($D468,对照清单!$A$5:$A$60,0)),"⚠编号不存在"))</f>
        <v/>
      </c>
      <c r="P468" s="10" t="str">
        <f aca="false">IF($B468="","",IF(ISNUMBER($B468),TEXT($B468,"yyyy-mm"),"日期非法"))</f>
        <v/>
      </c>
      <c r="Q468" s="10" t="str">
        <f aca="false">IF($B468="","",IF(ISNUMBER($B468),YEAR($B468),"日期非法"))</f>
        <v/>
      </c>
    </row>
    <row r="469" customFormat="false" ht="15.75" hidden="false" customHeight="true" outlineLevel="0" collapsed="false">
      <c r="A469" s="10" t="str">
        <f aca="false">IF($B469="","",ROW()-4)</f>
        <v/>
      </c>
      <c r="B469" s="11"/>
      <c r="C469" s="12"/>
      <c r="D469" s="12"/>
      <c r="E469" s="12"/>
      <c r="F469" s="12"/>
      <c r="G469" s="12"/>
      <c r="H469" s="13"/>
      <c r="I469" s="4"/>
      <c r="J469" s="4"/>
      <c r="K469" s="14" t="str">
        <f aca="false">IF($B469="","",IF($C469="泓普",$C$2,IF($C469="仟茂",$E$2,IF($C469="现金",$G$2,0)))+SUMIFS($I$5:$I469,$C$5:$C469,$C469)-SUMIFS($J$5:$J469,$C$5:$C469,$C469))</f>
        <v/>
      </c>
      <c r="L469" s="14" t="str">
        <f aca="false">IF($B469="","",$C$2+$E$2+$G$2+SUM($I$5:$I469)-SUM($J$5:$J469))</f>
        <v/>
      </c>
      <c r="M469" s="12"/>
      <c r="N469" s="15" t="str">
        <f aca="false">IF($B469="","",IF(NOT(ISNUMBER($B469)),"日期格式不对",IF($C469="","未选资金账户",IF(AND(N($I469)=0,N($J469)=0),"收支都为空",IF(AND(N($I469)&gt;0,N($J469)&gt;0),"收支不能同时填",IF(AND($D469&lt;&gt;"",LEFT($O469,1)="⚠"),"项目编号不存在",IF(AND($M469="是",$F469=""),"工程回款必须填往来单位","√")))))))</f>
        <v/>
      </c>
      <c r="O469" s="16" t="str">
        <f aca="false">IF($D469="","",IFERROR(INDEX(对照清单!$B$5:$B$60,MATCH($D469,对照清单!$A$5:$A$60,0)),"⚠编号不存在"))</f>
        <v/>
      </c>
      <c r="P469" s="10" t="str">
        <f aca="false">IF($B469="","",IF(ISNUMBER($B469),TEXT($B469,"yyyy-mm"),"日期非法"))</f>
        <v/>
      </c>
      <c r="Q469" s="10" t="str">
        <f aca="false">IF($B469="","",IF(ISNUMBER($B469),YEAR($B469),"日期非法"))</f>
        <v/>
      </c>
    </row>
    <row r="470" customFormat="false" ht="15.75" hidden="false" customHeight="true" outlineLevel="0" collapsed="false">
      <c r="A470" s="10" t="str">
        <f aca="false">IF($B470="","",ROW()-4)</f>
        <v/>
      </c>
      <c r="B470" s="11"/>
      <c r="C470" s="12"/>
      <c r="D470" s="12"/>
      <c r="E470" s="12"/>
      <c r="F470" s="12"/>
      <c r="G470" s="12"/>
      <c r="H470" s="13"/>
      <c r="I470" s="4"/>
      <c r="J470" s="4"/>
      <c r="K470" s="14" t="str">
        <f aca="false">IF($B470="","",IF($C470="泓普",$C$2,IF($C470="仟茂",$E$2,IF($C470="现金",$G$2,0)))+SUMIFS($I$5:$I470,$C$5:$C470,$C470)-SUMIFS($J$5:$J470,$C$5:$C470,$C470))</f>
        <v/>
      </c>
      <c r="L470" s="14" t="str">
        <f aca="false">IF($B470="","",$C$2+$E$2+$G$2+SUM($I$5:$I470)-SUM($J$5:$J470))</f>
        <v/>
      </c>
      <c r="M470" s="12"/>
      <c r="N470" s="15" t="str">
        <f aca="false">IF($B470="","",IF(NOT(ISNUMBER($B470)),"日期格式不对",IF($C470="","未选资金账户",IF(AND(N($I470)=0,N($J470)=0),"收支都为空",IF(AND(N($I470)&gt;0,N($J470)&gt;0),"收支不能同时填",IF(AND($D470&lt;&gt;"",LEFT($O470,1)="⚠"),"项目编号不存在",IF(AND($M470="是",$F470=""),"工程回款必须填往来单位","√")))))))</f>
        <v/>
      </c>
      <c r="O470" s="16" t="str">
        <f aca="false">IF($D470="","",IFERROR(INDEX(对照清单!$B$5:$B$60,MATCH($D470,对照清单!$A$5:$A$60,0)),"⚠编号不存在"))</f>
        <v/>
      </c>
      <c r="P470" s="10" t="str">
        <f aca="false">IF($B470="","",IF(ISNUMBER($B470),TEXT($B470,"yyyy-mm"),"日期非法"))</f>
        <v/>
      </c>
      <c r="Q470" s="10" t="str">
        <f aca="false">IF($B470="","",IF(ISNUMBER($B470),YEAR($B470),"日期非法"))</f>
        <v/>
      </c>
    </row>
    <row r="471" customFormat="false" ht="15.75" hidden="false" customHeight="true" outlineLevel="0" collapsed="false">
      <c r="A471" s="10" t="str">
        <f aca="false">IF($B471="","",ROW()-4)</f>
        <v/>
      </c>
      <c r="B471" s="11"/>
      <c r="C471" s="12"/>
      <c r="D471" s="12"/>
      <c r="E471" s="12"/>
      <c r="F471" s="12"/>
      <c r="G471" s="12"/>
      <c r="H471" s="13"/>
      <c r="I471" s="4"/>
      <c r="J471" s="4"/>
      <c r="K471" s="14" t="str">
        <f aca="false">IF($B471="","",IF($C471="泓普",$C$2,IF($C471="仟茂",$E$2,IF($C471="现金",$G$2,0)))+SUMIFS($I$5:$I471,$C$5:$C471,$C471)-SUMIFS($J$5:$J471,$C$5:$C471,$C471))</f>
        <v/>
      </c>
      <c r="L471" s="14" t="str">
        <f aca="false">IF($B471="","",$C$2+$E$2+$G$2+SUM($I$5:$I471)-SUM($J$5:$J471))</f>
        <v/>
      </c>
      <c r="M471" s="12"/>
      <c r="N471" s="15" t="str">
        <f aca="false">IF($B471="","",IF(NOT(ISNUMBER($B471)),"日期格式不对",IF($C471="","未选资金账户",IF(AND(N($I471)=0,N($J471)=0),"收支都为空",IF(AND(N($I471)&gt;0,N($J471)&gt;0),"收支不能同时填",IF(AND($D471&lt;&gt;"",LEFT($O471,1)="⚠"),"项目编号不存在",IF(AND($M471="是",$F471=""),"工程回款必须填往来单位","√")))))))</f>
        <v/>
      </c>
      <c r="O471" s="16" t="str">
        <f aca="false">IF($D471="","",IFERROR(INDEX(对照清单!$B$5:$B$60,MATCH($D471,对照清单!$A$5:$A$60,0)),"⚠编号不存在"))</f>
        <v/>
      </c>
      <c r="P471" s="10" t="str">
        <f aca="false">IF($B471="","",IF(ISNUMBER($B471),TEXT($B471,"yyyy-mm"),"日期非法"))</f>
        <v/>
      </c>
      <c r="Q471" s="10" t="str">
        <f aca="false">IF($B471="","",IF(ISNUMBER($B471),YEAR($B471),"日期非法"))</f>
        <v/>
      </c>
    </row>
    <row r="472" customFormat="false" ht="15.75" hidden="false" customHeight="true" outlineLevel="0" collapsed="false">
      <c r="A472" s="10" t="str">
        <f aca="false">IF($B472="","",ROW()-4)</f>
        <v/>
      </c>
      <c r="B472" s="11"/>
      <c r="C472" s="12"/>
      <c r="D472" s="12"/>
      <c r="E472" s="12"/>
      <c r="F472" s="12"/>
      <c r="G472" s="12"/>
      <c r="H472" s="13"/>
      <c r="I472" s="4"/>
      <c r="J472" s="4"/>
      <c r="K472" s="14" t="str">
        <f aca="false">IF($B472="","",IF($C472="泓普",$C$2,IF($C472="仟茂",$E$2,IF($C472="现金",$G$2,0)))+SUMIFS($I$5:$I472,$C$5:$C472,$C472)-SUMIFS($J$5:$J472,$C$5:$C472,$C472))</f>
        <v/>
      </c>
      <c r="L472" s="14" t="str">
        <f aca="false">IF($B472="","",$C$2+$E$2+$G$2+SUM($I$5:$I472)-SUM($J$5:$J472))</f>
        <v/>
      </c>
      <c r="M472" s="12"/>
      <c r="N472" s="15" t="str">
        <f aca="false">IF($B472="","",IF(NOT(ISNUMBER($B472)),"日期格式不对",IF($C472="","未选资金账户",IF(AND(N($I472)=0,N($J472)=0),"收支都为空",IF(AND(N($I472)&gt;0,N($J472)&gt;0),"收支不能同时填",IF(AND($D472&lt;&gt;"",LEFT($O472,1)="⚠"),"项目编号不存在",IF(AND($M472="是",$F472=""),"工程回款必须填往来单位","√")))))))</f>
        <v/>
      </c>
      <c r="O472" s="16" t="str">
        <f aca="false">IF($D472="","",IFERROR(INDEX(对照清单!$B$5:$B$60,MATCH($D472,对照清单!$A$5:$A$60,0)),"⚠编号不存在"))</f>
        <v/>
      </c>
      <c r="P472" s="10" t="str">
        <f aca="false">IF($B472="","",IF(ISNUMBER($B472),TEXT($B472,"yyyy-mm"),"日期非法"))</f>
        <v/>
      </c>
      <c r="Q472" s="10" t="str">
        <f aca="false">IF($B472="","",IF(ISNUMBER($B472),YEAR($B472),"日期非法"))</f>
        <v/>
      </c>
    </row>
    <row r="473" customFormat="false" ht="15.75" hidden="false" customHeight="true" outlineLevel="0" collapsed="false">
      <c r="A473" s="10" t="str">
        <f aca="false">IF($B473="","",ROW()-4)</f>
        <v/>
      </c>
      <c r="B473" s="11"/>
      <c r="C473" s="12"/>
      <c r="D473" s="12"/>
      <c r="E473" s="12"/>
      <c r="F473" s="12"/>
      <c r="G473" s="12"/>
      <c r="H473" s="13"/>
      <c r="I473" s="4"/>
      <c r="J473" s="4"/>
      <c r="K473" s="14" t="str">
        <f aca="false">IF($B473="","",IF($C473="泓普",$C$2,IF($C473="仟茂",$E$2,IF($C473="现金",$G$2,0)))+SUMIFS($I$5:$I473,$C$5:$C473,$C473)-SUMIFS($J$5:$J473,$C$5:$C473,$C473))</f>
        <v/>
      </c>
      <c r="L473" s="14" t="str">
        <f aca="false">IF($B473="","",$C$2+$E$2+$G$2+SUM($I$5:$I473)-SUM($J$5:$J473))</f>
        <v/>
      </c>
      <c r="M473" s="12"/>
      <c r="N473" s="15" t="str">
        <f aca="false">IF($B473="","",IF(NOT(ISNUMBER($B473)),"日期格式不对",IF($C473="","未选资金账户",IF(AND(N($I473)=0,N($J473)=0),"收支都为空",IF(AND(N($I473)&gt;0,N($J473)&gt;0),"收支不能同时填",IF(AND($D473&lt;&gt;"",LEFT($O473,1)="⚠"),"项目编号不存在",IF(AND($M473="是",$F473=""),"工程回款必须填往来单位","√")))))))</f>
        <v/>
      </c>
      <c r="O473" s="16" t="str">
        <f aca="false">IF($D473="","",IFERROR(INDEX(对照清单!$B$5:$B$60,MATCH($D473,对照清单!$A$5:$A$60,0)),"⚠编号不存在"))</f>
        <v/>
      </c>
      <c r="P473" s="10" t="str">
        <f aca="false">IF($B473="","",IF(ISNUMBER($B473),TEXT($B473,"yyyy-mm"),"日期非法"))</f>
        <v/>
      </c>
      <c r="Q473" s="10" t="str">
        <f aca="false">IF($B473="","",IF(ISNUMBER($B473),YEAR($B473),"日期非法"))</f>
        <v/>
      </c>
    </row>
    <row r="474" customFormat="false" ht="15.75" hidden="false" customHeight="true" outlineLevel="0" collapsed="false">
      <c r="A474" s="10" t="str">
        <f aca="false">IF($B474="","",ROW()-4)</f>
        <v/>
      </c>
      <c r="B474" s="11"/>
      <c r="C474" s="12"/>
      <c r="D474" s="12"/>
      <c r="E474" s="12"/>
      <c r="F474" s="12"/>
      <c r="G474" s="12"/>
      <c r="H474" s="13"/>
      <c r="I474" s="4"/>
      <c r="J474" s="4"/>
      <c r="K474" s="14" t="str">
        <f aca="false">IF($B474="","",IF($C474="泓普",$C$2,IF($C474="仟茂",$E$2,IF($C474="现金",$G$2,0)))+SUMIFS($I$5:$I474,$C$5:$C474,$C474)-SUMIFS($J$5:$J474,$C$5:$C474,$C474))</f>
        <v/>
      </c>
      <c r="L474" s="14" t="str">
        <f aca="false">IF($B474="","",$C$2+$E$2+$G$2+SUM($I$5:$I474)-SUM($J$5:$J474))</f>
        <v/>
      </c>
      <c r="M474" s="12"/>
      <c r="N474" s="15" t="str">
        <f aca="false">IF($B474="","",IF(NOT(ISNUMBER($B474)),"日期格式不对",IF($C474="","未选资金账户",IF(AND(N($I474)=0,N($J474)=0),"收支都为空",IF(AND(N($I474)&gt;0,N($J474)&gt;0),"收支不能同时填",IF(AND($D474&lt;&gt;"",LEFT($O474,1)="⚠"),"项目编号不存在",IF(AND($M474="是",$F474=""),"工程回款必须填往来单位","√")))))))</f>
        <v/>
      </c>
      <c r="O474" s="16" t="str">
        <f aca="false">IF($D474="","",IFERROR(INDEX(对照清单!$B$5:$B$60,MATCH($D474,对照清单!$A$5:$A$60,0)),"⚠编号不存在"))</f>
        <v/>
      </c>
      <c r="P474" s="10" t="str">
        <f aca="false">IF($B474="","",IF(ISNUMBER($B474),TEXT($B474,"yyyy-mm"),"日期非法"))</f>
        <v/>
      </c>
      <c r="Q474" s="10" t="str">
        <f aca="false">IF($B474="","",IF(ISNUMBER($B474),YEAR($B474),"日期非法"))</f>
        <v/>
      </c>
    </row>
    <row r="475" customFormat="false" ht="15.75" hidden="false" customHeight="true" outlineLevel="0" collapsed="false">
      <c r="A475" s="10" t="str">
        <f aca="false">IF($B475="","",ROW()-4)</f>
        <v/>
      </c>
      <c r="B475" s="11"/>
      <c r="C475" s="12"/>
      <c r="D475" s="12"/>
      <c r="E475" s="12"/>
      <c r="F475" s="12"/>
      <c r="G475" s="12"/>
      <c r="H475" s="13"/>
      <c r="I475" s="4"/>
      <c r="J475" s="4"/>
      <c r="K475" s="14" t="str">
        <f aca="false">IF($B475="","",IF($C475="泓普",$C$2,IF($C475="仟茂",$E$2,IF($C475="现金",$G$2,0)))+SUMIFS($I$5:$I475,$C$5:$C475,$C475)-SUMIFS($J$5:$J475,$C$5:$C475,$C475))</f>
        <v/>
      </c>
      <c r="L475" s="14" t="str">
        <f aca="false">IF($B475="","",$C$2+$E$2+$G$2+SUM($I$5:$I475)-SUM($J$5:$J475))</f>
        <v/>
      </c>
      <c r="M475" s="12"/>
      <c r="N475" s="15" t="str">
        <f aca="false">IF($B475="","",IF(NOT(ISNUMBER($B475)),"日期格式不对",IF($C475="","未选资金账户",IF(AND(N($I475)=0,N($J475)=0),"收支都为空",IF(AND(N($I475)&gt;0,N($J475)&gt;0),"收支不能同时填",IF(AND($D475&lt;&gt;"",LEFT($O475,1)="⚠"),"项目编号不存在",IF(AND($M475="是",$F475=""),"工程回款必须填往来单位","√")))))))</f>
        <v/>
      </c>
      <c r="O475" s="16" t="str">
        <f aca="false">IF($D475="","",IFERROR(INDEX(对照清单!$B$5:$B$60,MATCH($D475,对照清单!$A$5:$A$60,0)),"⚠编号不存在"))</f>
        <v/>
      </c>
      <c r="P475" s="10" t="str">
        <f aca="false">IF($B475="","",IF(ISNUMBER($B475),TEXT($B475,"yyyy-mm"),"日期非法"))</f>
        <v/>
      </c>
      <c r="Q475" s="10" t="str">
        <f aca="false">IF($B475="","",IF(ISNUMBER($B475),YEAR($B475),"日期非法"))</f>
        <v/>
      </c>
    </row>
    <row r="476" customFormat="false" ht="15.75" hidden="false" customHeight="true" outlineLevel="0" collapsed="false">
      <c r="A476" s="10" t="str">
        <f aca="false">IF($B476="","",ROW()-4)</f>
        <v/>
      </c>
      <c r="B476" s="11"/>
      <c r="C476" s="12"/>
      <c r="D476" s="12"/>
      <c r="E476" s="12"/>
      <c r="F476" s="12"/>
      <c r="G476" s="12"/>
      <c r="H476" s="13"/>
      <c r="I476" s="4"/>
      <c r="J476" s="4"/>
      <c r="K476" s="14" t="str">
        <f aca="false">IF($B476="","",IF($C476="泓普",$C$2,IF($C476="仟茂",$E$2,IF($C476="现金",$G$2,0)))+SUMIFS($I$5:$I476,$C$5:$C476,$C476)-SUMIFS($J$5:$J476,$C$5:$C476,$C476))</f>
        <v/>
      </c>
      <c r="L476" s="14" t="str">
        <f aca="false">IF($B476="","",$C$2+$E$2+$G$2+SUM($I$5:$I476)-SUM($J$5:$J476))</f>
        <v/>
      </c>
      <c r="M476" s="12"/>
      <c r="N476" s="15" t="str">
        <f aca="false">IF($B476="","",IF(NOT(ISNUMBER($B476)),"日期格式不对",IF($C476="","未选资金账户",IF(AND(N($I476)=0,N($J476)=0),"收支都为空",IF(AND(N($I476)&gt;0,N($J476)&gt;0),"收支不能同时填",IF(AND($D476&lt;&gt;"",LEFT($O476,1)="⚠"),"项目编号不存在",IF(AND($M476="是",$F476=""),"工程回款必须填往来单位","√")))))))</f>
        <v/>
      </c>
      <c r="O476" s="16" t="str">
        <f aca="false">IF($D476="","",IFERROR(INDEX(对照清单!$B$5:$B$60,MATCH($D476,对照清单!$A$5:$A$60,0)),"⚠编号不存在"))</f>
        <v/>
      </c>
      <c r="P476" s="10" t="str">
        <f aca="false">IF($B476="","",IF(ISNUMBER($B476),TEXT($B476,"yyyy-mm"),"日期非法"))</f>
        <v/>
      </c>
      <c r="Q476" s="10" t="str">
        <f aca="false">IF($B476="","",IF(ISNUMBER($B476),YEAR($B476),"日期非法"))</f>
        <v/>
      </c>
    </row>
    <row r="477" customFormat="false" ht="15.75" hidden="false" customHeight="true" outlineLevel="0" collapsed="false">
      <c r="A477" s="10" t="str">
        <f aca="false">IF($B477="","",ROW()-4)</f>
        <v/>
      </c>
      <c r="B477" s="11"/>
      <c r="C477" s="12"/>
      <c r="D477" s="12"/>
      <c r="E477" s="12"/>
      <c r="F477" s="12"/>
      <c r="G477" s="12"/>
      <c r="H477" s="13"/>
      <c r="I477" s="4"/>
      <c r="J477" s="4"/>
      <c r="K477" s="14" t="str">
        <f aca="false">IF($B477="","",IF($C477="泓普",$C$2,IF($C477="仟茂",$E$2,IF($C477="现金",$G$2,0)))+SUMIFS($I$5:$I477,$C$5:$C477,$C477)-SUMIFS($J$5:$J477,$C$5:$C477,$C477))</f>
        <v/>
      </c>
      <c r="L477" s="14" t="str">
        <f aca="false">IF($B477="","",$C$2+$E$2+$G$2+SUM($I$5:$I477)-SUM($J$5:$J477))</f>
        <v/>
      </c>
      <c r="M477" s="12"/>
      <c r="N477" s="15" t="str">
        <f aca="false">IF($B477="","",IF(NOT(ISNUMBER($B477)),"日期格式不对",IF($C477="","未选资金账户",IF(AND(N($I477)=0,N($J477)=0),"收支都为空",IF(AND(N($I477)&gt;0,N($J477)&gt;0),"收支不能同时填",IF(AND($D477&lt;&gt;"",LEFT($O477,1)="⚠"),"项目编号不存在",IF(AND($M477="是",$F477=""),"工程回款必须填往来单位","√")))))))</f>
        <v/>
      </c>
      <c r="O477" s="16" t="str">
        <f aca="false">IF($D477="","",IFERROR(INDEX(对照清单!$B$5:$B$60,MATCH($D477,对照清单!$A$5:$A$60,0)),"⚠编号不存在"))</f>
        <v/>
      </c>
      <c r="P477" s="10" t="str">
        <f aca="false">IF($B477="","",IF(ISNUMBER($B477),TEXT($B477,"yyyy-mm"),"日期非法"))</f>
        <v/>
      </c>
      <c r="Q477" s="10" t="str">
        <f aca="false">IF($B477="","",IF(ISNUMBER($B477),YEAR($B477),"日期非法"))</f>
        <v/>
      </c>
    </row>
    <row r="478" customFormat="false" ht="15.75" hidden="false" customHeight="true" outlineLevel="0" collapsed="false">
      <c r="A478" s="10" t="str">
        <f aca="false">IF($B478="","",ROW()-4)</f>
        <v/>
      </c>
      <c r="B478" s="11"/>
      <c r="C478" s="12"/>
      <c r="D478" s="12"/>
      <c r="E478" s="12"/>
      <c r="F478" s="12"/>
      <c r="G478" s="12"/>
      <c r="H478" s="13"/>
      <c r="I478" s="4"/>
      <c r="J478" s="4"/>
      <c r="K478" s="14" t="str">
        <f aca="false">IF($B478="","",IF($C478="泓普",$C$2,IF($C478="仟茂",$E$2,IF($C478="现金",$G$2,0)))+SUMIFS($I$5:$I478,$C$5:$C478,$C478)-SUMIFS($J$5:$J478,$C$5:$C478,$C478))</f>
        <v/>
      </c>
      <c r="L478" s="14" t="str">
        <f aca="false">IF($B478="","",$C$2+$E$2+$G$2+SUM($I$5:$I478)-SUM($J$5:$J478))</f>
        <v/>
      </c>
      <c r="M478" s="12"/>
      <c r="N478" s="15" t="str">
        <f aca="false">IF($B478="","",IF(NOT(ISNUMBER($B478)),"日期格式不对",IF($C478="","未选资金账户",IF(AND(N($I478)=0,N($J478)=0),"收支都为空",IF(AND(N($I478)&gt;0,N($J478)&gt;0),"收支不能同时填",IF(AND($D478&lt;&gt;"",LEFT($O478,1)="⚠"),"项目编号不存在",IF(AND($M478="是",$F478=""),"工程回款必须填往来单位","√")))))))</f>
        <v/>
      </c>
      <c r="O478" s="16" t="str">
        <f aca="false">IF($D478="","",IFERROR(INDEX(对照清单!$B$5:$B$60,MATCH($D478,对照清单!$A$5:$A$60,0)),"⚠编号不存在"))</f>
        <v/>
      </c>
      <c r="P478" s="10" t="str">
        <f aca="false">IF($B478="","",IF(ISNUMBER($B478),TEXT($B478,"yyyy-mm"),"日期非法"))</f>
        <v/>
      </c>
      <c r="Q478" s="10" t="str">
        <f aca="false">IF($B478="","",IF(ISNUMBER($B478),YEAR($B478),"日期非法"))</f>
        <v/>
      </c>
    </row>
    <row r="479" customFormat="false" ht="15.75" hidden="false" customHeight="true" outlineLevel="0" collapsed="false">
      <c r="A479" s="10" t="str">
        <f aca="false">IF($B479="","",ROW()-4)</f>
        <v/>
      </c>
      <c r="B479" s="11"/>
      <c r="C479" s="12"/>
      <c r="D479" s="12"/>
      <c r="E479" s="12"/>
      <c r="F479" s="12"/>
      <c r="G479" s="12"/>
      <c r="H479" s="13"/>
      <c r="I479" s="4"/>
      <c r="J479" s="4"/>
      <c r="K479" s="14" t="str">
        <f aca="false">IF($B479="","",IF($C479="泓普",$C$2,IF($C479="仟茂",$E$2,IF($C479="现金",$G$2,0)))+SUMIFS($I$5:$I479,$C$5:$C479,$C479)-SUMIFS($J$5:$J479,$C$5:$C479,$C479))</f>
        <v/>
      </c>
      <c r="L479" s="14" t="str">
        <f aca="false">IF($B479="","",$C$2+$E$2+$G$2+SUM($I$5:$I479)-SUM($J$5:$J479))</f>
        <v/>
      </c>
      <c r="M479" s="12"/>
      <c r="N479" s="15" t="str">
        <f aca="false">IF($B479="","",IF(NOT(ISNUMBER($B479)),"日期格式不对",IF($C479="","未选资金账户",IF(AND(N($I479)=0,N($J479)=0),"收支都为空",IF(AND(N($I479)&gt;0,N($J479)&gt;0),"收支不能同时填",IF(AND($D479&lt;&gt;"",LEFT($O479,1)="⚠"),"项目编号不存在",IF(AND($M479="是",$F479=""),"工程回款必须填往来单位","√")))))))</f>
        <v/>
      </c>
      <c r="O479" s="16" t="str">
        <f aca="false">IF($D479="","",IFERROR(INDEX(对照清单!$B$5:$B$60,MATCH($D479,对照清单!$A$5:$A$60,0)),"⚠编号不存在"))</f>
        <v/>
      </c>
      <c r="P479" s="10" t="str">
        <f aca="false">IF($B479="","",IF(ISNUMBER($B479),TEXT($B479,"yyyy-mm"),"日期非法"))</f>
        <v/>
      </c>
      <c r="Q479" s="10" t="str">
        <f aca="false">IF($B479="","",IF(ISNUMBER($B479),YEAR($B479),"日期非法"))</f>
        <v/>
      </c>
    </row>
    <row r="480" customFormat="false" ht="15.75" hidden="false" customHeight="true" outlineLevel="0" collapsed="false">
      <c r="A480" s="10" t="str">
        <f aca="false">IF($B480="","",ROW()-4)</f>
        <v/>
      </c>
      <c r="B480" s="11"/>
      <c r="C480" s="12"/>
      <c r="D480" s="12"/>
      <c r="E480" s="12"/>
      <c r="F480" s="12"/>
      <c r="G480" s="12"/>
      <c r="H480" s="13"/>
      <c r="I480" s="4"/>
      <c r="J480" s="4"/>
      <c r="K480" s="14" t="str">
        <f aca="false">IF($B480="","",IF($C480="泓普",$C$2,IF($C480="仟茂",$E$2,IF($C480="现金",$G$2,0)))+SUMIFS($I$5:$I480,$C$5:$C480,$C480)-SUMIFS($J$5:$J480,$C$5:$C480,$C480))</f>
        <v/>
      </c>
      <c r="L480" s="14" t="str">
        <f aca="false">IF($B480="","",$C$2+$E$2+$G$2+SUM($I$5:$I480)-SUM($J$5:$J480))</f>
        <v/>
      </c>
      <c r="M480" s="12"/>
      <c r="N480" s="15" t="str">
        <f aca="false">IF($B480="","",IF(NOT(ISNUMBER($B480)),"日期格式不对",IF($C480="","未选资金账户",IF(AND(N($I480)=0,N($J480)=0),"收支都为空",IF(AND(N($I480)&gt;0,N($J480)&gt;0),"收支不能同时填",IF(AND($D480&lt;&gt;"",LEFT($O480,1)="⚠"),"项目编号不存在",IF(AND($M480="是",$F480=""),"工程回款必须填往来单位","√")))))))</f>
        <v/>
      </c>
      <c r="O480" s="16" t="str">
        <f aca="false">IF($D480="","",IFERROR(INDEX(对照清单!$B$5:$B$60,MATCH($D480,对照清单!$A$5:$A$60,0)),"⚠编号不存在"))</f>
        <v/>
      </c>
      <c r="P480" s="10" t="str">
        <f aca="false">IF($B480="","",IF(ISNUMBER($B480),TEXT($B480,"yyyy-mm"),"日期非法"))</f>
        <v/>
      </c>
      <c r="Q480" s="10" t="str">
        <f aca="false">IF($B480="","",IF(ISNUMBER($B480),YEAR($B480),"日期非法"))</f>
        <v/>
      </c>
    </row>
    <row r="481" customFormat="false" ht="15.75" hidden="false" customHeight="true" outlineLevel="0" collapsed="false">
      <c r="A481" s="10" t="str">
        <f aca="false">IF($B481="","",ROW()-4)</f>
        <v/>
      </c>
      <c r="B481" s="11"/>
      <c r="C481" s="12"/>
      <c r="D481" s="12"/>
      <c r="E481" s="12"/>
      <c r="F481" s="12"/>
      <c r="G481" s="12"/>
      <c r="H481" s="13"/>
      <c r="I481" s="4"/>
      <c r="J481" s="4"/>
      <c r="K481" s="14" t="str">
        <f aca="false">IF($B481="","",IF($C481="泓普",$C$2,IF($C481="仟茂",$E$2,IF($C481="现金",$G$2,0)))+SUMIFS($I$5:$I481,$C$5:$C481,$C481)-SUMIFS($J$5:$J481,$C$5:$C481,$C481))</f>
        <v/>
      </c>
      <c r="L481" s="14" t="str">
        <f aca="false">IF($B481="","",$C$2+$E$2+$G$2+SUM($I$5:$I481)-SUM($J$5:$J481))</f>
        <v/>
      </c>
      <c r="M481" s="12"/>
      <c r="N481" s="15" t="str">
        <f aca="false">IF($B481="","",IF(NOT(ISNUMBER($B481)),"日期格式不对",IF($C481="","未选资金账户",IF(AND(N($I481)=0,N($J481)=0),"收支都为空",IF(AND(N($I481)&gt;0,N($J481)&gt;0),"收支不能同时填",IF(AND($D481&lt;&gt;"",LEFT($O481,1)="⚠"),"项目编号不存在",IF(AND($M481="是",$F481=""),"工程回款必须填往来单位","√")))))))</f>
        <v/>
      </c>
      <c r="O481" s="16" t="str">
        <f aca="false">IF($D481="","",IFERROR(INDEX(对照清单!$B$5:$B$60,MATCH($D481,对照清单!$A$5:$A$60,0)),"⚠编号不存在"))</f>
        <v/>
      </c>
      <c r="P481" s="10" t="str">
        <f aca="false">IF($B481="","",IF(ISNUMBER($B481),TEXT($B481,"yyyy-mm"),"日期非法"))</f>
        <v/>
      </c>
      <c r="Q481" s="10" t="str">
        <f aca="false">IF($B481="","",IF(ISNUMBER($B481),YEAR($B481),"日期非法"))</f>
        <v/>
      </c>
    </row>
    <row r="482" customFormat="false" ht="15.75" hidden="false" customHeight="true" outlineLevel="0" collapsed="false">
      <c r="A482" s="10" t="str">
        <f aca="false">IF($B482="","",ROW()-4)</f>
        <v/>
      </c>
      <c r="B482" s="11"/>
      <c r="C482" s="12"/>
      <c r="D482" s="12"/>
      <c r="E482" s="12"/>
      <c r="F482" s="12"/>
      <c r="G482" s="12"/>
      <c r="H482" s="13"/>
      <c r="I482" s="4"/>
      <c r="J482" s="4"/>
      <c r="K482" s="14" t="str">
        <f aca="false">IF($B482="","",IF($C482="泓普",$C$2,IF($C482="仟茂",$E$2,IF($C482="现金",$G$2,0)))+SUMIFS($I$5:$I482,$C$5:$C482,$C482)-SUMIFS($J$5:$J482,$C$5:$C482,$C482))</f>
        <v/>
      </c>
      <c r="L482" s="14" t="str">
        <f aca="false">IF($B482="","",$C$2+$E$2+$G$2+SUM($I$5:$I482)-SUM($J$5:$J482))</f>
        <v/>
      </c>
      <c r="M482" s="12"/>
      <c r="N482" s="15" t="str">
        <f aca="false">IF($B482="","",IF(NOT(ISNUMBER($B482)),"日期格式不对",IF($C482="","未选资金账户",IF(AND(N($I482)=0,N($J482)=0),"收支都为空",IF(AND(N($I482)&gt;0,N($J482)&gt;0),"收支不能同时填",IF(AND($D482&lt;&gt;"",LEFT($O482,1)="⚠"),"项目编号不存在",IF(AND($M482="是",$F482=""),"工程回款必须填往来单位","√")))))))</f>
        <v/>
      </c>
      <c r="O482" s="16" t="str">
        <f aca="false">IF($D482="","",IFERROR(INDEX(对照清单!$B$5:$B$60,MATCH($D482,对照清单!$A$5:$A$60,0)),"⚠编号不存在"))</f>
        <v/>
      </c>
      <c r="P482" s="10" t="str">
        <f aca="false">IF($B482="","",IF(ISNUMBER($B482),TEXT($B482,"yyyy-mm"),"日期非法"))</f>
        <v/>
      </c>
      <c r="Q482" s="10" t="str">
        <f aca="false">IF($B482="","",IF(ISNUMBER($B482),YEAR($B482),"日期非法"))</f>
        <v/>
      </c>
    </row>
    <row r="483" customFormat="false" ht="15.75" hidden="false" customHeight="true" outlineLevel="0" collapsed="false">
      <c r="A483" s="10" t="str">
        <f aca="false">IF($B483="","",ROW()-4)</f>
        <v/>
      </c>
      <c r="B483" s="11"/>
      <c r="C483" s="12"/>
      <c r="D483" s="12"/>
      <c r="E483" s="12"/>
      <c r="F483" s="12"/>
      <c r="G483" s="12"/>
      <c r="H483" s="13"/>
      <c r="I483" s="4"/>
      <c r="J483" s="4"/>
      <c r="K483" s="14" t="str">
        <f aca="false">IF($B483="","",IF($C483="泓普",$C$2,IF($C483="仟茂",$E$2,IF($C483="现金",$G$2,0)))+SUMIFS($I$5:$I483,$C$5:$C483,$C483)-SUMIFS($J$5:$J483,$C$5:$C483,$C483))</f>
        <v/>
      </c>
      <c r="L483" s="14" t="str">
        <f aca="false">IF($B483="","",$C$2+$E$2+$G$2+SUM($I$5:$I483)-SUM($J$5:$J483))</f>
        <v/>
      </c>
      <c r="M483" s="12"/>
      <c r="N483" s="15" t="str">
        <f aca="false">IF($B483="","",IF(NOT(ISNUMBER($B483)),"日期格式不对",IF($C483="","未选资金账户",IF(AND(N($I483)=0,N($J483)=0),"收支都为空",IF(AND(N($I483)&gt;0,N($J483)&gt;0),"收支不能同时填",IF(AND($D483&lt;&gt;"",LEFT($O483,1)="⚠"),"项目编号不存在",IF(AND($M483="是",$F483=""),"工程回款必须填往来单位","√")))))))</f>
        <v/>
      </c>
      <c r="O483" s="16" t="str">
        <f aca="false">IF($D483="","",IFERROR(INDEX(对照清单!$B$5:$B$60,MATCH($D483,对照清单!$A$5:$A$60,0)),"⚠编号不存在"))</f>
        <v/>
      </c>
      <c r="P483" s="10" t="str">
        <f aca="false">IF($B483="","",IF(ISNUMBER($B483),TEXT($B483,"yyyy-mm"),"日期非法"))</f>
        <v/>
      </c>
      <c r="Q483" s="10" t="str">
        <f aca="false">IF($B483="","",IF(ISNUMBER($B483),YEAR($B483),"日期非法"))</f>
        <v/>
      </c>
    </row>
    <row r="484" customFormat="false" ht="15.75" hidden="false" customHeight="true" outlineLevel="0" collapsed="false">
      <c r="A484" s="10" t="str">
        <f aca="false">IF($B484="","",ROW()-4)</f>
        <v/>
      </c>
      <c r="B484" s="11"/>
      <c r="C484" s="12"/>
      <c r="D484" s="12"/>
      <c r="E484" s="12"/>
      <c r="F484" s="12"/>
      <c r="G484" s="12"/>
      <c r="H484" s="13"/>
      <c r="I484" s="4"/>
      <c r="J484" s="4"/>
      <c r="K484" s="14" t="str">
        <f aca="false">IF($B484="","",IF($C484="泓普",$C$2,IF($C484="仟茂",$E$2,IF($C484="现金",$G$2,0)))+SUMIFS($I$5:$I484,$C$5:$C484,$C484)-SUMIFS($J$5:$J484,$C$5:$C484,$C484))</f>
        <v/>
      </c>
      <c r="L484" s="14" t="str">
        <f aca="false">IF($B484="","",$C$2+$E$2+$G$2+SUM($I$5:$I484)-SUM($J$5:$J484))</f>
        <v/>
      </c>
      <c r="M484" s="12"/>
      <c r="N484" s="15" t="str">
        <f aca="false">IF($B484="","",IF(NOT(ISNUMBER($B484)),"日期格式不对",IF($C484="","未选资金账户",IF(AND(N($I484)=0,N($J484)=0),"收支都为空",IF(AND(N($I484)&gt;0,N($J484)&gt;0),"收支不能同时填",IF(AND($D484&lt;&gt;"",LEFT($O484,1)="⚠"),"项目编号不存在",IF(AND($M484="是",$F484=""),"工程回款必须填往来单位","√")))))))</f>
        <v/>
      </c>
      <c r="O484" s="16" t="str">
        <f aca="false">IF($D484="","",IFERROR(INDEX(对照清单!$B$5:$B$60,MATCH($D484,对照清单!$A$5:$A$60,0)),"⚠编号不存在"))</f>
        <v/>
      </c>
      <c r="P484" s="10" t="str">
        <f aca="false">IF($B484="","",IF(ISNUMBER($B484),TEXT($B484,"yyyy-mm"),"日期非法"))</f>
        <v/>
      </c>
      <c r="Q484" s="10" t="str">
        <f aca="false">IF($B484="","",IF(ISNUMBER($B484),YEAR($B484),"日期非法"))</f>
        <v/>
      </c>
    </row>
    <row r="485" customFormat="false" ht="15.75" hidden="false" customHeight="true" outlineLevel="0" collapsed="false">
      <c r="A485" s="10" t="str">
        <f aca="false">IF($B485="","",ROW()-4)</f>
        <v/>
      </c>
      <c r="B485" s="11"/>
      <c r="C485" s="12"/>
      <c r="D485" s="12"/>
      <c r="E485" s="12"/>
      <c r="F485" s="12"/>
      <c r="G485" s="12"/>
      <c r="H485" s="13"/>
      <c r="I485" s="4"/>
      <c r="J485" s="4"/>
      <c r="K485" s="14" t="str">
        <f aca="false">IF($B485="","",IF($C485="泓普",$C$2,IF($C485="仟茂",$E$2,IF($C485="现金",$G$2,0)))+SUMIFS($I$5:$I485,$C$5:$C485,$C485)-SUMIFS($J$5:$J485,$C$5:$C485,$C485))</f>
        <v/>
      </c>
      <c r="L485" s="14" t="str">
        <f aca="false">IF($B485="","",$C$2+$E$2+$G$2+SUM($I$5:$I485)-SUM($J$5:$J485))</f>
        <v/>
      </c>
      <c r="M485" s="12"/>
      <c r="N485" s="15" t="str">
        <f aca="false">IF($B485="","",IF(NOT(ISNUMBER($B485)),"日期格式不对",IF($C485="","未选资金账户",IF(AND(N($I485)=0,N($J485)=0),"收支都为空",IF(AND(N($I485)&gt;0,N($J485)&gt;0),"收支不能同时填",IF(AND($D485&lt;&gt;"",LEFT($O485,1)="⚠"),"项目编号不存在",IF(AND($M485="是",$F485=""),"工程回款必须填往来单位","√")))))))</f>
        <v/>
      </c>
      <c r="O485" s="16" t="str">
        <f aca="false">IF($D485="","",IFERROR(INDEX(对照清单!$B$5:$B$60,MATCH($D485,对照清单!$A$5:$A$60,0)),"⚠编号不存在"))</f>
        <v/>
      </c>
      <c r="P485" s="10" t="str">
        <f aca="false">IF($B485="","",IF(ISNUMBER($B485),TEXT($B485,"yyyy-mm"),"日期非法"))</f>
        <v/>
      </c>
      <c r="Q485" s="10" t="str">
        <f aca="false">IF($B485="","",IF(ISNUMBER($B485),YEAR($B485),"日期非法"))</f>
        <v/>
      </c>
    </row>
    <row r="486" customFormat="false" ht="15.75" hidden="false" customHeight="true" outlineLevel="0" collapsed="false">
      <c r="A486" s="10" t="str">
        <f aca="false">IF($B486="","",ROW()-4)</f>
        <v/>
      </c>
      <c r="B486" s="11"/>
      <c r="C486" s="12"/>
      <c r="D486" s="12"/>
      <c r="E486" s="12"/>
      <c r="F486" s="12"/>
      <c r="G486" s="12"/>
      <c r="H486" s="13"/>
      <c r="I486" s="4"/>
      <c r="J486" s="4"/>
      <c r="K486" s="14" t="str">
        <f aca="false">IF($B486="","",IF($C486="泓普",$C$2,IF($C486="仟茂",$E$2,IF($C486="现金",$G$2,0)))+SUMIFS($I$5:$I486,$C$5:$C486,$C486)-SUMIFS($J$5:$J486,$C$5:$C486,$C486))</f>
        <v/>
      </c>
      <c r="L486" s="14" t="str">
        <f aca="false">IF($B486="","",$C$2+$E$2+$G$2+SUM($I$5:$I486)-SUM($J$5:$J486))</f>
        <v/>
      </c>
      <c r="M486" s="12"/>
      <c r="N486" s="15" t="str">
        <f aca="false">IF($B486="","",IF(NOT(ISNUMBER($B486)),"日期格式不对",IF($C486="","未选资金账户",IF(AND(N($I486)=0,N($J486)=0),"收支都为空",IF(AND(N($I486)&gt;0,N($J486)&gt;0),"收支不能同时填",IF(AND($D486&lt;&gt;"",LEFT($O486,1)="⚠"),"项目编号不存在",IF(AND($M486="是",$F486=""),"工程回款必须填往来单位","√")))))))</f>
        <v/>
      </c>
      <c r="O486" s="16" t="str">
        <f aca="false">IF($D486="","",IFERROR(INDEX(对照清单!$B$5:$B$60,MATCH($D486,对照清单!$A$5:$A$60,0)),"⚠编号不存在"))</f>
        <v/>
      </c>
      <c r="P486" s="10" t="str">
        <f aca="false">IF($B486="","",IF(ISNUMBER($B486),TEXT($B486,"yyyy-mm"),"日期非法"))</f>
        <v/>
      </c>
      <c r="Q486" s="10" t="str">
        <f aca="false">IF($B486="","",IF(ISNUMBER($B486),YEAR($B486),"日期非法"))</f>
        <v/>
      </c>
    </row>
    <row r="487" customFormat="false" ht="15.75" hidden="false" customHeight="true" outlineLevel="0" collapsed="false">
      <c r="A487" s="10" t="str">
        <f aca="false">IF($B487="","",ROW()-4)</f>
        <v/>
      </c>
      <c r="B487" s="11"/>
      <c r="C487" s="12"/>
      <c r="D487" s="12"/>
      <c r="E487" s="12"/>
      <c r="F487" s="12"/>
      <c r="G487" s="12"/>
      <c r="H487" s="13"/>
      <c r="I487" s="4"/>
      <c r="J487" s="4"/>
      <c r="K487" s="14" t="str">
        <f aca="false">IF($B487="","",IF($C487="泓普",$C$2,IF($C487="仟茂",$E$2,IF($C487="现金",$G$2,0)))+SUMIFS($I$5:$I487,$C$5:$C487,$C487)-SUMIFS($J$5:$J487,$C$5:$C487,$C487))</f>
        <v/>
      </c>
      <c r="L487" s="14" t="str">
        <f aca="false">IF($B487="","",$C$2+$E$2+$G$2+SUM($I$5:$I487)-SUM($J$5:$J487))</f>
        <v/>
      </c>
      <c r="M487" s="12"/>
      <c r="N487" s="15" t="str">
        <f aca="false">IF($B487="","",IF(NOT(ISNUMBER($B487)),"日期格式不对",IF($C487="","未选资金账户",IF(AND(N($I487)=0,N($J487)=0),"收支都为空",IF(AND(N($I487)&gt;0,N($J487)&gt;0),"收支不能同时填",IF(AND($D487&lt;&gt;"",LEFT($O487,1)="⚠"),"项目编号不存在",IF(AND($M487="是",$F487=""),"工程回款必须填往来单位","√")))))))</f>
        <v/>
      </c>
      <c r="O487" s="16" t="str">
        <f aca="false">IF($D487="","",IFERROR(INDEX(对照清单!$B$5:$B$60,MATCH($D487,对照清单!$A$5:$A$60,0)),"⚠编号不存在"))</f>
        <v/>
      </c>
      <c r="P487" s="10" t="str">
        <f aca="false">IF($B487="","",IF(ISNUMBER($B487),TEXT($B487,"yyyy-mm"),"日期非法"))</f>
        <v/>
      </c>
      <c r="Q487" s="10" t="str">
        <f aca="false">IF($B487="","",IF(ISNUMBER($B487),YEAR($B487),"日期非法"))</f>
        <v/>
      </c>
    </row>
    <row r="488" customFormat="false" ht="15.75" hidden="false" customHeight="true" outlineLevel="0" collapsed="false">
      <c r="A488" s="10" t="str">
        <f aca="false">IF($B488="","",ROW()-4)</f>
        <v/>
      </c>
      <c r="B488" s="11"/>
      <c r="C488" s="12"/>
      <c r="D488" s="12"/>
      <c r="E488" s="12"/>
      <c r="F488" s="12"/>
      <c r="G488" s="12"/>
      <c r="H488" s="13"/>
      <c r="I488" s="4"/>
      <c r="J488" s="4"/>
      <c r="K488" s="14" t="str">
        <f aca="false">IF($B488="","",IF($C488="泓普",$C$2,IF($C488="仟茂",$E$2,IF($C488="现金",$G$2,0)))+SUMIFS($I$5:$I488,$C$5:$C488,$C488)-SUMIFS($J$5:$J488,$C$5:$C488,$C488))</f>
        <v/>
      </c>
      <c r="L488" s="14" t="str">
        <f aca="false">IF($B488="","",$C$2+$E$2+$G$2+SUM($I$5:$I488)-SUM($J$5:$J488))</f>
        <v/>
      </c>
      <c r="M488" s="12"/>
      <c r="N488" s="15" t="str">
        <f aca="false">IF($B488="","",IF(NOT(ISNUMBER($B488)),"日期格式不对",IF($C488="","未选资金账户",IF(AND(N($I488)=0,N($J488)=0),"收支都为空",IF(AND(N($I488)&gt;0,N($J488)&gt;0),"收支不能同时填",IF(AND($D488&lt;&gt;"",LEFT($O488,1)="⚠"),"项目编号不存在",IF(AND($M488="是",$F488=""),"工程回款必须填往来单位","√")))))))</f>
        <v/>
      </c>
      <c r="O488" s="16" t="str">
        <f aca="false">IF($D488="","",IFERROR(INDEX(对照清单!$B$5:$B$60,MATCH($D488,对照清单!$A$5:$A$60,0)),"⚠编号不存在"))</f>
        <v/>
      </c>
      <c r="P488" s="10" t="str">
        <f aca="false">IF($B488="","",IF(ISNUMBER($B488),TEXT($B488,"yyyy-mm"),"日期非法"))</f>
        <v/>
      </c>
      <c r="Q488" s="10" t="str">
        <f aca="false">IF($B488="","",IF(ISNUMBER($B488),YEAR($B488),"日期非法"))</f>
        <v/>
      </c>
    </row>
    <row r="489" customFormat="false" ht="15.75" hidden="false" customHeight="true" outlineLevel="0" collapsed="false">
      <c r="A489" s="10" t="str">
        <f aca="false">IF($B489="","",ROW()-4)</f>
        <v/>
      </c>
      <c r="B489" s="11"/>
      <c r="C489" s="12"/>
      <c r="D489" s="12"/>
      <c r="E489" s="12"/>
      <c r="F489" s="12"/>
      <c r="G489" s="12"/>
      <c r="H489" s="13"/>
      <c r="I489" s="4"/>
      <c r="J489" s="4"/>
      <c r="K489" s="14" t="str">
        <f aca="false">IF($B489="","",IF($C489="泓普",$C$2,IF($C489="仟茂",$E$2,IF($C489="现金",$G$2,0)))+SUMIFS($I$5:$I489,$C$5:$C489,$C489)-SUMIFS($J$5:$J489,$C$5:$C489,$C489))</f>
        <v/>
      </c>
      <c r="L489" s="14" t="str">
        <f aca="false">IF($B489="","",$C$2+$E$2+$G$2+SUM($I$5:$I489)-SUM($J$5:$J489))</f>
        <v/>
      </c>
      <c r="M489" s="12"/>
      <c r="N489" s="15" t="str">
        <f aca="false">IF($B489="","",IF(NOT(ISNUMBER($B489)),"日期格式不对",IF($C489="","未选资金账户",IF(AND(N($I489)=0,N($J489)=0),"收支都为空",IF(AND(N($I489)&gt;0,N($J489)&gt;0),"收支不能同时填",IF(AND($D489&lt;&gt;"",LEFT($O489,1)="⚠"),"项目编号不存在",IF(AND($M489="是",$F489=""),"工程回款必须填往来单位","√")))))))</f>
        <v/>
      </c>
      <c r="O489" s="16" t="str">
        <f aca="false">IF($D489="","",IFERROR(INDEX(对照清单!$B$5:$B$60,MATCH($D489,对照清单!$A$5:$A$60,0)),"⚠编号不存在"))</f>
        <v/>
      </c>
      <c r="P489" s="10" t="str">
        <f aca="false">IF($B489="","",IF(ISNUMBER($B489),TEXT($B489,"yyyy-mm"),"日期非法"))</f>
        <v/>
      </c>
      <c r="Q489" s="10" t="str">
        <f aca="false">IF($B489="","",IF(ISNUMBER($B489),YEAR($B489),"日期非法"))</f>
        <v/>
      </c>
    </row>
    <row r="490" customFormat="false" ht="15.75" hidden="false" customHeight="true" outlineLevel="0" collapsed="false">
      <c r="A490" s="10" t="str">
        <f aca="false">IF($B490="","",ROW()-4)</f>
        <v/>
      </c>
      <c r="B490" s="11"/>
      <c r="C490" s="12"/>
      <c r="D490" s="12"/>
      <c r="E490" s="12"/>
      <c r="F490" s="12"/>
      <c r="G490" s="12"/>
      <c r="H490" s="13"/>
      <c r="I490" s="4"/>
      <c r="J490" s="4"/>
      <c r="K490" s="14" t="str">
        <f aca="false">IF($B490="","",IF($C490="泓普",$C$2,IF($C490="仟茂",$E$2,IF($C490="现金",$G$2,0)))+SUMIFS($I$5:$I490,$C$5:$C490,$C490)-SUMIFS($J$5:$J490,$C$5:$C490,$C490))</f>
        <v/>
      </c>
      <c r="L490" s="14" t="str">
        <f aca="false">IF($B490="","",$C$2+$E$2+$G$2+SUM($I$5:$I490)-SUM($J$5:$J490))</f>
        <v/>
      </c>
      <c r="M490" s="12"/>
      <c r="N490" s="15" t="str">
        <f aca="false">IF($B490="","",IF(NOT(ISNUMBER($B490)),"日期格式不对",IF($C490="","未选资金账户",IF(AND(N($I490)=0,N($J490)=0),"收支都为空",IF(AND(N($I490)&gt;0,N($J490)&gt;0),"收支不能同时填",IF(AND($D490&lt;&gt;"",LEFT($O490,1)="⚠"),"项目编号不存在",IF(AND($M490="是",$F490=""),"工程回款必须填往来单位","√")))))))</f>
        <v/>
      </c>
      <c r="O490" s="16" t="str">
        <f aca="false">IF($D490="","",IFERROR(INDEX(对照清单!$B$5:$B$60,MATCH($D490,对照清单!$A$5:$A$60,0)),"⚠编号不存在"))</f>
        <v/>
      </c>
      <c r="P490" s="10" t="str">
        <f aca="false">IF($B490="","",IF(ISNUMBER($B490),TEXT($B490,"yyyy-mm"),"日期非法"))</f>
        <v/>
      </c>
      <c r="Q490" s="10" t="str">
        <f aca="false">IF($B490="","",IF(ISNUMBER($B490),YEAR($B490),"日期非法"))</f>
        <v/>
      </c>
    </row>
    <row r="491" customFormat="false" ht="15.75" hidden="false" customHeight="true" outlineLevel="0" collapsed="false">
      <c r="A491" s="10" t="str">
        <f aca="false">IF($B491="","",ROW()-4)</f>
        <v/>
      </c>
      <c r="B491" s="11"/>
      <c r="C491" s="12"/>
      <c r="D491" s="12"/>
      <c r="E491" s="12"/>
      <c r="F491" s="12"/>
      <c r="G491" s="12"/>
      <c r="H491" s="13"/>
      <c r="I491" s="4"/>
      <c r="J491" s="4"/>
      <c r="K491" s="14" t="str">
        <f aca="false">IF($B491="","",IF($C491="泓普",$C$2,IF($C491="仟茂",$E$2,IF($C491="现金",$G$2,0)))+SUMIFS($I$5:$I491,$C$5:$C491,$C491)-SUMIFS($J$5:$J491,$C$5:$C491,$C491))</f>
        <v/>
      </c>
      <c r="L491" s="14" t="str">
        <f aca="false">IF($B491="","",$C$2+$E$2+$G$2+SUM($I$5:$I491)-SUM($J$5:$J491))</f>
        <v/>
      </c>
      <c r="M491" s="12"/>
      <c r="N491" s="15" t="str">
        <f aca="false">IF($B491="","",IF(NOT(ISNUMBER($B491)),"日期格式不对",IF($C491="","未选资金账户",IF(AND(N($I491)=0,N($J491)=0),"收支都为空",IF(AND(N($I491)&gt;0,N($J491)&gt;0),"收支不能同时填",IF(AND($D491&lt;&gt;"",LEFT($O491,1)="⚠"),"项目编号不存在",IF(AND($M491="是",$F491=""),"工程回款必须填往来单位","√")))))))</f>
        <v/>
      </c>
      <c r="O491" s="16" t="str">
        <f aca="false">IF($D491="","",IFERROR(INDEX(对照清单!$B$5:$B$60,MATCH($D491,对照清单!$A$5:$A$60,0)),"⚠编号不存在"))</f>
        <v/>
      </c>
      <c r="P491" s="10" t="str">
        <f aca="false">IF($B491="","",IF(ISNUMBER($B491),TEXT($B491,"yyyy-mm"),"日期非法"))</f>
        <v/>
      </c>
      <c r="Q491" s="10" t="str">
        <f aca="false">IF($B491="","",IF(ISNUMBER($B491),YEAR($B491),"日期非法"))</f>
        <v/>
      </c>
    </row>
    <row r="492" customFormat="false" ht="15.75" hidden="false" customHeight="true" outlineLevel="0" collapsed="false">
      <c r="A492" s="10" t="str">
        <f aca="false">IF($B492="","",ROW()-4)</f>
        <v/>
      </c>
      <c r="B492" s="11"/>
      <c r="C492" s="12"/>
      <c r="D492" s="12"/>
      <c r="E492" s="12"/>
      <c r="F492" s="12"/>
      <c r="G492" s="12"/>
      <c r="H492" s="13"/>
      <c r="I492" s="4"/>
      <c r="J492" s="4"/>
      <c r="K492" s="14" t="str">
        <f aca="false">IF($B492="","",IF($C492="泓普",$C$2,IF($C492="仟茂",$E$2,IF($C492="现金",$G$2,0)))+SUMIFS($I$5:$I492,$C$5:$C492,$C492)-SUMIFS($J$5:$J492,$C$5:$C492,$C492))</f>
        <v/>
      </c>
      <c r="L492" s="14" t="str">
        <f aca="false">IF($B492="","",$C$2+$E$2+$G$2+SUM($I$5:$I492)-SUM($J$5:$J492))</f>
        <v/>
      </c>
      <c r="M492" s="12"/>
      <c r="N492" s="15" t="str">
        <f aca="false">IF($B492="","",IF(NOT(ISNUMBER($B492)),"日期格式不对",IF($C492="","未选资金账户",IF(AND(N($I492)=0,N($J492)=0),"收支都为空",IF(AND(N($I492)&gt;0,N($J492)&gt;0),"收支不能同时填",IF(AND($D492&lt;&gt;"",LEFT($O492,1)="⚠"),"项目编号不存在",IF(AND($M492="是",$F492=""),"工程回款必须填往来单位","√")))))))</f>
        <v/>
      </c>
      <c r="O492" s="16" t="str">
        <f aca="false">IF($D492="","",IFERROR(INDEX(对照清单!$B$5:$B$60,MATCH($D492,对照清单!$A$5:$A$60,0)),"⚠编号不存在"))</f>
        <v/>
      </c>
      <c r="P492" s="10" t="str">
        <f aca="false">IF($B492="","",IF(ISNUMBER($B492),TEXT($B492,"yyyy-mm"),"日期非法"))</f>
        <v/>
      </c>
      <c r="Q492" s="10" t="str">
        <f aca="false">IF($B492="","",IF(ISNUMBER($B492),YEAR($B492),"日期非法"))</f>
        <v/>
      </c>
    </row>
    <row r="493" customFormat="false" ht="15.75" hidden="false" customHeight="true" outlineLevel="0" collapsed="false">
      <c r="A493" s="10" t="str">
        <f aca="false">IF($B493="","",ROW()-4)</f>
        <v/>
      </c>
      <c r="B493" s="11"/>
      <c r="C493" s="12"/>
      <c r="D493" s="12"/>
      <c r="E493" s="12"/>
      <c r="F493" s="12"/>
      <c r="G493" s="12"/>
      <c r="H493" s="13"/>
      <c r="I493" s="4"/>
      <c r="J493" s="4"/>
      <c r="K493" s="14" t="str">
        <f aca="false">IF($B493="","",IF($C493="泓普",$C$2,IF($C493="仟茂",$E$2,IF($C493="现金",$G$2,0)))+SUMIFS($I$5:$I493,$C$5:$C493,$C493)-SUMIFS($J$5:$J493,$C$5:$C493,$C493))</f>
        <v/>
      </c>
      <c r="L493" s="14" t="str">
        <f aca="false">IF($B493="","",$C$2+$E$2+$G$2+SUM($I$5:$I493)-SUM($J$5:$J493))</f>
        <v/>
      </c>
      <c r="M493" s="12"/>
      <c r="N493" s="15" t="str">
        <f aca="false">IF($B493="","",IF(NOT(ISNUMBER($B493)),"日期格式不对",IF($C493="","未选资金账户",IF(AND(N($I493)=0,N($J493)=0),"收支都为空",IF(AND(N($I493)&gt;0,N($J493)&gt;0),"收支不能同时填",IF(AND($D493&lt;&gt;"",LEFT($O493,1)="⚠"),"项目编号不存在",IF(AND($M493="是",$F493=""),"工程回款必须填往来单位","√")))))))</f>
        <v/>
      </c>
      <c r="O493" s="16" t="str">
        <f aca="false">IF($D493="","",IFERROR(INDEX(对照清单!$B$5:$B$60,MATCH($D493,对照清单!$A$5:$A$60,0)),"⚠编号不存在"))</f>
        <v/>
      </c>
      <c r="P493" s="10" t="str">
        <f aca="false">IF($B493="","",IF(ISNUMBER($B493),TEXT($B493,"yyyy-mm"),"日期非法"))</f>
        <v/>
      </c>
      <c r="Q493" s="10" t="str">
        <f aca="false">IF($B493="","",IF(ISNUMBER($B493),YEAR($B493),"日期非法"))</f>
        <v/>
      </c>
    </row>
    <row r="494" customFormat="false" ht="15.75" hidden="false" customHeight="true" outlineLevel="0" collapsed="false">
      <c r="A494" s="10" t="str">
        <f aca="false">IF($B494="","",ROW()-4)</f>
        <v/>
      </c>
      <c r="B494" s="11"/>
      <c r="C494" s="12"/>
      <c r="D494" s="12"/>
      <c r="E494" s="12"/>
      <c r="F494" s="12"/>
      <c r="G494" s="12"/>
      <c r="H494" s="13"/>
      <c r="I494" s="4"/>
      <c r="J494" s="4"/>
      <c r="K494" s="14" t="str">
        <f aca="false">IF($B494="","",IF($C494="泓普",$C$2,IF($C494="仟茂",$E$2,IF($C494="现金",$G$2,0)))+SUMIFS($I$5:$I494,$C$5:$C494,$C494)-SUMIFS($J$5:$J494,$C$5:$C494,$C494))</f>
        <v/>
      </c>
      <c r="L494" s="14" t="str">
        <f aca="false">IF($B494="","",$C$2+$E$2+$G$2+SUM($I$5:$I494)-SUM($J$5:$J494))</f>
        <v/>
      </c>
      <c r="M494" s="12"/>
      <c r="N494" s="15" t="str">
        <f aca="false">IF($B494="","",IF(NOT(ISNUMBER($B494)),"日期格式不对",IF($C494="","未选资金账户",IF(AND(N($I494)=0,N($J494)=0),"收支都为空",IF(AND(N($I494)&gt;0,N($J494)&gt;0),"收支不能同时填",IF(AND($D494&lt;&gt;"",LEFT($O494,1)="⚠"),"项目编号不存在",IF(AND($M494="是",$F494=""),"工程回款必须填往来单位","√")))))))</f>
        <v/>
      </c>
      <c r="O494" s="16" t="str">
        <f aca="false">IF($D494="","",IFERROR(INDEX(对照清单!$B$5:$B$60,MATCH($D494,对照清单!$A$5:$A$60,0)),"⚠编号不存在"))</f>
        <v/>
      </c>
      <c r="P494" s="10" t="str">
        <f aca="false">IF($B494="","",IF(ISNUMBER($B494),TEXT($B494,"yyyy-mm"),"日期非法"))</f>
        <v/>
      </c>
      <c r="Q494" s="10" t="str">
        <f aca="false">IF($B494="","",IF(ISNUMBER($B494),YEAR($B494),"日期非法"))</f>
        <v/>
      </c>
    </row>
    <row r="495" customFormat="false" ht="15.75" hidden="false" customHeight="true" outlineLevel="0" collapsed="false">
      <c r="A495" s="10" t="str">
        <f aca="false">IF($B495="","",ROW()-4)</f>
        <v/>
      </c>
      <c r="B495" s="11"/>
      <c r="C495" s="12"/>
      <c r="D495" s="12"/>
      <c r="E495" s="12"/>
      <c r="F495" s="12"/>
      <c r="G495" s="12"/>
      <c r="H495" s="13"/>
      <c r="I495" s="4"/>
      <c r="J495" s="4"/>
      <c r="K495" s="14" t="str">
        <f aca="false">IF($B495="","",IF($C495="泓普",$C$2,IF($C495="仟茂",$E$2,IF($C495="现金",$G$2,0)))+SUMIFS($I$5:$I495,$C$5:$C495,$C495)-SUMIFS($J$5:$J495,$C$5:$C495,$C495))</f>
        <v/>
      </c>
      <c r="L495" s="14" t="str">
        <f aca="false">IF($B495="","",$C$2+$E$2+$G$2+SUM($I$5:$I495)-SUM($J$5:$J495))</f>
        <v/>
      </c>
      <c r="M495" s="12"/>
      <c r="N495" s="15" t="str">
        <f aca="false">IF($B495="","",IF(NOT(ISNUMBER($B495)),"日期格式不对",IF($C495="","未选资金账户",IF(AND(N($I495)=0,N($J495)=0),"收支都为空",IF(AND(N($I495)&gt;0,N($J495)&gt;0),"收支不能同时填",IF(AND($D495&lt;&gt;"",LEFT($O495,1)="⚠"),"项目编号不存在",IF(AND($M495="是",$F495=""),"工程回款必须填往来单位","√")))))))</f>
        <v/>
      </c>
      <c r="O495" s="16" t="str">
        <f aca="false">IF($D495="","",IFERROR(INDEX(对照清单!$B$5:$B$60,MATCH($D495,对照清单!$A$5:$A$60,0)),"⚠编号不存在"))</f>
        <v/>
      </c>
      <c r="P495" s="10" t="str">
        <f aca="false">IF($B495="","",IF(ISNUMBER($B495),TEXT($B495,"yyyy-mm"),"日期非法"))</f>
        <v/>
      </c>
      <c r="Q495" s="10" t="str">
        <f aca="false">IF($B495="","",IF(ISNUMBER($B495),YEAR($B495),"日期非法"))</f>
        <v/>
      </c>
    </row>
    <row r="496" customFormat="false" ht="15.75" hidden="false" customHeight="true" outlineLevel="0" collapsed="false">
      <c r="A496" s="10" t="str">
        <f aca="false">IF($B496="","",ROW()-4)</f>
        <v/>
      </c>
      <c r="B496" s="11"/>
      <c r="C496" s="12"/>
      <c r="D496" s="12"/>
      <c r="E496" s="12"/>
      <c r="F496" s="12"/>
      <c r="G496" s="12"/>
      <c r="H496" s="13"/>
      <c r="I496" s="4"/>
      <c r="J496" s="4"/>
      <c r="K496" s="14" t="str">
        <f aca="false">IF($B496="","",IF($C496="泓普",$C$2,IF($C496="仟茂",$E$2,IF($C496="现金",$G$2,0)))+SUMIFS($I$5:$I496,$C$5:$C496,$C496)-SUMIFS($J$5:$J496,$C$5:$C496,$C496))</f>
        <v/>
      </c>
      <c r="L496" s="14" t="str">
        <f aca="false">IF($B496="","",$C$2+$E$2+$G$2+SUM($I$5:$I496)-SUM($J$5:$J496))</f>
        <v/>
      </c>
      <c r="M496" s="12"/>
      <c r="N496" s="15" t="str">
        <f aca="false">IF($B496="","",IF(NOT(ISNUMBER($B496)),"日期格式不对",IF($C496="","未选资金账户",IF(AND(N($I496)=0,N($J496)=0),"收支都为空",IF(AND(N($I496)&gt;0,N($J496)&gt;0),"收支不能同时填",IF(AND($D496&lt;&gt;"",LEFT($O496,1)="⚠"),"项目编号不存在",IF(AND($M496="是",$F496=""),"工程回款必须填往来单位","√")))))))</f>
        <v/>
      </c>
      <c r="O496" s="16" t="str">
        <f aca="false">IF($D496="","",IFERROR(INDEX(对照清单!$B$5:$B$60,MATCH($D496,对照清单!$A$5:$A$60,0)),"⚠编号不存在"))</f>
        <v/>
      </c>
      <c r="P496" s="10" t="str">
        <f aca="false">IF($B496="","",IF(ISNUMBER($B496),TEXT($B496,"yyyy-mm"),"日期非法"))</f>
        <v/>
      </c>
      <c r="Q496" s="10" t="str">
        <f aca="false">IF($B496="","",IF(ISNUMBER($B496),YEAR($B496),"日期非法"))</f>
        <v/>
      </c>
    </row>
    <row r="497" customFormat="false" ht="15.75" hidden="false" customHeight="true" outlineLevel="0" collapsed="false">
      <c r="A497" s="10" t="str">
        <f aca="false">IF($B497="","",ROW()-4)</f>
        <v/>
      </c>
      <c r="B497" s="11"/>
      <c r="C497" s="12"/>
      <c r="D497" s="12"/>
      <c r="E497" s="12"/>
      <c r="F497" s="12"/>
      <c r="G497" s="12"/>
      <c r="H497" s="13"/>
      <c r="I497" s="4"/>
      <c r="J497" s="4"/>
      <c r="K497" s="14" t="str">
        <f aca="false">IF($B497="","",IF($C497="泓普",$C$2,IF($C497="仟茂",$E$2,IF($C497="现金",$G$2,0)))+SUMIFS($I$5:$I497,$C$5:$C497,$C497)-SUMIFS($J$5:$J497,$C$5:$C497,$C497))</f>
        <v/>
      </c>
      <c r="L497" s="14" t="str">
        <f aca="false">IF($B497="","",$C$2+$E$2+$G$2+SUM($I$5:$I497)-SUM($J$5:$J497))</f>
        <v/>
      </c>
      <c r="M497" s="12"/>
      <c r="N497" s="15" t="str">
        <f aca="false">IF($B497="","",IF(NOT(ISNUMBER($B497)),"日期格式不对",IF($C497="","未选资金账户",IF(AND(N($I497)=0,N($J497)=0),"收支都为空",IF(AND(N($I497)&gt;0,N($J497)&gt;0),"收支不能同时填",IF(AND($D497&lt;&gt;"",LEFT($O497,1)="⚠"),"项目编号不存在",IF(AND($M497="是",$F497=""),"工程回款必须填往来单位","√")))))))</f>
        <v/>
      </c>
      <c r="O497" s="16" t="str">
        <f aca="false">IF($D497="","",IFERROR(INDEX(对照清单!$B$5:$B$60,MATCH($D497,对照清单!$A$5:$A$60,0)),"⚠编号不存在"))</f>
        <v/>
      </c>
      <c r="P497" s="10" t="str">
        <f aca="false">IF($B497="","",IF(ISNUMBER($B497),TEXT($B497,"yyyy-mm"),"日期非法"))</f>
        <v/>
      </c>
      <c r="Q497" s="10" t="str">
        <f aca="false">IF($B497="","",IF(ISNUMBER($B497),YEAR($B497),"日期非法"))</f>
        <v/>
      </c>
    </row>
    <row r="498" customFormat="false" ht="15.75" hidden="false" customHeight="true" outlineLevel="0" collapsed="false">
      <c r="A498" s="10" t="str">
        <f aca="false">IF($B498="","",ROW()-4)</f>
        <v/>
      </c>
      <c r="B498" s="11"/>
      <c r="C498" s="12"/>
      <c r="D498" s="12"/>
      <c r="E498" s="12"/>
      <c r="F498" s="12"/>
      <c r="G498" s="12"/>
      <c r="H498" s="13"/>
      <c r="I498" s="4"/>
      <c r="J498" s="4"/>
      <c r="K498" s="14" t="str">
        <f aca="false">IF($B498="","",IF($C498="泓普",$C$2,IF($C498="仟茂",$E$2,IF($C498="现金",$G$2,0)))+SUMIFS($I$5:$I498,$C$5:$C498,$C498)-SUMIFS($J$5:$J498,$C$5:$C498,$C498))</f>
        <v/>
      </c>
      <c r="L498" s="14" t="str">
        <f aca="false">IF($B498="","",$C$2+$E$2+$G$2+SUM($I$5:$I498)-SUM($J$5:$J498))</f>
        <v/>
      </c>
      <c r="M498" s="12"/>
      <c r="N498" s="15" t="str">
        <f aca="false">IF($B498="","",IF(NOT(ISNUMBER($B498)),"日期格式不对",IF($C498="","未选资金账户",IF(AND(N($I498)=0,N($J498)=0),"收支都为空",IF(AND(N($I498)&gt;0,N($J498)&gt;0),"收支不能同时填",IF(AND($D498&lt;&gt;"",LEFT($O498,1)="⚠"),"项目编号不存在",IF(AND($M498="是",$F498=""),"工程回款必须填往来单位","√")))))))</f>
        <v/>
      </c>
      <c r="O498" s="16" t="str">
        <f aca="false">IF($D498="","",IFERROR(INDEX(对照清单!$B$5:$B$60,MATCH($D498,对照清单!$A$5:$A$60,0)),"⚠编号不存在"))</f>
        <v/>
      </c>
      <c r="P498" s="10" t="str">
        <f aca="false">IF($B498="","",IF(ISNUMBER($B498),TEXT($B498,"yyyy-mm"),"日期非法"))</f>
        <v/>
      </c>
      <c r="Q498" s="10" t="str">
        <f aca="false">IF($B498="","",IF(ISNUMBER($B498),YEAR($B498),"日期非法"))</f>
        <v/>
      </c>
    </row>
    <row r="499" customFormat="false" ht="15.75" hidden="false" customHeight="true" outlineLevel="0" collapsed="false">
      <c r="A499" s="10" t="str">
        <f aca="false">IF($B499="","",ROW()-4)</f>
        <v/>
      </c>
      <c r="B499" s="11"/>
      <c r="C499" s="12"/>
      <c r="D499" s="12"/>
      <c r="E499" s="12"/>
      <c r="F499" s="12"/>
      <c r="G499" s="12"/>
      <c r="H499" s="13"/>
      <c r="I499" s="4"/>
      <c r="J499" s="4"/>
      <c r="K499" s="14" t="str">
        <f aca="false">IF($B499="","",IF($C499="泓普",$C$2,IF($C499="仟茂",$E$2,IF($C499="现金",$G$2,0)))+SUMIFS($I$5:$I499,$C$5:$C499,$C499)-SUMIFS($J$5:$J499,$C$5:$C499,$C499))</f>
        <v/>
      </c>
      <c r="L499" s="14" t="str">
        <f aca="false">IF($B499="","",$C$2+$E$2+$G$2+SUM($I$5:$I499)-SUM($J$5:$J499))</f>
        <v/>
      </c>
      <c r="M499" s="12"/>
      <c r="N499" s="15" t="str">
        <f aca="false">IF($B499="","",IF(NOT(ISNUMBER($B499)),"日期格式不对",IF($C499="","未选资金账户",IF(AND(N($I499)=0,N($J499)=0),"收支都为空",IF(AND(N($I499)&gt;0,N($J499)&gt;0),"收支不能同时填",IF(AND($D499&lt;&gt;"",LEFT($O499,1)="⚠"),"项目编号不存在",IF(AND($M499="是",$F499=""),"工程回款必须填往来单位","√")))))))</f>
        <v/>
      </c>
      <c r="O499" s="16" t="str">
        <f aca="false">IF($D499="","",IFERROR(INDEX(对照清单!$B$5:$B$60,MATCH($D499,对照清单!$A$5:$A$60,0)),"⚠编号不存在"))</f>
        <v/>
      </c>
      <c r="P499" s="10" t="str">
        <f aca="false">IF($B499="","",IF(ISNUMBER($B499),TEXT($B499,"yyyy-mm"),"日期非法"))</f>
        <v/>
      </c>
      <c r="Q499" s="10" t="str">
        <f aca="false">IF($B499="","",IF(ISNUMBER($B499),YEAR($B499),"日期非法"))</f>
        <v/>
      </c>
    </row>
    <row r="500" customFormat="false" ht="15.75" hidden="false" customHeight="true" outlineLevel="0" collapsed="false">
      <c r="A500" s="10" t="str">
        <f aca="false">IF($B500="","",ROW()-4)</f>
        <v/>
      </c>
      <c r="B500" s="11"/>
      <c r="C500" s="12"/>
      <c r="D500" s="12"/>
      <c r="E500" s="12"/>
      <c r="F500" s="12"/>
      <c r="G500" s="12"/>
      <c r="H500" s="13"/>
      <c r="I500" s="4"/>
      <c r="J500" s="4"/>
      <c r="K500" s="14" t="str">
        <f aca="false">IF($B500="","",IF($C500="泓普",$C$2,IF($C500="仟茂",$E$2,IF($C500="现金",$G$2,0)))+SUMIFS($I$5:$I500,$C$5:$C500,$C500)-SUMIFS($J$5:$J500,$C$5:$C500,$C500))</f>
        <v/>
      </c>
      <c r="L500" s="14" t="str">
        <f aca="false">IF($B500="","",$C$2+$E$2+$G$2+SUM($I$5:$I500)-SUM($J$5:$J500))</f>
        <v/>
      </c>
      <c r="M500" s="12"/>
      <c r="N500" s="15" t="str">
        <f aca="false">IF($B500="","",IF(NOT(ISNUMBER($B500)),"日期格式不对",IF($C500="","未选资金账户",IF(AND(N($I500)=0,N($J500)=0),"收支都为空",IF(AND(N($I500)&gt;0,N($J500)&gt;0),"收支不能同时填",IF(AND($D500&lt;&gt;"",LEFT($O500,1)="⚠"),"项目编号不存在",IF(AND($M500="是",$F500=""),"工程回款必须填往来单位","√")))))))</f>
        <v/>
      </c>
      <c r="O500" s="16" t="str">
        <f aca="false">IF($D500="","",IFERROR(INDEX(对照清单!$B$5:$B$60,MATCH($D500,对照清单!$A$5:$A$60,0)),"⚠编号不存在"))</f>
        <v/>
      </c>
      <c r="P500" s="10" t="str">
        <f aca="false">IF($B500="","",IF(ISNUMBER($B500),TEXT($B500,"yyyy-mm"),"日期非法"))</f>
        <v/>
      </c>
      <c r="Q500" s="10" t="str">
        <f aca="false">IF($B500="","",IF(ISNUMBER($B500),YEAR($B500),"日期非法"))</f>
        <v/>
      </c>
    </row>
    <row r="501" customFormat="false" ht="15.75" hidden="false" customHeight="true" outlineLevel="0" collapsed="false">
      <c r="A501" s="10" t="str">
        <f aca="false">IF($B501="","",ROW()-4)</f>
        <v/>
      </c>
      <c r="B501" s="11"/>
      <c r="C501" s="12"/>
      <c r="D501" s="12"/>
      <c r="E501" s="12"/>
      <c r="F501" s="12"/>
      <c r="G501" s="12"/>
      <c r="H501" s="13"/>
      <c r="I501" s="4"/>
      <c r="J501" s="4"/>
      <c r="K501" s="14" t="str">
        <f aca="false">IF($B501="","",IF($C501="泓普",$C$2,IF($C501="仟茂",$E$2,IF($C501="现金",$G$2,0)))+SUMIFS($I$5:$I501,$C$5:$C501,$C501)-SUMIFS($J$5:$J501,$C$5:$C501,$C501))</f>
        <v/>
      </c>
      <c r="L501" s="14" t="str">
        <f aca="false">IF($B501="","",$C$2+$E$2+$G$2+SUM($I$5:$I501)-SUM($J$5:$J501))</f>
        <v/>
      </c>
      <c r="M501" s="12"/>
      <c r="N501" s="15" t="str">
        <f aca="false">IF($B501="","",IF(NOT(ISNUMBER($B501)),"日期格式不对",IF($C501="","未选资金账户",IF(AND(N($I501)=0,N($J501)=0),"收支都为空",IF(AND(N($I501)&gt;0,N($J501)&gt;0),"收支不能同时填",IF(AND($D501&lt;&gt;"",LEFT($O501,1)="⚠"),"项目编号不存在",IF(AND($M501="是",$F501=""),"工程回款必须填往来单位","√")))))))</f>
        <v/>
      </c>
      <c r="O501" s="16" t="str">
        <f aca="false">IF($D501="","",IFERROR(INDEX(对照清单!$B$5:$B$60,MATCH($D501,对照清单!$A$5:$A$60,0)),"⚠编号不存在"))</f>
        <v/>
      </c>
      <c r="P501" s="10" t="str">
        <f aca="false">IF($B501="","",IF(ISNUMBER($B501),TEXT($B501,"yyyy-mm"),"日期非法"))</f>
        <v/>
      </c>
      <c r="Q501" s="10" t="str">
        <f aca="false">IF($B501="","",IF(ISNUMBER($B501),YEAR($B501),"日期非法"))</f>
        <v/>
      </c>
    </row>
    <row r="502" customFormat="false" ht="15.75" hidden="false" customHeight="true" outlineLevel="0" collapsed="false">
      <c r="A502" s="10" t="str">
        <f aca="false">IF($B502="","",ROW()-4)</f>
        <v/>
      </c>
      <c r="B502" s="11"/>
      <c r="C502" s="12"/>
      <c r="D502" s="12"/>
      <c r="E502" s="12"/>
      <c r="F502" s="12"/>
      <c r="G502" s="12"/>
      <c r="H502" s="13"/>
      <c r="I502" s="4"/>
      <c r="J502" s="4"/>
      <c r="K502" s="14" t="str">
        <f aca="false">IF($B502="","",IF($C502="泓普",$C$2,IF($C502="仟茂",$E$2,IF($C502="现金",$G$2,0)))+SUMIFS($I$5:$I502,$C$5:$C502,$C502)-SUMIFS($J$5:$J502,$C$5:$C502,$C502))</f>
        <v/>
      </c>
      <c r="L502" s="14" t="str">
        <f aca="false">IF($B502="","",$C$2+$E$2+$G$2+SUM($I$5:$I502)-SUM($J$5:$J502))</f>
        <v/>
      </c>
      <c r="M502" s="12"/>
      <c r="N502" s="15" t="str">
        <f aca="false">IF($B502="","",IF(NOT(ISNUMBER($B502)),"日期格式不对",IF($C502="","未选资金账户",IF(AND(N($I502)=0,N($J502)=0),"收支都为空",IF(AND(N($I502)&gt;0,N($J502)&gt;0),"收支不能同时填",IF(AND($D502&lt;&gt;"",LEFT($O502,1)="⚠"),"项目编号不存在",IF(AND($M502="是",$F502=""),"工程回款必须填往来单位","√")))))))</f>
        <v/>
      </c>
      <c r="O502" s="16" t="str">
        <f aca="false">IF($D502="","",IFERROR(INDEX(对照清单!$B$5:$B$60,MATCH($D502,对照清单!$A$5:$A$60,0)),"⚠编号不存在"))</f>
        <v/>
      </c>
      <c r="P502" s="10" t="str">
        <f aca="false">IF($B502="","",IF(ISNUMBER($B502),TEXT($B502,"yyyy-mm"),"日期非法"))</f>
        <v/>
      </c>
      <c r="Q502" s="10" t="str">
        <f aca="false">IF($B502="","",IF(ISNUMBER($B502),YEAR($B502),"日期非法"))</f>
        <v/>
      </c>
    </row>
    <row r="503" customFormat="false" ht="15.75" hidden="false" customHeight="true" outlineLevel="0" collapsed="false">
      <c r="A503" s="10" t="str">
        <f aca="false">IF($B503="","",ROW()-4)</f>
        <v/>
      </c>
      <c r="B503" s="11"/>
      <c r="C503" s="12"/>
      <c r="D503" s="12"/>
      <c r="E503" s="12"/>
      <c r="F503" s="12"/>
      <c r="G503" s="12"/>
      <c r="H503" s="13"/>
      <c r="I503" s="4"/>
      <c r="J503" s="4"/>
      <c r="K503" s="14" t="str">
        <f aca="false">IF($B503="","",IF($C503="泓普",$C$2,IF($C503="仟茂",$E$2,IF($C503="现金",$G$2,0)))+SUMIFS($I$5:$I503,$C$5:$C503,$C503)-SUMIFS($J$5:$J503,$C$5:$C503,$C503))</f>
        <v/>
      </c>
      <c r="L503" s="14" t="str">
        <f aca="false">IF($B503="","",$C$2+$E$2+$G$2+SUM($I$5:$I503)-SUM($J$5:$J503))</f>
        <v/>
      </c>
      <c r="M503" s="12"/>
      <c r="N503" s="15" t="str">
        <f aca="false">IF($B503="","",IF(NOT(ISNUMBER($B503)),"日期格式不对",IF($C503="","未选资金账户",IF(AND(N($I503)=0,N($J503)=0),"收支都为空",IF(AND(N($I503)&gt;0,N($J503)&gt;0),"收支不能同时填",IF(AND($D503&lt;&gt;"",LEFT($O503,1)="⚠"),"项目编号不存在",IF(AND($M503="是",$F503=""),"工程回款必须填往来单位","√")))))))</f>
        <v/>
      </c>
      <c r="O503" s="16" t="str">
        <f aca="false">IF($D503="","",IFERROR(INDEX(对照清单!$B$5:$B$60,MATCH($D503,对照清单!$A$5:$A$60,0)),"⚠编号不存在"))</f>
        <v/>
      </c>
      <c r="P503" s="10" t="str">
        <f aca="false">IF($B503="","",IF(ISNUMBER($B503),TEXT($B503,"yyyy-mm"),"日期非法"))</f>
        <v/>
      </c>
      <c r="Q503" s="10" t="str">
        <f aca="false">IF($B503="","",IF(ISNUMBER($B503),YEAR($B503),"日期非法"))</f>
        <v/>
      </c>
    </row>
    <row r="504" customFormat="false" ht="15.75" hidden="false" customHeight="true" outlineLevel="0" collapsed="false">
      <c r="A504" s="10" t="str">
        <f aca="false">IF($B504="","",ROW()-4)</f>
        <v/>
      </c>
      <c r="B504" s="11"/>
      <c r="C504" s="12"/>
      <c r="D504" s="12"/>
      <c r="E504" s="12"/>
      <c r="F504" s="12"/>
      <c r="G504" s="12"/>
      <c r="H504" s="13"/>
      <c r="I504" s="4"/>
      <c r="J504" s="4"/>
      <c r="K504" s="14" t="str">
        <f aca="false">IF($B504="","",IF($C504="泓普",$C$2,IF($C504="仟茂",$E$2,IF($C504="现金",$G$2,0)))+SUMIFS($I$5:$I504,$C$5:$C504,$C504)-SUMIFS($J$5:$J504,$C$5:$C504,$C504))</f>
        <v/>
      </c>
      <c r="L504" s="14" t="str">
        <f aca="false">IF($B504="","",$C$2+$E$2+$G$2+SUM($I$5:$I504)-SUM($J$5:$J504))</f>
        <v/>
      </c>
      <c r="M504" s="12"/>
      <c r="N504" s="15" t="str">
        <f aca="false">IF($B504="","",IF(NOT(ISNUMBER($B504)),"日期格式不对",IF($C504="","未选资金账户",IF(AND(N($I504)=0,N($J504)=0),"收支都为空",IF(AND(N($I504)&gt;0,N($J504)&gt;0),"收支不能同时填",IF(AND($D504&lt;&gt;"",LEFT($O504,1)="⚠"),"项目编号不存在",IF(AND($M504="是",$F504=""),"工程回款必须填往来单位","√")))))))</f>
        <v/>
      </c>
      <c r="O504" s="16" t="str">
        <f aca="false">IF($D504="","",IFERROR(INDEX(对照清单!$B$5:$B$60,MATCH($D504,对照清单!$A$5:$A$60,0)),"⚠编号不存在"))</f>
        <v/>
      </c>
      <c r="P504" s="10" t="str">
        <f aca="false">IF($B504="","",IF(ISNUMBER($B504),TEXT($B504,"yyyy-mm"),"日期非法"))</f>
        <v/>
      </c>
      <c r="Q504" s="10" t="str">
        <f aca="false">IF($B504="","",IF(ISNUMBER($B504),YEAR($B504),"日期非法"))</f>
        <v/>
      </c>
    </row>
    <row r="505" customFormat="false" ht="15.75" hidden="false" customHeight="true" outlineLevel="0" collapsed="false">
      <c r="A505" s="10" t="str">
        <f aca="false">IF($B505="","",ROW()-4)</f>
        <v/>
      </c>
      <c r="B505" s="11"/>
      <c r="C505" s="12"/>
      <c r="D505" s="12"/>
      <c r="E505" s="12"/>
      <c r="F505" s="12"/>
      <c r="G505" s="12"/>
      <c r="H505" s="13"/>
      <c r="I505" s="4"/>
      <c r="J505" s="4"/>
      <c r="K505" s="14" t="str">
        <f aca="false">IF($B505="","",IF($C505="泓普",$C$2,IF($C505="仟茂",$E$2,IF($C505="现金",$G$2,0)))+SUMIFS($I$5:$I505,$C$5:$C505,$C505)-SUMIFS($J$5:$J505,$C$5:$C505,$C505))</f>
        <v/>
      </c>
      <c r="L505" s="14" t="str">
        <f aca="false">IF($B505="","",$C$2+$E$2+$G$2+SUM($I$5:$I505)-SUM($J$5:$J505))</f>
        <v/>
      </c>
      <c r="M505" s="12"/>
      <c r="N505" s="15" t="str">
        <f aca="false">IF($B505="","",IF(NOT(ISNUMBER($B505)),"日期格式不对",IF($C505="","未选资金账户",IF(AND(N($I505)=0,N($J505)=0),"收支都为空",IF(AND(N($I505)&gt;0,N($J505)&gt;0),"收支不能同时填",IF(AND($D505&lt;&gt;"",LEFT($O505,1)="⚠"),"项目编号不存在",IF(AND($M505="是",$F505=""),"工程回款必须填往来单位","√")))))))</f>
        <v/>
      </c>
      <c r="O505" s="16" t="str">
        <f aca="false">IF($D505="","",IFERROR(INDEX(对照清单!$B$5:$B$60,MATCH($D505,对照清单!$A$5:$A$60,0)),"⚠编号不存在"))</f>
        <v/>
      </c>
      <c r="P505" s="10" t="str">
        <f aca="false">IF($B505="","",IF(ISNUMBER($B505),TEXT($B505,"yyyy-mm"),"日期非法"))</f>
        <v/>
      </c>
      <c r="Q505" s="10" t="str">
        <f aca="false">IF($B505="","",IF(ISNUMBER($B505),YEAR($B505),"日期非法"))</f>
        <v/>
      </c>
    </row>
    <row r="506" customFormat="false" ht="15.75" hidden="false" customHeight="true" outlineLevel="0" collapsed="false">
      <c r="A506" s="10" t="str">
        <f aca="false">IF($B506="","",ROW()-4)</f>
        <v/>
      </c>
      <c r="B506" s="11"/>
      <c r="C506" s="12"/>
      <c r="D506" s="12"/>
      <c r="E506" s="12"/>
      <c r="F506" s="12"/>
      <c r="G506" s="12"/>
      <c r="H506" s="13"/>
      <c r="I506" s="4"/>
      <c r="J506" s="4"/>
      <c r="K506" s="14" t="str">
        <f aca="false">IF($B506="","",IF($C506="泓普",$C$2,IF($C506="仟茂",$E$2,IF($C506="现金",$G$2,0)))+SUMIFS($I$5:$I506,$C$5:$C506,$C506)-SUMIFS($J$5:$J506,$C$5:$C506,$C506))</f>
        <v/>
      </c>
      <c r="L506" s="14" t="str">
        <f aca="false">IF($B506="","",$C$2+$E$2+$G$2+SUM($I$5:$I506)-SUM($J$5:$J506))</f>
        <v/>
      </c>
      <c r="M506" s="12"/>
      <c r="N506" s="15" t="str">
        <f aca="false">IF($B506="","",IF(NOT(ISNUMBER($B506)),"日期格式不对",IF($C506="","未选资金账户",IF(AND(N($I506)=0,N($J506)=0),"收支都为空",IF(AND(N($I506)&gt;0,N($J506)&gt;0),"收支不能同时填",IF(AND($D506&lt;&gt;"",LEFT($O506,1)="⚠"),"项目编号不存在",IF(AND($M506="是",$F506=""),"工程回款必须填往来单位","√")))))))</f>
        <v/>
      </c>
      <c r="O506" s="16" t="str">
        <f aca="false">IF($D506="","",IFERROR(INDEX(对照清单!$B$5:$B$60,MATCH($D506,对照清单!$A$5:$A$60,0)),"⚠编号不存在"))</f>
        <v/>
      </c>
      <c r="P506" s="10" t="str">
        <f aca="false">IF($B506="","",IF(ISNUMBER($B506),TEXT($B506,"yyyy-mm"),"日期非法"))</f>
        <v/>
      </c>
      <c r="Q506" s="10" t="str">
        <f aca="false">IF($B506="","",IF(ISNUMBER($B506),YEAR($B506),"日期非法"))</f>
        <v/>
      </c>
    </row>
    <row r="507" customFormat="false" ht="15.75" hidden="false" customHeight="true" outlineLevel="0" collapsed="false">
      <c r="A507" s="10" t="str">
        <f aca="false">IF($B507="","",ROW()-4)</f>
        <v/>
      </c>
      <c r="B507" s="11"/>
      <c r="C507" s="12"/>
      <c r="D507" s="12"/>
      <c r="E507" s="12"/>
      <c r="F507" s="12"/>
      <c r="G507" s="12"/>
      <c r="H507" s="13"/>
      <c r="I507" s="4"/>
      <c r="J507" s="4"/>
      <c r="K507" s="14" t="str">
        <f aca="false">IF($B507="","",IF($C507="泓普",$C$2,IF($C507="仟茂",$E$2,IF($C507="现金",$G$2,0)))+SUMIFS($I$5:$I507,$C$5:$C507,$C507)-SUMIFS($J$5:$J507,$C$5:$C507,$C507))</f>
        <v/>
      </c>
      <c r="L507" s="14" t="str">
        <f aca="false">IF($B507="","",$C$2+$E$2+$G$2+SUM($I$5:$I507)-SUM($J$5:$J507))</f>
        <v/>
      </c>
      <c r="M507" s="12"/>
      <c r="N507" s="15" t="str">
        <f aca="false">IF($B507="","",IF(NOT(ISNUMBER($B507)),"日期格式不对",IF($C507="","未选资金账户",IF(AND(N($I507)=0,N($J507)=0),"收支都为空",IF(AND(N($I507)&gt;0,N($J507)&gt;0),"收支不能同时填",IF(AND($D507&lt;&gt;"",LEFT($O507,1)="⚠"),"项目编号不存在",IF(AND($M507="是",$F507=""),"工程回款必须填往来单位","√")))))))</f>
        <v/>
      </c>
      <c r="O507" s="16" t="str">
        <f aca="false">IF($D507="","",IFERROR(INDEX(对照清单!$B$5:$B$60,MATCH($D507,对照清单!$A$5:$A$60,0)),"⚠编号不存在"))</f>
        <v/>
      </c>
      <c r="P507" s="10" t="str">
        <f aca="false">IF($B507="","",IF(ISNUMBER($B507),TEXT($B507,"yyyy-mm"),"日期非法"))</f>
        <v/>
      </c>
      <c r="Q507" s="10" t="str">
        <f aca="false">IF($B507="","",IF(ISNUMBER($B507),YEAR($B507),"日期非法"))</f>
        <v/>
      </c>
    </row>
    <row r="508" customFormat="false" ht="15.75" hidden="false" customHeight="true" outlineLevel="0" collapsed="false">
      <c r="A508" s="10" t="str">
        <f aca="false">IF($B508="","",ROW()-4)</f>
        <v/>
      </c>
      <c r="B508" s="11"/>
      <c r="C508" s="12"/>
      <c r="D508" s="12"/>
      <c r="E508" s="12"/>
      <c r="F508" s="12"/>
      <c r="G508" s="12"/>
      <c r="H508" s="13"/>
      <c r="I508" s="4"/>
      <c r="J508" s="4"/>
      <c r="K508" s="14" t="str">
        <f aca="false">IF($B508="","",IF($C508="泓普",$C$2,IF($C508="仟茂",$E$2,IF($C508="现金",$G$2,0)))+SUMIFS($I$5:$I508,$C$5:$C508,$C508)-SUMIFS($J$5:$J508,$C$5:$C508,$C508))</f>
        <v/>
      </c>
      <c r="L508" s="14" t="str">
        <f aca="false">IF($B508="","",$C$2+$E$2+$G$2+SUM($I$5:$I508)-SUM($J$5:$J508))</f>
        <v/>
      </c>
      <c r="M508" s="12"/>
      <c r="N508" s="15" t="str">
        <f aca="false">IF($B508="","",IF(NOT(ISNUMBER($B508)),"日期格式不对",IF($C508="","未选资金账户",IF(AND(N($I508)=0,N($J508)=0),"收支都为空",IF(AND(N($I508)&gt;0,N($J508)&gt;0),"收支不能同时填",IF(AND($D508&lt;&gt;"",LEFT($O508,1)="⚠"),"项目编号不存在",IF(AND($M508="是",$F508=""),"工程回款必须填往来单位","√")))))))</f>
        <v/>
      </c>
      <c r="O508" s="16" t="str">
        <f aca="false">IF($D508="","",IFERROR(INDEX(对照清单!$B$5:$B$60,MATCH($D508,对照清单!$A$5:$A$60,0)),"⚠编号不存在"))</f>
        <v/>
      </c>
      <c r="P508" s="10" t="str">
        <f aca="false">IF($B508="","",IF(ISNUMBER($B508),TEXT($B508,"yyyy-mm"),"日期非法"))</f>
        <v/>
      </c>
      <c r="Q508" s="10" t="str">
        <f aca="false">IF($B508="","",IF(ISNUMBER($B508),YEAR($B508),"日期非法"))</f>
        <v/>
      </c>
    </row>
    <row r="509" customFormat="false" ht="15.75" hidden="false" customHeight="true" outlineLevel="0" collapsed="false">
      <c r="A509" s="10" t="str">
        <f aca="false">IF($B509="","",ROW()-4)</f>
        <v/>
      </c>
      <c r="B509" s="11"/>
      <c r="C509" s="12"/>
      <c r="D509" s="12"/>
      <c r="E509" s="12"/>
      <c r="F509" s="12"/>
      <c r="G509" s="12"/>
      <c r="H509" s="13"/>
      <c r="I509" s="4"/>
      <c r="J509" s="4"/>
      <c r="K509" s="14" t="str">
        <f aca="false">IF($B509="","",IF($C509="泓普",$C$2,IF($C509="仟茂",$E$2,IF($C509="现金",$G$2,0)))+SUMIFS($I$5:$I509,$C$5:$C509,$C509)-SUMIFS($J$5:$J509,$C$5:$C509,$C509))</f>
        <v/>
      </c>
      <c r="L509" s="14" t="str">
        <f aca="false">IF($B509="","",$C$2+$E$2+$G$2+SUM($I$5:$I509)-SUM($J$5:$J509))</f>
        <v/>
      </c>
      <c r="M509" s="12"/>
      <c r="N509" s="15" t="str">
        <f aca="false">IF($B509="","",IF(NOT(ISNUMBER($B509)),"日期格式不对",IF($C509="","未选资金账户",IF(AND(N($I509)=0,N($J509)=0),"收支都为空",IF(AND(N($I509)&gt;0,N($J509)&gt;0),"收支不能同时填",IF(AND($D509&lt;&gt;"",LEFT($O509,1)="⚠"),"项目编号不存在",IF(AND($M509="是",$F509=""),"工程回款必须填往来单位","√")))))))</f>
        <v/>
      </c>
      <c r="O509" s="16" t="str">
        <f aca="false">IF($D509="","",IFERROR(INDEX(对照清单!$B$5:$B$60,MATCH($D509,对照清单!$A$5:$A$60,0)),"⚠编号不存在"))</f>
        <v/>
      </c>
      <c r="P509" s="10" t="str">
        <f aca="false">IF($B509="","",IF(ISNUMBER($B509),TEXT($B509,"yyyy-mm"),"日期非法"))</f>
        <v/>
      </c>
      <c r="Q509" s="10" t="str">
        <f aca="false">IF($B509="","",IF(ISNUMBER($B509),YEAR($B509),"日期非法"))</f>
        <v/>
      </c>
    </row>
    <row r="510" customFormat="false" ht="15.75" hidden="false" customHeight="true" outlineLevel="0" collapsed="false">
      <c r="A510" s="10" t="str">
        <f aca="false">IF($B510="","",ROW()-4)</f>
        <v/>
      </c>
      <c r="B510" s="11"/>
      <c r="C510" s="12"/>
      <c r="D510" s="12"/>
      <c r="E510" s="12"/>
      <c r="F510" s="12"/>
      <c r="G510" s="12"/>
      <c r="H510" s="13"/>
      <c r="I510" s="4"/>
      <c r="J510" s="4"/>
      <c r="K510" s="14" t="str">
        <f aca="false">IF($B510="","",IF($C510="泓普",$C$2,IF($C510="仟茂",$E$2,IF($C510="现金",$G$2,0)))+SUMIFS($I$5:$I510,$C$5:$C510,$C510)-SUMIFS($J$5:$J510,$C$5:$C510,$C510))</f>
        <v/>
      </c>
      <c r="L510" s="14" t="str">
        <f aca="false">IF($B510="","",$C$2+$E$2+$G$2+SUM($I$5:$I510)-SUM($J$5:$J510))</f>
        <v/>
      </c>
      <c r="M510" s="12"/>
      <c r="N510" s="15" t="str">
        <f aca="false">IF($B510="","",IF(NOT(ISNUMBER($B510)),"日期格式不对",IF($C510="","未选资金账户",IF(AND(N($I510)=0,N($J510)=0),"收支都为空",IF(AND(N($I510)&gt;0,N($J510)&gt;0),"收支不能同时填",IF(AND($D510&lt;&gt;"",LEFT($O510,1)="⚠"),"项目编号不存在",IF(AND($M510="是",$F510=""),"工程回款必须填往来单位","√")))))))</f>
        <v/>
      </c>
      <c r="O510" s="16" t="str">
        <f aca="false">IF($D510="","",IFERROR(INDEX(对照清单!$B$5:$B$60,MATCH($D510,对照清单!$A$5:$A$60,0)),"⚠编号不存在"))</f>
        <v/>
      </c>
      <c r="P510" s="10" t="str">
        <f aca="false">IF($B510="","",IF(ISNUMBER($B510),TEXT($B510,"yyyy-mm"),"日期非法"))</f>
        <v/>
      </c>
      <c r="Q510" s="10" t="str">
        <f aca="false">IF($B510="","",IF(ISNUMBER($B510),YEAR($B510),"日期非法"))</f>
        <v/>
      </c>
    </row>
    <row r="511" customFormat="false" ht="15.75" hidden="false" customHeight="true" outlineLevel="0" collapsed="false">
      <c r="A511" s="10" t="str">
        <f aca="false">IF($B511="","",ROW()-4)</f>
        <v/>
      </c>
      <c r="B511" s="11"/>
      <c r="C511" s="12"/>
      <c r="D511" s="12"/>
      <c r="E511" s="12"/>
      <c r="F511" s="12"/>
      <c r="G511" s="12"/>
      <c r="H511" s="13"/>
      <c r="I511" s="4"/>
      <c r="J511" s="4"/>
      <c r="K511" s="14" t="str">
        <f aca="false">IF($B511="","",IF($C511="泓普",$C$2,IF($C511="仟茂",$E$2,IF($C511="现金",$G$2,0)))+SUMIFS($I$5:$I511,$C$5:$C511,$C511)-SUMIFS($J$5:$J511,$C$5:$C511,$C511))</f>
        <v/>
      </c>
      <c r="L511" s="14" t="str">
        <f aca="false">IF($B511="","",$C$2+$E$2+$G$2+SUM($I$5:$I511)-SUM($J$5:$J511))</f>
        <v/>
      </c>
      <c r="M511" s="12"/>
      <c r="N511" s="15" t="str">
        <f aca="false">IF($B511="","",IF(NOT(ISNUMBER($B511)),"日期格式不对",IF($C511="","未选资金账户",IF(AND(N($I511)=0,N($J511)=0),"收支都为空",IF(AND(N($I511)&gt;0,N($J511)&gt;0),"收支不能同时填",IF(AND($D511&lt;&gt;"",LEFT($O511,1)="⚠"),"项目编号不存在",IF(AND($M511="是",$F511=""),"工程回款必须填往来单位","√")))))))</f>
        <v/>
      </c>
      <c r="O511" s="16" t="str">
        <f aca="false">IF($D511="","",IFERROR(INDEX(对照清单!$B$5:$B$60,MATCH($D511,对照清单!$A$5:$A$60,0)),"⚠编号不存在"))</f>
        <v/>
      </c>
      <c r="P511" s="10" t="str">
        <f aca="false">IF($B511="","",IF(ISNUMBER($B511),TEXT($B511,"yyyy-mm"),"日期非法"))</f>
        <v/>
      </c>
      <c r="Q511" s="10" t="str">
        <f aca="false">IF($B511="","",IF(ISNUMBER($B511),YEAR($B511),"日期非法"))</f>
        <v/>
      </c>
    </row>
    <row r="512" customFormat="false" ht="15.75" hidden="false" customHeight="true" outlineLevel="0" collapsed="false">
      <c r="A512" s="10" t="str">
        <f aca="false">IF($B512="","",ROW()-4)</f>
        <v/>
      </c>
      <c r="B512" s="11"/>
      <c r="C512" s="12"/>
      <c r="D512" s="12"/>
      <c r="E512" s="12"/>
      <c r="F512" s="12"/>
      <c r="G512" s="12"/>
      <c r="H512" s="13"/>
      <c r="I512" s="4"/>
      <c r="J512" s="4"/>
      <c r="K512" s="14" t="str">
        <f aca="false">IF($B512="","",IF($C512="泓普",$C$2,IF($C512="仟茂",$E$2,IF($C512="现金",$G$2,0)))+SUMIFS($I$5:$I512,$C$5:$C512,$C512)-SUMIFS($J$5:$J512,$C$5:$C512,$C512))</f>
        <v/>
      </c>
      <c r="L512" s="14" t="str">
        <f aca="false">IF($B512="","",$C$2+$E$2+$G$2+SUM($I$5:$I512)-SUM($J$5:$J512))</f>
        <v/>
      </c>
      <c r="M512" s="12"/>
      <c r="N512" s="15" t="str">
        <f aca="false">IF($B512="","",IF(NOT(ISNUMBER($B512)),"日期格式不对",IF($C512="","未选资金账户",IF(AND(N($I512)=0,N($J512)=0),"收支都为空",IF(AND(N($I512)&gt;0,N($J512)&gt;0),"收支不能同时填",IF(AND($D512&lt;&gt;"",LEFT($O512,1)="⚠"),"项目编号不存在",IF(AND($M512="是",$F512=""),"工程回款必须填往来单位","√")))))))</f>
        <v/>
      </c>
      <c r="O512" s="16" t="str">
        <f aca="false">IF($D512="","",IFERROR(INDEX(对照清单!$B$5:$B$60,MATCH($D512,对照清单!$A$5:$A$60,0)),"⚠编号不存在"))</f>
        <v/>
      </c>
      <c r="P512" s="10" t="str">
        <f aca="false">IF($B512="","",IF(ISNUMBER($B512),TEXT($B512,"yyyy-mm"),"日期非法"))</f>
        <v/>
      </c>
      <c r="Q512" s="10" t="str">
        <f aca="false">IF($B512="","",IF(ISNUMBER($B512),YEAR($B512),"日期非法"))</f>
        <v/>
      </c>
    </row>
    <row r="513" customFormat="false" ht="15.75" hidden="false" customHeight="true" outlineLevel="0" collapsed="false">
      <c r="A513" s="10" t="str">
        <f aca="false">IF($B513="","",ROW()-4)</f>
        <v/>
      </c>
      <c r="B513" s="11"/>
      <c r="C513" s="12"/>
      <c r="D513" s="12"/>
      <c r="E513" s="12"/>
      <c r="F513" s="12"/>
      <c r="G513" s="12"/>
      <c r="H513" s="13"/>
      <c r="I513" s="4"/>
      <c r="J513" s="4"/>
      <c r="K513" s="14" t="str">
        <f aca="false">IF($B513="","",IF($C513="泓普",$C$2,IF($C513="仟茂",$E$2,IF($C513="现金",$G$2,0)))+SUMIFS($I$5:$I513,$C$5:$C513,$C513)-SUMIFS($J$5:$J513,$C$5:$C513,$C513))</f>
        <v/>
      </c>
      <c r="L513" s="14" t="str">
        <f aca="false">IF($B513="","",$C$2+$E$2+$G$2+SUM($I$5:$I513)-SUM($J$5:$J513))</f>
        <v/>
      </c>
      <c r="M513" s="12"/>
      <c r="N513" s="15" t="str">
        <f aca="false">IF($B513="","",IF(NOT(ISNUMBER($B513)),"日期格式不对",IF($C513="","未选资金账户",IF(AND(N($I513)=0,N($J513)=0),"收支都为空",IF(AND(N($I513)&gt;0,N($J513)&gt;0),"收支不能同时填",IF(AND($D513&lt;&gt;"",LEFT($O513,1)="⚠"),"项目编号不存在",IF(AND($M513="是",$F513=""),"工程回款必须填往来单位","√")))))))</f>
        <v/>
      </c>
      <c r="O513" s="16" t="str">
        <f aca="false">IF($D513="","",IFERROR(INDEX(对照清单!$B$5:$B$60,MATCH($D513,对照清单!$A$5:$A$60,0)),"⚠编号不存在"))</f>
        <v/>
      </c>
      <c r="P513" s="10" t="str">
        <f aca="false">IF($B513="","",IF(ISNUMBER($B513),TEXT($B513,"yyyy-mm"),"日期非法"))</f>
        <v/>
      </c>
      <c r="Q513" s="10" t="str">
        <f aca="false">IF($B513="","",IF(ISNUMBER($B513),YEAR($B513),"日期非法"))</f>
        <v/>
      </c>
    </row>
    <row r="514" customFormat="false" ht="15.75" hidden="false" customHeight="true" outlineLevel="0" collapsed="false">
      <c r="A514" s="10" t="str">
        <f aca="false">IF($B514="","",ROW()-4)</f>
        <v/>
      </c>
      <c r="B514" s="11"/>
      <c r="C514" s="12"/>
      <c r="D514" s="12"/>
      <c r="E514" s="12"/>
      <c r="F514" s="12"/>
      <c r="G514" s="12"/>
      <c r="H514" s="13"/>
      <c r="I514" s="4"/>
      <c r="J514" s="4"/>
      <c r="K514" s="14" t="str">
        <f aca="false">IF($B514="","",IF($C514="泓普",$C$2,IF($C514="仟茂",$E$2,IF($C514="现金",$G$2,0)))+SUMIFS($I$5:$I514,$C$5:$C514,$C514)-SUMIFS($J$5:$J514,$C$5:$C514,$C514))</f>
        <v/>
      </c>
      <c r="L514" s="14" t="str">
        <f aca="false">IF($B514="","",$C$2+$E$2+$G$2+SUM($I$5:$I514)-SUM($J$5:$J514))</f>
        <v/>
      </c>
      <c r="M514" s="12"/>
      <c r="N514" s="15" t="str">
        <f aca="false">IF($B514="","",IF(NOT(ISNUMBER($B514)),"日期格式不对",IF($C514="","未选资金账户",IF(AND(N($I514)=0,N($J514)=0),"收支都为空",IF(AND(N($I514)&gt;0,N($J514)&gt;0),"收支不能同时填",IF(AND($D514&lt;&gt;"",LEFT($O514,1)="⚠"),"项目编号不存在",IF(AND($M514="是",$F514=""),"工程回款必须填往来单位","√")))))))</f>
        <v/>
      </c>
      <c r="O514" s="16" t="str">
        <f aca="false">IF($D514="","",IFERROR(INDEX(对照清单!$B$5:$B$60,MATCH($D514,对照清单!$A$5:$A$60,0)),"⚠编号不存在"))</f>
        <v/>
      </c>
      <c r="P514" s="10" t="str">
        <f aca="false">IF($B514="","",IF(ISNUMBER($B514),TEXT($B514,"yyyy-mm"),"日期非法"))</f>
        <v/>
      </c>
      <c r="Q514" s="10" t="str">
        <f aca="false">IF($B514="","",IF(ISNUMBER($B514),YEAR($B514),"日期非法"))</f>
        <v/>
      </c>
    </row>
    <row r="515" customFormat="false" ht="15.75" hidden="false" customHeight="true" outlineLevel="0" collapsed="false">
      <c r="A515" s="10" t="str">
        <f aca="false">IF($B515="","",ROW()-4)</f>
        <v/>
      </c>
      <c r="B515" s="11"/>
      <c r="C515" s="12"/>
      <c r="D515" s="12"/>
      <c r="E515" s="12"/>
      <c r="F515" s="12"/>
      <c r="G515" s="12"/>
      <c r="H515" s="13"/>
      <c r="I515" s="4"/>
      <c r="J515" s="4"/>
      <c r="K515" s="14" t="str">
        <f aca="false">IF($B515="","",IF($C515="泓普",$C$2,IF($C515="仟茂",$E$2,IF($C515="现金",$G$2,0)))+SUMIFS($I$5:$I515,$C$5:$C515,$C515)-SUMIFS($J$5:$J515,$C$5:$C515,$C515))</f>
        <v/>
      </c>
      <c r="L515" s="14" t="str">
        <f aca="false">IF($B515="","",$C$2+$E$2+$G$2+SUM($I$5:$I515)-SUM($J$5:$J515))</f>
        <v/>
      </c>
      <c r="M515" s="12"/>
      <c r="N515" s="15" t="str">
        <f aca="false">IF($B515="","",IF(NOT(ISNUMBER($B515)),"日期格式不对",IF($C515="","未选资金账户",IF(AND(N($I515)=0,N($J515)=0),"收支都为空",IF(AND(N($I515)&gt;0,N($J515)&gt;0),"收支不能同时填",IF(AND($D515&lt;&gt;"",LEFT($O515,1)="⚠"),"项目编号不存在",IF(AND($M515="是",$F515=""),"工程回款必须填往来单位","√")))))))</f>
        <v/>
      </c>
      <c r="O515" s="16" t="str">
        <f aca="false">IF($D515="","",IFERROR(INDEX(对照清单!$B$5:$B$60,MATCH($D515,对照清单!$A$5:$A$60,0)),"⚠编号不存在"))</f>
        <v/>
      </c>
      <c r="P515" s="10" t="str">
        <f aca="false">IF($B515="","",IF(ISNUMBER($B515),TEXT($B515,"yyyy-mm"),"日期非法"))</f>
        <v/>
      </c>
      <c r="Q515" s="10" t="str">
        <f aca="false">IF($B515="","",IF(ISNUMBER($B515),YEAR($B515),"日期非法"))</f>
        <v/>
      </c>
    </row>
    <row r="516" customFormat="false" ht="15.75" hidden="false" customHeight="true" outlineLevel="0" collapsed="false">
      <c r="A516" s="10" t="str">
        <f aca="false">IF($B516="","",ROW()-4)</f>
        <v/>
      </c>
      <c r="B516" s="11"/>
      <c r="C516" s="12"/>
      <c r="D516" s="12"/>
      <c r="E516" s="12"/>
      <c r="F516" s="12"/>
      <c r="G516" s="12"/>
      <c r="H516" s="13"/>
      <c r="I516" s="4"/>
      <c r="J516" s="4"/>
      <c r="K516" s="14" t="str">
        <f aca="false">IF($B516="","",IF($C516="泓普",$C$2,IF($C516="仟茂",$E$2,IF($C516="现金",$G$2,0)))+SUMIFS($I$5:$I516,$C$5:$C516,$C516)-SUMIFS($J$5:$J516,$C$5:$C516,$C516))</f>
        <v/>
      </c>
      <c r="L516" s="14" t="str">
        <f aca="false">IF($B516="","",$C$2+$E$2+$G$2+SUM($I$5:$I516)-SUM($J$5:$J516))</f>
        <v/>
      </c>
      <c r="M516" s="12"/>
      <c r="N516" s="15" t="str">
        <f aca="false">IF($B516="","",IF(NOT(ISNUMBER($B516)),"日期格式不对",IF($C516="","未选资金账户",IF(AND(N($I516)=0,N($J516)=0),"收支都为空",IF(AND(N($I516)&gt;0,N($J516)&gt;0),"收支不能同时填",IF(AND($D516&lt;&gt;"",LEFT($O516,1)="⚠"),"项目编号不存在",IF(AND($M516="是",$F516=""),"工程回款必须填往来单位","√")))))))</f>
        <v/>
      </c>
      <c r="O516" s="16" t="str">
        <f aca="false">IF($D516="","",IFERROR(INDEX(对照清单!$B$5:$B$60,MATCH($D516,对照清单!$A$5:$A$60,0)),"⚠编号不存在"))</f>
        <v/>
      </c>
      <c r="P516" s="10" t="str">
        <f aca="false">IF($B516="","",IF(ISNUMBER($B516),TEXT($B516,"yyyy-mm"),"日期非法"))</f>
        <v/>
      </c>
      <c r="Q516" s="10" t="str">
        <f aca="false">IF($B516="","",IF(ISNUMBER($B516),YEAR($B516),"日期非法"))</f>
        <v/>
      </c>
    </row>
    <row r="517" customFormat="false" ht="15.75" hidden="false" customHeight="true" outlineLevel="0" collapsed="false">
      <c r="A517" s="10" t="str">
        <f aca="false">IF($B517="","",ROW()-4)</f>
        <v/>
      </c>
      <c r="B517" s="11"/>
      <c r="C517" s="12"/>
      <c r="D517" s="12"/>
      <c r="E517" s="12"/>
      <c r="F517" s="12"/>
      <c r="G517" s="12"/>
      <c r="H517" s="13"/>
      <c r="I517" s="4"/>
      <c r="J517" s="4"/>
      <c r="K517" s="14" t="str">
        <f aca="false">IF($B517="","",IF($C517="泓普",$C$2,IF($C517="仟茂",$E$2,IF($C517="现金",$G$2,0)))+SUMIFS($I$5:$I517,$C$5:$C517,$C517)-SUMIFS($J$5:$J517,$C$5:$C517,$C517))</f>
        <v/>
      </c>
      <c r="L517" s="14" t="str">
        <f aca="false">IF($B517="","",$C$2+$E$2+$G$2+SUM($I$5:$I517)-SUM($J$5:$J517))</f>
        <v/>
      </c>
      <c r="M517" s="12"/>
      <c r="N517" s="15" t="str">
        <f aca="false">IF($B517="","",IF(NOT(ISNUMBER($B517)),"日期格式不对",IF($C517="","未选资金账户",IF(AND(N($I517)=0,N($J517)=0),"收支都为空",IF(AND(N($I517)&gt;0,N($J517)&gt;0),"收支不能同时填",IF(AND($D517&lt;&gt;"",LEFT($O517,1)="⚠"),"项目编号不存在",IF(AND($M517="是",$F517=""),"工程回款必须填往来单位","√")))))))</f>
        <v/>
      </c>
      <c r="O517" s="16" t="str">
        <f aca="false">IF($D517="","",IFERROR(INDEX(对照清单!$B$5:$B$60,MATCH($D517,对照清单!$A$5:$A$60,0)),"⚠编号不存在"))</f>
        <v/>
      </c>
      <c r="P517" s="10" t="str">
        <f aca="false">IF($B517="","",IF(ISNUMBER($B517),TEXT($B517,"yyyy-mm"),"日期非法"))</f>
        <v/>
      </c>
      <c r="Q517" s="10" t="str">
        <f aca="false">IF($B517="","",IF(ISNUMBER($B517),YEAR($B517),"日期非法"))</f>
        <v/>
      </c>
    </row>
    <row r="518" customFormat="false" ht="15.75" hidden="false" customHeight="true" outlineLevel="0" collapsed="false">
      <c r="A518" s="10" t="str">
        <f aca="false">IF($B518="","",ROW()-4)</f>
        <v/>
      </c>
      <c r="B518" s="11"/>
      <c r="C518" s="12"/>
      <c r="D518" s="12"/>
      <c r="E518" s="12"/>
      <c r="F518" s="12"/>
      <c r="G518" s="12"/>
      <c r="H518" s="13"/>
      <c r="I518" s="4"/>
      <c r="J518" s="4"/>
      <c r="K518" s="14" t="str">
        <f aca="false">IF($B518="","",IF($C518="泓普",$C$2,IF($C518="仟茂",$E$2,IF($C518="现金",$G$2,0)))+SUMIFS($I$5:$I518,$C$5:$C518,$C518)-SUMIFS($J$5:$J518,$C$5:$C518,$C518))</f>
        <v/>
      </c>
      <c r="L518" s="14" t="str">
        <f aca="false">IF($B518="","",$C$2+$E$2+$G$2+SUM($I$5:$I518)-SUM($J$5:$J518))</f>
        <v/>
      </c>
      <c r="M518" s="12"/>
      <c r="N518" s="15" t="str">
        <f aca="false">IF($B518="","",IF(NOT(ISNUMBER($B518)),"日期格式不对",IF($C518="","未选资金账户",IF(AND(N($I518)=0,N($J518)=0),"收支都为空",IF(AND(N($I518)&gt;0,N($J518)&gt;0),"收支不能同时填",IF(AND($D518&lt;&gt;"",LEFT($O518,1)="⚠"),"项目编号不存在",IF(AND($M518="是",$F518=""),"工程回款必须填往来单位","√")))))))</f>
        <v/>
      </c>
      <c r="O518" s="16" t="str">
        <f aca="false">IF($D518="","",IFERROR(INDEX(对照清单!$B$5:$B$60,MATCH($D518,对照清单!$A$5:$A$60,0)),"⚠编号不存在"))</f>
        <v/>
      </c>
      <c r="P518" s="10" t="str">
        <f aca="false">IF($B518="","",IF(ISNUMBER($B518),TEXT($B518,"yyyy-mm"),"日期非法"))</f>
        <v/>
      </c>
      <c r="Q518" s="10" t="str">
        <f aca="false">IF($B518="","",IF(ISNUMBER($B518),YEAR($B518),"日期非法"))</f>
        <v/>
      </c>
    </row>
    <row r="519" customFormat="false" ht="15.75" hidden="false" customHeight="true" outlineLevel="0" collapsed="false">
      <c r="A519" s="10" t="str">
        <f aca="false">IF($B519="","",ROW()-4)</f>
        <v/>
      </c>
      <c r="B519" s="11"/>
      <c r="C519" s="12"/>
      <c r="D519" s="12"/>
      <c r="E519" s="12"/>
      <c r="F519" s="12"/>
      <c r="G519" s="12"/>
      <c r="H519" s="13"/>
      <c r="I519" s="4"/>
      <c r="J519" s="4"/>
      <c r="K519" s="14" t="str">
        <f aca="false">IF($B519="","",IF($C519="泓普",$C$2,IF($C519="仟茂",$E$2,IF($C519="现金",$G$2,0)))+SUMIFS($I$5:$I519,$C$5:$C519,$C519)-SUMIFS($J$5:$J519,$C$5:$C519,$C519))</f>
        <v/>
      </c>
      <c r="L519" s="14" t="str">
        <f aca="false">IF($B519="","",$C$2+$E$2+$G$2+SUM($I$5:$I519)-SUM($J$5:$J519))</f>
        <v/>
      </c>
      <c r="M519" s="12"/>
      <c r="N519" s="15" t="str">
        <f aca="false">IF($B519="","",IF(NOT(ISNUMBER($B519)),"日期格式不对",IF($C519="","未选资金账户",IF(AND(N($I519)=0,N($J519)=0),"收支都为空",IF(AND(N($I519)&gt;0,N($J519)&gt;0),"收支不能同时填",IF(AND($D519&lt;&gt;"",LEFT($O519,1)="⚠"),"项目编号不存在",IF(AND($M519="是",$F519=""),"工程回款必须填往来单位","√")))))))</f>
        <v/>
      </c>
      <c r="O519" s="16" t="str">
        <f aca="false">IF($D519="","",IFERROR(INDEX(对照清单!$B$5:$B$60,MATCH($D519,对照清单!$A$5:$A$60,0)),"⚠编号不存在"))</f>
        <v/>
      </c>
      <c r="P519" s="10" t="str">
        <f aca="false">IF($B519="","",IF(ISNUMBER($B519),TEXT($B519,"yyyy-mm"),"日期非法"))</f>
        <v/>
      </c>
      <c r="Q519" s="10" t="str">
        <f aca="false">IF($B519="","",IF(ISNUMBER($B519),YEAR($B519),"日期非法"))</f>
        <v/>
      </c>
    </row>
    <row r="520" customFormat="false" ht="15.75" hidden="false" customHeight="true" outlineLevel="0" collapsed="false">
      <c r="A520" s="10" t="str">
        <f aca="false">IF($B520="","",ROW()-4)</f>
        <v/>
      </c>
      <c r="B520" s="11"/>
      <c r="C520" s="12"/>
      <c r="D520" s="12"/>
      <c r="E520" s="12"/>
      <c r="F520" s="12"/>
      <c r="G520" s="12"/>
      <c r="H520" s="13"/>
      <c r="I520" s="4"/>
      <c r="J520" s="4"/>
      <c r="K520" s="14" t="str">
        <f aca="false">IF($B520="","",IF($C520="泓普",$C$2,IF($C520="仟茂",$E$2,IF($C520="现金",$G$2,0)))+SUMIFS($I$5:$I520,$C$5:$C520,$C520)-SUMIFS($J$5:$J520,$C$5:$C520,$C520))</f>
        <v/>
      </c>
      <c r="L520" s="14" t="str">
        <f aca="false">IF($B520="","",$C$2+$E$2+$G$2+SUM($I$5:$I520)-SUM($J$5:$J520))</f>
        <v/>
      </c>
      <c r="M520" s="12"/>
      <c r="N520" s="15" t="str">
        <f aca="false">IF($B520="","",IF(NOT(ISNUMBER($B520)),"日期格式不对",IF($C520="","未选资金账户",IF(AND(N($I520)=0,N($J520)=0),"收支都为空",IF(AND(N($I520)&gt;0,N($J520)&gt;0),"收支不能同时填",IF(AND($D520&lt;&gt;"",LEFT($O520,1)="⚠"),"项目编号不存在",IF(AND($M520="是",$F520=""),"工程回款必须填往来单位","√")))))))</f>
        <v/>
      </c>
      <c r="O520" s="16" t="str">
        <f aca="false">IF($D520="","",IFERROR(INDEX(对照清单!$B$5:$B$60,MATCH($D520,对照清单!$A$5:$A$60,0)),"⚠编号不存在"))</f>
        <v/>
      </c>
      <c r="P520" s="10" t="str">
        <f aca="false">IF($B520="","",IF(ISNUMBER($B520),TEXT($B520,"yyyy-mm"),"日期非法"))</f>
        <v/>
      </c>
      <c r="Q520" s="10" t="str">
        <f aca="false">IF($B520="","",IF(ISNUMBER($B520),YEAR($B520),"日期非法"))</f>
        <v/>
      </c>
    </row>
    <row r="521" customFormat="false" ht="15.75" hidden="false" customHeight="true" outlineLevel="0" collapsed="false">
      <c r="A521" s="10" t="str">
        <f aca="false">IF($B521="","",ROW()-4)</f>
        <v/>
      </c>
      <c r="B521" s="11"/>
      <c r="C521" s="12"/>
      <c r="D521" s="12"/>
      <c r="E521" s="12"/>
      <c r="F521" s="12"/>
      <c r="G521" s="12"/>
      <c r="H521" s="13"/>
      <c r="I521" s="4"/>
      <c r="J521" s="4"/>
      <c r="K521" s="14" t="str">
        <f aca="false">IF($B521="","",IF($C521="泓普",$C$2,IF($C521="仟茂",$E$2,IF($C521="现金",$G$2,0)))+SUMIFS($I$5:$I521,$C$5:$C521,$C521)-SUMIFS($J$5:$J521,$C$5:$C521,$C521))</f>
        <v/>
      </c>
      <c r="L521" s="14" t="str">
        <f aca="false">IF($B521="","",$C$2+$E$2+$G$2+SUM($I$5:$I521)-SUM($J$5:$J521))</f>
        <v/>
      </c>
      <c r="M521" s="12"/>
      <c r="N521" s="15" t="str">
        <f aca="false">IF($B521="","",IF(NOT(ISNUMBER($B521)),"日期格式不对",IF($C521="","未选资金账户",IF(AND(N($I521)=0,N($J521)=0),"收支都为空",IF(AND(N($I521)&gt;0,N($J521)&gt;0),"收支不能同时填",IF(AND($D521&lt;&gt;"",LEFT($O521,1)="⚠"),"项目编号不存在",IF(AND($M521="是",$F521=""),"工程回款必须填往来单位","√")))))))</f>
        <v/>
      </c>
      <c r="O521" s="16" t="str">
        <f aca="false">IF($D521="","",IFERROR(INDEX(对照清单!$B$5:$B$60,MATCH($D521,对照清单!$A$5:$A$60,0)),"⚠编号不存在"))</f>
        <v/>
      </c>
      <c r="P521" s="10" t="str">
        <f aca="false">IF($B521="","",IF(ISNUMBER($B521),TEXT($B521,"yyyy-mm"),"日期非法"))</f>
        <v/>
      </c>
      <c r="Q521" s="10" t="str">
        <f aca="false">IF($B521="","",IF(ISNUMBER($B521),YEAR($B521),"日期非法"))</f>
        <v/>
      </c>
    </row>
    <row r="522" customFormat="false" ht="15.75" hidden="false" customHeight="true" outlineLevel="0" collapsed="false">
      <c r="A522" s="10" t="str">
        <f aca="false">IF($B522="","",ROW()-4)</f>
        <v/>
      </c>
      <c r="B522" s="11"/>
      <c r="C522" s="12"/>
      <c r="D522" s="12"/>
      <c r="E522" s="12"/>
      <c r="F522" s="12"/>
      <c r="G522" s="12"/>
      <c r="H522" s="13"/>
      <c r="I522" s="4"/>
      <c r="J522" s="4"/>
      <c r="K522" s="14" t="str">
        <f aca="false">IF($B522="","",IF($C522="泓普",$C$2,IF($C522="仟茂",$E$2,IF($C522="现金",$G$2,0)))+SUMIFS($I$5:$I522,$C$5:$C522,$C522)-SUMIFS($J$5:$J522,$C$5:$C522,$C522))</f>
        <v/>
      </c>
      <c r="L522" s="14" t="str">
        <f aca="false">IF($B522="","",$C$2+$E$2+$G$2+SUM($I$5:$I522)-SUM($J$5:$J522))</f>
        <v/>
      </c>
      <c r="M522" s="12"/>
      <c r="N522" s="15" t="str">
        <f aca="false">IF($B522="","",IF(NOT(ISNUMBER($B522)),"日期格式不对",IF($C522="","未选资金账户",IF(AND(N($I522)=0,N($J522)=0),"收支都为空",IF(AND(N($I522)&gt;0,N($J522)&gt;0),"收支不能同时填",IF(AND($D522&lt;&gt;"",LEFT($O522,1)="⚠"),"项目编号不存在",IF(AND($M522="是",$F522=""),"工程回款必须填往来单位","√")))))))</f>
        <v/>
      </c>
      <c r="O522" s="16" t="str">
        <f aca="false">IF($D522="","",IFERROR(INDEX(对照清单!$B$5:$B$60,MATCH($D522,对照清单!$A$5:$A$60,0)),"⚠编号不存在"))</f>
        <v/>
      </c>
      <c r="P522" s="10" t="str">
        <f aca="false">IF($B522="","",IF(ISNUMBER($B522),TEXT($B522,"yyyy-mm"),"日期非法"))</f>
        <v/>
      </c>
      <c r="Q522" s="10" t="str">
        <f aca="false">IF($B522="","",IF(ISNUMBER($B522),YEAR($B522),"日期非法"))</f>
        <v/>
      </c>
    </row>
    <row r="523" customFormat="false" ht="15.75" hidden="false" customHeight="true" outlineLevel="0" collapsed="false">
      <c r="A523" s="10" t="str">
        <f aca="false">IF($B523="","",ROW()-4)</f>
        <v/>
      </c>
      <c r="B523" s="11"/>
      <c r="C523" s="12"/>
      <c r="D523" s="12"/>
      <c r="E523" s="12"/>
      <c r="F523" s="12"/>
      <c r="G523" s="12"/>
      <c r="H523" s="13"/>
      <c r="I523" s="4"/>
      <c r="J523" s="4"/>
      <c r="K523" s="14" t="str">
        <f aca="false">IF($B523="","",IF($C523="泓普",$C$2,IF($C523="仟茂",$E$2,IF($C523="现金",$G$2,0)))+SUMIFS($I$5:$I523,$C$5:$C523,$C523)-SUMIFS($J$5:$J523,$C$5:$C523,$C523))</f>
        <v/>
      </c>
      <c r="L523" s="14" t="str">
        <f aca="false">IF($B523="","",$C$2+$E$2+$G$2+SUM($I$5:$I523)-SUM($J$5:$J523))</f>
        <v/>
      </c>
      <c r="M523" s="12"/>
      <c r="N523" s="15" t="str">
        <f aca="false">IF($B523="","",IF(NOT(ISNUMBER($B523)),"日期格式不对",IF($C523="","未选资金账户",IF(AND(N($I523)=0,N($J523)=0),"收支都为空",IF(AND(N($I523)&gt;0,N($J523)&gt;0),"收支不能同时填",IF(AND($D523&lt;&gt;"",LEFT($O523,1)="⚠"),"项目编号不存在",IF(AND($M523="是",$F523=""),"工程回款必须填往来单位","√")))))))</f>
        <v/>
      </c>
      <c r="O523" s="16" t="str">
        <f aca="false">IF($D523="","",IFERROR(INDEX(对照清单!$B$5:$B$60,MATCH($D523,对照清单!$A$5:$A$60,0)),"⚠编号不存在"))</f>
        <v/>
      </c>
      <c r="P523" s="10" t="str">
        <f aca="false">IF($B523="","",IF(ISNUMBER($B523),TEXT($B523,"yyyy-mm"),"日期非法"))</f>
        <v/>
      </c>
      <c r="Q523" s="10" t="str">
        <f aca="false">IF($B523="","",IF(ISNUMBER($B523),YEAR($B523),"日期非法"))</f>
        <v/>
      </c>
    </row>
    <row r="524" customFormat="false" ht="15.75" hidden="false" customHeight="true" outlineLevel="0" collapsed="false">
      <c r="A524" s="10" t="str">
        <f aca="false">IF($B524="","",ROW()-4)</f>
        <v/>
      </c>
      <c r="B524" s="11"/>
      <c r="C524" s="12"/>
      <c r="D524" s="12"/>
      <c r="E524" s="12"/>
      <c r="F524" s="12"/>
      <c r="G524" s="12"/>
      <c r="H524" s="13"/>
      <c r="I524" s="4"/>
      <c r="J524" s="4"/>
      <c r="K524" s="14" t="str">
        <f aca="false">IF($B524="","",IF($C524="泓普",$C$2,IF($C524="仟茂",$E$2,IF($C524="现金",$G$2,0)))+SUMIFS($I$5:$I524,$C$5:$C524,$C524)-SUMIFS($J$5:$J524,$C$5:$C524,$C524))</f>
        <v/>
      </c>
      <c r="L524" s="14" t="str">
        <f aca="false">IF($B524="","",$C$2+$E$2+$G$2+SUM($I$5:$I524)-SUM($J$5:$J524))</f>
        <v/>
      </c>
      <c r="M524" s="12"/>
      <c r="N524" s="15" t="str">
        <f aca="false">IF($B524="","",IF(NOT(ISNUMBER($B524)),"日期格式不对",IF($C524="","未选资金账户",IF(AND(N($I524)=0,N($J524)=0),"收支都为空",IF(AND(N($I524)&gt;0,N($J524)&gt;0),"收支不能同时填",IF(AND($D524&lt;&gt;"",LEFT($O524,1)="⚠"),"项目编号不存在",IF(AND($M524="是",$F524=""),"工程回款必须填往来单位","√")))))))</f>
        <v/>
      </c>
      <c r="O524" s="16" t="str">
        <f aca="false">IF($D524="","",IFERROR(INDEX(对照清单!$B$5:$B$60,MATCH($D524,对照清单!$A$5:$A$60,0)),"⚠编号不存在"))</f>
        <v/>
      </c>
      <c r="P524" s="10" t="str">
        <f aca="false">IF($B524="","",IF(ISNUMBER($B524),TEXT($B524,"yyyy-mm"),"日期非法"))</f>
        <v/>
      </c>
      <c r="Q524" s="10" t="str">
        <f aca="false">IF($B524="","",IF(ISNUMBER($B524),YEAR($B524),"日期非法"))</f>
        <v/>
      </c>
    </row>
    <row r="525" customFormat="false" ht="15.75" hidden="false" customHeight="true" outlineLevel="0" collapsed="false">
      <c r="A525" s="10" t="str">
        <f aca="false">IF($B525="","",ROW()-4)</f>
        <v/>
      </c>
      <c r="B525" s="11"/>
      <c r="C525" s="12"/>
      <c r="D525" s="12"/>
      <c r="E525" s="12"/>
      <c r="F525" s="12"/>
      <c r="G525" s="12"/>
      <c r="H525" s="13"/>
      <c r="I525" s="4"/>
      <c r="J525" s="4"/>
      <c r="K525" s="14" t="str">
        <f aca="false">IF($B525="","",IF($C525="泓普",$C$2,IF($C525="仟茂",$E$2,IF($C525="现金",$G$2,0)))+SUMIFS($I$5:$I525,$C$5:$C525,$C525)-SUMIFS($J$5:$J525,$C$5:$C525,$C525))</f>
        <v/>
      </c>
      <c r="L525" s="14" t="str">
        <f aca="false">IF($B525="","",$C$2+$E$2+$G$2+SUM($I$5:$I525)-SUM($J$5:$J525))</f>
        <v/>
      </c>
      <c r="M525" s="12"/>
      <c r="N525" s="15" t="str">
        <f aca="false">IF($B525="","",IF(NOT(ISNUMBER($B525)),"日期格式不对",IF($C525="","未选资金账户",IF(AND(N($I525)=0,N($J525)=0),"收支都为空",IF(AND(N($I525)&gt;0,N($J525)&gt;0),"收支不能同时填",IF(AND($D525&lt;&gt;"",LEFT($O525,1)="⚠"),"项目编号不存在",IF(AND($M525="是",$F525=""),"工程回款必须填往来单位","√")))))))</f>
        <v/>
      </c>
      <c r="O525" s="16" t="str">
        <f aca="false">IF($D525="","",IFERROR(INDEX(对照清单!$B$5:$B$60,MATCH($D525,对照清单!$A$5:$A$60,0)),"⚠编号不存在"))</f>
        <v/>
      </c>
      <c r="P525" s="10" t="str">
        <f aca="false">IF($B525="","",IF(ISNUMBER($B525),TEXT($B525,"yyyy-mm"),"日期非法"))</f>
        <v/>
      </c>
      <c r="Q525" s="10" t="str">
        <f aca="false">IF($B525="","",IF(ISNUMBER($B525),YEAR($B525),"日期非法"))</f>
        <v/>
      </c>
    </row>
    <row r="526" customFormat="false" ht="15.75" hidden="false" customHeight="true" outlineLevel="0" collapsed="false">
      <c r="A526" s="10" t="str">
        <f aca="false">IF($B526="","",ROW()-4)</f>
        <v/>
      </c>
      <c r="B526" s="11"/>
      <c r="C526" s="12"/>
      <c r="D526" s="12"/>
      <c r="E526" s="12"/>
      <c r="F526" s="12"/>
      <c r="G526" s="12"/>
      <c r="H526" s="13"/>
      <c r="I526" s="4"/>
      <c r="J526" s="4"/>
      <c r="K526" s="14" t="str">
        <f aca="false">IF($B526="","",IF($C526="泓普",$C$2,IF($C526="仟茂",$E$2,IF($C526="现金",$G$2,0)))+SUMIFS($I$5:$I526,$C$5:$C526,$C526)-SUMIFS($J$5:$J526,$C$5:$C526,$C526))</f>
        <v/>
      </c>
      <c r="L526" s="14" t="str">
        <f aca="false">IF($B526="","",$C$2+$E$2+$G$2+SUM($I$5:$I526)-SUM($J$5:$J526))</f>
        <v/>
      </c>
      <c r="M526" s="12"/>
      <c r="N526" s="15" t="str">
        <f aca="false">IF($B526="","",IF(NOT(ISNUMBER($B526)),"日期格式不对",IF($C526="","未选资金账户",IF(AND(N($I526)=0,N($J526)=0),"收支都为空",IF(AND(N($I526)&gt;0,N($J526)&gt;0),"收支不能同时填",IF(AND($D526&lt;&gt;"",LEFT($O526,1)="⚠"),"项目编号不存在",IF(AND($M526="是",$F526=""),"工程回款必须填往来单位","√")))))))</f>
        <v/>
      </c>
      <c r="O526" s="16" t="str">
        <f aca="false">IF($D526="","",IFERROR(INDEX(对照清单!$B$5:$B$60,MATCH($D526,对照清单!$A$5:$A$60,0)),"⚠编号不存在"))</f>
        <v/>
      </c>
      <c r="P526" s="10" t="str">
        <f aca="false">IF($B526="","",IF(ISNUMBER($B526),TEXT($B526,"yyyy-mm"),"日期非法"))</f>
        <v/>
      </c>
      <c r="Q526" s="10" t="str">
        <f aca="false">IF($B526="","",IF(ISNUMBER($B526),YEAR($B526),"日期非法"))</f>
        <v/>
      </c>
    </row>
    <row r="527" customFormat="false" ht="15.75" hidden="false" customHeight="true" outlineLevel="0" collapsed="false">
      <c r="A527" s="10" t="str">
        <f aca="false">IF($B527="","",ROW()-4)</f>
        <v/>
      </c>
      <c r="B527" s="11"/>
      <c r="C527" s="12"/>
      <c r="D527" s="12"/>
      <c r="E527" s="12"/>
      <c r="F527" s="12"/>
      <c r="G527" s="12"/>
      <c r="H527" s="13"/>
      <c r="I527" s="4"/>
      <c r="J527" s="4"/>
      <c r="K527" s="14" t="str">
        <f aca="false">IF($B527="","",IF($C527="泓普",$C$2,IF($C527="仟茂",$E$2,IF($C527="现金",$G$2,0)))+SUMIFS($I$5:$I527,$C$5:$C527,$C527)-SUMIFS($J$5:$J527,$C$5:$C527,$C527))</f>
        <v/>
      </c>
      <c r="L527" s="14" t="str">
        <f aca="false">IF($B527="","",$C$2+$E$2+$G$2+SUM($I$5:$I527)-SUM($J$5:$J527))</f>
        <v/>
      </c>
      <c r="M527" s="12"/>
      <c r="N527" s="15" t="str">
        <f aca="false">IF($B527="","",IF(NOT(ISNUMBER($B527)),"日期格式不对",IF($C527="","未选资金账户",IF(AND(N($I527)=0,N($J527)=0),"收支都为空",IF(AND(N($I527)&gt;0,N($J527)&gt;0),"收支不能同时填",IF(AND($D527&lt;&gt;"",LEFT($O527,1)="⚠"),"项目编号不存在",IF(AND($M527="是",$F527=""),"工程回款必须填往来单位","√")))))))</f>
        <v/>
      </c>
      <c r="O527" s="16" t="str">
        <f aca="false">IF($D527="","",IFERROR(INDEX(对照清单!$B$5:$B$60,MATCH($D527,对照清单!$A$5:$A$60,0)),"⚠编号不存在"))</f>
        <v/>
      </c>
      <c r="P527" s="10" t="str">
        <f aca="false">IF($B527="","",IF(ISNUMBER($B527),TEXT($B527,"yyyy-mm"),"日期非法"))</f>
        <v/>
      </c>
      <c r="Q527" s="10" t="str">
        <f aca="false">IF($B527="","",IF(ISNUMBER($B527),YEAR($B527),"日期非法"))</f>
        <v/>
      </c>
    </row>
    <row r="528" customFormat="false" ht="15.75" hidden="false" customHeight="true" outlineLevel="0" collapsed="false">
      <c r="A528" s="10" t="str">
        <f aca="false">IF($B528="","",ROW()-4)</f>
        <v/>
      </c>
      <c r="B528" s="11"/>
      <c r="C528" s="12"/>
      <c r="D528" s="12"/>
      <c r="E528" s="12"/>
      <c r="F528" s="12"/>
      <c r="G528" s="12"/>
      <c r="H528" s="13"/>
      <c r="I528" s="4"/>
      <c r="J528" s="4"/>
      <c r="K528" s="14" t="str">
        <f aca="false">IF($B528="","",IF($C528="泓普",$C$2,IF($C528="仟茂",$E$2,IF($C528="现金",$G$2,0)))+SUMIFS($I$5:$I528,$C$5:$C528,$C528)-SUMIFS($J$5:$J528,$C$5:$C528,$C528))</f>
        <v/>
      </c>
      <c r="L528" s="14" t="str">
        <f aca="false">IF($B528="","",$C$2+$E$2+$G$2+SUM($I$5:$I528)-SUM($J$5:$J528))</f>
        <v/>
      </c>
      <c r="M528" s="12"/>
      <c r="N528" s="15" t="str">
        <f aca="false">IF($B528="","",IF(NOT(ISNUMBER($B528)),"日期格式不对",IF($C528="","未选资金账户",IF(AND(N($I528)=0,N($J528)=0),"收支都为空",IF(AND(N($I528)&gt;0,N($J528)&gt;0),"收支不能同时填",IF(AND($D528&lt;&gt;"",LEFT($O528,1)="⚠"),"项目编号不存在",IF(AND($M528="是",$F528=""),"工程回款必须填往来单位","√")))))))</f>
        <v/>
      </c>
      <c r="O528" s="16" t="str">
        <f aca="false">IF($D528="","",IFERROR(INDEX(对照清单!$B$5:$B$60,MATCH($D528,对照清单!$A$5:$A$60,0)),"⚠编号不存在"))</f>
        <v/>
      </c>
      <c r="P528" s="10" t="str">
        <f aca="false">IF($B528="","",IF(ISNUMBER($B528),TEXT($B528,"yyyy-mm"),"日期非法"))</f>
        <v/>
      </c>
      <c r="Q528" s="10" t="str">
        <f aca="false">IF($B528="","",IF(ISNUMBER($B528),YEAR($B528),"日期非法"))</f>
        <v/>
      </c>
    </row>
    <row r="529" customFormat="false" ht="15.75" hidden="false" customHeight="true" outlineLevel="0" collapsed="false">
      <c r="A529" s="10" t="str">
        <f aca="false">IF($B529="","",ROW()-4)</f>
        <v/>
      </c>
      <c r="B529" s="11"/>
      <c r="C529" s="12"/>
      <c r="D529" s="12"/>
      <c r="E529" s="12"/>
      <c r="F529" s="12"/>
      <c r="G529" s="12"/>
      <c r="H529" s="13"/>
      <c r="I529" s="4"/>
      <c r="J529" s="4"/>
      <c r="K529" s="14" t="str">
        <f aca="false">IF($B529="","",IF($C529="泓普",$C$2,IF($C529="仟茂",$E$2,IF($C529="现金",$G$2,0)))+SUMIFS($I$5:$I529,$C$5:$C529,$C529)-SUMIFS($J$5:$J529,$C$5:$C529,$C529))</f>
        <v/>
      </c>
      <c r="L529" s="14" t="str">
        <f aca="false">IF($B529="","",$C$2+$E$2+$G$2+SUM($I$5:$I529)-SUM($J$5:$J529))</f>
        <v/>
      </c>
      <c r="M529" s="12"/>
      <c r="N529" s="15" t="str">
        <f aca="false">IF($B529="","",IF(NOT(ISNUMBER($B529)),"日期格式不对",IF($C529="","未选资金账户",IF(AND(N($I529)=0,N($J529)=0),"收支都为空",IF(AND(N($I529)&gt;0,N($J529)&gt;0),"收支不能同时填",IF(AND($D529&lt;&gt;"",LEFT($O529,1)="⚠"),"项目编号不存在",IF(AND($M529="是",$F529=""),"工程回款必须填往来单位","√")))))))</f>
        <v/>
      </c>
      <c r="O529" s="16" t="str">
        <f aca="false">IF($D529="","",IFERROR(INDEX(对照清单!$B$5:$B$60,MATCH($D529,对照清单!$A$5:$A$60,0)),"⚠编号不存在"))</f>
        <v/>
      </c>
      <c r="P529" s="10" t="str">
        <f aca="false">IF($B529="","",IF(ISNUMBER($B529),TEXT($B529,"yyyy-mm"),"日期非法"))</f>
        <v/>
      </c>
      <c r="Q529" s="10" t="str">
        <f aca="false">IF($B529="","",IF(ISNUMBER($B529),YEAR($B529),"日期非法"))</f>
        <v/>
      </c>
    </row>
    <row r="530" customFormat="false" ht="15.75" hidden="false" customHeight="true" outlineLevel="0" collapsed="false">
      <c r="A530" s="10" t="str">
        <f aca="false">IF($B530="","",ROW()-4)</f>
        <v/>
      </c>
      <c r="B530" s="11"/>
      <c r="C530" s="12"/>
      <c r="D530" s="12"/>
      <c r="E530" s="12"/>
      <c r="F530" s="12"/>
      <c r="G530" s="12"/>
      <c r="H530" s="13"/>
      <c r="I530" s="4"/>
      <c r="J530" s="4"/>
      <c r="K530" s="14" t="str">
        <f aca="false">IF($B530="","",IF($C530="泓普",$C$2,IF($C530="仟茂",$E$2,IF($C530="现金",$G$2,0)))+SUMIFS($I$5:$I530,$C$5:$C530,$C530)-SUMIFS($J$5:$J530,$C$5:$C530,$C530))</f>
        <v/>
      </c>
      <c r="L530" s="14" t="str">
        <f aca="false">IF($B530="","",$C$2+$E$2+$G$2+SUM($I$5:$I530)-SUM($J$5:$J530))</f>
        <v/>
      </c>
      <c r="M530" s="12"/>
      <c r="N530" s="15" t="str">
        <f aca="false">IF($B530="","",IF(NOT(ISNUMBER($B530)),"日期格式不对",IF($C530="","未选资金账户",IF(AND(N($I530)=0,N($J530)=0),"收支都为空",IF(AND(N($I530)&gt;0,N($J530)&gt;0),"收支不能同时填",IF(AND($D530&lt;&gt;"",LEFT($O530,1)="⚠"),"项目编号不存在",IF(AND($M530="是",$F530=""),"工程回款必须填往来单位","√")))))))</f>
        <v/>
      </c>
      <c r="O530" s="16" t="str">
        <f aca="false">IF($D530="","",IFERROR(INDEX(对照清单!$B$5:$B$60,MATCH($D530,对照清单!$A$5:$A$60,0)),"⚠编号不存在"))</f>
        <v/>
      </c>
      <c r="P530" s="10" t="str">
        <f aca="false">IF($B530="","",IF(ISNUMBER($B530),TEXT($B530,"yyyy-mm"),"日期非法"))</f>
        <v/>
      </c>
      <c r="Q530" s="10" t="str">
        <f aca="false">IF($B530="","",IF(ISNUMBER($B530),YEAR($B530),"日期非法"))</f>
        <v/>
      </c>
    </row>
    <row r="531" customFormat="false" ht="15.75" hidden="false" customHeight="true" outlineLevel="0" collapsed="false">
      <c r="A531" s="10" t="str">
        <f aca="false">IF($B531="","",ROW()-4)</f>
        <v/>
      </c>
      <c r="B531" s="11"/>
      <c r="C531" s="12"/>
      <c r="D531" s="12"/>
      <c r="E531" s="12"/>
      <c r="F531" s="12"/>
      <c r="G531" s="12"/>
      <c r="H531" s="13"/>
      <c r="I531" s="4"/>
      <c r="J531" s="4"/>
      <c r="K531" s="14" t="str">
        <f aca="false">IF($B531="","",IF($C531="泓普",$C$2,IF($C531="仟茂",$E$2,IF($C531="现金",$G$2,0)))+SUMIFS($I$5:$I531,$C$5:$C531,$C531)-SUMIFS($J$5:$J531,$C$5:$C531,$C531))</f>
        <v/>
      </c>
      <c r="L531" s="14" t="str">
        <f aca="false">IF($B531="","",$C$2+$E$2+$G$2+SUM($I$5:$I531)-SUM($J$5:$J531))</f>
        <v/>
      </c>
      <c r="M531" s="12"/>
      <c r="N531" s="15" t="str">
        <f aca="false">IF($B531="","",IF(NOT(ISNUMBER($B531)),"日期格式不对",IF($C531="","未选资金账户",IF(AND(N($I531)=0,N($J531)=0),"收支都为空",IF(AND(N($I531)&gt;0,N($J531)&gt;0),"收支不能同时填",IF(AND($D531&lt;&gt;"",LEFT($O531,1)="⚠"),"项目编号不存在",IF(AND($M531="是",$F531=""),"工程回款必须填往来单位","√")))))))</f>
        <v/>
      </c>
      <c r="O531" s="16" t="str">
        <f aca="false">IF($D531="","",IFERROR(INDEX(对照清单!$B$5:$B$60,MATCH($D531,对照清单!$A$5:$A$60,0)),"⚠编号不存在"))</f>
        <v/>
      </c>
      <c r="P531" s="10" t="str">
        <f aca="false">IF($B531="","",IF(ISNUMBER($B531),TEXT($B531,"yyyy-mm"),"日期非法"))</f>
        <v/>
      </c>
      <c r="Q531" s="10" t="str">
        <f aca="false">IF($B531="","",IF(ISNUMBER($B531),YEAR($B531),"日期非法"))</f>
        <v/>
      </c>
    </row>
    <row r="532" customFormat="false" ht="15.75" hidden="false" customHeight="true" outlineLevel="0" collapsed="false">
      <c r="A532" s="10" t="str">
        <f aca="false">IF($B532="","",ROW()-4)</f>
        <v/>
      </c>
      <c r="B532" s="11"/>
      <c r="C532" s="12"/>
      <c r="D532" s="12"/>
      <c r="E532" s="12"/>
      <c r="F532" s="12"/>
      <c r="G532" s="12"/>
      <c r="H532" s="13"/>
      <c r="I532" s="4"/>
      <c r="J532" s="4"/>
      <c r="K532" s="14" t="str">
        <f aca="false">IF($B532="","",IF($C532="泓普",$C$2,IF($C532="仟茂",$E$2,IF($C532="现金",$G$2,0)))+SUMIFS($I$5:$I532,$C$5:$C532,$C532)-SUMIFS($J$5:$J532,$C$5:$C532,$C532))</f>
        <v/>
      </c>
      <c r="L532" s="14" t="str">
        <f aca="false">IF($B532="","",$C$2+$E$2+$G$2+SUM($I$5:$I532)-SUM($J$5:$J532))</f>
        <v/>
      </c>
      <c r="M532" s="12"/>
      <c r="N532" s="15" t="str">
        <f aca="false">IF($B532="","",IF(NOT(ISNUMBER($B532)),"日期格式不对",IF($C532="","未选资金账户",IF(AND(N($I532)=0,N($J532)=0),"收支都为空",IF(AND(N($I532)&gt;0,N($J532)&gt;0),"收支不能同时填",IF(AND($D532&lt;&gt;"",LEFT($O532,1)="⚠"),"项目编号不存在",IF(AND($M532="是",$F532=""),"工程回款必须填往来单位","√")))))))</f>
        <v/>
      </c>
      <c r="O532" s="16" t="str">
        <f aca="false">IF($D532="","",IFERROR(INDEX(对照清单!$B$5:$B$60,MATCH($D532,对照清单!$A$5:$A$60,0)),"⚠编号不存在"))</f>
        <v/>
      </c>
      <c r="P532" s="10" t="str">
        <f aca="false">IF($B532="","",IF(ISNUMBER($B532),TEXT($B532,"yyyy-mm"),"日期非法"))</f>
        <v/>
      </c>
      <c r="Q532" s="10" t="str">
        <f aca="false">IF($B532="","",IF(ISNUMBER($B532),YEAR($B532),"日期非法"))</f>
        <v/>
      </c>
    </row>
    <row r="533" customFormat="false" ht="15.75" hidden="false" customHeight="true" outlineLevel="0" collapsed="false">
      <c r="A533" s="10" t="str">
        <f aca="false">IF($B533="","",ROW()-4)</f>
        <v/>
      </c>
      <c r="B533" s="11"/>
      <c r="C533" s="12"/>
      <c r="D533" s="12"/>
      <c r="E533" s="12"/>
      <c r="F533" s="12"/>
      <c r="G533" s="12"/>
      <c r="H533" s="13"/>
      <c r="I533" s="4"/>
      <c r="J533" s="4"/>
      <c r="K533" s="14" t="str">
        <f aca="false">IF($B533="","",IF($C533="泓普",$C$2,IF($C533="仟茂",$E$2,IF($C533="现金",$G$2,0)))+SUMIFS($I$5:$I533,$C$5:$C533,$C533)-SUMIFS($J$5:$J533,$C$5:$C533,$C533))</f>
        <v/>
      </c>
      <c r="L533" s="14" t="str">
        <f aca="false">IF($B533="","",$C$2+$E$2+$G$2+SUM($I$5:$I533)-SUM($J$5:$J533))</f>
        <v/>
      </c>
      <c r="M533" s="12"/>
      <c r="N533" s="15" t="str">
        <f aca="false">IF($B533="","",IF(NOT(ISNUMBER($B533)),"日期格式不对",IF($C533="","未选资金账户",IF(AND(N($I533)=0,N($J533)=0),"收支都为空",IF(AND(N($I533)&gt;0,N($J533)&gt;0),"收支不能同时填",IF(AND($D533&lt;&gt;"",LEFT($O533,1)="⚠"),"项目编号不存在",IF(AND($M533="是",$F533=""),"工程回款必须填往来单位","√")))))))</f>
        <v/>
      </c>
      <c r="O533" s="16" t="str">
        <f aca="false">IF($D533="","",IFERROR(INDEX(对照清单!$B$5:$B$60,MATCH($D533,对照清单!$A$5:$A$60,0)),"⚠编号不存在"))</f>
        <v/>
      </c>
      <c r="P533" s="10" t="str">
        <f aca="false">IF($B533="","",IF(ISNUMBER($B533),TEXT($B533,"yyyy-mm"),"日期非法"))</f>
        <v/>
      </c>
      <c r="Q533" s="10" t="str">
        <f aca="false">IF($B533="","",IF(ISNUMBER($B533),YEAR($B533),"日期非法"))</f>
        <v/>
      </c>
    </row>
    <row r="534" customFormat="false" ht="15.75" hidden="false" customHeight="true" outlineLevel="0" collapsed="false">
      <c r="A534" s="10" t="str">
        <f aca="false">IF($B534="","",ROW()-4)</f>
        <v/>
      </c>
      <c r="B534" s="11"/>
      <c r="C534" s="12"/>
      <c r="D534" s="12"/>
      <c r="E534" s="12"/>
      <c r="F534" s="12"/>
      <c r="G534" s="12"/>
      <c r="H534" s="13"/>
      <c r="I534" s="4"/>
      <c r="J534" s="4"/>
      <c r="K534" s="14" t="str">
        <f aca="false">IF($B534="","",IF($C534="泓普",$C$2,IF($C534="仟茂",$E$2,IF($C534="现金",$G$2,0)))+SUMIFS($I$5:$I534,$C$5:$C534,$C534)-SUMIFS($J$5:$J534,$C$5:$C534,$C534))</f>
        <v/>
      </c>
      <c r="L534" s="14" t="str">
        <f aca="false">IF($B534="","",$C$2+$E$2+$G$2+SUM($I$5:$I534)-SUM($J$5:$J534))</f>
        <v/>
      </c>
      <c r="M534" s="12"/>
      <c r="N534" s="15" t="str">
        <f aca="false">IF($B534="","",IF(NOT(ISNUMBER($B534)),"日期格式不对",IF($C534="","未选资金账户",IF(AND(N($I534)=0,N($J534)=0),"收支都为空",IF(AND(N($I534)&gt;0,N($J534)&gt;0),"收支不能同时填",IF(AND($D534&lt;&gt;"",LEFT($O534,1)="⚠"),"项目编号不存在",IF(AND($M534="是",$F534=""),"工程回款必须填往来单位","√")))))))</f>
        <v/>
      </c>
      <c r="O534" s="16" t="str">
        <f aca="false">IF($D534="","",IFERROR(INDEX(对照清单!$B$5:$B$60,MATCH($D534,对照清单!$A$5:$A$60,0)),"⚠编号不存在"))</f>
        <v/>
      </c>
      <c r="P534" s="10" t="str">
        <f aca="false">IF($B534="","",IF(ISNUMBER($B534),TEXT($B534,"yyyy-mm"),"日期非法"))</f>
        <v/>
      </c>
      <c r="Q534" s="10" t="str">
        <f aca="false">IF($B534="","",IF(ISNUMBER($B534),YEAR($B534),"日期非法"))</f>
        <v/>
      </c>
    </row>
    <row r="535" customFormat="false" ht="15.75" hidden="false" customHeight="true" outlineLevel="0" collapsed="false">
      <c r="A535" s="10" t="str">
        <f aca="false">IF($B535="","",ROW()-4)</f>
        <v/>
      </c>
      <c r="B535" s="11"/>
      <c r="C535" s="12"/>
      <c r="D535" s="12"/>
      <c r="E535" s="12"/>
      <c r="F535" s="12"/>
      <c r="G535" s="12"/>
      <c r="H535" s="13"/>
      <c r="I535" s="4"/>
      <c r="J535" s="4"/>
      <c r="K535" s="14" t="str">
        <f aca="false">IF($B535="","",IF($C535="泓普",$C$2,IF($C535="仟茂",$E$2,IF($C535="现金",$G$2,0)))+SUMIFS($I$5:$I535,$C$5:$C535,$C535)-SUMIFS($J$5:$J535,$C$5:$C535,$C535))</f>
        <v/>
      </c>
      <c r="L535" s="14" t="str">
        <f aca="false">IF($B535="","",$C$2+$E$2+$G$2+SUM($I$5:$I535)-SUM($J$5:$J535))</f>
        <v/>
      </c>
      <c r="M535" s="12"/>
      <c r="N535" s="15" t="str">
        <f aca="false">IF($B535="","",IF(NOT(ISNUMBER($B535)),"日期格式不对",IF($C535="","未选资金账户",IF(AND(N($I535)=0,N($J535)=0),"收支都为空",IF(AND(N($I535)&gt;0,N($J535)&gt;0),"收支不能同时填",IF(AND($D535&lt;&gt;"",LEFT($O535,1)="⚠"),"项目编号不存在",IF(AND($M535="是",$F535=""),"工程回款必须填往来单位","√")))))))</f>
        <v/>
      </c>
      <c r="O535" s="16" t="str">
        <f aca="false">IF($D535="","",IFERROR(INDEX(对照清单!$B$5:$B$60,MATCH($D535,对照清单!$A$5:$A$60,0)),"⚠编号不存在"))</f>
        <v/>
      </c>
      <c r="P535" s="10" t="str">
        <f aca="false">IF($B535="","",IF(ISNUMBER($B535),TEXT($B535,"yyyy-mm"),"日期非法"))</f>
        <v/>
      </c>
      <c r="Q535" s="10" t="str">
        <f aca="false">IF($B535="","",IF(ISNUMBER($B535),YEAR($B535),"日期非法"))</f>
        <v/>
      </c>
    </row>
    <row r="536" customFormat="false" ht="15.75" hidden="false" customHeight="true" outlineLevel="0" collapsed="false">
      <c r="A536" s="10" t="str">
        <f aca="false">IF($B536="","",ROW()-4)</f>
        <v/>
      </c>
      <c r="B536" s="11"/>
      <c r="C536" s="12"/>
      <c r="D536" s="12"/>
      <c r="E536" s="12"/>
      <c r="F536" s="12"/>
      <c r="G536" s="12"/>
      <c r="H536" s="13"/>
      <c r="I536" s="4"/>
      <c r="J536" s="4"/>
      <c r="K536" s="14" t="str">
        <f aca="false">IF($B536="","",IF($C536="泓普",$C$2,IF($C536="仟茂",$E$2,IF($C536="现金",$G$2,0)))+SUMIFS($I$5:$I536,$C$5:$C536,$C536)-SUMIFS($J$5:$J536,$C$5:$C536,$C536))</f>
        <v/>
      </c>
      <c r="L536" s="14" t="str">
        <f aca="false">IF($B536="","",$C$2+$E$2+$G$2+SUM($I$5:$I536)-SUM($J$5:$J536))</f>
        <v/>
      </c>
      <c r="M536" s="12"/>
      <c r="N536" s="15" t="str">
        <f aca="false">IF($B536="","",IF(NOT(ISNUMBER($B536)),"日期格式不对",IF($C536="","未选资金账户",IF(AND(N($I536)=0,N($J536)=0),"收支都为空",IF(AND(N($I536)&gt;0,N($J536)&gt;0),"收支不能同时填",IF(AND($D536&lt;&gt;"",LEFT($O536,1)="⚠"),"项目编号不存在",IF(AND($M536="是",$F536=""),"工程回款必须填往来单位","√")))))))</f>
        <v/>
      </c>
      <c r="O536" s="16" t="str">
        <f aca="false">IF($D536="","",IFERROR(INDEX(对照清单!$B$5:$B$60,MATCH($D536,对照清单!$A$5:$A$60,0)),"⚠编号不存在"))</f>
        <v/>
      </c>
      <c r="P536" s="10" t="str">
        <f aca="false">IF($B536="","",IF(ISNUMBER($B536),TEXT($B536,"yyyy-mm"),"日期非法"))</f>
        <v/>
      </c>
      <c r="Q536" s="10" t="str">
        <f aca="false">IF($B536="","",IF(ISNUMBER($B536),YEAR($B536),"日期非法"))</f>
        <v/>
      </c>
    </row>
    <row r="537" customFormat="false" ht="15.75" hidden="false" customHeight="true" outlineLevel="0" collapsed="false">
      <c r="A537" s="10" t="str">
        <f aca="false">IF($B537="","",ROW()-4)</f>
        <v/>
      </c>
      <c r="B537" s="11"/>
      <c r="C537" s="12"/>
      <c r="D537" s="12"/>
      <c r="E537" s="12"/>
      <c r="F537" s="12"/>
      <c r="G537" s="12"/>
      <c r="H537" s="13"/>
      <c r="I537" s="4"/>
      <c r="J537" s="4"/>
      <c r="K537" s="14" t="str">
        <f aca="false">IF($B537="","",IF($C537="泓普",$C$2,IF($C537="仟茂",$E$2,IF($C537="现金",$G$2,0)))+SUMIFS($I$5:$I537,$C$5:$C537,$C537)-SUMIFS($J$5:$J537,$C$5:$C537,$C537))</f>
        <v/>
      </c>
      <c r="L537" s="14" t="str">
        <f aca="false">IF($B537="","",$C$2+$E$2+$G$2+SUM($I$5:$I537)-SUM($J$5:$J537))</f>
        <v/>
      </c>
      <c r="M537" s="12"/>
      <c r="N537" s="15" t="str">
        <f aca="false">IF($B537="","",IF(NOT(ISNUMBER($B537)),"日期格式不对",IF($C537="","未选资金账户",IF(AND(N($I537)=0,N($J537)=0),"收支都为空",IF(AND(N($I537)&gt;0,N($J537)&gt;0),"收支不能同时填",IF(AND($D537&lt;&gt;"",LEFT($O537,1)="⚠"),"项目编号不存在",IF(AND($M537="是",$F537=""),"工程回款必须填往来单位","√")))))))</f>
        <v/>
      </c>
      <c r="O537" s="16" t="str">
        <f aca="false">IF($D537="","",IFERROR(INDEX(对照清单!$B$5:$B$60,MATCH($D537,对照清单!$A$5:$A$60,0)),"⚠编号不存在"))</f>
        <v/>
      </c>
      <c r="P537" s="10" t="str">
        <f aca="false">IF($B537="","",IF(ISNUMBER($B537),TEXT($B537,"yyyy-mm"),"日期非法"))</f>
        <v/>
      </c>
      <c r="Q537" s="10" t="str">
        <f aca="false">IF($B537="","",IF(ISNUMBER($B537),YEAR($B537),"日期非法"))</f>
        <v/>
      </c>
    </row>
    <row r="538" customFormat="false" ht="15.75" hidden="false" customHeight="true" outlineLevel="0" collapsed="false">
      <c r="A538" s="10" t="str">
        <f aca="false">IF($B538="","",ROW()-4)</f>
        <v/>
      </c>
      <c r="B538" s="11"/>
      <c r="C538" s="12"/>
      <c r="D538" s="12"/>
      <c r="E538" s="12"/>
      <c r="F538" s="12"/>
      <c r="G538" s="12"/>
      <c r="H538" s="13"/>
      <c r="I538" s="4"/>
      <c r="J538" s="4"/>
      <c r="K538" s="14" t="str">
        <f aca="false">IF($B538="","",IF($C538="泓普",$C$2,IF($C538="仟茂",$E$2,IF($C538="现金",$G$2,0)))+SUMIFS($I$5:$I538,$C$5:$C538,$C538)-SUMIFS($J$5:$J538,$C$5:$C538,$C538))</f>
        <v/>
      </c>
      <c r="L538" s="14" t="str">
        <f aca="false">IF($B538="","",$C$2+$E$2+$G$2+SUM($I$5:$I538)-SUM($J$5:$J538))</f>
        <v/>
      </c>
      <c r="M538" s="12"/>
      <c r="N538" s="15" t="str">
        <f aca="false">IF($B538="","",IF(NOT(ISNUMBER($B538)),"日期格式不对",IF($C538="","未选资金账户",IF(AND(N($I538)=0,N($J538)=0),"收支都为空",IF(AND(N($I538)&gt;0,N($J538)&gt;0),"收支不能同时填",IF(AND($D538&lt;&gt;"",LEFT($O538,1)="⚠"),"项目编号不存在",IF(AND($M538="是",$F538=""),"工程回款必须填往来单位","√")))))))</f>
        <v/>
      </c>
      <c r="O538" s="16" t="str">
        <f aca="false">IF($D538="","",IFERROR(INDEX(对照清单!$B$5:$B$60,MATCH($D538,对照清单!$A$5:$A$60,0)),"⚠编号不存在"))</f>
        <v/>
      </c>
      <c r="P538" s="10" t="str">
        <f aca="false">IF($B538="","",IF(ISNUMBER($B538),TEXT($B538,"yyyy-mm"),"日期非法"))</f>
        <v/>
      </c>
      <c r="Q538" s="10" t="str">
        <f aca="false">IF($B538="","",IF(ISNUMBER($B538),YEAR($B538),"日期非法"))</f>
        <v/>
      </c>
    </row>
    <row r="539" customFormat="false" ht="15.75" hidden="false" customHeight="true" outlineLevel="0" collapsed="false">
      <c r="A539" s="10" t="str">
        <f aca="false">IF($B539="","",ROW()-4)</f>
        <v/>
      </c>
      <c r="B539" s="11"/>
      <c r="C539" s="12"/>
      <c r="D539" s="12"/>
      <c r="E539" s="12"/>
      <c r="F539" s="12"/>
      <c r="G539" s="12"/>
      <c r="H539" s="13"/>
      <c r="I539" s="4"/>
      <c r="J539" s="4"/>
      <c r="K539" s="14" t="str">
        <f aca="false">IF($B539="","",IF($C539="泓普",$C$2,IF($C539="仟茂",$E$2,IF($C539="现金",$G$2,0)))+SUMIFS($I$5:$I539,$C$5:$C539,$C539)-SUMIFS($J$5:$J539,$C$5:$C539,$C539))</f>
        <v/>
      </c>
      <c r="L539" s="14" t="str">
        <f aca="false">IF($B539="","",$C$2+$E$2+$G$2+SUM($I$5:$I539)-SUM($J$5:$J539))</f>
        <v/>
      </c>
      <c r="M539" s="12"/>
      <c r="N539" s="15" t="str">
        <f aca="false">IF($B539="","",IF(NOT(ISNUMBER($B539)),"日期格式不对",IF($C539="","未选资金账户",IF(AND(N($I539)=0,N($J539)=0),"收支都为空",IF(AND(N($I539)&gt;0,N($J539)&gt;0),"收支不能同时填",IF(AND($D539&lt;&gt;"",LEFT($O539,1)="⚠"),"项目编号不存在",IF(AND($M539="是",$F539=""),"工程回款必须填往来单位","√")))))))</f>
        <v/>
      </c>
      <c r="O539" s="16" t="str">
        <f aca="false">IF($D539="","",IFERROR(INDEX(对照清单!$B$5:$B$60,MATCH($D539,对照清单!$A$5:$A$60,0)),"⚠编号不存在"))</f>
        <v/>
      </c>
      <c r="P539" s="10" t="str">
        <f aca="false">IF($B539="","",IF(ISNUMBER($B539),TEXT($B539,"yyyy-mm"),"日期非法"))</f>
        <v/>
      </c>
      <c r="Q539" s="10" t="str">
        <f aca="false">IF($B539="","",IF(ISNUMBER($B539),YEAR($B539),"日期非法"))</f>
        <v/>
      </c>
    </row>
    <row r="540" customFormat="false" ht="15.75" hidden="false" customHeight="true" outlineLevel="0" collapsed="false">
      <c r="A540" s="10" t="str">
        <f aca="false">IF($B540="","",ROW()-4)</f>
        <v/>
      </c>
      <c r="B540" s="11"/>
      <c r="C540" s="12"/>
      <c r="D540" s="12"/>
      <c r="E540" s="12"/>
      <c r="F540" s="12"/>
      <c r="G540" s="12"/>
      <c r="H540" s="13"/>
      <c r="I540" s="4"/>
      <c r="J540" s="4"/>
      <c r="K540" s="14" t="str">
        <f aca="false">IF($B540="","",IF($C540="泓普",$C$2,IF($C540="仟茂",$E$2,IF($C540="现金",$G$2,0)))+SUMIFS($I$5:$I540,$C$5:$C540,$C540)-SUMIFS($J$5:$J540,$C$5:$C540,$C540))</f>
        <v/>
      </c>
      <c r="L540" s="14" t="str">
        <f aca="false">IF($B540="","",$C$2+$E$2+$G$2+SUM($I$5:$I540)-SUM($J$5:$J540))</f>
        <v/>
      </c>
      <c r="M540" s="12"/>
      <c r="N540" s="15" t="str">
        <f aca="false">IF($B540="","",IF(NOT(ISNUMBER($B540)),"日期格式不对",IF($C540="","未选资金账户",IF(AND(N($I540)=0,N($J540)=0),"收支都为空",IF(AND(N($I540)&gt;0,N($J540)&gt;0),"收支不能同时填",IF(AND($D540&lt;&gt;"",LEFT($O540,1)="⚠"),"项目编号不存在",IF(AND($M540="是",$F540=""),"工程回款必须填往来单位","√")))))))</f>
        <v/>
      </c>
      <c r="O540" s="16" t="str">
        <f aca="false">IF($D540="","",IFERROR(INDEX(对照清单!$B$5:$B$60,MATCH($D540,对照清单!$A$5:$A$60,0)),"⚠编号不存在"))</f>
        <v/>
      </c>
      <c r="P540" s="10" t="str">
        <f aca="false">IF($B540="","",IF(ISNUMBER($B540),TEXT($B540,"yyyy-mm"),"日期非法"))</f>
        <v/>
      </c>
      <c r="Q540" s="10" t="str">
        <f aca="false">IF($B540="","",IF(ISNUMBER($B540),YEAR($B540),"日期非法"))</f>
        <v/>
      </c>
    </row>
    <row r="541" customFormat="false" ht="15.75" hidden="false" customHeight="true" outlineLevel="0" collapsed="false">
      <c r="A541" s="10" t="str">
        <f aca="false">IF($B541="","",ROW()-4)</f>
        <v/>
      </c>
      <c r="B541" s="11"/>
      <c r="C541" s="12"/>
      <c r="D541" s="12"/>
      <c r="E541" s="12"/>
      <c r="F541" s="12"/>
      <c r="G541" s="12"/>
      <c r="H541" s="13"/>
      <c r="I541" s="4"/>
      <c r="J541" s="4"/>
      <c r="K541" s="14" t="str">
        <f aca="false">IF($B541="","",IF($C541="泓普",$C$2,IF($C541="仟茂",$E$2,IF($C541="现金",$G$2,0)))+SUMIFS($I$5:$I541,$C$5:$C541,$C541)-SUMIFS($J$5:$J541,$C$5:$C541,$C541))</f>
        <v/>
      </c>
      <c r="L541" s="14" t="str">
        <f aca="false">IF($B541="","",$C$2+$E$2+$G$2+SUM($I$5:$I541)-SUM($J$5:$J541))</f>
        <v/>
      </c>
      <c r="M541" s="12"/>
      <c r="N541" s="15" t="str">
        <f aca="false">IF($B541="","",IF(NOT(ISNUMBER($B541)),"日期格式不对",IF($C541="","未选资金账户",IF(AND(N($I541)=0,N($J541)=0),"收支都为空",IF(AND(N($I541)&gt;0,N($J541)&gt;0),"收支不能同时填",IF(AND($D541&lt;&gt;"",LEFT($O541,1)="⚠"),"项目编号不存在",IF(AND($M541="是",$F541=""),"工程回款必须填往来单位","√")))))))</f>
        <v/>
      </c>
      <c r="O541" s="16" t="str">
        <f aca="false">IF($D541="","",IFERROR(INDEX(对照清单!$B$5:$B$60,MATCH($D541,对照清单!$A$5:$A$60,0)),"⚠编号不存在"))</f>
        <v/>
      </c>
      <c r="P541" s="10" t="str">
        <f aca="false">IF($B541="","",IF(ISNUMBER($B541),TEXT($B541,"yyyy-mm"),"日期非法"))</f>
        <v/>
      </c>
      <c r="Q541" s="10" t="str">
        <f aca="false">IF($B541="","",IF(ISNUMBER($B541),YEAR($B541),"日期非法"))</f>
        <v/>
      </c>
    </row>
    <row r="542" customFormat="false" ht="15.75" hidden="false" customHeight="true" outlineLevel="0" collapsed="false">
      <c r="A542" s="10" t="str">
        <f aca="false">IF($B542="","",ROW()-4)</f>
        <v/>
      </c>
      <c r="B542" s="11"/>
      <c r="C542" s="12"/>
      <c r="D542" s="12"/>
      <c r="E542" s="12"/>
      <c r="F542" s="12"/>
      <c r="G542" s="12"/>
      <c r="H542" s="13"/>
      <c r="I542" s="4"/>
      <c r="J542" s="4"/>
      <c r="K542" s="14" t="str">
        <f aca="false">IF($B542="","",IF($C542="泓普",$C$2,IF($C542="仟茂",$E$2,IF($C542="现金",$G$2,0)))+SUMIFS($I$5:$I542,$C$5:$C542,$C542)-SUMIFS($J$5:$J542,$C$5:$C542,$C542))</f>
        <v/>
      </c>
      <c r="L542" s="14" t="str">
        <f aca="false">IF($B542="","",$C$2+$E$2+$G$2+SUM($I$5:$I542)-SUM($J$5:$J542))</f>
        <v/>
      </c>
      <c r="M542" s="12"/>
      <c r="N542" s="15" t="str">
        <f aca="false">IF($B542="","",IF(NOT(ISNUMBER($B542)),"日期格式不对",IF($C542="","未选资金账户",IF(AND(N($I542)=0,N($J542)=0),"收支都为空",IF(AND(N($I542)&gt;0,N($J542)&gt;0),"收支不能同时填",IF(AND($D542&lt;&gt;"",LEFT($O542,1)="⚠"),"项目编号不存在",IF(AND($M542="是",$F542=""),"工程回款必须填往来单位","√")))))))</f>
        <v/>
      </c>
      <c r="O542" s="16" t="str">
        <f aca="false">IF($D542="","",IFERROR(INDEX(对照清单!$B$5:$B$60,MATCH($D542,对照清单!$A$5:$A$60,0)),"⚠编号不存在"))</f>
        <v/>
      </c>
      <c r="P542" s="10" t="str">
        <f aca="false">IF($B542="","",IF(ISNUMBER($B542),TEXT($B542,"yyyy-mm"),"日期非法"))</f>
        <v/>
      </c>
      <c r="Q542" s="10" t="str">
        <f aca="false">IF($B542="","",IF(ISNUMBER($B542),YEAR($B542),"日期非法"))</f>
        <v/>
      </c>
    </row>
    <row r="543" customFormat="false" ht="15.75" hidden="false" customHeight="true" outlineLevel="0" collapsed="false">
      <c r="A543" s="10" t="str">
        <f aca="false">IF($B543="","",ROW()-4)</f>
        <v/>
      </c>
      <c r="B543" s="11"/>
      <c r="C543" s="12"/>
      <c r="D543" s="12"/>
      <c r="E543" s="12"/>
      <c r="F543" s="12"/>
      <c r="G543" s="12"/>
      <c r="H543" s="13"/>
      <c r="I543" s="4"/>
      <c r="J543" s="4"/>
      <c r="K543" s="14" t="str">
        <f aca="false">IF($B543="","",IF($C543="泓普",$C$2,IF($C543="仟茂",$E$2,IF($C543="现金",$G$2,0)))+SUMIFS($I$5:$I543,$C$5:$C543,$C543)-SUMIFS($J$5:$J543,$C$5:$C543,$C543))</f>
        <v/>
      </c>
      <c r="L543" s="14" t="str">
        <f aca="false">IF($B543="","",$C$2+$E$2+$G$2+SUM($I$5:$I543)-SUM($J$5:$J543))</f>
        <v/>
      </c>
      <c r="M543" s="12"/>
      <c r="N543" s="15" t="str">
        <f aca="false">IF($B543="","",IF(NOT(ISNUMBER($B543)),"日期格式不对",IF($C543="","未选资金账户",IF(AND(N($I543)=0,N($J543)=0),"收支都为空",IF(AND(N($I543)&gt;0,N($J543)&gt;0),"收支不能同时填",IF(AND($D543&lt;&gt;"",LEFT($O543,1)="⚠"),"项目编号不存在",IF(AND($M543="是",$F543=""),"工程回款必须填往来单位","√")))))))</f>
        <v/>
      </c>
      <c r="O543" s="16" t="str">
        <f aca="false">IF($D543="","",IFERROR(INDEX(对照清单!$B$5:$B$60,MATCH($D543,对照清单!$A$5:$A$60,0)),"⚠编号不存在"))</f>
        <v/>
      </c>
      <c r="P543" s="10" t="str">
        <f aca="false">IF($B543="","",IF(ISNUMBER($B543),TEXT($B543,"yyyy-mm"),"日期非法"))</f>
        <v/>
      </c>
      <c r="Q543" s="10" t="str">
        <f aca="false">IF($B543="","",IF(ISNUMBER($B543),YEAR($B543),"日期非法"))</f>
        <v/>
      </c>
    </row>
    <row r="544" customFormat="false" ht="15.75" hidden="false" customHeight="true" outlineLevel="0" collapsed="false">
      <c r="A544" s="10" t="str">
        <f aca="false">IF($B544="","",ROW()-4)</f>
        <v/>
      </c>
      <c r="B544" s="11"/>
      <c r="C544" s="12"/>
      <c r="D544" s="12"/>
      <c r="E544" s="12"/>
      <c r="F544" s="12"/>
      <c r="G544" s="12"/>
      <c r="H544" s="13"/>
      <c r="I544" s="4"/>
      <c r="J544" s="4"/>
      <c r="K544" s="14" t="str">
        <f aca="false">IF($B544="","",IF($C544="泓普",$C$2,IF($C544="仟茂",$E$2,IF($C544="现金",$G$2,0)))+SUMIFS($I$5:$I544,$C$5:$C544,$C544)-SUMIFS($J$5:$J544,$C$5:$C544,$C544))</f>
        <v/>
      </c>
      <c r="L544" s="14" t="str">
        <f aca="false">IF($B544="","",$C$2+$E$2+$G$2+SUM($I$5:$I544)-SUM($J$5:$J544))</f>
        <v/>
      </c>
      <c r="M544" s="12"/>
      <c r="N544" s="15" t="str">
        <f aca="false">IF($B544="","",IF(NOT(ISNUMBER($B544)),"日期格式不对",IF($C544="","未选资金账户",IF(AND(N($I544)=0,N($J544)=0),"收支都为空",IF(AND(N($I544)&gt;0,N($J544)&gt;0),"收支不能同时填",IF(AND($D544&lt;&gt;"",LEFT($O544,1)="⚠"),"项目编号不存在",IF(AND($M544="是",$F544=""),"工程回款必须填往来单位","√")))))))</f>
        <v/>
      </c>
      <c r="O544" s="16" t="str">
        <f aca="false">IF($D544="","",IFERROR(INDEX(对照清单!$B$5:$B$60,MATCH($D544,对照清单!$A$5:$A$60,0)),"⚠编号不存在"))</f>
        <v/>
      </c>
      <c r="P544" s="10" t="str">
        <f aca="false">IF($B544="","",IF(ISNUMBER($B544),TEXT($B544,"yyyy-mm"),"日期非法"))</f>
        <v/>
      </c>
      <c r="Q544" s="10" t="str">
        <f aca="false">IF($B544="","",IF(ISNUMBER($B544),YEAR($B544),"日期非法"))</f>
        <v/>
      </c>
    </row>
    <row r="545" customFormat="false" ht="15.75" hidden="false" customHeight="true" outlineLevel="0" collapsed="false">
      <c r="A545" s="10" t="str">
        <f aca="false">IF($B545="","",ROW()-4)</f>
        <v/>
      </c>
      <c r="B545" s="11"/>
      <c r="C545" s="12"/>
      <c r="D545" s="12"/>
      <c r="E545" s="12"/>
      <c r="F545" s="12"/>
      <c r="G545" s="12"/>
      <c r="H545" s="13"/>
      <c r="I545" s="4"/>
      <c r="J545" s="4"/>
      <c r="K545" s="14" t="str">
        <f aca="false">IF($B545="","",IF($C545="泓普",$C$2,IF($C545="仟茂",$E$2,IF($C545="现金",$G$2,0)))+SUMIFS($I$5:$I545,$C$5:$C545,$C545)-SUMIFS($J$5:$J545,$C$5:$C545,$C545))</f>
        <v/>
      </c>
      <c r="L545" s="14" t="str">
        <f aca="false">IF($B545="","",$C$2+$E$2+$G$2+SUM($I$5:$I545)-SUM($J$5:$J545))</f>
        <v/>
      </c>
      <c r="M545" s="12"/>
      <c r="N545" s="15" t="str">
        <f aca="false">IF($B545="","",IF(NOT(ISNUMBER($B545)),"日期格式不对",IF($C545="","未选资金账户",IF(AND(N($I545)=0,N($J545)=0),"收支都为空",IF(AND(N($I545)&gt;0,N($J545)&gt;0),"收支不能同时填",IF(AND($D545&lt;&gt;"",LEFT($O545,1)="⚠"),"项目编号不存在",IF(AND($M545="是",$F545=""),"工程回款必须填往来单位","√")))))))</f>
        <v/>
      </c>
      <c r="O545" s="16" t="str">
        <f aca="false">IF($D545="","",IFERROR(INDEX(对照清单!$B$5:$B$60,MATCH($D545,对照清单!$A$5:$A$60,0)),"⚠编号不存在"))</f>
        <v/>
      </c>
      <c r="P545" s="10" t="str">
        <f aca="false">IF($B545="","",IF(ISNUMBER($B545),TEXT($B545,"yyyy-mm"),"日期非法"))</f>
        <v/>
      </c>
      <c r="Q545" s="10" t="str">
        <f aca="false">IF($B545="","",IF(ISNUMBER($B545),YEAR($B545),"日期非法"))</f>
        <v/>
      </c>
    </row>
    <row r="546" customFormat="false" ht="15.75" hidden="false" customHeight="true" outlineLevel="0" collapsed="false">
      <c r="A546" s="10" t="str">
        <f aca="false">IF($B546="","",ROW()-4)</f>
        <v/>
      </c>
      <c r="B546" s="11"/>
      <c r="C546" s="12"/>
      <c r="D546" s="12"/>
      <c r="E546" s="12"/>
      <c r="F546" s="12"/>
      <c r="G546" s="12"/>
      <c r="H546" s="13"/>
      <c r="I546" s="4"/>
      <c r="J546" s="4"/>
      <c r="K546" s="14" t="str">
        <f aca="false">IF($B546="","",IF($C546="泓普",$C$2,IF($C546="仟茂",$E$2,IF($C546="现金",$G$2,0)))+SUMIFS($I$5:$I546,$C$5:$C546,$C546)-SUMIFS($J$5:$J546,$C$5:$C546,$C546))</f>
        <v/>
      </c>
      <c r="L546" s="14" t="str">
        <f aca="false">IF($B546="","",$C$2+$E$2+$G$2+SUM($I$5:$I546)-SUM($J$5:$J546))</f>
        <v/>
      </c>
      <c r="M546" s="12"/>
      <c r="N546" s="15" t="str">
        <f aca="false">IF($B546="","",IF(NOT(ISNUMBER($B546)),"日期格式不对",IF($C546="","未选资金账户",IF(AND(N($I546)=0,N($J546)=0),"收支都为空",IF(AND(N($I546)&gt;0,N($J546)&gt;0),"收支不能同时填",IF(AND($D546&lt;&gt;"",LEFT($O546,1)="⚠"),"项目编号不存在",IF(AND($M546="是",$F546=""),"工程回款必须填往来单位","√")))))))</f>
        <v/>
      </c>
      <c r="O546" s="16" t="str">
        <f aca="false">IF($D546="","",IFERROR(INDEX(对照清单!$B$5:$B$60,MATCH($D546,对照清单!$A$5:$A$60,0)),"⚠编号不存在"))</f>
        <v/>
      </c>
      <c r="P546" s="10" t="str">
        <f aca="false">IF($B546="","",IF(ISNUMBER($B546),TEXT($B546,"yyyy-mm"),"日期非法"))</f>
        <v/>
      </c>
      <c r="Q546" s="10" t="str">
        <f aca="false">IF($B546="","",IF(ISNUMBER($B546),YEAR($B546),"日期非法"))</f>
        <v/>
      </c>
    </row>
    <row r="547" customFormat="false" ht="15.75" hidden="false" customHeight="true" outlineLevel="0" collapsed="false">
      <c r="A547" s="10" t="str">
        <f aca="false">IF($B547="","",ROW()-4)</f>
        <v/>
      </c>
      <c r="B547" s="11"/>
      <c r="C547" s="12"/>
      <c r="D547" s="12"/>
      <c r="E547" s="12"/>
      <c r="F547" s="12"/>
      <c r="G547" s="12"/>
      <c r="H547" s="13"/>
      <c r="I547" s="4"/>
      <c r="J547" s="4"/>
      <c r="K547" s="14" t="str">
        <f aca="false">IF($B547="","",IF($C547="泓普",$C$2,IF($C547="仟茂",$E$2,IF($C547="现金",$G$2,0)))+SUMIFS($I$5:$I547,$C$5:$C547,$C547)-SUMIFS($J$5:$J547,$C$5:$C547,$C547))</f>
        <v/>
      </c>
      <c r="L547" s="14" t="str">
        <f aca="false">IF($B547="","",$C$2+$E$2+$G$2+SUM($I$5:$I547)-SUM($J$5:$J547))</f>
        <v/>
      </c>
      <c r="M547" s="12"/>
      <c r="N547" s="15" t="str">
        <f aca="false">IF($B547="","",IF(NOT(ISNUMBER($B547)),"日期格式不对",IF($C547="","未选资金账户",IF(AND(N($I547)=0,N($J547)=0),"收支都为空",IF(AND(N($I547)&gt;0,N($J547)&gt;0),"收支不能同时填",IF(AND($D547&lt;&gt;"",LEFT($O547,1)="⚠"),"项目编号不存在",IF(AND($M547="是",$F547=""),"工程回款必须填往来单位","√")))))))</f>
        <v/>
      </c>
      <c r="O547" s="16" t="str">
        <f aca="false">IF($D547="","",IFERROR(INDEX(对照清单!$B$5:$B$60,MATCH($D547,对照清单!$A$5:$A$60,0)),"⚠编号不存在"))</f>
        <v/>
      </c>
      <c r="P547" s="10" t="str">
        <f aca="false">IF($B547="","",IF(ISNUMBER($B547),TEXT($B547,"yyyy-mm"),"日期非法"))</f>
        <v/>
      </c>
      <c r="Q547" s="10" t="str">
        <f aca="false">IF($B547="","",IF(ISNUMBER($B547),YEAR($B547),"日期非法"))</f>
        <v/>
      </c>
    </row>
    <row r="548" customFormat="false" ht="15.75" hidden="false" customHeight="true" outlineLevel="0" collapsed="false">
      <c r="A548" s="10" t="str">
        <f aca="false">IF($B548="","",ROW()-4)</f>
        <v/>
      </c>
      <c r="B548" s="11"/>
      <c r="C548" s="12"/>
      <c r="D548" s="12"/>
      <c r="E548" s="12"/>
      <c r="F548" s="12"/>
      <c r="G548" s="12"/>
      <c r="H548" s="13"/>
      <c r="I548" s="4"/>
      <c r="J548" s="4"/>
      <c r="K548" s="14" t="str">
        <f aca="false">IF($B548="","",IF($C548="泓普",$C$2,IF($C548="仟茂",$E$2,IF($C548="现金",$G$2,0)))+SUMIFS($I$5:$I548,$C$5:$C548,$C548)-SUMIFS($J$5:$J548,$C$5:$C548,$C548))</f>
        <v/>
      </c>
      <c r="L548" s="14" t="str">
        <f aca="false">IF($B548="","",$C$2+$E$2+$G$2+SUM($I$5:$I548)-SUM($J$5:$J548))</f>
        <v/>
      </c>
      <c r="M548" s="12"/>
      <c r="N548" s="15" t="str">
        <f aca="false">IF($B548="","",IF(NOT(ISNUMBER($B548)),"日期格式不对",IF($C548="","未选资金账户",IF(AND(N($I548)=0,N($J548)=0),"收支都为空",IF(AND(N($I548)&gt;0,N($J548)&gt;0),"收支不能同时填",IF(AND($D548&lt;&gt;"",LEFT($O548,1)="⚠"),"项目编号不存在",IF(AND($M548="是",$F548=""),"工程回款必须填往来单位","√")))))))</f>
        <v/>
      </c>
      <c r="O548" s="16" t="str">
        <f aca="false">IF($D548="","",IFERROR(INDEX(对照清单!$B$5:$B$60,MATCH($D548,对照清单!$A$5:$A$60,0)),"⚠编号不存在"))</f>
        <v/>
      </c>
      <c r="P548" s="10" t="str">
        <f aca="false">IF($B548="","",IF(ISNUMBER($B548),TEXT($B548,"yyyy-mm"),"日期非法"))</f>
        <v/>
      </c>
      <c r="Q548" s="10" t="str">
        <f aca="false">IF($B548="","",IF(ISNUMBER($B548),YEAR($B548),"日期非法"))</f>
        <v/>
      </c>
    </row>
    <row r="549" customFormat="false" ht="15.75" hidden="false" customHeight="true" outlineLevel="0" collapsed="false">
      <c r="A549" s="10" t="str">
        <f aca="false">IF($B549="","",ROW()-4)</f>
        <v/>
      </c>
      <c r="B549" s="11"/>
      <c r="C549" s="12"/>
      <c r="D549" s="12"/>
      <c r="E549" s="12"/>
      <c r="F549" s="12"/>
      <c r="G549" s="12"/>
      <c r="H549" s="13"/>
      <c r="I549" s="4"/>
      <c r="J549" s="4"/>
      <c r="K549" s="14" t="str">
        <f aca="false">IF($B549="","",IF($C549="泓普",$C$2,IF($C549="仟茂",$E$2,IF($C549="现金",$G$2,0)))+SUMIFS($I$5:$I549,$C$5:$C549,$C549)-SUMIFS($J$5:$J549,$C$5:$C549,$C549))</f>
        <v/>
      </c>
      <c r="L549" s="14" t="str">
        <f aca="false">IF($B549="","",$C$2+$E$2+$G$2+SUM($I$5:$I549)-SUM($J$5:$J549))</f>
        <v/>
      </c>
      <c r="M549" s="12"/>
      <c r="N549" s="15" t="str">
        <f aca="false">IF($B549="","",IF(NOT(ISNUMBER($B549)),"日期格式不对",IF($C549="","未选资金账户",IF(AND(N($I549)=0,N($J549)=0),"收支都为空",IF(AND(N($I549)&gt;0,N($J549)&gt;0),"收支不能同时填",IF(AND($D549&lt;&gt;"",LEFT($O549,1)="⚠"),"项目编号不存在",IF(AND($M549="是",$F549=""),"工程回款必须填往来单位","√")))))))</f>
        <v/>
      </c>
      <c r="O549" s="16" t="str">
        <f aca="false">IF($D549="","",IFERROR(INDEX(对照清单!$B$5:$B$60,MATCH($D549,对照清单!$A$5:$A$60,0)),"⚠编号不存在"))</f>
        <v/>
      </c>
      <c r="P549" s="10" t="str">
        <f aca="false">IF($B549="","",IF(ISNUMBER($B549),TEXT($B549,"yyyy-mm"),"日期非法"))</f>
        <v/>
      </c>
      <c r="Q549" s="10" t="str">
        <f aca="false">IF($B549="","",IF(ISNUMBER($B549),YEAR($B549),"日期非法"))</f>
        <v/>
      </c>
    </row>
    <row r="550" customFormat="false" ht="15.75" hidden="false" customHeight="true" outlineLevel="0" collapsed="false">
      <c r="A550" s="10" t="str">
        <f aca="false">IF($B550="","",ROW()-4)</f>
        <v/>
      </c>
      <c r="B550" s="11"/>
      <c r="C550" s="12"/>
      <c r="D550" s="12"/>
      <c r="E550" s="12"/>
      <c r="F550" s="12"/>
      <c r="G550" s="12"/>
      <c r="H550" s="13"/>
      <c r="I550" s="4"/>
      <c r="J550" s="4"/>
      <c r="K550" s="14" t="str">
        <f aca="false">IF($B550="","",IF($C550="泓普",$C$2,IF($C550="仟茂",$E$2,IF($C550="现金",$G$2,0)))+SUMIFS($I$5:$I550,$C$5:$C550,$C550)-SUMIFS($J$5:$J550,$C$5:$C550,$C550))</f>
        <v/>
      </c>
      <c r="L550" s="14" t="str">
        <f aca="false">IF($B550="","",$C$2+$E$2+$G$2+SUM($I$5:$I550)-SUM($J$5:$J550))</f>
        <v/>
      </c>
      <c r="M550" s="12"/>
      <c r="N550" s="15" t="str">
        <f aca="false">IF($B550="","",IF(NOT(ISNUMBER($B550)),"日期格式不对",IF($C550="","未选资金账户",IF(AND(N($I550)=0,N($J550)=0),"收支都为空",IF(AND(N($I550)&gt;0,N($J550)&gt;0),"收支不能同时填",IF(AND($D550&lt;&gt;"",LEFT($O550,1)="⚠"),"项目编号不存在",IF(AND($M550="是",$F550=""),"工程回款必须填往来单位","√")))))))</f>
        <v/>
      </c>
      <c r="O550" s="16" t="str">
        <f aca="false">IF($D550="","",IFERROR(INDEX(对照清单!$B$5:$B$60,MATCH($D550,对照清单!$A$5:$A$60,0)),"⚠编号不存在"))</f>
        <v/>
      </c>
      <c r="P550" s="10" t="str">
        <f aca="false">IF($B550="","",IF(ISNUMBER($B550),TEXT($B550,"yyyy-mm"),"日期非法"))</f>
        <v/>
      </c>
      <c r="Q550" s="10" t="str">
        <f aca="false">IF($B550="","",IF(ISNUMBER($B550),YEAR($B550),"日期非法"))</f>
        <v/>
      </c>
    </row>
    <row r="551" customFormat="false" ht="15.75" hidden="false" customHeight="true" outlineLevel="0" collapsed="false">
      <c r="A551" s="10" t="str">
        <f aca="false">IF($B551="","",ROW()-4)</f>
        <v/>
      </c>
      <c r="B551" s="11"/>
      <c r="C551" s="12"/>
      <c r="D551" s="12"/>
      <c r="E551" s="12"/>
      <c r="F551" s="12"/>
      <c r="G551" s="12"/>
      <c r="H551" s="13"/>
      <c r="I551" s="4"/>
      <c r="J551" s="4"/>
      <c r="K551" s="14" t="str">
        <f aca="false">IF($B551="","",IF($C551="泓普",$C$2,IF($C551="仟茂",$E$2,IF($C551="现金",$G$2,0)))+SUMIFS($I$5:$I551,$C$5:$C551,$C551)-SUMIFS($J$5:$J551,$C$5:$C551,$C551))</f>
        <v/>
      </c>
      <c r="L551" s="14" t="str">
        <f aca="false">IF($B551="","",$C$2+$E$2+$G$2+SUM($I$5:$I551)-SUM($J$5:$J551))</f>
        <v/>
      </c>
      <c r="M551" s="12"/>
      <c r="N551" s="15" t="str">
        <f aca="false">IF($B551="","",IF(NOT(ISNUMBER($B551)),"日期格式不对",IF($C551="","未选资金账户",IF(AND(N($I551)=0,N($J551)=0),"收支都为空",IF(AND(N($I551)&gt;0,N($J551)&gt;0),"收支不能同时填",IF(AND($D551&lt;&gt;"",LEFT($O551,1)="⚠"),"项目编号不存在",IF(AND($M551="是",$F551=""),"工程回款必须填往来单位","√")))))))</f>
        <v/>
      </c>
      <c r="O551" s="16" t="str">
        <f aca="false">IF($D551="","",IFERROR(INDEX(对照清单!$B$5:$B$60,MATCH($D551,对照清单!$A$5:$A$60,0)),"⚠编号不存在"))</f>
        <v/>
      </c>
      <c r="P551" s="10" t="str">
        <f aca="false">IF($B551="","",IF(ISNUMBER($B551),TEXT($B551,"yyyy-mm"),"日期非法"))</f>
        <v/>
      </c>
      <c r="Q551" s="10" t="str">
        <f aca="false">IF($B551="","",IF(ISNUMBER($B551),YEAR($B551),"日期非法"))</f>
        <v/>
      </c>
    </row>
    <row r="552" customFormat="false" ht="15.75" hidden="false" customHeight="true" outlineLevel="0" collapsed="false">
      <c r="A552" s="10" t="str">
        <f aca="false">IF($B552="","",ROW()-4)</f>
        <v/>
      </c>
      <c r="B552" s="11"/>
      <c r="C552" s="12"/>
      <c r="D552" s="12"/>
      <c r="E552" s="12"/>
      <c r="F552" s="12"/>
      <c r="G552" s="12"/>
      <c r="H552" s="13"/>
      <c r="I552" s="4"/>
      <c r="J552" s="4"/>
      <c r="K552" s="14" t="str">
        <f aca="false">IF($B552="","",IF($C552="泓普",$C$2,IF($C552="仟茂",$E$2,IF($C552="现金",$G$2,0)))+SUMIFS($I$5:$I552,$C$5:$C552,$C552)-SUMIFS($J$5:$J552,$C$5:$C552,$C552))</f>
        <v/>
      </c>
      <c r="L552" s="14" t="str">
        <f aca="false">IF($B552="","",$C$2+$E$2+$G$2+SUM($I$5:$I552)-SUM($J$5:$J552))</f>
        <v/>
      </c>
      <c r="M552" s="12"/>
      <c r="N552" s="15" t="str">
        <f aca="false">IF($B552="","",IF(NOT(ISNUMBER($B552)),"日期格式不对",IF($C552="","未选资金账户",IF(AND(N($I552)=0,N($J552)=0),"收支都为空",IF(AND(N($I552)&gt;0,N($J552)&gt;0),"收支不能同时填",IF(AND($D552&lt;&gt;"",LEFT($O552,1)="⚠"),"项目编号不存在",IF(AND($M552="是",$F552=""),"工程回款必须填往来单位","√")))))))</f>
        <v/>
      </c>
      <c r="O552" s="16" t="str">
        <f aca="false">IF($D552="","",IFERROR(INDEX(对照清单!$B$5:$B$60,MATCH($D552,对照清单!$A$5:$A$60,0)),"⚠编号不存在"))</f>
        <v/>
      </c>
      <c r="P552" s="10" t="str">
        <f aca="false">IF($B552="","",IF(ISNUMBER($B552),TEXT($B552,"yyyy-mm"),"日期非法"))</f>
        <v/>
      </c>
      <c r="Q552" s="10" t="str">
        <f aca="false">IF($B552="","",IF(ISNUMBER($B552),YEAR($B552),"日期非法"))</f>
        <v/>
      </c>
    </row>
    <row r="553" customFormat="false" ht="15.75" hidden="false" customHeight="true" outlineLevel="0" collapsed="false">
      <c r="A553" s="10" t="str">
        <f aca="false">IF($B553="","",ROW()-4)</f>
        <v/>
      </c>
      <c r="B553" s="11"/>
      <c r="C553" s="12"/>
      <c r="D553" s="12"/>
      <c r="E553" s="12"/>
      <c r="F553" s="12"/>
      <c r="G553" s="12"/>
      <c r="H553" s="13"/>
      <c r="I553" s="4"/>
      <c r="J553" s="4"/>
      <c r="K553" s="14" t="str">
        <f aca="false">IF($B553="","",IF($C553="泓普",$C$2,IF($C553="仟茂",$E$2,IF($C553="现金",$G$2,0)))+SUMIFS($I$5:$I553,$C$5:$C553,$C553)-SUMIFS($J$5:$J553,$C$5:$C553,$C553))</f>
        <v/>
      </c>
      <c r="L553" s="14" t="str">
        <f aca="false">IF($B553="","",$C$2+$E$2+$G$2+SUM($I$5:$I553)-SUM($J$5:$J553))</f>
        <v/>
      </c>
      <c r="M553" s="12"/>
      <c r="N553" s="15" t="str">
        <f aca="false">IF($B553="","",IF(NOT(ISNUMBER($B553)),"日期格式不对",IF($C553="","未选资金账户",IF(AND(N($I553)=0,N($J553)=0),"收支都为空",IF(AND(N($I553)&gt;0,N($J553)&gt;0),"收支不能同时填",IF(AND($D553&lt;&gt;"",LEFT($O553,1)="⚠"),"项目编号不存在",IF(AND($M553="是",$F553=""),"工程回款必须填往来单位","√")))))))</f>
        <v/>
      </c>
      <c r="O553" s="16" t="str">
        <f aca="false">IF($D553="","",IFERROR(INDEX(对照清单!$B$5:$B$60,MATCH($D553,对照清单!$A$5:$A$60,0)),"⚠编号不存在"))</f>
        <v/>
      </c>
      <c r="P553" s="10" t="str">
        <f aca="false">IF($B553="","",IF(ISNUMBER($B553),TEXT($B553,"yyyy-mm"),"日期非法"))</f>
        <v/>
      </c>
      <c r="Q553" s="10" t="str">
        <f aca="false">IF($B553="","",IF(ISNUMBER($B553),YEAR($B553),"日期非法"))</f>
        <v/>
      </c>
    </row>
    <row r="554" customFormat="false" ht="15.75" hidden="false" customHeight="true" outlineLevel="0" collapsed="false">
      <c r="A554" s="10" t="str">
        <f aca="false">IF($B554="","",ROW()-4)</f>
        <v/>
      </c>
      <c r="B554" s="11"/>
      <c r="C554" s="12"/>
      <c r="D554" s="12"/>
      <c r="E554" s="12"/>
      <c r="F554" s="12"/>
      <c r="G554" s="12"/>
      <c r="H554" s="13"/>
      <c r="I554" s="4"/>
      <c r="J554" s="4"/>
      <c r="K554" s="14" t="str">
        <f aca="false">IF($B554="","",IF($C554="泓普",$C$2,IF($C554="仟茂",$E$2,IF($C554="现金",$G$2,0)))+SUMIFS($I$5:$I554,$C$5:$C554,$C554)-SUMIFS($J$5:$J554,$C$5:$C554,$C554))</f>
        <v/>
      </c>
      <c r="L554" s="14" t="str">
        <f aca="false">IF($B554="","",$C$2+$E$2+$G$2+SUM($I$5:$I554)-SUM($J$5:$J554))</f>
        <v/>
      </c>
      <c r="M554" s="12"/>
      <c r="N554" s="15" t="str">
        <f aca="false">IF($B554="","",IF(NOT(ISNUMBER($B554)),"日期格式不对",IF($C554="","未选资金账户",IF(AND(N($I554)=0,N($J554)=0),"收支都为空",IF(AND(N($I554)&gt;0,N($J554)&gt;0),"收支不能同时填",IF(AND($D554&lt;&gt;"",LEFT($O554,1)="⚠"),"项目编号不存在",IF(AND($M554="是",$F554=""),"工程回款必须填往来单位","√")))))))</f>
        <v/>
      </c>
      <c r="O554" s="16" t="str">
        <f aca="false">IF($D554="","",IFERROR(INDEX(对照清单!$B$5:$B$60,MATCH($D554,对照清单!$A$5:$A$60,0)),"⚠编号不存在"))</f>
        <v/>
      </c>
      <c r="P554" s="10" t="str">
        <f aca="false">IF($B554="","",IF(ISNUMBER($B554),TEXT($B554,"yyyy-mm"),"日期非法"))</f>
        <v/>
      </c>
      <c r="Q554" s="10" t="str">
        <f aca="false">IF($B554="","",IF(ISNUMBER($B554),YEAR($B554),"日期非法"))</f>
        <v/>
      </c>
    </row>
    <row r="555" customFormat="false" ht="15.75" hidden="false" customHeight="true" outlineLevel="0" collapsed="false">
      <c r="A555" s="10" t="str">
        <f aca="false">IF($B555="","",ROW()-4)</f>
        <v/>
      </c>
      <c r="B555" s="11"/>
      <c r="C555" s="12"/>
      <c r="D555" s="12"/>
      <c r="E555" s="12"/>
      <c r="F555" s="12"/>
      <c r="G555" s="12"/>
      <c r="H555" s="13"/>
      <c r="I555" s="4"/>
      <c r="J555" s="4"/>
      <c r="K555" s="14" t="str">
        <f aca="false">IF($B555="","",IF($C555="泓普",$C$2,IF($C555="仟茂",$E$2,IF($C555="现金",$G$2,0)))+SUMIFS($I$5:$I555,$C$5:$C555,$C555)-SUMIFS($J$5:$J555,$C$5:$C555,$C555))</f>
        <v/>
      </c>
      <c r="L555" s="14" t="str">
        <f aca="false">IF($B555="","",$C$2+$E$2+$G$2+SUM($I$5:$I555)-SUM($J$5:$J555))</f>
        <v/>
      </c>
      <c r="M555" s="12"/>
      <c r="N555" s="15" t="str">
        <f aca="false">IF($B555="","",IF(NOT(ISNUMBER($B555)),"日期格式不对",IF($C555="","未选资金账户",IF(AND(N($I555)=0,N($J555)=0),"收支都为空",IF(AND(N($I555)&gt;0,N($J555)&gt;0),"收支不能同时填",IF(AND($D555&lt;&gt;"",LEFT($O555,1)="⚠"),"项目编号不存在",IF(AND($M555="是",$F555=""),"工程回款必须填往来单位","√")))))))</f>
        <v/>
      </c>
      <c r="O555" s="16" t="str">
        <f aca="false">IF($D555="","",IFERROR(INDEX(对照清单!$B$5:$B$60,MATCH($D555,对照清单!$A$5:$A$60,0)),"⚠编号不存在"))</f>
        <v/>
      </c>
      <c r="P555" s="10" t="str">
        <f aca="false">IF($B555="","",IF(ISNUMBER($B555),TEXT($B555,"yyyy-mm"),"日期非法"))</f>
        <v/>
      </c>
      <c r="Q555" s="10" t="str">
        <f aca="false">IF($B555="","",IF(ISNUMBER($B555),YEAR($B555),"日期非法"))</f>
        <v/>
      </c>
    </row>
    <row r="556" customFormat="false" ht="15.75" hidden="false" customHeight="true" outlineLevel="0" collapsed="false">
      <c r="A556" s="10" t="str">
        <f aca="false">IF($B556="","",ROW()-4)</f>
        <v/>
      </c>
      <c r="B556" s="11"/>
      <c r="C556" s="12"/>
      <c r="D556" s="12"/>
      <c r="E556" s="12"/>
      <c r="F556" s="12"/>
      <c r="G556" s="12"/>
      <c r="H556" s="13"/>
      <c r="I556" s="4"/>
      <c r="J556" s="4"/>
      <c r="K556" s="14" t="str">
        <f aca="false">IF($B556="","",IF($C556="泓普",$C$2,IF($C556="仟茂",$E$2,IF($C556="现金",$G$2,0)))+SUMIFS($I$5:$I556,$C$5:$C556,$C556)-SUMIFS($J$5:$J556,$C$5:$C556,$C556))</f>
        <v/>
      </c>
      <c r="L556" s="14" t="str">
        <f aca="false">IF($B556="","",$C$2+$E$2+$G$2+SUM($I$5:$I556)-SUM($J$5:$J556))</f>
        <v/>
      </c>
      <c r="M556" s="12"/>
      <c r="N556" s="15" t="str">
        <f aca="false">IF($B556="","",IF(NOT(ISNUMBER($B556)),"日期格式不对",IF($C556="","未选资金账户",IF(AND(N($I556)=0,N($J556)=0),"收支都为空",IF(AND(N($I556)&gt;0,N($J556)&gt;0),"收支不能同时填",IF(AND($D556&lt;&gt;"",LEFT($O556,1)="⚠"),"项目编号不存在",IF(AND($M556="是",$F556=""),"工程回款必须填往来单位","√")))))))</f>
        <v/>
      </c>
      <c r="O556" s="16" t="str">
        <f aca="false">IF($D556="","",IFERROR(INDEX(对照清单!$B$5:$B$60,MATCH($D556,对照清单!$A$5:$A$60,0)),"⚠编号不存在"))</f>
        <v/>
      </c>
      <c r="P556" s="10" t="str">
        <f aca="false">IF($B556="","",IF(ISNUMBER($B556),TEXT($B556,"yyyy-mm"),"日期非法"))</f>
        <v/>
      </c>
      <c r="Q556" s="10" t="str">
        <f aca="false">IF($B556="","",IF(ISNUMBER($B556),YEAR($B556),"日期非法"))</f>
        <v/>
      </c>
    </row>
    <row r="557" customFormat="false" ht="15.75" hidden="false" customHeight="true" outlineLevel="0" collapsed="false">
      <c r="A557" s="10" t="str">
        <f aca="false">IF($B557="","",ROW()-4)</f>
        <v/>
      </c>
      <c r="B557" s="11"/>
      <c r="C557" s="12"/>
      <c r="D557" s="12"/>
      <c r="E557" s="12"/>
      <c r="F557" s="12"/>
      <c r="G557" s="12"/>
      <c r="H557" s="13"/>
      <c r="I557" s="4"/>
      <c r="J557" s="4"/>
      <c r="K557" s="14" t="str">
        <f aca="false">IF($B557="","",IF($C557="泓普",$C$2,IF($C557="仟茂",$E$2,IF($C557="现金",$G$2,0)))+SUMIFS($I$5:$I557,$C$5:$C557,$C557)-SUMIFS($J$5:$J557,$C$5:$C557,$C557))</f>
        <v/>
      </c>
      <c r="L557" s="14" t="str">
        <f aca="false">IF($B557="","",$C$2+$E$2+$G$2+SUM($I$5:$I557)-SUM($J$5:$J557))</f>
        <v/>
      </c>
      <c r="M557" s="12"/>
      <c r="N557" s="15" t="str">
        <f aca="false">IF($B557="","",IF(NOT(ISNUMBER($B557)),"日期格式不对",IF($C557="","未选资金账户",IF(AND(N($I557)=0,N($J557)=0),"收支都为空",IF(AND(N($I557)&gt;0,N($J557)&gt;0),"收支不能同时填",IF(AND($D557&lt;&gt;"",LEFT($O557,1)="⚠"),"项目编号不存在",IF(AND($M557="是",$F557=""),"工程回款必须填往来单位","√")))))))</f>
        <v/>
      </c>
      <c r="O557" s="16" t="str">
        <f aca="false">IF($D557="","",IFERROR(INDEX(对照清单!$B$5:$B$60,MATCH($D557,对照清单!$A$5:$A$60,0)),"⚠编号不存在"))</f>
        <v/>
      </c>
      <c r="P557" s="10" t="str">
        <f aca="false">IF($B557="","",IF(ISNUMBER($B557),TEXT($B557,"yyyy-mm"),"日期非法"))</f>
        <v/>
      </c>
      <c r="Q557" s="10" t="str">
        <f aca="false">IF($B557="","",IF(ISNUMBER($B557),YEAR($B557),"日期非法"))</f>
        <v/>
      </c>
    </row>
    <row r="558" customFormat="false" ht="15.75" hidden="false" customHeight="true" outlineLevel="0" collapsed="false">
      <c r="A558" s="10" t="str">
        <f aca="false">IF($B558="","",ROW()-4)</f>
        <v/>
      </c>
      <c r="B558" s="11"/>
      <c r="C558" s="12"/>
      <c r="D558" s="12"/>
      <c r="E558" s="12"/>
      <c r="F558" s="12"/>
      <c r="G558" s="12"/>
      <c r="H558" s="13"/>
      <c r="I558" s="4"/>
      <c r="J558" s="4"/>
      <c r="K558" s="14" t="str">
        <f aca="false">IF($B558="","",IF($C558="泓普",$C$2,IF($C558="仟茂",$E$2,IF($C558="现金",$G$2,0)))+SUMIFS($I$5:$I558,$C$5:$C558,$C558)-SUMIFS($J$5:$J558,$C$5:$C558,$C558))</f>
        <v/>
      </c>
      <c r="L558" s="14" t="str">
        <f aca="false">IF($B558="","",$C$2+$E$2+$G$2+SUM($I$5:$I558)-SUM($J$5:$J558))</f>
        <v/>
      </c>
      <c r="M558" s="12"/>
      <c r="N558" s="15" t="str">
        <f aca="false">IF($B558="","",IF(NOT(ISNUMBER($B558)),"日期格式不对",IF($C558="","未选资金账户",IF(AND(N($I558)=0,N($J558)=0),"收支都为空",IF(AND(N($I558)&gt;0,N($J558)&gt;0),"收支不能同时填",IF(AND($D558&lt;&gt;"",LEFT($O558,1)="⚠"),"项目编号不存在",IF(AND($M558="是",$F558=""),"工程回款必须填往来单位","√")))))))</f>
        <v/>
      </c>
      <c r="O558" s="16" t="str">
        <f aca="false">IF($D558="","",IFERROR(INDEX(对照清单!$B$5:$B$60,MATCH($D558,对照清单!$A$5:$A$60,0)),"⚠编号不存在"))</f>
        <v/>
      </c>
      <c r="P558" s="10" t="str">
        <f aca="false">IF($B558="","",IF(ISNUMBER($B558),TEXT($B558,"yyyy-mm"),"日期非法"))</f>
        <v/>
      </c>
      <c r="Q558" s="10" t="str">
        <f aca="false">IF($B558="","",IF(ISNUMBER($B558),YEAR($B558),"日期非法"))</f>
        <v/>
      </c>
    </row>
    <row r="559" customFormat="false" ht="15.75" hidden="false" customHeight="true" outlineLevel="0" collapsed="false">
      <c r="A559" s="10" t="str">
        <f aca="false">IF($B559="","",ROW()-4)</f>
        <v/>
      </c>
      <c r="B559" s="11"/>
      <c r="C559" s="12"/>
      <c r="D559" s="12"/>
      <c r="E559" s="12"/>
      <c r="F559" s="12"/>
      <c r="G559" s="12"/>
      <c r="H559" s="13"/>
      <c r="I559" s="4"/>
      <c r="J559" s="4"/>
      <c r="K559" s="14" t="str">
        <f aca="false">IF($B559="","",IF($C559="泓普",$C$2,IF($C559="仟茂",$E$2,IF($C559="现金",$G$2,0)))+SUMIFS($I$5:$I559,$C$5:$C559,$C559)-SUMIFS($J$5:$J559,$C$5:$C559,$C559))</f>
        <v/>
      </c>
      <c r="L559" s="14" t="str">
        <f aca="false">IF($B559="","",$C$2+$E$2+$G$2+SUM($I$5:$I559)-SUM($J$5:$J559))</f>
        <v/>
      </c>
      <c r="M559" s="12"/>
      <c r="N559" s="15" t="str">
        <f aca="false">IF($B559="","",IF(NOT(ISNUMBER($B559)),"日期格式不对",IF($C559="","未选资金账户",IF(AND(N($I559)=0,N($J559)=0),"收支都为空",IF(AND(N($I559)&gt;0,N($J559)&gt;0),"收支不能同时填",IF(AND($D559&lt;&gt;"",LEFT($O559,1)="⚠"),"项目编号不存在",IF(AND($M559="是",$F559=""),"工程回款必须填往来单位","√")))))))</f>
        <v/>
      </c>
      <c r="O559" s="16" t="str">
        <f aca="false">IF($D559="","",IFERROR(INDEX(对照清单!$B$5:$B$60,MATCH($D559,对照清单!$A$5:$A$60,0)),"⚠编号不存在"))</f>
        <v/>
      </c>
      <c r="P559" s="10" t="str">
        <f aca="false">IF($B559="","",IF(ISNUMBER($B559),TEXT($B559,"yyyy-mm"),"日期非法"))</f>
        <v/>
      </c>
      <c r="Q559" s="10" t="str">
        <f aca="false">IF($B559="","",IF(ISNUMBER($B559),YEAR($B559),"日期非法"))</f>
        <v/>
      </c>
    </row>
    <row r="560" customFormat="false" ht="15.75" hidden="false" customHeight="true" outlineLevel="0" collapsed="false">
      <c r="A560" s="10" t="str">
        <f aca="false">IF($B560="","",ROW()-4)</f>
        <v/>
      </c>
      <c r="B560" s="11"/>
      <c r="C560" s="12"/>
      <c r="D560" s="12"/>
      <c r="E560" s="12"/>
      <c r="F560" s="12"/>
      <c r="G560" s="12"/>
      <c r="H560" s="13"/>
      <c r="I560" s="4"/>
      <c r="J560" s="4"/>
      <c r="K560" s="14" t="str">
        <f aca="false">IF($B560="","",IF($C560="泓普",$C$2,IF($C560="仟茂",$E$2,IF($C560="现金",$G$2,0)))+SUMIFS($I$5:$I560,$C$5:$C560,$C560)-SUMIFS($J$5:$J560,$C$5:$C560,$C560))</f>
        <v/>
      </c>
      <c r="L560" s="14" t="str">
        <f aca="false">IF($B560="","",$C$2+$E$2+$G$2+SUM($I$5:$I560)-SUM($J$5:$J560))</f>
        <v/>
      </c>
      <c r="M560" s="12"/>
      <c r="N560" s="15" t="str">
        <f aca="false">IF($B560="","",IF(NOT(ISNUMBER($B560)),"日期格式不对",IF($C560="","未选资金账户",IF(AND(N($I560)=0,N($J560)=0),"收支都为空",IF(AND(N($I560)&gt;0,N($J560)&gt;0),"收支不能同时填",IF(AND($D560&lt;&gt;"",LEFT($O560,1)="⚠"),"项目编号不存在",IF(AND($M560="是",$F560=""),"工程回款必须填往来单位","√")))))))</f>
        <v/>
      </c>
      <c r="O560" s="16" t="str">
        <f aca="false">IF($D560="","",IFERROR(INDEX(对照清单!$B$5:$B$60,MATCH($D560,对照清单!$A$5:$A$60,0)),"⚠编号不存在"))</f>
        <v/>
      </c>
      <c r="P560" s="10" t="str">
        <f aca="false">IF($B560="","",IF(ISNUMBER($B560),TEXT($B560,"yyyy-mm"),"日期非法"))</f>
        <v/>
      </c>
      <c r="Q560" s="10" t="str">
        <f aca="false">IF($B560="","",IF(ISNUMBER($B560),YEAR($B560),"日期非法"))</f>
        <v/>
      </c>
    </row>
    <row r="561" customFormat="false" ht="15.75" hidden="false" customHeight="true" outlineLevel="0" collapsed="false">
      <c r="A561" s="10" t="str">
        <f aca="false">IF($B561="","",ROW()-4)</f>
        <v/>
      </c>
      <c r="B561" s="11"/>
      <c r="C561" s="12"/>
      <c r="D561" s="12"/>
      <c r="E561" s="12"/>
      <c r="F561" s="12"/>
      <c r="G561" s="12"/>
      <c r="H561" s="13"/>
      <c r="I561" s="4"/>
      <c r="J561" s="4"/>
      <c r="K561" s="14" t="str">
        <f aca="false">IF($B561="","",IF($C561="泓普",$C$2,IF($C561="仟茂",$E$2,IF($C561="现金",$G$2,0)))+SUMIFS($I$5:$I561,$C$5:$C561,$C561)-SUMIFS($J$5:$J561,$C$5:$C561,$C561))</f>
        <v/>
      </c>
      <c r="L561" s="14" t="str">
        <f aca="false">IF($B561="","",$C$2+$E$2+$G$2+SUM($I$5:$I561)-SUM($J$5:$J561))</f>
        <v/>
      </c>
      <c r="M561" s="12"/>
      <c r="N561" s="15" t="str">
        <f aca="false">IF($B561="","",IF(NOT(ISNUMBER($B561)),"日期格式不对",IF($C561="","未选资金账户",IF(AND(N($I561)=0,N($J561)=0),"收支都为空",IF(AND(N($I561)&gt;0,N($J561)&gt;0),"收支不能同时填",IF(AND($D561&lt;&gt;"",LEFT($O561,1)="⚠"),"项目编号不存在",IF(AND($M561="是",$F561=""),"工程回款必须填往来单位","√")))))))</f>
        <v/>
      </c>
      <c r="O561" s="16" t="str">
        <f aca="false">IF($D561="","",IFERROR(INDEX(对照清单!$B$5:$B$60,MATCH($D561,对照清单!$A$5:$A$60,0)),"⚠编号不存在"))</f>
        <v/>
      </c>
      <c r="P561" s="10" t="str">
        <f aca="false">IF($B561="","",IF(ISNUMBER($B561),TEXT($B561,"yyyy-mm"),"日期非法"))</f>
        <v/>
      </c>
      <c r="Q561" s="10" t="str">
        <f aca="false">IF($B561="","",IF(ISNUMBER($B561),YEAR($B561),"日期非法"))</f>
        <v/>
      </c>
    </row>
    <row r="562" customFormat="false" ht="15.75" hidden="false" customHeight="true" outlineLevel="0" collapsed="false">
      <c r="A562" s="10" t="str">
        <f aca="false">IF($B562="","",ROW()-4)</f>
        <v/>
      </c>
      <c r="B562" s="11"/>
      <c r="C562" s="12"/>
      <c r="D562" s="12"/>
      <c r="E562" s="12"/>
      <c r="F562" s="12"/>
      <c r="G562" s="12"/>
      <c r="H562" s="13"/>
      <c r="I562" s="4"/>
      <c r="J562" s="4"/>
      <c r="K562" s="14" t="str">
        <f aca="false">IF($B562="","",IF($C562="泓普",$C$2,IF($C562="仟茂",$E$2,IF($C562="现金",$G$2,0)))+SUMIFS($I$5:$I562,$C$5:$C562,$C562)-SUMIFS($J$5:$J562,$C$5:$C562,$C562))</f>
        <v/>
      </c>
      <c r="L562" s="14" t="str">
        <f aca="false">IF($B562="","",$C$2+$E$2+$G$2+SUM($I$5:$I562)-SUM($J$5:$J562))</f>
        <v/>
      </c>
      <c r="M562" s="12"/>
      <c r="N562" s="15" t="str">
        <f aca="false">IF($B562="","",IF(NOT(ISNUMBER($B562)),"日期格式不对",IF($C562="","未选资金账户",IF(AND(N($I562)=0,N($J562)=0),"收支都为空",IF(AND(N($I562)&gt;0,N($J562)&gt;0),"收支不能同时填",IF(AND($D562&lt;&gt;"",LEFT($O562,1)="⚠"),"项目编号不存在",IF(AND($M562="是",$F562=""),"工程回款必须填往来单位","√")))))))</f>
        <v/>
      </c>
      <c r="O562" s="16" t="str">
        <f aca="false">IF($D562="","",IFERROR(INDEX(对照清单!$B$5:$B$60,MATCH($D562,对照清单!$A$5:$A$60,0)),"⚠编号不存在"))</f>
        <v/>
      </c>
      <c r="P562" s="10" t="str">
        <f aca="false">IF($B562="","",IF(ISNUMBER($B562),TEXT($B562,"yyyy-mm"),"日期非法"))</f>
        <v/>
      </c>
      <c r="Q562" s="10" t="str">
        <f aca="false">IF($B562="","",IF(ISNUMBER($B562),YEAR($B562),"日期非法"))</f>
        <v/>
      </c>
    </row>
    <row r="563" customFormat="false" ht="15.75" hidden="false" customHeight="true" outlineLevel="0" collapsed="false">
      <c r="A563" s="10" t="str">
        <f aca="false">IF($B563="","",ROW()-4)</f>
        <v/>
      </c>
      <c r="B563" s="11"/>
      <c r="C563" s="12"/>
      <c r="D563" s="12"/>
      <c r="E563" s="12"/>
      <c r="F563" s="12"/>
      <c r="G563" s="12"/>
      <c r="H563" s="13"/>
      <c r="I563" s="4"/>
      <c r="J563" s="4"/>
      <c r="K563" s="14" t="str">
        <f aca="false">IF($B563="","",IF($C563="泓普",$C$2,IF($C563="仟茂",$E$2,IF($C563="现金",$G$2,0)))+SUMIFS($I$5:$I563,$C$5:$C563,$C563)-SUMIFS($J$5:$J563,$C$5:$C563,$C563))</f>
        <v/>
      </c>
      <c r="L563" s="14" t="str">
        <f aca="false">IF($B563="","",$C$2+$E$2+$G$2+SUM($I$5:$I563)-SUM($J$5:$J563))</f>
        <v/>
      </c>
      <c r="M563" s="12"/>
      <c r="N563" s="15" t="str">
        <f aca="false">IF($B563="","",IF(NOT(ISNUMBER($B563)),"日期格式不对",IF($C563="","未选资金账户",IF(AND(N($I563)=0,N($J563)=0),"收支都为空",IF(AND(N($I563)&gt;0,N($J563)&gt;0),"收支不能同时填",IF(AND($D563&lt;&gt;"",LEFT($O563,1)="⚠"),"项目编号不存在",IF(AND($M563="是",$F563=""),"工程回款必须填往来单位","√")))))))</f>
        <v/>
      </c>
      <c r="O563" s="16" t="str">
        <f aca="false">IF($D563="","",IFERROR(INDEX(对照清单!$B$5:$B$60,MATCH($D563,对照清单!$A$5:$A$60,0)),"⚠编号不存在"))</f>
        <v/>
      </c>
      <c r="P563" s="10" t="str">
        <f aca="false">IF($B563="","",IF(ISNUMBER($B563),TEXT($B563,"yyyy-mm"),"日期非法"))</f>
        <v/>
      </c>
      <c r="Q563" s="10" t="str">
        <f aca="false">IF($B563="","",IF(ISNUMBER($B563),YEAR($B563),"日期非法"))</f>
        <v/>
      </c>
    </row>
    <row r="564" customFormat="false" ht="15.75" hidden="false" customHeight="true" outlineLevel="0" collapsed="false">
      <c r="A564" s="10" t="str">
        <f aca="false">IF($B564="","",ROW()-4)</f>
        <v/>
      </c>
      <c r="B564" s="11"/>
      <c r="C564" s="12"/>
      <c r="D564" s="12"/>
      <c r="E564" s="12"/>
      <c r="F564" s="12"/>
      <c r="G564" s="12"/>
      <c r="H564" s="13"/>
      <c r="I564" s="4"/>
      <c r="J564" s="4"/>
      <c r="K564" s="14" t="str">
        <f aca="false">IF($B564="","",IF($C564="泓普",$C$2,IF($C564="仟茂",$E$2,IF($C564="现金",$G$2,0)))+SUMIFS($I$5:$I564,$C$5:$C564,$C564)-SUMIFS($J$5:$J564,$C$5:$C564,$C564))</f>
        <v/>
      </c>
      <c r="L564" s="14" t="str">
        <f aca="false">IF($B564="","",$C$2+$E$2+$G$2+SUM($I$5:$I564)-SUM($J$5:$J564))</f>
        <v/>
      </c>
      <c r="M564" s="12"/>
      <c r="N564" s="15" t="str">
        <f aca="false">IF($B564="","",IF(NOT(ISNUMBER($B564)),"日期格式不对",IF($C564="","未选资金账户",IF(AND(N($I564)=0,N($J564)=0),"收支都为空",IF(AND(N($I564)&gt;0,N($J564)&gt;0),"收支不能同时填",IF(AND($D564&lt;&gt;"",LEFT($O564,1)="⚠"),"项目编号不存在",IF(AND($M564="是",$F564=""),"工程回款必须填往来单位","√")))))))</f>
        <v/>
      </c>
      <c r="O564" s="16" t="str">
        <f aca="false">IF($D564="","",IFERROR(INDEX(对照清单!$B$5:$B$60,MATCH($D564,对照清单!$A$5:$A$60,0)),"⚠编号不存在"))</f>
        <v/>
      </c>
      <c r="P564" s="10" t="str">
        <f aca="false">IF($B564="","",IF(ISNUMBER($B564),TEXT($B564,"yyyy-mm"),"日期非法"))</f>
        <v/>
      </c>
      <c r="Q564" s="10" t="str">
        <f aca="false">IF($B564="","",IF(ISNUMBER($B564),YEAR($B564),"日期非法"))</f>
        <v/>
      </c>
    </row>
    <row r="565" customFormat="false" ht="15.75" hidden="false" customHeight="true" outlineLevel="0" collapsed="false">
      <c r="A565" s="10" t="str">
        <f aca="false">IF($B565="","",ROW()-4)</f>
        <v/>
      </c>
      <c r="B565" s="11"/>
      <c r="C565" s="12"/>
      <c r="D565" s="12"/>
      <c r="E565" s="12"/>
      <c r="F565" s="12"/>
      <c r="G565" s="12"/>
      <c r="H565" s="13"/>
      <c r="I565" s="4"/>
      <c r="J565" s="4"/>
      <c r="K565" s="14" t="str">
        <f aca="false">IF($B565="","",IF($C565="泓普",$C$2,IF($C565="仟茂",$E$2,IF($C565="现金",$G$2,0)))+SUMIFS($I$5:$I565,$C$5:$C565,$C565)-SUMIFS($J$5:$J565,$C$5:$C565,$C565))</f>
        <v/>
      </c>
      <c r="L565" s="14" t="str">
        <f aca="false">IF($B565="","",$C$2+$E$2+$G$2+SUM($I$5:$I565)-SUM($J$5:$J565))</f>
        <v/>
      </c>
      <c r="M565" s="12"/>
      <c r="N565" s="15" t="str">
        <f aca="false">IF($B565="","",IF(NOT(ISNUMBER($B565)),"日期格式不对",IF($C565="","未选资金账户",IF(AND(N($I565)=0,N($J565)=0),"收支都为空",IF(AND(N($I565)&gt;0,N($J565)&gt;0),"收支不能同时填",IF(AND($D565&lt;&gt;"",LEFT($O565,1)="⚠"),"项目编号不存在",IF(AND($M565="是",$F565=""),"工程回款必须填往来单位","√")))))))</f>
        <v/>
      </c>
      <c r="O565" s="16" t="str">
        <f aca="false">IF($D565="","",IFERROR(INDEX(对照清单!$B$5:$B$60,MATCH($D565,对照清单!$A$5:$A$60,0)),"⚠编号不存在"))</f>
        <v/>
      </c>
      <c r="P565" s="10" t="str">
        <f aca="false">IF($B565="","",IF(ISNUMBER($B565),TEXT($B565,"yyyy-mm"),"日期非法"))</f>
        <v/>
      </c>
      <c r="Q565" s="10" t="str">
        <f aca="false">IF($B565="","",IF(ISNUMBER($B565),YEAR($B565),"日期非法"))</f>
        <v/>
      </c>
    </row>
    <row r="566" customFormat="false" ht="15.75" hidden="false" customHeight="true" outlineLevel="0" collapsed="false">
      <c r="A566" s="10" t="str">
        <f aca="false">IF($B566="","",ROW()-4)</f>
        <v/>
      </c>
      <c r="B566" s="11"/>
      <c r="C566" s="12"/>
      <c r="D566" s="12"/>
      <c r="E566" s="12"/>
      <c r="F566" s="12"/>
      <c r="G566" s="12"/>
      <c r="H566" s="13"/>
      <c r="I566" s="4"/>
      <c r="J566" s="4"/>
      <c r="K566" s="14" t="str">
        <f aca="false">IF($B566="","",IF($C566="泓普",$C$2,IF($C566="仟茂",$E$2,IF($C566="现金",$G$2,0)))+SUMIFS($I$5:$I566,$C$5:$C566,$C566)-SUMIFS($J$5:$J566,$C$5:$C566,$C566))</f>
        <v/>
      </c>
      <c r="L566" s="14" t="str">
        <f aca="false">IF($B566="","",$C$2+$E$2+$G$2+SUM($I$5:$I566)-SUM($J$5:$J566))</f>
        <v/>
      </c>
      <c r="M566" s="12"/>
      <c r="N566" s="15" t="str">
        <f aca="false">IF($B566="","",IF(NOT(ISNUMBER($B566)),"日期格式不对",IF($C566="","未选资金账户",IF(AND(N($I566)=0,N($J566)=0),"收支都为空",IF(AND(N($I566)&gt;0,N($J566)&gt;0),"收支不能同时填",IF(AND($D566&lt;&gt;"",LEFT($O566,1)="⚠"),"项目编号不存在",IF(AND($M566="是",$F566=""),"工程回款必须填往来单位","√")))))))</f>
        <v/>
      </c>
      <c r="O566" s="16" t="str">
        <f aca="false">IF($D566="","",IFERROR(INDEX(对照清单!$B$5:$B$60,MATCH($D566,对照清单!$A$5:$A$60,0)),"⚠编号不存在"))</f>
        <v/>
      </c>
      <c r="P566" s="10" t="str">
        <f aca="false">IF($B566="","",IF(ISNUMBER($B566),TEXT($B566,"yyyy-mm"),"日期非法"))</f>
        <v/>
      </c>
      <c r="Q566" s="10" t="str">
        <f aca="false">IF($B566="","",IF(ISNUMBER($B566),YEAR($B566),"日期非法"))</f>
        <v/>
      </c>
    </row>
    <row r="567" customFormat="false" ht="15.75" hidden="false" customHeight="true" outlineLevel="0" collapsed="false">
      <c r="A567" s="10" t="str">
        <f aca="false">IF($B567="","",ROW()-4)</f>
        <v/>
      </c>
      <c r="B567" s="11"/>
      <c r="C567" s="12"/>
      <c r="D567" s="12"/>
      <c r="E567" s="12"/>
      <c r="F567" s="12"/>
      <c r="G567" s="12"/>
      <c r="H567" s="13"/>
      <c r="I567" s="4"/>
      <c r="J567" s="4"/>
      <c r="K567" s="14" t="str">
        <f aca="false">IF($B567="","",IF($C567="泓普",$C$2,IF($C567="仟茂",$E$2,IF($C567="现金",$G$2,0)))+SUMIFS($I$5:$I567,$C$5:$C567,$C567)-SUMIFS($J$5:$J567,$C$5:$C567,$C567))</f>
        <v/>
      </c>
      <c r="L567" s="14" t="str">
        <f aca="false">IF($B567="","",$C$2+$E$2+$G$2+SUM($I$5:$I567)-SUM($J$5:$J567))</f>
        <v/>
      </c>
      <c r="M567" s="12"/>
      <c r="N567" s="15" t="str">
        <f aca="false">IF($B567="","",IF(NOT(ISNUMBER($B567)),"日期格式不对",IF($C567="","未选资金账户",IF(AND(N($I567)=0,N($J567)=0),"收支都为空",IF(AND(N($I567)&gt;0,N($J567)&gt;0),"收支不能同时填",IF(AND($D567&lt;&gt;"",LEFT($O567,1)="⚠"),"项目编号不存在",IF(AND($M567="是",$F567=""),"工程回款必须填往来单位","√")))))))</f>
        <v/>
      </c>
      <c r="O567" s="16" t="str">
        <f aca="false">IF($D567="","",IFERROR(INDEX(对照清单!$B$5:$B$60,MATCH($D567,对照清单!$A$5:$A$60,0)),"⚠编号不存在"))</f>
        <v/>
      </c>
      <c r="P567" s="10" t="str">
        <f aca="false">IF($B567="","",IF(ISNUMBER($B567),TEXT($B567,"yyyy-mm"),"日期非法"))</f>
        <v/>
      </c>
      <c r="Q567" s="10" t="str">
        <f aca="false">IF($B567="","",IF(ISNUMBER($B567),YEAR($B567),"日期非法"))</f>
        <v/>
      </c>
    </row>
    <row r="568" customFormat="false" ht="15.75" hidden="false" customHeight="true" outlineLevel="0" collapsed="false">
      <c r="A568" s="10" t="str">
        <f aca="false">IF($B568="","",ROW()-4)</f>
        <v/>
      </c>
      <c r="B568" s="11"/>
      <c r="C568" s="12"/>
      <c r="D568" s="12"/>
      <c r="E568" s="12"/>
      <c r="F568" s="12"/>
      <c r="G568" s="12"/>
      <c r="H568" s="13"/>
      <c r="I568" s="4"/>
      <c r="J568" s="4"/>
      <c r="K568" s="14" t="str">
        <f aca="false">IF($B568="","",IF($C568="泓普",$C$2,IF($C568="仟茂",$E$2,IF($C568="现金",$G$2,0)))+SUMIFS($I$5:$I568,$C$5:$C568,$C568)-SUMIFS($J$5:$J568,$C$5:$C568,$C568))</f>
        <v/>
      </c>
      <c r="L568" s="14" t="str">
        <f aca="false">IF($B568="","",$C$2+$E$2+$G$2+SUM($I$5:$I568)-SUM($J$5:$J568))</f>
        <v/>
      </c>
      <c r="M568" s="12"/>
      <c r="N568" s="15" t="str">
        <f aca="false">IF($B568="","",IF(NOT(ISNUMBER($B568)),"日期格式不对",IF($C568="","未选资金账户",IF(AND(N($I568)=0,N($J568)=0),"收支都为空",IF(AND(N($I568)&gt;0,N($J568)&gt;0),"收支不能同时填",IF(AND($D568&lt;&gt;"",LEFT($O568,1)="⚠"),"项目编号不存在",IF(AND($M568="是",$F568=""),"工程回款必须填往来单位","√")))))))</f>
        <v/>
      </c>
      <c r="O568" s="16" t="str">
        <f aca="false">IF($D568="","",IFERROR(INDEX(对照清单!$B$5:$B$60,MATCH($D568,对照清单!$A$5:$A$60,0)),"⚠编号不存在"))</f>
        <v/>
      </c>
      <c r="P568" s="10" t="str">
        <f aca="false">IF($B568="","",IF(ISNUMBER($B568),TEXT($B568,"yyyy-mm"),"日期非法"))</f>
        <v/>
      </c>
      <c r="Q568" s="10" t="str">
        <f aca="false">IF($B568="","",IF(ISNUMBER($B568),YEAR($B568),"日期非法"))</f>
        <v/>
      </c>
    </row>
    <row r="569" customFormat="false" ht="15.75" hidden="false" customHeight="true" outlineLevel="0" collapsed="false">
      <c r="A569" s="10" t="str">
        <f aca="false">IF($B569="","",ROW()-4)</f>
        <v/>
      </c>
      <c r="B569" s="11"/>
      <c r="C569" s="12"/>
      <c r="D569" s="12"/>
      <c r="E569" s="12"/>
      <c r="F569" s="12"/>
      <c r="G569" s="12"/>
      <c r="H569" s="13"/>
      <c r="I569" s="4"/>
      <c r="J569" s="4"/>
      <c r="K569" s="14" t="str">
        <f aca="false">IF($B569="","",IF($C569="泓普",$C$2,IF($C569="仟茂",$E$2,IF($C569="现金",$G$2,0)))+SUMIFS($I$5:$I569,$C$5:$C569,$C569)-SUMIFS($J$5:$J569,$C$5:$C569,$C569))</f>
        <v/>
      </c>
      <c r="L569" s="14" t="str">
        <f aca="false">IF($B569="","",$C$2+$E$2+$G$2+SUM($I$5:$I569)-SUM($J$5:$J569))</f>
        <v/>
      </c>
      <c r="M569" s="12"/>
      <c r="N569" s="15" t="str">
        <f aca="false">IF($B569="","",IF(NOT(ISNUMBER($B569)),"日期格式不对",IF($C569="","未选资金账户",IF(AND(N($I569)=0,N($J569)=0),"收支都为空",IF(AND(N($I569)&gt;0,N($J569)&gt;0),"收支不能同时填",IF(AND($D569&lt;&gt;"",LEFT($O569,1)="⚠"),"项目编号不存在",IF(AND($M569="是",$F569=""),"工程回款必须填往来单位","√")))))))</f>
        <v/>
      </c>
      <c r="O569" s="16" t="str">
        <f aca="false">IF($D569="","",IFERROR(INDEX(对照清单!$B$5:$B$60,MATCH($D569,对照清单!$A$5:$A$60,0)),"⚠编号不存在"))</f>
        <v/>
      </c>
      <c r="P569" s="10" t="str">
        <f aca="false">IF($B569="","",IF(ISNUMBER($B569),TEXT($B569,"yyyy-mm"),"日期非法"))</f>
        <v/>
      </c>
      <c r="Q569" s="10" t="str">
        <f aca="false">IF($B569="","",IF(ISNUMBER($B569),YEAR($B569),"日期非法"))</f>
        <v/>
      </c>
    </row>
    <row r="570" customFormat="false" ht="15.75" hidden="false" customHeight="true" outlineLevel="0" collapsed="false">
      <c r="A570" s="10" t="str">
        <f aca="false">IF($B570="","",ROW()-4)</f>
        <v/>
      </c>
      <c r="B570" s="11"/>
      <c r="C570" s="12"/>
      <c r="D570" s="12"/>
      <c r="E570" s="12"/>
      <c r="F570" s="12"/>
      <c r="G570" s="12"/>
      <c r="H570" s="13"/>
      <c r="I570" s="4"/>
      <c r="J570" s="4"/>
      <c r="K570" s="14" t="str">
        <f aca="false">IF($B570="","",IF($C570="泓普",$C$2,IF($C570="仟茂",$E$2,IF($C570="现金",$G$2,0)))+SUMIFS($I$5:$I570,$C$5:$C570,$C570)-SUMIFS($J$5:$J570,$C$5:$C570,$C570))</f>
        <v/>
      </c>
      <c r="L570" s="14" t="str">
        <f aca="false">IF($B570="","",$C$2+$E$2+$G$2+SUM($I$5:$I570)-SUM($J$5:$J570))</f>
        <v/>
      </c>
      <c r="M570" s="12"/>
      <c r="N570" s="15" t="str">
        <f aca="false">IF($B570="","",IF(NOT(ISNUMBER($B570)),"日期格式不对",IF($C570="","未选资金账户",IF(AND(N($I570)=0,N($J570)=0),"收支都为空",IF(AND(N($I570)&gt;0,N($J570)&gt;0),"收支不能同时填",IF(AND($D570&lt;&gt;"",LEFT($O570,1)="⚠"),"项目编号不存在",IF(AND($M570="是",$F570=""),"工程回款必须填往来单位","√")))))))</f>
        <v/>
      </c>
      <c r="O570" s="16" t="str">
        <f aca="false">IF($D570="","",IFERROR(INDEX(对照清单!$B$5:$B$60,MATCH($D570,对照清单!$A$5:$A$60,0)),"⚠编号不存在"))</f>
        <v/>
      </c>
      <c r="P570" s="10" t="str">
        <f aca="false">IF($B570="","",IF(ISNUMBER($B570),TEXT($B570,"yyyy-mm"),"日期非法"))</f>
        <v/>
      </c>
      <c r="Q570" s="10" t="str">
        <f aca="false">IF($B570="","",IF(ISNUMBER($B570),YEAR($B570),"日期非法"))</f>
        <v/>
      </c>
    </row>
    <row r="571" customFormat="false" ht="15.75" hidden="false" customHeight="true" outlineLevel="0" collapsed="false">
      <c r="A571" s="10" t="str">
        <f aca="false">IF($B571="","",ROW()-4)</f>
        <v/>
      </c>
      <c r="B571" s="11"/>
      <c r="C571" s="12"/>
      <c r="D571" s="12"/>
      <c r="E571" s="12"/>
      <c r="F571" s="12"/>
      <c r="G571" s="12"/>
      <c r="H571" s="13"/>
      <c r="I571" s="4"/>
      <c r="J571" s="4"/>
      <c r="K571" s="14" t="str">
        <f aca="false">IF($B571="","",IF($C571="泓普",$C$2,IF($C571="仟茂",$E$2,IF($C571="现金",$G$2,0)))+SUMIFS($I$5:$I571,$C$5:$C571,$C571)-SUMIFS($J$5:$J571,$C$5:$C571,$C571))</f>
        <v/>
      </c>
      <c r="L571" s="14" t="str">
        <f aca="false">IF($B571="","",$C$2+$E$2+$G$2+SUM($I$5:$I571)-SUM($J$5:$J571))</f>
        <v/>
      </c>
      <c r="M571" s="12"/>
      <c r="N571" s="15" t="str">
        <f aca="false">IF($B571="","",IF(NOT(ISNUMBER($B571)),"日期格式不对",IF($C571="","未选资金账户",IF(AND(N($I571)=0,N($J571)=0),"收支都为空",IF(AND(N($I571)&gt;0,N($J571)&gt;0),"收支不能同时填",IF(AND($D571&lt;&gt;"",LEFT($O571,1)="⚠"),"项目编号不存在",IF(AND($M571="是",$F571=""),"工程回款必须填往来单位","√")))))))</f>
        <v/>
      </c>
      <c r="O571" s="16" t="str">
        <f aca="false">IF($D571="","",IFERROR(INDEX(对照清单!$B$5:$B$60,MATCH($D571,对照清单!$A$5:$A$60,0)),"⚠编号不存在"))</f>
        <v/>
      </c>
      <c r="P571" s="10" t="str">
        <f aca="false">IF($B571="","",IF(ISNUMBER($B571),TEXT($B571,"yyyy-mm"),"日期非法"))</f>
        <v/>
      </c>
      <c r="Q571" s="10" t="str">
        <f aca="false">IF($B571="","",IF(ISNUMBER($B571),YEAR($B571),"日期非法"))</f>
        <v/>
      </c>
    </row>
    <row r="572" customFormat="false" ht="15.75" hidden="false" customHeight="true" outlineLevel="0" collapsed="false">
      <c r="A572" s="10" t="str">
        <f aca="false">IF($B572="","",ROW()-4)</f>
        <v/>
      </c>
      <c r="B572" s="11"/>
      <c r="C572" s="12"/>
      <c r="D572" s="12"/>
      <c r="E572" s="12"/>
      <c r="F572" s="12"/>
      <c r="G572" s="12"/>
      <c r="H572" s="13"/>
      <c r="I572" s="4"/>
      <c r="J572" s="4"/>
      <c r="K572" s="14" t="str">
        <f aca="false">IF($B572="","",IF($C572="泓普",$C$2,IF($C572="仟茂",$E$2,IF($C572="现金",$G$2,0)))+SUMIFS($I$5:$I572,$C$5:$C572,$C572)-SUMIFS($J$5:$J572,$C$5:$C572,$C572))</f>
        <v/>
      </c>
      <c r="L572" s="14" t="str">
        <f aca="false">IF($B572="","",$C$2+$E$2+$G$2+SUM($I$5:$I572)-SUM($J$5:$J572))</f>
        <v/>
      </c>
      <c r="M572" s="12"/>
      <c r="N572" s="15" t="str">
        <f aca="false">IF($B572="","",IF(NOT(ISNUMBER($B572)),"日期格式不对",IF($C572="","未选资金账户",IF(AND(N($I572)=0,N($J572)=0),"收支都为空",IF(AND(N($I572)&gt;0,N($J572)&gt;0),"收支不能同时填",IF(AND($D572&lt;&gt;"",LEFT($O572,1)="⚠"),"项目编号不存在",IF(AND($M572="是",$F572=""),"工程回款必须填往来单位","√")))))))</f>
        <v/>
      </c>
      <c r="O572" s="16" t="str">
        <f aca="false">IF($D572="","",IFERROR(INDEX(对照清单!$B$5:$B$60,MATCH($D572,对照清单!$A$5:$A$60,0)),"⚠编号不存在"))</f>
        <v/>
      </c>
      <c r="P572" s="10" t="str">
        <f aca="false">IF($B572="","",IF(ISNUMBER($B572),TEXT($B572,"yyyy-mm"),"日期非法"))</f>
        <v/>
      </c>
      <c r="Q572" s="10" t="str">
        <f aca="false">IF($B572="","",IF(ISNUMBER($B572),YEAR($B572),"日期非法"))</f>
        <v/>
      </c>
    </row>
    <row r="573" customFormat="false" ht="15.75" hidden="false" customHeight="true" outlineLevel="0" collapsed="false">
      <c r="A573" s="10" t="str">
        <f aca="false">IF($B573="","",ROW()-4)</f>
        <v/>
      </c>
      <c r="B573" s="11"/>
      <c r="C573" s="12"/>
      <c r="D573" s="12"/>
      <c r="E573" s="12"/>
      <c r="F573" s="12"/>
      <c r="G573" s="12"/>
      <c r="H573" s="13"/>
      <c r="I573" s="4"/>
      <c r="J573" s="4"/>
      <c r="K573" s="14" t="str">
        <f aca="false">IF($B573="","",IF($C573="泓普",$C$2,IF($C573="仟茂",$E$2,IF($C573="现金",$G$2,0)))+SUMIFS($I$5:$I573,$C$5:$C573,$C573)-SUMIFS($J$5:$J573,$C$5:$C573,$C573))</f>
        <v/>
      </c>
      <c r="L573" s="14" t="str">
        <f aca="false">IF($B573="","",$C$2+$E$2+$G$2+SUM($I$5:$I573)-SUM($J$5:$J573))</f>
        <v/>
      </c>
      <c r="M573" s="12"/>
      <c r="N573" s="15" t="str">
        <f aca="false">IF($B573="","",IF(NOT(ISNUMBER($B573)),"日期格式不对",IF($C573="","未选资金账户",IF(AND(N($I573)=0,N($J573)=0),"收支都为空",IF(AND(N($I573)&gt;0,N($J573)&gt;0),"收支不能同时填",IF(AND($D573&lt;&gt;"",LEFT($O573,1)="⚠"),"项目编号不存在",IF(AND($M573="是",$F573=""),"工程回款必须填往来单位","√")))))))</f>
        <v/>
      </c>
      <c r="O573" s="16" t="str">
        <f aca="false">IF($D573="","",IFERROR(INDEX(对照清单!$B$5:$B$60,MATCH($D573,对照清单!$A$5:$A$60,0)),"⚠编号不存在"))</f>
        <v/>
      </c>
      <c r="P573" s="10" t="str">
        <f aca="false">IF($B573="","",IF(ISNUMBER($B573),TEXT($B573,"yyyy-mm"),"日期非法"))</f>
        <v/>
      </c>
      <c r="Q573" s="10" t="str">
        <f aca="false">IF($B573="","",IF(ISNUMBER($B573),YEAR($B573),"日期非法"))</f>
        <v/>
      </c>
    </row>
    <row r="574" customFormat="false" ht="15.75" hidden="false" customHeight="true" outlineLevel="0" collapsed="false">
      <c r="A574" s="10" t="str">
        <f aca="false">IF($B574="","",ROW()-4)</f>
        <v/>
      </c>
      <c r="B574" s="11"/>
      <c r="C574" s="12"/>
      <c r="D574" s="12"/>
      <c r="E574" s="12"/>
      <c r="F574" s="12"/>
      <c r="G574" s="12"/>
      <c r="H574" s="13"/>
      <c r="I574" s="4"/>
      <c r="J574" s="4"/>
      <c r="K574" s="14" t="str">
        <f aca="false">IF($B574="","",IF($C574="泓普",$C$2,IF($C574="仟茂",$E$2,IF($C574="现金",$G$2,0)))+SUMIFS($I$5:$I574,$C$5:$C574,$C574)-SUMIFS($J$5:$J574,$C$5:$C574,$C574))</f>
        <v/>
      </c>
      <c r="L574" s="14" t="str">
        <f aca="false">IF($B574="","",$C$2+$E$2+$G$2+SUM($I$5:$I574)-SUM($J$5:$J574))</f>
        <v/>
      </c>
      <c r="M574" s="12"/>
      <c r="N574" s="15" t="str">
        <f aca="false">IF($B574="","",IF(NOT(ISNUMBER($B574)),"日期格式不对",IF($C574="","未选资金账户",IF(AND(N($I574)=0,N($J574)=0),"收支都为空",IF(AND(N($I574)&gt;0,N($J574)&gt;0),"收支不能同时填",IF(AND($D574&lt;&gt;"",LEFT($O574,1)="⚠"),"项目编号不存在",IF(AND($M574="是",$F574=""),"工程回款必须填往来单位","√")))))))</f>
        <v/>
      </c>
      <c r="O574" s="16" t="str">
        <f aca="false">IF($D574="","",IFERROR(INDEX(对照清单!$B$5:$B$60,MATCH($D574,对照清单!$A$5:$A$60,0)),"⚠编号不存在"))</f>
        <v/>
      </c>
      <c r="P574" s="10" t="str">
        <f aca="false">IF($B574="","",IF(ISNUMBER($B574),TEXT($B574,"yyyy-mm"),"日期非法"))</f>
        <v/>
      </c>
      <c r="Q574" s="10" t="str">
        <f aca="false">IF($B574="","",IF(ISNUMBER($B574),YEAR($B574),"日期非法"))</f>
        <v/>
      </c>
    </row>
    <row r="575" customFormat="false" ht="15.75" hidden="false" customHeight="true" outlineLevel="0" collapsed="false">
      <c r="A575" s="10" t="str">
        <f aca="false">IF($B575="","",ROW()-4)</f>
        <v/>
      </c>
      <c r="B575" s="11"/>
      <c r="C575" s="12"/>
      <c r="D575" s="12"/>
      <c r="E575" s="12"/>
      <c r="F575" s="12"/>
      <c r="G575" s="12"/>
      <c r="H575" s="13"/>
      <c r="I575" s="4"/>
      <c r="J575" s="4"/>
      <c r="K575" s="14" t="str">
        <f aca="false">IF($B575="","",IF($C575="泓普",$C$2,IF($C575="仟茂",$E$2,IF($C575="现金",$G$2,0)))+SUMIFS($I$5:$I575,$C$5:$C575,$C575)-SUMIFS($J$5:$J575,$C$5:$C575,$C575))</f>
        <v/>
      </c>
      <c r="L575" s="14" t="str">
        <f aca="false">IF($B575="","",$C$2+$E$2+$G$2+SUM($I$5:$I575)-SUM($J$5:$J575))</f>
        <v/>
      </c>
      <c r="M575" s="12"/>
      <c r="N575" s="15" t="str">
        <f aca="false">IF($B575="","",IF(NOT(ISNUMBER($B575)),"日期格式不对",IF($C575="","未选资金账户",IF(AND(N($I575)=0,N($J575)=0),"收支都为空",IF(AND(N($I575)&gt;0,N($J575)&gt;0),"收支不能同时填",IF(AND($D575&lt;&gt;"",LEFT($O575,1)="⚠"),"项目编号不存在",IF(AND($M575="是",$F575=""),"工程回款必须填往来单位","√")))))))</f>
        <v/>
      </c>
      <c r="O575" s="16" t="str">
        <f aca="false">IF($D575="","",IFERROR(INDEX(对照清单!$B$5:$B$60,MATCH($D575,对照清单!$A$5:$A$60,0)),"⚠编号不存在"))</f>
        <v/>
      </c>
      <c r="P575" s="10" t="str">
        <f aca="false">IF($B575="","",IF(ISNUMBER($B575),TEXT($B575,"yyyy-mm"),"日期非法"))</f>
        <v/>
      </c>
      <c r="Q575" s="10" t="str">
        <f aca="false">IF($B575="","",IF(ISNUMBER($B575),YEAR($B575),"日期非法"))</f>
        <v/>
      </c>
    </row>
    <row r="576" customFormat="false" ht="15.75" hidden="false" customHeight="true" outlineLevel="0" collapsed="false">
      <c r="A576" s="10" t="str">
        <f aca="false">IF($B576="","",ROW()-4)</f>
        <v/>
      </c>
      <c r="B576" s="11"/>
      <c r="C576" s="12"/>
      <c r="D576" s="12"/>
      <c r="E576" s="12"/>
      <c r="F576" s="12"/>
      <c r="G576" s="12"/>
      <c r="H576" s="13"/>
      <c r="I576" s="4"/>
      <c r="J576" s="4"/>
      <c r="K576" s="14" t="str">
        <f aca="false">IF($B576="","",IF($C576="泓普",$C$2,IF($C576="仟茂",$E$2,IF($C576="现金",$G$2,0)))+SUMIFS($I$5:$I576,$C$5:$C576,$C576)-SUMIFS($J$5:$J576,$C$5:$C576,$C576))</f>
        <v/>
      </c>
      <c r="L576" s="14" t="str">
        <f aca="false">IF($B576="","",$C$2+$E$2+$G$2+SUM($I$5:$I576)-SUM($J$5:$J576))</f>
        <v/>
      </c>
      <c r="M576" s="12"/>
      <c r="N576" s="15" t="str">
        <f aca="false">IF($B576="","",IF(NOT(ISNUMBER($B576)),"日期格式不对",IF($C576="","未选资金账户",IF(AND(N($I576)=0,N($J576)=0),"收支都为空",IF(AND(N($I576)&gt;0,N($J576)&gt;0),"收支不能同时填",IF(AND($D576&lt;&gt;"",LEFT($O576,1)="⚠"),"项目编号不存在",IF(AND($M576="是",$F576=""),"工程回款必须填往来单位","√")))))))</f>
        <v/>
      </c>
      <c r="O576" s="16" t="str">
        <f aca="false">IF($D576="","",IFERROR(INDEX(对照清单!$B$5:$B$60,MATCH($D576,对照清单!$A$5:$A$60,0)),"⚠编号不存在"))</f>
        <v/>
      </c>
      <c r="P576" s="10" t="str">
        <f aca="false">IF($B576="","",IF(ISNUMBER($B576),TEXT($B576,"yyyy-mm"),"日期非法"))</f>
        <v/>
      </c>
      <c r="Q576" s="10" t="str">
        <f aca="false">IF($B576="","",IF(ISNUMBER($B576),YEAR($B576),"日期非法"))</f>
        <v/>
      </c>
    </row>
    <row r="577" customFormat="false" ht="15.75" hidden="false" customHeight="true" outlineLevel="0" collapsed="false">
      <c r="A577" s="10" t="str">
        <f aca="false">IF($B577="","",ROW()-4)</f>
        <v/>
      </c>
      <c r="B577" s="11"/>
      <c r="C577" s="12"/>
      <c r="D577" s="12"/>
      <c r="E577" s="12"/>
      <c r="F577" s="12"/>
      <c r="G577" s="12"/>
      <c r="H577" s="13"/>
      <c r="I577" s="4"/>
      <c r="J577" s="4"/>
      <c r="K577" s="14" t="str">
        <f aca="false">IF($B577="","",IF($C577="泓普",$C$2,IF($C577="仟茂",$E$2,IF($C577="现金",$G$2,0)))+SUMIFS($I$5:$I577,$C$5:$C577,$C577)-SUMIFS($J$5:$J577,$C$5:$C577,$C577))</f>
        <v/>
      </c>
      <c r="L577" s="14" t="str">
        <f aca="false">IF($B577="","",$C$2+$E$2+$G$2+SUM($I$5:$I577)-SUM($J$5:$J577))</f>
        <v/>
      </c>
      <c r="M577" s="12"/>
      <c r="N577" s="15" t="str">
        <f aca="false">IF($B577="","",IF(NOT(ISNUMBER($B577)),"日期格式不对",IF($C577="","未选资金账户",IF(AND(N($I577)=0,N($J577)=0),"收支都为空",IF(AND(N($I577)&gt;0,N($J577)&gt;0),"收支不能同时填",IF(AND($D577&lt;&gt;"",LEFT($O577,1)="⚠"),"项目编号不存在",IF(AND($M577="是",$F577=""),"工程回款必须填往来单位","√")))))))</f>
        <v/>
      </c>
      <c r="O577" s="16" t="str">
        <f aca="false">IF($D577="","",IFERROR(INDEX(对照清单!$B$5:$B$60,MATCH($D577,对照清单!$A$5:$A$60,0)),"⚠编号不存在"))</f>
        <v/>
      </c>
      <c r="P577" s="10" t="str">
        <f aca="false">IF($B577="","",IF(ISNUMBER($B577),TEXT($B577,"yyyy-mm"),"日期非法"))</f>
        <v/>
      </c>
      <c r="Q577" s="10" t="str">
        <f aca="false">IF($B577="","",IF(ISNUMBER($B577),YEAR($B577),"日期非法"))</f>
        <v/>
      </c>
    </row>
    <row r="578" customFormat="false" ht="15.75" hidden="false" customHeight="true" outlineLevel="0" collapsed="false">
      <c r="A578" s="10" t="str">
        <f aca="false">IF($B578="","",ROW()-4)</f>
        <v/>
      </c>
      <c r="B578" s="11"/>
      <c r="C578" s="12"/>
      <c r="D578" s="12"/>
      <c r="E578" s="12"/>
      <c r="F578" s="12"/>
      <c r="G578" s="12"/>
      <c r="H578" s="13"/>
      <c r="I578" s="4"/>
      <c r="J578" s="4"/>
      <c r="K578" s="14" t="str">
        <f aca="false">IF($B578="","",IF($C578="泓普",$C$2,IF($C578="仟茂",$E$2,IF($C578="现金",$G$2,0)))+SUMIFS($I$5:$I578,$C$5:$C578,$C578)-SUMIFS($J$5:$J578,$C$5:$C578,$C578))</f>
        <v/>
      </c>
      <c r="L578" s="14" t="str">
        <f aca="false">IF($B578="","",$C$2+$E$2+$G$2+SUM($I$5:$I578)-SUM($J$5:$J578))</f>
        <v/>
      </c>
      <c r="M578" s="12"/>
      <c r="N578" s="15" t="str">
        <f aca="false">IF($B578="","",IF(NOT(ISNUMBER($B578)),"日期格式不对",IF($C578="","未选资金账户",IF(AND(N($I578)=0,N($J578)=0),"收支都为空",IF(AND(N($I578)&gt;0,N($J578)&gt;0),"收支不能同时填",IF(AND($D578&lt;&gt;"",LEFT($O578,1)="⚠"),"项目编号不存在",IF(AND($M578="是",$F578=""),"工程回款必须填往来单位","√")))))))</f>
        <v/>
      </c>
      <c r="O578" s="16" t="str">
        <f aca="false">IF($D578="","",IFERROR(INDEX(对照清单!$B$5:$B$60,MATCH($D578,对照清单!$A$5:$A$60,0)),"⚠编号不存在"))</f>
        <v/>
      </c>
      <c r="P578" s="10" t="str">
        <f aca="false">IF($B578="","",IF(ISNUMBER($B578),TEXT($B578,"yyyy-mm"),"日期非法"))</f>
        <v/>
      </c>
      <c r="Q578" s="10" t="str">
        <f aca="false">IF($B578="","",IF(ISNUMBER($B578),YEAR($B578),"日期非法"))</f>
        <v/>
      </c>
    </row>
    <row r="579" customFormat="false" ht="15.75" hidden="false" customHeight="true" outlineLevel="0" collapsed="false">
      <c r="A579" s="10" t="str">
        <f aca="false">IF($B579="","",ROW()-4)</f>
        <v/>
      </c>
      <c r="B579" s="11"/>
      <c r="C579" s="12"/>
      <c r="D579" s="12"/>
      <c r="E579" s="12"/>
      <c r="F579" s="12"/>
      <c r="G579" s="12"/>
      <c r="H579" s="13"/>
      <c r="I579" s="4"/>
      <c r="J579" s="4"/>
      <c r="K579" s="14" t="str">
        <f aca="false">IF($B579="","",IF($C579="泓普",$C$2,IF($C579="仟茂",$E$2,IF($C579="现金",$G$2,0)))+SUMIFS($I$5:$I579,$C$5:$C579,$C579)-SUMIFS($J$5:$J579,$C$5:$C579,$C579))</f>
        <v/>
      </c>
      <c r="L579" s="14" t="str">
        <f aca="false">IF($B579="","",$C$2+$E$2+$G$2+SUM($I$5:$I579)-SUM($J$5:$J579))</f>
        <v/>
      </c>
      <c r="M579" s="12"/>
      <c r="N579" s="15" t="str">
        <f aca="false">IF($B579="","",IF(NOT(ISNUMBER($B579)),"日期格式不对",IF($C579="","未选资金账户",IF(AND(N($I579)=0,N($J579)=0),"收支都为空",IF(AND(N($I579)&gt;0,N($J579)&gt;0),"收支不能同时填",IF(AND($D579&lt;&gt;"",LEFT($O579,1)="⚠"),"项目编号不存在",IF(AND($M579="是",$F579=""),"工程回款必须填往来单位","√")))))))</f>
        <v/>
      </c>
      <c r="O579" s="16" t="str">
        <f aca="false">IF($D579="","",IFERROR(INDEX(对照清单!$B$5:$B$60,MATCH($D579,对照清单!$A$5:$A$60,0)),"⚠编号不存在"))</f>
        <v/>
      </c>
      <c r="P579" s="10" t="str">
        <f aca="false">IF($B579="","",IF(ISNUMBER($B579),TEXT($B579,"yyyy-mm"),"日期非法"))</f>
        <v/>
      </c>
      <c r="Q579" s="10" t="str">
        <f aca="false">IF($B579="","",IF(ISNUMBER($B579),YEAR($B579),"日期非法"))</f>
        <v/>
      </c>
    </row>
    <row r="580" customFormat="false" ht="15.75" hidden="false" customHeight="true" outlineLevel="0" collapsed="false">
      <c r="A580" s="10" t="str">
        <f aca="false">IF($B580="","",ROW()-4)</f>
        <v/>
      </c>
      <c r="B580" s="11"/>
      <c r="C580" s="12"/>
      <c r="D580" s="12"/>
      <c r="E580" s="12"/>
      <c r="F580" s="12"/>
      <c r="G580" s="12"/>
      <c r="H580" s="13"/>
      <c r="I580" s="4"/>
      <c r="J580" s="4"/>
      <c r="K580" s="14" t="str">
        <f aca="false">IF($B580="","",IF($C580="泓普",$C$2,IF($C580="仟茂",$E$2,IF($C580="现金",$G$2,0)))+SUMIFS($I$5:$I580,$C$5:$C580,$C580)-SUMIFS($J$5:$J580,$C$5:$C580,$C580))</f>
        <v/>
      </c>
      <c r="L580" s="14" t="str">
        <f aca="false">IF($B580="","",$C$2+$E$2+$G$2+SUM($I$5:$I580)-SUM($J$5:$J580))</f>
        <v/>
      </c>
      <c r="M580" s="12"/>
      <c r="N580" s="15" t="str">
        <f aca="false">IF($B580="","",IF(NOT(ISNUMBER($B580)),"日期格式不对",IF($C580="","未选资金账户",IF(AND(N($I580)=0,N($J580)=0),"收支都为空",IF(AND(N($I580)&gt;0,N($J580)&gt;0),"收支不能同时填",IF(AND($D580&lt;&gt;"",LEFT($O580,1)="⚠"),"项目编号不存在",IF(AND($M580="是",$F580=""),"工程回款必须填往来单位","√")))))))</f>
        <v/>
      </c>
      <c r="O580" s="16" t="str">
        <f aca="false">IF($D580="","",IFERROR(INDEX(对照清单!$B$5:$B$60,MATCH($D580,对照清单!$A$5:$A$60,0)),"⚠编号不存在"))</f>
        <v/>
      </c>
      <c r="P580" s="10" t="str">
        <f aca="false">IF($B580="","",IF(ISNUMBER($B580),TEXT($B580,"yyyy-mm"),"日期非法"))</f>
        <v/>
      </c>
      <c r="Q580" s="10" t="str">
        <f aca="false">IF($B580="","",IF(ISNUMBER($B580),YEAR($B580),"日期非法"))</f>
        <v/>
      </c>
    </row>
    <row r="581" customFormat="false" ht="15.75" hidden="false" customHeight="true" outlineLevel="0" collapsed="false">
      <c r="A581" s="10" t="str">
        <f aca="false">IF($B581="","",ROW()-4)</f>
        <v/>
      </c>
      <c r="B581" s="11"/>
      <c r="C581" s="12"/>
      <c r="D581" s="12"/>
      <c r="E581" s="12"/>
      <c r="F581" s="12"/>
      <c r="G581" s="12"/>
      <c r="H581" s="13"/>
      <c r="I581" s="4"/>
      <c r="J581" s="4"/>
      <c r="K581" s="14" t="str">
        <f aca="false">IF($B581="","",IF($C581="泓普",$C$2,IF($C581="仟茂",$E$2,IF($C581="现金",$G$2,0)))+SUMIFS($I$5:$I581,$C$5:$C581,$C581)-SUMIFS($J$5:$J581,$C$5:$C581,$C581))</f>
        <v/>
      </c>
      <c r="L581" s="14" t="str">
        <f aca="false">IF($B581="","",$C$2+$E$2+$G$2+SUM($I$5:$I581)-SUM($J$5:$J581))</f>
        <v/>
      </c>
      <c r="M581" s="12"/>
      <c r="N581" s="15" t="str">
        <f aca="false">IF($B581="","",IF(NOT(ISNUMBER($B581)),"日期格式不对",IF($C581="","未选资金账户",IF(AND(N($I581)=0,N($J581)=0),"收支都为空",IF(AND(N($I581)&gt;0,N($J581)&gt;0),"收支不能同时填",IF(AND($D581&lt;&gt;"",LEFT($O581,1)="⚠"),"项目编号不存在",IF(AND($M581="是",$F581=""),"工程回款必须填往来单位","√")))))))</f>
        <v/>
      </c>
      <c r="O581" s="16" t="str">
        <f aca="false">IF($D581="","",IFERROR(INDEX(对照清单!$B$5:$B$60,MATCH($D581,对照清单!$A$5:$A$60,0)),"⚠编号不存在"))</f>
        <v/>
      </c>
      <c r="P581" s="10" t="str">
        <f aca="false">IF($B581="","",IF(ISNUMBER($B581),TEXT($B581,"yyyy-mm"),"日期非法"))</f>
        <v/>
      </c>
      <c r="Q581" s="10" t="str">
        <f aca="false">IF($B581="","",IF(ISNUMBER($B581),YEAR($B581),"日期非法"))</f>
        <v/>
      </c>
    </row>
    <row r="582" customFormat="false" ht="15.75" hidden="false" customHeight="true" outlineLevel="0" collapsed="false">
      <c r="A582" s="10" t="str">
        <f aca="false">IF($B582="","",ROW()-4)</f>
        <v/>
      </c>
      <c r="B582" s="11"/>
      <c r="C582" s="12"/>
      <c r="D582" s="12"/>
      <c r="E582" s="12"/>
      <c r="F582" s="12"/>
      <c r="G582" s="12"/>
      <c r="H582" s="13"/>
      <c r="I582" s="4"/>
      <c r="J582" s="4"/>
      <c r="K582" s="14" t="str">
        <f aca="false">IF($B582="","",IF($C582="泓普",$C$2,IF($C582="仟茂",$E$2,IF($C582="现金",$G$2,0)))+SUMIFS($I$5:$I582,$C$5:$C582,$C582)-SUMIFS($J$5:$J582,$C$5:$C582,$C582))</f>
        <v/>
      </c>
      <c r="L582" s="14" t="str">
        <f aca="false">IF($B582="","",$C$2+$E$2+$G$2+SUM($I$5:$I582)-SUM($J$5:$J582))</f>
        <v/>
      </c>
      <c r="M582" s="12"/>
      <c r="N582" s="15" t="str">
        <f aca="false">IF($B582="","",IF(NOT(ISNUMBER($B582)),"日期格式不对",IF($C582="","未选资金账户",IF(AND(N($I582)=0,N($J582)=0),"收支都为空",IF(AND(N($I582)&gt;0,N($J582)&gt;0),"收支不能同时填",IF(AND($D582&lt;&gt;"",LEFT($O582,1)="⚠"),"项目编号不存在",IF(AND($M582="是",$F582=""),"工程回款必须填往来单位","√")))))))</f>
        <v/>
      </c>
      <c r="O582" s="16" t="str">
        <f aca="false">IF($D582="","",IFERROR(INDEX(对照清单!$B$5:$B$60,MATCH($D582,对照清单!$A$5:$A$60,0)),"⚠编号不存在"))</f>
        <v/>
      </c>
      <c r="P582" s="10" t="str">
        <f aca="false">IF($B582="","",IF(ISNUMBER($B582),TEXT($B582,"yyyy-mm"),"日期非法"))</f>
        <v/>
      </c>
      <c r="Q582" s="10" t="str">
        <f aca="false">IF($B582="","",IF(ISNUMBER($B582),YEAR($B582),"日期非法"))</f>
        <v/>
      </c>
    </row>
    <row r="583" customFormat="false" ht="15.75" hidden="false" customHeight="true" outlineLevel="0" collapsed="false">
      <c r="A583" s="10" t="str">
        <f aca="false">IF($B583="","",ROW()-4)</f>
        <v/>
      </c>
      <c r="B583" s="11"/>
      <c r="C583" s="12"/>
      <c r="D583" s="12"/>
      <c r="E583" s="12"/>
      <c r="F583" s="12"/>
      <c r="G583" s="12"/>
      <c r="H583" s="13"/>
      <c r="I583" s="4"/>
      <c r="J583" s="4"/>
      <c r="K583" s="14" t="str">
        <f aca="false">IF($B583="","",IF($C583="泓普",$C$2,IF($C583="仟茂",$E$2,IF($C583="现金",$G$2,0)))+SUMIFS($I$5:$I583,$C$5:$C583,$C583)-SUMIFS($J$5:$J583,$C$5:$C583,$C583))</f>
        <v/>
      </c>
      <c r="L583" s="14" t="str">
        <f aca="false">IF($B583="","",$C$2+$E$2+$G$2+SUM($I$5:$I583)-SUM($J$5:$J583))</f>
        <v/>
      </c>
      <c r="M583" s="12"/>
      <c r="N583" s="15" t="str">
        <f aca="false">IF($B583="","",IF(NOT(ISNUMBER($B583)),"日期格式不对",IF($C583="","未选资金账户",IF(AND(N($I583)=0,N($J583)=0),"收支都为空",IF(AND(N($I583)&gt;0,N($J583)&gt;0),"收支不能同时填",IF(AND($D583&lt;&gt;"",LEFT($O583,1)="⚠"),"项目编号不存在",IF(AND($M583="是",$F583=""),"工程回款必须填往来单位","√")))))))</f>
        <v/>
      </c>
      <c r="O583" s="16" t="str">
        <f aca="false">IF($D583="","",IFERROR(INDEX(对照清单!$B$5:$B$60,MATCH($D583,对照清单!$A$5:$A$60,0)),"⚠编号不存在"))</f>
        <v/>
      </c>
      <c r="P583" s="10" t="str">
        <f aca="false">IF($B583="","",IF(ISNUMBER($B583),TEXT($B583,"yyyy-mm"),"日期非法"))</f>
        <v/>
      </c>
      <c r="Q583" s="10" t="str">
        <f aca="false">IF($B583="","",IF(ISNUMBER($B583),YEAR($B583),"日期非法"))</f>
        <v/>
      </c>
    </row>
    <row r="584" customFormat="false" ht="15.75" hidden="false" customHeight="true" outlineLevel="0" collapsed="false">
      <c r="A584" s="10" t="str">
        <f aca="false">IF($B584="","",ROW()-4)</f>
        <v/>
      </c>
      <c r="B584" s="11"/>
      <c r="C584" s="12"/>
      <c r="D584" s="12"/>
      <c r="E584" s="12"/>
      <c r="F584" s="12"/>
      <c r="G584" s="12"/>
      <c r="H584" s="13"/>
      <c r="I584" s="4"/>
      <c r="J584" s="4"/>
      <c r="K584" s="14" t="str">
        <f aca="false">IF($B584="","",IF($C584="泓普",$C$2,IF($C584="仟茂",$E$2,IF($C584="现金",$G$2,0)))+SUMIFS($I$5:$I584,$C$5:$C584,$C584)-SUMIFS($J$5:$J584,$C$5:$C584,$C584))</f>
        <v/>
      </c>
      <c r="L584" s="14" t="str">
        <f aca="false">IF($B584="","",$C$2+$E$2+$G$2+SUM($I$5:$I584)-SUM($J$5:$J584))</f>
        <v/>
      </c>
      <c r="M584" s="12"/>
      <c r="N584" s="15" t="str">
        <f aca="false">IF($B584="","",IF(NOT(ISNUMBER($B584)),"日期格式不对",IF($C584="","未选资金账户",IF(AND(N($I584)=0,N($J584)=0),"收支都为空",IF(AND(N($I584)&gt;0,N($J584)&gt;0),"收支不能同时填",IF(AND($D584&lt;&gt;"",LEFT($O584,1)="⚠"),"项目编号不存在",IF(AND($M584="是",$F584=""),"工程回款必须填往来单位","√")))))))</f>
        <v/>
      </c>
      <c r="O584" s="16" t="str">
        <f aca="false">IF($D584="","",IFERROR(INDEX(对照清单!$B$5:$B$60,MATCH($D584,对照清单!$A$5:$A$60,0)),"⚠编号不存在"))</f>
        <v/>
      </c>
      <c r="P584" s="10" t="str">
        <f aca="false">IF($B584="","",IF(ISNUMBER($B584),TEXT($B584,"yyyy-mm"),"日期非法"))</f>
        <v/>
      </c>
      <c r="Q584" s="10" t="str">
        <f aca="false">IF($B584="","",IF(ISNUMBER($B584),YEAR($B584),"日期非法"))</f>
        <v/>
      </c>
    </row>
    <row r="585" customFormat="false" ht="15.75" hidden="false" customHeight="true" outlineLevel="0" collapsed="false">
      <c r="A585" s="10" t="str">
        <f aca="false">IF($B585="","",ROW()-4)</f>
        <v/>
      </c>
      <c r="B585" s="11"/>
      <c r="C585" s="12"/>
      <c r="D585" s="12"/>
      <c r="E585" s="12"/>
      <c r="F585" s="12"/>
      <c r="G585" s="12"/>
      <c r="H585" s="13"/>
      <c r="I585" s="4"/>
      <c r="J585" s="4"/>
      <c r="K585" s="14" t="str">
        <f aca="false">IF($B585="","",IF($C585="泓普",$C$2,IF($C585="仟茂",$E$2,IF($C585="现金",$G$2,0)))+SUMIFS($I$5:$I585,$C$5:$C585,$C585)-SUMIFS($J$5:$J585,$C$5:$C585,$C585))</f>
        <v/>
      </c>
      <c r="L585" s="14" t="str">
        <f aca="false">IF($B585="","",$C$2+$E$2+$G$2+SUM($I$5:$I585)-SUM($J$5:$J585))</f>
        <v/>
      </c>
      <c r="M585" s="12"/>
      <c r="N585" s="15" t="str">
        <f aca="false">IF($B585="","",IF(NOT(ISNUMBER($B585)),"日期格式不对",IF($C585="","未选资金账户",IF(AND(N($I585)=0,N($J585)=0),"收支都为空",IF(AND(N($I585)&gt;0,N($J585)&gt;0),"收支不能同时填",IF(AND($D585&lt;&gt;"",LEFT($O585,1)="⚠"),"项目编号不存在",IF(AND($M585="是",$F585=""),"工程回款必须填往来单位","√")))))))</f>
        <v/>
      </c>
      <c r="O585" s="16" t="str">
        <f aca="false">IF($D585="","",IFERROR(INDEX(对照清单!$B$5:$B$60,MATCH($D585,对照清单!$A$5:$A$60,0)),"⚠编号不存在"))</f>
        <v/>
      </c>
      <c r="P585" s="10" t="str">
        <f aca="false">IF($B585="","",IF(ISNUMBER($B585),TEXT($B585,"yyyy-mm"),"日期非法"))</f>
        <v/>
      </c>
      <c r="Q585" s="10" t="str">
        <f aca="false">IF($B585="","",IF(ISNUMBER($B585),YEAR($B585),"日期非法"))</f>
        <v/>
      </c>
    </row>
    <row r="586" customFormat="false" ht="15.75" hidden="false" customHeight="true" outlineLevel="0" collapsed="false">
      <c r="A586" s="10" t="str">
        <f aca="false">IF($B586="","",ROW()-4)</f>
        <v/>
      </c>
      <c r="B586" s="11"/>
      <c r="C586" s="12"/>
      <c r="D586" s="12"/>
      <c r="E586" s="12"/>
      <c r="F586" s="12"/>
      <c r="G586" s="12"/>
      <c r="H586" s="13"/>
      <c r="I586" s="4"/>
      <c r="J586" s="4"/>
      <c r="K586" s="14" t="str">
        <f aca="false">IF($B586="","",IF($C586="泓普",$C$2,IF($C586="仟茂",$E$2,IF($C586="现金",$G$2,0)))+SUMIFS($I$5:$I586,$C$5:$C586,$C586)-SUMIFS($J$5:$J586,$C$5:$C586,$C586))</f>
        <v/>
      </c>
      <c r="L586" s="14" t="str">
        <f aca="false">IF($B586="","",$C$2+$E$2+$G$2+SUM($I$5:$I586)-SUM($J$5:$J586))</f>
        <v/>
      </c>
      <c r="M586" s="12"/>
      <c r="N586" s="15" t="str">
        <f aca="false">IF($B586="","",IF(NOT(ISNUMBER($B586)),"日期格式不对",IF($C586="","未选资金账户",IF(AND(N($I586)=0,N($J586)=0),"收支都为空",IF(AND(N($I586)&gt;0,N($J586)&gt;0),"收支不能同时填",IF(AND($D586&lt;&gt;"",LEFT($O586,1)="⚠"),"项目编号不存在",IF(AND($M586="是",$F586=""),"工程回款必须填往来单位","√")))))))</f>
        <v/>
      </c>
      <c r="O586" s="16" t="str">
        <f aca="false">IF($D586="","",IFERROR(INDEX(对照清单!$B$5:$B$60,MATCH($D586,对照清单!$A$5:$A$60,0)),"⚠编号不存在"))</f>
        <v/>
      </c>
      <c r="P586" s="10" t="str">
        <f aca="false">IF($B586="","",IF(ISNUMBER($B586),TEXT($B586,"yyyy-mm"),"日期非法"))</f>
        <v/>
      </c>
      <c r="Q586" s="10" t="str">
        <f aca="false">IF($B586="","",IF(ISNUMBER($B586),YEAR($B586),"日期非法"))</f>
        <v/>
      </c>
    </row>
    <row r="587" customFormat="false" ht="15.75" hidden="false" customHeight="true" outlineLevel="0" collapsed="false">
      <c r="A587" s="10" t="str">
        <f aca="false">IF($B587="","",ROW()-4)</f>
        <v/>
      </c>
      <c r="B587" s="11"/>
      <c r="C587" s="12"/>
      <c r="D587" s="12"/>
      <c r="E587" s="12"/>
      <c r="F587" s="12"/>
      <c r="G587" s="12"/>
      <c r="H587" s="13"/>
      <c r="I587" s="4"/>
      <c r="J587" s="4"/>
      <c r="K587" s="14" t="str">
        <f aca="false">IF($B587="","",IF($C587="泓普",$C$2,IF($C587="仟茂",$E$2,IF($C587="现金",$G$2,0)))+SUMIFS($I$5:$I587,$C$5:$C587,$C587)-SUMIFS($J$5:$J587,$C$5:$C587,$C587))</f>
        <v/>
      </c>
      <c r="L587" s="14" t="str">
        <f aca="false">IF($B587="","",$C$2+$E$2+$G$2+SUM($I$5:$I587)-SUM($J$5:$J587))</f>
        <v/>
      </c>
      <c r="M587" s="12"/>
      <c r="N587" s="15" t="str">
        <f aca="false">IF($B587="","",IF(NOT(ISNUMBER($B587)),"日期格式不对",IF($C587="","未选资金账户",IF(AND(N($I587)=0,N($J587)=0),"收支都为空",IF(AND(N($I587)&gt;0,N($J587)&gt;0),"收支不能同时填",IF(AND($D587&lt;&gt;"",LEFT($O587,1)="⚠"),"项目编号不存在",IF(AND($M587="是",$F587=""),"工程回款必须填往来单位","√")))))))</f>
        <v/>
      </c>
      <c r="O587" s="16" t="str">
        <f aca="false">IF($D587="","",IFERROR(INDEX(对照清单!$B$5:$B$60,MATCH($D587,对照清单!$A$5:$A$60,0)),"⚠编号不存在"))</f>
        <v/>
      </c>
      <c r="P587" s="10" t="str">
        <f aca="false">IF($B587="","",IF(ISNUMBER($B587),TEXT($B587,"yyyy-mm"),"日期非法"))</f>
        <v/>
      </c>
      <c r="Q587" s="10" t="str">
        <f aca="false">IF($B587="","",IF(ISNUMBER($B587),YEAR($B587),"日期非法"))</f>
        <v/>
      </c>
    </row>
    <row r="588" customFormat="false" ht="15.75" hidden="false" customHeight="true" outlineLevel="0" collapsed="false">
      <c r="A588" s="10" t="str">
        <f aca="false">IF($B588="","",ROW()-4)</f>
        <v/>
      </c>
      <c r="B588" s="11"/>
      <c r="C588" s="12"/>
      <c r="D588" s="12"/>
      <c r="E588" s="12"/>
      <c r="F588" s="12"/>
      <c r="G588" s="12"/>
      <c r="H588" s="13"/>
      <c r="I588" s="4"/>
      <c r="J588" s="4"/>
      <c r="K588" s="14" t="str">
        <f aca="false">IF($B588="","",IF($C588="泓普",$C$2,IF($C588="仟茂",$E$2,IF($C588="现金",$G$2,0)))+SUMIFS($I$5:$I588,$C$5:$C588,$C588)-SUMIFS($J$5:$J588,$C$5:$C588,$C588))</f>
        <v/>
      </c>
      <c r="L588" s="14" t="str">
        <f aca="false">IF($B588="","",$C$2+$E$2+$G$2+SUM($I$5:$I588)-SUM($J$5:$J588))</f>
        <v/>
      </c>
      <c r="M588" s="12"/>
      <c r="N588" s="15" t="str">
        <f aca="false">IF($B588="","",IF(NOT(ISNUMBER($B588)),"日期格式不对",IF($C588="","未选资金账户",IF(AND(N($I588)=0,N($J588)=0),"收支都为空",IF(AND(N($I588)&gt;0,N($J588)&gt;0),"收支不能同时填",IF(AND($D588&lt;&gt;"",LEFT($O588,1)="⚠"),"项目编号不存在",IF(AND($M588="是",$F588=""),"工程回款必须填往来单位","√")))))))</f>
        <v/>
      </c>
      <c r="O588" s="16" t="str">
        <f aca="false">IF($D588="","",IFERROR(INDEX(对照清单!$B$5:$B$60,MATCH($D588,对照清单!$A$5:$A$60,0)),"⚠编号不存在"))</f>
        <v/>
      </c>
      <c r="P588" s="10" t="str">
        <f aca="false">IF($B588="","",IF(ISNUMBER($B588),TEXT($B588,"yyyy-mm"),"日期非法"))</f>
        <v/>
      </c>
      <c r="Q588" s="10" t="str">
        <f aca="false">IF($B588="","",IF(ISNUMBER($B588),YEAR($B588),"日期非法"))</f>
        <v/>
      </c>
    </row>
    <row r="589" customFormat="false" ht="15.75" hidden="false" customHeight="true" outlineLevel="0" collapsed="false">
      <c r="A589" s="10" t="str">
        <f aca="false">IF($B589="","",ROW()-4)</f>
        <v/>
      </c>
      <c r="B589" s="11"/>
      <c r="C589" s="12"/>
      <c r="D589" s="12"/>
      <c r="E589" s="12"/>
      <c r="F589" s="12"/>
      <c r="G589" s="12"/>
      <c r="H589" s="13"/>
      <c r="I589" s="4"/>
      <c r="J589" s="4"/>
      <c r="K589" s="14" t="str">
        <f aca="false">IF($B589="","",IF($C589="泓普",$C$2,IF($C589="仟茂",$E$2,IF($C589="现金",$G$2,0)))+SUMIFS($I$5:$I589,$C$5:$C589,$C589)-SUMIFS($J$5:$J589,$C$5:$C589,$C589))</f>
        <v/>
      </c>
      <c r="L589" s="14" t="str">
        <f aca="false">IF($B589="","",$C$2+$E$2+$G$2+SUM($I$5:$I589)-SUM($J$5:$J589))</f>
        <v/>
      </c>
      <c r="M589" s="12"/>
      <c r="N589" s="15" t="str">
        <f aca="false">IF($B589="","",IF(NOT(ISNUMBER($B589)),"日期格式不对",IF($C589="","未选资金账户",IF(AND(N($I589)=0,N($J589)=0),"收支都为空",IF(AND(N($I589)&gt;0,N($J589)&gt;0),"收支不能同时填",IF(AND($D589&lt;&gt;"",LEFT($O589,1)="⚠"),"项目编号不存在",IF(AND($M589="是",$F589=""),"工程回款必须填往来单位","√")))))))</f>
        <v/>
      </c>
      <c r="O589" s="16" t="str">
        <f aca="false">IF($D589="","",IFERROR(INDEX(对照清单!$B$5:$B$60,MATCH($D589,对照清单!$A$5:$A$60,0)),"⚠编号不存在"))</f>
        <v/>
      </c>
      <c r="P589" s="10" t="str">
        <f aca="false">IF($B589="","",IF(ISNUMBER($B589),TEXT($B589,"yyyy-mm"),"日期非法"))</f>
        <v/>
      </c>
      <c r="Q589" s="10" t="str">
        <f aca="false">IF($B589="","",IF(ISNUMBER($B589),YEAR($B589),"日期非法"))</f>
        <v/>
      </c>
    </row>
    <row r="590" customFormat="false" ht="15.75" hidden="false" customHeight="true" outlineLevel="0" collapsed="false">
      <c r="A590" s="10" t="str">
        <f aca="false">IF($B590="","",ROW()-4)</f>
        <v/>
      </c>
      <c r="B590" s="11"/>
      <c r="C590" s="12"/>
      <c r="D590" s="12"/>
      <c r="E590" s="12"/>
      <c r="F590" s="12"/>
      <c r="G590" s="12"/>
      <c r="H590" s="13"/>
      <c r="I590" s="4"/>
      <c r="J590" s="4"/>
      <c r="K590" s="14" t="str">
        <f aca="false">IF($B590="","",IF($C590="泓普",$C$2,IF($C590="仟茂",$E$2,IF($C590="现金",$G$2,0)))+SUMIFS($I$5:$I590,$C$5:$C590,$C590)-SUMIFS($J$5:$J590,$C$5:$C590,$C590))</f>
        <v/>
      </c>
      <c r="L590" s="14" t="str">
        <f aca="false">IF($B590="","",$C$2+$E$2+$G$2+SUM($I$5:$I590)-SUM($J$5:$J590))</f>
        <v/>
      </c>
      <c r="M590" s="12"/>
      <c r="N590" s="15" t="str">
        <f aca="false">IF($B590="","",IF(NOT(ISNUMBER($B590)),"日期格式不对",IF($C590="","未选资金账户",IF(AND(N($I590)=0,N($J590)=0),"收支都为空",IF(AND(N($I590)&gt;0,N($J590)&gt;0),"收支不能同时填",IF(AND($D590&lt;&gt;"",LEFT($O590,1)="⚠"),"项目编号不存在",IF(AND($M590="是",$F590=""),"工程回款必须填往来单位","√")))))))</f>
        <v/>
      </c>
      <c r="O590" s="16" t="str">
        <f aca="false">IF($D590="","",IFERROR(INDEX(对照清单!$B$5:$B$60,MATCH($D590,对照清单!$A$5:$A$60,0)),"⚠编号不存在"))</f>
        <v/>
      </c>
      <c r="P590" s="10" t="str">
        <f aca="false">IF($B590="","",IF(ISNUMBER($B590),TEXT($B590,"yyyy-mm"),"日期非法"))</f>
        <v/>
      </c>
      <c r="Q590" s="10" t="str">
        <f aca="false">IF($B590="","",IF(ISNUMBER($B590),YEAR($B590),"日期非法"))</f>
        <v/>
      </c>
    </row>
    <row r="591" customFormat="false" ht="15.75" hidden="false" customHeight="true" outlineLevel="0" collapsed="false">
      <c r="A591" s="10" t="str">
        <f aca="false">IF($B591="","",ROW()-4)</f>
        <v/>
      </c>
      <c r="B591" s="11"/>
      <c r="C591" s="12"/>
      <c r="D591" s="12"/>
      <c r="E591" s="12"/>
      <c r="F591" s="12"/>
      <c r="G591" s="12"/>
      <c r="H591" s="13"/>
      <c r="I591" s="4"/>
      <c r="J591" s="4"/>
      <c r="K591" s="14" t="str">
        <f aca="false">IF($B591="","",IF($C591="泓普",$C$2,IF($C591="仟茂",$E$2,IF($C591="现金",$G$2,0)))+SUMIFS($I$5:$I591,$C$5:$C591,$C591)-SUMIFS($J$5:$J591,$C$5:$C591,$C591))</f>
        <v/>
      </c>
      <c r="L591" s="14" t="str">
        <f aca="false">IF($B591="","",$C$2+$E$2+$G$2+SUM($I$5:$I591)-SUM($J$5:$J591))</f>
        <v/>
      </c>
      <c r="M591" s="12"/>
      <c r="N591" s="15" t="str">
        <f aca="false">IF($B591="","",IF(NOT(ISNUMBER($B591)),"日期格式不对",IF($C591="","未选资金账户",IF(AND(N($I591)=0,N($J591)=0),"收支都为空",IF(AND(N($I591)&gt;0,N($J591)&gt;0),"收支不能同时填",IF(AND($D591&lt;&gt;"",LEFT($O591,1)="⚠"),"项目编号不存在",IF(AND($M591="是",$F591=""),"工程回款必须填往来单位","√")))))))</f>
        <v/>
      </c>
      <c r="O591" s="16" t="str">
        <f aca="false">IF($D591="","",IFERROR(INDEX(对照清单!$B$5:$B$60,MATCH($D591,对照清单!$A$5:$A$60,0)),"⚠编号不存在"))</f>
        <v/>
      </c>
      <c r="P591" s="10" t="str">
        <f aca="false">IF($B591="","",IF(ISNUMBER($B591),TEXT($B591,"yyyy-mm"),"日期非法"))</f>
        <v/>
      </c>
      <c r="Q591" s="10" t="str">
        <f aca="false">IF($B591="","",IF(ISNUMBER($B591),YEAR($B591),"日期非法"))</f>
        <v/>
      </c>
    </row>
    <row r="592" customFormat="false" ht="15.75" hidden="false" customHeight="true" outlineLevel="0" collapsed="false">
      <c r="A592" s="10" t="str">
        <f aca="false">IF($B592="","",ROW()-4)</f>
        <v/>
      </c>
      <c r="B592" s="11"/>
      <c r="C592" s="12"/>
      <c r="D592" s="12"/>
      <c r="E592" s="12"/>
      <c r="F592" s="12"/>
      <c r="G592" s="12"/>
      <c r="H592" s="13"/>
      <c r="I592" s="4"/>
      <c r="J592" s="4"/>
      <c r="K592" s="14" t="str">
        <f aca="false">IF($B592="","",IF($C592="泓普",$C$2,IF($C592="仟茂",$E$2,IF($C592="现金",$G$2,0)))+SUMIFS($I$5:$I592,$C$5:$C592,$C592)-SUMIFS($J$5:$J592,$C$5:$C592,$C592))</f>
        <v/>
      </c>
      <c r="L592" s="14" t="str">
        <f aca="false">IF($B592="","",$C$2+$E$2+$G$2+SUM($I$5:$I592)-SUM($J$5:$J592))</f>
        <v/>
      </c>
      <c r="M592" s="12"/>
      <c r="N592" s="15" t="str">
        <f aca="false">IF($B592="","",IF(NOT(ISNUMBER($B592)),"日期格式不对",IF($C592="","未选资金账户",IF(AND(N($I592)=0,N($J592)=0),"收支都为空",IF(AND(N($I592)&gt;0,N($J592)&gt;0),"收支不能同时填",IF(AND($D592&lt;&gt;"",LEFT($O592,1)="⚠"),"项目编号不存在",IF(AND($M592="是",$F592=""),"工程回款必须填往来单位","√")))))))</f>
        <v/>
      </c>
      <c r="O592" s="16" t="str">
        <f aca="false">IF($D592="","",IFERROR(INDEX(对照清单!$B$5:$B$60,MATCH($D592,对照清单!$A$5:$A$60,0)),"⚠编号不存在"))</f>
        <v/>
      </c>
      <c r="P592" s="10" t="str">
        <f aca="false">IF($B592="","",IF(ISNUMBER($B592),TEXT($B592,"yyyy-mm"),"日期非法"))</f>
        <v/>
      </c>
      <c r="Q592" s="10" t="str">
        <f aca="false">IF($B592="","",IF(ISNUMBER($B592),YEAR($B592),"日期非法"))</f>
        <v/>
      </c>
    </row>
    <row r="593" customFormat="false" ht="15.75" hidden="false" customHeight="true" outlineLevel="0" collapsed="false">
      <c r="A593" s="10" t="str">
        <f aca="false">IF($B593="","",ROW()-4)</f>
        <v/>
      </c>
      <c r="B593" s="11"/>
      <c r="C593" s="12"/>
      <c r="D593" s="12"/>
      <c r="E593" s="12"/>
      <c r="F593" s="12"/>
      <c r="G593" s="12"/>
      <c r="H593" s="13"/>
      <c r="I593" s="4"/>
      <c r="J593" s="4"/>
      <c r="K593" s="14" t="str">
        <f aca="false">IF($B593="","",IF($C593="泓普",$C$2,IF($C593="仟茂",$E$2,IF($C593="现金",$G$2,0)))+SUMIFS($I$5:$I593,$C$5:$C593,$C593)-SUMIFS($J$5:$J593,$C$5:$C593,$C593))</f>
        <v/>
      </c>
      <c r="L593" s="14" t="str">
        <f aca="false">IF($B593="","",$C$2+$E$2+$G$2+SUM($I$5:$I593)-SUM($J$5:$J593))</f>
        <v/>
      </c>
      <c r="M593" s="12"/>
      <c r="N593" s="15" t="str">
        <f aca="false">IF($B593="","",IF(NOT(ISNUMBER($B593)),"日期格式不对",IF($C593="","未选资金账户",IF(AND(N($I593)=0,N($J593)=0),"收支都为空",IF(AND(N($I593)&gt;0,N($J593)&gt;0),"收支不能同时填",IF(AND($D593&lt;&gt;"",LEFT($O593,1)="⚠"),"项目编号不存在",IF(AND($M593="是",$F593=""),"工程回款必须填往来单位","√")))))))</f>
        <v/>
      </c>
      <c r="O593" s="16" t="str">
        <f aca="false">IF($D593="","",IFERROR(INDEX(对照清单!$B$5:$B$60,MATCH($D593,对照清单!$A$5:$A$60,0)),"⚠编号不存在"))</f>
        <v/>
      </c>
      <c r="P593" s="10" t="str">
        <f aca="false">IF($B593="","",IF(ISNUMBER($B593),TEXT($B593,"yyyy-mm"),"日期非法"))</f>
        <v/>
      </c>
      <c r="Q593" s="10" t="str">
        <f aca="false">IF($B593="","",IF(ISNUMBER($B593),YEAR($B593),"日期非法"))</f>
        <v/>
      </c>
    </row>
    <row r="594" customFormat="false" ht="15.75" hidden="false" customHeight="true" outlineLevel="0" collapsed="false">
      <c r="A594" s="10" t="str">
        <f aca="false">IF($B594="","",ROW()-4)</f>
        <v/>
      </c>
      <c r="B594" s="11"/>
      <c r="C594" s="12"/>
      <c r="D594" s="12"/>
      <c r="E594" s="12"/>
      <c r="F594" s="12"/>
      <c r="G594" s="12"/>
      <c r="H594" s="13"/>
      <c r="I594" s="4"/>
      <c r="J594" s="4"/>
      <c r="K594" s="14" t="str">
        <f aca="false">IF($B594="","",IF($C594="泓普",$C$2,IF($C594="仟茂",$E$2,IF($C594="现金",$G$2,0)))+SUMIFS($I$5:$I594,$C$5:$C594,$C594)-SUMIFS($J$5:$J594,$C$5:$C594,$C594))</f>
        <v/>
      </c>
      <c r="L594" s="14" t="str">
        <f aca="false">IF($B594="","",$C$2+$E$2+$G$2+SUM($I$5:$I594)-SUM($J$5:$J594))</f>
        <v/>
      </c>
      <c r="M594" s="12"/>
      <c r="N594" s="15" t="str">
        <f aca="false">IF($B594="","",IF(NOT(ISNUMBER($B594)),"日期格式不对",IF($C594="","未选资金账户",IF(AND(N($I594)=0,N($J594)=0),"收支都为空",IF(AND(N($I594)&gt;0,N($J594)&gt;0),"收支不能同时填",IF(AND($D594&lt;&gt;"",LEFT($O594,1)="⚠"),"项目编号不存在",IF(AND($M594="是",$F594=""),"工程回款必须填往来单位","√")))))))</f>
        <v/>
      </c>
      <c r="O594" s="16" t="str">
        <f aca="false">IF($D594="","",IFERROR(INDEX(对照清单!$B$5:$B$60,MATCH($D594,对照清单!$A$5:$A$60,0)),"⚠编号不存在"))</f>
        <v/>
      </c>
      <c r="P594" s="10" t="str">
        <f aca="false">IF($B594="","",IF(ISNUMBER($B594),TEXT($B594,"yyyy-mm"),"日期非法"))</f>
        <v/>
      </c>
      <c r="Q594" s="10" t="str">
        <f aca="false">IF($B594="","",IF(ISNUMBER($B594),YEAR($B594),"日期非法"))</f>
        <v/>
      </c>
    </row>
    <row r="595" customFormat="false" ht="15.75" hidden="false" customHeight="true" outlineLevel="0" collapsed="false">
      <c r="A595" s="10" t="str">
        <f aca="false">IF($B595="","",ROW()-4)</f>
        <v/>
      </c>
      <c r="B595" s="11"/>
      <c r="C595" s="12"/>
      <c r="D595" s="12"/>
      <c r="E595" s="12"/>
      <c r="F595" s="12"/>
      <c r="G595" s="12"/>
      <c r="H595" s="13"/>
      <c r="I595" s="4"/>
      <c r="J595" s="4"/>
      <c r="K595" s="14" t="str">
        <f aca="false">IF($B595="","",IF($C595="泓普",$C$2,IF($C595="仟茂",$E$2,IF($C595="现金",$G$2,0)))+SUMIFS($I$5:$I595,$C$5:$C595,$C595)-SUMIFS($J$5:$J595,$C$5:$C595,$C595))</f>
        <v/>
      </c>
      <c r="L595" s="14" t="str">
        <f aca="false">IF($B595="","",$C$2+$E$2+$G$2+SUM($I$5:$I595)-SUM($J$5:$J595))</f>
        <v/>
      </c>
      <c r="M595" s="12"/>
      <c r="N595" s="15" t="str">
        <f aca="false">IF($B595="","",IF(NOT(ISNUMBER($B595)),"日期格式不对",IF($C595="","未选资金账户",IF(AND(N($I595)=0,N($J595)=0),"收支都为空",IF(AND(N($I595)&gt;0,N($J595)&gt;0),"收支不能同时填",IF(AND($D595&lt;&gt;"",LEFT($O595,1)="⚠"),"项目编号不存在",IF(AND($M595="是",$F595=""),"工程回款必须填往来单位","√")))))))</f>
        <v/>
      </c>
      <c r="O595" s="16" t="str">
        <f aca="false">IF($D595="","",IFERROR(INDEX(对照清单!$B$5:$B$60,MATCH($D595,对照清单!$A$5:$A$60,0)),"⚠编号不存在"))</f>
        <v/>
      </c>
      <c r="P595" s="10" t="str">
        <f aca="false">IF($B595="","",IF(ISNUMBER($B595),TEXT($B595,"yyyy-mm"),"日期非法"))</f>
        <v/>
      </c>
      <c r="Q595" s="10" t="str">
        <f aca="false">IF($B595="","",IF(ISNUMBER($B595),YEAR($B595),"日期非法"))</f>
        <v/>
      </c>
    </row>
    <row r="596" customFormat="false" ht="15.75" hidden="false" customHeight="true" outlineLevel="0" collapsed="false">
      <c r="A596" s="10" t="str">
        <f aca="false">IF($B596="","",ROW()-4)</f>
        <v/>
      </c>
      <c r="B596" s="11"/>
      <c r="C596" s="12"/>
      <c r="D596" s="12"/>
      <c r="E596" s="12"/>
      <c r="F596" s="12"/>
      <c r="G596" s="12"/>
      <c r="H596" s="13"/>
      <c r="I596" s="4"/>
      <c r="J596" s="4"/>
      <c r="K596" s="14" t="str">
        <f aca="false">IF($B596="","",IF($C596="泓普",$C$2,IF($C596="仟茂",$E$2,IF($C596="现金",$G$2,0)))+SUMIFS($I$5:$I596,$C$5:$C596,$C596)-SUMIFS($J$5:$J596,$C$5:$C596,$C596))</f>
        <v/>
      </c>
      <c r="L596" s="14" t="str">
        <f aca="false">IF($B596="","",$C$2+$E$2+$G$2+SUM($I$5:$I596)-SUM($J$5:$J596))</f>
        <v/>
      </c>
      <c r="M596" s="12"/>
      <c r="N596" s="15" t="str">
        <f aca="false">IF($B596="","",IF(NOT(ISNUMBER($B596)),"日期格式不对",IF($C596="","未选资金账户",IF(AND(N($I596)=0,N($J596)=0),"收支都为空",IF(AND(N($I596)&gt;0,N($J596)&gt;0),"收支不能同时填",IF(AND($D596&lt;&gt;"",LEFT($O596,1)="⚠"),"项目编号不存在",IF(AND($M596="是",$F596=""),"工程回款必须填往来单位","√")))))))</f>
        <v/>
      </c>
      <c r="O596" s="16" t="str">
        <f aca="false">IF($D596="","",IFERROR(INDEX(对照清单!$B$5:$B$60,MATCH($D596,对照清单!$A$5:$A$60,0)),"⚠编号不存在"))</f>
        <v/>
      </c>
      <c r="P596" s="10" t="str">
        <f aca="false">IF($B596="","",IF(ISNUMBER($B596),TEXT($B596,"yyyy-mm"),"日期非法"))</f>
        <v/>
      </c>
      <c r="Q596" s="10" t="str">
        <f aca="false">IF($B596="","",IF(ISNUMBER($B596),YEAR($B596),"日期非法"))</f>
        <v/>
      </c>
    </row>
    <row r="597" customFormat="false" ht="15.75" hidden="false" customHeight="true" outlineLevel="0" collapsed="false">
      <c r="A597" s="10" t="str">
        <f aca="false">IF($B597="","",ROW()-4)</f>
        <v/>
      </c>
      <c r="B597" s="11"/>
      <c r="C597" s="12"/>
      <c r="D597" s="12"/>
      <c r="E597" s="12"/>
      <c r="F597" s="12"/>
      <c r="G597" s="12"/>
      <c r="H597" s="13"/>
      <c r="I597" s="4"/>
      <c r="J597" s="4"/>
      <c r="K597" s="14" t="str">
        <f aca="false">IF($B597="","",IF($C597="泓普",$C$2,IF($C597="仟茂",$E$2,IF($C597="现金",$G$2,0)))+SUMIFS($I$5:$I597,$C$5:$C597,$C597)-SUMIFS($J$5:$J597,$C$5:$C597,$C597))</f>
        <v/>
      </c>
      <c r="L597" s="14" t="str">
        <f aca="false">IF($B597="","",$C$2+$E$2+$G$2+SUM($I$5:$I597)-SUM($J$5:$J597))</f>
        <v/>
      </c>
      <c r="M597" s="12"/>
      <c r="N597" s="15" t="str">
        <f aca="false">IF($B597="","",IF(NOT(ISNUMBER($B597)),"日期格式不对",IF($C597="","未选资金账户",IF(AND(N($I597)=0,N($J597)=0),"收支都为空",IF(AND(N($I597)&gt;0,N($J597)&gt;0),"收支不能同时填",IF(AND($D597&lt;&gt;"",LEFT($O597,1)="⚠"),"项目编号不存在",IF(AND($M597="是",$F597=""),"工程回款必须填往来单位","√")))))))</f>
        <v/>
      </c>
      <c r="O597" s="16" t="str">
        <f aca="false">IF($D597="","",IFERROR(INDEX(对照清单!$B$5:$B$60,MATCH($D597,对照清单!$A$5:$A$60,0)),"⚠编号不存在"))</f>
        <v/>
      </c>
      <c r="P597" s="10" t="str">
        <f aca="false">IF($B597="","",IF(ISNUMBER($B597),TEXT($B597,"yyyy-mm"),"日期非法"))</f>
        <v/>
      </c>
      <c r="Q597" s="10" t="str">
        <f aca="false">IF($B597="","",IF(ISNUMBER($B597),YEAR($B597),"日期非法"))</f>
        <v/>
      </c>
    </row>
    <row r="598" customFormat="false" ht="15.75" hidden="false" customHeight="true" outlineLevel="0" collapsed="false">
      <c r="A598" s="10" t="str">
        <f aca="false">IF($B598="","",ROW()-4)</f>
        <v/>
      </c>
      <c r="B598" s="11"/>
      <c r="C598" s="12"/>
      <c r="D598" s="12"/>
      <c r="E598" s="12"/>
      <c r="F598" s="12"/>
      <c r="G598" s="12"/>
      <c r="H598" s="13"/>
      <c r="I598" s="4"/>
      <c r="J598" s="4"/>
      <c r="K598" s="14" t="str">
        <f aca="false">IF($B598="","",IF($C598="泓普",$C$2,IF($C598="仟茂",$E$2,IF($C598="现金",$G$2,0)))+SUMIFS($I$5:$I598,$C$5:$C598,$C598)-SUMIFS($J$5:$J598,$C$5:$C598,$C598))</f>
        <v/>
      </c>
      <c r="L598" s="14" t="str">
        <f aca="false">IF($B598="","",$C$2+$E$2+$G$2+SUM($I$5:$I598)-SUM($J$5:$J598))</f>
        <v/>
      </c>
      <c r="M598" s="12"/>
      <c r="N598" s="15" t="str">
        <f aca="false">IF($B598="","",IF(NOT(ISNUMBER($B598)),"日期格式不对",IF($C598="","未选资金账户",IF(AND(N($I598)=0,N($J598)=0),"收支都为空",IF(AND(N($I598)&gt;0,N($J598)&gt;0),"收支不能同时填",IF(AND($D598&lt;&gt;"",LEFT($O598,1)="⚠"),"项目编号不存在",IF(AND($M598="是",$F598=""),"工程回款必须填往来单位","√")))))))</f>
        <v/>
      </c>
      <c r="O598" s="16" t="str">
        <f aca="false">IF($D598="","",IFERROR(INDEX(对照清单!$B$5:$B$60,MATCH($D598,对照清单!$A$5:$A$60,0)),"⚠编号不存在"))</f>
        <v/>
      </c>
      <c r="P598" s="10" t="str">
        <f aca="false">IF($B598="","",IF(ISNUMBER($B598),TEXT($B598,"yyyy-mm"),"日期非法"))</f>
        <v/>
      </c>
      <c r="Q598" s="10" t="str">
        <f aca="false">IF($B598="","",IF(ISNUMBER($B598),YEAR($B598),"日期非法"))</f>
        <v/>
      </c>
    </row>
    <row r="599" customFormat="false" ht="15.75" hidden="false" customHeight="true" outlineLevel="0" collapsed="false">
      <c r="A599" s="10" t="str">
        <f aca="false">IF($B599="","",ROW()-4)</f>
        <v/>
      </c>
      <c r="B599" s="11"/>
      <c r="C599" s="12"/>
      <c r="D599" s="12"/>
      <c r="E599" s="12"/>
      <c r="F599" s="12"/>
      <c r="G599" s="12"/>
      <c r="H599" s="13"/>
      <c r="I599" s="4"/>
      <c r="J599" s="4"/>
      <c r="K599" s="14" t="str">
        <f aca="false">IF($B599="","",IF($C599="泓普",$C$2,IF($C599="仟茂",$E$2,IF($C599="现金",$G$2,0)))+SUMIFS($I$5:$I599,$C$5:$C599,$C599)-SUMIFS($J$5:$J599,$C$5:$C599,$C599))</f>
        <v/>
      </c>
      <c r="L599" s="14" t="str">
        <f aca="false">IF($B599="","",$C$2+$E$2+$G$2+SUM($I$5:$I599)-SUM($J$5:$J599))</f>
        <v/>
      </c>
      <c r="M599" s="12"/>
      <c r="N599" s="15" t="str">
        <f aca="false">IF($B599="","",IF(NOT(ISNUMBER($B599)),"日期格式不对",IF($C599="","未选资金账户",IF(AND(N($I599)=0,N($J599)=0),"收支都为空",IF(AND(N($I599)&gt;0,N($J599)&gt;0),"收支不能同时填",IF(AND($D599&lt;&gt;"",LEFT($O599,1)="⚠"),"项目编号不存在",IF(AND($M599="是",$F599=""),"工程回款必须填往来单位","√")))))))</f>
        <v/>
      </c>
      <c r="O599" s="16" t="str">
        <f aca="false">IF($D599="","",IFERROR(INDEX(对照清单!$B$5:$B$60,MATCH($D599,对照清单!$A$5:$A$60,0)),"⚠编号不存在"))</f>
        <v/>
      </c>
      <c r="P599" s="10" t="str">
        <f aca="false">IF($B599="","",IF(ISNUMBER($B599),TEXT($B599,"yyyy-mm"),"日期非法"))</f>
        <v/>
      </c>
      <c r="Q599" s="10" t="str">
        <f aca="false">IF($B599="","",IF(ISNUMBER($B599),YEAR($B599),"日期非法"))</f>
        <v/>
      </c>
    </row>
    <row r="600" customFormat="false" ht="15.75" hidden="false" customHeight="true" outlineLevel="0" collapsed="false">
      <c r="A600" s="10" t="str">
        <f aca="false">IF($B600="","",ROW()-4)</f>
        <v/>
      </c>
      <c r="B600" s="11"/>
      <c r="C600" s="12"/>
      <c r="D600" s="12"/>
      <c r="E600" s="12"/>
      <c r="F600" s="12"/>
      <c r="G600" s="12"/>
      <c r="H600" s="13"/>
      <c r="I600" s="4"/>
      <c r="J600" s="4"/>
      <c r="K600" s="14" t="str">
        <f aca="false">IF($B600="","",IF($C600="泓普",$C$2,IF($C600="仟茂",$E$2,IF($C600="现金",$G$2,0)))+SUMIFS($I$5:$I600,$C$5:$C600,$C600)-SUMIFS($J$5:$J600,$C$5:$C600,$C600))</f>
        <v/>
      </c>
      <c r="L600" s="14" t="str">
        <f aca="false">IF($B600="","",$C$2+$E$2+$G$2+SUM($I$5:$I600)-SUM($J$5:$J600))</f>
        <v/>
      </c>
      <c r="M600" s="12"/>
      <c r="N600" s="15" t="str">
        <f aca="false">IF($B600="","",IF(NOT(ISNUMBER($B600)),"日期格式不对",IF($C600="","未选资金账户",IF(AND(N($I600)=0,N($J600)=0),"收支都为空",IF(AND(N($I600)&gt;0,N($J600)&gt;0),"收支不能同时填",IF(AND($D600&lt;&gt;"",LEFT($O600,1)="⚠"),"项目编号不存在",IF(AND($M600="是",$F600=""),"工程回款必须填往来单位","√")))))))</f>
        <v/>
      </c>
      <c r="O600" s="16" t="str">
        <f aca="false">IF($D600="","",IFERROR(INDEX(对照清单!$B$5:$B$60,MATCH($D600,对照清单!$A$5:$A$60,0)),"⚠编号不存在"))</f>
        <v/>
      </c>
      <c r="P600" s="10" t="str">
        <f aca="false">IF($B600="","",IF(ISNUMBER($B600),TEXT($B600,"yyyy-mm"),"日期非法"))</f>
        <v/>
      </c>
      <c r="Q600" s="10" t="str">
        <f aca="false">IF($B600="","",IF(ISNUMBER($B600),YEAR($B600),"日期非法"))</f>
        <v/>
      </c>
    </row>
    <row r="601" customFormat="false" ht="15.75" hidden="false" customHeight="true" outlineLevel="0" collapsed="false">
      <c r="A601" s="10" t="str">
        <f aca="false">IF($B601="","",ROW()-4)</f>
        <v/>
      </c>
      <c r="B601" s="11"/>
      <c r="C601" s="12"/>
      <c r="D601" s="12"/>
      <c r="E601" s="12"/>
      <c r="F601" s="12"/>
      <c r="G601" s="12"/>
      <c r="H601" s="13"/>
      <c r="I601" s="4"/>
      <c r="J601" s="4"/>
      <c r="K601" s="14" t="str">
        <f aca="false">IF($B601="","",IF($C601="泓普",$C$2,IF($C601="仟茂",$E$2,IF($C601="现金",$G$2,0)))+SUMIFS($I$5:$I601,$C$5:$C601,$C601)-SUMIFS($J$5:$J601,$C$5:$C601,$C601))</f>
        <v/>
      </c>
      <c r="L601" s="14" t="str">
        <f aca="false">IF($B601="","",$C$2+$E$2+$G$2+SUM($I$5:$I601)-SUM($J$5:$J601))</f>
        <v/>
      </c>
      <c r="M601" s="12"/>
      <c r="N601" s="15" t="str">
        <f aca="false">IF($B601="","",IF(NOT(ISNUMBER($B601)),"日期格式不对",IF($C601="","未选资金账户",IF(AND(N($I601)=0,N($J601)=0),"收支都为空",IF(AND(N($I601)&gt;0,N($J601)&gt;0),"收支不能同时填",IF(AND($D601&lt;&gt;"",LEFT($O601,1)="⚠"),"项目编号不存在",IF(AND($M601="是",$F601=""),"工程回款必须填往来单位","√")))))))</f>
        <v/>
      </c>
      <c r="O601" s="16" t="str">
        <f aca="false">IF($D601="","",IFERROR(INDEX(对照清单!$B$5:$B$60,MATCH($D601,对照清单!$A$5:$A$60,0)),"⚠编号不存在"))</f>
        <v/>
      </c>
      <c r="P601" s="10" t="str">
        <f aca="false">IF($B601="","",IF(ISNUMBER($B601),TEXT($B601,"yyyy-mm"),"日期非法"))</f>
        <v/>
      </c>
      <c r="Q601" s="10" t="str">
        <f aca="false">IF($B601="","",IF(ISNUMBER($B601),YEAR($B601),"日期非法"))</f>
        <v/>
      </c>
    </row>
    <row r="602" customFormat="false" ht="15.75" hidden="false" customHeight="true" outlineLevel="0" collapsed="false">
      <c r="A602" s="10" t="str">
        <f aca="false">IF($B602="","",ROW()-4)</f>
        <v/>
      </c>
      <c r="B602" s="11"/>
      <c r="C602" s="12"/>
      <c r="D602" s="12"/>
      <c r="E602" s="12"/>
      <c r="F602" s="12"/>
      <c r="G602" s="12"/>
      <c r="H602" s="13"/>
      <c r="I602" s="4"/>
      <c r="J602" s="4"/>
      <c r="K602" s="14" t="str">
        <f aca="false">IF($B602="","",IF($C602="泓普",$C$2,IF($C602="仟茂",$E$2,IF($C602="现金",$G$2,0)))+SUMIFS($I$5:$I602,$C$5:$C602,$C602)-SUMIFS($J$5:$J602,$C$5:$C602,$C602))</f>
        <v/>
      </c>
      <c r="L602" s="14" t="str">
        <f aca="false">IF($B602="","",$C$2+$E$2+$G$2+SUM($I$5:$I602)-SUM($J$5:$J602))</f>
        <v/>
      </c>
      <c r="M602" s="12"/>
      <c r="N602" s="15" t="str">
        <f aca="false">IF($B602="","",IF(NOT(ISNUMBER($B602)),"日期格式不对",IF($C602="","未选资金账户",IF(AND(N($I602)=0,N($J602)=0),"收支都为空",IF(AND(N($I602)&gt;0,N($J602)&gt;0),"收支不能同时填",IF(AND($D602&lt;&gt;"",LEFT($O602,1)="⚠"),"项目编号不存在",IF(AND($M602="是",$F602=""),"工程回款必须填往来单位","√")))))))</f>
        <v/>
      </c>
      <c r="O602" s="16" t="str">
        <f aca="false">IF($D602="","",IFERROR(INDEX(对照清单!$B$5:$B$60,MATCH($D602,对照清单!$A$5:$A$60,0)),"⚠编号不存在"))</f>
        <v/>
      </c>
      <c r="P602" s="10" t="str">
        <f aca="false">IF($B602="","",IF(ISNUMBER($B602),TEXT($B602,"yyyy-mm"),"日期非法"))</f>
        <v/>
      </c>
      <c r="Q602" s="10" t="str">
        <f aca="false">IF($B602="","",IF(ISNUMBER($B602),YEAR($B602),"日期非法"))</f>
        <v/>
      </c>
    </row>
    <row r="603" customFormat="false" ht="15.75" hidden="false" customHeight="true" outlineLevel="0" collapsed="false">
      <c r="A603" s="10" t="str">
        <f aca="false">IF($B603="","",ROW()-4)</f>
        <v/>
      </c>
      <c r="B603" s="11"/>
      <c r="C603" s="12"/>
      <c r="D603" s="12"/>
      <c r="E603" s="12"/>
      <c r="F603" s="12"/>
      <c r="G603" s="12"/>
      <c r="H603" s="13"/>
      <c r="I603" s="4"/>
      <c r="J603" s="4"/>
      <c r="K603" s="14" t="str">
        <f aca="false">IF($B603="","",IF($C603="泓普",$C$2,IF($C603="仟茂",$E$2,IF($C603="现金",$G$2,0)))+SUMIFS($I$5:$I603,$C$5:$C603,$C603)-SUMIFS($J$5:$J603,$C$5:$C603,$C603))</f>
        <v/>
      </c>
      <c r="L603" s="14" t="str">
        <f aca="false">IF($B603="","",$C$2+$E$2+$G$2+SUM($I$5:$I603)-SUM($J$5:$J603))</f>
        <v/>
      </c>
      <c r="M603" s="12"/>
      <c r="N603" s="15" t="str">
        <f aca="false">IF($B603="","",IF(NOT(ISNUMBER($B603)),"日期格式不对",IF($C603="","未选资金账户",IF(AND(N($I603)=0,N($J603)=0),"收支都为空",IF(AND(N($I603)&gt;0,N($J603)&gt;0),"收支不能同时填",IF(AND($D603&lt;&gt;"",LEFT($O603,1)="⚠"),"项目编号不存在",IF(AND($M603="是",$F603=""),"工程回款必须填往来单位","√")))))))</f>
        <v/>
      </c>
      <c r="O603" s="16" t="str">
        <f aca="false">IF($D603="","",IFERROR(INDEX(对照清单!$B$5:$B$60,MATCH($D603,对照清单!$A$5:$A$60,0)),"⚠编号不存在"))</f>
        <v/>
      </c>
      <c r="P603" s="10" t="str">
        <f aca="false">IF($B603="","",IF(ISNUMBER($B603),TEXT($B603,"yyyy-mm"),"日期非法"))</f>
        <v/>
      </c>
      <c r="Q603" s="10" t="str">
        <f aca="false">IF($B603="","",IF(ISNUMBER($B603),YEAR($B603),"日期非法"))</f>
        <v/>
      </c>
    </row>
    <row r="604" customFormat="false" ht="15.75" hidden="false" customHeight="true" outlineLevel="0" collapsed="false">
      <c r="A604" s="10" t="str">
        <f aca="false">IF($B604="","",ROW()-4)</f>
        <v/>
      </c>
      <c r="B604" s="11"/>
      <c r="C604" s="12"/>
      <c r="D604" s="12"/>
      <c r="E604" s="12"/>
      <c r="F604" s="12"/>
      <c r="G604" s="12"/>
      <c r="H604" s="13"/>
      <c r="I604" s="4"/>
      <c r="J604" s="4"/>
      <c r="K604" s="14" t="str">
        <f aca="false">IF($B604="","",IF($C604="泓普",$C$2,IF($C604="仟茂",$E$2,IF($C604="现金",$G$2,0)))+SUMIFS($I$5:$I604,$C$5:$C604,$C604)-SUMIFS($J$5:$J604,$C$5:$C604,$C604))</f>
        <v/>
      </c>
      <c r="L604" s="14" t="str">
        <f aca="false">IF($B604="","",$C$2+$E$2+$G$2+SUM($I$5:$I604)-SUM($J$5:$J604))</f>
        <v/>
      </c>
      <c r="M604" s="12"/>
      <c r="N604" s="15" t="str">
        <f aca="false">IF($B604="","",IF(NOT(ISNUMBER($B604)),"日期格式不对",IF($C604="","未选资金账户",IF(AND(N($I604)=0,N($J604)=0),"收支都为空",IF(AND(N($I604)&gt;0,N($J604)&gt;0),"收支不能同时填",IF(AND($D604&lt;&gt;"",LEFT($O604,1)="⚠"),"项目编号不存在",IF(AND($M604="是",$F604=""),"工程回款必须填往来单位","√")))))))</f>
        <v/>
      </c>
      <c r="O604" s="16" t="str">
        <f aca="false">IF($D604="","",IFERROR(INDEX(对照清单!$B$5:$B$60,MATCH($D604,对照清单!$A$5:$A$60,0)),"⚠编号不存在"))</f>
        <v/>
      </c>
      <c r="P604" s="10" t="str">
        <f aca="false">IF($B604="","",IF(ISNUMBER($B604),TEXT($B604,"yyyy-mm"),"日期非法"))</f>
        <v/>
      </c>
      <c r="Q604" s="10" t="str">
        <f aca="false">IF($B604="","",IF(ISNUMBER($B604),YEAR($B604),"日期非法"))</f>
        <v/>
      </c>
    </row>
    <row r="605" customFormat="false" ht="15.75" hidden="false" customHeight="true" outlineLevel="0" collapsed="false">
      <c r="A605" s="10" t="str">
        <f aca="false">IF($B605="","",ROW()-4)</f>
        <v/>
      </c>
      <c r="B605" s="11"/>
      <c r="C605" s="12"/>
      <c r="D605" s="12"/>
      <c r="E605" s="12"/>
      <c r="F605" s="12"/>
      <c r="G605" s="12"/>
      <c r="H605" s="13"/>
      <c r="I605" s="4"/>
      <c r="J605" s="4"/>
      <c r="K605" s="14" t="str">
        <f aca="false">IF($B605="","",IF($C605="泓普",$C$2,IF($C605="仟茂",$E$2,IF($C605="现金",$G$2,0)))+SUMIFS($I$5:$I605,$C$5:$C605,$C605)-SUMIFS($J$5:$J605,$C$5:$C605,$C605))</f>
        <v/>
      </c>
      <c r="L605" s="14" t="str">
        <f aca="false">IF($B605="","",$C$2+$E$2+$G$2+SUM($I$5:$I605)-SUM($J$5:$J605))</f>
        <v/>
      </c>
      <c r="M605" s="12"/>
      <c r="N605" s="15" t="str">
        <f aca="false">IF($B605="","",IF(NOT(ISNUMBER($B605)),"日期格式不对",IF($C605="","未选资金账户",IF(AND(N($I605)=0,N($J605)=0),"收支都为空",IF(AND(N($I605)&gt;0,N($J605)&gt;0),"收支不能同时填",IF(AND($D605&lt;&gt;"",LEFT($O605,1)="⚠"),"项目编号不存在",IF(AND($M605="是",$F605=""),"工程回款必须填往来单位","√")))))))</f>
        <v/>
      </c>
      <c r="O605" s="16" t="str">
        <f aca="false">IF($D605="","",IFERROR(INDEX(对照清单!$B$5:$B$60,MATCH($D605,对照清单!$A$5:$A$60,0)),"⚠编号不存在"))</f>
        <v/>
      </c>
      <c r="P605" s="10" t="str">
        <f aca="false">IF($B605="","",IF(ISNUMBER($B605),TEXT($B605,"yyyy-mm"),"日期非法"))</f>
        <v/>
      </c>
      <c r="Q605" s="10" t="str">
        <f aca="false">IF($B605="","",IF(ISNUMBER($B605),YEAR($B605),"日期非法"))</f>
        <v/>
      </c>
    </row>
    <row r="606" customFormat="false" ht="15.75" hidden="false" customHeight="true" outlineLevel="0" collapsed="false">
      <c r="A606" s="10" t="str">
        <f aca="false">IF($B606="","",ROW()-4)</f>
        <v/>
      </c>
      <c r="B606" s="11"/>
      <c r="C606" s="12"/>
      <c r="D606" s="12"/>
      <c r="E606" s="12"/>
      <c r="F606" s="12"/>
      <c r="G606" s="12"/>
      <c r="H606" s="13"/>
      <c r="I606" s="4"/>
      <c r="J606" s="4"/>
      <c r="K606" s="14" t="str">
        <f aca="false">IF($B606="","",IF($C606="泓普",$C$2,IF($C606="仟茂",$E$2,IF($C606="现金",$G$2,0)))+SUMIFS($I$5:$I606,$C$5:$C606,$C606)-SUMIFS($J$5:$J606,$C$5:$C606,$C606))</f>
        <v/>
      </c>
      <c r="L606" s="14" t="str">
        <f aca="false">IF($B606="","",$C$2+$E$2+$G$2+SUM($I$5:$I606)-SUM($J$5:$J606))</f>
        <v/>
      </c>
      <c r="M606" s="12"/>
      <c r="N606" s="15" t="str">
        <f aca="false">IF($B606="","",IF(NOT(ISNUMBER($B606)),"日期格式不对",IF($C606="","未选资金账户",IF(AND(N($I606)=0,N($J606)=0),"收支都为空",IF(AND(N($I606)&gt;0,N($J606)&gt;0),"收支不能同时填",IF(AND($D606&lt;&gt;"",LEFT($O606,1)="⚠"),"项目编号不存在",IF(AND($M606="是",$F606=""),"工程回款必须填往来单位","√")))))))</f>
        <v/>
      </c>
      <c r="O606" s="16" t="str">
        <f aca="false">IF($D606="","",IFERROR(INDEX(对照清单!$B$5:$B$60,MATCH($D606,对照清单!$A$5:$A$60,0)),"⚠编号不存在"))</f>
        <v/>
      </c>
      <c r="P606" s="10" t="str">
        <f aca="false">IF($B606="","",IF(ISNUMBER($B606),TEXT($B606,"yyyy-mm"),"日期非法"))</f>
        <v/>
      </c>
      <c r="Q606" s="10" t="str">
        <f aca="false">IF($B606="","",IF(ISNUMBER($B606),YEAR($B606),"日期非法"))</f>
        <v/>
      </c>
    </row>
    <row r="607" customFormat="false" ht="15.75" hidden="false" customHeight="true" outlineLevel="0" collapsed="false">
      <c r="A607" s="10" t="str">
        <f aca="false">IF($B607="","",ROW()-4)</f>
        <v/>
      </c>
      <c r="B607" s="11"/>
      <c r="C607" s="12"/>
      <c r="D607" s="12"/>
      <c r="E607" s="12"/>
      <c r="F607" s="12"/>
      <c r="G607" s="12"/>
      <c r="H607" s="13"/>
      <c r="I607" s="4"/>
      <c r="J607" s="4"/>
      <c r="K607" s="14" t="str">
        <f aca="false">IF($B607="","",IF($C607="泓普",$C$2,IF($C607="仟茂",$E$2,IF($C607="现金",$G$2,0)))+SUMIFS($I$5:$I607,$C$5:$C607,$C607)-SUMIFS($J$5:$J607,$C$5:$C607,$C607))</f>
        <v/>
      </c>
      <c r="L607" s="14" t="str">
        <f aca="false">IF($B607="","",$C$2+$E$2+$G$2+SUM($I$5:$I607)-SUM($J$5:$J607))</f>
        <v/>
      </c>
      <c r="M607" s="12"/>
      <c r="N607" s="15" t="str">
        <f aca="false">IF($B607="","",IF(NOT(ISNUMBER($B607)),"日期格式不对",IF($C607="","未选资金账户",IF(AND(N($I607)=0,N($J607)=0),"收支都为空",IF(AND(N($I607)&gt;0,N($J607)&gt;0),"收支不能同时填",IF(AND($D607&lt;&gt;"",LEFT($O607,1)="⚠"),"项目编号不存在",IF(AND($M607="是",$F607=""),"工程回款必须填往来单位","√")))))))</f>
        <v/>
      </c>
      <c r="O607" s="16" t="str">
        <f aca="false">IF($D607="","",IFERROR(INDEX(对照清单!$B$5:$B$60,MATCH($D607,对照清单!$A$5:$A$60,0)),"⚠编号不存在"))</f>
        <v/>
      </c>
      <c r="P607" s="10" t="str">
        <f aca="false">IF($B607="","",IF(ISNUMBER($B607),TEXT($B607,"yyyy-mm"),"日期非法"))</f>
        <v/>
      </c>
      <c r="Q607" s="10" t="str">
        <f aca="false">IF($B607="","",IF(ISNUMBER($B607),YEAR($B607),"日期非法"))</f>
        <v/>
      </c>
    </row>
    <row r="608" customFormat="false" ht="15.75" hidden="false" customHeight="true" outlineLevel="0" collapsed="false">
      <c r="A608" s="10" t="str">
        <f aca="false">IF($B608="","",ROW()-4)</f>
        <v/>
      </c>
      <c r="B608" s="11"/>
      <c r="C608" s="12"/>
      <c r="D608" s="12"/>
      <c r="E608" s="12"/>
      <c r="F608" s="12"/>
      <c r="G608" s="12"/>
      <c r="H608" s="13"/>
      <c r="I608" s="4"/>
      <c r="J608" s="4"/>
      <c r="K608" s="14" t="str">
        <f aca="false">IF($B608="","",IF($C608="泓普",$C$2,IF($C608="仟茂",$E$2,IF($C608="现金",$G$2,0)))+SUMIFS($I$5:$I608,$C$5:$C608,$C608)-SUMIFS($J$5:$J608,$C$5:$C608,$C608))</f>
        <v/>
      </c>
      <c r="L608" s="14" t="str">
        <f aca="false">IF($B608="","",$C$2+$E$2+$G$2+SUM($I$5:$I608)-SUM($J$5:$J608))</f>
        <v/>
      </c>
      <c r="M608" s="12"/>
      <c r="N608" s="15" t="str">
        <f aca="false">IF($B608="","",IF(NOT(ISNUMBER($B608)),"日期格式不对",IF($C608="","未选资金账户",IF(AND(N($I608)=0,N($J608)=0),"收支都为空",IF(AND(N($I608)&gt;0,N($J608)&gt;0),"收支不能同时填",IF(AND($D608&lt;&gt;"",LEFT($O608,1)="⚠"),"项目编号不存在",IF(AND($M608="是",$F608=""),"工程回款必须填往来单位","√")))))))</f>
        <v/>
      </c>
      <c r="O608" s="16" t="str">
        <f aca="false">IF($D608="","",IFERROR(INDEX(对照清单!$B$5:$B$60,MATCH($D608,对照清单!$A$5:$A$60,0)),"⚠编号不存在"))</f>
        <v/>
      </c>
      <c r="P608" s="10" t="str">
        <f aca="false">IF($B608="","",IF(ISNUMBER($B608),TEXT($B608,"yyyy-mm"),"日期非法"))</f>
        <v/>
      </c>
      <c r="Q608" s="10" t="str">
        <f aca="false">IF($B608="","",IF(ISNUMBER($B608),YEAR($B608),"日期非法"))</f>
        <v/>
      </c>
    </row>
    <row r="609" customFormat="false" ht="15.75" hidden="false" customHeight="true" outlineLevel="0" collapsed="false">
      <c r="A609" s="10" t="str">
        <f aca="false">IF($B609="","",ROW()-4)</f>
        <v/>
      </c>
      <c r="B609" s="11"/>
      <c r="C609" s="12"/>
      <c r="D609" s="12"/>
      <c r="E609" s="12"/>
      <c r="F609" s="12"/>
      <c r="G609" s="12"/>
      <c r="H609" s="13"/>
      <c r="I609" s="4"/>
      <c r="J609" s="4"/>
      <c r="K609" s="14" t="str">
        <f aca="false">IF($B609="","",IF($C609="泓普",$C$2,IF($C609="仟茂",$E$2,IF($C609="现金",$G$2,0)))+SUMIFS($I$5:$I609,$C$5:$C609,$C609)-SUMIFS($J$5:$J609,$C$5:$C609,$C609))</f>
        <v/>
      </c>
      <c r="L609" s="14" t="str">
        <f aca="false">IF($B609="","",$C$2+$E$2+$G$2+SUM($I$5:$I609)-SUM($J$5:$J609))</f>
        <v/>
      </c>
      <c r="M609" s="12"/>
      <c r="N609" s="15" t="str">
        <f aca="false">IF($B609="","",IF(NOT(ISNUMBER($B609)),"日期格式不对",IF($C609="","未选资金账户",IF(AND(N($I609)=0,N($J609)=0),"收支都为空",IF(AND(N($I609)&gt;0,N($J609)&gt;0),"收支不能同时填",IF(AND($D609&lt;&gt;"",LEFT($O609,1)="⚠"),"项目编号不存在",IF(AND($M609="是",$F609=""),"工程回款必须填往来单位","√")))))))</f>
        <v/>
      </c>
      <c r="O609" s="16" t="str">
        <f aca="false">IF($D609="","",IFERROR(INDEX(对照清单!$B$5:$B$60,MATCH($D609,对照清单!$A$5:$A$60,0)),"⚠编号不存在"))</f>
        <v/>
      </c>
      <c r="P609" s="10" t="str">
        <f aca="false">IF($B609="","",IF(ISNUMBER($B609),TEXT($B609,"yyyy-mm"),"日期非法"))</f>
        <v/>
      </c>
      <c r="Q609" s="10" t="str">
        <f aca="false">IF($B609="","",IF(ISNUMBER($B609),YEAR($B609),"日期非法"))</f>
        <v/>
      </c>
    </row>
    <row r="610" customFormat="false" ht="15.75" hidden="false" customHeight="true" outlineLevel="0" collapsed="false">
      <c r="A610" s="10" t="str">
        <f aca="false">IF($B610="","",ROW()-4)</f>
        <v/>
      </c>
      <c r="B610" s="11"/>
      <c r="C610" s="12"/>
      <c r="D610" s="12"/>
      <c r="E610" s="12"/>
      <c r="F610" s="12"/>
      <c r="G610" s="12"/>
      <c r="H610" s="13"/>
      <c r="I610" s="4"/>
      <c r="J610" s="4"/>
      <c r="K610" s="14" t="str">
        <f aca="false">IF($B610="","",IF($C610="泓普",$C$2,IF($C610="仟茂",$E$2,IF($C610="现金",$G$2,0)))+SUMIFS($I$5:$I610,$C$5:$C610,$C610)-SUMIFS($J$5:$J610,$C$5:$C610,$C610))</f>
        <v/>
      </c>
      <c r="L610" s="14" t="str">
        <f aca="false">IF($B610="","",$C$2+$E$2+$G$2+SUM($I$5:$I610)-SUM($J$5:$J610))</f>
        <v/>
      </c>
      <c r="M610" s="12"/>
      <c r="N610" s="15" t="str">
        <f aca="false">IF($B610="","",IF(NOT(ISNUMBER($B610)),"日期格式不对",IF($C610="","未选资金账户",IF(AND(N($I610)=0,N($J610)=0),"收支都为空",IF(AND(N($I610)&gt;0,N($J610)&gt;0),"收支不能同时填",IF(AND($D610&lt;&gt;"",LEFT($O610,1)="⚠"),"项目编号不存在",IF(AND($M610="是",$F610=""),"工程回款必须填往来单位","√")))))))</f>
        <v/>
      </c>
      <c r="O610" s="16" t="str">
        <f aca="false">IF($D610="","",IFERROR(INDEX(对照清单!$B$5:$B$60,MATCH($D610,对照清单!$A$5:$A$60,0)),"⚠编号不存在"))</f>
        <v/>
      </c>
      <c r="P610" s="10" t="str">
        <f aca="false">IF($B610="","",IF(ISNUMBER($B610),TEXT($B610,"yyyy-mm"),"日期非法"))</f>
        <v/>
      </c>
      <c r="Q610" s="10" t="str">
        <f aca="false">IF($B610="","",IF(ISNUMBER($B610),YEAR($B610),"日期非法"))</f>
        <v/>
      </c>
    </row>
    <row r="611" customFormat="false" ht="15.75" hidden="false" customHeight="true" outlineLevel="0" collapsed="false">
      <c r="A611" s="10" t="str">
        <f aca="false">IF($B611="","",ROW()-4)</f>
        <v/>
      </c>
      <c r="B611" s="11"/>
      <c r="C611" s="12"/>
      <c r="D611" s="12"/>
      <c r="E611" s="12"/>
      <c r="F611" s="12"/>
      <c r="G611" s="12"/>
      <c r="H611" s="13"/>
      <c r="I611" s="4"/>
      <c r="J611" s="4"/>
      <c r="K611" s="14" t="str">
        <f aca="false">IF($B611="","",IF($C611="泓普",$C$2,IF($C611="仟茂",$E$2,IF($C611="现金",$G$2,0)))+SUMIFS($I$5:$I611,$C$5:$C611,$C611)-SUMIFS($J$5:$J611,$C$5:$C611,$C611))</f>
        <v/>
      </c>
      <c r="L611" s="14" t="str">
        <f aca="false">IF($B611="","",$C$2+$E$2+$G$2+SUM($I$5:$I611)-SUM($J$5:$J611))</f>
        <v/>
      </c>
      <c r="M611" s="12"/>
      <c r="N611" s="15" t="str">
        <f aca="false">IF($B611="","",IF(NOT(ISNUMBER($B611)),"日期格式不对",IF($C611="","未选资金账户",IF(AND(N($I611)=0,N($J611)=0),"收支都为空",IF(AND(N($I611)&gt;0,N($J611)&gt;0),"收支不能同时填",IF(AND($D611&lt;&gt;"",LEFT($O611,1)="⚠"),"项目编号不存在",IF(AND($M611="是",$F611=""),"工程回款必须填往来单位","√")))))))</f>
        <v/>
      </c>
      <c r="O611" s="16" t="str">
        <f aca="false">IF($D611="","",IFERROR(INDEX(对照清单!$B$5:$B$60,MATCH($D611,对照清单!$A$5:$A$60,0)),"⚠编号不存在"))</f>
        <v/>
      </c>
      <c r="P611" s="10" t="str">
        <f aca="false">IF($B611="","",IF(ISNUMBER($B611),TEXT($B611,"yyyy-mm"),"日期非法"))</f>
        <v/>
      </c>
      <c r="Q611" s="10" t="str">
        <f aca="false">IF($B611="","",IF(ISNUMBER($B611),YEAR($B611),"日期非法"))</f>
        <v/>
      </c>
    </row>
    <row r="612" customFormat="false" ht="15.75" hidden="false" customHeight="true" outlineLevel="0" collapsed="false">
      <c r="A612" s="10" t="str">
        <f aca="false">IF($B612="","",ROW()-4)</f>
        <v/>
      </c>
      <c r="B612" s="11"/>
      <c r="C612" s="12"/>
      <c r="D612" s="12"/>
      <c r="E612" s="12"/>
      <c r="F612" s="12"/>
      <c r="G612" s="12"/>
      <c r="H612" s="13"/>
      <c r="I612" s="4"/>
      <c r="J612" s="4"/>
      <c r="K612" s="14" t="str">
        <f aca="false">IF($B612="","",IF($C612="泓普",$C$2,IF($C612="仟茂",$E$2,IF($C612="现金",$G$2,0)))+SUMIFS($I$5:$I612,$C$5:$C612,$C612)-SUMIFS($J$5:$J612,$C$5:$C612,$C612))</f>
        <v/>
      </c>
      <c r="L612" s="14" t="str">
        <f aca="false">IF($B612="","",$C$2+$E$2+$G$2+SUM($I$5:$I612)-SUM($J$5:$J612))</f>
        <v/>
      </c>
      <c r="M612" s="12"/>
      <c r="N612" s="15" t="str">
        <f aca="false">IF($B612="","",IF(NOT(ISNUMBER($B612)),"日期格式不对",IF($C612="","未选资金账户",IF(AND(N($I612)=0,N($J612)=0),"收支都为空",IF(AND(N($I612)&gt;0,N($J612)&gt;0),"收支不能同时填",IF(AND($D612&lt;&gt;"",LEFT($O612,1)="⚠"),"项目编号不存在",IF(AND($M612="是",$F612=""),"工程回款必须填往来单位","√")))))))</f>
        <v/>
      </c>
      <c r="O612" s="16" t="str">
        <f aca="false">IF($D612="","",IFERROR(INDEX(对照清单!$B$5:$B$60,MATCH($D612,对照清单!$A$5:$A$60,0)),"⚠编号不存在"))</f>
        <v/>
      </c>
      <c r="P612" s="10" t="str">
        <f aca="false">IF($B612="","",IF(ISNUMBER($B612),TEXT($B612,"yyyy-mm"),"日期非法"))</f>
        <v/>
      </c>
      <c r="Q612" s="10" t="str">
        <f aca="false">IF($B612="","",IF(ISNUMBER($B612),YEAR($B612),"日期非法"))</f>
        <v/>
      </c>
    </row>
    <row r="613" customFormat="false" ht="15.75" hidden="false" customHeight="true" outlineLevel="0" collapsed="false">
      <c r="A613" s="10" t="str">
        <f aca="false">IF($B613="","",ROW()-4)</f>
        <v/>
      </c>
      <c r="B613" s="11"/>
      <c r="C613" s="12"/>
      <c r="D613" s="12"/>
      <c r="E613" s="12"/>
      <c r="F613" s="12"/>
      <c r="G613" s="12"/>
      <c r="H613" s="13"/>
      <c r="I613" s="4"/>
      <c r="J613" s="4"/>
      <c r="K613" s="14" t="str">
        <f aca="false">IF($B613="","",IF($C613="泓普",$C$2,IF($C613="仟茂",$E$2,IF($C613="现金",$G$2,0)))+SUMIFS($I$5:$I613,$C$5:$C613,$C613)-SUMIFS($J$5:$J613,$C$5:$C613,$C613))</f>
        <v/>
      </c>
      <c r="L613" s="14" t="str">
        <f aca="false">IF($B613="","",$C$2+$E$2+$G$2+SUM($I$5:$I613)-SUM($J$5:$J613))</f>
        <v/>
      </c>
      <c r="M613" s="12"/>
      <c r="N613" s="15" t="str">
        <f aca="false">IF($B613="","",IF(NOT(ISNUMBER($B613)),"日期格式不对",IF($C613="","未选资金账户",IF(AND(N($I613)=0,N($J613)=0),"收支都为空",IF(AND(N($I613)&gt;0,N($J613)&gt;0),"收支不能同时填",IF(AND($D613&lt;&gt;"",LEFT($O613,1)="⚠"),"项目编号不存在",IF(AND($M613="是",$F613=""),"工程回款必须填往来单位","√")))))))</f>
        <v/>
      </c>
      <c r="O613" s="16" t="str">
        <f aca="false">IF($D613="","",IFERROR(INDEX(对照清单!$B$5:$B$60,MATCH($D613,对照清单!$A$5:$A$60,0)),"⚠编号不存在"))</f>
        <v/>
      </c>
      <c r="P613" s="10" t="str">
        <f aca="false">IF($B613="","",IF(ISNUMBER($B613),TEXT($B613,"yyyy-mm"),"日期非法"))</f>
        <v/>
      </c>
      <c r="Q613" s="10" t="str">
        <f aca="false">IF($B613="","",IF(ISNUMBER($B613),YEAR($B613),"日期非法"))</f>
        <v/>
      </c>
    </row>
    <row r="614" customFormat="false" ht="15.75" hidden="false" customHeight="true" outlineLevel="0" collapsed="false">
      <c r="A614" s="10" t="str">
        <f aca="false">IF($B614="","",ROW()-4)</f>
        <v/>
      </c>
      <c r="B614" s="11"/>
      <c r="C614" s="12"/>
      <c r="D614" s="12"/>
      <c r="E614" s="12"/>
      <c r="F614" s="12"/>
      <c r="G614" s="12"/>
      <c r="H614" s="13"/>
      <c r="I614" s="4"/>
      <c r="J614" s="4"/>
      <c r="K614" s="14" t="str">
        <f aca="false">IF($B614="","",IF($C614="泓普",$C$2,IF($C614="仟茂",$E$2,IF($C614="现金",$G$2,0)))+SUMIFS($I$5:$I614,$C$5:$C614,$C614)-SUMIFS($J$5:$J614,$C$5:$C614,$C614))</f>
        <v/>
      </c>
      <c r="L614" s="14" t="str">
        <f aca="false">IF($B614="","",$C$2+$E$2+$G$2+SUM($I$5:$I614)-SUM($J$5:$J614))</f>
        <v/>
      </c>
      <c r="M614" s="12"/>
      <c r="N614" s="15" t="str">
        <f aca="false">IF($B614="","",IF(NOT(ISNUMBER($B614)),"日期格式不对",IF($C614="","未选资金账户",IF(AND(N($I614)=0,N($J614)=0),"收支都为空",IF(AND(N($I614)&gt;0,N($J614)&gt;0),"收支不能同时填",IF(AND($D614&lt;&gt;"",LEFT($O614,1)="⚠"),"项目编号不存在",IF(AND($M614="是",$F614=""),"工程回款必须填往来单位","√")))))))</f>
        <v/>
      </c>
      <c r="O614" s="16" t="str">
        <f aca="false">IF($D614="","",IFERROR(INDEX(对照清单!$B$5:$B$60,MATCH($D614,对照清单!$A$5:$A$60,0)),"⚠编号不存在"))</f>
        <v/>
      </c>
      <c r="P614" s="10" t="str">
        <f aca="false">IF($B614="","",IF(ISNUMBER($B614),TEXT($B614,"yyyy-mm"),"日期非法"))</f>
        <v/>
      </c>
      <c r="Q614" s="10" t="str">
        <f aca="false">IF($B614="","",IF(ISNUMBER($B614),YEAR($B614),"日期非法"))</f>
        <v/>
      </c>
    </row>
    <row r="615" customFormat="false" ht="15.75" hidden="false" customHeight="true" outlineLevel="0" collapsed="false">
      <c r="A615" s="10" t="str">
        <f aca="false">IF($B615="","",ROW()-4)</f>
        <v/>
      </c>
      <c r="B615" s="11"/>
      <c r="C615" s="12"/>
      <c r="D615" s="12"/>
      <c r="E615" s="12"/>
      <c r="F615" s="12"/>
      <c r="G615" s="12"/>
      <c r="H615" s="13"/>
      <c r="I615" s="4"/>
      <c r="J615" s="4"/>
      <c r="K615" s="14" t="str">
        <f aca="false">IF($B615="","",IF($C615="泓普",$C$2,IF($C615="仟茂",$E$2,IF($C615="现金",$G$2,0)))+SUMIFS($I$5:$I615,$C$5:$C615,$C615)-SUMIFS($J$5:$J615,$C$5:$C615,$C615))</f>
        <v/>
      </c>
      <c r="L615" s="14" t="str">
        <f aca="false">IF($B615="","",$C$2+$E$2+$G$2+SUM($I$5:$I615)-SUM($J$5:$J615))</f>
        <v/>
      </c>
      <c r="M615" s="12"/>
      <c r="N615" s="15" t="str">
        <f aca="false">IF($B615="","",IF(NOT(ISNUMBER($B615)),"日期格式不对",IF($C615="","未选资金账户",IF(AND(N($I615)=0,N($J615)=0),"收支都为空",IF(AND(N($I615)&gt;0,N($J615)&gt;0),"收支不能同时填",IF(AND($D615&lt;&gt;"",LEFT($O615,1)="⚠"),"项目编号不存在",IF(AND($M615="是",$F615=""),"工程回款必须填往来单位","√")))))))</f>
        <v/>
      </c>
      <c r="O615" s="16" t="str">
        <f aca="false">IF($D615="","",IFERROR(INDEX(对照清单!$B$5:$B$60,MATCH($D615,对照清单!$A$5:$A$60,0)),"⚠编号不存在"))</f>
        <v/>
      </c>
      <c r="P615" s="10" t="str">
        <f aca="false">IF($B615="","",IF(ISNUMBER($B615),TEXT($B615,"yyyy-mm"),"日期非法"))</f>
        <v/>
      </c>
      <c r="Q615" s="10" t="str">
        <f aca="false">IF($B615="","",IF(ISNUMBER($B615),YEAR($B615),"日期非法"))</f>
        <v/>
      </c>
    </row>
    <row r="616" customFormat="false" ht="15.75" hidden="false" customHeight="true" outlineLevel="0" collapsed="false">
      <c r="A616" s="10" t="str">
        <f aca="false">IF($B616="","",ROW()-4)</f>
        <v/>
      </c>
      <c r="B616" s="11"/>
      <c r="C616" s="12"/>
      <c r="D616" s="12"/>
      <c r="E616" s="12"/>
      <c r="F616" s="12"/>
      <c r="G616" s="12"/>
      <c r="H616" s="13"/>
      <c r="I616" s="4"/>
      <c r="J616" s="4"/>
      <c r="K616" s="14" t="str">
        <f aca="false">IF($B616="","",IF($C616="泓普",$C$2,IF($C616="仟茂",$E$2,IF($C616="现金",$G$2,0)))+SUMIFS($I$5:$I616,$C$5:$C616,$C616)-SUMIFS($J$5:$J616,$C$5:$C616,$C616))</f>
        <v/>
      </c>
      <c r="L616" s="14" t="str">
        <f aca="false">IF($B616="","",$C$2+$E$2+$G$2+SUM($I$5:$I616)-SUM($J$5:$J616))</f>
        <v/>
      </c>
      <c r="M616" s="12"/>
      <c r="N616" s="15" t="str">
        <f aca="false">IF($B616="","",IF(NOT(ISNUMBER($B616)),"日期格式不对",IF($C616="","未选资金账户",IF(AND(N($I616)=0,N($J616)=0),"收支都为空",IF(AND(N($I616)&gt;0,N($J616)&gt;0),"收支不能同时填",IF(AND($D616&lt;&gt;"",LEFT($O616,1)="⚠"),"项目编号不存在",IF(AND($M616="是",$F616=""),"工程回款必须填往来单位","√")))))))</f>
        <v/>
      </c>
      <c r="O616" s="16" t="str">
        <f aca="false">IF($D616="","",IFERROR(INDEX(对照清单!$B$5:$B$60,MATCH($D616,对照清单!$A$5:$A$60,0)),"⚠编号不存在"))</f>
        <v/>
      </c>
      <c r="P616" s="10" t="str">
        <f aca="false">IF($B616="","",IF(ISNUMBER($B616),TEXT($B616,"yyyy-mm"),"日期非法"))</f>
        <v/>
      </c>
      <c r="Q616" s="10" t="str">
        <f aca="false">IF($B616="","",IF(ISNUMBER($B616),YEAR($B616),"日期非法"))</f>
        <v/>
      </c>
    </row>
    <row r="617" customFormat="false" ht="15.75" hidden="false" customHeight="true" outlineLevel="0" collapsed="false">
      <c r="A617" s="10" t="str">
        <f aca="false">IF($B617="","",ROW()-4)</f>
        <v/>
      </c>
      <c r="B617" s="11"/>
      <c r="C617" s="12"/>
      <c r="D617" s="12"/>
      <c r="E617" s="12"/>
      <c r="F617" s="12"/>
      <c r="G617" s="12"/>
      <c r="H617" s="13"/>
      <c r="I617" s="4"/>
      <c r="J617" s="4"/>
      <c r="K617" s="14" t="str">
        <f aca="false">IF($B617="","",IF($C617="泓普",$C$2,IF($C617="仟茂",$E$2,IF($C617="现金",$G$2,0)))+SUMIFS($I$5:$I617,$C$5:$C617,$C617)-SUMIFS($J$5:$J617,$C$5:$C617,$C617))</f>
        <v/>
      </c>
      <c r="L617" s="14" t="str">
        <f aca="false">IF($B617="","",$C$2+$E$2+$G$2+SUM($I$5:$I617)-SUM($J$5:$J617))</f>
        <v/>
      </c>
      <c r="M617" s="12"/>
      <c r="N617" s="15" t="str">
        <f aca="false">IF($B617="","",IF(NOT(ISNUMBER($B617)),"日期格式不对",IF($C617="","未选资金账户",IF(AND(N($I617)=0,N($J617)=0),"收支都为空",IF(AND(N($I617)&gt;0,N($J617)&gt;0),"收支不能同时填",IF(AND($D617&lt;&gt;"",LEFT($O617,1)="⚠"),"项目编号不存在",IF(AND($M617="是",$F617=""),"工程回款必须填往来单位","√")))))))</f>
        <v/>
      </c>
      <c r="O617" s="16" t="str">
        <f aca="false">IF($D617="","",IFERROR(INDEX(对照清单!$B$5:$B$60,MATCH($D617,对照清单!$A$5:$A$60,0)),"⚠编号不存在"))</f>
        <v/>
      </c>
      <c r="P617" s="10" t="str">
        <f aca="false">IF($B617="","",IF(ISNUMBER($B617),TEXT($B617,"yyyy-mm"),"日期非法"))</f>
        <v/>
      </c>
      <c r="Q617" s="10" t="str">
        <f aca="false">IF($B617="","",IF(ISNUMBER($B617),YEAR($B617),"日期非法"))</f>
        <v/>
      </c>
    </row>
    <row r="618" customFormat="false" ht="15.75" hidden="false" customHeight="true" outlineLevel="0" collapsed="false">
      <c r="A618" s="10" t="str">
        <f aca="false">IF($B618="","",ROW()-4)</f>
        <v/>
      </c>
      <c r="B618" s="11"/>
      <c r="C618" s="12"/>
      <c r="D618" s="12"/>
      <c r="E618" s="12"/>
      <c r="F618" s="12"/>
      <c r="G618" s="12"/>
      <c r="H618" s="13"/>
      <c r="I618" s="4"/>
      <c r="J618" s="4"/>
      <c r="K618" s="14" t="str">
        <f aca="false">IF($B618="","",IF($C618="泓普",$C$2,IF($C618="仟茂",$E$2,IF($C618="现金",$G$2,0)))+SUMIFS($I$5:$I618,$C$5:$C618,$C618)-SUMIFS($J$5:$J618,$C$5:$C618,$C618))</f>
        <v/>
      </c>
      <c r="L618" s="14" t="str">
        <f aca="false">IF($B618="","",$C$2+$E$2+$G$2+SUM($I$5:$I618)-SUM($J$5:$J618))</f>
        <v/>
      </c>
      <c r="M618" s="12"/>
      <c r="N618" s="15" t="str">
        <f aca="false">IF($B618="","",IF(NOT(ISNUMBER($B618)),"日期格式不对",IF($C618="","未选资金账户",IF(AND(N($I618)=0,N($J618)=0),"收支都为空",IF(AND(N($I618)&gt;0,N($J618)&gt;0),"收支不能同时填",IF(AND($D618&lt;&gt;"",LEFT($O618,1)="⚠"),"项目编号不存在",IF(AND($M618="是",$F618=""),"工程回款必须填往来单位","√")))))))</f>
        <v/>
      </c>
      <c r="O618" s="16" t="str">
        <f aca="false">IF($D618="","",IFERROR(INDEX(对照清单!$B$5:$B$60,MATCH($D618,对照清单!$A$5:$A$60,0)),"⚠编号不存在"))</f>
        <v/>
      </c>
      <c r="P618" s="10" t="str">
        <f aca="false">IF($B618="","",IF(ISNUMBER($B618),TEXT($B618,"yyyy-mm"),"日期非法"))</f>
        <v/>
      </c>
      <c r="Q618" s="10" t="str">
        <f aca="false">IF($B618="","",IF(ISNUMBER($B618),YEAR($B618),"日期非法"))</f>
        <v/>
      </c>
    </row>
    <row r="619" customFormat="false" ht="15.75" hidden="false" customHeight="true" outlineLevel="0" collapsed="false">
      <c r="A619" s="10" t="str">
        <f aca="false">IF($B619="","",ROW()-4)</f>
        <v/>
      </c>
      <c r="B619" s="11"/>
      <c r="C619" s="12"/>
      <c r="D619" s="12"/>
      <c r="E619" s="12"/>
      <c r="F619" s="12"/>
      <c r="G619" s="12"/>
      <c r="H619" s="13"/>
      <c r="I619" s="4"/>
      <c r="J619" s="4"/>
      <c r="K619" s="14" t="str">
        <f aca="false">IF($B619="","",IF($C619="泓普",$C$2,IF($C619="仟茂",$E$2,IF($C619="现金",$G$2,0)))+SUMIFS($I$5:$I619,$C$5:$C619,$C619)-SUMIFS($J$5:$J619,$C$5:$C619,$C619))</f>
        <v/>
      </c>
      <c r="L619" s="14" t="str">
        <f aca="false">IF($B619="","",$C$2+$E$2+$G$2+SUM($I$5:$I619)-SUM($J$5:$J619))</f>
        <v/>
      </c>
      <c r="M619" s="12"/>
      <c r="N619" s="15" t="str">
        <f aca="false">IF($B619="","",IF(NOT(ISNUMBER($B619)),"日期格式不对",IF($C619="","未选资金账户",IF(AND(N($I619)=0,N($J619)=0),"收支都为空",IF(AND(N($I619)&gt;0,N($J619)&gt;0),"收支不能同时填",IF(AND($D619&lt;&gt;"",LEFT($O619,1)="⚠"),"项目编号不存在",IF(AND($M619="是",$F619=""),"工程回款必须填往来单位","√")))))))</f>
        <v/>
      </c>
      <c r="O619" s="16" t="str">
        <f aca="false">IF($D619="","",IFERROR(INDEX(对照清单!$B$5:$B$60,MATCH($D619,对照清单!$A$5:$A$60,0)),"⚠编号不存在"))</f>
        <v/>
      </c>
      <c r="P619" s="10" t="str">
        <f aca="false">IF($B619="","",IF(ISNUMBER($B619),TEXT($B619,"yyyy-mm"),"日期非法"))</f>
        <v/>
      </c>
      <c r="Q619" s="10" t="str">
        <f aca="false">IF($B619="","",IF(ISNUMBER($B619),YEAR($B619),"日期非法"))</f>
        <v/>
      </c>
    </row>
    <row r="620" customFormat="false" ht="15.75" hidden="false" customHeight="true" outlineLevel="0" collapsed="false">
      <c r="A620" s="10" t="str">
        <f aca="false">IF($B620="","",ROW()-4)</f>
        <v/>
      </c>
      <c r="B620" s="11"/>
      <c r="C620" s="12"/>
      <c r="D620" s="12"/>
      <c r="E620" s="12"/>
      <c r="F620" s="12"/>
      <c r="G620" s="12"/>
      <c r="H620" s="13"/>
      <c r="I620" s="4"/>
      <c r="J620" s="4"/>
      <c r="K620" s="14" t="str">
        <f aca="false">IF($B620="","",IF($C620="泓普",$C$2,IF($C620="仟茂",$E$2,IF($C620="现金",$G$2,0)))+SUMIFS($I$5:$I620,$C$5:$C620,$C620)-SUMIFS($J$5:$J620,$C$5:$C620,$C620))</f>
        <v/>
      </c>
      <c r="L620" s="14" t="str">
        <f aca="false">IF($B620="","",$C$2+$E$2+$G$2+SUM($I$5:$I620)-SUM($J$5:$J620))</f>
        <v/>
      </c>
      <c r="M620" s="12"/>
      <c r="N620" s="15" t="str">
        <f aca="false">IF($B620="","",IF(NOT(ISNUMBER($B620)),"日期格式不对",IF($C620="","未选资金账户",IF(AND(N($I620)=0,N($J620)=0),"收支都为空",IF(AND(N($I620)&gt;0,N($J620)&gt;0),"收支不能同时填",IF(AND($D620&lt;&gt;"",LEFT($O620,1)="⚠"),"项目编号不存在",IF(AND($M620="是",$F620=""),"工程回款必须填往来单位","√")))))))</f>
        <v/>
      </c>
      <c r="O620" s="16" t="str">
        <f aca="false">IF($D620="","",IFERROR(INDEX(对照清单!$B$5:$B$60,MATCH($D620,对照清单!$A$5:$A$60,0)),"⚠编号不存在"))</f>
        <v/>
      </c>
      <c r="P620" s="10" t="str">
        <f aca="false">IF($B620="","",IF(ISNUMBER($B620),TEXT($B620,"yyyy-mm"),"日期非法"))</f>
        <v/>
      </c>
      <c r="Q620" s="10" t="str">
        <f aca="false">IF($B620="","",IF(ISNUMBER($B620),YEAR($B620),"日期非法"))</f>
        <v/>
      </c>
    </row>
    <row r="621" customFormat="false" ht="15.75" hidden="false" customHeight="true" outlineLevel="0" collapsed="false">
      <c r="A621" s="10" t="str">
        <f aca="false">IF($B621="","",ROW()-4)</f>
        <v/>
      </c>
      <c r="B621" s="11"/>
      <c r="C621" s="12"/>
      <c r="D621" s="12"/>
      <c r="E621" s="12"/>
      <c r="F621" s="12"/>
      <c r="G621" s="12"/>
      <c r="H621" s="13"/>
      <c r="I621" s="4"/>
      <c r="J621" s="4"/>
      <c r="K621" s="14" t="str">
        <f aca="false">IF($B621="","",IF($C621="泓普",$C$2,IF($C621="仟茂",$E$2,IF($C621="现金",$G$2,0)))+SUMIFS($I$5:$I621,$C$5:$C621,$C621)-SUMIFS($J$5:$J621,$C$5:$C621,$C621))</f>
        <v/>
      </c>
      <c r="L621" s="14" t="str">
        <f aca="false">IF($B621="","",$C$2+$E$2+$G$2+SUM($I$5:$I621)-SUM($J$5:$J621))</f>
        <v/>
      </c>
      <c r="M621" s="12"/>
      <c r="N621" s="15" t="str">
        <f aca="false">IF($B621="","",IF(NOT(ISNUMBER($B621)),"日期格式不对",IF($C621="","未选资金账户",IF(AND(N($I621)=0,N($J621)=0),"收支都为空",IF(AND(N($I621)&gt;0,N($J621)&gt;0),"收支不能同时填",IF(AND($D621&lt;&gt;"",LEFT($O621,1)="⚠"),"项目编号不存在",IF(AND($M621="是",$F621=""),"工程回款必须填往来单位","√")))))))</f>
        <v/>
      </c>
      <c r="O621" s="16" t="str">
        <f aca="false">IF($D621="","",IFERROR(INDEX(对照清单!$B$5:$B$60,MATCH($D621,对照清单!$A$5:$A$60,0)),"⚠编号不存在"))</f>
        <v/>
      </c>
      <c r="P621" s="10" t="str">
        <f aca="false">IF($B621="","",IF(ISNUMBER($B621),TEXT($B621,"yyyy-mm"),"日期非法"))</f>
        <v/>
      </c>
      <c r="Q621" s="10" t="str">
        <f aca="false">IF($B621="","",IF(ISNUMBER($B621),YEAR($B621),"日期非法"))</f>
        <v/>
      </c>
    </row>
    <row r="622" customFormat="false" ht="15.75" hidden="false" customHeight="true" outlineLevel="0" collapsed="false">
      <c r="A622" s="10" t="str">
        <f aca="false">IF($B622="","",ROW()-4)</f>
        <v/>
      </c>
      <c r="B622" s="11"/>
      <c r="C622" s="12"/>
      <c r="D622" s="12"/>
      <c r="E622" s="12"/>
      <c r="F622" s="12"/>
      <c r="G622" s="12"/>
      <c r="H622" s="13"/>
      <c r="I622" s="4"/>
      <c r="J622" s="4"/>
      <c r="K622" s="14" t="str">
        <f aca="false">IF($B622="","",IF($C622="泓普",$C$2,IF($C622="仟茂",$E$2,IF($C622="现金",$G$2,0)))+SUMIFS($I$5:$I622,$C$5:$C622,$C622)-SUMIFS($J$5:$J622,$C$5:$C622,$C622))</f>
        <v/>
      </c>
      <c r="L622" s="14" t="str">
        <f aca="false">IF($B622="","",$C$2+$E$2+$G$2+SUM($I$5:$I622)-SUM($J$5:$J622))</f>
        <v/>
      </c>
      <c r="M622" s="12"/>
      <c r="N622" s="15" t="str">
        <f aca="false">IF($B622="","",IF(NOT(ISNUMBER($B622)),"日期格式不对",IF($C622="","未选资金账户",IF(AND(N($I622)=0,N($J622)=0),"收支都为空",IF(AND(N($I622)&gt;0,N($J622)&gt;0),"收支不能同时填",IF(AND($D622&lt;&gt;"",LEFT($O622,1)="⚠"),"项目编号不存在",IF(AND($M622="是",$F622=""),"工程回款必须填往来单位","√")))))))</f>
        <v/>
      </c>
      <c r="O622" s="16" t="str">
        <f aca="false">IF($D622="","",IFERROR(INDEX(对照清单!$B$5:$B$60,MATCH($D622,对照清单!$A$5:$A$60,0)),"⚠编号不存在"))</f>
        <v/>
      </c>
      <c r="P622" s="10" t="str">
        <f aca="false">IF($B622="","",IF(ISNUMBER($B622),TEXT($B622,"yyyy-mm"),"日期非法"))</f>
        <v/>
      </c>
      <c r="Q622" s="10" t="str">
        <f aca="false">IF($B622="","",IF(ISNUMBER($B622),YEAR($B622),"日期非法"))</f>
        <v/>
      </c>
    </row>
    <row r="623" customFormat="false" ht="15.75" hidden="false" customHeight="true" outlineLevel="0" collapsed="false">
      <c r="A623" s="10" t="str">
        <f aca="false">IF($B623="","",ROW()-4)</f>
        <v/>
      </c>
      <c r="B623" s="11"/>
      <c r="C623" s="12"/>
      <c r="D623" s="12"/>
      <c r="E623" s="12"/>
      <c r="F623" s="12"/>
      <c r="G623" s="12"/>
      <c r="H623" s="13"/>
      <c r="I623" s="4"/>
      <c r="J623" s="4"/>
      <c r="K623" s="14" t="str">
        <f aca="false">IF($B623="","",IF($C623="泓普",$C$2,IF($C623="仟茂",$E$2,IF($C623="现金",$G$2,0)))+SUMIFS($I$5:$I623,$C$5:$C623,$C623)-SUMIFS($J$5:$J623,$C$5:$C623,$C623))</f>
        <v/>
      </c>
      <c r="L623" s="14" t="str">
        <f aca="false">IF($B623="","",$C$2+$E$2+$G$2+SUM($I$5:$I623)-SUM($J$5:$J623))</f>
        <v/>
      </c>
      <c r="M623" s="12"/>
      <c r="N623" s="15" t="str">
        <f aca="false">IF($B623="","",IF(NOT(ISNUMBER($B623)),"日期格式不对",IF($C623="","未选资金账户",IF(AND(N($I623)=0,N($J623)=0),"收支都为空",IF(AND(N($I623)&gt;0,N($J623)&gt;0),"收支不能同时填",IF(AND($D623&lt;&gt;"",LEFT($O623,1)="⚠"),"项目编号不存在",IF(AND($M623="是",$F623=""),"工程回款必须填往来单位","√")))))))</f>
        <v/>
      </c>
      <c r="O623" s="16" t="str">
        <f aca="false">IF($D623="","",IFERROR(INDEX(对照清单!$B$5:$B$60,MATCH($D623,对照清单!$A$5:$A$60,0)),"⚠编号不存在"))</f>
        <v/>
      </c>
      <c r="P623" s="10" t="str">
        <f aca="false">IF($B623="","",IF(ISNUMBER($B623),TEXT($B623,"yyyy-mm"),"日期非法"))</f>
        <v/>
      </c>
      <c r="Q623" s="10" t="str">
        <f aca="false">IF($B623="","",IF(ISNUMBER($B623),YEAR($B623),"日期非法"))</f>
        <v/>
      </c>
    </row>
    <row r="624" customFormat="false" ht="15.75" hidden="false" customHeight="true" outlineLevel="0" collapsed="false">
      <c r="A624" s="10" t="str">
        <f aca="false">IF($B624="","",ROW()-4)</f>
        <v/>
      </c>
      <c r="B624" s="11"/>
      <c r="C624" s="12"/>
      <c r="D624" s="12"/>
      <c r="E624" s="12"/>
      <c r="F624" s="12"/>
      <c r="G624" s="12"/>
      <c r="H624" s="13"/>
      <c r="I624" s="4"/>
      <c r="J624" s="4"/>
      <c r="K624" s="14" t="str">
        <f aca="false">IF($B624="","",IF($C624="泓普",$C$2,IF($C624="仟茂",$E$2,IF($C624="现金",$G$2,0)))+SUMIFS($I$5:$I624,$C$5:$C624,$C624)-SUMIFS($J$5:$J624,$C$5:$C624,$C624))</f>
        <v/>
      </c>
      <c r="L624" s="14" t="str">
        <f aca="false">IF($B624="","",$C$2+$E$2+$G$2+SUM($I$5:$I624)-SUM($J$5:$J624))</f>
        <v/>
      </c>
      <c r="M624" s="12"/>
      <c r="N624" s="15" t="str">
        <f aca="false">IF($B624="","",IF(NOT(ISNUMBER($B624)),"日期格式不对",IF($C624="","未选资金账户",IF(AND(N($I624)=0,N($J624)=0),"收支都为空",IF(AND(N($I624)&gt;0,N($J624)&gt;0),"收支不能同时填",IF(AND($D624&lt;&gt;"",LEFT($O624,1)="⚠"),"项目编号不存在",IF(AND($M624="是",$F624=""),"工程回款必须填往来单位","√")))))))</f>
        <v/>
      </c>
      <c r="O624" s="16" t="str">
        <f aca="false">IF($D624="","",IFERROR(INDEX(对照清单!$B$5:$B$60,MATCH($D624,对照清单!$A$5:$A$60,0)),"⚠编号不存在"))</f>
        <v/>
      </c>
      <c r="P624" s="10" t="str">
        <f aca="false">IF($B624="","",IF(ISNUMBER($B624),TEXT($B624,"yyyy-mm"),"日期非法"))</f>
        <v/>
      </c>
      <c r="Q624" s="10" t="str">
        <f aca="false">IF($B624="","",IF(ISNUMBER($B624),YEAR($B624),"日期非法"))</f>
        <v/>
      </c>
    </row>
    <row r="625" customFormat="false" ht="15.75" hidden="false" customHeight="true" outlineLevel="0" collapsed="false">
      <c r="A625" s="10" t="str">
        <f aca="false">IF($B625="","",ROW()-4)</f>
        <v/>
      </c>
      <c r="B625" s="11"/>
      <c r="C625" s="12"/>
      <c r="D625" s="12"/>
      <c r="E625" s="12"/>
      <c r="F625" s="12"/>
      <c r="G625" s="12"/>
      <c r="H625" s="13"/>
      <c r="I625" s="4"/>
      <c r="J625" s="4"/>
      <c r="K625" s="14" t="str">
        <f aca="false">IF($B625="","",IF($C625="泓普",$C$2,IF($C625="仟茂",$E$2,IF($C625="现金",$G$2,0)))+SUMIFS($I$5:$I625,$C$5:$C625,$C625)-SUMIFS($J$5:$J625,$C$5:$C625,$C625))</f>
        <v/>
      </c>
      <c r="L625" s="14" t="str">
        <f aca="false">IF($B625="","",$C$2+$E$2+$G$2+SUM($I$5:$I625)-SUM($J$5:$J625))</f>
        <v/>
      </c>
      <c r="M625" s="12"/>
      <c r="N625" s="15" t="str">
        <f aca="false">IF($B625="","",IF(NOT(ISNUMBER($B625)),"日期格式不对",IF($C625="","未选资金账户",IF(AND(N($I625)=0,N($J625)=0),"收支都为空",IF(AND(N($I625)&gt;0,N($J625)&gt;0),"收支不能同时填",IF(AND($D625&lt;&gt;"",LEFT($O625,1)="⚠"),"项目编号不存在",IF(AND($M625="是",$F625=""),"工程回款必须填往来单位","√")))))))</f>
        <v/>
      </c>
      <c r="O625" s="16" t="str">
        <f aca="false">IF($D625="","",IFERROR(INDEX(对照清单!$B$5:$B$60,MATCH($D625,对照清单!$A$5:$A$60,0)),"⚠编号不存在"))</f>
        <v/>
      </c>
      <c r="P625" s="10" t="str">
        <f aca="false">IF($B625="","",IF(ISNUMBER($B625),TEXT($B625,"yyyy-mm"),"日期非法"))</f>
        <v/>
      </c>
      <c r="Q625" s="10" t="str">
        <f aca="false">IF($B625="","",IF(ISNUMBER($B625),YEAR($B625),"日期非法"))</f>
        <v/>
      </c>
    </row>
    <row r="626" customFormat="false" ht="15.75" hidden="false" customHeight="true" outlineLevel="0" collapsed="false">
      <c r="A626" s="10" t="str">
        <f aca="false">IF($B626="","",ROW()-4)</f>
        <v/>
      </c>
      <c r="B626" s="11"/>
      <c r="C626" s="12"/>
      <c r="D626" s="12"/>
      <c r="E626" s="12"/>
      <c r="F626" s="12"/>
      <c r="G626" s="12"/>
      <c r="H626" s="13"/>
      <c r="I626" s="4"/>
      <c r="J626" s="4"/>
      <c r="K626" s="14" t="str">
        <f aca="false">IF($B626="","",IF($C626="泓普",$C$2,IF($C626="仟茂",$E$2,IF($C626="现金",$G$2,0)))+SUMIFS($I$5:$I626,$C$5:$C626,$C626)-SUMIFS($J$5:$J626,$C$5:$C626,$C626))</f>
        <v/>
      </c>
      <c r="L626" s="14" t="str">
        <f aca="false">IF($B626="","",$C$2+$E$2+$G$2+SUM($I$5:$I626)-SUM($J$5:$J626))</f>
        <v/>
      </c>
      <c r="M626" s="12"/>
      <c r="N626" s="15" t="str">
        <f aca="false">IF($B626="","",IF(NOT(ISNUMBER($B626)),"日期格式不对",IF($C626="","未选资金账户",IF(AND(N($I626)=0,N($J626)=0),"收支都为空",IF(AND(N($I626)&gt;0,N($J626)&gt;0),"收支不能同时填",IF(AND($D626&lt;&gt;"",LEFT($O626,1)="⚠"),"项目编号不存在",IF(AND($M626="是",$F626=""),"工程回款必须填往来单位","√")))))))</f>
        <v/>
      </c>
      <c r="O626" s="16" t="str">
        <f aca="false">IF($D626="","",IFERROR(INDEX(对照清单!$B$5:$B$60,MATCH($D626,对照清单!$A$5:$A$60,0)),"⚠编号不存在"))</f>
        <v/>
      </c>
      <c r="P626" s="10" t="str">
        <f aca="false">IF($B626="","",IF(ISNUMBER($B626),TEXT($B626,"yyyy-mm"),"日期非法"))</f>
        <v/>
      </c>
      <c r="Q626" s="10" t="str">
        <f aca="false">IF($B626="","",IF(ISNUMBER($B626),YEAR($B626),"日期非法"))</f>
        <v/>
      </c>
    </row>
    <row r="627" customFormat="false" ht="15.75" hidden="false" customHeight="true" outlineLevel="0" collapsed="false">
      <c r="A627" s="10" t="str">
        <f aca="false">IF($B627="","",ROW()-4)</f>
        <v/>
      </c>
      <c r="B627" s="11"/>
      <c r="C627" s="12"/>
      <c r="D627" s="12"/>
      <c r="E627" s="12"/>
      <c r="F627" s="12"/>
      <c r="G627" s="12"/>
      <c r="H627" s="13"/>
      <c r="I627" s="4"/>
      <c r="J627" s="4"/>
      <c r="K627" s="14" t="str">
        <f aca="false">IF($B627="","",IF($C627="泓普",$C$2,IF($C627="仟茂",$E$2,IF($C627="现金",$G$2,0)))+SUMIFS($I$5:$I627,$C$5:$C627,$C627)-SUMIFS($J$5:$J627,$C$5:$C627,$C627))</f>
        <v/>
      </c>
      <c r="L627" s="14" t="str">
        <f aca="false">IF($B627="","",$C$2+$E$2+$G$2+SUM($I$5:$I627)-SUM($J$5:$J627))</f>
        <v/>
      </c>
      <c r="M627" s="12"/>
      <c r="N627" s="15" t="str">
        <f aca="false">IF($B627="","",IF(NOT(ISNUMBER($B627)),"日期格式不对",IF($C627="","未选资金账户",IF(AND(N($I627)=0,N($J627)=0),"收支都为空",IF(AND(N($I627)&gt;0,N($J627)&gt;0),"收支不能同时填",IF(AND($D627&lt;&gt;"",LEFT($O627,1)="⚠"),"项目编号不存在",IF(AND($M627="是",$F627=""),"工程回款必须填往来单位","√")))))))</f>
        <v/>
      </c>
      <c r="O627" s="16" t="str">
        <f aca="false">IF($D627="","",IFERROR(INDEX(对照清单!$B$5:$B$60,MATCH($D627,对照清单!$A$5:$A$60,0)),"⚠编号不存在"))</f>
        <v/>
      </c>
      <c r="P627" s="10" t="str">
        <f aca="false">IF($B627="","",IF(ISNUMBER($B627),TEXT($B627,"yyyy-mm"),"日期非法"))</f>
        <v/>
      </c>
      <c r="Q627" s="10" t="str">
        <f aca="false">IF($B627="","",IF(ISNUMBER($B627),YEAR($B627),"日期非法"))</f>
        <v/>
      </c>
    </row>
    <row r="628" customFormat="false" ht="15.75" hidden="false" customHeight="true" outlineLevel="0" collapsed="false">
      <c r="A628" s="10" t="str">
        <f aca="false">IF($B628="","",ROW()-4)</f>
        <v/>
      </c>
      <c r="B628" s="11"/>
      <c r="C628" s="12"/>
      <c r="D628" s="12"/>
      <c r="E628" s="12"/>
      <c r="F628" s="12"/>
      <c r="G628" s="12"/>
      <c r="H628" s="13"/>
      <c r="I628" s="4"/>
      <c r="J628" s="4"/>
      <c r="K628" s="14" t="str">
        <f aca="false">IF($B628="","",IF($C628="泓普",$C$2,IF($C628="仟茂",$E$2,IF($C628="现金",$G$2,0)))+SUMIFS($I$5:$I628,$C$5:$C628,$C628)-SUMIFS($J$5:$J628,$C$5:$C628,$C628))</f>
        <v/>
      </c>
      <c r="L628" s="14" t="str">
        <f aca="false">IF($B628="","",$C$2+$E$2+$G$2+SUM($I$5:$I628)-SUM($J$5:$J628))</f>
        <v/>
      </c>
      <c r="M628" s="12"/>
      <c r="N628" s="15" t="str">
        <f aca="false">IF($B628="","",IF(NOT(ISNUMBER($B628)),"日期格式不对",IF($C628="","未选资金账户",IF(AND(N($I628)=0,N($J628)=0),"收支都为空",IF(AND(N($I628)&gt;0,N($J628)&gt;0),"收支不能同时填",IF(AND($D628&lt;&gt;"",LEFT($O628,1)="⚠"),"项目编号不存在",IF(AND($M628="是",$F628=""),"工程回款必须填往来单位","√")))))))</f>
        <v/>
      </c>
      <c r="O628" s="16" t="str">
        <f aca="false">IF($D628="","",IFERROR(INDEX(对照清单!$B$5:$B$60,MATCH($D628,对照清单!$A$5:$A$60,0)),"⚠编号不存在"))</f>
        <v/>
      </c>
      <c r="P628" s="10" t="str">
        <f aca="false">IF($B628="","",IF(ISNUMBER($B628),TEXT($B628,"yyyy-mm"),"日期非法"))</f>
        <v/>
      </c>
      <c r="Q628" s="10" t="str">
        <f aca="false">IF($B628="","",IF(ISNUMBER($B628),YEAR($B628),"日期非法"))</f>
        <v/>
      </c>
    </row>
    <row r="629" customFormat="false" ht="15.75" hidden="false" customHeight="true" outlineLevel="0" collapsed="false">
      <c r="A629" s="10" t="str">
        <f aca="false">IF($B629="","",ROW()-4)</f>
        <v/>
      </c>
      <c r="B629" s="11"/>
      <c r="C629" s="12"/>
      <c r="D629" s="12"/>
      <c r="E629" s="12"/>
      <c r="F629" s="12"/>
      <c r="G629" s="12"/>
      <c r="H629" s="13"/>
      <c r="I629" s="4"/>
      <c r="J629" s="4"/>
      <c r="K629" s="14" t="str">
        <f aca="false">IF($B629="","",IF($C629="泓普",$C$2,IF($C629="仟茂",$E$2,IF($C629="现金",$G$2,0)))+SUMIFS($I$5:$I629,$C$5:$C629,$C629)-SUMIFS($J$5:$J629,$C$5:$C629,$C629))</f>
        <v/>
      </c>
      <c r="L629" s="14" t="str">
        <f aca="false">IF($B629="","",$C$2+$E$2+$G$2+SUM($I$5:$I629)-SUM($J$5:$J629))</f>
        <v/>
      </c>
      <c r="M629" s="12"/>
      <c r="N629" s="15" t="str">
        <f aca="false">IF($B629="","",IF(NOT(ISNUMBER($B629)),"日期格式不对",IF($C629="","未选资金账户",IF(AND(N($I629)=0,N($J629)=0),"收支都为空",IF(AND(N($I629)&gt;0,N($J629)&gt;0),"收支不能同时填",IF(AND($D629&lt;&gt;"",LEFT($O629,1)="⚠"),"项目编号不存在",IF(AND($M629="是",$F629=""),"工程回款必须填往来单位","√")))))))</f>
        <v/>
      </c>
      <c r="O629" s="16" t="str">
        <f aca="false">IF($D629="","",IFERROR(INDEX(对照清单!$B$5:$B$60,MATCH($D629,对照清单!$A$5:$A$60,0)),"⚠编号不存在"))</f>
        <v/>
      </c>
      <c r="P629" s="10" t="str">
        <f aca="false">IF($B629="","",IF(ISNUMBER($B629),TEXT($B629,"yyyy-mm"),"日期非法"))</f>
        <v/>
      </c>
      <c r="Q629" s="10" t="str">
        <f aca="false">IF($B629="","",IF(ISNUMBER($B629),YEAR($B629),"日期非法"))</f>
        <v/>
      </c>
    </row>
    <row r="630" customFormat="false" ht="15.75" hidden="false" customHeight="true" outlineLevel="0" collapsed="false">
      <c r="A630" s="10" t="str">
        <f aca="false">IF($B630="","",ROW()-4)</f>
        <v/>
      </c>
      <c r="B630" s="11"/>
      <c r="C630" s="12"/>
      <c r="D630" s="12"/>
      <c r="E630" s="12"/>
      <c r="F630" s="12"/>
      <c r="G630" s="12"/>
      <c r="H630" s="13"/>
      <c r="I630" s="4"/>
      <c r="J630" s="4"/>
      <c r="K630" s="14" t="str">
        <f aca="false">IF($B630="","",IF($C630="泓普",$C$2,IF($C630="仟茂",$E$2,IF($C630="现金",$G$2,0)))+SUMIFS($I$5:$I630,$C$5:$C630,$C630)-SUMIFS($J$5:$J630,$C$5:$C630,$C630))</f>
        <v/>
      </c>
      <c r="L630" s="14" t="str">
        <f aca="false">IF($B630="","",$C$2+$E$2+$G$2+SUM($I$5:$I630)-SUM($J$5:$J630))</f>
        <v/>
      </c>
      <c r="M630" s="12"/>
      <c r="N630" s="15" t="str">
        <f aca="false">IF($B630="","",IF(NOT(ISNUMBER($B630)),"日期格式不对",IF($C630="","未选资金账户",IF(AND(N($I630)=0,N($J630)=0),"收支都为空",IF(AND(N($I630)&gt;0,N($J630)&gt;0),"收支不能同时填",IF(AND($D630&lt;&gt;"",LEFT($O630,1)="⚠"),"项目编号不存在",IF(AND($M630="是",$F630=""),"工程回款必须填往来单位","√")))))))</f>
        <v/>
      </c>
      <c r="O630" s="16" t="str">
        <f aca="false">IF($D630="","",IFERROR(INDEX(对照清单!$B$5:$B$60,MATCH($D630,对照清单!$A$5:$A$60,0)),"⚠编号不存在"))</f>
        <v/>
      </c>
      <c r="P630" s="10" t="str">
        <f aca="false">IF($B630="","",IF(ISNUMBER($B630),TEXT($B630,"yyyy-mm"),"日期非法"))</f>
        <v/>
      </c>
      <c r="Q630" s="10" t="str">
        <f aca="false">IF($B630="","",IF(ISNUMBER($B630),YEAR($B630),"日期非法"))</f>
        <v/>
      </c>
    </row>
    <row r="631" customFormat="false" ht="15.75" hidden="false" customHeight="true" outlineLevel="0" collapsed="false">
      <c r="A631" s="10" t="str">
        <f aca="false">IF($B631="","",ROW()-4)</f>
        <v/>
      </c>
      <c r="B631" s="11"/>
      <c r="C631" s="12"/>
      <c r="D631" s="12"/>
      <c r="E631" s="12"/>
      <c r="F631" s="12"/>
      <c r="G631" s="12"/>
      <c r="H631" s="13"/>
      <c r="I631" s="4"/>
      <c r="J631" s="4"/>
      <c r="K631" s="14" t="str">
        <f aca="false">IF($B631="","",IF($C631="泓普",$C$2,IF($C631="仟茂",$E$2,IF($C631="现金",$G$2,0)))+SUMIFS($I$5:$I631,$C$5:$C631,$C631)-SUMIFS($J$5:$J631,$C$5:$C631,$C631))</f>
        <v/>
      </c>
      <c r="L631" s="14" t="str">
        <f aca="false">IF($B631="","",$C$2+$E$2+$G$2+SUM($I$5:$I631)-SUM($J$5:$J631))</f>
        <v/>
      </c>
      <c r="M631" s="12"/>
      <c r="N631" s="15" t="str">
        <f aca="false">IF($B631="","",IF(NOT(ISNUMBER($B631)),"日期格式不对",IF($C631="","未选资金账户",IF(AND(N($I631)=0,N($J631)=0),"收支都为空",IF(AND(N($I631)&gt;0,N($J631)&gt;0),"收支不能同时填",IF(AND($D631&lt;&gt;"",LEFT($O631,1)="⚠"),"项目编号不存在",IF(AND($M631="是",$F631=""),"工程回款必须填往来单位","√")))))))</f>
        <v/>
      </c>
      <c r="O631" s="16" t="str">
        <f aca="false">IF($D631="","",IFERROR(INDEX(对照清单!$B$5:$B$60,MATCH($D631,对照清单!$A$5:$A$60,0)),"⚠编号不存在"))</f>
        <v/>
      </c>
      <c r="P631" s="10" t="str">
        <f aca="false">IF($B631="","",IF(ISNUMBER($B631),TEXT($B631,"yyyy-mm"),"日期非法"))</f>
        <v/>
      </c>
      <c r="Q631" s="10" t="str">
        <f aca="false">IF($B631="","",IF(ISNUMBER($B631),YEAR($B631),"日期非法"))</f>
        <v/>
      </c>
    </row>
    <row r="632" customFormat="false" ht="15.75" hidden="false" customHeight="true" outlineLevel="0" collapsed="false">
      <c r="A632" s="10" t="str">
        <f aca="false">IF($B632="","",ROW()-4)</f>
        <v/>
      </c>
      <c r="B632" s="11"/>
      <c r="C632" s="12"/>
      <c r="D632" s="12"/>
      <c r="E632" s="12"/>
      <c r="F632" s="12"/>
      <c r="G632" s="12"/>
      <c r="H632" s="13"/>
      <c r="I632" s="4"/>
      <c r="J632" s="4"/>
      <c r="K632" s="14" t="str">
        <f aca="false">IF($B632="","",IF($C632="泓普",$C$2,IF($C632="仟茂",$E$2,IF($C632="现金",$G$2,0)))+SUMIFS($I$5:$I632,$C$5:$C632,$C632)-SUMIFS($J$5:$J632,$C$5:$C632,$C632))</f>
        <v/>
      </c>
      <c r="L632" s="14" t="str">
        <f aca="false">IF($B632="","",$C$2+$E$2+$G$2+SUM($I$5:$I632)-SUM($J$5:$J632))</f>
        <v/>
      </c>
      <c r="M632" s="12"/>
      <c r="N632" s="15" t="str">
        <f aca="false">IF($B632="","",IF(NOT(ISNUMBER($B632)),"日期格式不对",IF($C632="","未选资金账户",IF(AND(N($I632)=0,N($J632)=0),"收支都为空",IF(AND(N($I632)&gt;0,N($J632)&gt;0),"收支不能同时填",IF(AND($D632&lt;&gt;"",LEFT($O632,1)="⚠"),"项目编号不存在",IF(AND($M632="是",$F632=""),"工程回款必须填往来单位","√")))))))</f>
        <v/>
      </c>
      <c r="O632" s="16" t="str">
        <f aca="false">IF($D632="","",IFERROR(INDEX(对照清单!$B$5:$B$60,MATCH($D632,对照清单!$A$5:$A$60,0)),"⚠编号不存在"))</f>
        <v/>
      </c>
      <c r="P632" s="10" t="str">
        <f aca="false">IF($B632="","",IF(ISNUMBER($B632),TEXT($B632,"yyyy-mm"),"日期非法"))</f>
        <v/>
      </c>
      <c r="Q632" s="10" t="str">
        <f aca="false">IF($B632="","",IF(ISNUMBER($B632),YEAR($B632),"日期非法"))</f>
        <v/>
      </c>
    </row>
    <row r="633" customFormat="false" ht="15.75" hidden="false" customHeight="true" outlineLevel="0" collapsed="false">
      <c r="A633" s="10" t="str">
        <f aca="false">IF($B633="","",ROW()-4)</f>
        <v/>
      </c>
      <c r="B633" s="11"/>
      <c r="C633" s="12"/>
      <c r="D633" s="12"/>
      <c r="E633" s="12"/>
      <c r="F633" s="12"/>
      <c r="G633" s="12"/>
      <c r="H633" s="13"/>
      <c r="I633" s="4"/>
      <c r="J633" s="4"/>
      <c r="K633" s="14" t="str">
        <f aca="false">IF($B633="","",IF($C633="泓普",$C$2,IF($C633="仟茂",$E$2,IF($C633="现金",$G$2,0)))+SUMIFS($I$5:$I633,$C$5:$C633,$C633)-SUMIFS($J$5:$J633,$C$5:$C633,$C633))</f>
        <v/>
      </c>
      <c r="L633" s="14" t="str">
        <f aca="false">IF($B633="","",$C$2+$E$2+$G$2+SUM($I$5:$I633)-SUM($J$5:$J633))</f>
        <v/>
      </c>
      <c r="M633" s="12"/>
      <c r="N633" s="15" t="str">
        <f aca="false">IF($B633="","",IF(NOT(ISNUMBER($B633)),"日期格式不对",IF($C633="","未选资金账户",IF(AND(N($I633)=0,N($J633)=0),"收支都为空",IF(AND(N($I633)&gt;0,N($J633)&gt;0),"收支不能同时填",IF(AND($D633&lt;&gt;"",LEFT($O633,1)="⚠"),"项目编号不存在",IF(AND($M633="是",$F633=""),"工程回款必须填往来单位","√")))))))</f>
        <v/>
      </c>
      <c r="O633" s="16" t="str">
        <f aca="false">IF($D633="","",IFERROR(INDEX(对照清单!$B$5:$B$60,MATCH($D633,对照清单!$A$5:$A$60,0)),"⚠编号不存在"))</f>
        <v/>
      </c>
      <c r="P633" s="10" t="str">
        <f aca="false">IF($B633="","",IF(ISNUMBER($B633),TEXT($B633,"yyyy-mm"),"日期非法"))</f>
        <v/>
      </c>
      <c r="Q633" s="10" t="str">
        <f aca="false">IF($B633="","",IF(ISNUMBER($B633),YEAR($B633),"日期非法"))</f>
        <v/>
      </c>
    </row>
    <row r="634" customFormat="false" ht="15.75" hidden="false" customHeight="true" outlineLevel="0" collapsed="false">
      <c r="A634" s="10" t="str">
        <f aca="false">IF($B634="","",ROW()-4)</f>
        <v/>
      </c>
      <c r="B634" s="11"/>
      <c r="C634" s="12"/>
      <c r="D634" s="12"/>
      <c r="E634" s="12"/>
      <c r="F634" s="12"/>
      <c r="G634" s="12"/>
      <c r="H634" s="13"/>
      <c r="I634" s="4"/>
      <c r="J634" s="4"/>
      <c r="K634" s="14" t="str">
        <f aca="false">IF($B634="","",IF($C634="泓普",$C$2,IF($C634="仟茂",$E$2,IF($C634="现金",$G$2,0)))+SUMIFS($I$5:$I634,$C$5:$C634,$C634)-SUMIFS($J$5:$J634,$C$5:$C634,$C634))</f>
        <v/>
      </c>
      <c r="L634" s="14" t="str">
        <f aca="false">IF($B634="","",$C$2+$E$2+$G$2+SUM($I$5:$I634)-SUM($J$5:$J634))</f>
        <v/>
      </c>
      <c r="M634" s="12"/>
      <c r="N634" s="15" t="str">
        <f aca="false">IF($B634="","",IF(NOT(ISNUMBER($B634)),"日期格式不对",IF($C634="","未选资金账户",IF(AND(N($I634)=0,N($J634)=0),"收支都为空",IF(AND(N($I634)&gt;0,N($J634)&gt;0),"收支不能同时填",IF(AND($D634&lt;&gt;"",LEFT($O634,1)="⚠"),"项目编号不存在",IF(AND($M634="是",$F634=""),"工程回款必须填往来单位","√")))))))</f>
        <v/>
      </c>
      <c r="O634" s="16" t="str">
        <f aca="false">IF($D634="","",IFERROR(INDEX(对照清单!$B$5:$B$60,MATCH($D634,对照清单!$A$5:$A$60,0)),"⚠编号不存在"))</f>
        <v/>
      </c>
      <c r="P634" s="10" t="str">
        <f aca="false">IF($B634="","",IF(ISNUMBER($B634),TEXT($B634,"yyyy-mm"),"日期非法"))</f>
        <v/>
      </c>
      <c r="Q634" s="10" t="str">
        <f aca="false">IF($B634="","",IF(ISNUMBER($B634),YEAR($B634),"日期非法"))</f>
        <v/>
      </c>
    </row>
    <row r="635" customFormat="false" ht="15.75" hidden="false" customHeight="true" outlineLevel="0" collapsed="false">
      <c r="A635" s="10" t="str">
        <f aca="false">IF($B635="","",ROW()-4)</f>
        <v/>
      </c>
      <c r="B635" s="11"/>
      <c r="C635" s="12"/>
      <c r="D635" s="12"/>
      <c r="E635" s="12"/>
      <c r="F635" s="12"/>
      <c r="G635" s="12"/>
      <c r="H635" s="13"/>
      <c r="I635" s="4"/>
      <c r="J635" s="4"/>
      <c r="K635" s="14" t="str">
        <f aca="false">IF($B635="","",IF($C635="泓普",$C$2,IF($C635="仟茂",$E$2,IF($C635="现金",$G$2,0)))+SUMIFS($I$5:$I635,$C$5:$C635,$C635)-SUMIFS($J$5:$J635,$C$5:$C635,$C635))</f>
        <v/>
      </c>
      <c r="L635" s="14" t="str">
        <f aca="false">IF($B635="","",$C$2+$E$2+$G$2+SUM($I$5:$I635)-SUM($J$5:$J635))</f>
        <v/>
      </c>
      <c r="M635" s="12"/>
      <c r="N635" s="15" t="str">
        <f aca="false">IF($B635="","",IF(NOT(ISNUMBER($B635)),"日期格式不对",IF($C635="","未选资金账户",IF(AND(N($I635)=0,N($J635)=0),"收支都为空",IF(AND(N($I635)&gt;0,N($J635)&gt;0),"收支不能同时填",IF(AND($D635&lt;&gt;"",LEFT($O635,1)="⚠"),"项目编号不存在",IF(AND($M635="是",$F635=""),"工程回款必须填往来单位","√")))))))</f>
        <v/>
      </c>
      <c r="O635" s="16" t="str">
        <f aca="false">IF($D635="","",IFERROR(INDEX(对照清单!$B$5:$B$60,MATCH($D635,对照清单!$A$5:$A$60,0)),"⚠编号不存在"))</f>
        <v/>
      </c>
      <c r="P635" s="10" t="str">
        <f aca="false">IF($B635="","",IF(ISNUMBER($B635),TEXT($B635,"yyyy-mm"),"日期非法"))</f>
        <v/>
      </c>
      <c r="Q635" s="10" t="str">
        <f aca="false">IF($B635="","",IF(ISNUMBER($B635),YEAR($B635),"日期非法"))</f>
        <v/>
      </c>
    </row>
    <row r="636" customFormat="false" ht="15.75" hidden="false" customHeight="true" outlineLevel="0" collapsed="false">
      <c r="A636" s="10" t="str">
        <f aca="false">IF($B636="","",ROW()-4)</f>
        <v/>
      </c>
      <c r="B636" s="11"/>
      <c r="C636" s="12"/>
      <c r="D636" s="12"/>
      <c r="E636" s="12"/>
      <c r="F636" s="12"/>
      <c r="G636" s="12"/>
      <c r="H636" s="13"/>
      <c r="I636" s="4"/>
      <c r="J636" s="4"/>
      <c r="K636" s="14" t="str">
        <f aca="false">IF($B636="","",IF($C636="泓普",$C$2,IF($C636="仟茂",$E$2,IF($C636="现金",$G$2,0)))+SUMIFS($I$5:$I636,$C$5:$C636,$C636)-SUMIFS($J$5:$J636,$C$5:$C636,$C636))</f>
        <v/>
      </c>
      <c r="L636" s="14" t="str">
        <f aca="false">IF($B636="","",$C$2+$E$2+$G$2+SUM($I$5:$I636)-SUM($J$5:$J636))</f>
        <v/>
      </c>
      <c r="M636" s="12"/>
      <c r="N636" s="15" t="str">
        <f aca="false">IF($B636="","",IF(NOT(ISNUMBER($B636)),"日期格式不对",IF($C636="","未选资金账户",IF(AND(N($I636)=0,N($J636)=0),"收支都为空",IF(AND(N($I636)&gt;0,N($J636)&gt;0),"收支不能同时填",IF(AND($D636&lt;&gt;"",LEFT($O636,1)="⚠"),"项目编号不存在",IF(AND($M636="是",$F636=""),"工程回款必须填往来单位","√")))))))</f>
        <v/>
      </c>
      <c r="O636" s="16" t="str">
        <f aca="false">IF($D636="","",IFERROR(INDEX(对照清单!$B$5:$B$60,MATCH($D636,对照清单!$A$5:$A$60,0)),"⚠编号不存在"))</f>
        <v/>
      </c>
      <c r="P636" s="10" t="str">
        <f aca="false">IF($B636="","",IF(ISNUMBER($B636),TEXT($B636,"yyyy-mm"),"日期非法"))</f>
        <v/>
      </c>
      <c r="Q636" s="10" t="str">
        <f aca="false">IF($B636="","",IF(ISNUMBER($B636),YEAR($B636),"日期非法"))</f>
        <v/>
      </c>
    </row>
    <row r="637" customFormat="false" ht="15.75" hidden="false" customHeight="true" outlineLevel="0" collapsed="false">
      <c r="A637" s="10" t="str">
        <f aca="false">IF($B637="","",ROW()-4)</f>
        <v/>
      </c>
      <c r="B637" s="11"/>
      <c r="C637" s="12"/>
      <c r="D637" s="12"/>
      <c r="E637" s="12"/>
      <c r="F637" s="12"/>
      <c r="G637" s="12"/>
      <c r="H637" s="13"/>
      <c r="I637" s="4"/>
      <c r="J637" s="4"/>
      <c r="K637" s="14" t="str">
        <f aca="false">IF($B637="","",IF($C637="泓普",$C$2,IF($C637="仟茂",$E$2,IF($C637="现金",$G$2,0)))+SUMIFS($I$5:$I637,$C$5:$C637,$C637)-SUMIFS($J$5:$J637,$C$5:$C637,$C637))</f>
        <v/>
      </c>
      <c r="L637" s="14" t="str">
        <f aca="false">IF($B637="","",$C$2+$E$2+$G$2+SUM($I$5:$I637)-SUM($J$5:$J637))</f>
        <v/>
      </c>
      <c r="M637" s="12"/>
      <c r="N637" s="15" t="str">
        <f aca="false">IF($B637="","",IF(NOT(ISNUMBER($B637)),"日期格式不对",IF($C637="","未选资金账户",IF(AND(N($I637)=0,N($J637)=0),"收支都为空",IF(AND(N($I637)&gt;0,N($J637)&gt;0),"收支不能同时填",IF(AND($D637&lt;&gt;"",LEFT($O637,1)="⚠"),"项目编号不存在",IF(AND($M637="是",$F637=""),"工程回款必须填往来单位","√")))))))</f>
        <v/>
      </c>
      <c r="O637" s="16" t="str">
        <f aca="false">IF($D637="","",IFERROR(INDEX(对照清单!$B$5:$B$60,MATCH($D637,对照清单!$A$5:$A$60,0)),"⚠编号不存在"))</f>
        <v/>
      </c>
      <c r="P637" s="10" t="str">
        <f aca="false">IF($B637="","",IF(ISNUMBER($B637),TEXT($B637,"yyyy-mm"),"日期非法"))</f>
        <v/>
      </c>
      <c r="Q637" s="10" t="str">
        <f aca="false">IF($B637="","",IF(ISNUMBER($B637),YEAR($B637),"日期非法"))</f>
        <v/>
      </c>
    </row>
    <row r="638" customFormat="false" ht="15.75" hidden="false" customHeight="true" outlineLevel="0" collapsed="false">
      <c r="A638" s="10" t="str">
        <f aca="false">IF($B638="","",ROW()-4)</f>
        <v/>
      </c>
      <c r="B638" s="11"/>
      <c r="C638" s="12"/>
      <c r="D638" s="12"/>
      <c r="E638" s="12"/>
      <c r="F638" s="12"/>
      <c r="G638" s="12"/>
      <c r="H638" s="13"/>
      <c r="I638" s="4"/>
      <c r="J638" s="4"/>
      <c r="K638" s="14" t="str">
        <f aca="false">IF($B638="","",IF($C638="泓普",$C$2,IF($C638="仟茂",$E$2,IF($C638="现金",$G$2,0)))+SUMIFS($I$5:$I638,$C$5:$C638,$C638)-SUMIFS($J$5:$J638,$C$5:$C638,$C638))</f>
        <v/>
      </c>
      <c r="L638" s="14" t="str">
        <f aca="false">IF($B638="","",$C$2+$E$2+$G$2+SUM($I$5:$I638)-SUM($J$5:$J638))</f>
        <v/>
      </c>
      <c r="M638" s="12"/>
      <c r="N638" s="15" t="str">
        <f aca="false">IF($B638="","",IF(NOT(ISNUMBER($B638)),"日期格式不对",IF($C638="","未选资金账户",IF(AND(N($I638)=0,N($J638)=0),"收支都为空",IF(AND(N($I638)&gt;0,N($J638)&gt;0),"收支不能同时填",IF(AND($D638&lt;&gt;"",LEFT($O638,1)="⚠"),"项目编号不存在",IF(AND($M638="是",$F638=""),"工程回款必须填往来单位","√")))))))</f>
        <v/>
      </c>
      <c r="O638" s="16" t="str">
        <f aca="false">IF($D638="","",IFERROR(INDEX(对照清单!$B$5:$B$60,MATCH($D638,对照清单!$A$5:$A$60,0)),"⚠编号不存在"))</f>
        <v/>
      </c>
      <c r="P638" s="10" t="str">
        <f aca="false">IF($B638="","",IF(ISNUMBER($B638),TEXT($B638,"yyyy-mm"),"日期非法"))</f>
        <v/>
      </c>
      <c r="Q638" s="10" t="str">
        <f aca="false">IF($B638="","",IF(ISNUMBER($B638),YEAR($B638),"日期非法"))</f>
        <v/>
      </c>
    </row>
    <row r="639" customFormat="false" ht="15.75" hidden="false" customHeight="true" outlineLevel="0" collapsed="false">
      <c r="A639" s="10" t="str">
        <f aca="false">IF($B639="","",ROW()-4)</f>
        <v/>
      </c>
      <c r="B639" s="11"/>
      <c r="C639" s="12"/>
      <c r="D639" s="12"/>
      <c r="E639" s="12"/>
      <c r="F639" s="12"/>
      <c r="G639" s="12"/>
      <c r="H639" s="13"/>
      <c r="I639" s="4"/>
      <c r="J639" s="4"/>
      <c r="K639" s="14" t="str">
        <f aca="false">IF($B639="","",IF($C639="泓普",$C$2,IF($C639="仟茂",$E$2,IF($C639="现金",$G$2,0)))+SUMIFS($I$5:$I639,$C$5:$C639,$C639)-SUMIFS($J$5:$J639,$C$5:$C639,$C639))</f>
        <v/>
      </c>
      <c r="L639" s="14" t="str">
        <f aca="false">IF($B639="","",$C$2+$E$2+$G$2+SUM($I$5:$I639)-SUM($J$5:$J639))</f>
        <v/>
      </c>
      <c r="M639" s="12"/>
      <c r="N639" s="15" t="str">
        <f aca="false">IF($B639="","",IF(NOT(ISNUMBER($B639)),"日期格式不对",IF($C639="","未选资金账户",IF(AND(N($I639)=0,N($J639)=0),"收支都为空",IF(AND(N($I639)&gt;0,N($J639)&gt;0),"收支不能同时填",IF(AND($D639&lt;&gt;"",LEFT($O639,1)="⚠"),"项目编号不存在",IF(AND($M639="是",$F639=""),"工程回款必须填往来单位","√")))))))</f>
        <v/>
      </c>
      <c r="O639" s="16" t="str">
        <f aca="false">IF($D639="","",IFERROR(INDEX(对照清单!$B$5:$B$60,MATCH($D639,对照清单!$A$5:$A$60,0)),"⚠编号不存在"))</f>
        <v/>
      </c>
      <c r="P639" s="10" t="str">
        <f aca="false">IF($B639="","",IF(ISNUMBER($B639),TEXT($B639,"yyyy-mm"),"日期非法"))</f>
        <v/>
      </c>
      <c r="Q639" s="10" t="str">
        <f aca="false">IF($B639="","",IF(ISNUMBER($B639),YEAR($B639),"日期非法"))</f>
        <v/>
      </c>
    </row>
    <row r="640" customFormat="false" ht="15.75" hidden="false" customHeight="true" outlineLevel="0" collapsed="false">
      <c r="A640" s="10" t="str">
        <f aca="false">IF($B640="","",ROW()-4)</f>
        <v/>
      </c>
      <c r="B640" s="11"/>
      <c r="C640" s="12"/>
      <c r="D640" s="12"/>
      <c r="E640" s="12"/>
      <c r="F640" s="12"/>
      <c r="G640" s="12"/>
      <c r="H640" s="13"/>
      <c r="I640" s="4"/>
      <c r="J640" s="4"/>
      <c r="K640" s="14" t="str">
        <f aca="false">IF($B640="","",IF($C640="泓普",$C$2,IF($C640="仟茂",$E$2,IF($C640="现金",$G$2,0)))+SUMIFS($I$5:$I640,$C$5:$C640,$C640)-SUMIFS($J$5:$J640,$C$5:$C640,$C640))</f>
        <v/>
      </c>
      <c r="L640" s="14" t="str">
        <f aca="false">IF($B640="","",$C$2+$E$2+$G$2+SUM($I$5:$I640)-SUM($J$5:$J640))</f>
        <v/>
      </c>
      <c r="M640" s="12"/>
      <c r="N640" s="15" t="str">
        <f aca="false">IF($B640="","",IF(NOT(ISNUMBER($B640)),"日期格式不对",IF($C640="","未选资金账户",IF(AND(N($I640)=0,N($J640)=0),"收支都为空",IF(AND(N($I640)&gt;0,N($J640)&gt;0),"收支不能同时填",IF(AND($D640&lt;&gt;"",LEFT($O640,1)="⚠"),"项目编号不存在",IF(AND($M640="是",$F640=""),"工程回款必须填往来单位","√")))))))</f>
        <v/>
      </c>
      <c r="O640" s="16" t="str">
        <f aca="false">IF($D640="","",IFERROR(INDEX(对照清单!$B$5:$B$60,MATCH($D640,对照清单!$A$5:$A$60,0)),"⚠编号不存在"))</f>
        <v/>
      </c>
      <c r="P640" s="10" t="str">
        <f aca="false">IF($B640="","",IF(ISNUMBER($B640),TEXT($B640,"yyyy-mm"),"日期非法"))</f>
        <v/>
      </c>
      <c r="Q640" s="10" t="str">
        <f aca="false">IF($B640="","",IF(ISNUMBER($B640),YEAR($B640),"日期非法"))</f>
        <v/>
      </c>
    </row>
    <row r="641" customFormat="false" ht="15.75" hidden="false" customHeight="true" outlineLevel="0" collapsed="false">
      <c r="A641" s="10" t="str">
        <f aca="false">IF($B641="","",ROW()-4)</f>
        <v/>
      </c>
      <c r="B641" s="11"/>
      <c r="C641" s="12"/>
      <c r="D641" s="12"/>
      <c r="E641" s="12"/>
      <c r="F641" s="12"/>
      <c r="G641" s="12"/>
      <c r="H641" s="13"/>
      <c r="I641" s="4"/>
      <c r="J641" s="4"/>
      <c r="K641" s="14" t="str">
        <f aca="false">IF($B641="","",IF($C641="泓普",$C$2,IF($C641="仟茂",$E$2,IF($C641="现金",$G$2,0)))+SUMIFS($I$5:$I641,$C$5:$C641,$C641)-SUMIFS($J$5:$J641,$C$5:$C641,$C641))</f>
        <v/>
      </c>
      <c r="L641" s="14" t="str">
        <f aca="false">IF($B641="","",$C$2+$E$2+$G$2+SUM($I$5:$I641)-SUM($J$5:$J641))</f>
        <v/>
      </c>
      <c r="M641" s="12"/>
      <c r="N641" s="15" t="str">
        <f aca="false">IF($B641="","",IF(NOT(ISNUMBER($B641)),"日期格式不对",IF($C641="","未选资金账户",IF(AND(N($I641)=0,N($J641)=0),"收支都为空",IF(AND(N($I641)&gt;0,N($J641)&gt;0),"收支不能同时填",IF(AND($D641&lt;&gt;"",LEFT($O641,1)="⚠"),"项目编号不存在",IF(AND($M641="是",$F641=""),"工程回款必须填往来单位","√")))))))</f>
        <v/>
      </c>
      <c r="O641" s="16" t="str">
        <f aca="false">IF($D641="","",IFERROR(INDEX(对照清单!$B$5:$B$60,MATCH($D641,对照清单!$A$5:$A$60,0)),"⚠编号不存在"))</f>
        <v/>
      </c>
      <c r="P641" s="10" t="str">
        <f aca="false">IF($B641="","",IF(ISNUMBER($B641),TEXT($B641,"yyyy-mm"),"日期非法"))</f>
        <v/>
      </c>
      <c r="Q641" s="10" t="str">
        <f aca="false">IF($B641="","",IF(ISNUMBER($B641),YEAR($B641),"日期非法"))</f>
        <v/>
      </c>
    </row>
    <row r="642" customFormat="false" ht="15.75" hidden="false" customHeight="true" outlineLevel="0" collapsed="false">
      <c r="A642" s="10" t="str">
        <f aca="false">IF($B642="","",ROW()-4)</f>
        <v/>
      </c>
      <c r="B642" s="11"/>
      <c r="C642" s="12"/>
      <c r="D642" s="12"/>
      <c r="E642" s="12"/>
      <c r="F642" s="12"/>
      <c r="G642" s="12"/>
      <c r="H642" s="13"/>
      <c r="I642" s="4"/>
      <c r="J642" s="4"/>
      <c r="K642" s="14" t="str">
        <f aca="false">IF($B642="","",IF($C642="泓普",$C$2,IF($C642="仟茂",$E$2,IF($C642="现金",$G$2,0)))+SUMIFS($I$5:$I642,$C$5:$C642,$C642)-SUMIFS($J$5:$J642,$C$5:$C642,$C642))</f>
        <v/>
      </c>
      <c r="L642" s="14" t="str">
        <f aca="false">IF($B642="","",$C$2+$E$2+$G$2+SUM($I$5:$I642)-SUM($J$5:$J642))</f>
        <v/>
      </c>
      <c r="M642" s="12"/>
      <c r="N642" s="15" t="str">
        <f aca="false">IF($B642="","",IF(NOT(ISNUMBER($B642)),"日期格式不对",IF($C642="","未选资金账户",IF(AND(N($I642)=0,N($J642)=0),"收支都为空",IF(AND(N($I642)&gt;0,N($J642)&gt;0),"收支不能同时填",IF(AND($D642&lt;&gt;"",LEFT($O642,1)="⚠"),"项目编号不存在",IF(AND($M642="是",$F642=""),"工程回款必须填往来单位","√")))))))</f>
        <v/>
      </c>
      <c r="O642" s="16" t="str">
        <f aca="false">IF($D642="","",IFERROR(INDEX(对照清单!$B$5:$B$60,MATCH($D642,对照清单!$A$5:$A$60,0)),"⚠编号不存在"))</f>
        <v/>
      </c>
      <c r="P642" s="10" t="str">
        <f aca="false">IF($B642="","",IF(ISNUMBER($B642),TEXT($B642,"yyyy-mm"),"日期非法"))</f>
        <v/>
      </c>
      <c r="Q642" s="10" t="str">
        <f aca="false">IF($B642="","",IF(ISNUMBER($B642),YEAR($B642),"日期非法"))</f>
        <v/>
      </c>
    </row>
    <row r="643" customFormat="false" ht="15.75" hidden="false" customHeight="true" outlineLevel="0" collapsed="false">
      <c r="A643" s="10" t="str">
        <f aca="false">IF($B643="","",ROW()-4)</f>
        <v/>
      </c>
      <c r="B643" s="11"/>
      <c r="C643" s="12"/>
      <c r="D643" s="12"/>
      <c r="E643" s="12"/>
      <c r="F643" s="12"/>
      <c r="G643" s="12"/>
      <c r="H643" s="13"/>
      <c r="I643" s="4"/>
      <c r="J643" s="4"/>
      <c r="K643" s="14" t="str">
        <f aca="false">IF($B643="","",IF($C643="泓普",$C$2,IF($C643="仟茂",$E$2,IF($C643="现金",$G$2,0)))+SUMIFS($I$5:$I643,$C$5:$C643,$C643)-SUMIFS($J$5:$J643,$C$5:$C643,$C643))</f>
        <v/>
      </c>
      <c r="L643" s="14" t="str">
        <f aca="false">IF($B643="","",$C$2+$E$2+$G$2+SUM($I$5:$I643)-SUM($J$5:$J643))</f>
        <v/>
      </c>
      <c r="M643" s="12"/>
      <c r="N643" s="15" t="str">
        <f aca="false">IF($B643="","",IF(NOT(ISNUMBER($B643)),"日期格式不对",IF($C643="","未选资金账户",IF(AND(N($I643)=0,N($J643)=0),"收支都为空",IF(AND(N($I643)&gt;0,N($J643)&gt;0),"收支不能同时填",IF(AND($D643&lt;&gt;"",LEFT($O643,1)="⚠"),"项目编号不存在",IF(AND($M643="是",$F643=""),"工程回款必须填往来单位","√")))))))</f>
        <v/>
      </c>
      <c r="O643" s="16" t="str">
        <f aca="false">IF($D643="","",IFERROR(INDEX(对照清单!$B$5:$B$60,MATCH($D643,对照清单!$A$5:$A$60,0)),"⚠编号不存在"))</f>
        <v/>
      </c>
      <c r="P643" s="10" t="str">
        <f aca="false">IF($B643="","",IF(ISNUMBER($B643),TEXT($B643,"yyyy-mm"),"日期非法"))</f>
        <v/>
      </c>
      <c r="Q643" s="10" t="str">
        <f aca="false">IF($B643="","",IF(ISNUMBER($B643),YEAR($B643),"日期非法"))</f>
        <v/>
      </c>
    </row>
    <row r="644" customFormat="false" ht="15.75" hidden="false" customHeight="true" outlineLevel="0" collapsed="false">
      <c r="A644" s="10" t="str">
        <f aca="false">IF($B644="","",ROW()-4)</f>
        <v/>
      </c>
      <c r="B644" s="11"/>
      <c r="C644" s="12"/>
      <c r="D644" s="12"/>
      <c r="E644" s="12"/>
      <c r="F644" s="12"/>
      <c r="G644" s="12"/>
      <c r="H644" s="13"/>
      <c r="I644" s="4"/>
      <c r="J644" s="4"/>
      <c r="K644" s="14" t="str">
        <f aca="false">IF($B644="","",IF($C644="泓普",$C$2,IF($C644="仟茂",$E$2,IF($C644="现金",$G$2,0)))+SUMIFS($I$5:$I644,$C$5:$C644,$C644)-SUMIFS($J$5:$J644,$C$5:$C644,$C644))</f>
        <v/>
      </c>
      <c r="L644" s="14" t="str">
        <f aca="false">IF($B644="","",$C$2+$E$2+$G$2+SUM($I$5:$I644)-SUM($J$5:$J644))</f>
        <v/>
      </c>
      <c r="M644" s="12"/>
      <c r="N644" s="15" t="str">
        <f aca="false">IF($B644="","",IF(NOT(ISNUMBER($B644)),"日期格式不对",IF($C644="","未选资金账户",IF(AND(N($I644)=0,N($J644)=0),"收支都为空",IF(AND(N($I644)&gt;0,N($J644)&gt;0),"收支不能同时填",IF(AND($D644&lt;&gt;"",LEFT($O644,1)="⚠"),"项目编号不存在",IF(AND($M644="是",$F644=""),"工程回款必须填往来单位","√")))))))</f>
        <v/>
      </c>
      <c r="O644" s="16" t="str">
        <f aca="false">IF($D644="","",IFERROR(INDEX(对照清单!$B$5:$B$60,MATCH($D644,对照清单!$A$5:$A$60,0)),"⚠编号不存在"))</f>
        <v/>
      </c>
      <c r="P644" s="10" t="str">
        <f aca="false">IF($B644="","",IF(ISNUMBER($B644),TEXT($B644,"yyyy-mm"),"日期非法"))</f>
        <v/>
      </c>
      <c r="Q644" s="10" t="str">
        <f aca="false">IF($B644="","",IF(ISNUMBER($B644),YEAR($B644),"日期非法"))</f>
        <v/>
      </c>
    </row>
    <row r="645" customFormat="false" ht="15.75" hidden="false" customHeight="true" outlineLevel="0" collapsed="false">
      <c r="A645" s="10" t="str">
        <f aca="false">IF($B645="","",ROW()-4)</f>
        <v/>
      </c>
      <c r="B645" s="11"/>
      <c r="C645" s="12"/>
      <c r="D645" s="12"/>
      <c r="E645" s="12"/>
      <c r="F645" s="12"/>
      <c r="G645" s="12"/>
      <c r="H645" s="13"/>
      <c r="I645" s="4"/>
      <c r="J645" s="4"/>
      <c r="K645" s="14" t="str">
        <f aca="false">IF($B645="","",IF($C645="泓普",$C$2,IF($C645="仟茂",$E$2,IF($C645="现金",$G$2,0)))+SUMIFS($I$5:$I645,$C$5:$C645,$C645)-SUMIFS($J$5:$J645,$C$5:$C645,$C645))</f>
        <v/>
      </c>
      <c r="L645" s="14" t="str">
        <f aca="false">IF($B645="","",$C$2+$E$2+$G$2+SUM($I$5:$I645)-SUM($J$5:$J645))</f>
        <v/>
      </c>
      <c r="M645" s="12"/>
      <c r="N645" s="15" t="str">
        <f aca="false">IF($B645="","",IF(NOT(ISNUMBER($B645)),"日期格式不对",IF($C645="","未选资金账户",IF(AND(N($I645)=0,N($J645)=0),"收支都为空",IF(AND(N($I645)&gt;0,N($J645)&gt;0),"收支不能同时填",IF(AND($D645&lt;&gt;"",LEFT($O645,1)="⚠"),"项目编号不存在",IF(AND($M645="是",$F645=""),"工程回款必须填往来单位","√")))))))</f>
        <v/>
      </c>
      <c r="O645" s="16" t="str">
        <f aca="false">IF($D645="","",IFERROR(INDEX(对照清单!$B$5:$B$60,MATCH($D645,对照清单!$A$5:$A$60,0)),"⚠编号不存在"))</f>
        <v/>
      </c>
      <c r="P645" s="10" t="str">
        <f aca="false">IF($B645="","",IF(ISNUMBER($B645),TEXT($B645,"yyyy-mm"),"日期非法"))</f>
        <v/>
      </c>
      <c r="Q645" s="10" t="str">
        <f aca="false">IF($B645="","",IF(ISNUMBER($B645),YEAR($B645),"日期非法"))</f>
        <v/>
      </c>
    </row>
    <row r="646" customFormat="false" ht="15.75" hidden="false" customHeight="true" outlineLevel="0" collapsed="false">
      <c r="A646" s="10" t="str">
        <f aca="false">IF($B646="","",ROW()-4)</f>
        <v/>
      </c>
      <c r="B646" s="11"/>
      <c r="C646" s="12"/>
      <c r="D646" s="12"/>
      <c r="E646" s="12"/>
      <c r="F646" s="12"/>
      <c r="G646" s="12"/>
      <c r="H646" s="13"/>
      <c r="I646" s="4"/>
      <c r="J646" s="4"/>
      <c r="K646" s="14" t="str">
        <f aca="false">IF($B646="","",IF($C646="泓普",$C$2,IF($C646="仟茂",$E$2,IF($C646="现金",$G$2,0)))+SUMIFS($I$5:$I646,$C$5:$C646,$C646)-SUMIFS($J$5:$J646,$C$5:$C646,$C646))</f>
        <v/>
      </c>
      <c r="L646" s="14" t="str">
        <f aca="false">IF($B646="","",$C$2+$E$2+$G$2+SUM($I$5:$I646)-SUM($J$5:$J646))</f>
        <v/>
      </c>
      <c r="M646" s="12"/>
      <c r="N646" s="15" t="str">
        <f aca="false">IF($B646="","",IF(NOT(ISNUMBER($B646)),"日期格式不对",IF($C646="","未选资金账户",IF(AND(N($I646)=0,N($J646)=0),"收支都为空",IF(AND(N($I646)&gt;0,N($J646)&gt;0),"收支不能同时填",IF(AND($D646&lt;&gt;"",LEFT($O646,1)="⚠"),"项目编号不存在",IF(AND($M646="是",$F646=""),"工程回款必须填往来单位","√")))))))</f>
        <v/>
      </c>
      <c r="O646" s="16" t="str">
        <f aca="false">IF($D646="","",IFERROR(INDEX(对照清单!$B$5:$B$60,MATCH($D646,对照清单!$A$5:$A$60,0)),"⚠编号不存在"))</f>
        <v/>
      </c>
      <c r="P646" s="10" t="str">
        <f aca="false">IF($B646="","",IF(ISNUMBER($B646),TEXT($B646,"yyyy-mm"),"日期非法"))</f>
        <v/>
      </c>
      <c r="Q646" s="10" t="str">
        <f aca="false">IF($B646="","",IF(ISNUMBER($B646),YEAR($B646),"日期非法"))</f>
        <v/>
      </c>
    </row>
    <row r="647" customFormat="false" ht="15.75" hidden="false" customHeight="true" outlineLevel="0" collapsed="false">
      <c r="A647" s="10" t="str">
        <f aca="false">IF($B647="","",ROW()-4)</f>
        <v/>
      </c>
      <c r="B647" s="11"/>
      <c r="C647" s="12"/>
      <c r="D647" s="12"/>
      <c r="E647" s="12"/>
      <c r="F647" s="12"/>
      <c r="G647" s="12"/>
      <c r="H647" s="13"/>
      <c r="I647" s="4"/>
      <c r="J647" s="4"/>
      <c r="K647" s="14" t="str">
        <f aca="false">IF($B647="","",IF($C647="泓普",$C$2,IF($C647="仟茂",$E$2,IF($C647="现金",$G$2,0)))+SUMIFS($I$5:$I647,$C$5:$C647,$C647)-SUMIFS($J$5:$J647,$C$5:$C647,$C647))</f>
        <v/>
      </c>
      <c r="L647" s="14" t="str">
        <f aca="false">IF($B647="","",$C$2+$E$2+$G$2+SUM($I$5:$I647)-SUM($J$5:$J647))</f>
        <v/>
      </c>
      <c r="M647" s="12"/>
      <c r="N647" s="15" t="str">
        <f aca="false">IF($B647="","",IF(NOT(ISNUMBER($B647)),"日期格式不对",IF($C647="","未选资金账户",IF(AND(N($I647)=0,N($J647)=0),"收支都为空",IF(AND(N($I647)&gt;0,N($J647)&gt;0),"收支不能同时填",IF(AND($D647&lt;&gt;"",LEFT($O647,1)="⚠"),"项目编号不存在",IF(AND($M647="是",$F647=""),"工程回款必须填往来单位","√")))))))</f>
        <v/>
      </c>
      <c r="O647" s="16" t="str">
        <f aca="false">IF($D647="","",IFERROR(INDEX(对照清单!$B$5:$B$60,MATCH($D647,对照清单!$A$5:$A$60,0)),"⚠编号不存在"))</f>
        <v/>
      </c>
      <c r="P647" s="10" t="str">
        <f aca="false">IF($B647="","",IF(ISNUMBER($B647),TEXT($B647,"yyyy-mm"),"日期非法"))</f>
        <v/>
      </c>
      <c r="Q647" s="10" t="str">
        <f aca="false">IF($B647="","",IF(ISNUMBER($B647),YEAR($B647),"日期非法"))</f>
        <v/>
      </c>
    </row>
    <row r="648" customFormat="false" ht="15.75" hidden="false" customHeight="true" outlineLevel="0" collapsed="false">
      <c r="A648" s="10" t="str">
        <f aca="false">IF($B648="","",ROW()-4)</f>
        <v/>
      </c>
      <c r="B648" s="11"/>
      <c r="C648" s="12"/>
      <c r="D648" s="12"/>
      <c r="E648" s="12"/>
      <c r="F648" s="12"/>
      <c r="G648" s="12"/>
      <c r="H648" s="13"/>
      <c r="I648" s="4"/>
      <c r="J648" s="4"/>
      <c r="K648" s="14" t="str">
        <f aca="false">IF($B648="","",IF($C648="泓普",$C$2,IF($C648="仟茂",$E$2,IF($C648="现金",$G$2,0)))+SUMIFS($I$5:$I648,$C$5:$C648,$C648)-SUMIFS($J$5:$J648,$C$5:$C648,$C648))</f>
        <v/>
      </c>
      <c r="L648" s="14" t="str">
        <f aca="false">IF($B648="","",$C$2+$E$2+$G$2+SUM($I$5:$I648)-SUM($J$5:$J648))</f>
        <v/>
      </c>
      <c r="M648" s="12"/>
      <c r="N648" s="15" t="str">
        <f aca="false">IF($B648="","",IF(NOT(ISNUMBER($B648)),"日期格式不对",IF($C648="","未选资金账户",IF(AND(N($I648)=0,N($J648)=0),"收支都为空",IF(AND(N($I648)&gt;0,N($J648)&gt;0),"收支不能同时填",IF(AND($D648&lt;&gt;"",LEFT($O648,1)="⚠"),"项目编号不存在",IF(AND($M648="是",$F648=""),"工程回款必须填往来单位","√")))))))</f>
        <v/>
      </c>
      <c r="O648" s="16" t="str">
        <f aca="false">IF($D648="","",IFERROR(INDEX(对照清单!$B$5:$B$60,MATCH($D648,对照清单!$A$5:$A$60,0)),"⚠编号不存在"))</f>
        <v/>
      </c>
      <c r="P648" s="10" t="str">
        <f aca="false">IF($B648="","",IF(ISNUMBER($B648),TEXT($B648,"yyyy-mm"),"日期非法"))</f>
        <v/>
      </c>
      <c r="Q648" s="10" t="str">
        <f aca="false">IF($B648="","",IF(ISNUMBER($B648),YEAR($B648),"日期非法"))</f>
        <v/>
      </c>
    </row>
    <row r="649" customFormat="false" ht="15.75" hidden="false" customHeight="true" outlineLevel="0" collapsed="false">
      <c r="A649" s="10" t="str">
        <f aca="false">IF($B649="","",ROW()-4)</f>
        <v/>
      </c>
      <c r="B649" s="11"/>
      <c r="C649" s="12"/>
      <c r="D649" s="12"/>
      <c r="E649" s="12"/>
      <c r="F649" s="12"/>
      <c r="G649" s="12"/>
      <c r="H649" s="13"/>
      <c r="I649" s="4"/>
      <c r="J649" s="4"/>
      <c r="K649" s="14" t="str">
        <f aca="false">IF($B649="","",IF($C649="泓普",$C$2,IF($C649="仟茂",$E$2,IF($C649="现金",$G$2,0)))+SUMIFS($I$5:$I649,$C$5:$C649,$C649)-SUMIFS($J$5:$J649,$C$5:$C649,$C649))</f>
        <v/>
      </c>
      <c r="L649" s="14" t="str">
        <f aca="false">IF($B649="","",$C$2+$E$2+$G$2+SUM($I$5:$I649)-SUM($J$5:$J649))</f>
        <v/>
      </c>
      <c r="M649" s="12"/>
      <c r="N649" s="15" t="str">
        <f aca="false">IF($B649="","",IF(NOT(ISNUMBER($B649)),"日期格式不对",IF($C649="","未选资金账户",IF(AND(N($I649)=0,N($J649)=0),"收支都为空",IF(AND(N($I649)&gt;0,N($J649)&gt;0),"收支不能同时填",IF(AND($D649&lt;&gt;"",LEFT($O649,1)="⚠"),"项目编号不存在",IF(AND($M649="是",$F649=""),"工程回款必须填往来单位","√")))))))</f>
        <v/>
      </c>
      <c r="O649" s="16" t="str">
        <f aca="false">IF($D649="","",IFERROR(INDEX(对照清单!$B$5:$B$60,MATCH($D649,对照清单!$A$5:$A$60,0)),"⚠编号不存在"))</f>
        <v/>
      </c>
      <c r="P649" s="10" t="str">
        <f aca="false">IF($B649="","",IF(ISNUMBER($B649),TEXT($B649,"yyyy-mm"),"日期非法"))</f>
        <v/>
      </c>
      <c r="Q649" s="10" t="str">
        <f aca="false">IF($B649="","",IF(ISNUMBER($B649),YEAR($B649),"日期非法"))</f>
        <v/>
      </c>
    </row>
    <row r="650" customFormat="false" ht="15.75" hidden="false" customHeight="true" outlineLevel="0" collapsed="false">
      <c r="A650" s="10" t="str">
        <f aca="false">IF($B650="","",ROW()-4)</f>
        <v/>
      </c>
      <c r="B650" s="11"/>
      <c r="C650" s="12"/>
      <c r="D650" s="12"/>
      <c r="E650" s="12"/>
      <c r="F650" s="12"/>
      <c r="G650" s="12"/>
      <c r="H650" s="13"/>
      <c r="I650" s="4"/>
      <c r="J650" s="4"/>
      <c r="K650" s="14" t="str">
        <f aca="false">IF($B650="","",IF($C650="泓普",$C$2,IF($C650="仟茂",$E$2,IF($C650="现金",$G$2,0)))+SUMIFS($I$5:$I650,$C$5:$C650,$C650)-SUMIFS($J$5:$J650,$C$5:$C650,$C650))</f>
        <v/>
      </c>
      <c r="L650" s="14" t="str">
        <f aca="false">IF($B650="","",$C$2+$E$2+$G$2+SUM($I$5:$I650)-SUM($J$5:$J650))</f>
        <v/>
      </c>
      <c r="M650" s="12"/>
      <c r="N650" s="15" t="str">
        <f aca="false">IF($B650="","",IF(NOT(ISNUMBER($B650)),"日期格式不对",IF($C650="","未选资金账户",IF(AND(N($I650)=0,N($J650)=0),"收支都为空",IF(AND(N($I650)&gt;0,N($J650)&gt;0),"收支不能同时填",IF(AND($D650&lt;&gt;"",LEFT($O650,1)="⚠"),"项目编号不存在",IF(AND($M650="是",$F650=""),"工程回款必须填往来单位","√")))))))</f>
        <v/>
      </c>
      <c r="O650" s="16" t="str">
        <f aca="false">IF($D650="","",IFERROR(INDEX(对照清单!$B$5:$B$60,MATCH($D650,对照清单!$A$5:$A$60,0)),"⚠编号不存在"))</f>
        <v/>
      </c>
      <c r="P650" s="10" t="str">
        <f aca="false">IF($B650="","",IF(ISNUMBER($B650),TEXT($B650,"yyyy-mm"),"日期非法"))</f>
        <v/>
      </c>
      <c r="Q650" s="10" t="str">
        <f aca="false">IF($B650="","",IF(ISNUMBER($B650),YEAR($B650),"日期非法"))</f>
        <v/>
      </c>
    </row>
    <row r="651" customFormat="false" ht="15.75" hidden="false" customHeight="true" outlineLevel="0" collapsed="false">
      <c r="A651" s="10" t="str">
        <f aca="false">IF($B651="","",ROW()-4)</f>
        <v/>
      </c>
      <c r="B651" s="11"/>
      <c r="C651" s="12"/>
      <c r="D651" s="12"/>
      <c r="E651" s="12"/>
      <c r="F651" s="12"/>
      <c r="G651" s="12"/>
      <c r="H651" s="13"/>
      <c r="I651" s="4"/>
      <c r="J651" s="4"/>
      <c r="K651" s="14" t="str">
        <f aca="false">IF($B651="","",IF($C651="泓普",$C$2,IF($C651="仟茂",$E$2,IF($C651="现金",$G$2,0)))+SUMIFS($I$5:$I651,$C$5:$C651,$C651)-SUMIFS($J$5:$J651,$C$5:$C651,$C651))</f>
        <v/>
      </c>
      <c r="L651" s="14" t="str">
        <f aca="false">IF($B651="","",$C$2+$E$2+$G$2+SUM($I$5:$I651)-SUM($J$5:$J651))</f>
        <v/>
      </c>
      <c r="M651" s="12"/>
      <c r="N651" s="15" t="str">
        <f aca="false">IF($B651="","",IF(NOT(ISNUMBER($B651)),"日期格式不对",IF($C651="","未选资金账户",IF(AND(N($I651)=0,N($J651)=0),"收支都为空",IF(AND(N($I651)&gt;0,N($J651)&gt;0),"收支不能同时填",IF(AND($D651&lt;&gt;"",LEFT($O651,1)="⚠"),"项目编号不存在",IF(AND($M651="是",$F651=""),"工程回款必须填往来单位","√")))))))</f>
        <v/>
      </c>
      <c r="O651" s="16" t="str">
        <f aca="false">IF($D651="","",IFERROR(INDEX(对照清单!$B$5:$B$60,MATCH($D651,对照清单!$A$5:$A$60,0)),"⚠编号不存在"))</f>
        <v/>
      </c>
      <c r="P651" s="10" t="str">
        <f aca="false">IF($B651="","",IF(ISNUMBER($B651),TEXT($B651,"yyyy-mm"),"日期非法"))</f>
        <v/>
      </c>
      <c r="Q651" s="10" t="str">
        <f aca="false">IF($B651="","",IF(ISNUMBER($B651),YEAR($B651),"日期非法"))</f>
        <v/>
      </c>
    </row>
    <row r="652" customFormat="false" ht="15.75" hidden="false" customHeight="true" outlineLevel="0" collapsed="false">
      <c r="A652" s="10" t="str">
        <f aca="false">IF($B652="","",ROW()-4)</f>
        <v/>
      </c>
      <c r="B652" s="11"/>
      <c r="C652" s="12"/>
      <c r="D652" s="12"/>
      <c r="E652" s="12"/>
      <c r="F652" s="12"/>
      <c r="G652" s="12"/>
      <c r="H652" s="13"/>
      <c r="I652" s="4"/>
      <c r="J652" s="4"/>
      <c r="K652" s="14" t="str">
        <f aca="false">IF($B652="","",IF($C652="泓普",$C$2,IF($C652="仟茂",$E$2,IF($C652="现金",$G$2,0)))+SUMIFS($I$5:$I652,$C$5:$C652,$C652)-SUMIFS($J$5:$J652,$C$5:$C652,$C652))</f>
        <v/>
      </c>
      <c r="L652" s="14" t="str">
        <f aca="false">IF($B652="","",$C$2+$E$2+$G$2+SUM($I$5:$I652)-SUM($J$5:$J652))</f>
        <v/>
      </c>
      <c r="M652" s="12"/>
      <c r="N652" s="15" t="str">
        <f aca="false">IF($B652="","",IF(NOT(ISNUMBER($B652)),"日期格式不对",IF($C652="","未选资金账户",IF(AND(N($I652)=0,N($J652)=0),"收支都为空",IF(AND(N($I652)&gt;0,N($J652)&gt;0),"收支不能同时填",IF(AND($D652&lt;&gt;"",LEFT($O652,1)="⚠"),"项目编号不存在",IF(AND($M652="是",$F652=""),"工程回款必须填往来单位","√")))))))</f>
        <v/>
      </c>
      <c r="O652" s="16" t="str">
        <f aca="false">IF($D652="","",IFERROR(INDEX(对照清单!$B$5:$B$60,MATCH($D652,对照清单!$A$5:$A$60,0)),"⚠编号不存在"))</f>
        <v/>
      </c>
      <c r="P652" s="10" t="str">
        <f aca="false">IF($B652="","",IF(ISNUMBER($B652),TEXT($B652,"yyyy-mm"),"日期非法"))</f>
        <v/>
      </c>
      <c r="Q652" s="10" t="str">
        <f aca="false">IF($B652="","",IF(ISNUMBER($B652),YEAR($B652),"日期非法"))</f>
        <v/>
      </c>
    </row>
    <row r="653" customFormat="false" ht="15.75" hidden="false" customHeight="true" outlineLevel="0" collapsed="false">
      <c r="A653" s="10" t="str">
        <f aca="false">IF($B653="","",ROW()-4)</f>
        <v/>
      </c>
      <c r="B653" s="11"/>
      <c r="C653" s="12"/>
      <c r="D653" s="12"/>
      <c r="E653" s="12"/>
      <c r="F653" s="12"/>
      <c r="G653" s="12"/>
      <c r="H653" s="13"/>
      <c r="I653" s="4"/>
      <c r="J653" s="4"/>
      <c r="K653" s="14" t="str">
        <f aca="false">IF($B653="","",IF($C653="泓普",$C$2,IF($C653="仟茂",$E$2,IF($C653="现金",$G$2,0)))+SUMIFS($I$5:$I653,$C$5:$C653,$C653)-SUMIFS($J$5:$J653,$C$5:$C653,$C653))</f>
        <v/>
      </c>
      <c r="L653" s="14" t="str">
        <f aca="false">IF($B653="","",$C$2+$E$2+$G$2+SUM($I$5:$I653)-SUM($J$5:$J653))</f>
        <v/>
      </c>
      <c r="M653" s="12"/>
      <c r="N653" s="15" t="str">
        <f aca="false">IF($B653="","",IF(NOT(ISNUMBER($B653)),"日期格式不对",IF($C653="","未选资金账户",IF(AND(N($I653)=0,N($J653)=0),"收支都为空",IF(AND(N($I653)&gt;0,N($J653)&gt;0),"收支不能同时填",IF(AND($D653&lt;&gt;"",LEFT($O653,1)="⚠"),"项目编号不存在",IF(AND($M653="是",$F653=""),"工程回款必须填往来单位","√")))))))</f>
        <v/>
      </c>
      <c r="O653" s="16" t="str">
        <f aca="false">IF($D653="","",IFERROR(INDEX(对照清单!$B$5:$B$60,MATCH($D653,对照清单!$A$5:$A$60,0)),"⚠编号不存在"))</f>
        <v/>
      </c>
      <c r="P653" s="10" t="str">
        <f aca="false">IF($B653="","",IF(ISNUMBER($B653),TEXT($B653,"yyyy-mm"),"日期非法"))</f>
        <v/>
      </c>
      <c r="Q653" s="10" t="str">
        <f aca="false">IF($B653="","",IF(ISNUMBER($B653),YEAR($B653),"日期非法"))</f>
        <v/>
      </c>
    </row>
    <row r="654" customFormat="false" ht="15.75" hidden="false" customHeight="true" outlineLevel="0" collapsed="false">
      <c r="A654" s="10" t="str">
        <f aca="false">IF($B654="","",ROW()-4)</f>
        <v/>
      </c>
      <c r="B654" s="11"/>
      <c r="C654" s="12"/>
      <c r="D654" s="12"/>
      <c r="E654" s="12"/>
      <c r="F654" s="12"/>
      <c r="G654" s="12"/>
      <c r="H654" s="13"/>
      <c r="I654" s="4"/>
      <c r="J654" s="4"/>
      <c r="K654" s="14" t="str">
        <f aca="false">IF($B654="","",IF($C654="泓普",$C$2,IF($C654="仟茂",$E$2,IF($C654="现金",$G$2,0)))+SUMIFS($I$5:$I654,$C$5:$C654,$C654)-SUMIFS($J$5:$J654,$C$5:$C654,$C654))</f>
        <v/>
      </c>
      <c r="L654" s="14" t="str">
        <f aca="false">IF($B654="","",$C$2+$E$2+$G$2+SUM($I$5:$I654)-SUM($J$5:$J654))</f>
        <v/>
      </c>
      <c r="M654" s="12"/>
      <c r="N654" s="15" t="str">
        <f aca="false">IF($B654="","",IF(NOT(ISNUMBER($B654)),"日期格式不对",IF($C654="","未选资金账户",IF(AND(N($I654)=0,N($J654)=0),"收支都为空",IF(AND(N($I654)&gt;0,N($J654)&gt;0),"收支不能同时填",IF(AND($D654&lt;&gt;"",LEFT($O654,1)="⚠"),"项目编号不存在",IF(AND($M654="是",$F654=""),"工程回款必须填往来单位","√")))))))</f>
        <v/>
      </c>
      <c r="O654" s="16" t="str">
        <f aca="false">IF($D654="","",IFERROR(INDEX(对照清单!$B$5:$B$60,MATCH($D654,对照清单!$A$5:$A$60,0)),"⚠编号不存在"))</f>
        <v/>
      </c>
      <c r="P654" s="10" t="str">
        <f aca="false">IF($B654="","",IF(ISNUMBER($B654),TEXT($B654,"yyyy-mm"),"日期非法"))</f>
        <v/>
      </c>
      <c r="Q654" s="10" t="str">
        <f aca="false">IF($B654="","",IF(ISNUMBER($B654),YEAR($B654),"日期非法"))</f>
        <v/>
      </c>
    </row>
    <row r="655" customFormat="false" ht="15.75" hidden="false" customHeight="true" outlineLevel="0" collapsed="false">
      <c r="A655" s="10" t="str">
        <f aca="false">IF($B655="","",ROW()-4)</f>
        <v/>
      </c>
      <c r="B655" s="11"/>
      <c r="C655" s="12"/>
      <c r="D655" s="12"/>
      <c r="E655" s="12"/>
      <c r="F655" s="12"/>
      <c r="G655" s="12"/>
      <c r="H655" s="13"/>
      <c r="I655" s="4"/>
      <c r="J655" s="4"/>
      <c r="K655" s="14" t="str">
        <f aca="false">IF($B655="","",IF($C655="泓普",$C$2,IF($C655="仟茂",$E$2,IF($C655="现金",$G$2,0)))+SUMIFS($I$5:$I655,$C$5:$C655,$C655)-SUMIFS($J$5:$J655,$C$5:$C655,$C655))</f>
        <v/>
      </c>
      <c r="L655" s="14" t="str">
        <f aca="false">IF($B655="","",$C$2+$E$2+$G$2+SUM($I$5:$I655)-SUM($J$5:$J655))</f>
        <v/>
      </c>
      <c r="M655" s="12"/>
      <c r="N655" s="15" t="str">
        <f aca="false">IF($B655="","",IF(NOT(ISNUMBER($B655)),"日期格式不对",IF($C655="","未选资金账户",IF(AND(N($I655)=0,N($J655)=0),"收支都为空",IF(AND(N($I655)&gt;0,N($J655)&gt;0),"收支不能同时填",IF(AND($D655&lt;&gt;"",LEFT($O655,1)="⚠"),"项目编号不存在",IF(AND($M655="是",$F655=""),"工程回款必须填往来单位","√")))))))</f>
        <v/>
      </c>
      <c r="O655" s="16" t="str">
        <f aca="false">IF($D655="","",IFERROR(INDEX(对照清单!$B$5:$B$60,MATCH($D655,对照清单!$A$5:$A$60,0)),"⚠编号不存在"))</f>
        <v/>
      </c>
      <c r="P655" s="10" t="str">
        <f aca="false">IF($B655="","",IF(ISNUMBER($B655),TEXT($B655,"yyyy-mm"),"日期非法"))</f>
        <v/>
      </c>
      <c r="Q655" s="10" t="str">
        <f aca="false">IF($B655="","",IF(ISNUMBER($B655),YEAR($B655),"日期非法"))</f>
        <v/>
      </c>
    </row>
    <row r="656" customFormat="false" ht="15.75" hidden="false" customHeight="true" outlineLevel="0" collapsed="false">
      <c r="A656" s="10" t="str">
        <f aca="false">IF($B656="","",ROW()-4)</f>
        <v/>
      </c>
      <c r="B656" s="11"/>
      <c r="C656" s="12"/>
      <c r="D656" s="12"/>
      <c r="E656" s="12"/>
      <c r="F656" s="12"/>
      <c r="G656" s="12"/>
      <c r="H656" s="13"/>
      <c r="I656" s="4"/>
      <c r="J656" s="4"/>
      <c r="K656" s="14" t="str">
        <f aca="false">IF($B656="","",IF($C656="泓普",$C$2,IF($C656="仟茂",$E$2,IF($C656="现金",$G$2,0)))+SUMIFS($I$5:$I656,$C$5:$C656,$C656)-SUMIFS($J$5:$J656,$C$5:$C656,$C656))</f>
        <v/>
      </c>
      <c r="L656" s="14" t="str">
        <f aca="false">IF($B656="","",$C$2+$E$2+$G$2+SUM($I$5:$I656)-SUM($J$5:$J656))</f>
        <v/>
      </c>
      <c r="M656" s="12"/>
      <c r="N656" s="15" t="str">
        <f aca="false">IF($B656="","",IF(NOT(ISNUMBER($B656)),"日期格式不对",IF($C656="","未选资金账户",IF(AND(N($I656)=0,N($J656)=0),"收支都为空",IF(AND(N($I656)&gt;0,N($J656)&gt;0),"收支不能同时填",IF(AND($D656&lt;&gt;"",LEFT($O656,1)="⚠"),"项目编号不存在",IF(AND($M656="是",$F656=""),"工程回款必须填往来单位","√")))))))</f>
        <v/>
      </c>
      <c r="O656" s="16" t="str">
        <f aca="false">IF($D656="","",IFERROR(INDEX(对照清单!$B$5:$B$60,MATCH($D656,对照清单!$A$5:$A$60,0)),"⚠编号不存在"))</f>
        <v/>
      </c>
      <c r="P656" s="10" t="str">
        <f aca="false">IF($B656="","",IF(ISNUMBER($B656),TEXT($B656,"yyyy-mm"),"日期非法"))</f>
        <v/>
      </c>
      <c r="Q656" s="10" t="str">
        <f aca="false">IF($B656="","",IF(ISNUMBER($B656),YEAR($B656),"日期非法"))</f>
        <v/>
      </c>
    </row>
    <row r="657" customFormat="false" ht="15.75" hidden="false" customHeight="true" outlineLevel="0" collapsed="false">
      <c r="A657" s="10" t="str">
        <f aca="false">IF($B657="","",ROW()-4)</f>
        <v/>
      </c>
      <c r="B657" s="11"/>
      <c r="C657" s="12"/>
      <c r="D657" s="12"/>
      <c r="E657" s="12"/>
      <c r="F657" s="12"/>
      <c r="G657" s="12"/>
      <c r="H657" s="13"/>
      <c r="I657" s="4"/>
      <c r="J657" s="4"/>
      <c r="K657" s="14" t="str">
        <f aca="false">IF($B657="","",IF($C657="泓普",$C$2,IF($C657="仟茂",$E$2,IF($C657="现金",$G$2,0)))+SUMIFS($I$5:$I657,$C$5:$C657,$C657)-SUMIFS($J$5:$J657,$C$5:$C657,$C657))</f>
        <v/>
      </c>
      <c r="L657" s="14" t="str">
        <f aca="false">IF($B657="","",$C$2+$E$2+$G$2+SUM($I$5:$I657)-SUM($J$5:$J657))</f>
        <v/>
      </c>
      <c r="M657" s="12"/>
      <c r="N657" s="15" t="str">
        <f aca="false">IF($B657="","",IF(NOT(ISNUMBER($B657)),"日期格式不对",IF($C657="","未选资金账户",IF(AND(N($I657)=0,N($J657)=0),"收支都为空",IF(AND(N($I657)&gt;0,N($J657)&gt;0),"收支不能同时填",IF(AND($D657&lt;&gt;"",LEFT($O657,1)="⚠"),"项目编号不存在",IF(AND($M657="是",$F657=""),"工程回款必须填往来单位","√")))))))</f>
        <v/>
      </c>
      <c r="O657" s="16" t="str">
        <f aca="false">IF($D657="","",IFERROR(INDEX(对照清单!$B$5:$B$60,MATCH($D657,对照清单!$A$5:$A$60,0)),"⚠编号不存在"))</f>
        <v/>
      </c>
      <c r="P657" s="10" t="str">
        <f aca="false">IF($B657="","",IF(ISNUMBER($B657),TEXT($B657,"yyyy-mm"),"日期非法"))</f>
        <v/>
      </c>
      <c r="Q657" s="10" t="str">
        <f aca="false">IF($B657="","",IF(ISNUMBER($B657),YEAR($B657),"日期非法"))</f>
        <v/>
      </c>
    </row>
    <row r="658" customFormat="false" ht="15.75" hidden="false" customHeight="true" outlineLevel="0" collapsed="false">
      <c r="A658" s="10" t="str">
        <f aca="false">IF($B658="","",ROW()-4)</f>
        <v/>
      </c>
      <c r="B658" s="11"/>
      <c r="C658" s="12"/>
      <c r="D658" s="12"/>
      <c r="E658" s="12"/>
      <c r="F658" s="12"/>
      <c r="G658" s="12"/>
      <c r="H658" s="13"/>
      <c r="I658" s="4"/>
      <c r="J658" s="4"/>
      <c r="K658" s="14" t="str">
        <f aca="false">IF($B658="","",IF($C658="泓普",$C$2,IF($C658="仟茂",$E$2,IF($C658="现金",$G$2,0)))+SUMIFS($I$5:$I658,$C$5:$C658,$C658)-SUMIFS($J$5:$J658,$C$5:$C658,$C658))</f>
        <v/>
      </c>
      <c r="L658" s="14" t="str">
        <f aca="false">IF($B658="","",$C$2+$E$2+$G$2+SUM($I$5:$I658)-SUM($J$5:$J658))</f>
        <v/>
      </c>
      <c r="M658" s="12"/>
      <c r="N658" s="15" t="str">
        <f aca="false">IF($B658="","",IF(NOT(ISNUMBER($B658)),"日期格式不对",IF($C658="","未选资金账户",IF(AND(N($I658)=0,N($J658)=0),"收支都为空",IF(AND(N($I658)&gt;0,N($J658)&gt;0),"收支不能同时填",IF(AND($D658&lt;&gt;"",LEFT($O658,1)="⚠"),"项目编号不存在",IF(AND($M658="是",$F658=""),"工程回款必须填往来单位","√")))))))</f>
        <v/>
      </c>
      <c r="O658" s="16" t="str">
        <f aca="false">IF($D658="","",IFERROR(INDEX(对照清单!$B$5:$B$60,MATCH($D658,对照清单!$A$5:$A$60,0)),"⚠编号不存在"))</f>
        <v/>
      </c>
      <c r="P658" s="10" t="str">
        <f aca="false">IF($B658="","",IF(ISNUMBER($B658),TEXT($B658,"yyyy-mm"),"日期非法"))</f>
        <v/>
      </c>
      <c r="Q658" s="10" t="str">
        <f aca="false">IF($B658="","",IF(ISNUMBER($B658),YEAR($B658),"日期非法"))</f>
        <v/>
      </c>
    </row>
    <row r="659" customFormat="false" ht="15.75" hidden="false" customHeight="true" outlineLevel="0" collapsed="false">
      <c r="A659" s="10" t="str">
        <f aca="false">IF($B659="","",ROW()-4)</f>
        <v/>
      </c>
      <c r="B659" s="11"/>
      <c r="C659" s="12"/>
      <c r="D659" s="12"/>
      <c r="E659" s="12"/>
      <c r="F659" s="12"/>
      <c r="G659" s="12"/>
      <c r="H659" s="13"/>
      <c r="I659" s="4"/>
      <c r="J659" s="4"/>
      <c r="K659" s="14" t="str">
        <f aca="false">IF($B659="","",IF($C659="泓普",$C$2,IF($C659="仟茂",$E$2,IF($C659="现金",$G$2,0)))+SUMIFS($I$5:$I659,$C$5:$C659,$C659)-SUMIFS($J$5:$J659,$C$5:$C659,$C659))</f>
        <v/>
      </c>
      <c r="L659" s="14" t="str">
        <f aca="false">IF($B659="","",$C$2+$E$2+$G$2+SUM($I$5:$I659)-SUM($J$5:$J659))</f>
        <v/>
      </c>
      <c r="M659" s="12"/>
      <c r="N659" s="15" t="str">
        <f aca="false">IF($B659="","",IF(NOT(ISNUMBER($B659)),"日期格式不对",IF($C659="","未选资金账户",IF(AND(N($I659)=0,N($J659)=0),"收支都为空",IF(AND(N($I659)&gt;0,N($J659)&gt;0),"收支不能同时填",IF(AND($D659&lt;&gt;"",LEFT($O659,1)="⚠"),"项目编号不存在",IF(AND($M659="是",$F659=""),"工程回款必须填往来单位","√")))))))</f>
        <v/>
      </c>
      <c r="O659" s="16" t="str">
        <f aca="false">IF($D659="","",IFERROR(INDEX(对照清单!$B$5:$B$60,MATCH($D659,对照清单!$A$5:$A$60,0)),"⚠编号不存在"))</f>
        <v/>
      </c>
      <c r="P659" s="10" t="str">
        <f aca="false">IF($B659="","",IF(ISNUMBER($B659),TEXT($B659,"yyyy-mm"),"日期非法"))</f>
        <v/>
      </c>
      <c r="Q659" s="10" t="str">
        <f aca="false">IF($B659="","",IF(ISNUMBER($B659),YEAR($B659),"日期非法"))</f>
        <v/>
      </c>
    </row>
    <row r="660" customFormat="false" ht="15.75" hidden="false" customHeight="true" outlineLevel="0" collapsed="false">
      <c r="A660" s="10" t="str">
        <f aca="false">IF($B660="","",ROW()-4)</f>
        <v/>
      </c>
      <c r="B660" s="11"/>
      <c r="C660" s="12"/>
      <c r="D660" s="12"/>
      <c r="E660" s="12"/>
      <c r="F660" s="12"/>
      <c r="G660" s="12"/>
      <c r="H660" s="13"/>
      <c r="I660" s="4"/>
      <c r="J660" s="4"/>
      <c r="K660" s="14" t="str">
        <f aca="false">IF($B660="","",IF($C660="泓普",$C$2,IF($C660="仟茂",$E$2,IF($C660="现金",$G$2,0)))+SUMIFS($I$5:$I660,$C$5:$C660,$C660)-SUMIFS($J$5:$J660,$C$5:$C660,$C660))</f>
        <v/>
      </c>
      <c r="L660" s="14" t="str">
        <f aca="false">IF($B660="","",$C$2+$E$2+$G$2+SUM($I$5:$I660)-SUM($J$5:$J660))</f>
        <v/>
      </c>
      <c r="M660" s="12"/>
      <c r="N660" s="15" t="str">
        <f aca="false">IF($B660="","",IF(NOT(ISNUMBER($B660)),"日期格式不对",IF($C660="","未选资金账户",IF(AND(N($I660)=0,N($J660)=0),"收支都为空",IF(AND(N($I660)&gt;0,N($J660)&gt;0),"收支不能同时填",IF(AND($D660&lt;&gt;"",LEFT($O660,1)="⚠"),"项目编号不存在",IF(AND($M660="是",$F660=""),"工程回款必须填往来单位","√")))))))</f>
        <v/>
      </c>
      <c r="O660" s="16" t="str">
        <f aca="false">IF($D660="","",IFERROR(INDEX(对照清单!$B$5:$B$60,MATCH($D660,对照清单!$A$5:$A$60,0)),"⚠编号不存在"))</f>
        <v/>
      </c>
      <c r="P660" s="10" t="str">
        <f aca="false">IF($B660="","",IF(ISNUMBER($B660),TEXT($B660,"yyyy-mm"),"日期非法"))</f>
        <v/>
      </c>
      <c r="Q660" s="10" t="str">
        <f aca="false">IF($B660="","",IF(ISNUMBER($B660),YEAR($B660),"日期非法"))</f>
        <v/>
      </c>
    </row>
    <row r="661" customFormat="false" ht="15.75" hidden="false" customHeight="true" outlineLevel="0" collapsed="false">
      <c r="A661" s="10" t="str">
        <f aca="false">IF($B661="","",ROW()-4)</f>
        <v/>
      </c>
      <c r="B661" s="11"/>
      <c r="C661" s="12"/>
      <c r="D661" s="12"/>
      <c r="E661" s="12"/>
      <c r="F661" s="12"/>
      <c r="G661" s="12"/>
      <c r="H661" s="13"/>
      <c r="I661" s="4"/>
      <c r="J661" s="4"/>
      <c r="K661" s="14" t="str">
        <f aca="false">IF($B661="","",IF($C661="泓普",$C$2,IF($C661="仟茂",$E$2,IF($C661="现金",$G$2,0)))+SUMIFS($I$5:$I661,$C$5:$C661,$C661)-SUMIFS($J$5:$J661,$C$5:$C661,$C661))</f>
        <v/>
      </c>
      <c r="L661" s="14" t="str">
        <f aca="false">IF($B661="","",$C$2+$E$2+$G$2+SUM($I$5:$I661)-SUM($J$5:$J661))</f>
        <v/>
      </c>
      <c r="M661" s="12"/>
      <c r="N661" s="15" t="str">
        <f aca="false">IF($B661="","",IF(NOT(ISNUMBER($B661)),"日期格式不对",IF($C661="","未选资金账户",IF(AND(N($I661)=0,N($J661)=0),"收支都为空",IF(AND(N($I661)&gt;0,N($J661)&gt;0),"收支不能同时填",IF(AND($D661&lt;&gt;"",LEFT($O661,1)="⚠"),"项目编号不存在",IF(AND($M661="是",$F661=""),"工程回款必须填往来单位","√")))))))</f>
        <v/>
      </c>
      <c r="O661" s="16" t="str">
        <f aca="false">IF($D661="","",IFERROR(INDEX(对照清单!$B$5:$B$60,MATCH($D661,对照清单!$A$5:$A$60,0)),"⚠编号不存在"))</f>
        <v/>
      </c>
      <c r="P661" s="10" t="str">
        <f aca="false">IF($B661="","",IF(ISNUMBER($B661),TEXT($B661,"yyyy-mm"),"日期非法"))</f>
        <v/>
      </c>
      <c r="Q661" s="10" t="str">
        <f aca="false">IF($B661="","",IF(ISNUMBER($B661),YEAR($B661),"日期非法"))</f>
        <v/>
      </c>
    </row>
    <row r="662" customFormat="false" ht="15.75" hidden="false" customHeight="true" outlineLevel="0" collapsed="false">
      <c r="A662" s="10" t="str">
        <f aca="false">IF($B662="","",ROW()-4)</f>
        <v/>
      </c>
      <c r="B662" s="11"/>
      <c r="C662" s="12"/>
      <c r="D662" s="12"/>
      <c r="E662" s="12"/>
      <c r="F662" s="12"/>
      <c r="G662" s="12"/>
      <c r="H662" s="13"/>
      <c r="I662" s="4"/>
      <c r="J662" s="4"/>
      <c r="K662" s="14" t="str">
        <f aca="false">IF($B662="","",IF($C662="泓普",$C$2,IF($C662="仟茂",$E$2,IF($C662="现金",$G$2,0)))+SUMIFS($I$5:$I662,$C$5:$C662,$C662)-SUMIFS($J$5:$J662,$C$5:$C662,$C662))</f>
        <v/>
      </c>
      <c r="L662" s="14" t="str">
        <f aca="false">IF($B662="","",$C$2+$E$2+$G$2+SUM($I$5:$I662)-SUM($J$5:$J662))</f>
        <v/>
      </c>
      <c r="M662" s="12"/>
      <c r="N662" s="15" t="str">
        <f aca="false">IF($B662="","",IF(NOT(ISNUMBER($B662)),"日期格式不对",IF($C662="","未选资金账户",IF(AND(N($I662)=0,N($J662)=0),"收支都为空",IF(AND(N($I662)&gt;0,N($J662)&gt;0),"收支不能同时填",IF(AND($D662&lt;&gt;"",LEFT($O662,1)="⚠"),"项目编号不存在",IF(AND($M662="是",$F662=""),"工程回款必须填往来单位","√")))))))</f>
        <v/>
      </c>
      <c r="O662" s="16" t="str">
        <f aca="false">IF($D662="","",IFERROR(INDEX(对照清单!$B$5:$B$60,MATCH($D662,对照清单!$A$5:$A$60,0)),"⚠编号不存在"))</f>
        <v/>
      </c>
      <c r="P662" s="10" t="str">
        <f aca="false">IF($B662="","",IF(ISNUMBER($B662),TEXT($B662,"yyyy-mm"),"日期非法"))</f>
        <v/>
      </c>
      <c r="Q662" s="10" t="str">
        <f aca="false">IF($B662="","",IF(ISNUMBER($B662),YEAR($B662),"日期非法"))</f>
        <v/>
      </c>
    </row>
    <row r="663" customFormat="false" ht="15.75" hidden="false" customHeight="true" outlineLevel="0" collapsed="false">
      <c r="A663" s="10" t="str">
        <f aca="false">IF($B663="","",ROW()-4)</f>
        <v/>
      </c>
      <c r="B663" s="11"/>
      <c r="C663" s="12"/>
      <c r="D663" s="12"/>
      <c r="E663" s="12"/>
      <c r="F663" s="12"/>
      <c r="G663" s="12"/>
      <c r="H663" s="13"/>
      <c r="I663" s="4"/>
      <c r="J663" s="4"/>
      <c r="K663" s="14" t="str">
        <f aca="false">IF($B663="","",IF($C663="泓普",$C$2,IF($C663="仟茂",$E$2,IF($C663="现金",$G$2,0)))+SUMIFS($I$5:$I663,$C$5:$C663,$C663)-SUMIFS($J$5:$J663,$C$5:$C663,$C663))</f>
        <v/>
      </c>
      <c r="L663" s="14" t="str">
        <f aca="false">IF($B663="","",$C$2+$E$2+$G$2+SUM($I$5:$I663)-SUM($J$5:$J663))</f>
        <v/>
      </c>
      <c r="M663" s="12"/>
      <c r="N663" s="15" t="str">
        <f aca="false">IF($B663="","",IF(NOT(ISNUMBER($B663)),"日期格式不对",IF($C663="","未选资金账户",IF(AND(N($I663)=0,N($J663)=0),"收支都为空",IF(AND(N($I663)&gt;0,N($J663)&gt;0),"收支不能同时填",IF(AND($D663&lt;&gt;"",LEFT($O663,1)="⚠"),"项目编号不存在",IF(AND($M663="是",$F663=""),"工程回款必须填往来单位","√")))))))</f>
        <v/>
      </c>
      <c r="O663" s="16" t="str">
        <f aca="false">IF($D663="","",IFERROR(INDEX(对照清单!$B$5:$B$60,MATCH($D663,对照清单!$A$5:$A$60,0)),"⚠编号不存在"))</f>
        <v/>
      </c>
      <c r="P663" s="10" t="str">
        <f aca="false">IF($B663="","",IF(ISNUMBER($B663),TEXT($B663,"yyyy-mm"),"日期非法"))</f>
        <v/>
      </c>
      <c r="Q663" s="10" t="str">
        <f aca="false">IF($B663="","",IF(ISNUMBER($B663),YEAR($B663),"日期非法"))</f>
        <v/>
      </c>
    </row>
    <row r="664" customFormat="false" ht="15.75" hidden="false" customHeight="true" outlineLevel="0" collapsed="false">
      <c r="A664" s="10" t="str">
        <f aca="false">IF($B664="","",ROW()-4)</f>
        <v/>
      </c>
      <c r="B664" s="11"/>
      <c r="C664" s="12"/>
      <c r="D664" s="12"/>
      <c r="E664" s="12"/>
      <c r="F664" s="12"/>
      <c r="G664" s="12"/>
      <c r="H664" s="13"/>
      <c r="I664" s="4"/>
      <c r="J664" s="4"/>
      <c r="K664" s="14" t="str">
        <f aca="false">IF($B664="","",IF($C664="泓普",$C$2,IF($C664="仟茂",$E$2,IF($C664="现金",$G$2,0)))+SUMIFS($I$5:$I664,$C$5:$C664,$C664)-SUMIFS($J$5:$J664,$C$5:$C664,$C664))</f>
        <v/>
      </c>
      <c r="L664" s="14" t="str">
        <f aca="false">IF($B664="","",$C$2+$E$2+$G$2+SUM($I$5:$I664)-SUM($J$5:$J664))</f>
        <v/>
      </c>
      <c r="M664" s="12"/>
      <c r="N664" s="15" t="str">
        <f aca="false">IF($B664="","",IF(NOT(ISNUMBER($B664)),"日期格式不对",IF($C664="","未选资金账户",IF(AND(N($I664)=0,N($J664)=0),"收支都为空",IF(AND(N($I664)&gt;0,N($J664)&gt;0),"收支不能同时填",IF(AND($D664&lt;&gt;"",LEFT($O664,1)="⚠"),"项目编号不存在",IF(AND($M664="是",$F664=""),"工程回款必须填往来单位","√")))))))</f>
        <v/>
      </c>
      <c r="O664" s="16" t="str">
        <f aca="false">IF($D664="","",IFERROR(INDEX(对照清单!$B$5:$B$60,MATCH($D664,对照清单!$A$5:$A$60,0)),"⚠编号不存在"))</f>
        <v/>
      </c>
      <c r="P664" s="10" t="str">
        <f aca="false">IF($B664="","",IF(ISNUMBER($B664),TEXT($B664,"yyyy-mm"),"日期非法"))</f>
        <v/>
      </c>
      <c r="Q664" s="10" t="str">
        <f aca="false">IF($B664="","",IF(ISNUMBER($B664),YEAR($B664),"日期非法"))</f>
        <v/>
      </c>
    </row>
    <row r="665" customFormat="false" ht="15.75" hidden="false" customHeight="true" outlineLevel="0" collapsed="false">
      <c r="A665" s="10" t="str">
        <f aca="false">IF($B665="","",ROW()-4)</f>
        <v/>
      </c>
      <c r="B665" s="11"/>
      <c r="C665" s="12"/>
      <c r="D665" s="12"/>
      <c r="E665" s="12"/>
      <c r="F665" s="12"/>
      <c r="G665" s="12"/>
      <c r="H665" s="13"/>
      <c r="I665" s="4"/>
      <c r="J665" s="4"/>
      <c r="K665" s="14" t="str">
        <f aca="false">IF($B665="","",IF($C665="泓普",$C$2,IF($C665="仟茂",$E$2,IF($C665="现金",$G$2,0)))+SUMIFS($I$5:$I665,$C$5:$C665,$C665)-SUMIFS($J$5:$J665,$C$5:$C665,$C665))</f>
        <v/>
      </c>
      <c r="L665" s="14" t="str">
        <f aca="false">IF($B665="","",$C$2+$E$2+$G$2+SUM($I$5:$I665)-SUM($J$5:$J665))</f>
        <v/>
      </c>
      <c r="M665" s="12"/>
      <c r="N665" s="15" t="str">
        <f aca="false">IF($B665="","",IF(NOT(ISNUMBER($B665)),"日期格式不对",IF($C665="","未选资金账户",IF(AND(N($I665)=0,N($J665)=0),"收支都为空",IF(AND(N($I665)&gt;0,N($J665)&gt;0),"收支不能同时填",IF(AND($D665&lt;&gt;"",LEFT($O665,1)="⚠"),"项目编号不存在",IF(AND($M665="是",$F665=""),"工程回款必须填往来单位","√")))))))</f>
        <v/>
      </c>
      <c r="O665" s="16" t="str">
        <f aca="false">IF($D665="","",IFERROR(INDEX(对照清单!$B$5:$B$60,MATCH($D665,对照清单!$A$5:$A$60,0)),"⚠编号不存在"))</f>
        <v/>
      </c>
      <c r="P665" s="10" t="str">
        <f aca="false">IF($B665="","",IF(ISNUMBER($B665),TEXT($B665,"yyyy-mm"),"日期非法"))</f>
        <v/>
      </c>
      <c r="Q665" s="10" t="str">
        <f aca="false">IF($B665="","",IF(ISNUMBER($B665),YEAR($B665),"日期非法"))</f>
        <v/>
      </c>
    </row>
    <row r="666" customFormat="false" ht="15.75" hidden="false" customHeight="true" outlineLevel="0" collapsed="false">
      <c r="A666" s="10" t="str">
        <f aca="false">IF($B666="","",ROW()-4)</f>
        <v/>
      </c>
      <c r="B666" s="11"/>
      <c r="C666" s="12"/>
      <c r="D666" s="12"/>
      <c r="E666" s="12"/>
      <c r="F666" s="12"/>
      <c r="G666" s="12"/>
      <c r="H666" s="13"/>
      <c r="I666" s="4"/>
      <c r="J666" s="4"/>
      <c r="K666" s="14" t="str">
        <f aca="false">IF($B666="","",IF($C666="泓普",$C$2,IF($C666="仟茂",$E$2,IF($C666="现金",$G$2,0)))+SUMIFS($I$5:$I666,$C$5:$C666,$C666)-SUMIFS($J$5:$J666,$C$5:$C666,$C666))</f>
        <v/>
      </c>
      <c r="L666" s="14" t="str">
        <f aca="false">IF($B666="","",$C$2+$E$2+$G$2+SUM($I$5:$I666)-SUM($J$5:$J666))</f>
        <v/>
      </c>
      <c r="M666" s="12"/>
      <c r="N666" s="15" t="str">
        <f aca="false">IF($B666="","",IF(NOT(ISNUMBER($B666)),"日期格式不对",IF($C666="","未选资金账户",IF(AND(N($I666)=0,N($J666)=0),"收支都为空",IF(AND(N($I666)&gt;0,N($J666)&gt;0),"收支不能同时填",IF(AND($D666&lt;&gt;"",LEFT($O666,1)="⚠"),"项目编号不存在",IF(AND($M666="是",$F666=""),"工程回款必须填往来单位","√")))))))</f>
        <v/>
      </c>
      <c r="O666" s="16" t="str">
        <f aca="false">IF($D666="","",IFERROR(INDEX(对照清单!$B$5:$B$60,MATCH($D666,对照清单!$A$5:$A$60,0)),"⚠编号不存在"))</f>
        <v/>
      </c>
      <c r="P666" s="10" t="str">
        <f aca="false">IF($B666="","",IF(ISNUMBER($B666),TEXT($B666,"yyyy-mm"),"日期非法"))</f>
        <v/>
      </c>
      <c r="Q666" s="10" t="str">
        <f aca="false">IF($B666="","",IF(ISNUMBER($B666),YEAR($B666),"日期非法"))</f>
        <v/>
      </c>
    </row>
    <row r="667" customFormat="false" ht="15.75" hidden="false" customHeight="true" outlineLevel="0" collapsed="false">
      <c r="A667" s="10" t="str">
        <f aca="false">IF($B667="","",ROW()-4)</f>
        <v/>
      </c>
      <c r="B667" s="11"/>
      <c r="C667" s="12"/>
      <c r="D667" s="12"/>
      <c r="E667" s="12"/>
      <c r="F667" s="12"/>
      <c r="G667" s="12"/>
      <c r="H667" s="13"/>
      <c r="I667" s="4"/>
      <c r="J667" s="4"/>
      <c r="K667" s="14" t="str">
        <f aca="false">IF($B667="","",IF($C667="泓普",$C$2,IF($C667="仟茂",$E$2,IF($C667="现金",$G$2,0)))+SUMIFS($I$5:$I667,$C$5:$C667,$C667)-SUMIFS($J$5:$J667,$C$5:$C667,$C667))</f>
        <v/>
      </c>
      <c r="L667" s="14" t="str">
        <f aca="false">IF($B667="","",$C$2+$E$2+$G$2+SUM($I$5:$I667)-SUM($J$5:$J667))</f>
        <v/>
      </c>
      <c r="M667" s="12"/>
      <c r="N667" s="15" t="str">
        <f aca="false">IF($B667="","",IF(NOT(ISNUMBER($B667)),"日期格式不对",IF($C667="","未选资金账户",IF(AND(N($I667)=0,N($J667)=0),"收支都为空",IF(AND(N($I667)&gt;0,N($J667)&gt;0),"收支不能同时填",IF(AND($D667&lt;&gt;"",LEFT($O667,1)="⚠"),"项目编号不存在",IF(AND($M667="是",$F667=""),"工程回款必须填往来单位","√")))))))</f>
        <v/>
      </c>
      <c r="O667" s="16" t="str">
        <f aca="false">IF($D667="","",IFERROR(INDEX(对照清单!$B$5:$B$60,MATCH($D667,对照清单!$A$5:$A$60,0)),"⚠编号不存在"))</f>
        <v/>
      </c>
      <c r="P667" s="10" t="str">
        <f aca="false">IF($B667="","",IF(ISNUMBER($B667),TEXT($B667,"yyyy-mm"),"日期非法"))</f>
        <v/>
      </c>
      <c r="Q667" s="10" t="str">
        <f aca="false">IF($B667="","",IF(ISNUMBER($B667),YEAR($B667),"日期非法"))</f>
        <v/>
      </c>
    </row>
    <row r="668" customFormat="false" ht="15.75" hidden="false" customHeight="true" outlineLevel="0" collapsed="false">
      <c r="A668" s="10" t="str">
        <f aca="false">IF($B668="","",ROW()-4)</f>
        <v/>
      </c>
      <c r="B668" s="11"/>
      <c r="C668" s="12"/>
      <c r="D668" s="12"/>
      <c r="E668" s="12"/>
      <c r="F668" s="12"/>
      <c r="G668" s="12"/>
      <c r="H668" s="13"/>
      <c r="I668" s="4"/>
      <c r="J668" s="4"/>
      <c r="K668" s="14" t="str">
        <f aca="false">IF($B668="","",IF($C668="泓普",$C$2,IF($C668="仟茂",$E$2,IF($C668="现金",$G$2,0)))+SUMIFS($I$5:$I668,$C$5:$C668,$C668)-SUMIFS($J$5:$J668,$C$5:$C668,$C668))</f>
        <v/>
      </c>
      <c r="L668" s="14" t="str">
        <f aca="false">IF($B668="","",$C$2+$E$2+$G$2+SUM($I$5:$I668)-SUM($J$5:$J668))</f>
        <v/>
      </c>
      <c r="M668" s="12"/>
      <c r="N668" s="15" t="str">
        <f aca="false">IF($B668="","",IF(NOT(ISNUMBER($B668)),"日期格式不对",IF($C668="","未选资金账户",IF(AND(N($I668)=0,N($J668)=0),"收支都为空",IF(AND(N($I668)&gt;0,N($J668)&gt;0),"收支不能同时填",IF(AND($D668&lt;&gt;"",LEFT($O668,1)="⚠"),"项目编号不存在",IF(AND($M668="是",$F668=""),"工程回款必须填往来单位","√")))))))</f>
        <v/>
      </c>
      <c r="O668" s="16" t="str">
        <f aca="false">IF($D668="","",IFERROR(INDEX(对照清单!$B$5:$B$60,MATCH($D668,对照清单!$A$5:$A$60,0)),"⚠编号不存在"))</f>
        <v/>
      </c>
      <c r="P668" s="10" t="str">
        <f aca="false">IF($B668="","",IF(ISNUMBER($B668),TEXT($B668,"yyyy-mm"),"日期非法"))</f>
        <v/>
      </c>
      <c r="Q668" s="10" t="str">
        <f aca="false">IF($B668="","",IF(ISNUMBER($B668),YEAR($B668),"日期非法"))</f>
        <v/>
      </c>
    </row>
    <row r="669" customFormat="false" ht="15.75" hidden="false" customHeight="true" outlineLevel="0" collapsed="false">
      <c r="A669" s="10" t="str">
        <f aca="false">IF($B669="","",ROW()-4)</f>
        <v/>
      </c>
      <c r="B669" s="11"/>
      <c r="C669" s="12"/>
      <c r="D669" s="12"/>
      <c r="E669" s="12"/>
      <c r="F669" s="12"/>
      <c r="G669" s="12"/>
      <c r="H669" s="13"/>
      <c r="I669" s="4"/>
      <c r="J669" s="4"/>
      <c r="K669" s="14" t="str">
        <f aca="false">IF($B669="","",IF($C669="泓普",$C$2,IF($C669="仟茂",$E$2,IF($C669="现金",$G$2,0)))+SUMIFS($I$5:$I669,$C$5:$C669,$C669)-SUMIFS($J$5:$J669,$C$5:$C669,$C669))</f>
        <v/>
      </c>
      <c r="L669" s="14" t="str">
        <f aca="false">IF($B669="","",$C$2+$E$2+$G$2+SUM($I$5:$I669)-SUM($J$5:$J669))</f>
        <v/>
      </c>
      <c r="M669" s="12"/>
      <c r="N669" s="15" t="str">
        <f aca="false">IF($B669="","",IF(NOT(ISNUMBER($B669)),"日期格式不对",IF($C669="","未选资金账户",IF(AND(N($I669)=0,N($J669)=0),"收支都为空",IF(AND(N($I669)&gt;0,N($J669)&gt;0),"收支不能同时填",IF(AND($D669&lt;&gt;"",LEFT($O669,1)="⚠"),"项目编号不存在",IF(AND($M669="是",$F669=""),"工程回款必须填往来单位","√")))))))</f>
        <v/>
      </c>
      <c r="O669" s="16" t="str">
        <f aca="false">IF($D669="","",IFERROR(INDEX(对照清单!$B$5:$B$60,MATCH($D669,对照清单!$A$5:$A$60,0)),"⚠编号不存在"))</f>
        <v/>
      </c>
      <c r="P669" s="10" t="str">
        <f aca="false">IF($B669="","",IF(ISNUMBER($B669),TEXT($B669,"yyyy-mm"),"日期非法"))</f>
        <v/>
      </c>
      <c r="Q669" s="10" t="str">
        <f aca="false">IF($B669="","",IF(ISNUMBER($B669),YEAR($B669),"日期非法"))</f>
        <v/>
      </c>
    </row>
    <row r="670" customFormat="false" ht="15.75" hidden="false" customHeight="true" outlineLevel="0" collapsed="false">
      <c r="A670" s="10" t="str">
        <f aca="false">IF($B670="","",ROW()-4)</f>
        <v/>
      </c>
      <c r="B670" s="11"/>
      <c r="C670" s="12"/>
      <c r="D670" s="12"/>
      <c r="E670" s="12"/>
      <c r="F670" s="12"/>
      <c r="G670" s="12"/>
      <c r="H670" s="13"/>
      <c r="I670" s="4"/>
      <c r="J670" s="4"/>
      <c r="K670" s="14" t="str">
        <f aca="false">IF($B670="","",IF($C670="泓普",$C$2,IF($C670="仟茂",$E$2,IF($C670="现金",$G$2,0)))+SUMIFS($I$5:$I670,$C$5:$C670,$C670)-SUMIFS($J$5:$J670,$C$5:$C670,$C670))</f>
        <v/>
      </c>
      <c r="L670" s="14" t="str">
        <f aca="false">IF($B670="","",$C$2+$E$2+$G$2+SUM($I$5:$I670)-SUM($J$5:$J670))</f>
        <v/>
      </c>
      <c r="M670" s="12"/>
      <c r="N670" s="15" t="str">
        <f aca="false">IF($B670="","",IF(NOT(ISNUMBER($B670)),"日期格式不对",IF($C670="","未选资金账户",IF(AND(N($I670)=0,N($J670)=0),"收支都为空",IF(AND(N($I670)&gt;0,N($J670)&gt;0),"收支不能同时填",IF(AND($D670&lt;&gt;"",LEFT($O670,1)="⚠"),"项目编号不存在",IF(AND($M670="是",$F670=""),"工程回款必须填往来单位","√")))))))</f>
        <v/>
      </c>
      <c r="O670" s="16" t="str">
        <f aca="false">IF($D670="","",IFERROR(INDEX(对照清单!$B$5:$B$60,MATCH($D670,对照清单!$A$5:$A$60,0)),"⚠编号不存在"))</f>
        <v/>
      </c>
      <c r="P670" s="10" t="str">
        <f aca="false">IF($B670="","",IF(ISNUMBER($B670),TEXT($B670,"yyyy-mm"),"日期非法"))</f>
        <v/>
      </c>
      <c r="Q670" s="10" t="str">
        <f aca="false">IF($B670="","",IF(ISNUMBER($B670),YEAR($B670),"日期非法"))</f>
        <v/>
      </c>
    </row>
    <row r="671" customFormat="false" ht="15.75" hidden="false" customHeight="true" outlineLevel="0" collapsed="false">
      <c r="A671" s="10" t="str">
        <f aca="false">IF($B671="","",ROW()-4)</f>
        <v/>
      </c>
      <c r="B671" s="11"/>
      <c r="C671" s="12"/>
      <c r="D671" s="12"/>
      <c r="E671" s="12"/>
      <c r="F671" s="12"/>
      <c r="G671" s="12"/>
      <c r="H671" s="13"/>
      <c r="I671" s="4"/>
      <c r="J671" s="4"/>
      <c r="K671" s="14" t="str">
        <f aca="false">IF($B671="","",IF($C671="泓普",$C$2,IF($C671="仟茂",$E$2,IF($C671="现金",$G$2,0)))+SUMIFS($I$5:$I671,$C$5:$C671,$C671)-SUMIFS($J$5:$J671,$C$5:$C671,$C671))</f>
        <v/>
      </c>
      <c r="L671" s="14" t="str">
        <f aca="false">IF($B671="","",$C$2+$E$2+$G$2+SUM($I$5:$I671)-SUM($J$5:$J671))</f>
        <v/>
      </c>
      <c r="M671" s="12"/>
      <c r="N671" s="15" t="str">
        <f aca="false">IF($B671="","",IF(NOT(ISNUMBER($B671)),"日期格式不对",IF($C671="","未选资金账户",IF(AND(N($I671)=0,N($J671)=0),"收支都为空",IF(AND(N($I671)&gt;0,N($J671)&gt;0),"收支不能同时填",IF(AND($D671&lt;&gt;"",LEFT($O671,1)="⚠"),"项目编号不存在",IF(AND($M671="是",$F671=""),"工程回款必须填往来单位","√")))))))</f>
        <v/>
      </c>
      <c r="O671" s="16" t="str">
        <f aca="false">IF($D671="","",IFERROR(INDEX(对照清单!$B$5:$B$60,MATCH($D671,对照清单!$A$5:$A$60,0)),"⚠编号不存在"))</f>
        <v/>
      </c>
      <c r="P671" s="10" t="str">
        <f aca="false">IF($B671="","",IF(ISNUMBER($B671),TEXT($B671,"yyyy-mm"),"日期非法"))</f>
        <v/>
      </c>
      <c r="Q671" s="10" t="str">
        <f aca="false">IF($B671="","",IF(ISNUMBER($B671),YEAR($B671),"日期非法"))</f>
        <v/>
      </c>
    </row>
    <row r="672" customFormat="false" ht="15.75" hidden="false" customHeight="true" outlineLevel="0" collapsed="false">
      <c r="A672" s="10" t="str">
        <f aca="false">IF($B672="","",ROW()-4)</f>
        <v/>
      </c>
      <c r="B672" s="11"/>
      <c r="C672" s="12"/>
      <c r="D672" s="12"/>
      <c r="E672" s="12"/>
      <c r="F672" s="12"/>
      <c r="G672" s="12"/>
      <c r="H672" s="13"/>
      <c r="I672" s="4"/>
      <c r="J672" s="4"/>
      <c r="K672" s="14" t="str">
        <f aca="false">IF($B672="","",IF($C672="泓普",$C$2,IF($C672="仟茂",$E$2,IF($C672="现金",$G$2,0)))+SUMIFS($I$5:$I672,$C$5:$C672,$C672)-SUMIFS($J$5:$J672,$C$5:$C672,$C672))</f>
        <v/>
      </c>
      <c r="L672" s="14" t="str">
        <f aca="false">IF($B672="","",$C$2+$E$2+$G$2+SUM($I$5:$I672)-SUM($J$5:$J672))</f>
        <v/>
      </c>
      <c r="M672" s="12"/>
      <c r="N672" s="15" t="str">
        <f aca="false">IF($B672="","",IF(NOT(ISNUMBER($B672)),"日期格式不对",IF($C672="","未选资金账户",IF(AND(N($I672)=0,N($J672)=0),"收支都为空",IF(AND(N($I672)&gt;0,N($J672)&gt;0),"收支不能同时填",IF(AND($D672&lt;&gt;"",LEFT($O672,1)="⚠"),"项目编号不存在",IF(AND($M672="是",$F672=""),"工程回款必须填往来单位","√")))))))</f>
        <v/>
      </c>
      <c r="O672" s="16" t="str">
        <f aca="false">IF($D672="","",IFERROR(INDEX(对照清单!$B$5:$B$60,MATCH($D672,对照清单!$A$5:$A$60,0)),"⚠编号不存在"))</f>
        <v/>
      </c>
      <c r="P672" s="10" t="str">
        <f aca="false">IF($B672="","",IF(ISNUMBER($B672),TEXT($B672,"yyyy-mm"),"日期非法"))</f>
        <v/>
      </c>
      <c r="Q672" s="10" t="str">
        <f aca="false">IF($B672="","",IF(ISNUMBER($B672),YEAR($B672),"日期非法"))</f>
        <v/>
      </c>
    </row>
    <row r="673" customFormat="false" ht="15.75" hidden="false" customHeight="true" outlineLevel="0" collapsed="false">
      <c r="A673" s="10" t="str">
        <f aca="false">IF($B673="","",ROW()-4)</f>
        <v/>
      </c>
      <c r="B673" s="11"/>
      <c r="C673" s="12"/>
      <c r="D673" s="12"/>
      <c r="E673" s="12"/>
      <c r="F673" s="12"/>
      <c r="G673" s="12"/>
      <c r="H673" s="13"/>
      <c r="I673" s="4"/>
      <c r="J673" s="4"/>
      <c r="K673" s="14" t="str">
        <f aca="false">IF($B673="","",IF($C673="泓普",$C$2,IF($C673="仟茂",$E$2,IF($C673="现金",$G$2,0)))+SUMIFS($I$5:$I673,$C$5:$C673,$C673)-SUMIFS($J$5:$J673,$C$5:$C673,$C673))</f>
        <v/>
      </c>
      <c r="L673" s="14" t="str">
        <f aca="false">IF($B673="","",$C$2+$E$2+$G$2+SUM($I$5:$I673)-SUM($J$5:$J673))</f>
        <v/>
      </c>
      <c r="M673" s="12"/>
      <c r="N673" s="15" t="str">
        <f aca="false">IF($B673="","",IF(NOT(ISNUMBER($B673)),"日期格式不对",IF($C673="","未选资金账户",IF(AND(N($I673)=0,N($J673)=0),"收支都为空",IF(AND(N($I673)&gt;0,N($J673)&gt;0),"收支不能同时填",IF(AND($D673&lt;&gt;"",LEFT($O673,1)="⚠"),"项目编号不存在",IF(AND($M673="是",$F673=""),"工程回款必须填往来单位","√")))))))</f>
        <v/>
      </c>
      <c r="O673" s="16" t="str">
        <f aca="false">IF($D673="","",IFERROR(INDEX(对照清单!$B$5:$B$60,MATCH($D673,对照清单!$A$5:$A$60,0)),"⚠编号不存在"))</f>
        <v/>
      </c>
      <c r="P673" s="10" t="str">
        <f aca="false">IF($B673="","",IF(ISNUMBER($B673),TEXT($B673,"yyyy-mm"),"日期非法"))</f>
        <v/>
      </c>
      <c r="Q673" s="10" t="str">
        <f aca="false">IF($B673="","",IF(ISNUMBER($B673),YEAR($B673),"日期非法"))</f>
        <v/>
      </c>
    </row>
    <row r="674" customFormat="false" ht="15.75" hidden="false" customHeight="true" outlineLevel="0" collapsed="false">
      <c r="A674" s="10" t="str">
        <f aca="false">IF($B674="","",ROW()-4)</f>
        <v/>
      </c>
      <c r="B674" s="11"/>
      <c r="C674" s="12"/>
      <c r="D674" s="12"/>
      <c r="E674" s="12"/>
      <c r="F674" s="12"/>
      <c r="G674" s="12"/>
      <c r="H674" s="13"/>
      <c r="I674" s="4"/>
      <c r="J674" s="4"/>
      <c r="K674" s="14" t="str">
        <f aca="false">IF($B674="","",IF($C674="泓普",$C$2,IF($C674="仟茂",$E$2,IF($C674="现金",$G$2,0)))+SUMIFS($I$5:$I674,$C$5:$C674,$C674)-SUMIFS($J$5:$J674,$C$5:$C674,$C674))</f>
        <v/>
      </c>
      <c r="L674" s="14" t="str">
        <f aca="false">IF($B674="","",$C$2+$E$2+$G$2+SUM($I$5:$I674)-SUM($J$5:$J674))</f>
        <v/>
      </c>
      <c r="M674" s="12"/>
      <c r="N674" s="15" t="str">
        <f aca="false">IF($B674="","",IF(NOT(ISNUMBER($B674)),"日期格式不对",IF($C674="","未选资金账户",IF(AND(N($I674)=0,N($J674)=0),"收支都为空",IF(AND(N($I674)&gt;0,N($J674)&gt;0),"收支不能同时填",IF(AND($D674&lt;&gt;"",LEFT($O674,1)="⚠"),"项目编号不存在",IF(AND($M674="是",$F674=""),"工程回款必须填往来单位","√")))))))</f>
        <v/>
      </c>
      <c r="O674" s="16" t="str">
        <f aca="false">IF($D674="","",IFERROR(INDEX(对照清单!$B$5:$B$60,MATCH($D674,对照清单!$A$5:$A$60,0)),"⚠编号不存在"))</f>
        <v/>
      </c>
      <c r="P674" s="10" t="str">
        <f aca="false">IF($B674="","",IF(ISNUMBER($B674),TEXT($B674,"yyyy-mm"),"日期非法"))</f>
        <v/>
      </c>
      <c r="Q674" s="10" t="str">
        <f aca="false">IF($B674="","",IF(ISNUMBER($B674),YEAR($B674),"日期非法"))</f>
        <v/>
      </c>
    </row>
    <row r="675" customFormat="false" ht="15.75" hidden="false" customHeight="true" outlineLevel="0" collapsed="false">
      <c r="A675" s="10" t="str">
        <f aca="false">IF($B675="","",ROW()-4)</f>
        <v/>
      </c>
      <c r="B675" s="11"/>
      <c r="C675" s="12"/>
      <c r="D675" s="12"/>
      <c r="E675" s="12"/>
      <c r="F675" s="12"/>
      <c r="G675" s="12"/>
      <c r="H675" s="13"/>
      <c r="I675" s="4"/>
      <c r="J675" s="4"/>
      <c r="K675" s="14" t="str">
        <f aca="false">IF($B675="","",IF($C675="泓普",$C$2,IF($C675="仟茂",$E$2,IF($C675="现金",$G$2,0)))+SUMIFS($I$5:$I675,$C$5:$C675,$C675)-SUMIFS($J$5:$J675,$C$5:$C675,$C675))</f>
        <v/>
      </c>
      <c r="L675" s="14" t="str">
        <f aca="false">IF($B675="","",$C$2+$E$2+$G$2+SUM($I$5:$I675)-SUM($J$5:$J675))</f>
        <v/>
      </c>
      <c r="M675" s="12"/>
      <c r="N675" s="15" t="str">
        <f aca="false">IF($B675="","",IF(NOT(ISNUMBER($B675)),"日期格式不对",IF($C675="","未选资金账户",IF(AND(N($I675)=0,N($J675)=0),"收支都为空",IF(AND(N($I675)&gt;0,N($J675)&gt;0),"收支不能同时填",IF(AND($D675&lt;&gt;"",LEFT($O675,1)="⚠"),"项目编号不存在",IF(AND($M675="是",$F675=""),"工程回款必须填往来单位","√")))))))</f>
        <v/>
      </c>
      <c r="O675" s="16" t="str">
        <f aca="false">IF($D675="","",IFERROR(INDEX(对照清单!$B$5:$B$60,MATCH($D675,对照清单!$A$5:$A$60,0)),"⚠编号不存在"))</f>
        <v/>
      </c>
      <c r="P675" s="10" t="str">
        <f aca="false">IF($B675="","",IF(ISNUMBER($B675),TEXT($B675,"yyyy-mm"),"日期非法"))</f>
        <v/>
      </c>
      <c r="Q675" s="10" t="str">
        <f aca="false">IF($B675="","",IF(ISNUMBER($B675),YEAR($B675),"日期非法"))</f>
        <v/>
      </c>
    </row>
    <row r="676" customFormat="false" ht="15.75" hidden="false" customHeight="true" outlineLevel="0" collapsed="false">
      <c r="A676" s="10" t="str">
        <f aca="false">IF($B676="","",ROW()-4)</f>
        <v/>
      </c>
      <c r="B676" s="11"/>
      <c r="C676" s="12"/>
      <c r="D676" s="12"/>
      <c r="E676" s="12"/>
      <c r="F676" s="12"/>
      <c r="G676" s="12"/>
      <c r="H676" s="13"/>
      <c r="I676" s="4"/>
      <c r="J676" s="4"/>
      <c r="K676" s="14" t="str">
        <f aca="false">IF($B676="","",IF($C676="泓普",$C$2,IF($C676="仟茂",$E$2,IF($C676="现金",$G$2,0)))+SUMIFS($I$5:$I676,$C$5:$C676,$C676)-SUMIFS($J$5:$J676,$C$5:$C676,$C676))</f>
        <v/>
      </c>
      <c r="L676" s="14" t="str">
        <f aca="false">IF($B676="","",$C$2+$E$2+$G$2+SUM($I$5:$I676)-SUM($J$5:$J676))</f>
        <v/>
      </c>
      <c r="M676" s="12"/>
      <c r="N676" s="15" t="str">
        <f aca="false">IF($B676="","",IF(NOT(ISNUMBER($B676)),"日期格式不对",IF($C676="","未选资金账户",IF(AND(N($I676)=0,N($J676)=0),"收支都为空",IF(AND(N($I676)&gt;0,N($J676)&gt;0),"收支不能同时填",IF(AND($D676&lt;&gt;"",LEFT($O676,1)="⚠"),"项目编号不存在",IF(AND($M676="是",$F676=""),"工程回款必须填往来单位","√")))))))</f>
        <v/>
      </c>
      <c r="O676" s="16" t="str">
        <f aca="false">IF($D676="","",IFERROR(INDEX(对照清单!$B$5:$B$60,MATCH($D676,对照清单!$A$5:$A$60,0)),"⚠编号不存在"))</f>
        <v/>
      </c>
      <c r="P676" s="10" t="str">
        <f aca="false">IF($B676="","",IF(ISNUMBER($B676),TEXT($B676,"yyyy-mm"),"日期非法"))</f>
        <v/>
      </c>
      <c r="Q676" s="10" t="str">
        <f aca="false">IF($B676="","",IF(ISNUMBER($B676),YEAR($B676),"日期非法"))</f>
        <v/>
      </c>
    </row>
    <row r="677" customFormat="false" ht="15.75" hidden="false" customHeight="true" outlineLevel="0" collapsed="false">
      <c r="A677" s="10" t="str">
        <f aca="false">IF($B677="","",ROW()-4)</f>
        <v/>
      </c>
      <c r="B677" s="11"/>
      <c r="C677" s="12"/>
      <c r="D677" s="12"/>
      <c r="E677" s="12"/>
      <c r="F677" s="12"/>
      <c r="G677" s="12"/>
      <c r="H677" s="13"/>
      <c r="I677" s="4"/>
      <c r="J677" s="4"/>
      <c r="K677" s="14" t="str">
        <f aca="false">IF($B677="","",IF($C677="泓普",$C$2,IF($C677="仟茂",$E$2,IF($C677="现金",$G$2,0)))+SUMIFS($I$5:$I677,$C$5:$C677,$C677)-SUMIFS($J$5:$J677,$C$5:$C677,$C677))</f>
        <v/>
      </c>
      <c r="L677" s="14" t="str">
        <f aca="false">IF($B677="","",$C$2+$E$2+$G$2+SUM($I$5:$I677)-SUM($J$5:$J677))</f>
        <v/>
      </c>
      <c r="M677" s="12"/>
      <c r="N677" s="15" t="str">
        <f aca="false">IF($B677="","",IF(NOT(ISNUMBER($B677)),"日期格式不对",IF($C677="","未选资金账户",IF(AND(N($I677)=0,N($J677)=0),"收支都为空",IF(AND(N($I677)&gt;0,N($J677)&gt;0),"收支不能同时填",IF(AND($D677&lt;&gt;"",LEFT($O677,1)="⚠"),"项目编号不存在",IF(AND($M677="是",$F677=""),"工程回款必须填往来单位","√")))))))</f>
        <v/>
      </c>
      <c r="O677" s="16" t="str">
        <f aca="false">IF($D677="","",IFERROR(INDEX(对照清单!$B$5:$B$60,MATCH($D677,对照清单!$A$5:$A$60,0)),"⚠编号不存在"))</f>
        <v/>
      </c>
      <c r="P677" s="10" t="str">
        <f aca="false">IF($B677="","",IF(ISNUMBER($B677),TEXT($B677,"yyyy-mm"),"日期非法"))</f>
        <v/>
      </c>
      <c r="Q677" s="10" t="str">
        <f aca="false">IF($B677="","",IF(ISNUMBER($B677),YEAR($B677),"日期非法"))</f>
        <v/>
      </c>
    </row>
    <row r="678" customFormat="false" ht="15.75" hidden="false" customHeight="true" outlineLevel="0" collapsed="false">
      <c r="A678" s="10" t="str">
        <f aca="false">IF($B678="","",ROW()-4)</f>
        <v/>
      </c>
      <c r="B678" s="11"/>
      <c r="C678" s="12"/>
      <c r="D678" s="12"/>
      <c r="E678" s="12"/>
      <c r="F678" s="12"/>
      <c r="G678" s="12"/>
      <c r="H678" s="13"/>
      <c r="I678" s="4"/>
      <c r="J678" s="4"/>
      <c r="K678" s="14" t="str">
        <f aca="false">IF($B678="","",IF($C678="泓普",$C$2,IF($C678="仟茂",$E$2,IF($C678="现金",$G$2,0)))+SUMIFS($I$5:$I678,$C$5:$C678,$C678)-SUMIFS($J$5:$J678,$C$5:$C678,$C678))</f>
        <v/>
      </c>
      <c r="L678" s="14" t="str">
        <f aca="false">IF($B678="","",$C$2+$E$2+$G$2+SUM($I$5:$I678)-SUM($J$5:$J678))</f>
        <v/>
      </c>
      <c r="M678" s="12"/>
      <c r="N678" s="15" t="str">
        <f aca="false">IF($B678="","",IF(NOT(ISNUMBER($B678)),"日期格式不对",IF($C678="","未选资金账户",IF(AND(N($I678)=0,N($J678)=0),"收支都为空",IF(AND(N($I678)&gt;0,N($J678)&gt;0),"收支不能同时填",IF(AND($D678&lt;&gt;"",LEFT($O678,1)="⚠"),"项目编号不存在",IF(AND($M678="是",$F678=""),"工程回款必须填往来单位","√")))))))</f>
        <v/>
      </c>
      <c r="O678" s="16" t="str">
        <f aca="false">IF($D678="","",IFERROR(INDEX(对照清单!$B$5:$B$60,MATCH($D678,对照清单!$A$5:$A$60,0)),"⚠编号不存在"))</f>
        <v/>
      </c>
      <c r="P678" s="10" t="str">
        <f aca="false">IF($B678="","",IF(ISNUMBER($B678),TEXT($B678,"yyyy-mm"),"日期非法"))</f>
        <v/>
      </c>
      <c r="Q678" s="10" t="str">
        <f aca="false">IF($B678="","",IF(ISNUMBER($B678),YEAR($B678),"日期非法"))</f>
        <v/>
      </c>
    </row>
    <row r="679" customFormat="false" ht="15.75" hidden="false" customHeight="true" outlineLevel="0" collapsed="false">
      <c r="A679" s="10" t="str">
        <f aca="false">IF($B679="","",ROW()-4)</f>
        <v/>
      </c>
      <c r="B679" s="11"/>
      <c r="C679" s="12"/>
      <c r="D679" s="12"/>
      <c r="E679" s="12"/>
      <c r="F679" s="12"/>
      <c r="G679" s="12"/>
      <c r="H679" s="13"/>
      <c r="I679" s="4"/>
      <c r="J679" s="4"/>
      <c r="K679" s="14" t="str">
        <f aca="false">IF($B679="","",IF($C679="泓普",$C$2,IF($C679="仟茂",$E$2,IF($C679="现金",$G$2,0)))+SUMIFS($I$5:$I679,$C$5:$C679,$C679)-SUMIFS($J$5:$J679,$C$5:$C679,$C679))</f>
        <v/>
      </c>
      <c r="L679" s="14" t="str">
        <f aca="false">IF($B679="","",$C$2+$E$2+$G$2+SUM($I$5:$I679)-SUM($J$5:$J679))</f>
        <v/>
      </c>
      <c r="M679" s="12"/>
      <c r="N679" s="15" t="str">
        <f aca="false">IF($B679="","",IF(NOT(ISNUMBER($B679)),"日期格式不对",IF($C679="","未选资金账户",IF(AND(N($I679)=0,N($J679)=0),"收支都为空",IF(AND(N($I679)&gt;0,N($J679)&gt;0),"收支不能同时填",IF(AND($D679&lt;&gt;"",LEFT($O679,1)="⚠"),"项目编号不存在",IF(AND($M679="是",$F679=""),"工程回款必须填往来单位","√")))))))</f>
        <v/>
      </c>
      <c r="O679" s="16" t="str">
        <f aca="false">IF($D679="","",IFERROR(INDEX(对照清单!$B$5:$B$60,MATCH($D679,对照清单!$A$5:$A$60,0)),"⚠编号不存在"))</f>
        <v/>
      </c>
      <c r="P679" s="10" t="str">
        <f aca="false">IF($B679="","",IF(ISNUMBER($B679),TEXT($B679,"yyyy-mm"),"日期非法"))</f>
        <v/>
      </c>
      <c r="Q679" s="10" t="str">
        <f aca="false">IF($B679="","",IF(ISNUMBER($B679),YEAR($B679),"日期非法"))</f>
        <v/>
      </c>
    </row>
    <row r="680" customFormat="false" ht="15.75" hidden="false" customHeight="true" outlineLevel="0" collapsed="false">
      <c r="A680" s="10" t="str">
        <f aca="false">IF($B680="","",ROW()-4)</f>
        <v/>
      </c>
      <c r="B680" s="11"/>
      <c r="C680" s="12"/>
      <c r="D680" s="12"/>
      <c r="E680" s="12"/>
      <c r="F680" s="12"/>
      <c r="G680" s="12"/>
      <c r="H680" s="13"/>
      <c r="I680" s="4"/>
      <c r="J680" s="4"/>
      <c r="K680" s="14" t="str">
        <f aca="false">IF($B680="","",IF($C680="泓普",$C$2,IF($C680="仟茂",$E$2,IF($C680="现金",$G$2,0)))+SUMIFS($I$5:$I680,$C$5:$C680,$C680)-SUMIFS($J$5:$J680,$C$5:$C680,$C680))</f>
        <v/>
      </c>
      <c r="L680" s="14" t="str">
        <f aca="false">IF($B680="","",$C$2+$E$2+$G$2+SUM($I$5:$I680)-SUM($J$5:$J680))</f>
        <v/>
      </c>
      <c r="M680" s="12"/>
      <c r="N680" s="15" t="str">
        <f aca="false">IF($B680="","",IF(NOT(ISNUMBER($B680)),"日期格式不对",IF($C680="","未选资金账户",IF(AND(N($I680)=0,N($J680)=0),"收支都为空",IF(AND(N($I680)&gt;0,N($J680)&gt;0),"收支不能同时填",IF(AND($D680&lt;&gt;"",LEFT($O680,1)="⚠"),"项目编号不存在",IF(AND($M680="是",$F680=""),"工程回款必须填往来单位","√")))))))</f>
        <v/>
      </c>
      <c r="O680" s="16" t="str">
        <f aca="false">IF($D680="","",IFERROR(INDEX(对照清单!$B$5:$B$60,MATCH($D680,对照清单!$A$5:$A$60,0)),"⚠编号不存在"))</f>
        <v/>
      </c>
      <c r="P680" s="10" t="str">
        <f aca="false">IF($B680="","",IF(ISNUMBER($B680),TEXT($B680,"yyyy-mm"),"日期非法"))</f>
        <v/>
      </c>
      <c r="Q680" s="10" t="str">
        <f aca="false">IF($B680="","",IF(ISNUMBER($B680),YEAR($B680),"日期非法"))</f>
        <v/>
      </c>
    </row>
    <row r="681" customFormat="false" ht="15.75" hidden="false" customHeight="true" outlineLevel="0" collapsed="false">
      <c r="A681" s="10" t="str">
        <f aca="false">IF($B681="","",ROW()-4)</f>
        <v/>
      </c>
      <c r="B681" s="11"/>
      <c r="C681" s="12"/>
      <c r="D681" s="12"/>
      <c r="E681" s="12"/>
      <c r="F681" s="12"/>
      <c r="G681" s="12"/>
      <c r="H681" s="13"/>
      <c r="I681" s="4"/>
      <c r="J681" s="4"/>
      <c r="K681" s="14" t="str">
        <f aca="false">IF($B681="","",IF($C681="泓普",$C$2,IF($C681="仟茂",$E$2,IF($C681="现金",$G$2,0)))+SUMIFS($I$5:$I681,$C$5:$C681,$C681)-SUMIFS($J$5:$J681,$C$5:$C681,$C681))</f>
        <v/>
      </c>
      <c r="L681" s="14" t="str">
        <f aca="false">IF($B681="","",$C$2+$E$2+$G$2+SUM($I$5:$I681)-SUM($J$5:$J681))</f>
        <v/>
      </c>
      <c r="M681" s="12"/>
      <c r="N681" s="15" t="str">
        <f aca="false">IF($B681="","",IF(NOT(ISNUMBER($B681)),"日期格式不对",IF($C681="","未选资金账户",IF(AND(N($I681)=0,N($J681)=0),"收支都为空",IF(AND(N($I681)&gt;0,N($J681)&gt;0),"收支不能同时填",IF(AND($D681&lt;&gt;"",LEFT($O681,1)="⚠"),"项目编号不存在",IF(AND($M681="是",$F681=""),"工程回款必须填往来单位","√")))))))</f>
        <v/>
      </c>
      <c r="O681" s="16" t="str">
        <f aca="false">IF($D681="","",IFERROR(INDEX(对照清单!$B$5:$B$60,MATCH($D681,对照清单!$A$5:$A$60,0)),"⚠编号不存在"))</f>
        <v/>
      </c>
      <c r="P681" s="10" t="str">
        <f aca="false">IF($B681="","",IF(ISNUMBER($B681),TEXT($B681,"yyyy-mm"),"日期非法"))</f>
        <v/>
      </c>
      <c r="Q681" s="10" t="str">
        <f aca="false">IF($B681="","",IF(ISNUMBER($B681),YEAR($B681),"日期非法"))</f>
        <v/>
      </c>
    </row>
    <row r="682" customFormat="false" ht="15.75" hidden="false" customHeight="true" outlineLevel="0" collapsed="false">
      <c r="A682" s="10" t="str">
        <f aca="false">IF($B682="","",ROW()-4)</f>
        <v/>
      </c>
      <c r="B682" s="11"/>
      <c r="C682" s="12"/>
      <c r="D682" s="12"/>
      <c r="E682" s="12"/>
      <c r="F682" s="12"/>
      <c r="G682" s="12"/>
      <c r="H682" s="13"/>
      <c r="I682" s="4"/>
      <c r="J682" s="4"/>
      <c r="K682" s="14" t="str">
        <f aca="false">IF($B682="","",IF($C682="泓普",$C$2,IF($C682="仟茂",$E$2,IF($C682="现金",$G$2,0)))+SUMIFS($I$5:$I682,$C$5:$C682,$C682)-SUMIFS($J$5:$J682,$C$5:$C682,$C682))</f>
        <v/>
      </c>
      <c r="L682" s="14" t="str">
        <f aca="false">IF($B682="","",$C$2+$E$2+$G$2+SUM($I$5:$I682)-SUM($J$5:$J682))</f>
        <v/>
      </c>
      <c r="M682" s="12"/>
      <c r="N682" s="15" t="str">
        <f aca="false">IF($B682="","",IF(NOT(ISNUMBER($B682)),"日期格式不对",IF($C682="","未选资金账户",IF(AND(N($I682)=0,N($J682)=0),"收支都为空",IF(AND(N($I682)&gt;0,N($J682)&gt;0),"收支不能同时填",IF(AND($D682&lt;&gt;"",LEFT($O682,1)="⚠"),"项目编号不存在",IF(AND($M682="是",$F682=""),"工程回款必须填往来单位","√")))))))</f>
        <v/>
      </c>
      <c r="O682" s="16" t="str">
        <f aca="false">IF($D682="","",IFERROR(INDEX(对照清单!$B$5:$B$60,MATCH($D682,对照清单!$A$5:$A$60,0)),"⚠编号不存在"))</f>
        <v/>
      </c>
      <c r="P682" s="10" t="str">
        <f aca="false">IF($B682="","",IF(ISNUMBER($B682),TEXT($B682,"yyyy-mm"),"日期非法"))</f>
        <v/>
      </c>
      <c r="Q682" s="10" t="str">
        <f aca="false">IF($B682="","",IF(ISNUMBER($B682),YEAR($B682),"日期非法"))</f>
        <v/>
      </c>
    </row>
    <row r="683" customFormat="false" ht="15.75" hidden="false" customHeight="true" outlineLevel="0" collapsed="false">
      <c r="A683" s="10" t="str">
        <f aca="false">IF($B683="","",ROW()-4)</f>
        <v/>
      </c>
      <c r="B683" s="11"/>
      <c r="C683" s="12"/>
      <c r="D683" s="12"/>
      <c r="E683" s="12"/>
      <c r="F683" s="12"/>
      <c r="G683" s="12"/>
      <c r="H683" s="13"/>
      <c r="I683" s="4"/>
      <c r="J683" s="4"/>
      <c r="K683" s="14" t="str">
        <f aca="false">IF($B683="","",IF($C683="泓普",$C$2,IF($C683="仟茂",$E$2,IF($C683="现金",$G$2,0)))+SUMIFS($I$5:$I683,$C$5:$C683,$C683)-SUMIFS($J$5:$J683,$C$5:$C683,$C683))</f>
        <v/>
      </c>
      <c r="L683" s="14" t="str">
        <f aca="false">IF($B683="","",$C$2+$E$2+$G$2+SUM($I$5:$I683)-SUM($J$5:$J683))</f>
        <v/>
      </c>
      <c r="M683" s="12"/>
      <c r="N683" s="15" t="str">
        <f aca="false">IF($B683="","",IF(NOT(ISNUMBER($B683)),"日期格式不对",IF($C683="","未选资金账户",IF(AND(N($I683)=0,N($J683)=0),"收支都为空",IF(AND(N($I683)&gt;0,N($J683)&gt;0),"收支不能同时填",IF(AND($D683&lt;&gt;"",LEFT($O683,1)="⚠"),"项目编号不存在",IF(AND($M683="是",$F683=""),"工程回款必须填往来单位","√")))))))</f>
        <v/>
      </c>
      <c r="O683" s="16" t="str">
        <f aca="false">IF($D683="","",IFERROR(INDEX(对照清单!$B$5:$B$60,MATCH($D683,对照清单!$A$5:$A$60,0)),"⚠编号不存在"))</f>
        <v/>
      </c>
      <c r="P683" s="10" t="str">
        <f aca="false">IF($B683="","",IF(ISNUMBER($B683),TEXT($B683,"yyyy-mm"),"日期非法"))</f>
        <v/>
      </c>
      <c r="Q683" s="10" t="str">
        <f aca="false">IF($B683="","",IF(ISNUMBER($B683),YEAR($B683),"日期非法"))</f>
        <v/>
      </c>
    </row>
    <row r="684" customFormat="false" ht="15.75" hidden="false" customHeight="true" outlineLevel="0" collapsed="false">
      <c r="A684" s="10" t="str">
        <f aca="false">IF($B684="","",ROW()-4)</f>
        <v/>
      </c>
      <c r="B684" s="11"/>
      <c r="C684" s="12"/>
      <c r="D684" s="12"/>
      <c r="E684" s="12"/>
      <c r="F684" s="12"/>
      <c r="G684" s="12"/>
      <c r="H684" s="13"/>
      <c r="I684" s="4"/>
      <c r="J684" s="4"/>
      <c r="K684" s="14" t="str">
        <f aca="false">IF($B684="","",IF($C684="泓普",$C$2,IF($C684="仟茂",$E$2,IF($C684="现金",$G$2,0)))+SUMIFS($I$5:$I684,$C$5:$C684,$C684)-SUMIFS($J$5:$J684,$C$5:$C684,$C684))</f>
        <v/>
      </c>
      <c r="L684" s="14" t="str">
        <f aca="false">IF($B684="","",$C$2+$E$2+$G$2+SUM($I$5:$I684)-SUM($J$5:$J684))</f>
        <v/>
      </c>
      <c r="M684" s="12"/>
      <c r="N684" s="15" t="str">
        <f aca="false">IF($B684="","",IF(NOT(ISNUMBER($B684)),"日期格式不对",IF($C684="","未选资金账户",IF(AND(N($I684)=0,N($J684)=0),"收支都为空",IF(AND(N($I684)&gt;0,N($J684)&gt;0),"收支不能同时填",IF(AND($D684&lt;&gt;"",LEFT($O684,1)="⚠"),"项目编号不存在",IF(AND($M684="是",$F684=""),"工程回款必须填往来单位","√")))))))</f>
        <v/>
      </c>
      <c r="O684" s="16" t="str">
        <f aca="false">IF($D684="","",IFERROR(INDEX(对照清单!$B$5:$B$60,MATCH($D684,对照清单!$A$5:$A$60,0)),"⚠编号不存在"))</f>
        <v/>
      </c>
      <c r="P684" s="10" t="str">
        <f aca="false">IF($B684="","",IF(ISNUMBER($B684),TEXT($B684,"yyyy-mm"),"日期非法"))</f>
        <v/>
      </c>
      <c r="Q684" s="10" t="str">
        <f aca="false">IF($B684="","",IF(ISNUMBER($B684),YEAR($B684),"日期非法"))</f>
        <v/>
      </c>
    </row>
    <row r="685" customFormat="false" ht="15.75" hidden="false" customHeight="true" outlineLevel="0" collapsed="false">
      <c r="A685" s="10" t="str">
        <f aca="false">IF($B685="","",ROW()-4)</f>
        <v/>
      </c>
      <c r="B685" s="11"/>
      <c r="C685" s="12"/>
      <c r="D685" s="12"/>
      <c r="E685" s="12"/>
      <c r="F685" s="12"/>
      <c r="G685" s="12"/>
      <c r="H685" s="13"/>
      <c r="I685" s="4"/>
      <c r="J685" s="4"/>
      <c r="K685" s="14" t="str">
        <f aca="false">IF($B685="","",IF($C685="泓普",$C$2,IF($C685="仟茂",$E$2,IF($C685="现金",$G$2,0)))+SUMIFS($I$5:$I685,$C$5:$C685,$C685)-SUMIFS($J$5:$J685,$C$5:$C685,$C685))</f>
        <v/>
      </c>
      <c r="L685" s="14" t="str">
        <f aca="false">IF($B685="","",$C$2+$E$2+$G$2+SUM($I$5:$I685)-SUM($J$5:$J685))</f>
        <v/>
      </c>
      <c r="M685" s="12"/>
      <c r="N685" s="15" t="str">
        <f aca="false">IF($B685="","",IF(NOT(ISNUMBER($B685)),"日期格式不对",IF($C685="","未选资金账户",IF(AND(N($I685)=0,N($J685)=0),"收支都为空",IF(AND(N($I685)&gt;0,N($J685)&gt;0),"收支不能同时填",IF(AND($D685&lt;&gt;"",LEFT($O685,1)="⚠"),"项目编号不存在",IF(AND($M685="是",$F685=""),"工程回款必须填往来单位","√")))))))</f>
        <v/>
      </c>
      <c r="O685" s="16" t="str">
        <f aca="false">IF($D685="","",IFERROR(INDEX(对照清单!$B$5:$B$60,MATCH($D685,对照清单!$A$5:$A$60,0)),"⚠编号不存在"))</f>
        <v/>
      </c>
      <c r="P685" s="10" t="str">
        <f aca="false">IF($B685="","",IF(ISNUMBER($B685),TEXT($B685,"yyyy-mm"),"日期非法"))</f>
        <v/>
      </c>
      <c r="Q685" s="10" t="str">
        <f aca="false">IF($B685="","",IF(ISNUMBER($B685),YEAR($B685),"日期非法"))</f>
        <v/>
      </c>
    </row>
    <row r="686" customFormat="false" ht="15.75" hidden="false" customHeight="true" outlineLevel="0" collapsed="false">
      <c r="A686" s="10" t="str">
        <f aca="false">IF($B686="","",ROW()-4)</f>
        <v/>
      </c>
      <c r="B686" s="11"/>
      <c r="C686" s="12"/>
      <c r="D686" s="12"/>
      <c r="E686" s="12"/>
      <c r="F686" s="12"/>
      <c r="G686" s="12"/>
      <c r="H686" s="13"/>
      <c r="I686" s="4"/>
      <c r="J686" s="4"/>
      <c r="K686" s="14" t="str">
        <f aca="false">IF($B686="","",IF($C686="泓普",$C$2,IF($C686="仟茂",$E$2,IF($C686="现金",$G$2,0)))+SUMIFS($I$5:$I686,$C$5:$C686,$C686)-SUMIFS($J$5:$J686,$C$5:$C686,$C686))</f>
        <v/>
      </c>
      <c r="L686" s="14" t="str">
        <f aca="false">IF($B686="","",$C$2+$E$2+$G$2+SUM($I$5:$I686)-SUM($J$5:$J686))</f>
        <v/>
      </c>
      <c r="M686" s="12"/>
      <c r="N686" s="15" t="str">
        <f aca="false">IF($B686="","",IF(NOT(ISNUMBER($B686)),"日期格式不对",IF($C686="","未选资金账户",IF(AND(N($I686)=0,N($J686)=0),"收支都为空",IF(AND(N($I686)&gt;0,N($J686)&gt;0),"收支不能同时填",IF(AND($D686&lt;&gt;"",LEFT($O686,1)="⚠"),"项目编号不存在",IF(AND($M686="是",$F686=""),"工程回款必须填往来单位","√")))))))</f>
        <v/>
      </c>
      <c r="O686" s="16" t="str">
        <f aca="false">IF($D686="","",IFERROR(INDEX(对照清单!$B$5:$B$60,MATCH($D686,对照清单!$A$5:$A$60,0)),"⚠编号不存在"))</f>
        <v/>
      </c>
      <c r="P686" s="10" t="str">
        <f aca="false">IF($B686="","",IF(ISNUMBER($B686),TEXT($B686,"yyyy-mm"),"日期非法"))</f>
        <v/>
      </c>
      <c r="Q686" s="10" t="str">
        <f aca="false">IF($B686="","",IF(ISNUMBER($B686),YEAR($B686),"日期非法"))</f>
        <v/>
      </c>
    </row>
    <row r="687" customFormat="false" ht="15.75" hidden="false" customHeight="true" outlineLevel="0" collapsed="false">
      <c r="A687" s="10" t="str">
        <f aca="false">IF($B687="","",ROW()-4)</f>
        <v/>
      </c>
      <c r="B687" s="11"/>
      <c r="C687" s="12"/>
      <c r="D687" s="12"/>
      <c r="E687" s="12"/>
      <c r="F687" s="12"/>
      <c r="G687" s="12"/>
      <c r="H687" s="13"/>
      <c r="I687" s="4"/>
      <c r="J687" s="4"/>
      <c r="K687" s="14" t="str">
        <f aca="false">IF($B687="","",IF($C687="泓普",$C$2,IF($C687="仟茂",$E$2,IF($C687="现金",$G$2,0)))+SUMIFS($I$5:$I687,$C$5:$C687,$C687)-SUMIFS($J$5:$J687,$C$5:$C687,$C687))</f>
        <v/>
      </c>
      <c r="L687" s="14" t="str">
        <f aca="false">IF($B687="","",$C$2+$E$2+$G$2+SUM($I$5:$I687)-SUM($J$5:$J687))</f>
        <v/>
      </c>
      <c r="M687" s="12"/>
      <c r="N687" s="15" t="str">
        <f aca="false">IF($B687="","",IF(NOT(ISNUMBER($B687)),"日期格式不对",IF($C687="","未选资金账户",IF(AND(N($I687)=0,N($J687)=0),"收支都为空",IF(AND(N($I687)&gt;0,N($J687)&gt;0),"收支不能同时填",IF(AND($D687&lt;&gt;"",LEFT($O687,1)="⚠"),"项目编号不存在",IF(AND($M687="是",$F687=""),"工程回款必须填往来单位","√")))))))</f>
        <v/>
      </c>
      <c r="O687" s="16" t="str">
        <f aca="false">IF($D687="","",IFERROR(INDEX(对照清单!$B$5:$B$60,MATCH($D687,对照清单!$A$5:$A$60,0)),"⚠编号不存在"))</f>
        <v/>
      </c>
      <c r="P687" s="10" t="str">
        <f aca="false">IF($B687="","",IF(ISNUMBER($B687),TEXT($B687,"yyyy-mm"),"日期非法"))</f>
        <v/>
      </c>
      <c r="Q687" s="10" t="str">
        <f aca="false">IF($B687="","",IF(ISNUMBER($B687),YEAR($B687),"日期非法"))</f>
        <v/>
      </c>
    </row>
    <row r="688" customFormat="false" ht="15.75" hidden="false" customHeight="true" outlineLevel="0" collapsed="false">
      <c r="A688" s="10" t="str">
        <f aca="false">IF($B688="","",ROW()-4)</f>
        <v/>
      </c>
      <c r="B688" s="11"/>
      <c r="C688" s="12"/>
      <c r="D688" s="12"/>
      <c r="E688" s="12"/>
      <c r="F688" s="12"/>
      <c r="G688" s="12"/>
      <c r="H688" s="13"/>
      <c r="I688" s="4"/>
      <c r="J688" s="4"/>
      <c r="K688" s="14" t="str">
        <f aca="false">IF($B688="","",IF($C688="泓普",$C$2,IF($C688="仟茂",$E$2,IF($C688="现金",$G$2,0)))+SUMIFS($I$5:$I688,$C$5:$C688,$C688)-SUMIFS($J$5:$J688,$C$5:$C688,$C688))</f>
        <v/>
      </c>
      <c r="L688" s="14" t="str">
        <f aca="false">IF($B688="","",$C$2+$E$2+$G$2+SUM($I$5:$I688)-SUM($J$5:$J688))</f>
        <v/>
      </c>
      <c r="M688" s="12"/>
      <c r="N688" s="15" t="str">
        <f aca="false">IF($B688="","",IF(NOT(ISNUMBER($B688)),"日期格式不对",IF($C688="","未选资金账户",IF(AND(N($I688)=0,N($J688)=0),"收支都为空",IF(AND(N($I688)&gt;0,N($J688)&gt;0),"收支不能同时填",IF(AND($D688&lt;&gt;"",LEFT($O688,1)="⚠"),"项目编号不存在",IF(AND($M688="是",$F688=""),"工程回款必须填往来单位","√")))))))</f>
        <v/>
      </c>
      <c r="O688" s="16" t="str">
        <f aca="false">IF($D688="","",IFERROR(INDEX(对照清单!$B$5:$B$60,MATCH($D688,对照清单!$A$5:$A$60,0)),"⚠编号不存在"))</f>
        <v/>
      </c>
      <c r="P688" s="10" t="str">
        <f aca="false">IF($B688="","",IF(ISNUMBER($B688),TEXT($B688,"yyyy-mm"),"日期非法"))</f>
        <v/>
      </c>
      <c r="Q688" s="10" t="str">
        <f aca="false">IF($B688="","",IF(ISNUMBER($B688),YEAR($B688),"日期非法"))</f>
        <v/>
      </c>
    </row>
    <row r="689" customFormat="false" ht="15.75" hidden="false" customHeight="true" outlineLevel="0" collapsed="false">
      <c r="A689" s="10" t="str">
        <f aca="false">IF($B689="","",ROW()-4)</f>
        <v/>
      </c>
      <c r="B689" s="11"/>
      <c r="C689" s="12"/>
      <c r="D689" s="12"/>
      <c r="E689" s="12"/>
      <c r="F689" s="12"/>
      <c r="G689" s="12"/>
      <c r="H689" s="13"/>
      <c r="I689" s="4"/>
      <c r="J689" s="4"/>
      <c r="K689" s="14" t="str">
        <f aca="false">IF($B689="","",IF($C689="泓普",$C$2,IF($C689="仟茂",$E$2,IF($C689="现金",$G$2,0)))+SUMIFS($I$5:$I689,$C$5:$C689,$C689)-SUMIFS($J$5:$J689,$C$5:$C689,$C689))</f>
        <v/>
      </c>
      <c r="L689" s="14" t="str">
        <f aca="false">IF($B689="","",$C$2+$E$2+$G$2+SUM($I$5:$I689)-SUM($J$5:$J689))</f>
        <v/>
      </c>
      <c r="M689" s="12"/>
      <c r="N689" s="15" t="str">
        <f aca="false">IF($B689="","",IF(NOT(ISNUMBER($B689)),"日期格式不对",IF($C689="","未选资金账户",IF(AND(N($I689)=0,N($J689)=0),"收支都为空",IF(AND(N($I689)&gt;0,N($J689)&gt;0),"收支不能同时填",IF(AND($D689&lt;&gt;"",LEFT($O689,1)="⚠"),"项目编号不存在",IF(AND($M689="是",$F689=""),"工程回款必须填往来单位","√")))))))</f>
        <v/>
      </c>
      <c r="O689" s="16" t="str">
        <f aca="false">IF($D689="","",IFERROR(INDEX(对照清单!$B$5:$B$60,MATCH($D689,对照清单!$A$5:$A$60,0)),"⚠编号不存在"))</f>
        <v/>
      </c>
      <c r="P689" s="10" t="str">
        <f aca="false">IF($B689="","",IF(ISNUMBER($B689),TEXT($B689,"yyyy-mm"),"日期非法"))</f>
        <v/>
      </c>
      <c r="Q689" s="10" t="str">
        <f aca="false">IF($B689="","",IF(ISNUMBER($B689),YEAR($B689),"日期非法"))</f>
        <v/>
      </c>
    </row>
    <row r="690" customFormat="false" ht="15.75" hidden="false" customHeight="true" outlineLevel="0" collapsed="false">
      <c r="A690" s="10" t="str">
        <f aca="false">IF($B690="","",ROW()-4)</f>
        <v/>
      </c>
      <c r="B690" s="11"/>
      <c r="C690" s="12"/>
      <c r="D690" s="12"/>
      <c r="E690" s="12"/>
      <c r="F690" s="12"/>
      <c r="G690" s="12"/>
      <c r="H690" s="13"/>
      <c r="I690" s="4"/>
      <c r="J690" s="4"/>
      <c r="K690" s="14" t="str">
        <f aca="false">IF($B690="","",IF($C690="泓普",$C$2,IF($C690="仟茂",$E$2,IF($C690="现金",$G$2,0)))+SUMIFS($I$5:$I690,$C$5:$C690,$C690)-SUMIFS($J$5:$J690,$C$5:$C690,$C690))</f>
        <v/>
      </c>
      <c r="L690" s="14" t="str">
        <f aca="false">IF($B690="","",$C$2+$E$2+$G$2+SUM($I$5:$I690)-SUM($J$5:$J690))</f>
        <v/>
      </c>
      <c r="M690" s="12"/>
      <c r="N690" s="15" t="str">
        <f aca="false">IF($B690="","",IF(NOT(ISNUMBER($B690)),"日期格式不对",IF($C690="","未选资金账户",IF(AND(N($I690)=0,N($J690)=0),"收支都为空",IF(AND(N($I690)&gt;0,N($J690)&gt;0),"收支不能同时填",IF(AND($D690&lt;&gt;"",LEFT($O690,1)="⚠"),"项目编号不存在",IF(AND($M690="是",$F690=""),"工程回款必须填往来单位","√")))))))</f>
        <v/>
      </c>
      <c r="O690" s="16" t="str">
        <f aca="false">IF($D690="","",IFERROR(INDEX(对照清单!$B$5:$B$60,MATCH($D690,对照清单!$A$5:$A$60,0)),"⚠编号不存在"))</f>
        <v/>
      </c>
      <c r="P690" s="10" t="str">
        <f aca="false">IF($B690="","",IF(ISNUMBER($B690),TEXT($B690,"yyyy-mm"),"日期非法"))</f>
        <v/>
      </c>
      <c r="Q690" s="10" t="str">
        <f aca="false">IF($B690="","",IF(ISNUMBER($B690),YEAR($B690),"日期非法"))</f>
        <v/>
      </c>
    </row>
    <row r="691" customFormat="false" ht="15.75" hidden="false" customHeight="true" outlineLevel="0" collapsed="false">
      <c r="A691" s="10" t="str">
        <f aca="false">IF($B691="","",ROW()-4)</f>
        <v/>
      </c>
      <c r="B691" s="11"/>
      <c r="C691" s="12"/>
      <c r="D691" s="12"/>
      <c r="E691" s="12"/>
      <c r="F691" s="12"/>
      <c r="G691" s="12"/>
      <c r="H691" s="13"/>
      <c r="I691" s="4"/>
      <c r="J691" s="4"/>
      <c r="K691" s="14" t="str">
        <f aca="false">IF($B691="","",IF($C691="泓普",$C$2,IF($C691="仟茂",$E$2,IF($C691="现金",$G$2,0)))+SUMIFS($I$5:$I691,$C$5:$C691,$C691)-SUMIFS($J$5:$J691,$C$5:$C691,$C691))</f>
        <v/>
      </c>
      <c r="L691" s="14" t="str">
        <f aca="false">IF($B691="","",$C$2+$E$2+$G$2+SUM($I$5:$I691)-SUM($J$5:$J691))</f>
        <v/>
      </c>
      <c r="M691" s="12"/>
      <c r="N691" s="15" t="str">
        <f aca="false">IF($B691="","",IF(NOT(ISNUMBER($B691)),"日期格式不对",IF($C691="","未选资金账户",IF(AND(N($I691)=0,N($J691)=0),"收支都为空",IF(AND(N($I691)&gt;0,N($J691)&gt;0),"收支不能同时填",IF(AND($D691&lt;&gt;"",LEFT($O691,1)="⚠"),"项目编号不存在",IF(AND($M691="是",$F691=""),"工程回款必须填往来单位","√")))))))</f>
        <v/>
      </c>
      <c r="O691" s="16" t="str">
        <f aca="false">IF($D691="","",IFERROR(INDEX(对照清单!$B$5:$B$60,MATCH($D691,对照清单!$A$5:$A$60,0)),"⚠编号不存在"))</f>
        <v/>
      </c>
      <c r="P691" s="10" t="str">
        <f aca="false">IF($B691="","",IF(ISNUMBER($B691),TEXT($B691,"yyyy-mm"),"日期非法"))</f>
        <v/>
      </c>
      <c r="Q691" s="10" t="str">
        <f aca="false">IF($B691="","",IF(ISNUMBER($B691),YEAR($B691),"日期非法"))</f>
        <v/>
      </c>
    </row>
    <row r="692" customFormat="false" ht="15.75" hidden="false" customHeight="true" outlineLevel="0" collapsed="false">
      <c r="A692" s="10" t="str">
        <f aca="false">IF($B692="","",ROW()-4)</f>
        <v/>
      </c>
      <c r="B692" s="11"/>
      <c r="C692" s="12"/>
      <c r="D692" s="12"/>
      <c r="E692" s="12"/>
      <c r="F692" s="12"/>
      <c r="G692" s="12"/>
      <c r="H692" s="13"/>
      <c r="I692" s="4"/>
      <c r="J692" s="4"/>
      <c r="K692" s="14" t="str">
        <f aca="false">IF($B692="","",IF($C692="泓普",$C$2,IF($C692="仟茂",$E$2,IF($C692="现金",$G$2,0)))+SUMIFS($I$5:$I692,$C$5:$C692,$C692)-SUMIFS($J$5:$J692,$C$5:$C692,$C692))</f>
        <v/>
      </c>
      <c r="L692" s="14" t="str">
        <f aca="false">IF($B692="","",$C$2+$E$2+$G$2+SUM($I$5:$I692)-SUM($J$5:$J692))</f>
        <v/>
      </c>
      <c r="M692" s="12"/>
      <c r="N692" s="15" t="str">
        <f aca="false">IF($B692="","",IF(NOT(ISNUMBER($B692)),"日期格式不对",IF($C692="","未选资金账户",IF(AND(N($I692)=0,N($J692)=0),"收支都为空",IF(AND(N($I692)&gt;0,N($J692)&gt;0),"收支不能同时填",IF(AND($D692&lt;&gt;"",LEFT($O692,1)="⚠"),"项目编号不存在",IF(AND($M692="是",$F692=""),"工程回款必须填往来单位","√")))))))</f>
        <v/>
      </c>
      <c r="O692" s="16" t="str">
        <f aca="false">IF($D692="","",IFERROR(INDEX(对照清单!$B$5:$B$60,MATCH($D692,对照清单!$A$5:$A$60,0)),"⚠编号不存在"))</f>
        <v/>
      </c>
      <c r="P692" s="10" t="str">
        <f aca="false">IF($B692="","",IF(ISNUMBER($B692),TEXT($B692,"yyyy-mm"),"日期非法"))</f>
        <v/>
      </c>
      <c r="Q692" s="10" t="str">
        <f aca="false">IF($B692="","",IF(ISNUMBER($B692),YEAR($B692),"日期非法"))</f>
        <v/>
      </c>
    </row>
    <row r="693" customFormat="false" ht="15.75" hidden="false" customHeight="true" outlineLevel="0" collapsed="false">
      <c r="A693" s="10" t="str">
        <f aca="false">IF($B693="","",ROW()-4)</f>
        <v/>
      </c>
      <c r="B693" s="11"/>
      <c r="C693" s="12"/>
      <c r="D693" s="12"/>
      <c r="E693" s="12"/>
      <c r="F693" s="12"/>
      <c r="G693" s="12"/>
      <c r="H693" s="13"/>
      <c r="I693" s="4"/>
      <c r="J693" s="4"/>
      <c r="K693" s="14" t="str">
        <f aca="false">IF($B693="","",IF($C693="泓普",$C$2,IF($C693="仟茂",$E$2,IF($C693="现金",$G$2,0)))+SUMIFS($I$5:$I693,$C$5:$C693,$C693)-SUMIFS($J$5:$J693,$C$5:$C693,$C693))</f>
        <v/>
      </c>
      <c r="L693" s="14" t="str">
        <f aca="false">IF($B693="","",$C$2+$E$2+$G$2+SUM($I$5:$I693)-SUM($J$5:$J693))</f>
        <v/>
      </c>
      <c r="M693" s="12"/>
      <c r="N693" s="15" t="str">
        <f aca="false">IF($B693="","",IF(NOT(ISNUMBER($B693)),"日期格式不对",IF($C693="","未选资金账户",IF(AND(N($I693)=0,N($J693)=0),"收支都为空",IF(AND(N($I693)&gt;0,N($J693)&gt;0),"收支不能同时填",IF(AND($D693&lt;&gt;"",LEFT($O693,1)="⚠"),"项目编号不存在",IF(AND($M693="是",$F693=""),"工程回款必须填往来单位","√")))))))</f>
        <v/>
      </c>
      <c r="O693" s="16" t="str">
        <f aca="false">IF($D693="","",IFERROR(INDEX(对照清单!$B$5:$B$60,MATCH($D693,对照清单!$A$5:$A$60,0)),"⚠编号不存在"))</f>
        <v/>
      </c>
      <c r="P693" s="10" t="str">
        <f aca="false">IF($B693="","",IF(ISNUMBER($B693),TEXT($B693,"yyyy-mm"),"日期非法"))</f>
        <v/>
      </c>
      <c r="Q693" s="10" t="str">
        <f aca="false">IF($B693="","",IF(ISNUMBER($B693),YEAR($B693),"日期非法"))</f>
        <v/>
      </c>
    </row>
    <row r="694" customFormat="false" ht="15.75" hidden="false" customHeight="true" outlineLevel="0" collapsed="false">
      <c r="A694" s="10" t="str">
        <f aca="false">IF($B694="","",ROW()-4)</f>
        <v/>
      </c>
      <c r="B694" s="11"/>
      <c r="C694" s="12"/>
      <c r="D694" s="12"/>
      <c r="E694" s="12"/>
      <c r="F694" s="12"/>
      <c r="G694" s="12"/>
      <c r="H694" s="13"/>
      <c r="I694" s="4"/>
      <c r="J694" s="4"/>
      <c r="K694" s="14" t="str">
        <f aca="false">IF($B694="","",IF($C694="泓普",$C$2,IF($C694="仟茂",$E$2,IF($C694="现金",$G$2,0)))+SUMIFS($I$5:$I694,$C$5:$C694,$C694)-SUMIFS($J$5:$J694,$C$5:$C694,$C694))</f>
        <v/>
      </c>
      <c r="L694" s="14" t="str">
        <f aca="false">IF($B694="","",$C$2+$E$2+$G$2+SUM($I$5:$I694)-SUM($J$5:$J694))</f>
        <v/>
      </c>
      <c r="M694" s="12"/>
      <c r="N694" s="15" t="str">
        <f aca="false">IF($B694="","",IF(NOT(ISNUMBER($B694)),"日期格式不对",IF($C694="","未选资金账户",IF(AND(N($I694)=0,N($J694)=0),"收支都为空",IF(AND(N($I694)&gt;0,N($J694)&gt;0),"收支不能同时填",IF(AND($D694&lt;&gt;"",LEFT($O694,1)="⚠"),"项目编号不存在",IF(AND($M694="是",$F694=""),"工程回款必须填往来单位","√")))))))</f>
        <v/>
      </c>
      <c r="O694" s="16" t="str">
        <f aca="false">IF($D694="","",IFERROR(INDEX(对照清单!$B$5:$B$60,MATCH($D694,对照清单!$A$5:$A$60,0)),"⚠编号不存在"))</f>
        <v/>
      </c>
      <c r="P694" s="10" t="str">
        <f aca="false">IF($B694="","",IF(ISNUMBER($B694),TEXT($B694,"yyyy-mm"),"日期非法"))</f>
        <v/>
      </c>
      <c r="Q694" s="10" t="str">
        <f aca="false">IF($B694="","",IF(ISNUMBER($B694),YEAR($B694),"日期非法"))</f>
        <v/>
      </c>
    </row>
    <row r="695" customFormat="false" ht="15.75" hidden="false" customHeight="true" outlineLevel="0" collapsed="false">
      <c r="A695" s="10" t="str">
        <f aca="false">IF($B695="","",ROW()-4)</f>
        <v/>
      </c>
      <c r="B695" s="11"/>
      <c r="C695" s="12"/>
      <c r="D695" s="12"/>
      <c r="E695" s="12"/>
      <c r="F695" s="12"/>
      <c r="G695" s="12"/>
      <c r="H695" s="13"/>
      <c r="I695" s="4"/>
      <c r="J695" s="4"/>
      <c r="K695" s="14" t="str">
        <f aca="false">IF($B695="","",IF($C695="泓普",$C$2,IF($C695="仟茂",$E$2,IF($C695="现金",$G$2,0)))+SUMIFS($I$5:$I695,$C$5:$C695,$C695)-SUMIFS($J$5:$J695,$C$5:$C695,$C695))</f>
        <v/>
      </c>
      <c r="L695" s="14" t="str">
        <f aca="false">IF($B695="","",$C$2+$E$2+$G$2+SUM($I$5:$I695)-SUM($J$5:$J695))</f>
        <v/>
      </c>
      <c r="M695" s="12"/>
      <c r="N695" s="15" t="str">
        <f aca="false">IF($B695="","",IF(NOT(ISNUMBER($B695)),"日期格式不对",IF($C695="","未选资金账户",IF(AND(N($I695)=0,N($J695)=0),"收支都为空",IF(AND(N($I695)&gt;0,N($J695)&gt;0),"收支不能同时填",IF(AND($D695&lt;&gt;"",LEFT($O695,1)="⚠"),"项目编号不存在",IF(AND($M695="是",$F695=""),"工程回款必须填往来单位","√")))))))</f>
        <v/>
      </c>
      <c r="O695" s="16" t="str">
        <f aca="false">IF($D695="","",IFERROR(INDEX(对照清单!$B$5:$B$60,MATCH($D695,对照清单!$A$5:$A$60,0)),"⚠编号不存在"))</f>
        <v/>
      </c>
      <c r="P695" s="10" t="str">
        <f aca="false">IF($B695="","",IF(ISNUMBER($B695),TEXT($B695,"yyyy-mm"),"日期非法"))</f>
        <v/>
      </c>
      <c r="Q695" s="10" t="str">
        <f aca="false">IF($B695="","",IF(ISNUMBER($B695),YEAR($B695),"日期非法"))</f>
        <v/>
      </c>
    </row>
    <row r="696" customFormat="false" ht="15.75" hidden="false" customHeight="true" outlineLevel="0" collapsed="false">
      <c r="A696" s="10" t="str">
        <f aca="false">IF($B696="","",ROW()-4)</f>
        <v/>
      </c>
      <c r="B696" s="11"/>
      <c r="C696" s="12"/>
      <c r="D696" s="12"/>
      <c r="E696" s="12"/>
      <c r="F696" s="12"/>
      <c r="G696" s="12"/>
      <c r="H696" s="13"/>
      <c r="I696" s="4"/>
      <c r="J696" s="4"/>
      <c r="K696" s="14" t="str">
        <f aca="false">IF($B696="","",IF($C696="泓普",$C$2,IF($C696="仟茂",$E$2,IF($C696="现金",$G$2,0)))+SUMIFS($I$5:$I696,$C$5:$C696,$C696)-SUMIFS($J$5:$J696,$C$5:$C696,$C696))</f>
        <v/>
      </c>
      <c r="L696" s="14" t="str">
        <f aca="false">IF($B696="","",$C$2+$E$2+$G$2+SUM($I$5:$I696)-SUM($J$5:$J696))</f>
        <v/>
      </c>
      <c r="M696" s="12"/>
      <c r="N696" s="15" t="str">
        <f aca="false">IF($B696="","",IF(NOT(ISNUMBER($B696)),"日期格式不对",IF($C696="","未选资金账户",IF(AND(N($I696)=0,N($J696)=0),"收支都为空",IF(AND(N($I696)&gt;0,N($J696)&gt;0),"收支不能同时填",IF(AND($D696&lt;&gt;"",LEFT($O696,1)="⚠"),"项目编号不存在",IF(AND($M696="是",$F696=""),"工程回款必须填往来单位","√")))))))</f>
        <v/>
      </c>
      <c r="O696" s="16" t="str">
        <f aca="false">IF($D696="","",IFERROR(INDEX(对照清单!$B$5:$B$60,MATCH($D696,对照清单!$A$5:$A$60,0)),"⚠编号不存在"))</f>
        <v/>
      </c>
      <c r="P696" s="10" t="str">
        <f aca="false">IF($B696="","",IF(ISNUMBER($B696),TEXT($B696,"yyyy-mm"),"日期非法"))</f>
        <v/>
      </c>
      <c r="Q696" s="10" t="str">
        <f aca="false">IF($B696="","",IF(ISNUMBER($B696),YEAR($B696),"日期非法"))</f>
        <v/>
      </c>
    </row>
    <row r="697" customFormat="false" ht="15.75" hidden="false" customHeight="true" outlineLevel="0" collapsed="false">
      <c r="A697" s="10" t="str">
        <f aca="false">IF($B697="","",ROW()-4)</f>
        <v/>
      </c>
      <c r="B697" s="11"/>
      <c r="C697" s="12"/>
      <c r="D697" s="12"/>
      <c r="E697" s="12"/>
      <c r="F697" s="12"/>
      <c r="G697" s="12"/>
      <c r="H697" s="13"/>
      <c r="I697" s="4"/>
      <c r="J697" s="4"/>
      <c r="K697" s="14" t="str">
        <f aca="false">IF($B697="","",IF($C697="泓普",$C$2,IF($C697="仟茂",$E$2,IF($C697="现金",$G$2,0)))+SUMIFS($I$5:$I697,$C$5:$C697,$C697)-SUMIFS($J$5:$J697,$C$5:$C697,$C697))</f>
        <v/>
      </c>
      <c r="L697" s="14" t="str">
        <f aca="false">IF($B697="","",$C$2+$E$2+$G$2+SUM($I$5:$I697)-SUM($J$5:$J697))</f>
        <v/>
      </c>
      <c r="M697" s="12"/>
      <c r="N697" s="15" t="str">
        <f aca="false">IF($B697="","",IF(NOT(ISNUMBER($B697)),"日期格式不对",IF($C697="","未选资金账户",IF(AND(N($I697)=0,N($J697)=0),"收支都为空",IF(AND(N($I697)&gt;0,N($J697)&gt;0),"收支不能同时填",IF(AND($D697&lt;&gt;"",LEFT($O697,1)="⚠"),"项目编号不存在",IF(AND($M697="是",$F697=""),"工程回款必须填往来单位","√")))))))</f>
        <v/>
      </c>
      <c r="O697" s="16" t="str">
        <f aca="false">IF($D697="","",IFERROR(INDEX(对照清单!$B$5:$B$60,MATCH($D697,对照清单!$A$5:$A$60,0)),"⚠编号不存在"))</f>
        <v/>
      </c>
      <c r="P697" s="10" t="str">
        <f aca="false">IF($B697="","",IF(ISNUMBER($B697),TEXT($B697,"yyyy-mm"),"日期非法"))</f>
        <v/>
      </c>
      <c r="Q697" s="10" t="str">
        <f aca="false">IF($B697="","",IF(ISNUMBER($B697),YEAR($B697),"日期非法"))</f>
        <v/>
      </c>
    </row>
    <row r="698" customFormat="false" ht="15.75" hidden="false" customHeight="true" outlineLevel="0" collapsed="false">
      <c r="A698" s="10" t="str">
        <f aca="false">IF($B698="","",ROW()-4)</f>
        <v/>
      </c>
      <c r="B698" s="11"/>
      <c r="C698" s="12"/>
      <c r="D698" s="12"/>
      <c r="E698" s="12"/>
      <c r="F698" s="12"/>
      <c r="G698" s="12"/>
      <c r="H698" s="13"/>
      <c r="I698" s="4"/>
      <c r="J698" s="4"/>
      <c r="K698" s="14" t="str">
        <f aca="false">IF($B698="","",IF($C698="泓普",$C$2,IF($C698="仟茂",$E$2,IF($C698="现金",$G$2,0)))+SUMIFS($I$5:$I698,$C$5:$C698,$C698)-SUMIFS($J$5:$J698,$C$5:$C698,$C698))</f>
        <v/>
      </c>
      <c r="L698" s="14" t="str">
        <f aca="false">IF($B698="","",$C$2+$E$2+$G$2+SUM($I$5:$I698)-SUM($J$5:$J698))</f>
        <v/>
      </c>
      <c r="M698" s="12"/>
      <c r="N698" s="15" t="str">
        <f aca="false">IF($B698="","",IF(NOT(ISNUMBER($B698)),"日期格式不对",IF($C698="","未选资金账户",IF(AND(N($I698)=0,N($J698)=0),"收支都为空",IF(AND(N($I698)&gt;0,N($J698)&gt;0),"收支不能同时填",IF(AND($D698&lt;&gt;"",LEFT($O698,1)="⚠"),"项目编号不存在",IF(AND($M698="是",$F698=""),"工程回款必须填往来单位","√")))))))</f>
        <v/>
      </c>
      <c r="O698" s="16" t="str">
        <f aca="false">IF($D698="","",IFERROR(INDEX(对照清单!$B$5:$B$60,MATCH($D698,对照清单!$A$5:$A$60,0)),"⚠编号不存在"))</f>
        <v/>
      </c>
      <c r="P698" s="10" t="str">
        <f aca="false">IF($B698="","",IF(ISNUMBER($B698),TEXT($B698,"yyyy-mm"),"日期非法"))</f>
        <v/>
      </c>
      <c r="Q698" s="10" t="str">
        <f aca="false">IF($B698="","",IF(ISNUMBER($B698),YEAR($B698),"日期非法"))</f>
        <v/>
      </c>
    </row>
    <row r="699" customFormat="false" ht="15.75" hidden="false" customHeight="true" outlineLevel="0" collapsed="false">
      <c r="A699" s="10" t="str">
        <f aca="false">IF($B699="","",ROW()-4)</f>
        <v/>
      </c>
      <c r="B699" s="11"/>
      <c r="C699" s="12"/>
      <c r="D699" s="12"/>
      <c r="E699" s="12"/>
      <c r="F699" s="12"/>
      <c r="G699" s="12"/>
      <c r="H699" s="13"/>
      <c r="I699" s="4"/>
      <c r="J699" s="4"/>
      <c r="K699" s="14" t="str">
        <f aca="false">IF($B699="","",IF($C699="泓普",$C$2,IF($C699="仟茂",$E$2,IF($C699="现金",$G$2,0)))+SUMIFS($I$5:$I699,$C$5:$C699,$C699)-SUMIFS($J$5:$J699,$C$5:$C699,$C699))</f>
        <v/>
      </c>
      <c r="L699" s="14" t="str">
        <f aca="false">IF($B699="","",$C$2+$E$2+$G$2+SUM($I$5:$I699)-SUM($J$5:$J699))</f>
        <v/>
      </c>
      <c r="M699" s="12"/>
      <c r="N699" s="15" t="str">
        <f aca="false">IF($B699="","",IF(NOT(ISNUMBER($B699)),"日期格式不对",IF($C699="","未选资金账户",IF(AND(N($I699)=0,N($J699)=0),"收支都为空",IF(AND(N($I699)&gt;0,N($J699)&gt;0),"收支不能同时填",IF(AND($D699&lt;&gt;"",LEFT($O699,1)="⚠"),"项目编号不存在",IF(AND($M699="是",$F699=""),"工程回款必须填往来单位","√")))))))</f>
        <v/>
      </c>
      <c r="O699" s="16" t="str">
        <f aca="false">IF($D699="","",IFERROR(INDEX(对照清单!$B$5:$B$60,MATCH($D699,对照清单!$A$5:$A$60,0)),"⚠编号不存在"))</f>
        <v/>
      </c>
      <c r="P699" s="10" t="str">
        <f aca="false">IF($B699="","",IF(ISNUMBER($B699),TEXT($B699,"yyyy-mm"),"日期非法"))</f>
        <v/>
      </c>
      <c r="Q699" s="10" t="str">
        <f aca="false">IF($B699="","",IF(ISNUMBER($B699),YEAR($B699),"日期非法"))</f>
        <v/>
      </c>
    </row>
    <row r="700" customFormat="false" ht="15.75" hidden="false" customHeight="true" outlineLevel="0" collapsed="false">
      <c r="A700" s="10" t="str">
        <f aca="false">IF($B700="","",ROW()-4)</f>
        <v/>
      </c>
      <c r="B700" s="11"/>
      <c r="C700" s="12"/>
      <c r="D700" s="12"/>
      <c r="E700" s="12"/>
      <c r="F700" s="12"/>
      <c r="G700" s="12"/>
      <c r="H700" s="13"/>
      <c r="I700" s="4"/>
      <c r="J700" s="4"/>
      <c r="K700" s="14" t="str">
        <f aca="false">IF($B700="","",IF($C700="泓普",$C$2,IF($C700="仟茂",$E$2,IF($C700="现金",$G$2,0)))+SUMIFS($I$5:$I700,$C$5:$C700,$C700)-SUMIFS($J$5:$J700,$C$5:$C700,$C700))</f>
        <v/>
      </c>
      <c r="L700" s="14" t="str">
        <f aca="false">IF($B700="","",$C$2+$E$2+$G$2+SUM($I$5:$I700)-SUM($J$5:$J700))</f>
        <v/>
      </c>
      <c r="M700" s="12"/>
      <c r="N700" s="15" t="str">
        <f aca="false">IF($B700="","",IF(NOT(ISNUMBER($B700)),"日期格式不对",IF($C700="","未选资金账户",IF(AND(N($I700)=0,N($J700)=0),"收支都为空",IF(AND(N($I700)&gt;0,N($J700)&gt;0),"收支不能同时填",IF(AND($D700&lt;&gt;"",LEFT($O700,1)="⚠"),"项目编号不存在",IF(AND($M700="是",$F700=""),"工程回款必须填往来单位","√")))))))</f>
        <v/>
      </c>
      <c r="O700" s="16" t="str">
        <f aca="false">IF($D700="","",IFERROR(INDEX(对照清单!$B$5:$B$60,MATCH($D700,对照清单!$A$5:$A$60,0)),"⚠编号不存在"))</f>
        <v/>
      </c>
      <c r="P700" s="10" t="str">
        <f aca="false">IF($B700="","",IF(ISNUMBER($B700),TEXT($B700,"yyyy-mm"),"日期非法"))</f>
        <v/>
      </c>
      <c r="Q700" s="10" t="str">
        <f aca="false">IF($B700="","",IF(ISNUMBER($B700),YEAR($B700),"日期非法"))</f>
        <v/>
      </c>
    </row>
    <row r="701" customFormat="false" ht="15.75" hidden="false" customHeight="true" outlineLevel="0" collapsed="false">
      <c r="A701" s="10" t="str">
        <f aca="false">IF($B701="","",ROW()-4)</f>
        <v/>
      </c>
      <c r="B701" s="11"/>
      <c r="C701" s="12"/>
      <c r="D701" s="12"/>
      <c r="E701" s="12"/>
      <c r="F701" s="12"/>
      <c r="G701" s="12"/>
      <c r="H701" s="13"/>
      <c r="I701" s="4"/>
      <c r="J701" s="4"/>
      <c r="K701" s="14" t="str">
        <f aca="false">IF($B701="","",IF($C701="泓普",$C$2,IF($C701="仟茂",$E$2,IF($C701="现金",$G$2,0)))+SUMIFS($I$5:$I701,$C$5:$C701,$C701)-SUMIFS($J$5:$J701,$C$5:$C701,$C701))</f>
        <v/>
      </c>
      <c r="L701" s="14" t="str">
        <f aca="false">IF($B701="","",$C$2+$E$2+$G$2+SUM($I$5:$I701)-SUM($J$5:$J701))</f>
        <v/>
      </c>
      <c r="M701" s="12"/>
      <c r="N701" s="15" t="str">
        <f aca="false">IF($B701="","",IF(NOT(ISNUMBER($B701)),"日期格式不对",IF($C701="","未选资金账户",IF(AND(N($I701)=0,N($J701)=0),"收支都为空",IF(AND(N($I701)&gt;0,N($J701)&gt;0),"收支不能同时填",IF(AND($D701&lt;&gt;"",LEFT($O701,1)="⚠"),"项目编号不存在",IF(AND($M701="是",$F701=""),"工程回款必须填往来单位","√")))))))</f>
        <v/>
      </c>
      <c r="O701" s="16" t="str">
        <f aca="false">IF($D701="","",IFERROR(INDEX(对照清单!$B$5:$B$60,MATCH($D701,对照清单!$A$5:$A$60,0)),"⚠编号不存在"))</f>
        <v/>
      </c>
      <c r="P701" s="10" t="str">
        <f aca="false">IF($B701="","",IF(ISNUMBER($B701),TEXT($B701,"yyyy-mm"),"日期非法"))</f>
        <v/>
      </c>
      <c r="Q701" s="10" t="str">
        <f aca="false">IF($B701="","",IF(ISNUMBER($B701),YEAR($B701),"日期非法"))</f>
        <v/>
      </c>
    </row>
    <row r="702" customFormat="false" ht="15.75" hidden="false" customHeight="true" outlineLevel="0" collapsed="false">
      <c r="A702" s="10" t="str">
        <f aca="false">IF($B702="","",ROW()-4)</f>
        <v/>
      </c>
      <c r="B702" s="11"/>
      <c r="C702" s="12"/>
      <c r="D702" s="12"/>
      <c r="E702" s="12"/>
      <c r="F702" s="12"/>
      <c r="G702" s="12"/>
      <c r="H702" s="13"/>
      <c r="I702" s="4"/>
      <c r="J702" s="4"/>
      <c r="K702" s="14" t="str">
        <f aca="false">IF($B702="","",IF($C702="泓普",$C$2,IF($C702="仟茂",$E$2,IF($C702="现金",$G$2,0)))+SUMIFS($I$5:$I702,$C$5:$C702,$C702)-SUMIFS($J$5:$J702,$C$5:$C702,$C702))</f>
        <v/>
      </c>
      <c r="L702" s="14" t="str">
        <f aca="false">IF($B702="","",$C$2+$E$2+$G$2+SUM($I$5:$I702)-SUM($J$5:$J702))</f>
        <v/>
      </c>
      <c r="M702" s="12"/>
      <c r="N702" s="15" t="str">
        <f aca="false">IF($B702="","",IF(NOT(ISNUMBER($B702)),"日期格式不对",IF($C702="","未选资金账户",IF(AND(N($I702)=0,N($J702)=0),"收支都为空",IF(AND(N($I702)&gt;0,N($J702)&gt;0),"收支不能同时填",IF(AND($D702&lt;&gt;"",LEFT($O702,1)="⚠"),"项目编号不存在",IF(AND($M702="是",$F702=""),"工程回款必须填往来单位","√")))))))</f>
        <v/>
      </c>
      <c r="O702" s="16" t="str">
        <f aca="false">IF($D702="","",IFERROR(INDEX(对照清单!$B$5:$B$60,MATCH($D702,对照清单!$A$5:$A$60,0)),"⚠编号不存在"))</f>
        <v/>
      </c>
      <c r="P702" s="10" t="str">
        <f aca="false">IF($B702="","",IF(ISNUMBER($B702),TEXT($B702,"yyyy-mm"),"日期非法"))</f>
        <v/>
      </c>
      <c r="Q702" s="10" t="str">
        <f aca="false">IF($B702="","",IF(ISNUMBER($B702),YEAR($B702),"日期非法"))</f>
        <v/>
      </c>
    </row>
    <row r="703" customFormat="false" ht="15.75" hidden="false" customHeight="true" outlineLevel="0" collapsed="false">
      <c r="A703" s="10" t="str">
        <f aca="false">IF($B703="","",ROW()-4)</f>
        <v/>
      </c>
      <c r="B703" s="11"/>
      <c r="C703" s="12"/>
      <c r="D703" s="12"/>
      <c r="E703" s="12"/>
      <c r="F703" s="12"/>
      <c r="G703" s="12"/>
      <c r="H703" s="13"/>
      <c r="I703" s="4"/>
      <c r="J703" s="4"/>
      <c r="K703" s="14" t="str">
        <f aca="false">IF($B703="","",IF($C703="泓普",$C$2,IF($C703="仟茂",$E$2,IF($C703="现金",$G$2,0)))+SUMIFS($I$5:$I703,$C$5:$C703,$C703)-SUMIFS($J$5:$J703,$C$5:$C703,$C703))</f>
        <v/>
      </c>
      <c r="L703" s="14" t="str">
        <f aca="false">IF($B703="","",$C$2+$E$2+$G$2+SUM($I$5:$I703)-SUM($J$5:$J703))</f>
        <v/>
      </c>
      <c r="M703" s="12"/>
      <c r="N703" s="15" t="str">
        <f aca="false">IF($B703="","",IF(NOT(ISNUMBER($B703)),"日期格式不对",IF($C703="","未选资金账户",IF(AND(N($I703)=0,N($J703)=0),"收支都为空",IF(AND(N($I703)&gt;0,N($J703)&gt;0),"收支不能同时填",IF(AND($D703&lt;&gt;"",LEFT($O703,1)="⚠"),"项目编号不存在",IF(AND($M703="是",$F703=""),"工程回款必须填往来单位","√")))))))</f>
        <v/>
      </c>
      <c r="O703" s="16" t="str">
        <f aca="false">IF($D703="","",IFERROR(INDEX(对照清单!$B$5:$B$60,MATCH($D703,对照清单!$A$5:$A$60,0)),"⚠编号不存在"))</f>
        <v/>
      </c>
      <c r="P703" s="10" t="str">
        <f aca="false">IF($B703="","",IF(ISNUMBER($B703),TEXT($B703,"yyyy-mm"),"日期非法"))</f>
        <v/>
      </c>
      <c r="Q703" s="10" t="str">
        <f aca="false">IF($B703="","",IF(ISNUMBER($B703),YEAR($B703),"日期非法"))</f>
        <v/>
      </c>
    </row>
    <row r="704" customFormat="false" ht="15.75" hidden="false" customHeight="true" outlineLevel="0" collapsed="false">
      <c r="A704" s="10" t="str">
        <f aca="false">IF($B704="","",ROW()-4)</f>
        <v/>
      </c>
      <c r="B704" s="11"/>
      <c r="C704" s="12"/>
      <c r="D704" s="12"/>
      <c r="E704" s="12"/>
      <c r="F704" s="12"/>
      <c r="G704" s="12"/>
      <c r="H704" s="13"/>
      <c r="I704" s="4"/>
      <c r="J704" s="4"/>
      <c r="K704" s="14" t="str">
        <f aca="false">IF($B704="","",IF($C704="泓普",$C$2,IF($C704="仟茂",$E$2,IF($C704="现金",$G$2,0)))+SUMIFS($I$5:$I704,$C$5:$C704,$C704)-SUMIFS($J$5:$J704,$C$5:$C704,$C704))</f>
        <v/>
      </c>
      <c r="L704" s="14" t="str">
        <f aca="false">IF($B704="","",$C$2+$E$2+$G$2+SUM($I$5:$I704)-SUM($J$5:$J704))</f>
        <v/>
      </c>
      <c r="M704" s="12"/>
      <c r="N704" s="15" t="str">
        <f aca="false">IF($B704="","",IF(NOT(ISNUMBER($B704)),"日期格式不对",IF($C704="","未选资金账户",IF(AND(N($I704)=0,N($J704)=0),"收支都为空",IF(AND(N($I704)&gt;0,N($J704)&gt;0),"收支不能同时填",IF(AND($D704&lt;&gt;"",LEFT($O704,1)="⚠"),"项目编号不存在",IF(AND($M704="是",$F704=""),"工程回款必须填往来单位","√")))))))</f>
        <v/>
      </c>
      <c r="O704" s="16" t="str">
        <f aca="false">IF($D704="","",IFERROR(INDEX(对照清单!$B$5:$B$60,MATCH($D704,对照清单!$A$5:$A$60,0)),"⚠编号不存在"))</f>
        <v/>
      </c>
      <c r="P704" s="10" t="str">
        <f aca="false">IF($B704="","",IF(ISNUMBER($B704),TEXT($B704,"yyyy-mm"),"日期非法"))</f>
        <v/>
      </c>
      <c r="Q704" s="10" t="str">
        <f aca="false">IF($B704="","",IF(ISNUMBER($B704),YEAR($B704),"日期非法"))</f>
        <v/>
      </c>
    </row>
    <row r="705" customFormat="false" ht="15.75" hidden="false" customHeight="true" outlineLevel="0" collapsed="false">
      <c r="A705" s="10" t="str">
        <f aca="false">IF($B705="","",ROW()-4)</f>
        <v/>
      </c>
      <c r="B705" s="11"/>
      <c r="C705" s="12"/>
      <c r="D705" s="12"/>
      <c r="E705" s="12"/>
      <c r="F705" s="12"/>
      <c r="G705" s="12"/>
      <c r="H705" s="13"/>
      <c r="I705" s="4"/>
      <c r="J705" s="4"/>
      <c r="K705" s="14" t="str">
        <f aca="false">IF($B705="","",IF($C705="泓普",$C$2,IF($C705="仟茂",$E$2,IF($C705="现金",$G$2,0)))+SUMIFS($I$5:$I705,$C$5:$C705,$C705)-SUMIFS($J$5:$J705,$C$5:$C705,$C705))</f>
        <v/>
      </c>
      <c r="L705" s="14" t="str">
        <f aca="false">IF($B705="","",$C$2+$E$2+$G$2+SUM($I$5:$I705)-SUM($J$5:$J705))</f>
        <v/>
      </c>
      <c r="M705" s="12"/>
      <c r="N705" s="15" t="str">
        <f aca="false">IF($B705="","",IF(NOT(ISNUMBER($B705)),"日期格式不对",IF($C705="","未选资金账户",IF(AND(N($I705)=0,N($J705)=0),"收支都为空",IF(AND(N($I705)&gt;0,N($J705)&gt;0),"收支不能同时填",IF(AND($D705&lt;&gt;"",LEFT($O705,1)="⚠"),"项目编号不存在",IF(AND($M705="是",$F705=""),"工程回款必须填往来单位","√")))))))</f>
        <v/>
      </c>
      <c r="O705" s="16" t="str">
        <f aca="false">IF($D705="","",IFERROR(INDEX(对照清单!$B$5:$B$60,MATCH($D705,对照清单!$A$5:$A$60,0)),"⚠编号不存在"))</f>
        <v/>
      </c>
      <c r="P705" s="10" t="str">
        <f aca="false">IF($B705="","",IF(ISNUMBER($B705),TEXT($B705,"yyyy-mm"),"日期非法"))</f>
        <v/>
      </c>
      <c r="Q705" s="10" t="str">
        <f aca="false">IF($B705="","",IF(ISNUMBER($B705),YEAR($B705),"日期非法"))</f>
        <v/>
      </c>
    </row>
    <row r="706" customFormat="false" ht="15.75" hidden="false" customHeight="true" outlineLevel="0" collapsed="false">
      <c r="A706" s="10" t="str">
        <f aca="false">IF($B706="","",ROW()-4)</f>
        <v/>
      </c>
      <c r="B706" s="11"/>
      <c r="C706" s="12"/>
      <c r="D706" s="12"/>
      <c r="E706" s="12"/>
      <c r="F706" s="12"/>
      <c r="G706" s="12"/>
      <c r="H706" s="13"/>
      <c r="I706" s="4"/>
      <c r="J706" s="4"/>
      <c r="K706" s="14" t="str">
        <f aca="false">IF($B706="","",IF($C706="泓普",$C$2,IF($C706="仟茂",$E$2,IF($C706="现金",$G$2,0)))+SUMIFS($I$5:$I706,$C$5:$C706,$C706)-SUMIFS($J$5:$J706,$C$5:$C706,$C706))</f>
        <v/>
      </c>
      <c r="L706" s="14" t="str">
        <f aca="false">IF($B706="","",$C$2+$E$2+$G$2+SUM($I$5:$I706)-SUM($J$5:$J706))</f>
        <v/>
      </c>
      <c r="M706" s="12"/>
      <c r="N706" s="15" t="str">
        <f aca="false">IF($B706="","",IF(NOT(ISNUMBER($B706)),"日期格式不对",IF($C706="","未选资金账户",IF(AND(N($I706)=0,N($J706)=0),"收支都为空",IF(AND(N($I706)&gt;0,N($J706)&gt;0),"收支不能同时填",IF(AND($D706&lt;&gt;"",LEFT($O706,1)="⚠"),"项目编号不存在",IF(AND($M706="是",$F706=""),"工程回款必须填往来单位","√")))))))</f>
        <v/>
      </c>
      <c r="O706" s="16" t="str">
        <f aca="false">IF($D706="","",IFERROR(INDEX(对照清单!$B$5:$B$60,MATCH($D706,对照清单!$A$5:$A$60,0)),"⚠编号不存在"))</f>
        <v/>
      </c>
      <c r="P706" s="10" t="str">
        <f aca="false">IF($B706="","",IF(ISNUMBER($B706),TEXT($B706,"yyyy-mm"),"日期非法"))</f>
        <v/>
      </c>
      <c r="Q706" s="10" t="str">
        <f aca="false">IF($B706="","",IF(ISNUMBER($B706),YEAR($B706),"日期非法"))</f>
        <v/>
      </c>
    </row>
    <row r="707" customFormat="false" ht="15.75" hidden="false" customHeight="true" outlineLevel="0" collapsed="false">
      <c r="A707" s="10" t="str">
        <f aca="false">IF($B707="","",ROW()-4)</f>
        <v/>
      </c>
      <c r="B707" s="11"/>
      <c r="C707" s="12"/>
      <c r="D707" s="12"/>
      <c r="E707" s="12"/>
      <c r="F707" s="12"/>
      <c r="G707" s="12"/>
      <c r="H707" s="13"/>
      <c r="I707" s="4"/>
      <c r="J707" s="4"/>
      <c r="K707" s="14" t="str">
        <f aca="false">IF($B707="","",IF($C707="泓普",$C$2,IF($C707="仟茂",$E$2,IF($C707="现金",$G$2,0)))+SUMIFS($I$5:$I707,$C$5:$C707,$C707)-SUMIFS($J$5:$J707,$C$5:$C707,$C707))</f>
        <v/>
      </c>
      <c r="L707" s="14" t="str">
        <f aca="false">IF($B707="","",$C$2+$E$2+$G$2+SUM($I$5:$I707)-SUM($J$5:$J707))</f>
        <v/>
      </c>
      <c r="M707" s="12"/>
      <c r="N707" s="15" t="str">
        <f aca="false">IF($B707="","",IF(NOT(ISNUMBER($B707)),"日期格式不对",IF($C707="","未选资金账户",IF(AND(N($I707)=0,N($J707)=0),"收支都为空",IF(AND(N($I707)&gt;0,N($J707)&gt;0),"收支不能同时填",IF(AND($D707&lt;&gt;"",LEFT($O707,1)="⚠"),"项目编号不存在",IF(AND($M707="是",$F707=""),"工程回款必须填往来单位","√")))))))</f>
        <v/>
      </c>
      <c r="O707" s="16" t="str">
        <f aca="false">IF($D707="","",IFERROR(INDEX(对照清单!$B$5:$B$60,MATCH($D707,对照清单!$A$5:$A$60,0)),"⚠编号不存在"))</f>
        <v/>
      </c>
      <c r="P707" s="10" t="str">
        <f aca="false">IF($B707="","",IF(ISNUMBER($B707),TEXT($B707,"yyyy-mm"),"日期非法"))</f>
        <v/>
      </c>
      <c r="Q707" s="10" t="str">
        <f aca="false">IF($B707="","",IF(ISNUMBER($B707),YEAR($B707),"日期非法"))</f>
        <v/>
      </c>
    </row>
    <row r="708" customFormat="false" ht="15.75" hidden="false" customHeight="true" outlineLevel="0" collapsed="false">
      <c r="A708" s="10" t="str">
        <f aca="false">IF($B708="","",ROW()-4)</f>
        <v/>
      </c>
      <c r="B708" s="11"/>
      <c r="C708" s="12"/>
      <c r="D708" s="12"/>
      <c r="E708" s="12"/>
      <c r="F708" s="12"/>
      <c r="G708" s="12"/>
      <c r="H708" s="13"/>
      <c r="I708" s="4"/>
      <c r="J708" s="4"/>
      <c r="K708" s="14" t="str">
        <f aca="false">IF($B708="","",IF($C708="泓普",$C$2,IF($C708="仟茂",$E$2,IF($C708="现金",$G$2,0)))+SUMIFS($I$5:$I708,$C$5:$C708,$C708)-SUMIFS($J$5:$J708,$C$5:$C708,$C708))</f>
        <v/>
      </c>
      <c r="L708" s="14" t="str">
        <f aca="false">IF($B708="","",$C$2+$E$2+$G$2+SUM($I$5:$I708)-SUM($J$5:$J708))</f>
        <v/>
      </c>
      <c r="M708" s="12"/>
      <c r="N708" s="15" t="str">
        <f aca="false">IF($B708="","",IF(NOT(ISNUMBER($B708)),"日期格式不对",IF($C708="","未选资金账户",IF(AND(N($I708)=0,N($J708)=0),"收支都为空",IF(AND(N($I708)&gt;0,N($J708)&gt;0),"收支不能同时填",IF(AND($D708&lt;&gt;"",LEFT($O708,1)="⚠"),"项目编号不存在",IF(AND($M708="是",$F708=""),"工程回款必须填往来单位","√")))))))</f>
        <v/>
      </c>
      <c r="O708" s="16" t="str">
        <f aca="false">IF($D708="","",IFERROR(INDEX(对照清单!$B$5:$B$60,MATCH($D708,对照清单!$A$5:$A$60,0)),"⚠编号不存在"))</f>
        <v/>
      </c>
      <c r="P708" s="10" t="str">
        <f aca="false">IF($B708="","",IF(ISNUMBER($B708),TEXT($B708,"yyyy-mm"),"日期非法"))</f>
        <v/>
      </c>
      <c r="Q708" s="10" t="str">
        <f aca="false">IF($B708="","",IF(ISNUMBER($B708),YEAR($B708),"日期非法"))</f>
        <v/>
      </c>
    </row>
    <row r="709" customFormat="false" ht="15.75" hidden="false" customHeight="true" outlineLevel="0" collapsed="false">
      <c r="A709" s="10" t="str">
        <f aca="false">IF($B709="","",ROW()-4)</f>
        <v/>
      </c>
      <c r="B709" s="11"/>
      <c r="C709" s="12"/>
      <c r="D709" s="12"/>
      <c r="E709" s="12"/>
      <c r="F709" s="12"/>
      <c r="G709" s="12"/>
      <c r="H709" s="13"/>
      <c r="I709" s="4"/>
      <c r="J709" s="4"/>
      <c r="K709" s="14" t="str">
        <f aca="false">IF($B709="","",IF($C709="泓普",$C$2,IF($C709="仟茂",$E$2,IF($C709="现金",$G$2,0)))+SUMIFS($I$5:$I709,$C$5:$C709,$C709)-SUMIFS($J$5:$J709,$C$5:$C709,$C709))</f>
        <v/>
      </c>
      <c r="L709" s="14" t="str">
        <f aca="false">IF($B709="","",$C$2+$E$2+$G$2+SUM($I$5:$I709)-SUM($J$5:$J709))</f>
        <v/>
      </c>
      <c r="M709" s="12"/>
      <c r="N709" s="15" t="str">
        <f aca="false">IF($B709="","",IF(NOT(ISNUMBER($B709)),"日期格式不对",IF($C709="","未选资金账户",IF(AND(N($I709)=0,N($J709)=0),"收支都为空",IF(AND(N($I709)&gt;0,N($J709)&gt;0),"收支不能同时填",IF(AND($D709&lt;&gt;"",LEFT($O709,1)="⚠"),"项目编号不存在",IF(AND($M709="是",$F709=""),"工程回款必须填往来单位","√")))))))</f>
        <v/>
      </c>
      <c r="O709" s="16" t="str">
        <f aca="false">IF($D709="","",IFERROR(INDEX(对照清单!$B$5:$B$60,MATCH($D709,对照清单!$A$5:$A$60,0)),"⚠编号不存在"))</f>
        <v/>
      </c>
      <c r="P709" s="10" t="str">
        <f aca="false">IF($B709="","",IF(ISNUMBER($B709),TEXT($B709,"yyyy-mm"),"日期非法"))</f>
        <v/>
      </c>
      <c r="Q709" s="10" t="str">
        <f aca="false">IF($B709="","",IF(ISNUMBER($B709),YEAR($B709),"日期非法"))</f>
        <v/>
      </c>
    </row>
    <row r="710" customFormat="false" ht="15.75" hidden="false" customHeight="true" outlineLevel="0" collapsed="false">
      <c r="A710" s="10" t="str">
        <f aca="false">IF($B710="","",ROW()-4)</f>
        <v/>
      </c>
      <c r="B710" s="11"/>
      <c r="C710" s="12"/>
      <c r="D710" s="12"/>
      <c r="E710" s="12"/>
      <c r="F710" s="12"/>
      <c r="G710" s="12"/>
      <c r="H710" s="13"/>
      <c r="I710" s="4"/>
      <c r="J710" s="4"/>
      <c r="K710" s="14" t="str">
        <f aca="false">IF($B710="","",IF($C710="泓普",$C$2,IF($C710="仟茂",$E$2,IF($C710="现金",$G$2,0)))+SUMIFS($I$5:$I710,$C$5:$C710,$C710)-SUMIFS($J$5:$J710,$C$5:$C710,$C710))</f>
        <v/>
      </c>
      <c r="L710" s="14" t="str">
        <f aca="false">IF($B710="","",$C$2+$E$2+$G$2+SUM($I$5:$I710)-SUM($J$5:$J710))</f>
        <v/>
      </c>
      <c r="M710" s="12"/>
      <c r="N710" s="15" t="str">
        <f aca="false">IF($B710="","",IF(NOT(ISNUMBER($B710)),"日期格式不对",IF($C710="","未选资金账户",IF(AND(N($I710)=0,N($J710)=0),"收支都为空",IF(AND(N($I710)&gt;0,N($J710)&gt;0),"收支不能同时填",IF(AND($D710&lt;&gt;"",LEFT($O710,1)="⚠"),"项目编号不存在",IF(AND($M710="是",$F710=""),"工程回款必须填往来单位","√")))))))</f>
        <v/>
      </c>
      <c r="O710" s="16" t="str">
        <f aca="false">IF($D710="","",IFERROR(INDEX(对照清单!$B$5:$B$60,MATCH($D710,对照清单!$A$5:$A$60,0)),"⚠编号不存在"))</f>
        <v/>
      </c>
      <c r="P710" s="10" t="str">
        <f aca="false">IF($B710="","",IF(ISNUMBER($B710),TEXT($B710,"yyyy-mm"),"日期非法"))</f>
        <v/>
      </c>
      <c r="Q710" s="10" t="str">
        <f aca="false">IF($B710="","",IF(ISNUMBER($B710),YEAR($B710),"日期非法"))</f>
        <v/>
      </c>
    </row>
    <row r="711" customFormat="false" ht="15.75" hidden="false" customHeight="true" outlineLevel="0" collapsed="false">
      <c r="A711" s="10" t="str">
        <f aca="false">IF($B711="","",ROW()-4)</f>
        <v/>
      </c>
      <c r="B711" s="11"/>
      <c r="C711" s="12"/>
      <c r="D711" s="12"/>
      <c r="E711" s="12"/>
      <c r="F711" s="12"/>
      <c r="G711" s="12"/>
      <c r="H711" s="13"/>
      <c r="I711" s="4"/>
      <c r="J711" s="4"/>
      <c r="K711" s="14" t="str">
        <f aca="false">IF($B711="","",IF($C711="泓普",$C$2,IF($C711="仟茂",$E$2,IF($C711="现金",$G$2,0)))+SUMIFS($I$5:$I711,$C$5:$C711,$C711)-SUMIFS($J$5:$J711,$C$5:$C711,$C711))</f>
        <v/>
      </c>
      <c r="L711" s="14" t="str">
        <f aca="false">IF($B711="","",$C$2+$E$2+$G$2+SUM($I$5:$I711)-SUM($J$5:$J711))</f>
        <v/>
      </c>
      <c r="M711" s="12"/>
      <c r="N711" s="15" t="str">
        <f aca="false">IF($B711="","",IF(NOT(ISNUMBER($B711)),"日期格式不对",IF($C711="","未选资金账户",IF(AND(N($I711)=0,N($J711)=0),"收支都为空",IF(AND(N($I711)&gt;0,N($J711)&gt;0),"收支不能同时填",IF(AND($D711&lt;&gt;"",LEFT($O711,1)="⚠"),"项目编号不存在",IF(AND($M711="是",$F711=""),"工程回款必须填往来单位","√")))))))</f>
        <v/>
      </c>
      <c r="O711" s="16" t="str">
        <f aca="false">IF($D711="","",IFERROR(INDEX(对照清单!$B$5:$B$60,MATCH($D711,对照清单!$A$5:$A$60,0)),"⚠编号不存在"))</f>
        <v/>
      </c>
      <c r="P711" s="10" t="str">
        <f aca="false">IF($B711="","",IF(ISNUMBER($B711),TEXT($B711,"yyyy-mm"),"日期非法"))</f>
        <v/>
      </c>
      <c r="Q711" s="10" t="str">
        <f aca="false">IF($B711="","",IF(ISNUMBER($B711),YEAR($B711),"日期非法"))</f>
        <v/>
      </c>
    </row>
    <row r="712" customFormat="false" ht="15.75" hidden="false" customHeight="true" outlineLevel="0" collapsed="false">
      <c r="A712" s="10" t="str">
        <f aca="false">IF($B712="","",ROW()-4)</f>
        <v/>
      </c>
      <c r="B712" s="11"/>
      <c r="C712" s="12"/>
      <c r="D712" s="12"/>
      <c r="E712" s="12"/>
      <c r="F712" s="12"/>
      <c r="G712" s="12"/>
      <c r="H712" s="13"/>
      <c r="I712" s="4"/>
      <c r="J712" s="4"/>
      <c r="K712" s="14" t="str">
        <f aca="false">IF($B712="","",IF($C712="泓普",$C$2,IF($C712="仟茂",$E$2,IF($C712="现金",$G$2,0)))+SUMIFS($I$5:$I712,$C$5:$C712,$C712)-SUMIFS($J$5:$J712,$C$5:$C712,$C712))</f>
        <v/>
      </c>
      <c r="L712" s="14" t="str">
        <f aca="false">IF($B712="","",$C$2+$E$2+$G$2+SUM($I$5:$I712)-SUM($J$5:$J712))</f>
        <v/>
      </c>
      <c r="M712" s="12"/>
      <c r="N712" s="15" t="str">
        <f aca="false">IF($B712="","",IF(NOT(ISNUMBER($B712)),"日期格式不对",IF($C712="","未选资金账户",IF(AND(N($I712)=0,N($J712)=0),"收支都为空",IF(AND(N($I712)&gt;0,N($J712)&gt;0),"收支不能同时填",IF(AND($D712&lt;&gt;"",LEFT($O712,1)="⚠"),"项目编号不存在",IF(AND($M712="是",$F712=""),"工程回款必须填往来单位","√")))))))</f>
        <v/>
      </c>
      <c r="O712" s="16" t="str">
        <f aca="false">IF($D712="","",IFERROR(INDEX(对照清单!$B$5:$B$60,MATCH($D712,对照清单!$A$5:$A$60,0)),"⚠编号不存在"))</f>
        <v/>
      </c>
      <c r="P712" s="10" t="str">
        <f aca="false">IF($B712="","",IF(ISNUMBER($B712),TEXT($B712,"yyyy-mm"),"日期非法"))</f>
        <v/>
      </c>
      <c r="Q712" s="10" t="str">
        <f aca="false">IF($B712="","",IF(ISNUMBER($B712),YEAR($B712),"日期非法"))</f>
        <v/>
      </c>
    </row>
    <row r="713" customFormat="false" ht="15.75" hidden="false" customHeight="true" outlineLevel="0" collapsed="false">
      <c r="A713" s="10" t="str">
        <f aca="false">IF($B713="","",ROW()-4)</f>
        <v/>
      </c>
      <c r="B713" s="11"/>
      <c r="C713" s="12"/>
      <c r="D713" s="12"/>
      <c r="E713" s="12"/>
      <c r="F713" s="12"/>
      <c r="G713" s="12"/>
      <c r="H713" s="13"/>
      <c r="I713" s="4"/>
      <c r="J713" s="4"/>
      <c r="K713" s="14" t="str">
        <f aca="false">IF($B713="","",IF($C713="泓普",$C$2,IF($C713="仟茂",$E$2,IF($C713="现金",$G$2,0)))+SUMIFS($I$5:$I713,$C$5:$C713,$C713)-SUMIFS($J$5:$J713,$C$5:$C713,$C713))</f>
        <v/>
      </c>
      <c r="L713" s="14" t="str">
        <f aca="false">IF($B713="","",$C$2+$E$2+$G$2+SUM($I$5:$I713)-SUM($J$5:$J713))</f>
        <v/>
      </c>
      <c r="M713" s="12"/>
      <c r="N713" s="15" t="str">
        <f aca="false">IF($B713="","",IF(NOT(ISNUMBER($B713)),"日期格式不对",IF($C713="","未选资金账户",IF(AND(N($I713)=0,N($J713)=0),"收支都为空",IF(AND(N($I713)&gt;0,N($J713)&gt;0),"收支不能同时填",IF(AND($D713&lt;&gt;"",LEFT($O713,1)="⚠"),"项目编号不存在",IF(AND($M713="是",$F713=""),"工程回款必须填往来单位","√")))))))</f>
        <v/>
      </c>
      <c r="O713" s="16" t="str">
        <f aca="false">IF($D713="","",IFERROR(INDEX(对照清单!$B$5:$B$60,MATCH($D713,对照清单!$A$5:$A$60,0)),"⚠编号不存在"))</f>
        <v/>
      </c>
      <c r="P713" s="10" t="str">
        <f aca="false">IF($B713="","",IF(ISNUMBER($B713),TEXT($B713,"yyyy-mm"),"日期非法"))</f>
        <v/>
      </c>
      <c r="Q713" s="10" t="str">
        <f aca="false">IF($B713="","",IF(ISNUMBER($B713),YEAR($B713),"日期非法"))</f>
        <v/>
      </c>
    </row>
    <row r="714" customFormat="false" ht="15.75" hidden="false" customHeight="true" outlineLevel="0" collapsed="false">
      <c r="A714" s="10" t="str">
        <f aca="false">IF($B714="","",ROW()-4)</f>
        <v/>
      </c>
      <c r="B714" s="11"/>
      <c r="C714" s="12"/>
      <c r="D714" s="12"/>
      <c r="E714" s="12"/>
      <c r="F714" s="12"/>
      <c r="G714" s="12"/>
      <c r="H714" s="13"/>
      <c r="I714" s="4"/>
      <c r="J714" s="4"/>
      <c r="K714" s="14" t="str">
        <f aca="false">IF($B714="","",IF($C714="泓普",$C$2,IF($C714="仟茂",$E$2,IF($C714="现金",$G$2,0)))+SUMIFS($I$5:$I714,$C$5:$C714,$C714)-SUMIFS($J$5:$J714,$C$5:$C714,$C714))</f>
        <v/>
      </c>
      <c r="L714" s="14" t="str">
        <f aca="false">IF($B714="","",$C$2+$E$2+$G$2+SUM($I$5:$I714)-SUM($J$5:$J714))</f>
        <v/>
      </c>
      <c r="M714" s="12"/>
      <c r="N714" s="15" t="str">
        <f aca="false">IF($B714="","",IF(NOT(ISNUMBER($B714)),"日期格式不对",IF($C714="","未选资金账户",IF(AND(N($I714)=0,N($J714)=0),"收支都为空",IF(AND(N($I714)&gt;0,N($J714)&gt;0),"收支不能同时填",IF(AND($D714&lt;&gt;"",LEFT($O714,1)="⚠"),"项目编号不存在",IF(AND($M714="是",$F714=""),"工程回款必须填往来单位","√")))))))</f>
        <v/>
      </c>
      <c r="O714" s="16" t="str">
        <f aca="false">IF($D714="","",IFERROR(INDEX(对照清单!$B$5:$B$60,MATCH($D714,对照清单!$A$5:$A$60,0)),"⚠编号不存在"))</f>
        <v/>
      </c>
      <c r="P714" s="10" t="str">
        <f aca="false">IF($B714="","",IF(ISNUMBER($B714),TEXT($B714,"yyyy-mm"),"日期非法"))</f>
        <v/>
      </c>
      <c r="Q714" s="10" t="str">
        <f aca="false">IF($B714="","",IF(ISNUMBER($B714),YEAR($B714),"日期非法"))</f>
        <v/>
      </c>
    </row>
    <row r="715" customFormat="false" ht="15.75" hidden="false" customHeight="true" outlineLevel="0" collapsed="false">
      <c r="A715" s="10" t="str">
        <f aca="false">IF($B715="","",ROW()-4)</f>
        <v/>
      </c>
      <c r="B715" s="11"/>
      <c r="C715" s="12"/>
      <c r="D715" s="12"/>
      <c r="E715" s="12"/>
      <c r="F715" s="12"/>
      <c r="G715" s="12"/>
      <c r="H715" s="13"/>
      <c r="I715" s="4"/>
      <c r="J715" s="4"/>
      <c r="K715" s="14" t="str">
        <f aca="false">IF($B715="","",IF($C715="泓普",$C$2,IF($C715="仟茂",$E$2,IF($C715="现金",$G$2,0)))+SUMIFS($I$5:$I715,$C$5:$C715,$C715)-SUMIFS($J$5:$J715,$C$5:$C715,$C715))</f>
        <v/>
      </c>
      <c r="L715" s="14" t="str">
        <f aca="false">IF($B715="","",$C$2+$E$2+$G$2+SUM($I$5:$I715)-SUM($J$5:$J715))</f>
        <v/>
      </c>
      <c r="M715" s="12"/>
      <c r="N715" s="15" t="str">
        <f aca="false">IF($B715="","",IF(NOT(ISNUMBER($B715)),"日期格式不对",IF($C715="","未选资金账户",IF(AND(N($I715)=0,N($J715)=0),"收支都为空",IF(AND(N($I715)&gt;0,N($J715)&gt;0),"收支不能同时填",IF(AND($D715&lt;&gt;"",LEFT($O715,1)="⚠"),"项目编号不存在",IF(AND($M715="是",$F715=""),"工程回款必须填往来单位","√")))))))</f>
        <v/>
      </c>
      <c r="O715" s="16" t="str">
        <f aca="false">IF($D715="","",IFERROR(INDEX(对照清单!$B$5:$B$60,MATCH($D715,对照清单!$A$5:$A$60,0)),"⚠编号不存在"))</f>
        <v/>
      </c>
      <c r="P715" s="10" t="str">
        <f aca="false">IF($B715="","",IF(ISNUMBER($B715),TEXT($B715,"yyyy-mm"),"日期非法"))</f>
        <v/>
      </c>
      <c r="Q715" s="10" t="str">
        <f aca="false">IF($B715="","",IF(ISNUMBER($B715),YEAR($B715),"日期非法"))</f>
        <v/>
      </c>
    </row>
    <row r="716" customFormat="false" ht="15.75" hidden="false" customHeight="true" outlineLevel="0" collapsed="false">
      <c r="A716" s="10" t="str">
        <f aca="false">IF($B716="","",ROW()-4)</f>
        <v/>
      </c>
      <c r="B716" s="11"/>
      <c r="C716" s="12"/>
      <c r="D716" s="12"/>
      <c r="E716" s="12"/>
      <c r="F716" s="12"/>
      <c r="G716" s="12"/>
      <c r="H716" s="13"/>
      <c r="I716" s="4"/>
      <c r="J716" s="4"/>
      <c r="K716" s="14" t="str">
        <f aca="false">IF($B716="","",IF($C716="泓普",$C$2,IF($C716="仟茂",$E$2,IF($C716="现金",$G$2,0)))+SUMIFS($I$5:$I716,$C$5:$C716,$C716)-SUMIFS($J$5:$J716,$C$5:$C716,$C716))</f>
        <v/>
      </c>
      <c r="L716" s="14" t="str">
        <f aca="false">IF($B716="","",$C$2+$E$2+$G$2+SUM($I$5:$I716)-SUM($J$5:$J716))</f>
        <v/>
      </c>
      <c r="M716" s="12"/>
      <c r="N716" s="15" t="str">
        <f aca="false">IF($B716="","",IF(NOT(ISNUMBER($B716)),"日期格式不对",IF($C716="","未选资金账户",IF(AND(N($I716)=0,N($J716)=0),"收支都为空",IF(AND(N($I716)&gt;0,N($J716)&gt;0),"收支不能同时填",IF(AND($D716&lt;&gt;"",LEFT($O716,1)="⚠"),"项目编号不存在",IF(AND($M716="是",$F716=""),"工程回款必须填往来单位","√")))))))</f>
        <v/>
      </c>
      <c r="O716" s="16" t="str">
        <f aca="false">IF($D716="","",IFERROR(INDEX(对照清单!$B$5:$B$60,MATCH($D716,对照清单!$A$5:$A$60,0)),"⚠编号不存在"))</f>
        <v/>
      </c>
      <c r="P716" s="10" t="str">
        <f aca="false">IF($B716="","",IF(ISNUMBER($B716),TEXT($B716,"yyyy-mm"),"日期非法"))</f>
        <v/>
      </c>
      <c r="Q716" s="10" t="str">
        <f aca="false">IF($B716="","",IF(ISNUMBER($B716),YEAR($B716),"日期非法"))</f>
        <v/>
      </c>
    </row>
    <row r="717" customFormat="false" ht="15.75" hidden="false" customHeight="true" outlineLevel="0" collapsed="false">
      <c r="A717" s="10" t="str">
        <f aca="false">IF($B717="","",ROW()-4)</f>
        <v/>
      </c>
      <c r="B717" s="11"/>
      <c r="C717" s="12"/>
      <c r="D717" s="12"/>
      <c r="E717" s="12"/>
      <c r="F717" s="12"/>
      <c r="G717" s="12"/>
      <c r="H717" s="13"/>
      <c r="I717" s="4"/>
      <c r="J717" s="4"/>
      <c r="K717" s="14" t="str">
        <f aca="false">IF($B717="","",IF($C717="泓普",$C$2,IF($C717="仟茂",$E$2,IF($C717="现金",$G$2,0)))+SUMIFS($I$5:$I717,$C$5:$C717,$C717)-SUMIFS($J$5:$J717,$C$5:$C717,$C717))</f>
        <v/>
      </c>
      <c r="L717" s="14" t="str">
        <f aca="false">IF($B717="","",$C$2+$E$2+$G$2+SUM($I$5:$I717)-SUM($J$5:$J717))</f>
        <v/>
      </c>
      <c r="M717" s="12"/>
      <c r="N717" s="15" t="str">
        <f aca="false">IF($B717="","",IF(NOT(ISNUMBER($B717)),"日期格式不对",IF($C717="","未选资金账户",IF(AND(N($I717)=0,N($J717)=0),"收支都为空",IF(AND(N($I717)&gt;0,N($J717)&gt;0),"收支不能同时填",IF(AND($D717&lt;&gt;"",LEFT($O717,1)="⚠"),"项目编号不存在",IF(AND($M717="是",$F717=""),"工程回款必须填往来单位","√")))))))</f>
        <v/>
      </c>
      <c r="O717" s="16" t="str">
        <f aca="false">IF($D717="","",IFERROR(INDEX(对照清单!$B$5:$B$60,MATCH($D717,对照清单!$A$5:$A$60,0)),"⚠编号不存在"))</f>
        <v/>
      </c>
      <c r="P717" s="10" t="str">
        <f aca="false">IF($B717="","",IF(ISNUMBER($B717),TEXT($B717,"yyyy-mm"),"日期非法"))</f>
        <v/>
      </c>
      <c r="Q717" s="10" t="str">
        <f aca="false">IF($B717="","",IF(ISNUMBER($B717),YEAR($B717),"日期非法"))</f>
        <v/>
      </c>
    </row>
    <row r="718" customFormat="false" ht="15.75" hidden="false" customHeight="true" outlineLevel="0" collapsed="false">
      <c r="A718" s="10" t="str">
        <f aca="false">IF($B718="","",ROW()-4)</f>
        <v/>
      </c>
      <c r="B718" s="11"/>
      <c r="C718" s="12"/>
      <c r="D718" s="12"/>
      <c r="E718" s="12"/>
      <c r="F718" s="12"/>
      <c r="G718" s="12"/>
      <c r="H718" s="13"/>
      <c r="I718" s="4"/>
      <c r="J718" s="4"/>
      <c r="K718" s="14" t="str">
        <f aca="false">IF($B718="","",IF($C718="泓普",$C$2,IF($C718="仟茂",$E$2,IF($C718="现金",$G$2,0)))+SUMIFS($I$5:$I718,$C$5:$C718,$C718)-SUMIFS($J$5:$J718,$C$5:$C718,$C718))</f>
        <v/>
      </c>
      <c r="L718" s="14" t="str">
        <f aca="false">IF($B718="","",$C$2+$E$2+$G$2+SUM($I$5:$I718)-SUM($J$5:$J718))</f>
        <v/>
      </c>
      <c r="M718" s="12"/>
      <c r="N718" s="15" t="str">
        <f aca="false">IF($B718="","",IF(NOT(ISNUMBER($B718)),"日期格式不对",IF($C718="","未选资金账户",IF(AND(N($I718)=0,N($J718)=0),"收支都为空",IF(AND(N($I718)&gt;0,N($J718)&gt;0),"收支不能同时填",IF(AND($D718&lt;&gt;"",LEFT($O718,1)="⚠"),"项目编号不存在",IF(AND($M718="是",$F718=""),"工程回款必须填往来单位","√")))))))</f>
        <v/>
      </c>
      <c r="O718" s="16" t="str">
        <f aca="false">IF($D718="","",IFERROR(INDEX(对照清单!$B$5:$B$60,MATCH($D718,对照清单!$A$5:$A$60,0)),"⚠编号不存在"))</f>
        <v/>
      </c>
      <c r="P718" s="10" t="str">
        <f aca="false">IF($B718="","",IF(ISNUMBER($B718),TEXT($B718,"yyyy-mm"),"日期非法"))</f>
        <v/>
      </c>
      <c r="Q718" s="10" t="str">
        <f aca="false">IF($B718="","",IF(ISNUMBER($B718),YEAR($B718),"日期非法"))</f>
        <v/>
      </c>
    </row>
    <row r="719" customFormat="false" ht="15.75" hidden="false" customHeight="true" outlineLevel="0" collapsed="false">
      <c r="A719" s="10" t="str">
        <f aca="false">IF($B719="","",ROW()-4)</f>
        <v/>
      </c>
      <c r="B719" s="11"/>
      <c r="C719" s="12"/>
      <c r="D719" s="12"/>
      <c r="E719" s="12"/>
      <c r="F719" s="12"/>
      <c r="G719" s="12"/>
      <c r="H719" s="13"/>
      <c r="I719" s="4"/>
      <c r="J719" s="4"/>
      <c r="K719" s="14" t="str">
        <f aca="false">IF($B719="","",IF($C719="泓普",$C$2,IF($C719="仟茂",$E$2,IF($C719="现金",$G$2,0)))+SUMIFS($I$5:$I719,$C$5:$C719,$C719)-SUMIFS($J$5:$J719,$C$5:$C719,$C719))</f>
        <v/>
      </c>
      <c r="L719" s="14" t="str">
        <f aca="false">IF($B719="","",$C$2+$E$2+$G$2+SUM($I$5:$I719)-SUM($J$5:$J719))</f>
        <v/>
      </c>
      <c r="M719" s="12"/>
      <c r="N719" s="15" t="str">
        <f aca="false">IF($B719="","",IF(NOT(ISNUMBER($B719)),"日期格式不对",IF($C719="","未选资金账户",IF(AND(N($I719)=0,N($J719)=0),"收支都为空",IF(AND(N($I719)&gt;0,N($J719)&gt;0),"收支不能同时填",IF(AND($D719&lt;&gt;"",LEFT($O719,1)="⚠"),"项目编号不存在",IF(AND($M719="是",$F719=""),"工程回款必须填往来单位","√")))))))</f>
        <v/>
      </c>
      <c r="O719" s="16" t="str">
        <f aca="false">IF($D719="","",IFERROR(INDEX(对照清单!$B$5:$B$60,MATCH($D719,对照清单!$A$5:$A$60,0)),"⚠编号不存在"))</f>
        <v/>
      </c>
      <c r="P719" s="10" t="str">
        <f aca="false">IF($B719="","",IF(ISNUMBER($B719),TEXT($B719,"yyyy-mm"),"日期非法"))</f>
        <v/>
      </c>
      <c r="Q719" s="10" t="str">
        <f aca="false">IF($B719="","",IF(ISNUMBER($B719),YEAR($B719),"日期非法"))</f>
        <v/>
      </c>
    </row>
    <row r="720" customFormat="false" ht="15.75" hidden="false" customHeight="true" outlineLevel="0" collapsed="false">
      <c r="A720" s="10" t="str">
        <f aca="false">IF($B720="","",ROW()-4)</f>
        <v/>
      </c>
      <c r="B720" s="11"/>
      <c r="C720" s="12"/>
      <c r="D720" s="12"/>
      <c r="E720" s="12"/>
      <c r="F720" s="12"/>
      <c r="G720" s="12"/>
      <c r="H720" s="13"/>
      <c r="I720" s="4"/>
      <c r="J720" s="4"/>
      <c r="K720" s="14" t="str">
        <f aca="false">IF($B720="","",IF($C720="泓普",$C$2,IF($C720="仟茂",$E$2,IF($C720="现金",$G$2,0)))+SUMIFS($I$5:$I720,$C$5:$C720,$C720)-SUMIFS($J$5:$J720,$C$5:$C720,$C720))</f>
        <v/>
      </c>
      <c r="L720" s="14" t="str">
        <f aca="false">IF($B720="","",$C$2+$E$2+$G$2+SUM($I$5:$I720)-SUM($J$5:$J720))</f>
        <v/>
      </c>
      <c r="M720" s="12"/>
      <c r="N720" s="15" t="str">
        <f aca="false">IF($B720="","",IF(NOT(ISNUMBER($B720)),"日期格式不对",IF($C720="","未选资金账户",IF(AND(N($I720)=0,N($J720)=0),"收支都为空",IF(AND(N($I720)&gt;0,N($J720)&gt;0),"收支不能同时填",IF(AND($D720&lt;&gt;"",LEFT($O720,1)="⚠"),"项目编号不存在",IF(AND($M720="是",$F720=""),"工程回款必须填往来单位","√")))))))</f>
        <v/>
      </c>
      <c r="O720" s="16" t="str">
        <f aca="false">IF($D720="","",IFERROR(INDEX(对照清单!$B$5:$B$60,MATCH($D720,对照清单!$A$5:$A$60,0)),"⚠编号不存在"))</f>
        <v/>
      </c>
      <c r="P720" s="10" t="str">
        <f aca="false">IF($B720="","",IF(ISNUMBER($B720),TEXT($B720,"yyyy-mm"),"日期非法"))</f>
        <v/>
      </c>
      <c r="Q720" s="10" t="str">
        <f aca="false">IF($B720="","",IF(ISNUMBER($B720),YEAR($B720),"日期非法"))</f>
        <v/>
      </c>
    </row>
    <row r="721" customFormat="false" ht="15.75" hidden="false" customHeight="true" outlineLevel="0" collapsed="false">
      <c r="A721" s="10" t="str">
        <f aca="false">IF($B721="","",ROW()-4)</f>
        <v/>
      </c>
      <c r="B721" s="11"/>
      <c r="C721" s="12"/>
      <c r="D721" s="12"/>
      <c r="E721" s="12"/>
      <c r="F721" s="12"/>
      <c r="G721" s="12"/>
      <c r="H721" s="13"/>
      <c r="I721" s="4"/>
      <c r="J721" s="4"/>
      <c r="K721" s="14" t="str">
        <f aca="false">IF($B721="","",IF($C721="泓普",$C$2,IF($C721="仟茂",$E$2,IF($C721="现金",$G$2,0)))+SUMIFS($I$5:$I721,$C$5:$C721,$C721)-SUMIFS($J$5:$J721,$C$5:$C721,$C721))</f>
        <v/>
      </c>
      <c r="L721" s="14" t="str">
        <f aca="false">IF($B721="","",$C$2+$E$2+$G$2+SUM($I$5:$I721)-SUM($J$5:$J721))</f>
        <v/>
      </c>
      <c r="M721" s="12"/>
      <c r="N721" s="15" t="str">
        <f aca="false">IF($B721="","",IF(NOT(ISNUMBER($B721)),"日期格式不对",IF($C721="","未选资金账户",IF(AND(N($I721)=0,N($J721)=0),"收支都为空",IF(AND(N($I721)&gt;0,N($J721)&gt;0),"收支不能同时填",IF(AND($D721&lt;&gt;"",LEFT($O721,1)="⚠"),"项目编号不存在",IF(AND($M721="是",$F721=""),"工程回款必须填往来单位","√")))))))</f>
        <v/>
      </c>
      <c r="O721" s="16" t="str">
        <f aca="false">IF($D721="","",IFERROR(INDEX(对照清单!$B$5:$B$60,MATCH($D721,对照清单!$A$5:$A$60,0)),"⚠编号不存在"))</f>
        <v/>
      </c>
      <c r="P721" s="10" t="str">
        <f aca="false">IF($B721="","",IF(ISNUMBER($B721),TEXT($B721,"yyyy-mm"),"日期非法"))</f>
        <v/>
      </c>
      <c r="Q721" s="10" t="str">
        <f aca="false">IF($B721="","",IF(ISNUMBER($B721),YEAR($B721),"日期非法"))</f>
        <v/>
      </c>
    </row>
    <row r="722" customFormat="false" ht="15.75" hidden="false" customHeight="true" outlineLevel="0" collapsed="false">
      <c r="A722" s="10" t="str">
        <f aca="false">IF($B722="","",ROW()-4)</f>
        <v/>
      </c>
      <c r="B722" s="11"/>
      <c r="C722" s="12"/>
      <c r="D722" s="12"/>
      <c r="E722" s="12"/>
      <c r="F722" s="12"/>
      <c r="G722" s="12"/>
      <c r="H722" s="13"/>
      <c r="I722" s="4"/>
      <c r="J722" s="4"/>
      <c r="K722" s="14" t="str">
        <f aca="false">IF($B722="","",IF($C722="泓普",$C$2,IF($C722="仟茂",$E$2,IF($C722="现金",$G$2,0)))+SUMIFS($I$5:$I722,$C$5:$C722,$C722)-SUMIFS($J$5:$J722,$C$5:$C722,$C722))</f>
        <v/>
      </c>
      <c r="L722" s="14" t="str">
        <f aca="false">IF($B722="","",$C$2+$E$2+$G$2+SUM($I$5:$I722)-SUM($J$5:$J722))</f>
        <v/>
      </c>
      <c r="M722" s="12"/>
      <c r="N722" s="15" t="str">
        <f aca="false">IF($B722="","",IF(NOT(ISNUMBER($B722)),"日期格式不对",IF($C722="","未选资金账户",IF(AND(N($I722)=0,N($J722)=0),"收支都为空",IF(AND(N($I722)&gt;0,N($J722)&gt;0),"收支不能同时填",IF(AND($D722&lt;&gt;"",LEFT($O722,1)="⚠"),"项目编号不存在",IF(AND($M722="是",$F722=""),"工程回款必须填往来单位","√")))))))</f>
        <v/>
      </c>
      <c r="O722" s="16" t="str">
        <f aca="false">IF($D722="","",IFERROR(INDEX(对照清单!$B$5:$B$60,MATCH($D722,对照清单!$A$5:$A$60,0)),"⚠编号不存在"))</f>
        <v/>
      </c>
      <c r="P722" s="10" t="str">
        <f aca="false">IF($B722="","",IF(ISNUMBER($B722),TEXT($B722,"yyyy-mm"),"日期非法"))</f>
        <v/>
      </c>
      <c r="Q722" s="10" t="str">
        <f aca="false">IF($B722="","",IF(ISNUMBER($B722),YEAR($B722),"日期非法"))</f>
        <v/>
      </c>
    </row>
    <row r="723" customFormat="false" ht="15.75" hidden="false" customHeight="true" outlineLevel="0" collapsed="false">
      <c r="A723" s="10" t="str">
        <f aca="false">IF($B723="","",ROW()-4)</f>
        <v/>
      </c>
      <c r="B723" s="11"/>
      <c r="C723" s="12"/>
      <c r="D723" s="12"/>
      <c r="E723" s="12"/>
      <c r="F723" s="12"/>
      <c r="G723" s="12"/>
      <c r="H723" s="13"/>
      <c r="I723" s="4"/>
      <c r="J723" s="4"/>
      <c r="K723" s="14" t="str">
        <f aca="false">IF($B723="","",IF($C723="泓普",$C$2,IF($C723="仟茂",$E$2,IF($C723="现金",$G$2,0)))+SUMIFS($I$5:$I723,$C$5:$C723,$C723)-SUMIFS($J$5:$J723,$C$5:$C723,$C723))</f>
        <v/>
      </c>
      <c r="L723" s="14" t="str">
        <f aca="false">IF($B723="","",$C$2+$E$2+$G$2+SUM($I$5:$I723)-SUM($J$5:$J723))</f>
        <v/>
      </c>
      <c r="M723" s="12"/>
      <c r="N723" s="15" t="str">
        <f aca="false">IF($B723="","",IF(NOT(ISNUMBER($B723)),"日期格式不对",IF($C723="","未选资金账户",IF(AND(N($I723)=0,N($J723)=0),"收支都为空",IF(AND(N($I723)&gt;0,N($J723)&gt;0),"收支不能同时填",IF(AND($D723&lt;&gt;"",LEFT($O723,1)="⚠"),"项目编号不存在",IF(AND($M723="是",$F723=""),"工程回款必须填往来单位","√")))))))</f>
        <v/>
      </c>
      <c r="O723" s="16" t="str">
        <f aca="false">IF($D723="","",IFERROR(INDEX(对照清单!$B$5:$B$60,MATCH($D723,对照清单!$A$5:$A$60,0)),"⚠编号不存在"))</f>
        <v/>
      </c>
      <c r="P723" s="10" t="str">
        <f aca="false">IF($B723="","",IF(ISNUMBER($B723),TEXT($B723,"yyyy-mm"),"日期非法"))</f>
        <v/>
      </c>
      <c r="Q723" s="10" t="str">
        <f aca="false">IF($B723="","",IF(ISNUMBER($B723),YEAR($B723),"日期非法"))</f>
        <v/>
      </c>
    </row>
    <row r="724" customFormat="false" ht="15.75" hidden="false" customHeight="true" outlineLevel="0" collapsed="false">
      <c r="A724" s="10" t="str">
        <f aca="false">IF($B724="","",ROW()-4)</f>
        <v/>
      </c>
      <c r="B724" s="11"/>
      <c r="C724" s="12"/>
      <c r="D724" s="12"/>
      <c r="E724" s="12"/>
      <c r="F724" s="12"/>
      <c r="G724" s="12"/>
      <c r="H724" s="13"/>
      <c r="I724" s="4"/>
      <c r="J724" s="4"/>
      <c r="K724" s="14" t="str">
        <f aca="false">IF($B724="","",IF($C724="泓普",$C$2,IF($C724="仟茂",$E$2,IF($C724="现金",$G$2,0)))+SUMIFS($I$5:$I724,$C$5:$C724,$C724)-SUMIFS($J$5:$J724,$C$5:$C724,$C724))</f>
        <v/>
      </c>
      <c r="L724" s="14" t="str">
        <f aca="false">IF($B724="","",$C$2+$E$2+$G$2+SUM($I$5:$I724)-SUM($J$5:$J724))</f>
        <v/>
      </c>
      <c r="M724" s="12"/>
      <c r="N724" s="15" t="str">
        <f aca="false">IF($B724="","",IF(NOT(ISNUMBER($B724)),"日期格式不对",IF($C724="","未选资金账户",IF(AND(N($I724)=0,N($J724)=0),"收支都为空",IF(AND(N($I724)&gt;0,N($J724)&gt;0),"收支不能同时填",IF(AND($D724&lt;&gt;"",LEFT($O724,1)="⚠"),"项目编号不存在",IF(AND($M724="是",$F724=""),"工程回款必须填往来单位","√")))))))</f>
        <v/>
      </c>
      <c r="O724" s="16" t="str">
        <f aca="false">IF($D724="","",IFERROR(INDEX(对照清单!$B$5:$B$60,MATCH($D724,对照清单!$A$5:$A$60,0)),"⚠编号不存在"))</f>
        <v/>
      </c>
      <c r="P724" s="10" t="str">
        <f aca="false">IF($B724="","",IF(ISNUMBER($B724),TEXT($B724,"yyyy-mm"),"日期非法"))</f>
        <v/>
      </c>
      <c r="Q724" s="10" t="str">
        <f aca="false">IF($B724="","",IF(ISNUMBER($B724),YEAR($B724),"日期非法"))</f>
        <v/>
      </c>
    </row>
    <row r="725" customFormat="false" ht="15.75" hidden="false" customHeight="true" outlineLevel="0" collapsed="false">
      <c r="A725" s="10" t="str">
        <f aca="false">IF($B725="","",ROW()-4)</f>
        <v/>
      </c>
      <c r="B725" s="11"/>
      <c r="C725" s="12"/>
      <c r="D725" s="12"/>
      <c r="E725" s="12"/>
      <c r="F725" s="12"/>
      <c r="G725" s="12"/>
      <c r="H725" s="13"/>
      <c r="I725" s="4"/>
      <c r="J725" s="4"/>
      <c r="K725" s="14" t="str">
        <f aca="false">IF($B725="","",IF($C725="泓普",$C$2,IF($C725="仟茂",$E$2,IF($C725="现金",$G$2,0)))+SUMIFS($I$5:$I725,$C$5:$C725,$C725)-SUMIFS($J$5:$J725,$C$5:$C725,$C725))</f>
        <v/>
      </c>
      <c r="L725" s="14" t="str">
        <f aca="false">IF($B725="","",$C$2+$E$2+$G$2+SUM($I$5:$I725)-SUM($J$5:$J725))</f>
        <v/>
      </c>
      <c r="M725" s="12"/>
      <c r="N725" s="15" t="str">
        <f aca="false">IF($B725="","",IF(NOT(ISNUMBER($B725)),"日期格式不对",IF($C725="","未选资金账户",IF(AND(N($I725)=0,N($J725)=0),"收支都为空",IF(AND(N($I725)&gt;0,N($J725)&gt;0),"收支不能同时填",IF(AND($D725&lt;&gt;"",LEFT($O725,1)="⚠"),"项目编号不存在",IF(AND($M725="是",$F725=""),"工程回款必须填往来单位","√")))))))</f>
        <v/>
      </c>
      <c r="O725" s="16" t="str">
        <f aca="false">IF($D725="","",IFERROR(INDEX(对照清单!$B$5:$B$60,MATCH($D725,对照清单!$A$5:$A$60,0)),"⚠编号不存在"))</f>
        <v/>
      </c>
      <c r="P725" s="10" t="str">
        <f aca="false">IF($B725="","",IF(ISNUMBER($B725),TEXT($B725,"yyyy-mm"),"日期非法"))</f>
        <v/>
      </c>
      <c r="Q725" s="10" t="str">
        <f aca="false">IF($B725="","",IF(ISNUMBER($B725),YEAR($B725),"日期非法"))</f>
        <v/>
      </c>
    </row>
    <row r="726" customFormat="false" ht="15.75" hidden="false" customHeight="true" outlineLevel="0" collapsed="false">
      <c r="A726" s="10" t="str">
        <f aca="false">IF($B726="","",ROW()-4)</f>
        <v/>
      </c>
      <c r="B726" s="11"/>
      <c r="C726" s="12"/>
      <c r="D726" s="12"/>
      <c r="E726" s="12"/>
      <c r="F726" s="12"/>
      <c r="G726" s="12"/>
      <c r="H726" s="13"/>
      <c r="I726" s="4"/>
      <c r="J726" s="4"/>
      <c r="K726" s="14" t="str">
        <f aca="false">IF($B726="","",IF($C726="泓普",$C$2,IF($C726="仟茂",$E$2,IF($C726="现金",$G$2,0)))+SUMIFS($I$5:$I726,$C$5:$C726,$C726)-SUMIFS($J$5:$J726,$C$5:$C726,$C726))</f>
        <v/>
      </c>
      <c r="L726" s="14" t="str">
        <f aca="false">IF($B726="","",$C$2+$E$2+$G$2+SUM($I$5:$I726)-SUM($J$5:$J726))</f>
        <v/>
      </c>
      <c r="M726" s="12"/>
      <c r="N726" s="15" t="str">
        <f aca="false">IF($B726="","",IF(NOT(ISNUMBER($B726)),"日期格式不对",IF($C726="","未选资金账户",IF(AND(N($I726)=0,N($J726)=0),"收支都为空",IF(AND(N($I726)&gt;0,N($J726)&gt;0),"收支不能同时填",IF(AND($D726&lt;&gt;"",LEFT($O726,1)="⚠"),"项目编号不存在",IF(AND($M726="是",$F726=""),"工程回款必须填往来单位","√")))))))</f>
        <v/>
      </c>
      <c r="O726" s="16" t="str">
        <f aca="false">IF($D726="","",IFERROR(INDEX(对照清单!$B$5:$B$60,MATCH($D726,对照清单!$A$5:$A$60,0)),"⚠编号不存在"))</f>
        <v/>
      </c>
      <c r="P726" s="10" t="str">
        <f aca="false">IF($B726="","",IF(ISNUMBER($B726),TEXT($B726,"yyyy-mm"),"日期非法"))</f>
        <v/>
      </c>
      <c r="Q726" s="10" t="str">
        <f aca="false">IF($B726="","",IF(ISNUMBER($B726),YEAR($B726),"日期非法"))</f>
        <v/>
      </c>
    </row>
    <row r="727" customFormat="false" ht="15.75" hidden="false" customHeight="true" outlineLevel="0" collapsed="false">
      <c r="A727" s="10" t="str">
        <f aca="false">IF($B727="","",ROW()-4)</f>
        <v/>
      </c>
      <c r="B727" s="11"/>
      <c r="C727" s="12"/>
      <c r="D727" s="12"/>
      <c r="E727" s="12"/>
      <c r="F727" s="12"/>
      <c r="G727" s="12"/>
      <c r="H727" s="13"/>
      <c r="I727" s="4"/>
      <c r="J727" s="4"/>
      <c r="K727" s="14" t="str">
        <f aca="false">IF($B727="","",IF($C727="泓普",$C$2,IF($C727="仟茂",$E$2,IF($C727="现金",$G$2,0)))+SUMIFS($I$5:$I727,$C$5:$C727,$C727)-SUMIFS($J$5:$J727,$C$5:$C727,$C727))</f>
        <v/>
      </c>
      <c r="L727" s="14" t="str">
        <f aca="false">IF($B727="","",$C$2+$E$2+$G$2+SUM($I$5:$I727)-SUM($J$5:$J727))</f>
        <v/>
      </c>
      <c r="M727" s="12"/>
      <c r="N727" s="15" t="str">
        <f aca="false">IF($B727="","",IF(NOT(ISNUMBER($B727)),"日期格式不对",IF($C727="","未选资金账户",IF(AND(N($I727)=0,N($J727)=0),"收支都为空",IF(AND(N($I727)&gt;0,N($J727)&gt;0),"收支不能同时填",IF(AND($D727&lt;&gt;"",LEFT($O727,1)="⚠"),"项目编号不存在",IF(AND($M727="是",$F727=""),"工程回款必须填往来单位","√")))))))</f>
        <v/>
      </c>
      <c r="O727" s="16" t="str">
        <f aca="false">IF($D727="","",IFERROR(INDEX(对照清单!$B$5:$B$60,MATCH($D727,对照清单!$A$5:$A$60,0)),"⚠编号不存在"))</f>
        <v/>
      </c>
      <c r="P727" s="10" t="str">
        <f aca="false">IF($B727="","",IF(ISNUMBER($B727),TEXT($B727,"yyyy-mm"),"日期非法"))</f>
        <v/>
      </c>
      <c r="Q727" s="10" t="str">
        <f aca="false">IF($B727="","",IF(ISNUMBER($B727),YEAR($B727),"日期非法"))</f>
        <v/>
      </c>
    </row>
    <row r="728" customFormat="false" ht="15.75" hidden="false" customHeight="true" outlineLevel="0" collapsed="false">
      <c r="A728" s="10" t="str">
        <f aca="false">IF($B728="","",ROW()-4)</f>
        <v/>
      </c>
      <c r="B728" s="11"/>
      <c r="C728" s="12"/>
      <c r="D728" s="12"/>
      <c r="E728" s="12"/>
      <c r="F728" s="12"/>
      <c r="G728" s="12"/>
      <c r="H728" s="13"/>
      <c r="I728" s="4"/>
      <c r="J728" s="4"/>
      <c r="K728" s="14" t="str">
        <f aca="false">IF($B728="","",IF($C728="泓普",$C$2,IF($C728="仟茂",$E$2,IF($C728="现金",$G$2,0)))+SUMIFS($I$5:$I728,$C$5:$C728,$C728)-SUMIFS($J$5:$J728,$C$5:$C728,$C728))</f>
        <v/>
      </c>
      <c r="L728" s="14" t="str">
        <f aca="false">IF($B728="","",$C$2+$E$2+$G$2+SUM($I$5:$I728)-SUM($J$5:$J728))</f>
        <v/>
      </c>
      <c r="M728" s="12"/>
      <c r="N728" s="15" t="str">
        <f aca="false">IF($B728="","",IF(NOT(ISNUMBER($B728)),"日期格式不对",IF($C728="","未选资金账户",IF(AND(N($I728)=0,N($J728)=0),"收支都为空",IF(AND(N($I728)&gt;0,N($J728)&gt;0),"收支不能同时填",IF(AND($D728&lt;&gt;"",LEFT($O728,1)="⚠"),"项目编号不存在",IF(AND($M728="是",$F728=""),"工程回款必须填往来单位","√")))))))</f>
        <v/>
      </c>
      <c r="O728" s="16" t="str">
        <f aca="false">IF($D728="","",IFERROR(INDEX(对照清单!$B$5:$B$60,MATCH($D728,对照清单!$A$5:$A$60,0)),"⚠编号不存在"))</f>
        <v/>
      </c>
      <c r="P728" s="10" t="str">
        <f aca="false">IF($B728="","",IF(ISNUMBER($B728),TEXT($B728,"yyyy-mm"),"日期非法"))</f>
        <v/>
      </c>
      <c r="Q728" s="10" t="str">
        <f aca="false">IF($B728="","",IF(ISNUMBER($B728),YEAR($B728),"日期非法"))</f>
        <v/>
      </c>
    </row>
    <row r="729" customFormat="false" ht="15.75" hidden="false" customHeight="true" outlineLevel="0" collapsed="false">
      <c r="A729" s="10" t="str">
        <f aca="false">IF($B729="","",ROW()-4)</f>
        <v/>
      </c>
      <c r="B729" s="11"/>
      <c r="C729" s="12"/>
      <c r="D729" s="12"/>
      <c r="E729" s="12"/>
      <c r="F729" s="12"/>
      <c r="G729" s="12"/>
      <c r="H729" s="13"/>
      <c r="I729" s="4"/>
      <c r="J729" s="4"/>
      <c r="K729" s="14" t="str">
        <f aca="false">IF($B729="","",IF($C729="泓普",$C$2,IF($C729="仟茂",$E$2,IF($C729="现金",$G$2,0)))+SUMIFS($I$5:$I729,$C$5:$C729,$C729)-SUMIFS($J$5:$J729,$C$5:$C729,$C729))</f>
        <v/>
      </c>
      <c r="L729" s="14" t="str">
        <f aca="false">IF($B729="","",$C$2+$E$2+$G$2+SUM($I$5:$I729)-SUM($J$5:$J729))</f>
        <v/>
      </c>
      <c r="M729" s="12"/>
      <c r="N729" s="15" t="str">
        <f aca="false">IF($B729="","",IF(NOT(ISNUMBER($B729)),"日期格式不对",IF($C729="","未选资金账户",IF(AND(N($I729)=0,N($J729)=0),"收支都为空",IF(AND(N($I729)&gt;0,N($J729)&gt;0),"收支不能同时填",IF(AND($D729&lt;&gt;"",LEFT($O729,1)="⚠"),"项目编号不存在",IF(AND($M729="是",$F729=""),"工程回款必须填往来单位","√")))))))</f>
        <v/>
      </c>
      <c r="O729" s="16" t="str">
        <f aca="false">IF($D729="","",IFERROR(INDEX(对照清单!$B$5:$B$60,MATCH($D729,对照清单!$A$5:$A$60,0)),"⚠编号不存在"))</f>
        <v/>
      </c>
      <c r="P729" s="10" t="str">
        <f aca="false">IF($B729="","",IF(ISNUMBER($B729),TEXT($B729,"yyyy-mm"),"日期非法"))</f>
        <v/>
      </c>
      <c r="Q729" s="10" t="str">
        <f aca="false">IF($B729="","",IF(ISNUMBER($B729),YEAR($B729),"日期非法"))</f>
        <v/>
      </c>
    </row>
    <row r="730" customFormat="false" ht="15.75" hidden="false" customHeight="true" outlineLevel="0" collapsed="false">
      <c r="A730" s="10" t="str">
        <f aca="false">IF($B730="","",ROW()-4)</f>
        <v/>
      </c>
      <c r="B730" s="11"/>
      <c r="C730" s="12"/>
      <c r="D730" s="12"/>
      <c r="E730" s="12"/>
      <c r="F730" s="12"/>
      <c r="G730" s="12"/>
      <c r="H730" s="13"/>
      <c r="I730" s="4"/>
      <c r="J730" s="4"/>
      <c r="K730" s="14" t="str">
        <f aca="false">IF($B730="","",IF($C730="泓普",$C$2,IF($C730="仟茂",$E$2,IF($C730="现金",$G$2,0)))+SUMIFS($I$5:$I730,$C$5:$C730,$C730)-SUMIFS($J$5:$J730,$C$5:$C730,$C730))</f>
        <v/>
      </c>
      <c r="L730" s="14" t="str">
        <f aca="false">IF($B730="","",$C$2+$E$2+$G$2+SUM($I$5:$I730)-SUM($J$5:$J730))</f>
        <v/>
      </c>
      <c r="M730" s="12"/>
      <c r="N730" s="15" t="str">
        <f aca="false">IF($B730="","",IF(NOT(ISNUMBER($B730)),"日期格式不对",IF($C730="","未选资金账户",IF(AND(N($I730)=0,N($J730)=0),"收支都为空",IF(AND(N($I730)&gt;0,N($J730)&gt;0),"收支不能同时填",IF(AND($D730&lt;&gt;"",LEFT($O730,1)="⚠"),"项目编号不存在",IF(AND($M730="是",$F730=""),"工程回款必须填往来单位","√")))))))</f>
        <v/>
      </c>
      <c r="O730" s="16" t="str">
        <f aca="false">IF($D730="","",IFERROR(INDEX(对照清单!$B$5:$B$60,MATCH($D730,对照清单!$A$5:$A$60,0)),"⚠编号不存在"))</f>
        <v/>
      </c>
      <c r="P730" s="10" t="str">
        <f aca="false">IF($B730="","",IF(ISNUMBER($B730),TEXT($B730,"yyyy-mm"),"日期非法"))</f>
        <v/>
      </c>
      <c r="Q730" s="10" t="str">
        <f aca="false">IF($B730="","",IF(ISNUMBER($B730),YEAR($B730),"日期非法"))</f>
        <v/>
      </c>
    </row>
    <row r="731" customFormat="false" ht="15.75" hidden="false" customHeight="true" outlineLevel="0" collapsed="false">
      <c r="A731" s="10" t="str">
        <f aca="false">IF($B731="","",ROW()-4)</f>
        <v/>
      </c>
      <c r="B731" s="11"/>
      <c r="C731" s="12"/>
      <c r="D731" s="12"/>
      <c r="E731" s="12"/>
      <c r="F731" s="12"/>
      <c r="G731" s="12"/>
      <c r="H731" s="13"/>
      <c r="I731" s="4"/>
      <c r="J731" s="4"/>
      <c r="K731" s="14" t="str">
        <f aca="false">IF($B731="","",IF($C731="泓普",$C$2,IF($C731="仟茂",$E$2,IF($C731="现金",$G$2,0)))+SUMIFS($I$5:$I731,$C$5:$C731,$C731)-SUMIFS($J$5:$J731,$C$5:$C731,$C731))</f>
        <v/>
      </c>
      <c r="L731" s="14" t="str">
        <f aca="false">IF($B731="","",$C$2+$E$2+$G$2+SUM($I$5:$I731)-SUM($J$5:$J731))</f>
        <v/>
      </c>
      <c r="M731" s="12"/>
      <c r="N731" s="15" t="str">
        <f aca="false">IF($B731="","",IF(NOT(ISNUMBER($B731)),"日期格式不对",IF($C731="","未选资金账户",IF(AND(N($I731)=0,N($J731)=0),"收支都为空",IF(AND(N($I731)&gt;0,N($J731)&gt;0),"收支不能同时填",IF(AND($D731&lt;&gt;"",LEFT($O731,1)="⚠"),"项目编号不存在",IF(AND($M731="是",$F731=""),"工程回款必须填往来单位","√")))))))</f>
        <v/>
      </c>
      <c r="O731" s="16" t="str">
        <f aca="false">IF($D731="","",IFERROR(INDEX(对照清单!$B$5:$B$60,MATCH($D731,对照清单!$A$5:$A$60,0)),"⚠编号不存在"))</f>
        <v/>
      </c>
      <c r="P731" s="10" t="str">
        <f aca="false">IF($B731="","",IF(ISNUMBER($B731),TEXT($B731,"yyyy-mm"),"日期非法"))</f>
        <v/>
      </c>
      <c r="Q731" s="10" t="str">
        <f aca="false">IF($B731="","",IF(ISNUMBER($B731),YEAR($B731),"日期非法"))</f>
        <v/>
      </c>
    </row>
    <row r="732" customFormat="false" ht="15.75" hidden="false" customHeight="true" outlineLevel="0" collapsed="false">
      <c r="A732" s="10" t="str">
        <f aca="false">IF($B732="","",ROW()-4)</f>
        <v/>
      </c>
      <c r="B732" s="11"/>
      <c r="C732" s="12"/>
      <c r="D732" s="12"/>
      <c r="E732" s="12"/>
      <c r="F732" s="12"/>
      <c r="G732" s="12"/>
      <c r="H732" s="13"/>
      <c r="I732" s="4"/>
      <c r="J732" s="4"/>
      <c r="K732" s="14" t="str">
        <f aca="false">IF($B732="","",IF($C732="泓普",$C$2,IF($C732="仟茂",$E$2,IF($C732="现金",$G$2,0)))+SUMIFS($I$5:$I732,$C$5:$C732,$C732)-SUMIFS($J$5:$J732,$C$5:$C732,$C732))</f>
        <v/>
      </c>
      <c r="L732" s="14" t="str">
        <f aca="false">IF($B732="","",$C$2+$E$2+$G$2+SUM($I$5:$I732)-SUM($J$5:$J732))</f>
        <v/>
      </c>
      <c r="M732" s="12"/>
      <c r="N732" s="15" t="str">
        <f aca="false">IF($B732="","",IF(NOT(ISNUMBER($B732)),"日期格式不对",IF($C732="","未选资金账户",IF(AND(N($I732)=0,N($J732)=0),"收支都为空",IF(AND(N($I732)&gt;0,N($J732)&gt;0),"收支不能同时填",IF(AND($D732&lt;&gt;"",LEFT($O732,1)="⚠"),"项目编号不存在",IF(AND($M732="是",$F732=""),"工程回款必须填往来单位","√")))))))</f>
        <v/>
      </c>
      <c r="O732" s="16" t="str">
        <f aca="false">IF($D732="","",IFERROR(INDEX(对照清单!$B$5:$B$60,MATCH($D732,对照清单!$A$5:$A$60,0)),"⚠编号不存在"))</f>
        <v/>
      </c>
      <c r="P732" s="10" t="str">
        <f aca="false">IF($B732="","",IF(ISNUMBER($B732),TEXT($B732,"yyyy-mm"),"日期非法"))</f>
        <v/>
      </c>
      <c r="Q732" s="10" t="str">
        <f aca="false">IF($B732="","",IF(ISNUMBER($B732),YEAR($B732),"日期非法"))</f>
        <v/>
      </c>
    </row>
    <row r="733" customFormat="false" ht="15.75" hidden="false" customHeight="true" outlineLevel="0" collapsed="false">
      <c r="A733" s="10" t="str">
        <f aca="false">IF($B733="","",ROW()-4)</f>
        <v/>
      </c>
      <c r="B733" s="11"/>
      <c r="C733" s="12"/>
      <c r="D733" s="12"/>
      <c r="E733" s="12"/>
      <c r="F733" s="12"/>
      <c r="G733" s="12"/>
      <c r="H733" s="13"/>
      <c r="I733" s="4"/>
      <c r="J733" s="4"/>
      <c r="K733" s="14" t="str">
        <f aca="false">IF($B733="","",IF($C733="泓普",$C$2,IF($C733="仟茂",$E$2,IF($C733="现金",$G$2,0)))+SUMIFS($I$5:$I733,$C$5:$C733,$C733)-SUMIFS($J$5:$J733,$C$5:$C733,$C733))</f>
        <v/>
      </c>
      <c r="L733" s="14" t="str">
        <f aca="false">IF($B733="","",$C$2+$E$2+$G$2+SUM($I$5:$I733)-SUM($J$5:$J733))</f>
        <v/>
      </c>
      <c r="M733" s="12"/>
      <c r="N733" s="15" t="str">
        <f aca="false">IF($B733="","",IF(NOT(ISNUMBER($B733)),"日期格式不对",IF($C733="","未选资金账户",IF(AND(N($I733)=0,N($J733)=0),"收支都为空",IF(AND(N($I733)&gt;0,N($J733)&gt;0),"收支不能同时填",IF(AND($D733&lt;&gt;"",LEFT($O733,1)="⚠"),"项目编号不存在",IF(AND($M733="是",$F733=""),"工程回款必须填往来单位","√")))))))</f>
        <v/>
      </c>
      <c r="O733" s="16" t="str">
        <f aca="false">IF($D733="","",IFERROR(INDEX(对照清单!$B$5:$B$60,MATCH($D733,对照清单!$A$5:$A$60,0)),"⚠编号不存在"))</f>
        <v/>
      </c>
      <c r="P733" s="10" t="str">
        <f aca="false">IF($B733="","",IF(ISNUMBER($B733),TEXT($B733,"yyyy-mm"),"日期非法"))</f>
        <v/>
      </c>
      <c r="Q733" s="10" t="str">
        <f aca="false">IF($B733="","",IF(ISNUMBER($B733),YEAR($B733),"日期非法"))</f>
        <v/>
      </c>
    </row>
    <row r="734" customFormat="false" ht="15.75" hidden="false" customHeight="true" outlineLevel="0" collapsed="false">
      <c r="A734" s="10" t="str">
        <f aca="false">IF($B734="","",ROW()-4)</f>
        <v/>
      </c>
      <c r="B734" s="11"/>
      <c r="C734" s="12"/>
      <c r="D734" s="12"/>
      <c r="E734" s="12"/>
      <c r="F734" s="12"/>
      <c r="G734" s="12"/>
      <c r="H734" s="13"/>
      <c r="I734" s="4"/>
      <c r="J734" s="4"/>
      <c r="K734" s="14" t="str">
        <f aca="false">IF($B734="","",IF($C734="泓普",$C$2,IF($C734="仟茂",$E$2,IF($C734="现金",$G$2,0)))+SUMIFS($I$5:$I734,$C$5:$C734,$C734)-SUMIFS($J$5:$J734,$C$5:$C734,$C734))</f>
        <v/>
      </c>
      <c r="L734" s="14" t="str">
        <f aca="false">IF($B734="","",$C$2+$E$2+$G$2+SUM($I$5:$I734)-SUM($J$5:$J734))</f>
        <v/>
      </c>
      <c r="M734" s="12"/>
      <c r="N734" s="15" t="str">
        <f aca="false">IF($B734="","",IF(NOT(ISNUMBER($B734)),"日期格式不对",IF($C734="","未选资金账户",IF(AND(N($I734)=0,N($J734)=0),"收支都为空",IF(AND(N($I734)&gt;0,N($J734)&gt;0),"收支不能同时填",IF(AND($D734&lt;&gt;"",LEFT($O734,1)="⚠"),"项目编号不存在",IF(AND($M734="是",$F734=""),"工程回款必须填往来单位","√")))))))</f>
        <v/>
      </c>
      <c r="O734" s="16" t="str">
        <f aca="false">IF($D734="","",IFERROR(INDEX(对照清单!$B$5:$B$60,MATCH($D734,对照清单!$A$5:$A$60,0)),"⚠编号不存在"))</f>
        <v/>
      </c>
      <c r="P734" s="10" t="str">
        <f aca="false">IF($B734="","",IF(ISNUMBER($B734),TEXT($B734,"yyyy-mm"),"日期非法"))</f>
        <v/>
      </c>
      <c r="Q734" s="10" t="str">
        <f aca="false">IF($B734="","",IF(ISNUMBER($B734),YEAR($B734),"日期非法"))</f>
        <v/>
      </c>
    </row>
    <row r="735" customFormat="false" ht="15.75" hidden="false" customHeight="true" outlineLevel="0" collapsed="false">
      <c r="A735" s="10" t="str">
        <f aca="false">IF($B735="","",ROW()-4)</f>
        <v/>
      </c>
      <c r="B735" s="11"/>
      <c r="C735" s="12"/>
      <c r="D735" s="12"/>
      <c r="E735" s="12"/>
      <c r="F735" s="12"/>
      <c r="G735" s="12"/>
      <c r="H735" s="13"/>
      <c r="I735" s="4"/>
      <c r="J735" s="4"/>
      <c r="K735" s="14" t="str">
        <f aca="false">IF($B735="","",IF($C735="泓普",$C$2,IF($C735="仟茂",$E$2,IF($C735="现金",$G$2,0)))+SUMIFS($I$5:$I735,$C$5:$C735,$C735)-SUMIFS($J$5:$J735,$C$5:$C735,$C735))</f>
        <v/>
      </c>
      <c r="L735" s="14" t="str">
        <f aca="false">IF($B735="","",$C$2+$E$2+$G$2+SUM($I$5:$I735)-SUM($J$5:$J735))</f>
        <v/>
      </c>
      <c r="M735" s="12"/>
      <c r="N735" s="15" t="str">
        <f aca="false">IF($B735="","",IF(NOT(ISNUMBER($B735)),"日期格式不对",IF($C735="","未选资金账户",IF(AND(N($I735)=0,N($J735)=0),"收支都为空",IF(AND(N($I735)&gt;0,N($J735)&gt;0),"收支不能同时填",IF(AND($D735&lt;&gt;"",LEFT($O735,1)="⚠"),"项目编号不存在",IF(AND($M735="是",$F735=""),"工程回款必须填往来单位","√")))))))</f>
        <v/>
      </c>
      <c r="O735" s="16" t="str">
        <f aca="false">IF($D735="","",IFERROR(INDEX(对照清单!$B$5:$B$60,MATCH($D735,对照清单!$A$5:$A$60,0)),"⚠编号不存在"))</f>
        <v/>
      </c>
      <c r="P735" s="10" t="str">
        <f aca="false">IF($B735="","",IF(ISNUMBER($B735),TEXT($B735,"yyyy-mm"),"日期非法"))</f>
        <v/>
      </c>
      <c r="Q735" s="10" t="str">
        <f aca="false">IF($B735="","",IF(ISNUMBER($B735),YEAR($B735),"日期非法"))</f>
        <v/>
      </c>
    </row>
    <row r="736" customFormat="false" ht="15.75" hidden="false" customHeight="true" outlineLevel="0" collapsed="false">
      <c r="A736" s="10" t="str">
        <f aca="false">IF($B736="","",ROW()-4)</f>
        <v/>
      </c>
      <c r="B736" s="11"/>
      <c r="C736" s="12"/>
      <c r="D736" s="12"/>
      <c r="E736" s="12"/>
      <c r="F736" s="12"/>
      <c r="G736" s="12"/>
      <c r="H736" s="13"/>
      <c r="I736" s="4"/>
      <c r="J736" s="4"/>
      <c r="K736" s="14" t="str">
        <f aca="false">IF($B736="","",IF($C736="泓普",$C$2,IF($C736="仟茂",$E$2,IF($C736="现金",$G$2,0)))+SUMIFS($I$5:$I736,$C$5:$C736,$C736)-SUMIFS($J$5:$J736,$C$5:$C736,$C736))</f>
        <v/>
      </c>
      <c r="L736" s="14" t="str">
        <f aca="false">IF($B736="","",$C$2+$E$2+$G$2+SUM($I$5:$I736)-SUM($J$5:$J736))</f>
        <v/>
      </c>
      <c r="M736" s="12"/>
      <c r="N736" s="15" t="str">
        <f aca="false">IF($B736="","",IF(NOT(ISNUMBER($B736)),"日期格式不对",IF($C736="","未选资金账户",IF(AND(N($I736)=0,N($J736)=0),"收支都为空",IF(AND(N($I736)&gt;0,N($J736)&gt;0),"收支不能同时填",IF(AND($D736&lt;&gt;"",LEFT($O736,1)="⚠"),"项目编号不存在",IF(AND($M736="是",$F736=""),"工程回款必须填往来单位","√")))))))</f>
        <v/>
      </c>
      <c r="O736" s="16" t="str">
        <f aca="false">IF($D736="","",IFERROR(INDEX(对照清单!$B$5:$B$60,MATCH($D736,对照清单!$A$5:$A$60,0)),"⚠编号不存在"))</f>
        <v/>
      </c>
      <c r="P736" s="10" t="str">
        <f aca="false">IF($B736="","",IF(ISNUMBER($B736),TEXT($B736,"yyyy-mm"),"日期非法"))</f>
        <v/>
      </c>
      <c r="Q736" s="10" t="str">
        <f aca="false">IF($B736="","",IF(ISNUMBER($B736),YEAR($B736),"日期非法"))</f>
        <v/>
      </c>
    </row>
    <row r="737" customFormat="false" ht="15.75" hidden="false" customHeight="true" outlineLevel="0" collapsed="false">
      <c r="A737" s="10" t="str">
        <f aca="false">IF($B737="","",ROW()-4)</f>
        <v/>
      </c>
      <c r="B737" s="11"/>
      <c r="C737" s="12"/>
      <c r="D737" s="12"/>
      <c r="E737" s="12"/>
      <c r="F737" s="12"/>
      <c r="G737" s="12"/>
      <c r="H737" s="13"/>
      <c r="I737" s="4"/>
      <c r="J737" s="4"/>
      <c r="K737" s="14" t="str">
        <f aca="false">IF($B737="","",IF($C737="泓普",$C$2,IF($C737="仟茂",$E$2,IF($C737="现金",$G$2,0)))+SUMIFS($I$5:$I737,$C$5:$C737,$C737)-SUMIFS($J$5:$J737,$C$5:$C737,$C737))</f>
        <v/>
      </c>
      <c r="L737" s="14" t="str">
        <f aca="false">IF($B737="","",$C$2+$E$2+$G$2+SUM($I$5:$I737)-SUM($J$5:$J737))</f>
        <v/>
      </c>
      <c r="M737" s="12"/>
      <c r="N737" s="15" t="str">
        <f aca="false">IF($B737="","",IF(NOT(ISNUMBER($B737)),"日期格式不对",IF($C737="","未选资金账户",IF(AND(N($I737)=0,N($J737)=0),"收支都为空",IF(AND(N($I737)&gt;0,N($J737)&gt;0),"收支不能同时填",IF(AND($D737&lt;&gt;"",LEFT($O737,1)="⚠"),"项目编号不存在",IF(AND($M737="是",$F737=""),"工程回款必须填往来单位","√")))))))</f>
        <v/>
      </c>
      <c r="O737" s="16" t="str">
        <f aca="false">IF($D737="","",IFERROR(INDEX(对照清单!$B$5:$B$60,MATCH($D737,对照清单!$A$5:$A$60,0)),"⚠编号不存在"))</f>
        <v/>
      </c>
      <c r="P737" s="10" t="str">
        <f aca="false">IF($B737="","",IF(ISNUMBER($B737),TEXT($B737,"yyyy-mm"),"日期非法"))</f>
        <v/>
      </c>
      <c r="Q737" s="10" t="str">
        <f aca="false">IF($B737="","",IF(ISNUMBER($B737),YEAR($B737),"日期非法"))</f>
        <v/>
      </c>
    </row>
    <row r="738" customFormat="false" ht="15.75" hidden="false" customHeight="true" outlineLevel="0" collapsed="false">
      <c r="A738" s="10" t="str">
        <f aca="false">IF($B738="","",ROW()-4)</f>
        <v/>
      </c>
      <c r="B738" s="11"/>
      <c r="C738" s="12"/>
      <c r="D738" s="12"/>
      <c r="E738" s="12"/>
      <c r="F738" s="12"/>
      <c r="G738" s="12"/>
      <c r="H738" s="13"/>
      <c r="I738" s="4"/>
      <c r="J738" s="4"/>
      <c r="K738" s="14" t="str">
        <f aca="false">IF($B738="","",IF($C738="泓普",$C$2,IF($C738="仟茂",$E$2,IF($C738="现金",$G$2,0)))+SUMIFS($I$5:$I738,$C$5:$C738,$C738)-SUMIFS($J$5:$J738,$C$5:$C738,$C738))</f>
        <v/>
      </c>
      <c r="L738" s="14" t="str">
        <f aca="false">IF($B738="","",$C$2+$E$2+$G$2+SUM($I$5:$I738)-SUM($J$5:$J738))</f>
        <v/>
      </c>
      <c r="M738" s="12"/>
      <c r="N738" s="15" t="str">
        <f aca="false">IF($B738="","",IF(NOT(ISNUMBER($B738)),"日期格式不对",IF($C738="","未选资金账户",IF(AND(N($I738)=0,N($J738)=0),"收支都为空",IF(AND(N($I738)&gt;0,N($J738)&gt;0),"收支不能同时填",IF(AND($D738&lt;&gt;"",LEFT($O738,1)="⚠"),"项目编号不存在",IF(AND($M738="是",$F738=""),"工程回款必须填往来单位","√")))))))</f>
        <v/>
      </c>
      <c r="O738" s="16" t="str">
        <f aca="false">IF($D738="","",IFERROR(INDEX(对照清单!$B$5:$B$60,MATCH($D738,对照清单!$A$5:$A$60,0)),"⚠编号不存在"))</f>
        <v/>
      </c>
      <c r="P738" s="10" t="str">
        <f aca="false">IF($B738="","",IF(ISNUMBER($B738),TEXT($B738,"yyyy-mm"),"日期非法"))</f>
        <v/>
      </c>
      <c r="Q738" s="10" t="str">
        <f aca="false">IF($B738="","",IF(ISNUMBER($B738),YEAR($B738),"日期非法"))</f>
        <v/>
      </c>
    </row>
    <row r="739" customFormat="false" ht="15.75" hidden="false" customHeight="true" outlineLevel="0" collapsed="false">
      <c r="A739" s="10" t="str">
        <f aca="false">IF($B739="","",ROW()-4)</f>
        <v/>
      </c>
      <c r="B739" s="11"/>
      <c r="C739" s="12"/>
      <c r="D739" s="12"/>
      <c r="E739" s="12"/>
      <c r="F739" s="12"/>
      <c r="G739" s="12"/>
      <c r="H739" s="13"/>
      <c r="I739" s="4"/>
      <c r="J739" s="4"/>
      <c r="K739" s="14" t="str">
        <f aca="false">IF($B739="","",IF($C739="泓普",$C$2,IF($C739="仟茂",$E$2,IF($C739="现金",$G$2,0)))+SUMIFS($I$5:$I739,$C$5:$C739,$C739)-SUMIFS($J$5:$J739,$C$5:$C739,$C739))</f>
        <v/>
      </c>
      <c r="L739" s="14" t="str">
        <f aca="false">IF($B739="","",$C$2+$E$2+$G$2+SUM($I$5:$I739)-SUM($J$5:$J739))</f>
        <v/>
      </c>
      <c r="M739" s="12"/>
      <c r="N739" s="15" t="str">
        <f aca="false">IF($B739="","",IF(NOT(ISNUMBER($B739)),"日期格式不对",IF($C739="","未选资金账户",IF(AND(N($I739)=0,N($J739)=0),"收支都为空",IF(AND(N($I739)&gt;0,N($J739)&gt;0),"收支不能同时填",IF(AND($D739&lt;&gt;"",LEFT($O739,1)="⚠"),"项目编号不存在",IF(AND($M739="是",$F739=""),"工程回款必须填往来单位","√")))))))</f>
        <v/>
      </c>
      <c r="O739" s="16" t="str">
        <f aca="false">IF($D739="","",IFERROR(INDEX(对照清单!$B$5:$B$60,MATCH($D739,对照清单!$A$5:$A$60,0)),"⚠编号不存在"))</f>
        <v/>
      </c>
      <c r="P739" s="10" t="str">
        <f aca="false">IF($B739="","",IF(ISNUMBER($B739),TEXT($B739,"yyyy-mm"),"日期非法"))</f>
        <v/>
      </c>
      <c r="Q739" s="10" t="str">
        <f aca="false">IF($B739="","",IF(ISNUMBER($B739),YEAR($B739),"日期非法"))</f>
        <v/>
      </c>
    </row>
    <row r="740" customFormat="false" ht="15.75" hidden="false" customHeight="true" outlineLevel="0" collapsed="false">
      <c r="A740" s="10" t="str">
        <f aca="false">IF($B740="","",ROW()-4)</f>
        <v/>
      </c>
      <c r="B740" s="11"/>
      <c r="C740" s="12"/>
      <c r="D740" s="12"/>
      <c r="E740" s="12"/>
      <c r="F740" s="12"/>
      <c r="G740" s="12"/>
      <c r="H740" s="13"/>
      <c r="I740" s="4"/>
      <c r="J740" s="4"/>
      <c r="K740" s="14" t="str">
        <f aca="false">IF($B740="","",IF($C740="泓普",$C$2,IF($C740="仟茂",$E$2,IF($C740="现金",$G$2,0)))+SUMIFS($I$5:$I740,$C$5:$C740,$C740)-SUMIFS($J$5:$J740,$C$5:$C740,$C740))</f>
        <v/>
      </c>
      <c r="L740" s="14" t="str">
        <f aca="false">IF($B740="","",$C$2+$E$2+$G$2+SUM($I$5:$I740)-SUM($J$5:$J740))</f>
        <v/>
      </c>
      <c r="M740" s="12"/>
      <c r="N740" s="15" t="str">
        <f aca="false">IF($B740="","",IF(NOT(ISNUMBER($B740)),"日期格式不对",IF($C740="","未选资金账户",IF(AND(N($I740)=0,N($J740)=0),"收支都为空",IF(AND(N($I740)&gt;0,N($J740)&gt;0),"收支不能同时填",IF(AND($D740&lt;&gt;"",LEFT($O740,1)="⚠"),"项目编号不存在",IF(AND($M740="是",$F740=""),"工程回款必须填往来单位","√")))))))</f>
        <v/>
      </c>
      <c r="O740" s="16" t="str">
        <f aca="false">IF($D740="","",IFERROR(INDEX(对照清单!$B$5:$B$60,MATCH($D740,对照清单!$A$5:$A$60,0)),"⚠编号不存在"))</f>
        <v/>
      </c>
      <c r="P740" s="10" t="str">
        <f aca="false">IF($B740="","",IF(ISNUMBER($B740),TEXT($B740,"yyyy-mm"),"日期非法"))</f>
        <v/>
      </c>
      <c r="Q740" s="10" t="str">
        <f aca="false">IF($B740="","",IF(ISNUMBER($B740),YEAR($B740),"日期非法"))</f>
        <v/>
      </c>
    </row>
    <row r="741" customFormat="false" ht="15.75" hidden="false" customHeight="true" outlineLevel="0" collapsed="false">
      <c r="A741" s="10" t="str">
        <f aca="false">IF($B741="","",ROW()-4)</f>
        <v/>
      </c>
      <c r="B741" s="11"/>
      <c r="C741" s="12"/>
      <c r="D741" s="12"/>
      <c r="E741" s="12"/>
      <c r="F741" s="12"/>
      <c r="G741" s="12"/>
      <c r="H741" s="13"/>
      <c r="I741" s="4"/>
      <c r="J741" s="4"/>
      <c r="K741" s="14" t="str">
        <f aca="false">IF($B741="","",IF($C741="泓普",$C$2,IF($C741="仟茂",$E$2,IF($C741="现金",$G$2,0)))+SUMIFS($I$5:$I741,$C$5:$C741,$C741)-SUMIFS($J$5:$J741,$C$5:$C741,$C741))</f>
        <v/>
      </c>
      <c r="L741" s="14" t="str">
        <f aca="false">IF($B741="","",$C$2+$E$2+$G$2+SUM($I$5:$I741)-SUM($J$5:$J741))</f>
        <v/>
      </c>
      <c r="M741" s="12"/>
      <c r="N741" s="15" t="str">
        <f aca="false">IF($B741="","",IF(NOT(ISNUMBER($B741)),"日期格式不对",IF($C741="","未选资金账户",IF(AND(N($I741)=0,N($J741)=0),"收支都为空",IF(AND(N($I741)&gt;0,N($J741)&gt;0),"收支不能同时填",IF(AND($D741&lt;&gt;"",LEFT($O741,1)="⚠"),"项目编号不存在",IF(AND($M741="是",$F741=""),"工程回款必须填往来单位","√")))))))</f>
        <v/>
      </c>
      <c r="O741" s="16" t="str">
        <f aca="false">IF($D741="","",IFERROR(INDEX(对照清单!$B$5:$B$60,MATCH($D741,对照清单!$A$5:$A$60,0)),"⚠编号不存在"))</f>
        <v/>
      </c>
      <c r="P741" s="10" t="str">
        <f aca="false">IF($B741="","",IF(ISNUMBER($B741),TEXT($B741,"yyyy-mm"),"日期非法"))</f>
        <v/>
      </c>
      <c r="Q741" s="10" t="str">
        <f aca="false">IF($B741="","",IF(ISNUMBER($B741),YEAR($B741),"日期非法"))</f>
        <v/>
      </c>
    </row>
    <row r="742" customFormat="false" ht="15.75" hidden="false" customHeight="true" outlineLevel="0" collapsed="false">
      <c r="A742" s="10" t="str">
        <f aca="false">IF($B742="","",ROW()-4)</f>
        <v/>
      </c>
      <c r="B742" s="11"/>
      <c r="C742" s="12"/>
      <c r="D742" s="12"/>
      <c r="E742" s="12"/>
      <c r="F742" s="12"/>
      <c r="G742" s="12"/>
      <c r="H742" s="13"/>
      <c r="I742" s="4"/>
      <c r="J742" s="4"/>
      <c r="K742" s="14" t="str">
        <f aca="false">IF($B742="","",IF($C742="泓普",$C$2,IF($C742="仟茂",$E$2,IF($C742="现金",$G$2,0)))+SUMIFS($I$5:$I742,$C$5:$C742,$C742)-SUMIFS($J$5:$J742,$C$5:$C742,$C742))</f>
        <v/>
      </c>
      <c r="L742" s="14" t="str">
        <f aca="false">IF($B742="","",$C$2+$E$2+$G$2+SUM($I$5:$I742)-SUM($J$5:$J742))</f>
        <v/>
      </c>
      <c r="M742" s="12"/>
      <c r="N742" s="15" t="str">
        <f aca="false">IF($B742="","",IF(NOT(ISNUMBER($B742)),"日期格式不对",IF($C742="","未选资金账户",IF(AND(N($I742)=0,N($J742)=0),"收支都为空",IF(AND(N($I742)&gt;0,N($J742)&gt;0),"收支不能同时填",IF(AND($D742&lt;&gt;"",LEFT($O742,1)="⚠"),"项目编号不存在",IF(AND($M742="是",$F742=""),"工程回款必须填往来单位","√")))))))</f>
        <v/>
      </c>
      <c r="O742" s="16" t="str">
        <f aca="false">IF($D742="","",IFERROR(INDEX(对照清单!$B$5:$B$60,MATCH($D742,对照清单!$A$5:$A$60,0)),"⚠编号不存在"))</f>
        <v/>
      </c>
      <c r="P742" s="10" t="str">
        <f aca="false">IF($B742="","",IF(ISNUMBER($B742),TEXT($B742,"yyyy-mm"),"日期非法"))</f>
        <v/>
      </c>
      <c r="Q742" s="10" t="str">
        <f aca="false">IF($B742="","",IF(ISNUMBER($B742),YEAR($B742),"日期非法"))</f>
        <v/>
      </c>
    </row>
    <row r="743" customFormat="false" ht="15.75" hidden="false" customHeight="true" outlineLevel="0" collapsed="false">
      <c r="A743" s="10" t="str">
        <f aca="false">IF($B743="","",ROW()-4)</f>
        <v/>
      </c>
      <c r="B743" s="11"/>
      <c r="C743" s="12"/>
      <c r="D743" s="12"/>
      <c r="E743" s="12"/>
      <c r="F743" s="12"/>
      <c r="G743" s="12"/>
      <c r="H743" s="13"/>
      <c r="I743" s="4"/>
      <c r="J743" s="4"/>
      <c r="K743" s="14" t="str">
        <f aca="false">IF($B743="","",IF($C743="泓普",$C$2,IF($C743="仟茂",$E$2,IF($C743="现金",$G$2,0)))+SUMIFS($I$5:$I743,$C$5:$C743,$C743)-SUMIFS($J$5:$J743,$C$5:$C743,$C743))</f>
        <v/>
      </c>
      <c r="L743" s="14" t="str">
        <f aca="false">IF($B743="","",$C$2+$E$2+$G$2+SUM($I$5:$I743)-SUM($J$5:$J743))</f>
        <v/>
      </c>
      <c r="M743" s="12"/>
      <c r="N743" s="15" t="str">
        <f aca="false">IF($B743="","",IF(NOT(ISNUMBER($B743)),"日期格式不对",IF($C743="","未选资金账户",IF(AND(N($I743)=0,N($J743)=0),"收支都为空",IF(AND(N($I743)&gt;0,N($J743)&gt;0),"收支不能同时填",IF(AND($D743&lt;&gt;"",LEFT($O743,1)="⚠"),"项目编号不存在",IF(AND($M743="是",$F743=""),"工程回款必须填往来单位","√")))))))</f>
        <v/>
      </c>
      <c r="O743" s="16" t="str">
        <f aca="false">IF($D743="","",IFERROR(INDEX(对照清单!$B$5:$B$60,MATCH($D743,对照清单!$A$5:$A$60,0)),"⚠编号不存在"))</f>
        <v/>
      </c>
      <c r="P743" s="10" t="str">
        <f aca="false">IF($B743="","",IF(ISNUMBER($B743),TEXT($B743,"yyyy-mm"),"日期非法"))</f>
        <v/>
      </c>
      <c r="Q743" s="10" t="str">
        <f aca="false">IF($B743="","",IF(ISNUMBER($B743),YEAR($B743),"日期非法"))</f>
        <v/>
      </c>
    </row>
    <row r="744" customFormat="false" ht="15.75" hidden="false" customHeight="true" outlineLevel="0" collapsed="false">
      <c r="A744" s="10" t="str">
        <f aca="false">IF($B744="","",ROW()-4)</f>
        <v/>
      </c>
      <c r="B744" s="11"/>
      <c r="C744" s="12"/>
      <c r="D744" s="12"/>
      <c r="E744" s="12"/>
      <c r="F744" s="12"/>
      <c r="G744" s="12"/>
      <c r="H744" s="13"/>
      <c r="I744" s="4"/>
      <c r="J744" s="4"/>
      <c r="K744" s="14" t="str">
        <f aca="false">IF($B744="","",IF($C744="泓普",$C$2,IF($C744="仟茂",$E$2,IF($C744="现金",$G$2,0)))+SUMIFS($I$5:$I744,$C$5:$C744,$C744)-SUMIFS($J$5:$J744,$C$5:$C744,$C744))</f>
        <v/>
      </c>
      <c r="L744" s="14" t="str">
        <f aca="false">IF($B744="","",$C$2+$E$2+$G$2+SUM($I$5:$I744)-SUM($J$5:$J744))</f>
        <v/>
      </c>
      <c r="M744" s="12"/>
      <c r="N744" s="15" t="str">
        <f aca="false">IF($B744="","",IF(NOT(ISNUMBER($B744)),"日期格式不对",IF($C744="","未选资金账户",IF(AND(N($I744)=0,N($J744)=0),"收支都为空",IF(AND(N($I744)&gt;0,N($J744)&gt;0),"收支不能同时填",IF(AND($D744&lt;&gt;"",LEFT($O744,1)="⚠"),"项目编号不存在",IF(AND($M744="是",$F744=""),"工程回款必须填往来单位","√")))))))</f>
        <v/>
      </c>
      <c r="O744" s="16" t="str">
        <f aca="false">IF($D744="","",IFERROR(INDEX(对照清单!$B$5:$B$60,MATCH($D744,对照清单!$A$5:$A$60,0)),"⚠编号不存在"))</f>
        <v/>
      </c>
      <c r="P744" s="10" t="str">
        <f aca="false">IF($B744="","",IF(ISNUMBER($B744),TEXT($B744,"yyyy-mm"),"日期非法"))</f>
        <v/>
      </c>
      <c r="Q744" s="10" t="str">
        <f aca="false">IF($B744="","",IF(ISNUMBER($B744),YEAR($B744),"日期非法"))</f>
        <v/>
      </c>
    </row>
    <row r="745" customFormat="false" ht="15.75" hidden="false" customHeight="true" outlineLevel="0" collapsed="false">
      <c r="A745" s="10" t="str">
        <f aca="false">IF($B745="","",ROW()-4)</f>
        <v/>
      </c>
      <c r="B745" s="11"/>
      <c r="C745" s="12"/>
      <c r="D745" s="12"/>
      <c r="E745" s="12"/>
      <c r="F745" s="12"/>
      <c r="G745" s="12"/>
      <c r="H745" s="13"/>
      <c r="I745" s="4"/>
      <c r="J745" s="4"/>
      <c r="K745" s="14" t="str">
        <f aca="false">IF($B745="","",IF($C745="泓普",$C$2,IF($C745="仟茂",$E$2,IF($C745="现金",$G$2,0)))+SUMIFS($I$5:$I745,$C$5:$C745,$C745)-SUMIFS($J$5:$J745,$C$5:$C745,$C745))</f>
        <v/>
      </c>
      <c r="L745" s="14" t="str">
        <f aca="false">IF($B745="","",$C$2+$E$2+$G$2+SUM($I$5:$I745)-SUM($J$5:$J745))</f>
        <v/>
      </c>
      <c r="M745" s="12"/>
      <c r="N745" s="15" t="str">
        <f aca="false">IF($B745="","",IF(NOT(ISNUMBER($B745)),"日期格式不对",IF($C745="","未选资金账户",IF(AND(N($I745)=0,N($J745)=0),"收支都为空",IF(AND(N($I745)&gt;0,N($J745)&gt;0),"收支不能同时填",IF(AND($D745&lt;&gt;"",LEFT($O745,1)="⚠"),"项目编号不存在",IF(AND($M745="是",$F745=""),"工程回款必须填往来单位","√")))))))</f>
        <v/>
      </c>
      <c r="O745" s="16" t="str">
        <f aca="false">IF($D745="","",IFERROR(INDEX(对照清单!$B$5:$B$60,MATCH($D745,对照清单!$A$5:$A$60,0)),"⚠编号不存在"))</f>
        <v/>
      </c>
      <c r="P745" s="10" t="str">
        <f aca="false">IF($B745="","",IF(ISNUMBER($B745),TEXT($B745,"yyyy-mm"),"日期非法"))</f>
        <v/>
      </c>
      <c r="Q745" s="10" t="str">
        <f aca="false">IF($B745="","",IF(ISNUMBER($B745),YEAR($B745),"日期非法"))</f>
        <v/>
      </c>
    </row>
    <row r="746" customFormat="false" ht="15.75" hidden="false" customHeight="true" outlineLevel="0" collapsed="false">
      <c r="A746" s="10" t="str">
        <f aca="false">IF($B746="","",ROW()-4)</f>
        <v/>
      </c>
      <c r="B746" s="11"/>
      <c r="C746" s="12"/>
      <c r="D746" s="12"/>
      <c r="E746" s="12"/>
      <c r="F746" s="12"/>
      <c r="G746" s="12"/>
      <c r="H746" s="13"/>
      <c r="I746" s="4"/>
      <c r="J746" s="4"/>
      <c r="K746" s="14" t="str">
        <f aca="false">IF($B746="","",IF($C746="泓普",$C$2,IF($C746="仟茂",$E$2,IF($C746="现金",$G$2,0)))+SUMIFS($I$5:$I746,$C$5:$C746,$C746)-SUMIFS($J$5:$J746,$C$5:$C746,$C746))</f>
        <v/>
      </c>
      <c r="L746" s="14" t="str">
        <f aca="false">IF($B746="","",$C$2+$E$2+$G$2+SUM($I$5:$I746)-SUM($J$5:$J746))</f>
        <v/>
      </c>
      <c r="M746" s="12"/>
      <c r="N746" s="15" t="str">
        <f aca="false">IF($B746="","",IF(NOT(ISNUMBER($B746)),"日期格式不对",IF($C746="","未选资金账户",IF(AND(N($I746)=0,N($J746)=0),"收支都为空",IF(AND(N($I746)&gt;0,N($J746)&gt;0),"收支不能同时填",IF(AND($D746&lt;&gt;"",LEFT($O746,1)="⚠"),"项目编号不存在",IF(AND($M746="是",$F746=""),"工程回款必须填往来单位","√")))))))</f>
        <v/>
      </c>
      <c r="O746" s="16" t="str">
        <f aca="false">IF($D746="","",IFERROR(INDEX(对照清单!$B$5:$B$60,MATCH($D746,对照清单!$A$5:$A$60,0)),"⚠编号不存在"))</f>
        <v/>
      </c>
      <c r="P746" s="10" t="str">
        <f aca="false">IF($B746="","",IF(ISNUMBER($B746),TEXT($B746,"yyyy-mm"),"日期非法"))</f>
        <v/>
      </c>
      <c r="Q746" s="10" t="str">
        <f aca="false">IF($B746="","",IF(ISNUMBER($B746),YEAR($B746),"日期非法"))</f>
        <v/>
      </c>
    </row>
    <row r="747" customFormat="false" ht="15.75" hidden="false" customHeight="true" outlineLevel="0" collapsed="false">
      <c r="A747" s="10" t="str">
        <f aca="false">IF($B747="","",ROW()-4)</f>
        <v/>
      </c>
      <c r="B747" s="11"/>
      <c r="C747" s="12"/>
      <c r="D747" s="12"/>
      <c r="E747" s="12"/>
      <c r="F747" s="12"/>
      <c r="G747" s="12"/>
      <c r="H747" s="13"/>
      <c r="I747" s="4"/>
      <c r="J747" s="4"/>
      <c r="K747" s="14" t="str">
        <f aca="false">IF($B747="","",IF($C747="泓普",$C$2,IF($C747="仟茂",$E$2,IF($C747="现金",$G$2,0)))+SUMIFS($I$5:$I747,$C$5:$C747,$C747)-SUMIFS($J$5:$J747,$C$5:$C747,$C747))</f>
        <v/>
      </c>
      <c r="L747" s="14" t="str">
        <f aca="false">IF($B747="","",$C$2+$E$2+$G$2+SUM($I$5:$I747)-SUM($J$5:$J747))</f>
        <v/>
      </c>
      <c r="M747" s="12"/>
      <c r="N747" s="15" t="str">
        <f aca="false">IF($B747="","",IF(NOT(ISNUMBER($B747)),"日期格式不对",IF($C747="","未选资金账户",IF(AND(N($I747)=0,N($J747)=0),"收支都为空",IF(AND(N($I747)&gt;0,N($J747)&gt;0),"收支不能同时填",IF(AND($D747&lt;&gt;"",LEFT($O747,1)="⚠"),"项目编号不存在",IF(AND($M747="是",$F747=""),"工程回款必须填往来单位","√")))))))</f>
        <v/>
      </c>
      <c r="O747" s="16" t="str">
        <f aca="false">IF($D747="","",IFERROR(INDEX(对照清单!$B$5:$B$60,MATCH($D747,对照清单!$A$5:$A$60,0)),"⚠编号不存在"))</f>
        <v/>
      </c>
      <c r="P747" s="10" t="str">
        <f aca="false">IF($B747="","",IF(ISNUMBER($B747),TEXT($B747,"yyyy-mm"),"日期非法"))</f>
        <v/>
      </c>
      <c r="Q747" s="10" t="str">
        <f aca="false">IF($B747="","",IF(ISNUMBER($B747),YEAR($B747),"日期非法"))</f>
        <v/>
      </c>
    </row>
    <row r="748" customFormat="false" ht="15.75" hidden="false" customHeight="true" outlineLevel="0" collapsed="false">
      <c r="A748" s="10" t="str">
        <f aca="false">IF($B748="","",ROW()-4)</f>
        <v/>
      </c>
      <c r="B748" s="11"/>
      <c r="C748" s="12"/>
      <c r="D748" s="12"/>
      <c r="E748" s="12"/>
      <c r="F748" s="12"/>
      <c r="G748" s="12"/>
      <c r="H748" s="13"/>
      <c r="I748" s="4"/>
      <c r="J748" s="4"/>
      <c r="K748" s="14" t="str">
        <f aca="false">IF($B748="","",IF($C748="泓普",$C$2,IF($C748="仟茂",$E$2,IF($C748="现金",$G$2,0)))+SUMIFS($I$5:$I748,$C$5:$C748,$C748)-SUMIFS($J$5:$J748,$C$5:$C748,$C748))</f>
        <v/>
      </c>
      <c r="L748" s="14" t="str">
        <f aca="false">IF($B748="","",$C$2+$E$2+$G$2+SUM($I$5:$I748)-SUM($J$5:$J748))</f>
        <v/>
      </c>
      <c r="M748" s="12"/>
      <c r="N748" s="15" t="str">
        <f aca="false">IF($B748="","",IF(NOT(ISNUMBER($B748)),"日期格式不对",IF($C748="","未选资金账户",IF(AND(N($I748)=0,N($J748)=0),"收支都为空",IF(AND(N($I748)&gt;0,N($J748)&gt;0),"收支不能同时填",IF(AND($D748&lt;&gt;"",LEFT($O748,1)="⚠"),"项目编号不存在",IF(AND($M748="是",$F748=""),"工程回款必须填往来单位","√")))))))</f>
        <v/>
      </c>
      <c r="O748" s="16" t="str">
        <f aca="false">IF($D748="","",IFERROR(INDEX(对照清单!$B$5:$B$60,MATCH($D748,对照清单!$A$5:$A$60,0)),"⚠编号不存在"))</f>
        <v/>
      </c>
      <c r="P748" s="10" t="str">
        <f aca="false">IF($B748="","",IF(ISNUMBER($B748),TEXT($B748,"yyyy-mm"),"日期非法"))</f>
        <v/>
      </c>
      <c r="Q748" s="10" t="str">
        <f aca="false">IF($B748="","",IF(ISNUMBER($B748),YEAR($B748),"日期非法"))</f>
        <v/>
      </c>
    </row>
    <row r="749" customFormat="false" ht="15.75" hidden="false" customHeight="true" outlineLevel="0" collapsed="false">
      <c r="A749" s="10" t="str">
        <f aca="false">IF($B749="","",ROW()-4)</f>
        <v/>
      </c>
      <c r="B749" s="11"/>
      <c r="C749" s="12"/>
      <c r="D749" s="12"/>
      <c r="E749" s="12"/>
      <c r="F749" s="12"/>
      <c r="G749" s="12"/>
      <c r="H749" s="13"/>
      <c r="I749" s="4"/>
      <c r="J749" s="4"/>
      <c r="K749" s="14" t="str">
        <f aca="false">IF($B749="","",IF($C749="泓普",$C$2,IF($C749="仟茂",$E$2,IF($C749="现金",$G$2,0)))+SUMIFS($I$5:$I749,$C$5:$C749,$C749)-SUMIFS($J$5:$J749,$C$5:$C749,$C749))</f>
        <v/>
      </c>
      <c r="L749" s="14" t="str">
        <f aca="false">IF($B749="","",$C$2+$E$2+$G$2+SUM($I$5:$I749)-SUM($J$5:$J749))</f>
        <v/>
      </c>
      <c r="M749" s="12"/>
      <c r="N749" s="15" t="str">
        <f aca="false">IF($B749="","",IF(NOT(ISNUMBER($B749)),"日期格式不对",IF($C749="","未选资金账户",IF(AND(N($I749)=0,N($J749)=0),"收支都为空",IF(AND(N($I749)&gt;0,N($J749)&gt;0),"收支不能同时填",IF(AND($D749&lt;&gt;"",LEFT($O749,1)="⚠"),"项目编号不存在",IF(AND($M749="是",$F749=""),"工程回款必须填往来单位","√")))))))</f>
        <v/>
      </c>
      <c r="O749" s="16" t="str">
        <f aca="false">IF($D749="","",IFERROR(INDEX(对照清单!$B$5:$B$60,MATCH($D749,对照清单!$A$5:$A$60,0)),"⚠编号不存在"))</f>
        <v/>
      </c>
      <c r="P749" s="10" t="str">
        <f aca="false">IF($B749="","",IF(ISNUMBER($B749),TEXT($B749,"yyyy-mm"),"日期非法"))</f>
        <v/>
      </c>
      <c r="Q749" s="10" t="str">
        <f aca="false">IF($B749="","",IF(ISNUMBER($B749),YEAR($B749),"日期非法"))</f>
        <v/>
      </c>
    </row>
    <row r="750" customFormat="false" ht="15.75" hidden="false" customHeight="true" outlineLevel="0" collapsed="false">
      <c r="A750" s="10" t="str">
        <f aca="false">IF($B750="","",ROW()-4)</f>
        <v/>
      </c>
      <c r="B750" s="11"/>
      <c r="C750" s="12"/>
      <c r="D750" s="12"/>
      <c r="E750" s="12"/>
      <c r="F750" s="12"/>
      <c r="G750" s="12"/>
      <c r="H750" s="13"/>
      <c r="I750" s="4"/>
      <c r="J750" s="4"/>
      <c r="K750" s="14" t="str">
        <f aca="false">IF($B750="","",IF($C750="泓普",$C$2,IF($C750="仟茂",$E$2,IF($C750="现金",$G$2,0)))+SUMIFS($I$5:$I750,$C$5:$C750,$C750)-SUMIFS($J$5:$J750,$C$5:$C750,$C750))</f>
        <v/>
      </c>
      <c r="L750" s="14" t="str">
        <f aca="false">IF($B750="","",$C$2+$E$2+$G$2+SUM($I$5:$I750)-SUM($J$5:$J750))</f>
        <v/>
      </c>
      <c r="M750" s="12"/>
      <c r="N750" s="15" t="str">
        <f aca="false">IF($B750="","",IF(NOT(ISNUMBER($B750)),"日期格式不对",IF($C750="","未选资金账户",IF(AND(N($I750)=0,N($J750)=0),"收支都为空",IF(AND(N($I750)&gt;0,N($J750)&gt;0),"收支不能同时填",IF(AND($D750&lt;&gt;"",LEFT($O750,1)="⚠"),"项目编号不存在",IF(AND($M750="是",$F750=""),"工程回款必须填往来单位","√")))))))</f>
        <v/>
      </c>
      <c r="O750" s="16" t="str">
        <f aca="false">IF($D750="","",IFERROR(INDEX(对照清单!$B$5:$B$60,MATCH($D750,对照清单!$A$5:$A$60,0)),"⚠编号不存在"))</f>
        <v/>
      </c>
      <c r="P750" s="10" t="str">
        <f aca="false">IF($B750="","",IF(ISNUMBER($B750),TEXT($B750,"yyyy-mm"),"日期非法"))</f>
        <v/>
      </c>
      <c r="Q750" s="10" t="str">
        <f aca="false">IF($B750="","",IF(ISNUMBER($B750),YEAR($B750),"日期非法"))</f>
        <v/>
      </c>
    </row>
    <row r="751" customFormat="false" ht="15.75" hidden="false" customHeight="true" outlineLevel="0" collapsed="false">
      <c r="A751" s="10" t="str">
        <f aca="false">IF($B751="","",ROW()-4)</f>
        <v/>
      </c>
      <c r="B751" s="11"/>
      <c r="C751" s="12"/>
      <c r="D751" s="12"/>
      <c r="E751" s="12"/>
      <c r="F751" s="12"/>
      <c r="G751" s="12"/>
      <c r="H751" s="13"/>
      <c r="I751" s="4"/>
      <c r="J751" s="4"/>
      <c r="K751" s="14" t="str">
        <f aca="false">IF($B751="","",IF($C751="泓普",$C$2,IF($C751="仟茂",$E$2,IF($C751="现金",$G$2,0)))+SUMIFS($I$5:$I751,$C$5:$C751,$C751)-SUMIFS($J$5:$J751,$C$5:$C751,$C751))</f>
        <v/>
      </c>
      <c r="L751" s="14" t="str">
        <f aca="false">IF($B751="","",$C$2+$E$2+$G$2+SUM($I$5:$I751)-SUM($J$5:$J751))</f>
        <v/>
      </c>
      <c r="M751" s="12"/>
      <c r="N751" s="15" t="str">
        <f aca="false">IF($B751="","",IF(NOT(ISNUMBER($B751)),"日期格式不对",IF($C751="","未选资金账户",IF(AND(N($I751)=0,N($J751)=0),"收支都为空",IF(AND(N($I751)&gt;0,N($J751)&gt;0),"收支不能同时填",IF(AND($D751&lt;&gt;"",LEFT($O751,1)="⚠"),"项目编号不存在",IF(AND($M751="是",$F751=""),"工程回款必须填往来单位","√")))))))</f>
        <v/>
      </c>
      <c r="O751" s="16" t="str">
        <f aca="false">IF($D751="","",IFERROR(INDEX(对照清单!$B$5:$B$60,MATCH($D751,对照清单!$A$5:$A$60,0)),"⚠编号不存在"))</f>
        <v/>
      </c>
      <c r="P751" s="10" t="str">
        <f aca="false">IF($B751="","",IF(ISNUMBER($B751),TEXT($B751,"yyyy-mm"),"日期非法"))</f>
        <v/>
      </c>
      <c r="Q751" s="10" t="str">
        <f aca="false">IF($B751="","",IF(ISNUMBER($B751),YEAR($B751),"日期非法"))</f>
        <v/>
      </c>
    </row>
    <row r="752" customFormat="false" ht="15.75" hidden="false" customHeight="true" outlineLevel="0" collapsed="false">
      <c r="A752" s="10" t="str">
        <f aca="false">IF($B752="","",ROW()-4)</f>
        <v/>
      </c>
      <c r="B752" s="11"/>
      <c r="C752" s="12"/>
      <c r="D752" s="12"/>
      <c r="E752" s="12"/>
      <c r="F752" s="12"/>
      <c r="G752" s="12"/>
      <c r="H752" s="13"/>
      <c r="I752" s="4"/>
      <c r="J752" s="4"/>
      <c r="K752" s="14" t="str">
        <f aca="false">IF($B752="","",IF($C752="泓普",$C$2,IF($C752="仟茂",$E$2,IF($C752="现金",$G$2,0)))+SUMIFS($I$5:$I752,$C$5:$C752,$C752)-SUMIFS($J$5:$J752,$C$5:$C752,$C752))</f>
        <v/>
      </c>
      <c r="L752" s="14" t="str">
        <f aca="false">IF($B752="","",$C$2+$E$2+$G$2+SUM($I$5:$I752)-SUM($J$5:$J752))</f>
        <v/>
      </c>
      <c r="M752" s="12"/>
      <c r="N752" s="15" t="str">
        <f aca="false">IF($B752="","",IF(NOT(ISNUMBER($B752)),"日期格式不对",IF($C752="","未选资金账户",IF(AND(N($I752)=0,N($J752)=0),"收支都为空",IF(AND(N($I752)&gt;0,N($J752)&gt;0),"收支不能同时填",IF(AND($D752&lt;&gt;"",LEFT($O752,1)="⚠"),"项目编号不存在",IF(AND($M752="是",$F752=""),"工程回款必须填往来单位","√")))))))</f>
        <v/>
      </c>
      <c r="O752" s="16" t="str">
        <f aca="false">IF($D752="","",IFERROR(INDEX(对照清单!$B$5:$B$60,MATCH($D752,对照清单!$A$5:$A$60,0)),"⚠编号不存在"))</f>
        <v/>
      </c>
      <c r="P752" s="10" t="str">
        <f aca="false">IF($B752="","",IF(ISNUMBER($B752),TEXT($B752,"yyyy-mm"),"日期非法"))</f>
        <v/>
      </c>
      <c r="Q752" s="10" t="str">
        <f aca="false">IF($B752="","",IF(ISNUMBER($B752),YEAR($B752),"日期非法"))</f>
        <v/>
      </c>
    </row>
    <row r="753" customFormat="false" ht="15.75" hidden="false" customHeight="true" outlineLevel="0" collapsed="false">
      <c r="A753" s="10" t="str">
        <f aca="false">IF($B753="","",ROW()-4)</f>
        <v/>
      </c>
      <c r="B753" s="11"/>
      <c r="C753" s="12"/>
      <c r="D753" s="12"/>
      <c r="E753" s="12"/>
      <c r="F753" s="12"/>
      <c r="G753" s="12"/>
      <c r="H753" s="13"/>
      <c r="I753" s="4"/>
      <c r="J753" s="4"/>
      <c r="K753" s="14" t="str">
        <f aca="false">IF($B753="","",IF($C753="泓普",$C$2,IF($C753="仟茂",$E$2,IF($C753="现金",$G$2,0)))+SUMIFS($I$5:$I753,$C$5:$C753,$C753)-SUMIFS($J$5:$J753,$C$5:$C753,$C753))</f>
        <v/>
      </c>
      <c r="L753" s="14" t="str">
        <f aca="false">IF($B753="","",$C$2+$E$2+$G$2+SUM($I$5:$I753)-SUM($J$5:$J753))</f>
        <v/>
      </c>
      <c r="M753" s="12"/>
      <c r="N753" s="15" t="str">
        <f aca="false">IF($B753="","",IF(NOT(ISNUMBER($B753)),"日期格式不对",IF($C753="","未选资金账户",IF(AND(N($I753)=0,N($J753)=0),"收支都为空",IF(AND(N($I753)&gt;0,N($J753)&gt;0),"收支不能同时填",IF(AND($D753&lt;&gt;"",LEFT($O753,1)="⚠"),"项目编号不存在",IF(AND($M753="是",$F753=""),"工程回款必须填往来单位","√")))))))</f>
        <v/>
      </c>
      <c r="O753" s="16" t="str">
        <f aca="false">IF($D753="","",IFERROR(INDEX(对照清单!$B$5:$B$60,MATCH($D753,对照清单!$A$5:$A$60,0)),"⚠编号不存在"))</f>
        <v/>
      </c>
      <c r="P753" s="10" t="str">
        <f aca="false">IF($B753="","",IF(ISNUMBER($B753),TEXT($B753,"yyyy-mm"),"日期非法"))</f>
        <v/>
      </c>
      <c r="Q753" s="10" t="str">
        <f aca="false">IF($B753="","",IF(ISNUMBER($B753),YEAR($B753),"日期非法"))</f>
        <v/>
      </c>
    </row>
    <row r="754" customFormat="false" ht="15.75" hidden="false" customHeight="true" outlineLevel="0" collapsed="false">
      <c r="A754" s="10" t="str">
        <f aca="false">IF($B754="","",ROW()-4)</f>
        <v/>
      </c>
      <c r="B754" s="11"/>
      <c r="C754" s="12"/>
      <c r="D754" s="12"/>
      <c r="E754" s="12"/>
      <c r="F754" s="12"/>
      <c r="G754" s="12"/>
      <c r="H754" s="13"/>
      <c r="I754" s="4"/>
      <c r="J754" s="4"/>
      <c r="K754" s="14" t="str">
        <f aca="false">IF($B754="","",IF($C754="泓普",$C$2,IF($C754="仟茂",$E$2,IF($C754="现金",$G$2,0)))+SUMIFS($I$5:$I754,$C$5:$C754,$C754)-SUMIFS($J$5:$J754,$C$5:$C754,$C754))</f>
        <v/>
      </c>
      <c r="L754" s="14" t="str">
        <f aca="false">IF($B754="","",$C$2+$E$2+$G$2+SUM($I$5:$I754)-SUM($J$5:$J754))</f>
        <v/>
      </c>
      <c r="M754" s="12"/>
      <c r="N754" s="15" t="str">
        <f aca="false">IF($B754="","",IF(NOT(ISNUMBER($B754)),"日期格式不对",IF($C754="","未选资金账户",IF(AND(N($I754)=0,N($J754)=0),"收支都为空",IF(AND(N($I754)&gt;0,N($J754)&gt;0),"收支不能同时填",IF(AND($D754&lt;&gt;"",LEFT($O754,1)="⚠"),"项目编号不存在",IF(AND($M754="是",$F754=""),"工程回款必须填往来单位","√")))))))</f>
        <v/>
      </c>
      <c r="O754" s="16" t="str">
        <f aca="false">IF($D754="","",IFERROR(INDEX(对照清单!$B$5:$B$60,MATCH($D754,对照清单!$A$5:$A$60,0)),"⚠编号不存在"))</f>
        <v/>
      </c>
      <c r="P754" s="10" t="str">
        <f aca="false">IF($B754="","",IF(ISNUMBER($B754),TEXT($B754,"yyyy-mm"),"日期非法"))</f>
        <v/>
      </c>
      <c r="Q754" s="10" t="str">
        <f aca="false">IF($B754="","",IF(ISNUMBER($B754),YEAR($B754),"日期非法"))</f>
        <v/>
      </c>
    </row>
    <row r="755" customFormat="false" ht="15.75" hidden="false" customHeight="true" outlineLevel="0" collapsed="false">
      <c r="A755" s="10" t="str">
        <f aca="false">IF($B755="","",ROW()-4)</f>
        <v/>
      </c>
      <c r="B755" s="11"/>
      <c r="C755" s="12"/>
      <c r="D755" s="12"/>
      <c r="E755" s="12"/>
      <c r="F755" s="12"/>
      <c r="G755" s="12"/>
      <c r="H755" s="13"/>
      <c r="I755" s="4"/>
      <c r="J755" s="4"/>
      <c r="K755" s="14" t="str">
        <f aca="false">IF($B755="","",IF($C755="泓普",$C$2,IF($C755="仟茂",$E$2,IF($C755="现金",$G$2,0)))+SUMIFS($I$5:$I755,$C$5:$C755,$C755)-SUMIFS($J$5:$J755,$C$5:$C755,$C755))</f>
        <v/>
      </c>
      <c r="L755" s="14" t="str">
        <f aca="false">IF($B755="","",$C$2+$E$2+$G$2+SUM($I$5:$I755)-SUM($J$5:$J755))</f>
        <v/>
      </c>
      <c r="M755" s="12"/>
      <c r="N755" s="15" t="str">
        <f aca="false">IF($B755="","",IF(NOT(ISNUMBER($B755)),"日期格式不对",IF($C755="","未选资金账户",IF(AND(N($I755)=0,N($J755)=0),"收支都为空",IF(AND(N($I755)&gt;0,N($J755)&gt;0),"收支不能同时填",IF(AND($D755&lt;&gt;"",LEFT($O755,1)="⚠"),"项目编号不存在",IF(AND($M755="是",$F755=""),"工程回款必须填往来单位","√")))))))</f>
        <v/>
      </c>
      <c r="O755" s="16" t="str">
        <f aca="false">IF($D755="","",IFERROR(INDEX(对照清单!$B$5:$B$60,MATCH($D755,对照清单!$A$5:$A$60,0)),"⚠编号不存在"))</f>
        <v/>
      </c>
      <c r="P755" s="10" t="str">
        <f aca="false">IF($B755="","",IF(ISNUMBER($B755),TEXT($B755,"yyyy-mm"),"日期非法"))</f>
        <v/>
      </c>
      <c r="Q755" s="10" t="str">
        <f aca="false">IF($B755="","",IF(ISNUMBER($B755),YEAR($B755),"日期非法"))</f>
        <v/>
      </c>
    </row>
    <row r="756" customFormat="false" ht="15.75" hidden="false" customHeight="true" outlineLevel="0" collapsed="false">
      <c r="A756" s="10" t="str">
        <f aca="false">IF($B756="","",ROW()-4)</f>
        <v/>
      </c>
      <c r="B756" s="11"/>
      <c r="C756" s="12"/>
      <c r="D756" s="12"/>
      <c r="E756" s="12"/>
      <c r="F756" s="12"/>
      <c r="G756" s="12"/>
      <c r="H756" s="13"/>
      <c r="I756" s="4"/>
      <c r="J756" s="4"/>
      <c r="K756" s="14" t="str">
        <f aca="false">IF($B756="","",IF($C756="泓普",$C$2,IF($C756="仟茂",$E$2,IF($C756="现金",$G$2,0)))+SUMIFS($I$5:$I756,$C$5:$C756,$C756)-SUMIFS($J$5:$J756,$C$5:$C756,$C756))</f>
        <v/>
      </c>
      <c r="L756" s="14" t="str">
        <f aca="false">IF($B756="","",$C$2+$E$2+$G$2+SUM($I$5:$I756)-SUM($J$5:$J756))</f>
        <v/>
      </c>
      <c r="M756" s="12"/>
      <c r="N756" s="15" t="str">
        <f aca="false">IF($B756="","",IF(NOT(ISNUMBER($B756)),"日期格式不对",IF($C756="","未选资金账户",IF(AND(N($I756)=0,N($J756)=0),"收支都为空",IF(AND(N($I756)&gt;0,N($J756)&gt;0),"收支不能同时填",IF(AND($D756&lt;&gt;"",LEFT($O756,1)="⚠"),"项目编号不存在",IF(AND($M756="是",$F756=""),"工程回款必须填往来单位","√")))))))</f>
        <v/>
      </c>
      <c r="O756" s="16" t="str">
        <f aca="false">IF($D756="","",IFERROR(INDEX(对照清单!$B$5:$B$60,MATCH($D756,对照清单!$A$5:$A$60,0)),"⚠编号不存在"))</f>
        <v/>
      </c>
      <c r="P756" s="10" t="str">
        <f aca="false">IF($B756="","",IF(ISNUMBER($B756),TEXT($B756,"yyyy-mm"),"日期非法"))</f>
        <v/>
      </c>
      <c r="Q756" s="10" t="str">
        <f aca="false">IF($B756="","",IF(ISNUMBER($B756),YEAR($B756),"日期非法"))</f>
        <v/>
      </c>
    </row>
    <row r="757" customFormat="false" ht="15.75" hidden="false" customHeight="true" outlineLevel="0" collapsed="false">
      <c r="A757" s="10" t="str">
        <f aca="false">IF($B757="","",ROW()-4)</f>
        <v/>
      </c>
      <c r="B757" s="11"/>
      <c r="C757" s="12"/>
      <c r="D757" s="12"/>
      <c r="E757" s="12"/>
      <c r="F757" s="12"/>
      <c r="G757" s="12"/>
      <c r="H757" s="13"/>
      <c r="I757" s="4"/>
      <c r="J757" s="4"/>
      <c r="K757" s="14" t="str">
        <f aca="false">IF($B757="","",IF($C757="泓普",$C$2,IF($C757="仟茂",$E$2,IF($C757="现金",$G$2,0)))+SUMIFS($I$5:$I757,$C$5:$C757,$C757)-SUMIFS($J$5:$J757,$C$5:$C757,$C757))</f>
        <v/>
      </c>
      <c r="L757" s="14" t="str">
        <f aca="false">IF($B757="","",$C$2+$E$2+$G$2+SUM($I$5:$I757)-SUM($J$5:$J757))</f>
        <v/>
      </c>
      <c r="M757" s="12"/>
      <c r="N757" s="15" t="str">
        <f aca="false">IF($B757="","",IF(NOT(ISNUMBER($B757)),"日期格式不对",IF($C757="","未选资金账户",IF(AND(N($I757)=0,N($J757)=0),"收支都为空",IF(AND(N($I757)&gt;0,N($J757)&gt;0),"收支不能同时填",IF(AND($D757&lt;&gt;"",LEFT($O757,1)="⚠"),"项目编号不存在",IF(AND($M757="是",$F757=""),"工程回款必须填往来单位","√")))))))</f>
        <v/>
      </c>
      <c r="O757" s="16" t="str">
        <f aca="false">IF($D757="","",IFERROR(INDEX(对照清单!$B$5:$B$60,MATCH($D757,对照清单!$A$5:$A$60,0)),"⚠编号不存在"))</f>
        <v/>
      </c>
      <c r="P757" s="10" t="str">
        <f aca="false">IF($B757="","",IF(ISNUMBER($B757),TEXT($B757,"yyyy-mm"),"日期非法"))</f>
        <v/>
      </c>
      <c r="Q757" s="10" t="str">
        <f aca="false">IF($B757="","",IF(ISNUMBER($B757),YEAR($B757),"日期非法"))</f>
        <v/>
      </c>
    </row>
    <row r="758" customFormat="false" ht="15.75" hidden="false" customHeight="true" outlineLevel="0" collapsed="false">
      <c r="A758" s="10" t="str">
        <f aca="false">IF($B758="","",ROW()-4)</f>
        <v/>
      </c>
      <c r="B758" s="11"/>
      <c r="C758" s="12"/>
      <c r="D758" s="12"/>
      <c r="E758" s="12"/>
      <c r="F758" s="12"/>
      <c r="G758" s="12"/>
      <c r="H758" s="13"/>
      <c r="I758" s="4"/>
      <c r="J758" s="4"/>
      <c r="K758" s="14" t="str">
        <f aca="false">IF($B758="","",IF($C758="泓普",$C$2,IF($C758="仟茂",$E$2,IF($C758="现金",$G$2,0)))+SUMIFS($I$5:$I758,$C$5:$C758,$C758)-SUMIFS($J$5:$J758,$C$5:$C758,$C758))</f>
        <v/>
      </c>
      <c r="L758" s="14" t="str">
        <f aca="false">IF($B758="","",$C$2+$E$2+$G$2+SUM($I$5:$I758)-SUM($J$5:$J758))</f>
        <v/>
      </c>
      <c r="M758" s="12"/>
      <c r="N758" s="15" t="str">
        <f aca="false">IF($B758="","",IF(NOT(ISNUMBER($B758)),"日期格式不对",IF($C758="","未选资金账户",IF(AND(N($I758)=0,N($J758)=0),"收支都为空",IF(AND(N($I758)&gt;0,N($J758)&gt;0),"收支不能同时填",IF(AND($D758&lt;&gt;"",LEFT($O758,1)="⚠"),"项目编号不存在",IF(AND($M758="是",$F758=""),"工程回款必须填往来单位","√")))))))</f>
        <v/>
      </c>
      <c r="O758" s="16" t="str">
        <f aca="false">IF($D758="","",IFERROR(INDEX(对照清单!$B$5:$B$60,MATCH($D758,对照清单!$A$5:$A$60,0)),"⚠编号不存在"))</f>
        <v/>
      </c>
      <c r="P758" s="10" t="str">
        <f aca="false">IF($B758="","",IF(ISNUMBER($B758),TEXT($B758,"yyyy-mm"),"日期非法"))</f>
        <v/>
      </c>
      <c r="Q758" s="10" t="str">
        <f aca="false">IF($B758="","",IF(ISNUMBER($B758),YEAR($B758),"日期非法"))</f>
        <v/>
      </c>
    </row>
    <row r="759" customFormat="false" ht="15.75" hidden="false" customHeight="true" outlineLevel="0" collapsed="false">
      <c r="A759" s="10" t="str">
        <f aca="false">IF($B759="","",ROW()-4)</f>
        <v/>
      </c>
      <c r="B759" s="11"/>
      <c r="C759" s="12"/>
      <c r="D759" s="12"/>
      <c r="E759" s="12"/>
      <c r="F759" s="12"/>
      <c r="G759" s="12"/>
      <c r="H759" s="13"/>
      <c r="I759" s="4"/>
      <c r="J759" s="4"/>
      <c r="K759" s="14" t="str">
        <f aca="false">IF($B759="","",IF($C759="泓普",$C$2,IF($C759="仟茂",$E$2,IF($C759="现金",$G$2,0)))+SUMIFS($I$5:$I759,$C$5:$C759,$C759)-SUMIFS($J$5:$J759,$C$5:$C759,$C759))</f>
        <v/>
      </c>
      <c r="L759" s="14" t="str">
        <f aca="false">IF($B759="","",$C$2+$E$2+$G$2+SUM($I$5:$I759)-SUM($J$5:$J759))</f>
        <v/>
      </c>
      <c r="M759" s="12"/>
      <c r="N759" s="15" t="str">
        <f aca="false">IF($B759="","",IF(NOT(ISNUMBER($B759)),"日期格式不对",IF($C759="","未选资金账户",IF(AND(N($I759)=0,N($J759)=0),"收支都为空",IF(AND(N($I759)&gt;0,N($J759)&gt;0),"收支不能同时填",IF(AND($D759&lt;&gt;"",LEFT($O759,1)="⚠"),"项目编号不存在",IF(AND($M759="是",$F759=""),"工程回款必须填往来单位","√")))))))</f>
        <v/>
      </c>
      <c r="O759" s="16" t="str">
        <f aca="false">IF($D759="","",IFERROR(INDEX(对照清单!$B$5:$B$60,MATCH($D759,对照清单!$A$5:$A$60,0)),"⚠编号不存在"))</f>
        <v/>
      </c>
      <c r="P759" s="10" t="str">
        <f aca="false">IF($B759="","",IF(ISNUMBER($B759),TEXT($B759,"yyyy-mm"),"日期非法"))</f>
        <v/>
      </c>
      <c r="Q759" s="10" t="str">
        <f aca="false">IF($B759="","",IF(ISNUMBER($B759),YEAR($B759),"日期非法"))</f>
        <v/>
      </c>
    </row>
    <row r="760" customFormat="false" ht="15.75" hidden="false" customHeight="true" outlineLevel="0" collapsed="false">
      <c r="A760" s="10" t="str">
        <f aca="false">IF($B760="","",ROW()-4)</f>
        <v/>
      </c>
      <c r="B760" s="11"/>
      <c r="C760" s="12"/>
      <c r="D760" s="12"/>
      <c r="E760" s="12"/>
      <c r="F760" s="12"/>
      <c r="G760" s="12"/>
      <c r="H760" s="13"/>
      <c r="I760" s="4"/>
      <c r="J760" s="4"/>
      <c r="K760" s="14" t="str">
        <f aca="false">IF($B760="","",IF($C760="泓普",$C$2,IF($C760="仟茂",$E$2,IF($C760="现金",$G$2,0)))+SUMIFS($I$5:$I760,$C$5:$C760,$C760)-SUMIFS($J$5:$J760,$C$5:$C760,$C760))</f>
        <v/>
      </c>
      <c r="L760" s="14" t="str">
        <f aca="false">IF($B760="","",$C$2+$E$2+$G$2+SUM($I$5:$I760)-SUM($J$5:$J760))</f>
        <v/>
      </c>
      <c r="M760" s="12"/>
      <c r="N760" s="15" t="str">
        <f aca="false">IF($B760="","",IF(NOT(ISNUMBER($B760)),"日期格式不对",IF($C760="","未选资金账户",IF(AND(N($I760)=0,N($J760)=0),"收支都为空",IF(AND(N($I760)&gt;0,N($J760)&gt;0),"收支不能同时填",IF(AND($D760&lt;&gt;"",LEFT($O760,1)="⚠"),"项目编号不存在",IF(AND($M760="是",$F760=""),"工程回款必须填往来单位","√")))))))</f>
        <v/>
      </c>
      <c r="O760" s="16" t="str">
        <f aca="false">IF($D760="","",IFERROR(INDEX(对照清单!$B$5:$B$60,MATCH($D760,对照清单!$A$5:$A$60,0)),"⚠编号不存在"))</f>
        <v/>
      </c>
      <c r="P760" s="10" t="str">
        <f aca="false">IF($B760="","",IF(ISNUMBER($B760),TEXT($B760,"yyyy-mm"),"日期非法"))</f>
        <v/>
      </c>
      <c r="Q760" s="10" t="str">
        <f aca="false">IF($B760="","",IF(ISNUMBER($B760),YEAR($B760),"日期非法"))</f>
        <v/>
      </c>
    </row>
    <row r="761" customFormat="false" ht="15.75" hidden="false" customHeight="true" outlineLevel="0" collapsed="false">
      <c r="A761" s="10" t="str">
        <f aca="false">IF($B761="","",ROW()-4)</f>
        <v/>
      </c>
      <c r="B761" s="11"/>
      <c r="C761" s="12"/>
      <c r="D761" s="12"/>
      <c r="E761" s="12"/>
      <c r="F761" s="12"/>
      <c r="G761" s="12"/>
      <c r="H761" s="13"/>
      <c r="I761" s="4"/>
      <c r="J761" s="4"/>
      <c r="K761" s="14" t="str">
        <f aca="false">IF($B761="","",IF($C761="泓普",$C$2,IF($C761="仟茂",$E$2,IF($C761="现金",$G$2,0)))+SUMIFS($I$5:$I761,$C$5:$C761,$C761)-SUMIFS($J$5:$J761,$C$5:$C761,$C761))</f>
        <v/>
      </c>
      <c r="L761" s="14" t="str">
        <f aca="false">IF($B761="","",$C$2+$E$2+$G$2+SUM($I$5:$I761)-SUM($J$5:$J761))</f>
        <v/>
      </c>
      <c r="M761" s="12"/>
      <c r="N761" s="15" t="str">
        <f aca="false">IF($B761="","",IF(NOT(ISNUMBER($B761)),"日期格式不对",IF($C761="","未选资金账户",IF(AND(N($I761)=0,N($J761)=0),"收支都为空",IF(AND(N($I761)&gt;0,N($J761)&gt;0),"收支不能同时填",IF(AND($D761&lt;&gt;"",LEFT($O761,1)="⚠"),"项目编号不存在",IF(AND($M761="是",$F761=""),"工程回款必须填往来单位","√")))))))</f>
        <v/>
      </c>
      <c r="O761" s="16" t="str">
        <f aca="false">IF($D761="","",IFERROR(INDEX(对照清单!$B$5:$B$60,MATCH($D761,对照清单!$A$5:$A$60,0)),"⚠编号不存在"))</f>
        <v/>
      </c>
      <c r="P761" s="10" t="str">
        <f aca="false">IF($B761="","",IF(ISNUMBER($B761),TEXT($B761,"yyyy-mm"),"日期非法"))</f>
        <v/>
      </c>
      <c r="Q761" s="10" t="str">
        <f aca="false">IF($B761="","",IF(ISNUMBER($B761),YEAR($B761),"日期非法"))</f>
        <v/>
      </c>
    </row>
    <row r="762" customFormat="false" ht="15.75" hidden="false" customHeight="true" outlineLevel="0" collapsed="false">
      <c r="A762" s="10" t="str">
        <f aca="false">IF($B762="","",ROW()-4)</f>
        <v/>
      </c>
      <c r="B762" s="11"/>
      <c r="C762" s="12"/>
      <c r="D762" s="12"/>
      <c r="E762" s="12"/>
      <c r="F762" s="12"/>
      <c r="G762" s="12"/>
      <c r="H762" s="13"/>
      <c r="I762" s="4"/>
      <c r="J762" s="4"/>
      <c r="K762" s="14" t="str">
        <f aca="false">IF($B762="","",IF($C762="泓普",$C$2,IF($C762="仟茂",$E$2,IF($C762="现金",$G$2,0)))+SUMIFS($I$5:$I762,$C$5:$C762,$C762)-SUMIFS($J$5:$J762,$C$5:$C762,$C762))</f>
        <v/>
      </c>
      <c r="L762" s="14" t="str">
        <f aca="false">IF($B762="","",$C$2+$E$2+$G$2+SUM($I$5:$I762)-SUM($J$5:$J762))</f>
        <v/>
      </c>
      <c r="M762" s="12"/>
      <c r="N762" s="15" t="str">
        <f aca="false">IF($B762="","",IF(NOT(ISNUMBER($B762)),"日期格式不对",IF($C762="","未选资金账户",IF(AND(N($I762)=0,N($J762)=0),"收支都为空",IF(AND(N($I762)&gt;0,N($J762)&gt;0),"收支不能同时填",IF(AND($D762&lt;&gt;"",LEFT($O762,1)="⚠"),"项目编号不存在",IF(AND($M762="是",$F762=""),"工程回款必须填往来单位","√")))))))</f>
        <v/>
      </c>
      <c r="O762" s="16" t="str">
        <f aca="false">IF($D762="","",IFERROR(INDEX(对照清单!$B$5:$B$60,MATCH($D762,对照清单!$A$5:$A$60,0)),"⚠编号不存在"))</f>
        <v/>
      </c>
      <c r="P762" s="10" t="str">
        <f aca="false">IF($B762="","",IF(ISNUMBER($B762),TEXT($B762,"yyyy-mm"),"日期非法"))</f>
        <v/>
      </c>
      <c r="Q762" s="10" t="str">
        <f aca="false">IF($B762="","",IF(ISNUMBER($B762),YEAR($B762),"日期非法"))</f>
        <v/>
      </c>
    </row>
    <row r="763" customFormat="false" ht="15.75" hidden="false" customHeight="true" outlineLevel="0" collapsed="false">
      <c r="A763" s="10" t="str">
        <f aca="false">IF($B763="","",ROW()-4)</f>
        <v/>
      </c>
      <c r="B763" s="11"/>
      <c r="C763" s="12"/>
      <c r="D763" s="12"/>
      <c r="E763" s="12"/>
      <c r="F763" s="12"/>
      <c r="G763" s="12"/>
      <c r="H763" s="13"/>
      <c r="I763" s="4"/>
      <c r="J763" s="4"/>
      <c r="K763" s="14" t="str">
        <f aca="false">IF($B763="","",IF($C763="泓普",$C$2,IF($C763="仟茂",$E$2,IF($C763="现金",$G$2,0)))+SUMIFS($I$5:$I763,$C$5:$C763,$C763)-SUMIFS($J$5:$J763,$C$5:$C763,$C763))</f>
        <v/>
      </c>
      <c r="L763" s="14" t="str">
        <f aca="false">IF($B763="","",$C$2+$E$2+$G$2+SUM($I$5:$I763)-SUM($J$5:$J763))</f>
        <v/>
      </c>
      <c r="M763" s="12"/>
      <c r="N763" s="15" t="str">
        <f aca="false">IF($B763="","",IF(NOT(ISNUMBER($B763)),"日期格式不对",IF($C763="","未选资金账户",IF(AND(N($I763)=0,N($J763)=0),"收支都为空",IF(AND(N($I763)&gt;0,N($J763)&gt;0),"收支不能同时填",IF(AND($D763&lt;&gt;"",LEFT($O763,1)="⚠"),"项目编号不存在",IF(AND($M763="是",$F763=""),"工程回款必须填往来单位","√")))))))</f>
        <v/>
      </c>
      <c r="O763" s="16" t="str">
        <f aca="false">IF($D763="","",IFERROR(INDEX(对照清单!$B$5:$B$60,MATCH($D763,对照清单!$A$5:$A$60,0)),"⚠编号不存在"))</f>
        <v/>
      </c>
      <c r="P763" s="10" t="str">
        <f aca="false">IF($B763="","",IF(ISNUMBER($B763),TEXT($B763,"yyyy-mm"),"日期非法"))</f>
        <v/>
      </c>
      <c r="Q763" s="10" t="str">
        <f aca="false">IF($B763="","",IF(ISNUMBER($B763),YEAR($B763),"日期非法"))</f>
        <v/>
      </c>
    </row>
    <row r="764" customFormat="false" ht="15.75" hidden="false" customHeight="true" outlineLevel="0" collapsed="false">
      <c r="A764" s="10" t="str">
        <f aca="false">IF($B764="","",ROW()-4)</f>
        <v/>
      </c>
      <c r="B764" s="11"/>
      <c r="C764" s="12"/>
      <c r="D764" s="12"/>
      <c r="E764" s="12"/>
      <c r="F764" s="12"/>
      <c r="G764" s="12"/>
      <c r="H764" s="13"/>
      <c r="I764" s="4"/>
      <c r="J764" s="4"/>
      <c r="K764" s="14" t="str">
        <f aca="false">IF($B764="","",IF($C764="泓普",$C$2,IF($C764="仟茂",$E$2,IF($C764="现金",$G$2,0)))+SUMIFS($I$5:$I764,$C$5:$C764,$C764)-SUMIFS($J$5:$J764,$C$5:$C764,$C764))</f>
        <v/>
      </c>
      <c r="L764" s="14" t="str">
        <f aca="false">IF($B764="","",$C$2+$E$2+$G$2+SUM($I$5:$I764)-SUM($J$5:$J764))</f>
        <v/>
      </c>
      <c r="M764" s="12"/>
      <c r="N764" s="15" t="str">
        <f aca="false">IF($B764="","",IF(NOT(ISNUMBER($B764)),"日期格式不对",IF($C764="","未选资金账户",IF(AND(N($I764)=0,N($J764)=0),"收支都为空",IF(AND(N($I764)&gt;0,N($J764)&gt;0),"收支不能同时填",IF(AND($D764&lt;&gt;"",LEFT($O764,1)="⚠"),"项目编号不存在",IF(AND($M764="是",$F764=""),"工程回款必须填往来单位","√")))))))</f>
        <v/>
      </c>
      <c r="O764" s="16" t="str">
        <f aca="false">IF($D764="","",IFERROR(INDEX(对照清单!$B$5:$B$60,MATCH($D764,对照清单!$A$5:$A$60,0)),"⚠编号不存在"))</f>
        <v/>
      </c>
      <c r="P764" s="10" t="str">
        <f aca="false">IF($B764="","",IF(ISNUMBER($B764),TEXT($B764,"yyyy-mm"),"日期非法"))</f>
        <v/>
      </c>
      <c r="Q764" s="10" t="str">
        <f aca="false">IF($B764="","",IF(ISNUMBER($B764),YEAR($B764),"日期非法"))</f>
        <v/>
      </c>
    </row>
    <row r="765" customFormat="false" ht="15.75" hidden="false" customHeight="true" outlineLevel="0" collapsed="false">
      <c r="A765" s="10" t="str">
        <f aca="false">IF($B765="","",ROW()-4)</f>
        <v/>
      </c>
      <c r="B765" s="11"/>
      <c r="C765" s="12"/>
      <c r="D765" s="12"/>
      <c r="E765" s="12"/>
      <c r="F765" s="12"/>
      <c r="G765" s="12"/>
      <c r="H765" s="13"/>
      <c r="I765" s="4"/>
      <c r="J765" s="4"/>
      <c r="K765" s="14" t="str">
        <f aca="false">IF($B765="","",IF($C765="泓普",$C$2,IF($C765="仟茂",$E$2,IF($C765="现金",$G$2,0)))+SUMIFS($I$5:$I765,$C$5:$C765,$C765)-SUMIFS($J$5:$J765,$C$5:$C765,$C765))</f>
        <v/>
      </c>
      <c r="L765" s="14" t="str">
        <f aca="false">IF($B765="","",$C$2+$E$2+$G$2+SUM($I$5:$I765)-SUM($J$5:$J765))</f>
        <v/>
      </c>
      <c r="M765" s="12"/>
      <c r="N765" s="15" t="str">
        <f aca="false">IF($B765="","",IF(NOT(ISNUMBER($B765)),"日期格式不对",IF($C765="","未选资金账户",IF(AND(N($I765)=0,N($J765)=0),"收支都为空",IF(AND(N($I765)&gt;0,N($J765)&gt;0),"收支不能同时填",IF(AND($D765&lt;&gt;"",LEFT($O765,1)="⚠"),"项目编号不存在",IF(AND($M765="是",$F765=""),"工程回款必须填往来单位","√")))))))</f>
        <v/>
      </c>
      <c r="O765" s="16" t="str">
        <f aca="false">IF($D765="","",IFERROR(INDEX(对照清单!$B$5:$B$60,MATCH($D765,对照清单!$A$5:$A$60,0)),"⚠编号不存在"))</f>
        <v/>
      </c>
      <c r="P765" s="10" t="str">
        <f aca="false">IF($B765="","",IF(ISNUMBER($B765),TEXT($B765,"yyyy-mm"),"日期非法"))</f>
        <v/>
      </c>
      <c r="Q765" s="10" t="str">
        <f aca="false">IF($B765="","",IF(ISNUMBER($B765),YEAR($B765),"日期非法"))</f>
        <v/>
      </c>
    </row>
    <row r="766" customFormat="false" ht="15.75" hidden="false" customHeight="true" outlineLevel="0" collapsed="false">
      <c r="A766" s="10" t="str">
        <f aca="false">IF($B766="","",ROW()-4)</f>
        <v/>
      </c>
      <c r="B766" s="11"/>
      <c r="C766" s="12"/>
      <c r="D766" s="12"/>
      <c r="E766" s="12"/>
      <c r="F766" s="12"/>
      <c r="G766" s="12"/>
      <c r="H766" s="13"/>
      <c r="I766" s="4"/>
      <c r="J766" s="4"/>
      <c r="K766" s="14" t="str">
        <f aca="false">IF($B766="","",IF($C766="泓普",$C$2,IF($C766="仟茂",$E$2,IF($C766="现金",$G$2,0)))+SUMIFS($I$5:$I766,$C$5:$C766,$C766)-SUMIFS($J$5:$J766,$C$5:$C766,$C766))</f>
        <v/>
      </c>
      <c r="L766" s="14" t="str">
        <f aca="false">IF($B766="","",$C$2+$E$2+$G$2+SUM($I$5:$I766)-SUM($J$5:$J766))</f>
        <v/>
      </c>
      <c r="M766" s="12"/>
      <c r="N766" s="15" t="str">
        <f aca="false">IF($B766="","",IF(NOT(ISNUMBER($B766)),"日期格式不对",IF($C766="","未选资金账户",IF(AND(N($I766)=0,N($J766)=0),"收支都为空",IF(AND(N($I766)&gt;0,N($J766)&gt;0),"收支不能同时填",IF(AND($D766&lt;&gt;"",LEFT($O766,1)="⚠"),"项目编号不存在",IF(AND($M766="是",$F766=""),"工程回款必须填往来单位","√")))))))</f>
        <v/>
      </c>
      <c r="O766" s="16" t="str">
        <f aca="false">IF($D766="","",IFERROR(INDEX(对照清单!$B$5:$B$60,MATCH($D766,对照清单!$A$5:$A$60,0)),"⚠编号不存在"))</f>
        <v/>
      </c>
      <c r="P766" s="10" t="str">
        <f aca="false">IF($B766="","",IF(ISNUMBER($B766),TEXT($B766,"yyyy-mm"),"日期非法"))</f>
        <v/>
      </c>
      <c r="Q766" s="10" t="str">
        <f aca="false">IF($B766="","",IF(ISNUMBER($B766),YEAR($B766),"日期非法"))</f>
        <v/>
      </c>
    </row>
    <row r="767" customFormat="false" ht="15.75" hidden="false" customHeight="true" outlineLevel="0" collapsed="false">
      <c r="A767" s="10" t="str">
        <f aca="false">IF($B767="","",ROW()-4)</f>
        <v/>
      </c>
      <c r="B767" s="11"/>
      <c r="C767" s="12"/>
      <c r="D767" s="12"/>
      <c r="E767" s="12"/>
      <c r="F767" s="12"/>
      <c r="G767" s="12"/>
      <c r="H767" s="13"/>
      <c r="I767" s="4"/>
      <c r="J767" s="4"/>
      <c r="K767" s="14" t="str">
        <f aca="false">IF($B767="","",IF($C767="泓普",$C$2,IF($C767="仟茂",$E$2,IF($C767="现金",$G$2,0)))+SUMIFS($I$5:$I767,$C$5:$C767,$C767)-SUMIFS($J$5:$J767,$C$5:$C767,$C767))</f>
        <v/>
      </c>
      <c r="L767" s="14" t="str">
        <f aca="false">IF($B767="","",$C$2+$E$2+$G$2+SUM($I$5:$I767)-SUM($J$5:$J767))</f>
        <v/>
      </c>
      <c r="M767" s="12"/>
      <c r="N767" s="15" t="str">
        <f aca="false">IF($B767="","",IF(NOT(ISNUMBER($B767)),"日期格式不对",IF($C767="","未选资金账户",IF(AND(N($I767)=0,N($J767)=0),"收支都为空",IF(AND(N($I767)&gt;0,N($J767)&gt;0),"收支不能同时填",IF(AND($D767&lt;&gt;"",LEFT($O767,1)="⚠"),"项目编号不存在",IF(AND($M767="是",$F767=""),"工程回款必须填往来单位","√")))))))</f>
        <v/>
      </c>
      <c r="O767" s="16" t="str">
        <f aca="false">IF($D767="","",IFERROR(INDEX(对照清单!$B$5:$B$60,MATCH($D767,对照清单!$A$5:$A$60,0)),"⚠编号不存在"))</f>
        <v/>
      </c>
      <c r="P767" s="10" t="str">
        <f aca="false">IF($B767="","",IF(ISNUMBER($B767),TEXT($B767,"yyyy-mm"),"日期非法"))</f>
        <v/>
      </c>
      <c r="Q767" s="10" t="str">
        <f aca="false">IF($B767="","",IF(ISNUMBER($B767),YEAR($B767),"日期非法"))</f>
        <v/>
      </c>
    </row>
    <row r="768" customFormat="false" ht="15.75" hidden="false" customHeight="true" outlineLevel="0" collapsed="false">
      <c r="A768" s="10" t="str">
        <f aca="false">IF($B768="","",ROW()-4)</f>
        <v/>
      </c>
      <c r="B768" s="11"/>
      <c r="C768" s="12"/>
      <c r="D768" s="12"/>
      <c r="E768" s="12"/>
      <c r="F768" s="12"/>
      <c r="G768" s="12"/>
      <c r="H768" s="13"/>
      <c r="I768" s="4"/>
      <c r="J768" s="4"/>
      <c r="K768" s="14" t="str">
        <f aca="false">IF($B768="","",IF($C768="泓普",$C$2,IF($C768="仟茂",$E$2,IF($C768="现金",$G$2,0)))+SUMIFS($I$5:$I768,$C$5:$C768,$C768)-SUMIFS($J$5:$J768,$C$5:$C768,$C768))</f>
        <v/>
      </c>
      <c r="L768" s="14" t="str">
        <f aca="false">IF($B768="","",$C$2+$E$2+$G$2+SUM($I$5:$I768)-SUM($J$5:$J768))</f>
        <v/>
      </c>
      <c r="M768" s="12"/>
      <c r="N768" s="15" t="str">
        <f aca="false">IF($B768="","",IF(NOT(ISNUMBER($B768)),"日期格式不对",IF($C768="","未选资金账户",IF(AND(N($I768)=0,N($J768)=0),"收支都为空",IF(AND(N($I768)&gt;0,N($J768)&gt;0),"收支不能同时填",IF(AND($D768&lt;&gt;"",LEFT($O768,1)="⚠"),"项目编号不存在",IF(AND($M768="是",$F768=""),"工程回款必须填往来单位","√")))))))</f>
        <v/>
      </c>
      <c r="O768" s="16" t="str">
        <f aca="false">IF($D768="","",IFERROR(INDEX(对照清单!$B$5:$B$60,MATCH($D768,对照清单!$A$5:$A$60,0)),"⚠编号不存在"))</f>
        <v/>
      </c>
      <c r="P768" s="10" t="str">
        <f aca="false">IF($B768="","",IF(ISNUMBER($B768),TEXT($B768,"yyyy-mm"),"日期非法"))</f>
        <v/>
      </c>
      <c r="Q768" s="10" t="str">
        <f aca="false">IF($B768="","",IF(ISNUMBER($B768),YEAR($B768),"日期非法"))</f>
        <v/>
      </c>
    </row>
    <row r="769" customFormat="false" ht="15.75" hidden="false" customHeight="true" outlineLevel="0" collapsed="false">
      <c r="A769" s="10" t="str">
        <f aca="false">IF($B769="","",ROW()-4)</f>
        <v/>
      </c>
      <c r="B769" s="11"/>
      <c r="C769" s="12"/>
      <c r="D769" s="12"/>
      <c r="E769" s="12"/>
      <c r="F769" s="12"/>
      <c r="G769" s="12"/>
      <c r="H769" s="13"/>
      <c r="I769" s="4"/>
      <c r="J769" s="4"/>
      <c r="K769" s="14" t="str">
        <f aca="false">IF($B769="","",IF($C769="泓普",$C$2,IF($C769="仟茂",$E$2,IF($C769="现金",$G$2,0)))+SUMIFS($I$5:$I769,$C$5:$C769,$C769)-SUMIFS($J$5:$J769,$C$5:$C769,$C769))</f>
        <v/>
      </c>
      <c r="L769" s="14" t="str">
        <f aca="false">IF($B769="","",$C$2+$E$2+$G$2+SUM($I$5:$I769)-SUM($J$5:$J769))</f>
        <v/>
      </c>
      <c r="M769" s="12"/>
      <c r="N769" s="15" t="str">
        <f aca="false">IF($B769="","",IF(NOT(ISNUMBER($B769)),"日期格式不对",IF($C769="","未选资金账户",IF(AND(N($I769)=0,N($J769)=0),"收支都为空",IF(AND(N($I769)&gt;0,N($J769)&gt;0),"收支不能同时填",IF(AND($D769&lt;&gt;"",LEFT($O769,1)="⚠"),"项目编号不存在",IF(AND($M769="是",$F769=""),"工程回款必须填往来单位","√")))))))</f>
        <v/>
      </c>
      <c r="O769" s="16" t="str">
        <f aca="false">IF($D769="","",IFERROR(INDEX(对照清单!$B$5:$B$60,MATCH($D769,对照清单!$A$5:$A$60,0)),"⚠编号不存在"))</f>
        <v/>
      </c>
      <c r="P769" s="10" t="str">
        <f aca="false">IF($B769="","",IF(ISNUMBER($B769),TEXT($B769,"yyyy-mm"),"日期非法"))</f>
        <v/>
      </c>
      <c r="Q769" s="10" t="str">
        <f aca="false">IF($B769="","",IF(ISNUMBER($B769),YEAR($B769),"日期非法"))</f>
        <v/>
      </c>
    </row>
    <row r="770" customFormat="false" ht="15.75" hidden="false" customHeight="true" outlineLevel="0" collapsed="false">
      <c r="A770" s="10" t="str">
        <f aca="false">IF($B770="","",ROW()-4)</f>
        <v/>
      </c>
      <c r="B770" s="11"/>
      <c r="C770" s="12"/>
      <c r="D770" s="12"/>
      <c r="E770" s="12"/>
      <c r="F770" s="12"/>
      <c r="G770" s="12"/>
      <c r="H770" s="13"/>
      <c r="I770" s="4"/>
      <c r="J770" s="4"/>
      <c r="K770" s="14" t="str">
        <f aca="false">IF($B770="","",IF($C770="泓普",$C$2,IF($C770="仟茂",$E$2,IF($C770="现金",$G$2,0)))+SUMIFS($I$5:$I770,$C$5:$C770,$C770)-SUMIFS($J$5:$J770,$C$5:$C770,$C770))</f>
        <v/>
      </c>
      <c r="L770" s="14" t="str">
        <f aca="false">IF($B770="","",$C$2+$E$2+$G$2+SUM($I$5:$I770)-SUM($J$5:$J770))</f>
        <v/>
      </c>
      <c r="M770" s="12"/>
      <c r="N770" s="15" t="str">
        <f aca="false">IF($B770="","",IF(NOT(ISNUMBER($B770)),"日期格式不对",IF($C770="","未选资金账户",IF(AND(N($I770)=0,N($J770)=0),"收支都为空",IF(AND(N($I770)&gt;0,N($J770)&gt;0),"收支不能同时填",IF(AND($D770&lt;&gt;"",LEFT($O770,1)="⚠"),"项目编号不存在",IF(AND($M770="是",$F770=""),"工程回款必须填往来单位","√")))))))</f>
        <v/>
      </c>
      <c r="O770" s="16" t="str">
        <f aca="false">IF($D770="","",IFERROR(INDEX(对照清单!$B$5:$B$60,MATCH($D770,对照清单!$A$5:$A$60,0)),"⚠编号不存在"))</f>
        <v/>
      </c>
      <c r="P770" s="10" t="str">
        <f aca="false">IF($B770="","",IF(ISNUMBER($B770),TEXT($B770,"yyyy-mm"),"日期非法"))</f>
        <v/>
      </c>
      <c r="Q770" s="10" t="str">
        <f aca="false">IF($B770="","",IF(ISNUMBER($B770),YEAR($B770),"日期非法"))</f>
        <v/>
      </c>
    </row>
    <row r="771" customFormat="false" ht="15.75" hidden="false" customHeight="true" outlineLevel="0" collapsed="false">
      <c r="A771" s="10" t="str">
        <f aca="false">IF($B771="","",ROW()-4)</f>
        <v/>
      </c>
      <c r="B771" s="11"/>
      <c r="C771" s="12"/>
      <c r="D771" s="12"/>
      <c r="E771" s="12"/>
      <c r="F771" s="12"/>
      <c r="G771" s="12"/>
      <c r="H771" s="13"/>
      <c r="I771" s="4"/>
      <c r="J771" s="4"/>
      <c r="K771" s="14" t="str">
        <f aca="false">IF($B771="","",IF($C771="泓普",$C$2,IF($C771="仟茂",$E$2,IF($C771="现金",$G$2,0)))+SUMIFS($I$5:$I771,$C$5:$C771,$C771)-SUMIFS($J$5:$J771,$C$5:$C771,$C771))</f>
        <v/>
      </c>
      <c r="L771" s="14" t="str">
        <f aca="false">IF($B771="","",$C$2+$E$2+$G$2+SUM($I$5:$I771)-SUM($J$5:$J771))</f>
        <v/>
      </c>
      <c r="M771" s="12"/>
      <c r="N771" s="15" t="str">
        <f aca="false">IF($B771="","",IF(NOT(ISNUMBER($B771)),"日期格式不对",IF($C771="","未选资金账户",IF(AND(N($I771)=0,N($J771)=0),"收支都为空",IF(AND(N($I771)&gt;0,N($J771)&gt;0),"收支不能同时填",IF(AND($D771&lt;&gt;"",LEFT($O771,1)="⚠"),"项目编号不存在",IF(AND($M771="是",$F771=""),"工程回款必须填往来单位","√")))))))</f>
        <v/>
      </c>
      <c r="O771" s="16" t="str">
        <f aca="false">IF($D771="","",IFERROR(INDEX(对照清单!$B$5:$B$60,MATCH($D771,对照清单!$A$5:$A$60,0)),"⚠编号不存在"))</f>
        <v/>
      </c>
      <c r="P771" s="10" t="str">
        <f aca="false">IF($B771="","",IF(ISNUMBER($B771),TEXT($B771,"yyyy-mm"),"日期非法"))</f>
        <v/>
      </c>
      <c r="Q771" s="10" t="str">
        <f aca="false">IF($B771="","",IF(ISNUMBER($B771),YEAR($B771),"日期非法"))</f>
        <v/>
      </c>
    </row>
    <row r="772" customFormat="false" ht="15.75" hidden="false" customHeight="true" outlineLevel="0" collapsed="false">
      <c r="A772" s="10" t="str">
        <f aca="false">IF($B772="","",ROW()-4)</f>
        <v/>
      </c>
      <c r="B772" s="11"/>
      <c r="C772" s="12"/>
      <c r="D772" s="12"/>
      <c r="E772" s="12"/>
      <c r="F772" s="12"/>
      <c r="G772" s="12"/>
      <c r="H772" s="13"/>
      <c r="I772" s="4"/>
      <c r="J772" s="4"/>
      <c r="K772" s="14" t="str">
        <f aca="false">IF($B772="","",IF($C772="泓普",$C$2,IF($C772="仟茂",$E$2,IF($C772="现金",$G$2,0)))+SUMIFS($I$5:$I772,$C$5:$C772,$C772)-SUMIFS($J$5:$J772,$C$5:$C772,$C772))</f>
        <v/>
      </c>
      <c r="L772" s="14" t="str">
        <f aca="false">IF($B772="","",$C$2+$E$2+$G$2+SUM($I$5:$I772)-SUM($J$5:$J772))</f>
        <v/>
      </c>
      <c r="M772" s="12"/>
      <c r="N772" s="15" t="str">
        <f aca="false">IF($B772="","",IF(NOT(ISNUMBER($B772)),"日期格式不对",IF($C772="","未选资金账户",IF(AND(N($I772)=0,N($J772)=0),"收支都为空",IF(AND(N($I772)&gt;0,N($J772)&gt;0),"收支不能同时填",IF(AND($D772&lt;&gt;"",LEFT($O772,1)="⚠"),"项目编号不存在",IF(AND($M772="是",$F772=""),"工程回款必须填往来单位","√")))))))</f>
        <v/>
      </c>
      <c r="O772" s="16" t="str">
        <f aca="false">IF($D772="","",IFERROR(INDEX(对照清单!$B$5:$B$60,MATCH($D772,对照清单!$A$5:$A$60,0)),"⚠编号不存在"))</f>
        <v/>
      </c>
      <c r="P772" s="10" t="str">
        <f aca="false">IF($B772="","",IF(ISNUMBER($B772),TEXT($B772,"yyyy-mm"),"日期非法"))</f>
        <v/>
      </c>
      <c r="Q772" s="10" t="str">
        <f aca="false">IF($B772="","",IF(ISNUMBER($B772),YEAR($B772),"日期非法"))</f>
        <v/>
      </c>
    </row>
    <row r="773" customFormat="false" ht="15.75" hidden="false" customHeight="true" outlineLevel="0" collapsed="false">
      <c r="A773" s="10" t="str">
        <f aca="false">IF($B773="","",ROW()-4)</f>
        <v/>
      </c>
      <c r="B773" s="11"/>
      <c r="C773" s="12"/>
      <c r="D773" s="12"/>
      <c r="E773" s="12"/>
      <c r="F773" s="12"/>
      <c r="G773" s="12"/>
      <c r="H773" s="13"/>
      <c r="I773" s="4"/>
      <c r="J773" s="4"/>
      <c r="K773" s="14" t="str">
        <f aca="false">IF($B773="","",IF($C773="泓普",$C$2,IF($C773="仟茂",$E$2,IF($C773="现金",$G$2,0)))+SUMIFS($I$5:$I773,$C$5:$C773,$C773)-SUMIFS($J$5:$J773,$C$5:$C773,$C773))</f>
        <v/>
      </c>
      <c r="L773" s="14" t="str">
        <f aca="false">IF($B773="","",$C$2+$E$2+$G$2+SUM($I$5:$I773)-SUM($J$5:$J773))</f>
        <v/>
      </c>
      <c r="M773" s="12"/>
      <c r="N773" s="15" t="str">
        <f aca="false">IF($B773="","",IF(NOT(ISNUMBER($B773)),"日期格式不对",IF($C773="","未选资金账户",IF(AND(N($I773)=0,N($J773)=0),"收支都为空",IF(AND(N($I773)&gt;0,N($J773)&gt;0),"收支不能同时填",IF(AND($D773&lt;&gt;"",LEFT($O773,1)="⚠"),"项目编号不存在",IF(AND($M773="是",$F773=""),"工程回款必须填往来单位","√")))))))</f>
        <v/>
      </c>
      <c r="O773" s="16" t="str">
        <f aca="false">IF($D773="","",IFERROR(INDEX(对照清单!$B$5:$B$60,MATCH($D773,对照清单!$A$5:$A$60,0)),"⚠编号不存在"))</f>
        <v/>
      </c>
      <c r="P773" s="10" t="str">
        <f aca="false">IF($B773="","",IF(ISNUMBER($B773),TEXT($B773,"yyyy-mm"),"日期非法"))</f>
        <v/>
      </c>
      <c r="Q773" s="10" t="str">
        <f aca="false">IF($B773="","",IF(ISNUMBER($B773),YEAR($B773),"日期非法"))</f>
        <v/>
      </c>
    </row>
    <row r="774" customFormat="false" ht="15.75" hidden="false" customHeight="true" outlineLevel="0" collapsed="false">
      <c r="A774" s="10" t="str">
        <f aca="false">IF($B774="","",ROW()-4)</f>
        <v/>
      </c>
      <c r="B774" s="11"/>
      <c r="C774" s="12"/>
      <c r="D774" s="12"/>
      <c r="E774" s="12"/>
      <c r="F774" s="12"/>
      <c r="G774" s="12"/>
      <c r="H774" s="13"/>
      <c r="I774" s="4"/>
      <c r="J774" s="4"/>
      <c r="K774" s="14" t="str">
        <f aca="false">IF($B774="","",IF($C774="泓普",$C$2,IF($C774="仟茂",$E$2,IF($C774="现金",$G$2,0)))+SUMIFS($I$5:$I774,$C$5:$C774,$C774)-SUMIFS($J$5:$J774,$C$5:$C774,$C774))</f>
        <v/>
      </c>
      <c r="L774" s="14" t="str">
        <f aca="false">IF($B774="","",$C$2+$E$2+$G$2+SUM($I$5:$I774)-SUM($J$5:$J774))</f>
        <v/>
      </c>
      <c r="M774" s="12"/>
      <c r="N774" s="15" t="str">
        <f aca="false">IF($B774="","",IF(NOT(ISNUMBER($B774)),"日期格式不对",IF($C774="","未选资金账户",IF(AND(N($I774)=0,N($J774)=0),"收支都为空",IF(AND(N($I774)&gt;0,N($J774)&gt;0),"收支不能同时填",IF(AND($D774&lt;&gt;"",LEFT($O774,1)="⚠"),"项目编号不存在",IF(AND($M774="是",$F774=""),"工程回款必须填往来单位","√")))))))</f>
        <v/>
      </c>
      <c r="O774" s="16" t="str">
        <f aca="false">IF($D774="","",IFERROR(INDEX(对照清单!$B$5:$B$60,MATCH($D774,对照清单!$A$5:$A$60,0)),"⚠编号不存在"))</f>
        <v/>
      </c>
      <c r="P774" s="10" t="str">
        <f aca="false">IF($B774="","",IF(ISNUMBER($B774),TEXT($B774,"yyyy-mm"),"日期非法"))</f>
        <v/>
      </c>
      <c r="Q774" s="10" t="str">
        <f aca="false">IF($B774="","",IF(ISNUMBER($B774),YEAR($B774),"日期非法"))</f>
        <v/>
      </c>
    </row>
    <row r="775" customFormat="false" ht="15.75" hidden="false" customHeight="true" outlineLevel="0" collapsed="false">
      <c r="A775" s="10" t="str">
        <f aca="false">IF($B775="","",ROW()-4)</f>
        <v/>
      </c>
      <c r="B775" s="11"/>
      <c r="C775" s="12"/>
      <c r="D775" s="12"/>
      <c r="E775" s="12"/>
      <c r="F775" s="12"/>
      <c r="G775" s="12"/>
      <c r="H775" s="13"/>
      <c r="I775" s="4"/>
      <c r="J775" s="4"/>
      <c r="K775" s="14" t="str">
        <f aca="false">IF($B775="","",IF($C775="泓普",$C$2,IF($C775="仟茂",$E$2,IF($C775="现金",$G$2,0)))+SUMIFS($I$5:$I775,$C$5:$C775,$C775)-SUMIFS($J$5:$J775,$C$5:$C775,$C775))</f>
        <v/>
      </c>
      <c r="L775" s="14" t="str">
        <f aca="false">IF($B775="","",$C$2+$E$2+$G$2+SUM($I$5:$I775)-SUM($J$5:$J775))</f>
        <v/>
      </c>
      <c r="M775" s="12"/>
      <c r="N775" s="15" t="str">
        <f aca="false">IF($B775="","",IF(NOT(ISNUMBER($B775)),"日期格式不对",IF($C775="","未选资金账户",IF(AND(N($I775)=0,N($J775)=0),"收支都为空",IF(AND(N($I775)&gt;0,N($J775)&gt;0),"收支不能同时填",IF(AND($D775&lt;&gt;"",LEFT($O775,1)="⚠"),"项目编号不存在",IF(AND($M775="是",$F775=""),"工程回款必须填往来单位","√")))))))</f>
        <v/>
      </c>
      <c r="O775" s="16" t="str">
        <f aca="false">IF($D775="","",IFERROR(INDEX(对照清单!$B$5:$B$60,MATCH($D775,对照清单!$A$5:$A$60,0)),"⚠编号不存在"))</f>
        <v/>
      </c>
      <c r="P775" s="10" t="str">
        <f aca="false">IF($B775="","",IF(ISNUMBER($B775),TEXT($B775,"yyyy-mm"),"日期非法"))</f>
        <v/>
      </c>
      <c r="Q775" s="10" t="str">
        <f aca="false">IF($B775="","",IF(ISNUMBER($B775),YEAR($B775),"日期非法"))</f>
        <v/>
      </c>
    </row>
    <row r="776" customFormat="false" ht="15.75" hidden="false" customHeight="true" outlineLevel="0" collapsed="false">
      <c r="A776" s="10" t="str">
        <f aca="false">IF($B776="","",ROW()-4)</f>
        <v/>
      </c>
      <c r="B776" s="11"/>
      <c r="C776" s="12"/>
      <c r="D776" s="12"/>
      <c r="E776" s="12"/>
      <c r="F776" s="12"/>
      <c r="G776" s="12"/>
      <c r="H776" s="13"/>
      <c r="I776" s="4"/>
      <c r="J776" s="4"/>
      <c r="K776" s="14" t="str">
        <f aca="false">IF($B776="","",IF($C776="泓普",$C$2,IF($C776="仟茂",$E$2,IF($C776="现金",$G$2,0)))+SUMIFS($I$5:$I776,$C$5:$C776,$C776)-SUMIFS($J$5:$J776,$C$5:$C776,$C776))</f>
        <v/>
      </c>
      <c r="L776" s="14" t="str">
        <f aca="false">IF($B776="","",$C$2+$E$2+$G$2+SUM($I$5:$I776)-SUM($J$5:$J776))</f>
        <v/>
      </c>
      <c r="M776" s="12"/>
      <c r="N776" s="15" t="str">
        <f aca="false">IF($B776="","",IF(NOT(ISNUMBER($B776)),"日期格式不对",IF($C776="","未选资金账户",IF(AND(N($I776)=0,N($J776)=0),"收支都为空",IF(AND(N($I776)&gt;0,N($J776)&gt;0),"收支不能同时填",IF(AND($D776&lt;&gt;"",LEFT($O776,1)="⚠"),"项目编号不存在",IF(AND($M776="是",$F776=""),"工程回款必须填往来单位","√")))))))</f>
        <v/>
      </c>
      <c r="O776" s="16" t="str">
        <f aca="false">IF($D776="","",IFERROR(INDEX(对照清单!$B$5:$B$60,MATCH($D776,对照清单!$A$5:$A$60,0)),"⚠编号不存在"))</f>
        <v/>
      </c>
      <c r="P776" s="10" t="str">
        <f aca="false">IF($B776="","",IF(ISNUMBER($B776),TEXT($B776,"yyyy-mm"),"日期非法"))</f>
        <v/>
      </c>
      <c r="Q776" s="10" t="str">
        <f aca="false">IF($B776="","",IF(ISNUMBER($B776),YEAR($B776),"日期非法"))</f>
        <v/>
      </c>
    </row>
    <row r="777" customFormat="false" ht="15.75" hidden="false" customHeight="true" outlineLevel="0" collapsed="false">
      <c r="A777" s="10" t="str">
        <f aca="false">IF($B777="","",ROW()-4)</f>
        <v/>
      </c>
      <c r="B777" s="11"/>
      <c r="C777" s="12"/>
      <c r="D777" s="12"/>
      <c r="E777" s="12"/>
      <c r="F777" s="12"/>
      <c r="G777" s="12"/>
      <c r="H777" s="13"/>
      <c r="I777" s="4"/>
      <c r="J777" s="4"/>
      <c r="K777" s="14" t="str">
        <f aca="false">IF($B777="","",IF($C777="泓普",$C$2,IF($C777="仟茂",$E$2,IF($C777="现金",$G$2,0)))+SUMIFS($I$5:$I777,$C$5:$C777,$C777)-SUMIFS($J$5:$J777,$C$5:$C777,$C777))</f>
        <v/>
      </c>
      <c r="L777" s="14" t="str">
        <f aca="false">IF($B777="","",$C$2+$E$2+$G$2+SUM($I$5:$I777)-SUM($J$5:$J777))</f>
        <v/>
      </c>
      <c r="M777" s="12"/>
      <c r="N777" s="15" t="str">
        <f aca="false">IF($B777="","",IF(NOT(ISNUMBER($B777)),"日期格式不对",IF($C777="","未选资金账户",IF(AND(N($I777)=0,N($J777)=0),"收支都为空",IF(AND(N($I777)&gt;0,N($J777)&gt;0),"收支不能同时填",IF(AND($D777&lt;&gt;"",LEFT($O777,1)="⚠"),"项目编号不存在",IF(AND($M777="是",$F777=""),"工程回款必须填往来单位","√")))))))</f>
        <v/>
      </c>
      <c r="O777" s="16" t="str">
        <f aca="false">IF($D777="","",IFERROR(INDEX(对照清单!$B$5:$B$60,MATCH($D777,对照清单!$A$5:$A$60,0)),"⚠编号不存在"))</f>
        <v/>
      </c>
      <c r="P777" s="10" t="str">
        <f aca="false">IF($B777="","",IF(ISNUMBER($B777),TEXT($B777,"yyyy-mm"),"日期非法"))</f>
        <v/>
      </c>
      <c r="Q777" s="10" t="str">
        <f aca="false">IF($B777="","",IF(ISNUMBER($B777),YEAR($B777),"日期非法"))</f>
        <v/>
      </c>
    </row>
    <row r="778" customFormat="false" ht="15.75" hidden="false" customHeight="true" outlineLevel="0" collapsed="false">
      <c r="A778" s="10" t="str">
        <f aca="false">IF($B778="","",ROW()-4)</f>
        <v/>
      </c>
      <c r="B778" s="11"/>
      <c r="C778" s="12"/>
      <c r="D778" s="12"/>
      <c r="E778" s="12"/>
      <c r="F778" s="12"/>
      <c r="G778" s="12"/>
      <c r="H778" s="13"/>
      <c r="I778" s="4"/>
      <c r="J778" s="4"/>
      <c r="K778" s="14" t="str">
        <f aca="false">IF($B778="","",IF($C778="泓普",$C$2,IF($C778="仟茂",$E$2,IF($C778="现金",$G$2,0)))+SUMIFS($I$5:$I778,$C$5:$C778,$C778)-SUMIFS($J$5:$J778,$C$5:$C778,$C778))</f>
        <v/>
      </c>
      <c r="L778" s="14" t="str">
        <f aca="false">IF($B778="","",$C$2+$E$2+$G$2+SUM($I$5:$I778)-SUM($J$5:$J778))</f>
        <v/>
      </c>
      <c r="M778" s="12"/>
      <c r="N778" s="15" t="str">
        <f aca="false">IF($B778="","",IF(NOT(ISNUMBER($B778)),"日期格式不对",IF($C778="","未选资金账户",IF(AND(N($I778)=0,N($J778)=0),"收支都为空",IF(AND(N($I778)&gt;0,N($J778)&gt;0),"收支不能同时填",IF(AND($D778&lt;&gt;"",LEFT($O778,1)="⚠"),"项目编号不存在",IF(AND($M778="是",$F778=""),"工程回款必须填往来单位","√")))))))</f>
        <v/>
      </c>
      <c r="O778" s="16" t="str">
        <f aca="false">IF($D778="","",IFERROR(INDEX(对照清单!$B$5:$B$60,MATCH($D778,对照清单!$A$5:$A$60,0)),"⚠编号不存在"))</f>
        <v/>
      </c>
      <c r="P778" s="10" t="str">
        <f aca="false">IF($B778="","",IF(ISNUMBER($B778),TEXT($B778,"yyyy-mm"),"日期非法"))</f>
        <v/>
      </c>
      <c r="Q778" s="10" t="str">
        <f aca="false">IF($B778="","",IF(ISNUMBER($B778),YEAR($B778),"日期非法"))</f>
        <v/>
      </c>
    </row>
    <row r="779" customFormat="false" ht="15.75" hidden="false" customHeight="true" outlineLevel="0" collapsed="false">
      <c r="A779" s="10" t="str">
        <f aca="false">IF($B779="","",ROW()-4)</f>
        <v/>
      </c>
      <c r="B779" s="11"/>
      <c r="C779" s="12"/>
      <c r="D779" s="12"/>
      <c r="E779" s="12"/>
      <c r="F779" s="12"/>
      <c r="G779" s="12"/>
      <c r="H779" s="13"/>
      <c r="I779" s="4"/>
      <c r="J779" s="4"/>
      <c r="K779" s="14" t="str">
        <f aca="false">IF($B779="","",IF($C779="泓普",$C$2,IF($C779="仟茂",$E$2,IF($C779="现金",$G$2,0)))+SUMIFS($I$5:$I779,$C$5:$C779,$C779)-SUMIFS($J$5:$J779,$C$5:$C779,$C779))</f>
        <v/>
      </c>
      <c r="L779" s="14" t="str">
        <f aca="false">IF($B779="","",$C$2+$E$2+$G$2+SUM($I$5:$I779)-SUM($J$5:$J779))</f>
        <v/>
      </c>
      <c r="M779" s="12"/>
      <c r="N779" s="15" t="str">
        <f aca="false">IF($B779="","",IF(NOT(ISNUMBER($B779)),"日期格式不对",IF($C779="","未选资金账户",IF(AND(N($I779)=0,N($J779)=0),"收支都为空",IF(AND(N($I779)&gt;0,N($J779)&gt;0),"收支不能同时填",IF(AND($D779&lt;&gt;"",LEFT($O779,1)="⚠"),"项目编号不存在",IF(AND($M779="是",$F779=""),"工程回款必须填往来单位","√")))))))</f>
        <v/>
      </c>
      <c r="O779" s="16" t="str">
        <f aca="false">IF($D779="","",IFERROR(INDEX(对照清单!$B$5:$B$60,MATCH($D779,对照清单!$A$5:$A$60,0)),"⚠编号不存在"))</f>
        <v/>
      </c>
      <c r="P779" s="10" t="str">
        <f aca="false">IF($B779="","",IF(ISNUMBER($B779),TEXT($B779,"yyyy-mm"),"日期非法"))</f>
        <v/>
      </c>
      <c r="Q779" s="10" t="str">
        <f aca="false">IF($B779="","",IF(ISNUMBER($B779),YEAR($B779),"日期非法"))</f>
        <v/>
      </c>
    </row>
    <row r="780" customFormat="false" ht="15.75" hidden="false" customHeight="true" outlineLevel="0" collapsed="false">
      <c r="A780" s="10" t="str">
        <f aca="false">IF($B780="","",ROW()-4)</f>
        <v/>
      </c>
      <c r="B780" s="11"/>
      <c r="C780" s="12"/>
      <c r="D780" s="12"/>
      <c r="E780" s="12"/>
      <c r="F780" s="12"/>
      <c r="G780" s="12"/>
      <c r="H780" s="13"/>
      <c r="I780" s="4"/>
      <c r="J780" s="4"/>
      <c r="K780" s="14" t="str">
        <f aca="false">IF($B780="","",IF($C780="泓普",$C$2,IF($C780="仟茂",$E$2,IF($C780="现金",$G$2,0)))+SUMIFS($I$5:$I780,$C$5:$C780,$C780)-SUMIFS($J$5:$J780,$C$5:$C780,$C780))</f>
        <v/>
      </c>
      <c r="L780" s="14" t="str">
        <f aca="false">IF($B780="","",$C$2+$E$2+$G$2+SUM($I$5:$I780)-SUM($J$5:$J780))</f>
        <v/>
      </c>
      <c r="M780" s="12"/>
      <c r="N780" s="15" t="str">
        <f aca="false">IF($B780="","",IF(NOT(ISNUMBER($B780)),"日期格式不对",IF($C780="","未选资金账户",IF(AND(N($I780)=0,N($J780)=0),"收支都为空",IF(AND(N($I780)&gt;0,N($J780)&gt;0),"收支不能同时填",IF(AND($D780&lt;&gt;"",LEFT($O780,1)="⚠"),"项目编号不存在",IF(AND($M780="是",$F780=""),"工程回款必须填往来单位","√")))))))</f>
        <v/>
      </c>
      <c r="O780" s="16" t="str">
        <f aca="false">IF($D780="","",IFERROR(INDEX(对照清单!$B$5:$B$60,MATCH($D780,对照清单!$A$5:$A$60,0)),"⚠编号不存在"))</f>
        <v/>
      </c>
      <c r="P780" s="10" t="str">
        <f aca="false">IF($B780="","",IF(ISNUMBER($B780),TEXT($B780,"yyyy-mm"),"日期非法"))</f>
        <v/>
      </c>
      <c r="Q780" s="10" t="str">
        <f aca="false">IF($B780="","",IF(ISNUMBER($B780),YEAR($B780),"日期非法"))</f>
        <v/>
      </c>
    </row>
    <row r="781" customFormat="false" ht="15.75" hidden="false" customHeight="true" outlineLevel="0" collapsed="false">
      <c r="A781" s="10" t="str">
        <f aca="false">IF($B781="","",ROW()-4)</f>
        <v/>
      </c>
      <c r="B781" s="11"/>
      <c r="C781" s="12"/>
      <c r="D781" s="12"/>
      <c r="E781" s="12"/>
      <c r="F781" s="12"/>
      <c r="G781" s="12"/>
      <c r="H781" s="13"/>
      <c r="I781" s="4"/>
      <c r="J781" s="4"/>
      <c r="K781" s="14" t="str">
        <f aca="false">IF($B781="","",IF($C781="泓普",$C$2,IF($C781="仟茂",$E$2,IF($C781="现金",$G$2,0)))+SUMIFS($I$5:$I781,$C$5:$C781,$C781)-SUMIFS($J$5:$J781,$C$5:$C781,$C781))</f>
        <v/>
      </c>
      <c r="L781" s="14" t="str">
        <f aca="false">IF($B781="","",$C$2+$E$2+$G$2+SUM($I$5:$I781)-SUM($J$5:$J781))</f>
        <v/>
      </c>
      <c r="M781" s="12"/>
      <c r="N781" s="15" t="str">
        <f aca="false">IF($B781="","",IF(NOT(ISNUMBER($B781)),"日期格式不对",IF($C781="","未选资金账户",IF(AND(N($I781)=0,N($J781)=0),"收支都为空",IF(AND(N($I781)&gt;0,N($J781)&gt;0),"收支不能同时填",IF(AND($D781&lt;&gt;"",LEFT($O781,1)="⚠"),"项目编号不存在",IF(AND($M781="是",$F781=""),"工程回款必须填往来单位","√")))))))</f>
        <v/>
      </c>
      <c r="O781" s="16" t="str">
        <f aca="false">IF($D781="","",IFERROR(INDEX(对照清单!$B$5:$B$60,MATCH($D781,对照清单!$A$5:$A$60,0)),"⚠编号不存在"))</f>
        <v/>
      </c>
      <c r="P781" s="10" t="str">
        <f aca="false">IF($B781="","",IF(ISNUMBER($B781),TEXT($B781,"yyyy-mm"),"日期非法"))</f>
        <v/>
      </c>
      <c r="Q781" s="10" t="str">
        <f aca="false">IF($B781="","",IF(ISNUMBER($B781),YEAR($B781),"日期非法"))</f>
        <v/>
      </c>
    </row>
    <row r="782" customFormat="false" ht="15.75" hidden="false" customHeight="true" outlineLevel="0" collapsed="false">
      <c r="A782" s="10" t="str">
        <f aca="false">IF($B782="","",ROW()-4)</f>
        <v/>
      </c>
      <c r="B782" s="11"/>
      <c r="C782" s="12"/>
      <c r="D782" s="12"/>
      <c r="E782" s="12"/>
      <c r="F782" s="12"/>
      <c r="G782" s="12"/>
      <c r="H782" s="13"/>
      <c r="I782" s="4"/>
      <c r="J782" s="4"/>
      <c r="K782" s="14" t="str">
        <f aca="false">IF($B782="","",IF($C782="泓普",$C$2,IF($C782="仟茂",$E$2,IF($C782="现金",$G$2,0)))+SUMIFS($I$5:$I782,$C$5:$C782,$C782)-SUMIFS($J$5:$J782,$C$5:$C782,$C782))</f>
        <v/>
      </c>
      <c r="L782" s="14" t="str">
        <f aca="false">IF($B782="","",$C$2+$E$2+$G$2+SUM($I$5:$I782)-SUM($J$5:$J782))</f>
        <v/>
      </c>
      <c r="M782" s="12"/>
      <c r="N782" s="15" t="str">
        <f aca="false">IF($B782="","",IF(NOT(ISNUMBER($B782)),"日期格式不对",IF($C782="","未选资金账户",IF(AND(N($I782)=0,N($J782)=0),"收支都为空",IF(AND(N($I782)&gt;0,N($J782)&gt;0),"收支不能同时填",IF(AND($D782&lt;&gt;"",LEFT($O782,1)="⚠"),"项目编号不存在",IF(AND($M782="是",$F782=""),"工程回款必须填往来单位","√")))))))</f>
        <v/>
      </c>
      <c r="O782" s="16" t="str">
        <f aca="false">IF($D782="","",IFERROR(INDEX(对照清单!$B$5:$B$60,MATCH($D782,对照清单!$A$5:$A$60,0)),"⚠编号不存在"))</f>
        <v/>
      </c>
      <c r="P782" s="10" t="str">
        <f aca="false">IF($B782="","",IF(ISNUMBER($B782),TEXT($B782,"yyyy-mm"),"日期非法"))</f>
        <v/>
      </c>
      <c r="Q782" s="10" t="str">
        <f aca="false">IF($B782="","",IF(ISNUMBER($B782),YEAR($B782),"日期非法"))</f>
        <v/>
      </c>
    </row>
    <row r="783" customFormat="false" ht="15.75" hidden="false" customHeight="true" outlineLevel="0" collapsed="false">
      <c r="A783" s="10" t="str">
        <f aca="false">IF($B783="","",ROW()-4)</f>
        <v/>
      </c>
      <c r="B783" s="11"/>
      <c r="C783" s="12"/>
      <c r="D783" s="12"/>
      <c r="E783" s="12"/>
      <c r="F783" s="12"/>
      <c r="G783" s="12"/>
      <c r="H783" s="13"/>
      <c r="I783" s="4"/>
      <c r="J783" s="4"/>
      <c r="K783" s="14" t="str">
        <f aca="false">IF($B783="","",IF($C783="泓普",$C$2,IF($C783="仟茂",$E$2,IF($C783="现金",$G$2,0)))+SUMIFS($I$5:$I783,$C$5:$C783,$C783)-SUMIFS($J$5:$J783,$C$5:$C783,$C783))</f>
        <v/>
      </c>
      <c r="L783" s="14" t="str">
        <f aca="false">IF($B783="","",$C$2+$E$2+$G$2+SUM($I$5:$I783)-SUM($J$5:$J783))</f>
        <v/>
      </c>
      <c r="M783" s="12"/>
      <c r="N783" s="15" t="str">
        <f aca="false">IF($B783="","",IF(NOT(ISNUMBER($B783)),"日期格式不对",IF($C783="","未选资金账户",IF(AND(N($I783)=0,N($J783)=0),"收支都为空",IF(AND(N($I783)&gt;0,N($J783)&gt;0),"收支不能同时填",IF(AND($D783&lt;&gt;"",LEFT($O783,1)="⚠"),"项目编号不存在",IF(AND($M783="是",$F783=""),"工程回款必须填往来单位","√")))))))</f>
        <v/>
      </c>
      <c r="O783" s="16" t="str">
        <f aca="false">IF($D783="","",IFERROR(INDEX(对照清单!$B$5:$B$60,MATCH($D783,对照清单!$A$5:$A$60,0)),"⚠编号不存在"))</f>
        <v/>
      </c>
      <c r="P783" s="10" t="str">
        <f aca="false">IF($B783="","",IF(ISNUMBER($B783),TEXT($B783,"yyyy-mm"),"日期非法"))</f>
        <v/>
      </c>
      <c r="Q783" s="10" t="str">
        <f aca="false">IF($B783="","",IF(ISNUMBER($B783),YEAR($B783),"日期非法"))</f>
        <v/>
      </c>
    </row>
    <row r="784" customFormat="false" ht="15.75" hidden="false" customHeight="true" outlineLevel="0" collapsed="false">
      <c r="A784" s="10" t="str">
        <f aca="false">IF($B784="","",ROW()-4)</f>
        <v/>
      </c>
      <c r="B784" s="11"/>
      <c r="C784" s="12"/>
      <c r="D784" s="12"/>
      <c r="E784" s="12"/>
      <c r="F784" s="12"/>
      <c r="G784" s="12"/>
      <c r="H784" s="13"/>
      <c r="I784" s="4"/>
      <c r="J784" s="4"/>
      <c r="K784" s="14" t="str">
        <f aca="false">IF($B784="","",IF($C784="泓普",$C$2,IF($C784="仟茂",$E$2,IF($C784="现金",$G$2,0)))+SUMIFS($I$5:$I784,$C$5:$C784,$C784)-SUMIFS($J$5:$J784,$C$5:$C784,$C784))</f>
        <v/>
      </c>
      <c r="L784" s="14" t="str">
        <f aca="false">IF($B784="","",$C$2+$E$2+$G$2+SUM($I$5:$I784)-SUM($J$5:$J784))</f>
        <v/>
      </c>
      <c r="M784" s="12"/>
      <c r="N784" s="15" t="str">
        <f aca="false">IF($B784="","",IF(NOT(ISNUMBER($B784)),"日期格式不对",IF($C784="","未选资金账户",IF(AND(N($I784)=0,N($J784)=0),"收支都为空",IF(AND(N($I784)&gt;0,N($J784)&gt;0),"收支不能同时填",IF(AND($D784&lt;&gt;"",LEFT($O784,1)="⚠"),"项目编号不存在",IF(AND($M784="是",$F784=""),"工程回款必须填往来单位","√")))))))</f>
        <v/>
      </c>
      <c r="O784" s="16" t="str">
        <f aca="false">IF($D784="","",IFERROR(INDEX(对照清单!$B$5:$B$60,MATCH($D784,对照清单!$A$5:$A$60,0)),"⚠编号不存在"))</f>
        <v/>
      </c>
      <c r="P784" s="10" t="str">
        <f aca="false">IF($B784="","",IF(ISNUMBER($B784),TEXT($B784,"yyyy-mm"),"日期非法"))</f>
        <v/>
      </c>
      <c r="Q784" s="10" t="str">
        <f aca="false">IF($B784="","",IF(ISNUMBER($B784),YEAR($B784),"日期非法"))</f>
        <v/>
      </c>
    </row>
    <row r="785" customFormat="false" ht="15.75" hidden="false" customHeight="true" outlineLevel="0" collapsed="false">
      <c r="A785" s="10" t="str">
        <f aca="false">IF($B785="","",ROW()-4)</f>
        <v/>
      </c>
      <c r="B785" s="11"/>
      <c r="C785" s="12"/>
      <c r="D785" s="12"/>
      <c r="E785" s="12"/>
      <c r="F785" s="12"/>
      <c r="G785" s="12"/>
      <c r="H785" s="13"/>
      <c r="I785" s="4"/>
      <c r="J785" s="4"/>
      <c r="K785" s="14" t="str">
        <f aca="false">IF($B785="","",IF($C785="泓普",$C$2,IF($C785="仟茂",$E$2,IF($C785="现金",$G$2,0)))+SUMIFS($I$5:$I785,$C$5:$C785,$C785)-SUMIFS($J$5:$J785,$C$5:$C785,$C785))</f>
        <v/>
      </c>
      <c r="L785" s="14" t="str">
        <f aca="false">IF($B785="","",$C$2+$E$2+$G$2+SUM($I$5:$I785)-SUM($J$5:$J785))</f>
        <v/>
      </c>
      <c r="M785" s="12"/>
      <c r="N785" s="15" t="str">
        <f aca="false">IF($B785="","",IF(NOT(ISNUMBER($B785)),"日期格式不对",IF($C785="","未选资金账户",IF(AND(N($I785)=0,N($J785)=0),"收支都为空",IF(AND(N($I785)&gt;0,N($J785)&gt;0),"收支不能同时填",IF(AND($D785&lt;&gt;"",LEFT($O785,1)="⚠"),"项目编号不存在",IF(AND($M785="是",$F785=""),"工程回款必须填往来单位","√")))))))</f>
        <v/>
      </c>
      <c r="O785" s="16" t="str">
        <f aca="false">IF($D785="","",IFERROR(INDEX(对照清单!$B$5:$B$60,MATCH($D785,对照清单!$A$5:$A$60,0)),"⚠编号不存在"))</f>
        <v/>
      </c>
      <c r="P785" s="10" t="str">
        <f aca="false">IF($B785="","",IF(ISNUMBER($B785),TEXT($B785,"yyyy-mm"),"日期非法"))</f>
        <v/>
      </c>
      <c r="Q785" s="10" t="str">
        <f aca="false">IF($B785="","",IF(ISNUMBER($B785),YEAR($B785),"日期非法"))</f>
        <v/>
      </c>
    </row>
    <row r="786" customFormat="false" ht="15.75" hidden="false" customHeight="true" outlineLevel="0" collapsed="false">
      <c r="A786" s="10" t="str">
        <f aca="false">IF($B786="","",ROW()-4)</f>
        <v/>
      </c>
      <c r="B786" s="11"/>
      <c r="C786" s="12"/>
      <c r="D786" s="12"/>
      <c r="E786" s="12"/>
      <c r="F786" s="12"/>
      <c r="G786" s="12"/>
      <c r="H786" s="13"/>
      <c r="I786" s="4"/>
      <c r="J786" s="4"/>
      <c r="K786" s="14" t="str">
        <f aca="false">IF($B786="","",IF($C786="泓普",$C$2,IF($C786="仟茂",$E$2,IF($C786="现金",$G$2,0)))+SUMIFS($I$5:$I786,$C$5:$C786,$C786)-SUMIFS($J$5:$J786,$C$5:$C786,$C786))</f>
        <v/>
      </c>
      <c r="L786" s="14" t="str">
        <f aca="false">IF($B786="","",$C$2+$E$2+$G$2+SUM($I$5:$I786)-SUM($J$5:$J786))</f>
        <v/>
      </c>
      <c r="M786" s="12"/>
      <c r="N786" s="15" t="str">
        <f aca="false">IF($B786="","",IF(NOT(ISNUMBER($B786)),"日期格式不对",IF($C786="","未选资金账户",IF(AND(N($I786)=0,N($J786)=0),"收支都为空",IF(AND(N($I786)&gt;0,N($J786)&gt;0),"收支不能同时填",IF(AND($D786&lt;&gt;"",LEFT($O786,1)="⚠"),"项目编号不存在",IF(AND($M786="是",$F786=""),"工程回款必须填往来单位","√")))))))</f>
        <v/>
      </c>
      <c r="O786" s="16" t="str">
        <f aca="false">IF($D786="","",IFERROR(INDEX(对照清单!$B$5:$B$60,MATCH($D786,对照清单!$A$5:$A$60,0)),"⚠编号不存在"))</f>
        <v/>
      </c>
      <c r="P786" s="10" t="str">
        <f aca="false">IF($B786="","",IF(ISNUMBER($B786),TEXT($B786,"yyyy-mm"),"日期非法"))</f>
        <v/>
      </c>
      <c r="Q786" s="10" t="str">
        <f aca="false">IF($B786="","",IF(ISNUMBER($B786),YEAR($B786),"日期非法"))</f>
        <v/>
      </c>
    </row>
    <row r="787" customFormat="false" ht="15.75" hidden="false" customHeight="true" outlineLevel="0" collapsed="false">
      <c r="A787" s="10" t="str">
        <f aca="false">IF($B787="","",ROW()-4)</f>
        <v/>
      </c>
      <c r="B787" s="11"/>
      <c r="C787" s="12"/>
      <c r="D787" s="12"/>
      <c r="E787" s="12"/>
      <c r="F787" s="12"/>
      <c r="G787" s="12"/>
      <c r="H787" s="13"/>
      <c r="I787" s="4"/>
      <c r="J787" s="4"/>
      <c r="K787" s="14" t="str">
        <f aca="false">IF($B787="","",IF($C787="泓普",$C$2,IF($C787="仟茂",$E$2,IF($C787="现金",$G$2,0)))+SUMIFS($I$5:$I787,$C$5:$C787,$C787)-SUMIFS($J$5:$J787,$C$5:$C787,$C787))</f>
        <v/>
      </c>
      <c r="L787" s="14" t="str">
        <f aca="false">IF($B787="","",$C$2+$E$2+$G$2+SUM($I$5:$I787)-SUM($J$5:$J787))</f>
        <v/>
      </c>
      <c r="M787" s="12"/>
      <c r="N787" s="15" t="str">
        <f aca="false">IF($B787="","",IF(NOT(ISNUMBER($B787)),"日期格式不对",IF($C787="","未选资金账户",IF(AND(N($I787)=0,N($J787)=0),"收支都为空",IF(AND(N($I787)&gt;0,N($J787)&gt;0),"收支不能同时填",IF(AND($D787&lt;&gt;"",LEFT($O787,1)="⚠"),"项目编号不存在",IF(AND($M787="是",$F787=""),"工程回款必须填往来单位","√")))))))</f>
        <v/>
      </c>
      <c r="O787" s="16" t="str">
        <f aca="false">IF($D787="","",IFERROR(INDEX(对照清单!$B$5:$B$60,MATCH($D787,对照清单!$A$5:$A$60,0)),"⚠编号不存在"))</f>
        <v/>
      </c>
      <c r="P787" s="10" t="str">
        <f aca="false">IF($B787="","",IF(ISNUMBER($B787),TEXT($B787,"yyyy-mm"),"日期非法"))</f>
        <v/>
      </c>
      <c r="Q787" s="10" t="str">
        <f aca="false">IF($B787="","",IF(ISNUMBER($B787),YEAR($B787),"日期非法"))</f>
        <v/>
      </c>
    </row>
    <row r="788" customFormat="false" ht="15.75" hidden="false" customHeight="true" outlineLevel="0" collapsed="false">
      <c r="A788" s="10" t="str">
        <f aca="false">IF($B788="","",ROW()-4)</f>
        <v/>
      </c>
      <c r="B788" s="11"/>
      <c r="C788" s="12"/>
      <c r="D788" s="12"/>
      <c r="E788" s="12"/>
      <c r="F788" s="12"/>
      <c r="G788" s="12"/>
      <c r="H788" s="13"/>
      <c r="I788" s="4"/>
      <c r="J788" s="4"/>
      <c r="K788" s="14" t="str">
        <f aca="false">IF($B788="","",IF($C788="泓普",$C$2,IF($C788="仟茂",$E$2,IF($C788="现金",$G$2,0)))+SUMIFS($I$5:$I788,$C$5:$C788,$C788)-SUMIFS($J$5:$J788,$C$5:$C788,$C788))</f>
        <v/>
      </c>
      <c r="L788" s="14" t="str">
        <f aca="false">IF($B788="","",$C$2+$E$2+$G$2+SUM($I$5:$I788)-SUM($J$5:$J788))</f>
        <v/>
      </c>
      <c r="M788" s="12"/>
      <c r="N788" s="15" t="str">
        <f aca="false">IF($B788="","",IF(NOT(ISNUMBER($B788)),"日期格式不对",IF($C788="","未选资金账户",IF(AND(N($I788)=0,N($J788)=0),"收支都为空",IF(AND(N($I788)&gt;0,N($J788)&gt;0),"收支不能同时填",IF(AND($D788&lt;&gt;"",LEFT($O788,1)="⚠"),"项目编号不存在",IF(AND($M788="是",$F788=""),"工程回款必须填往来单位","√")))))))</f>
        <v/>
      </c>
      <c r="O788" s="16" t="str">
        <f aca="false">IF($D788="","",IFERROR(INDEX(对照清单!$B$5:$B$60,MATCH($D788,对照清单!$A$5:$A$60,0)),"⚠编号不存在"))</f>
        <v/>
      </c>
      <c r="P788" s="10" t="str">
        <f aca="false">IF($B788="","",IF(ISNUMBER($B788),TEXT($B788,"yyyy-mm"),"日期非法"))</f>
        <v/>
      </c>
      <c r="Q788" s="10" t="str">
        <f aca="false">IF($B788="","",IF(ISNUMBER($B788),YEAR($B788),"日期非法"))</f>
        <v/>
      </c>
    </row>
    <row r="789" customFormat="false" ht="15.75" hidden="false" customHeight="true" outlineLevel="0" collapsed="false">
      <c r="A789" s="10" t="str">
        <f aca="false">IF($B789="","",ROW()-4)</f>
        <v/>
      </c>
      <c r="B789" s="11"/>
      <c r="C789" s="12"/>
      <c r="D789" s="12"/>
      <c r="E789" s="12"/>
      <c r="F789" s="12"/>
      <c r="G789" s="12"/>
      <c r="H789" s="13"/>
      <c r="I789" s="4"/>
      <c r="J789" s="4"/>
      <c r="K789" s="14" t="str">
        <f aca="false">IF($B789="","",IF($C789="泓普",$C$2,IF($C789="仟茂",$E$2,IF($C789="现金",$G$2,0)))+SUMIFS($I$5:$I789,$C$5:$C789,$C789)-SUMIFS($J$5:$J789,$C$5:$C789,$C789))</f>
        <v/>
      </c>
      <c r="L789" s="14" t="str">
        <f aca="false">IF($B789="","",$C$2+$E$2+$G$2+SUM($I$5:$I789)-SUM($J$5:$J789))</f>
        <v/>
      </c>
      <c r="M789" s="12"/>
      <c r="N789" s="15" t="str">
        <f aca="false">IF($B789="","",IF(NOT(ISNUMBER($B789)),"日期格式不对",IF($C789="","未选资金账户",IF(AND(N($I789)=0,N($J789)=0),"收支都为空",IF(AND(N($I789)&gt;0,N($J789)&gt;0),"收支不能同时填",IF(AND($D789&lt;&gt;"",LEFT($O789,1)="⚠"),"项目编号不存在",IF(AND($M789="是",$F789=""),"工程回款必须填往来单位","√")))))))</f>
        <v/>
      </c>
      <c r="O789" s="16" t="str">
        <f aca="false">IF($D789="","",IFERROR(INDEX(对照清单!$B$5:$B$60,MATCH($D789,对照清单!$A$5:$A$60,0)),"⚠编号不存在"))</f>
        <v/>
      </c>
      <c r="P789" s="10" t="str">
        <f aca="false">IF($B789="","",IF(ISNUMBER($B789),TEXT($B789,"yyyy-mm"),"日期非法"))</f>
        <v/>
      </c>
      <c r="Q789" s="10" t="str">
        <f aca="false">IF($B789="","",IF(ISNUMBER($B789),YEAR($B789),"日期非法"))</f>
        <v/>
      </c>
    </row>
    <row r="790" customFormat="false" ht="15.75" hidden="false" customHeight="true" outlineLevel="0" collapsed="false">
      <c r="A790" s="10" t="str">
        <f aca="false">IF($B790="","",ROW()-4)</f>
        <v/>
      </c>
      <c r="B790" s="11"/>
      <c r="C790" s="12"/>
      <c r="D790" s="12"/>
      <c r="E790" s="12"/>
      <c r="F790" s="12"/>
      <c r="G790" s="12"/>
      <c r="H790" s="13"/>
      <c r="I790" s="4"/>
      <c r="J790" s="4"/>
      <c r="K790" s="14" t="str">
        <f aca="false">IF($B790="","",IF($C790="泓普",$C$2,IF($C790="仟茂",$E$2,IF($C790="现金",$G$2,0)))+SUMIFS($I$5:$I790,$C$5:$C790,$C790)-SUMIFS($J$5:$J790,$C$5:$C790,$C790))</f>
        <v/>
      </c>
      <c r="L790" s="14" t="str">
        <f aca="false">IF($B790="","",$C$2+$E$2+$G$2+SUM($I$5:$I790)-SUM($J$5:$J790))</f>
        <v/>
      </c>
      <c r="M790" s="12"/>
      <c r="N790" s="15" t="str">
        <f aca="false">IF($B790="","",IF(NOT(ISNUMBER($B790)),"日期格式不对",IF($C790="","未选资金账户",IF(AND(N($I790)=0,N($J790)=0),"收支都为空",IF(AND(N($I790)&gt;0,N($J790)&gt;0),"收支不能同时填",IF(AND($D790&lt;&gt;"",LEFT($O790,1)="⚠"),"项目编号不存在",IF(AND($M790="是",$F790=""),"工程回款必须填往来单位","√")))))))</f>
        <v/>
      </c>
      <c r="O790" s="16" t="str">
        <f aca="false">IF($D790="","",IFERROR(INDEX(对照清单!$B$5:$B$60,MATCH($D790,对照清单!$A$5:$A$60,0)),"⚠编号不存在"))</f>
        <v/>
      </c>
      <c r="P790" s="10" t="str">
        <f aca="false">IF($B790="","",IF(ISNUMBER($B790),TEXT($B790,"yyyy-mm"),"日期非法"))</f>
        <v/>
      </c>
      <c r="Q790" s="10" t="str">
        <f aca="false">IF($B790="","",IF(ISNUMBER($B790),YEAR($B790),"日期非法"))</f>
        <v/>
      </c>
    </row>
    <row r="791" customFormat="false" ht="15.75" hidden="false" customHeight="true" outlineLevel="0" collapsed="false">
      <c r="A791" s="10" t="str">
        <f aca="false">IF($B791="","",ROW()-4)</f>
        <v/>
      </c>
      <c r="B791" s="11"/>
      <c r="C791" s="12"/>
      <c r="D791" s="12"/>
      <c r="E791" s="12"/>
      <c r="F791" s="12"/>
      <c r="G791" s="12"/>
      <c r="H791" s="13"/>
      <c r="I791" s="4"/>
      <c r="J791" s="4"/>
      <c r="K791" s="14" t="str">
        <f aca="false">IF($B791="","",IF($C791="泓普",$C$2,IF($C791="仟茂",$E$2,IF($C791="现金",$G$2,0)))+SUMIFS($I$5:$I791,$C$5:$C791,$C791)-SUMIFS($J$5:$J791,$C$5:$C791,$C791))</f>
        <v/>
      </c>
      <c r="L791" s="14" t="str">
        <f aca="false">IF($B791="","",$C$2+$E$2+$G$2+SUM($I$5:$I791)-SUM($J$5:$J791))</f>
        <v/>
      </c>
      <c r="M791" s="12"/>
      <c r="N791" s="15" t="str">
        <f aca="false">IF($B791="","",IF(NOT(ISNUMBER($B791)),"日期格式不对",IF($C791="","未选资金账户",IF(AND(N($I791)=0,N($J791)=0),"收支都为空",IF(AND(N($I791)&gt;0,N($J791)&gt;0),"收支不能同时填",IF(AND($D791&lt;&gt;"",LEFT($O791,1)="⚠"),"项目编号不存在",IF(AND($M791="是",$F791=""),"工程回款必须填往来单位","√")))))))</f>
        <v/>
      </c>
      <c r="O791" s="16" t="str">
        <f aca="false">IF($D791="","",IFERROR(INDEX(对照清单!$B$5:$B$60,MATCH($D791,对照清单!$A$5:$A$60,0)),"⚠编号不存在"))</f>
        <v/>
      </c>
      <c r="P791" s="10" t="str">
        <f aca="false">IF($B791="","",IF(ISNUMBER($B791),TEXT($B791,"yyyy-mm"),"日期非法"))</f>
        <v/>
      </c>
      <c r="Q791" s="10" t="str">
        <f aca="false">IF($B791="","",IF(ISNUMBER($B791),YEAR($B791),"日期非法"))</f>
        <v/>
      </c>
    </row>
    <row r="792" customFormat="false" ht="15.75" hidden="false" customHeight="true" outlineLevel="0" collapsed="false">
      <c r="A792" s="10" t="str">
        <f aca="false">IF($B792="","",ROW()-4)</f>
        <v/>
      </c>
      <c r="B792" s="11"/>
      <c r="C792" s="12"/>
      <c r="D792" s="12"/>
      <c r="E792" s="12"/>
      <c r="F792" s="12"/>
      <c r="G792" s="12"/>
      <c r="H792" s="13"/>
      <c r="I792" s="4"/>
      <c r="J792" s="4"/>
      <c r="K792" s="14" t="str">
        <f aca="false">IF($B792="","",IF($C792="泓普",$C$2,IF($C792="仟茂",$E$2,IF($C792="现金",$G$2,0)))+SUMIFS($I$5:$I792,$C$5:$C792,$C792)-SUMIFS($J$5:$J792,$C$5:$C792,$C792))</f>
        <v/>
      </c>
      <c r="L792" s="14" t="str">
        <f aca="false">IF($B792="","",$C$2+$E$2+$G$2+SUM($I$5:$I792)-SUM($J$5:$J792))</f>
        <v/>
      </c>
      <c r="M792" s="12"/>
      <c r="N792" s="15" t="str">
        <f aca="false">IF($B792="","",IF(NOT(ISNUMBER($B792)),"日期格式不对",IF($C792="","未选资金账户",IF(AND(N($I792)=0,N($J792)=0),"收支都为空",IF(AND(N($I792)&gt;0,N($J792)&gt;0),"收支不能同时填",IF(AND($D792&lt;&gt;"",LEFT($O792,1)="⚠"),"项目编号不存在",IF(AND($M792="是",$F792=""),"工程回款必须填往来单位","√")))))))</f>
        <v/>
      </c>
      <c r="O792" s="16" t="str">
        <f aca="false">IF($D792="","",IFERROR(INDEX(对照清单!$B$5:$B$60,MATCH($D792,对照清单!$A$5:$A$60,0)),"⚠编号不存在"))</f>
        <v/>
      </c>
      <c r="P792" s="10" t="str">
        <f aca="false">IF($B792="","",IF(ISNUMBER($B792),TEXT($B792,"yyyy-mm"),"日期非法"))</f>
        <v/>
      </c>
      <c r="Q792" s="10" t="str">
        <f aca="false">IF($B792="","",IF(ISNUMBER($B792),YEAR($B792),"日期非法"))</f>
        <v/>
      </c>
    </row>
    <row r="793" customFormat="false" ht="15.75" hidden="false" customHeight="true" outlineLevel="0" collapsed="false">
      <c r="A793" s="10" t="str">
        <f aca="false">IF($B793="","",ROW()-4)</f>
        <v/>
      </c>
      <c r="B793" s="11"/>
      <c r="C793" s="12"/>
      <c r="D793" s="12"/>
      <c r="E793" s="12"/>
      <c r="F793" s="12"/>
      <c r="G793" s="12"/>
      <c r="H793" s="13"/>
      <c r="I793" s="4"/>
      <c r="J793" s="4"/>
      <c r="K793" s="14" t="str">
        <f aca="false">IF($B793="","",IF($C793="泓普",$C$2,IF($C793="仟茂",$E$2,IF($C793="现金",$G$2,0)))+SUMIFS($I$5:$I793,$C$5:$C793,$C793)-SUMIFS($J$5:$J793,$C$5:$C793,$C793))</f>
        <v/>
      </c>
      <c r="L793" s="14" t="str">
        <f aca="false">IF($B793="","",$C$2+$E$2+$G$2+SUM($I$5:$I793)-SUM($J$5:$J793))</f>
        <v/>
      </c>
      <c r="M793" s="12"/>
      <c r="N793" s="15" t="str">
        <f aca="false">IF($B793="","",IF(NOT(ISNUMBER($B793)),"日期格式不对",IF($C793="","未选资金账户",IF(AND(N($I793)=0,N($J793)=0),"收支都为空",IF(AND(N($I793)&gt;0,N($J793)&gt;0),"收支不能同时填",IF(AND($D793&lt;&gt;"",LEFT($O793,1)="⚠"),"项目编号不存在",IF(AND($M793="是",$F793=""),"工程回款必须填往来单位","√")))))))</f>
        <v/>
      </c>
      <c r="O793" s="16" t="str">
        <f aca="false">IF($D793="","",IFERROR(INDEX(对照清单!$B$5:$B$60,MATCH($D793,对照清单!$A$5:$A$60,0)),"⚠编号不存在"))</f>
        <v/>
      </c>
      <c r="P793" s="10" t="str">
        <f aca="false">IF($B793="","",IF(ISNUMBER($B793),TEXT($B793,"yyyy-mm"),"日期非法"))</f>
        <v/>
      </c>
      <c r="Q793" s="10" t="str">
        <f aca="false">IF($B793="","",IF(ISNUMBER($B793),YEAR($B793),"日期非法"))</f>
        <v/>
      </c>
    </row>
    <row r="794" customFormat="false" ht="15.75" hidden="false" customHeight="true" outlineLevel="0" collapsed="false">
      <c r="A794" s="10" t="str">
        <f aca="false">IF($B794="","",ROW()-4)</f>
        <v/>
      </c>
      <c r="B794" s="11"/>
      <c r="C794" s="12"/>
      <c r="D794" s="12"/>
      <c r="E794" s="12"/>
      <c r="F794" s="12"/>
      <c r="G794" s="12"/>
      <c r="H794" s="13"/>
      <c r="I794" s="4"/>
      <c r="J794" s="4"/>
      <c r="K794" s="14" t="str">
        <f aca="false">IF($B794="","",IF($C794="泓普",$C$2,IF($C794="仟茂",$E$2,IF($C794="现金",$G$2,0)))+SUMIFS($I$5:$I794,$C$5:$C794,$C794)-SUMIFS($J$5:$J794,$C$5:$C794,$C794))</f>
        <v/>
      </c>
      <c r="L794" s="14" t="str">
        <f aca="false">IF($B794="","",$C$2+$E$2+$G$2+SUM($I$5:$I794)-SUM($J$5:$J794))</f>
        <v/>
      </c>
      <c r="M794" s="12"/>
      <c r="N794" s="15" t="str">
        <f aca="false">IF($B794="","",IF(NOT(ISNUMBER($B794)),"日期格式不对",IF($C794="","未选资金账户",IF(AND(N($I794)=0,N($J794)=0),"收支都为空",IF(AND(N($I794)&gt;0,N($J794)&gt;0),"收支不能同时填",IF(AND($D794&lt;&gt;"",LEFT($O794,1)="⚠"),"项目编号不存在",IF(AND($M794="是",$F794=""),"工程回款必须填往来单位","√")))))))</f>
        <v/>
      </c>
      <c r="O794" s="16" t="str">
        <f aca="false">IF($D794="","",IFERROR(INDEX(对照清单!$B$5:$B$60,MATCH($D794,对照清单!$A$5:$A$60,0)),"⚠编号不存在"))</f>
        <v/>
      </c>
      <c r="P794" s="10" t="str">
        <f aca="false">IF($B794="","",IF(ISNUMBER($B794),TEXT($B794,"yyyy-mm"),"日期非法"))</f>
        <v/>
      </c>
      <c r="Q794" s="10" t="str">
        <f aca="false">IF($B794="","",IF(ISNUMBER($B794),YEAR($B794),"日期非法"))</f>
        <v/>
      </c>
    </row>
    <row r="795" customFormat="false" ht="15.75" hidden="false" customHeight="true" outlineLevel="0" collapsed="false">
      <c r="A795" s="10" t="str">
        <f aca="false">IF($B795="","",ROW()-4)</f>
        <v/>
      </c>
      <c r="B795" s="11"/>
      <c r="C795" s="12"/>
      <c r="D795" s="12"/>
      <c r="E795" s="12"/>
      <c r="F795" s="12"/>
      <c r="G795" s="12"/>
      <c r="H795" s="13"/>
      <c r="I795" s="4"/>
      <c r="J795" s="4"/>
      <c r="K795" s="14" t="str">
        <f aca="false">IF($B795="","",IF($C795="泓普",$C$2,IF($C795="仟茂",$E$2,IF($C795="现金",$G$2,0)))+SUMIFS($I$5:$I795,$C$5:$C795,$C795)-SUMIFS($J$5:$J795,$C$5:$C795,$C795))</f>
        <v/>
      </c>
      <c r="L795" s="14" t="str">
        <f aca="false">IF($B795="","",$C$2+$E$2+$G$2+SUM($I$5:$I795)-SUM($J$5:$J795))</f>
        <v/>
      </c>
      <c r="M795" s="12"/>
      <c r="N795" s="15" t="str">
        <f aca="false">IF($B795="","",IF(NOT(ISNUMBER($B795)),"日期格式不对",IF($C795="","未选资金账户",IF(AND(N($I795)=0,N($J795)=0),"收支都为空",IF(AND(N($I795)&gt;0,N($J795)&gt;0),"收支不能同时填",IF(AND($D795&lt;&gt;"",LEFT($O795,1)="⚠"),"项目编号不存在",IF(AND($M795="是",$F795=""),"工程回款必须填往来单位","√")))))))</f>
        <v/>
      </c>
      <c r="O795" s="16" t="str">
        <f aca="false">IF($D795="","",IFERROR(INDEX(对照清单!$B$5:$B$60,MATCH($D795,对照清单!$A$5:$A$60,0)),"⚠编号不存在"))</f>
        <v/>
      </c>
      <c r="P795" s="10" t="str">
        <f aca="false">IF($B795="","",IF(ISNUMBER($B795),TEXT($B795,"yyyy-mm"),"日期非法"))</f>
        <v/>
      </c>
      <c r="Q795" s="10" t="str">
        <f aca="false">IF($B795="","",IF(ISNUMBER($B795),YEAR($B795),"日期非法"))</f>
        <v/>
      </c>
    </row>
    <row r="796" customFormat="false" ht="15.75" hidden="false" customHeight="true" outlineLevel="0" collapsed="false">
      <c r="A796" s="10" t="str">
        <f aca="false">IF($B796="","",ROW()-4)</f>
        <v/>
      </c>
      <c r="B796" s="11"/>
      <c r="C796" s="12"/>
      <c r="D796" s="12"/>
      <c r="E796" s="12"/>
      <c r="F796" s="12"/>
      <c r="G796" s="12"/>
      <c r="H796" s="13"/>
      <c r="I796" s="4"/>
      <c r="J796" s="4"/>
      <c r="K796" s="14" t="str">
        <f aca="false">IF($B796="","",IF($C796="泓普",$C$2,IF($C796="仟茂",$E$2,IF($C796="现金",$G$2,0)))+SUMIFS($I$5:$I796,$C$5:$C796,$C796)-SUMIFS($J$5:$J796,$C$5:$C796,$C796))</f>
        <v/>
      </c>
      <c r="L796" s="14" t="str">
        <f aca="false">IF($B796="","",$C$2+$E$2+$G$2+SUM($I$5:$I796)-SUM($J$5:$J796))</f>
        <v/>
      </c>
      <c r="M796" s="12"/>
      <c r="N796" s="15" t="str">
        <f aca="false">IF($B796="","",IF(NOT(ISNUMBER($B796)),"日期格式不对",IF($C796="","未选资金账户",IF(AND(N($I796)=0,N($J796)=0),"收支都为空",IF(AND(N($I796)&gt;0,N($J796)&gt;0),"收支不能同时填",IF(AND($D796&lt;&gt;"",LEFT($O796,1)="⚠"),"项目编号不存在",IF(AND($M796="是",$F796=""),"工程回款必须填往来单位","√")))))))</f>
        <v/>
      </c>
      <c r="O796" s="16" t="str">
        <f aca="false">IF($D796="","",IFERROR(INDEX(对照清单!$B$5:$B$60,MATCH($D796,对照清单!$A$5:$A$60,0)),"⚠编号不存在"))</f>
        <v/>
      </c>
      <c r="P796" s="10" t="str">
        <f aca="false">IF($B796="","",IF(ISNUMBER($B796),TEXT($B796,"yyyy-mm"),"日期非法"))</f>
        <v/>
      </c>
      <c r="Q796" s="10" t="str">
        <f aca="false">IF($B796="","",IF(ISNUMBER($B796),YEAR($B796),"日期非法"))</f>
        <v/>
      </c>
    </row>
    <row r="797" customFormat="false" ht="15.75" hidden="false" customHeight="true" outlineLevel="0" collapsed="false">
      <c r="A797" s="10" t="str">
        <f aca="false">IF($B797="","",ROW()-4)</f>
        <v/>
      </c>
      <c r="B797" s="11"/>
      <c r="C797" s="12"/>
      <c r="D797" s="12"/>
      <c r="E797" s="12"/>
      <c r="F797" s="12"/>
      <c r="G797" s="12"/>
      <c r="H797" s="13"/>
      <c r="I797" s="4"/>
      <c r="J797" s="4"/>
      <c r="K797" s="14" t="str">
        <f aca="false">IF($B797="","",IF($C797="泓普",$C$2,IF($C797="仟茂",$E$2,IF($C797="现金",$G$2,0)))+SUMIFS($I$5:$I797,$C$5:$C797,$C797)-SUMIFS($J$5:$J797,$C$5:$C797,$C797))</f>
        <v/>
      </c>
      <c r="L797" s="14" t="str">
        <f aca="false">IF($B797="","",$C$2+$E$2+$G$2+SUM($I$5:$I797)-SUM($J$5:$J797))</f>
        <v/>
      </c>
      <c r="M797" s="12"/>
      <c r="N797" s="15" t="str">
        <f aca="false">IF($B797="","",IF(NOT(ISNUMBER($B797)),"日期格式不对",IF($C797="","未选资金账户",IF(AND(N($I797)=0,N($J797)=0),"收支都为空",IF(AND(N($I797)&gt;0,N($J797)&gt;0),"收支不能同时填",IF(AND($D797&lt;&gt;"",LEFT($O797,1)="⚠"),"项目编号不存在",IF(AND($M797="是",$F797=""),"工程回款必须填往来单位","√")))))))</f>
        <v/>
      </c>
      <c r="O797" s="16" t="str">
        <f aca="false">IF($D797="","",IFERROR(INDEX(对照清单!$B$5:$B$60,MATCH($D797,对照清单!$A$5:$A$60,0)),"⚠编号不存在"))</f>
        <v/>
      </c>
      <c r="P797" s="10" t="str">
        <f aca="false">IF($B797="","",IF(ISNUMBER($B797),TEXT($B797,"yyyy-mm"),"日期非法"))</f>
        <v/>
      </c>
      <c r="Q797" s="10" t="str">
        <f aca="false">IF($B797="","",IF(ISNUMBER($B797),YEAR($B797),"日期非法"))</f>
        <v/>
      </c>
    </row>
    <row r="798" customFormat="false" ht="15.75" hidden="false" customHeight="true" outlineLevel="0" collapsed="false">
      <c r="A798" s="10" t="str">
        <f aca="false">IF($B798="","",ROW()-4)</f>
        <v/>
      </c>
      <c r="B798" s="11"/>
      <c r="C798" s="12"/>
      <c r="D798" s="12"/>
      <c r="E798" s="12"/>
      <c r="F798" s="12"/>
      <c r="G798" s="12"/>
      <c r="H798" s="13"/>
      <c r="I798" s="4"/>
      <c r="J798" s="4"/>
      <c r="K798" s="14" t="str">
        <f aca="false">IF($B798="","",IF($C798="泓普",$C$2,IF($C798="仟茂",$E$2,IF($C798="现金",$G$2,0)))+SUMIFS($I$5:$I798,$C$5:$C798,$C798)-SUMIFS($J$5:$J798,$C$5:$C798,$C798))</f>
        <v/>
      </c>
      <c r="L798" s="14" t="str">
        <f aca="false">IF($B798="","",$C$2+$E$2+$G$2+SUM($I$5:$I798)-SUM($J$5:$J798))</f>
        <v/>
      </c>
      <c r="M798" s="12"/>
      <c r="N798" s="15" t="str">
        <f aca="false">IF($B798="","",IF(NOT(ISNUMBER($B798)),"日期格式不对",IF($C798="","未选资金账户",IF(AND(N($I798)=0,N($J798)=0),"收支都为空",IF(AND(N($I798)&gt;0,N($J798)&gt;0),"收支不能同时填",IF(AND($D798&lt;&gt;"",LEFT($O798,1)="⚠"),"项目编号不存在",IF(AND($M798="是",$F798=""),"工程回款必须填往来单位","√")))))))</f>
        <v/>
      </c>
      <c r="O798" s="16" t="str">
        <f aca="false">IF($D798="","",IFERROR(INDEX(对照清单!$B$5:$B$60,MATCH($D798,对照清单!$A$5:$A$60,0)),"⚠编号不存在"))</f>
        <v/>
      </c>
      <c r="P798" s="10" t="str">
        <f aca="false">IF($B798="","",IF(ISNUMBER($B798),TEXT($B798,"yyyy-mm"),"日期非法"))</f>
        <v/>
      </c>
      <c r="Q798" s="10" t="str">
        <f aca="false">IF($B798="","",IF(ISNUMBER($B798),YEAR($B798),"日期非法"))</f>
        <v/>
      </c>
    </row>
    <row r="799" customFormat="false" ht="15.75" hidden="false" customHeight="true" outlineLevel="0" collapsed="false">
      <c r="A799" s="10" t="str">
        <f aca="false">IF($B799="","",ROW()-4)</f>
        <v/>
      </c>
      <c r="B799" s="11"/>
      <c r="C799" s="12"/>
      <c r="D799" s="12"/>
      <c r="E799" s="12"/>
      <c r="F799" s="12"/>
      <c r="G799" s="12"/>
      <c r="H799" s="13"/>
      <c r="I799" s="4"/>
      <c r="J799" s="4"/>
      <c r="K799" s="14" t="str">
        <f aca="false">IF($B799="","",IF($C799="泓普",$C$2,IF($C799="仟茂",$E$2,IF($C799="现金",$G$2,0)))+SUMIFS($I$5:$I799,$C$5:$C799,$C799)-SUMIFS($J$5:$J799,$C$5:$C799,$C799))</f>
        <v/>
      </c>
      <c r="L799" s="14" t="str">
        <f aca="false">IF($B799="","",$C$2+$E$2+$G$2+SUM($I$5:$I799)-SUM($J$5:$J799))</f>
        <v/>
      </c>
      <c r="M799" s="12"/>
      <c r="N799" s="15" t="str">
        <f aca="false">IF($B799="","",IF(NOT(ISNUMBER($B799)),"日期格式不对",IF($C799="","未选资金账户",IF(AND(N($I799)=0,N($J799)=0),"收支都为空",IF(AND(N($I799)&gt;0,N($J799)&gt;0),"收支不能同时填",IF(AND($D799&lt;&gt;"",LEFT($O799,1)="⚠"),"项目编号不存在",IF(AND($M799="是",$F799=""),"工程回款必须填往来单位","√")))))))</f>
        <v/>
      </c>
      <c r="O799" s="16" t="str">
        <f aca="false">IF($D799="","",IFERROR(INDEX(对照清单!$B$5:$B$60,MATCH($D799,对照清单!$A$5:$A$60,0)),"⚠编号不存在"))</f>
        <v/>
      </c>
      <c r="P799" s="10" t="str">
        <f aca="false">IF($B799="","",IF(ISNUMBER($B799),TEXT($B799,"yyyy-mm"),"日期非法"))</f>
        <v/>
      </c>
      <c r="Q799" s="10" t="str">
        <f aca="false">IF($B799="","",IF(ISNUMBER($B799),YEAR($B799),"日期非法"))</f>
        <v/>
      </c>
    </row>
    <row r="800" customFormat="false" ht="15.75" hidden="false" customHeight="true" outlineLevel="0" collapsed="false">
      <c r="A800" s="10" t="str">
        <f aca="false">IF($B800="","",ROW()-4)</f>
        <v/>
      </c>
      <c r="B800" s="11"/>
      <c r="C800" s="12"/>
      <c r="D800" s="12"/>
      <c r="E800" s="12"/>
      <c r="F800" s="12"/>
      <c r="G800" s="12"/>
      <c r="H800" s="13"/>
      <c r="I800" s="4"/>
      <c r="J800" s="4"/>
      <c r="K800" s="14" t="str">
        <f aca="false">IF($B800="","",IF($C800="泓普",$C$2,IF($C800="仟茂",$E$2,IF($C800="现金",$G$2,0)))+SUMIFS($I$5:$I800,$C$5:$C800,$C800)-SUMIFS($J$5:$J800,$C$5:$C800,$C800))</f>
        <v/>
      </c>
      <c r="L800" s="14" t="str">
        <f aca="false">IF($B800="","",$C$2+$E$2+$G$2+SUM($I$5:$I800)-SUM($J$5:$J800))</f>
        <v/>
      </c>
      <c r="M800" s="12"/>
      <c r="N800" s="15" t="str">
        <f aca="false">IF($B800="","",IF(NOT(ISNUMBER($B800)),"日期格式不对",IF($C800="","未选资金账户",IF(AND(N($I800)=0,N($J800)=0),"收支都为空",IF(AND(N($I800)&gt;0,N($J800)&gt;0),"收支不能同时填",IF(AND($D800&lt;&gt;"",LEFT($O800,1)="⚠"),"项目编号不存在",IF(AND($M800="是",$F800=""),"工程回款必须填往来单位","√")))))))</f>
        <v/>
      </c>
      <c r="O800" s="16" t="str">
        <f aca="false">IF($D800="","",IFERROR(INDEX(对照清单!$B$5:$B$60,MATCH($D800,对照清单!$A$5:$A$60,0)),"⚠编号不存在"))</f>
        <v/>
      </c>
      <c r="P800" s="10" t="str">
        <f aca="false">IF($B800="","",IF(ISNUMBER($B800),TEXT($B800,"yyyy-mm"),"日期非法"))</f>
        <v/>
      </c>
      <c r="Q800" s="10" t="str">
        <f aca="false">IF($B800="","",IF(ISNUMBER($B800),YEAR($B800),"日期非法"))</f>
        <v/>
      </c>
    </row>
    <row r="801" customFormat="false" ht="15.75" hidden="false" customHeight="true" outlineLevel="0" collapsed="false">
      <c r="A801" s="10" t="str">
        <f aca="false">IF($B801="","",ROW()-4)</f>
        <v/>
      </c>
      <c r="B801" s="11"/>
      <c r="C801" s="12"/>
      <c r="D801" s="12"/>
      <c r="E801" s="12"/>
      <c r="F801" s="12"/>
      <c r="G801" s="12"/>
      <c r="H801" s="13"/>
      <c r="I801" s="4"/>
      <c r="J801" s="4"/>
      <c r="K801" s="14" t="str">
        <f aca="false">IF($B801="","",IF($C801="泓普",$C$2,IF($C801="仟茂",$E$2,IF($C801="现金",$G$2,0)))+SUMIFS($I$5:$I801,$C$5:$C801,$C801)-SUMIFS($J$5:$J801,$C$5:$C801,$C801))</f>
        <v/>
      </c>
      <c r="L801" s="14" t="str">
        <f aca="false">IF($B801="","",$C$2+$E$2+$G$2+SUM($I$5:$I801)-SUM($J$5:$J801))</f>
        <v/>
      </c>
      <c r="M801" s="12"/>
      <c r="N801" s="15" t="str">
        <f aca="false">IF($B801="","",IF(NOT(ISNUMBER($B801)),"日期格式不对",IF($C801="","未选资金账户",IF(AND(N($I801)=0,N($J801)=0),"收支都为空",IF(AND(N($I801)&gt;0,N($J801)&gt;0),"收支不能同时填",IF(AND($D801&lt;&gt;"",LEFT($O801,1)="⚠"),"项目编号不存在",IF(AND($M801="是",$F801=""),"工程回款必须填往来单位","√")))))))</f>
        <v/>
      </c>
      <c r="O801" s="16" t="str">
        <f aca="false">IF($D801="","",IFERROR(INDEX(对照清单!$B$5:$B$60,MATCH($D801,对照清单!$A$5:$A$60,0)),"⚠编号不存在"))</f>
        <v/>
      </c>
      <c r="P801" s="10" t="str">
        <f aca="false">IF($B801="","",IF(ISNUMBER($B801),TEXT($B801,"yyyy-mm"),"日期非法"))</f>
        <v/>
      </c>
      <c r="Q801" s="10" t="str">
        <f aca="false">IF($B801="","",IF(ISNUMBER($B801),YEAR($B801),"日期非法"))</f>
        <v/>
      </c>
    </row>
    <row r="802" customFormat="false" ht="15.75" hidden="false" customHeight="true" outlineLevel="0" collapsed="false">
      <c r="A802" s="10" t="str">
        <f aca="false">IF($B802="","",ROW()-4)</f>
        <v/>
      </c>
      <c r="B802" s="11"/>
      <c r="C802" s="12"/>
      <c r="D802" s="12"/>
      <c r="E802" s="12"/>
      <c r="F802" s="12"/>
      <c r="G802" s="12"/>
      <c r="H802" s="13"/>
      <c r="I802" s="4"/>
      <c r="J802" s="4"/>
      <c r="K802" s="14" t="str">
        <f aca="false">IF($B802="","",IF($C802="泓普",$C$2,IF($C802="仟茂",$E$2,IF($C802="现金",$G$2,0)))+SUMIFS($I$5:$I802,$C$5:$C802,$C802)-SUMIFS($J$5:$J802,$C$5:$C802,$C802))</f>
        <v/>
      </c>
      <c r="L802" s="14" t="str">
        <f aca="false">IF($B802="","",$C$2+$E$2+$G$2+SUM($I$5:$I802)-SUM($J$5:$J802))</f>
        <v/>
      </c>
      <c r="M802" s="12"/>
      <c r="N802" s="15" t="str">
        <f aca="false">IF($B802="","",IF(NOT(ISNUMBER($B802)),"日期格式不对",IF($C802="","未选资金账户",IF(AND(N($I802)=0,N($J802)=0),"收支都为空",IF(AND(N($I802)&gt;0,N($J802)&gt;0),"收支不能同时填",IF(AND($D802&lt;&gt;"",LEFT($O802,1)="⚠"),"项目编号不存在",IF(AND($M802="是",$F802=""),"工程回款必须填往来单位","√")))))))</f>
        <v/>
      </c>
      <c r="O802" s="16" t="str">
        <f aca="false">IF($D802="","",IFERROR(INDEX(对照清单!$B$5:$B$60,MATCH($D802,对照清单!$A$5:$A$60,0)),"⚠编号不存在"))</f>
        <v/>
      </c>
      <c r="P802" s="10" t="str">
        <f aca="false">IF($B802="","",IF(ISNUMBER($B802),TEXT($B802,"yyyy-mm"),"日期非法"))</f>
        <v/>
      </c>
      <c r="Q802" s="10" t="str">
        <f aca="false">IF($B802="","",IF(ISNUMBER($B802),YEAR($B802),"日期非法"))</f>
        <v/>
      </c>
    </row>
    <row r="803" customFormat="false" ht="15.75" hidden="false" customHeight="true" outlineLevel="0" collapsed="false">
      <c r="A803" s="10" t="str">
        <f aca="false">IF($B803="","",ROW()-4)</f>
        <v/>
      </c>
      <c r="B803" s="11"/>
      <c r="C803" s="12"/>
      <c r="D803" s="12"/>
      <c r="E803" s="12"/>
      <c r="F803" s="12"/>
      <c r="G803" s="12"/>
      <c r="H803" s="13"/>
      <c r="I803" s="4"/>
      <c r="J803" s="4"/>
      <c r="K803" s="14" t="str">
        <f aca="false">IF($B803="","",IF($C803="泓普",$C$2,IF($C803="仟茂",$E$2,IF($C803="现金",$G$2,0)))+SUMIFS($I$5:$I803,$C$5:$C803,$C803)-SUMIFS($J$5:$J803,$C$5:$C803,$C803))</f>
        <v/>
      </c>
      <c r="L803" s="14" t="str">
        <f aca="false">IF($B803="","",$C$2+$E$2+$G$2+SUM($I$5:$I803)-SUM($J$5:$J803))</f>
        <v/>
      </c>
      <c r="M803" s="12"/>
      <c r="N803" s="15" t="str">
        <f aca="false">IF($B803="","",IF(NOT(ISNUMBER($B803)),"日期格式不对",IF($C803="","未选资金账户",IF(AND(N($I803)=0,N($J803)=0),"收支都为空",IF(AND(N($I803)&gt;0,N($J803)&gt;0),"收支不能同时填",IF(AND($D803&lt;&gt;"",LEFT($O803,1)="⚠"),"项目编号不存在",IF(AND($M803="是",$F803=""),"工程回款必须填往来单位","√")))))))</f>
        <v/>
      </c>
      <c r="O803" s="16" t="str">
        <f aca="false">IF($D803="","",IFERROR(INDEX(对照清单!$B$5:$B$60,MATCH($D803,对照清单!$A$5:$A$60,0)),"⚠编号不存在"))</f>
        <v/>
      </c>
      <c r="P803" s="10" t="str">
        <f aca="false">IF($B803="","",IF(ISNUMBER($B803),TEXT($B803,"yyyy-mm"),"日期非法"))</f>
        <v/>
      </c>
      <c r="Q803" s="10" t="str">
        <f aca="false">IF($B803="","",IF(ISNUMBER($B803),YEAR($B803),"日期非法"))</f>
        <v/>
      </c>
    </row>
    <row r="804" customFormat="false" ht="15.75" hidden="false" customHeight="true" outlineLevel="0" collapsed="false">
      <c r="A804" s="10" t="str">
        <f aca="false">IF($B804="","",ROW()-4)</f>
        <v/>
      </c>
      <c r="B804" s="11"/>
      <c r="C804" s="12"/>
      <c r="D804" s="12"/>
      <c r="E804" s="12"/>
      <c r="F804" s="12"/>
      <c r="G804" s="12"/>
      <c r="H804" s="13"/>
      <c r="I804" s="4"/>
      <c r="J804" s="4"/>
      <c r="K804" s="14" t="str">
        <f aca="false">IF($B804="","",IF($C804="泓普",$C$2,IF($C804="仟茂",$E$2,IF($C804="现金",$G$2,0)))+SUMIFS($I$5:$I804,$C$5:$C804,$C804)-SUMIFS($J$5:$J804,$C$5:$C804,$C804))</f>
        <v/>
      </c>
      <c r="L804" s="14" t="str">
        <f aca="false">IF($B804="","",$C$2+$E$2+$G$2+SUM($I$5:$I804)-SUM($J$5:$J804))</f>
        <v/>
      </c>
      <c r="M804" s="12"/>
      <c r="N804" s="15" t="str">
        <f aca="false">IF($B804="","",IF(NOT(ISNUMBER($B804)),"日期格式不对",IF($C804="","未选资金账户",IF(AND(N($I804)=0,N($J804)=0),"收支都为空",IF(AND(N($I804)&gt;0,N($J804)&gt;0),"收支不能同时填",IF(AND($D804&lt;&gt;"",LEFT($O804,1)="⚠"),"项目编号不存在",IF(AND($M804="是",$F804=""),"工程回款必须填往来单位","√")))))))</f>
        <v/>
      </c>
      <c r="O804" s="16" t="str">
        <f aca="false">IF($D804="","",IFERROR(INDEX(对照清单!$B$5:$B$60,MATCH($D804,对照清单!$A$5:$A$60,0)),"⚠编号不存在"))</f>
        <v/>
      </c>
      <c r="P804" s="10" t="str">
        <f aca="false">IF($B804="","",IF(ISNUMBER($B804),TEXT($B804,"yyyy-mm"),"日期非法"))</f>
        <v/>
      </c>
      <c r="Q804" s="10" t="str">
        <f aca="false">IF($B804="","",IF(ISNUMBER($B804),YEAR($B804),"日期非法"))</f>
        <v/>
      </c>
    </row>
    <row r="806" customFormat="false" ht="45.75" hidden="false" customHeight="true" outlineLevel="0" collapsed="false">
      <c r="A806" s="17" t="s">
        <v>25</v>
      </c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</sheetData>
  <autoFilter ref="A4:Q804"/>
  <mergeCells count="5">
    <mergeCell ref="A1:Q1"/>
    <mergeCell ref="H2:Q2"/>
    <mergeCell ref="A3:J3"/>
    <mergeCell ref="K3:Q3"/>
    <mergeCell ref="A806:Q806"/>
  </mergeCells>
  <conditionalFormatting sqref="A5:Q804">
    <cfRule type="expression" priority="2" aboveAverage="0" equalAverage="0" bottom="0" percent="0" rank="0" text="" dxfId="9">
      <formula>AND($N5&lt;&gt;"",$N5&lt;&gt;"√")</formula>
    </cfRule>
  </conditionalFormatting>
  <dataValidations count="6">
    <dataValidation allowBlank="true" error="请从下拉里选" errorStyle="stop" errorTitle="不在清单里" operator="between" showDropDown="false" showErrorMessage="false" showInputMessage="false" sqref="C5:C804" type="list">
      <formula1>对照清单!$F$5:$F$7</formula1>
      <formula2>0</formula2>
    </dataValidation>
    <dataValidation allowBlank="true" error="请从下拉里选" errorStyle="stop" errorTitle="不在清单里" operator="between" showDropDown="false" showErrorMessage="false" showInputMessage="false" sqref="D5:D804" type="list">
      <formula1>对照清单!$A$5:$A$60</formula1>
      <formula2>0</formula2>
    </dataValidation>
    <dataValidation allowBlank="true" error="请从下拉里选" errorStyle="stop" errorTitle="不在清单里" operator="between" showDropDown="false" showErrorMessage="false" showInputMessage="false" sqref="E5:E804" type="list">
      <formula1>对照清单!$E$5:$E$29</formula1>
      <formula2>0</formula2>
    </dataValidation>
    <dataValidation allowBlank="true" error="请从下拉里选" errorStyle="stop" errorTitle="不在清单里" operator="between" showDropDown="false" showErrorMessage="false" showInputMessage="false" sqref="F5:F804" type="list">
      <formula1>对照清单!$D$5:$D$18</formula1>
      <formula2>0</formula2>
    </dataValidation>
    <dataValidation allowBlank="true" error="请从下拉里选" errorStyle="stop" errorTitle="不在清单里" operator="between" showDropDown="false" showErrorMessage="false" showInputMessage="false" sqref="M5:M804" type="list">
      <formula1>"是,否"</formula1>
      <formula2>0</formula2>
    </dataValidation>
    <dataValidation allowBlank="true" error="金额要填 0 或正数；付出去的填「支出」那一列。" errorStyle="stop" errorTitle="金额不对" operator="greaterThanOrEqual" showDropDown="false" showErrorMessage="false" showInputMessage="false" sqref="I5:J8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5" min="4" style="0" width="14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26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5" t="s">
        <v>27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18" t="s">
        <v>11</v>
      </c>
      <c r="B4" s="18" t="s">
        <v>22</v>
      </c>
      <c r="C4" s="18" t="s">
        <v>28</v>
      </c>
      <c r="D4" s="18" t="s">
        <v>13</v>
      </c>
      <c r="E4" s="18" t="s">
        <v>12</v>
      </c>
      <c r="F4" s="18" t="s">
        <v>10</v>
      </c>
    </row>
    <row r="5" customFormat="false" ht="15" hidden="false" customHeight="false" outlineLevel="0" collapsed="false">
      <c r="A5" s="19" t="s">
        <v>29</v>
      </c>
      <c r="B5" s="20" t="s">
        <v>30</v>
      </c>
      <c r="C5" s="20" t="s">
        <v>31</v>
      </c>
      <c r="D5" s="21" t="s">
        <v>32</v>
      </c>
      <c r="E5" s="21" t="s">
        <v>33</v>
      </c>
      <c r="F5" s="21" t="s">
        <v>2</v>
      </c>
    </row>
    <row r="6" customFormat="false" ht="15" hidden="false" customHeight="false" outlineLevel="0" collapsed="false">
      <c r="A6" s="19" t="s">
        <v>34</v>
      </c>
      <c r="B6" s="20" t="s">
        <v>35</v>
      </c>
      <c r="C6" s="20" t="s">
        <v>36</v>
      </c>
      <c r="D6" s="21" t="s">
        <v>37</v>
      </c>
      <c r="E6" s="21" t="s">
        <v>38</v>
      </c>
      <c r="F6" s="21" t="s">
        <v>3</v>
      </c>
    </row>
    <row r="7" customFormat="false" ht="15" hidden="false" customHeight="false" outlineLevel="0" collapsed="false">
      <c r="A7" s="19" t="s">
        <v>39</v>
      </c>
      <c r="B7" s="20" t="s">
        <v>40</v>
      </c>
      <c r="C7" s="20" t="s">
        <v>41</v>
      </c>
      <c r="D7" s="21" t="s">
        <v>42</v>
      </c>
      <c r="E7" s="21" t="s">
        <v>43</v>
      </c>
      <c r="F7" s="21" t="s">
        <v>4</v>
      </c>
    </row>
    <row r="8" customFormat="false" ht="15" hidden="false" customHeight="false" outlineLevel="0" collapsed="false">
      <c r="A8" s="19" t="s">
        <v>44</v>
      </c>
      <c r="B8" s="20" t="s">
        <v>45</v>
      </c>
      <c r="C8" s="20" t="s">
        <v>46</v>
      </c>
      <c r="D8" s="21" t="s">
        <v>47</v>
      </c>
      <c r="E8" s="21" t="s">
        <v>48</v>
      </c>
    </row>
    <row r="9" customFormat="false" ht="15" hidden="false" customHeight="false" outlineLevel="0" collapsed="false">
      <c r="A9" s="19" t="s">
        <v>49</v>
      </c>
      <c r="B9" s="20" t="s">
        <v>50</v>
      </c>
      <c r="C9" s="20" t="s">
        <v>51</v>
      </c>
      <c r="D9" s="21" t="s">
        <v>52</v>
      </c>
      <c r="E9" s="21" t="s">
        <v>53</v>
      </c>
    </row>
    <row r="10" customFormat="false" ht="15" hidden="false" customHeight="false" outlineLevel="0" collapsed="false">
      <c r="A10" s="19" t="s">
        <v>54</v>
      </c>
      <c r="B10" s="20" t="s">
        <v>55</v>
      </c>
      <c r="C10" s="20" t="s">
        <v>56</v>
      </c>
      <c r="D10" s="21" t="s">
        <v>57</v>
      </c>
      <c r="E10" s="21" t="s">
        <v>58</v>
      </c>
    </row>
    <row r="11" customFormat="false" ht="15" hidden="false" customHeight="false" outlineLevel="0" collapsed="false">
      <c r="A11" s="19" t="s">
        <v>59</v>
      </c>
      <c r="B11" s="20" t="s">
        <v>60</v>
      </c>
      <c r="C11" s="20" t="s">
        <v>61</v>
      </c>
      <c r="D11" s="21" t="s">
        <v>62</v>
      </c>
      <c r="E11" s="21" t="s">
        <v>63</v>
      </c>
    </row>
    <row r="12" customFormat="false" ht="15" hidden="false" customHeight="false" outlineLevel="0" collapsed="false">
      <c r="A12" s="19" t="s">
        <v>64</v>
      </c>
      <c r="B12" s="20" t="s">
        <v>65</v>
      </c>
      <c r="C12" s="20" t="s">
        <v>66</v>
      </c>
      <c r="D12" s="21" t="s">
        <v>67</v>
      </c>
      <c r="E12" s="21" t="s">
        <v>68</v>
      </c>
    </row>
    <row r="13" customFormat="false" ht="15" hidden="false" customHeight="false" outlineLevel="0" collapsed="false">
      <c r="A13" s="19" t="s">
        <v>69</v>
      </c>
      <c r="B13" s="20" t="s">
        <v>70</v>
      </c>
      <c r="C13" s="20" t="s">
        <v>71</v>
      </c>
      <c r="D13" s="21" t="s">
        <v>72</v>
      </c>
      <c r="E13" s="21" t="s">
        <v>73</v>
      </c>
    </row>
    <row r="14" customFormat="false" ht="15" hidden="false" customHeight="false" outlineLevel="0" collapsed="false">
      <c r="A14" s="19" t="s">
        <v>74</v>
      </c>
      <c r="B14" s="20" t="s">
        <v>75</v>
      </c>
      <c r="C14" s="20" t="s">
        <v>76</v>
      </c>
      <c r="D14" s="21" t="s">
        <v>77</v>
      </c>
      <c r="E14" s="21" t="s">
        <v>78</v>
      </c>
    </row>
    <row r="15" customFormat="false" ht="15" hidden="false" customHeight="false" outlineLevel="0" collapsed="false">
      <c r="A15" s="19" t="s">
        <v>79</v>
      </c>
      <c r="B15" s="20" t="s">
        <v>80</v>
      </c>
      <c r="C15" s="20" t="s">
        <v>81</v>
      </c>
      <c r="D15" s="21" t="s">
        <v>2</v>
      </c>
      <c r="E15" s="21" t="s">
        <v>82</v>
      </c>
    </row>
    <row r="16" customFormat="false" ht="15" hidden="false" customHeight="false" outlineLevel="0" collapsed="false">
      <c r="A16" s="19" t="s">
        <v>83</v>
      </c>
      <c r="B16" s="20" t="s">
        <v>84</v>
      </c>
      <c r="C16" s="20" t="s">
        <v>85</v>
      </c>
      <c r="D16" s="21" t="s">
        <v>3</v>
      </c>
      <c r="E16" s="21" t="s">
        <v>86</v>
      </c>
    </row>
    <row r="17" customFormat="false" ht="15" hidden="false" customHeight="false" outlineLevel="0" collapsed="false">
      <c r="A17" s="19" t="s">
        <v>87</v>
      </c>
      <c r="B17" s="20" t="s">
        <v>88</v>
      </c>
      <c r="C17" s="20" t="s">
        <v>89</v>
      </c>
      <c r="D17" s="21" t="s">
        <v>90</v>
      </c>
      <c r="E17" s="21" t="s">
        <v>91</v>
      </c>
    </row>
    <row r="18" customFormat="false" ht="15" hidden="false" customHeight="false" outlineLevel="0" collapsed="false">
      <c r="A18" s="19" t="s">
        <v>92</v>
      </c>
      <c r="B18" s="20" t="s">
        <v>93</v>
      </c>
      <c r="C18" s="20" t="s">
        <v>94</v>
      </c>
      <c r="D18" s="21" t="s">
        <v>95</v>
      </c>
      <c r="E18" s="21" t="s">
        <v>96</v>
      </c>
    </row>
    <row r="19" customFormat="false" ht="15" hidden="false" customHeight="false" outlineLevel="0" collapsed="false">
      <c r="A19" s="19" t="s">
        <v>97</v>
      </c>
      <c r="B19" s="20" t="s">
        <v>98</v>
      </c>
      <c r="C19" s="20" t="s">
        <v>99</v>
      </c>
      <c r="E19" s="21" t="s">
        <v>100</v>
      </c>
    </row>
    <row r="20" customFormat="false" ht="15" hidden="false" customHeight="false" outlineLevel="0" collapsed="false">
      <c r="A20" s="19" t="s">
        <v>101</v>
      </c>
      <c r="B20" s="20" t="s">
        <v>102</v>
      </c>
      <c r="C20" s="20" t="s">
        <v>103</v>
      </c>
      <c r="E20" s="21" t="s">
        <v>104</v>
      </c>
    </row>
    <row r="21" customFormat="false" ht="15" hidden="false" customHeight="false" outlineLevel="0" collapsed="false">
      <c r="A21" s="19" t="s">
        <v>105</v>
      </c>
      <c r="B21" s="20" t="s">
        <v>106</v>
      </c>
      <c r="C21" s="20" t="s">
        <v>107</v>
      </c>
      <c r="E21" s="21" t="s">
        <v>108</v>
      </c>
    </row>
    <row r="22" customFormat="false" ht="15" hidden="false" customHeight="false" outlineLevel="0" collapsed="false">
      <c r="A22" s="19" t="s">
        <v>109</v>
      </c>
      <c r="B22" s="20" t="s">
        <v>110</v>
      </c>
      <c r="C22" s="20" t="s">
        <v>111</v>
      </c>
      <c r="E22" s="21" t="s">
        <v>112</v>
      </c>
    </row>
    <row r="23" customFormat="false" ht="15" hidden="false" customHeight="false" outlineLevel="0" collapsed="false">
      <c r="A23" s="19" t="s">
        <v>113</v>
      </c>
      <c r="B23" s="20" t="s">
        <v>114</v>
      </c>
      <c r="C23" s="20" t="s">
        <v>115</v>
      </c>
      <c r="E23" s="21" t="s">
        <v>116</v>
      </c>
    </row>
    <row r="24" customFormat="false" ht="15" hidden="false" customHeight="false" outlineLevel="0" collapsed="false">
      <c r="A24" s="19" t="s">
        <v>117</v>
      </c>
      <c r="B24" s="20" t="s">
        <v>118</v>
      </c>
      <c r="C24" s="22" t="s">
        <v>119</v>
      </c>
      <c r="E24" s="21" t="s">
        <v>120</v>
      </c>
    </row>
    <row r="25" customFormat="false" ht="15" hidden="false" customHeight="false" outlineLevel="0" collapsed="false">
      <c r="A25" s="19" t="s">
        <v>121</v>
      </c>
      <c r="B25" s="20" t="s">
        <v>122</v>
      </c>
      <c r="C25" s="20" t="s">
        <v>123</v>
      </c>
      <c r="E25" s="21" t="s">
        <v>124</v>
      </c>
    </row>
    <row r="26" customFormat="false" ht="15" hidden="false" customHeight="false" outlineLevel="0" collapsed="false">
      <c r="A26" s="19" t="s">
        <v>125</v>
      </c>
      <c r="B26" s="20" t="s">
        <v>126</v>
      </c>
      <c r="C26" s="20" t="s">
        <v>127</v>
      </c>
      <c r="E26" s="21" t="s">
        <v>128</v>
      </c>
    </row>
    <row r="27" customFormat="false" ht="15" hidden="false" customHeight="false" outlineLevel="0" collapsed="false">
      <c r="A27" s="19" t="s">
        <v>129</v>
      </c>
      <c r="B27" s="20" t="s">
        <v>130</v>
      </c>
      <c r="C27" s="20" t="s">
        <v>131</v>
      </c>
      <c r="E27" s="21" t="s">
        <v>132</v>
      </c>
    </row>
    <row r="28" customFormat="false" ht="15" hidden="false" customHeight="false" outlineLevel="0" collapsed="false">
      <c r="A28" s="19" t="s">
        <v>133</v>
      </c>
      <c r="B28" s="20" t="s">
        <v>134</v>
      </c>
      <c r="C28" s="20" t="s">
        <v>135</v>
      </c>
      <c r="E28" s="21" t="s">
        <v>136</v>
      </c>
    </row>
    <row r="29" customFormat="false" ht="15" hidden="false" customHeight="false" outlineLevel="0" collapsed="false">
      <c r="A29" s="19" t="s">
        <v>137</v>
      </c>
      <c r="B29" s="20" t="s">
        <v>138</v>
      </c>
      <c r="C29" s="20" t="s">
        <v>139</v>
      </c>
      <c r="E29" s="21" t="s">
        <v>140</v>
      </c>
    </row>
    <row r="30" customFormat="false" ht="15" hidden="false" customHeight="false" outlineLevel="0" collapsed="false">
      <c r="A30" s="19" t="s">
        <v>141</v>
      </c>
      <c r="B30" s="20" t="s">
        <v>142</v>
      </c>
      <c r="C30" s="20" t="s">
        <v>143</v>
      </c>
    </row>
    <row r="31" customFormat="false" ht="15" hidden="false" customHeight="false" outlineLevel="0" collapsed="false">
      <c r="A31" s="19" t="s">
        <v>144</v>
      </c>
      <c r="B31" s="20" t="s">
        <v>145</v>
      </c>
      <c r="C31" s="20" t="s">
        <v>146</v>
      </c>
    </row>
    <row r="32" customFormat="false" ht="15" hidden="false" customHeight="false" outlineLevel="0" collapsed="false">
      <c r="A32" s="19" t="s">
        <v>147</v>
      </c>
      <c r="B32" s="20" t="s">
        <v>148</v>
      </c>
      <c r="C32" s="20" t="s">
        <v>148</v>
      </c>
    </row>
    <row r="33" customFormat="false" ht="15" hidden="false" customHeight="false" outlineLevel="0" collapsed="false">
      <c r="A33" s="19" t="s">
        <v>149</v>
      </c>
      <c r="B33" s="20" t="s">
        <v>150</v>
      </c>
      <c r="C33" s="20" t="s">
        <v>151</v>
      </c>
    </row>
    <row r="34" customFormat="false" ht="15" hidden="false" customHeight="false" outlineLevel="0" collapsed="false">
      <c r="A34" s="19" t="s">
        <v>152</v>
      </c>
      <c r="B34" s="20" t="s">
        <v>153</v>
      </c>
      <c r="C34" s="20" t="s">
        <v>154</v>
      </c>
    </row>
    <row r="35" customFormat="false" ht="15" hidden="false" customHeight="false" outlineLevel="0" collapsed="false">
      <c r="A35" s="19" t="s">
        <v>155</v>
      </c>
      <c r="B35" s="20" t="s">
        <v>156</v>
      </c>
      <c r="C35" s="22" t="s">
        <v>157</v>
      </c>
    </row>
    <row r="36" customFormat="false" ht="15" hidden="false" customHeight="false" outlineLevel="0" collapsed="false">
      <c r="A36" s="19" t="s">
        <v>158</v>
      </c>
      <c r="B36" s="20" t="s">
        <v>159</v>
      </c>
      <c r="C36" s="20" t="s">
        <v>160</v>
      </c>
    </row>
    <row r="37" customFormat="false" ht="15" hidden="false" customHeight="false" outlineLevel="0" collapsed="false">
      <c r="A37" s="19" t="s">
        <v>161</v>
      </c>
      <c r="B37" s="20" t="s">
        <v>162</v>
      </c>
      <c r="C37" s="22" t="s">
        <v>163</v>
      </c>
    </row>
    <row r="38" customFormat="false" ht="15" hidden="false" customHeight="false" outlineLevel="0" collapsed="false">
      <c r="A38" s="19" t="s">
        <v>164</v>
      </c>
      <c r="B38" s="20" t="s">
        <v>165</v>
      </c>
      <c r="C38" s="20" t="s">
        <v>166</v>
      </c>
    </row>
    <row r="39" customFormat="false" ht="15" hidden="false" customHeight="false" outlineLevel="0" collapsed="false">
      <c r="A39" s="19" t="s">
        <v>167</v>
      </c>
      <c r="B39" s="20" t="s">
        <v>168</v>
      </c>
      <c r="C39" s="20" t="s">
        <v>169</v>
      </c>
    </row>
    <row r="40" customFormat="false" ht="15" hidden="false" customHeight="false" outlineLevel="0" collapsed="false">
      <c r="A40" s="19" t="s">
        <v>170</v>
      </c>
      <c r="B40" s="20" t="s">
        <v>171</v>
      </c>
      <c r="C40" s="20" t="s">
        <v>172</v>
      </c>
    </row>
    <row r="41" customFormat="false" ht="15" hidden="false" customHeight="false" outlineLevel="0" collapsed="false">
      <c r="A41" s="19" t="s">
        <v>173</v>
      </c>
      <c r="B41" s="20" t="s">
        <v>174</v>
      </c>
      <c r="C41" s="20" t="s">
        <v>175</v>
      </c>
    </row>
    <row r="42" customFormat="false" ht="15" hidden="false" customHeight="false" outlineLevel="0" collapsed="false">
      <c r="A42" s="19" t="s">
        <v>176</v>
      </c>
      <c r="B42" s="20" t="s">
        <v>177</v>
      </c>
      <c r="C42" s="20" t="s">
        <v>178</v>
      </c>
    </row>
    <row r="43" customFormat="false" ht="15" hidden="false" customHeight="false" outlineLevel="0" collapsed="false">
      <c r="A43" s="19" t="s">
        <v>179</v>
      </c>
      <c r="B43" s="20" t="s">
        <v>180</v>
      </c>
      <c r="C43" s="20" t="s">
        <v>181</v>
      </c>
    </row>
    <row r="44" customFormat="false" ht="15" hidden="false" customHeight="false" outlineLevel="0" collapsed="false">
      <c r="A44" s="19" t="s">
        <v>182</v>
      </c>
      <c r="B44" s="20" t="s">
        <v>183</v>
      </c>
      <c r="C44" s="20" t="s">
        <v>184</v>
      </c>
    </row>
    <row r="45" customFormat="false" ht="15" hidden="false" customHeight="false" outlineLevel="0" collapsed="false">
      <c r="A45" s="19" t="s">
        <v>185</v>
      </c>
      <c r="B45" s="20" t="s">
        <v>186</v>
      </c>
      <c r="C45" s="20" t="s">
        <v>187</v>
      </c>
    </row>
    <row r="46" customFormat="false" ht="15" hidden="false" customHeight="false" outlineLevel="0" collapsed="false">
      <c r="A46" s="19" t="s">
        <v>188</v>
      </c>
      <c r="B46" s="20" t="s">
        <v>189</v>
      </c>
      <c r="C46" s="20" t="s">
        <v>190</v>
      </c>
    </row>
    <row r="47" customFormat="false" ht="15" hidden="false" customHeight="false" outlineLevel="0" collapsed="false">
      <c r="A47" s="19" t="s">
        <v>191</v>
      </c>
      <c r="B47" s="20" t="s">
        <v>192</v>
      </c>
      <c r="C47" s="20" t="s">
        <v>193</v>
      </c>
    </row>
    <row r="48" customFormat="false" ht="15" hidden="false" customHeight="false" outlineLevel="0" collapsed="false">
      <c r="A48" s="19" t="s">
        <v>194</v>
      </c>
      <c r="B48" s="20" t="s">
        <v>195</v>
      </c>
      <c r="C48" s="20" t="s">
        <v>196</v>
      </c>
    </row>
    <row r="49" customFormat="false" ht="15" hidden="false" customHeight="false" outlineLevel="0" collapsed="false">
      <c r="A49" s="19" t="s">
        <v>197</v>
      </c>
      <c r="B49" s="20" t="s">
        <v>198</v>
      </c>
      <c r="C49" s="20" t="s">
        <v>199</v>
      </c>
    </row>
    <row r="50" customFormat="false" ht="15" hidden="false" customHeight="false" outlineLevel="0" collapsed="false">
      <c r="A50" s="19" t="s">
        <v>200</v>
      </c>
      <c r="B50" s="20" t="s">
        <v>201</v>
      </c>
      <c r="C50" s="20" t="s">
        <v>202</v>
      </c>
    </row>
    <row r="51" customFormat="false" ht="15" hidden="false" customHeight="false" outlineLevel="0" collapsed="false">
      <c r="A51" s="19" t="s">
        <v>203</v>
      </c>
      <c r="B51" s="20" t="s">
        <v>204</v>
      </c>
      <c r="C51" s="20" t="s">
        <v>205</v>
      </c>
    </row>
    <row r="52" customFormat="false" ht="15" hidden="false" customHeight="false" outlineLevel="0" collapsed="false">
      <c r="A52" s="19" t="s">
        <v>206</v>
      </c>
      <c r="B52" s="20" t="s">
        <v>207</v>
      </c>
      <c r="C52" s="20" t="s">
        <v>208</v>
      </c>
    </row>
    <row r="53" customFormat="false" ht="15" hidden="false" customHeight="false" outlineLevel="0" collapsed="false">
      <c r="A53" s="19" t="s">
        <v>209</v>
      </c>
      <c r="B53" s="20" t="s">
        <v>210</v>
      </c>
      <c r="C53" s="20" t="s">
        <v>211</v>
      </c>
    </row>
    <row r="54" customFormat="false" ht="15" hidden="false" customHeight="false" outlineLevel="0" collapsed="false">
      <c r="A54" s="19" t="s">
        <v>212</v>
      </c>
      <c r="B54" s="20" t="s">
        <v>213</v>
      </c>
      <c r="C54" s="20" t="s">
        <v>214</v>
      </c>
    </row>
    <row r="55" customFormat="false" ht="15" hidden="false" customHeight="false" outlineLevel="0" collapsed="false">
      <c r="A55" s="19" t="s">
        <v>215</v>
      </c>
      <c r="B55" s="20" t="s">
        <v>216</v>
      </c>
      <c r="C55" s="20" t="s">
        <v>217</v>
      </c>
    </row>
    <row r="56" customFormat="false" ht="15" hidden="false" customHeight="false" outlineLevel="0" collapsed="false">
      <c r="A56" s="19" t="s">
        <v>218</v>
      </c>
      <c r="B56" s="20" t="s">
        <v>219</v>
      </c>
      <c r="C56" s="20" t="s">
        <v>220</v>
      </c>
    </row>
    <row r="57" customFormat="false" ht="15" hidden="false" customHeight="false" outlineLevel="0" collapsed="false">
      <c r="A57" s="19" t="s">
        <v>221</v>
      </c>
      <c r="B57" s="20" t="s">
        <v>222</v>
      </c>
      <c r="C57" s="20" t="s">
        <v>223</v>
      </c>
    </row>
    <row r="58" customFormat="false" ht="15" hidden="false" customHeight="false" outlineLevel="0" collapsed="false">
      <c r="A58" s="19" t="s">
        <v>224</v>
      </c>
      <c r="B58" s="20" t="s">
        <v>225</v>
      </c>
      <c r="C58" s="20" t="s">
        <v>226</v>
      </c>
    </row>
    <row r="59" customFormat="false" ht="15" hidden="false" customHeight="false" outlineLevel="0" collapsed="false">
      <c r="A59" s="19" t="s">
        <v>227</v>
      </c>
      <c r="B59" s="20" t="s">
        <v>228</v>
      </c>
      <c r="C59" s="20" t="s">
        <v>229</v>
      </c>
    </row>
    <row r="60" customFormat="false" ht="15" hidden="false" customHeight="false" outlineLevel="0" collapsed="false">
      <c r="A60" s="19" t="s">
        <v>230</v>
      </c>
      <c r="B60" s="20" t="s">
        <v>231</v>
      </c>
      <c r="C60" s="20" t="s">
        <v>232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2026-09-15T00:40:44Z</dcterms:created>
  <dc:creator>openpyxl</dc:creator>
  <dc:description/>
  <dc:language>en-US</dc:language>
  <cp:lastModifiedBy/>
  <dcterms:modified xsi:type="dcterms:W3CDTF">2026-09-15T00:40:44Z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